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/>
  </bookViews>
  <sheets>
    <sheet name="overview" sheetId="1" r:id="rId1"/>
    <sheet name="Repo" sheetId="2" r:id="rId2"/>
    <sheet name="suivi globale" sheetId="14" r:id="rId3"/>
    <sheet name="Relative Value" sheetId="19" r:id="rId4"/>
    <sheet name="Stock UST" sheetId="4" r:id="rId5"/>
    <sheet name="tréso détaillée" sheetId="5" r:id="rId6"/>
    <sheet name="raw Data" sheetId="11" r:id="rId7"/>
    <sheet name="curve" sheetId="10" r:id="rId8"/>
    <sheet name="treasuries" sheetId="13" r:id="rId9"/>
    <sheet name="SSA" sheetId="16" r:id="rId10"/>
    <sheet name="pivot table" sheetId="12" r:id="rId11"/>
    <sheet name="MV Repo" sheetId="6" r:id="rId12"/>
    <sheet name="Stock" sheetId="7" r:id="rId13"/>
  </sheets>
  <externalReferences>
    <externalReference r:id="rId14"/>
    <externalReference r:id="rId15"/>
  </externalReferences>
  <definedNames>
    <definedName name="_xlnm._FilterDatabase" localSheetId="6" hidden="1">'raw Data'!$A$1:$N$350</definedName>
    <definedName name="_xlnm._FilterDatabase" localSheetId="3" hidden="1">'Relative Value'!#REF!</definedName>
    <definedName name="_xlnm._FilterDatabase" localSheetId="9" hidden="1">SSA!$A$1:$AD$195</definedName>
    <definedName name="_xlnm._FilterDatabase" localSheetId="8" hidden="1">treasuries!$A$1:$AC$286</definedName>
    <definedName name="bidask_1">'Relative Value'!$K$14</definedName>
    <definedName name="bidask_2">'Relative Value'!$D$14</definedName>
    <definedName name="cAnnual">overview!$I$18</definedName>
    <definedName name="cContinuous">overview!$I$16</definedName>
    <definedName name="change">overview!$E$18</definedName>
    <definedName name="cMmkt">overview!$I$20</definedName>
    <definedName name="convAdj">curve!$H$37</definedName>
    <definedName name="cSemi">overview!$I$19</definedName>
    <definedName name="cSimple">overview!$I$17</definedName>
    <definedName name="cTreasuries">overview!$I$14</definedName>
    <definedName name="cTrueYield">overview!$I$15</definedName>
    <definedName name="duration1">'Relative Value'!$K$22</definedName>
    <definedName name="duration2">'Relative Value'!$D$22</definedName>
    <definedName name="fedFund">curve!$J$42</definedName>
    <definedName name="histoSpread1">'Relative Value'!$AB$38:$AB$135</definedName>
    <definedName name="histoSpread2">'Relative Value'!$AA$38:$AA$135</definedName>
    <definedName name="isin1">'Relative Value'!$K$7</definedName>
    <definedName name="isin2">'Relative Value'!$D$7</definedName>
    <definedName name="libor3M">curve!$B$42</definedName>
    <definedName name="meanRev">curve!$H$38</definedName>
    <definedName name="oisCurve">curve!$J$29</definedName>
    <definedName name="plageDateHistorique">'Relative Value'!$Z$38:$Z$135</definedName>
    <definedName name="pricingDate">overview!$I$3</definedName>
    <definedName name="prix_titre1" localSheetId="3">'Relative Value'!$K$12</definedName>
    <definedName name="prix_titre2" localSheetId="3">'Relative Value'!$D$12</definedName>
    <definedName name="ratioPV">overview!$I$7</definedName>
    <definedName name="semi1" localSheetId="3">'Relative Value'!$K$13</definedName>
    <definedName name="semi2" localSheetId="3">'Relative Value'!$D$13</definedName>
    <definedName name="settlement1" localSheetId="3">'Relative Value'!$K$19</definedName>
    <definedName name="settlement2" localSheetId="3">'Relative Value'!$D$19</definedName>
    <definedName name="swapCurve">curve!$B$39</definedName>
    <definedName name="terminationDate">'Relative Value'!$C$29</definedName>
    <definedName name="titre1" localSheetId="3">'Relative Value'!$K$6</definedName>
    <definedName name="titre2" localSheetId="3">'Relative Value'!$D$6</definedName>
    <definedName name="ustCurve">overview!$I$10</definedName>
    <definedName name="Z_00EB2128_6FEB_46D9_8228_9DEE2E0F997A_.wvu.PrintArea" localSheetId="1" hidden="1">Repo!$A$1:$H$37</definedName>
    <definedName name="Z_23ECE3E9_36B9_4EC9_8719_6671D6440C95_.wvu.PrintArea" localSheetId="1" hidden="1">Repo!$A$1:$H$37</definedName>
    <definedName name="_xlnm.Print_Area" localSheetId="3">'Relative Value'!$A$1:$X$51</definedName>
  </definedNames>
  <calcPr calcId="152511" calcMode="manual" calcCompleted="0" calcOnSave="0"/>
  <customWorkbookViews>
    <customWorkbookView name="Jean-Matthieu VERMOSEN - Affichage personnalisé" guid="{00EB2128-6FEB-46D9-8228-9DEE2E0F997A}" mergeInterval="0" personalView="1" maximized="1" xWindow="1" yWindow="1" windowWidth="1280" windowHeight="766" tabRatio="590" activeSheetId="2"/>
    <customWorkbookView name="Gabor SZUCS - Affichage personnalisé" guid="{23ECE3E9-36B9-4EC9-8719-6671D6440C95}" mergeInterval="0" personalView="1" maximized="1" xWindow="1" yWindow="1" windowWidth="1276" windowHeight="803" tabRatio="590" activeSheetId="2"/>
  </customWorkbookViews>
  <pivotCaches>
    <pivotCache cacheId="7" r:id="rId16"/>
  </pivotCaches>
</workbook>
</file>

<file path=xl/calcChain.xml><?xml version="1.0" encoding="utf-8"?>
<calcChain xmlns="http://schemas.openxmlformats.org/spreadsheetml/2006/main">
  <c r="I17" i="1" l="1"/>
  <c r="I20" i="1"/>
  <c r="I16" i="1"/>
  <c r="I14" i="1"/>
  <c r="I19" i="1"/>
  <c r="I15" i="1"/>
  <c r="I18" i="1"/>
  <c r="I3" i="1"/>
  <c r="AC3" i="13"/>
  <c r="AC19" i="13"/>
  <c r="AC4" i="13"/>
  <c r="I4" i="13"/>
  <c r="AC21" i="13"/>
  <c r="I3" i="13"/>
  <c r="AC7" i="13"/>
  <c r="AC11" i="13"/>
  <c r="AC15" i="13"/>
  <c r="AC23" i="13"/>
  <c r="AC27" i="13"/>
  <c r="AC31" i="13"/>
  <c r="AC35" i="13"/>
  <c r="AC39" i="13"/>
  <c r="AC43" i="13"/>
  <c r="AC47" i="13"/>
  <c r="AC51" i="13"/>
  <c r="AC55" i="13"/>
  <c r="AC59" i="13"/>
  <c r="AC63" i="13"/>
  <c r="AC67" i="13"/>
  <c r="AC71" i="13"/>
  <c r="AC75" i="13"/>
  <c r="AC79" i="13"/>
  <c r="AC83" i="13"/>
  <c r="AC87" i="13"/>
  <c r="AC91" i="13"/>
  <c r="AC95" i="13"/>
  <c r="AC99" i="13"/>
  <c r="AC103" i="13"/>
  <c r="AC107" i="13"/>
  <c r="AC111" i="13"/>
  <c r="AC119" i="13"/>
  <c r="AC127" i="13"/>
  <c r="AC135" i="13"/>
  <c r="AC143" i="13"/>
  <c r="AC147" i="13"/>
  <c r="AC155" i="13"/>
  <c r="AC167" i="13"/>
  <c r="AC175" i="13"/>
  <c r="AC183" i="13"/>
  <c r="AC187" i="13"/>
  <c r="AC199" i="13"/>
  <c r="AC207" i="13"/>
  <c r="AC211" i="13"/>
  <c r="AC219" i="13"/>
  <c r="AC227" i="13"/>
  <c r="AC235" i="13"/>
  <c r="AC243" i="13"/>
  <c r="AC255" i="13"/>
  <c r="AC263" i="13"/>
  <c r="AC271" i="13"/>
  <c r="AC275" i="13"/>
  <c r="AC2" i="13"/>
  <c r="I2" i="13" s="1"/>
  <c r="AC9" i="13"/>
  <c r="AC17" i="13"/>
  <c r="AC29" i="13"/>
  <c r="AC109" i="13"/>
  <c r="AC125" i="13"/>
  <c r="AC137" i="13"/>
  <c r="AC145" i="13"/>
  <c r="AC153" i="13"/>
  <c r="AC169" i="13"/>
  <c r="AC181" i="13"/>
  <c r="AC193" i="13"/>
  <c r="AC201" i="13"/>
  <c r="AC213" i="13"/>
  <c r="AC229" i="13"/>
  <c r="AC241" i="13"/>
  <c r="AC249" i="13"/>
  <c r="AC261" i="13"/>
  <c r="AC277" i="13"/>
  <c r="AC285" i="13"/>
  <c r="AC8" i="13"/>
  <c r="AC12" i="13"/>
  <c r="AC16" i="13"/>
  <c r="AC20" i="13"/>
  <c r="AC24" i="13"/>
  <c r="AC28" i="13"/>
  <c r="AC32" i="13"/>
  <c r="AC36" i="13"/>
  <c r="AC40" i="13"/>
  <c r="AC44" i="13"/>
  <c r="AC48" i="13"/>
  <c r="AC52" i="13"/>
  <c r="AC56" i="13"/>
  <c r="AC60" i="13"/>
  <c r="AC64" i="13"/>
  <c r="AC68" i="13"/>
  <c r="AC72" i="13"/>
  <c r="AC76" i="13"/>
  <c r="AC80" i="13"/>
  <c r="AC84" i="13"/>
  <c r="AC88" i="13"/>
  <c r="AC92" i="13"/>
  <c r="AC96" i="13"/>
  <c r="AC100" i="13"/>
  <c r="AC104" i="13"/>
  <c r="AC108" i="13"/>
  <c r="AC112" i="13"/>
  <c r="AC116" i="13"/>
  <c r="AC120" i="13"/>
  <c r="AC124" i="13"/>
  <c r="AC128" i="13"/>
  <c r="AC132" i="13"/>
  <c r="AC136" i="13"/>
  <c r="AC140" i="13"/>
  <c r="AC144" i="13"/>
  <c r="AC148" i="13"/>
  <c r="AC152" i="13"/>
  <c r="AC156" i="13"/>
  <c r="AC160" i="13"/>
  <c r="AC164" i="13"/>
  <c r="AC168" i="13"/>
  <c r="AC172" i="13"/>
  <c r="AC176" i="13"/>
  <c r="AC180" i="13"/>
  <c r="AC184" i="13"/>
  <c r="AC188" i="13"/>
  <c r="AC192" i="13"/>
  <c r="AC196" i="13"/>
  <c r="AC200" i="13"/>
  <c r="AC204" i="13"/>
  <c r="AC208" i="13"/>
  <c r="AC212" i="13"/>
  <c r="AC216" i="13"/>
  <c r="AC220" i="13"/>
  <c r="AC224" i="13"/>
  <c r="AC228" i="13"/>
  <c r="AC232" i="13"/>
  <c r="AC236" i="13"/>
  <c r="AC240" i="13"/>
  <c r="AC244" i="13"/>
  <c r="AC248" i="13"/>
  <c r="AC252" i="13"/>
  <c r="AC256" i="13"/>
  <c r="AC260" i="13"/>
  <c r="AC264" i="13"/>
  <c r="AC268" i="13"/>
  <c r="AC272" i="13"/>
  <c r="AC276" i="13"/>
  <c r="AC280" i="13"/>
  <c r="AC284" i="13"/>
  <c r="AC25" i="13"/>
  <c r="AC41" i="13"/>
  <c r="AC49" i="13"/>
  <c r="AC57" i="13"/>
  <c r="AC65" i="13"/>
  <c r="AC73" i="13"/>
  <c r="AC81" i="13"/>
  <c r="AC89" i="13"/>
  <c r="AC97" i="13"/>
  <c r="AC105" i="13"/>
  <c r="AC121" i="13"/>
  <c r="AC133" i="13"/>
  <c r="AC149" i="13"/>
  <c r="AC161" i="13"/>
  <c r="AC173" i="13"/>
  <c r="AC185" i="13"/>
  <c r="AC197" i="13"/>
  <c r="AC209" i="13"/>
  <c r="AC221" i="13"/>
  <c r="AC233" i="13"/>
  <c r="AC245" i="13"/>
  <c r="AC257" i="13"/>
  <c r="AC269" i="13"/>
  <c r="AC5" i="13"/>
  <c r="I5" i="13" s="1"/>
  <c r="AC6" i="13"/>
  <c r="AC10" i="13"/>
  <c r="AC14" i="13"/>
  <c r="AC18" i="13"/>
  <c r="I18" i="13" s="1"/>
  <c r="K18" i="13" s="1"/>
  <c r="AC22" i="13"/>
  <c r="AC26" i="13"/>
  <c r="AC30" i="13"/>
  <c r="I30" i="13" s="1"/>
  <c r="AC34" i="13"/>
  <c r="AC38" i="13"/>
  <c r="AC42" i="13"/>
  <c r="AC46" i="13"/>
  <c r="AC50" i="13"/>
  <c r="AC54" i="13"/>
  <c r="AC58" i="13"/>
  <c r="AC62" i="13"/>
  <c r="AC66" i="13"/>
  <c r="AC70" i="13"/>
  <c r="AC74" i="13"/>
  <c r="AC78" i="13"/>
  <c r="AC82" i="13"/>
  <c r="AC86" i="13"/>
  <c r="AC90" i="13"/>
  <c r="AC94" i="13"/>
  <c r="AC98" i="13"/>
  <c r="AC102" i="13"/>
  <c r="AC106" i="13"/>
  <c r="AC110" i="13"/>
  <c r="AC114" i="13"/>
  <c r="AC118" i="13"/>
  <c r="AC122" i="13"/>
  <c r="AC126" i="13"/>
  <c r="AC130" i="13"/>
  <c r="AC134" i="13"/>
  <c r="AC138" i="13"/>
  <c r="AC142" i="13"/>
  <c r="AC146" i="13"/>
  <c r="AC150" i="13"/>
  <c r="AC154" i="13"/>
  <c r="AC158" i="13"/>
  <c r="AC162" i="13"/>
  <c r="AC166" i="13"/>
  <c r="AC170" i="13"/>
  <c r="AC174" i="13"/>
  <c r="AC178" i="13"/>
  <c r="AC182" i="13"/>
  <c r="AC186" i="13"/>
  <c r="AC190" i="13"/>
  <c r="AC194" i="13"/>
  <c r="AC198" i="13"/>
  <c r="AC202" i="13"/>
  <c r="AC206" i="13"/>
  <c r="AC210" i="13"/>
  <c r="AC214" i="13"/>
  <c r="AC218" i="13"/>
  <c r="AC222" i="13"/>
  <c r="AC226" i="13"/>
  <c r="AC230" i="13"/>
  <c r="AC234" i="13"/>
  <c r="AC238" i="13"/>
  <c r="AC242" i="13"/>
  <c r="AC246" i="13"/>
  <c r="AC250" i="13"/>
  <c r="AC254" i="13"/>
  <c r="AC258" i="13"/>
  <c r="AC262" i="13"/>
  <c r="AC266" i="13"/>
  <c r="AC270" i="13"/>
  <c r="AC274" i="13"/>
  <c r="AC278" i="13"/>
  <c r="AC282" i="13"/>
  <c r="AC286" i="13"/>
  <c r="AC115" i="13"/>
  <c r="AC123" i="13"/>
  <c r="AC131" i="13"/>
  <c r="AC139" i="13"/>
  <c r="AC151" i="13"/>
  <c r="AC159" i="13"/>
  <c r="AC163" i="13"/>
  <c r="AC171" i="13"/>
  <c r="AC179" i="13"/>
  <c r="AC191" i="13"/>
  <c r="AC195" i="13"/>
  <c r="AC203" i="13"/>
  <c r="AC215" i="13"/>
  <c r="AC223" i="13"/>
  <c r="AC231" i="13"/>
  <c r="AC239" i="13"/>
  <c r="AC247" i="13"/>
  <c r="AC251" i="13"/>
  <c r="AC259" i="13"/>
  <c r="AC267" i="13"/>
  <c r="AC279" i="13"/>
  <c r="AC283" i="13"/>
  <c r="AC13" i="13"/>
  <c r="AC33" i="13"/>
  <c r="AC37" i="13"/>
  <c r="AC45" i="13"/>
  <c r="AC53" i="13"/>
  <c r="AC61" i="13"/>
  <c r="AC69" i="13"/>
  <c r="AC77" i="13"/>
  <c r="AC85" i="13"/>
  <c r="AC93" i="13"/>
  <c r="AC101" i="13"/>
  <c r="AC113" i="13"/>
  <c r="AC117" i="13"/>
  <c r="AC129" i="13"/>
  <c r="AC141" i="13"/>
  <c r="AC157" i="13"/>
  <c r="AC165" i="13"/>
  <c r="AC177" i="13"/>
  <c r="AC189" i="13"/>
  <c r="AC205" i="13"/>
  <c r="AC217" i="13"/>
  <c r="AC225" i="13"/>
  <c r="AC237" i="13"/>
  <c r="AC253" i="13"/>
  <c r="AC265" i="13"/>
  <c r="AC273" i="13"/>
  <c r="AC281" i="13"/>
  <c r="E21" i="10"/>
  <c r="E22" i="10"/>
  <c r="L44" i="10" l="1"/>
  <c r="G6" i="10"/>
  <c r="U3" i="10"/>
  <c r="E6" i="10"/>
  <c r="E26" i="10"/>
  <c r="E30" i="10"/>
  <c r="E35" i="10"/>
  <c r="L5" i="10"/>
  <c r="L9" i="10"/>
  <c r="L13" i="10"/>
  <c r="L17" i="10"/>
  <c r="L21" i="10"/>
  <c r="L25" i="10"/>
  <c r="G5" i="10"/>
  <c r="E7" i="10"/>
  <c r="E23" i="10"/>
  <c r="E27" i="10"/>
  <c r="E31" i="10"/>
  <c r="E3" i="10"/>
  <c r="L6" i="10"/>
  <c r="L14" i="10"/>
  <c r="L22" i="10"/>
  <c r="L26" i="10"/>
  <c r="L23" i="10"/>
  <c r="L27" i="10"/>
  <c r="B9" i="10"/>
  <c r="L10" i="10"/>
  <c r="L18" i="10"/>
  <c r="L19" i="10"/>
  <c r="L24" i="10"/>
  <c r="G8" i="10"/>
  <c r="G4" i="10"/>
  <c r="E4" i="10"/>
  <c r="E8" i="10"/>
  <c r="E24" i="10"/>
  <c r="E28" i="10"/>
  <c r="E32" i="10"/>
  <c r="L3" i="10"/>
  <c r="L7" i="10"/>
  <c r="L11" i="10"/>
  <c r="L15" i="10"/>
  <c r="E33" i="10"/>
  <c r="G7" i="10"/>
  <c r="G3" i="10"/>
  <c r="E5" i="10"/>
  <c r="E25" i="10"/>
  <c r="E29" i="10"/>
  <c r="E34" i="10"/>
  <c r="L4" i="10"/>
  <c r="L8" i="10"/>
  <c r="L12" i="10"/>
  <c r="L16" i="10"/>
  <c r="L20" i="10"/>
  <c r="D9" i="10" l="1"/>
  <c r="C36" i="2"/>
  <c r="D36" i="2"/>
  <c r="BB36" i="2"/>
  <c r="BC36" i="2"/>
  <c r="BD36" i="2"/>
  <c r="BE36" i="2"/>
  <c r="BF36" i="2"/>
  <c r="C37" i="2"/>
  <c r="D37" i="2"/>
  <c r="BB37" i="2"/>
  <c r="BC37" i="2"/>
  <c r="BD37" i="2"/>
  <c r="BE37" i="2"/>
  <c r="BF37" i="2"/>
  <c r="C38" i="2"/>
  <c r="D38" i="2"/>
  <c r="BB38" i="2"/>
  <c r="BC38" i="2"/>
  <c r="BD38" i="2"/>
  <c r="BE38" i="2"/>
  <c r="BF38" i="2"/>
  <c r="C39" i="2"/>
  <c r="D39" i="2"/>
  <c r="BB39" i="2"/>
  <c r="BC39" i="2"/>
  <c r="BD39" i="2"/>
  <c r="BE39" i="2"/>
  <c r="BF39" i="2"/>
  <c r="C40" i="2"/>
  <c r="D40" i="2"/>
  <c r="BB40" i="2"/>
  <c r="BC40" i="2"/>
  <c r="BD40" i="2"/>
  <c r="BE40" i="2"/>
  <c r="BF40" i="2"/>
  <c r="C41" i="2"/>
  <c r="D41" i="2"/>
  <c r="BB41" i="2"/>
  <c r="BC41" i="2"/>
  <c r="BD41" i="2"/>
  <c r="BE41" i="2"/>
  <c r="BF41" i="2"/>
  <c r="C42" i="2"/>
  <c r="D42" i="2"/>
  <c r="BB42" i="2"/>
  <c r="BC42" i="2"/>
  <c r="BD42" i="2"/>
  <c r="BE42" i="2"/>
  <c r="BF42" i="2"/>
  <c r="C43" i="2"/>
  <c r="D43" i="2"/>
  <c r="BB43" i="2"/>
  <c r="BC43" i="2"/>
  <c r="BD43" i="2"/>
  <c r="BE43" i="2"/>
  <c r="BF43" i="2"/>
  <c r="C44" i="2"/>
  <c r="D44" i="2"/>
  <c r="BB44" i="2"/>
  <c r="BC44" i="2"/>
  <c r="BD44" i="2"/>
  <c r="BE44" i="2"/>
  <c r="BF44" i="2"/>
  <c r="C45" i="2"/>
  <c r="D45" i="2"/>
  <c r="BB45" i="2"/>
  <c r="BC45" i="2"/>
  <c r="BD45" i="2"/>
  <c r="BE45" i="2"/>
  <c r="BF45" i="2"/>
  <c r="C46" i="2"/>
  <c r="D46" i="2"/>
  <c r="BB46" i="2"/>
  <c r="BC46" i="2"/>
  <c r="BD46" i="2"/>
  <c r="BE46" i="2"/>
  <c r="BF46" i="2"/>
  <c r="C47" i="2"/>
  <c r="D47" i="2"/>
  <c r="BB47" i="2"/>
  <c r="BC47" i="2"/>
  <c r="BD47" i="2"/>
  <c r="BE47" i="2"/>
  <c r="BF47" i="2"/>
  <c r="C48" i="2"/>
  <c r="D48" i="2"/>
  <c r="BB48" i="2"/>
  <c r="BC48" i="2"/>
  <c r="BD48" i="2"/>
  <c r="BE48" i="2"/>
  <c r="BF48" i="2"/>
  <c r="C49" i="2"/>
  <c r="D49" i="2"/>
  <c r="BB49" i="2"/>
  <c r="BC49" i="2"/>
  <c r="BD49" i="2"/>
  <c r="BE49" i="2"/>
  <c r="BF49" i="2"/>
  <c r="C50" i="2"/>
  <c r="D50" i="2"/>
  <c r="BB50" i="2"/>
  <c r="BC50" i="2"/>
  <c r="BD50" i="2"/>
  <c r="BE50" i="2"/>
  <c r="BF50" i="2"/>
  <c r="C51" i="2"/>
  <c r="D51" i="2"/>
  <c r="BB51" i="2"/>
  <c r="BC51" i="2"/>
  <c r="BD51" i="2"/>
  <c r="BE51" i="2"/>
  <c r="BF51" i="2"/>
  <c r="C52" i="2"/>
  <c r="D52" i="2"/>
  <c r="BB52" i="2"/>
  <c r="BC52" i="2"/>
  <c r="BD52" i="2"/>
  <c r="BE52" i="2"/>
  <c r="BF52" i="2"/>
  <c r="S193" i="13"/>
  <c r="T193" i="13"/>
  <c r="E9" i="10"/>
  <c r="N3" i="14"/>
  <c r="Q3" i="14"/>
  <c r="N5" i="14"/>
  <c r="B10" i="10"/>
  <c r="S5" i="14"/>
  <c r="Q5" i="14"/>
  <c r="D10" i="10" l="1"/>
  <c r="M2" i="14"/>
  <c r="E10" i="10"/>
  <c r="S3" i="14"/>
  <c r="M14" i="1"/>
  <c r="N2" i="14"/>
  <c r="Q2" i="14"/>
  <c r="V5" i="14"/>
  <c r="B11" i="10"/>
  <c r="S2" i="14"/>
  <c r="D11" i="10" l="1"/>
  <c r="K2" i="14"/>
  <c r="S110" i="13"/>
  <c r="T110" i="13"/>
  <c r="E11" i="10"/>
  <c r="V3" i="14"/>
  <c r="V2" i="14"/>
  <c r="B12" i="10"/>
  <c r="D12" i="10" l="1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E12" i="10"/>
  <c r="B13" i="10"/>
  <c r="R2" i="14"/>
  <c r="D13" i="10" l="1"/>
  <c r="W2" i="14"/>
  <c r="U286" i="13"/>
  <c r="T286" i="13"/>
  <c r="S286" i="13"/>
  <c r="E13" i="10"/>
  <c r="B14" i="10"/>
  <c r="D14" i="10" l="1"/>
  <c r="U285" i="13"/>
  <c r="T285" i="13"/>
  <c r="S285" i="13"/>
  <c r="E14" i="10"/>
  <c r="U284" i="13" l="1"/>
  <c r="T284" i="13"/>
  <c r="S284" i="13"/>
  <c r="U283" i="13" l="1"/>
  <c r="T283" i="13"/>
  <c r="S283" i="13"/>
  <c r="B15" i="10"/>
  <c r="H113" i="16"/>
  <c r="H92" i="16"/>
  <c r="H145" i="16"/>
  <c r="H103" i="16"/>
  <c r="H139" i="16"/>
  <c r="H125" i="16"/>
  <c r="H120" i="16"/>
  <c r="H94" i="16"/>
  <c r="H129" i="16"/>
  <c r="H127" i="16"/>
  <c r="H122" i="16"/>
  <c r="H107" i="16"/>
  <c r="H126" i="16"/>
  <c r="H131" i="16"/>
  <c r="H114" i="16"/>
  <c r="H93" i="16"/>
  <c r="H97" i="16"/>
  <c r="H96" i="16"/>
  <c r="H143" i="16"/>
  <c r="H140" i="16"/>
  <c r="H128" i="16"/>
  <c r="H98" i="16"/>
  <c r="H110" i="16"/>
  <c r="H115" i="16"/>
  <c r="H95" i="16"/>
  <c r="H104" i="16"/>
  <c r="H100" i="16"/>
  <c r="H146" i="16"/>
  <c r="H91" i="16"/>
  <c r="H101" i="16"/>
  <c r="H124" i="16"/>
  <c r="H111" i="16"/>
  <c r="H137" i="16"/>
  <c r="H90" i="16"/>
  <c r="H133" i="16"/>
  <c r="H142" i="16"/>
  <c r="H119" i="16"/>
  <c r="H141" i="16"/>
  <c r="H134" i="16"/>
  <c r="H109" i="16"/>
  <c r="H118" i="16"/>
  <c r="H123" i="16"/>
  <c r="H117" i="16"/>
  <c r="H116" i="16"/>
  <c r="H121" i="16"/>
  <c r="H132" i="16"/>
  <c r="H105" i="16"/>
  <c r="H108" i="16"/>
  <c r="H99" i="16"/>
  <c r="H112" i="16"/>
  <c r="H130" i="16"/>
  <c r="H138" i="16"/>
  <c r="H136" i="16"/>
  <c r="H102" i="16"/>
  <c r="H144" i="16"/>
  <c r="H106" i="16"/>
  <c r="H135" i="16"/>
  <c r="D15" i="10" l="1"/>
  <c r="S279" i="13"/>
  <c r="T279" i="13"/>
  <c r="U279" i="13"/>
  <c r="E15" i="10"/>
  <c r="B16" i="10"/>
  <c r="N14" i="1"/>
  <c r="I11" i="1" s="1"/>
  <c r="D16" i="10" l="1"/>
  <c r="S280" i="13"/>
  <c r="T280" i="13"/>
  <c r="U280" i="13"/>
  <c r="E16" i="10"/>
  <c r="B17" i="10"/>
  <c r="D17" i="10" l="1"/>
  <c r="S281" i="13"/>
  <c r="T281" i="13"/>
  <c r="U281" i="13"/>
  <c r="E17" i="10"/>
  <c r="B18" i="10"/>
  <c r="D18" i="10" l="1"/>
  <c r="S282" i="13"/>
  <c r="T282" i="13"/>
  <c r="U282" i="13"/>
  <c r="S188" i="13"/>
  <c r="T188" i="13"/>
  <c r="E18" i="10"/>
  <c r="B19" i="10"/>
  <c r="D19" i="10" l="1"/>
  <c r="S273" i="13"/>
  <c r="T273" i="13"/>
  <c r="U273" i="13"/>
  <c r="E19" i="10"/>
  <c r="B20" i="10"/>
  <c r="D20" i="10" l="1"/>
  <c r="S274" i="13"/>
  <c r="T274" i="13"/>
  <c r="U274" i="13"/>
  <c r="E20" i="10"/>
  <c r="S275" i="13" l="1"/>
  <c r="T275" i="13"/>
  <c r="U275" i="13"/>
  <c r="S276" i="13" l="1"/>
  <c r="T276" i="13"/>
  <c r="U276" i="13"/>
  <c r="S277" i="13" l="1"/>
  <c r="T277" i="13"/>
  <c r="U277" i="13"/>
  <c r="S278" i="13" l="1"/>
  <c r="T278" i="13"/>
  <c r="U278" i="13"/>
  <c r="BB1" i="2" l="1"/>
  <c r="BC1" i="2"/>
  <c r="BD1" i="2"/>
  <c r="BE1" i="2"/>
  <c r="BF1" i="2"/>
  <c r="BB2" i="2"/>
  <c r="BC2" i="2"/>
  <c r="BD2" i="2"/>
  <c r="BE2" i="2"/>
  <c r="BF2" i="2"/>
  <c r="BB3" i="2"/>
  <c r="BB7" i="2"/>
  <c r="BC7" i="2"/>
  <c r="BD7" i="2"/>
  <c r="BE7" i="2"/>
  <c r="BF7" i="2"/>
  <c r="BB8" i="2"/>
  <c r="BC8" i="2"/>
  <c r="BD8" i="2"/>
  <c r="BE8" i="2"/>
  <c r="BF8" i="2"/>
  <c r="BB9" i="2"/>
  <c r="BC9" i="2"/>
  <c r="BD9" i="2"/>
  <c r="BE9" i="2"/>
  <c r="BF9" i="2"/>
  <c r="BB10" i="2"/>
  <c r="BC10" i="2"/>
  <c r="BD10" i="2"/>
  <c r="BE10" i="2"/>
  <c r="BF10" i="2"/>
  <c r="BB11" i="2"/>
  <c r="BC11" i="2"/>
  <c r="BD11" i="2"/>
  <c r="BE11" i="2"/>
  <c r="BF11" i="2"/>
  <c r="BB12" i="2"/>
  <c r="BC12" i="2"/>
  <c r="BD12" i="2"/>
  <c r="BE12" i="2"/>
  <c r="BF12" i="2"/>
  <c r="BB13" i="2"/>
  <c r="BC13" i="2"/>
  <c r="BD13" i="2"/>
  <c r="BE13" i="2"/>
  <c r="BF13" i="2"/>
  <c r="BB14" i="2"/>
  <c r="BC14" i="2"/>
  <c r="BD14" i="2"/>
  <c r="BE14" i="2"/>
  <c r="BF14" i="2"/>
  <c r="BB15" i="2"/>
  <c r="BC15" i="2"/>
  <c r="BD15" i="2"/>
  <c r="BE15" i="2"/>
  <c r="BF15" i="2"/>
  <c r="BB16" i="2"/>
  <c r="BC16" i="2"/>
  <c r="BD16" i="2"/>
  <c r="BE16" i="2"/>
  <c r="BF16" i="2"/>
  <c r="BB17" i="2"/>
  <c r="BC17" i="2"/>
  <c r="BD17" i="2"/>
  <c r="BE17" i="2"/>
  <c r="BF17" i="2"/>
  <c r="BB18" i="2"/>
  <c r="BC18" i="2"/>
  <c r="BD18" i="2"/>
  <c r="BE18" i="2"/>
  <c r="BF18" i="2"/>
  <c r="BB19" i="2"/>
  <c r="BC19" i="2"/>
  <c r="BD19" i="2"/>
  <c r="BE19" i="2"/>
  <c r="BF19" i="2"/>
  <c r="BB20" i="2"/>
  <c r="BC20" i="2"/>
  <c r="BD20" i="2"/>
  <c r="BE20" i="2"/>
  <c r="BF20" i="2"/>
  <c r="BB21" i="2"/>
  <c r="BC21" i="2"/>
  <c r="BD21" i="2"/>
  <c r="BE21" i="2"/>
  <c r="BF21" i="2"/>
  <c r="BB22" i="2"/>
  <c r="BC22" i="2"/>
  <c r="BD22" i="2"/>
  <c r="BE22" i="2"/>
  <c r="BF22" i="2"/>
  <c r="BB23" i="2"/>
  <c r="BC23" i="2"/>
  <c r="BD23" i="2"/>
  <c r="BE23" i="2"/>
  <c r="BF23" i="2"/>
  <c r="BB24" i="2"/>
  <c r="BC24" i="2"/>
  <c r="BD24" i="2"/>
  <c r="BE24" i="2"/>
  <c r="BF24" i="2"/>
  <c r="BB25" i="2"/>
  <c r="BC25" i="2"/>
  <c r="BD25" i="2"/>
  <c r="BE25" i="2"/>
  <c r="BF25" i="2"/>
  <c r="BB26" i="2"/>
  <c r="BC26" i="2"/>
  <c r="BD26" i="2"/>
  <c r="BE26" i="2"/>
  <c r="BF26" i="2"/>
  <c r="BB27" i="2"/>
  <c r="BC27" i="2"/>
  <c r="BD27" i="2"/>
  <c r="BE27" i="2"/>
  <c r="BF27" i="2"/>
  <c r="BB28" i="2"/>
  <c r="BC28" i="2"/>
  <c r="BD28" i="2"/>
  <c r="BE28" i="2"/>
  <c r="BF28" i="2"/>
  <c r="BB29" i="2"/>
  <c r="BC29" i="2"/>
  <c r="BD29" i="2"/>
  <c r="BE29" i="2"/>
  <c r="BF29" i="2"/>
  <c r="BB30" i="2"/>
  <c r="BC30" i="2"/>
  <c r="BD30" i="2"/>
  <c r="BE30" i="2"/>
  <c r="BF30" i="2"/>
  <c r="BB31" i="2"/>
  <c r="BC31" i="2"/>
  <c r="BD31" i="2"/>
  <c r="BE31" i="2"/>
  <c r="BF31" i="2"/>
  <c r="BB32" i="2"/>
  <c r="BC32" i="2"/>
  <c r="BD32" i="2"/>
  <c r="BE32" i="2"/>
  <c r="BF32" i="2"/>
  <c r="BB33" i="2"/>
  <c r="BC33" i="2"/>
  <c r="BD33" i="2"/>
  <c r="BE33" i="2"/>
  <c r="BF33" i="2"/>
  <c r="BB34" i="2"/>
  <c r="BC34" i="2"/>
  <c r="BD34" i="2"/>
  <c r="BE34" i="2"/>
  <c r="BF34" i="2"/>
  <c r="BB35" i="2"/>
  <c r="BC35" i="2"/>
  <c r="BD35" i="2"/>
  <c r="BE35" i="2"/>
  <c r="BF35" i="2"/>
  <c r="BB53" i="2"/>
  <c r="BC53" i="2"/>
  <c r="BD53" i="2"/>
  <c r="BE53" i="2"/>
  <c r="BF53" i="2"/>
  <c r="BB54" i="2"/>
  <c r="BC54" i="2"/>
  <c r="BD54" i="2"/>
  <c r="BE54" i="2"/>
  <c r="BF54" i="2"/>
  <c r="BB55" i="2"/>
  <c r="BC55" i="2"/>
  <c r="BD55" i="2"/>
  <c r="BE55" i="2"/>
  <c r="BF55" i="2"/>
  <c r="BB56" i="2"/>
  <c r="BC56" i="2"/>
  <c r="BD56" i="2"/>
  <c r="BE56" i="2"/>
  <c r="BF56" i="2"/>
  <c r="BB57" i="2"/>
  <c r="BC57" i="2"/>
  <c r="BD57" i="2"/>
  <c r="BE57" i="2"/>
  <c r="BF57" i="2"/>
  <c r="BB58" i="2"/>
  <c r="BC58" i="2"/>
  <c r="BD58" i="2"/>
  <c r="BE58" i="2"/>
  <c r="BF58" i="2"/>
  <c r="BB59" i="2"/>
  <c r="BC59" i="2"/>
  <c r="BD59" i="2"/>
  <c r="BE59" i="2"/>
  <c r="BF59" i="2"/>
  <c r="BB60" i="2"/>
  <c r="BC60" i="2"/>
  <c r="BD60" i="2"/>
  <c r="BE60" i="2"/>
  <c r="BF60" i="2"/>
  <c r="BB61" i="2"/>
  <c r="BC61" i="2"/>
  <c r="BD61" i="2"/>
  <c r="BE61" i="2"/>
  <c r="BF61" i="2"/>
  <c r="BB62" i="2"/>
  <c r="BC62" i="2"/>
  <c r="BD62" i="2"/>
  <c r="BE62" i="2"/>
  <c r="BF62" i="2"/>
  <c r="BB63" i="2"/>
  <c r="BC63" i="2"/>
  <c r="BD63" i="2"/>
  <c r="BE63" i="2"/>
  <c r="BF63" i="2"/>
  <c r="BB64" i="2"/>
  <c r="BC64" i="2"/>
  <c r="BD64" i="2"/>
  <c r="BE64" i="2"/>
  <c r="BF64" i="2"/>
  <c r="BB65" i="2"/>
  <c r="BC65" i="2"/>
  <c r="BD65" i="2"/>
  <c r="BE65" i="2"/>
  <c r="BF65" i="2"/>
  <c r="BB66" i="2"/>
  <c r="BC66" i="2"/>
  <c r="BD66" i="2"/>
  <c r="BE66" i="2"/>
  <c r="BF66" i="2"/>
  <c r="BB67" i="2"/>
  <c r="BC67" i="2"/>
  <c r="BD67" i="2"/>
  <c r="BE67" i="2"/>
  <c r="BF67" i="2"/>
  <c r="BB68" i="2"/>
  <c r="BC68" i="2"/>
  <c r="BD68" i="2"/>
  <c r="BE68" i="2"/>
  <c r="BF68" i="2"/>
  <c r="BB69" i="2"/>
  <c r="BC69" i="2"/>
  <c r="BD69" i="2"/>
  <c r="BE69" i="2"/>
  <c r="BF69" i="2"/>
  <c r="BB70" i="2"/>
  <c r="BC70" i="2"/>
  <c r="BD70" i="2"/>
  <c r="BE70" i="2"/>
  <c r="BF70" i="2"/>
  <c r="BB71" i="2"/>
  <c r="BC71" i="2"/>
  <c r="BD71" i="2"/>
  <c r="BE71" i="2"/>
  <c r="BF71" i="2"/>
  <c r="BB72" i="2"/>
  <c r="BC72" i="2"/>
  <c r="BD72" i="2"/>
  <c r="BE72" i="2"/>
  <c r="BF72" i="2"/>
  <c r="BB73" i="2"/>
  <c r="BC73" i="2"/>
  <c r="BD73" i="2"/>
  <c r="BE73" i="2"/>
  <c r="BF73" i="2"/>
  <c r="BB74" i="2"/>
  <c r="BC74" i="2"/>
  <c r="BD74" i="2"/>
  <c r="BE74" i="2"/>
  <c r="BF74" i="2"/>
  <c r="BB75" i="2"/>
  <c r="BC75" i="2"/>
  <c r="BD75" i="2"/>
  <c r="BE75" i="2"/>
  <c r="BF75" i="2"/>
  <c r="BB76" i="2"/>
  <c r="BC76" i="2"/>
  <c r="BD76" i="2"/>
  <c r="BE76" i="2"/>
  <c r="BF76" i="2"/>
  <c r="BB77" i="2"/>
  <c r="BC77" i="2"/>
  <c r="BD77" i="2"/>
  <c r="BE77" i="2"/>
  <c r="BF77" i="2"/>
  <c r="BB78" i="2"/>
  <c r="BC78" i="2"/>
  <c r="BD78" i="2"/>
  <c r="BE78" i="2"/>
  <c r="BF78" i="2"/>
  <c r="BB79" i="2"/>
  <c r="BC79" i="2"/>
  <c r="BD79" i="2"/>
  <c r="BE79" i="2"/>
  <c r="BF79" i="2"/>
  <c r="BB80" i="2"/>
  <c r="BC80" i="2"/>
  <c r="BD80" i="2"/>
  <c r="BE80" i="2"/>
  <c r="BF80" i="2"/>
  <c r="BB81" i="2"/>
  <c r="BC81" i="2"/>
  <c r="BD81" i="2"/>
  <c r="BE81" i="2"/>
  <c r="BF81" i="2"/>
  <c r="BB82" i="2"/>
  <c r="BC82" i="2"/>
  <c r="BD82" i="2"/>
  <c r="BE82" i="2"/>
  <c r="BF82" i="2"/>
  <c r="BB83" i="2"/>
  <c r="BC83" i="2"/>
  <c r="BD83" i="2"/>
  <c r="BE83" i="2"/>
  <c r="BF83" i="2"/>
  <c r="BB84" i="2"/>
  <c r="BC84" i="2"/>
  <c r="BD84" i="2"/>
  <c r="BE84" i="2"/>
  <c r="BF84" i="2"/>
  <c r="BB85" i="2"/>
  <c r="BC85" i="2"/>
  <c r="BD85" i="2"/>
  <c r="BE85" i="2"/>
  <c r="BF85" i="2"/>
  <c r="BB86" i="2"/>
  <c r="BC86" i="2"/>
  <c r="BD86" i="2"/>
  <c r="BE86" i="2"/>
  <c r="BF86" i="2"/>
  <c r="BB87" i="2"/>
  <c r="BC87" i="2"/>
  <c r="BD87" i="2"/>
  <c r="BE87" i="2"/>
  <c r="BF87" i="2"/>
  <c r="BB88" i="2"/>
  <c r="BC88" i="2"/>
  <c r="BD88" i="2"/>
  <c r="BE88" i="2"/>
  <c r="BF88" i="2"/>
  <c r="BB89" i="2"/>
  <c r="BC89" i="2"/>
  <c r="BD89" i="2"/>
  <c r="BE89" i="2"/>
  <c r="BF89" i="2"/>
  <c r="BB90" i="2"/>
  <c r="BC90" i="2"/>
  <c r="BD90" i="2"/>
  <c r="BE90" i="2"/>
  <c r="BF90" i="2"/>
  <c r="BB91" i="2"/>
  <c r="BC91" i="2"/>
  <c r="BD91" i="2"/>
  <c r="BE91" i="2"/>
  <c r="BF91" i="2"/>
  <c r="BB92" i="2"/>
  <c r="BC92" i="2"/>
  <c r="BD92" i="2"/>
  <c r="BE92" i="2"/>
  <c r="BF92" i="2"/>
  <c r="BB93" i="2"/>
  <c r="BC93" i="2"/>
  <c r="BD93" i="2"/>
  <c r="BE93" i="2"/>
  <c r="BF93" i="2"/>
  <c r="BB94" i="2"/>
  <c r="BC94" i="2"/>
  <c r="BD94" i="2"/>
  <c r="BE94" i="2"/>
  <c r="BF94" i="2"/>
  <c r="BB95" i="2"/>
  <c r="BC95" i="2"/>
  <c r="BD95" i="2"/>
  <c r="BE95" i="2"/>
  <c r="BF95" i="2"/>
  <c r="BB96" i="2"/>
  <c r="BC96" i="2"/>
  <c r="BD96" i="2"/>
  <c r="BE96" i="2"/>
  <c r="BF96" i="2"/>
  <c r="BB97" i="2"/>
  <c r="BC97" i="2"/>
  <c r="BD97" i="2"/>
  <c r="BE97" i="2"/>
  <c r="BF97" i="2"/>
  <c r="BB98" i="2"/>
  <c r="BC98" i="2"/>
  <c r="BD98" i="2"/>
  <c r="BE98" i="2"/>
  <c r="BF98" i="2"/>
  <c r="BB99" i="2"/>
  <c r="BC99" i="2"/>
  <c r="BD99" i="2"/>
  <c r="BE99" i="2"/>
  <c r="BF99" i="2"/>
  <c r="BB100" i="2"/>
  <c r="BC100" i="2"/>
  <c r="BD100" i="2"/>
  <c r="BE100" i="2"/>
  <c r="BF100" i="2"/>
  <c r="BB101" i="2"/>
  <c r="BC101" i="2"/>
  <c r="BD101" i="2"/>
  <c r="BE101" i="2"/>
  <c r="BF101" i="2"/>
  <c r="BB102" i="2"/>
  <c r="BC102" i="2"/>
  <c r="BD102" i="2"/>
  <c r="BE102" i="2"/>
  <c r="BF102" i="2"/>
  <c r="BB103" i="2"/>
  <c r="BC103" i="2"/>
  <c r="BD103" i="2"/>
  <c r="BE103" i="2"/>
  <c r="BF103" i="2"/>
  <c r="BB104" i="2"/>
  <c r="BC104" i="2"/>
  <c r="BD104" i="2"/>
  <c r="BE104" i="2"/>
  <c r="BF104" i="2"/>
  <c r="BB105" i="2"/>
  <c r="BC105" i="2"/>
  <c r="BD105" i="2"/>
  <c r="BE105" i="2"/>
  <c r="BF105" i="2"/>
  <c r="BB106" i="2"/>
  <c r="BC106" i="2"/>
  <c r="BD106" i="2"/>
  <c r="BE106" i="2"/>
  <c r="BF106" i="2"/>
  <c r="BB107" i="2"/>
  <c r="BC107" i="2"/>
  <c r="BD107" i="2"/>
  <c r="BE107" i="2"/>
  <c r="BF107" i="2"/>
  <c r="BB108" i="2"/>
  <c r="BC108" i="2"/>
  <c r="BD108" i="2"/>
  <c r="BE108" i="2"/>
  <c r="BF108" i="2"/>
  <c r="BB109" i="2"/>
  <c r="BC109" i="2"/>
  <c r="BD109" i="2"/>
  <c r="BE109" i="2"/>
  <c r="BF109" i="2"/>
  <c r="BB110" i="2"/>
  <c r="BC110" i="2"/>
  <c r="BD110" i="2"/>
  <c r="BE110" i="2"/>
  <c r="BF110" i="2"/>
  <c r="BB111" i="2"/>
  <c r="BC111" i="2"/>
  <c r="BD111" i="2"/>
  <c r="BE111" i="2"/>
  <c r="BF111" i="2"/>
  <c r="BB112" i="2"/>
  <c r="BC112" i="2"/>
  <c r="BD112" i="2"/>
  <c r="BE112" i="2"/>
  <c r="BF112" i="2"/>
  <c r="BB113" i="2"/>
  <c r="BC113" i="2"/>
  <c r="BD113" i="2"/>
  <c r="BE113" i="2"/>
  <c r="BF113" i="2"/>
  <c r="BB114" i="2"/>
  <c r="BC114" i="2"/>
  <c r="BD114" i="2"/>
  <c r="BE114" i="2"/>
  <c r="BF114" i="2"/>
  <c r="BB115" i="2"/>
  <c r="BC115" i="2"/>
  <c r="BD115" i="2"/>
  <c r="BE115" i="2"/>
  <c r="BF115" i="2"/>
  <c r="BB116" i="2"/>
  <c r="BC116" i="2"/>
  <c r="BD116" i="2"/>
  <c r="BE116" i="2"/>
  <c r="BF116" i="2"/>
  <c r="BB117" i="2"/>
  <c r="BC117" i="2"/>
  <c r="BD117" i="2"/>
  <c r="BE117" i="2"/>
  <c r="BF117" i="2"/>
  <c r="BB118" i="2"/>
  <c r="BC118" i="2"/>
  <c r="BD118" i="2"/>
  <c r="BE118" i="2"/>
  <c r="BF118" i="2"/>
  <c r="BB119" i="2"/>
  <c r="BC119" i="2"/>
  <c r="BD119" i="2"/>
  <c r="BE119" i="2"/>
  <c r="BF119" i="2"/>
  <c r="BB120" i="2"/>
  <c r="BC120" i="2"/>
  <c r="BD120" i="2"/>
  <c r="BE120" i="2"/>
  <c r="BF120" i="2"/>
  <c r="BB121" i="2"/>
  <c r="BC121" i="2"/>
  <c r="BD121" i="2"/>
  <c r="BE121" i="2"/>
  <c r="BF121" i="2"/>
  <c r="BB122" i="2"/>
  <c r="BC122" i="2"/>
  <c r="BD122" i="2"/>
  <c r="BE122" i="2"/>
  <c r="BF122" i="2"/>
  <c r="BB123" i="2"/>
  <c r="BC123" i="2"/>
  <c r="BD123" i="2"/>
  <c r="BE123" i="2"/>
  <c r="BF123" i="2"/>
  <c r="BB124" i="2"/>
  <c r="BC124" i="2"/>
  <c r="BD124" i="2"/>
  <c r="BE124" i="2"/>
  <c r="BF124" i="2"/>
  <c r="BB125" i="2"/>
  <c r="BC125" i="2"/>
  <c r="BD125" i="2"/>
  <c r="BE125" i="2"/>
  <c r="BF125" i="2"/>
  <c r="BB126" i="2"/>
  <c r="BC126" i="2"/>
  <c r="BD126" i="2"/>
  <c r="BE126" i="2"/>
  <c r="BF126" i="2"/>
  <c r="BB127" i="2"/>
  <c r="BC127" i="2"/>
  <c r="BD127" i="2"/>
  <c r="BE127" i="2"/>
  <c r="BF127" i="2"/>
  <c r="BB128" i="2"/>
  <c r="BC128" i="2"/>
  <c r="BD128" i="2"/>
  <c r="BE128" i="2"/>
  <c r="BF128" i="2"/>
  <c r="BB129" i="2"/>
  <c r="BC129" i="2"/>
  <c r="BD129" i="2"/>
  <c r="BE129" i="2"/>
  <c r="BF129" i="2"/>
  <c r="BB130" i="2"/>
  <c r="BC130" i="2"/>
  <c r="BD130" i="2"/>
  <c r="BE130" i="2"/>
  <c r="BF130" i="2"/>
  <c r="BB131" i="2"/>
  <c r="BC131" i="2"/>
  <c r="BD131" i="2"/>
  <c r="BE131" i="2"/>
  <c r="BF131" i="2"/>
  <c r="BB132" i="2"/>
  <c r="BC132" i="2"/>
  <c r="BD132" i="2"/>
  <c r="BE132" i="2"/>
  <c r="BF132" i="2"/>
  <c r="BB133" i="2"/>
  <c r="BC133" i="2"/>
  <c r="BD133" i="2"/>
  <c r="BE133" i="2"/>
  <c r="BF133" i="2"/>
  <c r="BB134" i="2"/>
  <c r="BC134" i="2"/>
  <c r="BD134" i="2"/>
  <c r="BE134" i="2"/>
  <c r="BF134" i="2"/>
  <c r="BB135" i="2"/>
  <c r="BC135" i="2"/>
  <c r="BD135" i="2"/>
  <c r="BE135" i="2"/>
  <c r="BF135" i="2"/>
  <c r="BB136" i="2"/>
  <c r="BC136" i="2"/>
  <c r="BD136" i="2"/>
  <c r="BE136" i="2"/>
  <c r="BF136" i="2"/>
  <c r="BB137" i="2"/>
  <c r="BC137" i="2"/>
  <c r="BD137" i="2"/>
  <c r="BE137" i="2"/>
  <c r="BF137" i="2"/>
  <c r="BB138" i="2"/>
  <c r="BC138" i="2"/>
  <c r="BD138" i="2"/>
  <c r="BE138" i="2"/>
  <c r="BF138" i="2"/>
  <c r="BB139" i="2"/>
  <c r="BC139" i="2"/>
  <c r="BD139" i="2"/>
  <c r="BE139" i="2"/>
  <c r="BF139" i="2"/>
  <c r="BB140" i="2"/>
  <c r="BC140" i="2"/>
  <c r="BD140" i="2"/>
  <c r="BE140" i="2"/>
  <c r="BF140" i="2"/>
  <c r="BB141" i="2"/>
  <c r="BC141" i="2"/>
  <c r="BD141" i="2"/>
  <c r="BE141" i="2"/>
  <c r="BF141" i="2"/>
  <c r="BB142" i="2"/>
  <c r="BC142" i="2"/>
  <c r="BD142" i="2"/>
  <c r="BE142" i="2"/>
  <c r="BF142" i="2"/>
  <c r="BB143" i="2"/>
  <c r="BC143" i="2"/>
  <c r="BD143" i="2"/>
  <c r="BE143" i="2"/>
  <c r="BF143" i="2"/>
  <c r="BB144" i="2"/>
  <c r="BC144" i="2"/>
  <c r="BD144" i="2"/>
  <c r="BE144" i="2"/>
  <c r="BF144" i="2"/>
  <c r="BB145" i="2"/>
  <c r="BC145" i="2"/>
  <c r="BD145" i="2"/>
  <c r="BE145" i="2"/>
  <c r="BF145" i="2"/>
  <c r="BB146" i="2"/>
  <c r="BC146" i="2"/>
  <c r="BD146" i="2"/>
  <c r="BE146" i="2"/>
  <c r="BF146" i="2"/>
  <c r="BB147" i="2"/>
  <c r="BC147" i="2"/>
  <c r="BD147" i="2"/>
  <c r="BE147" i="2"/>
  <c r="BF147" i="2"/>
  <c r="BB148" i="2"/>
  <c r="BC148" i="2"/>
  <c r="BD148" i="2"/>
  <c r="BE148" i="2"/>
  <c r="BF148" i="2"/>
  <c r="BB149" i="2"/>
  <c r="BC149" i="2"/>
  <c r="BD149" i="2"/>
  <c r="BE149" i="2"/>
  <c r="BF149" i="2"/>
  <c r="BB150" i="2"/>
  <c r="BC150" i="2"/>
  <c r="BD150" i="2"/>
  <c r="BE150" i="2"/>
  <c r="BF150" i="2"/>
  <c r="BB151" i="2"/>
  <c r="BC151" i="2"/>
  <c r="BD151" i="2"/>
  <c r="BE151" i="2"/>
  <c r="BF151" i="2"/>
  <c r="BB152" i="2"/>
  <c r="BC152" i="2"/>
  <c r="BD152" i="2"/>
  <c r="BE152" i="2"/>
  <c r="BF152" i="2"/>
  <c r="BB153" i="2"/>
  <c r="BC153" i="2"/>
  <c r="BD153" i="2"/>
  <c r="BE153" i="2"/>
  <c r="BF153" i="2"/>
  <c r="BB154" i="2"/>
  <c r="BC154" i="2"/>
  <c r="BD154" i="2"/>
  <c r="BE154" i="2"/>
  <c r="BF154" i="2"/>
  <c r="BB155" i="2"/>
  <c r="BC155" i="2"/>
  <c r="BD155" i="2"/>
  <c r="BE155" i="2"/>
  <c r="BF155" i="2"/>
  <c r="BB156" i="2"/>
  <c r="BC156" i="2"/>
  <c r="BD156" i="2"/>
  <c r="BE156" i="2"/>
  <c r="BF156" i="2"/>
  <c r="BB157" i="2"/>
  <c r="BC157" i="2"/>
  <c r="BD157" i="2"/>
  <c r="BE157" i="2"/>
  <c r="BF157" i="2"/>
  <c r="BB158" i="2"/>
  <c r="BC158" i="2"/>
  <c r="BD158" i="2"/>
  <c r="BE158" i="2"/>
  <c r="BF158" i="2"/>
  <c r="BB159" i="2"/>
  <c r="BC159" i="2"/>
  <c r="BD159" i="2"/>
  <c r="BE159" i="2"/>
  <c r="BF159" i="2"/>
  <c r="BB160" i="2"/>
  <c r="BC160" i="2"/>
  <c r="BD160" i="2"/>
  <c r="BE160" i="2"/>
  <c r="BF160" i="2"/>
  <c r="BB161" i="2"/>
  <c r="BC161" i="2"/>
  <c r="BD161" i="2"/>
  <c r="BE161" i="2"/>
  <c r="BF161" i="2"/>
  <c r="BB162" i="2"/>
  <c r="BC162" i="2"/>
  <c r="BD162" i="2"/>
  <c r="BE162" i="2"/>
  <c r="BF162" i="2"/>
  <c r="BB163" i="2"/>
  <c r="BC163" i="2"/>
  <c r="BD163" i="2"/>
  <c r="BE163" i="2"/>
  <c r="BF163" i="2"/>
  <c r="BB164" i="2"/>
  <c r="BC164" i="2"/>
  <c r="BD164" i="2"/>
  <c r="BE164" i="2"/>
  <c r="BF164" i="2"/>
  <c r="BB165" i="2"/>
  <c r="BC165" i="2"/>
  <c r="BD165" i="2"/>
  <c r="BE165" i="2"/>
  <c r="BF165" i="2"/>
  <c r="BB166" i="2"/>
  <c r="BC166" i="2"/>
  <c r="BD166" i="2"/>
  <c r="BE166" i="2"/>
  <c r="BF166" i="2"/>
  <c r="BB167" i="2"/>
  <c r="BC167" i="2"/>
  <c r="BD167" i="2"/>
  <c r="BE167" i="2"/>
  <c r="BF167" i="2"/>
  <c r="BB168" i="2"/>
  <c r="BC168" i="2"/>
  <c r="BD168" i="2"/>
  <c r="BE168" i="2"/>
  <c r="BF168" i="2"/>
  <c r="BB169" i="2"/>
  <c r="BC169" i="2"/>
  <c r="BD169" i="2"/>
  <c r="BE169" i="2"/>
  <c r="BF169" i="2"/>
  <c r="BB170" i="2"/>
  <c r="BC170" i="2"/>
  <c r="BD170" i="2"/>
  <c r="BE170" i="2"/>
  <c r="BF170" i="2"/>
  <c r="BB171" i="2"/>
  <c r="BC171" i="2"/>
  <c r="BD171" i="2"/>
  <c r="BE171" i="2"/>
  <c r="BF171" i="2"/>
  <c r="BB172" i="2"/>
  <c r="BC172" i="2"/>
  <c r="BD172" i="2"/>
  <c r="BE172" i="2"/>
  <c r="BF172" i="2"/>
  <c r="BB173" i="2"/>
  <c r="BC173" i="2"/>
  <c r="BD173" i="2"/>
  <c r="BE173" i="2"/>
  <c r="BF173" i="2"/>
  <c r="BB174" i="2"/>
  <c r="BC174" i="2"/>
  <c r="BD174" i="2"/>
  <c r="BE174" i="2"/>
  <c r="BF174" i="2"/>
  <c r="BB175" i="2"/>
  <c r="BC175" i="2"/>
  <c r="BD175" i="2"/>
  <c r="BE175" i="2"/>
  <c r="BF175" i="2"/>
  <c r="BB176" i="2"/>
  <c r="BC176" i="2"/>
  <c r="BD176" i="2"/>
  <c r="BE176" i="2"/>
  <c r="BF176" i="2"/>
  <c r="BB177" i="2"/>
  <c r="BC177" i="2"/>
  <c r="BD177" i="2"/>
  <c r="BE177" i="2"/>
  <c r="BF177" i="2"/>
  <c r="BB178" i="2"/>
  <c r="BC178" i="2"/>
  <c r="BD178" i="2"/>
  <c r="BE178" i="2"/>
  <c r="BF178" i="2"/>
  <c r="BB179" i="2"/>
  <c r="BC179" i="2"/>
  <c r="BD179" i="2"/>
  <c r="BE179" i="2"/>
  <c r="BF179" i="2"/>
  <c r="BB180" i="2"/>
  <c r="BC180" i="2"/>
  <c r="BD180" i="2"/>
  <c r="BE180" i="2"/>
  <c r="BF180" i="2"/>
  <c r="BB181" i="2"/>
  <c r="BC181" i="2"/>
  <c r="BD181" i="2"/>
  <c r="BE181" i="2"/>
  <c r="BF181" i="2"/>
  <c r="BB182" i="2"/>
  <c r="BC182" i="2"/>
  <c r="BD182" i="2"/>
  <c r="BE182" i="2"/>
  <c r="BF182" i="2"/>
  <c r="BB183" i="2"/>
  <c r="BC183" i="2"/>
  <c r="BD183" i="2"/>
  <c r="BE183" i="2"/>
  <c r="BF183" i="2"/>
  <c r="BB184" i="2"/>
  <c r="BC184" i="2"/>
  <c r="BD184" i="2"/>
  <c r="BE184" i="2"/>
  <c r="BF184" i="2"/>
  <c r="BB185" i="2"/>
  <c r="BC185" i="2"/>
  <c r="BD185" i="2"/>
  <c r="BE185" i="2"/>
  <c r="BF185" i="2"/>
  <c r="BB186" i="2"/>
  <c r="BC186" i="2"/>
  <c r="BD186" i="2"/>
  <c r="BE186" i="2"/>
  <c r="BF186" i="2"/>
  <c r="BB187" i="2"/>
  <c r="BC187" i="2"/>
  <c r="BD187" i="2"/>
  <c r="BE187" i="2"/>
  <c r="BF187" i="2"/>
  <c r="BB188" i="2"/>
  <c r="BC188" i="2"/>
  <c r="BD188" i="2"/>
  <c r="BE188" i="2"/>
  <c r="BF188" i="2"/>
  <c r="BB189" i="2"/>
  <c r="BC189" i="2"/>
  <c r="BD189" i="2"/>
  <c r="BE189" i="2"/>
  <c r="BF189" i="2"/>
  <c r="BB190" i="2"/>
  <c r="BC190" i="2"/>
  <c r="BD190" i="2"/>
  <c r="BE190" i="2"/>
  <c r="BF190" i="2"/>
  <c r="BB191" i="2"/>
  <c r="BC191" i="2"/>
  <c r="BD191" i="2"/>
  <c r="BE191" i="2"/>
  <c r="BF191" i="2"/>
  <c r="BB192" i="2"/>
  <c r="BC192" i="2"/>
  <c r="BD192" i="2"/>
  <c r="BE192" i="2"/>
  <c r="BF192" i="2"/>
  <c r="BB193" i="2"/>
  <c r="BC193" i="2"/>
  <c r="BD193" i="2"/>
  <c r="BE193" i="2"/>
  <c r="BF193" i="2"/>
  <c r="BB194" i="2"/>
  <c r="BC194" i="2"/>
  <c r="BD194" i="2"/>
  <c r="BE194" i="2"/>
  <c r="BF194" i="2"/>
  <c r="BB195" i="2"/>
  <c r="BC195" i="2"/>
  <c r="BD195" i="2"/>
  <c r="BE195" i="2"/>
  <c r="BF195" i="2"/>
  <c r="BB196" i="2"/>
  <c r="BC196" i="2"/>
  <c r="BD196" i="2"/>
  <c r="BE196" i="2"/>
  <c r="BF196" i="2"/>
  <c r="BB197" i="2"/>
  <c r="BC197" i="2"/>
  <c r="BD197" i="2"/>
  <c r="BE197" i="2"/>
  <c r="BF197" i="2"/>
  <c r="BB198" i="2"/>
  <c r="BC198" i="2"/>
  <c r="BD198" i="2"/>
  <c r="BE198" i="2"/>
  <c r="BF198" i="2"/>
  <c r="BB199" i="2"/>
  <c r="BC199" i="2"/>
  <c r="BD199" i="2"/>
  <c r="BE199" i="2"/>
  <c r="BF199" i="2"/>
  <c r="BB200" i="2"/>
  <c r="BC200" i="2"/>
  <c r="BD200" i="2"/>
  <c r="BE200" i="2"/>
  <c r="BF200" i="2"/>
  <c r="BB201" i="2"/>
  <c r="BC201" i="2"/>
  <c r="BD201" i="2"/>
  <c r="BE201" i="2"/>
  <c r="BF201" i="2"/>
  <c r="BB202" i="2"/>
  <c r="BC202" i="2"/>
  <c r="BD202" i="2"/>
  <c r="BE202" i="2"/>
  <c r="BF202" i="2"/>
  <c r="BB203" i="2"/>
  <c r="BC203" i="2"/>
  <c r="BD203" i="2"/>
  <c r="BE203" i="2"/>
  <c r="BF203" i="2"/>
  <c r="BB204" i="2"/>
  <c r="BC204" i="2"/>
  <c r="BD204" i="2"/>
  <c r="BE204" i="2"/>
  <c r="BF204" i="2"/>
  <c r="BB205" i="2"/>
  <c r="BC205" i="2"/>
  <c r="BD205" i="2"/>
  <c r="BE205" i="2"/>
  <c r="BF205" i="2"/>
  <c r="BB206" i="2"/>
  <c r="BC206" i="2"/>
  <c r="BD206" i="2"/>
  <c r="BE206" i="2"/>
  <c r="BF206" i="2"/>
  <c r="BB207" i="2"/>
  <c r="BC207" i="2"/>
  <c r="BD207" i="2"/>
  <c r="BE207" i="2"/>
  <c r="BF207" i="2"/>
  <c r="S235" i="13"/>
  <c r="T235" i="13"/>
  <c r="T135" i="16" l="1"/>
  <c r="S135" i="16"/>
  <c r="R135" i="16"/>
  <c r="AA133" i="16"/>
  <c r="AA135" i="16"/>
  <c r="AC135" i="16"/>
  <c r="Z133" i="16"/>
  <c r="V133" i="16"/>
  <c r="B135" i="16"/>
  <c r="V135" i="16"/>
  <c r="X135" i="16"/>
  <c r="X133" i="16"/>
  <c r="Y133" i="16"/>
  <c r="AB133" i="16"/>
  <c r="W135" i="16"/>
  <c r="U133" i="16"/>
  <c r="AC133" i="16"/>
  <c r="AB135" i="16"/>
  <c r="Y135" i="16"/>
  <c r="Z135" i="16"/>
  <c r="W133" i="16"/>
  <c r="U135" i="16"/>
  <c r="C135" i="16" l="1"/>
  <c r="T133" i="16"/>
  <c r="S133" i="16"/>
  <c r="R133" i="16"/>
  <c r="AD135" i="16"/>
  <c r="B133" i="16"/>
  <c r="AD133" i="16"/>
  <c r="C133" i="16" l="1"/>
  <c r="V140" i="16"/>
  <c r="U140" i="16"/>
  <c r="AB140" i="16"/>
  <c r="AA140" i="16"/>
  <c r="Y140" i="16"/>
  <c r="AC140" i="16"/>
  <c r="X140" i="16"/>
  <c r="Z140" i="16"/>
  <c r="W140" i="16"/>
  <c r="T140" i="16" l="1"/>
  <c r="S140" i="16"/>
  <c r="R140" i="16"/>
  <c r="B140" i="16"/>
  <c r="AD140" i="16"/>
  <c r="C140" i="16" l="1"/>
  <c r="AA143" i="16"/>
  <c r="V143" i="16"/>
  <c r="Y143" i="16"/>
  <c r="AB143" i="16"/>
  <c r="X143" i="16"/>
  <c r="U143" i="16"/>
  <c r="W143" i="16"/>
  <c r="AC143" i="16"/>
  <c r="Z143" i="16"/>
  <c r="T143" i="16" l="1"/>
  <c r="S143" i="16"/>
  <c r="R143" i="16"/>
  <c r="AE143" i="16"/>
  <c r="AD143" i="16"/>
  <c r="Y142" i="16"/>
  <c r="Z142" i="16"/>
  <c r="V142" i="16"/>
  <c r="AB142" i="16"/>
  <c r="AC142" i="16"/>
  <c r="B143" i="16"/>
  <c r="U142" i="16"/>
  <c r="X142" i="16"/>
  <c r="AA142" i="16"/>
  <c r="W142" i="16"/>
  <c r="C143" i="16" l="1"/>
  <c r="T142" i="16"/>
  <c r="S142" i="16"/>
  <c r="R142" i="16"/>
  <c r="B142" i="16"/>
  <c r="I143" i="16"/>
  <c r="AD142" i="16"/>
  <c r="C142" i="16" l="1"/>
  <c r="U138" i="16"/>
  <c r="V138" i="16"/>
  <c r="AA138" i="16"/>
  <c r="X138" i="16"/>
  <c r="W138" i="16"/>
  <c r="AC138" i="16"/>
  <c r="AB138" i="16"/>
  <c r="Y138" i="16"/>
  <c r="Z138" i="16"/>
  <c r="T138" i="16" l="1"/>
  <c r="S138" i="16"/>
  <c r="R138" i="16"/>
  <c r="B138" i="16"/>
  <c r="AD138" i="16"/>
  <c r="C138" i="16" l="1"/>
  <c r="AB136" i="16"/>
  <c r="W136" i="16"/>
  <c r="X136" i="16"/>
  <c r="V136" i="16"/>
  <c r="U136" i="16"/>
  <c r="AC136" i="16"/>
  <c r="Y136" i="16"/>
  <c r="Z136" i="16"/>
  <c r="AA136" i="16"/>
  <c r="T136" i="16" l="1"/>
  <c r="S136" i="16"/>
  <c r="R136" i="16"/>
  <c r="B136" i="16"/>
  <c r="AB132" i="16"/>
  <c r="X132" i="16"/>
  <c r="Z132" i="16"/>
  <c r="W132" i="16"/>
  <c r="AA132" i="16"/>
  <c r="Y132" i="16"/>
  <c r="V132" i="16"/>
  <c r="U132" i="16"/>
  <c r="AD136" i="16"/>
  <c r="AC132" i="16"/>
  <c r="C136" i="16" l="1"/>
  <c r="T132" i="16"/>
  <c r="S132" i="16"/>
  <c r="R132" i="16"/>
  <c r="AB131" i="16"/>
  <c r="V131" i="16"/>
  <c r="AA131" i="16"/>
  <c r="Z131" i="16"/>
  <c r="Y131" i="16"/>
  <c r="AC131" i="16"/>
  <c r="B132" i="16"/>
  <c r="X131" i="16"/>
  <c r="U131" i="16"/>
  <c r="W131" i="16"/>
  <c r="AD132" i="16"/>
  <c r="C132" i="16" l="1"/>
  <c r="T131" i="16"/>
  <c r="S131" i="16"/>
  <c r="R131" i="16"/>
  <c r="W130" i="16"/>
  <c r="AE138" i="16"/>
  <c r="AA130" i="16"/>
  <c r="V130" i="16"/>
  <c r="AB130" i="16"/>
  <c r="U130" i="16"/>
  <c r="X130" i="16"/>
  <c r="Z130" i="16"/>
  <c r="AC130" i="16"/>
  <c r="Y130" i="16"/>
  <c r="AD131" i="16"/>
  <c r="B131" i="16"/>
  <c r="C131" i="16" l="1"/>
  <c r="T130" i="16"/>
  <c r="S130" i="16"/>
  <c r="R130" i="16"/>
  <c r="W144" i="16"/>
  <c r="AD130" i="16"/>
  <c r="V144" i="16"/>
  <c r="B130" i="16"/>
  <c r="AC144" i="16"/>
  <c r="AB144" i="16"/>
  <c r="AA144" i="16"/>
  <c r="Z144" i="16"/>
  <c r="X144" i="16"/>
  <c r="U144" i="16"/>
  <c r="I138" i="16"/>
  <c r="Y144" i="16"/>
  <c r="C130" i="16" l="1"/>
  <c r="T144" i="16"/>
  <c r="S144" i="16"/>
  <c r="R144" i="16"/>
  <c r="B144" i="16"/>
  <c r="AA134" i="16"/>
  <c r="W134" i="16"/>
  <c r="Z134" i="16"/>
  <c r="V134" i="16"/>
  <c r="AD144" i="16"/>
  <c r="AB134" i="16"/>
  <c r="X134" i="16"/>
  <c r="AE136" i="16"/>
  <c r="Y134" i="16"/>
  <c r="AC134" i="16"/>
  <c r="U134" i="16"/>
  <c r="C144" i="16" l="1"/>
  <c r="T134" i="16"/>
  <c r="S134" i="16"/>
  <c r="R134" i="16"/>
  <c r="U139" i="16"/>
  <c r="AC139" i="16"/>
  <c r="AB139" i="16"/>
  <c r="Z139" i="16"/>
  <c r="X139" i="16"/>
  <c r="B134" i="16"/>
  <c r="AE135" i="16"/>
  <c r="Y139" i="16"/>
  <c r="I136" i="16"/>
  <c r="AD134" i="16"/>
  <c r="V139" i="16"/>
  <c r="W139" i="16"/>
  <c r="AA139" i="16"/>
  <c r="C134" i="16" l="1"/>
  <c r="T139" i="16"/>
  <c r="S139" i="16"/>
  <c r="R139" i="16"/>
  <c r="B139" i="16"/>
  <c r="AE139" i="16"/>
  <c r="I135" i="16"/>
  <c r="AD139" i="16"/>
  <c r="AE142" i="16"/>
  <c r="C139" i="16" l="1"/>
  <c r="W141" i="16"/>
  <c r="Z141" i="16"/>
  <c r="AA141" i="16"/>
  <c r="I139" i="16"/>
  <c r="I142" i="16"/>
  <c r="U141" i="16"/>
  <c r="AE134" i="16"/>
  <c r="X141" i="16"/>
  <c r="V141" i="16"/>
  <c r="Y141" i="16"/>
  <c r="AC141" i="16"/>
  <c r="AB141" i="16"/>
  <c r="T141" i="16" l="1"/>
  <c r="S141" i="16"/>
  <c r="R141" i="16"/>
  <c r="B141" i="16"/>
  <c r="U137" i="16"/>
  <c r="Y137" i="16"/>
  <c r="AE133" i="16"/>
  <c r="W137" i="16"/>
  <c r="AC137" i="16"/>
  <c r="AD141" i="16"/>
  <c r="AE144" i="16"/>
  <c r="Z137" i="16"/>
  <c r="AA137" i="16"/>
  <c r="AE141" i="16"/>
  <c r="X137" i="16"/>
  <c r="AB137" i="16"/>
  <c r="I134" i="16"/>
  <c r="V137" i="16"/>
  <c r="C141" i="16" l="1"/>
  <c r="T137" i="16"/>
  <c r="S137" i="16"/>
  <c r="R137" i="16"/>
  <c r="AE137" i="16"/>
  <c r="AD137" i="16"/>
  <c r="I144" i="16"/>
  <c r="AE140" i="16"/>
  <c r="I141" i="16"/>
  <c r="B137" i="16"/>
  <c r="I133" i="16"/>
  <c r="C137" i="16" l="1"/>
  <c r="V38" i="16"/>
  <c r="U38" i="16"/>
  <c r="I137" i="16"/>
  <c r="Z38" i="16"/>
  <c r="AB38" i="16"/>
  <c r="W38" i="16"/>
  <c r="X38" i="16"/>
  <c r="AA38" i="16"/>
  <c r="AC38" i="16"/>
  <c r="Y38" i="16"/>
  <c r="I140" i="16"/>
  <c r="T38" i="16" l="1"/>
  <c r="S38" i="16"/>
  <c r="R38" i="16"/>
  <c r="AC37" i="16"/>
  <c r="X37" i="16"/>
  <c r="AE132" i="16"/>
  <c r="H38" i="16"/>
  <c r="AA37" i="16"/>
  <c r="AB37" i="16"/>
  <c r="V37" i="16"/>
  <c r="AD38" i="16"/>
  <c r="Y37" i="16"/>
  <c r="W37" i="16"/>
  <c r="U37" i="16"/>
  <c r="B38" i="16"/>
  <c r="Z37" i="16"/>
  <c r="C38" i="16" l="1"/>
  <c r="T37" i="16"/>
  <c r="S37" i="16"/>
  <c r="R37" i="16"/>
  <c r="AE131" i="16"/>
  <c r="W36" i="16"/>
  <c r="U36" i="16"/>
  <c r="Y36" i="16"/>
  <c r="H37" i="16"/>
  <c r="Z36" i="16"/>
  <c r="AD37" i="16"/>
  <c r="X36" i="16"/>
  <c r="B37" i="16"/>
  <c r="V36" i="16"/>
  <c r="AC36" i="16"/>
  <c r="AA36" i="16"/>
  <c r="I132" i="16"/>
  <c r="AB36" i="16"/>
  <c r="C37" i="16" l="1"/>
  <c r="T36" i="16"/>
  <c r="S36" i="16"/>
  <c r="R36" i="16"/>
  <c r="H36" i="16"/>
  <c r="V35" i="16"/>
  <c r="AA35" i="16"/>
  <c r="X35" i="16"/>
  <c r="Y35" i="16"/>
  <c r="W35" i="16"/>
  <c r="AE130" i="16"/>
  <c r="U35" i="16"/>
  <c r="Z35" i="16"/>
  <c r="AB35" i="16"/>
  <c r="AC35" i="16"/>
  <c r="I131" i="16"/>
  <c r="AD36" i="16"/>
  <c r="B36" i="16"/>
  <c r="C36" i="16" l="1"/>
  <c r="T35" i="16"/>
  <c r="S35" i="16"/>
  <c r="R35" i="16"/>
  <c r="W34" i="16"/>
  <c r="B35" i="16"/>
  <c r="X34" i="16"/>
  <c r="Z34" i="16"/>
  <c r="H35" i="16"/>
  <c r="AC34" i="16"/>
  <c r="AD35" i="16"/>
  <c r="I130" i="16"/>
  <c r="AB34" i="16"/>
  <c r="Y34" i="16"/>
  <c r="AA34" i="16"/>
  <c r="U34" i="16"/>
  <c r="V34" i="16"/>
  <c r="C35" i="16" l="1"/>
  <c r="T34" i="16"/>
  <c r="S34" i="16"/>
  <c r="R34" i="16"/>
  <c r="AD34" i="16"/>
  <c r="B34" i="16"/>
  <c r="H34" i="16"/>
  <c r="C34" i="16" l="1"/>
  <c r="V33" i="16"/>
  <c r="Z33" i="16"/>
  <c r="AA33" i="16"/>
  <c r="U33" i="16"/>
  <c r="Y33" i="16"/>
  <c r="AC33" i="16"/>
  <c r="W33" i="16"/>
  <c r="X33" i="16"/>
  <c r="AB33" i="16"/>
  <c r="T33" i="16" l="1"/>
  <c r="S33" i="16"/>
  <c r="R33" i="16"/>
  <c r="B33" i="16"/>
  <c r="H33" i="16"/>
  <c r="AD33" i="16"/>
  <c r="C33" i="16" l="1"/>
  <c r="U32" i="16"/>
  <c r="W32" i="16"/>
  <c r="Z32" i="16"/>
  <c r="X32" i="16"/>
  <c r="V32" i="16"/>
  <c r="AA32" i="16"/>
  <c r="AC32" i="16"/>
  <c r="Y32" i="16"/>
  <c r="AB32" i="16"/>
  <c r="T32" i="16" l="1"/>
  <c r="S32" i="16"/>
  <c r="R32" i="16"/>
  <c r="V31" i="16"/>
  <c r="U31" i="16"/>
  <c r="X31" i="16"/>
  <c r="AC31" i="16"/>
  <c r="AA31" i="16"/>
  <c r="AB31" i="16"/>
  <c r="Z31" i="16"/>
  <c r="W31" i="16"/>
  <c r="H32" i="16"/>
  <c r="Y31" i="16"/>
  <c r="AD32" i="16"/>
  <c r="B32" i="16"/>
  <c r="C32" i="16" l="1"/>
  <c r="T31" i="16"/>
  <c r="S31" i="16"/>
  <c r="R31" i="16"/>
  <c r="H31" i="16"/>
  <c r="AD31" i="16"/>
  <c r="B31" i="16"/>
  <c r="C31" i="16" l="1"/>
  <c r="Y30" i="16"/>
  <c r="AB30" i="16"/>
  <c r="AA30" i="16"/>
  <c r="U30" i="16"/>
  <c r="AC30" i="16"/>
  <c r="V30" i="16"/>
  <c r="W30" i="16"/>
  <c r="X30" i="16"/>
  <c r="Z30" i="16"/>
  <c r="T30" i="16" l="1"/>
  <c r="S30" i="16"/>
  <c r="R30" i="16"/>
  <c r="AA29" i="16"/>
  <c r="AC29" i="16"/>
  <c r="H30" i="16"/>
  <c r="B30" i="16"/>
  <c r="X29" i="16"/>
  <c r="W29" i="16"/>
  <c r="Z29" i="16"/>
  <c r="AD30" i="16"/>
  <c r="V29" i="16"/>
  <c r="Y29" i="16"/>
  <c r="U29" i="16"/>
  <c r="AB29" i="16"/>
  <c r="C30" i="16" l="1"/>
  <c r="T29" i="16"/>
  <c r="S29" i="16"/>
  <c r="R29" i="16"/>
  <c r="B29" i="16"/>
  <c r="AD29" i="16"/>
  <c r="H29" i="16"/>
  <c r="C29" i="16" l="1"/>
  <c r="W28" i="16"/>
  <c r="Y28" i="16"/>
  <c r="Z28" i="16"/>
  <c r="AB28" i="16"/>
  <c r="U28" i="16"/>
  <c r="X28" i="16"/>
  <c r="AC28" i="16"/>
  <c r="AA28" i="16"/>
  <c r="V28" i="16"/>
  <c r="T28" i="16" l="1"/>
  <c r="S28" i="16"/>
  <c r="R28" i="16"/>
  <c r="AD28" i="16"/>
  <c r="B28" i="16"/>
  <c r="H28" i="16"/>
  <c r="C28" i="16" l="1"/>
  <c r="Y27" i="16"/>
  <c r="W27" i="16"/>
  <c r="AA27" i="16"/>
  <c r="AC27" i="16"/>
  <c r="X27" i="16"/>
  <c r="Z27" i="16"/>
  <c r="AB27" i="16"/>
  <c r="U27" i="16"/>
  <c r="V27" i="16"/>
  <c r="T27" i="16" l="1"/>
  <c r="S27" i="16"/>
  <c r="R27" i="16"/>
  <c r="X26" i="16"/>
  <c r="V26" i="16"/>
  <c r="B27" i="16"/>
  <c r="AA26" i="16"/>
  <c r="U26" i="16"/>
  <c r="Z26" i="16"/>
  <c r="H27" i="16"/>
  <c r="Y26" i="16"/>
  <c r="AB26" i="16"/>
  <c r="W26" i="16"/>
  <c r="AC26" i="16"/>
  <c r="AD27" i="16"/>
  <c r="C27" i="16" l="1"/>
  <c r="T26" i="16"/>
  <c r="S26" i="16"/>
  <c r="R26" i="16"/>
  <c r="B26" i="16"/>
  <c r="AB25" i="16"/>
  <c r="AA25" i="16"/>
  <c r="AD26" i="16"/>
  <c r="AC25" i="16"/>
  <c r="W25" i="16"/>
  <c r="U25" i="16"/>
  <c r="X25" i="16"/>
  <c r="V25" i="16"/>
  <c r="Z25" i="16"/>
  <c r="Y25" i="16"/>
  <c r="H26" i="16"/>
  <c r="C26" i="16" l="1"/>
  <c r="T25" i="16"/>
  <c r="S25" i="16"/>
  <c r="R25" i="16"/>
  <c r="Y24" i="16"/>
  <c r="AA24" i="16"/>
  <c r="Z24" i="16"/>
  <c r="X24" i="16"/>
  <c r="V24" i="16"/>
  <c r="B25" i="16"/>
  <c r="AD25" i="16"/>
  <c r="H25" i="16"/>
  <c r="AB24" i="16"/>
  <c r="AC24" i="16"/>
  <c r="W24" i="16"/>
  <c r="U24" i="16"/>
  <c r="C25" i="16" l="1"/>
  <c r="T24" i="16"/>
  <c r="S24" i="16"/>
  <c r="R24" i="16"/>
  <c r="AB23" i="16"/>
  <c r="AD24" i="16"/>
  <c r="W23" i="16"/>
  <c r="H24" i="16"/>
  <c r="AA23" i="16"/>
  <c r="B24" i="16"/>
  <c r="Z23" i="16"/>
  <c r="U23" i="16"/>
  <c r="Y23" i="16"/>
  <c r="X23" i="16"/>
  <c r="V23" i="16"/>
  <c r="AC23" i="16"/>
  <c r="C24" i="16" l="1"/>
  <c r="T23" i="16"/>
  <c r="S23" i="16"/>
  <c r="R23" i="16"/>
  <c r="U22" i="16"/>
  <c r="W22" i="16"/>
  <c r="H23" i="16"/>
  <c r="AD23" i="16"/>
  <c r="AC22" i="16"/>
  <c r="AA22" i="16"/>
  <c r="Z22" i="16"/>
  <c r="X22" i="16"/>
  <c r="Y22" i="16"/>
  <c r="B23" i="16"/>
  <c r="AB22" i="16"/>
  <c r="V22" i="16"/>
  <c r="C23" i="16" l="1"/>
  <c r="T22" i="16"/>
  <c r="S22" i="16"/>
  <c r="R22" i="16"/>
  <c r="H22" i="16"/>
  <c r="X21" i="16"/>
  <c r="AD22" i="16"/>
  <c r="AA21" i="16"/>
  <c r="AC21" i="16"/>
  <c r="W21" i="16"/>
  <c r="U21" i="16"/>
  <c r="Y21" i="16"/>
  <c r="Z21" i="16"/>
  <c r="B22" i="16"/>
  <c r="V21" i="16"/>
  <c r="AB21" i="16"/>
  <c r="C22" i="16" l="1"/>
  <c r="T21" i="16"/>
  <c r="S21" i="16"/>
  <c r="R21" i="16"/>
  <c r="AD21" i="16"/>
  <c r="B21" i="16"/>
  <c r="H21" i="16"/>
  <c r="C21" i="16" l="1"/>
  <c r="D50" i="10"/>
  <c r="R60" i="16"/>
  <c r="S60" i="16"/>
  <c r="T60" i="16"/>
  <c r="J142" i="16"/>
  <c r="K132" i="16"/>
  <c r="Z60" i="16"/>
  <c r="J135" i="16"/>
  <c r="AA60" i="16"/>
  <c r="J132" i="16"/>
  <c r="J133" i="16"/>
  <c r="K136" i="16"/>
  <c r="J138" i="16"/>
  <c r="U60" i="16"/>
  <c r="K133" i="16"/>
  <c r="K143" i="16"/>
  <c r="J130" i="16"/>
  <c r="X60" i="16"/>
  <c r="J137" i="16"/>
  <c r="AB60" i="16"/>
  <c r="Y60" i="16"/>
  <c r="J134" i="16"/>
  <c r="B60" i="16"/>
  <c r="AC60" i="16"/>
  <c r="H60" i="16"/>
  <c r="W60" i="16"/>
  <c r="B58" i="16"/>
  <c r="J131" i="16"/>
  <c r="J136" i="16"/>
  <c r="K139" i="16"/>
  <c r="J139" i="16"/>
  <c r="K142" i="16"/>
  <c r="K144" i="16"/>
  <c r="K141" i="16"/>
  <c r="K138" i="16"/>
  <c r="K130" i="16"/>
  <c r="V60" i="16"/>
  <c r="J143" i="16"/>
  <c r="K131" i="16"/>
  <c r="K140" i="16"/>
  <c r="J141" i="16"/>
  <c r="J140" i="16"/>
  <c r="K137" i="16"/>
  <c r="K135" i="16"/>
  <c r="J144" i="16"/>
  <c r="K134" i="16"/>
  <c r="I276" i="13"/>
  <c r="I275" i="13"/>
  <c r="I277" i="13"/>
  <c r="I278" i="13"/>
  <c r="I283" i="13"/>
  <c r="I286" i="13"/>
  <c r="I235" i="13"/>
  <c r="I284" i="13"/>
  <c r="I281" i="13"/>
  <c r="I285" i="13"/>
  <c r="I282" i="13"/>
  <c r="I280" i="13"/>
  <c r="I188" i="13"/>
  <c r="I273" i="13"/>
  <c r="I279" i="13"/>
  <c r="I274" i="13"/>
  <c r="I110" i="13"/>
  <c r="K110" i="13"/>
  <c r="J110" i="13"/>
  <c r="R110" i="13" l="1"/>
  <c r="Q135" i="16"/>
  <c r="Q133" i="16"/>
  <c r="Q140" i="16"/>
  <c r="Q143" i="16"/>
  <c r="Q142" i="16"/>
  <c r="Q138" i="16"/>
  <c r="Q136" i="16"/>
  <c r="Q132" i="16"/>
  <c r="Q131" i="16"/>
  <c r="Q130" i="16"/>
  <c r="Q144" i="16"/>
  <c r="Q134" i="16"/>
  <c r="Q139" i="16"/>
  <c r="Q141" i="16"/>
  <c r="Q137" i="16"/>
  <c r="C60" i="16"/>
  <c r="C58" i="16"/>
  <c r="R58" i="16"/>
  <c r="S58" i="16"/>
  <c r="T58" i="16"/>
  <c r="Y58" i="16"/>
  <c r="Z58" i="16"/>
  <c r="AC58" i="16"/>
  <c r="AB58" i="16"/>
  <c r="B63" i="16"/>
  <c r="AD60" i="16"/>
  <c r="X58" i="16"/>
  <c r="AA58" i="16"/>
  <c r="U58" i="16"/>
  <c r="V58" i="16"/>
  <c r="H58" i="16"/>
  <c r="W58" i="16"/>
  <c r="J279" i="13"/>
  <c r="J275" i="13"/>
  <c r="J286" i="13"/>
  <c r="K277" i="13"/>
  <c r="J282" i="13"/>
  <c r="K276" i="13"/>
  <c r="K274" i="13"/>
  <c r="K278" i="13"/>
  <c r="K275" i="13"/>
  <c r="K281" i="13"/>
  <c r="K235" i="13"/>
  <c r="J283" i="13"/>
  <c r="J273" i="13"/>
  <c r="J274" i="13"/>
  <c r="K282" i="13"/>
  <c r="K273" i="13"/>
  <c r="J280" i="13"/>
  <c r="I193" i="13"/>
  <c r="J276" i="13"/>
  <c r="K284" i="13"/>
  <c r="J278" i="13"/>
  <c r="J235" i="13"/>
  <c r="K280" i="13"/>
  <c r="K188" i="13"/>
  <c r="J284" i="13"/>
  <c r="K283" i="13"/>
  <c r="K286" i="13"/>
  <c r="J193" i="13"/>
  <c r="K279" i="13"/>
  <c r="J285" i="13"/>
  <c r="J277" i="13"/>
  <c r="K285" i="13"/>
  <c r="J188" i="13"/>
  <c r="J281" i="13"/>
  <c r="K193" i="13"/>
  <c r="R193" i="13" l="1"/>
  <c r="R282" i="13"/>
  <c r="R280" i="13"/>
  <c r="R278" i="13"/>
  <c r="R188" i="13"/>
  <c r="R235" i="13"/>
  <c r="R283" i="13"/>
  <c r="R281" i="13"/>
  <c r="R285" i="13"/>
  <c r="R284" i="13"/>
  <c r="R286" i="13"/>
  <c r="R277" i="13"/>
  <c r="R274" i="13"/>
  <c r="R276" i="13"/>
  <c r="R273" i="13"/>
  <c r="R275" i="13"/>
  <c r="R279" i="13"/>
  <c r="C63" i="16"/>
  <c r="R63" i="16"/>
  <c r="S63" i="16"/>
  <c r="T63" i="16"/>
  <c r="W63" i="16"/>
  <c r="AA63" i="16"/>
  <c r="AD58" i="16"/>
  <c r="B49" i="16"/>
  <c r="H63" i="16"/>
  <c r="U63" i="16"/>
  <c r="AB63" i="16"/>
  <c r="X63" i="16"/>
  <c r="Y63" i="16"/>
  <c r="AC63" i="16"/>
  <c r="V63" i="16"/>
  <c r="Z63" i="16"/>
  <c r="I53" i="13"/>
  <c r="C49" i="16" l="1"/>
  <c r="R49" i="16"/>
  <c r="S49" i="16"/>
  <c r="T49" i="16"/>
  <c r="AD63" i="16"/>
  <c r="U49" i="16"/>
  <c r="W49" i="16"/>
  <c r="X49" i="16"/>
  <c r="Y49" i="16"/>
  <c r="Z49" i="16"/>
  <c r="B51" i="16"/>
  <c r="V49" i="16"/>
  <c r="AB49" i="16"/>
  <c r="AC49" i="16"/>
  <c r="AA49" i="16"/>
  <c r="H49" i="16"/>
  <c r="C51" i="16" l="1"/>
  <c r="R51" i="16"/>
  <c r="S51" i="16"/>
  <c r="T51" i="16"/>
  <c r="AA51" i="16"/>
  <c r="B73" i="16"/>
  <c r="U51" i="16"/>
  <c r="AC51" i="16"/>
  <c r="V51" i="16"/>
  <c r="AB51" i="16"/>
  <c r="Z51" i="16"/>
  <c r="W51" i="16"/>
  <c r="AD49" i="16"/>
  <c r="Y51" i="16"/>
  <c r="H51" i="16"/>
  <c r="X51" i="16"/>
  <c r="C73" i="16" l="1"/>
  <c r="R73" i="16"/>
  <c r="S73" i="16"/>
  <c r="T73" i="16"/>
  <c r="X73" i="16"/>
  <c r="H73" i="16"/>
  <c r="Z73" i="16"/>
  <c r="U73" i="16"/>
  <c r="AC73" i="16"/>
  <c r="V73" i="16"/>
  <c r="AD51" i="16"/>
  <c r="W73" i="16"/>
  <c r="AA73" i="16"/>
  <c r="AB73" i="16"/>
  <c r="Y73" i="16"/>
  <c r="B66" i="16"/>
  <c r="C66" i="16" l="1"/>
  <c r="R66" i="16"/>
  <c r="S66" i="16"/>
  <c r="T66" i="16"/>
  <c r="AA66" i="16"/>
  <c r="AC66" i="16"/>
  <c r="V66" i="16"/>
  <c r="Z66" i="16"/>
  <c r="AD73" i="16"/>
  <c r="B55" i="16"/>
  <c r="AB66" i="16"/>
  <c r="U66" i="16"/>
  <c r="H66" i="16"/>
  <c r="W66" i="16"/>
  <c r="X66" i="16"/>
  <c r="Y66" i="16"/>
  <c r="C55" i="16" l="1"/>
  <c r="R55" i="16"/>
  <c r="S55" i="16"/>
  <c r="T55" i="16"/>
  <c r="V55" i="16"/>
  <c r="W55" i="16"/>
  <c r="AA55" i="16"/>
  <c r="H55" i="16"/>
  <c r="AB55" i="16"/>
  <c r="AD66" i="16"/>
  <c r="Z55" i="16"/>
  <c r="X55" i="16"/>
  <c r="AC55" i="16"/>
  <c r="Y55" i="16"/>
  <c r="U55" i="16"/>
  <c r="B42" i="16"/>
  <c r="C42" i="16" l="1"/>
  <c r="R42" i="16"/>
  <c r="S42" i="16"/>
  <c r="T42" i="16"/>
  <c r="H42" i="16"/>
  <c r="X42" i="16"/>
  <c r="B65" i="16"/>
  <c r="Y42" i="16"/>
  <c r="AA42" i="16"/>
  <c r="U42" i="16"/>
  <c r="W42" i="16"/>
  <c r="Z42" i="16"/>
  <c r="AD55" i="16"/>
  <c r="AC42" i="16"/>
  <c r="AB42" i="16"/>
  <c r="V42" i="16"/>
  <c r="C65" i="16" l="1"/>
  <c r="R65" i="16"/>
  <c r="S65" i="16"/>
  <c r="T65" i="16"/>
  <c r="Y65" i="16"/>
  <c r="V65" i="16"/>
  <c r="Z65" i="16"/>
  <c r="W65" i="16"/>
  <c r="B79" i="16"/>
  <c r="AB65" i="16"/>
  <c r="AA65" i="16"/>
  <c r="AC65" i="16"/>
  <c r="AD42" i="16"/>
  <c r="U65" i="16"/>
  <c r="H65" i="16"/>
  <c r="X65" i="16"/>
  <c r="C79" i="16" l="1"/>
  <c r="R79" i="16"/>
  <c r="S79" i="16"/>
  <c r="T79" i="16"/>
  <c r="X79" i="16"/>
  <c r="V79" i="16"/>
  <c r="U79" i="16"/>
  <c r="AA79" i="16"/>
  <c r="AD65" i="16"/>
  <c r="AB79" i="16"/>
  <c r="Z79" i="16"/>
  <c r="H79" i="16"/>
  <c r="W79" i="16"/>
  <c r="B39" i="16"/>
  <c r="Y79" i="16"/>
  <c r="AC79" i="16"/>
  <c r="C39" i="16" l="1"/>
  <c r="R39" i="16"/>
  <c r="S39" i="16"/>
  <c r="T39" i="16"/>
  <c r="AB39" i="16"/>
  <c r="W39" i="16"/>
  <c r="X39" i="16"/>
  <c r="AD79" i="16"/>
  <c r="Y39" i="16"/>
  <c r="H39" i="16"/>
  <c r="AC39" i="16"/>
  <c r="V39" i="16"/>
  <c r="B77" i="16"/>
  <c r="U39" i="16"/>
  <c r="Z39" i="16"/>
  <c r="AA39" i="16"/>
  <c r="C77" i="16" l="1"/>
  <c r="R77" i="16"/>
  <c r="S77" i="16"/>
  <c r="T77" i="16"/>
  <c r="V77" i="16"/>
  <c r="W77" i="16"/>
  <c r="H77" i="16"/>
  <c r="Y77" i="16"/>
  <c r="Z77" i="16"/>
  <c r="B47" i="16"/>
  <c r="AC77" i="16"/>
  <c r="AB77" i="16"/>
  <c r="AA77" i="16"/>
  <c r="X77" i="16"/>
  <c r="AD39" i="16"/>
  <c r="U77" i="16"/>
  <c r="C47" i="16" l="1"/>
  <c r="R47" i="16"/>
  <c r="S47" i="16"/>
  <c r="T47" i="16"/>
  <c r="W47" i="16"/>
  <c r="AB47" i="16"/>
  <c r="U47" i="16"/>
  <c r="V47" i="16"/>
  <c r="Y47" i="16"/>
  <c r="AD77" i="16"/>
  <c r="AA47" i="16"/>
  <c r="H47" i="16"/>
  <c r="Z47" i="16"/>
  <c r="X47" i="16"/>
  <c r="AC47" i="16"/>
  <c r="B80" i="16"/>
  <c r="C80" i="16" l="1"/>
  <c r="R80" i="16"/>
  <c r="S80" i="16"/>
  <c r="T80" i="16"/>
  <c r="V80" i="16"/>
  <c r="AD47" i="16"/>
  <c r="H80" i="16"/>
  <c r="AB80" i="16"/>
  <c r="B71" i="16"/>
  <c r="W80" i="16"/>
  <c r="Z80" i="16"/>
  <c r="AC80" i="16"/>
  <c r="AA80" i="16"/>
  <c r="U80" i="16"/>
  <c r="Y80" i="16"/>
  <c r="X80" i="16"/>
  <c r="C71" i="16" l="1"/>
  <c r="R71" i="16"/>
  <c r="S71" i="16"/>
  <c r="T71" i="16"/>
  <c r="X71" i="16"/>
  <c r="U71" i="16"/>
  <c r="AD80" i="16"/>
  <c r="AA71" i="16"/>
  <c r="Y71" i="16"/>
  <c r="V71" i="16"/>
  <c r="AC71" i="16"/>
  <c r="W71" i="16"/>
  <c r="H71" i="16"/>
  <c r="Z71" i="16"/>
  <c r="B81" i="16"/>
  <c r="AB71" i="16"/>
  <c r="C81" i="16" l="1"/>
  <c r="R81" i="16"/>
  <c r="S81" i="16"/>
  <c r="T81" i="16"/>
  <c r="AC81" i="16"/>
  <c r="AD71" i="16"/>
  <c r="U81" i="16"/>
  <c r="W81" i="16"/>
  <c r="AA81" i="16"/>
  <c r="X81" i="16"/>
  <c r="Z81" i="16"/>
  <c r="Y81" i="16"/>
  <c r="H81" i="16"/>
  <c r="V81" i="16"/>
  <c r="B82" i="16"/>
  <c r="AB81" i="16"/>
  <c r="C82" i="16" l="1"/>
  <c r="R82" i="16"/>
  <c r="S82" i="16"/>
  <c r="T82" i="16"/>
  <c r="W82" i="16"/>
  <c r="U82" i="16"/>
  <c r="AC82" i="16"/>
  <c r="AA82" i="16"/>
  <c r="X82" i="16"/>
  <c r="H82" i="16"/>
  <c r="Y82" i="16"/>
  <c r="B83" i="16"/>
  <c r="AB82" i="16"/>
  <c r="AD81" i="16"/>
  <c r="V82" i="16"/>
  <c r="Z82" i="16"/>
  <c r="C83" i="16" l="1"/>
  <c r="R83" i="16"/>
  <c r="S83" i="16"/>
  <c r="T83" i="16"/>
  <c r="W83" i="16"/>
  <c r="Y83" i="16"/>
  <c r="X83" i="16"/>
  <c r="V83" i="16"/>
  <c r="AC83" i="16"/>
  <c r="AD82" i="16"/>
  <c r="B69" i="16"/>
  <c r="Z83" i="16"/>
  <c r="U83" i="16"/>
  <c r="H83" i="16"/>
  <c r="AB83" i="16"/>
  <c r="AA83" i="16"/>
  <c r="C69" i="16" l="1"/>
  <c r="R69" i="16"/>
  <c r="S69" i="16"/>
  <c r="T69" i="16"/>
  <c r="U69" i="16"/>
  <c r="V69" i="16"/>
  <c r="W69" i="16"/>
  <c r="B52" i="16"/>
  <c r="AA69" i="16"/>
  <c r="H69" i="16"/>
  <c r="AC69" i="16"/>
  <c r="AD83" i="16"/>
  <c r="AB69" i="16"/>
  <c r="Z69" i="16"/>
  <c r="X69" i="16"/>
  <c r="AE83" i="16"/>
  <c r="Y69" i="16"/>
  <c r="C52" i="16" l="1"/>
  <c r="R52" i="16"/>
  <c r="S52" i="16"/>
  <c r="T52" i="16"/>
  <c r="H52" i="16"/>
  <c r="AC52" i="16"/>
  <c r="AD69" i="16"/>
  <c r="V52" i="16"/>
  <c r="U52" i="16"/>
  <c r="AB52" i="16"/>
  <c r="X52" i="16"/>
  <c r="B70" i="16"/>
  <c r="AA52" i="16"/>
  <c r="W52" i="16"/>
  <c r="Y52" i="16"/>
  <c r="Z52" i="16"/>
  <c r="C70" i="16" l="1"/>
  <c r="R70" i="16"/>
  <c r="S70" i="16"/>
  <c r="T70" i="16"/>
  <c r="W70" i="16"/>
  <c r="H70" i="16"/>
  <c r="AB70" i="16"/>
  <c r="B62" i="16"/>
  <c r="X70" i="16"/>
  <c r="U70" i="16"/>
  <c r="Y70" i="16"/>
  <c r="Z70" i="16"/>
  <c r="AC70" i="16"/>
  <c r="AA70" i="16"/>
  <c r="AD52" i="16"/>
  <c r="V70" i="16"/>
  <c r="C62" i="16" l="1"/>
  <c r="R62" i="16"/>
  <c r="S62" i="16"/>
  <c r="T62" i="16"/>
  <c r="AB62" i="16"/>
  <c r="X62" i="16"/>
  <c r="B43" i="16"/>
  <c r="H62" i="16"/>
  <c r="AD70" i="16"/>
  <c r="W62" i="16"/>
  <c r="V62" i="16"/>
  <c r="AC62" i="16"/>
  <c r="Z62" i="16"/>
  <c r="Y62" i="16"/>
  <c r="U62" i="16"/>
  <c r="AA62" i="16"/>
  <c r="C43" i="16" l="1"/>
  <c r="R43" i="16"/>
  <c r="S43" i="16"/>
  <c r="T43" i="16"/>
  <c r="U43" i="16"/>
  <c r="AC43" i="16"/>
  <c r="Y43" i="16"/>
  <c r="Z43" i="16"/>
  <c r="AA43" i="16"/>
  <c r="AB43" i="16"/>
  <c r="W43" i="16"/>
  <c r="X43" i="16"/>
  <c r="H43" i="16"/>
  <c r="B61" i="16"/>
  <c r="AD62" i="16"/>
  <c r="V43" i="16"/>
  <c r="C61" i="16" l="1"/>
  <c r="R61" i="16"/>
  <c r="S61" i="16"/>
  <c r="T61" i="16"/>
  <c r="W61" i="16"/>
  <c r="AE79" i="16"/>
  <c r="Z61" i="16"/>
  <c r="B84" i="16"/>
  <c r="V61" i="16"/>
  <c r="H61" i="16"/>
  <c r="AA61" i="16"/>
  <c r="AD43" i="16"/>
  <c r="Y61" i="16"/>
  <c r="AC61" i="16"/>
  <c r="X61" i="16"/>
  <c r="U61" i="16"/>
  <c r="AB61" i="16"/>
  <c r="C84" i="16" l="1"/>
  <c r="R84" i="16"/>
  <c r="S84" i="16"/>
  <c r="T84" i="16"/>
  <c r="B53" i="16"/>
  <c r="AC84" i="16"/>
  <c r="W84" i="16"/>
  <c r="U84" i="16"/>
  <c r="AB84" i="16"/>
  <c r="AA84" i="16"/>
  <c r="H84" i="16"/>
  <c r="X84" i="16"/>
  <c r="Z84" i="16"/>
  <c r="V84" i="16"/>
  <c r="AD61" i="16"/>
  <c r="Y84" i="16"/>
  <c r="C53" i="16" l="1"/>
  <c r="R53" i="16"/>
  <c r="S53" i="16"/>
  <c r="T53" i="16"/>
  <c r="B57" i="16"/>
  <c r="AD84" i="16"/>
  <c r="U53" i="16"/>
  <c r="H53" i="16"/>
  <c r="W53" i="16"/>
  <c r="Y53" i="16"/>
  <c r="V53" i="16"/>
  <c r="AB53" i="16"/>
  <c r="X53" i="16"/>
  <c r="AA53" i="16"/>
  <c r="AC53" i="16"/>
  <c r="Z53" i="16"/>
  <c r="C57" i="16" l="1"/>
  <c r="R57" i="16"/>
  <c r="S57" i="16"/>
  <c r="T57" i="16"/>
  <c r="AD53" i="16"/>
  <c r="H57" i="16"/>
  <c r="AB57" i="16"/>
  <c r="AC57" i="16"/>
  <c r="X57" i="16"/>
  <c r="AA57" i="16"/>
  <c r="Z57" i="16"/>
  <c r="B74" i="16"/>
  <c r="U57" i="16"/>
  <c r="Y57" i="16"/>
  <c r="V57" i="16"/>
  <c r="W57" i="16"/>
  <c r="C74" i="16" l="1"/>
  <c r="R74" i="16"/>
  <c r="S74" i="16"/>
  <c r="T74" i="16"/>
  <c r="AB74" i="16"/>
  <c r="AA74" i="16"/>
  <c r="U74" i="16"/>
  <c r="Y74" i="16"/>
  <c r="AC74" i="16"/>
  <c r="V74" i="16"/>
  <c r="H74" i="16"/>
  <c r="Z74" i="16"/>
  <c r="W74" i="16"/>
  <c r="X74" i="16"/>
  <c r="AD57" i="16"/>
  <c r="B75" i="16"/>
  <c r="C75" i="16" l="1"/>
  <c r="R75" i="16"/>
  <c r="S75" i="16"/>
  <c r="T75" i="16"/>
  <c r="Z75" i="16"/>
  <c r="U75" i="16"/>
  <c r="W75" i="16"/>
  <c r="AB75" i="16"/>
  <c r="B44" i="16"/>
  <c r="AC75" i="16"/>
  <c r="AA75" i="16"/>
  <c r="X75" i="16"/>
  <c r="AD74" i="16"/>
  <c r="V75" i="16"/>
  <c r="H75" i="16"/>
  <c r="Y75" i="16"/>
  <c r="C44" i="16" l="1"/>
  <c r="R44" i="16"/>
  <c r="S44" i="16"/>
  <c r="T44" i="16"/>
  <c r="B46" i="16"/>
  <c r="AC44" i="16"/>
  <c r="H44" i="16"/>
  <c r="Z44" i="16"/>
  <c r="AA44" i="16"/>
  <c r="U44" i="16"/>
  <c r="W44" i="16"/>
  <c r="AE75" i="16"/>
  <c r="AB44" i="16"/>
  <c r="V44" i="16"/>
  <c r="X44" i="16"/>
  <c r="AD75" i="16"/>
  <c r="Y44" i="16"/>
  <c r="C46" i="16" l="1"/>
  <c r="R46" i="16"/>
  <c r="S46" i="16"/>
  <c r="T46" i="16"/>
  <c r="AD44" i="16"/>
  <c r="AB46" i="16"/>
  <c r="V46" i="16"/>
  <c r="U46" i="16"/>
  <c r="X46" i="16"/>
  <c r="AA46" i="16"/>
  <c r="H46" i="16"/>
  <c r="AC46" i="16"/>
  <c r="Y46" i="16"/>
  <c r="W46" i="16"/>
  <c r="B64" i="16"/>
  <c r="AE80" i="16"/>
  <c r="Z46" i="16"/>
  <c r="C64" i="16" l="1"/>
  <c r="R64" i="16"/>
  <c r="S64" i="16"/>
  <c r="T64" i="16"/>
  <c r="V64" i="16"/>
  <c r="AB64" i="16"/>
  <c r="AA64" i="16"/>
  <c r="U64" i="16"/>
  <c r="AD46" i="16"/>
  <c r="AE82" i="16"/>
  <c r="AC64" i="16"/>
  <c r="Z64" i="16"/>
  <c r="B41" i="16"/>
  <c r="X64" i="16"/>
  <c r="W64" i="16"/>
  <c r="H64" i="16"/>
  <c r="Y64" i="16"/>
  <c r="C41" i="16" l="1"/>
  <c r="R41" i="16"/>
  <c r="S41" i="16"/>
  <c r="T41" i="16"/>
  <c r="X41" i="16"/>
  <c r="V41" i="16"/>
  <c r="AA41" i="16"/>
  <c r="AB41" i="16"/>
  <c r="W41" i="16"/>
  <c r="B85" i="16"/>
  <c r="AD64" i="16"/>
  <c r="H41" i="16"/>
  <c r="U41" i="16"/>
  <c r="Z41" i="16"/>
  <c r="AC41" i="16"/>
  <c r="Y41" i="16"/>
  <c r="C85" i="16" l="1"/>
  <c r="R85" i="16"/>
  <c r="S85" i="16"/>
  <c r="T85" i="16"/>
  <c r="AB85" i="16"/>
  <c r="X85" i="16"/>
  <c r="W85" i="16"/>
  <c r="U85" i="16"/>
  <c r="AC85" i="16"/>
  <c r="Y85" i="16"/>
  <c r="AA85" i="16"/>
  <c r="H85" i="16"/>
  <c r="AD41" i="16"/>
  <c r="B40" i="16"/>
  <c r="AE77" i="16"/>
  <c r="Z85" i="16"/>
  <c r="V85" i="16"/>
  <c r="C40" i="16" l="1"/>
  <c r="R40" i="16"/>
  <c r="S40" i="16"/>
  <c r="T40" i="16"/>
  <c r="Z40" i="16"/>
  <c r="H40" i="16"/>
  <c r="X40" i="16"/>
  <c r="W40" i="16"/>
  <c r="AD85" i="16"/>
  <c r="AB40" i="16"/>
  <c r="AC40" i="16"/>
  <c r="AA40" i="16"/>
  <c r="U40" i="16"/>
  <c r="V40" i="16"/>
  <c r="Y40" i="16"/>
  <c r="AE85" i="16"/>
  <c r="B48" i="16"/>
  <c r="C48" i="16" l="1"/>
  <c r="R48" i="16"/>
  <c r="S48" i="16"/>
  <c r="T48" i="16"/>
  <c r="W48" i="16"/>
  <c r="Y48" i="16"/>
  <c r="U48" i="16"/>
  <c r="X48" i="16"/>
  <c r="H48" i="16"/>
  <c r="V48" i="16"/>
  <c r="AC48" i="16"/>
  <c r="Z48" i="16"/>
  <c r="B56" i="16"/>
  <c r="AA48" i="16"/>
  <c r="AD40" i="16"/>
  <c r="AB48" i="16"/>
  <c r="C56" i="16" l="1"/>
  <c r="R56" i="16"/>
  <c r="S56" i="16"/>
  <c r="T56" i="16"/>
  <c r="X56" i="16"/>
  <c r="B67" i="16"/>
  <c r="AB56" i="16"/>
  <c r="V56" i="16"/>
  <c r="AE84" i="16"/>
  <c r="U56" i="16"/>
  <c r="H56" i="16"/>
  <c r="Z56" i="16"/>
  <c r="AD48" i="16"/>
  <c r="AC56" i="16"/>
  <c r="AA56" i="16"/>
  <c r="Y56" i="16"/>
  <c r="W56" i="16"/>
  <c r="C67" i="16" l="1"/>
  <c r="R67" i="16"/>
  <c r="S67" i="16"/>
  <c r="T67" i="16"/>
  <c r="Z67" i="16"/>
  <c r="V67" i="16"/>
  <c r="AB67" i="16"/>
  <c r="W67" i="16"/>
  <c r="Y67" i="16"/>
  <c r="AC67" i="16"/>
  <c r="B59" i="16"/>
  <c r="AA67" i="16"/>
  <c r="I75" i="16"/>
  <c r="X67" i="16"/>
  <c r="U67" i="16"/>
  <c r="AD56" i="16"/>
  <c r="H67" i="16"/>
  <c r="C59" i="16" l="1"/>
  <c r="R59" i="16"/>
  <c r="S59" i="16"/>
  <c r="T59" i="16"/>
  <c r="AD67" i="16"/>
  <c r="W59" i="16"/>
  <c r="Z59" i="16"/>
  <c r="H59" i="16"/>
  <c r="AA59" i="16"/>
  <c r="V59" i="16"/>
  <c r="AB59" i="16"/>
  <c r="B68" i="16"/>
  <c r="U59" i="16"/>
  <c r="Y59" i="16"/>
  <c r="AC59" i="16"/>
  <c r="X59" i="16"/>
  <c r="C68" i="16" l="1"/>
  <c r="R68" i="16"/>
  <c r="S68" i="16"/>
  <c r="T68" i="16"/>
  <c r="Z68" i="16"/>
  <c r="U68" i="16"/>
  <c r="I77" i="16"/>
  <c r="Y68" i="16"/>
  <c r="W68" i="16"/>
  <c r="AD59" i="16"/>
  <c r="AA68" i="16"/>
  <c r="AC68" i="16"/>
  <c r="B76" i="16"/>
  <c r="X68" i="16"/>
  <c r="AB68" i="16"/>
  <c r="H68" i="16"/>
  <c r="V68" i="16"/>
  <c r="C76" i="16" l="1"/>
  <c r="R76" i="16"/>
  <c r="S76" i="16"/>
  <c r="T76" i="16"/>
  <c r="H76" i="16"/>
  <c r="AC76" i="16"/>
  <c r="W76" i="16"/>
  <c r="AA76" i="16"/>
  <c r="U76" i="16"/>
  <c r="Y76" i="16"/>
  <c r="X76" i="16"/>
  <c r="AD68" i="16"/>
  <c r="V76" i="16"/>
  <c r="AB76" i="16"/>
  <c r="Z76" i="16"/>
  <c r="B86" i="16"/>
  <c r="C86" i="16" l="1"/>
  <c r="R86" i="16"/>
  <c r="S86" i="16"/>
  <c r="T86" i="16"/>
  <c r="H86" i="16"/>
  <c r="AE76" i="16"/>
  <c r="I79" i="16"/>
  <c r="Y86" i="16"/>
  <c r="AD76" i="16"/>
  <c r="V86" i="16"/>
  <c r="W86" i="16"/>
  <c r="AA86" i="16"/>
  <c r="X86" i="16"/>
  <c r="U86" i="16"/>
  <c r="B50" i="16"/>
  <c r="AC86" i="16"/>
  <c r="Z86" i="16"/>
  <c r="AB86" i="16"/>
  <c r="C50" i="16" l="1"/>
  <c r="R50" i="16"/>
  <c r="S50" i="16"/>
  <c r="T50" i="16"/>
  <c r="H50" i="16"/>
  <c r="AD86" i="16"/>
  <c r="Z50" i="16"/>
  <c r="B54" i="16"/>
  <c r="I80" i="16"/>
  <c r="Y50" i="16"/>
  <c r="AB50" i="16"/>
  <c r="X50" i="16"/>
  <c r="AC50" i="16"/>
  <c r="U50" i="16"/>
  <c r="W50" i="16"/>
  <c r="AA50" i="16"/>
  <c r="V50" i="16"/>
  <c r="I76" i="16"/>
  <c r="C54" i="16" l="1"/>
  <c r="R54" i="16"/>
  <c r="S54" i="16"/>
  <c r="T54" i="16"/>
  <c r="H54" i="16"/>
  <c r="X54" i="16"/>
  <c r="AC54" i="16"/>
  <c r="AE86" i="16"/>
  <c r="AD50" i="16"/>
  <c r="B72" i="16"/>
  <c r="Z54" i="16"/>
  <c r="U54" i="16"/>
  <c r="W54" i="16"/>
  <c r="AA54" i="16"/>
  <c r="AB54" i="16"/>
  <c r="V54" i="16"/>
  <c r="Y54" i="16"/>
  <c r="C72" i="16" l="1"/>
  <c r="R72" i="16"/>
  <c r="S72" i="16"/>
  <c r="T72" i="16"/>
  <c r="AC72" i="16"/>
  <c r="W72" i="16"/>
  <c r="H72" i="16"/>
  <c r="U72" i="16"/>
  <c r="B78" i="16"/>
  <c r="V72" i="16"/>
  <c r="AB72" i="16"/>
  <c r="I82" i="16"/>
  <c r="AD54" i="16"/>
  <c r="Y72" i="16"/>
  <c r="Z72" i="16"/>
  <c r="AA72" i="16"/>
  <c r="X72" i="16"/>
  <c r="C78" i="16" l="1"/>
  <c r="R78" i="16"/>
  <c r="S78" i="16"/>
  <c r="T78" i="16"/>
  <c r="U78" i="16"/>
  <c r="B45" i="16"/>
  <c r="Z78" i="16"/>
  <c r="H78" i="16"/>
  <c r="AC78" i="16"/>
  <c r="W78" i="16"/>
  <c r="V78" i="16"/>
  <c r="AD72" i="16"/>
  <c r="Y78" i="16"/>
  <c r="I83" i="16"/>
  <c r="X78" i="16"/>
  <c r="AA78" i="16"/>
  <c r="AB78" i="16"/>
  <c r="C45" i="16" l="1"/>
  <c r="R45" i="16"/>
  <c r="S45" i="16"/>
  <c r="T45" i="16"/>
  <c r="AC45" i="16"/>
  <c r="H45" i="16"/>
  <c r="X45" i="16"/>
  <c r="I84" i="16"/>
  <c r="V45" i="16"/>
  <c r="Z45" i="16"/>
  <c r="AD78" i="16"/>
  <c r="Y45" i="16"/>
  <c r="U45" i="16"/>
  <c r="AB45" i="16"/>
  <c r="AE78" i="16"/>
  <c r="AA45" i="16"/>
  <c r="W45" i="16"/>
  <c r="N16" i="19" l="1"/>
  <c r="N2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I54" i="19"/>
  <c r="AC54" i="19"/>
  <c r="AI53" i="19"/>
  <c r="AC53" i="19"/>
  <c r="AI52" i="19"/>
  <c r="AC52" i="19"/>
  <c r="AI51" i="19"/>
  <c r="AC51" i="19"/>
  <c r="AI50" i="19"/>
  <c r="AC50" i="19"/>
  <c r="AI49" i="19"/>
  <c r="AC49" i="19"/>
  <c r="AI48" i="19"/>
  <c r="AC48" i="19"/>
  <c r="AI47" i="19"/>
  <c r="AC47" i="19"/>
  <c r="AI46" i="19"/>
  <c r="AC46" i="19"/>
  <c r="AI45" i="19"/>
  <c r="AC45" i="19"/>
  <c r="AI44" i="19"/>
  <c r="AC44" i="19"/>
  <c r="AI43" i="19"/>
  <c r="AC43" i="19"/>
  <c r="AI42" i="19"/>
  <c r="AC42" i="19"/>
  <c r="AI41" i="19"/>
  <c r="AC41" i="19"/>
  <c r="I40" i="19"/>
  <c r="AI40" i="19"/>
  <c r="AC40" i="19"/>
  <c r="J39" i="19"/>
  <c r="I39" i="19"/>
  <c r="AI39" i="19" l="1"/>
  <c r="AC39" i="19"/>
  <c r="AI38" i="19"/>
  <c r="AC38" i="19"/>
  <c r="Z37" i="19"/>
  <c r="O33" i="19"/>
  <c r="N25" i="19"/>
  <c r="N24" i="19"/>
  <c r="N23" i="19"/>
  <c r="N22" i="19"/>
  <c r="N21" i="19"/>
  <c r="N20" i="19"/>
  <c r="N19" i="19"/>
  <c r="N12" i="19"/>
  <c r="N11" i="19"/>
  <c r="N10" i="19"/>
  <c r="N9" i="19"/>
  <c r="N8" i="19"/>
  <c r="K18" i="19"/>
  <c r="D18" i="19"/>
  <c r="N7" i="19"/>
  <c r="K7" i="19"/>
  <c r="D7" i="19"/>
  <c r="N6" i="19"/>
  <c r="I2" i="19"/>
  <c r="B2" i="19"/>
  <c r="P41" i="19" l="1"/>
  <c r="P38" i="19"/>
  <c r="K9" i="19"/>
  <c r="D9" i="19"/>
  <c r="P40" i="19"/>
  <c r="D16" i="19"/>
  <c r="K16" i="19"/>
  <c r="P43" i="19" l="1"/>
  <c r="P36" i="19"/>
  <c r="P39" i="19"/>
  <c r="K2" i="11" l="1"/>
  <c r="L2" i="11" s="1"/>
  <c r="K3" i="11"/>
  <c r="L3" i="11" s="1"/>
  <c r="K4" i="11"/>
  <c r="L4" i="11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 s="1"/>
  <c r="K11" i="11"/>
  <c r="L11" i="11" s="1"/>
  <c r="K12" i="11"/>
  <c r="L12" i="11" s="1"/>
  <c r="K13" i="11"/>
  <c r="L13" i="11" s="1"/>
  <c r="K14" i="11"/>
  <c r="L14" i="11" s="1"/>
  <c r="K15" i="11"/>
  <c r="L15" i="11" s="1"/>
  <c r="K16" i="11"/>
  <c r="L16" i="11" s="1"/>
  <c r="K17" i="11"/>
  <c r="L17" i="11" s="1"/>
  <c r="K18" i="11"/>
  <c r="L18" i="11" s="1"/>
  <c r="K19" i="11"/>
  <c r="L19" i="11" s="1"/>
  <c r="K20" i="11"/>
  <c r="L20" i="11" s="1"/>
  <c r="K21" i="11"/>
  <c r="L21" i="11" s="1"/>
  <c r="K22" i="11"/>
  <c r="L22" i="11" s="1"/>
  <c r="K23" i="11"/>
  <c r="L23" i="11" s="1"/>
  <c r="K24" i="11"/>
  <c r="L24" i="11" s="1"/>
  <c r="K25" i="11"/>
  <c r="L25" i="11" s="1"/>
  <c r="K26" i="11"/>
  <c r="L26" i="11" s="1"/>
  <c r="K27" i="11"/>
  <c r="L27" i="11" s="1"/>
  <c r="K28" i="11"/>
  <c r="L28" i="11" s="1"/>
  <c r="K29" i="11"/>
  <c r="L29" i="11" s="1"/>
  <c r="K30" i="11"/>
  <c r="L30" i="11" s="1"/>
  <c r="K31" i="11"/>
  <c r="L31" i="11" s="1"/>
  <c r="K32" i="11"/>
  <c r="L32" i="11" s="1"/>
  <c r="K33" i="11"/>
  <c r="L33" i="11" s="1"/>
  <c r="K34" i="11"/>
  <c r="L34" i="11" s="1"/>
  <c r="K35" i="11"/>
  <c r="L35" i="11" s="1"/>
  <c r="K36" i="11"/>
  <c r="L36" i="11" s="1"/>
  <c r="K37" i="11"/>
  <c r="L37" i="11" s="1"/>
  <c r="K38" i="11"/>
  <c r="L38" i="11" s="1"/>
  <c r="K39" i="11"/>
  <c r="L39" i="11" s="1"/>
  <c r="K40" i="11"/>
  <c r="L40" i="11" s="1"/>
  <c r="K41" i="11"/>
  <c r="L41" i="11" s="1"/>
  <c r="K42" i="11"/>
  <c r="L42" i="11" s="1"/>
  <c r="K43" i="11"/>
  <c r="L43" i="11" s="1"/>
  <c r="K44" i="11"/>
  <c r="L44" i="11" s="1"/>
  <c r="K45" i="11"/>
  <c r="L45" i="11" s="1"/>
  <c r="K46" i="11"/>
  <c r="L46" i="11" s="1"/>
  <c r="K47" i="11"/>
  <c r="L47" i="11" s="1"/>
  <c r="K48" i="11"/>
  <c r="L48" i="11" s="1"/>
  <c r="K49" i="11"/>
  <c r="L49" i="11" s="1"/>
  <c r="K50" i="11"/>
  <c r="L50" i="11" s="1"/>
  <c r="K51" i="11"/>
  <c r="L51" i="11" s="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/>
  <c r="K58" i="11"/>
  <c r="L58" i="11" s="1"/>
  <c r="K59" i="11"/>
  <c r="L59" i="11"/>
  <c r="K60" i="11"/>
  <c r="L60" i="11" s="1"/>
  <c r="K61" i="11"/>
  <c r="L61" i="11"/>
  <c r="K62" i="11"/>
  <c r="L62" i="11" s="1"/>
  <c r="K63" i="11"/>
  <c r="L63" i="11"/>
  <c r="K64" i="11"/>
  <c r="L64" i="11" s="1"/>
  <c r="K65" i="11"/>
  <c r="L65" i="11"/>
  <c r="K66" i="11"/>
  <c r="L66" i="11" s="1"/>
  <c r="K67" i="11"/>
  <c r="L67" i="11"/>
  <c r="K68" i="11"/>
  <c r="L68" i="11" s="1"/>
  <c r="K69" i="11"/>
  <c r="L69" i="11"/>
  <c r="K70" i="11"/>
  <c r="L70" i="11" s="1"/>
  <c r="K71" i="11"/>
  <c r="L71" i="11"/>
  <c r="K72" i="11"/>
  <c r="L72" i="11" s="1"/>
  <c r="K73" i="11"/>
  <c r="L73" i="11"/>
  <c r="K74" i="11"/>
  <c r="L74" i="11" s="1"/>
  <c r="K75" i="11"/>
  <c r="L75" i="11"/>
  <c r="K76" i="11"/>
  <c r="L76" i="11" s="1"/>
  <c r="K77" i="11"/>
  <c r="L77" i="11"/>
  <c r="K78" i="11"/>
  <c r="L78" i="11" s="1"/>
  <c r="K79" i="11"/>
  <c r="L79" i="11"/>
  <c r="K80" i="11"/>
  <c r="L80" i="11" s="1"/>
  <c r="K81" i="11"/>
  <c r="L81" i="11" s="1"/>
  <c r="K82" i="11"/>
  <c r="L82" i="11" s="1"/>
  <c r="K83" i="11"/>
  <c r="L83" i="11" s="1"/>
  <c r="K84" i="11"/>
  <c r="L84" i="11" s="1"/>
  <c r="K85" i="11"/>
  <c r="L85" i="11" s="1"/>
  <c r="K86" i="11"/>
  <c r="L86" i="11" s="1"/>
  <c r="K87" i="11"/>
  <c r="L87" i="11"/>
  <c r="K88" i="11"/>
  <c r="L88" i="11" s="1"/>
  <c r="K89" i="11"/>
  <c r="L89" i="11"/>
  <c r="K90" i="11"/>
  <c r="L90" i="11" s="1"/>
  <c r="K91" i="11"/>
  <c r="L91" i="11" s="1"/>
  <c r="K92" i="11"/>
  <c r="L92" i="11" s="1"/>
  <c r="K93" i="11"/>
  <c r="L93" i="11" s="1"/>
  <c r="K94" i="11"/>
  <c r="L94" i="11" s="1"/>
  <c r="K95" i="11"/>
  <c r="L95" i="11" s="1"/>
  <c r="K96" i="11"/>
  <c r="L96" i="11" s="1"/>
  <c r="K97" i="11"/>
  <c r="L97" i="11" s="1"/>
  <c r="K98" i="11"/>
  <c r="L98" i="11" s="1"/>
  <c r="K99" i="11"/>
  <c r="L99" i="11"/>
  <c r="K100" i="11"/>
  <c r="L100" i="11" s="1"/>
  <c r="K101" i="11"/>
  <c r="L101" i="11"/>
  <c r="K102" i="11"/>
  <c r="L102" i="11" s="1"/>
  <c r="K103" i="11"/>
  <c r="L103" i="11"/>
  <c r="K104" i="11"/>
  <c r="L104" i="11" s="1"/>
  <c r="K105" i="11"/>
  <c r="L105" i="11"/>
  <c r="K106" i="11"/>
  <c r="L106" i="11" s="1"/>
  <c r="K107" i="11"/>
  <c r="L107" i="11"/>
  <c r="K108" i="11"/>
  <c r="L108" i="11" s="1"/>
  <c r="K109" i="11"/>
  <c r="L109" i="11"/>
  <c r="K110" i="11"/>
  <c r="L110" i="11" s="1"/>
  <c r="K111" i="11"/>
  <c r="L111" i="11"/>
  <c r="K112" i="11"/>
  <c r="L112" i="11" s="1"/>
  <c r="K113" i="11"/>
  <c r="L113" i="11" s="1"/>
  <c r="K114" i="11"/>
  <c r="L114" i="11" s="1"/>
  <c r="K115" i="11"/>
  <c r="L115" i="11" s="1"/>
  <c r="K116" i="11"/>
  <c r="L116" i="11" s="1"/>
  <c r="K117" i="11"/>
  <c r="L117" i="11" s="1"/>
  <c r="K118" i="11"/>
  <c r="L118" i="11" s="1"/>
  <c r="K119" i="11"/>
  <c r="L119" i="11" s="1"/>
  <c r="K120" i="11"/>
  <c r="L120" i="11" s="1"/>
  <c r="K121" i="11"/>
  <c r="L121" i="11" s="1"/>
  <c r="K122" i="11"/>
  <c r="L122" i="11" s="1"/>
  <c r="K123" i="11"/>
  <c r="L123" i="11" s="1"/>
  <c r="K124" i="11"/>
  <c r="L124" i="11" s="1"/>
  <c r="K125" i="11"/>
  <c r="L125" i="11" s="1"/>
  <c r="K126" i="11"/>
  <c r="L126" i="11" s="1"/>
  <c r="K127" i="11"/>
  <c r="L127" i="11" s="1"/>
  <c r="K128" i="11"/>
  <c r="L128" i="11" s="1"/>
  <c r="K129" i="11"/>
  <c r="L129" i="11" s="1"/>
  <c r="K130" i="11"/>
  <c r="L130" i="11" s="1"/>
  <c r="K131" i="11"/>
  <c r="L131" i="11" s="1"/>
  <c r="K132" i="11"/>
  <c r="L132" i="11" s="1"/>
  <c r="K133" i="11"/>
  <c r="L133" i="11" s="1"/>
  <c r="K134" i="11"/>
  <c r="L134" i="11" s="1"/>
  <c r="K135" i="11"/>
  <c r="L135" i="11" s="1"/>
  <c r="K136" i="11"/>
  <c r="L136" i="11" s="1"/>
  <c r="K137" i="11"/>
  <c r="L137" i="11" s="1"/>
  <c r="K138" i="11"/>
  <c r="L138" i="11" s="1"/>
  <c r="K139" i="11"/>
  <c r="L139" i="11" s="1"/>
  <c r="K140" i="11"/>
  <c r="L140" i="11" s="1"/>
  <c r="K141" i="11"/>
  <c r="L141" i="11" s="1"/>
  <c r="K142" i="11"/>
  <c r="L142" i="11" s="1"/>
  <c r="K143" i="11"/>
  <c r="L143" i="11" s="1"/>
  <c r="K144" i="11"/>
  <c r="L144" i="11" s="1"/>
  <c r="K145" i="11"/>
  <c r="L145" i="11" s="1"/>
  <c r="K146" i="11"/>
  <c r="L146" i="11" s="1"/>
  <c r="K147" i="11"/>
  <c r="L147" i="11" s="1"/>
  <c r="K148" i="11"/>
  <c r="L148" i="11" s="1"/>
  <c r="K149" i="11"/>
  <c r="L149" i="11" s="1"/>
  <c r="K150" i="11"/>
  <c r="L150" i="11" s="1"/>
  <c r="K151" i="11"/>
  <c r="L151" i="11" s="1"/>
  <c r="K152" i="11"/>
  <c r="L152" i="11" s="1"/>
  <c r="K153" i="11"/>
  <c r="L153" i="11" s="1"/>
  <c r="K154" i="11"/>
  <c r="L154" i="11" s="1"/>
  <c r="K155" i="11"/>
  <c r="L155" i="11" s="1"/>
  <c r="K156" i="11"/>
  <c r="L156" i="11" s="1"/>
  <c r="K157" i="11"/>
  <c r="L157" i="11" s="1"/>
  <c r="K158" i="11"/>
  <c r="L158" i="11" s="1"/>
  <c r="K159" i="11"/>
  <c r="L159" i="11" s="1"/>
  <c r="K160" i="11"/>
  <c r="L160" i="11" s="1"/>
  <c r="K161" i="11"/>
  <c r="L161" i="11" s="1"/>
  <c r="K162" i="11"/>
  <c r="L162" i="11" s="1"/>
  <c r="K163" i="11"/>
  <c r="L163" i="11" s="1"/>
  <c r="K164" i="11"/>
  <c r="L164" i="11" s="1"/>
  <c r="K165" i="11"/>
  <c r="L165" i="11" s="1"/>
  <c r="K166" i="11"/>
  <c r="L166" i="11" s="1"/>
  <c r="K167" i="11"/>
  <c r="L167" i="11" s="1"/>
  <c r="K168" i="11"/>
  <c r="L168" i="11" s="1"/>
  <c r="K169" i="11"/>
  <c r="L169" i="11" s="1"/>
  <c r="K170" i="11"/>
  <c r="L170" i="11" s="1"/>
  <c r="K171" i="11"/>
  <c r="L171" i="11" s="1"/>
  <c r="K172" i="11"/>
  <c r="L172" i="11" s="1"/>
  <c r="K173" i="11"/>
  <c r="L173" i="11" s="1"/>
  <c r="K174" i="11"/>
  <c r="L174" i="11" s="1"/>
  <c r="K175" i="11"/>
  <c r="L175" i="11" s="1"/>
  <c r="K176" i="11"/>
  <c r="L176" i="11" s="1"/>
  <c r="K177" i="11"/>
  <c r="L177" i="11" s="1"/>
  <c r="K178" i="11"/>
  <c r="L178" i="11" s="1"/>
  <c r="K179" i="11"/>
  <c r="L179" i="11" s="1"/>
  <c r="K180" i="11"/>
  <c r="L180" i="11" s="1"/>
  <c r="K181" i="11"/>
  <c r="L181" i="11" s="1"/>
  <c r="K182" i="11"/>
  <c r="L182" i="11" s="1"/>
  <c r="K183" i="11"/>
  <c r="L183" i="11" s="1"/>
  <c r="K184" i="11"/>
  <c r="L184" i="11" s="1"/>
  <c r="K185" i="11"/>
  <c r="L185" i="11" s="1"/>
  <c r="K186" i="11"/>
  <c r="L186" i="11" s="1"/>
  <c r="K187" i="11"/>
  <c r="L187" i="11" s="1"/>
  <c r="K188" i="11"/>
  <c r="L188" i="11" s="1"/>
  <c r="K189" i="11"/>
  <c r="L189" i="11" s="1"/>
  <c r="K190" i="11"/>
  <c r="L190" i="11" s="1"/>
  <c r="K191" i="11"/>
  <c r="L191" i="11" s="1"/>
  <c r="K192" i="11"/>
  <c r="L192" i="11" s="1"/>
  <c r="K193" i="11"/>
  <c r="L193" i="11" s="1"/>
  <c r="K194" i="11"/>
  <c r="L194" i="11" s="1"/>
  <c r="K195" i="11"/>
  <c r="L195" i="11" s="1"/>
  <c r="K196" i="11"/>
  <c r="L196" i="11" s="1"/>
  <c r="AK60" i="19"/>
  <c r="AG49" i="19"/>
  <c r="AD130" i="19"/>
  <c r="AD94" i="19"/>
  <c r="AD98" i="19"/>
  <c r="AG100" i="19"/>
  <c r="AK58" i="19"/>
  <c r="AD81" i="19"/>
  <c r="AK40" i="19"/>
  <c r="AK71" i="19"/>
  <c r="AK128" i="19"/>
  <c r="AJ114" i="19"/>
  <c r="AG57" i="19"/>
  <c r="AK126" i="19"/>
  <c r="AH100" i="19"/>
  <c r="AH86" i="19"/>
  <c r="AE89" i="19"/>
  <c r="AJ134" i="19"/>
  <c r="AK80" i="19"/>
  <c r="AH60" i="19"/>
  <c r="AK63" i="19"/>
  <c r="AH101" i="19"/>
  <c r="AE125" i="19"/>
  <c r="AE70" i="19"/>
  <c r="AD100" i="19"/>
  <c r="AD71" i="19"/>
  <c r="AH125" i="19"/>
  <c r="AJ60" i="19"/>
  <c r="AE135" i="19"/>
  <c r="AK47" i="19"/>
  <c r="AD101" i="19"/>
  <c r="AK73" i="19"/>
  <c r="AK104" i="19"/>
  <c r="AE117" i="19"/>
  <c r="AJ94" i="19"/>
  <c r="AD83" i="19"/>
  <c r="AE124" i="19"/>
  <c r="AE114" i="19"/>
  <c r="AD89" i="19"/>
  <c r="AD61" i="19"/>
  <c r="AG63" i="19"/>
  <c r="AD115" i="19"/>
  <c r="AE134" i="19"/>
  <c r="AE95" i="19"/>
  <c r="AH45" i="19"/>
  <c r="AK70" i="19"/>
  <c r="AK131" i="19"/>
  <c r="AJ106" i="19"/>
  <c r="AK38" i="19"/>
  <c r="AH102" i="19"/>
  <c r="AG102" i="19"/>
  <c r="AK85" i="19"/>
  <c r="AK127" i="19"/>
  <c r="AJ81" i="19"/>
  <c r="AD127" i="19"/>
  <c r="AH95" i="19"/>
  <c r="AG106" i="19"/>
  <c r="AH123" i="19"/>
  <c r="AE68" i="19"/>
  <c r="AJ49" i="19"/>
  <c r="AK87" i="19"/>
  <c r="AH76" i="19"/>
  <c r="AH120" i="19"/>
  <c r="AD51" i="19"/>
  <c r="AH84" i="19"/>
  <c r="AD59" i="19"/>
  <c r="AH134" i="19"/>
  <c r="AJ122" i="19"/>
  <c r="AK81" i="19"/>
  <c r="AG109" i="19"/>
  <c r="AG69" i="19"/>
  <c r="AD66" i="19"/>
  <c r="AK115" i="19"/>
  <c r="AD99" i="19"/>
  <c r="AH77" i="19"/>
  <c r="AD135" i="19"/>
  <c r="AJ83" i="19"/>
  <c r="AK75" i="19"/>
  <c r="AJ51" i="19"/>
  <c r="AJ91" i="19"/>
  <c r="AH85" i="19"/>
  <c r="AD93" i="19"/>
  <c r="AG121" i="19"/>
  <c r="AH67" i="19"/>
  <c r="AH41" i="19"/>
  <c r="AE81" i="19"/>
  <c r="AG108" i="19"/>
  <c r="AE101" i="19"/>
  <c r="AD44" i="19"/>
  <c r="AG41" i="19"/>
  <c r="AJ59" i="19"/>
  <c r="AD75" i="19"/>
  <c r="AH94" i="19"/>
  <c r="AJ43" i="19"/>
  <c r="AD86" i="19"/>
  <c r="AH87" i="19"/>
  <c r="AJ117" i="19"/>
  <c r="AJ108" i="19"/>
  <c r="C39" i="19"/>
  <c r="AJ48" i="19"/>
  <c r="AJ93" i="19"/>
  <c r="AH80" i="19"/>
  <c r="AH78" i="19"/>
  <c r="AD54" i="19"/>
  <c r="AK96" i="19"/>
  <c r="AD108" i="19"/>
  <c r="AE55" i="19"/>
  <c r="AH90" i="19"/>
  <c r="AD120" i="19"/>
  <c r="AK48" i="19"/>
  <c r="AK134" i="19"/>
  <c r="AG43" i="19"/>
  <c r="AK133" i="19"/>
  <c r="AK120" i="19"/>
  <c r="AE69" i="19"/>
  <c r="AG62" i="19"/>
  <c r="AG105" i="19"/>
  <c r="AJ52" i="19"/>
  <c r="AD46" i="19"/>
  <c r="AD125" i="19"/>
  <c r="AH72" i="19"/>
  <c r="AJ66" i="19"/>
  <c r="AG110" i="19"/>
  <c r="AJ41" i="19"/>
  <c r="AK50" i="19"/>
  <c r="AE78" i="19"/>
  <c r="AG55" i="19"/>
  <c r="AD121" i="19"/>
  <c r="AJ53" i="19"/>
  <c r="AE111" i="19"/>
  <c r="AH61" i="19"/>
  <c r="AE44" i="19"/>
  <c r="AG47" i="19"/>
  <c r="AG124" i="19"/>
  <c r="AJ130" i="19"/>
  <c r="AJ63" i="19"/>
  <c r="AH82" i="19"/>
  <c r="AK97" i="19"/>
  <c r="AH49" i="19"/>
  <c r="AJ107" i="19"/>
  <c r="AG92" i="19"/>
  <c r="AK67" i="19"/>
  <c r="AH128" i="19"/>
  <c r="AD45" i="19"/>
  <c r="AH79" i="19"/>
  <c r="AH40" i="19"/>
  <c r="AD40" i="19"/>
  <c r="AH69" i="19"/>
  <c r="AK98" i="19"/>
  <c r="AE74" i="19"/>
  <c r="AJ133" i="19"/>
  <c r="AJ42" i="19"/>
  <c r="AG88" i="19"/>
  <c r="AH112" i="19"/>
  <c r="AE97" i="19"/>
  <c r="AD128" i="19"/>
  <c r="AK110" i="19"/>
  <c r="AD57" i="19"/>
  <c r="AK45" i="19"/>
  <c r="AK114" i="19"/>
  <c r="AG86" i="19"/>
  <c r="AG61" i="19"/>
  <c r="AJ97" i="19"/>
  <c r="AD80" i="19"/>
  <c r="AE65" i="19"/>
  <c r="AE63" i="19"/>
  <c r="AH97" i="19"/>
  <c r="AG133" i="19"/>
  <c r="AJ124" i="19"/>
  <c r="AE98" i="19"/>
  <c r="AE104" i="19"/>
  <c r="AK86" i="19"/>
  <c r="AK123" i="19"/>
  <c r="AD47" i="19"/>
  <c r="AD70" i="19"/>
  <c r="AE103" i="19"/>
  <c r="AK54" i="19"/>
  <c r="AK52" i="19"/>
  <c r="AE122" i="19"/>
  <c r="AK113" i="19"/>
  <c r="AH119" i="19"/>
  <c r="AH110" i="19"/>
  <c r="AH81" i="19"/>
  <c r="AG90" i="19"/>
  <c r="AK101" i="19"/>
  <c r="AE129" i="19"/>
  <c r="AH135" i="19"/>
  <c r="AD119" i="19"/>
  <c r="AE118" i="19"/>
  <c r="AH107" i="19"/>
  <c r="AJ115" i="19"/>
  <c r="AE127" i="19"/>
  <c r="AE94" i="19"/>
  <c r="AG107" i="19"/>
  <c r="AJ76" i="19"/>
  <c r="AJ50" i="19"/>
  <c r="AK76" i="19"/>
  <c r="AH116" i="19"/>
  <c r="AE51" i="19"/>
  <c r="AG119" i="19"/>
  <c r="AG77" i="19"/>
  <c r="AD106" i="19"/>
  <c r="AE38" i="19"/>
  <c r="AJ90" i="19"/>
  <c r="AE79" i="19"/>
  <c r="AD48" i="19"/>
  <c r="AK49" i="19"/>
  <c r="AH91" i="19"/>
  <c r="K19" i="19"/>
  <c r="AD132" i="19"/>
  <c r="AD60" i="19"/>
  <c r="AG84" i="19"/>
  <c r="AE62" i="19"/>
  <c r="AD111" i="19"/>
  <c r="AE110" i="19"/>
  <c r="AH68" i="19"/>
  <c r="AG60" i="19"/>
  <c r="AD53" i="19"/>
  <c r="AJ125" i="19"/>
  <c r="AE113" i="19"/>
  <c r="AG93" i="19"/>
  <c r="AG117" i="19"/>
  <c r="AK78" i="19"/>
  <c r="AD55" i="19"/>
  <c r="AK43" i="19"/>
  <c r="AK56" i="19"/>
  <c r="AE88" i="19"/>
  <c r="AE48" i="19"/>
  <c r="AJ128" i="19"/>
  <c r="AD82" i="19"/>
  <c r="AH121" i="19"/>
  <c r="AH52" i="19"/>
  <c r="AG132" i="19"/>
  <c r="AG85" i="19"/>
  <c r="AK106" i="19"/>
  <c r="AK111" i="19"/>
  <c r="AE91" i="19"/>
  <c r="AH129" i="19"/>
  <c r="AJ40" i="19"/>
  <c r="AG71" i="19"/>
  <c r="AE47" i="19"/>
  <c r="AD65" i="19"/>
  <c r="AG135" i="19"/>
  <c r="AG40" i="19"/>
  <c r="AG101" i="19"/>
  <c r="AG111" i="19"/>
  <c r="AJ61" i="19"/>
  <c r="AK117" i="19"/>
  <c r="AK100" i="19"/>
  <c r="AD113" i="19"/>
  <c r="AD124" i="19"/>
  <c r="AE71" i="19"/>
  <c r="AJ89" i="19"/>
  <c r="AK83" i="19"/>
  <c r="AE59" i="19"/>
  <c r="AG115" i="19"/>
  <c r="AK53" i="19"/>
  <c r="AJ88" i="19"/>
  <c r="AG130" i="19"/>
  <c r="AJ57" i="19"/>
  <c r="AH115" i="19"/>
  <c r="AE40" i="19"/>
  <c r="AG114" i="19"/>
  <c r="AH130" i="19"/>
  <c r="AG67" i="19"/>
  <c r="AE82" i="19"/>
  <c r="AE61" i="19"/>
  <c r="AG129" i="19"/>
  <c r="AE107" i="19"/>
  <c r="AH83" i="19"/>
  <c r="AJ121" i="19"/>
  <c r="AE128" i="19"/>
  <c r="AK121" i="19"/>
  <c r="AD79" i="19"/>
  <c r="AE83" i="19"/>
  <c r="AD56" i="19"/>
  <c r="AD69" i="19"/>
  <c r="AG94" i="19"/>
  <c r="AK125" i="19"/>
  <c r="AJ80" i="19"/>
  <c r="AG87" i="19"/>
  <c r="AG42" i="19"/>
  <c r="AD104" i="19"/>
  <c r="AD84" i="19"/>
  <c r="AG73" i="19"/>
  <c r="AK65" i="19"/>
  <c r="AD77" i="19"/>
  <c r="AH118" i="19"/>
  <c r="AK42" i="19"/>
  <c r="AH57" i="19"/>
  <c r="AE42" i="19"/>
  <c r="AK77" i="19"/>
  <c r="AJ44" i="19"/>
  <c r="AE80" i="19"/>
  <c r="AG50" i="19"/>
  <c r="AG98" i="19"/>
  <c r="AH48" i="19"/>
  <c r="AH55" i="19"/>
  <c r="AD52" i="19"/>
  <c r="AJ103" i="19"/>
  <c r="AG134" i="19"/>
  <c r="AE45" i="19"/>
  <c r="AJ105" i="19"/>
  <c r="AG80" i="19"/>
  <c r="AK95" i="19"/>
  <c r="AE41" i="19"/>
  <c r="AE132" i="19"/>
  <c r="AG58" i="19"/>
  <c r="AK44" i="19"/>
  <c r="AE58" i="19"/>
  <c r="AJ118" i="19"/>
  <c r="AJ112" i="19"/>
  <c r="AJ84" i="19"/>
  <c r="AD134" i="19"/>
  <c r="AG72" i="19"/>
  <c r="AH42" i="19"/>
  <c r="AK108" i="19"/>
  <c r="AE56" i="19"/>
  <c r="AH44" i="19"/>
  <c r="AH131" i="19"/>
  <c r="AJ111" i="19"/>
  <c r="AD74" i="19"/>
  <c r="AG89" i="19"/>
  <c r="AH92" i="19"/>
  <c r="AK66" i="19"/>
  <c r="AJ74" i="19"/>
  <c r="AG52" i="19"/>
  <c r="AD131" i="19"/>
  <c r="AG126" i="19"/>
  <c r="AK59" i="19"/>
  <c r="AK88" i="19"/>
  <c r="AH99" i="19"/>
  <c r="AJ109" i="19"/>
  <c r="AJ70" i="19"/>
  <c r="AG64" i="19"/>
  <c r="AJ71" i="19"/>
  <c r="AG53" i="19"/>
  <c r="AH126" i="19"/>
  <c r="AJ86" i="19"/>
  <c r="AG82" i="19"/>
  <c r="AD97" i="19"/>
  <c r="AJ73" i="19"/>
  <c r="AE121" i="19"/>
  <c r="AD63" i="19"/>
  <c r="AH133" i="19"/>
  <c r="AJ100" i="19"/>
  <c r="AK124" i="19"/>
  <c r="AJ104" i="19"/>
  <c r="AK89" i="19"/>
  <c r="AH58" i="19"/>
  <c r="AH65" i="19"/>
  <c r="AJ135" i="19"/>
  <c r="AE60" i="19"/>
  <c r="AH53" i="19"/>
  <c r="AH111" i="19"/>
  <c r="AE126" i="19"/>
  <c r="AH117" i="19"/>
  <c r="AK118" i="19"/>
  <c r="AJ110" i="19"/>
  <c r="AE130" i="19"/>
  <c r="AK82" i="19"/>
  <c r="AD110" i="19"/>
  <c r="AE133" i="19"/>
  <c r="AG79" i="19"/>
  <c r="AD49" i="19"/>
  <c r="AG118" i="19"/>
  <c r="AK130" i="19"/>
  <c r="AG128" i="19"/>
  <c r="AJ58" i="19"/>
  <c r="AH74" i="19"/>
  <c r="AE92" i="19"/>
  <c r="AG66" i="19"/>
  <c r="AJ85" i="19"/>
  <c r="AE66" i="19"/>
  <c r="AJ101" i="19"/>
  <c r="AK72" i="19"/>
  <c r="AH132" i="19"/>
  <c r="AD72" i="19"/>
  <c r="AG120" i="19"/>
  <c r="AH56" i="19"/>
  <c r="AD67" i="19"/>
  <c r="AE67" i="19"/>
  <c r="AK68" i="19"/>
  <c r="AH47" i="19"/>
  <c r="AG45" i="19"/>
  <c r="AE102" i="19"/>
  <c r="AG81" i="19"/>
  <c r="AJ68" i="19"/>
  <c r="AJ69" i="19"/>
  <c r="AJ92" i="19"/>
  <c r="AE52" i="19"/>
  <c r="AJ99" i="19"/>
  <c r="AH59" i="19"/>
  <c r="AG68" i="19"/>
  <c r="AD58" i="19"/>
  <c r="AJ46" i="19"/>
  <c r="AK105" i="19"/>
  <c r="AG131" i="19"/>
  <c r="AH62" i="19"/>
  <c r="AJ132" i="19"/>
  <c r="AG46" i="19"/>
  <c r="AH89" i="19"/>
  <c r="AE54" i="19"/>
  <c r="AJ119" i="19"/>
  <c r="AK46" i="19"/>
  <c r="AE86" i="19"/>
  <c r="AJ126" i="19"/>
  <c r="AE73" i="19"/>
  <c r="AD122" i="19"/>
  <c r="AH70" i="19"/>
  <c r="AD90" i="19"/>
  <c r="AG74" i="19"/>
  <c r="AE72" i="19"/>
  <c r="AD118" i="19"/>
  <c r="AD62" i="19"/>
  <c r="AG127" i="19"/>
  <c r="AE75" i="19"/>
  <c r="AJ123" i="19"/>
  <c r="AG70" i="19"/>
  <c r="AJ116" i="19"/>
  <c r="AD38" i="19"/>
  <c r="AJ87" i="19"/>
  <c r="AK79" i="19"/>
  <c r="AH103" i="19"/>
  <c r="AG83" i="19"/>
  <c r="AH71" i="19"/>
  <c r="AK103" i="19"/>
  <c r="AG122" i="19"/>
  <c r="AH105" i="19"/>
  <c r="AH96" i="19"/>
  <c r="AD87" i="19"/>
  <c r="AK90" i="19"/>
  <c r="AH51" i="19"/>
  <c r="AE84" i="19"/>
  <c r="AK122" i="19"/>
  <c r="AD114" i="19"/>
  <c r="AK41" i="19"/>
  <c r="AK99" i="19"/>
  <c r="AJ95" i="19"/>
  <c r="AH46" i="19"/>
  <c r="AE43" i="19"/>
  <c r="AE105" i="19"/>
  <c r="AH54" i="19"/>
  <c r="AE64" i="19"/>
  <c r="AH88" i="19"/>
  <c r="AD116" i="19"/>
  <c r="AG48" i="19"/>
  <c r="AK129" i="19"/>
  <c r="AE109" i="19"/>
  <c r="AG125" i="19"/>
  <c r="AD109" i="19"/>
  <c r="AE46" i="19"/>
  <c r="AD117" i="19"/>
  <c r="AE123" i="19"/>
  <c r="AH43" i="19"/>
  <c r="AE112" i="19"/>
  <c r="AD95" i="19"/>
  <c r="AD129" i="19"/>
  <c r="AK107" i="19"/>
  <c r="AE108" i="19"/>
  <c r="AE53" i="19"/>
  <c r="AE106" i="19"/>
  <c r="AG96" i="19"/>
  <c r="AK61" i="19"/>
  <c r="Z44" i="19"/>
  <c r="Z63" i="19"/>
  <c r="Z131" i="19"/>
  <c r="Z130" i="19"/>
  <c r="Z133" i="19"/>
  <c r="Z121" i="19"/>
  <c r="Z60" i="19"/>
  <c r="Z99" i="19"/>
  <c r="Z90" i="19"/>
  <c r="Z58" i="19"/>
  <c r="Z69" i="19"/>
  <c r="Z56" i="19"/>
  <c r="Z102" i="19"/>
  <c r="Z100" i="19"/>
  <c r="Z124" i="19"/>
  <c r="Z92" i="19"/>
  <c r="Z134" i="19"/>
  <c r="Z103" i="19"/>
  <c r="Z72" i="19"/>
  <c r="Z65" i="19"/>
  <c r="Z85" i="19"/>
  <c r="Z95" i="19"/>
  <c r="Z78" i="19"/>
  <c r="Z126" i="19"/>
  <c r="Z98" i="19"/>
  <c r="I86" i="16"/>
  <c r="P32" i="19"/>
  <c r="AJ39" i="19"/>
  <c r="AD39" i="19"/>
  <c r="C40" i="19"/>
  <c r="K14" i="19"/>
  <c r="AG103" i="19"/>
  <c r="AG44" i="19"/>
  <c r="AH109" i="19"/>
  <c r="AJ79" i="19"/>
  <c r="AH114" i="19"/>
  <c r="AK51" i="19"/>
  <c r="AJ102" i="19"/>
  <c r="AD91" i="19"/>
  <c r="AJ45" i="19"/>
  <c r="AJ67" i="19"/>
  <c r="AK55" i="19"/>
  <c r="AE85" i="19"/>
  <c r="AE49" i="19"/>
  <c r="AE116" i="19"/>
  <c r="AD103" i="19"/>
  <c r="AD133" i="19"/>
  <c r="AH93" i="19"/>
  <c r="AJ120" i="19"/>
  <c r="AG38" i="19"/>
  <c r="AE131" i="19"/>
  <c r="AD96" i="19"/>
  <c r="AJ75" i="19"/>
  <c r="AJ77" i="19"/>
  <c r="AG65" i="19"/>
  <c r="AK57" i="19"/>
  <c r="AJ96" i="19"/>
  <c r="AJ113" i="19"/>
  <c r="AG76" i="19"/>
  <c r="AH50" i="19"/>
  <c r="AJ47" i="19"/>
  <c r="AJ55" i="19"/>
  <c r="AD76" i="19"/>
  <c r="AE90" i="19"/>
  <c r="AH38" i="19"/>
  <c r="AK119" i="19"/>
  <c r="AD50" i="19"/>
  <c r="AJ56" i="19"/>
  <c r="AD126" i="19"/>
  <c r="AJ62" i="19"/>
  <c r="AD92" i="19"/>
  <c r="AK102" i="19"/>
  <c r="Z67" i="19"/>
  <c r="Z123" i="19"/>
  <c r="Z68" i="19"/>
  <c r="Z127" i="19"/>
  <c r="Z86" i="19"/>
  <c r="Z84" i="19"/>
  <c r="Z40" i="19"/>
  <c r="Z128" i="19"/>
  <c r="Z57" i="19"/>
  <c r="Z117" i="19"/>
  <c r="Z82" i="19"/>
  <c r="Z89" i="19"/>
  <c r="Z122" i="19"/>
  <c r="Z114" i="19"/>
  <c r="Z50" i="19"/>
  <c r="Z51" i="19"/>
  <c r="Z132" i="19"/>
  <c r="Z91" i="19"/>
  <c r="Z49" i="19"/>
  <c r="Z79" i="19"/>
  <c r="Z46" i="19"/>
  <c r="Z109" i="19"/>
  <c r="Z43" i="19"/>
  <c r="Z106" i="19"/>
  <c r="I78" i="16"/>
  <c r="Z38" i="19"/>
  <c r="L18" i="19"/>
  <c r="AA37" i="19"/>
  <c r="AH39" i="19"/>
  <c r="D17" i="19"/>
  <c r="D15" i="19"/>
  <c r="Z42" i="19"/>
  <c r="Z120" i="19"/>
  <c r="Z110" i="19"/>
  <c r="Z119" i="19"/>
  <c r="Z59" i="19"/>
  <c r="Z77" i="19"/>
  <c r="Z125" i="19"/>
  <c r="Z41" i="19"/>
  <c r="Z55" i="19"/>
  <c r="Z105" i="19"/>
  <c r="Z104" i="19"/>
  <c r="Z52" i="19"/>
  <c r="Z54" i="19"/>
  <c r="Z107" i="19"/>
  <c r="Z48" i="19"/>
  <c r="Z39" i="19"/>
  <c r="D31" i="19"/>
  <c r="E18" i="19"/>
  <c r="K15" i="19"/>
  <c r="D20" i="19"/>
  <c r="K11" i="19"/>
  <c r="P33" i="19"/>
  <c r="D11" i="19"/>
  <c r="AG91" i="19"/>
  <c r="AK109" i="19"/>
  <c r="AE96" i="19"/>
  <c r="AD43" i="19"/>
  <c r="AG116" i="19"/>
  <c r="AJ64" i="19"/>
  <c r="AJ129" i="19"/>
  <c r="AE50" i="19"/>
  <c r="AD64" i="19"/>
  <c r="AH106" i="19"/>
  <c r="AE119" i="19"/>
  <c r="AJ131" i="19"/>
  <c r="AD88" i="19"/>
  <c r="AJ98" i="19"/>
  <c r="AE76" i="19"/>
  <c r="AG54" i="19"/>
  <c r="AH73" i="19"/>
  <c r="AD41" i="19"/>
  <c r="AK116" i="19"/>
  <c r="AH122" i="19"/>
  <c r="AG56" i="19"/>
  <c r="AD42" i="19"/>
  <c r="AD102" i="19"/>
  <c r="AK135" i="19"/>
  <c r="AK84" i="19"/>
  <c r="AK62" i="19"/>
  <c r="AD112" i="19"/>
  <c r="AD85" i="19"/>
  <c r="AE99" i="19"/>
  <c r="AD68" i="19"/>
  <c r="AJ72" i="19"/>
  <c r="AG75" i="19"/>
  <c r="AH113" i="19"/>
  <c r="AH127" i="19"/>
  <c r="AE87" i="19"/>
  <c r="AE120" i="19"/>
  <c r="AH104" i="19"/>
  <c r="AD107" i="19"/>
  <c r="AD123" i="19"/>
  <c r="AD78" i="19"/>
  <c r="I85" i="16"/>
  <c r="Z112" i="19"/>
  <c r="Z108" i="19"/>
  <c r="AD45" i="16"/>
  <c r="Z64" i="19"/>
  <c r="Z111" i="19"/>
  <c r="Z45" i="19"/>
  <c r="Z75" i="19"/>
  <c r="Z115" i="19"/>
  <c r="Z96" i="19"/>
  <c r="I81" i="16"/>
  <c r="AK39" i="19"/>
  <c r="AG39" i="19"/>
  <c r="K17" i="19"/>
  <c r="D14" i="19"/>
  <c r="AH66" i="19"/>
  <c r="AK94" i="19"/>
  <c r="D19" i="19"/>
  <c r="AH64" i="19"/>
  <c r="AD73" i="19"/>
  <c r="AG113" i="19"/>
  <c r="AE77" i="19"/>
  <c r="AH124" i="19"/>
  <c r="AK92" i="19"/>
  <c r="AG78" i="19"/>
  <c r="AG59" i="19"/>
  <c r="AH63" i="19"/>
  <c r="AK132" i="19"/>
  <c r="AG97" i="19"/>
  <c r="AG112" i="19"/>
  <c r="AK93" i="19"/>
  <c r="AK112" i="19"/>
  <c r="AG51" i="19"/>
  <c r="AG104" i="19"/>
  <c r="AJ78" i="19"/>
  <c r="AE57" i="19"/>
  <c r="AE100" i="19"/>
  <c r="AK69" i="19"/>
  <c r="AJ38" i="19"/>
  <c r="AE93" i="19"/>
  <c r="AK91" i="19"/>
  <c r="AE115" i="19"/>
  <c r="AG123" i="19"/>
  <c r="AH98" i="19"/>
  <c r="AH108" i="19"/>
  <c r="AJ82" i="19"/>
  <c r="AD105" i="19"/>
  <c r="AJ54" i="19"/>
  <c r="AG99" i="19"/>
  <c r="AG95" i="19"/>
  <c r="AK74" i="19"/>
  <c r="AH75" i="19"/>
  <c r="AK64" i="19"/>
  <c r="AJ127" i="19"/>
  <c r="AJ65" i="19"/>
  <c r="Z81" i="19"/>
  <c r="Z97" i="19"/>
  <c r="Z116" i="19"/>
  <c r="Z129" i="19"/>
  <c r="Z94" i="19"/>
  <c r="Z88" i="19"/>
  <c r="Z93" i="19"/>
  <c r="Z135" i="19"/>
  <c r="Z66" i="19"/>
  <c r="Z62" i="19"/>
  <c r="Z113" i="19"/>
  <c r="Z74" i="19"/>
  <c r="Z101" i="19"/>
  <c r="Z87" i="19"/>
  <c r="Z76" i="19"/>
  <c r="Z53" i="19"/>
  <c r="Z83" i="19"/>
  <c r="Z80" i="19"/>
  <c r="AE81" i="16"/>
  <c r="Z70" i="19"/>
  <c r="Z47" i="19"/>
  <c r="Z71" i="19"/>
  <c r="Z118" i="19"/>
  <c r="Z73" i="19"/>
  <c r="Z61" i="19"/>
  <c r="D30" i="19"/>
  <c r="K20" i="19"/>
  <c r="AE39" i="19"/>
  <c r="K12" i="19"/>
  <c r="D12" i="19"/>
  <c r="K13" i="19"/>
  <c r="D13" i="19"/>
  <c r="C32" i="19" l="1"/>
  <c r="P42" i="19"/>
  <c r="E19" i="19"/>
  <c r="AC37" i="19"/>
  <c r="L19" i="19"/>
  <c r="AF90" i="19"/>
  <c r="AI90" i="19" s="1"/>
  <c r="AF107" i="19"/>
  <c r="AI107" i="19" s="1"/>
  <c r="AF75" i="19"/>
  <c r="AI75" i="19" s="1"/>
  <c r="AF124" i="19"/>
  <c r="AI124" i="19" s="1"/>
  <c r="AF92" i="19"/>
  <c r="AI92" i="19" s="1"/>
  <c r="AF60" i="19"/>
  <c r="AI60" i="19" s="1"/>
  <c r="AF125" i="19"/>
  <c r="AI125" i="19" s="1"/>
  <c r="AF93" i="19"/>
  <c r="AI93" i="19" s="1"/>
  <c r="AF61" i="19"/>
  <c r="AI61" i="19" s="1"/>
  <c r="AF134" i="19"/>
  <c r="AI134" i="19" s="1"/>
  <c r="AF102" i="19"/>
  <c r="AI102" i="19" s="1"/>
  <c r="AF70" i="19"/>
  <c r="AI70" i="19" s="1"/>
  <c r="AF38" i="19"/>
  <c r="AF111" i="19"/>
  <c r="AI111" i="19" s="1"/>
  <c r="AF79" i="19"/>
  <c r="AI79" i="19" s="1"/>
  <c r="AF47" i="19"/>
  <c r="AF104" i="19"/>
  <c r="AI104" i="19" s="1"/>
  <c r="AF56" i="19"/>
  <c r="AI56" i="19" s="1"/>
  <c r="AF120" i="19"/>
  <c r="AI120" i="19" s="1"/>
  <c r="AF114" i="19"/>
  <c r="AI114" i="19" s="1"/>
  <c r="AF129" i="19"/>
  <c r="AI129" i="19" s="1"/>
  <c r="AF97" i="19"/>
  <c r="AI97" i="19" s="1"/>
  <c r="AF65" i="19"/>
  <c r="AI65" i="19" s="1"/>
  <c r="AF122" i="19"/>
  <c r="AI122" i="19" s="1"/>
  <c r="AF66" i="19"/>
  <c r="AI66" i="19" s="1"/>
  <c r="AF131" i="19"/>
  <c r="AI131" i="19" s="1"/>
  <c r="AF99" i="19"/>
  <c r="AI99" i="19" s="1"/>
  <c r="AF67" i="19"/>
  <c r="AI67" i="19" s="1"/>
  <c r="AF116" i="19"/>
  <c r="AI116" i="19" s="1"/>
  <c r="AF84" i="19"/>
  <c r="AI84" i="19" s="1"/>
  <c r="AF52" i="19"/>
  <c r="AF117" i="19"/>
  <c r="AI117" i="19" s="1"/>
  <c r="AF85" i="19"/>
  <c r="AI85" i="19" s="1"/>
  <c r="AF53" i="19"/>
  <c r="AF126" i="19"/>
  <c r="AI126" i="19" s="1"/>
  <c r="AF94" i="19"/>
  <c r="AI94" i="19" s="1"/>
  <c r="AF62" i="19"/>
  <c r="AI62" i="19" s="1"/>
  <c r="AF135" i="19"/>
  <c r="AI135" i="19" s="1"/>
  <c r="AF103" i="19"/>
  <c r="AI103" i="19" s="1"/>
  <c r="AF71" i="19"/>
  <c r="AI71" i="19" s="1"/>
  <c r="AF39" i="19"/>
  <c r="AF88" i="19"/>
  <c r="AI88" i="19" s="1"/>
  <c r="AF40" i="19"/>
  <c r="AF96" i="19"/>
  <c r="AI96" i="19" s="1"/>
  <c r="AF74" i="19"/>
  <c r="AI74" i="19" s="1"/>
  <c r="AF121" i="19"/>
  <c r="AI121" i="19" s="1"/>
  <c r="AF89" i="19"/>
  <c r="AI89" i="19" s="1"/>
  <c r="AF57" i="19"/>
  <c r="AI57" i="19" s="1"/>
  <c r="AF106" i="19"/>
  <c r="AI106" i="19" s="1"/>
  <c r="AF50" i="19"/>
  <c r="AF123" i="19"/>
  <c r="AI123" i="19" s="1"/>
  <c r="AF91" i="19"/>
  <c r="AI91" i="19" s="1"/>
  <c r="AF59" i="19"/>
  <c r="AI59" i="19" s="1"/>
  <c r="AF108" i="19"/>
  <c r="AI108" i="19" s="1"/>
  <c r="AF76" i="19"/>
  <c r="AI76" i="19" s="1"/>
  <c r="AF44" i="19"/>
  <c r="AF109" i="19"/>
  <c r="AI109" i="19" s="1"/>
  <c r="AF77" i="19"/>
  <c r="AI77" i="19" s="1"/>
  <c r="AF118" i="19"/>
  <c r="AI118" i="19" s="1"/>
  <c r="AF86" i="19"/>
  <c r="AI86" i="19" s="1"/>
  <c r="AF54" i="19"/>
  <c r="AF127" i="19"/>
  <c r="AI127" i="19" s="1"/>
  <c r="AF63" i="19"/>
  <c r="AI63" i="19" s="1"/>
  <c r="AF80" i="19"/>
  <c r="AI80" i="19" s="1"/>
  <c r="AF72" i="19"/>
  <c r="AI72" i="19" s="1"/>
  <c r="AF113" i="19"/>
  <c r="AI113" i="19" s="1"/>
  <c r="AF49" i="19"/>
  <c r="AF43" i="19"/>
  <c r="AF115" i="19"/>
  <c r="AI115" i="19" s="1"/>
  <c r="AF132" i="19"/>
  <c r="AI132" i="19" s="1"/>
  <c r="AF68" i="19"/>
  <c r="AI68" i="19" s="1"/>
  <c r="AF101" i="19"/>
  <c r="AI101" i="19" s="1"/>
  <c r="P35" i="19"/>
  <c r="AF110" i="19"/>
  <c r="AI110" i="19" s="1"/>
  <c r="AF46" i="19"/>
  <c r="AF87" i="19"/>
  <c r="AI87" i="19" s="1"/>
  <c r="AF112" i="19"/>
  <c r="AI112" i="19" s="1"/>
  <c r="AF51" i="19"/>
  <c r="AF42" i="19"/>
  <c r="AF73" i="19"/>
  <c r="AI73" i="19" s="1"/>
  <c r="AF82" i="19"/>
  <c r="AI82" i="19" s="1"/>
  <c r="AF45" i="19"/>
  <c r="AF95" i="19"/>
  <c r="AI95" i="19" s="1"/>
  <c r="AF128" i="19"/>
  <c r="AI128" i="19" s="1"/>
  <c r="AF41" i="19"/>
  <c r="AF58" i="19"/>
  <c r="AI58" i="19" s="1"/>
  <c r="AF81" i="19"/>
  <c r="AI81" i="19" s="1"/>
  <c r="AF98" i="19"/>
  <c r="AI98" i="19" s="1"/>
  <c r="AF83" i="19"/>
  <c r="AI83" i="19" s="1"/>
  <c r="AF100" i="19"/>
  <c r="AI100" i="19" s="1"/>
  <c r="AF133" i="19"/>
  <c r="AI133" i="19" s="1"/>
  <c r="AF69" i="19"/>
  <c r="AI69" i="19" s="1"/>
  <c r="AF78" i="19"/>
  <c r="AI78" i="19" s="1"/>
  <c r="AF119" i="19"/>
  <c r="AI119" i="19" s="1"/>
  <c r="AF55" i="19"/>
  <c r="AI55" i="19" s="1"/>
  <c r="AF64" i="19"/>
  <c r="AI64" i="19" s="1"/>
  <c r="AF48" i="19"/>
  <c r="AF105" i="19"/>
  <c r="AI105" i="19" s="1"/>
  <c r="AF130" i="19"/>
  <c r="AI130" i="19" s="1"/>
  <c r="O32" i="19"/>
  <c r="O36" i="19"/>
  <c r="S175" i="13"/>
  <c r="T175" i="13"/>
  <c r="D22" i="19"/>
  <c r="E31" i="19"/>
  <c r="I30" i="19"/>
  <c r="K22" i="19"/>
  <c r="J30" i="19"/>
  <c r="E30" i="19"/>
  <c r="AB37" i="19"/>
  <c r="AF37" i="19" l="1"/>
  <c r="AI37" i="19" s="1"/>
  <c r="E32" i="19"/>
  <c r="J40" i="19"/>
  <c r="K42" i="19" s="1"/>
  <c r="S214" i="13"/>
  <c r="T214" i="13"/>
  <c r="U214" i="13"/>
  <c r="I31" i="19"/>
  <c r="J31" i="19"/>
  <c r="J32" i="19" l="1"/>
  <c r="I32" i="19"/>
  <c r="L49" i="10"/>
  <c r="L48" i="10"/>
  <c r="L47" i="10"/>
  <c r="L46" i="10"/>
  <c r="L45" i="10"/>
  <c r="L43" i="10"/>
  <c r="K42" i="10"/>
  <c r="I175" i="13"/>
  <c r="T106" i="16" l="1"/>
  <c r="T101" i="16"/>
  <c r="T102" i="16"/>
  <c r="T105" i="16"/>
  <c r="T110" i="16"/>
  <c r="T104" i="16"/>
  <c r="T98" i="16"/>
  <c r="T99" i="16"/>
  <c r="T96" i="16"/>
  <c r="T91" i="16"/>
  <c r="T92" i="16"/>
  <c r="T112" i="16"/>
  <c r="T94" i="16"/>
  <c r="T95" i="16"/>
  <c r="T100" i="16"/>
  <c r="T97" i="16"/>
  <c r="T90" i="16"/>
  <c r="T108" i="16"/>
  <c r="T103" i="16"/>
  <c r="T109" i="16"/>
  <c r="T93" i="16"/>
  <c r="T111" i="16"/>
  <c r="T88" i="16"/>
  <c r="T15" i="16"/>
  <c r="T19" i="16"/>
  <c r="T14" i="16"/>
  <c r="T16" i="16"/>
  <c r="T121" i="16"/>
  <c r="T119" i="16"/>
  <c r="T127" i="16"/>
  <c r="T129" i="16"/>
  <c r="T120" i="16"/>
  <c r="T126" i="16"/>
  <c r="T125" i="16"/>
  <c r="T124" i="16"/>
  <c r="T113" i="16"/>
  <c r="T115" i="16"/>
  <c r="T114" i="16"/>
  <c r="T5" i="16"/>
  <c r="T3" i="16"/>
  <c r="T4" i="16"/>
  <c r="T2" i="16"/>
  <c r="T8" i="16"/>
  <c r="T9" i="16"/>
  <c r="T10" i="16"/>
  <c r="T11" i="16"/>
  <c r="T7" i="16"/>
  <c r="K31" i="19"/>
  <c r="K30" i="19"/>
  <c r="J42" i="10"/>
  <c r="O6" i="10"/>
  <c r="O10" i="10"/>
  <c r="O15" i="10"/>
  <c r="O19" i="10"/>
  <c r="O23" i="10"/>
  <c r="O27" i="10"/>
  <c r="O14" i="10"/>
  <c r="O7" i="10"/>
  <c r="O11" i="10"/>
  <c r="O16" i="10"/>
  <c r="O20" i="10"/>
  <c r="O24" i="10"/>
  <c r="O3" i="10"/>
  <c r="O4" i="10"/>
  <c r="O8" i="10"/>
  <c r="O12" i="10"/>
  <c r="O17" i="10"/>
  <c r="O21" i="10"/>
  <c r="O25" i="10"/>
  <c r="O5" i="10"/>
  <c r="O13" i="10"/>
  <c r="O18" i="10"/>
  <c r="O22" i="10"/>
  <c r="O9" i="10"/>
  <c r="O26" i="10"/>
  <c r="I214" i="13"/>
  <c r="K32" i="19" l="1"/>
  <c r="U4" i="13"/>
  <c r="U17" i="13"/>
  <c r="U36" i="13"/>
  <c r="U46" i="13"/>
  <c r="U50" i="13"/>
  <c r="U54" i="13"/>
  <c r="U55" i="13"/>
  <c r="U64" i="13"/>
  <c r="U72" i="13"/>
  <c r="U75" i="13"/>
  <c r="U76" i="13"/>
  <c r="U78" i="13"/>
  <c r="U85" i="13"/>
  <c r="U92" i="13"/>
  <c r="U94" i="13"/>
  <c r="U98" i="13"/>
  <c r="U100" i="13"/>
  <c r="U102" i="13"/>
  <c r="U104" i="13"/>
  <c r="U105" i="13"/>
  <c r="U106" i="13"/>
  <c r="U108" i="13"/>
  <c r="U109" i="13"/>
  <c r="U111" i="13"/>
  <c r="U112" i="13"/>
  <c r="U113" i="13"/>
  <c r="U114" i="13"/>
  <c r="U116" i="13"/>
  <c r="U117" i="13"/>
  <c r="U118" i="13"/>
  <c r="U124" i="13"/>
  <c r="U128" i="13"/>
  <c r="U133" i="13"/>
  <c r="U167" i="13"/>
  <c r="U184" i="13"/>
  <c r="U187" i="13"/>
  <c r="U189" i="13"/>
  <c r="U191" i="13"/>
  <c r="U192" i="13"/>
  <c r="U194" i="13"/>
  <c r="U195" i="13"/>
  <c r="U196" i="13"/>
  <c r="U197" i="13"/>
  <c r="U198" i="13"/>
  <c r="U199" i="13"/>
  <c r="U200" i="13"/>
  <c r="U201" i="13"/>
  <c r="U202" i="13"/>
  <c r="U203" i="13"/>
  <c r="U204" i="13"/>
  <c r="U205" i="13"/>
  <c r="U206" i="13"/>
  <c r="U207" i="13"/>
  <c r="U208" i="13"/>
  <c r="U209" i="13"/>
  <c r="U210" i="13"/>
  <c r="U211" i="13"/>
  <c r="U212" i="13"/>
  <c r="U213" i="13"/>
  <c r="U215" i="13"/>
  <c r="U216" i="13"/>
  <c r="U220" i="13"/>
  <c r="U242" i="13"/>
  <c r="U245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S13" i="16" l="1"/>
  <c r="R13" i="16"/>
  <c r="S7" i="16" l="1"/>
  <c r="R7" i="16"/>
  <c r="S11" i="16" l="1"/>
  <c r="R11" i="16"/>
  <c r="S10" i="16" l="1"/>
  <c r="R10" i="16"/>
  <c r="S9" i="16" l="1"/>
  <c r="R9" i="16"/>
  <c r="S6" i="16" l="1"/>
  <c r="R6" i="16"/>
  <c r="W96" i="16"/>
  <c r="U127" i="16"/>
  <c r="X94" i="16"/>
  <c r="X95" i="16"/>
  <c r="X15" i="16"/>
  <c r="Z128" i="16"/>
  <c r="V104" i="16"/>
  <c r="B7" i="16"/>
  <c r="AA109" i="16"/>
  <c r="AC110" i="16"/>
  <c r="W107" i="16"/>
  <c r="AC11" i="16"/>
  <c r="X120" i="16"/>
  <c r="AC6" i="16"/>
  <c r="V129" i="16"/>
  <c r="V115" i="16"/>
  <c r="AA92" i="16"/>
  <c r="AE47" i="16"/>
  <c r="AB102" i="16"/>
  <c r="H18" i="16"/>
  <c r="X8" i="16"/>
  <c r="Z111" i="16"/>
  <c r="AA93" i="16"/>
  <c r="V13" i="16"/>
  <c r="V100" i="16"/>
  <c r="AA119" i="16"/>
  <c r="W118" i="16"/>
  <c r="AB16" i="16"/>
  <c r="AC90" i="16"/>
  <c r="Y2" i="16"/>
  <c r="Y126" i="16"/>
  <c r="X88" i="16"/>
  <c r="Z88" i="16"/>
  <c r="H5" i="16"/>
  <c r="H19" i="16"/>
  <c r="AB6" i="16"/>
  <c r="V113" i="16"/>
  <c r="AA114" i="16"/>
  <c r="AE41" i="16"/>
  <c r="V105" i="16"/>
  <c r="AA104" i="16"/>
  <c r="W14" i="16"/>
  <c r="AC121" i="16"/>
  <c r="AB99" i="16"/>
  <c r="AB3" i="16"/>
  <c r="AB95" i="16"/>
  <c r="U17" i="16"/>
  <c r="AC8" i="16"/>
  <c r="AE38" i="16"/>
  <c r="V121" i="16"/>
  <c r="AE23" i="16"/>
  <c r="U8" i="16"/>
  <c r="AB5" i="16"/>
  <c r="V126" i="16"/>
  <c r="AB126" i="16"/>
  <c r="U10" i="16"/>
  <c r="AB10" i="16"/>
  <c r="Y95" i="16"/>
  <c r="X11" i="16"/>
  <c r="X128" i="16"/>
  <c r="W17" i="16"/>
  <c r="Y92" i="16"/>
  <c r="V7" i="16"/>
  <c r="AA11" i="16"/>
  <c r="U20" i="16"/>
  <c r="X91" i="16"/>
  <c r="V128" i="16"/>
  <c r="AB100" i="16"/>
  <c r="V10" i="16"/>
  <c r="AB145" i="16"/>
  <c r="AA117" i="16"/>
  <c r="U88" i="16"/>
  <c r="AE64" i="16"/>
  <c r="X111" i="16"/>
  <c r="AE37" i="16"/>
  <c r="AB110" i="16"/>
  <c r="AE27" i="16"/>
  <c r="AE62" i="16"/>
  <c r="U118" i="16"/>
  <c r="Y107" i="16"/>
  <c r="AA8" i="16"/>
  <c r="U12" i="16"/>
  <c r="X110" i="16"/>
  <c r="H3" i="16"/>
  <c r="AB96" i="16"/>
  <c r="X93" i="16"/>
  <c r="U120" i="16"/>
  <c r="Z9" i="16"/>
  <c r="AA17" i="16"/>
  <c r="AA110" i="16"/>
  <c r="X107" i="16"/>
  <c r="U7" i="16"/>
  <c r="Y120" i="16"/>
  <c r="X10" i="16"/>
  <c r="Z110" i="16"/>
  <c r="U125" i="16"/>
  <c r="AE24" i="16"/>
  <c r="AE51" i="16"/>
  <c r="W125" i="16"/>
  <c r="AA113" i="16"/>
  <c r="U91" i="16"/>
  <c r="AB8" i="16"/>
  <c r="U146" i="16"/>
  <c r="V19" i="16"/>
  <c r="W8" i="16"/>
  <c r="AB124" i="16"/>
  <c r="H7" i="16"/>
  <c r="AB113" i="16"/>
  <c r="Y103" i="16"/>
  <c r="X99" i="16"/>
  <c r="V87" i="16"/>
  <c r="Z11" i="16"/>
  <c r="AB125" i="16"/>
  <c r="W2" i="16"/>
  <c r="AA88" i="16"/>
  <c r="W4" i="16"/>
  <c r="AA12" i="16"/>
  <c r="V114" i="16"/>
  <c r="AE26" i="16"/>
  <c r="AA90" i="16"/>
  <c r="W126" i="16"/>
  <c r="W19" i="16"/>
  <c r="AB98" i="16"/>
  <c r="Z117" i="16"/>
  <c r="V146" i="16"/>
  <c r="Y117" i="16"/>
  <c r="Z121" i="16"/>
  <c r="H14" i="16"/>
  <c r="X6" i="16"/>
  <c r="AA128" i="16"/>
  <c r="AA10" i="16"/>
  <c r="AE56" i="16"/>
  <c r="V15" i="16"/>
  <c r="AB92" i="16"/>
  <c r="AC7" i="16"/>
  <c r="AE40" i="16"/>
  <c r="Z146" i="16"/>
  <c r="Z2" i="16"/>
  <c r="AA111" i="16"/>
  <c r="Z91" i="16"/>
  <c r="Y112" i="16"/>
  <c r="U104" i="16"/>
  <c r="AB94" i="16"/>
  <c r="AB9" i="16"/>
  <c r="H8" i="16"/>
  <c r="AE44" i="16"/>
  <c r="AB120" i="16"/>
  <c r="AB114" i="16"/>
  <c r="Z102" i="16"/>
  <c r="W16" i="16"/>
  <c r="AC94" i="16"/>
  <c r="AA4" i="16"/>
  <c r="AA96" i="16"/>
  <c r="Z7" i="16"/>
  <c r="AC112" i="16"/>
  <c r="AE53" i="16"/>
  <c r="W145" i="16"/>
  <c r="V6" i="16"/>
  <c r="U119" i="16"/>
  <c r="V99" i="16"/>
  <c r="V107" i="16"/>
  <c r="V2" i="16"/>
  <c r="AC124" i="16"/>
  <c r="Z126" i="16"/>
  <c r="Z13" i="16"/>
  <c r="AC109" i="16"/>
  <c r="U98" i="16"/>
  <c r="Y7" i="16"/>
  <c r="Z18" i="16"/>
  <c r="AA89" i="16"/>
  <c r="W115" i="16"/>
  <c r="Y113" i="16"/>
  <c r="Y15" i="16"/>
  <c r="AB123" i="16"/>
  <c r="AC98" i="16"/>
  <c r="AE33" i="16"/>
  <c r="Y8" i="16"/>
  <c r="AC111" i="16"/>
  <c r="X101" i="16"/>
  <c r="V90" i="16"/>
  <c r="W18" i="16"/>
  <c r="AB106" i="16"/>
  <c r="Y99" i="16"/>
  <c r="U129" i="16"/>
  <c r="U11" i="16"/>
  <c r="X14" i="16"/>
  <c r="AA19" i="16"/>
  <c r="V88" i="16"/>
  <c r="AC18" i="16"/>
  <c r="W10" i="16"/>
  <c r="Z4" i="16"/>
  <c r="X5" i="16"/>
  <c r="AC93" i="16"/>
  <c r="Z119" i="16"/>
  <c r="AE72" i="16"/>
  <c r="Z20" i="16"/>
  <c r="V89" i="16"/>
  <c r="V5" i="16"/>
  <c r="AA99" i="16"/>
  <c r="U6" i="16"/>
  <c r="AC4" i="16"/>
  <c r="AC17" i="16"/>
  <c r="Z100" i="16"/>
  <c r="X98" i="16"/>
  <c r="Y108" i="16"/>
  <c r="Z124" i="16"/>
  <c r="AC19" i="16"/>
  <c r="Y109" i="16"/>
  <c r="AC119" i="16"/>
  <c r="AA118" i="16"/>
  <c r="AB88" i="16"/>
  <c r="AC125" i="16"/>
  <c r="AA125" i="16"/>
  <c r="AB90" i="16"/>
  <c r="Z101" i="16"/>
  <c r="Y20" i="16"/>
  <c r="X109" i="16"/>
  <c r="W108" i="16"/>
  <c r="Y146" i="16"/>
  <c r="AE36" i="16"/>
  <c r="AE22" i="16"/>
  <c r="H88" i="16"/>
  <c r="X112" i="16"/>
  <c r="AB116" i="16"/>
  <c r="AA20" i="16"/>
  <c r="AB87" i="16"/>
  <c r="U117" i="16"/>
  <c r="H2" i="16"/>
  <c r="V97" i="16"/>
  <c r="AC20" i="16"/>
  <c r="U107" i="16"/>
  <c r="V16" i="16"/>
  <c r="Z122" i="16"/>
  <c r="W92" i="16"/>
  <c r="V20" i="16"/>
  <c r="W120" i="16"/>
  <c r="U122" i="16"/>
  <c r="AA116" i="16"/>
  <c r="Z127" i="16"/>
  <c r="Z108" i="16"/>
  <c r="AC5" i="16"/>
  <c r="B13" i="16"/>
  <c r="Y6" i="16"/>
  <c r="W121" i="16"/>
  <c r="V124" i="16"/>
  <c r="W98" i="16"/>
  <c r="W111" i="16"/>
  <c r="V93" i="16"/>
  <c r="AE39" i="16"/>
  <c r="W116" i="16"/>
  <c r="V110" i="16"/>
  <c r="V119" i="16"/>
  <c r="AE42" i="16"/>
  <c r="AC12" i="16"/>
  <c r="Y123" i="16"/>
  <c r="V98" i="16"/>
  <c r="AB93" i="16"/>
  <c r="Y11" i="16"/>
  <c r="V17" i="16"/>
  <c r="AE50" i="16"/>
  <c r="Y89" i="16"/>
  <c r="Y100" i="16"/>
  <c r="W122" i="16"/>
  <c r="Y87" i="16"/>
  <c r="Z14" i="16"/>
  <c r="AC101" i="16"/>
  <c r="AB89" i="16"/>
  <c r="AC2" i="16"/>
  <c r="V9" i="16"/>
  <c r="Z120" i="16"/>
  <c r="U112" i="16"/>
  <c r="AB7" i="16"/>
  <c r="X103" i="16"/>
  <c r="Z10" i="16"/>
  <c r="AE25" i="16"/>
  <c r="Z90" i="16"/>
  <c r="AE35" i="16"/>
  <c r="AB17" i="16"/>
  <c r="X20" i="16"/>
  <c r="U19" i="16"/>
  <c r="AB119" i="16"/>
  <c r="H6" i="16"/>
  <c r="X4" i="16"/>
  <c r="AE31" i="16"/>
  <c r="AA129" i="16"/>
  <c r="AE68" i="16"/>
  <c r="U16" i="16"/>
  <c r="W100" i="16"/>
  <c r="Y9" i="16"/>
  <c r="AA121" i="16"/>
  <c r="U89" i="16"/>
  <c r="AB107" i="16"/>
  <c r="AE67" i="16"/>
  <c r="Y90" i="16"/>
  <c r="U90" i="16"/>
  <c r="X114" i="16"/>
  <c r="X116" i="16"/>
  <c r="W87" i="16"/>
  <c r="W128" i="16"/>
  <c r="Z125" i="16"/>
  <c r="U113" i="16"/>
  <c r="V103" i="16"/>
  <c r="AA98" i="16"/>
  <c r="B11" i="16"/>
  <c r="U9" i="16"/>
  <c r="AA97" i="16"/>
  <c r="AB112" i="16"/>
  <c r="W94" i="16"/>
  <c r="X9" i="16"/>
  <c r="Y91" i="16"/>
  <c r="AE70" i="16"/>
  <c r="U3" i="16"/>
  <c r="X119" i="16"/>
  <c r="AC145" i="16"/>
  <c r="AB104" i="16"/>
  <c r="Z89" i="16"/>
  <c r="AE58" i="16"/>
  <c r="Y12" i="16"/>
  <c r="AA15" i="16"/>
  <c r="AA145" i="16"/>
  <c r="AB103" i="16"/>
  <c r="Z17" i="16"/>
  <c r="AA3" i="16"/>
  <c r="X18" i="16"/>
  <c r="U100" i="16"/>
  <c r="V117" i="16"/>
  <c r="X102" i="16"/>
  <c r="W20" i="16"/>
  <c r="U92" i="16"/>
  <c r="AB118" i="16"/>
  <c r="AB97" i="16"/>
  <c r="AB18" i="16"/>
  <c r="AC146" i="16"/>
  <c r="Z123" i="16"/>
  <c r="AC105" i="16"/>
  <c r="H10" i="16"/>
  <c r="X118" i="16"/>
  <c r="X96" i="16"/>
  <c r="V127" i="16"/>
  <c r="AA122" i="16"/>
  <c r="X146" i="16"/>
  <c r="AA106" i="16"/>
  <c r="AE21" i="16"/>
  <c r="Y98" i="16"/>
  <c r="X92" i="16"/>
  <c r="AB108" i="16"/>
  <c r="W9" i="16"/>
  <c r="Y13" i="16"/>
  <c r="Y129" i="16"/>
  <c r="AC91" i="16"/>
  <c r="W112" i="16"/>
  <c r="Z5" i="16"/>
  <c r="W109" i="16"/>
  <c r="Y118" i="16"/>
  <c r="AB121" i="16"/>
  <c r="V101" i="16"/>
  <c r="Z104" i="16"/>
  <c r="U101" i="16"/>
  <c r="Y121" i="16"/>
  <c r="W129" i="16"/>
  <c r="W99" i="16"/>
  <c r="Z112" i="16"/>
  <c r="U109" i="16"/>
  <c r="V91" i="16"/>
  <c r="AA146" i="16"/>
  <c r="U116" i="16"/>
  <c r="W15" i="16"/>
  <c r="W146" i="16"/>
  <c r="AA2" i="16"/>
  <c r="Z105" i="16"/>
  <c r="V92" i="16"/>
  <c r="AE32" i="16"/>
  <c r="W93" i="16"/>
  <c r="AC122" i="16"/>
  <c r="AA9" i="16"/>
  <c r="V116" i="16"/>
  <c r="V120" i="16"/>
  <c r="X13" i="16"/>
  <c r="U97" i="16"/>
  <c r="W13" i="16"/>
  <c r="U14" i="16"/>
  <c r="AA100" i="16"/>
  <c r="U13" i="16"/>
  <c r="Y105" i="16"/>
  <c r="X17" i="16"/>
  <c r="W12" i="16"/>
  <c r="AB105" i="16"/>
  <c r="Y125" i="16"/>
  <c r="Y5" i="16"/>
  <c r="V102" i="16"/>
  <c r="AA105" i="16"/>
  <c r="AE52" i="16"/>
  <c r="U111" i="16"/>
  <c r="U128" i="16"/>
  <c r="AB111" i="16"/>
  <c r="U4" i="16"/>
  <c r="AB2" i="16"/>
  <c r="V96" i="16"/>
  <c r="Z19" i="16"/>
  <c r="Y128" i="16"/>
  <c r="W3" i="16"/>
  <c r="U145" i="16"/>
  <c r="Z6" i="16"/>
  <c r="V8" i="16"/>
  <c r="AC120" i="16"/>
  <c r="Z87" i="16"/>
  <c r="Y4" i="16"/>
  <c r="AE45" i="16"/>
  <c r="U126" i="16"/>
  <c r="Z93" i="16"/>
  <c r="Z109" i="16"/>
  <c r="V3" i="16"/>
  <c r="AC13" i="16"/>
  <c r="Y145" i="16"/>
  <c r="AE74" i="16"/>
  <c r="Y110" i="16"/>
  <c r="AA120" i="16"/>
  <c r="X2" i="16"/>
  <c r="Z95" i="16"/>
  <c r="W11" i="16"/>
  <c r="Y116" i="16"/>
  <c r="AA112" i="16"/>
  <c r="U103" i="16"/>
  <c r="W5" i="16"/>
  <c r="Z16" i="16"/>
  <c r="AC113" i="16"/>
  <c r="AA102" i="16"/>
  <c r="V145" i="16"/>
  <c r="AC10" i="16"/>
  <c r="X104" i="16"/>
  <c r="AA6" i="16"/>
  <c r="Y88" i="16"/>
  <c r="U5" i="16"/>
  <c r="X16" i="16"/>
  <c r="I63" i="16"/>
  <c r="I35" i="16"/>
  <c r="I40" i="16"/>
  <c r="I62" i="16"/>
  <c r="I50" i="16"/>
  <c r="I61" i="16"/>
  <c r="I53" i="16"/>
  <c r="J26" i="16"/>
  <c r="I54" i="16"/>
  <c r="I25" i="16"/>
  <c r="I30" i="16"/>
  <c r="I68" i="16"/>
  <c r="K28" i="16"/>
  <c r="I49" i="16"/>
  <c r="I42" i="16"/>
  <c r="I22" i="16"/>
  <c r="K23" i="16"/>
  <c r="J37" i="16"/>
  <c r="K34" i="16"/>
  <c r="J32" i="16"/>
  <c r="J30" i="16"/>
  <c r="K29" i="16"/>
  <c r="J21" i="16"/>
  <c r="J25" i="16"/>
  <c r="W123" i="16"/>
  <c r="AB115" i="16"/>
  <c r="Z8" i="16"/>
  <c r="AC89" i="16"/>
  <c r="V11" i="16"/>
  <c r="Z3" i="16"/>
  <c r="AA13" i="16"/>
  <c r="AC96" i="16"/>
  <c r="H16" i="16"/>
  <c r="AC108" i="16"/>
  <c r="Y17" i="16"/>
  <c r="AA14" i="16"/>
  <c r="I29" i="16"/>
  <c r="I32" i="16"/>
  <c r="I66" i="16"/>
  <c r="I65" i="16"/>
  <c r="X19" i="16"/>
  <c r="AA107" i="16"/>
  <c r="AC117" i="16"/>
  <c r="Y10" i="16"/>
  <c r="AE55" i="16"/>
  <c r="Y18" i="16"/>
  <c r="Y3" i="16"/>
  <c r="W88" i="16"/>
  <c r="AB20" i="16"/>
  <c r="W102" i="16"/>
  <c r="AA115" i="16"/>
  <c r="W119" i="16"/>
  <c r="AC3" i="16"/>
  <c r="Z116" i="16"/>
  <c r="Y19" i="16"/>
  <c r="X3" i="16"/>
  <c r="W97" i="16"/>
  <c r="H11" i="16"/>
  <c r="X145" i="16"/>
  <c r="Y122" i="16"/>
  <c r="Z96" i="16"/>
  <c r="AE65" i="16"/>
  <c r="AC15" i="16"/>
  <c r="AE61" i="16"/>
  <c r="AC128" i="16"/>
  <c r="Z103" i="16"/>
  <c r="H87" i="16"/>
  <c r="V14" i="16"/>
  <c r="Z113" i="16"/>
  <c r="X12" i="16"/>
  <c r="W95" i="16"/>
  <c r="AA5" i="16"/>
  <c r="AA16" i="16"/>
  <c r="AC114" i="16"/>
  <c r="AE48" i="16"/>
  <c r="AA101" i="16"/>
  <c r="AC126" i="16"/>
  <c r="Y124" i="16"/>
  <c r="Z15" i="16"/>
  <c r="W117" i="16"/>
  <c r="X117" i="16"/>
  <c r="AE66" i="16"/>
  <c r="AB11" i="16"/>
  <c r="AE69" i="16"/>
  <c r="AC87" i="16"/>
  <c r="W105" i="16"/>
  <c r="V125" i="16"/>
  <c r="U95" i="16"/>
  <c r="H13" i="16"/>
  <c r="AB129" i="16"/>
  <c r="AB91" i="16"/>
  <c r="H15" i="16"/>
  <c r="W6" i="16"/>
  <c r="Y114" i="16"/>
  <c r="X100" i="16"/>
  <c r="V4" i="16"/>
  <c r="AE57" i="16"/>
  <c r="X105" i="16"/>
  <c r="X121" i="16"/>
  <c r="AA126" i="16"/>
  <c r="AA94" i="16"/>
  <c r="Y127" i="16"/>
  <c r="AC14" i="16"/>
  <c r="Z115" i="16"/>
  <c r="Z145" i="16"/>
  <c r="Y104" i="16"/>
  <c r="AC100" i="16"/>
  <c r="Y93" i="16"/>
  <c r="X108" i="16"/>
  <c r="AC102" i="16"/>
  <c r="Y102" i="16"/>
  <c r="Y115" i="16"/>
  <c r="I51" i="16"/>
  <c r="I28" i="16"/>
  <c r="I55" i="16"/>
  <c r="I33" i="16"/>
  <c r="I27" i="16"/>
  <c r="I57" i="16"/>
  <c r="I70" i="16"/>
  <c r="I47" i="16"/>
  <c r="I46" i="16"/>
  <c r="I59" i="16"/>
  <c r="I74" i="16"/>
  <c r="J28" i="16"/>
  <c r="I69" i="16"/>
  <c r="K30" i="16"/>
  <c r="I58" i="16"/>
  <c r="J22" i="16"/>
  <c r="K26" i="16"/>
  <c r="J31" i="16"/>
  <c r="B9" i="16"/>
  <c r="K36" i="16"/>
  <c r="K38" i="16"/>
  <c r="K33" i="16"/>
  <c r="J34" i="16"/>
  <c r="X89" i="16"/>
  <c r="AC16" i="16"/>
  <c r="AA108" i="16"/>
  <c r="U87" i="16"/>
  <c r="AA124" i="16"/>
  <c r="AE60" i="16"/>
  <c r="X124" i="16"/>
  <c r="U110" i="16"/>
  <c r="AB146" i="16"/>
  <c r="X122" i="16"/>
  <c r="AC92" i="16"/>
  <c r="Y101" i="16"/>
  <c r="U115" i="16"/>
  <c r="AB127" i="16"/>
  <c r="AE28" i="16"/>
  <c r="U105" i="16"/>
  <c r="AB4" i="16"/>
  <c r="V94" i="16"/>
  <c r="AA127" i="16"/>
  <c r="W127" i="16"/>
  <c r="Y111" i="16"/>
  <c r="X129" i="16"/>
  <c r="AC129" i="16"/>
  <c r="AE29" i="16"/>
  <c r="W101" i="16"/>
  <c r="AC103" i="16"/>
  <c r="AB14" i="16"/>
  <c r="I41" i="16"/>
  <c r="I44" i="16"/>
  <c r="I48" i="16"/>
  <c r="I73" i="16"/>
  <c r="I72" i="16"/>
  <c r="Y97" i="16"/>
  <c r="Z114" i="16"/>
  <c r="AB117" i="16"/>
  <c r="Y94" i="16"/>
  <c r="AE34" i="16"/>
  <c r="X113" i="16"/>
  <c r="U2" i="16"/>
  <c r="AC9" i="16"/>
  <c r="AC88" i="16"/>
  <c r="AB101" i="16"/>
  <c r="Z99" i="16"/>
  <c r="AE30" i="16"/>
  <c r="W110" i="16"/>
  <c r="W124" i="16"/>
  <c r="H89" i="16"/>
  <c r="X126" i="16"/>
  <c r="AC97" i="16"/>
  <c r="W114" i="16"/>
  <c r="H20" i="16"/>
  <c r="X127" i="16"/>
  <c r="X125" i="16"/>
  <c r="AA103" i="16"/>
  <c r="U124" i="16"/>
  <c r="V109" i="16"/>
  <c r="Y96" i="16"/>
  <c r="V12" i="16"/>
  <c r="AB19" i="16"/>
  <c r="AE54" i="16"/>
  <c r="H17" i="16"/>
  <c r="AE71" i="16"/>
  <c r="U108" i="16"/>
  <c r="AE59" i="16"/>
  <c r="U99" i="16"/>
  <c r="Z118" i="16"/>
  <c r="AC99" i="16"/>
  <c r="AB122" i="16"/>
  <c r="W89" i="16"/>
  <c r="AC107" i="16"/>
  <c r="V95" i="16"/>
  <c r="W7" i="16"/>
  <c r="AB128" i="16"/>
  <c r="Z98" i="16"/>
  <c r="Z97" i="16"/>
  <c r="W91" i="16"/>
  <c r="Z106" i="16"/>
  <c r="AE46" i="16"/>
  <c r="Z94" i="16"/>
  <c r="AC104" i="16"/>
  <c r="U102" i="16"/>
  <c r="AA18" i="16"/>
  <c r="H9" i="16"/>
  <c r="X123" i="16"/>
  <c r="AA91" i="16"/>
  <c r="X87" i="16"/>
  <c r="Z107" i="16"/>
  <c r="X90" i="16"/>
  <c r="Y16" i="16"/>
  <c r="AA7" i="16"/>
  <c r="U114" i="16"/>
  <c r="AC118" i="16"/>
  <c r="AE49" i="16"/>
  <c r="W103" i="16"/>
  <c r="H4" i="16"/>
  <c r="Y119" i="16"/>
  <c r="Y14" i="16"/>
  <c r="AC127" i="16"/>
  <c r="V112" i="16"/>
  <c r="AB109" i="16"/>
  <c r="AE73" i="16"/>
  <c r="AC123" i="16"/>
  <c r="AA87" i="16"/>
  <c r="AB13" i="16"/>
  <c r="I60" i="16"/>
  <c r="I21" i="16"/>
  <c r="I31" i="16"/>
  <c r="I39" i="16"/>
  <c r="I23" i="16"/>
  <c r="I24" i="16"/>
  <c r="J24" i="16"/>
  <c r="I36" i="16"/>
  <c r="I34" i="16"/>
  <c r="I67" i="16"/>
  <c r="I43" i="16"/>
  <c r="I71" i="16"/>
  <c r="I45" i="16"/>
  <c r="I56" i="16"/>
  <c r="I52" i="16"/>
  <c r="K22" i="16"/>
  <c r="K32" i="16"/>
  <c r="K21" i="16"/>
  <c r="K24" i="16"/>
  <c r="J27" i="16"/>
  <c r="K27" i="16"/>
  <c r="J38" i="16"/>
  <c r="K25" i="16"/>
  <c r="Z12" i="16"/>
  <c r="Z129" i="16"/>
  <c r="W104" i="16"/>
  <c r="AC106" i="16"/>
  <c r="V111" i="16"/>
  <c r="U94" i="16"/>
  <c r="AC115" i="16"/>
  <c r="V123" i="16"/>
  <c r="U93" i="16"/>
  <c r="U121" i="16"/>
  <c r="Z92" i="16"/>
  <c r="AC95" i="16"/>
  <c r="X7" i="16"/>
  <c r="U18" i="16"/>
  <c r="AA123" i="16"/>
  <c r="U123" i="16"/>
  <c r="H12" i="16"/>
  <c r="X115" i="16"/>
  <c r="U96" i="16"/>
  <c r="AA95" i="16"/>
  <c r="X97" i="16"/>
  <c r="AB15" i="16"/>
  <c r="AC116" i="16"/>
  <c r="V118" i="16"/>
  <c r="V122" i="16"/>
  <c r="U15" i="16"/>
  <c r="AE43" i="16"/>
  <c r="AB12" i="16"/>
  <c r="W90" i="16"/>
  <c r="V108" i="16"/>
  <c r="V18" i="16"/>
  <c r="W113" i="16"/>
  <c r="AE63" i="16"/>
  <c r="B10" i="16"/>
  <c r="I26" i="16"/>
  <c r="I64" i="16"/>
  <c r="I37" i="16"/>
  <c r="J23" i="16"/>
  <c r="I38" i="16"/>
  <c r="K37" i="16"/>
  <c r="J35" i="16"/>
  <c r="K35" i="16"/>
  <c r="J36" i="16"/>
  <c r="K31" i="16"/>
  <c r="J29" i="16"/>
  <c r="J33" i="16"/>
  <c r="B6" i="16"/>
  <c r="Q31" i="16" l="1"/>
  <c r="Q35" i="16"/>
  <c r="Q37" i="16"/>
  <c r="C10" i="16"/>
  <c r="Q25" i="16"/>
  <c r="Q27" i="16"/>
  <c r="Q24" i="16"/>
  <c r="Q21" i="16"/>
  <c r="Q32" i="16"/>
  <c r="Q22" i="16"/>
  <c r="Q33" i="16"/>
  <c r="Q38" i="16"/>
  <c r="Q36" i="16"/>
  <c r="C9" i="16"/>
  <c r="Q26" i="16"/>
  <c r="Q30" i="16"/>
  <c r="Q29" i="16"/>
  <c r="Q34" i="16"/>
  <c r="Q23" i="16"/>
  <c r="Q28" i="16"/>
  <c r="C11" i="16"/>
  <c r="C13" i="16"/>
  <c r="C7" i="16"/>
  <c r="C6" i="16"/>
  <c r="S8" i="16"/>
  <c r="R8" i="16"/>
  <c r="AE116" i="16"/>
  <c r="AE115" i="16"/>
  <c r="AE127" i="16"/>
  <c r="AD104" i="16"/>
  <c r="AD99" i="16"/>
  <c r="AD88" i="16"/>
  <c r="AD103" i="16"/>
  <c r="AE92" i="16"/>
  <c r="AD100" i="16"/>
  <c r="AD87" i="16"/>
  <c r="AD114" i="16"/>
  <c r="AD15" i="16"/>
  <c r="AE117" i="16"/>
  <c r="AD96" i="16"/>
  <c r="AD10" i="16"/>
  <c r="AE13" i="16"/>
  <c r="AD122" i="16"/>
  <c r="AD105" i="16"/>
  <c r="AE145" i="16"/>
  <c r="AD101" i="16"/>
  <c r="AE20" i="16"/>
  <c r="AE119" i="16"/>
  <c r="AE17" i="16"/>
  <c r="AD93" i="16"/>
  <c r="AD111" i="16"/>
  <c r="AD109" i="16"/>
  <c r="AD112" i="16"/>
  <c r="AE7" i="16"/>
  <c r="AD121" i="16"/>
  <c r="AE6" i="16"/>
  <c r="AE110" i="16"/>
  <c r="AD117" i="16"/>
  <c r="AE105" i="16"/>
  <c r="AE12" i="16"/>
  <c r="AD17" i="16"/>
  <c r="AE109" i="16"/>
  <c r="AE121" i="16"/>
  <c r="AD116" i="16"/>
  <c r="AD115" i="16"/>
  <c r="AE123" i="16"/>
  <c r="AE118" i="16"/>
  <c r="AD107" i="16"/>
  <c r="AD97" i="16"/>
  <c r="AD9" i="16"/>
  <c r="AE129" i="16"/>
  <c r="AD16" i="16"/>
  <c r="AD102" i="16"/>
  <c r="AD14" i="16"/>
  <c r="AE126" i="16"/>
  <c r="AD128" i="16"/>
  <c r="AD3" i="16"/>
  <c r="AD108" i="16"/>
  <c r="AE89" i="16"/>
  <c r="AE113" i="16"/>
  <c r="AD120" i="16"/>
  <c r="AD91" i="16"/>
  <c r="AD146" i="16"/>
  <c r="AE101" i="16"/>
  <c r="AD5" i="16"/>
  <c r="AE125" i="16"/>
  <c r="AE19" i="16"/>
  <c r="AD4" i="16"/>
  <c r="AD18" i="16"/>
  <c r="AE98" i="16"/>
  <c r="AE124" i="16"/>
  <c r="AE94" i="16"/>
  <c r="AD8" i="16"/>
  <c r="AE90" i="16"/>
  <c r="AD11" i="16"/>
  <c r="B8" i="16"/>
  <c r="AD95" i="16"/>
  <c r="AE104" i="16"/>
  <c r="AE88" i="16"/>
  <c r="AD92" i="16"/>
  <c r="AE87" i="16"/>
  <c r="AE15" i="16"/>
  <c r="AE10" i="16"/>
  <c r="AE122" i="16"/>
  <c r="AE2" i="16"/>
  <c r="AD119" i="16"/>
  <c r="AE111" i="16"/>
  <c r="AD7" i="16"/>
  <c r="AD110" i="16"/>
  <c r="AE95" i="16"/>
  <c r="AE106" i="16"/>
  <c r="AD123" i="16"/>
  <c r="AD118" i="16"/>
  <c r="AE107" i="16"/>
  <c r="AE97" i="16"/>
  <c r="AE9" i="16"/>
  <c r="AD129" i="16"/>
  <c r="AE16" i="16"/>
  <c r="AE102" i="16"/>
  <c r="AE14" i="16"/>
  <c r="AD126" i="16"/>
  <c r="AE128" i="16"/>
  <c r="AE3" i="16"/>
  <c r="AE108" i="16"/>
  <c r="AD89" i="16"/>
  <c r="AD113" i="16"/>
  <c r="AE120" i="16"/>
  <c r="AE91" i="16"/>
  <c r="AE146" i="16"/>
  <c r="AD2" i="16"/>
  <c r="AD12" i="16"/>
  <c r="AE5" i="16"/>
  <c r="AD125" i="16"/>
  <c r="AD19" i="16"/>
  <c r="AE4" i="16"/>
  <c r="AE18" i="16"/>
  <c r="AD98" i="16"/>
  <c r="AD124" i="16"/>
  <c r="AD94" i="16"/>
  <c r="AE8" i="16"/>
  <c r="AD90" i="16"/>
  <c r="AE11" i="16"/>
  <c r="AD127" i="16"/>
  <c r="AE99" i="16"/>
  <c r="AE103" i="16"/>
  <c r="AE100" i="16"/>
  <c r="AE114" i="16"/>
  <c r="AE96" i="16"/>
  <c r="AD13" i="16"/>
  <c r="AD145" i="16"/>
  <c r="AD20" i="16"/>
  <c r="AE93" i="16"/>
  <c r="AE112" i="16"/>
  <c r="AD6" i="16"/>
  <c r="C8" i="16" l="1"/>
  <c r="S2" i="16"/>
  <c r="R2" i="16"/>
  <c r="I6" i="16"/>
  <c r="I127" i="16"/>
  <c r="I98" i="16"/>
  <c r="I2" i="16"/>
  <c r="I129" i="16"/>
  <c r="I7" i="16"/>
  <c r="I11" i="16"/>
  <c r="I5" i="16"/>
  <c r="I108" i="16"/>
  <c r="I102" i="16"/>
  <c r="I107" i="16"/>
  <c r="I117" i="16"/>
  <c r="I111" i="16"/>
  <c r="I122" i="16"/>
  <c r="I114" i="16"/>
  <c r="I88" i="16"/>
  <c r="I20" i="16"/>
  <c r="I90" i="16"/>
  <c r="I19" i="16"/>
  <c r="I113" i="16"/>
  <c r="I118" i="16"/>
  <c r="I119" i="16"/>
  <c r="I8" i="16"/>
  <c r="I146" i="16"/>
  <c r="I3" i="16"/>
  <c r="I16" i="16"/>
  <c r="I115" i="16"/>
  <c r="I121" i="16"/>
  <c r="I93" i="16"/>
  <c r="I10" i="16"/>
  <c r="I87" i="16"/>
  <c r="I99" i="16"/>
  <c r="I97" i="16"/>
  <c r="I109" i="16"/>
  <c r="I15" i="16"/>
  <c r="I145" i="16"/>
  <c r="I94" i="16"/>
  <c r="I125" i="16"/>
  <c r="I89" i="16"/>
  <c r="I123" i="16"/>
  <c r="I92" i="16"/>
  <c r="I18" i="16"/>
  <c r="I91" i="16"/>
  <c r="I128" i="16"/>
  <c r="I9" i="16"/>
  <c r="I116" i="16"/>
  <c r="I112" i="16"/>
  <c r="I101" i="16"/>
  <c r="I96" i="16"/>
  <c r="I100" i="16"/>
  <c r="I104" i="16"/>
  <c r="B2" i="16"/>
  <c r="I13" i="16"/>
  <c r="I124" i="16"/>
  <c r="I12" i="16"/>
  <c r="I126" i="16"/>
  <c r="I110" i="16"/>
  <c r="I95" i="16"/>
  <c r="I4" i="16"/>
  <c r="I120" i="16"/>
  <c r="I14" i="16"/>
  <c r="I17" i="16"/>
  <c r="I105" i="16"/>
  <c r="I103" i="16"/>
  <c r="C2" i="16" l="1"/>
  <c r="S4" i="16"/>
  <c r="R4" i="16"/>
  <c r="B4" i="16"/>
  <c r="C4" i="16" l="1"/>
  <c r="S3" i="16"/>
  <c r="R3" i="16"/>
  <c r="B3" i="16"/>
  <c r="C3" i="16" l="1"/>
  <c r="S12" i="16"/>
  <c r="R12" i="16"/>
  <c r="B12" i="16"/>
  <c r="C12" i="16" l="1"/>
  <c r="S5" i="16"/>
  <c r="R5" i="16"/>
  <c r="B5" i="16"/>
  <c r="C5" i="16" l="1"/>
  <c r="S114" i="16" l="1"/>
  <c r="R114" i="16"/>
  <c r="B114" i="16"/>
  <c r="C114" i="16" l="1"/>
  <c r="S115" i="16" l="1"/>
  <c r="R115" i="16"/>
  <c r="B115" i="16"/>
  <c r="C115" i="16" l="1"/>
  <c r="S122" i="16" l="1"/>
  <c r="R122" i="16"/>
  <c r="B122" i="16"/>
  <c r="C122" i="16" l="1"/>
  <c r="S113" i="16" l="1"/>
  <c r="R113" i="16"/>
  <c r="B113" i="16"/>
  <c r="C113" i="16" l="1"/>
  <c r="B124" i="16"/>
  <c r="C124" i="16" l="1"/>
  <c r="S125" i="16" l="1"/>
  <c r="R125" i="16"/>
  <c r="B125" i="16"/>
  <c r="C125" i="16" l="1"/>
  <c r="S126" i="16" l="1"/>
  <c r="R126" i="16"/>
  <c r="B126" i="16"/>
  <c r="C126" i="16" l="1"/>
  <c r="S120" i="16" l="1"/>
  <c r="R120" i="16"/>
  <c r="B120" i="16"/>
  <c r="C120" i="16" l="1"/>
  <c r="S118" i="16"/>
  <c r="R118" i="16"/>
  <c r="B118" i="16"/>
  <c r="C118" i="16" l="1"/>
  <c r="S116" i="16" l="1"/>
  <c r="R116" i="16"/>
  <c r="B116" i="16"/>
  <c r="C116" i="16" l="1"/>
  <c r="S129" i="16" l="1"/>
  <c r="R129" i="16"/>
  <c r="B129" i="16"/>
  <c r="C129" i="16" l="1"/>
  <c r="R127" i="16"/>
  <c r="B127" i="16"/>
  <c r="C127" i="16" l="1"/>
  <c r="S117" i="16" l="1"/>
  <c r="R117" i="16"/>
  <c r="B117" i="16"/>
  <c r="C117" i="16" l="1"/>
  <c r="S123" i="16" l="1"/>
  <c r="R123" i="16"/>
  <c r="B123" i="16"/>
  <c r="C123" i="16" l="1"/>
  <c r="S119" i="16" l="1"/>
  <c r="R119" i="16"/>
  <c r="B119" i="16"/>
  <c r="C119" i="16" l="1"/>
  <c r="S121" i="16" l="1"/>
  <c r="R121" i="16"/>
  <c r="B121" i="16"/>
  <c r="C121" i="16" l="1"/>
  <c r="S128" i="16"/>
  <c r="R128" i="16"/>
  <c r="B128" i="16"/>
  <c r="C128" i="16" l="1"/>
  <c r="S16" i="16" l="1"/>
  <c r="R16" i="16"/>
  <c r="B16" i="16"/>
  <c r="C16" i="16" l="1"/>
  <c r="S18" i="16" l="1"/>
  <c r="R18" i="16"/>
  <c r="B18" i="16"/>
  <c r="C18" i="16" l="1"/>
  <c r="S20" i="16" l="1"/>
  <c r="R20" i="16"/>
  <c r="B20" i="16"/>
  <c r="C20" i="16" l="1"/>
  <c r="S14" i="16"/>
  <c r="R14" i="16"/>
  <c r="B14" i="16"/>
  <c r="C14" i="16" l="1"/>
  <c r="S19" i="16" l="1"/>
  <c r="R19" i="16"/>
  <c r="B19" i="16"/>
  <c r="C19" i="16" l="1"/>
  <c r="S17" i="16"/>
  <c r="R17" i="16"/>
  <c r="B17" i="16"/>
  <c r="C17" i="16" l="1"/>
  <c r="S15" i="16" l="1"/>
  <c r="R15" i="16"/>
  <c r="B15" i="16"/>
  <c r="C15" i="16" l="1"/>
  <c r="S88" i="16" l="1"/>
  <c r="R88" i="16"/>
  <c r="B88" i="16"/>
  <c r="C88" i="16" l="1"/>
  <c r="S87" i="16"/>
  <c r="R87" i="16"/>
  <c r="B87" i="16"/>
  <c r="C87" i="16" l="1"/>
  <c r="R89" i="16"/>
  <c r="B89" i="16"/>
  <c r="C89" i="16" l="1"/>
  <c r="S146" i="16" l="1"/>
  <c r="R146" i="16"/>
  <c r="B146" i="16"/>
  <c r="C146" i="16" l="1"/>
  <c r="S145" i="16"/>
  <c r="R145" i="16"/>
  <c r="B145" i="16"/>
  <c r="C145" i="16" l="1"/>
  <c r="S111" i="16"/>
  <c r="R111" i="16"/>
  <c r="B111" i="16"/>
  <c r="C111" i="16" l="1"/>
  <c r="S93" i="16"/>
  <c r="R93" i="16"/>
  <c r="B93" i="16"/>
  <c r="C93" i="16" l="1"/>
  <c r="S109" i="16"/>
  <c r="R109" i="16"/>
  <c r="B109" i="16"/>
  <c r="C109" i="16" l="1"/>
  <c r="S103" i="16"/>
  <c r="R103" i="16"/>
  <c r="B103" i="16"/>
  <c r="C103" i="16" l="1"/>
  <c r="S108" i="16"/>
  <c r="R108" i="16"/>
  <c r="B108" i="16"/>
  <c r="C108" i="16" l="1"/>
  <c r="S90" i="16"/>
  <c r="R90" i="16"/>
  <c r="B90" i="16"/>
  <c r="C90" i="16" l="1"/>
  <c r="S97" i="16"/>
  <c r="R97" i="16"/>
  <c r="B97" i="16"/>
  <c r="C97" i="16" l="1"/>
  <c r="S100" i="16"/>
  <c r="R100" i="16"/>
  <c r="B100" i="16"/>
  <c r="C100" i="16" l="1"/>
  <c r="S95" i="16"/>
  <c r="R95" i="16"/>
  <c r="B95" i="16"/>
  <c r="C95" i="16" l="1"/>
  <c r="S94" i="16"/>
  <c r="R94" i="16"/>
  <c r="B94" i="16"/>
  <c r="C94" i="16" l="1"/>
  <c r="S112" i="16"/>
  <c r="R112" i="16"/>
  <c r="B112" i="16"/>
  <c r="C112" i="16" l="1"/>
  <c r="S92" i="16"/>
  <c r="R92" i="16"/>
  <c r="B92" i="16"/>
  <c r="C92" i="16" l="1"/>
  <c r="S91" i="16"/>
  <c r="R91" i="16"/>
  <c r="B91" i="16"/>
  <c r="C91" i="16" l="1"/>
  <c r="S96" i="16"/>
  <c r="R96" i="16"/>
  <c r="B96" i="16"/>
  <c r="C96" i="16" l="1"/>
  <c r="S99" i="16"/>
  <c r="R99" i="16"/>
  <c r="B99" i="16"/>
  <c r="C99" i="16" l="1"/>
  <c r="S98" i="16"/>
  <c r="R98" i="16"/>
  <c r="B98" i="16"/>
  <c r="C98" i="16" l="1"/>
  <c r="S104" i="16"/>
  <c r="R104" i="16"/>
  <c r="B104" i="16"/>
  <c r="C104" i="16" l="1"/>
  <c r="S110" i="16"/>
  <c r="R110" i="16"/>
  <c r="B110" i="16"/>
  <c r="C110" i="16" l="1"/>
  <c r="S105" i="16"/>
  <c r="R105" i="16"/>
  <c r="B105" i="16"/>
  <c r="C105" i="16" l="1"/>
  <c r="S107" i="16"/>
  <c r="R107" i="16"/>
  <c r="B107" i="16"/>
  <c r="C107" i="16" l="1"/>
  <c r="S102" i="16"/>
  <c r="R102" i="16"/>
  <c r="B102" i="16"/>
  <c r="C102" i="16" l="1"/>
  <c r="S101" i="16"/>
  <c r="R101" i="16"/>
  <c r="V106" i="16"/>
  <c r="X106" i="16"/>
  <c r="Y106" i="16"/>
  <c r="W106" i="16"/>
  <c r="B101" i="16"/>
  <c r="U106" i="16"/>
  <c r="C101" i="16" l="1"/>
  <c r="S106" i="16"/>
  <c r="R106" i="16"/>
  <c r="B106" i="16"/>
  <c r="AD106" i="16"/>
  <c r="C106" i="16" l="1"/>
  <c r="E14" i="1"/>
  <c r="T119" i="13"/>
  <c r="S119" i="13"/>
  <c r="T118" i="13"/>
  <c r="S118" i="13"/>
  <c r="T117" i="13"/>
  <c r="S117" i="13"/>
  <c r="T116" i="13"/>
  <c r="S116" i="13"/>
  <c r="T115" i="13"/>
  <c r="S115" i="13"/>
  <c r="T114" i="13"/>
  <c r="S114" i="13"/>
  <c r="T113" i="13"/>
  <c r="S113" i="13"/>
  <c r="T112" i="13"/>
  <c r="S112" i="13"/>
  <c r="T111" i="13"/>
  <c r="S111" i="13"/>
  <c r="T109" i="13"/>
  <c r="S109" i="13"/>
  <c r="T108" i="13"/>
  <c r="S108" i="13"/>
  <c r="T106" i="13"/>
  <c r="S106" i="13"/>
  <c r="T105" i="13"/>
  <c r="S105" i="13"/>
  <c r="T104" i="13"/>
  <c r="S104" i="13"/>
  <c r="T103" i="13"/>
  <c r="S103" i="13"/>
  <c r="T102" i="13"/>
  <c r="S102" i="13"/>
  <c r="T101" i="13"/>
  <c r="S101" i="13"/>
  <c r="T100" i="13"/>
  <c r="S100" i="13"/>
  <c r="T99" i="13"/>
  <c r="S99" i="13"/>
  <c r="T98" i="13"/>
  <c r="S98" i="13"/>
  <c r="T97" i="13"/>
  <c r="T96" i="13"/>
  <c r="S96" i="13"/>
  <c r="T95" i="13"/>
  <c r="S95" i="13"/>
  <c r="T94" i="13"/>
  <c r="S94" i="13"/>
  <c r="T93" i="13"/>
  <c r="S93" i="13"/>
  <c r="T92" i="13"/>
  <c r="S92" i="13"/>
  <c r="T91" i="13"/>
  <c r="S91" i="13"/>
  <c r="T90" i="13"/>
  <c r="S90" i="13"/>
  <c r="T89" i="13"/>
  <c r="S89" i="13"/>
  <c r="T88" i="13"/>
  <c r="S88" i="13"/>
  <c r="T87" i="13"/>
  <c r="S87" i="13"/>
  <c r="T86" i="13"/>
  <c r="S86" i="13"/>
  <c r="T85" i="13"/>
  <c r="S85" i="13"/>
  <c r="T84" i="13"/>
  <c r="S84" i="13"/>
  <c r="T83" i="13"/>
  <c r="S83" i="13"/>
  <c r="T82" i="13"/>
  <c r="S82" i="13"/>
  <c r="T81" i="13"/>
  <c r="S81" i="13"/>
  <c r="T80" i="13"/>
  <c r="S80" i="13"/>
  <c r="T79" i="13"/>
  <c r="S79" i="13"/>
  <c r="T78" i="13"/>
  <c r="S78" i="13"/>
  <c r="T77" i="13"/>
  <c r="S77" i="13"/>
  <c r="T76" i="13"/>
  <c r="S76" i="13"/>
  <c r="T75" i="13"/>
  <c r="S75" i="13"/>
  <c r="T73" i="13"/>
  <c r="S73" i="13"/>
  <c r="T72" i="13"/>
  <c r="S72" i="13"/>
  <c r="T71" i="13"/>
  <c r="S71" i="13"/>
  <c r="T70" i="13"/>
  <c r="S70" i="13"/>
  <c r="T69" i="13"/>
  <c r="S69" i="13"/>
  <c r="T68" i="13"/>
  <c r="S68" i="13"/>
  <c r="T67" i="13"/>
  <c r="S67" i="13"/>
  <c r="T66" i="13"/>
  <c r="S66" i="13"/>
  <c r="T64" i="13"/>
  <c r="S64" i="13"/>
  <c r="T63" i="13"/>
  <c r="S63" i="13"/>
  <c r="T62" i="13"/>
  <c r="S62" i="13"/>
  <c r="T61" i="13"/>
  <c r="S61" i="13"/>
  <c r="T60" i="13"/>
  <c r="S60" i="13"/>
  <c r="T59" i="13"/>
  <c r="S59" i="13"/>
  <c r="S58" i="13"/>
  <c r="T57" i="13"/>
  <c r="S57" i="13"/>
  <c r="T56" i="13"/>
  <c r="S56" i="13"/>
  <c r="T55" i="13"/>
  <c r="S55" i="13"/>
  <c r="T54" i="13"/>
  <c r="S54" i="13"/>
  <c r="T52" i="13"/>
  <c r="S52" i="13"/>
  <c r="T51" i="13"/>
  <c r="S51" i="13"/>
  <c r="T50" i="13"/>
  <c r="S50" i="13"/>
  <c r="S49" i="13"/>
  <c r="T48" i="13"/>
  <c r="S48" i="13"/>
  <c r="T47" i="13"/>
  <c r="S47" i="13"/>
  <c r="T46" i="13"/>
  <c r="S46" i="13"/>
  <c r="T45" i="13"/>
  <c r="S45" i="13"/>
  <c r="T44" i="13"/>
  <c r="S44" i="13"/>
  <c r="T43" i="13"/>
  <c r="S43" i="13"/>
  <c r="T42" i="13"/>
  <c r="S42" i="13"/>
  <c r="T41" i="13"/>
  <c r="S41" i="13"/>
  <c r="T40" i="13"/>
  <c r="S40" i="13"/>
  <c r="T39" i="13"/>
  <c r="S39" i="13"/>
  <c r="T38" i="13"/>
  <c r="S38" i="13"/>
  <c r="T37" i="13"/>
  <c r="S37" i="13"/>
  <c r="T36" i="13"/>
  <c r="S36" i="13"/>
  <c r="T35" i="13"/>
  <c r="S35" i="13"/>
  <c r="T34" i="13"/>
  <c r="S34" i="13"/>
  <c r="T33" i="13"/>
  <c r="S33" i="13"/>
  <c r="T32" i="13"/>
  <c r="S32" i="13"/>
  <c r="T31" i="13"/>
  <c r="S31" i="13"/>
  <c r="T30" i="13"/>
  <c r="S30" i="13"/>
  <c r="T74" i="13"/>
  <c r="S74" i="13"/>
  <c r="T29" i="13"/>
  <c r="S29" i="13"/>
  <c r="T28" i="13"/>
  <c r="S28" i="13"/>
  <c r="T27" i="13"/>
  <c r="S27" i="13"/>
  <c r="T26" i="13"/>
  <c r="S26" i="13"/>
  <c r="T25" i="13"/>
  <c r="S25" i="13"/>
  <c r="T24" i="13"/>
  <c r="S24" i="13"/>
  <c r="T23" i="13"/>
  <c r="S23" i="13"/>
  <c r="T22" i="13"/>
  <c r="S22" i="13"/>
  <c r="T21" i="13"/>
  <c r="S21" i="13"/>
  <c r="T20" i="13"/>
  <c r="S20" i="13"/>
  <c r="T19" i="13"/>
  <c r="S19" i="13"/>
  <c r="T18" i="13"/>
  <c r="S18" i="13"/>
  <c r="T17" i="13"/>
  <c r="S17" i="13"/>
  <c r="T16" i="13"/>
  <c r="S16" i="13"/>
  <c r="T15" i="13"/>
  <c r="S15" i="13"/>
  <c r="T14" i="13"/>
  <c r="S14" i="13"/>
  <c r="T13" i="13"/>
  <c r="S13" i="13"/>
  <c r="T12" i="13"/>
  <c r="S12" i="13"/>
  <c r="T11" i="13"/>
  <c r="S11" i="13"/>
  <c r="T10" i="13"/>
  <c r="S10" i="13"/>
  <c r="T9" i="13"/>
  <c r="S9" i="13"/>
  <c r="T8" i="13"/>
  <c r="S8" i="13"/>
  <c r="T7" i="13"/>
  <c r="S7" i="13"/>
  <c r="T6" i="13"/>
  <c r="S6" i="13"/>
  <c r="T5" i="13"/>
  <c r="S5" i="13"/>
  <c r="T4" i="13"/>
  <c r="S4" i="13"/>
  <c r="T3" i="13"/>
  <c r="S3" i="13"/>
  <c r="T2" i="13"/>
  <c r="S2" i="13"/>
  <c r="S125" i="13"/>
  <c r="T125" i="13"/>
  <c r="S126" i="13"/>
  <c r="T126" i="13"/>
  <c r="S127" i="13"/>
  <c r="T127" i="13"/>
  <c r="S128" i="13"/>
  <c r="T128" i="13"/>
  <c r="S129" i="13"/>
  <c r="T129" i="13"/>
  <c r="S130" i="13"/>
  <c r="T130" i="13"/>
  <c r="S131" i="13"/>
  <c r="T131" i="13"/>
  <c r="S132" i="13"/>
  <c r="T132" i="13"/>
  <c r="S133" i="13"/>
  <c r="T133" i="13"/>
  <c r="S134" i="13"/>
  <c r="T134" i="13"/>
  <c r="S135" i="13"/>
  <c r="T135" i="13"/>
  <c r="S136" i="13"/>
  <c r="T136" i="13"/>
  <c r="S137" i="13"/>
  <c r="T137" i="13"/>
  <c r="S138" i="13"/>
  <c r="T138" i="13"/>
  <c r="S139" i="13"/>
  <c r="T139" i="13"/>
  <c r="S140" i="13"/>
  <c r="T140" i="13"/>
  <c r="S141" i="13"/>
  <c r="T141" i="13"/>
  <c r="S142" i="13"/>
  <c r="T142" i="13"/>
  <c r="S143" i="13"/>
  <c r="T143" i="13"/>
  <c r="S144" i="13"/>
  <c r="T144" i="13"/>
  <c r="S145" i="13"/>
  <c r="T145" i="13"/>
  <c r="S146" i="13"/>
  <c r="T146" i="13"/>
  <c r="S147" i="13"/>
  <c r="T147" i="13"/>
  <c r="S148" i="13"/>
  <c r="T148" i="13"/>
  <c r="S149" i="13"/>
  <c r="T149" i="13"/>
  <c r="S150" i="13"/>
  <c r="T150" i="13"/>
  <c r="S151" i="13"/>
  <c r="T151" i="13"/>
  <c r="S152" i="13"/>
  <c r="T152" i="13"/>
  <c r="S153" i="13"/>
  <c r="T153" i="13"/>
  <c r="S154" i="13"/>
  <c r="T154" i="13"/>
  <c r="S155" i="13"/>
  <c r="T155" i="13"/>
  <c r="S156" i="13"/>
  <c r="T156" i="13"/>
  <c r="S157" i="13"/>
  <c r="T157" i="13"/>
  <c r="S158" i="13"/>
  <c r="T158" i="13"/>
  <c r="S159" i="13"/>
  <c r="T159" i="13"/>
  <c r="S160" i="13"/>
  <c r="T160" i="13"/>
  <c r="S161" i="13"/>
  <c r="T161" i="13"/>
  <c r="S162" i="13"/>
  <c r="T162" i="13"/>
  <c r="S163" i="13"/>
  <c r="T163" i="13"/>
  <c r="S164" i="13"/>
  <c r="T164" i="13"/>
  <c r="S165" i="13"/>
  <c r="T165" i="13"/>
  <c r="S166" i="13"/>
  <c r="T166" i="13"/>
  <c r="S167" i="13"/>
  <c r="T167" i="13"/>
  <c r="S168" i="13"/>
  <c r="T168" i="13"/>
  <c r="S169" i="13"/>
  <c r="T169" i="13"/>
  <c r="S170" i="13"/>
  <c r="S171" i="13"/>
  <c r="T171" i="13"/>
  <c r="S172" i="13"/>
  <c r="T172" i="13"/>
  <c r="S174" i="13"/>
  <c r="T174" i="13"/>
  <c r="S176" i="13"/>
  <c r="T176" i="13"/>
  <c r="S177" i="13"/>
  <c r="T177" i="13"/>
  <c r="S178" i="13"/>
  <c r="T178" i="13"/>
  <c r="T179" i="13"/>
  <c r="S180" i="13"/>
  <c r="T180" i="13"/>
  <c r="S181" i="13"/>
  <c r="T181" i="13"/>
  <c r="S182" i="13"/>
  <c r="T182" i="13"/>
  <c r="S183" i="13"/>
  <c r="S184" i="13"/>
  <c r="T184" i="13"/>
  <c r="S185" i="13"/>
  <c r="T185" i="13"/>
  <c r="S186" i="13"/>
  <c r="S187" i="13"/>
  <c r="T187" i="13"/>
  <c r="S189" i="13"/>
  <c r="T189" i="13"/>
  <c r="S191" i="13"/>
  <c r="T191" i="13"/>
  <c r="S192" i="13"/>
  <c r="T192" i="13"/>
  <c r="S194" i="13"/>
  <c r="T194" i="13"/>
  <c r="S195" i="13"/>
  <c r="T195" i="13"/>
  <c r="S196" i="13"/>
  <c r="T196" i="13"/>
  <c r="S197" i="13"/>
  <c r="T197" i="13"/>
  <c r="S198" i="13"/>
  <c r="T198" i="13"/>
  <c r="S199" i="13"/>
  <c r="T199" i="13"/>
  <c r="S200" i="13"/>
  <c r="T200" i="13"/>
  <c r="S201" i="13"/>
  <c r="T201" i="13"/>
  <c r="S202" i="13"/>
  <c r="T202" i="13"/>
  <c r="S203" i="13"/>
  <c r="T203" i="13"/>
  <c r="S204" i="13"/>
  <c r="T204" i="13"/>
  <c r="S205" i="13"/>
  <c r="T205" i="13"/>
  <c r="S206" i="13"/>
  <c r="T206" i="13"/>
  <c r="S207" i="13"/>
  <c r="T207" i="13"/>
  <c r="S208" i="13"/>
  <c r="T208" i="13"/>
  <c r="S209" i="13"/>
  <c r="T209" i="13"/>
  <c r="S210" i="13"/>
  <c r="T210" i="13"/>
  <c r="S211" i="13"/>
  <c r="T211" i="13"/>
  <c r="S212" i="13"/>
  <c r="T212" i="13"/>
  <c r="S213" i="13"/>
  <c r="T213" i="13"/>
  <c r="S215" i="13"/>
  <c r="T215" i="13"/>
  <c r="S216" i="13"/>
  <c r="T216" i="13"/>
  <c r="S217" i="13"/>
  <c r="T217" i="13"/>
  <c r="S218" i="13"/>
  <c r="T218" i="13"/>
  <c r="S219" i="13"/>
  <c r="T219" i="13"/>
  <c r="S220" i="13"/>
  <c r="T220" i="13"/>
  <c r="S221" i="13"/>
  <c r="T221" i="13"/>
  <c r="S222" i="13"/>
  <c r="T222" i="13"/>
  <c r="S223" i="13"/>
  <c r="T223" i="13"/>
  <c r="S224" i="13"/>
  <c r="T224" i="13"/>
  <c r="S225" i="13"/>
  <c r="T225" i="13"/>
  <c r="S226" i="13"/>
  <c r="T226" i="13"/>
  <c r="S227" i="13"/>
  <c r="T227" i="13"/>
  <c r="S228" i="13"/>
  <c r="T228" i="13"/>
  <c r="S229" i="13"/>
  <c r="T229" i="13"/>
  <c r="S230" i="13"/>
  <c r="S231" i="13"/>
  <c r="T231" i="13"/>
  <c r="S232" i="13"/>
  <c r="T232" i="13"/>
  <c r="S233" i="13"/>
  <c r="T233" i="13"/>
  <c r="S236" i="13"/>
  <c r="T236" i="13"/>
  <c r="S237" i="13"/>
  <c r="T237" i="13"/>
  <c r="S238" i="13"/>
  <c r="T238" i="13"/>
  <c r="S239" i="13"/>
  <c r="T239" i="13"/>
  <c r="T240" i="13"/>
  <c r="S241" i="13"/>
  <c r="T241" i="13"/>
  <c r="S242" i="13"/>
  <c r="T242" i="13"/>
  <c r="S243" i="13"/>
  <c r="T243" i="13"/>
  <c r="S244" i="13"/>
  <c r="T244" i="13"/>
  <c r="S245" i="13"/>
  <c r="T245" i="13"/>
  <c r="S246" i="13"/>
  <c r="T246" i="13"/>
  <c r="S247" i="13"/>
  <c r="T247" i="13"/>
  <c r="T248" i="13"/>
  <c r="S249" i="13"/>
  <c r="T249" i="13"/>
  <c r="S250" i="13"/>
  <c r="T250" i="13"/>
  <c r="S251" i="13"/>
  <c r="T251" i="13"/>
  <c r="S252" i="13"/>
  <c r="T252" i="13"/>
  <c r="S253" i="13"/>
  <c r="T253" i="13"/>
  <c r="S254" i="13"/>
  <c r="T254" i="13"/>
  <c r="S255" i="13"/>
  <c r="T255" i="13"/>
  <c r="S256" i="13"/>
  <c r="T256" i="13"/>
  <c r="S257" i="13"/>
  <c r="T257" i="13"/>
  <c r="S258" i="13"/>
  <c r="T258" i="13"/>
  <c r="S259" i="13"/>
  <c r="T259" i="13"/>
  <c r="S260" i="13"/>
  <c r="T260" i="13"/>
  <c r="S261" i="13"/>
  <c r="T261" i="13"/>
  <c r="S262" i="13"/>
  <c r="T262" i="13"/>
  <c r="S263" i="13"/>
  <c r="T263" i="13"/>
  <c r="S264" i="13"/>
  <c r="T264" i="13"/>
  <c r="S265" i="13"/>
  <c r="T265" i="13"/>
  <c r="S266" i="13"/>
  <c r="T266" i="13"/>
  <c r="S267" i="13"/>
  <c r="T267" i="13"/>
  <c r="S268" i="13"/>
  <c r="T268" i="13"/>
  <c r="S269" i="13"/>
  <c r="T269" i="13"/>
  <c r="S270" i="13"/>
  <c r="T270" i="13"/>
  <c r="S271" i="13"/>
  <c r="T271" i="13"/>
  <c r="S272" i="13"/>
  <c r="T272" i="13"/>
  <c r="S121" i="13"/>
  <c r="T121" i="13"/>
  <c r="S122" i="13"/>
  <c r="T122" i="13"/>
  <c r="S123" i="13"/>
  <c r="T123" i="13"/>
  <c r="S124" i="13"/>
  <c r="T124" i="13"/>
  <c r="I106" i="16"/>
  <c r="O3" i="11" l="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2" i="11"/>
  <c r="N99" i="11" l="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U49" i="13" s="1"/>
  <c r="N177" i="11"/>
  <c r="N178" i="11"/>
  <c r="N179" i="11"/>
  <c r="N180" i="11"/>
  <c r="N181" i="11"/>
  <c r="N182" i="11"/>
  <c r="N183" i="11"/>
  <c r="N184" i="11"/>
  <c r="U58" i="13" s="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T107" i="16" s="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U122" i="13" s="1"/>
  <c r="N229" i="11"/>
  <c r="N230" i="11"/>
  <c r="N231" i="11"/>
  <c r="N232" i="11"/>
  <c r="T6" i="16" s="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U228" i="13" s="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I7" i="1"/>
  <c r="N96" i="11" s="1"/>
  <c r="N98" i="11" l="1"/>
  <c r="U68" i="13"/>
  <c r="U181" i="13"/>
  <c r="U53" i="13"/>
  <c r="N97" i="11"/>
  <c r="U62" i="13"/>
  <c r="N95" i="11"/>
  <c r="T87" i="16"/>
  <c r="T89" i="16"/>
  <c r="U45" i="13"/>
  <c r="T20" i="16"/>
  <c r="T122" i="16"/>
  <c r="T146" i="16"/>
  <c r="T128" i="16"/>
  <c r="T116" i="16"/>
  <c r="T117" i="16"/>
  <c r="T123" i="16"/>
  <c r="T145" i="16"/>
  <c r="T13" i="16"/>
  <c r="U120" i="13"/>
  <c r="T17" i="16"/>
  <c r="T18" i="16"/>
  <c r="T118" i="16"/>
  <c r="T12" i="16"/>
  <c r="N93" i="11"/>
  <c r="N94" i="11"/>
  <c r="U247" i="13" s="1"/>
  <c r="N10" i="11"/>
  <c r="N70" i="11"/>
  <c r="N91" i="11"/>
  <c r="N83" i="11"/>
  <c r="N75" i="11"/>
  <c r="U162" i="13" s="1"/>
  <c r="N67" i="11"/>
  <c r="N59" i="11"/>
  <c r="U129" i="13" s="1"/>
  <c r="N51" i="11"/>
  <c r="N43" i="11"/>
  <c r="U59" i="13" s="1"/>
  <c r="N35" i="11"/>
  <c r="U20" i="13" s="1"/>
  <c r="N27" i="11"/>
  <c r="N19" i="11"/>
  <c r="N11" i="11"/>
  <c r="N3" i="11"/>
  <c r="N92" i="11"/>
  <c r="U236" i="13" s="1"/>
  <c r="N84" i="11"/>
  <c r="N76" i="11"/>
  <c r="N68" i="11"/>
  <c r="N60" i="11"/>
  <c r="N52" i="11"/>
  <c r="U87" i="13" s="1"/>
  <c r="N44" i="11"/>
  <c r="N36" i="11"/>
  <c r="N28" i="11"/>
  <c r="N20" i="11"/>
  <c r="N12" i="11"/>
  <c r="N4" i="11"/>
  <c r="N85" i="11"/>
  <c r="N77" i="11"/>
  <c r="U165" i="13" s="1"/>
  <c r="N69" i="11"/>
  <c r="N61" i="11"/>
  <c r="N53" i="11"/>
  <c r="N45" i="11"/>
  <c r="U69" i="13" s="1"/>
  <c r="N37" i="11"/>
  <c r="N29" i="11"/>
  <c r="N21" i="11"/>
  <c r="U8" i="13" s="1"/>
  <c r="N13" i="11"/>
  <c r="N5" i="11"/>
  <c r="N78" i="11"/>
  <c r="N54" i="11"/>
  <c r="U99" i="13" s="1"/>
  <c r="N30" i="11"/>
  <c r="N22" i="11"/>
  <c r="N6" i="11"/>
  <c r="N2" i="11"/>
  <c r="N87" i="11"/>
  <c r="U226" i="13" s="1"/>
  <c r="N79" i="11"/>
  <c r="N71" i="11"/>
  <c r="N63" i="11"/>
  <c r="N55" i="11"/>
  <c r="N47" i="11"/>
  <c r="N39" i="11"/>
  <c r="U43" i="13" s="1"/>
  <c r="N31" i="11"/>
  <c r="N23" i="11"/>
  <c r="N15" i="11"/>
  <c r="N7" i="11"/>
  <c r="N88" i="11"/>
  <c r="N80" i="11"/>
  <c r="N72" i="11"/>
  <c r="N64" i="11"/>
  <c r="N56" i="11"/>
  <c r="N48" i="11"/>
  <c r="N40" i="11"/>
  <c r="N32" i="11"/>
  <c r="U30" i="13" s="1"/>
  <c r="N24" i="11"/>
  <c r="N16" i="11"/>
  <c r="N8" i="11"/>
  <c r="N86" i="11"/>
  <c r="U193" i="13" s="1"/>
  <c r="N62" i="11"/>
  <c r="U138" i="13" s="1"/>
  <c r="N46" i="11"/>
  <c r="U67" i="13" s="1"/>
  <c r="N14" i="11"/>
  <c r="N89" i="11"/>
  <c r="U225" i="13" s="1"/>
  <c r="N81" i="11"/>
  <c r="U176" i="13" s="1"/>
  <c r="N73" i="11"/>
  <c r="N65" i="11"/>
  <c r="N57" i="11"/>
  <c r="N49" i="11"/>
  <c r="N41" i="11"/>
  <c r="U51" i="13" s="1"/>
  <c r="N33" i="11"/>
  <c r="N25" i="11"/>
  <c r="N17" i="11"/>
  <c r="N9" i="11"/>
  <c r="N38" i="11"/>
  <c r="N90" i="11"/>
  <c r="N82" i="11"/>
  <c r="N74" i="11"/>
  <c r="U158" i="13" s="1"/>
  <c r="N66" i="11"/>
  <c r="U140" i="13" s="1"/>
  <c r="N58" i="11"/>
  <c r="U121" i="13" s="1"/>
  <c r="N50" i="11"/>
  <c r="N42" i="11"/>
  <c r="N34" i="11"/>
  <c r="N26" i="11"/>
  <c r="N18" i="11"/>
  <c r="U96" i="13" l="1"/>
  <c r="U110" i="13"/>
  <c r="U41" i="13"/>
  <c r="U14" i="13"/>
  <c r="U82" i="13"/>
  <c r="U155" i="13"/>
  <c r="U24" i="13"/>
  <c r="U89" i="13"/>
  <c r="U243" i="13"/>
  <c r="U37" i="13"/>
  <c r="U153" i="13"/>
  <c r="U107" i="13"/>
  <c r="U246" i="13"/>
  <c r="U9" i="13"/>
  <c r="U147" i="13"/>
  <c r="U139" i="13"/>
  <c r="U81" i="13"/>
  <c r="U86" i="13"/>
  <c r="U239" i="13"/>
  <c r="U151" i="13"/>
  <c r="U160" i="13"/>
  <c r="U174" i="13"/>
  <c r="U177" i="13"/>
  <c r="U101" i="13"/>
  <c r="U103" i="13"/>
  <c r="U183" i="13"/>
  <c r="U186" i="13"/>
  <c r="U38" i="13"/>
  <c r="U40" i="13"/>
  <c r="U244" i="13"/>
  <c r="U248" i="13"/>
  <c r="U188" i="13"/>
  <c r="U190" i="13"/>
  <c r="U74" i="13"/>
  <c r="U79" i="13"/>
  <c r="U182" i="13"/>
  <c r="U185" i="13"/>
  <c r="U146" i="13"/>
  <c r="U149" i="13"/>
  <c r="U33" i="13"/>
  <c r="U90" i="13"/>
  <c r="U95" i="13"/>
  <c r="U237" i="13"/>
  <c r="U238" i="13"/>
  <c r="U231" i="13"/>
  <c r="U233" i="13"/>
  <c r="U142" i="13"/>
  <c r="U145" i="13"/>
  <c r="U178" i="13"/>
  <c r="U180" i="13"/>
  <c r="U29" i="13"/>
  <c r="U32" i="13"/>
  <c r="U240" i="13"/>
  <c r="U241" i="13"/>
  <c r="U61" i="13"/>
  <c r="U65" i="13"/>
  <c r="U126" i="13"/>
  <c r="U134" i="13"/>
  <c r="U97" i="13"/>
  <c r="U84" i="13"/>
  <c r="U71" i="13"/>
  <c r="U56" i="13"/>
  <c r="U42" i="13"/>
  <c r="U26" i="13"/>
  <c r="U154" i="13"/>
  <c r="U163" i="13"/>
  <c r="U221" i="13"/>
  <c r="U224" i="13"/>
  <c r="U179" i="13"/>
  <c r="U171" i="13"/>
  <c r="U161" i="13"/>
  <c r="U12" i="13"/>
  <c r="U169" i="13"/>
  <c r="U168" i="13"/>
  <c r="U172" i="13"/>
  <c r="U125" i="13"/>
  <c r="U44" i="13"/>
  <c r="U48" i="13"/>
  <c r="U144" i="13"/>
  <c r="U150" i="13"/>
  <c r="U21" i="13"/>
  <c r="U28" i="13"/>
  <c r="U91" i="13"/>
  <c r="U93" i="13"/>
  <c r="U31" i="13"/>
  <c r="U35" i="13"/>
  <c r="U119" i="13"/>
  <c r="U22" i="13"/>
  <c r="U60" i="13"/>
  <c r="U219" i="13"/>
  <c r="U234" i="13"/>
  <c r="U235" i="13"/>
  <c r="U19" i="13"/>
  <c r="U218" i="13"/>
  <c r="U159" i="13"/>
  <c r="U127" i="13"/>
  <c r="U141" i="13"/>
  <c r="U25" i="13"/>
  <c r="U77" i="13"/>
  <c r="U2" i="13"/>
  <c r="U170" i="13"/>
  <c r="U164" i="13"/>
  <c r="U11" i="13"/>
  <c r="U223" i="13"/>
  <c r="U130" i="13"/>
  <c r="U88" i="13"/>
  <c r="U217" i="13"/>
  <c r="U5" i="13"/>
  <c r="U132" i="13"/>
  <c r="U27" i="13"/>
  <c r="U148" i="13"/>
  <c r="U7" i="13"/>
  <c r="U157" i="13"/>
  <c r="U137" i="13"/>
  <c r="U70" i="13"/>
  <c r="U10" i="13"/>
  <c r="U222" i="13"/>
  <c r="U83" i="13"/>
  <c r="U152" i="13"/>
  <c r="U63" i="13"/>
  <c r="U135" i="13"/>
  <c r="U39" i="13"/>
  <c r="U166" i="13"/>
  <c r="U57" i="13"/>
  <c r="U18" i="13"/>
  <c r="U230" i="13"/>
  <c r="U47" i="13"/>
  <c r="U66" i="13"/>
  <c r="U52" i="13"/>
  <c r="U15" i="13"/>
  <c r="U131" i="13"/>
  <c r="U34" i="13"/>
  <c r="U13" i="13"/>
  <c r="U143" i="13"/>
  <c r="U227" i="13"/>
  <c r="U3" i="13"/>
  <c r="U173" i="13"/>
  <c r="U73" i="13"/>
  <c r="U115" i="13"/>
  <c r="U23" i="13"/>
  <c r="U6" i="13"/>
  <c r="U16" i="13"/>
  <c r="U229" i="13"/>
  <c r="U175" i="13"/>
  <c r="U156" i="13"/>
  <c r="U136" i="13"/>
  <c r="U123" i="13"/>
  <c r="U232" i="13"/>
  <c r="U80" i="13"/>
  <c r="M143" i="11"/>
  <c r="M142" i="11"/>
  <c r="M141" i="11"/>
  <c r="M140" i="11"/>
  <c r="M139" i="11"/>
  <c r="M138" i="11"/>
  <c r="M136" i="11"/>
  <c r="M135" i="11"/>
  <c r="M134" i="11"/>
  <c r="M133" i="11"/>
  <c r="M132" i="11"/>
  <c r="M131" i="11"/>
  <c r="M130" i="11"/>
  <c r="M128" i="11"/>
  <c r="M127" i="11"/>
  <c r="M126" i="11"/>
  <c r="M125" i="11"/>
  <c r="M124" i="11"/>
  <c r="M123" i="11"/>
  <c r="M122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8" i="11"/>
  <c r="M47" i="11"/>
  <c r="M46" i="11"/>
  <c r="M45" i="11"/>
  <c r="M44" i="11"/>
  <c r="M43" i="11"/>
  <c r="M42" i="11"/>
  <c r="M40" i="11"/>
  <c r="M39" i="11"/>
  <c r="M38" i="11"/>
  <c r="M37" i="11"/>
  <c r="M36" i="11"/>
  <c r="M35" i="11"/>
  <c r="M34" i="11"/>
  <c r="M32" i="11"/>
  <c r="M31" i="11"/>
  <c r="M30" i="11"/>
  <c r="M29" i="11"/>
  <c r="M28" i="11"/>
  <c r="M27" i="11"/>
  <c r="M26" i="11"/>
  <c r="M24" i="11"/>
  <c r="M23" i="11"/>
  <c r="M22" i="11"/>
  <c r="M21" i="11"/>
  <c r="M20" i="11"/>
  <c r="M19" i="11"/>
  <c r="M18" i="11"/>
  <c r="M16" i="11"/>
  <c r="M15" i="11"/>
  <c r="M14" i="11"/>
  <c r="M13" i="11"/>
  <c r="M12" i="11"/>
  <c r="M11" i="11"/>
  <c r="M10" i="11"/>
  <c r="M8" i="11"/>
  <c r="M7" i="11"/>
  <c r="M6" i="11"/>
  <c r="M5" i="11"/>
  <c r="M4" i="11"/>
  <c r="M3" i="11"/>
  <c r="M2" i="11"/>
  <c r="M145" i="11"/>
  <c r="M146" i="11"/>
  <c r="M147" i="11"/>
  <c r="M148" i="11"/>
  <c r="M149" i="11"/>
  <c r="M151" i="11"/>
  <c r="M152" i="11"/>
  <c r="M153" i="11"/>
  <c r="M154" i="11"/>
  <c r="M155" i="11"/>
  <c r="M156" i="11"/>
  <c r="M157" i="11"/>
  <c r="M159" i="11"/>
  <c r="M160" i="11"/>
  <c r="M162" i="11"/>
  <c r="M163" i="11"/>
  <c r="M164" i="11"/>
  <c r="M165" i="11"/>
  <c r="M167" i="11"/>
  <c r="M168" i="11"/>
  <c r="M170" i="11"/>
  <c r="M171" i="11"/>
  <c r="M172" i="11"/>
  <c r="M173" i="11"/>
  <c r="M175" i="11"/>
  <c r="M176" i="11"/>
  <c r="M178" i="11"/>
  <c r="M179" i="11"/>
  <c r="M180" i="11"/>
  <c r="M181" i="11"/>
  <c r="M183" i="11"/>
  <c r="M184" i="11"/>
  <c r="M186" i="11"/>
  <c r="M187" i="11"/>
  <c r="M188" i="11"/>
  <c r="M189" i="11"/>
  <c r="M191" i="11"/>
  <c r="M192" i="11"/>
  <c r="M193" i="11"/>
  <c r="M194" i="11"/>
  <c r="M195" i="11"/>
  <c r="M196" i="11"/>
  <c r="K197" i="11"/>
  <c r="M197" i="11" s="1"/>
  <c r="K198" i="11"/>
  <c r="L198" i="11" s="1"/>
  <c r="K199" i="11"/>
  <c r="M199" i="11" s="1"/>
  <c r="K200" i="11"/>
  <c r="M200" i="11" s="1"/>
  <c r="K201" i="11"/>
  <c r="M201" i="11" s="1"/>
  <c r="K202" i="11"/>
  <c r="M202" i="11" s="1"/>
  <c r="K203" i="11"/>
  <c r="M203" i="11" s="1"/>
  <c r="K204" i="11"/>
  <c r="M204" i="11" s="1"/>
  <c r="K205" i="11"/>
  <c r="M205" i="11" s="1"/>
  <c r="K206" i="11"/>
  <c r="L206" i="11" s="1"/>
  <c r="K207" i="11"/>
  <c r="M207" i="11" s="1"/>
  <c r="K208" i="11"/>
  <c r="M208" i="11" s="1"/>
  <c r="K209" i="11"/>
  <c r="M209" i="11" s="1"/>
  <c r="K210" i="11"/>
  <c r="M210" i="11" s="1"/>
  <c r="K211" i="11"/>
  <c r="M211" i="11" s="1"/>
  <c r="K212" i="11"/>
  <c r="M212" i="11" s="1"/>
  <c r="K213" i="11"/>
  <c r="M213" i="11" s="1"/>
  <c r="K214" i="11"/>
  <c r="M214" i="11" s="1"/>
  <c r="K215" i="11"/>
  <c r="M215" i="11" s="1"/>
  <c r="K216" i="11"/>
  <c r="M216" i="11" s="1"/>
  <c r="K217" i="11"/>
  <c r="L217" i="11" s="1"/>
  <c r="K218" i="11"/>
  <c r="M218" i="11" s="1"/>
  <c r="K219" i="11"/>
  <c r="M219" i="11" s="1"/>
  <c r="K220" i="11"/>
  <c r="M220" i="11" s="1"/>
  <c r="K221" i="11"/>
  <c r="M221" i="11" s="1"/>
  <c r="K222" i="11"/>
  <c r="L222" i="11" s="1"/>
  <c r="K223" i="11"/>
  <c r="M223" i="11" s="1"/>
  <c r="K224" i="11"/>
  <c r="M224" i="11" s="1"/>
  <c r="K225" i="11"/>
  <c r="M225" i="11" s="1"/>
  <c r="K226" i="11"/>
  <c r="M226" i="11" s="1"/>
  <c r="K227" i="11"/>
  <c r="M227" i="11" s="1"/>
  <c r="K228" i="11"/>
  <c r="M228" i="11" s="1"/>
  <c r="K229" i="11"/>
  <c r="M229" i="11" s="1"/>
  <c r="K230" i="11"/>
  <c r="L230" i="11" s="1"/>
  <c r="K231" i="11"/>
  <c r="M231" i="11" s="1"/>
  <c r="K232" i="11"/>
  <c r="M232" i="11" s="1"/>
  <c r="K233" i="11"/>
  <c r="M233" i="11" s="1"/>
  <c r="K234" i="11"/>
  <c r="M234" i="11" s="1"/>
  <c r="K235" i="11"/>
  <c r="M235" i="11" s="1"/>
  <c r="K236" i="11"/>
  <c r="M236" i="11" s="1"/>
  <c r="K237" i="11"/>
  <c r="M237" i="11" s="1"/>
  <c r="K238" i="11"/>
  <c r="M238" i="11" s="1"/>
  <c r="K239" i="11"/>
  <c r="M239" i="11" s="1"/>
  <c r="K240" i="11"/>
  <c r="M240" i="11" s="1"/>
  <c r="K241" i="11"/>
  <c r="M241" i="11" s="1"/>
  <c r="K242" i="11"/>
  <c r="M242" i="11" s="1"/>
  <c r="K243" i="11"/>
  <c r="M243" i="11" s="1"/>
  <c r="K244" i="11"/>
  <c r="M244" i="11" s="1"/>
  <c r="K245" i="11"/>
  <c r="M245" i="11" s="1"/>
  <c r="K246" i="11"/>
  <c r="M246" i="11" s="1"/>
  <c r="K247" i="11"/>
  <c r="M247" i="11" s="1"/>
  <c r="K248" i="11"/>
  <c r="M248" i="11" s="1"/>
  <c r="K249" i="11"/>
  <c r="M249" i="11" s="1"/>
  <c r="K250" i="11"/>
  <c r="M250" i="11" s="1"/>
  <c r="K251" i="11"/>
  <c r="M251" i="11" s="1"/>
  <c r="K252" i="11"/>
  <c r="M252" i="11" s="1"/>
  <c r="K253" i="11"/>
  <c r="M253" i="11" s="1"/>
  <c r="K254" i="11"/>
  <c r="M254" i="11" s="1"/>
  <c r="K255" i="11"/>
  <c r="M255" i="11" s="1"/>
  <c r="K256" i="11"/>
  <c r="M256" i="11" s="1"/>
  <c r="K257" i="11"/>
  <c r="M257" i="11" s="1"/>
  <c r="K258" i="11"/>
  <c r="M258" i="11" s="1"/>
  <c r="K259" i="11"/>
  <c r="M259" i="11" s="1"/>
  <c r="K260" i="11"/>
  <c r="M260" i="11" s="1"/>
  <c r="K261" i="11"/>
  <c r="M261" i="11" s="1"/>
  <c r="K262" i="11"/>
  <c r="M262" i="11" s="1"/>
  <c r="K263" i="11"/>
  <c r="M263" i="11" s="1"/>
  <c r="K264" i="11"/>
  <c r="M264" i="11" s="1"/>
  <c r="K265" i="11"/>
  <c r="M265" i="11" s="1"/>
  <c r="K266" i="11"/>
  <c r="M266" i="11" s="1"/>
  <c r="K267" i="11"/>
  <c r="M267" i="11" s="1"/>
  <c r="K268" i="11"/>
  <c r="M268" i="11" s="1"/>
  <c r="K269" i="11"/>
  <c r="M269" i="11" s="1"/>
  <c r="K270" i="11"/>
  <c r="M270" i="11" s="1"/>
  <c r="K271" i="11"/>
  <c r="M271" i="11" s="1"/>
  <c r="K272" i="11"/>
  <c r="M272" i="11" s="1"/>
  <c r="K273" i="11"/>
  <c r="M273" i="11" s="1"/>
  <c r="K274" i="11"/>
  <c r="M274" i="11" s="1"/>
  <c r="K275" i="11"/>
  <c r="M275" i="11" s="1"/>
  <c r="K276" i="11"/>
  <c r="M276" i="11" s="1"/>
  <c r="K277" i="11"/>
  <c r="M277" i="11" s="1"/>
  <c r="K278" i="11"/>
  <c r="M278" i="11" s="1"/>
  <c r="K279" i="11"/>
  <c r="M279" i="11" s="1"/>
  <c r="K280" i="11"/>
  <c r="M280" i="11" s="1"/>
  <c r="K281" i="11"/>
  <c r="M281" i="11" s="1"/>
  <c r="K282" i="11"/>
  <c r="M282" i="11" s="1"/>
  <c r="K283" i="11"/>
  <c r="M283" i="11" s="1"/>
  <c r="K284" i="11"/>
  <c r="M284" i="11" s="1"/>
  <c r="K285" i="11"/>
  <c r="M285" i="11" s="1"/>
  <c r="K286" i="11"/>
  <c r="M286" i="11" s="1"/>
  <c r="K287" i="11"/>
  <c r="M287" i="11" s="1"/>
  <c r="K288" i="11"/>
  <c r="M288" i="11" s="1"/>
  <c r="K289" i="11"/>
  <c r="M289" i="11" s="1"/>
  <c r="K290" i="11"/>
  <c r="M290" i="11" s="1"/>
  <c r="K291" i="11"/>
  <c r="M291" i="11" s="1"/>
  <c r="K292" i="11"/>
  <c r="M292" i="11" s="1"/>
  <c r="K293" i="11"/>
  <c r="M293" i="11" s="1"/>
  <c r="K294" i="11"/>
  <c r="M294" i="11" s="1"/>
  <c r="K295" i="11"/>
  <c r="M295" i="11" s="1"/>
  <c r="K296" i="11"/>
  <c r="M296" i="11" s="1"/>
  <c r="K297" i="11"/>
  <c r="M297" i="11" s="1"/>
  <c r="K298" i="11"/>
  <c r="M298" i="11" s="1"/>
  <c r="K299" i="11"/>
  <c r="M299" i="11" s="1"/>
  <c r="K300" i="11"/>
  <c r="M300" i="11" s="1"/>
  <c r="K301" i="11"/>
  <c r="M301" i="11" s="1"/>
  <c r="K302" i="11"/>
  <c r="M302" i="11" s="1"/>
  <c r="K303" i="11"/>
  <c r="M303" i="11" s="1"/>
  <c r="K304" i="11"/>
  <c r="M304" i="11" s="1"/>
  <c r="K305" i="11"/>
  <c r="M305" i="11" s="1"/>
  <c r="K306" i="11"/>
  <c r="M306" i="11" s="1"/>
  <c r="K307" i="11"/>
  <c r="M307" i="11" s="1"/>
  <c r="K308" i="11"/>
  <c r="M308" i="11" s="1"/>
  <c r="K309" i="11"/>
  <c r="M309" i="11" s="1"/>
  <c r="K310" i="11"/>
  <c r="M310" i="11" s="1"/>
  <c r="K311" i="11"/>
  <c r="M311" i="11" s="1"/>
  <c r="K312" i="11"/>
  <c r="M312" i="11" s="1"/>
  <c r="K313" i="11"/>
  <c r="M313" i="11" s="1"/>
  <c r="K314" i="11"/>
  <c r="M314" i="11" s="1"/>
  <c r="K315" i="11"/>
  <c r="M315" i="11" s="1"/>
  <c r="K316" i="11"/>
  <c r="M316" i="11" s="1"/>
  <c r="K317" i="11"/>
  <c r="M317" i="11" s="1"/>
  <c r="K318" i="11"/>
  <c r="M318" i="11" s="1"/>
  <c r="K319" i="11"/>
  <c r="M319" i="11" s="1"/>
  <c r="K320" i="11"/>
  <c r="M320" i="11" s="1"/>
  <c r="K321" i="11"/>
  <c r="M321" i="11" s="1"/>
  <c r="K322" i="11"/>
  <c r="M322" i="11" s="1"/>
  <c r="K323" i="11"/>
  <c r="M323" i="11" s="1"/>
  <c r="K324" i="11"/>
  <c r="M324" i="11" s="1"/>
  <c r="K325" i="11"/>
  <c r="M325" i="11" s="1"/>
  <c r="K326" i="11"/>
  <c r="M326" i="11" s="1"/>
  <c r="K327" i="11"/>
  <c r="M327" i="11" s="1"/>
  <c r="K328" i="11"/>
  <c r="M328" i="11" s="1"/>
  <c r="K329" i="11"/>
  <c r="M329" i="11" s="1"/>
  <c r="K330" i="11"/>
  <c r="M330" i="11" s="1"/>
  <c r="K331" i="11"/>
  <c r="M331" i="11" s="1"/>
  <c r="K332" i="11"/>
  <c r="M332" i="11" s="1"/>
  <c r="K333" i="11"/>
  <c r="M333" i="11" s="1"/>
  <c r="K334" i="11"/>
  <c r="M334" i="11" s="1"/>
  <c r="K335" i="11"/>
  <c r="M335" i="11" s="1"/>
  <c r="K336" i="11"/>
  <c r="M336" i="11" s="1"/>
  <c r="K337" i="11"/>
  <c r="M337" i="11" s="1"/>
  <c r="K338" i="11"/>
  <c r="M338" i="11" s="1"/>
  <c r="K339" i="11"/>
  <c r="M339" i="11" s="1"/>
  <c r="K340" i="11"/>
  <c r="M340" i="11" s="1"/>
  <c r="K341" i="11"/>
  <c r="M341" i="11" s="1"/>
  <c r="K342" i="11"/>
  <c r="M342" i="11" s="1"/>
  <c r="K343" i="11"/>
  <c r="M343" i="11" s="1"/>
  <c r="K344" i="11"/>
  <c r="M344" i="11" s="1"/>
  <c r="K345" i="11"/>
  <c r="M345" i="11" s="1"/>
  <c r="K346" i="11"/>
  <c r="M346" i="11" s="1"/>
  <c r="K347" i="11"/>
  <c r="M347" i="11" s="1"/>
  <c r="K348" i="11"/>
  <c r="M348" i="11" s="1"/>
  <c r="K349" i="11"/>
  <c r="M349" i="11" s="1"/>
  <c r="K350" i="11"/>
  <c r="M350" i="11" s="1"/>
  <c r="L255" i="11"/>
  <c r="L261" i="11"/>
  <c r="L263" i="11"/>
  <c r="L265" i="11"/>
  <c r="L266" i="11"/>
  <c r="L267" i="11"/>
  <c r="L268" i="11"/>
  <c r="L269" i="11"/>
  <c r="L271" i="11"/>
  <c r="L273" i="11"/>
  <c r="L274" i="11"/>
  <c r="L275" i="11"/>
  <c r="L276" i="11"/>
  <c r="L277" i="11"/>
  <c r="L279" i="11"/>
  <c r="L281" i="11"/>
  <c r="L282" i="11"/>
  <c r="L283" i="11"/>
  <c r="L284" i="11"/>
  <c r="L285" i="11"/>
  <c r="L287" i="11"/>
  <c r="L289" i="11"/>
  <c r="L290" i="11"/>
  <c r="L291" i="11"/>
  <c r="L292" i="11"/>
  <c r="L293" i="11"/>
  <c r="L295" i="11"/>
  <c r="L297" i="11"/>
  <c r="L298" i="11"/>
  <c r="L299" i="11"/>
  <c r="L300" i="11"/>
  <c r="L301" i="11"/>
  <c r="L303" i="11"/>
  <c r="L305" i="11"/>
  <c r="L306" i="11"/>
  <c r="L307" i="11"/>
  <c r="L308" i="11"/>
  <c r="L309" i="11"/>
  <c r="L311" i="11"/>
  <c r="L313" i="11"/>
  <c r="L314" i="11"/>
  <c r="L315" i="11"/>
  <c r="L316" i="11"/>
  <c r="L317" i="11"/>
  <c r="L319" i="11"/>
  <c r="L321" i="11"/>
  <c r="L322" i="11"/>
  <c r="L323" i="11"/>
  <c r="L324" i="11"/>
  <c r="L325" i="11"/>
  <c r="L327" i="11"/>
  <c r="L329" i="11"/>
  <c r="L330" i="11"/>
  <c r="L331" i="11"/>
  <c r="L332" i="11"/>
  <c r="L333" i="11"/>
  <c r="L335" i="11"/>
  <c r="L337" i="11"/>
  <c r="L338" i="11"/>
  <c r="L339" i="11"/>
  <c r="L340" i="11"/>
  <c r="L341" i="11"/>
  <c r="L343" i="11"/>
  <c r="L345" i="11"/>
  <c r="L346" i="11"/>
  <c r="L347" i="11"/>
  <c r="L348" i="11"/>
  <c r="L349" i="11"/>
  <c r="L207" i="11"/>
  <c r="L260" i="11" l="1"/>
  <c r="L257" i="11"/>
  <c r="L258" i="11"/>
  <c r="L259" i="11"/>
  <c r="L231" i="11"/>
  <c r="L212" i="11"/>
  <c r="L248" i="11"/>
  <c r="L344" i="11"/>
  <c r="L336" i="11"/>
  <c r="L328" i="11"/>
  <c r="L320" i="11"/>
  <c r="L312" i="11"/>
  <c r="L304" i="11"/>
  <c r="L296" i="11"/>
  <c r="L288" i="11"/>
  <c r="L280" i="11"/>
  <c r="L272" i="11"/>
  <c r="L264" i="11"/>
  <c r="L256" i="11"/>
  <c r="L240" i="11"/>
  <c r="L350" i="11"/>
  <c r="L342" i="11"/>
  <c r="L334" i="11"/>
  <c r="L326" i="11"/>
  <c r="L318" i="11"/>
  <c r="L310" i="11"/>
  <c r="L302" i="11"/>
  <c r="L294" i="11"/>
  <c r="L286" i="11"/>
  <c r="L278" i="11"/>
  <c r="L270" i="11"/>
  <c r="L262" i="11"/>
  <c r="L254" i="11"/>
  <c r="L250" i="11"/>
  <c r="L253" i="11"/>
  <c r="L251" i="11"/>
  <c r="L245" i="11"/>
  <c r="L246" i="11"/>
  <c r="L252" i="11"/>
  <c r="L247" i="11"/>
  <c r="L249" i="11"/>
  <c r="L242" i="11"/>
  <c r="L243" i="11"/>
  <c r="L223" i="11"/>
  <c r="L235" i="11"/>
  <c r="L238" i="11"/>
  <c r="L239" i="11"/>
  <c r="L209" i="11"/>
  <c r="L227" i="11"/>
  <c r="L237" i="11"/>
  <c r="L211" i="11"/>
  <c r="L233" i="11"/>
  <c r="L219" i="11"/>
  <c r="L220" i="11"/>
  <c r="L203" i="11"/>
  <c r="L214" i="11"/>
  <c r="L232" i="11"/>
  <c r="L204" i="11"/>
  <c r="L228" i="11"/>
  <c r="L244" i="11"/>
  <c r="L236" i="11"/>
  <c r="L241" i="11"/>
  <c r="L200" i="11"/>
  <c r="L216" i="11"/>
  <c r="L224" i="11"/>
  <c r="L208" i="11"/>
  <c r="L221" i="11"/>
  <c r="L197" i="11"/>
  <c r="L199" i="11"/>
  <c r="L213" i="11"/>
  <c r="L229" i="11"/>
  <c r="L215" i="11"/>
  <c r="L205" i="11"/>
  <c r="M230" i="11"/>
  <c r="M166" i="11"/>
  <c r="M174" i="11"/>
  <c r="M182" i="11"/>
  <c r="M190" i="11"/>
  <c r="M9" i="11"/>
  <c r="M17" i="11"/>
  <c r="M25" i="11"/>
  <c r="M33" i="11"/>
  <c r="M41" i="11"/>
  <c r="M49" i="11"/>
  <c r="M81" i="11"/>
  <c r="M121" i="11"/>
  <c r="M129" i="11"/>
  <c r="M198" i="11"/>
  <c r="M206" i="11"/>
  <c r="M150" i="11"/>
  <c r="M222" i="11"/>
  <c r="M158" i="11"/>
  <c r="L225" i="11"/>
  <c r="L201" i="11"/>
  <c r="M144" i="11"/>
  <c r="M217" i="11"/>
  <c r="M185" i="11"/>
  <c r="M177" i="11"/>
  <c r="M169" i="11"/>
  <c r="M161" i="11"/>
  <c r="M137" i="11"/>
  <c r="L234" i="11"/>
  <c r="L202" i="11"/>
  <c r="L210" i="11"/>
  <c r="L218" i="11"/>
  <c r="L226" i="11"/>
  <c r="C68" i="14" l="1"/>
  <c r="D68" i="14" s="1"/>
  <c r="C52" i="14"/>
  <c r="D52" i="14" s="1"/>
  <c r="C59" i="14"/>
  <c r="D59" i="14" s="1"/>
  <c r="C54" i="14"/>
  <c r="D54" i="14" s="1"/>
  <c r="C71" i="14"/>
  <c r="D71" i="14" s="1"/>
  <c r="C67" i="14"/>
  <c r="D67" i="14" s="1"/>
  <c r="C62" i="14"/>
  <c r="D62" i="14" s="1"/>
  <c r="C55" i="14"/>
  <c r="D55" i="14" s="1"/>
  <c r="C58" i="14"/>
  <c r="D58" i="14" s="1"/>
  <c r="C70" i="14"/>
  <c r="D70" i="14" s="1"/>
  <c r="C63" i="14"/>
  <c r="D63" i="14" s="1"/>
  <c r="C66" i="14"/>
  <c r="D66" i="14" s="1"/>
  <c r="C61" i="14"/>
  <c r="D61" i="14" s="1"/>
  <c r="C57" i="14"/>
  <c r="D57" i="14" s="1"/>
  <c r="C53" i="14"/>
  <c r="D53" i="14" s="1"/>
  <c r="C65" i="14"/>
  <c r="D65" i="14" s="1"/>
  <c r="C69" i="14"/>
  <c r="D69" i="14" s="1"/>
  <c r="C56" i="14"/>
  <c r="D56" i="14" s="1"/>
  <c r="C60" i="14"/>
  <c r="D60" i="14" s="1"/>
  <c r="C64" i="14"/>
  <c r="D64" i="14" s="1"/>
  <c r="G11" i="12"/>
  <c r="G31" i="12" s="1"/>
  <c r="R15" i="12"/>
  <c r="R35" i="12" s="1"/>
  <c r="M9" i="12"/>
  <c r="M29" i="12" s="1"/>
  <c r="S16" i="12"/>
  <c r="S36" i="12" s="1"/>
  <c r="M17" i="12"/>
  <c r="M37" i="12" s="1"/>
  <c r="R8" i="12"/>
  <c r="R28" i="12" s="1"/>
  <c r="R12" i="12"/>
  <c r="R32" i="12" s="1"/>
  <c r="T18" i="12"/>
  <c r="T38" i="12" s="1"/>
  <c r="P3" i="12"/>
  <c r="P23" i="12" s="1"/>
  <c r="R9" i="12"/>
  <c r="R29" i="12" s="1"/>
  <c r="R13" i="12"/>
  <c r="R33" i="12" s="1"/>
  <c r="T19" i="12"/>
  <c r="T39" i="12" s="1"/>
  <c r="P4" i="12"/>
  <c r="P24" i="12" s="1"/>
  <c r="R10" i="12"/>
  <c r="R30" i="12" s="1"/>
  <c r="R14" i="12"/>
  <c r="R34" i="12" s="1"/>
  <c r="M10" i="12"/>
  <c r="M30" i="12" s="1"/>
  <c r="P5" i="12"/>
  <c r="P25" i="12" s="1"/>
  <c r="Q10" i="12"/>
  <c r="Q30" i="12" s="1"/>
  <c r="O44" i="12" s="1"/>
  <c r="H14" i="12"/>
  <c r="H34" i="12" s="1"/>
  <c r="H6" i="12"/>
  <c r="H26" i="12" s="1"/>
  <c r="I18" i="12"/>
  <c r="I38" i="12" s="1"/>
  <c r="I10" i="12"/>
  <c r="I30" i="12" s="1"/>
  <c r="J14" i="12"/>
  <c r="J34" i="12" s="1"/>
  <c r="J12" i="12"/>
  <c r="J32" i="12" s="1"/>
  <c r="C12" i="12"/>
  <c r="C32" i="12" s="1"/>
  <c r="C4" i="12"/>
  <c r="C24" i="12" s="1"/>
  <c r="D12" i="12"/>
  <c r="D32" i="12" s="1"/>
  <c r="D4" i="12"/>
  <c r="D24" i="12" s="1"/>
  <c r="E16" i="12"/>
  <c r="E36" i="12" s="1"/>
  <c r="D50" i="12" s="1"/>
  <c r="E8" i="12"/>
  <c r="E28" i="12" s="1"/>
  <c r="F18" i="12"/>
  <c r="F38" i="12" s="1"/>
  <c r="F10" i="12"/>
  <c r="F30" i="12" s="1"/>
  <c r="H3" i="12"/>
  <c r="H23" i="12" s="1"/>
  <c r="G12" i="12"/>
  <c r="G32" i="12" s="1"/>
  <c r="G4" i="12"/>
  <c r="G24" i="12" s="1"/>
  <c r="P6" i="12"/>
  <c r="P26" i="12" s="1"/>
  <c r="P10" i="12"/>
  <c r="P30" i="12" s="1"/>
  <c r="Q7" i="12"/>
  <c r="Q27" i="12" s="1"/>
  <c r="Q11" i="12"/>
  <c r="Q31" i="12" s="1"/>
  <c r="S17" i="12"/>
  <c r="S37" i="12" s="1"/>
  <c r="M16" i="12"/>
  <c r="M36" i="12" s="1"/>
  <c r="Q8" i="12"/>
  <c r="Q28" i="12" s="1"/>
  <c r="Q12" i="12"/>
  <c r="Q32" i="12" s="1"/>
  <c r="O46" i="12" s="1"/>
  <c r="S18" i="12"/>
  <c r="S38" i="12" s="1"/>
  <c r="O3" i="12"/>
  <c r="O23" i="12" s="1"/>
  <c r="Q9" i="12"/>
  <c r="Q29" i="12" s="1"/>
  <c r="Q13" i="12"/>
  <c r="Q33" i="12" s="1"/>
  <c r="O47" i="12" s="1"/>
  <c r="S19" i="12"/>
  <c r="S39" i="12" s="1"/>
  <c r="O4" i="12"/>
  <c r="O24" i="12" s="1"/>
  <c r="P9" i="12"/>
  <c r="P29" i="12" s="1"/>
  <c r="Q14" i="12"/>
  <c r="Q34" i="12" s="1"/>
  <c r="O48" i="12" s="1"/>
  <c r="R19" i="12"/>
  <c r="R39" i="12" s="1"/>
  <c r="H15" i="12"/>
  <c r="H35" i="12" s="1"/>
  <c r="H7" i="12"/>
  <c r="H27" i="12" s="1"/>
  <c r="I19" i="12"/>
  <c r="I39" i="12" s="1"/>
  <c r="I11" i="12"/>
  <c r="I31" i="12" s="1"/>
  <c r="C3" i="12"/>
  <c r="C23" i="12" s="1"/>
  <c r="J4" i="12"/>
  <c r="J24" i="12" s="1"/>
  <c r="C13" i="12"/>
  <c r="C33" i="12" s="1"/>
  <c r="C5" i="12"/>
  <c r="C25" i="12" s="1"/>
  <c r="D13" i="12"/>
  <c r="D33" i="12" s="1"/>
  <c r="D5" i="12"/>
  <c r="D25" i="12" s="1"/>
  <c r="E17" i="12"/>
  <c r="E37" i="12" s="1"/>
  <c r="D51" i="12" s="1"/>
  <c r="E9" i="12"/>
  <c r="E29" i="12" s="1"/>
  <c r="F19" i="12"/>
  <c r="F39" i="12" s="1"/>
  <c r="F11" i="12"/>
  <c r="F31" i="12" s="1"/>
  <c r="J13" i="12"/>
  <c r="J33" i="12" s="1"/>
  <c r="G13" i="12"/>
  <c r="G33" i="12" s="1"/>
  <c r="G5" i="12"/>
  <c r="G25" i="12" s="1"/>
  <c r="Q15" i="12"/>
  <c r="Q35" i="12" s="1"/>
  <c r="Q19" i="12"/>
  <c r="Q39" i="12" s="1"/>
  <c r="R16" i="12"/>
  <c r="R36" i="12" s="1"/>
  <c r="M8" i="12"/>
  <c r="M28" i="12" s="1"/>
  <c r="P7" i="12"/>
  <c r="P27" i="12" s="1"/>
  <c r="P11" i="12"/>
  <c r="P31" i="12" s="1"/>
  <c r="R17" i="12"/>
  <c r="R37" i="12" s="1"/>
  <c r="M15" i="12"/>
  <c r="M35" i="12" s="1"/>
  <c r="P8" i="12"/>
  <c r="P28" i="12" s="1"/>
  <c r="P12" i="12"/>
  <c r="P32" i="12" s="1"/>
  <c r="R18" i="12"/>
  <c r="R38" i="12" s="1"/>
  <c r="N3" i="12"/>
  <c r="N23" i="12" s="1"/>
  <c r="O8" i="12"/>
  <c r="O28" i="12" s="1"/>
  <c r="P13" i="12"/>
  <c r="P33" i="12" s="1"/>
  <c r="Q18" i="12"/>
  <c r="Q38" i="12" s="1"/>
  <c r="O5" i="12"/>
  <c r="O25" i="12" s="1"/>
  <c r="O9" i="12"/>
  <c r="O29" i="12" s="1"/>
  <c r="H16" i="12"/>
  <c r="H36" i="12" s="1"/>
  <c r="H8" i="12"/>
  <c r="H28" i="12" s="1"/>
  <c r="J3" i="12"/>
  <c r="J23" i="12" s="1"/>
  <c r="I12" i="12"/>
  <c r="I32" i="12" s="1"/>
  <c r="I4" i="12"/>
  <c r="I24" i="12" s="1"/>
  <c r="J5" i="12"/>
  <c r="J25" i="12" s="1"/>
  <c r="C14" i="12"/>
  <c r="C34" i="12" s="1"/>
  <c r="C6" i="12"/>
  <c r="C26" i="12" s="1"/>
  <c r="D14" i="12"/>
  <c r="D34" i="12" s="1"/>
  <c r="D6" i="12"/>
  <c r="D26" i="12" s="1"/>
  <c r="E18" i="12"/>
  <c r="E38" i="12" s="1"/>
  <c r="D52" i="12" s="1"/>
  <c r="E10" i="12"/>
  <c r="E30" i="12" s="1"/>
  <c r="D44" i="12" s="1"/>
  <c r="G3" i="12"/>
  <c r="G23" i="12" s="1"/>
  <c r="F12" i="12"/>
  <c r="F32" i="12" s="1"/>
  <c r="F4" i="12"/>
  <c r="F24" i="12" s="1"/>
  <c r="G14" i="12"/>
  <c r="G34" i="12" s="1"/>
  <c r="E48" i="12" s="1"/>
  <c r="E9" i="14" s="1"/>
  <c r="G6" i="12"/>
  <c r="G26" i="12" s="1"/>
  <c r="N5" i="12"/>
  <c r="N25" i="12" s="1"/>
  <c r="N9" i="12"/>
  <c r="N29" i="12" s="1"/>
  <c r="O6" i="12"/>
  <c r="O26" i="12" s="1"/>
  <c r="O10" i="12"/>
  <c r="O30" i="12" s="1"/>
  <c r="N44" i="12" s="1"/>
  <c r="Q16" i="12"/>
  <c r="Q36" i="12" s="1"/>
  <c r="M7" i="12"/>
  <c r="M27" i="12" s="1"/>
  <c r="O7" i="12"/>
  <c r="O27" i="12" s="1"/>
  <c r="O11" i="12"/>
  <c r="O31" i="12" s="1"/>
  <c r="N45" i="12" s="1"/>
  <c r="Q17" i="12"/>
  <c r="Q37" i="12" s="1"/>
  <c r="O51" i="12" s="1"/>
  <c r="M14" i="12"/>
  <c r="M34" i="12" s="1"/>
  <c r="N7" i="12"/>
  <c r="N27" i="12" s="1"/>
  <c r="O12" i="12"/>
  <c r="O32" i="12" s="1"/>
  <c r="N46" i="12" s="1"/>
  <c r="P17" i="12"/>
  <c r="P37" i="12" s="1"/>
  <c r="N4" i="12"/>
  <c r="N24" i="12" s="1"/>
  <c r="N8" i="12"/>
  <c r="N28" i="12" s="1"/>
  <c r="P14" i="12"/>
  <c r="P34" i="12" s="1"/>
  <c r="P18" i="12"/>
  <c r="P38" i="12" s="1"/>
  <c r="P52" i="12" s="1"/>
  <c r="H17" i="12"/>
  <c r="H37" i="12" s="1"/>
  <c r="H9" i="12"/>
  <c r="H29" i="12" s="1"/>
  <c r="I3" i="12"/>
  <c r="I23" i="12" s="1"/>
  <c r="I13" i="12"/>
  <c r="I33" i="12" s="1"/>
  <c r="I5" i="12"/>
  <c r="I25" i="12" s="1"/>
  <c r="J6" i="12"/>
  <c r="J26" i="12" s="1"/>
  <c r="C15" i="12"/>
  <c r="C35" i="12" s="1"/>
  <c r="C7" i="12"/>
  <c r="C27" i="12" s="1"/>
  <c r="D15" i="12"/>
  <c r="D35" i="12" s="1"/>
  <c r="D7" i="12"/>
  <c r="D27" i="12" s="1"/>
  <c r="E19" i="12"/>
  <c r="E39" i="12" s="1"/>
  <c r="D53" i="12" s="1"/>
  <c r="E11" i="12"/>
  <c r="E31" i="12" s="1"/>
  <c r="D45" i="12" s="1"/>
  <c r="D6" i="14" s="1"/>
  <c r="J16" i="12"/>
  <c r="J36" i="12" s="1"/>
  <c r="F13" i="12"/>
  <c r="F33" i="12" s="1"/>
  <c r="F47" i="12" s="1"/>
  <c r="F5" i="12"/>
  <c r="F25" i="12" s="1"/>
  <c r="G15" i="12"/>
  <c r="G35" i="12" s="1"/>
  <c r="G7" i="12"/>
  <c r="G27" i="12" s="1"/>
  <c r="O14" i="12"/>
  <c r="O34" i="12" s="1"/>
  <c r="N48" i="12" s="1"/>
  <c r="O18" i="12"/>
  <c r="O38" i="12" s="1"/>
  <c r="N52" i="12" s="1"/>
  <c r="P15" i="12"/>
  <c r="P35" i="12" s="1"/>
  <c r="P19" i="12"/>
  <c r="P39" i="12" s="1"/>
  <c r="N6" i="12"/>
  <c r="N26" i="12" s="1"/>
  <c r="N10" i="12"/>
  <c r="N30" i="12" s="1"/>
  <c r="P16" i="12"/>
  <c r="P36" i="12" s="1"/>
  <c r="M6" i="12"/>
  <c r="M26" i="12" s="1"/>
  <c r="T5" i="12"/>
  <c r="T25" i="12" s="1"/>
  <c r="N11" i="12"/>
  <c r="N31" i="12" s="1"/>
  <c r="O16" i="12"/>
  <c r="O36" i="12" s="1"/>
  <c r="N50" i="12" s="1"/>
  <c r="M13" i="12"/>
  <c r="M33" i="12" s="1"/>
  <c r="T6" i="12"/>
  <c r="T26" i="12" s="1"/>
  <c r="O13" i="12"/>
  <c r="O33" i="12" s="1"/>
  <c r="N47" i="12" s="1"/>
  <c r="O17" i="12"/>
  <c r="O37" i="12" s="1"/>
  <c r="N51" i="12" s="1"/>
  <c r="T3" i="12"/>
  <c r="T23" i="12" s="1"/>
  <c r="T7" i="12"/>
  <c r="T27" i="12" s="1"/>
  <c r="H18" i="12"/>
  <c r="H38" i="12" s="1"/>
  <c r="H10" i="12"/>
  <c r="H30" i="12" s="1"/>
  <c r="D3" i="12"/>
  <c r="D23" i="12" s="1"/>
  <c r="I14" i="12"/>
  <c r="I34" i="12" s="1"/>
  <c r="I6" i="12"/>
  <c r="I26" i="12" s="1"/>
  <c r="J7" i="12"/>
  <c r="J27" i="12" s="1"/>
  <c r="C16" i="12"/>
  <c r="C36" i="12" s="1"/>
  <c r="C8" i="12"/>
  <c r="C28" i="12" s="1"/>
  <c r="D16" i="12"/>
  <c r="D36" i="12" s="1"/>
  <c r="D8" i="12"/>
  <c r="D28" i="12" s="1"/>
  <c r="F3" i="12"/>
  <c r="F23" i="12" s="1"/>
  <c r="E12" i="12"/>
  <c r="E32" i="12" s="1"/>
  <c r="D46" i="12" s="1"/>
  <c r="E4" i="12"/>
  <c r="E24" i="12" s="1"/>
  <c r="F14" i="12"/>
  <c r="F34" i="12" s="1"/>
  <c r="F6" i="12"/>
  <c r="F26" i="12" s="1"/>
  <c r="G16" i="12"/>
  <c r="G36" i="12" s="1"/>
  <c r="E50" i="12" s="1"/>
  <c r="G8" i="12"/>
  <c r="G28" i="12" s="1"/>
  <c r="S3" i="12"/>
  <c r="S23" i="12" s="1"/>
  <c r="S7" i="12"/>
  <c r="S27" i="12" s="1"/>
  <c r="T4" i="12"/>
  <c r="T24" i="12" s="1"/>
  <c r="T8" i="12"/>
  <c r="T28" i="12" s="1"/>
  <c r="O15" i="12"/>
  <c r="O35" i="12" s="1"/>
  <c r="N49" i="12" s="1"/>
  <c r="O19" i="12"/>
  <c r="O39" i="12" s="1"/>
  <c r="N53" i="12" s="1"/>
  <c r="S4" i="12"/>
  <c r="S24" i="12" s="1"/>
  <c r="T9" i="12"/>
  <c r="T29" i="12" s="1"/>
  <c r="N15" i="12"/>
  <c r="N35" i="12" s="1"/>
  <c r="M5" i="12"/>
  <c r="M25" i="12" s="1"/>
  <c r="S5" i="12"/>
  <c r="S25" i="12" s="1"/>
  <c r="N12" i="12"/>
  <c r="N32" i="12" s="1"/>
  <c r="N16" i="12"/>
  <c r="N36" i="12" s="1"/>
  <c r="M3" i="12"/>
  <c r="M23" i="12" s="1"/>
  <c r="S6" i="12"/>
  <c r="S26" i="12" s="1"/>
  <c r="N13" i="12"/>
  <c r="N33" i="12" s="1"/>
  <c r="N17" i="12"/>
  <c r="N37" i="12" s="1"/>
  <c r="H19" i="12"/>
  <c r="H39" i="12" s="1"/>
  <c r="H11" i="12"/>
  <c r="H31" i="12" s="1"/>
  <c r="E45" i="12" s="1"/>
  <c r="J19" i="12"/>
  <c r="J39" i="12" s="1"/>
  <c r="I15" i="12"/>
  <c r="I35" i="12" s="1"/>
  <c r="I7" i="12"/>
  <c r="I27" i="12" s="1"/>
  <c r="J8" i="12"/>
  <c r="J28" i="12" s="1"/>
  <c r="C17" i="12"/>
  <c r="C37" i="12" s="1"/>
  <c r="C9" i="12"/>
  <c r="C29" i="12" s="1"/>
  <c r="D17" i="12"/>
  <c r="D37" i="12" s="1"/>
  <c r="D9" i="12"/>
  <c r="D29" i="12" s="1"/>
  <c r="D18" i="12"/>
  <c r="D38" i="12" s="1"/>
  <c r="E13" i="12"/>
  <c r="E33" i="12" s="1"/>
  <c r="D47" i="12" s="1"/>
  <c r="E5" i="12"/>
  <c r="E25" i="12" s="1"/>
  <c r="F15" i="12"/>
  <c r="F35" i="12" s="1"/>
  <c r="F7" i="12"/>
  <c r="F27" i="12" s="1"/>
  <c r="G17" i="12"/>
  <c r="G37" i="12" s="1"/>
  <c r="G9" i="12"/>
  <c r="G29" i="12" s="1"/>
  <c r="T12" i="12"/>
  <c r="T32" i="12" s="1"/>
  <c r="T16" i="12"/>
  <c r="T36" i="12" s="1"/>
  <c r="N14" i="12"/>
  <c r="N34" i="12" s="1"/>
  <c r="N18" i="12"/>
  <c r="N38" i="12" s="1"/>
  <c r="R3" i="12"/>
  <c r="R23" i="12" s="1"/>
  <c r="S8" i="12"/>
  <c r="S28" i="12" s="1"/>
  <c r="T13" i="12"/>
  <c r="T33" i="12" s="1"/>
  <c r="N19" i="12"/>
  <c r="N39" i="12" s="1"/>
  <c r="R4" i="12"/>
  <c r="R24" i="12" s="1"/>
  <c r="T10" i="12"/>
  <c r="T30" i="12" s="1"/>
  <c r="T14" i="12"/>
  <c r="T34" i="12" s="1"/>
  <c r="M12" i="12"/>
  <c r="M32" i="12" s="1"/>
  <c r="R5" i="12"/>
  <c r="R25" i="12" s="1"/>
  <c r="T11" i="12"/>
  <c r="T31" i="12" s="1"/>
  <c r="T15" i="12"/>
  <c r="T35" i="12" s="1"/>
  <c r="M19" i="12"/>
  <c r="M39" i="12" s="1"/>
  <c r="M53" i="12" s="1"/>
  <c r="R6" i="12"/>
  <c r="R26" i="12" s="1"/>
  <c r="E3" i="12"/>
  <c r="E23" i="12" s="1"/>
  <c r="H12" i="12"/>
  <c r="H32" i="12" s="1"/>
  <c r="H4" i="12"/>
  <c r="H24" i="12" s="1"/>
  <c r="I16" i="12"/>
  <c r="I36" i="12" s="1"/>
  <c r="I8" i="12"/>
  <c r="I28" i="12" s="1"/>
  <c r="J9" i="12"/>
  <c r="J29" i="12" s="1"/>
  <c r="C18" i="12"/>
  <c r="C38" i="12" s="1"/>
  <c r="C10" i="12"/>
  <c r="C30" i="12" s="1"/>
  <c r="D19" i="12"/>
  <c r="D39" i="12" s="1"/>
  <c r="D10" i="12"/>
  <c r="D30" i="12" s="1"/>
  <c r="J11" i="12"/>
  <c r="J31" i="12" s="1"/>
  <c r="E14" i="12"/>
  <c r="E34" i="12" s="1"/>
  <c r="D48" i="12" s="1"/>
  <c r="D9" i="14" s="1"/>
  <c r="E6" i="12"/>
  <c r="E26" i="12" s="1"/>
  <c r="F16" i="12"/>
  <c r="F36" i="12" s="1"/>
  <c r="F8" i="12"/>
  <c r="F28" i="12" s="1"/>
  <c r="G18" i="12"/>
  <c r="G38" i="12" s="1"/>
  <c r="G10" i="12"/>
  <c r="G30" i="12" s="1"/>
  <c r="E44" i="12" s="1"/>
  <c r="E5" i="14" s="1"/>
  <c r="M18" i="12"/>
  <c r="M38" i="12" s="1"/>
  <c r="Q6" i="12"/>
  <c r="Q26" i="12" s="1"/>
  <c r="R11" i="12"/>
  <c r="R31" i="12" s="1"/>
  <c r="R7" i="12"/>
  <c r="R27" i="12" s="1"/>
  <c r="S12" i="12"/>
  <c r="S32" i="12" s="1"/>
  <c r="T17" i="12"/>
  <c r="T37" i="12" s="1"/>
  <c r="Q3" i="12"/>
  <c r="Q23" i="12" s="1"/>
  <c r="S9" i="12"/>
  <c r="S29" i="12" s="1"/>
  <c r="S13" i="12"/>
  <c r="S33" i="12" s="1"/>
  <c r="M4" i="12"/>
  <c r="M24" i="12" s="1"/>
  <c r="Q4" i="12"/>
  <c r="Q24" i="12" s="1"/>
  <c r="S10" i="12"/>
  <c r="S30" i="12" s="1"/>
  <c r="S14" i="12"/>
  <c r="S34" i="12" s="1"/>
  <c r="M11" i="12"/>
  <c r="M31" i="12" s="1"/>
  <c r="Q5" i="12"/>
  <c r="Q25" i="12" s="1"/>
  <c r="S11" i="12"/>
  <c r="S31" i="12" s="1"/>
  <c r="S15" i="12"/>
  <c r="S35" i="12" s="1"/>
  <c r="J17" i="12"/>
  <c r="J37" i="12" s="1"/>
  <c r="H13" i="12"/>
  <c r="H33" i="12" s="1"/>
  <c r="H5" i="12"/>
  <c r="H25" i="12" s="1"/>
  <c r="I17" i="12"/>
  <c r="I37" i="12" s="1"/>
  <c r="I9" i="12"/>
  <c r="I29" i="12" s="1"/>
  <c r="J10" i="12"/>
  <c r="J30" i="12" s="1"/>
  <c r="C19" i="12"/>
  <c r="C39" i="12" s="1"/>
  <c r="C53" i="12" s="1"/>
  <c r="C11" i="12"/>
  <c r="C31" i="12" s="1"/>
  <c r="J15" i="12"/>
  <c r="J35" i="12" s="1"/>
  <c r="D11" i="12"/>
  <c r="D31" i="12" s="1"/>
  <c r="J18" i="12"/>
  <c r="J38" i="12" s="1"/>
  <c r="E15" i="12"/>
  <c r="E35" i="12" s="1"/>
  <c r="D49" i="12" s="1"/>
  <c r="E7" i="12"/>
  <c r="E27" i="12" s="1"/>
  <c r="F17" i="12"/>
  <c r="F37" i="12" s="1"/>
  <c r="F9" i="12"/>
  <c r="F29" i="12" s="1"/>
  <c r="G19" i="12"/>
  <c r="G39" i="12" s="1"/>
  <c r="D43" i="10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C65" i="6"/>
  <c r="D65" i="6"/>
  <c r="C66" i="6"/>
  <c r="D66" i="6"/>
  <c r="C67" i="6"/>
  <c r="D67" i="6"/>
  <c r="C68" i="6"/>
  <c r="D68" i="6"/>
  <c r="C69" i="6"/>
  <c r="D69" i="6"/>
  <c r="C70" i="6"/>
  <c r="D70" i="6"/>
  <c r="C71" i="6"/>
  <c r="D71" i="6"/>
  <c r="C72" i="6"/>
  <c r="D72" i="6"/>
  <c r="C73" i="6"/>
  <c r="D73" i="6"/>
  <c r="C74" i="6"/>
  <c r="D74" i="6"/>
  <c r="C75" i="6"/>
  <c r="D75" i="6"/>
  <c r="C76" i="6"/>
  <c r="D76" i="6"/>
  <c r="D7" i="2"/>
  <c r="D3" i="6" s="1"/>
  <c r="D8" i="2"/>
  <c r="D4" i="6" s="1"/>
  <c r="D9" i="2"/>
  <c r="D5" i="6" s="1"/>
  <c r="D10" i="2"/>
  <c r="D6" i="6" s="1"/>
  <c r="D11" i="2"/>
  <c r="D7" i="6" s="1"/>
  <c r="D12" i="2"/>
  <c r="D8" i="6" s="1"/>
  <c r="D13" i="2"/>
  <c r="D9" i="6" s="1"/>
  <c r="D14" i="2"/>
  <c r="D10" i="6" s="1"/>
  <c r="D15" i="2"/>
  <c r="D11" i="6" s="1"/>
  <c r="D16" i="2"/>
  <c r="D12" i="6" s="1"/>
  <c r="D17" i="2"/>
  <c r="D13" i="6" s="1"/>
  <c r="D18" i="2"/>
  <c r="D14" i="6" s="1"/>
  <c r="D19" i="2"/>
  <c r="D15" i="6" s="1"/>
  <c r="D20" i="2"/>
  <c r="D16" i="6" s="1"/>
  <c r="D21" i="2"/>
  <c r="D17" i="6" s="1"/>
  <c r="D22" i="2"/>
  <c r="D18" i="6" s="1"/>
  <c r="D23" i="2"/>
  <c r="D19" i="6" s="1"/>
  <c r="D24" i="2"/>
  <c r="D20" i="6" s="1"/>
  <c r="D25" i="2"/>
  <c r="D21" i="6" s="1"/>
  <c r="D26" i="2"/>
  <c r="D22" i="6" s="1"/>
  <c r="D27" i="2"/>
  <c r="D23" i="6" s="1"/>
  <c r="D28" i="2"/>
  <c r="D24" i="6" s="1"/>
  <c r="D29" i="2"/>
  <c r="D25" i="6" s="1"/>
  <c r="D30" i="2"/>
  <c r="D26" i="6" s="1"/>
  <c r="D31" i="2"/>
  <c r="D27" i="6" s="1"/>
  <c r="D32" i="2"/>
  <c r="D28" i="6" s="1"/>
  <c r="D33" i="2"/>
  <c r="D29" i="6" s="1"/>
  <c r="D34" i="2"/>
  <c r="D30" i="6" s="1"/>
  <c r="D35" i="2"/>
  <c r="D31" i="6" s="1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53" i="2"/>
  <c r="D49" i="6" s="1"/>
  <c r="D54" i="2"/>
  <c r="D50" i="6" s="1"/>
  <c r="D55" i="2"/>
  <c r="D51" i="6" s="1"/>
  <c r="D56" i="2"/>
  <c r="D52" i="6" s="1"/>
  <c r="D57" i="2"/>
  <c r="D53" i="6" s="1"/>
  <c r="D58" i="2"/>
  <c r="D54" i="6" s="1"/>
  <c r="D59" i="2"/>
  <c r="D55" i="6" s="1"/>
  <c r="D60" i="2"/>
  <c r="D56" i="6" s="1"/>
  <c r="D61" i="2"/>
  <c r="D57" i="6" s="1"/>
  <c r="D62" i="2"/>
  <c r="D58" i="6" s="1"/>
  <c r="D63" i="2"/>
  <c r="D59" i="6" s="1"/>
  <c r="D64" i="2"/>
  <c r="D60" i="6" s="1"/>
  <c r="D65" i="2"/>
  <c r="D61" i="6" s="1"/>
  <c r="D66" i="2"/>
  <c r="D62" i="6" s="1"/>
  <c r="D67" i="2"/>
  <c r="D63" i="6" s="1"/>
  <c r="D68" i="2"/>
  <c r="D64" i="6" s="1"/>
  <c r="D6" i="2"/>
  <c r="D2" i="6" s="1"/>
  <c r="A1" i="6"/>
  <c r="B1" i="6"/>
  <c r="D49" i="10"/>
  <c r="C42" i="10"/>
  <c r="D8" i="14" l="1"/>
  <c r="M46" i="12"/>
  <c r="E49" i="12"/>
  <c r="E53" i="12"/>
  <c r="C14" i="14"/>
  <c r="F48" i="12"/>
  <c r="D72" i="14"/>
  <c r="F46" i="12"/>
  <c r="M45" i="12"/>
  <c r="E52" i="12"/>
  <c r="D7" i="14"/>
  <c r="O49" i="12"/>
  <c r="D10" i="14"/>
  <c r="F50" i="12"/>
  <c r="P53" i="12"/>
  <c r="O50" i="12"/>
  <c r="E11" i="14" s="1"/>
  <c r="O52" i="12"/>
  <c r="E51" i="12"/>
  <c r="E12" i="14" s="1"/>
  <c r="F51" i="12"/>
  <c r="M52" i="12"/>
  <c r="C52" i="12"/>
  <c r="O53" i="12"/>
  <c r="C51" i="12"/>
  <c r="C49" i="12"/>
  <c r="M43" i="12"/>
  <c r="C50" i="12"/>
  <c r="M48" i="12"/>
  <c r="D13" i="14"/>
  <c r="F53" i="12"/>
  <c r="C43" i="12"/>
  <c r="M50" i="12"/>
  <c r="C46" i="12"/>
  <c r="P43" i="12"/>
  <c r="F49" i="12"/>
  <c r="D5" i="14"/>
  <c r="F45" i="12"/>
  <c r="E46" i="12"/>
  <c r="E7" i="14" s="1"/>
  <c r="D14" i="14"/>
  <c r="E43" i="12"/>
  <c r="P47" i="12"/>
  <c r="F8" i="14" s="1"/>
  <c r="P45" i="12"/>
  <c r="C47" i="12"/>
  <c r="P49" i="12"/>
  <c r="P51" i="12"/>
  <c r="E47" i="12"/>
  <c r="E8" i="14" s="1"/>
  <c r="F43" i="12"/>
  <c r="M47" i="12"/>
  <c r="C48" i="12"/>
  <c r="M49" i="12"/>
  <c r="N43" i="12"/>
  <c r="N54" i="12" s="1"/>
  <c r="P44" i="12"/>
  <c r="D11" i="14"/>
  <c r="M51" i="12"/>
  <c r="O43" i="12"/>
  <c r="C44" i="12"/>
  <c r="D43" i="12"/>
  <c r="P48" i="12"/>
  <c r="P46" i="12"/>
  <c r="D12" i="14"/>
  <c r="O45" i="12"/>
  <c r="F52" i="12"/>
  <c r="C45" i="12"/>
  <c r="P50" i="12"/>
  <c r="F44" i="12"/>
  <c r="M44" i="12"/>
  <c r="Q19" i="10"/>
  <c r="B42" i="10"/>
  <c r="G18" i="10"/>
  <c r="G14" i="10"/>
  <c r="G10" i="10"/>
  <c r="R19" i="10"/>
  <c r="G19" i="10"/>
  <c r="G13" i="10"/>
  <c r="G9" i="10"/>
  <c r="G11" i="10"/>
  <c r="G15" i="10"/>
  <c r="G17" i="10"/>
  <c r="G12" i="10"/>
  <c r="G20" i="10"/>
  <c r="G16" i="10"/>
  <c r="E10" i="14" l="1"/>
  <c r="F9" i="14"/>
  <c r="E14" i="14"/>
  <c r="E13" i="14"/>
  <c r="F7" i="14"/>
  <c r="F14" i="14"/>
  <c r="F11" i="14"/>
  <c r="F12" i="14"/>
  <c r="Q52" i="12"/>
  <c r="C13" i="14"/>
  <c r="G51" i="12"/>
  <c r="Q53" i="12"/>
  <c r="G49" i="12"/>
  <c r="Q47" i="12"/>
  <c r="Q44" i="12"/>
  <c r="Q45" i="12"/>
  <c r="O54" i="12"/>
  <c r="F6" i="14"/>
  <c r="G47" i="12"/>
  <c r="C8" i="14"/>
  <c r="G8" i="14" s="1"/>
  <c r="E6" i="14"/>
  <c r="G44" i="12"/>
  <c r="C5" i="14"/>
  <c r="C54" i="12"/>
  <c r="C4" i="14"/>
  <c r="G43" i="12"/>
  <c r="F13" i="14"/>
  <c r="G52" i="12"/>
  <c r="G45" i="12"/>
  <c r="C6" i="14"/>
  <c r="Q49" i="12"/>
  <c r="C10" i="14"/>
  <c r="Q50" i="12"/>
  <c r="G53" i="12"/>
  <c r="G48" i="12"/>
  <c r="C9" i="14"/>
  <c r="C7" i="14"/>
  <c r="G7" i="14" s="1"/>
  <c r="G46" i="12"/>
  <c r="Q46" i="12"/>
  <c r="E4" i="14"/>
  <c r="E54" i="12"/>
  <c r="Q43" i="12"/>
  <c r="M54" i="12"/>
  <c r="P54" i="12"/>
  <c r="D54" i="12"/>
  <c r="D4" i="14"/>
  <c r="D15" i="14" s="1"/>
  <c r="C11" i="14"/>
  <c r="G11" i="14" s="1"/>
  <c r="G50" i="12"/>
  <c r="F5" i="14"/>
  <c r="Q51" i="12"/>
  <c r="C12" i="14"/>
  <c r="F54" i="12"/>
  <c r="F4" i="14"/>
  <c r="F10" i="14"/>
  <c r="Q48" i="12"/>
  <c r="Q18" i="10"/>
  <c r="Q17" i="10"/>
  <c r="Q16" i="10"/>
  <c r="Q15" i="10"/>
  <c r="Q14" i="10"/>
  <c r="Q13" i="10"/>
  <c r="Q12" i="10"/>
  <c r="Q11" i="10"/>
  <c r="Q10" i="10"/>
  <c r="Q9" i="10"/>
  <c r="Q8" i="10"/>
  <c r="Q7" i="10"/>
  <c r="Q6" i="10"/>
  <c r="Q5" i="10"/>
  <c r="Q4" i="10"/>
  <c r="Q3" i="10"/>
  <c r="R17" i="10"/>
  <c r="R13" i="10"/>
  <c r="R9" i="10"/>
  <c r="R5" i="10"/>
  <c r="R10" i="10"/>
  <c r="R16" i="10"/>
  <c r="R12" i="10"/>
  <c r="R8" i="10"/>
  <c r="R4" i="10"/>
  <c r="R18" i="10"/>
  <c r="R6" i="10"/>
  <c r="R15" i="10"/>
  <c r="R11" i="10"/>
  <c r="R7" i="10"/>
  <c r="R3" i="10"/>
  <c r="R14" i="10"/>
  <c r="G9" i="14" l="1"/>
  <c r="G14" i="14"/>
  <c r="G12" i="14"/>
  <c r="G13" i="14"/>
  <c r="G5" i="14"/>
  <c r="C15" i="14"/>
  <c r="E15" i="14"/>
  <c r="F15" i="14"/>
  <c r="Q54" i="12"/>
  <c r="G54" i="12"/>
  <c r="G6" i="14"/>
  <c r="G10" i="14"/>
  <c r="G4" i="14"/>
  <c r="G15" i="14" l="1"/>
  <c r="D48" i="10"/>
  <c r="D47" i="10"/>
  <c r="D46" i="10"/>
  <c r="D45" i="10"/>
  <c r="D44" i="10"/>
  <c r="BA207" i="2" l="1"/>
  <c r="AZ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AK207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G207" i="2"/>
  <c r="F207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G206" i="2"/>
  <c r="F206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G205" i="2"/>
  <c r="F205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G204" i="2"/>
  <c r="F204" i="2"/>
  <c r="BA203" i="2"/>
  <c r="AZ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G203" i="2"/>
  <c r="F203" i="2"/>
  <c r="BA202" i="2"/>
  <c r="AZ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G202" i="2"/>
  <c r="F202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G201" i="2"/>
  <c r="F201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G200" i="2"/>
  <c r="F200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G199" i="2"/>
  <c r="F199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G198" i="2"/>
  <c r="F198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G197" i="2"/>
  <c r="F197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G196" i="2"/>
  <c r="F196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G195" i="2"/>
  <c r="F195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G194" i="2"/>
  <c r="F194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G193" i="2"/>
  <c r="F193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G192" i="2"/>
  <c r="F192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G191" i="2"/>
  <c r="F191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G190" i="2"/>
  <c r="F190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G189" i="2"/>
  <c r="F189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G188" i="2"/>
  <c r="F188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G187" i="2"/>
  <c r="F187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G186" i="2"/>
  <c r="F186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G185" i="2"/>
  <c r="F185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G184" i="2"/>
  <c r="F184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G183" i="2"/>
  <c r="F183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G182" i="2"/>
  <c r="F182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G181" i="2"/>
  <c r="F181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G180" i="2"/>
  <c r="F180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G179" i="2"/>
  <c r="F179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G178" i="2"/>
  <c r="F178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G177" i="2"/>
  <c r="F177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G176" i="2"/>
  <c r="F176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G175" i="2"/>
  <c r="F175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G174" i="2"/>
  <c r="F174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G173" i="2"/>
  <c r="F173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G172" i="2"/>
  <c r="F172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G171" i="2"/>
  <c r="F171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G170" i="2"/>
  <c r="F170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G169" i="2"/>
  <c r="F169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G168" i="2"/>
  <c r="F168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G167" i="2"/>
  <c r="F167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G166" i="2"/>
  <c r="F166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G165" i="2"/>
  <c r="F165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G164" i="2"/>
  <c r="F164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G163" i="2"/>
  <c r="F163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G162" i="2"/>
  <c r="F162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G161" i="2"/>
  <c r="F161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G160" i="2"/>
  <c r="F160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G159" i="2"/>
  <c r="F159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G158" i="2"/>
  <c r="F158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G157" i="2"/>
  <c r="F157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G156" i="2"/>
  <c r="F156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G155" i="2"/>
  <c r="F155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G154" i="2"/>
  <c r="F154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G153" i="2"/>
  <c r="F153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G152" i="2"/>
  <c r="F152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G151" i="2"/>
  <c r="F151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G150" i="2"/>
  <c r="F150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G149" i="2"/>
  <c r="F149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G148" i="2"/>
  <c r="F148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G147" i="2"/>
  <c r="F147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G146" i="2"/>
  <c r="F146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G145" i="2"/>
  <c r="F145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G144" i="2"/>
  <c r="F144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D14" i="1" l="1"/>
  <c r="D6" i="1"/>
  <c r="E6" i="1"/>
  <c r="E8" i="1"/>
  <c r="E10" i="1"/>
  <c r="E9" i="1"/>
  <c r="F6" i="1"/>
  <c r="F14" i="1"/>
  <c r="T49" i="13"/>
  <c r="S120" i="13" l="1"/>
  <c r="BA1" i="2"/>
  <c r="BA2" i="2"/>
  <c r="H1" i="6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1" i="7"/>
  <c r="C1" i="7"/>
  <c r="I1" i="6"/>
  <c r="J1" i="6" s="1"/>
  <c r="K1" i="6" s="1"/>
  <c r="L1" i="6" s="1"/>
  <c r="M1" i="6" s="1"/>
  <c r="N1" i="6" s="1"/>
  <c r="O1" i="6" s="1"/>
  <c r="P1" i="6" s="1"/>
  <c r="Q1" i="6" s="1"/>
  <c r="R1" i="6" s="1"/>
  <c r="S1" i="6" s="1"/>
  <c r="T1" i="6" s="1"/>
  <c r="U1" i="6" s="1"/>
  <c r="V1" i="6" s="1"/>
  <c r="W1" i="6" s="1"/>
  <c r="X1" i="6" s="1"/>
  <c r="Y1" i="6" s="1"/>
  <c r="Z1" i="6" s="1"/>
  <c r="AA1" i="6" s="1"/>
  <c r="AB1" i="6" s="1"/>
  <c r="AC1" i="6" s="1"/>
  <c r="AD1" i="6" s="1"/>
  <c r="AE1" i="6" s="1"/>
  <c r="AF1" i="6" s="1"/>
  <c r="AG1" i="6" s="1"/>
  <c r="AH1" i="6" s="1"/>
  <c r="AI1" i="6" s="1"/>
  <c r="AJ1" i="6" s="1"/>
  <c r="AK1" i="6" s="1"/>
  <c r="AL1" i="6" s="1"/>
  <c r="AM1" i="6" s="1"/>
  <c r="AN1" i="6" s="1"/>
  <c r="AO1" i="6" s="1"/>
  <c r="AP1" i="6" s="1"/>
  <c r="AQ1" i="6" s="1"/>
  <c r="AR1" i="6" s="1"/>
  <c r="AS1" i="6" s="1"/>
  <c r="AT1" i="6" s="1"/>
  <c r="AU1" i="6" s="1"/>
  <c r="AV1" i="6" s="1"/>
  <c r="AW1" i="6" s="1"/>
  <c r="AX1" i="6" s="1"/>
  <c r="AY1" i="6" s="1"/>
  <c r="AZ1" i="6" s="1"/>
  <c r="BA1" i="6" s="1"/>
  <c r="BB1" i="6" s="1"/>
  <c r="BC1" i="6" s="1"/>
  <c r="E1" i="2" l="1"/>
  <c r="E5" i="2" s="1"/>
  <c r="F1" i="2"/>
  <c r="F5" i="2" s="1"/>
  <c r="A2" i="7"/>
  <c r="B2" i="7" s="1"/>
  <c r="E6" i="2" s="1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CG2" i="7"/>
  <c r="CH2" i="7"/>
  <c r="CI2" i="7"/>
  <c r="CJ2" i="7"/>
  <c r="CK2" i="7"/>
  <c r="CL2" i="7"/>
  <c r="CM2" i="7"/>
  <c r="A3" i="7"/>
  <c r="B3" i="7" s="1"/>
  <c r="E7" i="2" s="1"/>
  <c r="A4" i="7"/>
  <c r="B4" i="7" s="1"/>
  <c r="E8" i="2" s="1"/>
  <c r="A5" i="7"/>
  <c r="B5" i="7" s="1"/>
  <c r="E9" i="2" s="1"/>
  <c r="A6" i="7"/>
  <c r="B6" i="7" s="1"/>
  <c r="E10" i="2" s="1"/>
  <c r="A7" i="7"/>
  <c r="B7" i="7" s="1"/>
  <c r="E11" i="2" s="1"/>
  <c r="A8" i="7"/>
  <c r="B8" i="7" s="1"/>
  <c r="E12" i="2" s="1"/>
  <c r="A9" i="7"/>
  <c r="B9" i="7" s="1"/>
  <c r="E13" i="2" s="1"/>
  <c r="A10" i="7"/>
  <c r="B10" i="7" s="1"/>
  <c r="E14" i="2" s="1"/>
  <c r="A11" i="7"/>
  <c r="B11" i="7" s="1"/>
  <c r="E15" i="2" s="1"/>
  <c r="A12" i="7"/>
  <c r="B12" i="7" s="1"/>
  <c r="E16" i="2" s="1"/>
  <c r="A13" i="7"/>
  <c r="B13" i="7" s="1"/>
  <c r="E17" i="2" s="1"/>
  <c r="A14" i="7"/>
  <c r="B14" i="7" s="1"/>
  <c r="E18" i="2" s="1"/>
  <c r="A15" i="7"/>
  <c r="B15" i="7" s="1"/>
  <c r="E19" i="2" s="1"/>
  <c r="A16" i="7"/>
  <c r="B16" i="7" s="1"/>
  <c r="E20" i="2" s="1"/>
  <c r="A17" i="7"/>
  <c r="B17" i="7" s="1"/>
  <c r="E21" i="2" s="1"/>
  <c r="A18" i="7"/>
  <c r="B18" i="7" s="1"/>
  <c r="E22" i="2" s="1"/>
  <c r="A19" i="7"/>
  <c r="B19" i="7" s="1"/>
  <c r="E23" i="2" s="1"/>
  <c r="A20" i="7"/>
  <c r="B20" i="7" s="1"/>
  <c r="E24" i="2" s="1"/>
  <c r="A21" i="7"/>
  <c r="B21" i="7" s="1"/>
  <c r="E25" i="2" s="1"/>
  <c r="A22" i="7"/>
  <c r="B22" i="7" s="1"/>
  <c r="E26" i="2" s="1"/>
  <c r="A23" i="7"/>
  <c r="B23" i="7" s="1"/>
  <c r="E27" i="2" s="1"/>
  <c r="A24" i="7"/>
  <c r="B24" i="7" s="1"/>
  <c r="E28" i="2" s="1"/>
  <c r="A25" i="7"/>
  <c r="B25" i="7" s="1"/>
  <c r="E29" i="2" s="1"/>
  <c r="A26" i="7"/>
  <c r="B26" i="7" s="1"/>
  <c r="E30" i="2" s="1"/>
  <c r="A27" i="7"/>
  <c r="B27" i="7" s="1"/>
  <c r="E31" i="2" s="1"/>
  <c r="A28" i="7"/>
  <c r="B28" i="7" s="1"/>
  <c r="E32" i="2" s="1"/>
  <c r="A29" i="7"/>
  <c r="B29" i="7" s="1"/>
  <c r="E33" i="2" s="1"/>
  <c r="A30" i="7"/>
  <c r="B30" i="7" s="1"/>
  <c r="E34" i="2" s="1"/>
  <c r="A31" i="7"/>
  <c r="B31" i="7" s="1"/>
  <c r="E35" i="2" s="1"/>
  <c r="A32" i="7"/>
  <c r="B32" i="7" s="1"/>
  <c r="E36" i="2" s="1"/>
  <c r="A33" i="7"/>
  <c r="B33" i="7" s="1"/>
  <c r="E37" i="2" s="1"/>
  <c r="A34" i="7"/>
  <c r="B34" i="7" s="1"/>
  <c r="E38" i="2" s="1"/>
  <c r="A35" i="7"/>
  <c r="B35" i="7" s="1"/>
  <c r="E39" i="2" s="1"/>
  <c r="A36" i="7"/>
  <c r="B36" i="7" s="1"/>
  <c r="E40" i="2" s="1"/>
  <c r="A37" i="7"/>
  <c r="B37" i="7" s="1"/>
  <c r="E41" i="2" s="1"/>
  <c r="A38" i="7"/>
  <c r="B38" i="7" s="1"/>
  <c r="E42" i="2" s="1"/>
  <c r="A39" i="7"/>
  <c r="B39" i="7" s="1"/>
  <c r="E43" i="2" s="1"/>
  <c r="A40" i="7"/>
  <c r="B40" i="7" s="1"/>
  <c r="E44" i="2" s="1"/>
  <c r="A41" i="7"/>
  <c r="B41" i="7" s="1"/>
  <c r="E45" i="2" s="1"/>
  <c r="A42" i="7"/>
  <c r="B42" i="7" s="1"/>
  <c r="E46" i="2" s="1"/>
  <c r="A43" i="7"/>
  <c r="B43" i="7" s="1"/>
  <c r="E47" i="2" s="1"/>
  <c r="A44" i="7"/>
  <c r="B44" i="7" s="1"/>
  <c r="E48" i="2" s="1"/>
  <c r="A45" i="7"/>
  <c r="B45" i="7" s="1"/>
  <c r="E49" i="2" s="1"/>
  <c r="A46" i="7"/>
  <c r="B46" i="7" s="1"/>
  <c r="E50" i="2" s="1"/>
  <c r="A47" i="7"/>
  <c r="B47" i="7" s="1"/>
  <c r="E51" i="2" s="1"/>
  <c r="A48" i="7"/>
  <c r="B48" i="7" s="1"/>
  <c r="E52" i="2" s="1"/>
  <c r="A49" i="7"/>
  <c r="B49" i="7" s="1"/>
  <c r="E53" i="2" s="1"/>
  <c r="A50" i="7"/>
  <c r="B50" i="7" s="1"/>
  <c r="E54" i="2" s="1"/>
  <c r="A51" i="7"/>
  <c r="B51" i="7" s="1"/>
  <c r="E55" i="2" s="1"/>
  <c r="A52" i="7"/>
  <c r="B52" i="7" s="1"/>
  <c r="E56" i="2" s="1"/>
  <c r="A53" i="7"/>
  <c r="B53" i="7" s="1"/>
  <c r="E57" i="2" s="1"/>
  <c r="A54" i="7"/>
  <c r="B54" i="7" s="1"/>
  <c r="E58" i="2" s="1"/>
  <c r="A55" i="7"/>
  <c r="B55" i="7" s="1"/>
  <c r="E59" i="2" s="1"/>
  <c r="A56" i="7"/>
  <c r="B56" i="7" s="1"/>
  <c r="E60" i="2" s="1"/>
  <c r="A57" i="7"/>
  <c r="B57" i="7" s="1"/>
  <c r="E61" i="2" s="1"/>
  <c r="A58" i="7"/>
  <c r="B58" i="7" s="1"/>
  <c r="E62" i="2" s="1"/>
  <c r="A59" i="7"/>
  <c r="B59" i="7" s="1"/>
  <c r="E63" i="2" s="1"/>
  <c r="A60" i="7"/>
  <c r="B60" i="7" s="1"/>
  <c r="E64" i="2" s="1"/>
  <c r="A61" i="7"/>
  <c r="B61" i="7"/>
  <c r="E65" i="2" s="1"/>
  <c r="A62" i="7"/>
  <c r="B62" i="7" s="1"/>
  <c r="E66" i="2" s="1"/>
  <c r="A63" i="7"/>
  <c r="B63" i="7" s="1"/>
  <c r="E67" i="2" s="1"/>
  <c r="A64" i="7"/>
  <c r="B64" i="7" s="1"/>
  <c r="E68" i="2" s="1"/>
  <c r="A65" i="7"/>
  <c r="B65" i="7" s="1"/>
  <c r="E69" i="2" s="1"/>
  <c r="A66" i="7"/>
  <c r="B66" i="7" s="1"/>
  <c r="E70" i="2" s="1"/>
  <c r="A67" i="7"/>
  <c r="B67" i="7" s="1"/>
  <c r="E71" i="2" s="1"/>
  <c r="A68" i="7"/>
  <c r="B68" i="7" s="1"/>
  <c r="E72" i="2" s="1"/>
  <c r="A69" i="7"/>
  <c r="B69" i="7" s="1"/>
  <c r="E73" i="2" s="1"/>
  <c r="A70" i="7"/>
  <c r="B70" i="7" s="1"/>
  <c r="E74" i="2" s="1"/>
  <c r="A71" i="7"/>
  <c r="B71" i="7" s="1"/>
  <c r="E75" i="2" s="1"/>
  <c r="A72" i="7"/>
  <c r="B72" i="7" s="1"/>
  <c r="E76" i="2" s="1"/>
  <c r="A73" i="7"/>
  <c r="B73" i="7" s="1"/>
  <c r="E77" i="2" s="1"/>
  <c r="A74" i="7"/>
  <c r="B74" i="7" s="1"/>
  <c r="E78" i="2" s="1"/>
  <c r="A75" i="7"/>
  <c r="B75" i="7" s="1"/>
  <c r="E79" i="2" s="1"/>
  <c r="A76" i="7"/>
  <c r="B76" i="7" s="1"/>
  <c r="E80" i="2" s="1"/>
  <c r="A77" i="7"/>
  <c r="B77" i="7" s="1"/>
  <c r="E81" i="2" s="1"/>
  <c r="A78" i="7"/>
  <c r="B78" i="7" s="1"/>
  <c r="E82" i="2" s="1"/>
  <c r="A79" i="7"/>
  <c r="B79" i="7" s="1"/>
  <c r="E83" i="2" s="1"/>
  <c r="A80" i="7"/>
  <c r="B80" i="7" s="1"/>
  <c r="E84" i="2" s="1"/>
  <c r="A81" i="7"/>
  <c r="B81" i="7" s="1"/>
  <c r="E85" i="2" s="1"/>
  <c r="A82" i="7"/>
  <c r="B82" i="7" s="1"/>
  <c r="E86" i="2" s="1"/>
  <c r="A83" i="7"/>
  <c r="B83" i="7" s="1"/>
  <c r="E87" i="2" s="1"/>
  <c r="A84" i="7"/>
  <c r="B84" i="7" s="1"/>
  <c r="E88" i="2" s="1"/>
  <c r="A85" i="7"/>
  <c r="B85" i="7" s="1"/>
  <c r="E89" i="2" s="1"/>
  <c r="A86" i="7"/>
  <c r="B86" i="7" s="1"/>
  <c r="E90" i="2" s="1"/>
  <c r="A87" i="7"/>
  <c r="B87" i="7" s="1"/>
  <c r="E91" i="2" s="1"/>
  <c r="A88" i="7"/>
  <c r="B88" i="7" s="1"/>
  <c r="E92" i="2" s="1"/>
  <c r="A89" i="7"/>
  <c r="B89" i="7" s="1"/>
  <c r="E93" i="2" s="1"/>
  <c r="A90" i="7"/>
  <c r="B90" i="7" s="1"/>
  <c r="E94" i="2" s="1"/>
  <c r="A91" i="7"/>
  <c r="B91" i="7" s="1"/>
  <c r="E95" i="2" s="1"/>
  <c r="A92" i="7"/>
  <c r="B92" i="7" s="1"/>
  <c r="E96" i="2" s="1"/>
  <c r="A93" i="7"/>
  <c r="B93" i="7" s="1"/>
  <c r="E97" i="2" s="1"/>
  <c r="A94" i="7"/>
  <c r="B94" i="7" s="1"/>
  <c r="E98" i="2" s="1"/>
  <c r="A95" i="7"/>
  <c r="B95" i="7" s="1"/>
  <c r="E99" i="2" s="1"/>
  <c r="A96" i="7"/>
  <c r="B96" i="7" s="1"/>
  <c r="E100" i="2" s="1"/>
  <c r="A97" i="7"/>
  <c r="B97" i="7" s="1"/>
  <c r="E101" i="2" s="1"/>
  <c r="A98" i="7"/>
  <c r="B98" i="7" s="1"/>
  <c r="E102" i="2" s="1"/>
  <c r="A99" i="7"/>
  <c r="B99" i="7" s="1"/>
  <c r="E103" i="2" s="1"/>
  <c r="D1" i="7"/>
  <c r="BF6" i="2" l="1"/>
  <c r="BB2" i="7" s="1"/>
  <c r="BE6" i="2" s="1"/>
  <c r="C8" i="7"/>
  <c r="F12" i="2" s="1"/>
  <c r="C16" i="7"/>
  <c r="F20" i="2" s="1"/>
  <c r="C9" i="7"/>
  <c r="F13" i="2" s="1"/>
  <c r="C17" i="7"/>
  <c r="F21" i="2" s="1"/>
  <c r="C10" i="7"/>
  <c r="F14" i="2" s="1"/>
  <c r="C11" i="7"/>
  <c r="F15" i="2" s="1"/>
  <c r="C12" i="7"/>
  <c r="F16" i="2" s="1"/>
  <c r="C19" i="7"/>
  <c r="F23" i="2" s="1"/>
  <c r="C5" i="7"/>
  <c r="F9" i="2" s="1"/>
  <c r="C6" i="7"/>
  <c r="F10" i="2" s="1"/>
  <c r="C91" i="7"/>
  <c r="F95" i="2" s="1"/>
  <c r="G91" i="6"/>
  <c r="C97" i="7"/>
  <c r="F101" i="2" s="1"/>
  <c r="G97" i="6"/>
  <c r="C90" i="7"/>
  <c r="F94" i="2" s="1"/>
  <c r="G90" i="6"/>
  <c r="C74" i="7"/>
  <c r="F78" i="2" s="1"/>
  <c r="C4" i="7"/>
  <c r="F8" i="2" s="1"/>
  <c r="C2" i="7"/>
  <c r="D2" i="7" s="1"/>
  <c r="G6" i="2" s="1"/>
  <c r="C98" i="7"/>
  <c r="F102" i="2" s="1"/>
  <c r="G98" i="6"/>
  <c r="C58" i="7"/>
  <c r="G58" i="6"/>
  <c r="C34" i="7"/>
  <c r="F38" i="2" s="1"/>
  <c r="C22" i="7"/>
  <c r="F26" i="2" s="1"/>
  <c r="C18" i="7"/>
  <c r="F22" i="2" s="1"/>
  <c r="C13" i="7"/>
  <c r="F17" i="2" s="1"/>
  <c r="C70" i="7"/>
  <c r="F74" i="2" s="1"/>
  <c r="G70" i="6"/>
  <c r="C46" i="7"/>
  <c r="F50" i="2" s="1"/>
  <c r="G46" i="6"/>
  <c r="C26" i="7"/>
  <c r="F30" i="2" s="1"/>
  <c r="C92" i="7"/>
  <c r="F96" i="2" s="1"/>
  <c r="G92" i="6"/>
  <c r="C76" i="7"/>
  <c r="F80" i="2" s="1"/>
  <c r="G76" i="6"/>
  <c r="C14" i="7"/>
  <c r="F18" i="2" s="1"/>
  <c r="C62" i="7"/>
  <c r="G62" i="6"/>
  <c r="C38" i="7"/>
  <c r="F42" i="2" s="1"/>
  <c r="C87" i="7"/>
  <c r="F91" i="2" s="1"/>
  <c r="G87" i="6"/>
  <c r="C63" i="7"/>
  <c r="F67" i="2" s="1"/>
  <c r="G63" i="6"/>
  <c r="C51" i="7"/>
  <c r="F55" i="2" s="1"/>
  <c r="G51" i="6"/>
  <c r="C43" i="7"/>
  <c r="F47" i="2" s="1"/>
  <c r="C35" i="7"/>
  <c r="F39" i="2" s="1"/>
  <c r="C27" i="7"/>
  <c r="F31" i="2" s="1"/>
  <c r="C23" i="7"/>
  <c r="F27" i="2" s="1"/>
  <c r="C7" i="7"/>
  <c r="F11" i="2" s="1"/>
  <c r="C75" i="7"/>
  <c r="F79" i="2" s="1"/>
  <c r="C54" i="7"/>
  <c r="F58" i="2" s="1"/>
  <c r="G54" i="6"/>
  <c r="C30" i="7"/>
  <c r="F34" i="2" s="1"/>
  <c r="G30" i="6"/>
  <c r="C83" i="7"/>
  <c r="F87" i="2" s="1"/>
  <c r="G83" i="6"/>
  <c r="C67" i="7"/>
  <c r="F71" i="2" s="1"/>
  <c r="C55" i="7"/>
  <c r="F59" i="2" s="1"/>
  <c r="G55" i="6"/>
  <c r="C47" i="7"/>
  <c r="F51" i="2" s="1"/>
  <c r="G47" i="6"/>
  <c r="C39" i="7"/>
  <c r="F43" i="2" s="1"/>
  <c r="C31" i="7"/>
  <c r="F35" i="2" s="1"/>
  <c r="G31" i="6"/>
  <c r="C15" i="7"/>
  <c r="F19" i="2" s="1"/>
  <c r="C94" i="7"/>
  <c r="F98" i="2" s="1"/>
  <c r="G94" i="6"/>
  <c r="C78" i="7"/>
  <c r="F82" i="2" s="1"/>
  <c r="G78" i="6"/>
  <c r="C86" i="7"/>
  <c r="F90" i="2" s="1"/>
  <c r="G86" i="6"/>
  <c r="C50" i="7"/>
  <c r="F54" i="2" s="1"/>
  <c r="C93" i="7"/>
  <c r="F97" i="2" s="1"/>
  <c r="G93" i="6"/>
  <c r="C71" i="7"/>
  <c r="F75" i="2" s="1"/>
  <c r="C95" i="7"/>
  <c r="F99" i="2" s="1"/>
  <c r="G95" i="6"/>
  <c r="C79" i="7"/>
  <c r="F83" i="2" s="1"/>
  <c r="G79" i="6"/>
  <c r="C68" i="7"/>
  <c r="F72" i="2" s="1"/>
  <c r="G68" i="6"/>
  <c r="C60" i="7"/>
  <c r="F64" i="2" s="1"/>
  <c r="C52" i="7"/>
  <c r="F56" i="2" s="1"/>
  <c r="C44" i="7"/>
  <c r="F48" i="2" s="1"/>
  <c r="C40" i="7"/>
  <c r="F44" i="2" s="1"/>
  <c r="C32" i="7"/>
  <c r="F36" i="2" s="1"/>
  <c r="C28" i="7"/>
  <c r="F32" i="2" s="1"/>
  <c r="C24" i="7"/>
  <c r="F28" i="2" s="1"/>
  <c r="C20" i="7"/>
  <c r="F24" i="2" s="1"/>
  <c r="C66" i="7"/>
  <c r="F70" i="2" s="1"/>
  <c r="G66" i="6"/>
  <c r="C42" i="7"/>
  <c r="F46" i="2" s="1"/>
  <c r="C99" i="7"/>
  <c r="F103" i="2" s="1"/>
  <c r="G99" i="6"/>
  <c r="C77" i="7"/>
  <c r="F81" i="2" s="1"/>
  <c r="G77" i="6"/>
  <c r="C59" i="7"/>
  <c r="F63" i="2" s="1"/>
  <c r="C88" i="7"/>
  <c r="F92" i="2" s="1"/>
  <c r="G88" i="6"/>
  <c r="C84" i="7"/>
  <c r="F88" i="2" s="1"/>
  <c r="G84" i="6"/>
  <c r="C72" i="7"/>
  <c r="F76" i="2" s="1"/>
  <c r="G72" i="6"/>
  <c r="C64" i="7"/>
  <c r="F68" i="2" s="1"/>
  <c r="C56" i="7"/>
  <c r="F60" i="2" s="1"/>
  <c r="C48" i="7"/>
  <c r="F52" i="2" s="1"/>
  <c r="G48" i="6"/>
  <c r="C36" i="7"/>
  <c r="F40" i="2" s="1"/>
  <c r="C96" i="7"/>
  <c r="F100" i="2" s="1"/>
  <c r="G96" i="6"/>
  <c r="C80" i="7"/>
  <c r="F84" i="2" s="1"/>
  <c r="G80" i="6"/>
  <c r="C82" i="7"/>
  <c r="F86" i="2" s="1"/>
  <c r="G82" i="6"/>
  <c r="C89" i="7"/>
  <c r="F93" i="2" s="1"/>
  <c r="G89" i="6"/>
  <c r="C85" i="7"/>
  <c r="F89" i="2" s="1"/>
  <c r="G85" i="6"/>
  <c r="C81" i="7"/>
  <c r="F85" i="2" s="1"/>
  <c r="G81" i="6"/>
  <c r="C73" i="7"/>
  <c r="F77" i="2" s="1"/>
  <c r="C69" i="7"/>
  <c r="F73" i="2" s="1"/>
  <c r="C65" i="7"/>
  <c r="F69" i="2" s="1"/>
  <c r="G65" i="6"/>
  <c r="C61" i="7"/>
  <c r="F65" i="2" s="1"/>
  <c r="G61" i="6"/>
  <c r="C57" i="7"/>
  <c r="F61" i="2" s="1"/>
  <c r="G57" i="6"/>
  <c r="C53" i="7"/>
  <c r="F57" i="2" s="1"/>
  <c r="G53" i="6"/>
  <c r="C49" i="7"/>
  <c r="F53" i="2" s="1"/>
  <c r="G49" i="6"/>
  <c r="C45" i="7"/>
  <c r="F49" i="2" s="1"/>
  <c r="G45" i="6"/>
  <c r="C41" i="7"/>
  <c r="F45" i="2" s="1"/>
  <c r="C37" i="7"/>
  <c r="F41" i="2" s="1"/>
  <c r="C33" i="7"/>
  <c r="F37" i="2" s="1"/>
  <c r="C29" i="7"/>
  <c r="F33" i="2" s="1"/>
  <c r="C25" i="7"/>
  <c r="F29" i="2" s="1"/>
  <c r="C21" i="7"/>
  <c r="F25" i="2" s="1"/>
  <c r="C3" i="7"/>
  <c r="F7" i="2" s="1"/>
  <c r="D97" i="7"/>
  <c r="G101" i="2" s="1"/>
  <c r="D16" i="7"/>
  <c r="G20" i="2" s="1"/>
  <c r="D98" i="7"/>
  <c r="G102" i="2" s="1"/>
  <c r="D92" i="7"/>
  <c r="G96" i="2" s="1"/>
  <c r="D46" i="7"/>
  <c r="G50" i="2" s="1"/>
  <c r="D38" i="7"/>
  <c r="G42" i="2" s="1"/>
  <c r="D26" i="7"/>
  <c r="G30" i="2" s="1"/>
  <c r="D19" i="7"/>
  <c r="G23" i="2" s="1"/>
  <c r="D18" i="7"/>
  <c r="G22" i="2" s="1"/>
  <c r="D10" i="7"/>
  <c r="G14" i="2" s="1"/>
  <c r="BH2" i="6"/>
  <c r="BF3" i="2" s="1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E1" i="7"/>
  <c r="D90" i="7" l="1"/>
  <c r="G94" i="2" s="1"/>
  <c r="D9" i="7"/>
  <c r="G13" i="2" s="1"/>
  <c r="D4" i="7"/>
  <c r="G8" i="2" s="1"/>
  <c r="D74" i="7"/>
  <c r="G78" i="2" s="1"/>
  <c r="D12" i="7"/>
  <c r="G16" i="2" s="1"/>
  <c r="D34" i="7"/>
  <c r="G38" i="2" s="1"/>
  <c r="D91" i="7"/>
  <c r="G95" i="2" s="1"/>
  <c r="D62" i="7"/>
  <c r="G66" i="2" s="1"/>
  <c r="F66" i="2"/>
  <c r="D58" i="7"/>
  <c r="G62" i="2" s="1"/>
  <c r="F62" i="2"/>
  <c r="D17" i="7"/>
  <c r="G21" i="2" s="1"/>
  <c r="BA2" i="7"/>
  <c r="BD6" i="2" s="1"/>
  <c r="BG2" i="6"/>
  <c r="BE3" i="2" s="1"/>
  <c r="D5" i="7"/>
  <c r="G9" i="2" s="1"/>
  <c r="D8" i="7"/>
  <c r="G12" i="2" s="1"/>
  <c r="D11" i="7"/>
  <c r="G15" i="2" s="1"/>
  <c r="D6" i="7"/>
  <c r="G10" i="2" s="1"/>
  <c r="H53" i="6"/>
  <c r="H89" i="6"/>
  <c r="H72" i="6"/>
  <c r="H77" i="6"/>
  <c r="H68" i="6"/>
  <c r="H93" i="6"/>
  <c r="H94" i="6"/>
  <c r="H63" i="6"/>
  <c r="H46" i="6"/>
  <c r="I46" i="6"/>
  <c r="H47" i="6"/>
  <c r="H30" i="6"/>
  <c r="F6" i="2"/>
  <c r="H97" i="6"/>
  <c r="H65" i="6"/>
  <c r="H96" i="6"/>
  <c r="H66" i="6"/>
  <c r="H78" i="6"/>
  <c r="H51" i="6"/>
  <c r="H62" i="6"/>
  <c r="H85" i="6"/>
  <c r="I98" i="6"/>
  <c r="H83" i="6"/>
  <c r="H98" i="6"/>
  <c r="H90" i="6"/>
  <c r="H45" i="6"/>
  <c r="H95" i="6"/>
  <c r="H86" i="6"/>
  <c r="H92" i="6"/>
  <c r="H49" i="6"/>
  <c r="I92" i="6"/>
  <c r="H61" i="6"/>
  <c r="I97" i="6"/>
  <c r="H31" i="6"/>
  <c r="H58" i="6"/>
  <c r="I58" i="6"/>
  <c r="H81" i="6"/>
  <c r="H88" i="6"/>
  <c r="H57" i="6"/>
  <c r="H82" i="6"/>
  <c r="H48" i="6"/>
  <c r="H84" i="6"/>
  <c r="H99" i="6"/>
  <c r="H79" i="6"/>
  <c r="H87" i="6"/>
  <c r="H76" i="6"/>
  <c r="H70" i="6"/>
  <c r="H80" i="6"/>
  <c r="I90" i="6"/>
  <c r="I62" i="6"/>
  <c r="H55" i="6"/>
  <c r="H54" i="6"/>
  <c r="H91" i="6"/>
  <c r="BF2" i="6"/>
  <c r="BD3" i="2" s="1"/>
  <c r="D40" i="7"/>
  <c r="G44" i="2" s="1"/>
  <c r="D36" i="7"/>
  <c r="G40" i="2" s="1"/>
  <c r="D22" i="7"/>
  <c r="G26" i="2" s="1"/>
  <c r="D13" i="7"/>
  <c r="G17" i="2" s="1"/>
  <c r="D51" i="7"/>
  <c r="G55" i="2" s="1"/>
  <c r="D70" i="7"/>
  <c r="G74" i="2" s="1"/>
  <c r="D50" i="7"/>
  <c r="D96" i="7"/>
  <c r="D44" i="7"/>
  <c r="G48" i="2" s="1"/>
  <c r="D24" i="7"/>
  <c r="D56" i="7"/>
  <c r="G60" i="2" s="1"/>
  <c r="D32" i="7"/>
  <c r="G36" i="2" s="1"/>
  <c r="D52" i="7"/>
  <c r="D35" i="7"/>
  <c r="G39" i="2" s="1"/>
  <c r="D67" i="7"/>
  <c r="G71" i="2" s="1"/>
  <c r="D28" i="7"/>
  <c r="D64" i="7"/>
  <c r="G68" i="2" s="1"/>
  <c r="D88" i="7"/>
  <c r="D86" i="7"/>
  <c r="G90" i="2" s="1"/>
  <c r="D43" i="7"/>
  <c r="G47" i="2" s="1"/>
  <c r="D60" i="7"/>
  <c r="G64" i="2" s="1"/>
  <c r="D72" i="7"/>
  <c r="G76" i="2" s="1"/>
  <c r="D48" i="7"/>
  <c r="G52" i="2" s="1"/>
  <c r="D30" i="7"/>
  <c r="D94" i="7"/>
  <c r="D89" i="7"/>
  <c r="D82" i="7"/>
  <c r="G86" i="2" s="1"/>
  <c r="D80" i="7"/>
  <c r="G84" i="2" s="1"/>
  <c r="D20" i="7"/>
  <c r="D42" i="7"/>
  <c r="G46" i="2" s="1"/>
  <c r="D54" i="7"/>
  <c r="G58" i="2" s="1"/>
  <c r="D76" i="7"/>
  <c r="D14" i="7"/>
  <c r="D78" i="7"/>
  <c r="D75" i="7"/>
  <c r="G79" i="2" s="1"/>
  <c r="D68" i="7"/>
  <c r="D63" i="7"/>
  <c r="D3" i="7"/>
  <c r="D59" i="7"/>
  <c r="D83" i="7"/>
  <c r="D29" i="7"/>
  <c r="G33" i="2" s="1"/>
  <c r="D77" i="7"/>
  <c r="D93" i="7"/>
  <c r="D73" i="7"/>
  <c r="D99" i="7"/>
  <c r="D33" i="7"/>
  <c r="G37" i="2" s="1"/>
  <c r="D41" i="7"/>
  <c r="G45" i="2" s="1"/>
  <c r="D49" i="7"/>
  <c r="D57" i="7"/>
  <c r="D7" i="7"/>
  <c r="G11" i="2" s="1"/>
  <c r="D23" i="7"/>
  <c r="G27" i="2" s="1"/>
  <c r="D71" i="7"/>
  <c r="D87" i="7"/>
  <c r="D65" i="7"/>
  <c r="D27" i="7"/>
  <c r="G31" i="2" s="1"/>
  <c r="D39" i="7"/>
  <c r="G43" i="2" s="1"/>
  <c r="D47" i="7"/>
  <c r="G51" i="2" s="1"/>
  <c r="D55" i="7"/>
  <c r="D66" i="7"/>
  <c r="G70" i="2" s="1"/>
  <c r="D21" i="7"/>
  <c r="D69" i="7"/>
  <c r="D85" i="7"/>
  <c r="D61" i="7"/>
  <c r="G65" i="2" s="1"/>
  <c r="D84" i="7"/>
  <c r="D25" i="7"/>
  <c r="D37" i="7"/>
  <c r="G41" i="2" s="1"/>
  <c r="D45" i="7"/>
  <c r="G49" i="2" s="1"/>
  <c r="D53" i="7"/>
  <c r="D15" i="7"/>
  <c r="G19" i="2" s="1"/>
  <c r="D31" i="7"/>
  <c r="D79" i="7"/>
  <c r="G83" i="2" s="1"/>
  <c r="D95" i="7"/>
  <c r="D81" i="7"/>
  <c r="G1" i="2"/>
  <c r="G5" i="2" s="1"/>
  <c r="E19" i="7"/>
  <c r="H23" i="2" s="1"/>
  <c r="E35" i="7"/>
  <c r="H39" i="2" s="1"/>
  <c r="E51" i="7"/>
  <c r="H55" i="2" s="1"/>
  <c r="E67" i="7"/>
  <c r="H71" i="2" s="1"/>
  <c r="E9" i="7"/>
  <c r="H13" i="2" s="1"/>
  <c r="E29" i="7"/>
  <c r="H33" i="2" s="1"/>
  <c r="E97" i="7"/>
  <c r="H101" i="2" s="1"/>
  <c r="E90" i="7"/>
  <c r="H94" i="2" s="1"/>
  <c r="E98" i="7"/>
  <c r="H102" i="2" s="1"/>
  <c r="E10" i="7"/>
  <c r="H14" i="2" s="1"/>
  <c r="E18" i="7"/>
  <c r="H22" i="2" s="1"/>
  <c r="E22" i="7"/>
  <c r="H26" i="2" s="1"/>
  <c r="E26" i="7"/>
  <c r="H30" i="2" s="1"/>
  <c r="E38" i="7"/>
  <c r="H42" i="2" s="1"/>
  <c r="E40" i="7"/>
  <c r="H44" i="2" s="1"/>
  <c r="E44" i="7"/>
  <c r="H48" i="2" s="1"/>
  <c r="E46" i="7"/>
  <c r="H50" i="2" s="1"/>
  <c r="E58" i="7"/>
  <c r="H62" i="2" s="1"/>
  <c r="E60" i="7"/>
  <c r="H64" i="2" s="1"/>
  <c r="E62" i="7"/>
  <c r="H66" i="2" s="1"/>
  <c r="E64" i="7"/>
  <c r="H68" i="2" s="1"/>
  <c r="E4" i="7"/>
  <c r="H8" i="2" s="1"/>
  <c r="E16" i="7"/>
  <c r="H20" i="2" s="1"/>
  <c r="E72" i="7"/>
  <c r="H76" i="2" s="1"/>
  <c r="E92" i="7"/>
  <c r="H96" i="2" s="1"/>
  <c r="E70" i="7"/>
  <c r="H74" i="2" s="1"/>
  <c r="E2" i="7"/>
  <c r="H6" i="2" s="1"/>
  <c r="F1" i="7"/>
  <c r="E74" i="7" l="1"/>
  <c r="H78" i="2" s="1"/>
  <c r="E17" i="7"/>
  <c r="H21" i="2" s="1"/>
  <c r="E34" i="7"/>
  <c r="H38" i="2" s="1"/>
  <c r="E80" i="7"/>
  <c r="H84" i="2" s="1"/>
  <c r="E13" i="7"/>
  <c r="H17" i="2" s="1"/>
  <c r="E36" i="7"/>
  <c r="H40" i="2" s="1"/>
  <c r="E12" i="7"/>
  <c r="H16" i="2" s="1"/>
  <c r="I91" i="6"/>
  <c r="E91" i="7"/>
  <c r="H95" i="2" s="1"/>
  <c r="E6" i="7"/>
  <c r="H10" i="2" s="1"/>
  <c r="E5" i="7"/>
  <c r="H9" i="2" s="1"/>
  <c r="E37" i="7"/>
  <c r="H41" i="2" s="1"/>
  <c r="E55" i="7"/>
  <c r="H59" i="2" s="1"/>
  <c r="G59" i="2"/>
  <c r="E77" i="7"/>
  <c r="H81" i="2" s="1"/>
  <c r="G81" i="2"/>
  <c r="E78" i="7"/>
  <c r="H82" i="2" s="1"/>
  <c r="G82" i="2"/>
  <c r="E89" i="7"/>
  <c r="H93" i="2" s="1"/>
  <c r="G93" i="2"/>
  <c r="E88" i="7"/>
  <c r="H92" i="2" s="1"/>
  <c r="G92" i="2"/>
  <c r="E24" i="7"/>
  <c r="H28" i="2" s="1"/>
  <c r="G28" i="2"/>
  <c r="E93" i="7"/>
  <c r="H97" i="2" s="1"/>
  <c r="G97" i="2"/>
  <c r="E53" i="7"/>
  <c r="H57" i="2" s="1"/>
  <c r="G57" i="2"/>
  <c r="E21" i="7"/>
  <c r="H25" i="2" s="1"/>
  <c r="G25" i="2"/>
  <c r="E71" i="7"/>
  <c r="H75" i="2" s="1"/>
  <c r="G75" i="2"/>
  <c r="E73" i="7"/>
  <c r="H77" i="2" s="1"/>
  <c r="G77" i="2"/>
  <c r="E68" i="7"/>
  <c r="H72" i="2" s="1"/>
  <c r="G72" i="2"/>
  <c r="E43" i="7"/>
  <c r="H47" i="2" s="1"/>
  <c r="E32" i="7"/>
  <c r="H36" i="2" s="1"/>
  <c r="E69" i="7"/>
  <c r="H73" i="2" s="1"/>
  <c r="G73" i="2"/>
  <c r="E87" i="7"/>
  <c r="H91" i="2" s="1"/>
  <c r="G91" i="2"/>
  <c r="E99" i="7"/>
  <c r="H103" i="2" s="1"/>
  <c r="G103" i="2"/>
  <c r="E63" i="7"/>
  <c r="H67" i="2" s="1"/>
  <c r="G67" i="2"/>
  <c r="E20" i="7"/>
  <c r="H24" i="2" s="1"/>
  <c r="G24" i="2"/>
  <c r="E52" i="7"/>
  <c r="H56" i="2" s="1"/>
  <c r="G56" i="2"/>
  <c r="E31" i="7"/>
  <c r="H35" i="2" s="1"/>
  <c r="G35" i="2"/>
  <c r="E85" i="7"/>
  <c r="H89" i="2" s="1"/>
  <c r="G89" i="2"/>
  <c r="E65" i="7"/>
  <c r="H69" i="2" s="1"/>
  <c r="G69" i="2"/>
  <c r="E33" i="7"/>
  <c r="H37" i="2" s="1"/>
  <c r="E3" i="7"/>
  <c r="H7" i="2" s="1"/>
  <c r="G7" i="2"/>
  <c r="E42" i="7"/>
  <c r="H46" i="2" s="1"/>
  <c r="E59" i="7"/>
  <c r="H63" i="2" s="1"/>
  <c r="G63" i="2"/>
  <c r="E50" i="7"/>
  <c r="H54" i="2" s="1"/>
  <c r="G54" i="2"/>
  <c r="E95" i="7"/>
  <c r="H99" i="2" s="1"/>
  <c r="G99" i="2"/>
  <c r="E84" i="7"/>
  <c r="H88" i="2" s="1"/>
  <c r="G88" i="2"/>
  <c r="E39" i="7"/>
  <c r="H43" i="2" s="1"/>
  <c r="E49" i="7"/>
  <c r="H53" i="2" s="1"/>
  <c r="G53" i="2"/>
  <c r="E83" i="7"/>
  <c r="H87" i="2" s="1"/>
  <c r="G87" i="2"/>
  <c r="E76" i="7"/>
  <c r="H80" i="2" s="1"/>
  <c r="G80" i="2"/>
  <c r="E30" i="7"/>
  <c r="H34" i="2" s="1"/>
  <c r="G34" i="2"/>
  <c r="E28" i="7"/>
  <c r="H32" i="2" s="1"/>
  <c r="G32" i="2"/>
  <c r="E96" i="7"/>
  <c r="H100" i="2" s="1"/>
  <c r="G100" i="2"/>
  <c r="E81" i="7"/>
  <c r="H85" i="2" s="1"/>
  <c r="G85" i="2"/>
  <c r="E25" i="7"/>
  <c r="H29" i="2" s="1"/>
  <c r="G29" i="2"/>
  <c r="E47" i="7"/>
  <c r="H51" i="2" s="1"/>
  <c r="E57" i="7"/>
  <c r="H61" i="2" s="1"/>
  <c r="G61" i="2"/>
  <c r="E14" i="7"/>
  <c r="H18" i="2" s="1"/>
  <c r="G18" i="2"/>
  <c r="E94" i="7"/>
  <c r="H98" i="2" s="1"/>
  <c r="G98" i="2"/>
  <c r="S89" i="16"/>
  <c r="S127" i="16"/>
  <c r="R124" i="16" s="1"/>
  <c r="E11" i="7"/>
  <c r="H15" i="2" s="1"/>
  <c r="E8" i="7"/>
  <c r="H12" i="2" s="1"/>
  <c r="E7" i="7"/>
  <c r="H11" i="2" s="1"/>
  <c r="J70" i="6"/>
  <c r="J68" i="6"/>
  <c r="J58" i="6"/>
  <c r="J77" i="6"/>
  <c r="I53" i="6"/>
  <c r="I68" i="6"/>
  <c r="I80" i="6"/>
  <c r="I87" i="6"/>
  <c r="I99" i="6"/>
  <c r="I63" i="6"/>
  <c r="I51" i="6"/>
  <c r="J62" i="6"/>
  <c r="J51" i="6"/>
  <c r="I31" i="6"/>
  <c r="I85" i="6"/>
  <c r="I65" i="6"/>
  <c r="I72" i="6"/>
  <c r="I70" i="6"/>
  <c r="I79" i="6"/>
  <c r="I61" i="6"/>
  <c r="I54" i="6"/>
  <c r="I48" i="6"/>
  <c r="J80" i="6"/>
  <c r="J91" i="6"/>
  <c r="I95" i="6"/>
  <c r="I84" i="6"/>
  <c r="I49" i="6"/>
  <c r="I83" i="6"/>
  <c r="I76" i="6"/>
  <c r="I30" i="6"/>
  <c r="I96" i="6"/>
  <c r="I81" i="6"/>
  <c r="I47" i="6"/>
  <c r="I57" i="6"/>
  <c r="I94" i="6"/>
  <c r="J46" i="6"/>
  <c r="J97" i="6"/>
  <c r="J92" i="6"/>
  <c r="J90" i="6"/>
  <c r="I55" i="6"/>
  <c r="I77" i="6"/>
  <c r="I78" i="6"/>
  <c r="I89" i="6"/>
  <c r="I88" i="6"/>
  <c r="J72" i="6"/>
  <c r="J98" i="6"/>
  <c r="I45" i="6"/>
  <c r="I66" i="6"/>
  <c r="I93" i="6"/>
  <c r="I82" i="6"/>
  <c r="I86" i="6"/>
  <c r="AZ2" i="7"/>
  <c r="BC6" i="2" s="1"/>
  <c r="E15" i="7"/>
  <c r="H19" i="2" s="1"/>
  <c r="E66" i="7"/>
  <c r="H70" i="2" s="1"/>
  <c r="E75" i="7"/>
  <c r="E45" i="7"/>
  <c r="H49" i="2" s="1"/>
  <c r="E86" i="7"/>
  <c r="E82" i="7"/>
  <c r="H86" i="2" s="1"/>
  <c r="E56" i="7"/>
  <c r="E23" i="7"/>
  <c r="E61" i="7"/>
  <c r="E27" i="7"/>
  <c r="H31" i="2" s="1"/>
  <c r="E48" i="7"/>
  <c r="H52" i="2" s="1"/>
  <c r="E54" i="7"/>
  <c r="H58" i="2" s="1"/>
  <c r="E79" i="7"/>
  <c r="E41" i="7"/>
  <c r="H45" i="2" s="1"/>
  <c r="H1" i="2"/>
  <c r="H5" i="2" s="1"/>
  <c r="F70" i="7"/>
  <c r="I74" i="2" s="1"/>
  <c r="F32" i="7"/>
  <c r="I36" i="2" s="1"/>
  <c r="F16" i="7"/>
  <c r="I20" i="2" s="1"/>
  <c r="F4" i="7"/>
  <c r="I8" i="2" s="1"/>
  <c r="F78" i="7"/>
  <c r="I82" i="2" s="1"/>
  <c r="F62" i="7"/>
  <c r="I66" i="2" s="1"/>
  <c r="F58" i="7"/>
  <c r="I62" i="2" s="1"/>
  <c r="F46" i="7"/>
  <c r="I50" i="2" s="1"/>
  <c r="F38" i="7"/>
  <c r="I42" i="2" s="1"/>
  <c r="F34" i="7"/>
  <c r="I38" i="2" s="1"/>
  <c r="F26" i="7"/>
  <c r="I30" i="2" s="1"/>
  <c r="F18" i="7"/>
  <c r="I22" i="2" s="1"/>
  <c r="F10" i="7"/>
  <c r="I14" i="2" s="1"/>
  <c r="F98" i="7"/>
  <c r="I102" i="2" s="1"/>
  <c r="F93" i="7"/>
  <c r="I97" i="2" s="1"/>
  <c r="F77" i="7"/>
  <c r="I81" i="2" s="1"/>
  <c r="F29" i="7"/>
  <c r="I33" i="2" s="1"/>
  <c r="F21" i="7"/>
  <c r="I25" i="2" s="1"/>
  <c r="F13" i="7"/>
  <c r="I17" i="2" s="1"/>
  <c r="F5" i="7"/>
  <c r="I9" i="2" s="1"/>
  <c r="F91" i="7"/>
  <c r="I95" i="2" s="1"/>
  <c r="F67" i="7"/>
  <c r="I71" i="2" s="1"/>
  <c r="F63" i="7"/>
  <c r="I67" i="2" s="1"/>
  <c r="F55" i="7"/>
  <c r="I59" i="2" s="1"/>
  <c r="F51" i="7"/>
  <c r="I55" i="2" s="1"/>
  <c r="F43" i="7"/>
  <c r="I47" i="2" s="1"/>
  <c r="F35" i="7"/>
  <c r="I39" i="2" s="1"/>
  <c r="F19" i="7"/>
  <c r="I23" i="2" s="1"/>
  <c r="F11" i="7"/>
  <c r="I15" i="2" s="1"/>
  <c r="F88" i="7"/>
  <c r="I92" i="2" s="1"/>
  <c r="F72" i="7"/>
  <c r="I76" i="2" s="1"/>
  <c r="F24" i="7"/>
  <c r="I28" i="2" s="1"/>
  <c r="F94" i="7"/>
  <c r="I98" i="2" s="1"/>
  <c r="F71" i="7"/>
  <c r="I75" i="2" s="1"/>
  <c r="F64" i="7"/>
  <c r="I68" i="2" s="1"/>
  <c r="F60" i="7"/>
  <c r="I64" i="2" s="1"/>
  <c r="F44" i="7"/>
  <c r="I48" i="2" s="1"/>
  <c r="F40" i="7"/>
  <c r="I44" i="2" s="1"/>
  <c r="F36" i="7"/>
  <c r="I40" i="2" s="1"/>
  <c r="F22" i="7"/>
  <c r="I26" i="2" s="1"/>
  <c r="F6" i="7"/>
  <c r="I10" i="2" s="1"/>
  <c r="F90" i="7"/>
  <c r="I94" i="2" s="1"/>
  <c r="F97" i="7"/>
  <c r="I101" i="2" s="1"/>
  <c r="F81" i="7"/>
  <c r="I85" i="2" s="1"/>
  <c r="F73" i="7"/>
  <c r="I77" i="2" s="1"/>
  <c r="F33" i="7"/>
  <c r="I37" i="2" s="1"/>
  <c r="F17" i="7"/>
  <c r="I21" i="2" s="1"/>
  <c r="F9" i="7"/>
  <c r="I13" i="2" s="1"/>
  <c r="F99" i="7"/>
  <c r="I103" i="2" s="1"/>
  <c r="F74" i="7"/>
  <c r="I78" i="2" s="1"/>
  <c r="F57" i="7"/>
  <c r="I61" i="2" s="1"/>
  <c r="F53" i="7"/>
  <c r="I57" i="2" s="1"/>
  <c r="F49" i="7"/>
  <c r="I53" i="2" s="1"/>
  <c r="F41" i="7"/>
  <c r="I45" i="2" s="1"/>
  <c r="F37" i="7"/>
  <c r="I41" i="2" s="1"/>
  <c r="F95" i="7"/>
  <c r="I99" i="2" s="1"/>
  <c r="F92" i="7"/>
  <c r="I96" i="2" s="1"/>
  <c r="F84" i="7"/>
  <c r="I88" i="2" s="1"/>
  <c r="F76" i="7"/>
  <c r="I80" i="2" s="1"/>
  <c r="F68" i="7"/>
  <c r="I72" i="2" s="1"/>
  <c r="F28" i="7"/>
  <c r="I32" i="2" s="1"/>
  <c r="F20" i="7"/>
  <c r="I24" i="2" s="1"/>
  <c r="F12" i="7"/>
  <c r="I16" i="2" s="1"/>
  <c r="F2" i="7"/>
  <c r="I6" i="2" s="1"/>
  <c r="F80" i="7" l="1"/>
  <c r="I84" i="2" s="1"/>
  <c r="F96" i="7"/>
  <c r="I100" i="2" s="1"/>
  <c r="J78" i="6"/>
  <c r="F65" i="7"/>
  <c r="I69" i="2" s="1"/>
  <c r="F89" i="7"/>
  <c r="I93" i="2" s="1"/>
  <c r="F52" i="7"/>
  <c r="I56" i="2" s="1"/>
  <c r="F3" i="7"/>
  <c r="I7" i="2" s="1"/>
  <c r="J53" i="6"/>
  <c r="F45" i="7"/>
  <c r="I49" i="2" s="1"/>
  <c r="F83" i="7"/>
  <c r="I87" i="2" s="1"/>
  <c r="F25" i="7"/>
  <c r="I29" i="2" s="1"/>
  <c r="F14" i="7"/>
  <c r="I18" i="2" s="1"/>
  <c r="F30" i="7"/>
  <c r="I34" i="2" s="1"/>
  <c r="F82" i="7"/>
  <c r="I86" i="2" s="1"/>
  <c r="F31" i="7"/>
  <c r="I35" i="2" s="1"/>
  <c r="F39" i="7"/>
  <c r="I43" i="2" s="1"/>
  <c r="F59" i="7"/>
  <c r="I63" i="2" s="1"/>
  <c r="F69" i="7"/>
  <c r="I73" i="2" s="1"/>
  <c r="F85" i="7"/>
  <c r="I89" i="2" s="1"/>
  <c r="F87" i="7"/>
  <c r="I91" i="2" s="1"/>
  <c r="J88" i="6"/>
  <c r="J55" i="6"/>
  <c r="J93" i="6"/>
  <c r="J89" i="6"/>
  <c r="F48" i="7"/>
  <c r="I52" i="2" s="1"/>
  <c r="J84" i="6"/>
  <c r="F47" i="7"/>
  <c r="I51" i="2" s="1"/>
  <c r="J81" i="6"/>
  <c r="F54" i="7"/>
  <c r="I58" i="2" s="1"/>
  <c r="J96" i="6"/>
  <c r="F15" i="7"/>
  <c r="I19" i="2" s="1"/>
  <c r="J87" i="6"/>
  <c r="J47" i="6"/>
  <c r="F50" i="7"/>
  <c r="I54" i="2" s="1"/>
  <c r="J85" i="6"/>
  <c r="F42" i="7"/>
  <c r="I46" i="2" s="1"/>
  <c r="J76" i="6"/>
  <c r="J49" i="6"/>
  <c r="F75" i="7"/>
  <c r="I79" i="2" s="1"/>
  <c r="H79" i="2"/>
  <c r="J31" i="6"/>
  <c r="F79" i="7"/>
  <c r="I83" i="2" s="1"/>
  <c r="H83" i="2"/>
  <c r="F86" i="7"/>
  <c r="I90" i="2" s="1"/>
  <c r="H90" i="2"/>
  <c r="J30" i="6"/>
  <c r="J65" i="6"/>
  <c r="F56" i="7"/>
  <c r="I60" i="2" s="1"/>
  <c r="H60" i="2"/>
  <c r="F23" i="7"/>
  <c r="I27" i="2" s="1"/>
  <c r="H27" i="2"/>
  <c r="J94" i="6"/>
  <c r="J95" i="6"/>
  <c r="F61" i="7"/>
  <c r="I65" i="2" s="1"/>
  <c r="H65" i="2"/>
  <c r="J63" i="6"/>
  <c r="J99" i="6"/>
  <c r="J57" i="6"/>
  <c r="J83" i="6"/>
  <c r="S124" i="16"/>
  <c r="F8" i="7"/>
  <c r="I12" i="2" s="1"/>
  <c r="F7" i="7"/>
  <c r="I11" i="2" s="1"/>
  <c r="J54" i="6"/>
  <c r="J45" i="6"/>
  <c r="K88" i="6"/>
  <c r="K91" i="6"/>
  <c r="K93" i="6"/>
  <c r="J79" i="6"/>
  <c r="J86" i="6"/>
  <c r="K96" i="6"/>
  <c r="K57" i="6"/>
  <c r="K72" i="6"/>
  <c r="K78" i="6"/>
  <c r="J82" i="6"/>
  <c r="K77" i="6"/>
  <c r="K62" i="6"/>
  <c r="K95" i="6"/>
  <c r="K90" i="6"/>
  <c r="K48" i="6"/>
  <c r="K63" i="6"/>
  <c r="K58" i="6"/>
  <c r="K70" i="6"/>
  <c r="K84" i="6"/>
  <c r="K97" i="6"/>
  <c r="K94" i="6"/>
  <c r="K53" i="6"/>
  <c r="K92" i="6"/>
  <c r="K99" i="6"/>
  <c r="K80" i="6"/>
  <c r="J61" i="6"/>
  <c r="K76" i="6"/>
  <c r="K83" i="6"/>
  <c r="K55" i="6"/>
  <c r="J66" i="6"/>
  <c r="K49" i="6"/>
  <c r="K45" i="6"/>
  <c r="K68" i="6"/>
  <c r="K81" i="6"/>
  <c r="K51" i="6"/>
  <c r="K98" i="6"/>
  <c r="K46" i="6"/>
  <c r="J48" i="6"/>
  <c r="BE2" i="6"/>
  <c r="BC3" i="2" s="1"/>
  <c r="F27" i="7"/>
  <c r="I31" i="2" s="1"/>
  <c r="F66" i="7"/>
  <c r="I70" i="2" s="1"/>
  <c r="I1" i="2"/>
  <c r="I5" i="2" s="1"/>
  <c r="G1" i="7"/>
  <c r="K85" i="6" l="1"/>
  <c r="K47" i="6"/>
  <c r="K89" i="6"/>
  <c r="K31" i="6"/>
  <c r="K54" i="6"/>
  <c r="K87" i="6"/>
  <c r="K65" i="6"/>
  <c r="K82" i="6"/>
  <c r="K30" i="6"/>
  <c r="K61" i="6"/>
  <c r="K86" i="6"/>
  <c r="K79" i="6"/>
  <c r="G29" i="7"/>
  <c r="J33" i="2" s="1"/>
  <c r="G40" i="7"/>
  <c r="J44" i="2" s="1"/>
  <c r="G78" i="7"/>
  <c r="J82" i="2" s="1"/>
  <c r="G3" i="7"/>
  <c r="J7" i="2" s="1"/>
  <c r="G55" i="7"/>
  <c r="J59" i="2" s="1"/>
  <c r="G89" i="7"/>
  <c r="J93" i="2" s="1"/>
  <c r="G74" i="7"/>
  <c r="J78" i="2" s="1"/>
  <c r="G19" i="7"/>
  <c r="J23" i="2" s="1"/>
  <c r="G75" i="7"/>
  <c r="J79" i="2" s="1"/>
  <c r="G63" i="7"/>
  <c r="G18" i="7"/>
  <c r="J22" i="2" s="1"/>
  <c r="G66" i="7"/>
  <c r="G21" i="7"/>
  <c r="J25" i="2" s="1"/>
  <c r="G36" i="7"/>
  <c r="J40" i="2" s="1"/>
  <c r="G70" i="7"/>
  <c r="J74" i="2" s="1"/>
  <c r="G85" i="7"/>
  <c r="G51" i="7"/>
  <c r="J55" i="2" s="1"/>
  <c r="G73" i="7"/>
  <c r="J77" i="2" s="1"/>
  <c r="G62" i="7"/>
  <c r="J66" i="2" s="1"/>
  <c r="G11" i="7"/>
  <c r="J15" i="2" s="1"/>
  <c r="G67" i="7"/>
  <c r="J71" i="2" s="1"/>
  <c r="G28" i="7"/>
  <c r="J32" i="2" s="1"/>
  <c r="G10" i="7"/>
  <c r="J14" i="2" s="1"/>
  <c r="G58" i="7"/>
  <c r="J62" i="2" s="1"/>
  <c r="G13" i="7"/>
  <c r="J17" i="2" s="1"/>
  <c r="G30" i="7"/>
  <c r="J34" i="2" s="1"/>
  <c r="G64" i="7"/>
  <c r="J68" i="2" s="1"/>
  <c r="G32" i="7"/>
  <c r="J36" i="2" s="1"/>
  <c r="G47" i="7"/>
  <c r="J51" i="2" s="1"/>
  <c r="G95" i="7"/>
  <c r="J99" i="2" s="1"/>
  <c r="G54" i="7"/>
  <c r="J58" i="2" s="1"/>
  <c r="G76" i="7"/>
  <c r="J80" i="2" s="1"/>
  <c r="G61" i="7"/>
  <c r="J65" i="2" s="1"/>
  <c r="G16" i="7"/>
  <c r="J20" i="2" s="1"/>
  <c r="G96" i="7"/>
  <c r="J100" i="2" s="1"/>
  <c r="G50" i="7"/>
  <c r="J54" i="2" s="1"/>
  <c r="G5" i="7"/>
  <c r="J9" i="2" s="1"/>
  <c r="G22" i="7"/>
  <c r="J26" i="2" s="1"/>
  <c r="G60" i="7"/>
  <c r="J64" i="2" s="1"/>
  <c r="G2" i="7"/>
  <c r="J6" i="2" s="1"/>
  <c r="G43" i="7"/>
  <c r="J47" i="2" s="1"/>
  <c r="G87" i="7"/>
  <c r="J91" i="2" s="1"/>
  <c r="G35" i="7"/>
  <c r="J39" i="2" s="1"/>
  <c r="G24" i="7"/>
  <c r="J28" i="2" s="1"/>
  <c r="G57" i="7"/>
  <c r="J61" i="2" s="1"/>
  <c r="G8" i="7"/>
  <c r="J12" i="2" s="1"/>
  <c r="G80" i="7"/>
  <c r="J84" i="2" s="1"/>
  <c r="G46" i="7"/>
  <c r="J50" i="2" s="1"/>
  <c r="G14" i="7"/>
  <c r="J18" i="2" s="1"/>
  <c r="G56" i="7"/>
  <c r="J60" i="2" s="1"/>
  <c r="G84" i="7"/>
  <c r="J88" i="2" s="1"/>
  <c r="G39" i="7"/>
  <c r="J43" i="2" s="1"/>
  <c r="G79" i="7"/>
  <c r="G68" i="7"/>
  <c r="G93" i="7"/>
  <c r="J97" i="2" s="1"/>
  <c r="G53" i="7"/>
  <c r="J57" i="2" s="1"/>
  <c r="G81" i="7"/>
  <c r="G33" i="7"/>
  <c r="J37" i="2" s="1"/>
  <c r="G42" i="7"/>
  <c r="J46" i="2" s="1"/>
  <c r="G97" i="7"/>
  <c r="J101" i="2" s="1"/>
  <c r="G6" i="7"/>
  <c r="J10" i="2" s="1"/>
  <c r="G52" i="7"/>
  <c r="J56" i="2" s="1"/>
  <c r="G69" i="7"/>
  <c r="J73" i="2" s="1"/>
  <c r="G31" i="7"/>
  <c r="J35" i="2" s="1"/>
  <c r="G71" i="7"/>
  <c r="J75" i="2" s="1"/>
  <c r="G20" i="7"/>
  <c r="J24" i="2" s="1"/>
  <c r="G77" i="7"/>
  <c r="J81" i="2" s="1"/>
  <c r="G45" i="7"/>
  <c r="J49" i="2" s="1"/>
  <c r="G99" i="7"/>
  <c r="G25" i="7"/>
  <c r="J29" i="2" s="1"/>
  <c r="G38" i="7"/>
  <c r="J42" i="2" s="1"/>
  <c r="G49" i="7"/>
  <c r="J53" i="2" s="1"/>
  <c r="G88" i="7"/>
  <c r="J92" i="2" s="1"/>
  <c r="G48" i="7"/>
  <c r="J52" i="2" s="1"/>
  <c r="G94" i="7"/>
  <c r="G23" i="7"/>
  <c r="J27" i="2" s="1"/>
  <c r="G65" i="7"/>
  <c r="G12" i="7"/>
  <c r="J16" i="2" s="1"/>
  <c r="G98" i="7"/>
  <c r="J102" i="2" s="1"/>
  <c r="G41" i="7"/>
  <c r="J45" i="2" s="1"/>
  <c r="G91" i="7"/>
  <c r="J95" i="2" s="1"/>
  <c r="G17" i="7"/>
  <c r="J21" i="2" s="1"/>
  <c r="G34" i="7"/>
  <c r="J38" i="2" s="1"/>
  <c r="G92" i="7"/>
  <c r="G72" i="7"/>
  <c r="G44" i="7"/>
  <c r="J48" i="2" s="1"/>
  <c r="G86" i="7"/>
  <c r="G15" i="7"/>
  <c r="J19" i="2" s="1"/>
  <c r="G59" i="7"/>
  <c r="J63" i="2" s="1"/>
  <c r="G4" i="7"/>
  <c r="J8" i="2" s="1"/>
  <c r="G82" i="7"/>
  <c r="G37" i="7"/>
  <c r="J41" i="2" s="1"/>
  <c r="G83" i="7"/>
  <c r="G9" i="7"/>
  <c r="J13" i="2" s="1"/>
  <c r="G26" i="7"/>
  <c r="J30" i="2" s="1"/>
  <c r="G90" i="7"/>
  <c r="G7" i="7"/>
  <c r="J11" i="2" s="1"/>
  <c r="L95" i="6"/>
  <c r="L51" i="6"/>
  <c r="L96" i="6"/>
  <c r="L78" i="6"/>
  <c r="K66" i="6"/>
  <c r="L45" i="6"/>
  <c r="AY2" i="7"/>
  <c r="BB6" i="2" s="1"/>
  <c r="G27" i="7"/>
  <c r="J31" i="2" s="1"/>
  <c r="J1" i="2"/>
  <c r="J5" i="2" s="1"/>
  <c r="H1" i="7"/>
  <c r="L84" i="6" l="1"/>
  <c r="L77" i="6"/>
  <c r="L89" i="6"/>
  <c r="L97" i="6"/>
  <c r="L57" i="6"/>
  <c r="L55" i="6"/>
  <c r="L61" i="6"/>
  <c r="L54" i="6"/>
  <c r="L62" i="6"/>
  <c r="L81" i="6"/>
  <c r="J85" i="2"/>
  <c r="L63" i="6"/>
  <c r="J67" i="2"/>
  <c r="L82" i="6"/>
  <c r="J86" i="2"/>
  <c r="L94" i="6"/>
  <c r="J98" i="2"/>
  <c r="L92" i="6"/>
  <c r="J96" i="2"/>
  <c r="L66" i="6"/>
  <c r="J70" i="2"/>
  <c r="L83" i="6"/>
  <c r="J87" i="2"/>
  <c r="L72" i="6"/>
  <c r="J76" i="2"/>
  <c r="L65" i="6"/>
  <c r="J69" i="2"/>
  <c r="L99" i="6"/>
  <c r="J103" i="2"/>
  <c r="L79" i="6"/>
  <c r="J83" i="2"/>
  <c r="L47" i="6"/>
  <c r="L68" i="6"/>
  <c r="J72" i="2"/>
  <c r="L86" i="6"/>
  <c r="J90" i="2"/>
  <c r="L90" i="6"/>
  <c r="J94" i="2"/>
  <c r="L85" i="6"/>
  <c r="J89" i="2"/>
  <c r="L91" i="6"/>
  <c r="L30" i="6"/>
  <c r="L48" i="6"/>
  <c r="L87" i="6"/>
  <c r="L88" i="6"/>
  <c r="H14" i="7"/>
  <c r="K18" i="2" s="1"/>
  <c r="H93" i="7"/>
  <c r="K97" i="2" s="1"/>
  <c r="H37" i="7"/>
  <c r="K41" i="2" s="1"/>
  <c r="H13" i="7"/>
  <c r="K17" i="2" s="1"/>
  <c r="H98" i="7"/>
  <c r="K102" i="2" s="1"/>
  <c r="H56" i="7"/>
  <c r="K60" i="2" s="1"/>
  <c r="H80" i="7"/>
  <c r="K84" i="2" s="1"/>
  <c r="H20" i="7"/>
  <c r="K24" i="2" s="1"/>
  <c r="H52" i="7"/>
  <c r="K56" i="2" s="1"/>
  <c r="H99" i="7"/>
  <c r="K103" i="2" s="1"/>
  <c r="H4" i="7"/>
  <c r="K8" i="2" s="1"/>
  <c r="H16" i="7"/>
  <c r="K20" i="2" s="1"/>
  <c r="H24" i="7"/>
  <c r="K28" i="2" s="1"/>
  <c r="H21" i="7"/>
  <c r="K25" i="2" s="1"/>
  <c r="H75" i="7"/>
  <c r="K79" i="2" s="1"/>
  <c r="H68" i="7"/>
  <c r="K72" i="2" s="1"/>
  <c r="H51" i="7"/>
  <c r="H91" i="7"/>
  <c r="K95" i="2" s="1"/>
  <c r="H74" i="7"/>
  <c r="K78" i="2" s="1"/>
  <c r="H8" i="7"/>
  <c r="K12" i="2" s="1"/>
  <c r="H29" i="7"/>
  <c r="K33" i="2" s="1"/>
  <c r="H97" i="7"/>
  <c r="K101" i="2" s="1"/>
  <c r="H40" i="7"/>
  <c r="K44" i="2" s="1"/>
  <c r="H67" i="7"/>
  <c r="K71" i="2" s="1"/>
  <c r="H78" i="7"/>
  <c r="K82" i="2" s="1"/>
  <c r="H28" i="7"/>
  <c r="K32" i="2" s="1"/>
  <c r="H45" i="7"/>
  <c r="K49" i="2" s="1"/>
  <c r="H88" i="7"/>
  <c r="K92" i="2" s="1"/>
  <c r="H12" i="7"/>
  <c r="K16" i="2" s="1"/>
  <c r="H84" i="7"/>
  <c r="K88" i="2" s="1"/>
  <c r="H10" i="7"/>
  <c r="K14" i="2" s="1"/>
  <c r="H77" i="7"/>
  <c r="K81" i="2" s="1"/>
  <c r="H60" i="7"/>
  <c r="K64" i="2" s="1"/>
  <c r="H5" i="7"/>
  <c r="K9" i="2" s="1"/>
  <c r="H32" i="7"/>
  <c r="K36" i="2" s="1"/>
  <c r="H39" i="7"/>
  <c r="K43" i="2" s="1"/>
  <c r="H70" i="7"/>
  <c r="H89" i="7"/>
  <c r="H72" i="7"/>
  <c r="H55" i="7"/>
  <c r="K59" i="2" s="1"/>
  <c r="H50" i="7"/>
  <c r="K54" i="2" s="1"/>
  <c r="H95" i="7"/>
  <c r="K99" i="2" s="1"/>
  <c r="H3" i="7"/>
  <c r="K7" i="2" s="1"/>
  <c r="H34" i="7"/>
  <c r="K38" i="2" s="1"/>
  <c r="H35" i="7"/>
  <c r="K39" i="2" s="1"/>
  <c r="H61" i="7"/>
  <c r="K65" i="2" s="1"/>
  <c r="H30" i="7"/>
  <c r="K34" i="2" s="1"/>
  <c r="H26" i="7"/>
  <c r="K30" i="2" s="1"/>
  <c r="H92" i="7"/>
  <c r="K96" i="2" s="1"/>
  <c r="H6" i="7"/>
  <c r="K10" i="2" s="1"/>
  <c r="H22" i="7"/>
  <c r="K26" i="2" s="1"/>
  <c r="H65" i="7"/>
  <c r="K69" i="2" s="1"/>
  <c r="H36" i="7"/>
  <c r="K40" i="2" s="1"/>
  <c r="H82" i="7"/>
  <c r="K86" i="2" s="1"/>
  <c r="H73" i="7"/>
  <c r="K77" i="2" s="1"/>
  <c r="H11" i="7"/>
  <c r="K15" i="2" s="1"/>
  <c r="H43" i="7"/>
  <c r="K47" i="2" s="1"/>
  <c r="H33" i="7"/>
  <c r="K37" i="2" s="1"/>
  <c r="H48" i="7"/>
  <c r="K52" i="2" s="1"/>
  <c r="H47" i="7"/>
  <c r="K51" i="2" s="1"/>
  <c r="H83" i="7"/>
  <c r="H38" i="7"/>
  <c r="K42" i="2" s="1"/>
  <c r="H86" i="7"/>
  <c r="K90" i="2" s="1"/>
  <c r="H69" i="7"/>
  <c r="K73" i="2" s="1"/>
  <c r="H87" i="7"/>
  <c r="K91" i="2" s="1"/>
  <c r="H25" i="7"/>
  <c r="K29" i="2" s="1"/>
  <c r="H18" i="7"/>
  <c r="K22" i="2" s="1"/>
  <c r="H64" i="7"/>
  <c r="K68" i="2" s="1"/>
  <c r="H17" i="7"/>
  <c r="K21" i="2" s="1"/>
  <c r="H54" i="7"/>
  <c r="H62" i="7"/>
  <c r="H9" i="7"/>
  <c r="K13" i="2" s="1"/>
  <c r="H23" i="7"/>
  <c r="K27" i="2" s="1"/>
  <c r="H44" i="7"/>
  <c r="K48" i="2" s="1"/>
  <c r="H59" i="7"/>
  <c r="K63" i="2" s="1"/>
  <c r="H42" i="7"/>
  <c r="K46" i="2" s="1"/>
  <c r="H94" i="7"/>
  <c r="H63" i="7"/>
  <c r="H96" i="7"/>
  <c r="H79" i="7"/>
  <c r="H7" i="7"/>
  <c r="K11" i="2" s="1"/>
  <c r="H71" i="7"/>
  <c r="K75" i="2" s="1"/>
  <c r="H81" i="7"/>
  <c r="H57" i="7"/>
  <c r="K61" i="2" s="1"/>
  <c r="H66" i="7"/>
  <c r="H53" i="7"/>
  <c r="K57" i="2" s="1"/>
  <c r="L98" i="6"/>
  <c r="L70" i="6"/>
  <c r="L93" i="6"/>
  <c r="L80" i="6"/>
  <c r="H41" i="7"/>
  <c r="K45" i="2" s="1"/>
  <c r="H49" i="7"/>
  <c r="H31" i="7"/>
  <c r="K35" i="2" s="1"/>
  <c r="L53" i="6"/>
  <c r="H90" i="7"/>
  <c r="K94" i="2" s="1"/>
  <c r="H15" i="7"/>
  <c r="K19" i="2" s="1"/>
  <c r="H58" i="7"/>
  <c r="K62" i="2" s="1"/>
  <c r="H76" i="7"/>
  <c r="L49" i="6"/>
  <c r="L76" i="6"/>
  <c r="H46" i="7"/>
  <c r="K50" i="2" s="1"/>
  <c r="L58" i="6"/>
  <c r="H19" i="7"/>
  <c r="K23" i="2" s="1"/>
  <c r="H85" i="7"/>
  <c r="K89" i="2" s="1"/>
  <c r="L31" i="6"/>
  <c r="L46" i="6"/>
  <c r="H2" i="7"/>
  <c r="K6" i="2" s="1"/>
  <c r="M91" i="6"/>
  <c r="M55" i="6"/>
  <c r="M68" i="6"/>
  <c r="M77" i="6"/>
  <c r="H27" i="7"/>
  <c r="K31" i="2" s="1"/>
  <c r="K1" i="2"/>
  <c r="K5" i="2" s="1"/>
  <c r="I1" i="7"/>
  <c r="M30" i="6" l="1"/>
  <c r="M84" i="6"/>
  <c r="M97" i="6"/>
  <c r="M98" i="6"/>
  <c r="M86" i="6"/>
  <c r="M80" i="6"/>
  <c r="M99" i="6"/>
  <c r="M47" i="6"/>
  <c r="M49" i="6"/>
  <c r="K53" i="2"/>
  <c r="M66" i="6"/>
  <c r="K70" i="2"/>
  <c r="M94" i="6"/>
  <c r="K98" i="2"/>
  <c r="M83" i="6"/>
  <c r="K87" i="2"/>
  <c r="M70" i="6"/>
  <c r="K74" i="2"/>
  <c r="M63" i="6"/>
  <c r="K67" i="2"/>
  <c r="M54" i="6"/>
  <c r="K58" i="2"/>
  <c r="M89" i="6"/>
  <c r="K93" i="2"/>
  <c r="M96" i="6"/>
  <c r="K100" i="2"/>
  <c r="M62" i="6"/>
  <c r="K66" i="2"/>
  <c r="M72" i="6"/>
  <c r="K76" i="2"/>
  <c r="M79" i="6"/>
  <c r="K83" i="2"/>
  <c r="M51" i="6"/>
  <c r="K55" i="2"/>
  <c r="M76" i="6"/>
  <c r="K80" i="2"/>
  <c r="M81" i="6"/>
  <c r="K85" i="2"/>
  <c r="M45" i="6"/>
  <c r="M53" i="6"/>
  <c r="M93" i="6"/>
  <c r="M82" i="6"/>
  <c r="M48" i="6"/>
  <c r="M85" i="6"/>
  <c r="M58" i="6"/>
  <c r="M61" i="6"/>
  <c r="M95" i="6"/>
  <c r="M31" i="6"/>
  <c r="M57" i="6"/>
  <c r="M46" i="6"/>
  <c r="I18" i="7"/>
  <c r="L22" i="2" s="1"/>
  <c r="I66" i="7"/>
  <c r="L70" i="2" s="1"/>
  <c r="I55" i="7"/>
  <c r="L59" i="2" s="1"/>
  <c r="I37" i="7"/>
  <c r="L41" i="2" s="1"/>
  <c r="I10" i="7"/>
  <c r="L14" i="2" s="1"/>
  <c r="I75" i="7"/>
  <c r="L79" i="2" s="1"/>
  <c r="I29" i="7"/>
  <c r="L33" i="2" s="1"/>
  <c r="I85" i="7"/>
  <c r="I46" i="7"/>
  <c r="L50" i="2" s="1"/>
  <c r="I42" i="7"/>
  <c r="L46" i="2" s="1"/>
  <c r="I2" i="7"/>
  <c r="L6" i="2" s="1"/>
  <c r="I93" i="7"/>
  <c r="L97" i="2" s="1"/>
  <c r="I63" i="7"/>
  <c r="L67" i="2" s="1"/>
  <c r="I88" i="7"/>
  <c r="L92" i="2" s="1"/>
  <c r="I99" i="7"/>
  <c r="L103" i="2" s="1"/>
  <c r="I84" i="7"/>
  <c r="L88" i="2" s="1"/>
  <c r="I97" i="7"/>
  <c r="I3" i="7"/>
  <c r="L7" i="2" s="1"/>
  <c r="I40" i="7"/>
  <c r="L44" i="2" s="1"/>
  <c r="I30" i="7"/>
  <c r="L34" i="2" s="1"/>
  <c r="I79" i="7"/>
  <c r="L83" i="2" s="1"/>
  <c r="I98" i="7"/>
  <c r="L102" i="2" s="1"/>
  <c r="I67" i="7"/>
  <c r="L71" i="2" s="1"/>
  <c r="I36" i="7"/>
  <c r="L40" i="2" s="1"/>
  <c r="I20" i="7"/>
  <c r="L24" i="2" s="1"/>
  <c r="I58" i="7"/>
  <c r="L62" i="2" s="1"/>
  <c r="I8" i="7"/>
  <c r="L12" i="2" s="1"/>
  <c r="I13" i="7"/>
  <c r="L17" i="2" s="1"/>
  <c r="I83" i="7"/>
  <c r="L87" i="2" s="1"/>
  <c r="I25" i="7"/>
  <c r="L29" i="2" s="1"/>
  <c r="I51" i="7"/>
  <c r="L55" i="2" s="1"/>
  <c r="I56" i="7"/>
  <c r="L60" i="2" s="1"/>
  <c r="I47" i="7"/>
  <c r="L51" i="2" s="1"/>
  <c r="I26" i="7"/>
  <c r="L30" i="2" s="1"/>
  <c r="I82" i="7"/>
  <c r="L86" i="2" s="1"/>
  <c r="I28" i="7"/>
  <c r="I21" i="7"/>
  <c r="L25" i="2" s="1"/>
  <c r="I80" i="7"/>
  <c r="L84" i="2" s="1"/>
  <c r="I72" i="7"/>
  <c r="L76" i="2" s="1"/>
  <c r="I68" i="7"/>
  <c r="L72" i="2" s="1"/>
  <c r="I32" i="7"/>
  <c r="L36" i="2" s="1"/>
  <c r="I96" i="7"/>
  <c r="L100" i="2" s="1"/>
  <c r="I19" i="7"/>
  <c r="L23" i="2" s="1"/>
  <c r="I35" i="7"/>
  <c r="L39" i="2" s="1"/>
  <c r="I57" i="7"/>
  <c r="I81" i="7"/>
  <c r="L85" i="2" s="1"/>
  <c r="I31" i="7"/>
  <c r="I22" i="7"/>
  <c r="L26" i="2" s="1"/>
  <c r="I48" i="7"/>
  <c r="L52" i="2" s="1"/>
  <c r="I16" i="7"/>
  <c r="L20" i="2" s="1"/>
  <c r="I41" i="7"/>
  <c r="L45" i="2" s="1"/>
  <c r="I77" i="7"/>
  <c r="L81" i="2" s="1"/>
  <c r="I5" i="7"/>
  <c r="L9" i="2" s="1"/>
  <c r="I15" i="7"/>
  <c r="L19" i="2" s="1"/>
  <c r="I49" i="7"/>
  <c r="L53" i="2" s="1"/>
  <c r="I59" i="7"/>
  <c r="L63" i="2" s="1"/>
  <c r="I12" i="7"/>
  <c r="L16" i="2" s="1"/>
  <c r="I61" i="7"/>
  <c r="I44" i="7"/>
  <c r="L48" i="2" s="1"/>
  <c r="I94" i="7"/>
  <c r="I45" i="7"/>
  <c r="L49" i="2" s="1"/>
  <c r="I73" i="7"/>
  <c r="L77" i="2" s="1"/>
  <c r="I74" i="7"/>
  <c r="L78" i="2" s="1"/>
  <c r="I6" i="7"/>
  <c r="L10" i="2" s="1"/>
  <c r="I60" i="7"/>
  <c r="L64" i="2" s="1"/>
  <c r="I17" i="7"/>
  <c r="L21" i="2" s="1"/>
  <c r="I89" i="7"/>
  <c r="L93" i="2" s="1"/>
  <c r="I95" i="7"/>
  <c r="I54" i="7"/>
  <c r="L58" i="2" s="1"/>
  <c r="I70" i="7"/>
  <c r="I39" i="7"/>
  <c r="L43" i="2" s="1"/>
  <c r="I65" i="7"/>
  <c r="L69" i="2" s="1"/>
  <c r="I90" i="7"/>
  <c r="I69" i="7"/>
  <c r="L73" i="2" s="1"/>
  <c r="I9" i="7"/>
  <c r="L13" i="2" s="1"/>
  <c r="I4" i="7"/>
  <c r="L8" i="2" s="1"/>
  <c r="I53" i="7"/>
  <c r="L57" i="2" s="1"/>
  <c r="I33" i="7"/>
  <c r="L37" i="2" s="1"/>
  <c r="I24" i="7"/>
  <c r="L28" i="2" s="1"/>
  <c r="I86" i="7"/>
  <c r="I34" i="7"/>
  <c r="L38" i="2" s="1"/>
  <c r="I11" i="7"/>
  <c r="L15" i="2" s="1"/>
  <c r="I76" i="7"/>
  <c r="L80" i="2" s="1"/>
  <c r="I38" i="7"/>
  <c r="L42" i="2" s="1"/>
  <c r="I91" i="7"/>
  <c r="L95" i="2" s="1"/>
  <c r="I62" i="7"/>
  <c r="L66" i="2" s="1"/>
  <c r="I23" i="7"/>
  <c r="L27" i="2" s="1"/>
  <c r="I43" i="7"/>
  <c r="L47" i="2" s="1"/>
  <c r="I50" i="7"/>
  <c r="L54" i="2" s="1"/>
  <c r="I52" i="7"/>
  <c r="L56" i="2" s="1"/>
  <c r="I14" i="7"/>
  <c r="L18" i="2" s="1"/>
  <c r="I64" i="7"/>
  <c r="L68" i="2" s="1"/>
  <c r="I71" i="7"/>
  <c r="L75" i="2" s="1"/>
  <c r="M65" i="6"/>
  <c r="M88" i="6"/>
  <c r="I87" i="7"/>
  <c r="L91" i="2" s="1"/>
  <c r="I78" i="7"/>
  <c r="M78" i="6"/>
  <c r="I92" i="7"/>
  <c r="M87" i="6"/>
  <c r="M92" i="6"/>
  <c r="I7" i="7"/>
  <c r="L11" i="2" s="1"/>
  <c r="M90" i="6"/>
  <c r="T120" i="13"/>
  <c r="N30" i="6"/>
  <c r="N63" i="6"/>
  <c r="N58" i="6"/>
  <c r="N98" i="6"/>
  <c r="N68" i="6"/>
  <c r="N66" i="6"/>
  <c r="I27" i="7"/>
  <c r="L31" i="2" s="1"/>
  <c r="J1" i="7"/>
  <c r="N51" i="6" l="1"/>
  <c r="N49" i="6"/>
  <c r="N99" i="6"/>
  <c r="N93" i="6"/>
  <c r="N55" i="6"/>
  <c r="N79" i="6"/>
  <c r="N83" i="6"/>
  <c r="N77" i="6"/>
  <c r="N80" i="6"/>
  <c r="N88" i="6"/>
  <c r="N89" i="6"/>
  <c r="N82" i="6"/>
  <c r="N72" i="6"/>
  <c r="N92" i="6"/>
  <c r="L96" i="2"/>
  <c r="N95" i="6"/>
  <c r="L99" i="2"/>
  <c r="N94" i="6"/>
  <c r="L98" i="2"/>
  <c r="L32" i="2"/>
  <c r="N45" i="6"/>
  <c r="N57" i="6"/>
  <c r="L61" i="2"/>
  <c r="N70" i="6"/>
  <c r="L74" i="2"/>
  <c r="N31" i="6"/>
  <c r="L35" i="2"/>
  <c r="N86" i="6"/>
  <c r="L90" i="2"/>
  <c r="N85" i="6"/>
  <c r="L89" i="2"/>
  <c r="N78" i="6"/>
  <c r="L82" i="2"/>
  <c r="N90" i="6"/>
  <c r="L94" i="2"/>
  <c r="N47" i="6"/>
  <c r="N97" i="6"/>
  <c r="L101" i="2"/>
  <c r="N61" i="6"/>
  <c r="L65" i="2"/>
  <c r="N76" i="6"/>
  <c r="N84" i="6"/>
  <c r="N81" i="6"/>
  <c r="N91" i="6"/>
  <c r="N48" i="6"/>
  <c r="N46" i="6"/>
  <c r="N62" i="6"/>
  <c r="N53" i="6"/>
  <c r="N54" i="6"/>
  <c r="N87" i="6"/>
  <c r="N96" i="6"/>
  <c r="N65" i="6"/>
  <c r="J89" i="7"/>
  <c r="M93" i="2" s="1"/>
  <c r="J6" i="7"/>
  <c r="M10" i="2" s="1"/>
  <c r="J38" i="7"/>
  <c r="M42" i="2" s="1"/>
  <c r="J60" i="7"/>
  <c r="M64" i="2" s="1"/>
  <c r="J96" i="7"/>
  <c r="M100" i="2" s="1"/>
  <c r="J90" i="7"/>
  <c r="M94" i="2" s="1"/>
  <c r="J98" i="7"/>
  <c r="M102" i="2" s="1"/>
  <c r="J48" i="7"/>
  <c r="M52" i="2" s="1"/>
  <c r="J47" i="7"/>
  <c r="M51" i="2" s="1"/>
  <c r="J75" i="7"/>
  <c r="M79" i="2" s="1"/>
  <c r="J76" i="7"/>
  <c r="M80" i="2" s="1"/>
  <c r="J66" i="7"/>
  <c r="M70" i="2" s="1"/>
  <c r="J5" i="7"/>
  <c r="M9" i="2" s="1"/>
  <c r="J49" i="7"/>
  <c r="M53" i="2" s="1"/>
  <c r="J21" i="7"/>
  <c r="M25" i="2" s="1"/>
  <c r="J64" i="7"/>
  <c r="M68" i="2" s="1"/>
  <c r="J36" i="7"/>
  <c r="M40" i="2" s="1"/>
  <c r="J24" i="7"/>
  <c r="M28" i="2" s="1"/>
  <c r="J33" i="7"/>
  <c r="M37" i="2" s="1"/>
  <c r="J84" i="7"/>
  <c r="J55" i="7"/>
  <c r="J65" i="7"/>
  <c r="M69" i="2" s="1"/>
  <c r="J70" i="7"/>
  <c r="M74" i="2" s="1"/>
  <c r="J71" i="7"/>
  <c r="M75" i="2" s="1"/>
  <c r="J17" i="7"/>
  <c r="M21" i="2" s="1"/>
  <c r="J3" i="7"/>
  <c r="M7" i="2" s="1"/>
  <c r="J28" i="7"/>
  <c r="M32" i="2" s="1"/>
  <c r="J18" i="7"/>
  <c r="M22" i="2" s="1"/>
  <c r="J88" i="7"/>
  <c r="J72" i="7"/>
  <c r="M76" i="2" s="1"/>
  <c r="J20" i="7"/>
  <c r="M24" i="2" s="1"/>
  <c r="J40" i="7"/>
  <c r="M44" i="2" s="1"/>
  <c r="J29" i="7"/>
  <c r="M33" i="2" s="1"/>
  <c r="J92" i="7"/>
  <c r="M96" i="2" s="1"/>
  <c r="J67" i="7"/>
  <c r="M71" i="2" s="1"/>
  <c r="J50" i="7"/>
  <c r="M54" i="2" s="1"/>
  <c r="J41" i="7"/>
  <c r="M45" i="2" s="1"/>
  <c r="J30" i="7"/>
  <c r="M34" i="2" s="1"/>
  <c r="J34" i="7"/>
  <c r="M38" i="2" s="1"/>
  <c r="J79" i="7"/>
  <c r="M83" i="2" s="1"/>
  <c r="J73" i="7"/>
  <c r="M77" i="2" s="1"/>
  <c r="J81" i="7"/>
  <c r="M85" i="2" s="1"/>
  <c r="J53" i="7"/>
  <c r="M57" i="2" s="1"/>
  <c r="J15" i="7"/>
  <c r="M19" i="2" s="1"/>
  <c r="J27" i="7"/>
  <c r="M31" i="2" s="1"/>
  <c r="J62" i="7"/>
  <c r="M66" i="2" s="1"/>
  <c r="J78" i="7"/>
  <c r="M82" i="2" s="1"/>
  <c r="J99" i="7"/>
  <c r="J13" i="7"/>
  <c r="M17" i="2" s="1"/>
  <c r="J2" i="7"/>
  <c r="M6" i="2" s="1"/>
  <c r="J43" i="7"/>
  <c r="M47" i="2" s="1"/>
  <c r="J85" i="7"/>
  <c r="J68" i="7"/>
  <c r="M72" i="2" s="1"/>
  <c r="J86" i="7"/>
  <c r="M90" i="2" s="1"/>
  <c r="J31" i="7"/>
  <c r="M35" i="2" s="1"/>
  <c r="J7" i="7"/>
  <c r="M11" i="2" s="1"/>
  <c r="J95" i="7"/>
  <c r="M99" i="2" s="1"/>
  <c r="J59" i="7"/>
  <c r="M63" i="2" s="1"/>
  <c r="J14" i="7"/>
  <c r="M18" i="2" s="1"/>
  <c r="J10" i="7"/>
  <c r="M14" i="2" s="1"/>
  <c r="J11" i="7"/>
  <c r="M15" i="2" s="1"/>
  <c r="J58" i="7"/>
  <c r="M62" i="2" s="1"/>
  <c r="J82" i="7"/>
  <c r="M86" i="2" s="1"/>
  <c r="J12" i="7"/>
  <c r="M16" i="2" s="1"/>
  <c r="J9" i="7"/>
  <c r="M13" i="2" s="1"/>
  <c r="J37" i="7"/>
  <c r="M41" i="2" s="1"/>
  <c r="J26" i="7"/>
  <c r="M30" i="2" s="1"/>
  <c r="J87" i="7"/>
  <c r="M91" i="2" s="1"/>
  <c r="J57" i="7"/>
  <c r="J42" i="7"/>
  <c r="M46" i="2" s="1"/>
  <c r="J91" i="7"/>
  <c r="J54" i="7"/>
  <c r="M58" i="2" s="1"/>
  <c r="J45" i="7"/>
  <c r="M49" i="2" s="1"/>
  <c r="J23" i="7"/>
  <c r="M27" i="2" s="1"/>
  <c r="J94" i="7"/>
  <c r="M98" i="2" s="1"/>
  <c r="J4" i="7"/>
  <c r="M8" i="2" s="1"/>
  <c r="J97" i="7"/>
  <c r="J39" i="7"/>
  <c r="M43" i="2" s="1"/>
  <c r="J19" i="7"/>
  <c r="M23" i="2" s="1"/>
  <c r="J80" i="7"/>
  <c r="M84" i="2" s="1"/>
  <c r="J25" i="7"/>
  <c r="M29" i="2" s="1"/>
  <c r="J44" i="7"/>
  <c r="M48" i="2" s="1"/>
  <c r="J61" i="7"/>
  <c r="M65" i="2" s="1"/>
  <c r="J77" i="7"/>
  <c r="J16" i="7"/>
  <c r="M20" i="2" s="1"/>
  <c r="J22" i="7"/>
  <c r="M26" i="2" s="1"/>
  <c r="J56" i="7"/>
  <c r="M60" i="2" s="1"/>
  <c r="J52" i="7"/>
  <c r="M56" i="2" s="1"/>
  <c r="J93" i="7"/>
  <c r="J74" i="7"/>
  <c r="M78" i="2" s="1"/>
  <c r="J69" i="7"/>
  <c r="M73" i="2" s="1"/>
  <c r="J46" i="7"/>
  <c r="M50" i="2" s="1"/>
  <c r="J51" i="7"/>
  <c r="J8" i="7"/>
  <c r="M12" i="2" s="1"/>
  <c r="J32" i="7"/>
  <c r="M36" i="2" s="1"/>
  <c r="J35" i="7"/>
  <c r="M39" i="2" s="1"/>
  <c r="J83" i="7"/>
  <c r="J63" i="7"/>
  <c r="L1" i="2"/>
  <c r="L5" i="2" s="1"/>
  <c r="T53" i="13"/>
  <c r="S53" i="13"/>
  <c r="O70" i="6"/>
  <c r="O98" i="6"/>
  <c r="O90" i="6"/>
  <c r="O76" i="6"/>
  <c r="O47" i="6"/>
  <c r="O95" i="6"/>
  <c r="O62" i="6"/>
  <c r="O53" i="6"/>
  <c r="O92" i="6"/>
  <c r="K1" i="7"/>
  <c r="O94" i="6" l="1"/>
  <c r="O48" i="6"/>
  <c r="O58" i="6"/>
  <c r="O54" i="6"/>
  <c r="O89" i="6"/>
  <c r="O31" i="6"/>
  <c r="O96" i="6"/>
  <c r="O81" i="6"/>
  <c r="O79" i="6"/>
  <c r="O91" i="6"/>
  <c r="M95" i="2"/>
  <c r="O99" i="6"/>
  <c r="M103" i="2"/>
  <c r="O83" i="6"/>
  <c r="M87" i="2"/>
  <c r="O93" i="6"/>
  <c r="M97" i="2"/>
  <c r="O63" i="6"/>
  <c r="M67" i="2"/>
  <c r="O46" i="6"/>
  <c r="O77" i="6"/>
  <c r="M81" i="2"/>
  <c r="O85" i="6"/>
  <c r="M89" i="2"/>
  <c r="O84" i="6"/>
  <c r="M88" i="2"/>
  <c r="O51" i="6"/>
  <c r="M55" i="2"/>
  <c r="O97" i="6"/>
  <c r="M101" i="2"/>
  <c r="O57" i="6"/>
  <c r="M61" i="2"/>
  <c r="O88" i="6"/>
  <c r="M92" i="2"/>
  <c r="O55" i="6"/>
  <c r="M59" i="2"/>
  <c r="O72" i="6"/>
  <c r="O30" i="6"/>
  <c r="O80" i="6"/>
  <c r="O65" i="6"/>
  <c r="O49" i="6"/>
  <c r="O78" i="6"/>
  <c r="O66" i="6"/>
  <c r="O87" i="6"/>
  <c r="O86" i="6"/>
  <c r="O68" i="6"/>
  <c r="O82" i="6"/>
  <c r="O45" i="6"/>
  <c r="K62" i="7"/>
  <c r="N66" i="2" s="1"/>
  <c r="K78" i="7"/>
  <c r="N82" i="2" s="1"/>
  <c r="K18" i="7"/>
  <c r="N22" i="2" s="1"/>
  <c r="K23" i="7"/>
  <c r="N27" i="2" s="1"/>
  <c r="K54" i="7"/>
  <c r="N58" i="2" s="1"/>
  <c r="K30" i="7"/>
  <c r="N34" i="2" s="1"/>
  <c r="K83" i="7"/>
  <c r="N87" i="2" s="1"/>
  <c r="K51" i="7"/>
  <c r="N55" i="2" s="1"/>
  <c r="K27" i="7"/>
  <c r="N31" i="2" s="1"/>
  <c r="K20" i="7"/>
  <c r="N24" i="2" s="1"/>
  <c r="K13" i="7"/>
  <c r="N17" i="2" s="1"/>
  <c r="K32" i="7"/>
  <c r="N36" i="2" s="1"/>
  <c r="K31" i="7"/>
  <c r="N35" i="2" s="1"/>
  <c r="K91" i="7"/>
  <c r="N95" i="2" s="1"/>
  <c r="K29" i="7"/>
  <c r="N33" i="2" s="1"/>
  <c r="K59" i="7"/>
  <c r="N63" i="2" s="1"/>
  <c r="K63" i="7"/>
  <c r="N67" i="2" s="1"/>
  <c r="K7" i="7"/>
  <c r="N11" i="2" s="1"/>
  <c r="K64" i="7"/>
  <c r="N68" i="2" s="1"/>
  <c r="K28" i="7"/>
  <c r="N32" i="2" s="1"/>
  <c r="K90" i="7"/>
  <c r="K60" i="7"/>
  <c r="N64" i="2" s="1"/>
  <c r="K37" i="7"/>
  <c r="N41" i="2" s="1"/>
  <c r="K48" i="7"/>
  <c r="N52" i="2" s="1"/>
  <c r="K49" i="7"/>
  <c r="N53" i="2" s="1"/>
  <c r="K5" i="7"/>
  <c r="N9" i="2" s="1"/>
  <c r="K68" i="7"/>
  <c r="N72" i="2" s="1"/>
  <c r="K41" i="7"/>
  <c r="N45" i="2" s="1"/>
  <c r="K71" i="7"/>
  <c r="N75" i="2" s="1"/>
  <c r="K4" i="7"/>
  <c r="N8" i="2" s="1"/>
  <c r="K53" i="7"/>
  <c r="N57" i="2" s="1"/>
  <c r="K96" i="7"/>
  <c r="K45" i="7"/>
  <c r="N49" i="2" s="1"/>
  <c r="K36" i="7"/>
  <c r="N40" i="2" s="1"/>
  <c r="K50" i="7"/>
  <c r="N54" i="2" s="1"/>
  <c r="K21" i="7"/>
  <c r="N25" i="2" s="1"/>
  <c r="K94" i="7"/>
  <c r="N98" i="2" s="1"/>
  <c r="K80" i="7"/>
  <c r="N84" i="2" s="1"/>
  <c r="K3" i="7"/>
  <c r="N7" i="2" s="1"/>
  <c r="K76" i="7"/>
  <c r="N80" i="2" s="1"/>
  <c r="K82" i="7"/>
  <c r="N86" i="2" s="1"/>
  <c r="K61" i="7"/>
  <c r="N65" i="2" s="1"/>
  <c r="K72" i="7"/>
  <c r="N76" i="2" s="1"/>
  <c r="K6" i="7"/>
  <c r="N10" i="2" s="1"/>
  <c r="K66" i="7"/>
  <c r="K74" i="7"/>
  <c r="N78" i="2" s="1"/>
  <c r="K46" i="7"/>
  <c r="N50" i="2" s="1"/>
  <c r="K33" i="7"/>
  <c r="N37" i="2" s="1"/>
  <c r="K9" i="7"/>
  <c r="N13" i="2" s="1"/>
  <c r="K17" i="7"/>
  <c r="N21" i="2" s="1"/>
  <c r="K69" i="7"/>
  <c r="N73" i="2" s="1"/>
  <c r="K16" i="7"/>
  <c r="N20" i="2" s="1"/>
  <c r="K11" i="7"/>
  <c r="N15" i="2" s="1"/>
  <c r="K22" i="7"/>
  <c r="N26" i="2" s="1"/>
  <c r="K57" i="7"/>
  <c r="N61" i="2" s="1"/>
  <c r="K77" i="7"/>
  <c r="N81" i="2" s="1"/>
  <c r="K98" i="7"/>
  <c r="N102" i="2" s="1"/>
  <c r="K24" i="7"/>
  <c r="N28" i="2" s="1"/>
  <c r="K92" i="7"/>
  <c r="K70" i="7"/>
  <c r="N74" i="2" s="1"/>
  <c r="K43" i="7"/>
  <c r="N47" i="2" s="1"/>
  <c r="K86" i="7"/>
  <c r="N90" i="2" s="1"/>
  <c r="K84" i="7"/>
  <c r="N88" i="2" s="1"/>
  <c r="K39" i="7"/>
  <c r="N43" i="2" s="1"/>
  <c r="K35" i="7"/>
  <c r="N39" i="2" s="1"/>
  <c r="K81" i="7"/>
  <c r="N85" i="2" s="1"/>
  <c r="K40" i="7"/>
  <c r="N44" i="2" s="1"/>
  <c r="K58" i="7"/>
  <c r="K93" i="7"/>
  <c r="N97" i="2" s="1"/>
  <c r="K67" i="7"/>
  <c r="N71" i="2" s="1"/>
  <c r="K55" i="7"/>
  <c r="N59" i="2" s="1"/>
  <c r="K88" i="7"/>
  <c r="K26" i="7"/>
  <c r="K65" i="7"/>
  <c r="N69" i="2" s="1"/>
  <c r="K2" i="7"/>
  <c r="N6" i="2" s="1"/>
  <c r="K52" i="7"/>
  <c r="N56" i="2" s="1"/>
  <c r="K38" i="7"/>
  <c r="N42" i="2" s="1"/>
  <c r="K73" i="7"/>
  <c r="N77" i="2" s="1"/>
  <c r="K89" i="7"/>
  <c r="K14" i="7"/>
  <c r="N18" i="2" s="1"/>
  <c r="K99" i="7"/>
  <c r="K85" i="7"/>
  <c r="K79" i="7"/>
  <c r="K97" i="7"/>
  <c r="N101" i="2" s="1"/>
  <c r="K75" i="7"/>
  <c r="N79" i="2" s="1"/>
  <c r="K10" i="7"/>
  <c r="N14" i="2" s="1"/>
  <c r="K12" i="7"/>
  <c r="N16" i="2" s="1"/>
  <c r="K56" i="7"/>
  <c r="N60" i="2" s="1"/>
  <c r="K47" i="7"/>
  <c r="N51" i="2" s="1"/>
  <c r="K87" i="7"/>
  <c r="K34" i="7"/>
  <c r="N38" i="2" s="1"/>
  <c r="K15" i="7"/>
  <c r="N19" i="2" s="1"/>
  <c r="K19" i="7"/>
  <c r="N23" i="2" s="1"/>
  <c r="K8" i="7"/>
  <c r="N12" i="2" s="1"/>
  <c r="K95" i="7"/>
  <c r="K42" i="7"/>
  <c r="N46" i="2" s="1"/>
  <c r="K44" i="7"/>
  <c r="N48" i="2" s="1"/>
  <c r="K25" i="7"/>
  <c r="N29" i="2" s="1"/>
  <c r="M1" i="2"/>
  <c r="M5" i="2" s="1"/>
  <c r="O61" i="6"/>
  <c r="T170" i="13"/>
  <c r="P53" i="6"/>
  <c r="P68" i="6"/>
  <c r="P51" i="6"/>
  <c r="P83" i="6"/>
  <c r="P48" i="6"/>
  <c r="P77" i="6"/>
  <c r="P72" i="6"/>
  <c r="P82" i="6"/>
  <c r="E2" i="2"/>
  <c r="C6" i="2"/>
  <c r="C2" i="6" s="1"/>
  <c r="C7" i="2"/>
  <c r="C3" i="6" s="1"/>
  <c r="C8" i="2"/>
  <c r="C4" i="6" s="1"/>
  <c r="C9" i="2"/>
  <c r="C5" i="6" s="1"/>
  <c r="C10" i="2"/>
  <c r="C6" i="6" s="1"/>
  <c r="C11" i="2"/>
  <c r="C7" i="6" s="1"/>
  <c r="C12" i="2"/>
  <c r="C8" i="6" s="1"/>
  <c r="C13" i="2"/>
  <c r="C9" i="6" s="1"/>
  <c r="C14" i="2"/>
  <c r="C10" i="6" s="1"/>
  <c r="C15" i="2"/>
  <c r="C11" i="6" s="1"/>
  <c r="C16" i="2"/>
  <c r="C12" i="6" s="1"/>
  <c r="C17" i="2"/>
  <c r="C13" i="6" s="1"/>
  <c r="C18" i="2"/>
  <c r="C14" i="6" s="1"/>
  <c r="C19" i="2"/>
  <c r="C15" i="6" s="1"/>
  <c r="C20" i="2"/>
  <c r="C16" i="6" s="1"/>
  <c r="C21" i="2"/>
  <c r="C17" i="6" s="1"/>
  <c r="C22" i="2"/>
  <c r="C18" i="6" s="1"/>
  <c r="C23" i="2"/>
  <c r="C19" i="6" s="1"/>
  <c r="C24" i="2"/>
  <c r="C20" i="6" s="1"/>
  <c r="C25" i="2"/>
  <c r="C21" i="6" s="1"/>
  <c r="C26" i="2"/>
  <c r="C22" i="6" s="1"/>
  <c r="C27" i="2"/>
  <c r="C23" i="6" s="1"/>
  <c r="C28" i="2"/>
  <c r="C24" i="6" s="1"/>
  <c r="C29" i="2"/>
  <c r="C25" i="6" s="1"/>
  <c r="C30" i="2"/>
  <c r="C26" i="6" s="1"/>
  <c r="C31" i="2"/>
  <c r="C27" i="6" s="1"/>
  <c r="C32" i="2"/>
  <c r="C28" i="6" s="1"/>
  <c r="C33" i="2"/>
  <c r="C29" i="6" s="1"/>
  <c r="C34" i="2"/>
  <c r="C30" i="6" s="1"/>
  <c r="C35" i="2"/>
  <c r="C31" i="6" s="1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53" i="2"/>
  <c r="C49" i="6" s="1"/>
  <c r="C54" i="2"/>
  <c r="C50" i="6" s="1"/>
  <c r="C55" i="2"/>
  <c r="C51" i="6" s="1"/>
  <c r="C56" i="2"/>
  <c r="C52" i="6" s="1"/>
  <c r="C57" i="2"/>
  <c r="C53" i="6" s="1"/>
  <c r="C58" i="2"/>
  <c r="C54" i="6" s="1"/>
  <c r="C59" i="2"/>
  <c r="C55" i="6" s="1"/>
  <c r="C60" i="2"/>
  <c r="C56" i="6" s="1"/>
  <c r="C61" i="2"/>
  <c r="C57" i="6" s="1"/>
  <c r="C62" i="2"/>
  <c r="C58" i="6" s="1"/>
  <c r="C63" i="2"/>
  <c r="C59" i="6" s="1"/>
  <c r="C64" i="2"/>
  <c r="C60" i="6" s="1"/>
  <c r="C65" i="2"/>
  <c r="C61" i="6" s="1"/>
  <c r="C66" i="2"/>
  <c r="C62" i="6" s="1"/>
  <c r="C67" i="2"/>
  <c r="C63" i="6" s="1"/>
  <c r="C68" i="2"/>
  <c r="C64" i="6" s="1"/>
  <c r="L1" i="7"/>
  <c r="P62" i="6" l="1"/>
  <c r="P63" i="6"/>
  <c r="P54" i="6"/>
  <c r="P49" i="6"/>
  <c r="P46" i="6"/>
  <c r="P31" i="6"/>
  <c r="P57" i="6"/>
  <c r="P76" i="6"/>
  <c r="P30" i="6"/>
  <c r="P80" i="6"/>
  <c r="P91" i="6"/>
  <c r="P86" i="6"/>
  <c r="P98" i="6"/>
  <c r="P47" i="6"/>
  <c r="P84" i="6"/>
  <c r="P88" i="6"/>
  <c r="N92" i="2"/>
  <c r="P96" i="6"/>
  <c r="N100" i="2"/>
  <c r="P99" i="6"/>
  <c r="N103" i="2"/>
  <c r="N30" i="2"/>
  <c r="P87" i="6"/>
  <c r="N91" i="2"/>
  <c r="P85" i="6"/>
  <c r="N89" i="2"/>
  <c r="P79" i="6"/>
  <c r="N83" i="2"/>
  <c r="P92" i="6"/>
  <c r="N96" i="2"/>
  <c r="P58" i="6"/>
  <c r="N62" i="2"/>
  <c r="P66" i="6"/>
  <c r="N70" i="2"/>
  <c r="P90" i="6"/>
  <c r="N94" i="2"/>
  <c r="P95" i="6"/>
  <c r="N99" i="2"/>
  <c r="P89" i="6"/>
  <c r="N93" i="2"/>
  <c r="P94" i="6"/>
  <c r="P65" i="6"/>
  <c r="P61" i="6"/>
  <c r="P78" i="6"/>
  <c r="P93" i="6"/>
  <c r="P97" i="6"/>
  <c r="P70" i="6"/>
  <c r="P81" i="6"/>
  <c r="P45" i="6"/>
  <c r="L21" i="7"/>
  <c r="O25" i="2" s="1"/>
  <c r="L23" i="7"/>
  <c r="O27" i="2" s="1"/>
  <c r="L97" i="7"/>
  <c r="O101" i="2" s="1"/>
  <c r="L67" i="7"/>
  <c r="O71" i="2" s="1"/>
  <c r="L31" i="7"/>
  <c r="O35" i="2" s="1"/>
  <c r="L63" i="7"/>
  <c r="O67" i="2" s="1"/>
  <c r="L87" i="7"/>
  <c r="O91" i="2" s="1"/>
  <c r="L59" i="7"/>
  <c r="O63" i="2" s="1"/>
  <c r="L94" i="7"/>
  <c r="O98" i="2" s="1"/>
  <c r="L36" i="7"/>
  <c r="O40" i="2" s="1"/>
  <c r="L68" i="7"/>
  <c r="O72" i="2" s="1"/>
  <c r="L60" i="7"/>
  <c r="O64" i="2" s="1"/>
  <c r="L95" i="7"/>
  <c r="O99" i="2" s="1"/>
  <c r="L72" i="7"/>
  <c r="O76" i="2" s="1"/>
  <c r="L15" i="7"/>
  <c r="O19" i="2" s="1"/>
  <c r="L13" i="7"/>
  <c r="O17" i="2" s="1"/>
  <c r="L90" i="7"/>
  <c r="O94" i="2" s="1"/>
  <c r="L42" i="7"/>
  <c r="O46" i="2" s="1"/>
  <c r="L3" i="7"/>
  <c r="O7" i="2" s="1"/>
  <c r="L93" i="7"/>
  <c r="O97" i="2" s="1"/>
  <c r="L12" i="7"/>
  <c r="O16" i="2" s="1"/>
  <c r="L44" i="7"/>
  <c r="O48" i="2" s="1"/>
  <c r="L81" i="7"/>
  <c r="O85" i="2" s="1"/>
  <c r="L25" i="7"/>
  <c r="O29" i="2" s="1"/>
  <c r="L61" i="7"/>
  <c r="O65" i="2" s="1"/>
  <c r="L69" i="7"/>
  <c r="O73" i="2" s="1"/>
  <c r="L86" i="7"/>
  <c r="O90" i="2" s="1"/>
  <c r="L70" i="7"/>
  <c r="O74" i="2" s="1"/>
  <c r="L75" i="7"/>
  <c r="O79" i="2" s="1"/>
  <c r="L14" i="7"/>
  <c r="O18" i="2" s="1"/>
  <c r="L19" i="7"/>
  <c r="O23" i="2" s="1"/>
  <c r="L85" i="7"/>
  <c r="O89" i="2" s="1"/>
  <c r="L35" i="7"/>
  <c r="O39" i="2" s="1"/>
  <c r="L77" i="7"/>
  <c r="O81" i="2" s="1"/>
  <c r="L56" i="7"/>
  <c r="O60" i="2" s="1"/>
  <c r="L55" i="7"/>
  <c r="O59" i="2" s="1"/>
  <c r="L79" i="7"/>
  <c r="O83" i="2" s="1"/>
  <c r="L83" i="7"/>
  <c r="O87" i="2" s="1"/>
  <c r="L51" i="7"/>
  <c r="O55" i="2" s="1"/>
  <c r="L98" i="7"/>
  <c r="O102" i="2" s="1"/>
  <c r="L52" i="7"/>
  <c r="O56" i="2" s="1"/>
  <c r="L24" i="7"/>
  <c r="O28" i="2" s="1"/>
  <c r="L18" i="7"/>
  <c r="O22" i="2" s="1"/>
  <c r="L17" i="7"/>
  <c r="O21" i="2" s="1"/>
  <c r="L50" i="7"/>
  <c r="O54" i="2" s="1"/>
  <c r="L37" i="7"/>
  <c r="O41" i="2" s="1"/>
  <c r="L32" i="7"/>
  <c r="O36" i="2" s="1"/>
  <c r="L47" i="7"/>
  <c r="O51" i="2" s="1"/>
  <c r="L39" i="7"/>
  <c r="O43" i="2" s="1"/>
  <c r="L58" i="7"/>
  <c r="O62" i="2" s="1"/>
  <c r="L34" i="7"/>
  <c r="O38" i="2" s="1"/>
  <c r="L30" i="7"/>
  <c r="O34" i="2" s="1"/>
  <c r="L65" i="7"/>
  <c r="O69" i="2" s="1"/>
  <c r="L91" i="7"/>
  <c r="O95" i="2" s="1"/>
  <c r="L89" i="7"/>
  <c r="O93" i="2" s="1"/>
  <c r="L66" i="7"/>
  <c r="O70" i="2" s="1"/>
  <c r="L92" i="7"/>
  <c r="O96" i="2" s="1"/>
  <c r="L46" i="7"/>
  <c r="O50" i="2" s="1"/>
  <c r="L45" i="7"/>
  <c r="O49" i="2" s="1"/>
  <c r="L49" i="7"/>
  <c r="O53" i="2" s="1"/>
  <c r="L73" i="7"/>
  <c r="O77" i="2" s="1"/>
  <c r="L57" i="7"/>
  <c r="O61" i="2" s="1"/>
  <c r="L16" i="7"/>
  <c r="O20" i="2" s="1"/>
  <c r="L27" i="7"/>
  <c r="O31" i="2" s="1"/>
  <c r="L53" i="7"/>
  <c r="L43" i="7"/>
  <c r="O47" i="2" s="1"/>
  <c r="L20" i="7"/>
  <c r="O24" i="2" s="1"/>
  <c r="L48" i="7"/>
  <c r="O52" i="2" s="1"/>
  <c r="L64" i="7"/>
  <c r="O68" i="2" s="1"/>
  <c r="L6" i="7"/>
  <c r="O10" i="2" s="1"/>
  <c r="L33" i="7"/>
  <c r="O37" i="2" s="1"/>
  <c r="L2" i="7"/>
  <c r="O6" i="2" s="1"/>
  <c r="L40" i="7"/>
  <c r="O44" i="2" s="1"/>
  <c r="L4" i="7"/>
  <c r="O8" i="2" s="1"/>
  <c r="L62" i="7"/>
  <c r="O66" i="2" s="1"/>
  <c r="L54" i="7"/>
  <c r="O58" i="2" s="1"/>
  <c r="L82" i="7"/>
  <c r="O86" i="2" s="1"/>
  <c r="L71" i="7"/>
  <c r="O75" i="2" s="1"/>
  <c r="L9" i="7"/>
  <c r="O13" i="2" s="1"/>
  <c r="L80" i="7"/>
  <c r="O84" i="2" s="1"/>
  <c r="L7" i="7"/>
  <c r="O11" i="2" s="1"/>
  <c r="L41" i="7"/>
  <c r="O45" i="2" s="1"/>
  <c r="L88" i="7"/>
  <c r="O92" i="2" s="1"/>
  <c r="L5" i="7"/>
  <c r="O9" i="2" s="1"/>
  <c r="L38" i="7"/>
  <c r="O42" i="2" s="1"/>
  <c r="L26" i="7"/>
  <c r="O30" i="2" s="1"/>
  <c r="L84" i="7"/>
  <c r="O88" i="2" s="1"/>
  <c r="L11" i="7"/>
  <c r="O15" i="2" s="1"/>
  <c r="L29" i="7"/>
  <c r="O33" i="2" s="1"/>
  <c r="L96" i="7"/>
  <c r="O100" i="2" s="1"/>
  <c r="L8" i="7"/>
  <c r="O12" i="2" s="1"/>
  <c r="L22" i="7"/>
  <c r="O26" i="2" s="1"/>
  <c r="L74" i="7"/>
  <c r="O78" i="2" s="1"/>
  <c r="L78" i="7"/>
  <c r="O82" i="2" s="1"/>
  <c r="L76" i="7"/>
  <c r="O80" i="2" s="1"/>
  <c r="L28" i="7"/>
  <c r="O32" i="2" s="1"/>
  <c r="P55" i="6"/>
  <c r="L99" i="7"/>
  <c r="O103" i="2" s="1"/>
  <c r="L10" i="7"/>
  <c r="O14" i="2" s="1"/>
  <c r="N1" i="2"/>
  <c r="N5" i="2" s="1"/>
  <c r="T230" i="13"/>
  <c r="T173" i="13"/>
  <c r="S173" i="13"/>
  <c r="B2" i="6"/>
  <c r="A2" i="6"/>
  <c r="B63" i="6"/>
  <c r="A63" i="6"/>
  <c r="B55" i="6"/>
  <c r="A55" i="6"/>
  <c r="B47" i="6"/>
  <c r="A47" i="6"/>
  <c r="A51" i="2" s="1"/>
  <c r="B51" i="2" s="1"/>
  <c r="B39" i="6"/>
  <c r="A39" i="6"/>
  <c r="A43" i="2" s="1"/>
  <c r="B43" i="2" s="1"/>
  <c r="B31" i="6"/>
  <c r="A31" i="6"/>
  <c r="B23" i="6"/>
  <c r="A23" i="6"/>
  <c r="B15" i="6"/>
  <c r="A15" i="6"/>
  <c r="B7" i="6"/>
  <c r="A7" i="6"/>
  <c r="B73" i="6"/>
  <c r="A73" i="6"/>
  <c r="E73" i="6" s="1"/>
  <c r="B65" i="6"/>
  <c r="A65" i="6"/>
  <c r="E65" i="6" s="1"/>
  <c r="A56" i="6"/>
  <c r="B56" i="6"/>
  <c r="A48" i="6"/>
  <c r="A52" i="2" s="1"/>
  <c r="B52" i="2" s="1"/>
  <c r="B48" i="6"/>
  <c r="A40" i="6"/>
  <c r="A44" i="2" s="1"/>
  <c r="B44" i="2" s="1"/>
  <c r="B40" i="6"/>
  <c r="A32" i="6"/>
  <c r="A36" i="2" s="1"/>
  <c r="B36" i="2" s="1"/>
  <c r="B32" i="6"/>
  <c r="A24" i="6"/>
  <c r="B24" i="6"/>
  <c r="A16" i="6"/>
  <c r="B16" i="6"/>
  <c r="A8" i="6"/>
  <c r="B8" i="6"/>
  <c r="B74" i="6"/>
  <c r="A74" i="6"/>
  <c r="E74" i="6" s="1"/>
  <c r="B66" i="6"/>
  <c r="A66" i="6"/>
  <c r="E66" i="6" s="1"/>
  <c r="B57" i="6"/>
  <c r="A57" i="6"/>
  <c r="B49" i="6"/>
  <c r="A49" i="6"/>
  <c r="B41" i="6"/>
  <c r="A41" i="6"/>
  <c r="A45" i="2" s="1"/>
  <c r="B45" i="2" s="1"/>
  <c r="B33" i="6"/>
  <c r="A33" i="6"/>
  <c r="A37" i="2" s="1"/>
  <c r="B37" i="2" s="1"/>
  <c r="B25" i="6"/>
  <c r="A25" i="6"/>
  <c r="B17" i="6"/>
  <c r="A17" i="6"/>
  <c r="B9" i="6"/>
  <c r="A9" i="6"/>
  <c r="B75" i="6"/>
  <c r="A75" i="6"/>
  <c r="E75" i="6" s="1"/>
  <c r="B67" i="6"/>
  <c r="A67" i="6"/>
  <c r="E67" i="6" s="1"/>
  <c r="A64" i="6"/>
  <c r="B64" i="6"/>
  <c r="B58" i="6"/>
  <c r="A58" i="6"/>
  <c r="B50" i="6"/>
  <c r="A50" i="6"/>
  <c r="B42" i="6"/>
  <c r="A42" i="6"/>
  <c r="A46" i="2" s="1"/>
  <c r="B46" i="2" s="1"/>
  <c r="B34" i="6"/>
  <c r="A34" i="6"/>
  <c r="A38" i="2" s="1"/>
  <c r="B38" i="2" s="1"/>
  <c r="B26" i="6"/>
  <c r="A26" i="6"/>
  <c r="B18" i="6"/>
  <c r="A18" i="6"/>
  <c r="B10" i="6"/>
  <c r="A10" i="6"/>
  <c r="A76" i="6"/>
  <c r="E76" i="6" s="1"/>
  <c r="B76" i="6"/>
  <c r="A68" i="6"/>
  <c r="E68" i="6" s="1"/>
  <c r="B68" i="6"/>
  <c r="B51" i="6"/>
  <c r="A51" i="6"/>
  <c r="B43" i="6"/>
  <c r="A43" i="6"/>
  <c r="A47" i="2" s="1"/>
  <c r="B47" i="2" s="1"/>
  <c r="B35" i="6"/>
  <c r="A35" i="6"/>
  <c r="A39" i="2" s="1"/>
  <c r="B39" i="2" s="1"/>
  <c r="B27" i="6"/>
  <c r="A27" i="6"/>
  <c r="B19" i="6"/>
  <c r="A19" i="6"/>
  <c r="B11" i="6"/>
  <c r="A11" i="6"/>
  <c r="B3" i="6"/>
  <c r="A3" i="6"/>
  <c r="B69" i="6"/>
  <c r="A69" i="6"/>
  <c r="E69" i="6" s="1"/>
  <c r="A60" i="6"/>
  <c r="B60" i="6"/>
  <c r="A52" i="6"/>
  <c r="B52" i="6"/>
  <c r="A44" i="6"/>
  <c r="A48" i="2" s="1"/>
  <c r="B48" i="2" s="1"/>
  <c r="B44" i="6"/>
  <c r="A36" i="6"/>
  <c r="A40" i="2" s="1"/>
  <c r="B40" i="2" s="1"/>
  <c r="B36" i="6"/>
  <c r="A28" i="6"/>
  <c r="B28" i="6"/>
  <c r="A20" i="6"/>
  <c r="B20" i="6"/>
  <c r="A12" i="6"/>
  <c r="B12" i="6"/>
  <c r="A4" i="6"/>
  <c r="B4" i="6"/>
  <c r="B70" i="6"/>
  <c r="A70" i="6"/>
  <c r="E70" i="6" s="1"/>
  <c r="B61" i="6"/>
  <c r="A61" i="6"/>
  <c r="B53" i="6"/>
  <c r="A53" i="6"/>
  <c r="A57" i="2" s="1"/>
  <c r="B57" i="2" s="1"/>
  <c r="B45" i="6"/>
  <c r="A45" i="6"/>
  <c r="A49" i="2" s="1"/>
  <c r="B49" i="2" s="1"/>
  <c r="B37" i="6"/>
  <c r="A37" i="6"/>
  <c r="A41" i="2" s="1"/>
  <c r="B41" i="2" s="1"/>
  <c r="B29" i="6"/>
  <c r="A29" i="6"/>
  <c r="A33" i="2" s="1"/>
  <c r="B33" i="2" s="1"/>
  <c r="B21" i="6"/>
  <c r="A21" i="6"/>
  <c r="B13" i="6"/>
  <c r="A13" i="6"/>
  <c r="B5" i="6"/>
  <c r="A5" i="6"/>
  <c r="B71" i="6"/>
  <c r="A71" i="6"/>
  <c r="B59" i="6"/>
  <c r="A59" i="6"/>
  <c r="B62" i="6"/>
  <c r="A62" i="6"/>
  <c r="B54" i="6"/>
  <c r="A54" i="6"/>
  <c r="B46" i="6"/>
  <c r="A46" i="6"/>
  <c r="A50" i="2" s="1"/>
  <c r="B50" i="2" s="1"/>
  <c r="B38" i="6"/>
  <c r="A38" i="6"/>
  <c r="A42" i="2" s="1"/>
  <c r="B42" i="2" s="1"/>
  <c r="B30" i="6"/>
  <c r="A30" i="6"/>
  <c r="B22" i="6"/>
  <c r="A22" i="6"/>
  <c r="B14" i="6"/>
  <c r="A14" i="6"/>
  <c r="B6" i="6"/>
  <c r="A6" i="6"/>
  <c r="A72" i="6"/>
  <c r="E72" i="6" s="1"/>
  <c r="B72" i="6"/>
  <c r="Q49" i="6"/>
  <c r="Q45" i="6"/>
  <c r="Q66" i="6"/>
  <c r="Q91" i="6"/>
  <c r="Q86" i="6"/>
  <c r="Q70" i="6"/>
  <c r="Q72" i="6"/>
  <c r="Q95" i="6"/>
  <c r="Q55" i="6"/>
  <c r="Q85" i="6"/>
  <c r="Q97" i="6"/>
  <c r="Q93" i="6"/>
  <c r="Q63" i="6"/>
  <c r="Q31" i="6"/>
  <c r="Q54" i="6"/>
  <c r="Q88" i="6"/>
  <c r="Q80" i="6"/>
  <c r="Q82" i="6"/>
  <c r="Q48" i="6"/>
  <c r="Q83" i="6"/>
  <c r="Q79" i="6"/>
  <c r="Q57" i="6"/>
  <c r="Q30" i="6"/>
  <c r="Q65" i="6"/>
  <c r="Q98" i="6"/>
  <c r="Q47" i="6"/>
  <c r="Q68" i="6"/>
  <c r="E24" i="6"/>
  <c r="M1" i="7"/>
  <c r="A6" i="2" l="1"/>
  <c r="A7" i="2" s="1"/>
  <c r="B7" i="2" s="1"/>
  <c r="Q81" i="6"/>
  <c r="Q76" i="6"/>
  <c r="Q87" i="6"/>
  <c r="Q89" i="6"/>
  <c r="Q84" i="6"/>
  <c r="Q51" i="6"/>
  <c r="Q78" i="6"/>
  <c r="Q53" i="6"/>
  <c r="O57" i="2"/>
  <c r="Q62" i="6"/>
  <c r="Q61" i="6"/>
  <c r="Q92" i="6"/>
  <c r="Q90" i="6"/>
  <c r="Q94" i="6"/>
  <c r="Q58" i="6"/>
  <c r="Q46" i="6"/>
  <c r="Q99" i="6"/>
  <c r="Q77" i="6"/>
  <c r="Q96" i="6"/>
  <c r="M18" i="7"/>
  <c r="P22" i="2" s="1"/>
  <c r="M35" i="7"/>
  <c r="P39" i="2" s="1"/>
  <c r="M28" i="7"/>
  <c r="P32" i="2" s="1"/>
  <c r="M78" i="7"/>
  <c r="P82" i="2" s="1"/>
  <c r="M58" i="7"/>
  <c r="P62" i="2" s="1"/>
  <c r="M32" i="7"/>
  <c r="P36" i="2" s="1"/>
  <c r="M57" i="7"/>
  <c r="P61" i="2" s="1"/>
  <c r="M74" i="7"/>
  <c r="P78" i="2" s="1"/>
  <c r="M73" i="7"/>
  <c r="P77" i="2" s="1"/>
  <c r="M94" i="7"/>
  <c r="P98" i="2" s="1"/>
  <c r="M10" i="7"/>
  <c r="P14" i="2" s="1"/>
  <c r="M61" i="7"/>
  <c r="P65" i="2" s="1"/>
  <c r="M92" i="7"/>
  <c r="P96" i="2" s="1"/>
  <c r="M15" i="7"/>
  <c r="P19" i="2" s="1"/>
  <c r="M60" i="7"/>
  <c r="P64" i="2" s="1"/>
  <c r="M14" i="7"/>
  <c r="P18" i="2" s="1"/>
  <c r="M2" i="7"/>
  <c r="P6" i="2" s="1"/>
  <c r="M21" i="7"/>
  <c r="P25" i="2" s="1"/>
  <c r="M17" i="7"/>
  <c r="P21" i="2" s="1"/>
  <c r="M67" i="7"/>
  <c r="P71" i="2" s="1"/>
  <c r="M4" i="7"/>
  <c r="P8" i="2" s="1"/>
  <c r="M44" i="7"/>
  <c r="P48" i="2" s="1"/>
  <c r="M95" i="7"/>
  <c r="P99" i="2" s="1"/>
  <c r="M7" i="7"/>
  <c r="P11" i="2" s="1"/>
  <c r="M75" i="7"/>
  <c r="P79" i="2" s="1"/>
  <c r="M69" i="7"/>
  <c r="P73" i="2" s="1"/>
  <c r="M89" i="7"/>
  <c r="P93" i="2" s="1"/>
  <c r="M99" i="7"/>
  <c r="P103" i="2" s="1"/>
  <c r="M13" i="7"/>
  <c r="P17" i="2" s="1"/>
  <c r="M77" i="7"/>
  <c r="P81" i="2" s="1"/>
  <c r="M50" i="7"/>
  <c r="P54" i="2" s="1"/>
  <c r="M30" i="7"/>
  <c r="P34" i="2" s="1"/>
  <c r="M20" i="7"/>
  <c r="P24" i="2" s="1"/>
  <c r="M70" i="7"/>
  <c r="P74" i="2" s="1"/>
  <c r="M54" i="7"/>
  <c r="P58" i="2" s="1"/>
  <c r="M6" i="7"/>
  <c r="P10" i="2" s="1"/>
  <c r="M40" i="7"/>
  <c r="P44" i="2" s="1"/>
  <c r="M33" i="7"/>
  <c r="P37" i="2" s="1"/>
  <c r="M23" i="7"/>
  <c r="P27" i="2" s="1"/>
  <c r="M41" i="7"/>
  <c r="P45" i="2" s="1"/>
  <c r="M31" i="7"/>
  <c r="P35" i="2" s="1"/>
  <c r="M34" i="7"/>
  <c r="P38" i="2" s="1"/>
  <c r="M59" i="7"/>
  <c r="P63" i="2" s="1"/>
  <c r="M37" i="7"/>
  <c r="P41" i="2" s="1"/>
  <c r="M87" i="7"/>
  <c r="P91" i="2" s="1"/>
  <c r="M27" i="7"/>
  <c r="P31" i="2" s="1"/>
  <c r="M9" i="7"/>
  <c r="P13" i="2" s="1"/>
  <c r="M48" i="7"/>
  <c r="P52" i="2" s="1"/>
  <c r="M52" i="7"/>
  <c r="P56" i="2" s="1"/>
  <c r="M16" i="7"/>
  <c r="P20" i="2" s="1"/>
  <c r="M38" i="7"/>
  <c r="P42" i="2" s="1"/>
  <c r="M96" i="7"/>
  <c r="M85" i="7"/>
  <c r="P89" i="2" s="1"/>
  <c r="M45" i="7"/>
  <c r="P49" i="2" s="1"/>
  <c r="M91" i="7"/>
  <c r="P95" i="2" s="1"/>
  <c r="M86" i="7"/>
  <c r="M82" i="7"/>
  <c r="P86" i="2" s="1"/>
  <c r="M24" i="7"/>
  <c r="P28" i="2" s="1"/>
  <c r="M8" i="7"/>
  <c r="P12" i="2" s="1"/>
  <c r="M88" i="7"/>
  <c r="P92" i="2" s="1"/>
  <c r="M36" i="7"/>
  <c r="P40" i="2" s="1"/>
  <c r="M42" i="7"/>
  <c r="P46" i="2" s="1"/>
  <c r="M39" i="7"/>
  <c r="P43" i="2" s="1"/>
  <c r="M90" i="7"/>
  <c r="P94" i="2" s="1"/>
  <c r="M51" i="7"/>
  <c r="P55" i="2" s="1"/>
  <c r="M3" i="7"/>
  <c r="P7" i="2" s="1"/>
  <c r="M43" i="7"/>
  <c r="P47" i="2" s="1"/>
  <c r="M47" i="7"/>
  <c r="P51" i="2" s="1"/>
  <c r="M22" i="7"/>
  <c r="P26" i="2" s="1"/>
  <c r="M97" i="7"/>
  <c r="P101" i="2" s="1"/>
  <c r="M65" i="7"/>
  <c r="P69" i="2" s="1"/>
  <c r="M56" i="7"/>
  <c r="P60" i="2" s="1"/>
  <c r="M63" i="7"/>
  <c r="P67" i="2" s="1"/>
  <c r="M62" i="7"/>
  <c r="M46" i="7"/>
  <c r="P50" i="2" s="1"/>
  <c r="M5" i="7"/>
  <c r="P9" i="2" s="1"/>
  <c r="M79" i="7"/>
  <c r="P83" i="2" s="1"/>
  <c r="M64" i="7"/>
  <c r="P68" i="2" s="1"/>
  <c r="M98" i="7"/>
  <c r="P102" i="2" s="1"/>
  <c r="M71" i="7"/>
  <c r="P75" i="2" s="1"/>
  <c r="M81" i="7"/>
  <c r="P85" i="2" s="1"/>
  <c r="M72" i="7"/>
  <c r="P76" i="2" s="1"/>
  <c r="M29" i="7"/>
  <c r="P33" i="2" s="1"/>
  <c r="M26" i="7"/>
  <c r="P30" i="2" s="1"/>
  <c r="M53" i="7"/>
  <c r="P57" i="2" s="1"/>
  <c r="M84" i="7"/>
  <c r="P88" i="2" s="1"/>
  <c r="M25" i="7"/>
  <c r="P29" i="2" s="1"/>
  <c r="M12" i="7"/>
  <c r="P16" i="2" s="1"/>
  <c r="M83" i="7"/>
  <c r="P87" i="2" s="1"/>
  <c r="M93" i="7"/>
  <c r="P97" i="2" s="1"/>
  <c r="M66" i="7"/>
  <c r="P70" i="2" s="1"/>
  <c r="M80" i="7"/>
  <c r="P84" i="2" s="1"/>
  <c r="M55" i="7"/>
  <c r="P59" i="2" s="1"/>
  <c r="M19" i="7"/>
  <c r="P23" i="2" s="1"/>
  <c r="M11" i="7"/>
  <c r="P15" i="2" s="1"/>
  <c r="M76" i="7"/>
  <c r="P80" i="2" s="1"/>
  <c r="M49" i="7"/>
  <c r="P53" i="2" s="1"/>
  <c r="M68" i="7"/>
  <c r="P72" i="2" s="1"/>
  <c r="O1" i="2"/>
  <c r="O5" i="2" s="1"/>
  <c r="T234" i="13"/>
  <c r="S234" i="13"/>
  <c r="E30" i="6"/>
  <c r="A34" i="2"/>
  <c r="B34" i="2" s="1"/>
  <c r="E38" i="6"/>
  <c r="E54" i="6"/>
  <c r="A58" i="2"/>
  <c r="B58" i="2" s="1"/>
  <c r="E62" i="6"/>
  <c r="A66" i="2"/>
  <c r="B66" i="2" s="1"/>
  <c r="E59" i="6"/>
  <c r="A63" i="2"/>
  <c r="B63" i="2" s="1"/>
  <c r="E37" i="6"/>
  <c r="E45" i="6"/>
  <c r="E61" i="6"/>
  <c r="A65" i="2"/>
  <c r="B65" i="2" s="1"/>
  <c r="E36" i="6"/>
  <c r="E44" i="6"/>
  <c r="E52" i="6"/>
  <c r="A56" i="2"/>
  <c r="B56" i="2" s="1"/>
  <c r="E60" i="6"/>
  <c r="A64" i="2"/>
  <c r="B64" i="2" s="1"/>
  <c r="E35" i="6"/>
  <c r="E43" i="6"/>
  <c r="E51" i="6"/>
  <c r="A55" i="2"/>
  <c r="B55" i="2" s="1"/>
  <c r="E34" i="6"/>
  <c r="E42" i="6"/>
  <c r="E50" i="6"/>
  <c r="A54" i="2"/>
  <c r="B54" i="2" s="1"/>
  <c r="E58" i="6"/>
  <c r="A62" i="2"/>
  <c r="B62" i="2" s="1"/>
  <c r="E64" i="6"/>
  <c r="A68" i="2"/>
  <c r="B68" i="2" s="1"/>
  <c r="E33" i="6"/>
  <c r="E41" i="6"/>
  <c r="E49" i="6"/>
  <c r="A53" i="2"/>
  <c r="B53" i="2" s="1"/>
  <c r="E57" i="6"/>
  <c r="A61" i="2"/>
  <c r="B61" i="2" s="1"/>
  <c r="E32" i="6"/>
  <c r="E40" i="6"/>
  <c r="E48" i="6"/>
  <c r="E56" i="6"/>
  <c r="A60" i="2"/>
  <c r="B60" i="2" s="1"/>
  <c r="E31" i="6"/>
  <c r="A35" i="2"/>
  <c r="B35" i="2" s="1"/>
  <c r="E39" i="6"/>
  <c r="E47" i="6"/>
  <c r="E55" i="6"/>
  <c r="A59" i="2"/>
  <c r="B59" i="2" s="1"/>
  <c r="E63" i="6"/>
  <c r="A67" i="2"/>
  <c r="B67" i="2" s="1"/>
  <c r="I44" i="6"/>
  <c r="J44" i="6"/>
  <c r="K44" i="6"/>
  <c r="L44" i="6"/>
  <c r="M44" i="6"/>
  <c r="N44" i="6"/>
  <c r="G34" i="6"/>
  <c r="I34" i="6"/>
  <c r="H34" i="6"/>
  <c r="J34" i="6"/>
  <c r="M34" i="6"/>
  <c r="N34" i="6"/>
  <c r="O34" i="6"/>
  <c r="P34" i="6"/>
  <c r="G32" i="6"/>
  <c r="H32" i="6"/>
  <c r="I32" i="6"/>
  <c r="J32" i="6"/>
  <c r="K32" i="6"/>
  <c r="L32" i="6"/>
  <c r="O32" i="6"/>
  <c r="P32" i="6"/>
  <c r="Q44" i="6"/>
  <c r="I41" i="6"/>
  <c r="J41" i="6"/>
  <c r="K41" i="6"/>
  <c r="L41" i="6"/>
  <c r="M41" i="6"/>
  <c r="N41" i="6"/>
  <c r="G56" i="6"/>
  <c r="H56" i="6"/>
  <c r="I56" i="6"/>
  <c r="K56" i="6"/>
  <c r="J56" i="6"/>
  <c r="M56" i="6"/>
  <c r="N56" i="6"/>
  <c r="O56" i="6"/>
  <c r="P56" i="6"/>
  <c r="F46" i="6"/>
  <c r="E46" i="6"/>
  <c r="F71" i="6"/>
  <c r="E71" i="6"/>
  <c r="F29" i="6"/>
  <c r="E29" i="6"/>
  <c r="F53" i="6"/>
  <c r="E53" i="6"/>
  <c r="F52" i="6"/>
  <c r="Q52" i="6" s="1"/>
  <c r="F48" i="6"/>
  <c r="F61" i="6"/>
  <c r="F43" i="6"/>
  <c r="Q43" i="6" s="1"/>
  <c r="F42" i="6"/>
  <c r="Q42" i="6" s="1"/>
  <c r="F67" i="6"/>
  <c r="Q67" i="6" s="1"/>
  <c r="F57" i="6"/>
  <c r="F39" i="6"/>
  <c r="Q39" i="6" s="1"/>
  <c r="F44" i="6"/>
  <c r="H44" i="6" s="1"/>
  <c r="F76" i="6"/>
  <c r="F64" i="6"/>
  <c r="Q64" i="6" s="1"/>
  <c r="F40" i="6"/>
  <c r="Q40" i="6" s="1"/>
  <c r="F38" i="6"/>
  <c r="Q38" i="6" s="1"/>
  <c r="F59" i="6"/>
  <c r="Q59" i="6" s="1"/>
  <c r="F35" i="6"/>
  <c r="Q35" i="6" s="1"/>
  <c r="F34" i="6"/>
  <c r="Q34" i="6" s="1"/>
  <c r="F49" i="6"/>
  <c r="F73" i="6"/>
  <c r="Q73" i="6" s="1"/>
  <c r="F31" i="6"/>
  <c r="F63" i="6"/>
  <c r="F72" i="6"/>
  <c r="F36" i="6"/>
  <c r="Q36" i="6" s="1"/>
  <c r="F68" i="6"/>
  <c r="F32" i="6"/>
  <c r="Q32" i="6" s="1"/>
  <c r="F30" i="6"/>
  <c r="F62" i="6"/>
  <c r="F45" i="6"/>
  <c r="F69" i="6"/>
  <c r="Q69" i="6" s="1"/>
  <c r="F58" i="6"/>
  <c r="F41" i="6"/>
  <c r="Q41" i="6" s="1"/>
  <c r="F74" i="6"/>
  <c r="Q74" i="6" s="1"/>
  <c r="F65" i="6"/>
  <c r="F55" i="6"/>
  <c r="F60" i="6"/>
  <c r="Q60" i="6" s="1"/>
  <c r="F56" i="6"/>
  <c r="Q56" i="6" s="1"/>
  <c r="F54" i="6"/>
  <c r="F37" i="6"/>
  <c r="Q37" i="6" s="1"/>
  <c r="F70" i="6"/>
  <c r="F51" i="6"/>
  <c r="F50" i="6"/>
  <c r="J50" i="6" s="1"/>
  <c r="F75" i="6"/>
  <c r="Q75" i="6" s="1"/>
  <c r="F33" i="6"/>
  <c r="Q33" i="6" s="1"/>
  <c r="F66" i="6"/>
  <c r="F47" i="6"/>
  <c r="R93" i="6"/>
  <c r="R72" i="6"/>
  <c r="R43" i="6"/>
  <c r="R51" i="6"/>
  <c r="R45" i="6"/>
  <c r="R52" i="6"/>
  <c r="R34" i="6"/>
  <c r="R41" i="6"/>
  <c r="R70" i="6"/>
  <c r="R75" i="6"/>
  <c r="R44" i="6"/>
  <c r="R67" i="6"/>
  <c r="R94" i="6"/>
  <c r="R74" i="6"/>
  <c r="R32" i="6"/>
  <c r="R35" i="6"/>
  <c r="R68" i="6"/>
  <c r="R77" i="6"/>
  <c r="R54" i="6"/>
  <c r="R30" i="6"/>
  <c r="R82" i="6"/>
  <c r="R69" i="6"/>
  <c r="R42" i="6"/>
  <c r="R83" i="6"/>
  <c r="R81" i="6"/>
  <c r="R63" i="6"/>
  <c r="R97" i="6"/>
  <c r="R38" i="6"/>
  <c r="E2" i="6"/>
  <c r="E26" i="6"/>
  <c r="E25" i="6"/>
  <c r="N1" i="7"/>
  <c r="E27" i="6"/>
  <c r="E23" i="6"/>
  <c r="F26" i="6"/>
  <c r="F28" i="6"/>
  <c r="F23" i="6"/>
  <c r="F25" i="6"/>
  <c r="E28" i="6"/>
  <c r="F27" i="6"/>
  <c r="F24" i="6"/>
  <c r="R56" i="6" l="1"/>
  <c r="B6" i="2"/>
  <c r="R71" i="6"/>
  <c r="R31" i="6"/>
  <c r="R58" i="6"/>
  <c r="R92" i="6"/>
  <c r="R89" i="6"/>
  <c r="R59" i="6"/>
  <c r="R90" i="6"/>
  <c r="R48" i="6"/>
  <c r="R88" i="6"/>
  <c r="R84" i="6"/>
  <c r="G28" i="6"/>
  <c r="H28" i="6"/>
  <c r="I28" i="6"/>
  <c r="J28" i="6"/>
  <c r="K28" i="6"/>
  <c r="L28" i="6"/>
  <c r="M28" i="6"/>
  <c r="O28" i="6"/>
  <c r="N28" i="6"/>
  <c r="P28" i="6"/>
  <c r="R28" i="6"/>
  <c r="Q28" i="6"/>
  <c r="R36" i="6"/>
  <c r="R40" i="6"/>
  <c r="R85" i="6"/>
  <c r="R79" i="6"/>
  <c r="R53" i="6"/>
  <c r="R87" i="6"/>
  <c r="G27" i="6"/>
  <c r="H27" i="6"/>
  <c r="I27" i="6"/>
  <c r="J27" i="6"/>
  <c r="K27" i="6"/>
  <c r="L27" i="6"/>
  <c r="M27" i="6"/>
  <c r="N27" i="6"/>
  <c r="O27" i="6"/>
  <c r="P27" i="6"/>
  <c r="Q27" i="6"/>
  <c r="R27" i="6"/>
  <c r="R95" i="6"/>
  <c r="R57" i="6"/>
  <c r="R39" i="6"/>
  <c r="R65" i="6"/>
  <c r="R91" i="6"/>
  <c r="R50" i="6"/>
  <c r="R98" i="6"/>
  <c r="R55" i="6"/>
  <c r="G26" i="6"/>
  <c r="I26" i="6"/>
  <c r="H26" i="6"/>
  <c r="J26" i="6"/>
  <c r="K26" i="6"/>
  <c r="L26" i="6"/>
  <c r="N26" i="6"/>
  <c r="M26" i="6"/>
  <c r="O26" i="6"/>
  <c r="Q26" i="6"/>
  <c r="P26" i="6"/>
  <c r="R66" i="6"/>
  <c r="R46" i="6"/>
  <c r="R47" i="6"/>
  <c r="R96" i="6"/>
  <c r="P100" i="2"/>
  <c r="R86" i="6"/>
  <c r="P90" i="2"/>
  <c r="R62" i="6"/>
  <c r="P66" i="2"/>
  <c r="R49" i="6"/>
  <c r="R29" i="6"/>
  <c r="R76" i="6"/>
  <c r="R25" i="6"/>
  <c r="Q25" i="6"/>
  <c r="N39" i="7"/>
  <c r="Q43" i="2" s="1"/>
  <c r="N92" i="7"/>
  <c r="Q96" i="2" s="1"/>
  <c r="N13" i="7"/>
  <c r="Q17" i="2" s="1"/>
  <c r="N23" i="7"/>
  <c r="Q27" i="2" s="1"/>
  <c r="N57" i="7"/>
  <c r="Q61" i="2" s="1"/>
  <c r="N59" i="7"/>
  <c r="Q63" i="2" s="1"/>
  <c r="N64" i="7"/>
  <c r="Q68" i="2" s="1"/>
  <c r="N8" i="7"/>
  <c r="Q12" i="2" s="1"/>
  <c r="N55" i="7"/>
  <c r="Q59" i="2" s="1"/>
  <c r="N21" i="7"/>
  <c r="Q25" i="2" s="1"/>
  <c r="N16" i="7"/>
  <c r="Q20" i="2" s="1"/>
  <c r="N31" i="7"/>
  <c r="Q35" i="2" s="1"/>
  <c r="N95" i="7"/>
  <c r="Q99" i="2" s="1"/>
  <c r="N46" i="7"/>
  <c r="Q50" i="2" s="1"/>
  <c r="N18" i="7"/>
  <c r="Q22" i="2" s="1"/>
  <c r="N68" i="7"/>
  <c r="Q72" i="2" s="1"/>
  <c r="N75" i="7"/>
  <c r="Q79" i="2" s="1"/>
  <c r="N80" i="7"/>
  <c r="Q84" i="2" s="1"/>
  <c r="N87" i="7"/>
  <c r="Q91" i="2" s="1"/>
  <c r="N25" i="7"/>
  <c r="Q29" i="2" s="1"/>
  <c r="N49" i="7"/>
  <c r="Q53" i="2" s="1"/>
  <c r="N53" i="7"/>
  <c r="Q57" i="2" s="1"/>
  <c r="N81" i="7"/>
  <c r="Q85" i="2" s="1"/>
  <c r="N4" i="7"/>
  <c r="Q8" i="2" s="1"/>
  <c r="N63" i="7"/>
  <c r="Q67" i="2" s="1"/>
  <c r="N2" i="7"/>
  <c r="Q6" i="2" s="1"/>
  <c r="N97" i="7"/>
  <c r="Q101" i="2" s="1"/>
  <c r="N30" i="7"/>
  <c r="Q34" i="2" s="1"/>
  <c r="N3" i="7"/>
  <c r="Q7" i="2" s="1"/>
  <c r="N54" i="7"/>
  <c r="Q58" i="2" s="1"/>
  <c r="N10" i="7"/>
  <c r="Q14" i="2" s="1"/>
  <c r="N74" i="7"/>
  <c r="Q78" i="2" s="1"/>
  <c r="N84" i="7"/>
  <c r="Q88" i="2" s="1"/>
  <c r="N52" i="7"/>
  <c r="Q56" i="2" s="1"/>
  <c r="N73" i="7"/>
  <c r="Q77" i="2" s="1"/>
  <c r="N98" i="7"/>
  <c r="Q102" i="2" s="1"/>
  <c r="N91" i="7"/>
  <c r="Q95" i="2" s="1"/>
  <c r="N45" i="7"/>
  <c r="Q49" i="2" s="1"/>
  <c r="N12" i="7"/>
  <c r="Q16" i="2" s="1"/>
  <c r="N82" i="7"/>
  <c r="Q86" i="2" s="1"/>
  <c r="N77" i="7"/>
  <c r="Q81" i="2" s="1"/>
  <c r="N90" i="7"/>
  <c r="Q94" i="2" s="1"/>
  <c r="N43" i="7"/>
  <c r="Q47" i="2" s="1"/>
  <c r="N48" i="7"/>
  <c r="Q52" i="2" s="1"/>
  <c r="N65" i="7"/>
  <c r="Q69" i="2" s="1"/>
  <c r="N94" i="7"/>
  <c r="Q98" i="2" s="1"/>
  <c r="N89" i="7"/>
  <c r="Q93" i="2" s="1"/>
  <c r="N93" i="7"/>
  <c r="Q97" i="2" s="1"/>
  <c r="N34" i="7"/>
  <c r="Q38" i="2" s="1"/>
  <c r="N86" i="7"/>
  <c r="Q90" i="2" s="1"/>
  <c r="N44" i="7"/>
  <c r="Q48" i="2" s="1"/>
  <c r="N19" i="7"/>
  <c r="Q23" i="2" s="1"/>
  <c r="N7" i="7"/>
  <c r="Q11" i="2" s="1"/>
  <c r="N28" i="7"/>
  <c r="Q32" i="2" s="1"/>
  <c r="N71" i="7"/>
  <c r="Q75" i="2" s="1"/>
  <c r="N58" i="7"/>
  <c r="Q62" i="2" s="1"/>
  <c r="N15" i="7"/>
  <c r="Q19" i="2" s="1"/>
  <c r="N85" i="7"/>
  <c r="Q89" i="2" s="1"/>
  <c r="N32" i="7"/>
  <c r="Q36" i="2" s="1"/>
  <c r="N72" i="7"/>
  <c r="Q76" i="2" s="1"/>
  <c r="N51" i="7"/>
  <c r="Q55" i="2" s="1"/>
  <c r="N79" i="7"/>
  <c r="N22" i="7"/>
  <c r="Q26" i="2" s="1"/>
  <c r="N50" i="7"/>
  <c r="Q54" i="2" s="1"/>
  <c r="N20" i="7"/>
  <c r="Q24" i="2" s="1"/>
  <c r="N38" i="7"/>
  <c r="Q42" i="2" s="1"/>
  <c r="N11" i="7"/>
  <c r="Q15" i="2" s="1"/>
  <c r="N33" i="7"/>
  <c r="Q37" i="2" s="1"/>
  <c r="N42" i="7"/>
  <c r="Q46" i="2" s="1"/>
  <c r="N56" i="7"/>
  <c r="N41" i="7"/>
  <c r="Q45" i="2" s="1"/>
  <c r="N24" i="7"/>
  <c r="Q28" i="2" s="1"/>
  <c r="N69" i="7"/>
  <c r="Q73" i="2" s="1"/>
  <c r="N60" i="7"/>
  <c r="Q64" i="2" s="1"/>
  <c r="N29" i="7"/>
  <c r="Q33" i="2" s="1"/>
  <c r="N17" i="7"/>
  <c r="Q21" i="2" s="1"/>
  <c r="N36" i="7"/>
  <c r="Q40" i="2" s="1"/>
  <c r="N27" i="7"/>
  <c r="Q31" i="2" s="1"/>
  <c r="N9" i="7"/>
  <c r="Q13" i="2" s="1"/>
  <c r="N70" i="7"/>
  <c r="Q74" i="2" s="1"/>
  <c r="N83" i="7"/>
  <c r="Q87" i="2" s="1"/>
  <c r="N62" i="7"/>
  <c r="Q66" i="2" s="1"/>
  <c r="N66" i="7"/>
  <c r="Q70" i="2" s="1"/>
  <c r="N76" i="7"/>
  <c r="Q80" i="2" s="1"/>
  <c r="N35" i="7"/>
  <c r="Q39" i="2" s="1"/>
  <c r="N14" i="7"/>
  <c r="Q18" i="2" s="1"/>
  <c r="N40" i="7"/>
  <c r="Q44" i="2" s="1"/>
  <c r="N88" i="7"/>
  <c r="Q92" i="2" s="1"/>
  <c r="N67" i="7"/>
  <c r="Q71" i="2" s="1"/>
  <c r="N5" i="7"/>
  <c r="Q9" i="2" s="1"/>
  <c r="N6" i="7"/>
  <c r="Q10" i="2" s="1"/>
  <c r="N37" i="7"/>
  <c r="Q41" i="2" s="1"/>
  <c r="R37" i="6"/>
  <c r="N47" i="7"/>
  <c r="Q51" i="2" s="1"/>
  <c r="N78" i="7"/>
  <c r="Q82" i="2" s="1"/>
  <c r="N26" i="7"/>
  <c r="Q30" i="2" s="1"/>
  <c r="R99" i="6"/>
  <c r="R80" i="6"/>
  <c r="R78" i="6"/>
  <c r="N96" i="7"/>
  <c r="Q100" i="2" s="1"/>
  <c r="N61" i="7"/>
  <c r="Q65" i="2" s="1"/>
  <c r="R61" i="6"/>
  <c r="N99" i="7"/>
  <c r="Q103" i="2" s="1"/>
  <c r="R26" i="6"/>
  <c r="P1" i="2"/>
  <c r="P5" i="2" s="1"/>
  <c r="A8" i="2"/>
  <c r="R23" i="6"/>
  <c r="Q24" i="6"/>
  <c r="G24" i="6"/>
  <c r="P24" i="6"/>
  <c r="I24" i="6"/>
  <c r="O24" i="6"/>
  <c r="L24" i="6"/>
  <c r="R24" i="6"/>
  <c r="K24" i="6"/>
  <c r="J24" i="6"/>
  <c r="H24" i="6"/>
  <c r="Q23" i="6"/>
  <c r="G71" i="6"/>
  <c r="H71" i="6"/>
  <c r="J71" i="6"/>
  <c r="I71" i="6"/>
  <c r="K71" i="6"/>
  <c r="L71" i="6"/>
  <c r="M71" i="6"/>
  <c r="N71" i="6"/>
  <c r="O71" i="6"/>
  <c r="P71" i="6"/>
  <c r="Q71" i="6"/>
  <c r="I60" i="6"/>
  <c r="M23" i="6"/>
  <c r="O74" i="6"/>
  <c r="G74" i="6"/>
  <c r="K69" i="6"/>
  <c r="J36" i="6"/>
  <c r="K73" i="6"/>
  <c r="O35" i="6"/>
  <c r="G35" i="6"/>
  <c r="I59" i="6"/>
  <c r="K38" i="6"/>
  <c r="M40" i="6"/>
  <c r="O64" i="6"/>
  <c r="G64" i="6"/>
  <c r="K39" i="6"/>
  <c r="M25" i="6"/>
  <c r="O67" i="6"/>
  <c r="G67" i="6"/>
  <c r="J42" i="6"/>
  <c r="K43" i="6"/>
  <c r="M52" i="6"/>
  <c r="O33" i="6"/>
  <c r="G33" i="6"/>
  <c r="I75" i="6"/>
  <c r="K50" i="6"/>
  <c r="M37" i="6"/>
  <c r="J60" i="6"/>
  <c r="N23" i="6"/>
  <c r="P74" i="6"/>
  <c r="I74" i="6"/>
  <c r="L69" i="6"/>
  <c r="I36" i="6"/>
  <c r="L73" i="6"/>
  <c r="P35" i="6"/>
  <c r="H35" i="6"/>
  <c r="J59" i="6"/>
  <c r="L38" i="6"/>
  <c r="N40" i="6"/>
  <c r="P64" i="6"/>
  <c r="H64" i="6"/>
  <c r="L39" i="6"/>
  <c r="N25" i="6"/>
  <c r="P67" i="6"/>
  <c r="H67" i="6"/>
  <c r="I42" i="6"/>
  <c r="L43" i="6"/>
  <c r="N52" i="6"/>
  <c r="P33" i="6"/>
  <c r="H33" i="6"/>
  <c r="K75" i="6"/>
  <c r="L50" i="6"/>
  <c r="N37" i="6"/>
  <c r="G29" i="6"/>
  <c r="H29" i="6"/>
  <c r="I29" i="6"/>
  <c r="J29" i="6"/>
  <c r="K29" i="6"/>
  <c r="L29" i="6"/>
  <c r="M29" i="6"/>
  <c r="N29" i="6"/>
  <c r="O29" i="6"/>
  <c r="P29" i="6"/>
  <c r="Q29" i="6"/>
  <c r="K60" i="6"/>
  <c r="O23" i="6"/>
  <c r="G23" i="6"/>
  <c r="H74" i="6"/>
  <c r="M69" i="6"/>
  <c r="K36" i="6"/>
  <c r="M73" i="6"/>
  <c r="J35" i="6"/>
  <c r="K59" i="6"/>
  <c r="M38" i="6"/>
  <c r="O40" i="6"/>
  <c r="G40" i="6"/>
  <c r="I64" i="6"/>
  <c r="M39" i="6"/>
  <c r="O25" i="6"/>
  <c r="G25" i="6"/>
  <c r="J67" i="6"/>
  <c r="K42" i="6"/>
  <c r="M43" i="6"/>
  <c r="O52" i="6"/>
  <c r="G52" i="6"/>
  <c r="I33" i="6"/>
  <c r="J75" i="6"/>
  <c r="M50" i="6"/>
  <c r="O37" i="6"/>
  <c r="G37" i="6"/>
  <c r="L60" i="6"/>
  <c r="P23" i="6"/>
  <c r="H23" i="6"/>
  <c r="J74" i="6"/>
  <c r="N69" i="6"/>
  <c r="Q50" i="6"/>
  <c r="L36" i="6"/>
  <c r="N73" i="6"/>
  <c r="I35" i="6"/>
  <c r="L59" i="6"/>
  <c r="N38" i="6"/>
  <c r="P40" i="6"/>
  <c r="H40" i="6"/>
  <c r="J64" i="6"/>
  <c r="N39" i="6"/>
  <c r="P25" i="6"/>
  <c r="H25" i="6"/>
  <c r="I67" i="6"/>
  <c r="L42" i="6"/>
  <c r="N43" i="6"/>
  <c r="P52" i="6"/>
  <c r="H52" i="6"/>
  <c r="J33" i="6"/>
  <c r="L75" i="6"/>
  <c r="N50" i="6"/>
  <c r="P37" i="6"/>
  <c r="H37" i="6"/>
  <c r="M60" i="6"/>
  <c r="I23" i="6"/>
  <c r="K74" i="6"/>
  <c r="O69" i="6"/>
  <c r="G69" i="6"/>
  <c r="M36" i="6"/>
  <c r="O73" i="6"/>
  <c r="G73" i="6"/>
  <c r="K35" i="6"/>
  <c r="M59" i="6"/>
  <c r="O38" i="6"/>
  <c r="G38" i="6"/>
  <c r="I40" i="6"/>
  <c r="K64" i="6"/>
  <c r="O39" i="6"/>
  <c r="G39" i="6"/>
  <c r="J25" i="6"/>
  <c r="K67" i="6"/>
  <c r="M42" i="6"/>
  <c r="O43" i="6"/>
  <c r="G43" i="6"/>
  <c r="I52" i="6"/>
  <c r="K33" i="6"/>
  <c r="M75" i="6"/>
  <c r="O50" i="6"/>
  <c r="G50" i="6"/>
  <c r="J37" i="6"/>
  <c r="N60" i="6"/>
  <c r="K23" i="6"/>
  <c r="L74" i="6"/>
  <c r="P69" i="6"/>
  <c r="H69" i="6"/>
  <c r="N36" i="6"/>
  <c r="P73" i="6"/>
  <c r="H73" i="6"/>
  <c r="L35" i="6"/>
  <c r="N59" i="6"/>
  <c r="P38" i="6"/>
  <c r="I38" i="6"/>
  <c r="J40" i="6"/>
  <c r="L64" i="6"/>
  <c r="P39" i="6"/>
  <c r="H39" i="6"/>
  <c r="I25" i="6"/>
  <c r="L67" i="6"/>
  <c r="N42" i="6"/>
  <c r="P43" i="6"/>
  <c r="H43" i="6"/>
  <c r="J52" i="6"/>
  <c r="L33" i="6"/>
  <c r="N75" i="6"/>
  <c r="P50" i="6"/>
  <c r="H50" i="6"/>
  <c r="I37" i="6"/>
  <c r="M24" i="6"/>
  <c r="O60" i="6"/>
  <c r="G60" i="6"/>
  <c r="J23" i="6"/>
  <c r="M74" i="6"/>
  <c r="O41" i="6"/>
  <c r="G41" i="6"/>
  <c r="J69" i="6"/>
  <c r="M32" i="6"/>
  <c r="O36" i="6"/>
  <c r="G36" i="6"/>
  <c r="J73" i="6"/>
  <c r="K34" i="6"/>
  <c r="M35" i="6"/>
  <c r="O59" i="6"/>
  <c r="G59" i="6"/>
  <c r="H38" i="6"/>
  <c r="K40" i="6"/>
  <c r="M64" i="6"/>
  <c r="O44" i="6"/>
  <c r="G44" i="6"/>
  <c r="I39" i="6"/>
  <c r="K25" i="6"/>
  <c r="M67" i="6"/>
  <c r="O42" i="6"/>
  <c r="G42" i="6"/>
  <c r="J43" i="6"/>
  <c r="K52" i="6"/>
  <c r="M33" i="6"/>
  <c r="O75" i="6"/>
  <c r="G75" i="6"/>
  <c r="I50" i="6"/>
  <c r="K37" i="6"/>
  <c r="R60" i="6"/>
  <c r="R73" i="6"/>
  <c r="R33" i="6"/>
  <c r="R64" i="6"/>
  <c r="L56" i="6"/>
  <c r="N24" i="6"/>
  <c r="P60" i="6"/>
  <c r="H60" i="6"/>
  <c r="L23" i="6"/>
  <c r="N74" i="6"/>
  <c r="P41" i="6"/>
  <c r="H41" i="6"/>
  <c r="I69" i="6"/>
  <c r="N32" i="6"/>
  <c r="P36" i="6"/>
  <c r="H36" i="6"/>
  <c r="I73" i="6"/>
  <c r="L34" i="6"/>
  <c r="N35" i="6"/>
  <c r="P59" i="6"/>
  <c r="H59" i="6"/>
  <c r="J38" i="6"/>
  <c r="L40" i="6"/>
  <c r="N64" i="6"/>
  <c r="P44" i="6"/>
  <c r="J39" i="6"/>
  <c r="L25" i="6"/>
  <c r="N67" i="6"/>
  <c r="P42" i="6"/>
  <c r="H42" i="6"/>
  <c r="I43" i="6"/>
  <c r="L52" i="6"/>
  <c r="N33" i="6"/>
  <c r="P75" i="6"/>
  <c r="H75" i="6"/>
  <c r="L37" i="6"/>
  <c r="S72" i="6"/>
  <c r="S75" i="6"/>
  <c r="S92" i="6"/>
  <c r="S99" i="6"/>
  <c r="S43" i="6"/>
  <c r="S87" i="6"/>
  <c r="S41" i="6"/>
  <c r="S73" i="6"/>
  <c r="S46" i="6"/>
  <c r="S66" i="6"/>
  <c r="S85" i="6"/>
  <c r="S48" i="6"/>
  <c r="S54" i="6"/>
  <c r="S59" i="6"/>
  <c r="S34" i="6"/>
  <c r="S98" i="6"/>
  <c r="S36" i="6"/>
  <c r="S38" i="6"/>
  <c r="S37" i="6"/>
  <c r="S52" i="6"/>
  <c r="S62" i="6"/>
  <c r="S47" i="6"/>
  <c r="S44" i="6"/>
  <c r="S55" i="6"/>
  <c r="S90" i="6"/>
  <c r="S77" i="6"/>
  <c r="S39" i="6"/>
  <c r="S28" i="6"/>
  <c r="S30" i="6"/>
  <c r="S95" i="6"/>
  <c r="S23" i="6"/>
  <c r="S94" i="6"/>
  <c r="S80" i="6"/>
  <c r="S53" i="6"/>
  <c r="S64" i="6"/>
  <c r="S29" i="6"/>
  <c r="S81" i="6"/>
  <c r="S31" i="6"/>
  <c r="O1" i="7"/>
  <c r="S84" i="6" l="1"/>
  <c r="S40" i="6"/>
  <c r="S32" i="6"/>
  <c r="S78" i="6"/>
  <c r="S51" i="6"/>
  <c r="S71" i="6"/>
  <c r="S97" i="6"/>
  <c r="S83" i="6"/>
  <c r="S91" i="6"/>
  <c r="S25" i="6"/>
  <c r="S57" i="6"/>
  <c r="S65" i="6"/>
  <c r="S61" i="6"/>
  <c r="S42" i="6"/>
  <c r="S49" i="6"/>
  <c r="S35" i="6"/>
  <c r="S76" i="6"/>
  <c r="S60" i="6"/>
  <c r="S69" i="6"/>
  <c r="S67" i="6"/>
  <c r="S88" i="6"/>
  <c r="S70" i="6"/>
  <c r="S24" i="6"/>
  <c r="S50" i="6"/>
  <c r="S68" i="6"/>
  <c r="S82" i="6"/>
  <c r="S74" i="6"/>
  <c r="S58" i="6"/>
  <c r="S89" i="6"/>
  <c r="S27" i="6"/>
  <c r="S86" i="6"/>
  <c r="S45" i="6"/>
  <c r="S93" i="6"/>
  <c r="S63" i="6"/>
  <c r="S33" i="6"/>
  <c r="S56" i="6"/>
  <c r="Q60" i="2"/>
  <c r="S79" i="6"/>
  <c r="Q83" i="2"/>
  <c r="O38" i="7"/>
  <c r="R42" i="2" s="1"/>
  <c r="O24" i="7"/>
  <c r="R28" i="2" s="1"/>
  <c r="O6" i="7"/>
  <c r="R10" i="2" s="1"/>
  <c r="O10" i="7"/>
  <c r="R14" i="2" s="1"/>
  <c r="O2" i="7"/>
  <c r="R6" i="2" s="1"/>
  <c r="O12" i="7"/>
  <c r="R16" i="2" s="1"/>
  <c r="O70" i="7"/>
  <c r="R74" i="2" s="1"/>
  <c r="O35" i="7"/>
  <c r="R39" i="2" s="1"/>
  <c r="O76" i="7"/>
  <c r="R80" i="2" s="1"/>
  <c r="O53" i="7"/>
  <c r="R57" i="2" s="1"/>
  <c r="O65" i="7"/>
  <c r="R69" i="2" s="1"/>
  <c r="O49" i="7"/>
  <c r="R53" i="2" s="1"/>
  <c r="O69" i="7"/>
  <c r="R73" i="2" s="1"/>
  <c r="O25" i="7"/>
  <c r="R29" i="2" s="1"/>
  <c r="O93" i="7"/>
  <c r="R97" i="2" s="1"/>
  <c r="O79" i="7"/>
  <c r="R83" i="2" s="1"/>
  <c r="O55" i="7"/>
  <c r="R59" i="2" s="1"/>
  <c r="O16" i="7"/>
  <c r="R20" i="2" s="1"/>
  <c r="O56" i="7"/>
  <c r="O7" i="7"/>
  <c r="R11" i="2" s="1"/>
  <c r="O33" i="7"/>
  <c r="R37" i="2" s="1"/>
  <c r="O78" i="7"/>
  <c r="R82" i="2" s="1"/>
  <c r="O81" i="7"/>
  <c r="R85" i="2" s="1"/>
  <c r="O91" i="7"/>
  <c r="R95" i="2" s="1"/>
  <c r="O84" i="7"/>
  <c r="R88" i="2" s="1"/>
  <c r="O68" i="7"/>
  <c r="R72" i="2" s="1"/>
  <c r="O41" i="7"/>
  <c r="R45" i="2" s="1"/>
  <c r="O18" i="7"/>
  <c r="R22" i="2" s="1"/>
  <c r="O19" i="7"/>
  <c r="R23" i="2" s="1"/>
  <c r="O94" i="7"/>
  <c r="R98" i="2" s="1"/>
  <c r="O32" i="7"/>
  <c r="R36" i="2" s="1"/>
  <c r="O73" i="7"/>
  <c r="O42" i="7"/>
  <c r="R46" i="2" s="1"/>
  <c r="O52" i="7"/>
  <c r="R56" i="2" s="1"/>
  <c r="O36" i="7"/>
  <c r="R40" i="2" s="1"/>
  <c r="O98" i="7"/>
  <c r="O4" i="7"/>
  <c r="R8" i="2" s="1"/>
  <c r="O44" i="7"/>
  <c r="R48" i="2" s="1"/>
  <c r="O80" i="7"/>
  <c r="R84" i="2" s="1"/>
  <c r="O17" i="7"/>
  <c r="R21" i="2" s="1"/>
  <c r="O59" i="7"/>
  <c r="O14" i="7"/>
  <c r="R18" i="2" s="1"/>
  <c r="O54" i="7"/>
  <c r="R58" i="2" s="1"/>
  <c r="O20" i="7"/>
  <c r="R24" i="2" s="1"/>
  <c r="O97" i="7"/>
  <c r="R101" i="2" s="1"/>
  <c r="O87" i="7"/>
  <c r="O15" i="7"/>
  <c r="R19" i="2" s="1"/>
  <c r="O34" i="7"/>
  <c r="R38" i="2" s="1"/>
  <c r="O99" i="7"/>
  <c r="R103" i="2" s="1"/>
  <c r="O77" i="7"/>
  <c r="R81" i="2" s="1"/>
  <c r="O62" i="7"/>
  <c r="R66" i="2" s="1"/>
  <c r="O46" i="7"/>
  <c r="R50" i="2" s="1"/>
  <c r="O57" i="7"/>
  <c r="R61" i="2" s="1"/>
  <c r="O92" i="7"/>
  <c r="R96" i="2" s="1"/>
  <c r="O66" i="7"/>
  <c r="R70" i="2" s="1"/>
  <c r="O28" i="7"/>
  <c r="R32" i="2" s="1"/>
  <c r="O60" i="7"/>
  <c r="R64" i="2" s="1"/>
  <c r="O67" i="7"/>
  <c r="R71" i="2" s="1"/>
  <c r="O51" i="7"/>
  <c r="O74" i="7"/>
  <c r="R78" i="2" s="1"/>
  <c r="O90" i="7"/>
  <c r="R94" i="2" s="1"/>
  <c r="O63" i="7"/>
  <c r="R67" i="2" s="1"/>
  <c r="O71" i="7"/>
  <c r="R75" i="2" s="1"/>
  <c r="O27" i="7"/>
  <c r="R31" i="2" s="1"/>
  <c r="O86" i="7"/>
  <c r="R90" i="2" s="1"/>
  <c r="O40" i="7"/>
  <c r="R44" i="2" s="1"/>
  <c r="O22" i="7"/>
  <c r="R26" i="2" s="1"/>
  <c r="O89" i="7"/>
  <c r="R93" i="2" s="1"/>
  <c r="O88" i="7"/>
  <c r="R92" i="2" s="1"/>
  <c r="O50" i="7"/>
  <c r="O43" i="7"/>
  <c r="R47" i="2" s="1"/>
  <c r="O95" i="7"/>
  <c r="R99" i="2" s="1"/>
  <c r="O45" i="7"/>
  <c r="R49" i="2" s="1"/>
  <c r="O23" i="7"/>
  <c r="R27" i="2" s="1"/>
  <c r="O82" i="7"/>
  <c r="R86" i="2" s="1"/>
  <c r="O75" i="7"/>
  <c r="R79" i="2" s="1"/>
  <c r="O3" i="7"/>
  <c r="R7" i="2" s="1"/>
  <c r="O9" i="7"/>
  <c r="R13" i="2" s="1"/>
  <c r="O58" i="7"/>
  <c r="R62" i="2" s="1"/>
  <c r="O47" i="7"/>
  <c r="R51" i="2" s="1"/>
  <c r="O29" i="7"/>
  <c r="R33" i="2" s="1"/>
  <c r="O64" i="7"/>
  <c r="R68" i="2" s="1"/>
  <c r="O96" i="7"/>
  <c r="R100" i="2" s="1"/>
  <c r="O13" i="7"/>
  <c r="R17" i="2" s="1"/>
  <c r="O39" i="7"/>
  <c r="R43" i="2" s="1"/>
  <c r="O11" i="7"/>
  <c r="R15" i="2" s="1"/>
  <c r="O85" i="7"/>
  <c r="O21" i="7"/>
  <c r="R25" i="2" s="1"/>
  <c r="O72" i="7"/>
  <c r="R76" i="2" s="1"/>
  <c r="O8" i="7"/>
  <c r="R12" i="2" s="1"/>
  <c r="O37" i="7"/>
  <c r="R41" i="2" s="1"/>
  <c r="O48" i="7"/>
  <c r="R52" i="2" s="1"/>
  <c r="O61" i="7"/>
  <c r="R65" i="2" s="1"/>
  <c r="S96" i="6"/>
  <c r="O30" i="7"/>
  <c r="R34" i="2" s="1"/>
  <c r="O31" i="7"/>
  <c r="R35" i="2" s="1"/>
  <c r="O83" i="7"/>
  <c r="R87" i="2" s="1"/>
  <c r="Q1" i="2"/>
  <c r="Q5" i="2" s="1"/>
  <c r="T70" i="6"/>
  <c r="O5" i="7"/>
  <c r="R9" i="2" s="1"/>
  <c r="S26" i="6"/>
  <c r="O26" i="7"/>
  <c r="R30" i="2" s="1"/>
  <c r="T28" i="6"/>
  <c r="B8" i="2"/>
  <c r="T84" i="6"/>
  <c r="A9" i="2"/>
  <c r="T35" i="6"/>
  <c r="T66" i="6"/>
  <c r="T34" i="6"/>
  <c r="T33" i="6"/>
  <c r="T91" i="6"/>
  <c r="T41" i="6"/>
  <c r="T81" i="6"/>
  <c r="P1" i="7"/>
  <c r="T95" i="6" l="1"/>
  <c r="T47" i="6"/>
  <c r="T40" i="6"/>
  <c r="T68" i="6"/>
  <c r="T88" i="6"/>
  <c r="T89" i="6"/>
  <c r="T86" i="6"/>
  <c r="T94" i="6"/>
  <c r="T63" i="6"/>
  <c r="T44" i="6"/>
  <c r="T78" i="6"/>
  <c r="T57" i="6"/>
  <c r="T99" i="6"/>
  <c r="T29" i="6"/>
  <c r="T64" i="6"/>
  <c r="T92" i="6"/>
  <c r="T80" i="6"/>
  <c r="T53" i="6"/>
  <c r="T76" i="6"/>
  <c r="P36" i="7"/>
  <c r="S40" i="2" s="1"/>
  <c r="P50" i="7"/>
  <c r="S54" i="2" s="1"/>
  <c r="P52" i="7"/>
  <c r="P14" i="7"/>
  <c r="S18" i="2" s="1"/>
  <c r="P74" i="7"/>
  <c r="S78" i="2" s="1"/>
  <c r="P27" i="7"/>
  <c r="S31" i="2" s="1"/>
  <c r="P80" i="7"/>
  <c r="P33" i="7"/>
  <c r="S37" i="2" s="1"/>
  <c r="P88" i="7"/>
  <c r="P78" i="7"/>
  <c r="S82" i="2" s="1"/>
  <c r="P10" i="7"/>
  <c r="S14" i="2" s="1"/>
  <c r="P3" i="7"/>
  <c r="S7" i="2" s="1"/>
  <c r="P55" i="7"/>
  <c r="P56" i="7"/>
  <c r="S60" i="2" s="1"/>
  <c r="P63" i="7"/>
  <c r="S67" i="2" s="1"/>
  <c r="P64" i="7"/>
  <c r="S68" i="2" s="1"/>
  <c r="P41" i="7"/>
  <c r="S45" i="2" s="1"/>
  <c r="P91" i="7"/>
  <c r="S95" i="2" s="1"/>
  <c r="P8" i="7"/>
  <c r="S12" i="2" s="1"/>
  <c r="P90" i="7"/>
  <c r="P16" i="7"/>
  <c r="S20" i="2" s="1"/>
  <c r="P37" i="7"/>
  <c r="S41" i="2" s="1"/>
  <c r="P62" i="7"/>
  <c r="P57" i="7"/>
  <c r="P35" i="7"/>
  <c r="S39" i="2" s="1"/>
  <c r="P26" i="7"/>
  <c r="S30" i="2" s="1"/>
  <c r="P5" i="7"/>
  <c r="S9" i="2" s="1"/>
  <c r="P48" i="7"/>
  <c r="S52" i="2" s="1"/>
  <c r="P84" i="7"/>
  <c r="S88" i="2" s="1"/>
  <c r="P28" i="7"/>
  <c r="S32" i="2" s="1"/>
  <c r="P43" i="7"/>
  <c r="S47" i="2" s="1"/>
  <c r="P9" i="7"/>
  <c r="S13" i="2" s="1"/>
  <c r="P77" i="7"/>
  <c r="S81" i="2" s="1"/>
  <c r="P25" i="7"/>
  <c r="S29" i="2" s="1"/>
  <c r="P81" i="7"/>
  <c r="S85" i="2" s="1"/>
  <c r="P58" i="7"/>
  <c r="S62" i="2" s="1"/>
  <c r="P67" i="7"/>
  <c r="S71" i="2" s="1"/>
  <c r="P22" i="7"/>
  <c r="S26" i="2" s="1"/>
  <c r="P32" i="7"/>
  <c r="S36" i="2" s="1"/>
  <c r="P2" i="7"/>
  <c r="S6" i="2" s="1"/>
  <c r="P92" i="7"/>
  <c r="S96" i="2" s="1"/>
  <c r="P97" i="7"/>
  <c r="P66" i="7"/>
  <c r="S70" i="2" s="1"/>
  <c r="P24" i="7"/>
  <c r="S28" i="2" s="1"/>
  <c r="P11" i="7"/>
  <c r="S15" i="2" s="1"/>
  <c r="P17" i="7"/>
  <c r="S21" i="2" s="1"/>
  <c r="P53" i="7"/>
  <c r="S57" i="2" s="1"/>
  <c r="P99" i="7"/>
  <c r="S103" i="2" s="1"/>
  <c r="P65" i="7"/>
  <c r="S69" i="2" s="1"/>
  <c r="P82" i="7"/>
  <c r="S86" i="2" s="1"/>
  <c r="P4" i="7"/>
  <c r="S8" i="2" s="1"/>
  <c r="P44" i="7"/>
  <c r="S48" i="2" s="1"/>
  <c r="P79" i="7"/>
  <c r="P85" i="7"/>
  <c r="S89" i="2" s="1"/>
  <c r="P69" i="7"/>
  <c r="S73" i="2" s="1"/>
  <c r="P89" i="7"/>
  <c r="S93" i="2" s="1"/>
  <c r="P29" i="7"/>
  <c r="S33" i="2" s="1"/>
  <c r="P49" i="7"/>
  <c r="S53" i="2" s="1"/>
  <c r="P68" i="7"/>
  <c r="P76" i="7"/>
  <c r="P71" i="7"/>
  <c r="S75" i="2" s="1"/>
  <c r="P30" i="7"/>
  <c r="S34" i="2" s="1"/>
  <c r="P86" i="7"/>
  <c r="S90" i="2" s="1"/>
  <c r="P46" i="7"/>
  <c r="S50" i="2" s="1"/>
  <c r="P40" i="7"/>
  <c r="S44" i="2" s="1"/>
  <c r="P60" i="7"/>
  <c r="S64" i="2" s="1"/>
  <c r="P70" i="7"/>
  <c r="P12" i="7"/>
  <c r="S16" i="2" s="1"/>
  <c r="P15" i="7"/>
  <c r="S19" i="2" s="1"/>
  <c r="P95" i="7"/>
  <c r="S99" i="2" s="1"/>
  <c r="P42" i="7"/>
  <c r="S46" i="2" s="1"/>
  <c r="P73" i="7"/>
  <c r="S77" i="2" s="1"/>
  <c r="P94" i="7"/>
  <c r="P54" i="7"/>
  <c r="S58" i="2" s="1"/>
  <c r="P34" i="7"/>
  <c r="S38" i="2" s="1"/>
  <c r="P93" i="7"/>
  <c r="P47" i="7"/>
  <c r="S51" i="2" s="1"/>
  <c r="T37" i="6"/>
  <c r="P51" i="7"/>
  <c r="S55" i="2" s="1"/>
  <c r="R55" i="2"/>
  <c r="T56" i="6"/>
  <c r="R60" i="2"/>
  <c r="P98" i="7"/>
  <c r="S102" i="2" s="1"/>
  <c r="R102" i="2"/>
  <c r="T50" i="6"/>
  <c r="R54" i="2"/>
  <c r="P87" i="7"/>
  <c r="S91" i="2" s="1"/>
  <c r="R91" i="2"/>
  <c r="T85" i="6"/>
  <c r="R89" i="2"/>
  <c r="T73" i="6"/>
  <c r="R77" i="2"/>
  <c r="P45" i="7"/>
  <c r="S49" i="2" s="1"/>
  <c r="P59" i="7"/>
  <c r="S63" i="2" s="1"/>
  <c r="R63" i="2"/>
  <c r="T54" i="6"/>
  <c r="P13" i="7"/>
  <c r="S17" i="2" s="1"/>
  <c r="P61" i="7"/>
  <c r="S65" i="2" s="1"/>
  <c r="T90" i="6"/>
  <c r="T31" i="6"/>
  <c r="T39" i="6"/>
  <c r="T61" i="6"/>
  <c r="T72" i="6"/>
  <c r="T45" i="6"/>
  <c r="T60" i="6"/>
  <c r="T59" i="6"/>
  <c r="T42" i="6"/>
  <c r="T55" i="6"/>
  <c r="T38" i="6"/>
  <c r="T23" i="6"/>
  <c r="T67" i="6"/>
  <c r="T77" i="6"/>
  <c r="T52" i="6"/>
  <c r="T24" i="6"/>
  <c r="T96" i="6"/>
  <c r="T82" i="6"/>
  <c r="T51" i="6"/>
  <c r="T62" i="6"/>
  <c r="T36" i="6"/>
  <c r="T65" i="6"/>
  <c r="T75" i="6"/>
  <c r="T74" i="6"/>
  <c r="T46" i="6"/>
  <c r="T98" i="6"/>
  <c r="T49" i="6"/>
  <c r="T69" i="6"/>
  <c r="T97" i="6"/>
  <c r="T87" i="6"/>
  <c r="T25" i="6"/>
  <c r="P18" i="7"/>
  <c r="S22" i="2" s="1"/>
  <c r="P23" i="7"/>
  <c r="S27" i="2" s="1"/>
  <c r="P7" i="7"/>
  <c r="S11" i="2" s="1"/>
  <c r="P96" i="7"/>
  <c r="S100" i="2" s="1"/>
  <c r="P6" i="7"/>
  <c r="S10" i="2" s="1"/>
  <c r="P72" i="7"/>
  <c r="P39" i="7"/>
  <c r="S43" i="2" s="1"/>
  <c r="P38" i="7"/>
  <c r="S42" i="2" s="1"/>
  <c r="T58" i="6"/>
  <c r="T48" i="6"/>
  <c r="T43" i="6"/>
  <c r="T71" i="6"/>
  <c r="T32" i="6"/>
  <c r="T93" i="6"/>
  <c r="P75" i="7"/>
  <c r="P20" i="7"/>
  <c r="S24" i="2" s="1"/>
  <c r="P19" i="7"/>
  <c r="S23" i="2" s="1"/>
  <c r="P21" i="7"/>
  <c r="S25" i="2" s="1"/>
  <c r="T27" i="6"/>
  <c r="T79" i="6"/>
  <c r="R1" i="2"/>
  <c r="R5" i="2" s="1"/>
  <c r="U81" i="6"/>
  <c r="P31" i="7"/>
  <c r="S35" i="2" s="1"/>
  <c r="T30" i="6"/>
  <c r="T83" i="6"/>
  <c r="P83" i="7"/>
  <c r="S87" i="2" s="1"/>
  <c r="T26" i="6"/>
  <c r="U92" i="6"/>
  <c r="B9" i="2"/>
  <c r="U44" i="6"/>
  <c r="U61" i="6"/>
  <c r="U48" i="6"/>
  <c r="A10" i="2"/>
  <c r="U27" i="6"/>
  <c r="U63" i="6"/>
  <c r="U95" i="6"/>
  <c r="U60" i="6"/>
  <c r="U56" i="6"/>
  <c r="U33" i="6"/>
  <c r="U28" i="6"/>
  <c r="U26" i="6"/>
  <c r="U53" i="6"/>
  <c r="U78" i="6"/>
  <c r="U91" i="6"/>
  <c r="Q1" i="7"/>
  <c r="U73" i="6" l="1"/>
  <c r="U47" i="6"/>
  <c r="U34" i="6"/>
  <c r="U51" i="6"/>
  <c r="U54" i="6"/>
  <c r="U24" i="6"/>
  <c r="U58" i="6"/>
  <c r="U89" i="6"/>
  <c r="U42" i="6"/>
  <c r="U69" i="6"/>
  <c r="U86" i="6"/>
  <c r="U46" i="6"/>
  <c r="U85" i="6"/>
  <c r="U30" i="6"/>
  <c r="U64" i="6"/>
  <c r="U74" i="6"/>
  <c r="U67" i="6"/>
  <c r="U71" i="6"/>
  <c r="U84" i="6"/>
  <c r="U23" i="6"/>
  <c r="U36" i="6"/>
  <c r="U77" i="6"/>
  <c r="U65" i="6"/>
  <c r="U40" i="6"/>
  <c r="U29" i="6"/>
  <c r="U66" i="6"/>
  <c r="U39" i="6"/>
  <c r="U99" i="6"/>
  <c r="U45" i="6"/>
  <c r="U25" i="6"/>
  <c r="U50" i="6"/>
  <c r="U82" i="6"/>
  <c r="U49" i="6"/>
  <c r="U98" i="6"/>
  <c r="U87" i="6"/>
  <c r="U75" i="6"/>
  <c r="S79" i="2"/>
  <c r="U94" i="6"/>
  <c r="S98" i="2"/>
  <c r="U35" i="6"/>
  <c r="U41" i="6"/>
  <c r="U88" i="6"/>
  <c r="S92" i="2"/>
  <c r="S101" i="2"/>
  <c r="U97" i="6"/>
  <c r="S74" i="2"/>
  <c r="U70" i="6"/>
  <c r="U68" i="6"/>
  <c r="S72" i="2"/>
  <c r="U52" i="6"/>
  <c r="S56" i="2"/>
  <c r="U93" i="6"/>
  <c r="S97" i="2"/>
  <c r="S80" i="2"/>
  <c r="U76" i="6"/>
  <c r="U90" i="6"/>
  <c r="S94" i="2"/>
  <c r="U79" i="6"/>
  <c r="S83" i="2"/>
  <c r="S59" i="2"/>
  <c r="U55" i="6"/>
  <c r="U37" i="6"/>
  <c r="U59" i="6"/>
  <c r="U72" i="6"/>
  <c r="S76" i="2"/>
  <c r="U32" i="6"/>
  <c r="U43" i="6"/>
  <c r="U62" i="6"/>
  <c r="S66" i="2"/>
  <c r="U80" i="6"/>
  <c r="S84" i="2"/>
  <c r="U38" i="6"/>
  <c r="U57" i="6"/>
  <c r="S61" i="2"/>
  <c r="S1" i="2"/>
  <c r="S5" i="2" s="1"/>
  <c r="U96" i="6"/>
  <c r="U31" i="6"/>
  <c r="U83" i="6"/>
  <c r="B10" i="2"/>
  <c r="Q31" i="7"/>
  <c r="T35" i="2" s="1"/>
  <c r="Q40" i="7"/>
  <c r="T44" i="2" s="1"/>
  <c r="Q47" i="7"/>
  <c r="T51" i="2" s="1"/>
  <c r="Q54" i="7"/>
  <c r="T58" i="2" s="1"/>
  <c r="Q43" i="7"/>
  <c r="T47" i="2" s="1"/>
  <c r="Q55" i="7"/>
  <c r="T59" i="2" s="1"/>
  <c r="Q80" i="7"/>
  <c r="T84" i="2" s="1"/>
  <c r="Q51" i="7"/>
  <c r="T55" i="2" s="1"/>
  <c r="Q93" i="7"/>
  <c r="T97" i="2" s="1"/>
  <c r="Q33" i="7"/>
  <c r="T37" i="2" s="1"/>
  <c r="Q36" i="7"/>
  <c r="T40" i="2" s="1"/>
  <c r="Q78" i="7"/>
  <c r="T82" i="2" s="1"/>
  <c r="Q74" i="7"/>
  <c r="T78" i="2" s="1"/>
  <c r="Q38" i="7"/>
  <c r="T42" i="2" s="1"/>
  <c r="Q22" i="7"/>
  <c r="T26" i="2" s="1"/>
  <c r="Q84" i="7"/>
  <c r="T88" i="2" s="1"/>
  <c r="Q11" i="7"/>
  <c r="T15" i="2" s="1"/>
  <c r="Q72" i="7"/>
  <c r="T76" i="2" s="1"/>
  <c r="Q8" i="7"/>
  <c r="T12" i="2" s="1"/>
  <c r="Q25" i="7"/>
  <c r="T29" i="2" s="1"/>
  <c r="Q75" i="7"/>
  <c r="T79" i="2" s="1"/>
  <c r="Q13" i="7"/>
  <c r="T17" i="2" s="1"/>
  <c r="Q98" i="7"/>
  <c r="T102" i="2" s="1"/>
  <c r="Q91" i="7"/>
  <c r="T95" i="2" s="1"/>
  <c r="Q53" i="7"/>
  <c r="T57" i="2" s="1"/>
  <c r="Q5" i="7"/>
  <c r="T9" i="2" s="1"/>
  <c r="Q15" i="7"/>
  <c r="T19" i="2" s="1"/>
  <c r="Q63" i="7"/>
  <c r="T67" i="2" s="1"/>
  <c r="Q48" i="7"/>
  <c r="T52" i="2" s="1"/>
  <c r="Q39" i="7"/>
  <c r="T43" i="2" s="1"/>
  <c r="Q44" i="7"/>
  <c r="T48" i="2" s="1"/>
  <c r="Q41" i="7"/>
  <c r="T45" i="2" s="1"/>
  <c r="Q64" i="7"/>
  <c r="T68" i="2" s="1"/>
  <c r="Q27" i="7"/>
  <c r="T31" i="2" s="1"/>
  <c r="Q24" i="7"/>
  <c r="T28" i="2" s="1"/>
  <c r="Q45" i="7"/>
  <c r="T49" i="2" s="1"/>
  <c r="Q14" i="7"/>
  <c r="T18" i="2" s="1"/>
  <c r="Q30" i="7"/>
  <c r="T34" i="2" s="1"/>
  <c r="Q4" i="7"/>
  <c r="T8" i="2" s="1"/>
  <c r="Q16" i="7"/>
  <c r="T20" i="2" s="1"/>
  <c r="Q42" i="7"/>
  <c r="T46" i="2" s="1"/>
  <c r="Q12" i="7"/>
  <c r="T16" i="2" s="1"/>
  <c r="Q71" i="7"/>
  <c r="T75" i="2" s="1"/>
  <c r="Q35" i="7"/>
  <c r="T39" i="2" s="1"/>
  <c r="Q86" i="7"/>
  <c r="T90" i="2" s="1"/>
  <c r="Q95" i="7"/>
  <c r="Q50" i="7"/>
  <c r="T54" i="2" s="1"/>
  <c r="Q85" i="7"/>
  <c r="Q82" i="7"/>
  <c r="T86" i="2" s="1"/>
  <c r="Q97" i="7"/>
  <c r="Q18" i="7"/>
  <c r="T22" i="2" s="1"/>
  <c r="Q73" i="7"/>
  <c r="T77" i="2" s="1"/>
  <c r="Q92" i="7"/>
  <c r="T96" i="2" s="1"/>
  <c r="Q46" i="7"/>
  <c r="T50" i="2" s="1"/>
  <c r="Q58" i="7"/>
  <c r="T62" i="2" s="1"/>
  <c r="Q70" i="7"/>
  <c r="T74" i="2" s="1"/>
  <c r="Q52" i="7"/>
  <c r="Q89" i="7"/>
  <c r="T93" i="2" s="1"/>
  <c r="Q49" i="7"/>
  <c r="T53" i="2" s="1"/>
  <c r="Q20" i="7"/>
  <c r="T24" i="2" s="1"/>
  <c r="Q10" i="7"/>
  <c r="T14" i="2" s="1"/>
  <c r="Q62" i="7"/>
  <c r="T66" i="2" s="1"/>
  <c r="Q99" i="7"/>
  <c r="T103" i="2" s="1"/>
  <c r="Q29" i="7"/>
  <c r="T33" i="2" s="1"/>
  <c r="Q7" i="7"/>
  <c r="T11" i="2" s="1"/>
  <c r="Q96" i="7"/>
  <c r="T100" i="2" s="1"/>
  <c r="Q67" i="7"/>
  <c r="T71" i="2" s="1"/>
  <c r="Q90" i="7"/>
  <c r="Q61" i="7"/>
  <c r="T65" i="2" s="1"/>
  <c r="Q2" i="7"/>
  <c r="Q3" i="7"/>
  <c r="T7" i="2" s="1"/>
  <c r="Q69" i="7"/>
  <c r="T73" i="2" s="1"/>
  <c r="Q28" i="7"/>
  <c r="T32" i="2" s="1"/>
  <c r="Q94" i="7"/>
  <c r="T98" i="2" s="1"/>
  <c r="Q19" i="7"/>
  <c r="T23" i="2" s="1"/>
  <c r="Q32" i="7"/>
  <c r="T36" i="2" s="1"/>
  <c r="Q21" i="7"/>
  <c r="T25" i="2" s="1"/>
  <c r="Q26" i="7"/>
  <c r="T30" i="2" s="1"/>
  <c r="Q37" i="7"/>
  <c r="T41" i="2" s="1"/>
  <c r="Q6" i="7"/>
  <c r="T10" i="2" s="1"/>
  <c r="Q34" i="7"/>
  <c r="T38" i="2" s="1"/>
  <c r="Q81" i="7"/>
  <c r="T85" i="2" s="1"/>
  <c r="Q57" i="7"/>
  <c r="T61" i="2" s="1"/>
  <c r="Q88" i="7"/>
  <c r="T92" i="2" s="1"/>
  <c r="Q83" i="7"/>
  <c r="T87" i="2" s="1"/>
  <c r="Q23" i="7"/>
  <c r="T27" i="2" s="1"/>
  <c r="Q9" i="7"/>
  <c r="T13" i="2" s="1"/>
  <c r="Q65" i="7"/>
  <c r="T69" i="2" s="1"/>
  <c r="Q60" i="7"/>
  <c r="T64" i="2" s="1"/>
  <c r="Q76" i="7"/>
  <c r="T80" i="2" s="1"/>
  <c r="Q66" i="7"/>
  <c r="T70" i="2" s="1"/>
  <c r="Q68" i="7"/>
  <c r="T72" i="2" s="1"/>
  <c r="Q59" i="7"/>
  <c r="T63" i="2" s="1"/>
  <c r="Q56" i="7"/>
  <c r="T60" i="2" s="1"/>
  <c r="Q17" i="7"/>
  <c r="T21" i="2" s="1"/>
  <c r="Q87" i="7"/>
  <c r="T91" i="2" s="1"/>
  <c r="Q79" i="7"/>
  <c r="T83" i="2" s="1"/>
  <c r="Q77" i="7"/>
  <c r="T81" i="2" s="1"/>
  <c r="A11" i="2"/>
  <c r="V39" i="6"/>
  <c r="V99" i="6"/>
  <c r="V78" i="6"/>
  <c r="R1" i="7"/>
  <c r="V50" i="6" l="1"/>
  <c r="V98" i="6"/>
  <c r="V86" i="6"/>
  <c r="V75" i="6"/>
  <c r="V58" i="6"/>
  <c r="V82" i="6"/>
  <c r="V52" i="6"/>
  <c r="T56" i="2"/>
  <c r="V97" i="6"/>
  <c r="T101" i="2"/>
  <c r="V85" i="6"/>
  <c r="T89" i="2"/>
  <c r="V90" i="6"/>
  <c r="T94" i="2"/>
  <c r="V46" i="6"/>
  <c r="V95" i="6"/>
  <c r="T99" i="2"/>
  <c r="V32" i="6"/>
  <c r="T1" i="2"/>
  <c r="T5" i="2" s="1"/>
  <c r="V61" i="6"/>
  <c r="V23" i="6"/>
  <c r="V73" i="6"/>
  <c r="V24" i="6"/>
  <c r="V67" i="6"/>
  <c r="V45" i="6"/>
  <c r="V69" i="6"/>
  <c r="V29" i="6"/>
  <c r="V30" i="6"/>
  <c r="V70" i="6"/>
  <c r="V91" i="6"/>
  <c r="V49" i="6"/>
  <c r="V71" i="6"/>
  <c r="V64" i="6"/>
  <c r="V28" i="6"/>
  <c r="V53" i="6"/>
  <c r="V42" i="6"/>
  <c r="V83" i="6"/>
  <c r="R8" i="7"/>
  <c r="U12" i="2" s="1"/>
  <c r="R61" i="7"/>
  <c r="U65" i="2" s="1"/>
  <c r="R3" i="7"/>
  <c r="U7" i="2" s="1"/>
  <c r="R79" i="7"/>
  <c r="U83" i="2" s="1"/>
  <c r="R25" i="7"/>
  <c r="U29" i="2" s="1"/>
  <c r="R68" i="7"/>
  <c r="U72" i="2" s="1"/>
  <c r="R37" i="7"/>
  <c r="U41" i="2" s="1"/>
  <c r="R17" i="7"/>
  <c r="U21" i="2" s="1"/>
  <c r="R32" i="7"/>
  <c r="U36" i="2" s="1"/>
  <c r="R95" i="7"/>
  <c r="U99" i="2" s="1"/>
  <c r="R99" i="7"/>
  <c r="R23" i="7"/>
  <c r="U27" i="2" s="1"/>
  <c r="R9" i="7"/>
  <c r="U13" i="2" s="1"/>
  <c r="R13" i="7"/>
  <c r="U17" i="2" s="1"/>
  <c r="R54" i="7"/>
  <c r="U58" i="2" s="1"/>
  <c r="R59" i="7"/>
  <c r="U63" i="2" s="1"/>
  <c r="R26" i="7"/>
  <c r="U30" i="2" s="1"/>
  <c r="R90" i="7"/>
  <c r="U94" i="2" s="1"/>
  <c r="R11" i="7"/>
  <c r="U15" i="2" s="1"/>
  <c r="R80" i="7"/>
  <c r="R87" i="7"/>
  <c r="U91" i="2" s="1"/>
  <c r="R48" i="7"/>
  <c r="U52" i="2" s="1"/>
  <c r="R19" i="7"/>
  <c r="U23" i="2" s="1"/>
  <c r="R30" i="7"/>
  <c r="U34" i="2" s="1"/>
  <c r="R28" i="7"/>
  <c r="U32" i="2" s="1"/>
  <c r="R78" i="7"/>
  <c r="U82" i="2" s="1"/>
  <c r="R22" i="7"/>
  <c r="U26" i="2" s="1"/>
  <c r="R62" i="7"/>
  <c r="U66" i="2" s="1"/>
  <c r="R92" i="7"/>
  <c r="U96" i="2" s="1"/>
  <c r="R51" i="7"/>
  <c r="U55" i="2" s="1"/>
  <c r="R65" i="7"/>
  <c r="U69" i="2" s="1"/>
  <c r="R16" i="7"/>
  <c r="U20" i="2" s="1"/>
  <c r="R66" i="7"/>
  <c r="U70" i="2" s="1"/>
  <c r="R38" i="7"/>
  <c r="U42" i="2" s="1"/>
  <c r="R55" i="7"/>
  <c r="U59" i="2" s="1"/>
  <c r="R7" i="7"/>
  <c r="U11" i="2" s="1"/>
  <c r="R91" i="7"/>
  <c r="U95" i="2" s="1"/>
  <c r="R15" i="7"/>
  <c r="U19" i="2" s="1"/>
  <c r="R20" i="7"/>
  <c r="U24" i="2" s="1"/>
  <c r="R58" i="7"/>
  <c r="U62" i="2" s="1"/>
  <c r="R43" i="7"/>
  <c r="U47" i="2" s="1"/>
  <c r="R42" i="7"/>
  <c r="U46" i="2" s="1"/>
  <c r="R85" i="7"/>
  <c r="U89" i="2" s="1"/>
  <c r="R73" i="7"/>
  <c r="U77" i="2" s="1"/>
  <c r="R52" i="7"/>
  <c r="U56" i="2" s="1"/>
  <c r="R2" i="7"/>
  <c r="U6" i="2" s="1"/>
  <c r="R14" i="7"/>
  <c r="U18" i="2" s="1"/>
  <c r="R44" i="7"/>
  <c r="U48" i="2" s="1"/>
  <c r="R98" i="7"/>
  <c r="U102" i="2" s="1"/>
  <c r="R75" i="7"/>
  <c r="U79" i="2" s="1"/>
  <c r="R34" i="7"/>
  <c r="U38" i="2" s="1"/>
  <c r="R29" i="7"/>
  <c r="U33" i="2" s="1"/>
  <c r="R46" i="7"/>
  <c r="U50" i="2" s="1"/>
  <c r="R36" i="7"/>
  <c r="U40" i="2" s="1"/>
  <c r="R31" i="7"/>
  <c r="U35" i="2" s="1"/>
  <c r="R45" i="7"/>
  <c r="U49" i="2" s="1"/>
  <c r="R64" i="7"/>
  <c r="R18" i="7"/>
  <c r="U22" i="2" s="1"/>
  <c r="R74" i="7"/>
  <c r="U78" i="2" s="1"/>
  <c r="R24" i="7"/>
  <c r="U28" i="2" s="1"/>
  <c r="R5" i="7"/>
  <c r="U9" i="2" s="1"/>
  <c r="R63" i="7"/>
  <c r="U67" i="2" s="1"/>
  <c r="R84" i="7"/>
  <c r="U88" i="2" s="1"/>
  <c r="R10" i="7"/>
  <c r="U14" i="2" s="1"/>
  <c r="R39" i="7"/>
  <c r="U43" i="2" s="1"/>
  <c r="R47" i="7"/>
  <c r="U51" i="2" s="1"/>
  <c r="R53" i="7"/>
  <c r="U57" i="2" s="1"/>
  <c r="R69" i="7"/>
  <c r="U73" i="2" s="1"/>
  <c r="R57" i="7"/>
  <c r="U61" i="2" s="1"/>
  <c r="R83" i="7"/>
  <c r="U87" i="2" s="1"/>
  <c r="R82" i="7"/>
  <c r="U86" i="2" s="1"/>
  <c r="R4" i="7"/>
  <c r="U8" i="2" s="1"/>
  <c r="R41" i="7"/>
  <c r="U45" i="2" s="1"/>
  <c r="R21" i="7"/>
  <c r="U25" i="2" s="1"/>
  <c r="R67" i="7"/>
  <c r="U71" i="2" s="1"/>
  <c r="R6" i="7"/>
  <c r="U10" i="2" s="1"/>
  <c r="R93" i="7"/>
  <c r="U97" i="2" s="1"/>
  <c r="R71" i="7"/>
  <c r="U75" i="2" s="1"/>
  <c r="R60" i="7"/>
  <c r="U64" i="2" s="1"/>
  <c r="R35" i="7"/>
  <c r="U39" i="2" s="1"/>
  <c r="R50" i="7"/>
  <c r="U54" i="2" s="1"/>
  <c r="R49" i="7"/>
  <c r="U53" i="2" s="1"/>
  <c r="R88" i="7"/>
  <c r="U92" i="2" s="1"/>
  <c r="R70" i="7"/>
  <c r="R86" i="7"/>
  <c r="U90" i="2" s="1"/>
  <c r="R56" i="7"/>
  <c r="R81" i="7"/>
  <c r="R89" i="7"/>
  <c r="U93" i="2" s="1"/>
  <c r="R72" i="7"/>
  <c r="U76" i="2" s="1"/>
  <c r="V87" i="6"/>
  <c r="B11" i="2"/>
  <c r="V66" i="6"/>
  <c r="V57" i="6"/>
  <c r="V36" i="6"/>
  <c r="V47" i="6"/>
  <c r="R12" i="7"/>
  <c r="U16" i="2" s="1"/>
  <c r="V33" i="6"/>
  <c r="V68" i="6"/>
  <c r="V88" i="6"/>
  <c r="V35" i="6"/>
  <c r="V63" i="6"/>
  <c r="V25" i="6"/>
  <c r="V54" i="6"/>
  <c r="V94" i="6"/>
  <c r="R97" i="7"/>
  <c r="U101" i="2" s="1"/>
  <c r="V96" i="6"/>
  <c r="V72" i="6"/>
  <c r="V59" i="6"/>
  <c r="V92" i="6"/>
  <c r="V48" i="6"/>
  <c r="V74" i="6"/>
  <c r="V43" i="6"/>
  <c r="W29" i="6"/>
  <c r="R33" i="7"/>
  <c r="U37" i="2" s="1"/>
  <c r="R94" i="7"/>
  <c r="U98" i="2" s="1"/>
  <c r="V56" i="6"/>
  <c r="V26" i="6"/>
  <c r="T6" i="2"/>
  <c r="V62" i="6"/>
  <c r="V38" i="6"/>
  <c r="V55" i="6"/>
  <c r="R96" i="7"/>
  <c r="U100" i="2" s="1"/>
  <c r="V89" i="6"/>
  <c r="V40" i="6"/>
  <c r="V37" i="6"/>
  <c r="V44" i="6"/>
  <c r="V80" i="6"/>
  <c r="R77" i="7"/>
  <c r="U81" i="2" s="1"/>
  <c r="R27" i="7"/>
  <c r="U31" i="2" s="1"/>
  <c r="V76" i="6"/>
  <c r="V65" i="6"/>
  <c r="V41" i="6"/>
  <c r="V84" i="6"/>
  <c r="V51" i="6"/>
  <c r="W62" i="6"/>
  <c r="V27" i="6"/>
  <c r="V77" i="6"/>
  <c r="V81" i="6"/>
  <c r="V79" i="6"/>
  <c r="V60" i="6"/>
  <c r="V34" i="6"/>
  <c r="V93" i="6"/>
  <c r="V31" i="6"/>
  <c r="R40" i="7"/>
  <c r="U44" i="2" s="1"/>
  <c r="R76" i="7"/>
  <c r="U80" i="2" s="1"/>
  <c r="W68" i="6"/>
  <c r="A12" i="2"/>
  <c r="A13" i="2" s="1"/>
  <c r="W25" i="6"/>
  <c r="W57" i="6"/>
  <c r="W86" i="6"/>
  <c r="W66" i="6"/>
  <c r="W28" i="6"/>
  <c r="W91" i="6"/>
  <c r="S1" i="7"/>
  <c r="W87" i="6" l="1"/>
  <c r="W37" i="6"/>
  <c r="W32" i="6"/>
  <c r="W59" i="6"/>
  <c r="W58" i="6"/>
  <c r="W41" i="6"/>
  <c r="W42" i="6"/>
  <c r="W31" i="6"/>
  <c r="W49" i="6"/>
  <c r="W65" i="6"/>
  <c r="W39" i="6"/>
  <c r="U1" i="2"/>
  <c r="U5" i="2" s="1"/>
  <c r="W33" i="6"/>
  <c r="W81" i="6"/>
  <c r="U85" i="2"/>
  <c r="W35" i="6"/>
  <c r="W45" i="6"/>
  <c r="W64" i="6"/>
  <c r="U68" i="2"/>
  <c r="W40" i="6"/>
  <c r="W34" i="6"/>
  <c r="W99" i="6"/>
  <c r="U103" i="2"/>
  <c r="W70" i="6"/>
  <c r="U74" i="2"/>
  <c r="W80" i="6"/>
  <c r="U84" i="2"/>
  <c r="W56" i="6"/>
  <c r="U60" i="2"/>
  <c r="W69" i="6"/>
  <c r="W43" i="6"/>
  <c r="W89" i="6"/>
  <c r="W55" i="6"/>
  <c r="W53" i="6"/>
  <c r="W76" i="6"/>
  <c r="B12" i="2"/>
  <c r="S7" i="7"/>
  <c r="V11" i="2" s="1"/>
  <c r="S3" i="7"/>
  <c r="V7" i="2" s="1"/>
  <c r="S54" i="7"/>
  <c r="V58" i="2" s="1"/>
  <c r="S47" i="7"/>
  <c r="V51" i="2" s="1"/>
  <c r="S8" i="7"/>
  <c r="V12" i="2" s="1"/>
  <c r="S89" i="7"/>
  <c r="V93" i="2" s="1"/>
  <c r="S5" i="7"/>
  <c r="V9" i="2" s="1"/>
  <c r="S90" i="7"/>
  <c r="S63" i="7"/>
  <c r="V67" i="2" s="1"/>
  <c r="S49" i="7"/>
  <c r="V53" i="2" s="1"/>
  <c r="S75" i="7"/>
  <c r="S2" i="7"/>
  <c r="S96" i="7"/>
  <c r="V100" i="2" s="1"/>
  <c r="S50" i="7"/>
  <c r="V54" i="2" s="1"/>
  <c r="S52" i="7"/>
  <c r="V56" i="2" s="1"/>
  <c r="S11" i="7"/>
  <c r="V15" i="2" s="1"/>
  <c r="S71" i="7"/>
  <c r="S86" i="7"/>
  <c r="V90" i="2" s="1"/>
  <c r="S74" i="7"/>
  <c r="V78" i="2" s="1"/>
  <c r="S92" i="7"/>
  <c r="V96" i="2" s="1"/>
  <c r="S60" i="7"/>
  <c r="V64" i="2" s="1"/>
  <c r="S62" i="7"/>
  <c r="V66" i="2" s="1"/>
  <c r="S6" i="7"/>
  <c r="V10" i="2" s="1"/>
  <c r="S34" i="7"/>
  <c r="V38" i="2" s="1"/>
  <c r="S20" i="7"/>
  <c r="V24" i="2" s="1"/>
  <c r="S99" i="7"/>
  <c r="V103" i="2" s="1"/>
  <c r="S48" i="7"/>
  <c r="V52" i="2" s="1"/>
  <c r="S15" i="7"/>
  <c r="V19" i="2" s="1"/>
  <c r="S70" i="7"/>
  <c r="V74" i="2" s="1"/>
  <c r="S38" i="7"/>
  <c r="V42" i="2" s="1"/>
  <c r="S55" i="7"/>
  <c r="S9" i="7"/>
  <c r="V13" i="2" s="1"/>
  <c r="S31" i="7"/>
  <c r="V35" i="2" s="1"/>
  <c r="S14" i="7"/>
  <c r="V18" i="2" s="1"/>
  <c r="S45" i="7"/>
  <c r="V49" i="2" s="1"/>
  <c r="S40" i="7"/>
  <c r="V44" i="2" s="1"/>
  <c r="S21" i="7"/>
  <c r="V25" i="2" s="1"/>
  <c r="S77" i="7"/>
  <c r="V81" i="2" s="1"/>
  <c r="S87" i="7"/>
  <c r="V91" i="2" s="1"/>
  <c r="S95" i="7"/>
  <c r="S79" i="7"/>
  <c r="V83" i="2" s="1"/>
  <c r="S10" i="7"/>
  <c r="V14" i="2" s="1"/>
  <c r="S76" i="7"/>
  <c r="S18" i="7"/>
  <c r="V22" i="2" s="1"/>
  <c r="S39" i="7"/>
  <c r="V43" i="2" s="1"/>
  <c r="S84" i="7"/>
  <c r="V88" i="2" s="1"/>
  <c r="S66" i="7"/>
  <c r="V70" i="2" s="1"/>
  <c r="S91" i="7"/>
  <c r="V95" i="2" s="1"/>
  <c r="S25" i="7"/>
  <c r="V29" i="2" s="1"/>
  <c r="S67" i="7"/>
  <c r="V71" i="2" s="1"/>
  <c r="S72" i="7"/>
  <c r="V76" i="2" s="1"/>
  <c r="S51" i="7"/>
  <c r="V55" i="2" s="1"/>
  <c r="S44" i="7"/>
  <c r="V48" i="2" s="1"/>
  <c r="S37" i="7"/>
  <c r="V41" i="2" s="1"/>
  <c r="S88" i="7"/>
  <c r="V92" i="2" s="1"/>
  <c r="S83" i="7"/>
  <c r="V87" i="2" s="1"/>
  <c r="S26" i="7"/>
  <c r="V30" i="2" s="1"/>
  <c r="S23" i="7"/>
  <c r="V27" i="2" s="1"/>
  <c r="S36" i="7"/>
  <c r="V40" i="2" s="1"/>
  <c r="S35" i="7"/>
  <c r="V39" i="2" s="1"/>
  <c r="S13" i="7"/>
  <c r="V17" i="2" s="1"/>
  <c r="S57" i="7"/>
  <c r="V61" i="2" s="1"/>
  <c r="S82" i="7"/>
  <c r="S64" i="7"/>
  <c r="S85" i="7"/>
  <c r="S61" i="7"/>
  <c r="V65" i="2" s="1"/>
  <c r="S73" i="7"/>
  <c r="V77" i="2" s="1"/>
  <c r="S93" i="7"/>
  <c r="V97" i="2" s="1"/>
  <c r="S17" i="7"/>
  <c r="V21" i="2" s="1"/>
  <c r="S12" i="7"/>
  <c r="V16" i="2" s="1"/>
  <c r="S56" i="7"/>
  <c r="V60" i="2" s="1"/>
  <c r="S4" i="7"/>
  <c r="V8" i="2" s="1"/>
  <c r="S42" i="7"/>
  <c r="V46" i="2" s="1"/>
  <c r="S28" i="7"/>
  <c r="S22" i="7"/>
  <c r="V26" i="2" s="1"/>
  <c r="S58" i="7"/>
  <c r="V62" i="2" s="1"/>
  <c r="S30" i="7"/>
  <c r="V34" i="2" s="1"/>
  <c r="S65" i="7"/>
  <c r="V69" i="2" s="1"/>
  <c r="S41" i="7"/>
  <c r="V45" i="2" s="1"/>
  <c r="S33" i="7"/>
  <c r="V37" i="2" s="1"/>
  <c r="S32" i="7"/>
  <c r="V36" i="2" s="1"/>
  <c r="S80" i="7"/>
  <c r="S24" i="7"/>
  <c r="S46" i="7"/>
  <c r="V50" i="2" s="1"/>
  <c r="S59" i="7"/>
  <c r="V63" i="2" s="1"/>
  <c r="S81" i="7"/>
  <c r="S29" i="7"/>
  <c r="V33" i="2" s="1"/>
  <c r="S16" i="7"/>
  <c r="V20" i="2" s="1"/>
  <c r="S69" i="7"/>
  <c r="V73" i="2" s="1"/>
  <c r="S68" i="7"/>
  <c r="V72" i="2" s="1"/>
  <c r="S19" i="7"/>
  <c r="V23" i="2" s="1"/>
  <c r="S78" i="7"/>
  <c r="V82" i="2" s="1"/>
  <c r="S98" i="7"/>
  <c r="V102" i="2" s="1"/>
  <c r="S43" i="7"/>
  <c r="V47" i="2" s="1"/>
  <c r="W95" i="6"/>
  <c r="W75" i="6"/>
  <c r="W47" i="6"/>
  <c r="W72" i="6"/>
  <c r="S97" i="7"/>
  <c r="W90" i="6"/>
  <c r="S27" i="7"/>
  <c r="W38" i="6"/>
  <c r="W78" i="6"/>
  <c r="W94" i="6"/>
  <c r="W98" i="6"/>
  <c r="W26" i="6"/>
  <c r="W61" i="6"/>
  <c r="W88" i="6"/>
  <c r="W67" i="6"/>
  <c r="W74" i="6"/>
  <c r="W85" i="6"/>
  <c r="W24" i="6"/>
  <c r="W73" i="6"/>
  <c r="W23" i="6"/>
  <c r="W79" i="6"/>
  <c r="W93" i="6"/>
  <c r="W46" i="6"/>
  <c r="W52" i="6"/>
  <c r="W92" i="6"/>
  <c r="W71" i="6"/>
  <c r="W83" i="6"/>
  <c r="W63" i="6"/>
  <c r="W36" i="6"/>
  <c r="W51" i="6"/>
  <c r="W48" i="6"/>
  <c r="W60" i="6"/>
  <c r="W82" i="6"/>
  <c r="W54" i="6"/>
  <c r="W44" i="6"/>
  <c r="W30" i="6"/>
  <c r="S53" i="7"/>
  <c r="V57" i="2" s="1"/>
  <c r="W84" i="6"/>
  <c r="W50" i="6"/>
  <c r="S94" i="7"/>
  <c r="V98" i="2" s="1"/>
  <c r="W96" i="6"/>
  <c r="W77" i="6"/>
  <c r="W27" i="6"/>
  <c r="W97" i="6"/>
  <c r="X34" i="6"/>
  <c r="X40" i="6"/>
  <c r="X84" i="6"/>
  <c r="X60" i="6"/>
  <c r="X74" i="6"/>
  <c r="X62" i="6"/>
  <c r="X89" i="6"/>
  <c r="X49" i="6"/>
  <c r="X51" i="6"/>
  <c r="X77" i="6"/>
  <c r="X93" i="6"/>
  <c r="A14" i="2"/>
  <c r="B13" i="2"/>
  <c r="V6" i="2"/>
  <c r="X50" i="6"/>
  <c r="T1" i="7"/>
  <c r="X99" i="6" l="1"/>
  <c r="X37" i="6"/>
  <c r="X65" i="6"/>
  <c r="X57" i="6"/>
  <c r="X30" i="6"/>
  <c r="X96" i="6"/>
  <c r="X31" i="6"/>
  <c r="X63" i="6"/>
  <c r="X70" i="6"/>
  <c r="X39" i="6"/>
  <c r="X35" i="6"/>
  <c r="X78" i="6"/>
  <c r="X72" i="6"/>
  <c r="X36" i="6"/>
  <c r="X58" i="6"/>
  <c r="X44" i="6"/>
  <c r="X59" i="6"/>
  <c r="V1" i="2"/>
  <c r="V5" i="2" s="1"/>
  <c r="X97" i="6"/>
  <c r="V101" i="2"/>
  <c r="X24" i="6"/>
  <c r="V28" i="2"/>
  <c r="X76" i="6"/>
  <c r="V80" i="2"/>
  <c r="X45" i="6"/>
  <c r="X48" i="6"/>
  <c r="X75" i="6"/>
  <c r="V79" i="2"/>
  <c r="X23" i="6"/>
  <c r="X28" i="6"/>
  <c r="V32" i="2"/>
  <c r="X27" i="6"/>
  <c r="V31" i="2"/>
  <c r="X80" i="6"/>
  <c r="V84" i="2"/>
  <c r="X81" i="6"/>
  <c r="V85" i="2"/>
  <c r="X82" i="6"/>
  <c r="V86" i="2"/>
  <c r="X55" i="6"/>
  <c r="V59" i="2"/>
  <c r="X33" i="6"/>
  <c r="X64" i="6"/>
  <c r="V68" i="2"/>
  <c r="X95" i="6"/>
  <c r="V99" i="2"/>
  <c r="X90" i="6"/>
  <c r="V94" i="2"/>
  <c r="X32" i="6"/>
  <c r="X42" i="6"/>
  <c r="X85" i="6"/>
  <c r="V89" i="2"/>
  <c r="X71" i="6"/>
  <c r="V75" i="2"/>
  <c r="X87" i="6"/>
  <c r="X88" i="6"/>
  <c r="X83" i="6"/>
  <c r="X41" i="6"/>
  <c r="X94" i="6"/>
  <c r="X66" i="6"/>
  <c r="X25" i="6"/>
  <c r="X56" i="6"/>
  <c r="T29" i="7"/>
  <c r="W33" i="2" s="1"/>
  <c r="T19" i="7"/>
  <c r="W23" i="2" s="1"/>
  <c r="T87" i="7"/>
  <c r="W91" i="2" s="1"/>
  <c r="T76" i="7"/>
  <c r="W80" i="2" s="1"/>
  <c r="T41" i="7"/>
  <c r="W45" i="2" s="1"/>
  <c r="T3" i="7"/>
  <c r="W7" i="2" s="1"/>
  <c r="T44" i="7"/>
  <c r="W48" i="2" s="1"/>
  <c r="T47" i="7"/>
  <c r="W51" i="2" s="1"/>
  <c r="T93" i="7"/>
  <c r="W97" i="2" s="1"/>
  <c r="T50" i="7"/>
  <c r="W54" i="2" s="1"/>
  <c r="T65" i="7"/>
  <c r="W69" i="2" s="1"/>
  <c r="T28" i="7"/>
  <c r="W32" i="2" s="1"/>
  <c r="T77" i="7"/>
  <c r="W81" i="2" s="1"/>
  <c r="T39" i="7"/>
  <c r="W43" i="2" s="1"/>
  <c r="T9" i="7"/>
  <c r="W13" i="2" s="1"/>
  <c r="T55" i="7"/>
  <c r="W59" i="2" s="1"/>
  <c r="T96" i="7"/>
  <c r="W100" i="2" s="1"/>
  <c r="T10" i="7"/>
  <c r="W14" i="2" s="1"/>
  <c r="T81" i="7"/>
  <c r="W85" i="2" s="1"/>
  <c r="T88" i="7"/>
  <c r="W92" i="2" s="1"/>
  <c r="T61" i="7"/>
  <c r="W65" i="2" s="1"/>
  <c r="T49" i="7"/>
  <c r="T2" i="7"/>
  <c r="W6" i="2" s="1"/>
  <c r="T59" i="7"/>
  <c r="W63" i="2" s="1"/>
  <c r="T51" i="7"/>
  <c r="W55" i="2" s="1"/>
  <c r="T83" i="7"/>
  <c r="W87" i="2" s="1"/>
  <c r="T5" i="7"/>
  <c r="W9" i="2" s="1"/>
  <c r="T92" i="7"/>
  <c r="W96" i="2" s="1"/>
  <c r="T98" i="7"/>
  <c r="W102" i="2" s="1"/>
  <c r="T52" i="7"/>
  <c r="W56" i="2" s="1"/>
  <c r="T14" i="7"/>
  <c r="W18" i="2" s="1"/>
  <c r="T43" i="7"/>
  <c r="W47" i="2" s="1"/>
  <c r="T48" i="7"/>
  <c r="W52" i="2" s="1"/>
  <c r="T60" i="7"/>
  <c r="T99" i="7"/>
  <c r="W103" i="2" s="1"/>
  <c r="T58" i="7"/>
  <c r="W62" i="2" s="1"/>
  <c r="T89" i="7"/>
  <c r="W93" i="2" s="1"/>
  <c r="T15" i="7"/>
  <c r="W19" i="2" s="1"/>
  <c r="T8" i="7"/>
  <c r="W12" i="2" s="1"/>
  <c r="T45" i="7"/>
  <c r="W49" i="2" s="1"/>
  <c r="T62" i="7"/>
  <c r="W66" i="2" s="1"/>
  <c r="T11" i="7"/>
  <c r="W15" i="2" s="1"/>
  <c r="T18" i="7"/>
  <c r="W22" i="2" s="1"/>
  <c r="T37" i="7"/>
  <c r="W41" i="2" s="1"/>
  <c r="T17" i="7"/>
  <c r="W21" i="2" s="1"/>
  <c r="T24" i="7"/>
  <c r="W28" i="2" s="1"/>
  <c r="T91" i="7"/>
  <c r="T78" i="7"/>
  <c r="W82" i="2" s="1"/>
  <c r="T23" i="7"/>
  <c r="W27" i="2" s="1"/>
  <c r="T72" i="7"/>
  <c r="W76" i="2" s="1"/>
  <c r="T54" i="7"/>
  <c r="W58" i="2" s="1"/>
  <c r="T90" i="7"/>
  <c r="W94" i="2" s="1"/>
  <c r="T75" i="7"/>
  <c r="W79" i="2" s="1"/>
  <c r="T36" i="7"/>
  <c r="W40" i="2" s="1"/>
  <c r="T46" i="7"/>
  <c r="W50" i="2" s="1"/>
  <c r="T6" i="7"/>
  <c r="W10" i="2" s="1"/>
  <c r="T70" i="7"/>
  <c r="W74" i="2" s="1"/>
  <c r="T21" i="7"/>
  <c r="W25" i="2" s="1"/>
  <c r="T30" i="7"/>
  <c r="W34" i="2" s="1"/>
  <c r="T85" i="7"/>
  <c r="W89" i="2" s="1"/>
  <c r="T4" i="7"/>
  <c r="W8" i="2" s="1"/>
  <c r="T73" i="7"/>
  <c r="W77" i="2" s="1"/>
  <c r="T38" i="7"/>
  <c r="W42" i="2" s="1"/>
  <c r="T63" i="7"/>
  <c r="W67" i="2" s="1"/>
  <c r="T22" i="7"/>
  <c r="W26" i="2" s="1"/>
  <c r="T57" i="7"/>
  <c r="W61" i="2" s="1"/>
  <c r="T66" i="7"/>
  <c r="W70" i="2" s="1"/>
  <c r="T12" i="7"/>
  <c r="W16" i="2" s="1"/>
  <c r="T86" i="7"/>
  <c r="W90" i="2" s="1"/>
  <c r="T67" i="7"/>
  <c r="T64" i="7"/>
  <c r="W68" i="2" s="1"/>
  <c r="T56" i="7"/>
  <c r="T80" i="7"/>
  <c r="W84" i="2" s="1"/>
  <c r="T34" i="7"/>
  <c r="W38" i="2" s="1"/>
  <c r="T35" i="7"/>
  <c r="W39" i="2" s="1"/>
  <c r="T97" i="7"/>
  <c r="W101" i="2" s="1"/>
  <c r="T74" i="7"/>
  <c r="W78" i="2" s="1"/>
  <c r="T84" i="7"/>
  <c r="W88" i="2" s="1"/>
  <c r="T16" i="7"/>
  <c r="W20" i="2" s="1"/>
  <c r="T33" i="7"/>
  <c r="W37" i="2" s="1"/>
  <c r="T82" i="7"/>
  <c r="W86" i="2" s="1"/>
  <c r="T40" i="7"/>
  <c r="W44" i="2" s="1"/>
  <c r="T95" i="7"/>
  <c r="W99" i="2" s="1"/>
  <c r="T27" i="7"/>
  <c r="W31" i="2" s="1"/>
  <c r="T13" i="7"/>
  <c r="W17" i="2" s="1"/>
  <c r="T53" i="7"/>
  <c r="W57" i="2" s="1"/>
  <c r="T94" i="7"/>
  <c r="T42" i="7"/>
  <c r="W46" i="2" s="1"/>
  <c r="T79" i="7"/>
  <c r="W83" i="2" s="1"/>
  <c r="T31" i="7"/>
  <c r="T20" i="7"/>
  <c r="W24" i="2" s="1"/>
  <c r="T7" i="7"/>
  <c r="W11" i="2" s="1"/>
  <c r="T68" i="7"/>
  <c r="W72" i="2" s="1"/>
  <c r="X43" i="6"/>
  <c r="X98" i="6"/>
  <c r="X91" i="6"/>
  <c r="X68" i="6"/>
  <c r="X61" i="6"/>
  <c r="X67" i="6"/>
  <c r="X86" i="6"/>
  <c r="T69" i="7"/>
  <c r="W73" i="2" s="1"/>
  <c r="X69" i="6"/>
  <c r="X73" i="6"/>
  <c r="X54" i="6"/>
  <c r="X79" i="6"/>
  <c r="T25" i="7"/>
  <c r="W29" i="2" s="1"/>
  <c r="X26" i="6"/>
  <c r="X46" i="6"/>
  <c r="X92" i="6"/>
  <c r="X47" i="6"/>
  <c r="T32" i="7"/>
  <c r="W36" i="2" s="1"/>
  <c r="T26" i="7"/>
  <c r="W30" i="2" s="1"/>
  <c r="T71" i="7"/>
  <c r="X38" i="6"/>
  <c r="X29" i="6"/>
  <c r="X52" i="6"/>
  <c r="X53" i="6"/>
  <c r="Y98" i="6"/>
  <c r="Y28" i="6"/>
  <c r="Y55" i="6"/>
  <c r="Y80" i="6"/>
  <c r="Y87" i="6"/>
  <c r="Y43" i="6"/>
  <c r="Y96" i="6"/>
  <c r="Y76" i="6"/>
  <c r="Y59" i="6"/>
  <c r="Y88" i="6"/>
  <c r="Y81" i="6"/>
  <c r="Y41" i="6"/>
  <c r="Y35" i="6"/>
  <c r="Y51" i="6"/>
  <c r="Y48" i="6"/>
  <c r="Y47" i="6"/>
  <c r="Y65" i="6"/>
  <c r="Y54" i="6"/>
  <c r="Y77" i="6"/>
  <c r="Y89" i="6"/>
  <c r="Y74" i="6"/>
  <c r="Y29" i="6"/>
  <c r="A15" i="2"/>
  <c r="B14" i="2"/>
  <c r="Y64" i="6"/>
  <c r="Y32" i="6"/>
  <c r="Y30" i="6"/>
  <c r="Y99" i="6"/>
  <c r="Y78" i="6"/>
  <c r="U1" i="7"/>
  <c r="Y61" i="6" l="1"/>
  <c r="Y70" i="6"/>
  <c r="Y62" i="6"/>
  <c r="Y52" i="6"/>
  <c r="Y39" i="6"/>
  <c r="Y85" i="6"/>
  <c r="Y37" i="6"/>
  <c r="Y58" i="6"/>
  <c r="Y92" i="6"/>
  <c r="Y90" i="6"/>
  <c r="Y73" i="6"/>
  <c r="Y82" i="6"/>
  <c r="Y23" i="6"/>
  <c r="Y53" i="6"/>
  <c r="Y86" i="6"/>
  <c r="Y79" i="6"/>
  <c r="Y50" i="6"/>
  <c r="Y83" i="6"/>
  <c r="Y72" i="6"/>
  <c r="Y68" i="6"/>
  <c r="Y36" i="6"/>
  <c r="Y84" i="6"/>
  <c r="Y24" i="6"/>
  <c r="W1" i="2"/>
  <c r="W5" i="2" s="1"/>
  <c r="Y95" i="6"/>
  <c r="Y26" i="6"/>
  <c r="Y97" i="6"/>
  <c r="Y27" i="6"/>
  <c r="Y94" i="6"/>
  <c r="W98" i="2"/>
  <c r="Y91" i="6"/>
  <c r="W95" i="2"/>
  <c r="Y44" i="6"/>
  <c r="Y42" i="6"/>
  <c r="Y33" i="6"/>
  <c r="Y56" i="6"/>
  <c r="W60" i="2"/>
  <c r="Y71" i="6"/>
  <c r="W75" i="2"/>
  <c r="Y31" i="6"/>
  <c r="W35" i="2"/>
  <c r="Y40" i="6"/>
  <c r="Y60" i="6"/>
  <c r="W64" i="2"/>
  <c r="Y67" i="6"/>
  <c r="W71" i="2"/>
  <c r="Y49" i="6"/>
  <c r="W53" i="2"/>
  <c r="U73" i="7"/>
  <c r="X77" i="2" s="1"/>
  <c r="U76" i="7"/>
  <c r="X80" i="2" s="1"/>
  <c r="U39" i="7"/>
  <c r="X43" i="2" s="1"/>
  <c r="U14" i="7"/>
  <c r="X18" i="2" s="1"/>
  <c r="U87" i="7"/>
  <c r="X91" i="2" s="1"/>
  <c r="U47" i="7"/>
  <c r="X51" i="2" s="1"/>
  <c r="U52" i="7"/>
  <c r="X56" i="2" s="1"/>
  <c r="U44" i="7"/>
  <c r="X48" i="2" s="1"/>
  <c r="U36" i="7"/>
  <c r="X40" i="2" s="1"/>
  <c r="U2" i="7"/>
  <c r="U32" i="7"/>
  <c r="X36" i="2" s="1"/>
  <c r="U50" i="7"/>
  <c r="X54" i="2" s="1"/>
  <c r="U99" i="7"/>
  <c r="X103" i="2" s="1"/>
  <c r="U28" i="7"/>
  <c r="U72" i="7"/>
  <c r="X76" i="2" s="1"/>
  <c r="U5" i="7"/>
  <c r="X9" i="2" s="1"/>
  <c r="U49" i="7"/>
  <c r="X53" i="2" s="1"/>
  <c r="U6" i="7"/>
  <c r="X10" i="2" s="1"/>
  <c r="U42" i="7"/>
  <c r="X46" i="2" s="1"/>
  <c r="U10" i="7"/>
  <c r="X14" i="2" s="1"/>
  <c r="U98" i="7"/>
  <c r="U93" i="7"/>
  <c r="X97" i="2" s="1"/>
  <c r="U26" i="7"/>
  <c r="U92" i="7"/>
  <c r="X96" i="2" s="1"/>
  <c r="U90" i="7"/>
  <c r="X94" i="2" s="1"/>
  <c r="U51" i="7"/>
  <c r="X55" i="2" s="1"/>
  <c r="U85" i="7"/>
  <c r="X89" i="2" s="1"/>
  <c r="U81" i="7"/>
  <c r="X85" i="2" s="1"/>
  <c r="U80" i="7"/>
  <c r="X84" i="2" s="1"/>
  <c r="U31" i="7"/>
  <c r="X35" i="2" s="1"/>
  <c r="U83" i="7"/>
  <c r="X87" i="2" s="1"/>
  <c r="U77" i="7"/>
  <c r="X81" i="2" s="1"/>
  <c r="U23" i="7"/>
  <c r="X27" i="2" s="1"/>
  <c r="U33" i="7"/>
  <c r="X37" i="2" s="1"/>
  <c r="U27" i="7"/>
  <c r="Z27" i="6" s="1"/>
  <c r="U11" i="7"/>
  <c r="X15" i="2" s="1"/>
  <c r="U20" i="7"/>
  <c r="X24" i="2" s="1"/>
  <c r="U78" i="7"/>
  <c r="X82" i="2" s="1"/>
  <c r="U48" i="7"/>
  <c r="X52" i="2" s="1"/>
  <c r="U62" i="7"/>
  <c r="X66" i="2" s="1"/>
  <c r="U41" i="7"/>
  <c r="X45" i="2" s="1"/>
  <c r="U74" i="7"/>
  <c r="X78" i="2" s="1"/>
  <c r="U53" i="7"/>
  <c r="X57" i="2" s="1"/>
  <c r="U61" i="7"/>
  <c r="X65" i="2" s="1"/>
  <c r="U75" i="7"/>
  <c r="X79" i="2" s="1"/>
  <c r="U66" i="7"/>
  <c r="X70" i="2" s="1"/>
  <c r="U96" i="7"/>
  <c r="X100" i="2" s="1"/>
  <c r="U56" i="7"/>
  <c r="X60" i="2" s="1"/>
  <c r="U67" i="7"/>
  <c r="X71" i="2" s="1"/>
  <c r="U22" i="7"/>
  <c r="X26" i="2" s="1"/>
  <c r="U29" i="7"/>
  <c r="X33" i="2" s="1"/>
  <c r="U40" i="7"/>
  <c r="X44" i="2" s="1"/>
  <c r="U4" i="7"/>
  <c r="X8" i="2" s="1"/>
  <c r="U64" i="7"/>
  <c r="X68" i="2" s="1"/>
  <c r="U30" i="7"/>
  <c r="X34" i="2" s="1"/>
  <c r="U7" i="7"/>
  <c r="X11" i="2" s="1"/>
  <c r="U37" i="7"/>
  <c r="X41" i="2" s="1"/>
  <c r="U3" i="7"/>
  <c r="X7" i="2" s="1"/>
  <c r="U84" i="7"/>
  <c r="X88" i="2" s="1"/>
  <c r="U25" i="7"/>
  <c r="X29" i="2" s="1"/>
  <c r="U82" i="7"/>
  <c r="X86" i="2" s="1"/>
  <c r="U57" i="7"/>
  <c r="X61" i="2" s="1"/>
  <c r="U79" i="7"/>
  <c r="X83" i="2" s="1"/>
  <c r="U8" i="7"/>
  <c r="X12" i="2" s="1"/>
  <c r="U59" i="7"/>
  <c r="X63" i="2" s="1"/>
  <c r="U68" i="7"/>
  <c r="X72" i="2" s="1"/>
  <c r="U17" i="7"/>
  <c r="X21" i="2" s="1"/>
  <c r="U12" i="7"/>
  <c r="X16" i="2" s="1"/>
  <c r="U13" i="7"/>
  <c r="X17" i="2" s="1"/>
  <c r="U70" i="7"/>
  <c r="X74" i="2" s="1"/>
  <c r="U71" i="7"/>
  <c r="U65" i="7"/>
  <c r="X69" i="2" s="1"/>
  <c r="U88" i="7"/>
  <c r="X92" i="2" s="1"/>
  <c r="U55" i="7"/>
  <c r="X59" i="2" s="1"/>
  <c r="U15" i="7"/>
  <c r="X19" i="2" s="1"/>
  <c r="U89" i="7"/>
  <c r="X93" i="2" s="1"/>
  <c r="U97" i="7"/>
  <c r="X101" i="2" s="1"/>
  <c r="U86" i="7"/>
  <c r="X90" i="2" s="1"/>
  <c r="U24" i="7"/>
  <c r="X28" i="2" s="1"/>
  <c r="U9" i="7"/>
  <c r="X13" i="2" s="1"/>
  <c r="U58" i="7"/>
  <c r="X62" i="2" s="1"/>
  <c r="U38" i="7"/>
  <c r="X42" i="2" s="1"/>
  <c r="U46" i="7"/>
  <c r="X50" i="2" s="1"/>
  <c r="U69" i="7"/>
  <c r="X73" i="2" s="1"/>
  <c r="U63" i="7"/>
  <c r="X67" i="2" s="1"/>
  <c r="U45" i="7"/>
  <c r="X49" i="2" s="1"/>
  <c r="U43" i="7"/>
  <c r="X47" i="2" s="1"/>
  <c r="U34" i="7"/>
  <c r="X38" i="2" s="1"/>
  <c r="U21" i="7"/>
  <c r="X25" i="2" s="1"/>
  <c r="U19" i="7"/>
  <c r="X23" i="2" s="1"/>
  <c r="U95" i="7"/>
  <c r="X99" i="2" s="1"/>
  <c r="U35" i="7"/>
  <c r="X39" i="2" s="1"/>
  <c r="U54" i="7"/>
  <c r="X58" i="2" s="1"/>
  <c r="U18" i="7"/>
  <c r="X22" i="2" s="1"/>
  <c r="Y69" i="6"/>
  <c r="U94" i="7"/>
  <c r="X98" i="2" s="1"/>
  <c r="U16" i="7"/>
  <c r="Y63" i="6"/>
  <c r="Y38" i="6"/>
  <c r="Z36" i="6"/>
  <c r="U60" i="7"/>
  <c r="X64" i="2" s="1"/>
  <c r="U91" i="7"/>
  <c r="Y93" i="6"/>
  <c r="Y34" i="6"/>
  <c r="Y57" i="6"/>
  <c r="Y66" i="6"/>
  <c r="Y75" i="6"/>
  <c r="Y25" i="6"/>
  <c r="Y46" i="6"/>
  <c r="Y45" i="6"/>
  <c r="Z51" i="6"/>
  <c r="Z96" i="6"/>
  <c r="Z54" i="6"/>
  <c r="Z47" i="6"/>
  <c r="Z41" i="6"/>
  <c r="Z23" i="6"/>
  <c r="Z80" i="6"/>
  <c r="Z72" i="6"/>
  <c r="Z43" i="6"/>
  <c r="Z49" i="6"/>
  <c r="Z44" i="6"/>
  <c r="Z73" i="6"/>
  <c r="Z70" i="6"/>
  <c r="Z53" i="6"/>
  <c r="Z87" i="6"/>
  <c r="Z79" i="6"/>
  <c r="Z92" i="6"/>
  <c r="A16" i="2"/>
  <c r="B15" i="2"/>
  <c r="X6" i="2"/>
  <c r="Z32" i="6"/>
  <c r="Z99" i="6"/>
  <c r="V1" i="7"/>
  <c r="Z24" i="6" l="1"/>
  <c r="Z52" i="6"/>
  <c r="Z97" i="6"/>
  <c r="Z84" i="6"/>
  <c r="Z48" i="6"/>
  <c r="Z29" i="6"/>
  <c r="Z46" i="6"/>
  <c r="Z39" i="6"/>
  <c r="Z42" i="6"/>
  <c r="Z67" i="6"/>
  <c r="Z75" i="6"/>
  <c r="Z85" i="6"/>
  <c r="Z90" i="6"/>
  <c r="Z62" i="6"/>
  <c r="Z83" i="6"/>
  <c r="Z74" i="6"/>
  <c r="Z76" i="6"/>
  <c r="Z56" i="6"/>
  <c r="Z30" i="6"/>
  <c r="Z82" i="6"/>
  <c r="Z95" i="6"/>
  <c r="Z77" i="6"/>
  <c r="Z40" i="6"/>
  <c r="Z25" i="6"/>
  <c r="Z61" i="6"/>
  <c r="X1" i="2"/>
  <c r="X5" i="2" s="1"/>
  <c r="Z64" i="6"/>
  <c r="Z66" i="6"/>
  <c r="Z31" i="6"/>
  <c r="Z86" i="6"/>
  <c r="Z93" i="6"/>
  <c r="Z34" i="6"/>
  <c r="Z78" i="6"/>
  <c r="Z57" i="6"/>
  <c r="Z38" i="6"/>
  <c r="Z37" i="6"/>
  <c r="Z88" i="6"/>
  <c r="Z58" i="6"/>
  <c r="Z59" i="6"/>
  <c r="Z50" i="6"/>
  <c r="Z81" i="6"/>
  <c r="Z65" i="6"/>
  <c r="Z33" i="6"/>
  <c r="Z35" i="6"/>
  <c r="Z45" i="6"/>
  <c r="Z68" i="6"/>
  <c r="Z63" i="6"/>
  <c r="Z69" i="6"/>
  <c r="Z89" i="6"/>
  <c r="Z60" i="6"/>
  <c r="V46" i="7"/>
  <c r="Y50" i="2" s="1"/>
  <c r="V24" i="7"/>
  <c r="Y28" i="2" s="1"/>
  <c r="V51" i="7"/>
  <c r="Y55" i="2" s="1"/>
  <c r="V69" i="7"/>
  <c r="Y73" i="2" s="1"/>
  <c r="V68" i="7"/>
  <c r="Y72" i="2" s="1"/>
  <c r="V88" i="7"/>
  <c r="Y92" i="2" s="1"/>
  <c r="V60" i="7"/>
  <c r="Y64" i="2" s="1"/>
  <c r="V83" i="7"/>
  <c r="Y87" i="2" s="1"/>
  <c r="V87" i="7"/>
  <c r="Y91" i="2" s="1"/>
  <c r="V93" i="7"/>
  <c r="Y97" i="2" s="1"/>
  <c r="V20" i="7"/>
  <c r="Y24" i="2" s="1"/>
  <c r="V12" i="7"/>
  <c r="Y16" i="2" s="1"/>
  <c r="V29" i="7"/>
  <c r="Y33" i="2" s="1"/>
  <c r="V22" i="7"/>
  <c r="Y26" i="2" s="1"/>
  <c r="V49" i="7"/>
  <c r="Y53" i="2" s="1"/>
  <c r="V34" i="7"/>
  <c r="Y38" i="2" s="1"/>
  <c r="V35" i="7"/>
  <c r="Y39" i="2" s="1"/>
  <c r="V7" i="7"/>
  <c r="Y11" i="2" s="1"/>
  <c r="V81" i="7"/>
  <c r="Y85" i="2" s="1"/>
  <c r="V90" i="7"/>
  <c r="Y94" i="2" s="1"/>
  <c r="V33" i="7"/>
  <c r="Y37" i="2" s="1"/>
  <c r="V55" i="7"/>
  <c r="Y59" i="2" s="1"/>
  <c r="V77" i="7"/>
  <c r="Y81" i="2" s="1"/>
  <c r="V26" i="7"/>
  <c r="Y30" i="2" s="1"/>
  <c r="V32" i="7"/>
  <c r="Y36" i="2" s="1"/>
  <c r="V30" i="7"/>
  <c r="Y34" i="2" s="1"/>
  <c r="V39" i="7"/>
  <c r="Y43" i="2" s="1"/>
  <c r="V36" i="7"/>
  <c r="Y40" i="2" s="1"/>
  <c r="V8" i="7"/>
  <c r="Y12" i="2" s="1"/>
  <c r="V96" i="7"/>
  <c r="Y100" i="2" s="1"/>
  <c r="V10" i="7"/>
  <c r="Y14" i="2" s="1"/>
  <c r="V6" i="7"/>
  <c r="Y10" i="2" s="1"/>
  <c r="V52" i="7"/>
  <c r="Y56" i="2" s="1"/>
  <c r="V61" i="7"/>
  <c r="Y65" i="2" s="1"/>
  <c r="V14" i="7"/>
  <c r="Y18" i="2" s="1"/>
  <c r="V74" i="7"/>
  <c r="Y78" i="2" s="1"/>
  <c r="V84" i="7"/>
  <c r="Y88" i="2" s="1"/>
  <c r="V70" i="7"/>
  <c r="Y74" i="2" s="1"/>
  <c r="V73" i="7"/>
  <c r="Y77" i="2" s="1"/>
  <c r="V75" i="7"/>
  <c r="Y79" i="2" s="1"/>
  <c r="V98" i="7"/>
  <c r="Y102" i="2" s="1"/>
  <c r="V66" i="7"/>
  <c r="Y70" i="2" s="1"/>
  <c r="V25" i="7"/>
  <c r="Y29" i="2" s="1"/>
  <c r="V15" i="7"/>
  <c r="Y19" i="2" s="1"/>
  <c r="V76" i="7"/>
  <c r="Y80" i="2" s="1"/>
  <c r="V95" i="7"/>
  <c r="Y99" i="2" s="1"/>
  <c r="V92" i="7"/>
  <c r="Y96" i="2" s="1"/>
  <c r="V80" i="7"/>
  <c r="Y84" i="2" s="1"/>
  <c r="V3" i="7"/>
  <c r="Y7" i="2" s="1"/>
  <c r="V78" i="7"/>
  <c r="Y82" i="2" s="1"/>
  <c r="V43" i="7"/>
  <c r="Y47" i="2" s="1"/>
  <c r="V18" i="7"/>
  <c r="Y22" i="2" s="1"/>
  <c r="V38" i="7"/>
  <c r="Y42" i="2" s="1"/>
  <c r="V72" i="7"/>
  <c r="Y76" i="2" s="1"/>
  <c r="V82" i="7"/>
  <c r="Y86" i="2" s="1"/>
  <c r="V94" i="7"/>
  <c r="Y98" i="2" s="1"/>
  <c r="V57" i="7"/>
  <c r="Y61" i="2" s="1"/>
  <c r="V41" i="7"/>
  <c r="Y45" i="2" s="1"/>
  <c r="V9" i="7"/>
  <c r="Y13" i="2" s="1"/>
  <c r="V67" i="7"/>
  <c r="Y71" i="2" s="1"/>
  <c r="V28" i="7"/>
  <c r="Y32" i="2" s="1"/>
  <c r="V56" i="7"/>
  <c r="Y60" i="2" s="1"/>
  <c r="V2" i="7"/>
  <c r="Y6" i="2" s="1"/>
  <c r="V50" i="7"/>
  <c r="Y54" i="2" s="1"/>
  <c r="V99" i="7"/>
  <c r="Y103" i="2" s="1"/>
  <c r="V44" i="7"/>
  <c r="Y48" i="2" s="1"/>
  <c r="V48" i="7"/>
  <c r="Y52" i="2" s="1"/>
  <c r="V21" i="7"/>
  <c r="Y25" i="2" s="1"/>
  <c r="V37" i="7"/>
  <c r="Y41" i="2" s="1"/>
  <c r="V59" i="7"/>
  <c r="Y63" i="2" s="1"/>
  <c r="V53" i="7"/>
  <c r="Y57" i="2" s="1"/>
  <c r="V62" i="7"/>
  <c r="Y66" i="2" s="1"/>
  <c r="V85" i="7"/>
  <c r="Y89" i="2" s="1"/>
  <c r="V79" i="7"/>
  <c r="Y83" i="2" s="1"/>
  <c r="V23" i="7"/>
  <c r="Y27" i="2" s="1"/>
  <c r="V71" i="7"/>
  <c r="Y75" i="2" s="1"/>
  <c r="V31" i="7"/>
  <c r="Y35" i="2" s="1"/>
  <c r="V5" i="7"/>
  <c r="Y9" i="2" s="1"/>
  <c r="V40" i="7"/>
  <c r="Y44" i="2" s="1"/>
  <c r="V89" i="7"/>
  <c r="Y93" i="2" s="1"/>
  <c r="V64" i="7"/>
  <c r="Y68" i="2" s="1"/>
  <c r="V47" i="7"/>
  <c r="Y51" i="2" s="1"/>
  <c r="V42" i="7"/>
  <c r="Y46" i="2" s="1"/>
  <c r="V19" i="7"/>
  <c r="Y23" i="2" s="1"/>
  <c r="V86" i="7"/>
  <c r="Y90" i="2" s="1"/>
  <c r="V65" i="7"/>
  <c r="Y69" i="2" s="1"/>
  <c r="V63" i="7"/>
  <c r="Y67" i="2" s="1"/>
  <c r="V54" i="7"/>
  <c r="Y58" i="2" s="1"/>
  <c r="V13" i="7"/>
  <c r="Y17" i="2" s="1"/>
  <c r="V45" i="7"/>
  <c r="Y49" i="2" s="1"/>
  <c r="V11" i="7"/>
  <c r="Y15" i="2" s="1"/>
  <c r="V4" i="7"/>
  <c r="Y8" i="2" s="1"/>
  <c r="V58" i="7"/>
  <c r="Y62" i="2" s="1"/>
  <c r="V17" i="7"/>
  <c r="Y21" i="2" s="1"/>
  <c r="V97" i="7"/>
  <c r="Y101" i="2" s="1"/>
  <c r="Z94" i="6"/>
  <c r="V91" i="7"/>
  <c r="Y95" i="2" s="1"/>
  <c r="X95" i="2"/>
  <c r="V16" i="7"/>
  <c r="Y20" i="2" s="1"/>
  <c r="X20" i="2"/>
  <c r="V27" i="7"/>
  <c r="Y31" i="2" s="1"/>
  <c r="X31" i="2"/>
  <c r="Z98" i="6"/>
  <c r="X102" i="2"/>
  <c r="Z28" i="6"/>
  <c r="X32" i="2"/>
  <c r="Z71" i="6"/>
  <c r="X75" i="2"/>
  <c r="Z26" i="6"/>
  <c r="X30" i="2"/>
  <c r="Z55" i="6"/>
  <c r="Z91" i="6"/>
  <c r="S97" i="13"/>
  <c r="AA87" i="6"/>
  <c r="AA83" i="6"/>
  <c r="AA60" i="6"/>
  <c r="AA88" i="6"/>
  <c r="AA68" i="6"/>
  <c r="AA69" i="6"/>
  <c r="AA51" i="6"/>
  <c r="AA46" i="6"/>
  <c r="AA65" i="6"/>
  <c r="AA53" i="6"/>
  <c r="AA59" i="6"/>
  <c r="AA29" i="6"/>
  <c r="AA67" i="6"/>
  <c r="AA57" i="6"/>
  <c r="AA38" i="6"/>
  <c r="AA70" i="6"/>
  <c r="AA95" i="6"/>
  <c r="AA76" i="6"/>
  <c r="AA25" i="6"/>
  <c r="AA98" i="6"/>
  <c r="AA75" i="6"/>
  <c r="AA74" i="6"/>
  <c r="AA52" i="6"/>
  <c r="AA96" i="6"/>
  <c r="AA36" i="6"/>
  <c r="AA39" i="6"/>
  <c r="AA26" i="6"/>
  <c r="AA55" i="6"/>
  <c r="AA33" i="6"/>
  <c r="AA90" i="6"/>
  <c r="AA81" i="6"/>
  <c r="AA35" i="6"/>
  <c r="AA34" i="6"/>
  <c r="AA49" i="6"/>
  <c r="AA28" i="6"/>
  <c r="AA56" i="6"/>
  <c r="AA84" i="6"/>
  <c r="A17" i="2"/>
  <c r="B16" i="2"/>
  <c r="AA32" i="6"/>
  <c r="W1" i="7"/>
  <c r="AA85" i="6" l="1"/>
  <c r="AA64" i="6"/>
  <c r="AA86" i="6"/>
  <c r="AA73" i="6"/>
  <c r="AA43" i="6"/>
  <c r="AA40" i="6"/>
  <c r="AA77" i="6"/>
  <c r="AA82" i="6"/>
  <c r="AA42" i="6"/>
  <c r="AA92" i="6"/>
  <c r="AA62" i="6"/>
  <c r="AA94" i="6"/>
  <c r="AA37" i="6"/>
  <c r="Y1" i="2"/>
  <c r="Y5" i="2" s="1"/>
  <c r="AA50" i="6"/>
  <c r="AA99" i="6"/>
  <c r="AA80" i="6"/>
  <c r="AA89" i="6"/>
  <c r="AA63" i="6"/>
  <c r="AA27" i="6"/>
  <c r="AA78" i="6"/>
  <c r="AA66" i="6"/>
  <c r="AA47" i="6"/>
  <c r="AA93" i="6"/>
  <c r="AA44" i="6"/>
  <c r="AA30" i="6"/>
  <c r="AA61" i="6"/>
  <c r="AA41" i="6"/>
  <c r="AA24" i="6"/>
  <c r="AA79" i="6"/>
  <c r="AA91" i="6"/>
  <c r="AA31" i="6"/>
  <c r="AA72" i="6"/>
  <c r="AA48" i="6"/>
  <c r="AA23" i="6"/>
  <c r="AA45" i="6"/>
  <c r="W81" i="7"/>
  <c r="Z85" i="2" s="1"/>
  <c r="W71" i="7"/>
  <c r="Z75" i="2" s="1"/>
  <c r="W22" i="7"/>
  <c r="Z26" i="2" s="1"/>
  <c r="W35" i="7"/>
  <c r="Z39" i="2" s="1"/>
  <c r="W26" i="7"/>
  <c r="Z30" i="2" s="1"/>
  <c r="W55" i="7"/>
  <c r="Z59" i="2" s="1"/>
  <c r="W29" i="7"/>
  <c r="AB29" i="6" s="1"/>
  <c r="W66" i="7"/>
  <c r="Z70" i="2" s="1"/>
  <c r="W33" i="7"/>
  <c r="Z37" i="2" s="1"/>
  <c r="W67" i="7"/>
  <c r="Z71" i="2" s="1"/>
  <c r="W16" i="7"/>
  <c r="Z20" i="2" s="1"/>
  <c r="W50" i="7"/>
  <c r="Z54" i="2" s="1"/>
  <c r="W99" i="7"/>
  <c r="Z103" i="2" s="1"/>
  <c r="W89" i="7"/>
  <c r="W74" i="7"/>
  <c r="Z78" i="2" s="1"/>
  <c r="W47" i="7"/>
  <c r="Z51" i="2" s="1"/>
  <c r="W68" i="7"/>
  <c r="Z72" i="2" s="1"/>
  <c r="W43" i="7"/>
  <c r="Z47" i="2" s="1"/>
  <c r="W13" i="7"/>
  <c r="Z17" i="2" s="1"/>
  <c r="W94" i="7"/>
  <c r="Z98" i="2" s="1"/>
  <c r="W48" i="7"/>
  <c r="Z52" i="2" s="1"/>
  <c r="W25" i="7"/>
  <c r="Z29" i="2" s="1"/>
  <c r="W39" i="7"/>
  <c r="Z43" i="2" s="1"/>
  <c r="W15" i="7"/>
  <c r="Z19" i="2" s="1"/>
  <c r="W78" i="7"/>
  <c r="Z82" i="2" s="1"/>
  <c r="W41" i="7"/>
  <c r="Z45" i="2" s="1"/>
  <c r="W38" i="7"/>
  <c r="Z42" i="2" s="1"/>
  <c r="W76" i="7"/>
  <c r="W46" i="7"/>
  <c r="Z50" i="2" s="1"/>
  <c r="W77" i="7"/>
  <c r="Z81" i="2" s="1"/>
  <c r="W65" i="7"/>
  <c r="Z69" i="2" s="1"/>
  <c r="W12" i="7"/>
  <c r="Z16" i="2" s="1"/>
  <c r="W44" i="7"/>
  <c r="Z48" i="2" s="1"/>
  <c r="W10" i="7"/>
  <c r="Z14" i="2" s="1"/>
  <c r="W34" i="7"/>
  <c r="Z38" i="2" s="1"/>
  <c r="W85" i="7"/>
  <c r="Z89" i="2" s="1"/>
  <c r="W79" i="7"/>
  <c r="Z83" i="2" s="1"/>
  <c r="W90" i="7"/>
  <c r="Z94" i="2" s="1"/>
  <c r="W53" i="7"/>
  <c r="Z57" i="2" s="1"/>
  <c r="W23" i="7"/>
  <c r="Z27" i="2" s="1"/>
  <c r="W40" i="7"/>
  <c r="Z44" i="2" s="1"/>
  <c r="W95" i="7"/>
  <c r="Z99" i="2" s="1"/>
  <c r="W6" i="7"/>
  <c r="Z10" i="2" s="1"/>
  <c r="W69" i="7"/>
  <c r="Z73" i="2" s="1"/>
  <c r="W57" i="7"/>
  <c r="Z61" i="2" s="1"/>
  <c r="W4" i="7"/>
  <c r="Z8" i="2" s="1"/>
  <c r="W32" i="7"/>
  <c r="Z36" i="2" s="1"/>
  <c r="W20" i="7"/>
  <c r="Z24" i="2" s="1"/>
  <c r="W64" i="7"/>
  <c r="Z68" i="2" s="1"/>
  <c r="W93" i="7"/>
  <c r="AB93" i="6" s="1"/>
  <c r="W80" i="7"/>
  <c r="Z84" i="2" s="1"/>
  <c r="W18" i="7"/>
  <c r="Z22" i="2" s="1"/>
  <c r="W96" i="7"/>
  <c r="Z100" i="2" s="1"/>
  <c r="W36" i="7"/>
  <c r="Z40" i="2" s="1"/>
  <c r="W52" i="7"/>
  <c r="Z56" i="2" s="1"/>
  <c r="W3" i="7"/>
  <c r="Z7" i="2" s="1"/>
  <c r="W82" i="7"/>
  <c r="Z86" i="2" s="1"/>
  <c r="W63" i="7"/>
  <c r="Z67" i="2" s="1"/>
  <c r="W92" i="7"/>
  <c r="AB92" i="6" s="1"/>
  <c r="W61" i="7"/>
  <c r="Z65" i="2" s="1"/>
  <c r="W60" i="7"/>
  <c r="Z64" i="2" s="1"/>
  <c r="W62" i="7"/>
  <c r="Z66" i="2" s="1"/>
  <c r="W28" i="7"/>
  <c r="Z32" i="2" s="1"/>
  <c r="W84" i="7"/>
  <c r="Z88" i="2" s="1"/>
  <c r="W97" i="7"/>
  <c r="Z101" i="2" s="1"/>
  <c r="W30" i="7"/>
  <c r="Z34" i="2" s="1"/>
  <c r="W98" i="7"/>
  <c r="Z102" i="2" s="1"/>
  <c r="W87" i="7"/>
  <c r="Z91" i="2" s="1"/>
  <c r="W8" i="7"/>
  <c r="Z12" i="2" s="1"/>
  <c r="W37" i="7"/>
  <c r="Z41" i="2" s="1"/>
  <c r="W24" i="7"/>
  <c r="Z28" i="2" s="1"/>
  <c r="W91" i="7"/>
  <c r="Z95" i="2" s="1"/>
  <c r="W45" i="7"/>
  <c r="Z49" i="2" s="1"/>
  <c r="W70" i="7"/>
  <c r="AB70" i="6" s="1"/>
  <c r="W14" i="7"/>
  <c r="Z18" i="2" s="1"/>
  <c r="W83" i="7"/>
  <c r="AB83" i="6" s="1"/>
  <c r="W11" i="7"/>
  <c r="Z15" i="2" s="1"/>
  <c r="W59" i="7"/>
  <c r="Z63" i="2" s="1"/>
  <c r="W31" i="7"/>
  <c r="Z35" i="2" s="1"/>
  <c r="W7" i="7"/>
  <c r="Z11" i="2" s="1"/>
  <c r="W54" i="7"/>
  <c r="Z58" i="2" s="1"/>
  <c r="W72" i="7"/>
  <c r="Z76" i="2" s="1"/>
  <c r="W86" i="7"/>
  <c r="Z90" i="2" s="1"/>
  <c r="W9" i="7"/>
  <c r="Z13" i="2" s="1"/>
  <c r="W73" i="7"/>
  <c r="Z77" i="2" s="1"/>
  <c r="W5" i="7"/>
  <c r="Z9" i="2" s="1"/>
  <c r="W27" i="7"/>
  <c r="Z31" i="2" s="1"/>
  <c r="W19" i="7"/>
  <c r="Z23" i="2" s="1"/>
  <c r="W21" i="7"/>
  <c r="Z25" i="2" s="1"/>
  <c r="W88" i="7"/>
  <c r="Z92" i="2" s="1"/>
  <c r="W51" i="7"/>
  <c r="Z55" i="2" s="1"/>
  <c r="W17" i="7"/>
  <c r="Z21" i="2" s="1"/>
  <c r="W75" i="7"/>
  <c r="AB75" i="6" s="1"/>
  <c r="W49" i="7"/>
  <c r="Z53" i="2" s="1"/>
  <c r="W42" i="7"/>
  <c r="Z46" i="2" s="1"/>
  <c r="W2" i="7"/>
  <c r="Z6" i="2" s="1"/>
  <c r="W56" i="7"/>
  <c r="Z60" i="2" s="1"/>
  <c r="W58" i="7"/>
  <c r="Z62" i="2" s="1"/>
  <c r="AA58" i="6"/>
  <c r="AA97" i="6"/>
  <c r="AA71" i="6"/>
  <c r="AA54" i="6"/>
  <c r="Z1" i="2"/>
  <c r="Z5" i="2" s="1"/>
  <c r="Z87" i="2"/>
  <c r="AB46" i="6"/>
  <c r="AB76" i="6"/>
  <c r="Z80" i="2"/>
  <c r="G18" i="6"/>
  <c r="S179" i="13"/>
  <c r="AB61" i="6"/>
  <c r="AB55" i="6"/>
  <c r="S240" i="13"/>
  <c r="AB25" i="6"/>
  <c r="AB69" i="6"/>
  <c r="AB37" i="6"/>
  <c r="AB24" i="6"/>
  <c r="AB87" i="6"/>
  <c r="AB82" i="6"/>
  <c r="AB36" i="6"/>
  <c r="AB23" i="6"/>
  <c r="AB90" i="6"/>
  <c r="AB79" i="6"/>
  <c r="AB85" i="6"/>
  <c r="AB65" i="6"/>
  <c r="AB77" i="6"/>
  <c r="AB94" i="6"/>
  <c r="AB43" i="6"/>
  <c r="AB74" i="6"/>
  <c r="AB26" i="6"/>
  <c r="AB35" i="6"/>
  <c r="AB59" i="6"/>
  <c r="AB67" i="6"/>
  <c r="AB62" i="6"/>
  <c r="AB57" i="6"/>
  <c r="A18" i="2"/>
  <c r="B17" i="2"/>
  <c r="AB32" i="6"/>
  <c r="AB50" i="6"/>
  <c r="AB99" i="6"/>
  <c r="AB78" i="6"/>
  <c r="X1" i="7"/>
  <c r="AB98" i="6" l="1"/>
  <c r="AB86" i="6"/>
  <c r="AB38" i="6"/>
  <c r="AB52" i="6"/>
  <c r="AB39" i="6"/>
  <c r="AB34" i="6"/>
  <c r="AB53" i="6"/>
  <c r="Z33" i="2"/>
  <c r="AB80" i="6"/>
  <c r="AB49" i="6"/>
  <c r="Z97" i="2"/>
  <c r="Z74" i="2"/>
  <c r="AB30" i="6"/>
  <c r="AB28" i="6"/>
  <c r="AB51" i="6"/>
  <c r="AB96" i="6"/>
  <c r="AB71" i="6"/>
  <c r="AB88" i="6"/>
  <c r="AB27" i="6"/>
  <c r="AB42" i="6"/>
  <c r="AB31" i="6"/>
  <c r="AA1" i="2"/>
  <c r="AB58" i="6"/>
  <c r="X47" i="7"/>
  <c r="AA51" i="2" s="1"/>
  <c r="X70" i="7"/>
  <c r="AA74" i="2" s="1"/>
  <c r="X89" i="7"/>
  <c r="X61" i="7"/>
  <c r="AA65" i="2" s="1"/>
  <c r="X87" i="7"/>
  <c r="AA91" i="2" s="1"/>
  <c r="X92" i="7"/>
  <c r="AA96" i="2" s="1"/>
  <c r="X65" i="7"/>
  <c r="AA69" i="2" s="1"/>
  <c r="X85" i="7"/>
  <c r="AA89" i="2" s="1"/>
  <c r="X11" i="7"/>
  <c r="AA15" i="2" s="1"/>
  <c r="X84" i="7"/>
  <c r="AA88" i="2" s="1"/>
  <c r="X95" i="7"/>
  <c r="AA99" i="2" s="1"/>
  <c r="X59" i="7"/>
  <c r="AA63" i="2" s="1"/>
  <c r="X36" i="7"/>
  <c r="AA40" i="2" s="1"/>
  <c r="X41" i="7"/>
  <c r="AA45" i="2" s="1"/>
  <c r="X81" i="7"/>
  <c r="AA85" i="2" s="1"/>
  <c r="X18" i="7"/>
  <c r="AA22" i="2" s="1"/>
  <c r="X49" i="7"/>
  <c r="AA53" i="2" s="1"/>
  <c r="X13" i="7"/>
  <c r="AA17" i="2" s="1"/>
  <c r="X32" i="7"/>
  <c r="AA36" i="2" s="1"/>
  <c r="X50" i="7"/>
  <c r="AA54" i="2" s="1"/>
  <c r="X90" i="7"/>
  <c r="AA94" i="2" s="1"/>
  <c r="X25" i="7"/>
  <c r="AA29" i="2" s="1"/>
  <c r="X52" i="7"/>
  <c r="AA56" i="2" s="1"/>
  <c r="X79" i="7"/>
  <c r="AA83" i="2" s="1"/>
  <c r="X48" i="7"/>
  <c r="AA52" i="2" s="1"/>
  <c r="X31" i="7"/>
  <c r="AA35" i="2" s="1"/>
  <c r="X8" i="7"/>
  <c r="AA12" i="2" s="1"/>
  <c r="X38" i="7"/>
  <c r="AA42" i="2" s="1"/>
  <c r="X55" i="7"/>
  <c r="AA59" i="2" s="1"/>
  <c r="X86" i="7"/>
  <c r="AA90" i="2" s="1"/>
  <c r="X37" i="7"/>
  <c r="AA41" i="2" s="1"/>
  <c r="X93" i="7"/>
  <c r="AA97" i="2" s="1"/>
  <c r="X94" i="7"/>
  <c r="AA98" i="2" s="1"/>
  <c r="X62" i="7"/>
  <c r="AA66" i="2" s="1"/>
  <c r="X56" i="7"/>
  <c r="AA60" i="2" s="1"/>
  <c r="X43" i="7"/>
  <c r="AA47" i="2" s="1"/>
  <c r="X75" i="7"/>
  <c r="AA79" i="2" s="1"/>
  <c r="X16" i="7"/>
  <c r="AA20" i="2" s="1"/>
  <c r="X71" i="7"/>
  <c r="AA75" i="2" s="1"/>
  <c r="X19" i="7"/>
  <c r="AA23" i="2" s="1"/>
  <c r="X34" i="7"/>
  <c r="AA38" i="2" s="1"/>
  <c r="X7" i="7"/>
  <c r="AA11" i="2" s="1"/>
  <c r="X74" i="7"/>
  <c r="AA78" i="2" s="1"/>
  <c r="X10" i="7"/>
  <c r="AA14" i="2" s="1"/>
  <c r="X91" i="7"/>
  <c r="AA95" i="2" s="1"/>
  <c r="X22" i="7"/>
  <c r="AA26" i="2" s="1"/>
  <c r="X20" i="7"/>
  <c r="AA24" i="2" s="1"/>
  <c r="X76" i="7"/>
  <c r="AA80" i="2" s="1"/>
  <c r="X3" i="7"/>
  <c r="AA7" i="2" s="1"/>
  <c r="X57" i="7"/>
  <c r="AA61" i="2" s="1"/>
  <c r="X96" i="7"/>
  <c r="AA100" i="2" s="1"/>
  <c r="X51" i="7"/>
  <c r="AA55" i="2" s="1"/>
  <c r="X98" i="7"/>
  <c r="AA102" i="2" s="1"/>
  <c r="X12" i="7"/>
  <c r="AA16" i="2" s="1"/>
  <c r="X26" i="7"/>
  <c r="AA30" i="2" s="1"/>
  <c r="X77" i="7"/>
  <c r="AA81" i="2" s="1"/>
  <c r="X72" i="7"/>
  <c r="AA76" i="2" s="1"/>
  <c r="X53" i="7"/>
  <c r="AA57" i="2" s="1"/>
  <c r="X88" i="7"/>
  <c r="AA92" i="2" s="1"/>
  <c r="X39" i="7"/>
  <c r="AA43" i="2" s="1"/>
  <c r="X9" i="7"/>
  <c r="AA13" i="2" s="1"/>
  <c r="X42" i="7"/>
  <c r="AA46" i="2" s="1"/>
  <c r="X28" i="7"/>
  <c r="AA32" i="2" s="1"/>
  <c r="X4" i="7"/>
  <c r="AA8" i="2" s="1"/>
  <c r="X2" i="7"/>
  <c r="AA6" i="2" s="1"/>
  <c r="X99" i="7"/>
  <c r="AA103" i="2" s="1"/>
  <c r="X69" i="7"/>
  <c r="AA73" i="2" s="1"/>
  <c r="X80" i="7"/>
  <c r="AA84" i="2" s="1"/>
  <c r="X35" i="7"/>
  <c r="AA39" i="2" s="1"/>
  <c r="X63" i="7"/>
  <c r="AA67" i="2" s="1"/>
  <c r="X29" i="7"/>
  <c r="AA33" i="2" s="1"/>
  <c r="X6" i="7"/>
  <c r="AA10" i="2" s="1"/>
  <c r="X27" i="7"/>
  <c r="AA31" i="2" s="1"/>
  <c r="X24" i="7"/>
  <c r="AA28" i="2" s="1"/>
  <c r="X15" i="7"/>
  <c r="AA19" i="2" s="1"/>
  <c r="X58" i="7"/>
  <c r="AA62" i="2" s="1"/>
  <c r="X30" i="7"/>
  <c r="AA34" i="2" s="1"/>
  <c r="X46" i="7"/>
  <c r="AA50" i="2" s="1"/>
  <c r="X67" i="7"/>
  <c r="AA71" i="2" s="1"/>
  <c r="X60" i="7"/>
  <c r="AA64" i="2" s="1"/>
  <c r="X66" i="7"/>
  <c r="AA70" i="2" s="1"/>
  <c r="X83" i="7"/>
  <c r="AA87" i="2" s="1"/>
  <c r="X23" i="7"/>
  <c r="AA27" i="2" s="1"/>
  <c r="AB66" i="6"/>
  <c r="X45" i="7"/>
  <c r="AA49" i="2" s="1"/>
  <c r="AB91" i="6"/>
  <c r="AB47" i="6"/>
  <c r="AB63" i="6"/>
  <c r="AB72" i="6"/>
  <c r="AB95" i="6"/>
  <c r="AB84" i="6"/>
  <c r="AB41" i="6"/>
  <c r="AB56" i="6"/>
  <c r="AB68" i="6"/>
  <c r="X54" i="7"/>
  <c r="AA58" i="2" s="1"/>
  <c r="X44" i="7"/>
  <c r="AA48" i="2" s="1"/>
  <c r="AB44" i="6"/>
  <c r="X40" i="7"/>
  <c r="AA44" i="2" s="1"/>
  <c r="AB45" i="6"/>
  <c r="X97" i="7"/>
  <c r="AA101" i="2" s="1"/>
  <c r="X21" i="7"/>
  <c r="AA25" i="2" s="1"/>
  <c r="AB97" i="6"/>
  <c r="AB54" i="6"/>
  <c r="X82" i="7"/>
  <c r="AA86" i="2" s="1"/>
  <c r="X68" i="7"/>
  <c r="AA72" i="2" s="1"/>
  <c r="AB33" i="6"/>
  <c r="Z79" i="2"/>
  <c r="X78" i="7"/>
  <c r="AA82" i="2" s="1"/>
  <c r="X64" i="7"/>
  <c r="AA68" i="2" s="1"/>
  <c r="AB64" i="6"/>
  <c r="AB81" i="6"/>
  <c r="X33" i="7"/>
  <c r="AA37" i="2" s="1"/>
  <c r="AB40" i="6"/>
  <c r="X14" i="7"/>
  <c r="AA18" i="2" s="1"/>
  <c r="X5" i="7"/>
  <c r="AA9" i="2" s="1"/>
  <c r="X73" i="7"/>
  <c r="AA77" i="2" s="1"/>
  <c r="AB60" i="6"/>
  <c r="X17" i="7"/>
  <c r="AA21" i="2" s="1"/>
  <c r="AB73" i="6"/>
  <c r="AA5" i="2"/>
  <c r="Z96" i="2"/>
  <c r="AB48" i="6"/>
  <c r="Z93" i="2"/>
  <c r="AB89" i="6"/>
  <c r="AC89" i="6"/>
  <c r="AA93" i="2"/>
  <c r="AC85" i="6"/>
  <c r="AC65" i="6"/>
  <c r="AC51" i="6"/>
  <c r="AC63" i="6"/>
  <c r="AC59" i="6"/>
  <c r="AC52" i="6"/>
  <c r="AC53" i="6"/>
  <c r="AC38" i="6"/>
  <c r="AC70" i="6"/>
  <c r="AC43" i="6"/>
  <c r="AC79" i="6"/>
  <c r="AC88" i="6"/>
  <c r="AC74" i="6"/>
  <c r="AC41" i="6"/>
  <c r="AC96" i="6"/>
  <c r="AC61" i="6"/>
  <c r="AC91" i="6"/>
  <c r="AC86" i="6"/>
  <c r="AC71" i="6"/>
  <c r="AC93" i="6"/>
  <c r="AC37" i="6"/>
  <c r="AC81" i="6"/>
  <c r="AC83" i="6"/>
  <c r="AC31" i="6"/>
  <c r="AC76" i="6"/>
  <c r="AC46" i="6"/>
  <c r="AC25" i="6"/>
  <c r="AC95" i="6"/>
  <c r="AC92" i="6"/>
  <c r="AC40" i="6"/>
  <c r="AC77" i="6"/>
  <c r="AC98" i="6"/>
  <c r="AC57" i="6"/>
  <c r="AC62" i="6"/>
  <c r="AC97" i="6"/>
  <c r="AC28" i="6"/>
  <c r="AC56" i="6"/>
  <c r="AC84" i="6"/>
  <c r="A19" i="2"/>
  <c r="B18" i="2"/>
  <c r="AC32" i="6"/>
  <c r="AC50" i="6"/>
  <c r="AC99" i="6"/>
  <c r="Y1" i="7"/>
  <c r="AC39" i="6" l="1"/>
  <c r="AC58" i="6"/>
  <c r="AC60" i="6"/>
  <c r="AC44" i="6"/>
  <c r="AC35" i="6"/>
  <c r="AC90" i="6"/>
  <c r="AC75" i="6"/>
  <c r="AC68" i="6"/>
  <c r="AC55" i="6"/>
  <c r="AC49" i="6"/>
  <c r="AC36" i="6"/>
  <c r="AC87" i="6"/>
  <c r="AC64" i="6"/>
  <c r="AC33" i="6"/>
  <c r="AC78" i="6"/>
  <c r="AB1" i="2"/>
  <c r="AB5" i="2" s="1"/>
  <c r="Y83" i="7"/>
  <c r="AB87" i="2" s="1"/>
  <c r="Y14" i="7"/>
  <c r="AB18" i="2" s="1"/>
  <c r="Y87" i="7"/>
  <c r="AB91" i="2" s="1"/>
  <c r="Y38" i="7"/>
  <c r="AB42" i="2" s="1"/>
  <c r="Y23" i="7"/>
  <c r="AB27" i="2" s="1"/>
  <c r="Y18" i="7"/>
  <c r="AB22" i="2" s="1"/>
  <c r="Y89" i="7"/>
  <c r="AB93" i="2" s="1"/>
  <c r="Y93" i="7"/>
  <c r="AB97" i="2" s="1"/>
  <c r="Y97" i="7"/>
  <c r="AB101" i="2" s="1"/>
  <c r="Y58" i="7"/>
  <c r="AB62" i="2" s="1"/>
  <c r="Y30" i="7"/>
  <c r="AB34" i="2" s="1"/>
  <c r="Y32" i="7"/>
  <c r="AB36" i="2" s="1"/>
  <c r="Y95" i="7"/>
  <c r="AB99" i="2" s="1"/>
  <c r="Y8" i="7"/>
  <c r="AB12" i="2" s="1"/>
  <c r="Y80" i="7"/>
  <c r="AB84" i="2" s="1"/>
  <c r="Y69" i="7"/>
  <c r="AB73" i="2" s="1"/>
  <c r="Y74" i="7"/>
  <c r="AB78" i="2" s="1"/>
  <c r="Y52" i="7"/>
  <c r="AB56" i="2" s="1"/>
  <c r="Y77" i="7"/>
  <c r="AB81" i="2" s="1"/>
  <c r="Y62" i="7"/>
  <c r="AB66" i="2" s="1"/>
  <c r="Y56" i="7"/>
  <c r="AB60" i="2" s="1"/>
  <c r="Y99" i="7"/>
  <c r="AB103" i="2" s="1"/>
  <c r="Y59" i="7"/>
  <c r="AB63" i="2" s="1"/>
  <c r="Y51" i="7"/>
  <c r="AB55" i="2" s="1"/>
  <c r="Y88" i="7"/>
  <c r="AB92" i="2" s="1"/>
  <c r="Y64" i="7"/>
  <c r="AB68" i="2" s="1"/>
  <c r="Y90" i="7"/>
  <c r="AB94" i="2" s="1"/>
  <c r="Y21" i="7"/>
  <c r="AB25" i="2" s="1"/>
  <c r="Y36" i="7"/>
  <c r="AB40" i="2" s="1"/>
  <c r="Y75" i="7"/>
  <c r="AB79" i="2" s="1"/>
  <c r="Y53" i="7"/>
  <c r="AB57" i="2" s="1"/>
  <c r="Y44" i="7"/>
  <c r="AB48" i="2" s="1"/>
  <c r="Y40" i="7"/>
  <c r="AB44" i="2" s="1"/>
  <c r="Y22" i="7"/>
  <c r="Y42" i="7"/>
  <c r="AB46" i="2" s="1"/>
  <c r="Y25" i="7"/>
  <c r="AB29" i="2" s="1"/>
  <c r="Y24" i="7"/>
  <c r="AB28" i="2" s="1"/>
  <c r="Y31" i="7"/>
  <c r="AB35" i="2" s="1"/>
  <c r="Y92" i="7"/>
  <c r="AB96" i="2" s="1"/>
  <c r="Y46" i="7"/>
  <c r="AB50" i="2" s="1"/>
  <c r="Y91" i="7"/>
  <c r="AB95" i="2" s="1"/>
  <c r="Y67" i="7"/>
  <c r="AB71" i="2" s="1"/>
  <c r="Y76" i="7"/>
  <c r="AB80" i="2" s="1"/>
  <c r="Y68" i="7"/>
  <c r="AB72" i="2" s="1"/>
  <c r="Y61" i="7"/>
  <c r="AB65" i="2" s="1"/>
  <c r="Y12" i="7"/>
  <c r="AB16" i="2" s="1"/>
  <c r="Y98" i="7"/>
  <c r="AB102" i="2" s="1"/>
  <c r="Y15" i="7"/>
  <c r="AB19" i="2" s="1"/>
  <c r="Y34" i="7"/>
  <c r="AB38" i="2" s="1"/>
  <c r="Y79" i="7"/>
  <c r="AB83" i="2" s="1"/>
  <c r="Y50" i="7"/>
  <c r="AB54" i="2" s="1"/>
  <c r="Y85" i="7"/>
  <c r="AB89" i="2" s="1"/>
  <c r="Y28" i="7"/>
  <c r="AB32" i="2" s="1"/>
  <c r="Y39" i="7"/>
  <c r="AB43" i="2" s="1"/>
  <c r="Y81" i="7"/>
  <c r="AB85" i="2" s="1"/>
  <c r="Y54" i="7"/>
  <c r="AB58" i="2" s="1"/>
  <c r="Y4" i="7"/>
  <c r="AB8" i="2" s="1"/>
  <c r="Y16" i="7"/>
  <c r="AB20" i="2" s="1"/>
  <c r="Y55" i="7"/>
  <c r="AB59" i="2" s="1"/>
  <c r="Y66" i="7"/>
  <c r="AB70" i="2" s="1"/>
  <c r="Y45" i="7"/>
  <c r="AB49" i="2" s="1"/>
  <c r="Y86" i="7"/>
  <c r="AB90" i="2" s="1"/>
  <c r="Y20" i="7"/>
  <c r="AB24" i="2" s="1"/>
  <c r="Y43" i="7"/>
  <c r="AB47" i="2" s="1"/>
  <c r="Y5" i="7"/>
  <c r="AB9" i="2" s="1"/>
  <c r="Y78" i="7"/>
  <c r="AB82" i="2" s="1"/>
  <c r="Y19" i="7"/>
  <c r="AB23" i="2" s="1"/>
  <c r="Y41" i="7"/>
  <c r="AB45" i="2" s="1"/>
  <c r="Y13" i="7"/>
  <c r="AB17" i="2" s="1"/>
  <c r="Y6" i="7"/>
  <c r="AB10" i="2" s="1"/>
  <c r="Y7" i="7"/>
  <c r="AB11" i="2" s="1"/>
  <c r="Y10" i="7"/>
  <c r="AB14" i="2" s="1"/>
  <c r="Y9" i="7"/>
  <c r="AB13" i="2" s="1"/>
  <c r="Y57" i="7"/>
  <c r="AB61" i="2" s="1"/>
  <c r="Y70" i="7"/>
  <c r="AB74" i="2" s="1"/>
  <c r="Y35" i="7"/>
  <c r="AB39" i="2" s="1"/>
  <c r="Y96" i="7"/>
  <c r="AB100" i="2" s="1"/>
  <c r="Y63" i="7"/>
  <c r="AB67" i="2" s="1"/>
  <c r="Y73" i="7"/>
  <c r="AB77" i="2" s="1"/>
  <c r="Y65" i="7"/>
  <c r="AB69" i="2" s="1"/>
  <c r="Y60" i="7"/>
  <c r="AB64" i="2" s="1"/>
  <c r="Y37" i="7"/>
  <c r="AB41" i="2" s="1"/>
  <c r="Y84" i="7"/>
  <c r="AB88" i="2" s="1"/>
  <c r="AC73" i="6"/>
  <c r="AC30" i="6"/>
  <c r="AC45" i="6"/>
  <c r="AC80" i="6"/>
  <c r="AC67" i="6"/>
  <c r="AC24" i="6"/>
  <c r="AC42" i="6"/>
  <c r="AC54" i="6"/>
  <c r="AC26" i="6"/>
  <c r="AC69" i="6"/>
  <c r="AC23" i="6"/>
  <c r="Y26" i="7"/>
  <c r="AB30" i="2" s="1"/>
  <c r="Y29" i="7"/>
  <c r="AB33" i="2" s="1"/>
  <c r="AC29" i="6"/>
  <c r="Y71" i="7"/>
  <c r="AB75" i="2" s="1"/>
  <c r="AC72" i="6"/>
  <c r="Y3" i="7"/>
  <c r="AB7" i="2" s="1"/>
  <c r="AC48" i="6"/>
  <c r="AC27" i="6"/>
  <c r="Y2" i="7"/>
  <c r="AB6" i="2" s="1"/>
  <c r="AC82" i="6"/>
  <c r="AC34" i="6"/>
  <c r="Y72" i="7"/>
  <c r="AB76" i="2" s="1"/>
  <c r="Y27" i="7"/>
  <c r="AB31" i="2" s="1"/>
  <c r="Y33" i="7"/>
  <c r="AB37" i="2" s="1"/>
  <c r="AC94" i="6"/>
  <c r="Y11" i="7"/>
  <c r="AB15" i="2" s="1"/>
  <c r="AC47" i="6"/>
  <c r="Y47" i="7"/>
  <c r="AB51" i="2" s="1"/>
  <c r="Y48" i="7"/>
  <c r="AB52" i="2" s="1"/>
  <c r="AC66" i="6"/>
  <c r="Y82" i="7"/>
  <c r="AB86" i="2" s="1"/>
  <c r="Y94" i="7"/>
  <c r="AB98" i="2" s="1"/>
  <c r="Y49" i="7"/>
  <c r="AB53" i="2" s="1"/>
  <c r="Y17" i="7"/>
  <c r="AB21" i="2" s="1"/>
  <c r="K19" i="6"/>
  <c r="O19" i="6"/>
  <c r="P19" i="6"/>
  <c r="L19" i="6"/>
  <c r="Y19" i="6"/>
  <c r="AB19" i="6"/>
  <c r="V19" i="6"/>
  <c r="X19" i="6"/>
  <c r="AC19" i="6"/>
  <c r="Q19" i="6"/>
  <c r="S19" i="6"/>
  <c r="G19" i="6"/>
  <c r="W19" i="6"/>
  <c r="R19" i="6"/>
  <c r="J19" i="6"/>
  <c r="AA19" i="6"/>
  <c r="M19" i="6"/>
  <c r="Z19" i="6"/>
  <c r="I19" i="6"/>
  <c r="H19" i="6"/>
  <c r="T19" i="6"/>
  <c r="U19" i="6"/>
  <c r="N19" i="6"/>
  <c r="S248" i="13"/>
  <c r="T58" i="13"/>
  <c r="AB26" i="2"/>
  <c r="AD31" i="6"/>
  <c r="AD87" i="6"/>
  <c r="AD70" i="6"/>
  <c r="AD88" i="6"/>
  <c r="AD75" i="6"/>
  <c r="AD55" i="6"/>
  <c r="AD52" i="6"/>
  <c r="AD92" i="6"/>
  <c r="AD59" i="6"/>
  <c r="AD61" i="6"/>
  <c r="AD53" i="6"/>
  <c r="AD63" i="6"/>
  <c r="AD69" i="6"/>
  <c r="AD79" i="6"/>
  <c r="AD23" i="6"/>
  <c r="AD39" i="6"/>
  <c r="AD95" i="6"/>
  <c r="AD77" i="6"/>
  <c r="AD44" i="6"/>
  <c r="AD74" i="6"/>
  <c r="AD76" i="6"/>
  <c r="AD25" i="6"/>
  <c r="AD40" i="6"/>
  <c r="AD71" i="6"/>
  <c r="AD26" i="6"/>
  <c r="AD68" i="6"/>
  <c r="AD24" i="6"/>
  <c r="AD90" i="6"/>
  <c r="AD91" i="6"/>
  <c r="AD89" i="6"/>
  <c r="AD45" i="6"/>
  <c r="AD36" i="6"/>
  <c r="AD83" i="6"/>
  <c r="AD98" i="6"/>
  <c r="AD97" i="6"/>
  <c r="AD42" i="6"/>
  <c r="AD62" i="6"/>
  <c r="AD67" i="6"/>
  <c r="AD57" i="6"/>
  <c r="AD28" i="6"/>
  <c r="AD84" i="6"/>
  <c r="AD56" i="6"/>
  <c r="AD80" i="6"/>
  <c r="A20" i="2"/>
  <c r="B19" i="2"/>
  <c r="AD64" i="6"/>
  <c r="AD58" i="6"/>
  <c r="AD50" i="6"/>
  <c r="AD30" i="6"/>
  <c r="AD99" i="6"/>
  <c r="AD78" i="6"/>
  <c r="Z1" i="7"/>
  <c r="AD94" i="6" l="1"/>
  <c r="AD73" i="6"/>
  <c r="AD81" i="6"/>
  <c r="AD46" i="6"/>
  <c r="AD32" i="6"/>
  <c r="AD38" i="6"/>
  <c r="AD41" i="6"/>
  <c r="AD93" i="6"/>
  <c r="AD51" i="6"/>
  <c r="AD54" i="6"/>
  <c r="AD35" i="6"/>
  <c r="AD49" i="6"/>
  <c r="AD37" i="6"/>
  <c r="AD43" i="6"/>
  <c r="AD86" i="6"/>
  <c r="AD19" i="6"/>
  <c r="AD29" i="6"/>
  <c r="AD72" i="6"/>
  <c r="AD60" i="6"/>
  <c r="AD66" i="6"/>
  <c r="AD65" i="6"/>
  <c r="AD34" i="6"/>
  <c r="AD85" i="6"/>
  <c r="AD96" i="6"/>
  <c r="AD33" i="6"/>
  <c r="AD47" i="6"/>
  <c r="AD27" i="6"/>
  <c r="AD82" i="6"/>
  <c r="AD48" i="6"/>
  <c r="AC1" i="2"/>
  <c r="AC5" i="2" s="1"/>
  <c r="Z36" i="7"/>
  <c r="AC40" i="2" s="1"/>
  <c r="Z3" i="7"/>
  <c r="AC7" i="2" s="1"/>
  <c r="Z59" i="7"/>
  <c r="AC63" i="2" s="1"/>
  <c r="Z25" i="7"/>
  <c r="AC29" i="2" s="1"/>
  <c r="Z17" i="7"/>
  <c r="Z43" i="7"/>
  <c r="AC47" i="2" s="1"/>
  <c r="Z39" i="7"/>
  <c r="AC43" i="2" s="1"/>
  <c r="Z51" i="7"/>
  <c r="AC55" i="2" s="1"/>
  <c r="Z94" i="7"/>
  <c r="AC98" i="2" s="1"/>
  <c r="Z54" i="7"/>
  <c r="Z68" i="7"/>
  <c r="AC72" i="2" s="1"/>
  <c r="Z34" i="7"/>
  <c r="AC38" i="2" s="1"/>
  <c r="Z19" i="7"/>
  <c r="AC23" i="2" s="1"/>
  <c r="Z52" i="7"/>
  <c r="AC56" i="2" s="1"/>
  <c r="Z65" i="7"/>
  <c r="AC69" i="2" s="1"/>
  <c r="Z53" i="7"/>
  <c r="AC57" i="2" s="1"/>
  <c r="Z48" i="7"/>
  <c r="AC52" i="2" s="1"/>
  <c r="Z81" i="7"/>
  <c r="AC85" i="2" s="1"/>
  <c r="Z85" i="7"/>
  <c r="AC89" i="2" s="1"/>
  <c r="Z24" i="7"/>
  <c r="AC28" i="2" s="1"/>
  <c r="Z76" i="7"/>
  <c r="AC80" i="2" s="1"/>
  <c r="Z5" i="7"/>
  <c r="AC9" i="2" s="1"/>
  <c r="Z75" i="7"/>
  <c r="AC79" i="2" s="1"/>
  <c r="Z27" i="7"/>
  <c r="AC31" i="2" s="1"/>
  <c r="Z46" i="7"/>
  <c r="AC50" i="2" s="1"/>
  <c r="Z41" i="7"/>
  <c r="AC45" i="2" s="1"/>
  <c r="Z38" i="7"/>
  <c r="AC42" i="2" s="1"/>
  <c r="Z74" i="7"/>
  <c r="Z29" i="7"/>
  <c r="Z92" i="7"/>
  <c r="AC96" i="2" s="1"/>
  <c r="Z40" i="7"/>
  <c r="AC44" i="2" s="1"/>
  <c r="Z71" i="7"/>
  <c r="AC75" i="2" s="1"/>
  <c r="Z13" i="7"/>
  <c r="AC17" i="2" s="1"/>
  <c r="Z79" i="7"/>
  <c r="AC83" i="2" s="1"/>
  <c r="Z26" i="7"/>
  <c r="AC30" i="2" s="1"/>
  <c r="Z83" i="7"/>
  <c r="AC87" i="2" s="1"/>
  <c r="Z87" i="7"/>
  <c r="Z96" i="7"/>
  <c r="AC100" i="2" s="1"/>
  <c r="Z45" i="7"/>
  <c r="AC49" i="2" s="1"/>
  <c r="Z88" i="7"/>
  <c r="AC92" i="2" s="1"/>
  <c r="Z91" i="7"/>
  <c r="AC95" i="2" s="1"/>
  <c r="Z21" i="7"/>
  <c r="AC25" i="2" s="1"/>
  <c r="Z72" i="7"/>
  <c r="Z10" i="7"/>
  <c r="AC14" i="2" s="1"/>
  <c r="Z33" i="7"/>
  <c r="AC37" i="2" s="1"/>
  <c r="Z35" i="7"/>
  <c r="AC39" i="2" s="1"/>
  <c r="Z82" i="7"/>
  <c r="Z61" i="7"/>
  <c r="AC65" i="2" s="1"/>
  <c r="Z8" i="7"/>
  <c r="AC12" i="2" s="1"/>
  <c r="Z97" i="7"/>
  <c r="AC101" i="2" s="1"/>
  <c r="Z15" i="7"/>
  <c r="AC19" i="2" s="1"/>
  <c r="Z67" i="7"/>
  <c r="AC71" i="2" s="1"/>
  <c r="Z84" i="7"/>
  <c r="AC88" i="2" s="1"/>
  <c r="Z56" i="7"/>
  <c r="AC60" i="2" s="1"/>
  <c r="Z16" i="7"/>
  <c r="AC20" i="2" s="1"/>
  <c r="Z80" i="7"/>
  <c r="AC84" i="2" s="1"/>
  <c r="Z64" i="7"/>
  <c r="AC68" i="2" s="1"/>
  <c r="Z32" i="7"/>
  <c r="AC36" i="2" s="1"/>
  <c r="Z2" i="7"/>
  <c r="AC6" i="2" s="1"/>
  <c r="Z20" i="7"/>
  <c r="AC24" i="2" s="1"/>
  <c r="Z30" i="7"/>
  <c r="AC34" i="2" s="1"/>
  <c r="Z99" i="7"/>
  <c r="AC103" i="2" s="1"/>
  <c r="Z55" i="7"/>
  <c r="Z77" i="7"/>
  <c r="AC81" i="2" s="1"/>
  <c r="Z95" i="7"/>
  <c r="AC99" i="2" s="1"/>
  <c r="Z18" i="7"/>
  <c r="AC22" i="2" s="1"/>
  <c r="Z12" i="7"/>
  <c r="AC16" i="2" s="1"/>
  <c r="Z89" i="7"/>
  <c r="Z37" i="7"/>
  <c r="AC41" i="2" s="1"/>
  <c r="Z49" i="7"/>
  <c r="AC53" i="2" s="1"/>
  <c r="Z9" i="7"/>
  <c r="Z69" i="7"/>
  <c r="AC73" i="2" s="1"/>
  <c r="Z23" i="7"/>
  <c r="Z66" i="7"/>
  <c r="AC70" i="2" s="1"/>
  <c r="Z47" i="7"/>
  <c r="AC51" i="2" s="1"/>
  <c r="Z14" i="7"/>
  <c r="AC18" i="2" s="1"/>
  <c r="Z90" i="7"/>
  <c r="AC94" i="2" s="1"/>
  <c r="Z44" i="7"/>
  <c r="AC48" i="2" s="1"/>
  <c r="Z73" i="7"/>
  <c r="AC77" i="2" s="1"/>
  <c r="Z60" i="7"/>
  <c r="AE60" i="6" s="1"/>
  <c r="Z7" i="7"/>
  <c r="AC11" i="2" s="1"/>
  <c r="Z31" i="7"/>
  <c r="AC35" i="2" s="1"/>
  <c r="Z70" i="7"/>
  <c r="Z86" i="7"/>
  <c r="AC90" i="2" s="1"/>
  <c r="Z63" i="7"/>
  <c r="AC67" i="2" s="1"/>
  <c r="Z6" i="7"/>
  <c r="AC10" i="2" s="1"/>
  <c r="Z22" i="7"/>
  <c r="AC26" i="2" s="1"/>
  <c r="Z93" i="7"/>
  <c r="AC97" i="2" s="1"/>
  <c r="Z11" i="7"/>
  <c r="AC15" i="2" s="1"/>
  <c r="Z98" i="7"/>
  <c r="AC102" i="2" s="1"/>
  <c r="Z42" i="7"/>
  <c r="AC46" i="2" s="1"/>
  <c r="Z62" i="7"/>
  <c r="AC66" i="2" s="1"/>
  <c r="Z57" i="7"/>
  <c r="AC61" i="2" s="1"/>
  <c r="Z28" i="7"/>
  <c r="AC32" i="2" s="1"/>
  <c r="Z4" i="7"/>
  <c r="AC8" i="2" s="1"/>
  <c r="Z58" i="7"/>
  <c r="AC62" i="2" s="1"/>
  <c r="Z50" i="7"/>
  <c r="AC54" i="2" s="1"/>
  <c r="Z78" i="7"/>
  <c r="AC82" i="2" s="1"/>
  <c r="AE68" i="6"/>
  <c r="S65" i="13"/>
  <c r="T65" i="13"/>
  <c r="AE52" i="6"/>
  <c r="AE46" i="6"/>
  <c r="AE94" i="6"/>
  <c r="AE83" i="6"/>
  <c r="AE71" i="6"/>
  <c r="AE92" i="6"/>
  <c r="AE41" i="6"/>
  <c r="AE47" i="6"/>
  <c r="AE81" i="6"/>
  <c r="AE43" i="6"/>
  <c r="AE45" i="6"/>
  <c r="AE59" i="6"/>
  <c r="AE26" i="6"/>
  <c r="AE38" i="6"/>
  <c r="AE53" i="6"/>
  <c r="AE51" i="6"/>
  <c r="AE85" i="6"/>
  <c r="A21" i="2"/>
  <c r="B20" i="2"/>
  <c r="AE32" i="6"/>
  <c r="AE99" i="6"/>
  <c r="AA1" i="7"/>
  <c r="AE30" i="6" l="1"/>
  <c r="AE19" i="6"/>
  <c r="AE63" i="6"/>
  <c r="AE33" i="6"/>
  <c r="AE84" i="6"/>
  <c r="AE90" i="6"/>
  <c r="AE95" i="6"/>
  <c r="AE48" i="6"/>
  <c r="AE64" i="6"/>
  <c r="AE36" i="6"/>
  <c r="AE76" i="6"/>
  <c r="AE69" i="6"/>
  <c r="AE93" i="6"/>
  <c r="AE88" i="6"/>
  <c r="AE42" i="6"/>
  <c r="AE27" i="6"/>
  <c r="AE91" i="6"/>
  <c r="AE50" i="6"/>
  <c r="AE57" i="6"/>
  <c r="AD1" i="2"/>
  <c r="AD5" i="2" s="1"/>
  <c r="AA87" i="7"/>
  <c r="AD91" i="2" s="1"/>
  <c r="AA27" i="7"/>
  <c r="AD31" i="2" s="1"/>
  <c r="AA60" i="7"/>
  <c r="AD64" i="2" s="1"/>
  <c r="AA34" i="7"/>
  <c r="AD38" i="2" s="1"/>
  <c r="AA10" i="7"/>
  <c r="AD14" i="2" s="1"/>
  <c r="AA33" i="7"/>
  <c r="AD37" i="2" s="1"/>
  <c r="AA42" i="7"/>
  <c r="AD46" i="2" s="1"/>
  <c r="AA64" i="7"/>
  <c r="AD68" i="2" s="1"/>
  <c r="AA50" i="7"/>
  <c r="AD54" i="2" s="1"/>
  <c r="AA52" i="7"/>
  <c r="AD56" i="2" s="1"/>
  <c r="AA48" i="7"/>
  <c r="AD52" i="2" s="1"/>
  <c r="AA94" i="7"/>
  <c r="AD98" i="2" s="1"/>
  <c r="AA7" i="7"/>
  <c r="AD11" i="2" s="1"/>
  <c r="AA68" i="7"/>
  <c r="AD72" i="2" s="1"/>
  <c r="AA66" i="7"/>
  <c r="AD70" i="2" s="1"/>
  <c r="AA84" i="7"/>
  <c r="AD88" i="2" s="1"/>
  <c r="AA72" i="7"/>
  <c r="AD76" i="2" s="1"/>
  <c r="AA12" i="7"/>
  <c r="AD16" i="2" s="1"/>
  <c r="AA91" i="7"/>
  <c r="AD95" i="2" s="1"/>
  <c r="AA49" i="7"/>
  <c r="AD53" i="2" s="1"/>
  <c r="AA38" i="7"/>
  <c r="AD42" i="2" s="1"/>
  <c r="AA26" i="7"/>
  <c r="AD30" i="2" s="1"/>
  <c r="AA90" i="7"/>
  <c r="AD94" i="2" s="1"/>
  <c r="AA98" i="7"/>
  <c r="AD102" i="2" s="1"/>
  <c r="AA28" i="7"/>
  <c r="AD32" i="2" s="1"/>
  <c r="AA20" i="7"/>
  <c r="AD24" i="2" s="1"/>
  <c r="AA30" i="7"/>
  <c r="AD34" i="2" s="1"/>
  <c r="AA95" i="7"/>
  <c r="AD99" i="2" s="1"/>
  <c r="AA58" i="7"/>
  <c r="AD62" i="2" s="1"/>
  <c r="AA43" i="7"/>
  <c r="AD47" i="2" s="1"/>
  <c r="AA63" i="7"/>
  <c r="AD67" i="2" s="1"/>
  <c r="AA47" i="7"/>
  <c r="AD51" i="2" s="1"/>
  <c r="AA36" i="7"/>
  <c r="AD40" i="2" s="1"/>
  <c r="AA70" i="7"/>
  <c r="AD74" i="2" s="1"/>
  <c r="AA18" i="7"/>
  <c r="AD22" i="2" s="1"/>
  <c r="AA14" i="7"/>
  <c r="AA15" i="7"/>
  <c r="AD19" i="2" s="1"/>
  <c r="AA2" i="7"/>
  <c r="AA59" i="7"/>
  <c r="AD63" i="2" s="1"/>
  <c r="AA37" i="7"/>
  <c r="AD41" i="2" s="1"/>
  <c r="AA46" i="7"/>
  <c r="AD50" i="2" s="1"/>
  <c r="AA53" i="7"/>
  <c r="AD57" i="2" s="1"/>
  <c r="AA19" i="7"/>
  <c r="AD23" i="2" s="1"/>
  <c r="AA51" i="7"/>
  <c r="AD55" i="2" s="1"/>
  <c r="AA86" i="7"/>
  <c r="AD90" i="2" s="1"/>
  <c r="AA17" i="7"/>
  <c r="AD21" i="2" s="1"/>
  <c r="AA11" i="7"/>
  <c r="AD15" i="2" s="1"/>
  <c r="AA62" i="7"/>
  <c r="AD66" i="2" s="1"/>
  <c r="AA29" i="7"/>
  <c r="AD33" i="2" s="1"/>
  <c r="AA80" i="7"/>
  <c r="AD84" i="2" s="1"/>
  <c r="AA81" i="7"/>
  <c r="AD85" i="2" s="1"/>
  <c r="AA24" i="7"/>
  <c r="AD28" i="2" s="1"/>
  <c r="AA8" i="7"/>
  <c r="AD12" i="2" s="1"/>
  <c r="AA13" i="7"/>
  <c r="AD17" i="2" s="1"/>
  <c r="AA69" i="7"/>
  <c r="AD73" i="2" s="1"/>
  <c r="AA23" i="7"/>
  <c r="AD27" i="2" s="1"/>
  <c r="AA93" i="7"/>
  <c r="AD97" i="2" s="1"/>
  <c r="AA32" i="7"/>
  <c r="AD36" i="2" s="1"/>
  <c r="AA99" i="7"/>
  <c r="AD103" i="2" s="1"/>
  <c r="AA88" i="7"/>
  <c r="AD92" i="2" s="1"/>
  <c r="AA55" i="7"/>
  <c r="AD59" i="2" s="1"/>
  <c r="AA97" i="7"/>
  <c r="AD101" i="2" s="1"/>
  <c r="AA85" i="7"/>
  <c r="AD89" i="2" s="1"/>
  <c r="AA83" i="7"/>
  <c r="AD87" i="2" s="1"/>
  <c r="AA76" i="7"/>
  <c r="AD80" i="2" s="1"/>
  <c r="AA3" i="7"/>
  <c r="AD7" i="2" s="1"/>
  <c r="AA25" i="7"/>
  <c r="AD29" i="2" s="1"/>
  <c r="AA79" i="7"/>
  <c r="AD83" i="2" s="1"/>
  <c r="AA35" i="7"/>
  <c r="AD39" i="2" s="1"/>
  <c r="AA57" i="7"/>
  <c r="AD61" i="2" s="1"/>
  <c r="AA56" i="7"/>
  <c r="AD60" i="2" s="1"/>
  <c r="AE78" i="6"/>
  <c r="AE34" i="6"/>
  <c r="AE25" i="6"/>
  <c r="AA9" i="7"/>
  <c r="AD13" i="2" s="1"/>
  <c r="AA82" i="7"/>
  <c r="AD86" i="2" s="1"/>
  <c r="AE67" i="6"/>
  <c r="AA89" i="7"/>
  <c r="AD93" i="2" s="1"/>
  <c r="AA74" i="7"/>
  <c r="AD78" i="2" s="1"/>
  <c r="AA54" i="7"/>
  <c r="AD58" i="2" s="1"/>
  <c r="AE24" i="6"/>
  <c r="AE75" i="6"/>
  <c r="AE39" i="6"/>
  <c r="AA75" i="7"/>
  <c r="AD79" i="2" s="1"/>
  <c r="AA73" i="7"/>
  <c r="AD77" i="2" s="1"/>
  <c r="AA40" i="7"/>
  <c r="AD44" i="2" s="1"/>
  <c r="AE73" i="6"/>
  <c r="AA16" i="7"/>
  <c r="AD20" i="2" s="1"/>
  <c r="AE40" i="6"/>
  <c r="AA4" i="7"/>
  <c r="AD8" i="2" s="1"/>
  <c r="AA39" i="7"/>
  <c r="AD43" i="2" s="1"/>
  <c r="AA65" i="7"/>
  <c r="AD69" i="2" s="1"/>
  <c r="AA22" i="7"/>
  <c r="AD26" i="2" s="1"/>
  <c r="AA45" i="7"/>
  <c r="AD49" i="2" s="1"/>
  <c r="AE65" i="6"/>
  <c r="AA77" i="7"/>
  <c r="AC64" i="2"/>
  <c r="AE86" i="6"/>
  <c r="AA78" i="7"/>
  <c r="AD82" i="2" s="1"/>
  <c r="AE58" i="6"/>
  <c r="AE56" i="6"/>
  <c r="AE80" i="6"/>
  <c r="AE28" i="6"/>
  <c r="AE62" i="6"/>
  <c r="AE97" i="6"/>
  <c r="AE98" i="6"/>
  <c r="AA67" i="7"/>
  <c r="AD71" i="2" s="1"/>
  <c r="AF88" i="6"/>
  <c r="AF48" i="6"/>
  <c r="AE77" i="6"/>
  <c r="AE49" i="6"/>
  <c r="AE66" i="6"/>
  <c r="AA6" i="7"/>
  <c r="AD10" i="2" s="1"/>
  <c r="AE35" i="6"/>
  <c r="AE79" i="6"/>
  <c r="AE96" i="6"/>
  <c r="AE44" i="6"/>
  <c r="AA61" i="7"/>
  <c r="AD65" i="2" s="1"/>
  <c r="AA44" i="7"/>
  <c r="AD48" i="2" s="1"/>
  <c r="AA96" i="7"/>
  <c r="AA31" i="7"/>
  <c r="AD35" i="2" s="1"/>
  <c r="AA92" i="7"/>
  <c r="AD96" i="2" s="1"/>
  <c r="AA5" i="7"/>
  <c r="AD9" i="2" s="1"/>
  <c r="AA21" i="7"/>
  <c r="AD25" i="2" s="1"/>
  <c r="AA41" i="7"/>
  <c r="AD45" i="2" s="1"/>
  <c r="AA71" i="7"/>
  <c r="AD75" i="2" s="1"/>
  <c r="AE61" i="6"/>
  <c r="AC93" i="2"/>
  <c r="AE89" i="6"/>
  <c r="AC78" i="2"/>
  <c r="AE74" i="6"/>
  <c r="AC58" i="2"/>
  <c r="AE54" i="6"/>
  <c r="AC74" i="2"/>
  <c r="AE70" i="6"/>
  <c r="AC27" i="2"/>
  <c r="AE23" i="6"/>
  <c r="AC13" i="2"/>
  <c r="AE37" i="6"/>
  <c r="AC59" i="2"/>
  <c r="AE55" i="6"/>
  <c r="AC86" i="2"/>
  <c r="AE82" i="6"/>
  <c r="AC76" i="2"/>
  <c r="AE72" i="6"/>
  <c r="AC91" i="2"/>
  <c r="AE87" i="6"/>
  <c r="AC33" i="2"/>
  <c r="AE29" i="6"/>
  <c r="AC21" i="2"/>
  <c r="AE31" i="6"/>
  <c r="AF60" i="6"/>
  <c r="AF85" i="6"/>
  <c r="AF61" i="6"/>
  <c r="AD18" i="2"/>
  <c r="AF35" i="6"/>
  <c r="AF68" i="6"/>
  <c r="AF74" i="6"/>
  <c r="AF95" i="6"/>
  <c r="AF40" i="6"/>
  <c r="AF59" i="6"/>
  <c r="AF69" i="6"/>
  <c r="AF76" i="6"/>
  <c r="AF53" i="6"/>
  <c r="AF87" i="6"/>
  <c r="AF90" i="6"/>
  <c r="AF29" i="6"/>
  <c r="AF63" i="6"/>
  <c r="AF45" i="6"/>
  <c r="AF66" i="6"/>
  <c r="AF86" i="6"/>
  <c r="AF19" i="6"/>
  <c r="AF91" i="6"/>
  <c r="AF81" i="6"/>
  <c r="AF33" i="6"/>
  <c r="AF55" i="6"/>
  <c r="AF70" i="6"/>
  <c r="AF36" i="6"/>
  <c r="AF43" i="6"/>
  <c r="AF73" i="6"/>
  <c r="AF72" i="6"/>
  <c r="AF94" i="6"/>
  <c r="AF26" i="6"/>
  <c r="AF25" i="6"/>
  <c r="AF38" i="6"/>
  <c r="AF27" i="6"/>
  <c r="AF52" i="6"/>
  <c r="AF93" i="6"/>
  <c r="AF97" i="6"/>
  <c r="AF67" i="6"/>
  <c r="AF57" i="6"/>
  <c r="AF42" i="6"/>
  <c r="AF28" i="6"/>
  <c r="AF80" i="6"/>
  <c r="AF56" i="6"/>
  <c r="A22" i="2"/>
  <c r="B21" i="2"/>
  <c r="AF58" i="6"/>
  <c r="AD6" i="2"/>
  <c r="AF32" i="6"/>
  <c r="AF50" i="6"/>
  <c r="AF30" i="6"/>
  <c r="AF99" i="6"/>
  <c r="AF78" i="6"/>
  <c r="AB1" i="7"/>
  <c r="AC1" i="7"/>
  <c r="AF65" i="6" l="1"/>
  <c r="AF49" i="6"/>
  <c r="AF51" i="6"/>
  <c r="AF34" i="6"/>
  <c r="AF92" i="6"/>
  <c r="AF75" i="6"/>
  <c r="AF41" i="6"/>
  <c r="AF24" i="6"/>
  <c r="AF46" i="6"/>
  <c r="AF79" i="6"/>
  <c r="AF39" i="6"/>
  <c r="AB81" i="7"/>
  <c r="AE85" i="2" s="1"/>
  <c r="AB27" i="7"/>
  <c r="AB3" i="7"/>
  <c r="AB51" i="7"/>
  <c r="AB71" i="7"/>
  <c r="AC71" i="7" s="1"/>
  <c r="AF75" i="2" s="1"/>
  <c r="AB69" i="7"/>
  <c r="AB48" i="7"/>
  <c r="AE52" i="2" s="1"/>
  <c r="AB97" i="7"/>
  <c r="AE101" i="2" s="1"/>
  <c r="AB28" i="7"/>
  <c r="AE32" i="2" s="1"/>
  <c r="AB58" i="7"/>
  <c r="AE62" i="2" s="1"/>
  <c r="AB72" i="7"/>
  <c r="AB59" i="7"/>
  <c r="AB75" i="7"/>
  <c r="AC75" i="7" s="1"/>
  <c r="AB70" i="7"/>
  <c r="AG70" i="6" s="1"/>
  <c r="AB63" i="7"/>
  <c r="AB13" i="7"/>
  <c r="AB74" i="7"/>
  <c r="AE78" i="2" s="1"/>
  <c r="AB42" i="7"/>
  <c r="AE46" i="2" s="1"/>
  <c r="AB9" i="7"/>
  <c r="AE13" i="2" s="1"/>
  <c r="AB11" i="7"/>
  <c r="AE15" i="2" s="1"/>
  <c r="AB50" i="7"/>
  <c r="AE54" i="2" s="1"/>
  <c r="AB73" i="7"/>
  <c r="AB19" i="7"/>
  <c r="AB35" i="7"/>
  <c r="AB53" i="7"/>
  <c r="AC53" i="7" s="1"/>
  <c r="AB10" i="7"/>
  <c r="AB33" i="7"/>
  <c r="AE37" i="2" s="1"/>
  <c r="AB46" i="7"/>
  <c r="AE50" i="2" s="1"/>
  <c r="AB41" i="7"/>
  <c r="AE45" i="2" s="1"/>
  <c r="AB99" i="7"/>
  <c r="AE103" i="2" s="1"/>
  <c r="AB55" i="7"/>
  <c r="AB49" i="7"/>
  <c r="AB85" i="7"/>
  <c r="AC85" i="7" s="1"/>
  <c r="AB76" i="7"/>
  <c r="AB78" i="7"/>
  <c r="AE82" i="2" s="1"/>
  <c r="AB34" i="7"/>
  <c r="AE38" i="2" s="1"/>
  <c r="AB40" i="7"/>
  <c r="AE44" i="2" s="1"/>
  <c r="AB89" i="7"/>
  <c r="AB38" i="7"/>
  <c r="AE42" i="2" s="1"/>
  <c r="AB12" i="7"/>
  <c r="AB90" i="7"/>
  <c r="AG90" i="6" s="1"/>
  <c r="AB95" i="7"/>
  <c r="AE99" i="2" s="1"/>
  <c r="AB14" i="7"/>
  <c r="AE18" i="2" s="1"/>
  <c r="AB93" i="7"/>
  <c r="AE97" i="2" s="1"/>
  <c r="AB57" i="7"/>
  <c r="AE61" i="2" s="1"/>
  <c r="AB56" i="7"/>
  <c r="AE60" i="2" s="1"/>
  <c r="AB25" i="7"/>
  <c r="AB29" i="7"/>
  <c r="AE33" i="2" s="1"/>
  <c r="AB15" i="7"/>
  <c r="AE19" i="2" s="1"/>
  <c r="AB32" i="7"/>
  <c r="AE36" i="2" s="1"/>
  <c r="AB66" i="7"/>
  <c r="AB87" i="7"/>
  <c r="AB82" i="7"/>
  <c r="AE86" i="2" s="1"/>
  <c r="AB60" i="7"/>
  <c r="AB45" i="7"/>
  <c r="AE49" i="2" s="1"/>
  <c r="AB24" i="7"/>
  <c r="AC24" i="7" s="1"/>
  <c r="AB65" i="7"/>
  <c r="AC65" i="7" s="1"/>
  <c r="AB43" i="7"/>
  <c r="AE47" i="2" s="1"/>
  <c r="AB68" i="7"/>
  <c r="AC68" i="7" s="1"/>
  <c r="AB52" i="7"/>
  <c r="AB88" i="7"/>
  <c r="AC88" i="7" s="1"/>
  <c r="AB22" i="7"/>
  <c r="AB91" i="7"/>
  <c r="AB86" i="7"/>
  <c r="AE90" i="2" s="1"/>
  <c r="AB39" i="7"/>
  <c r="AE43" i="2" s="1"/>
  <c r="AB8" i="7"/>
  <c r="AE12" i="2" s="1"/>
  <c r="AB67" i="7"/>
  <c r="AE71" i="2" s="1"/>
  <c r="AB80" i="7"/>
  <c r="AE84" i="2" s="1"/>
  <c r="AB2" i="7"/>
  <c r="AE6" i="2" s="1"/>
  <c r="AB20" i="7"/>
  <c r="AE24" i="2" s="1"/>
  <c r="AB92" i="7"/>
  <c r="AB17" i="7"/>
  <c r="AB94" i="7"/>
  <c r="AE98" i="2" s="1"/>
  <c r="AB7" i="7"/>
  <c r="AB79" i="7"/>
  <c r="AG79" i="6" s="1"/>
  <c r="AB26" i="7"/>
  <c r="AB36" i="7"/>
  <c r="AE40" i="2" s="1"/>
  <c r="AB18" i="7"/>
  <c r="AE22" i="2" s="1"/>
  <c r="AB30" i="7"/>
  <c r="AE34" i="2" s="1"/>
  <c r="AB61" i="7"/>
  <c r="AF71" i="6"/>
  <c r="AF89" i="6"/>
  <c r="AF82" i="6"/>
  <c r="AB96" i="7"/>
  <c r="AG96" i="6" s="1"/>
  <c r="AE1" i="2"/>
  <c r="AE5" i="2" s="1"/>
  <c r="AB21" i="7"/>
  <c r="AB5" i="7"/>
  <c r="AF1" i="2"/>
  <c r="AF5" i="2" s="1"/>
  <c r="AF54" i="6"/>
  <c r="AF47" i="6"/>
  <c r="AE83" i="2"/>
  <c r="AB54" i="7"/>
  <c r="AB83" i="7"/>
  <c r="AC83" i="7" s="1"/>
  <c r="AF87" i="2" s="1"/>
  <c r="AF37" i="6"/>
  <c r="AB64" i="7"/>
  <c r="AE68" i="2" s="1"/>
  <c r="AF83" i="6"/>
  <c r="AF64" i="6"/>
  <c r="AB84" i="7"/>
  <c r="AE88" i="2" s="1"/>
  <c r="AF98" i="6"/>
  <c r="AB47" i="7"/>
  <c r="AE51" i="2" s="1"/>
  <c r="AB44" i="7"/>
  <c r="AE48" i="2" s="1"/>
  <c r="AB98" i="7"/>
  <c r="AE102" i="2" s="1"/>
  <c r="AB37" i="7"/>
  <c r="AF84" i="6"/>
  <c r="AB16" i="7"/>
  <c r="AE20" i="2" s="1"/>
  <c r="AF62" i="6"/>
  <c r="AB23" i="7"/>
  <c r="AE27" i="2" s="1"/>
  <c r="AF44" i="6"/>
  <c r="AB62" i="7"/>
  <c r="AE66" i="2" s="1"/>
  <c r="AF23" i="6"/>
  <c r="AF31" i="6"/>
  <c r="AB6" i="7"/>
  <c r="AE10" i="2" s="1"/>
  <c r="AB31" i="7"/>
  <c r="AC31" i="7" s="1"/>
  <c r="AB4" i="7"/>
  <c r="AE8" i="2" s="1"/>
  <c r="AD81" i="2"/>
  <c r="AF77" i="6"/>
  <c r="AE100" i="2"/>
  <c r="AB77" i="7"/>
  <c r="AC77" i="7" s="1"/>
  <c r="G2" i="6"/>
  <c r="AE17" i="2"/>
  <c r="AD100" i="2"/>
  <c r="AF96" i="6"/>
  <c r="AG48" i="6"/>
  <c r="AC22" i="7"/>
  <c r="AC38" i="7"/>
  <c r="AF42" i="2" s="1"/>
  <c r="AC69" i="7"/>
  <c r="AC17" i="7"/>
  <c r="AF21" i="2" s="1"/>
  <c r="AC10" i="7"/>
  <c r="AC49" i="7"/>
  <c r="AC23" i="7"/>
  <c r="AC92" i="7"/>
  <c r="AC87" i="7"/>
  <c r="AC27" i="7"/>
  <c r="AC86" i="7"/>
  <c r="AH86" i="6" s="1"/>
  <c r="AC46" i="7"/>
  <c r="AF50" i="2" s="1"/>
  <c r="AC63" i="7"/>
  <c r="AC51" i="7"/>
  <c r="AC8" i="7"/>
  <c r="AC19" i="7"/>
  <c r="AC13" i="7"/>
  <c r="AC9" i="7"/>
  <c r="AF13" i="2" s="1"/>
  <c r="AC39" i="7"/>
  <c r="AF43" i="2" s="1"/>
  <c r="AC59" i="7"/>
  <c r="AC61" i="7"/>
  <c r="AF65" i="2" s="1"/>
  <c r="AC95" i="7"/>
  <c r="AF99" i="2" s="1"/>
  <c r="AC60" i="7"/>
  <c r="AF64" i="2" s="1"/>
  <c r="AC73" i="7"/>
  <c r="AC48" i="7"/>
  <c r="AF52" i="2" s="1"/>
  <c r="AC7" i="7"/>
  <c r="AC33" i="7"/>
  <c r="AF37" i="2" s="1"/>
  <c r="AC96" i="7"/>
  <c r="AC21" i="7"/>
  <c r="AC35" i="7"/>
  <c r="AF39" i="2" s="1"/>
  <c r="AC76" i="7"/>
  <c r="AC90" i="7"/>
  <c r="AC34" i="7"/>
  <c r="AF38" i="2" s="1"/>
  <c r="AC52" i="7"/>
  <c r="AC5" i="7"/>
  <c r="AC82" i="7"/>
  <c r="AC54" i="7"/>
  <c r="AF58" i="2" s="1"/>
  <c r="AC55" i="7"/>
  <c r="AC25" i="7"/>
  <c r="AC89" i="7"/>
  <c r="AC26" i="7"/>
  <c r="AC91" i="7"/>
  <c r="AC47" i="7"/>
  <c r="AF51" i="2" s="1"/>
  <c r="AG95" i="6"/>
  <c r="AC45" i="7"/>
  <c r="AC12" i="7"/>
  <c r="AF16" i="2" s="1"/>
  <c r="AC72" i="7"/>
  <c r="AF76" i="2" s="1"/>
  <c r="AC3" i="7"/>
  <c r="AF7" i="2" s="1"/>
  <c r="AC43" i="7"/>
  <c r="AC66" i="7"/>
  <c r="AF70" i="2" s="1"/>
  <c r="AE74" i="2"/>
  <c r="AC70" i="7"/>
  <c r="AE7" i="2"/>
  <c r="AG37" i="6"/>
  <c r="AE30" i="2"/>
  <c r="AG26" i="6"/>
  <c r="AE93" i="2"/>
  <c r="AG89" i="6"/>
  <c r="AE63" i="2"/>
  <c r="AG59" i="6"/>
  <c r="AE23" i="2"/>
  <c r="AG19" i="6"/>
  <c r="AE26" i="2"/>
  <c r="AE64" i="2"/>
  <c r="AG60" i="6"/>
  <c r="AE77" i="2"/>
  <c r="AG73" i="6"/>
  <c r="AG53" i="6"/>
  <c r="AE31" i="2"/>
  <c r="AG27" i="6"/>
  <c r="AE96" i="2"/>
  <c r="AG92" i="6"/>
  <c r="AE29" i="2"/>
  <c r="AG25" i="6"/>
  <c r="AG38" i="6"/>
  <c r="AE14" i="2"/>
  <c r="AE21" i="2"/>
  <c r="AE69" i="2"/>
  <c r="AG45" i="6"/>
  <c r="AE16" i="2"/>
  <c r="AE76" i="2"/>
  <c r="AG72" i="6"/>
  <c r="AG43" i="6"/>
  <c r="AE70" i="2"/>
  <c r="AG66" i="6"/>
  <c r="AE95" i="2"/>
  <c r="AG91" i="6"/>
  <c r="AE94" i="2"/>
  <c r="AE80" i="2"/>
  <c r="AG76" i="6"/>
  <c r="AG33" i="6"/>
  <c r="AE55" i="2"/>
  <c r="AG51" i="6"/>
  <c r="AE25" i="2"/>
  <c r="AE65" i="2"/>
  <c r="AG61" i="6"/>
  <c r="AE58" i="2"/>
  <c r="AG54" i="6"/>
  <c r="AG46" i="6"/>
  <c r="AE9" i="2"/>
  <c r="AG34" i="6"/>
  <c r="AE28" i="2"/>
  <c r="AG24" i="6"/>
  <c r="AE59" i="2"/>
  <c r="AG55" i="6"/>
  <c r="AE67" i="2"/>
  <c r="AG63" i="6"/>
  <c r="AE11" i="2"/>
  <c r="AE72" i="2"/>
  <c r="AG68" i="6"/>
  <c r="AE91" i="2"/>
  <c r="AG87" i="6"/>
  <c r="AE53" i="2"/>
  <c r="AG49" i="6"/>
  <c r="AG47" i="6"/>
  <c r="AE75" i="2"/>
  <c r="AG40" i="6"/>
  <c r="AG29" i="6"/>
  <c r="AG86" i="6"/>
  <c r="AG23" i="6"/>
  <c r="AC29" i="7"/>
  <c r="AC18" i="7"/>
  <c r="AG93" i="6"/>
  <c r="AC93" i="7"/>
  <c r="AC11" i="7"/>
  <c r="AG57" i="6"/>
  <c r="AC97" i="7"/>
  <c r="AG97" i="6"/>
  <c r="AG42" i="6"/>
  <c r="AC42" i="7"/>
  <c r="AF46" i="2" s="1"/>
  <c r="AG67" i="6"/>
  <c r="AC67" i="7"/>
  <c r="AG98" i="6"/>
  <c r="AC98" i="7"/>
  <c r="AG28" i="6"/>
  <c r="AC56" i="7"/>
  <c r="AG56" i="6"/>
  <c r="AC84" i="7"/>
  <c r="AG84" i="6"/>
  <c r="AC80" i="7"/>
  <c r="AG80" i="6"/>
  <c r="AC4" i="7"/>
  <c r="A23" i="2"/>
  <c r="B22" i="2"/>
  <c r="AC64" i="7"/>
  <c r="AG64" i="6"/>
  <c r="AC58" i="7"/>
  <c r="AG58" i="6"/>
  <c r="AC2" i="7"/>
  <c r="AC32" i="7"/>
  <c r="AF36" i="2" s="1"/>
  <c r="AG32" i="6"/>
  <c r="AC50" i="7"/>
  <c r="AG30" i="6"/>
  <c r="AC30" i="7"/>
  <c r="AC20" i="7"/>
  <c r="AG99" i="6"/>
  <c r="AG78" i="6"/>
  <c r="AC78" i="7"/>
  <c r="AF82" i="2" s="1"/>
  <c r="AC99" i="7"/>
  <c r="AD1" i="7"/>
  <c r="AG50" i="6" l="1"/>
  <c r="AC28" i="7"/>
  <c r="AC62" i="7"/>
  <c r="AG82" i="6"/>
  <c r="AG41" i="6"/>
  <c r="AE57" i="2"/>
  <c r="AG81" i="6"/>
  <c r="AG85" i="6"/>
  <c r="AC36" i="7"/>
  <c r="AF40" i="2" s="1"/>
  <c r="AC81" i="7"/>
  <c r="AC40" i="7"/>
  <c r="AF44" i="2" s="1"/>
  <c r="AC94" i="7"/>
  <c r="AH94" i="6" s="1"/>
  <c r="AC15" i="7"/>
  <c r="AG62" i="6"/>
  <c r="AG94" i="6"/>
  <c r="AG36" i="6"/>
  <c r="AG75" i="6"/>
  <c r="AE89" i="2"/>
  <c r="AC74" i="7"/>
  <c r="AC41" i="7"/>
  <c r="AF45" i="2" s="1"/>
  <c r="AG74" i="6"/>
  <c r="AC16" i="7"/>
  <c r="AC57" i="7"/>
  <c r="AG39" i="6"/>
  <c r="AG71" i="6"/>
  <c r="AG65" i="6"/>
  <c r="AE79" i="2"/>
  <c r="AF81" i="2"/>
  <c r="AH77" i="6"/>
  <c r="AC44" i="7"/>
  <c r="AF48" i="2" s="1"/>
  <c r="AG52" i="6"/>
  <c r="AE56" i="2"/>
  <c r="AE92" i="2"/>
  <c r="AG88" i="6"/>
  <c r="AE73" i="2"/>
  <c r="AG69" i="6"/>
  <c r="AE39" i="2"/>
  <c r="AG35" i="6"/>
  <c r="AC79" i="7"/>
  <c r="AC14" i="7"/>
  <c r="AF18" i="2" s="1"/>
  <c r="AH43" i="6"/>
  <c r="AF47" i="2"/>
  <c r="AH45" i="6"/>
  <c r="AF49" i="2"/>
  <c r="AC37" i="7"/>
  <c r="AF41" i="2" s="1"/>
  <c r="AE41" i="2"/>
  <c r="AG1" i="2"/>
  <c r="AG5" i="2" s="1"/>
  <c r="AH95" i="6"/>
  <c r="AD95" i="7"/>
  <c r="AI95" i="6" s="1"/>
  <c r="AD87" i="7"/>
  <c r="AI87" i="6" s="1"/>
  <c r="AD81" i="7"/>
  <c r="AI81" i="6" s="1"/>
  <c r="AD17" i="7"/>
  <c r="AD66" i="7"/>
  <c r="AD26" i="7"/>
  <c r="AD9" i="7"/>
  <c r="AD8" i="7"/>
  <c r="AG12" i="2" s="1"/>
  <c r="AD25" i="7"/>
  <c r="AD49" i="7"/>
  <c r="AI49" i="6" s="1"/>
  <c r="AD41" i="7"/>
  <c r="AG45" i="2" s="1"/>
  <c r="AD91" i="7"/>
  <c r="AI91" i="6" s="1"/>
  <c r="AD90" i="7"/>
  <c r="AI90" i="6" s="1"/>
  <c r="AD92" i="7"/>
  <c r="AD12" i="7"/>
  <c r="AG16" i="2" s="1"/>
  <c r="AD55" i="7"/>
  <c r="AI55" i="6" s="1"/>
  <c r="AD85" i="7"/>
  <c r="AG89" i="2" s="1"/>
  <c r="AD19" i="7"/>
  <c r="AD96" i="7"/>
  <c r="AI96" i="6" s="1"/>
  <c r="AD13" i="7"/>
  <c r="AG17" i="2" s="1"/>
  <c r="AD7" i="7"/>
  <c r="AG11" i="2" s="1"/>
  <c r="AD33" i="7"/>
  <c r="AD40" i="7"/>
  <c r="AG44" i="2" s="1"/>
  <c r="AD53" i="7"/>
  <c r="AI53" i="6" s="1"/>
  <c r="AD36" i="7"/>
  <c r="AG40" i="2" s="1"/>
  <c r="AD54" i="7"/>
  <c r="AD68" i="7"/>
  <c r="AG72" i="2" s="1"/>
  <c r="AD88" i="7"/>
  <c r="AG92" i="2" s="1"/>
  <c r="AD59" i="7"/>
  <c r="AG63" i="2" s="1"/>
  <c r="AD77" i="7"/>
  <c r="AI77" i="6" s="1"/>
  <c r="AD75" i="7"/>
  <c r="AG79" i="2" s="1"/>
  <c r="AD24" i="7"/>
  <c r="AD22" i="7"/>
  <c r="AD52" i="7"/>
  <c r="AI52" i="6" s="1"/>
  <c r="AD47" i="7"/>
  <c r="AG51" i="2" s="1"/>
  <c r="AD34" i="7"/>
  <c r="AG38" i="2" s="1"/>
  <c r="AD31" i="7"/>
  <c r="AI31" i="6" s="1"/>
  <c r="AH54" i="6"/>
  <c r="AD21" i="7"/>
  <c r="AG25" i="2" s="1"/>
  <c r="AD27" i="7"/>
  <c r="AD10" i="7"/>
  <c r="AD70" i="7"/>
  <c r="AD89" i="7"/>
  <c r="AI89" i="6" s="1"/>
  <c r="AD35" i="7"/>
  <c r="AG39" i="2" s="1"/>
  <c r="AD39" i="7"/>
  <c r="AG43" i="2" s="1"/>
  <c r="AD38" i="7"/>
  <c r="AG42" i="2" s="1"/>
  <c r="AG44" i="6"/>
  <c r="AE87" i="2"/>
  <c r="AG83" i="6"/>
  <c r="AD74" i="7"/>
  <c r="AD76" i="7"/>
  <c r="AG80" i="2" s="1"/>
  <c r="AD73" i="7"/>
  <c r="AD46" i="7"/>
  <c r="AC6" i="7"/>
  <c r="AD6" i="7" s="1"/>
  <c r="AD5" i="7"/>
  <c r="AG9" i="2" s="1"/>
  <c r="AD48" i="7"/>
  <c r="AG52" i="2" s="1"/>
  <c r="AD65" i="7"/>
  <c r="AD63" i="7"/>
  <c r="AD69" i="7"/>
  <c r="AG73" i="2" s="1"/>
  <c r="AD79" i="7"/>
  <c r="AI79" i="6" s="1"/>
  <c r="AD82" i="7"/>
  <c r="AG86" i="2" s="1"/>
  <c r="AD51" i="7"/>
  <c r="AG55" i="2" s="1"/>
  <c r="AD23" i="7"/>
  <c r="AG27" i="2" s="1"/>
  <c r="G4" i="6"/>
  <c r="Z21" i="6"/>
  <c r="K21" i="6"/>
  <c r="U21" i="6"/>
  <c r="AG21" i="6"/>
  <c r="M21" i="6"/>
  <c r="L21" i="6"/>
  <c r="T21" i="6"/>
  <c r="Q21" i="6"/>
  <c r="S21" i="6"/>
  <c r="AA21" i="6"/>
  <c r="AC21" i="6"/>
  <c r="Y21" i="6"/>
  <c r="J21" i="6"/>
  <c r="V21" i="6"/>
  <c r="X21" i="6"/>
  <c r="N21" i="6"/>
  <c r="AE21" i="6"/>
  <c r="AD21" i="6"/>
  <c r="W21" i="6"/>
  <c r="H21" i="6"/>
  <c r="P21" i="6"/>
  <c r="AB21" i="6"/>
  <c r="O21" i="6"/>
  <c r="G21" i="6"/>
  <c r="I21" i="6"/>
  <c r="R21" i="6"/>
  <c r="AF21" i="6"/>
  <c r="L20" i="6"/>
  <c r="AC20" i="6"/>
  <c r="AB20" i="6"/>
  <c r="H20" i="6"/>
  <c r="Y20" i="6"/>
  <c r="O20" i="6"/>
  <c r="Q20" i="6"/>
  <c r="S20" i="6"/>
  <c r="K20" i="6"/>
  <c r="N20" i="6"/>
  <c r="I20" i="6"/>
  <c r="W20" i="6"/>
  <c r="AA20" i="6"/>
  <c r="G20" i="6"/>
  <c r="T20" i="6"/>
  <c r="AD20" i="6"/>
  <c r="P20" i="6"/>
  <c r="M20" i="6"/>
  <c r="J20" i="6"/>
  <c r="U20" i="6"/>
  <c r="V20" i="6"/>
  <c r="AE20" i="6"/>
  <c r="Z20" i="6"/>
  <c r="X20" i="6"/>
  <c r="AF20" i="6"/>
  <c r="R20" i="6"/>
  <c r="AG20" i="6"/>
  <c r="T186" i="13"/>
  <c r="AI38" i="6"/>
  <c r="AI48" i="6"/>
  <c r="AI65" i="6"/>
  <c r="AG69" i="2"/>
  <c r="AI63" i="6"/>
  <c r="AG67" i="2"/>
  <c r="AG53" i="2"/>
  <c r="AD14" i="7"/>
  <c r="AD71" i="7"/>
  <c r="AG75" i="2" s="1"/>
  <c r="AD3" i="7"/>
  <c r="AD86" i="7"/>
  <c r="AI36" i="6"/>
  <c r="AD61" i="7"/>
  <c r="AI61" i="6" s="1"/>
  <c r="AF90" i="2"/>
  <c r="AD72" i="7"/>
  <c r="AI72" i="6" s="1"/>
  <c r="AD83" i="7"/>
  <c r="AG87" i="2" s="1"/>
  <c r="AE35" i="2"/>
  <c r="AG31" i="6"/>
  <c r="AD45" i="7"/>
  <c r="AE81" i="2"/>
  <c r="AG77" i="6"/>
  <c r="AH66" i="6"/>
  <c r="AG95" i="2"/>
  <c r="AG94" i="2"/>
  <c r="AG13" i="2"/>
  <c r="AG99" i="2"/>
  <c r="AH36" i="6"/>
  <c r="AG74" i="2"/>
  <c r="AI70" i="6"/>
  <c r="AG83" i="2"/>
  <c r="AG78" i="2"/>
  <c r="AI74" i="6"/>
  <c r="AI21" i="6"/>
  <c r="AG77" i="2"/>
  <c r="AI51" i="6"/>
  <c r="AG31" i="2"/>
  <c r="AI27" i="6"/>
  <c r="AG14" i="2"/>
  <c r="AG10" i="2"/>
  <c r="AI59" i="6"/>
  <c r="AG59" i="2"/>
  <c r="AG56" i="2"/>
  <c r="AG91" i="2"/>
  <c r="AH72" i="6"/>
  <c r="AH61" i="6"/>
  <c r="AD43" i="7"/>
  <c r="AG47" i="2" s="1"/>
  <c r="AD44" i="7"/>
  <c r="AG48" i="2" s="1"/>
  <c r="AD60" i="7"/>
  <c r="AH71" i="6"/>
  <c r="AH60" i="6"/>
  <c r="AH83" i="6"/>
  <c r="AF95" i="2"/>
  <c r="AH91" i="6"/>
  <c r="AH81" i="6"/>
  <c r="AF85" i="2"/>
  <c r="AF93" i="2"/>
  <c r="AH89" i="6"/>
  <c r="AH40" i="6"/>
  <c r="AF9" i="2"/>
  <c r="AH75" i="6"/>
  <c r="AF79" i="2"/>
  <c r="AH53" i="6"/>
  <c r="AF57" i="2"/>
  <c r="AH85" i="6"/>
  <c r="AF89" i="2"/>
  <c r="AH35" i="6"/>
  <c r="AF100" i="2"/>
  <c r="AH96" i="6"/>
  <c r="AF11" i="2"/>
  <c r="AH48" i="6"/>
  <c r="AH41" i="6"/>
  <c r="AF98" i="2"/>
  <c r="AH65" i="6"/>
  <c r="AF69" i="2"/>
  <c r="AH39" i="6"/>
  <c r="AF17" i="2"/>
  <c r="AF12" i="2"/>
  <c r="AH63" i="6"/>
  <c r="AF67" i="2"/>
  <c r="AH87" i="6"/>
  <c r="AF91" i="2"/>
  <c r="AH92" i="6"/>
  <c r="AF96" i="2"/>
  <c r="AH49" i="6"/>
  <c r="AF53" i="2"/>
  <c r="AF28" i="2"/>
  <c r="AH24" i="6"/>
  <c r="AH69" i="6"/>
  <c r="AF73" i="2"/>
  <c r="AH38" i="6"/>
  <c r="AF26" i="2"/>
  <c r="AH47" i="6"/>
  <c r="AH79" i="6"/>
  <c r="AF83" i="2"/>
  <c r="AH26" i="6"/>
  <c r="AF30" i="2"/>
  <c r="AH25" i="6"/>
  <c r="AF29" i="2"/>
  <c r="AH55" i="6"/>
  <c r="AF59" i="2"/>
  <c r="AF86" i="2"/>
  <c r="AH82" i="6"/>
  <c r="AH74" i="6"/>
  <c r="AF78" i="2"/>
  <c r="AH52" i="6"/>
  <c r="AF56" i="2"/>
  <c r="AH34" i="6"/>
  <c r="AH90" i="6"/>
  <c r="AF94" i="2"/>
  <c r="AH76" i="6"/>
  <c r="AF80" i="2"/>
  <c r="AH21" i="6"/>
  <c r="AF25" i="2"/>
  <c r="AH33" i="6"/>
  <c r="AF77" i="2"/>
  <c r="AH73" i="6"/>
  <c r="AF63" i="2"/>
  <c r="AH59" i="6"/>
  <c r="AH19" i="6"/>
  <c r="AF23" i="2"/>
  <c r="AF55" i="2"/>
  <c r="AH51" i="6"/>
  <c r="AH46" i="6"/>
  <c r="AH27" i="6"/>
  <c r="AF31" i="2"/>
  <c r="AF27" i="2"/>
  <c r="AH23" i="6"/>
  <c r="AH37" i="6"/>
  <c r="AF14" i="2"/>
  <c r="AF35" i="2"/>
  <c r="AH31" i="6"/>
  <c r="AF92" i="2"/>
  <c r="AH88" i="6"/>
  <c r="AF10" i="2"/>
  <c r="AH68" i="6"/>
  <c r="AF72" i="2"/>
  <c r="AF74" i="2"/>
  <c r="AH70" i="6"/>
  <c r="AI34" i="6"/>
  <c r="AG85" i="2"/>
  <c r="AG57" i="2"/>
  <c r="AI85" i="6"/>
  <c r="AG26" i="2"/>
  <c r="AI88" i="6"/>
  <c r="AD18" i="7"/>
  <c r="AF22" i="2"/>
  <c r="AF33" i="2"/>
  <c r="AH29" i="6"/>
  <c r="AD29" i="7"/>
  <c r="AG76" i="2"/>
  <c r="AG81" i="2"/>
  <c r="AD93" i="7"/>
  <c r="AF97" i="2"/>
  <c r="AH93" i="6"/>
  <c r="AF15" i="2"/>
  <c r="AD11" i="7"/>
  <c r="AF102" i="2"/>
  <c r="AH98" i="6"/>
  <c r="AD98" i="7"/>
  <c r="AH42" i="6"/>
  <c r="AD42" i="7"/>
  <c r="AG46" i="2" s="1"/>
  <c r="AF66" i="2"/>
  <c r="AH62" i="6"/>
  <c r="AD62" i="7"/>
  <c r="AF19" i="2"/>
  <c r="AD15" i="7"/>
  <c r="AF61" i="2"/>
  <c r="AD57" i="7"/>
  <c r="AH57" i="6"/>
  <c r="AD67" i="7"/>
  <c r="AF71" i="2"/>
  <c r="AH67" i="6"/>
  <c r="AD97" i="7"/>
  <c r="AF101" i="2"/>
  <c r="AH97" i="6"/>
  <c r="AH28" i="6"/>
  <c r="AD28" i="7"/>
  <c r="AF32" i="2"/>
  <c r="AF20" i="2"/>
  <c r="AD16" i="7"/>
  <c r="AD56" i="7"/>
  <c r="AF60" i="2"/>
  <c r="AH56" i="6"/>
  <c r="AD80" i="7"/>
  <c r="AF84" i="2"/>
  <c r="AH80" i="6"/>
  <c r="AD84" i="7"/>
  <c r="AF88" i="2"/>
  <c r="AH84" i="6"/>
  <c r="AF8" i="2"/>
  <c r="AD4" i="7"/>
  <c r="A24" i="2"/>
  <c r="B23" i="2"/>
  <c r="AD64" i="7"/>
  <c r="AF68" i="2"/>
  <c r="AH64" i="6"/>
  <c r="AH58" i="6"/>
  <c r="AD58" i="7"/>
  <c r="AF62" i="2"/>
  <c r="AH32" i="6"/>
  <c r="AD32" i="7"/>
  <c r="AG36" i="2" s="1"/>
  <c r="AD2" i="7"/>
  <c r="AF6" i="2"/>
  <c r="AF24" i="2"/>
  <c r="AD20" i="7"/>
  <c r="AH20" i="6"/>
  <c r="AD50" i="7"/>
  <c r="AF54" i="2"/>
  <c r="AH50" i="6"/>
  <c r="AF34" i="2"/>
  <c r="AH30" i="6"/>
  <c r="AD30" i="7"/>
  <c r="AH99" i="6"/>
  <c r="AF103" i="2"/>
  <c r="AH78" i="6"/>
  <c r="AD78" i="7"/>
  <c r="AG82" i="2" s="1"/>
  <c r="AD99" i="7"/>
  <c r="AI75" i="6" l="1"/>
  <c r="AD94" i="7"/>
  <c r="AI23" i="6"/>
  <c r="AI76" i="6"/>
  <c r="AI69" i="6"/>
  <c r="AG93" i="2"/>
  <c r="AI47" i="6"/>
  <c r="AI68" i="6"/>
  <c r="AI82" i="6"/>
  <c r="AD37" i="7"/>
  <c r="AI37" i="6" s="1"/>
  <c r="AI35" i="6"/>
  <c r="AH44" i="6"/>
  <c r="AG35" i="2"/>
  <c r="AI73" i="6"/>
  <c r="AG100" i="2"/>
  <c r="AI39" i="6"/>
  <c r="AI71" i="6"/>
  <c r="AI41" i="6"/>
  <c r="AI45" i="6"/>
  <c r="AG49" i="2"/>
  <c r="AI46" i="6"/>
  <c r="AG50" i="2"/>
  <c r="AI33" i="6"/>
  <c r="AG37" i="2"/>
  <c r="I11" i="6"/>
  <c r="O11" i="6"/>
  <c r="J11" i="6"/>
  <c r="K11" i="6"/>
  <c r="G11" i="6"/>
  <c r="M11" i="6"/>
  <c r="H11" i="6"/>
  <c r="L11" i="6"/>
  <c r="P11" i="6"/>
  <c r="N11" i="6"/>
  <c r="I14" i="6"/>
  <c r="H14" i="6"/>
  <c r="J14" i="6"/>
  <c r="G14" i="6"/>
  <c r="AC7" i="6"/>
  <c r="AE7" i="6"/>
  <c r="L7" i="6"/>
  <c r="AB7" i="6"/>
  <c r="I7" i="6"/>
  <c r="N7" i="6"/>
  <c r="AI7" i="6"/>
  <c r="AD7" i="6"/>
  <c r="S7" i="6"/>
  <c r="M7" i="6"/>
  <c r="AG7" i="6"/>
  <c r="R7" i="6"/>
  <c r="O7" i="6"/>
  <c r="AF7" i="6"/>
  <c r="J7" i="6"/>
  <c r="X7" i="6"/>
  <c r="H7" i="6"/>
  <c r="G7" i="6"/>
  <c r="U7" i="6"/>
  <c r="P7" i="6"/>
  <c r="Z7" i="6"/>
  <c r="T7" i="6"/>
  <c r="W7" i="6"/>
  <c r="AA7" i="6"/>
  <c r="V7" i="6"/>
  <c r="AH7" i="6"/>
  <c r="Q7" i="6"/>
  <c r="K7" i="6"/>
  <c r="Y7" i="6"/>
  <c r="R31" i="10"/>
  <c r="R26" i="10"/>
  <c r="R38" i="10"/>
  <c r="E5" i="1"/>
  <c r="R24" i="10"/>
  <c r="R23" i="10"/>
  <c r="R32" i="10"/>
  <c r="R27" i="10"/>
  <c r="R33" i="10"/>
  <c r="D5" i="1"/>
  <c r="N22" i="6"/>
  <c r="AA22" i="6"/>
  <c r="AE22" i="6"/>
  <c r="AF22" i="6"/>
  <c r="H22" i="6"/>
  <c r="AD22" i="6"/>
  <c r="AH22" i="6"/>
  <c r="K22" i="6"/>
  <c r="L22" i="6"/>
  <c r="W22" i="6"/>
  <c r="Y22" i="6"/>
  <c r="Q22" i="6"/>
  <c r="P22" i="6"/>
  <c r="O22" i="6"/>
  <c r="X22" i="6"/>
  <c r="J22" i="6"/>
  <c r="AC22" i="6"/>
  <c r="Z22" i="6"/>
  <c r="AI22" i="6"/>
  <c r="AB22" i="6"/>
  <c r="R22" i="6"/>
  <c r="S22" i="6"/>
  <c r="G22" i="6"/>
  <c r="U22" i="6"/>
  <c r="M22" i="6"/>
  <c r="V22" i="6"/>
  <c r="T22" i="6"/>
  <c r="I22" i="6"/>
  <c r="AG22" i="6"/>
  <c r="K9" i="6"/>
  <c r="U9" i="6"/>
  <c r="Y9" i="6"/>
  <c r="J9" i="6"/>
  <c r="M9" i="6"/>
  <c r="W9" i="6"/>
  <c r="AF9" i="6"/>
  <c r="T9" i="6"/>
  <c r="O9" i="6"/>
  <c r="AA9" i="6"/>
  <c r="AG9" i="6"/>
  <c r="AI9" i="6"/>
  <c r="P9" i="6"/>
  <c r="L9" i="6"/>
  <c r="AE9" i="6"/>
  <c r="AD9" i="6"/>
  <c r="AH9" i="6"/>
  <c r="N9" i="6"/>
  <c r="G9" i="6"/>
  <c r="AB9" i="6"/>
  <c r="X9" i="6"/>
  <c r="R9" i="6"/>
  <c r="I9" i="6"/>
  <c r="V9" i="6"/>
  <c r="Q9" i="6"/>
  <c r="H9" i="6"/>
  <c r="Z9" i="6"/>
  <c r="AC9" i="6"/>
  <c r="S9" i="6"/>
  <c r="R25" i="10"/>
  <c r="R35" i="10"/>
  <c r="F5" i="1"/>
  <c r="R34" i="10"/>
  <c r="R39" i="10"/>
  <c r="R30" i="10"/>
  <c r="R28" i="10"/>
  <c r="R29" i="10"/>
  <c r="R37" i="10"/>
  <c r="R36" i="10"/>
  <c r="AG96" i="2"/>
  <c r="AI92" i="6"/>
  <c r="AG30" i="2"/>
  <c r="AI26" i="6"/>
  <c r="AI40" i="6"/>
  <c r="AI24" i="6"/>
  <c r="AG28" i="2"/>
  <c r="AI25" i="6"/>
  <c r="AG29" i="2"/>
  <c r="AG58" i="2"/>
  <c r="AI54" i="6"/>
  <c r="AI19" i="6"/>
  <c r="AG23" i="2"/>
  <c r="AG21" i="2"/>
  <c r="AI66" i="6"/>
  <c r="AG70" i="2"/>
  <c r="T190" i="13"/>
  <c r="S190" i="13"/>
  <c r="AG18" i="2"/>
  <c r="AG7" i="2"/>
  <c r="AG65" i="2"/>
  <c r="AI83" i="6"/>
  <c r="AI86" i="6"/>
  <c r="AG90" i="2"/>
  <c r="AI60" i="6"/>
  <c r="AG64" i="2"/>
  <c r="AI43" i="6"/>
  <c r="AI44" i="6"/>
  <c r="AG22" i="2"/>
  <c r="AG33" i="2"/>
  <c r="AI29" i="6"/>
  <c r="AG97" i="2"/>
  <c r="AI93" i="6"/>
  <c r="AG15" i="2"/>
  <c r="AG66" i="2"/>
  <c r="AI62" i="6"/>
  <c r="AG101" i="2"/>
  <c r="AI97" i="6"/>
  <c r="AG102" i="2"/>
  <c r="AI98" i="6"/>
  <c r="AG19" i="2"/>
  <c r="AI57" i="6"/>
  <c r="AG61" i="2"/>
  <c r="AI42" i="6"/>
  <c r="AG71" i="2"/>
  <c r="AI67" i="6"/>
  <c r="AG32" i="2"/>
  <c r="AI28" i="6"/>
  <c r="AG88" i="2"/>
  <c r="AI84" i="6"/>
  <c r="AG20" i="2"/>
  <c r="AG60" i="2"/>
  <c r="AI56" i="6"/>
  <c r="AG84" i="2"/>
  <c r="AI80" i="6"/>
  <c r="AG8" i="2"/>
  <c r="A25" i="2"/>
  <c r="B24" i="2"/>
  <c r="AG6" i="2"/>
  <c r="AI32" i="6"/>
  <c r="AG62" i="2"/>
  <c r="AI58" i="6"/>
  <c r="AG68" i="2"/>
  <c r="AI64" i="6"/>
  <c r="AG34" i="2"/>
  <c r="AI30" i="6"/>
  <c r="AG24" i="2"/>
  <c r="AI20" i="6"/>
  <c r="AG54" i="2"/>
  <c r="AI50" i="6"/>
  <c r="AI99" i="6"/>
  <c r="AG103" i="2"/>
  <c r="AI78" i="6"/>
  <c r="AI94" i="6" l="1"/>
  <c r="AG98" i="2"/>
  <c r="R11" i="6"/>
  <c r="Q11" i="6"/>
  <c r="S11" i="6"/>
  <c r="AD11" i="6"/>
  <c r="X11" i="6"/>
  <c r="AC11" i="6"/>
  <c r="U11" i="6"/>
  <c r="AG11" i="6"/>
  <c r="V11" i="6"/>
  <c r="AF11" i="6"/>
  <c r="T11" i="6"/>
  <c r="AE11" i="6"/>
  <c r="AB11" i="6"/>
  <c r="Z11" i="6"/>
  <c r="AH11" i="6"/>
  <c r="W11" i="6"/>
  <c r="Y11" i="6"/>
  <c r="AA11" i="6"/>
  <c r="AI11" i="6"/>
  <c r="H4" i="6"/>
  <c r="T4" i="6"/>
  <c r="S4" i="6"/>
  <c r="W4" i="6"/>
  <c r="J4" i="6"/>
  <c r="AA4" i="6"/>
  <c r="Q4" i="6"/>
  <c r="AG4" i="6"/>
  <c r="AH4" i="6"/>
  <c r="U4" i="6"/>
  <c r="Y4" i="6"/>
  <c r="M4" i="6"/>
  <c r="V4" i="6"/>
  <c r="X4" i="6"/>
  <c r="P4" i="6"/>
  <c r="K4" i="6"/>
  <c r="AF4" i="6"/>
  <c r="N4" i="6"/>
  <c r="AC4" i="6"/>
  <c r="R4" i="6"/>
  <c r="L4" i="6"/>
  <c r="AE4" i="6"/>
  <c r="O4" i="6"/>
  <c r="AD4" i="6"/>
  <c r="I4" i="6"/>
  <c r="AB4" i="6"/>
  <c r="Z4" i="6"/>
  <c r="AI4" i="6"/>
  <c r="N18" i="6"/>
  <c r="U18" i="6"/>
  <c r="T18" i="6"/>
  <c r="J18" i="6"/>
  <c r="H18" i="6"/>
  <c r="S18" i="6"/>
  <c r="Z18" i="6"/>
  <c r="W18" i="6"/>
  <c r="X18" i="6"/>
  <c r="O18" i="6"/>
  <c r="AB18" i="6"/>
  <c r="I18" i="6"/>
  <c r="K18" i="6"/>
  <c r="V18" i="6"/>
  <c r="M18" i="6"/>
  <c r="AC18" i="6"/>
  <c r="AA18" i="6"/>
  <c r="P18" i="6"/>
  <c r="Y18" i="6"/>
  <c r="L18" i="6"/>
  <c r="Q18" i="6"/>
  <c r="R18" i="6"/>
  <c r="AD18" i="6"/>
  <c r="AE18" i="6"/>
  <c r="AF18" i="6"/>
  <c r="AG18" i="6"/>
  <c r="AH18" i="6"/>
  <c r="AI18" i="6"/>
  <c r="L14" i="6"/>
  <c r="M14" i="6"/>
  <c r="K14" i="6"/>
  <c r="AD14" i="6"/>
  <c r="U14" i="6"/>
  <c r="AA14" i="6"/>
  <c r="S14" i="6"/>
  <c r="V14" i="6"/>
  <c r="X14" i="6"/>
  <c r="N14" i="6"/>
  <c r="AG14" i="6"/>
  <c r="T14" i="6"/>
  <c r="AB14" i="6"/>
  <c r="AF14" i="6"/>
  <c r="P14" i="6"/>
  <c r="O14" i="6"/>
  <c r="Y14" i="6"/>
  <c r="W14" i="6"/>
  <c r="AE14" i="6"/>
  <c r="Z14" i="6"/>
  <c r="Q14" i="6"/>
  <c r="AC14" i="6"/>
  <c r="AH14" i="6"/>
  <c r="R14" i="6"/>
  <c r="AI14" i="6"/>
  <c r="H2" i="6"/>
  <c r="J2" i="6"/>
  <c r="I2" i="6"/>
  <c r="P2" i="6"/>
  <c r="AC2" i="6"/>
  <c r="N2" i="6"/>
  <c r="Q2" i="6"/>
  <c r="AB2" i="6"/>
  <c r="AD2" i="6"/>
  <c r="Z2" i="6"/>
  <c r="M2" i="6"/>
  <c r="Y2" i="6"/>
  <c r="AE2" i="6"/>
  <c r="X2" i="6"/>
  <c r="O2" i="6"/>
  <c r="V2" i="6"/>
  <c r="AG2" i="6"/>
  <c r="W2" i="6"/>
  <c r="S2" i="6"/>
  <c r="AA2" i="6"/>
  <c r="T2" i="6"/>
  <c r="AH2" i="6"/>
  <c r="L2" i="6"/>
  <c r="AF2" i="6"/>
  <c r="R2" i="6"/>
  <c r="U2" i="6"/>
  <c r="K2" i="6"/>
  <c r="AI2" i="6"/>
  <c r="AG41" i="2"/>
  <c r="I3" i="14"/>
  <c r="S107" i="13"/>
  <c r="T107" i="13"/>
  <c r="A26" i="2"/>
  <c r="B25" i="2"/>
  <c r="AE1" i="7"/>
  <c r="K42" i="16"/>
  <c r="J98" i="16"/>
  <c r="E17" i="6"/>
  <c r="K2" i="16"/>
  <c r="K52" i="16"/>
  <c r="K129" i="16"/>
  <c r="K54" i="16"/>
  <c r="E9" i="6"/>
  <c r="J11" i="16"/>
  <c r="J66" i="16"/>
  <c r="J90" i="16"/>
  <c r="K74" i="16"/>
  <c r="J124" i="16"/>
  <c r="J54" i="16"/>
  <c r="J7" i="16"/>
  <c r="J74" i="16"/>
  <c r="J20" i="16"/>
  <c r="K56" i="16"/>
  <c r="J9" i="16"/>
  <c r="K128" i="16"/>
  <c r="J63" i="16"/>
  <c r="J59" i="16"/>
  <c r="J62" i="16"/>
  <c r="J93" i="16"/>
  <c r="K10" i="16"/>
  <c r="K81" i="16"/>
  <c r="J112" i="16"/>
  <c r="K78" i="16"/>
  <c r="J82" i="16"/>
  <c r="K121" i="16"/>
  <c r="E18" i="6"/>
  <c r="K55" i="16"/>
  <c r="K105" i="16"/>
  <c r="J72" i="16"/>
  <c r="J19" i="16"/>
  <c r="K12" i="16"/>
  <c r="K112" i="16"/>
  <c r="E3" i="6"/>
  <c r="J99" i="16"/>
  <c r="J42" i="16"/>
  <c r="J5" i="16"/>
  <c r="J15" i="16"/>
  <c r="E4" i="6"/>
  <c r="K125" i="16"/>
  <c r="J75" i="16"/>
  <c r="J129" i="16"/>
  <c r="J88" i="16"/>
  <c r="K57" i="16"/>
  <c r="K119" i="16"/>
  <c r="K14" i="16"/>
  <c r="J128" i="16"/>
  <c r="K72" i="16"/>
  <c r="E19" i="6"/>
  <c r="K43" i="16"/>
  <c r="K44" i="16"/>
  <c r="K84" i="16"/>
  <c r="K16" i="16"/>
  <c r="J97" i="16"/>
  <c r="J100" i="16"/>
  <c r="J69" i="16"/>
  <c r="J70" i="16"/>
  <c r="K106" i="16"/>
  <c r="K76" i="16"/>
  <c r="J92" i="16"/>
  <c r="E11" i="6"/>
  <c r="F14" i="6"/>
  <c r="J48" i="16"/>
  <c r="P3" i="14"/>
  <c r="K95" i="16"/>
  <c r="J18" i="16"/>
  <c r="T2" i="14"/>
  <c r="J106" i="16"/>
  <c r="K118" i="16"/>
  <c r="K109" i="16"/>
  <c r="J103" i="16"/>
  <c r="K79" i="16"/>
  <c r="E22" i="6"/>
  <c r="K61" i="16"/>
  <c r="F21" i="6"/>
  <c r="F15" i="6"/>
  <c r="K120" i="16"/>
  <c r="E10" i="6"/>
  <c r="K80" i="16"/>
  <c r="J64" i="16"/>
  <c r="E6" i="6"/>
  <c r="J117" i="16"/>
  <c r="E12" i="6"/>
  <c r="J67" i="16"/>
  <c r="J104" i="16"/>
  <c r="F7" i="6"/>
  <c r="K107" i="16"/>
  <c r="J8" i="16"/>
  <c r="J39" i="16"/>
  <c r="K94" i="16"/>
  <c r="J58" i="16"/>
  <c r="J145" i="16"/>
  <c r="K96" i="16"/>
  <c r="J2" i="16"/>
  <c r="K46" i="16"/>
  <c r="K146" i="16"/>
  <c r="J84" i="16"/>
  <c r="J49" i="16"/>
  <c r="F9" i="6"/>
  <c r="K89" i="16"/>
  <c r="F11" i="6"/>
  <c r="F10" i="6"/>
  <c r="E14" i="6"/>
  <c r="J111" i="16"/>
  <c r="J123" i="16"/>
  <c r="K116" i="16"/>
  <c r="J96" i="16"/>
  <c r="F16" i="6"/>
  <c r="K60" i="16"/>
  <c r="K92" i="16"/>
  <c r="F19" i="6"/>
  <c r="J89" i="16"/>
  <c r="K101" i="16"/>
  <c r="E21" i="6"/>
  <c r="K47" i="16"/>
  <c r="K123" i="16"/>
  <c r="E20" i="6"/>
  <c r="K115" i="16"/>
  <c r="K63" i="16"/>
  <c r="J61" i="16"/>
  <c r="K7" i="16"/>
  <c r="K64" i="16"/>
  <c r="K8" i="16"/>
  <c r="K15" i="16"/>
  <c r="J122" i="16"/>
  <c r="K113" i="16"/>
  <c r="K40" i="16"/>
  <c r="J81" i="16"/>
  <c r="K66" i="16"/>
  <c r="J118" i="16"/>
  <c r="J56" i="16"/>
  <c r="J101" i="16"/>
  <c r="K127" i="16"/>
  <c r="J53" i="16"/>
  <c r="J65" i="16"/>
  <c r="J87" i="16"/>
  <c r="K58" i="16"/>
  <c r="J110" i="16"/>
  <c r="J14" i="16"/>
  <c r="J60" i="16"/>
  <c r="J78" i="16"/>
  <c r="J79" i="16"/>
  <c r="J52" i="16"/>
  <c r="F5" i="6"/>
  <c r="K110" i="16"/>
  <c r="J44" i="16"/>
  <c r="K97" i="16"/>
  <c r="K122" i="16"/>
  <c r="J126" i="16"/>
  <c r="J76" i="16"/>
  <c r="K111" i="16"/>
  <c r="K88" i="16"/>
  <c r="K100" i="16"/>
  <c r="J83" i="16"/>
  <c r="K5" i="16"/>
  <c r="J12" i="16"/>
  <c r="AG1" i="7"/>
  <c r="F4" i="6"/>
  <c r="K41" i="16"/>
  <c r="J13" i="16"/>
  <c r="K104" i="16"/>
  <c r="J127" i="16"/>
  <c r="E15" i="6"/>
  <c r="J73" i="16"/>
  <c r="J107" i="16"/>
  <c r="T3" i="14"/>
  <c r="P5" i="14"/>
  <c r="F8" i="6"/>
  <c r="F20" i="6"/>
  <c r="K49" i="16"/>
  <c r="E8" i="6"/>
  <c r="J120" i="16"/>
  <c r="J47" i="16"/>
  <c r="J86" i="16"/>
  <c r="K98" i="16"/>
  <c r="J121" i="16"/>
  <c r="K117" i="16"/>
  <c r="J71" i="16"/>
  <c r="J94" i="16"/>
  <c r="K68" i="16"/>
  <c r="J91" i="16"/>
  <c r="K90" i="16"/>
  <c r="F17" i="6"/>
  <c r="J114" i="16"/>
  <c r="K39" i="16"/>
  <c r="J50" i="16"/>
  <c r="K75" i="16"/>
  <c r="K11" i="16"/>
  <c r="K102" i="16"/>
  <c r="K19" i="16"/>
  <c r="F13" i="6"/>
  <c r="F3" i="6"/>
  <c r="K73" i="16"/>
  <c r="J55" i="16"/>
  <c r="K108" i="16"/>
  <c r="K3" i="16"/>
  <c r="E5" i="6"/>
  <c r="J57" i="16"/>
  <c r="J43" i="16"/>
  <c r="K50" i="16"/>
  <c r="K6" i="16"/>
  <c r="J113" i="16"/>
  <c r="J108" i="16"/>
  <c r="K59" i="16"/>
  <c r="J17" i="16"/>
  <c r="J45" i="16"/>
  <c r="K124" i="16"/>
  <c r="J51" i="16"/>
  <c r="K71" i="16"/>
  <c r="J95" i="16"/>
  <c r="K17" i="16"/>
  <c r="E16" i="6"/>
  <c r="F22" i="6"/>
  <c r="K70" i="16"/>
  <c r="K45" i="16"/>
  <c r="J85" i="16"/>
  <c r="K67" i="16"/>
  <c r="E13" i="6"/>
  <c r="K114" i="16"/>
  <c r="K53" i="16"/>
  <c r="K65" i="16"/>
  <c r="J102" i="16"/>
  <c r="K48" i="16"/>
  <c r="K103" i="16"/>
  <c r="P2" i="14"/>
  <c r="J125" i="16"/>
  <c r="K18" i="16"/>
  <c r="E7" i="6"/>
  <c r="K82" i="16"/>
  <c r="K69" i="16"/>
  <c r="F12" i="6"/>
  <c r="K99" i="16"/>
  <c r="J146" i="16"/>
  <c r="J105" i="16"/>
  <c r="T5" i="14"/>
  <c r="AH1" i="7"/>
  <c r="K51" i="16"/>
  <c r="K86" i="16"/>
  <c r="K87" i="16"/>
  <c r="F6" i="6"/>
  <c r="K77" i="16"/>
  <c r="K145" i="16"/>
  <c r="K126" i="16"/>
  <c r="K83" i="16"/>
  <c r="J109" i="16"/>
  <c r="J16" i="16"/>
  <c r="K20" i="16"/>
  <c r="J77" i="16"/>
  <c r="J116" i="16"/>
  <c r="J68" i="16"/>
  <c r="F2" i="6"/>
  <c r="K93" i="16"/>
  <c r="J3" i="16"/>
  <c r="F18" i="6"/>
  <c r="K4" i="16"/>
  <c r="AF1" i="7"/>
  <c r="J41" i="16"/>
  <c r="J80" i="16"/>
  <c r="J46" i="16"/>
  <c r="K9" i="16"/>
  <c r="J6" i="16"/>
  <c r="J40" i="16"/>
  <c r="K62" i="16"/>
  <c r="K91" i="16"/>
  <c r="J119" i="16"/>
  <c r="J10" i="16"/>
  <c r="J115" i="16"/>
  <c r="J4" i="16"/>
  <c r="K13" i="16"/>
  <c r="K85" i="16"/>
  <c r="AI1" i="7"/>
  <c r="J214" i="13"/>
  <c r="K175" i="13"/>
  <c r="J53" i="13"/>
  <c r="I74" i="13"/>
  <c r="K53" i="13"/>
  <c r="K74" i="13"/>
  <c r="J175" i="13"/>
  <c r="J74" i="13"/>
  <c r="K214" i="13"/>
  <c r="AJ1" i="2" l="1"/>
  <c r="Q85" i="16"/>
  <c r="Q94" i="16"/>
  <c r="Q99" i="16"/>
  <c r="Q5" i="16"/>
  <c r="Q13" i="16"/>
  <c r="Q95" i="16"/>
  <c r="Q76" i="16"/>
  <c r="Q69" i="16"/>
  <c r="Q106" i="16"/>
  <c r="Q82" i="16"/>
  <c r="Q100" i="16"/>
  <c r="Q88" i="16"/>
  <c r="Q18" i="16"/>
  <c r="Q111" i="16"/>
  <c r="Q16" i="16"/>
  <c r="Q107" i="16"/>
  <c r="Q103" i="16"/>
  <c r="Q122" i="16"/>
  <c r="Q84" i="16"/>
  <c r="Q48" i="16"/>
  <c r="Q97" i="16"/>
  <c r="Q44" i="16"/>
  <c r="Q43" i="16"/>
  <c r="Q65" i="16"/>
  <c r="Q110" i="16"/>
  <c r="Q91" i="16"/>
  <c r="Q53" i="16"/>
  <c r="Q72" i="16"/>
  <c r="Q114" i="16"/>
  <c r="Q62" i="16"/>
  <c r="O13" i="6"/>
  <c r="I13" i="6"/>
  <c r="AD13" i="6"/>
  <c r="Q13" i="6"/>
  <c r="P13" i="6"/>
  <c r="Z13" i="6"/>
  <c r="G13" i="6"/>
  <c r="AA13" i="6"/>
  <c r="W13" i="6"/>
  <c r="AH13" i="6"/>
  <c r="AC13" i="6"/>
  <c r="AB13" i="6"/>
  <c r="M13" i="6"/>
  <c r="N13" i="6"/>
  <c r="AF13" i="6"/>
  <c r="K13" i="6"/>
  <c r="AE13" i="6"/>
  <c r="Y13" i="6"/>
  <c r="T13" i="6"/>
  <c r="H13" i="6"/>
  <c r="S13" i="6"/>
  <c r="X13" i="6"/>
  <c r="AI13" i="6"/>
  <c r="R13" i="6"/>
  <c r="L13" i="6"/>
  <c r="AG13" i="6"/>
  <c r="V13" i="6"/>
  <c r="U13" i="6"/>
  <c r="J13" i="6"/>
  <c r="Q14" i="16"/>
  <c r="Q67" i="16"/>
  <c r="Q119" i="16"/>
  <c r="Q57" i="16"/>
  <c r="T15" i="6"/>
  <c r="AF15" i="6"/>
  <c r="X15" i="6"/>
  <c r="AC15" i="6"/>
  <c r="U15" i="6"/>
  <c r="R15" i="6"/>
  <c r="W15" i="6"/>
  <c r="M15" i="6"/>
  <c r="J15" i="6"/>
  <c r="S15" i="6"/>
  <c r="H15" i="6"/>
  <c r="AH15" i="6"/>
  <c r="AB15" i="6"/>
  <c r="K15" i="6"/>
  <c r="I15" i="6"/>
  <c r="Q15" i="6"/>
  <c r="Z15" i="6"/>
  <c r="O15" i="6"/>
  <c r="N15" i="6"/>
  <c r="Y15" i="6"/>
  <c r="AG15" i="6"/>
  <c r="AD15" i="6"/>
  <c r="L15" i="6"/>
  <c r="AE15" i="6"/>
  <c r="P15" i="6"/>
  <c r="G15" i="6"/>
  <c r="AA15" i="6"/>
  <c r="V15" i="6"/>
  <c r="AI15" i="6"/>
  <c r="Q45" i="16"/>
  <c r="Q70" i="16"/>
  <c r="Q58" i="16"/>
  <c r="AC16" i="6"/>
  <c r="Z16" i="6"/>
  <c r="I16" i="6"/>
  <c r="G16" i="6"/>
  <c r="AE16" i="6"/>
  <c r="L16" i="6"/>
  <c r="Q16" i="6"/>
  <c r="O16" i="6"/>
  <c r="AD16" i="6"/>
  <c r="X16" i="6"/>
  <c r="V16" i="6"/>
  <c r="AG16" i="6"/>
  <c r="T16" i="6"/>
  <c r="AH16" i="6"/>
  <c r="W16" i="6"/>
  <c r="Y16" i="6"/>
  <c r="J16" i="6"/>
  <c r="R16" i="6"/>
  <c r="AB16" i="6"/>
  <c r="M16" i="6"/>
  <c r="K16" i="6"/>
  <c r="AF16" i="6"/>
  <c r="N16" i="6"/>
  <c r="AA16" i="6"/>
  <c r="U16" i="6"/>
  <c r="H16" i="6"/>
  <c r="S16" i="6"/>
  <c r="P16" i="6"/>
  <c r="AI16" i="6"/>
  <c r="Q125" i="16"/>
  <c r="Q9" i="16"/>
  <c r="Q17" i="16"/>
  <c r="AI1" i="2"/>
  <c r="Q104" i="16"/>
  <c r="Q71" i="16"/>
  <c r="Q127" i="16"/>
  <c r="J12" i="6"/>
  <c r="S12" i="6"/>
  <c r="AD12" i="6"/>
  <c r="Z12" i="6"/>
  <c r="AH12" i="6"/>
  <c r="I12" i="6"/>
  <c r="X12" i="6"/>
  <c r="AC12" i="6"/>
  <c r="Y12" i="6"/>
  <c r="H12" i="6"/>
  <c r="AA12" i="6"/>
  <c r="P12" i="6"/>
  <c r="M12" i="6"/>
  <c r="L12" i="6"/>
  <c r="AG12" i="6"/>
  <c r="AF12" i="6"/>
  <c r="AI12" i="6"/>
  <c r="O12" i="6"/>
  <c r="AE12" i="6"/>
  <c r="T12" i="6"/>
  <c r="N12" i="6"/>
  <c r="W12" i="6"/>
  <c r="R12" i="6"/>
  <c r="G12" i="6"/>
  <c r="U12" i="6"/>
  <c r="AB12" i="6"/>
  <c r="K12" i="6"/>
  <c r="V12" i="6"/>
  <c r="Q12" i="6"/>
  <c r="Q124" i="16"/>
  <c r="Y3" i="6"/>
  <c r="T3" i="6"/>
  <c r="V3" i="6"/>
  <c r="R3" i="6"/>
  <c r="AC3" i="6"/>
  <c r="Z3" i="6"/>
  <c r="U3" i="6"/>
  <c r="O3" i="6"/>
  <c r="S3" i="6"/>
  <c r="N3" i="6"/>
  <c r="L3" i="6"/>
  <c r="AA3" i="6"/>
  <c r="AG3" i="6"/>
  <c r="I3" i="6"/>
  <c r="AE3" i="6"/>
  <c r="AH3" i="6"/>
  <c r="W3" i="6"/>
  <c r="AD3" i="6"/>
  <c r="P3" i="6"/>
  <c r="M3" i="6"/>
  <c r="Q3" i="6"/>
  <c r="AB3" i="6"/>
  <c r="X3" i="6"/>
  <c r="J3" i="6"/>
  <c r="K3" i="6"/>
  <c r="G3" i="6"/>
  <c r="H3" i="6"/>
  <c r="AF3" i="6"/>
  <c r="AI3" i="6"/>
  <c r="Q66" i="16"/>
  <c r="Q112" i="16"/>
  <c r="Q59" i="16"/>
  <c r="Q12" i="16"/>
  <c r="Q40" i="16"/>
  <c r="Q41" i="16"/>
  <c r="Q113" i="16"/>
  <c r="Q4" i="16"/>
  <c r="Q6" i="16"/>
  <c r="Q105" i="16"/>
  <c r="G6" i="6"/>
  <c r="U6" i="6"/>
  <c r="AC6" i="6"/>
  <c r="O6" i="6"/>
  <c r="H6" i="6"/>
  <c r="Q6" i="6"/>
  <c r="W6" i="6"/>
  <c r="Z6" i="6"/>
  <c r="I6" i="6"/>
  <c r="L6" i="6"/>
  <c r="S6" i="6"/>
  <c r="V6" i="6"/>
  <c r="AI6" i="6"/>
  <c r="M6" i="6"/>
  <c r="K6" i="6"/>
  <c r="N6" i="6"/>
  <c r="AF6" i="6"/>
  <c r="Y6" i="6"/>
  <c r="AB6" i="6"/>
  <c r="P6" i="6"/>
  <c r="T6" i="6"/>
  <c r="AD6" i="6"/>
  <c r="AG6" i="6"/>
  <c r="R6" i="6"/>
  <c r="AH6" i="6"/>
  <c r="J6" i="6"/>
  <c r="AA6" i="6"/>
  <c r="AE6" i="6"/>
  <c r="X6" i="6"/>
  <c r="Q50" i="16"/>
  <c r="Q15" i="16"/>
  <c r="K5" i="14"/>
  <c r="K3" i="14"/>
  <c r="Q55" i="16"/>
  <c r="Q8" i="16"/>
  <c r="Q64" i="16"/>
  <c r="Q121" i="16"/>
  <c r="Q80" i="16"/>
  <c r="I5" i="6"/>
  <c r="H5" i="6"/>
  <c r="J5" i="6"/>
  <c r="G5" i="6"/>
  <c r="K5" i="6"/>
  <c r="AA5" i="6"/>
  <c r="L5" i="6"/>
  <c r="O5" i="6"/>
  <c r="W5" i="6"/>
  <c r="R5" i="6"/>
  <c r="S5" i="6"/>
  <c r="AI5" i="6"/>
  <c r="Q5" i="6"/>
  <c r="AE5" i="6"/>
  <c r="AG5" i="6"/>
  <c r="AB5" i="6"/>
  <c r="T5" i="6"/>
  <c r="AF5" i="6"/>
  <c r="AH5" i="6"/>
  <c r="N5" i="6"/>
  <c r="X5" i="6"/>
  <c r="M5" i="6"/>
  <c r="Y5" i="6"/>
  <c r="U5" i="6"/>
  <c r="AC5" i="6"/>
  <c r="AD5" i="6"/>
  <c r="V5" i="6"/>
  <c r="Z5" i="6"/>
  <c r="P5" i="6"/>
  <c r="R175" i="13"/>
  <c r="Q7" i="16"/>
  <c r="Q3" i="16"/>
  <c r="Q78" i="16"/>
  <c r="Q93" i="16"/>
  <c r="Q108" i="16"/>
  <c r="Q63" i="16"/>
  <c r="O10" i="6"/>
  <c r="L10" i="6"/>
  <c r="K10" i="6"/>
  <c r="P10" i="6"/>
  <c r="G10" i="6"/>
  <c r="N10" i="6"/>
  <c r="Q10" i="6"/>
  <c r="I10" i="6"/>
  <c r="J10" i="6"/>
  <c r="H10" i="6"/>
  <c r="M10" i="6"/>
  <c r="W10" i="6"/>
  <c r="AG10" i="6"/>
  <c r="Y10" i="6"/>
  <c r="AA10" i="6"/>
  <c r="AB10" i="6"/>
  <c r="AH10" i="6"/>
  <c r="U10" i="6"/>
  <c r="X10" i="6"/>
  <c r="AE10" i="6"/>
  <c r="AF10" i="6"/>
  <c r="Z10" i="6"/>
  <c r="AI10" i="6"/>
  <c r="R10" i="6"/>
  <c r="AC10" i="6"/>
  <c r="T10" i="6"/>
  <c r="V10" i="6"/>
  <c r="S10" i="6"/>
  <c r="AD10" i="6"/>
  <c r="Q115" i="16"/>
  <c r="Q81" i="16"/>
  <c r="R53" i="13"/>
  <c r="Q73" i="16"/>
  <c r="Q10" i="16"/>
  <c r="Q120" i="16"/>
  <c r="Q123" i="16"/>
  <c r="Q47" i="16"/>
  <c r="Q19" i="16"/>
  <c r="Q102" i="16"/>
  <c r="Q101" i="16"/>
  <c r="Q11" i="16"/>
  <c r="Q128" i="16"/>
  <c r="Q75" i="16"/>
  <c r="Q20" i="16"/>
  <c r="Q92" i="16"/>
  <c r="Q56" i="16"/>
  <c r="Q39" i="16"/>
  <c r="Q60" i="16"/>
  <c r="Q61" i="16"/>
  <c r="Q90" i="16"/>
  <c r="Q116" i="16"/>
  <c r="Q83" i="16"/>
  <c r="Q126" i="16"/>
  <c r="Q68" i="16"/>
  <c r="Q74" i="16"/>
  <c r="Q145" i="16"/>
  <c r="Q77" i="16"/>
  <c r="Q117" i="16"/>
  <c r="Q79" i="16"/>
  <c r="Q89" i="16"/>
  <c r="Q98" i="16"/>
  <c r="Q54" i="16"/>
  <c r="Q109" i="16"/>
  <c r="Q129" i="16"/>
  <c r="Q118" i="16"/>
  <c r="Q52" i="16"/>
  <c r="Q146" i="16"/>
  <c r="Q2" i="16"/>
  <c r="Q87" i="16"/>
  <c r="H8" i="6"/>
  <c r="G8" i="6"/>
  <c r="Y8" i="6"/>
  <c r="O8" i="6"/>
  <c r="K8" i="6"/>
  <c r="AE8" i="6"/>
  <c r="I8" i="6"/>
  <c r="L8" i="6"/>
  <c r="AD8" i="6"/>
  <c r="AH8" i="6"/>
  <c r="V8" i="6"/>
  <c r="M8" i="6"/>
  <c r="AC8" i="6"/>
  <c r="U8" i="6"/>
  <c r="AB8" i="6"/>
  <c r="S8" i="6"/>
  <c r="R8" i="6"/>
  <c r="AA8" i="6"/>
  <c r="X8" i="6"/>
  <c r="T8" i="6"/>
  <c r="Z8" i="6"/>
  <c r="AI8" i="6"/>
  <c r="P8" i="6"/>
  <c r="J8" i="6"/>
  <c r="AG8" i="6"/>
  <c r="N8" i="6"/>
  <c r="Q8" i="6"/>
  <c r="W8" i="6"/>
  <c r="AF8" i="6"/>
  <c r="Q46" i="16"/>
  <c r="W17" i="6"/>
  <c r="L17" i="6"/>
  <c r="AD17" i="6"/>
  <c r="X17" i="6"/>
  <c r="H17" i="6"/>
  <c r="M17" i="6"/>
  <c r="O17" i="6"/>
  <c r="AC17" i="6"/>
  <c r="AA17" i="6"/>
  <c r="N17" i="6"/>
  <c r="P17" i="6"/>
  <c r="Q17" i="6"/>
  <c r="S17" i="6"/>
  <c r="Y17" i="6"/>
  <c r="U17" i="6"/>
  <c r="AG17" i="6"/>
  <c r="AB17" i="6"/>
  <c r="R17" i="6"/>
  <c r="V17" i="6"/>
  <c r="AH17" i="6"/>
  <c r="K17" i="6"/>
  <c r="Z17" i="6"/>
  <c r="T17" i="6"/>
  <c r="AE17" i="6"/>
  <c r="G17" i="6"/>
  <c r="J17" i="6"/>
  <c r="I17" i="6"/>
  <c r="AF17" i="6"/>
  <c r="AI17" i="6"/>
  <c r="Q49" i="16"/>
  <c r="Q86" i="16"/>
  <c r="Q96" i="16"/>
  <c r="R214" i="13"/>
  <c r="Q42" i="16"/>
  <c r="Q51" i="16"/>
  <c r="AH1" i="2"/>
  <c r="AH5" i="2" s="1"/>
  <c r="AE3" i="7"/>
  <c r="AE66" i="7"/>
  <c r="AE24" i="7"/>
  <c r="AE95" i="7"/>
  <c r="AE82" i="7"/>
  <c r="AE44" i="7"/>
  <c r="AE22" i="7"/>
  <c r="AF22" i="7" s="1"/>
  <c r="AE23" i="7"/>
  <c r="AE27" i="7"/>
  <c r="AE96" i="7"/>
  <c r="AE19" i="7"/>
  <c r="AE70" i="7"/>
  <c r="AH74" i="2" s="1"/>
  <c r="AE33" i="7"/>
  <c r="AE38" i="7"/>
  <c r="AE85" i="7"/>
  <c r="AE14" i="7"/>
  <c r="AE69" i="7"/>
  <c r="AE46" i="7"/>
  <c r="AE53" i="7"/>
  <c r="AE12" i="7"/>
  <c r="AH16" i="2" s="1"/>
  <c r="AE79" i="7"/>
  <c r="AE35" i="7"/>
  <c r="AE71" i="7"/>
  <c r="AE65" i="7"/>
  <c r="AE63" i="7"/>
  <c r="AE25" i="7"/>
  <c r="AE21" i="7"/>
  <c r="AE49" i="7"/>
  <c r="AE74" i="7"/>
  <c r="AE7" i="7"/>
  <c r="AE92" i="7"/>
  <c r="AE31" i="7"/>
  <c r="AE40" i="7"/>
  <c r="AE10" i="7"/>
  <c r="AE54" i="7"/>
  <c r="AF54" i="7" s="1"/>
  <c r="AE59" i="7"/>
  <c r="AH63" i="2" s="1"/>
  <c r="AE81" i="7"/>
  <c r="AE36" i="7"/>
  <c r="AE45" i="7"/>
  <c r="AE75" i="7"/>
  <c r="AE94" i="7"/>
  <c r="AE6" i="7"/>
  <c r="AE47" i="7"/>
  <c r="AH51" i="2" s="1"/>
  <c r="AE26" i="7"/>
  <c r="AE90" i="7"/>
  <c r="AE87" i="7"/>
  <c r="AE89" i="7"/>
  <c r="AE51" i="7"/>
  <c r="AE17" i="7"/>
  <c r="AE9" i="7"/>
  <c r="AE88" i="7"/>
  <c r="AE13" i="7"/>
  <c r="AH17" i="2" s="1"/>
  <c r="AE61" i="7"/>
  <c r="AE91" i="7"/>
  <c r="AE86" i="7"/>
  <c r="AE55" i="7"/>
  <c r="AE83" i="7"/>
  <c r="AE52" i="7"/>
  <c r="AE34" i="7"/>
  <c r="AH38" i="2" s="1"/>
  <c r="AE39" i="7"/>
  <c r="AE68" i="7"/>
  <c r="AE5" i="7"/>
  <c r="AE76" i="7"/>
  <c r="AH80" i="2" s="1"/>
  <c r="AE8" i="7"/>
  <c r="AE41" i="7"/>
  <c r="AE48" i="7"/>
  <c r="AE72" i="7"/>
  <c r="AE77" i="7"/>
  <c r="AJ77" i="6" s="1"/>
  <c r="AE73" i="7"/>
  <c r="AE43" i="7"/>
  <c r="AE60" i="7"/>
  <c r="AE18" i="7"/>
  <c r="AE29" i="7"/>
  <c r="AE93" i="7"/>
  <c r="AE11" i="7"/>
  <c r="AE62" i="7"/>
  <c r="AE97" i="7"/>
  <c r="AE98" i="7"/>
  <c r="AE15" i="7"/>
  <c r="AE57" i="7"/>
  <c r="AE42" i="7"/>
  <c r="AE67" i="7"/>
  <c r="AE28" i="7"/>
  <c r="AE84" i="7"/>
  <c r="AE16" i="7"/>
  <c r="AE56" i="7"/>
  <c r="AE80" i="7"/>
  <c r="AE4" i="7"/>
  <c r="AE2" i="7"/>
  <c r="AE32" i="7"/>
  <c r="AE58" i="7"/>
  <c r="AE64" i="7"/>
  <c r="AE30" i="7"/>
  <c r="AE20" i="7"/>
  <c r="AE50" i="7"/>
  <c r="AE78" i="7"/>
  <c r="AE99" i="7"/>
  <c r="AE37" i="7"/>
  <c r="AH77" i="2"/>
  <c r="AJ73" i="6"/>
  <c r="AH76" i="2"/>
  <c r="AJ72" i="6"/>
  <c r="AH45" i="2"/>
  <c r="AJ41" i="6"/>
  <c r="AH12" i="2"/>
  <c r="AJ8" i="6"/>
  <c r="AH9" i="2"/>
  <c r="AJ5" i="6"/>
  <c r="AH87" i="2"/>
  <c r="AJ83" i="6"/>
  <c r="AJ91" i="6"/>
  <c r="AH95" i="2"/>
  <c r="AJ61" i="6"/>
  <c r="AH65" i="2"/>
  <c r="AH92" i="2"/>
  <c r="AJ88" i="6"/>
  <c r="AH13" i="2"/>
  <c r="AJ9" i="6"/>
  <c r="AH21" i="2"/>
  <c r="AJ17" i="6"/>
  <c r="AH91" i="2"/>
  <c r="AJ87" i="6"/>
  <c r="AJ90" i="6"/>
  <c r="AH94" i="2"/>
  <c r="AH10" i="2"/>
  <c r="AJ6" i="6"/>
  <c r="AJ54" i="6"/>
  <c r="AH58" i="2"/>
  <c r="AH14" i="2"/>
  <c r="AJ10" i="6"/>
  <c r="AH44" i="2"/>
  <c r="AJ40" i="6"/>
  <c r="AH11" i="2"/>
  <c r="AJ7" i="6"/>
  <c r="AJ49" i="6"/>
  <c r="AH53" i="2"/>
  <c r="AH18" i="2"/>
  <c r="AJ14" i="6"/>
  <c r="AH26" i="2"/>
  <c r="AJ22" i="6"/>
  <c r="AH86" i="2"/>
  <c r="AJ82" i="6"/>
  <c r="AH7" i="2"/>
  <c r="AJ3" i="6"/>
  <c r="AF3" i="7"/>
  <c r="AF76" i="7"/>
  <c r="AF88" i="7"/>
  <c r="AF12" i="7"/>
  <c r="AF49" i="7"/>
  <c r="AF91" i="7"/>
  <c r="AF82" i="7"/>
  <c r="AF17" i="7"/>
  <c r="AF6" i="7"/>
  <c r="AF61" i="7"/>
  <c r="AF10" i="7"/>
  <c r="AF41" i="7"/>
  <c r="AF90" i="7"/>
  <c r="AF8" i="7"/>
  <c r="AF5" i="7"/>
  <c r="AF9" i="7"/>
  <c r="AF73" i="7"/>
  <c r="AF87" i="7"/>
  <c r="AF7" i="7"/>
  <c r="AF83" i="7"/>
  <c r="AF72" i="7"/>
  <c r="AF40" i="7"/>
  <c r="AF14" i="7"/>
  <c r="AI5" i="2"/>
  <c r="AJ5" i="2" s="1"/>
  <c r="AH41" i="2"/>
  <c r="AJ37" i="6"/>
  <c r="AF37" i="7"/>
  <c r="R74" i="13"/>
  <c r="T183" i="13"/>
  <c r="A27" i="2"/>
  <c r="B26" i="2"/>
  <c r="AK1" i="2"/>
  <c r="AK5" i="2" s="1"/>
  <c r="R5" i="14"/>
  <c r="R3" i="14"/>
  <c r="AJ1" i="7"/>
  <c r="I168" i="13"/>
  <c r="I29" i="13"/>
  <c r="I205" i="13"/>
  <c r="I93" i="13"/>
  <c r="I158" i="13"/>
  <c r="I229" i="13"/>
  <c r="I194" i="13"/>
  <c r="I173" i="13"/>
  <c r="I164" i="13"/>
  <c r="I63" i="13"/>
  <c r="I46" i="13"/>
  <c r="I155" i="13"/>
  <c r="I117" i="13"/>
  <c r="I60" i="13"/>
  <c r="I189" i="13"/>
  <c r="I42" i="13"/>
  <c r="I27" i="13"/>
  <c r="J27" i="13" s="1"/>
  <c r="I62" i="13"/>
  <c r="I249" i="13"/>
  <c r="I130" i="13"/>
  <c r="I134" i="13"/>
  <c r="I191" i="13"/>
  <c r="I234" i="13"/>
  <c r="I182" i="13"/>
  <c r="I195" i="13"/>
  <c r="I236" i="13"/>
  <c r="I101" i="13"/>
  <c r="I12" i="13"/>
  <c r="I238" i="13"/>
  <c r="I75" i="13"/>
  <c r="I99" i="13"/>
  <c r="I221" i="13"/>
  <c r="I48" i="13"/>
  <c r="I56" i="13"/>
  <c r="I45" i="13"/>
  <c r="I137" i="13"/>
  <c r="I144" i="13"/>
  <c r="I243" i="13"/>
  <c r="I172" i="13"/>
  <c r="I268" i="13"/>
  <c r="I179" i="13"/>
  <c r="I86" i="13"/>
  <c r="I161" i="13"/>
  <c r="I224" i="13"/>
  <c r="I61" i="13"/>
  <c r="I151" i="13"/>
  <c r="I44" i="13"/>
  <c r="I41" i="13"/>
  <c r="I208" i="13"/>
  <c r="I219" i="13"/>
  <c r="I126" i="13"/>
  <c r="I215" i="13"/>
  <c r="I133" i="13"/>
  <c r="I149" i="13"/>
  <c r="I40" i="13"/>
  <c r="I120" i="13"/>
  <c r="I38" i="13"/>
  <c r="I32" i="13"/>
  <c r="I9" i="13"/>
  <c r="I270" i="13"/>
  <c r="I104" i="13"/>
  <c r="I89" i="13"/>
  <c r="I192" i="13"/>
  <c r="K151" i="13"/>
  <c r="K182" i="13"/>
  <c r="K120" i="13"/>
  <c r="K164" i="13"/>
  <c r="K32" i="13"/>
  <c r="J130" i="13"/>
  <c r="J229" i="13"/>
  <c r="K134" i="13"/>
  <c r="J158" i="13"/>
  <c r="J189" i="13"/>
  <c r="J48" i="13"/>
  <c r="K40" i="13"/>
  <c r="J75" i="13"/>
  <c r="J205" i="13"/>
  <c r="J63" i="13"/>
  <c r="K3" i="13"/>
  <c r="I24" i="13"/>
  <c r="K24" i="13" s="1"/>
  <c r="I123" i="13"/>
  <c r="I263" i="13"/>
  <c r="I147" i="13"/>
  <c r="J147" i="13" s="1"/>
  <c r="I73" i="13"/>
  <c r="J73" i="13" s="1"/>
  <c r="I242" i="13"/>
  <c r="J242" i="13" s="1"/>
  <c r="I17" i="13"/>
  <c r="J17" i="13" s="1"/>
  <c r="I111" i="13"/>
  <c r="I228" i="13"/>
  <c r="I245" i="13"/>
  <c r="I247" i="13"/>
  <c r="K247" i="13" s="1"/>
  <c r="I213" i="13"/>
  <c r="J213" i="13" s="1"/>
  <c r="I206" i="13"/>
  <c r="I112" i="13"/>
  <c r="K112" i="13" s="1"/>
  <c r="I92" i="13"/>
  <c r="I148" i="13"/>
  <c r="I121" i="13"/>
  <c r="J121" i="13" s="1"/>
  <c r="I165" i="13"/>
  <c r="I49" i="13"/>
  <c r="I98" i="13"/>
  <c r="I11" i="13"/>
  <c r="I59" i="13"/>
  <c r="I185" i="13"/>
  <c r="I252" i="13"/>
  <c r="I31" i="13"/>
  <c r="J31" i="13" s="1"/>
  <c r="I197" i="13"/>
  <c r="I201" i="13"/>
  <c r="I259" i="13"/>
  <c r="I246" i="13"/>
  <c r="I113" i="13"/>
  <c r="I271" i="13"/>
  <c r="I203" i="13"/>
  <c r="I170" i="13"/>
  <c r="I269" i="13"/>
  <c r="I129" i="13"/>
  <c r="I139" i="13"/>
  <c r="I26" i="13"/>
  <c r="I223" i="13"/>
  <c r="I202" i="13"/>
  <c r="I140" i="13"/>
  <c r="I96" i="13"/>
  <c r="I171" i="13"/>
  <c r="I88" i="13"/>
  <c r="I217" i="13"/>
  <c r="I20" i="13"/>
  <c r="I67" i="13"/>
  <c r="I160" i="13"/>
  <c r="I180" i="13"/>
  <c r="I107" i="13"/>
  <c r="I14" i="13"/>
  <c r="I264" i="13"/>
  <c r="I94" i="13"/>
  <c r="I225" i="13"/>
  <c r="I176" i="13"/>
  <c r="I39" i="13"/>
  <c r="I233" i="13"/>
  <c r="I251" i="13"/>
  <c r="I78" i="13"/>
  <c r="I64" i="13"/>
  <c r="I131" i="13"/>
  <c r="I54" i="13"/>
  <c r="I142" i="13"/>
  <c r="I33" i="13"/>
  <c r="I102" i="13"/>
  <c r="J111" i="13"/>
  <c r="J126" i="13"/>
  <c r="I190" i="13"/>
  <c r="I152" i="13"/>
  <c r="I90" i="13"/>
  <c r="I239" i="13"/>
  <c r="J239" i="13" s="1"/>
  <c r="I183" i="13"/>
  <c r="I47" i="13"/>
  <c r="I178" i="13"/>
  <c r="I272" i="13"/>
  <c r="I250" i="13"/>
  <c r="I204" i="13"/>
  <c r="I226" i="13"/>
  <c r="I82" i="13"/>
  <c r="I55" i="13"/>
  <c r="I103" i="13"/>
  <c r="I105" i="13"/>
  <c r="J105" i="13" s="1"/>
  <c r="I241" i="13"/>
  <c r="K241" i="13" s="1"/>
  <c r="I184" i="13"/>
  <c r="K184" i="13" s="1"/>
  <c r="I106" i="13"/>
  <c r="I220" i="13"/>
  <c r="I95" i="13"/>
  <c r="J95" i="13" s="1"/>
  <c r="I266" i="13"/>
  <c r="I6" i="13"/>
  <c r="I125" i="13"/>
  <c r="I21" i="13"/>
  <c r="I118" i="13"/>
  <c r="I162" i="13"/>
  <c r="I207" i="13"/>
  <c r="I81" i="13"/>
  <c r="I51" i="13"/>
  <c r="I146" i="13"/>
  <c r="I128" i="13"/>
  <c r="I248" i="13"/>
  <c r="I141" i="13"/>
  <c r="I28" i="13"/>
  <c r="J28" i="13" s="1"/>
  <c r="I216" i="13"/>
  <c r="I8" i="13"/>
  <c r="I119" i="13"/>
  <c r="I255" i="13"/>
  <c r="I177" i="13"/>
  <c r="I68" i="13"/>
  <c r="I100" i="13"/>
  <c r="I163" i="13"/>
  <c r="I196" i="13"/>
  <c r="I87" i="13"/>
  <c r="I71" i="13"/>
  <c r="I231" i="13"/>
  <c r="I267" i="13"/>
  <c r="J267" i="13" s="1"/>
  <c r="I22" i="13"/>
  <c r="I222" i="13"/>
  <c r="I72" i="13"/>
  <c r="I13" i="13"/>
  <c r="I124" i="13"/>
  <c r="I227" i="13"/>
  <c r="I65" i="13"/>
  <c r="I70" i="13"/>
  <c r="I43" i="13"/>
  <c r="I240" i="13"/>
  <c r="I109" i="13"/>
  <c r="I91" i="13"/>
  <c r="I132" i="13"/>
  <c r="I138" i="13"/>
  <c r="I174" i="13"/>
  <c r="I198" i="13"/>
  <c r="I145" i="13"/>
  <c r="I84" i="13"/>
  <c r="I254" i="13"/>
  <c r="K31" i="13"/>
  <c r="J142" i="13"/>
  <c r="J86" i="13"/>
  <c r="K95" i="13"/>
  <c r="J119" i="13"/>
  <c r="K170" i="13"/>
  <c r="K27" i="13"/>
  <c r="J243" i="13"/>
  <c r="J145" i="13"/>
  <c r="K142" i="13"/>
  <c r="K251" i="13"/>
  <c r="K225" i="13"/>
  <c r="J30" i="13"/>
  <c r="K172" i="13"/>
  <c r="K82" i="13"/>
  <c r="K28" i="13"/>
  <c r="J100" i="13"/>
  <c r="K173" i="13"/>
  <c r="J190" i="13"/>
  <c r="K168" i="13"/>
  <c r="J152" i="13"/>
  <c r="K29" i="13"/>
  <c r="K123" i="13"/>
  <c r="J183" i="13"/>
  <c r="J47" i="13"/>
  <c r="J178" i="13"/>
  <c r="K272" i="13"/>
  <c r="J250" i="13"/>
  <c r="K204" i="13"/>
  <c r="J55" i="13"/>
  <c r="K155" i="13"/>
  <c r="K103" i="13"/>
  <c r="K117" i="13"/>
  <c r="K92" i="13"/>
  <c r="K106" i="13"/>
  <c r="K5" i="13"/>
  <c r="J165" i="13"/>
  <c r="J62" i="13"/>
  <c r="J266" i="13"/>
  <c r="I25" i="13"/>
  <c r="J25" i="13" s="1"/>
  <c r="I218" i="13"/>
  <c r="K218" i="13" s="1"/>
  <c r="I7" i="13"/>
  <c r="I77" i="13"/>
  <c r="I159" i="13"/>
  <c r="I80" i="13"/>
  <c r="I10" i="13"/>
  <c r="I122" i="13"/>
  <c r="I135" i="13"/>
  <c r="K135" i="13" s="1"/>
  <c r="I19" i="13"/>
  <c r="K19" i="13" s="1"/>
  <c r="I79" i="13"/>
  <c r="K79" i="13" s="1"/>
  <c r="I237" i="13"/>
  <c r="K237" i="13" s="1"/>
  <c r="I15" i="13"/>
  <c r="K15" i="13" s="1"/>
  <c r="I232" i="13"/>
  <c r="J232" i="13" s="1"/>
  <c r="I256" i="13"/>
  <c r="J256" i="13" s="1"/>
  <c r="I253" i="13"/>
  <c r="K253" i="13" s="1"/>
  <c r="I114" i="13"/>
  <c r="I210" i="13"/>
  <c r="I66" i="13"/>
  <c r="K66" i="13" s="1"/>
  <c r="I34" i="13"/>
  <c r="K34" i="13" s="1"/>
  <c r="I136" i="13"/>
  <c r="I260" i="13"/>
  <c r="I212" i="13"/>
  <c r="I37" i="13"/>
  <c r="I115" i="13"/>
  <c r="I199" i="13"/>
  <c r="I50" i="13"/>
  <c r="I186" i="13"/>
  <c r="I52" i="13"/>
  <c r="I36" i="13"/>
  <c r="I143" i="13"/>
  <c r="I69" i="13"/>
  <c r="I209" i="13"/>
  <c r="I23" i="13"/>
  <c r="I257" i="13"/>
  <c r="I157" i="13"/>
  <c r="I83" i="13"/>
  <c r="I35" i="13"/>
  <c r="I127" i="13"/>
  <c r="I16" i="13"/>
  <c r="I156" i="13"/>
  <c r="I244" i="13"/>
  <c r="I154" i="13"/>
  <c r="I58" i="13"/>
  <c r="I181" i="13"/>
  <c r="I211" i="13"/>
  <c r="I258" i="13"/>
  <c r="I97" i="13"/>
  <c r="I200" i="13"/>
  <c r="I262" i="13"/>
  <c r="I150" i="13"/>
  <c r="I265" i="13"/>
  <c r="K265" i="13" s="1"/>
  <c r="I230" i="13"/>
  <c r="I108" i="13"/>
  <c r="I167" i="13"/>
  <c r="I166" i="13"/>
  <c r="I57" i="13"/>
  <c r="I85" i="13"/>
  <c r="I261" i="13"/>
  <c r="I76" i="13"/>
  <c r="I187" i="13"/>
  <c r="I153" i="13"/>
  <c r="I169" i="13"/>
  <c r="I116" i="13"/>
  <c r="K46" i="13"/>
  <c r="K201" i="13"/>
  <c r="J115" i="13"/>
  <c r="J271" i="13"/>
  <c r="J270" i="13"/>
  <c r="J38" i="13"/>
  <c r="K48" i="13"/>
  <c r="J226" i="13"/>
  <c r="K177" i="13"/>
  <c r="J131" i="13"/>
  <c r="J203" i="13"/>
  <c r="J221" i="13"/>
  <c r="K42" i="13"/>
  <c r="K60" i="13"/>
  <c r="K11" i="13"/>
  <c r="J265" i="13"/>
  <c r="K244" i="13"/>
  <c r="J112" i="13"/>
  <c r="J224" i="13"/>
  <c r="J46" i="13"/>
  <c r="J162" i="13"/>
  <c r="J118" i="13"/>
  <c r="J201" i="13"/>
  <c r="K194" i="13"/>
  <c r="K86" i="13"/>
  <c r="J223" i="13"/>
  <c r="J264" i="13"/>
  <c r="J179" i="13"/>
  <c r="K190" i="13"/>
  <c r="J168" i="13"/>
  <c r="J218" i="13"/>
  <c r="J24" i="13"/>
  <c r="K205" i="13"/>
  <c r="K239" i="13"/>
  <c r="K183" i="13"/>
  <c r="K47" i="13"/>
  <c r="K178" i="13"/>
  <c r="J272" i="13"/>
  <c r="K250" i="13"/>
  <c r="J204" i="13"/>
  <c r="J79" i="13"/>
  <c r="J237" i="13"/>
  <c r="K55" i="13"/>
  <c r="J155" i="13"/>
  <c r="K232" i="13"/>
  <c r="J206" i="13"/>
  <c r="K256" i="13"/>
  <c r="J3" i="13"/>
  <c r="J184" i="13"/>
  <c r="J106" i="13"/>
  <c r="J5" i="13"/>
  <c r="J34" i="13"/>
  <c r="K49" i="13"/>
  <c r="K136" i="13"/>
  <c r="K98" i="13"/>
  <c r="K260" i="13"/>
  <c r="K212" i="13"/>
  <c r="K21" i="13"/>
  <c r="J185" i="13"/>
  <c r="J252" i="13"/>
  <c r="K50" i="13"/>
  <c r="J82" i="13"/>
  <c r="K236" i="13"/>
  <c r="J153" i="13"/>
  <c r="J211" i="13"/>
  <c r="J14" i="13"/>
  <c r="J245" i="13"/>
  <c r="K25" i="13"/>
  <c r="J123" i="13"/>
  <c r="K242" i="13"/>
  <c r="K63" i="13"/>
  <c r="J117" i="13"/>
  <c r="K114" i="13"/>
  <c r="J49" i="13"/>
  <c r="K249" i="13"/>
  <c r="K125" i="13"/>
  <c r="K59" i="13"/>
  <c r="K191" i="13"/>
  <c r="K252" i="13"/>
  <c r="J195" i="13"/>
  <c r="J81" i="13"/>
  <c r="K52" i="13"/>
  <c r="J259" i="13"/>
  <c r="K12" i="13"/>
  <c r="J128" i="13"/>
  <c r="J238" i="13"/>
  <c r="K248" i="13"/>
  <c r="J141" i="13"/>
  <c r="K99" i="13"/>
  <c r="J257" i="13"/>
  <c r="K8" i="13"/>
  <c r="K56" i="13"/>
  <c r="J83" i="13"/>
  <c r="K139" i="13"/>
  <c r="J35" i="13"/>
  <c r="J127" i="13"/>
  <c r="J163" i="13"/>
  <c r="J154" i="13"/>
  <c r="J87" i="13"/>
  <c r="J181" i="13"/>
  <c r="K161" i="13"/>
  <c r="J61" i="13"/>
  <c r="K222" i="13"/>
  <c r="K160" i="13"/>
  <c r="J180" i="13"/>
  <c r="K262" i="13"/>
  <c r="K107" i="13"/>
  <c r="J150" i="13"/>
  <c r="K227" i="13"/>
  <c r="J65" i="13"/>
  <c r="K70" i="13"/>
  <c r="K167" i="13"/>
  <c r="J176" i="13"/>
  <c r="K149" i="13"/>
  <c r="J109" i="13"/>
  <c r="K91" i="13"/>
  <c r="J132" i="13"/>
  <c r="J138" i="13"/>
  <c r="K64" i="13"/>
  <c r="J9" i="13"/>
  <c r="K54" i="13"/>
  <c r="J84" i="13"/>
  <c r="K89" i="13"/>
  <c r="K254" i="13"/>
  <c r="K192" i="13"/>
  <c r="J134" i="13"/>
  <c r="K68" i="13"/>
  <c r="K233" i="13"/>
  <c r="J236" i="13"/>
  <c r="K199" i="13"/>
  <c r="J18" i="13"/>
  <c r="J93" i="13"/>
  <c r="K17" i="13"/>
  <c r="J247" i="13"/>
  <c r="K105" i="13"/>
  <c r="K121" i="13"/>
  <c r="K266" i="13"/>
  <c r="J98" i="13"/>
  <c r="J125" i="13"/>
  <c r="J21" i="13"/>
  <c r="K185" i="13"/>
  <c r="J207" i="13"/>
  <c r="K186" i="13"/>
  <c r="J52" i="13"/>
  <c r="K259" i="13"/>
  <c r="K128" i="13"/>
  <c r="J248" i="13"/>
  <c r="J216" i="13"/>
  <c r="K157" i="13"/>
  <c r="J45" i="13"/>
  <c r="J137" i="13"/>
  <c r="J196" i="13"/>
  <c r="K87" i="13"/>
  <c r="J161" i="13"/>
  <c r="J200" i="13"/>
  <c r="J262" i="13"/>
  <c r="K150" i="13"/>
  <c r="J227" i="13"/>
  <c r="J167" i="13"/>
  <c r="K176" i="13"/>
  <c r="K109" i="13"/>
  <c r="K132" i="13"/>
  <c r="J64" i="13"/>
  <c r="J54" i="13"/>
  <c r="J89" i="13"/>
  <c r="J192" i="13"/>
  <c r="K196" i="13"/>
  <c r="J88" i="13"/>
  <c r="J4" i="13"/>
  <c r="J41" i="13"/>
  <c r="K219" i="13"/>
  <c r="K43" i="13"/>
  <c r="K39" i="13"/>
  <c r="K85" i="13"/>
  <c r="J261" i="13"/>
  <c r="K104" i="13"/>
  <c r="J102" i="13"/>
  <c r="J43" i="13"/>
  <c r="J57" i="13"/>
  <c r="K187" i="13"/>
  <c r="K33" i="13"/>
  <c r="K231" i="13"/>
  <c r="K195" i="13"/>
  <c r="J12" i="13"/>
  <c r="K238" i="13"/>
  <c r="K209" i="13"/>
  <c r="K269" i="13"/>
  <c r="J129" i="13"/>
  <c r="J255" i="13"/>
  <c r="K144" i="13"/>
  <c r="K268" i="13"/>
  <c r="K181" i="13"/>
  <c r="K61" i="13"/>
  <c r="J222" i="13"/>
  <c r="K180" i="13"/>
  <c r="J107" i="13"/>
  <c r="K65" i="13"/>
  <c r="K215" i="13"/>
  <c r="J149" i="13"/>
  <c r="J91" i="13"/>
  <c r="K138" i="13"/>
  <c r="K9" i="13"/>
  <c r="K84" i="13"/>
  <c r="J254" i="13"/>
  <c r="K137" i="13"/>
  <c r="K58" i="13"/>
  <c r="J67" i="13"/>
  <c r="K13" i="13"/>
  <c r="J124" i="13"/>
  <c r="J94" i="13"/>
  <c r="J2" i="13"/>
  <c r="K57" i="13"/>
  <c r="K76" i="13"/>
  <c r="J169" i="13"/>
  <c r="K116" i="13"/>
  <c r="J70" i="13"/>
  <c r="J166" i="13"/>
  <c r="J76" i="13"/>
  <c r="J116" i="13"/>
  <c r="J72" i="13"/>
  <c r="J148" i="13"/>
  <c r="K20" i="13"/>
  <c r="J151" i="13"/>
  <c r="J90" i="13"/>
  <c r="J29" i="13"/>
  <c r="K147" i="13"/>
  <c r="J135" i="13"/>
  <c r="J15" i="13"/>
  <c r="J253" i="13"/>
  <c r="K165" i="13"/>
  <c r="J136" i="13"/>
  <c r="J6" i="13"/>
  <c r="J212" i="13"/>
  <c r="K37" i="13"/>
  <c r="J234" i="13"/>
  <c r="K207" i="13"/>
  <c r="K197" i="13"/>
  <c r="J51" i="13"/>
  <c r="J101" i="13"/>
  <c r="K146" i="13"/>
  <c r="K246" i="13"/>
  <c r="K143" i="13"/>
  <c r="K113" i="13"/>
  <c r="K69" i="13"/>
  <c r="J209" i="13"/>
  <c r="K216" i="13"/>
  <c r="J269" i="13"/>
  <c r="J157" i="13"/>
  <c r="K129" i="13"/>
  <c r="K45" i="13"/>
  <c r="K255" i="13"/>
  <c r="J144" i="13"/>
  <c r="J268" i="13"/>
  <c r="K22" i="13"/>
  <c r="J44" i="13"/>
  <c r="J208" i="13"/>
  <c r="J133" i="13"/>
  <c r="K166" i="13"/>
  <c r="J198" i="13"/>
  <c r="J33" i="13"/>
  <c r="K133" i="13"/>
  <c r="J39" i="13"/>
  <c r="K261" i="13"/>
  <c r="K169" i="13"/>
  <c r="K102" i="13"/>
  <c r="K171" i="13"/>
  <c r="K16" i="13"/>
  <c r="K230" i="13"/>
  <c r="J120" i="13"/>
  <c r="K97" i="13"/>
  <c r="K267" i="13"/>
  <c r="J7" i="13"/>
  <c r="K73" i="13"/>
  <c r="J19" i="13"/>
  <c r="K213" i="13"/>
  <c r="J92" i="13"/>
  <c r="K62" i="13"/>
  <c r="J249" i="13"/>
  <c r="J260" i="13"/>
  <c r="J59" i="13"/>
  <c r="J191" i="13"/>
  <c r="K234" i="13"/>
  <c r="J50" i="13"/>
  <c r="J197" i="13"/>
  <c r="K51" i="13"/>
  <c r="K101" i="13"/>
  <c r="J146" i="13"/>
  <c r="J246" i="13"/>
  <c r="J143" i="13"/>
  <c r="J113" i="13"/>
  <c r="K141" i="13"/>
  <c r="J99" i="13"/>
  <c r="K257" i="13"/>
  <c r="J8" i="13"/>
  <c r="J56" i="13"/>
  <c r="K83" i="13"/>
  <c r="J139" i="13"/>
  <c r="K35" i="13"/>
  <c r="K127" i="13"/>
  <c r="K163" i="13"/>
  <c r="K154" i="13"/>
  <c r="J96" i="13"/>
  <c r="J71" i="13"/>
  <c r="K88" i="13"/>
  <c r="J22" i="13"/>
  <c r="K67" i="13"/>
  <c r="J160" i="13"/>
  <c r="K44" i="13"/>
  <c r="J13" i="13"/>
  <c r="K41" i="13"/>
  <c r="K124" i="13"/>
  <c r="K208" i="13"/>
  <c r="J219" i="13"/>
  <c r="K2" i="13"/>
  <c r="J85" i="13"/>
  <c r="J104" i="13"/>
  <c r="J263" i="13"/>
  <c r="J228" i="13"/>
  <c r="K26" i="13"/>
  <c r="K202" i="13"/>
  <c r="K140" i="13"/>
  <c r="J217" i="13"/>
  <c r="K78" i="13"/>
  <c r="K220" i="13"/>
  <c r="J240" i="13"/>
  <c r="K174" i="13"/>
  <c r="K77" i="13"/>
  <c r="K159" i="13"/>
  <c r="J80" i="13"/>
  <c r="K80" i="13"/>
  <c r="K10" i="13"/>
  <c r="K122" i="13"/>
  <c r="J210" i="13"/>
  <c r="K36" i="13"/>
  <c r="J23" i="13"/>
  <c r="J156" i="13"/>
  <c r="J258" i="13"/>
  <c r="K108" i="13"/>
  <c r="I10" i="1"/>
  <c r="K7" i="13"/>
  <c r="X14" i="10"/>
  <c r="Z14" i="10" s="1"/>
  <c r="X3" i="10"/>
  <c r="Z3" i="10" s="1"/>
  <c r="X7" i="10"/>
  <c r="Z7" i="10" s="1"/>
  <c r="X11" i="10"/>
  <c r="Z11" i="10" s="1"/>
  <c r="X15" i="10"/>
  <c r="Z15" i="10" s="1"/>
  <c r="X6" i="10"/>
  <c r="Z6" i="10" s="1"/>
  <c r="X18" i="10"/>
  <c r="Z18" i="10" s="1"/>
  <c r="X4" i="10"/>
  <c r="Z4" i="10" s="1"/>
  <c r="X8" i="10"/>
  <c r="Z8" i="10" s="1"/>
  <c r="X12" i="10"/>
  <c r="Z12" i="10" s="1"/>
  <c r="X16" i="10"/>
  <c r="Z16" i="10" s="1"/>
  <c r="X10" i="10"/>
  <c r="Z10" i="10" s="1"/>
  <c r="X5" i="10"/>
  <c r="Z5" i="10" s="1"/>
  <c r="X9" i="10"/>
  <c r="Z9" i="10" s="1"/>
  <c r="X13" i="10"/>
  <c r="Z13" i="10" s="1"/>
  <c r="X17" i="10"/>
  <c r="Z17" i="10" s="1"/>
  <c r="X19" i="10"/>
  <c r="Z19" i="10" s="1"/>
  <c r="AF59" i="7" l="1"/>
  <c r="AF47" i="7"/>
  <c r="AF70" i="7"/>
  <c r="AJ70" i="6"/>
  <c r="AJ12" i="6"/>
  <c r="AJ59" i="6"/>
  <c r="AJ47" i="6"/>
  <c r="AJ13" i="6"/>
  <c r="AJ34" i="6"/>
  <c r="AJ76" i="6"/>
  <c r="AH81" i="2"/>
  <c r="AF13" i="7"/>
  <c r="AF34" i="7"/>
  <c r="AF77" i="7"/>
  <c r="R102" i="13"/>
  <c r="R192" i="13"/>
  <c r="R116" i="13"/>
  <c r="R254" i="13"/>
  <c r="R33" i="13"/>
  <c r="R89" i="13"/>
  <c r="R169" i="13"/>
  <c r="R84" i="13"/>
  <c r="R104" i="13"/>
  <c r="R54" i="13"/>
  <c r="R9" i="13"/>
  <c r="R76" i="13"/>
  <c r="R64" i="13"/>
  <c r="R261" i="13"/>
  <c r="R138" i="13"/>
  <c r="R85" i="13"/>
  <c r="R132" i="13"/>
  <c r="R57" i="13"/>
  <c r="R91" i="13"/>
  <c r="R166" i="13"/>
  <c r="R109" i="13"/>
  <c r="R39" i="13"/>
  <c r="R149" i="13"/>
  <c r="R2" i="13"/>
  <c r="R176" i="13"/>
  <c r="R133" i="13"/>
  <c r="R167" i="13"/>
  <c r="R43" i="13"/>
  <c r="R70" i="13"/>
  <c r="R65" i="13"/>
  <c r="R219" i="13"/>
  <c r="R227" i="13"/>
  <c r="R208" i="13"/>
  <c r="R150" i="13"/>
  <c r="R124" i="13"/>
  <c r="R107" i="13"/>
  <c r="R41" i="13"/>
  <c r="R262" i="13"/>
  <c r="R13" i="13"/>
  <c r="R180" i="13"/>
  <c r="R44" i="13"/>
  <c r="R160" i="13"/>
  <c r="R222" i="13"/>
  <c r="R67" i="13"/>
  <c r="R61" i="13"/>
  <c r="R22" i="13"/>
  <c r="R161" i="13"/>
  <c r="R88" i="13"/>
  <c r="R181" i="13"/>
  <c r="R87" i="13"/>
  <c r="R268" i="13"/>
  <c r="R154" i="13"/>
  <c r="R196" i="13"/>
  <c r="R163" i="13"/>
  <c r="R144" i="13"/>
  <c r="R127" i="13"/>
  <c r="R137" i="13"/>
  <c r="R35" i="13"/>
  <c r="R255" i="13"/>
  <c r="R139" i="13"/>
  <c r="R45" i="13"/>
  <c r="R83" i="13"/>
  <c r="R129" i="13"/>
  <c r="R56" i="13"/>
  <c r="R157" i="13"/>
  <c r="R8" i="13"/>
  <c r="R269" i="13"/>
  <c r="R257" i="13"/>
  <c r="R216" i="13"/>
  <c r="R99" i="13"/>
  <c r="R209" i="13"/>
  <c r="R141" i="13"/>
  <c r="R248" i="13"/>
  <c r="R113" i="13"/>
  <c r="R238" i="13"/>
  <c r="R143" i="13"/>
  <c r="R128" i="13"/>
  <c r="R246" i="13"/>
  <c r="R12" i="13"/>
  <c r="R146" i="13"/>
  <c r="R259" i="13"/>
  <c r="R101" i="13"/>
  <c r="R52" i="13"/>
  <c r="R51" i="13"/>
  <c r="R197" i="13"/>
  <c r="R195" i="13"/>
  <c r="R50" i="13"/>
  <c r="R207" i="13"/>
  <c r="R252" i="13"/>
  <c r="R234" i="13"/>
  <c r="R185" i="13"/>
  <c r="R191" i="13"/>
  <c r="R21" i="13"/>
  <c r="R59" i="13"/>
  <c r="R212" i="13"/>
  <c r="R125" i="13"/>
  <c r="R260" i="13"/>
  <c r="R98" i="13"/>
  <c r="R249" i="13"/>
  <c r="R136" i="13"/>
  <c r="R266" i="13"/>
  <c r="R49" i="13"/>
  <c r="R62" i="13"/>
  <c r="R34" i="13"/>
  <c r="R165" i="13"/>
  <c r="R5" i="13"/>
  <c r="R121" i="13"/>
  <c r="R106" i="13"/>
  <c r="R184" i="13"/>
  <c r="R92" i="13"/>
  <c r="R3" i="13"/>
  <c r="R253" i="13"/>
  <c r="R256" i="13"/>
  <c r="R105" i="13"/>
  <c r="R117" i="13"/>
  <c r="R232" i="13"/>
  <c r="R213" i="13"/>
  <c r="R155" i="13"/>
  <c r="R15" i="13"/>
  <c r="R55" i="13"/>
  <c r="R247" i="13"/>
  <c r="R237" i="13"/>
  <c r="R63" i="13"/>
  <c r="R79" i="13"/>
  <c r="R19" i="13"/>
  <c r="R204" i="13"/>
  <c r="R135" i="13"/>
  <c r="R250" i="13"/>
  <c r="R17" i="13"/>
  <c r="R272" i="13"/>
  <c r="R242" i="13"/>
  <c r="R178" i="13"/>
  <c r="R73" i="13"/>
  <c r="R47" i="13"/>
  <c r="R147" i="13"/>
  <c r="R183" i="13"/>
  <c r="R239" i="13"/>
  <c r="R123" i="13"/>
  <c r="R205" i="13"/>
  <c r="R7" i="13"/>
  <c r="R24" i="13"/>
  <c r="R29" i="13"/>
  <c r="R218" i="13"/>
  <c r="R18" i="13"/>
  <c r="R168" i="13"/>
  <c r="R25" i="13"/>
  <c r="R190" i="13"/>
  <c r="W3" i="14"/>
  <c r="W5" i="14"/>
  <c r="AJ99" i="6"/>
  <c r="AH103" i="2"/>
  <c r="AH82" i="2"/>
  <c r="AJ78" i="6"/>
  <c r="AJ50" i="6"/>
  <c r="AH54" i="2"/>
  <c r="AH24" i="2"/>
  <c r="AJ20" i="6"/>
  <c r="AJ30" i="6"/>
  <c r="AH34" i="2"/>
  <c r="AH68" i="2"/>
  <c r="AJ64" i="6"/>
  <c r="AH62" i="2"/>
  <c r="AJ58" i="6"/>
  <c r="AH36" i="2"/>
  <c r="AJ32" i="6"/>
  <c r="AH6" i="2"/>
  <c r="AJ2" i="6"/>
  <c r="AH8" i="2"/>
  <c r="AJ4" i="6"/>
  <c r="AH84" i="2"/>
  <c r="AJ80" i="6"/>
  <c r="AH60" i="2"/>
  <c r="AJ56" i="6"/>
  <c r="AH20" i="2"/>
  <c r="AJ16" i="6"/>
  <c r="AH88" i="2"/>
  <c r="AJ84" i="6"/>
  <c r="AH32" i="2"/>
  <c r="AJ28" i="6"/>
  <c r="AH71" i="2"/>
  <c r="AJ67" i="6"/>
  <c r="AH46" i="2"/>
  <c r="AJ42" i="6"/>
  <c r="AH61" i="2"/>
  <c r="AJ57" i="6"/>
  <c r="AH19" i="2"/>
  <c r="AJ15" i="6"/>
  <c r="AJ98" i="6"/>
  <c r="AH102" i="2"/>
  <c r="AH101" i="2"/>
  <c r="AJ97" i="6"/>
  <c r="AH66" i="2"/>
  <c r="AJ62" i="6"/>
  <c r="AH15" i="2"/>
  <c r="AJ11" i="6"/>
  <c r="AH97" i="2"/>
  <c r="AJ93" i="6"/>
  <c r="AH33" i="2"/>
  <c r="AJ29" i="6"/>
  <c r="AH22" i="2"/>
  <c r="AJ18" i="6"/>
  <c r="AF60" i="7"/>
  <c r="AH64" i="2"/>
  <c r="AJ60" i="6"/>
  <c r="AH47" i="2"/>
  <c r="AJ43" i="6"/>
  <c r="AF48" i="7"/>
  <c r="AH52" i="2"/>
  <c r="AJ48" i="6"/>
  <c r="AF68" i="7"/>
  <c r="AJ68" i="6"/>
  <c r="AH72" i="2"/>
  <c r="AF39" i="7"/>
  <c r="AH43" i="2"/>
  <c r="AJ39" i="6"/>
  <c r="AF52" i="7"/>
  <c r="AH56" i="2"/>
  <c r="AJ52" i="6"/>
  <c r="AF55" i="7"/>
  <c r="AH59" i="2"/>
  <c r="AJ55" i="6"/>
  <c r="AF86" i="7"/>
  <c r="AJ86" i="6"/>
  <c r="AH90" i="2"/>
  <c r="AF51" i="7"/>
  <c r="AH55" i="2"/>
  <c r="AJ51" i="6"/>
  <c r="AF89" i="7"/>
  <c r="AJ89" i="6"/>
  <c r="AH93" i="2"/>
  <c r="AF26" i="7"/>
  <c r="AH30" i="2"/>
  <c r="AJ26" i="6"/>
  <c r="AF94" i="7"/>
  <c r="AH98" i="2"/>
  <c r="AJ94" i="6"/>
  <c r="AF75" i="7"/>
  <c r="AH79" i="2"/>
  <c r="AJ75" i="6"/>
  <c r="AF45" i="7"/>
  <c r="AH49" i="2"/>
  <c r="AJ45" i="6"/>
  <c r="AF36" i="7"/>
  <c r="AH40" i="2"/>
  <c r="AJ36" i="6"/>
  <c r="AF81" i="7"/>
  <c r="AJ81" i="6"/>
  <c r="AH85" i="2"/>
  <c r="AF31" i="7"/>
  <c r="AJ31" i="6"/>
  <c r="AH35" i="2"/>
  <c r="AF92" i="7"/>
  <c r="AH96" i="2"/>
  <c r="AJ92" i="6"/>
  <c r="AF74" i="7"/>
  <c r="AH78" i="2"/>
  <c r="AJ74" i="6"/>
  <c r="AF21" i="7"/>
  <c r="AH25" i="2"/>
  <c r="AJ21" i="6"/>
  <c r="AF25" i="7"/>
  <c r="AJ25" i="6"/>
  <c r="AH29" i="2"/>
  <c r="AF63" i="7"/>
  <c r="AH67" i="2"/>
  <c r="AJ63" i="6"/>
  <c r="AF65" i="7"/>
  <c r="AJ65" i="6"/>
  <c r="AH69" i="2"/>
  <c r="AF71" i="7"/>
  <c r="AH75" i="2"/>
  <c r="AJ71" i="6"/>
  <c r="AF35" i="7"/>
  <c r="AH39" i="2"/>
  <c r="AJ35" i="6"/>
  <c r="AF79" i="7"/>
  <c r="AH83" i="2"/>
  <c r="AJ79" i="6"/>
  <c r="AF53" i="7"/>
  <c r="AJ53" i="6"/>
  <c r="AH57" i="2"/>
  <c r="AF46" i="7"/>
  <c r="AH50" i="2"/>
  <c r="AJ46" i="6"/>
  <c r="AF69" i="7"/>
  <c r="AH73" i="2"/>
  <c r="AJ69" i="6"/>
  <c r="AF85" i="7"/>
  <c r="AH89" i="2"/>
  <c r="AJ85" i="6"/>
  <c r="AF38" i="7"/>
  <c r="AH42" i="2"/>
  <c r="AJ38" i="6"/>
  <c r="AF33" i="7"/>
  <c r="AH37" i="2"/>
  <c r="AJ33" i="6"/>
  <c r="AF19" i="7"/>
  <c r="AH23" i="2"/>
  <c r="AJ19" i="6"/>
  <c r="AF96" i="7"/>
  <c r="AJ96" i="6"/>
  <c r="AH100" i="2"/>
  <c r="AF27" i="7"/>
  <c r="AH31" i="2"/>
  <c r="AJ27" i="6"/>
  <c r="AF23" i="7"/>
  <c r="AJ23" i="6"/>
  <c r="AH27" i="2"/>
  <c r="AF44" i="7"/>
  <c r="AH48" i="2"/>
  <c r="AJ44" i="6"/>
  <c r="AF95" i="7"/>
  <c r="AH99" i="2"/>
  <c r="AJ95" i="6"/>
  <c r="AF24" i="7"/>
  <c r="AH28" i="2"/>
  <c r="AJ24" i="6"/>
  <c r="AF66" i="7"/>
  <c r="AH70" i="2"/>
  <c r="AJ66" i="6"/>
  <c r="AF99" i="7"/>
  <c r="AF78" i="7"/>
  <c r="AF20" i="7"/>
  <c r="AF30" i="7"/>
  <c r="AF50" i="7"/>
  <c r="AF32" i="7"/>
  <c r="AF64" i="7"/>
  <c r="AF2" i="7"/>
  <c r="AF58" i="7"/>
  <c r="AF4" i="7"/>
  <c r="AF56" i="7"/>
  <c r="AF16" i="7"/>
  <c r="AF80" i="7"/>
  <c r="AF84" i="7"/>
  <c r="AF28" i="7"/>
  <c r="AF57" i="7"/>
  <c r="AF97" i="7"/>
  <c r="AF15" i="7"/>
  <c r="AF62" i="7"/>
  <c r="AF67" i="7"/>
  <c r="AF98" i="7"/>
  <c r="AF42" i="7"/>
  <c r="AF11" i="7"/>
  <c r="AF93" i="7"/>
  <c r="AF29" i="7"/>
  <c r="AF18" i="7"/>
  <c r="AF43" i="7"/>
  <c r="AG3" i="2"/>
  <c r="AD3" i="2"/>
  <c r="F3" i="2"/>
  <c r="F4" i="2" s="1"/>
  <c r="E3" i="2"/>
  <c r="E4" i="2" s="1"/>
  <c r="I3" i="2"/>
  <c r="I4" i="2" s="1"/>
  <c r="H3" i="2"/>
  <c r="H4" i="2" s="1"/>
  <c r="V3" i="2"/>
  <c r="V4" i="2" s="1"/>
  <c r="Z3" i="2"/>
  <c r="Z4" i="2" s="1"/>
  <c r="O3" i="2"/>
  <c r="O4" i="2" s="1"/>
  <c r="K3" i="2"/>
  <c r="K4" i="2" s="1"/>
  <c r="N3" i="2"/>
  <c r="N4" i="2" s="1"/>
  <c r="AB3" i="2"/>
  <c r="AB4" i="2" s="1"/>
  <c r="U3" i="2"/>
  <c r="U4" i="2" s="1"/>
  <c r="AF3" i="2"/>
  <c r="AC3" i="2"/>
  <c r="G3" i="2"/>
  <c r="G4" i="2" s="1"/>
  <c r="AE3" i="2"/>
  <c r="Y3" i="2"/>
  <c r="Y4" i="2" s="1"/>
  <c r="J3" i="2"/>
  <c r="J4" i="2" s="1"/>
  <c r="L3" i="2"/>
  <c r="L4" i="2" s="1"/>
  <c r="Q3" i="2"/>
  <c r="Q4" i="2" s="1"/>
  <c r="M3" i="2"/>
  <c r="M4" i="2" s="1"/>
  <c r="S3" i="2"/>
  <c r="S4" i="2" s="1"/>
  <c r="X3" i="2"/>
  <c r="X4" i="2" s="1"/>
  <c r="AA3" i="2"/>
  <c r="AA4" i="2" s="1"/>
  <c r="P3" i="2"/>
  <c r="P4" i="2" s="1"/>
  <c r="T3" i="2"/>
  <c r="T4" i="2" s="1"/>
  <c r="R3" i="2"/>
  <c r="R4" i="2" s="1"/>
  <c r="W3" i="2"/>
  <c r="W4" i="2" s="1"/>
  <c r="AI18" i="2"/>
  <c r="AK14" i="6"/>
  <c r="AG14" i="7"/>
  <c r="AI63" i="2"/>
  <c r="AK59" i="6"/>
  <c r="AG59" i="7"/>
  <c r="AI44" i="2"/>
  <c r="AK40" i="6"/>
  <c r="AG40" i="7"/>
  <c r="AK72" i="6"/>
  <c r="AG72" i="7"/>
  <c r="AI76" i="2"/>
  <c r="AK83" i="6"/>
  <c r="AI87" i="2"/>
  <c r="AG83" i="7"/>
  <c r="AK7" i="6"/>
  <c r="AI11" i="2"/>
  <c r="AG7" i="7"/>
  <c r="AI17" i="2"/>
  <c r="AK13" i="6"/>
  <c r="AG13" i="7"/>
  <c r="AK87" i="6"/>
  <c r="AI91" i="2"/>
  <c r="AG87" i="7"/>
  <c r="AK73" i="6"/>
  <c r="AI77" i="2"/>
  <c r="AG73" i="7"/>
  <c r="AK9" i="6"/>
  <c r="AI13" i="2"/>
  <c r="AG9" i="7"/>
  <c r="AI9" i="2"/>
  <c r="AK5" i="6"/>
  <c r="AG5" i="7"/>
  <c r="AK8" i="6"/>
  <c r="AI12" i="2"/>
  <c r="AG8" i="7"/>
  <c r="AK90" i="6"/>
  <c r="AI94" i="2"/>
  <c r="AG90" i="7"/>
  <c r="AK22" i="6"/>
  <c r="AI26" i="2"/>
  <c r="AG22" i="7"/>
  <c r="AI45" i="2"/>
  <c r="AK41" i="6"/>
  <c r="AG41" i="7"/>
  <c r="AK10" i="6"/>
  <c r="AI14" i="2"/>
  <c r="AG10" i="7"/>
  <c r="AI65" i="2"/>
  <c r="AG61" i="7"/>
  <c r="AK61" i="6"/>
  <c r="AK6" i="6"/>
  <c r="AG6" i="7"/>
  <c r="AI10" i="2"/>
  <c r="AI21" i="2"/>
  <c r="AK17" i="6"/>
  <c r="AG17" i="7"/>
  <c r="AK82" i="6"/>
  <c r="AI86" i="2"/>
  <c r="AG82" i="7"/>
  <c r="AK91" i="6"/>
  <c r="AI95" i="2"/>
  <c r="AG91" i="7"/>
  <c r="AK47" i="6"/>
  <c r="AI51" i="2"/>
  <c r="AG47" i="7"/>
  <c r="AI58" i="2"/>
  <c r="AK54" i="6"/>
  <c r="AG54" i="7"/>
  <c r="AK49" i="6"/>
  <c r="AI53" i="2"/>
  <c r="AG49" i="7"/>
  <c r="AI16" i="2"/>
  <c r="AG12" i="7"/>
  <c r="AK12" i="6"/>
  <c r="AK70" i="6"/>
  <c r="AI74" i="2"/>
  <c r="AG70" i="7"/>
  <c r="AI38" i="2"/>
  <c r="AG34" i="7"/>
  <c r="AK34" i="6"/>
  <c r="AI92" i="2"/>
  <c r="AG88" i="7"/>
  <c r="AK88" i="6"/>
  <c r="AK76" i="6"/>
  <c r="AG76" i="7"/>
  <c r="AI80" i="2"/>
  <c r="AI7" i="2"/>
  <c r="AK3" i="6"/>
  <c r="AG3" i="7"/>
  <c r="AG77" i="7"/>
  <c r="AK77" i="6"/>
  <c r="AI81" i="2"/>
  <c r="AI41" i="2"/>
  <c r="AK37" i="6"/>
  <c r="AG37" i="7"/>
  <c r="R120" i="13"/>
  <c r="R48" i="13"/>
  <c r="R151" i="13"/>
  <c r="R80" i="13"/>
  <c r="R134" i="13"/>
  <c r="R201" i="13"/>
  <c r="R95" i="13"/>
  <c r="R112" i="13"/>
  <c r="R265" i="13"/>
  <c r="R46" i="13"/>
  <c r="R31" i="13"/>
  <c r="R267" i="13"/>
  <c r="R142" i="13"/>
  <c r="R82" i="13"/>
  <c r="R236" i="13"/>
  <c r="R86" i="13"/>
  <c r="A28" i="2"/>
  <c r="B27" i="2"/>
  <c r="AC4" i="2"/>
  <c r="AL1" i="2"/>
  <c r="AL5" i="2" s="1"/>
  <c r="AK1" i="7"/>
  <c r="K153" i="13"/>
  <c r="K258" i="13"/>
  <c r="J16" i="13"/>
  <c r="K115" i="13"/>
  <c r="J159" i="13"/>
  <c r="K240" i="13"/>
  <c r="J68" i="13"/>
  <c r="K162" i="13"/>
  <c r="K90" i="13"/>
  <c r="J233" i="13"/>
  <c r="J20" i="13"/>
  <c r="J202" i="13"/>
  <c r="K203" i="13"/>
  <c r="K245" i="13"/>
  <c r="K270" i="13"/>
  <c r="K126" i="13"/>
  <c r="K243" i="13"/>
  <c r="K130" i="13"/>
  <c r="J60" i="13"/>
  <c r="J194" i="13"/>
  <c r="J215" i="13"/>
  <c r="K71" i="13"/>
  <c r="J186" i="13"/>
  <c r="J66" i="13"/>
  <c r="J103" i="13"/>
  <c r="J108" i="13"/>
  <c r="K211" i="13"/>
  <c r="K23" i="13"/>
  <c r="K210" i="13"/>
  <c r="J77" i="13"/>
  <c r="K72" i="13"/>
  <c r="J177" i="13"/>
  <c r="K118" i="13"/>
  <c r="K131" i="13"/>
  <c r="J225" i="13"/>
  <c r="K217" i="13"/>
  <c r="K223" i="13"/>
  <c r="K271" i="13"/>
  <c r="K228" i="13"/>
  <c r="J32" i="13"/>
  <c r="K224" i="13"/>
  <c r="K221" i="13"/>
  <c r="J164" i="13"/>
  <c r="K229" i="13"/>
  <c r="K94" i="13"/>
  <c r="J58" i="13"/>
  <c r="K81" i="13"/>
  <c r="J114" i="13"/>
  <c r="K93" i="13"/>
  <c r="J230" i="13"/>
  <c r="J244" i="13"/>
  <c r="J36" i="13"/>
  <c r="J122" i="13"/>
  <c r="K145" i="13"/>
  <c r="J231" i="13"/>
  <c r="K119" i="13"/>
  <c r="J220" i="13"/>
  <c r="J78" i="13"/>
  <c r="K264" i="13"/>
  <c r="J171" i="13"/>
  <c r="J26" i="13"/>
  <c r="J11" i="13"/>
  <c r="K111" i="13"/>
  <c r="K38" i="13"/>
  <c r="K179" i="13"/>
  <c r="K75" i="13"/>
  <c r="J42" i="13"/>
  <c r="K30" i="13"/>
  <c r="K158" i="13"/>
  <c r="J187" i="13"/>
  <c r="K200" i="13"/>
  <c r="K96" i="13"/>
  <c r="J37" i="13"/>
  <c r="J241" i="13"/>
  <c r="K152" i="13"/>
  <c r="J97" i="13"/>
  <c r="K156" i="13"/>
  <c r="J199" i="13"/>
  <c r="J10" i="13"/>
  <c r="J174" i="13"/>
  <c r="K100" i="13"/>
  <c r="K226" i="13"/>
  <c r="J251" i="13"/>
  <c r="K14" i="13"/>
  <c r="J140" i="13"/>
  <c r="J170" i="13"/>
  <c r="K148" i="13"/>
  <c r="K263" i="13"/>
  <c r="J40" i="13"/>
  <c r="J172" i="13"/>
  <c r="J182" i="13"/>
  <c r="K189" i="13"/>
  <c r="J173" i="13"/>
  <c r="K198" i="13"/>
  <c r="K4" i="13"/>
  <c r="J69" i="13"/>
  <c r="K6" i="13"/>
  <c r="K206" i="13"/>
  <c r="R173" i="13" l="1"/>
  <c r="R189" i="13"/>
  <c r="R182" i="13"/>
  <c r="R172" i="13"/>
  <c r="R40" i="13"/>
  <c r="R263" i="13"/>
  <c r="R148" i="13"/>
  <c r="R170" i="13"/>
  <c r="R140" i="13"/>
  <c r="R14" i="13"/>
  <c r="R251" i="13"/>
  <c r="R226" i="13"/>
  <c r="R28" i="13"/>
  <c r="R100" i="13"/>
  <c r="R174" i="13"/>
  <c r="R10" i="13"/>
  <c r="R199" i="13"/>
  <c r="R156" i="13"/>
  <c r="R97" i="13"/>
  <c r="R158" i="13"/>
  <c r="R30" i="13"/>
  <c r="R42" i="13"/>
  <c r="R75" i="13"/>
  <c r="R179" i="13"/>
  <c r="R38" i="13"/>
  <c r="R111" i="13"/>
  <c r="R11" i="13"/>
  <c r="R26" i="13"/>
  <c r="R171" i="13"/>
  <c r="R264" i="13"/>
  <c r="R78" i="13"/>
  <c r="R220" i="13"/>
  <c r="R119" i="13"/>
  <c r="R231" i="13"/>
  <c r="R145" i="13"/>
  <c r="R122" i="13"/>
  <c r="R36" i="13"/>
  <c r="R244" i="13"/>
  <c r="R230" i="13"/>
  <c r="R229" i="13"/>
  <c r="R164" i="13"/>
  <c r="R27" i="13"/>
  <c r="R221" i="13"/>
  <c r="R224" i="13"/>
  <c r="R32" i="13"/>
  <c r="R228" i="13"/>
  <c r="R271" i="13"/>
  <c r="R223" i="13"/>
  <c r="R217" i="13"/>
  <c r="R225" i="13"/>
  <c r="R131" i="13"/>
  <c r="R118" i="13"/>
  <c r="R177" i="13"/>
  <c r="R72" i="13"/>
  <c r="R77" i="13"/>
  <c r="R210" i="13"/>
  <c r="R23" i="13"/>
  <c r="R211" i="13"/>
  <c r="R108" i="13"/>
  <c r="R194" i="13"/>
  <c r="R60" i="13"/>
  <c r="R130" i="13"/>
  <c r="R243" i="13"/>
  <c r="R126" i="13"/>
  <c r="R270" i="13"/>
  <c r="R245" i="13"/>
  <c r="R203" i="13"/>
  <c r="R202" i="13"/>
  <c r="R20" i="13"/>
  <c r="R233" i="13"/>
  <c r="R90" i="13"/>
  <c r="R162" i="13"/>
  <c r="R68" i="13"/>
  <c r="R240" i="13"/>
  <c r="R159" i="13"/>
  <c r="R115" i="13"/>
  <c r="R16" i="13"/>
  <c r="R258" i="13"/>
  <c r="R153" i="13"/>
  <c r="R152" i="13"/>
  <c r="R93" i="13"/>
  <c r="R103" i="13"/>
  <c r="R206" i="13"/>
  <c r="R241" i="13"/>
  <c r="R114" i="13"/>
  <c r="R66" i="13"/>
  <c r="R6" i="13"/>
  <c r="R37" i="13"/>
  <c r="R81" i="13"/>
  <c r="R186" i="13"/>
  <c r="R69" i="13"/>
  <c r="R96" i="13"/>
  <c r="R58" i="13"/>
  <c r="R71" i="13"/>
  <c r="R4" i="13"/>
  <c r="R200" i="13"/>
  <c r="R94" i="13"/>
  <c r="R215" i="13"/>
  <c r="R198" i="13"/>
  <c r="R187" i="13"/>
  <c r="AI47" i="2"/>
  <c r="AG43" i="7"/>
  <c r="AK43" i="6"/>
  <c r="AI22" i="2"/>
  <c r="AK18" i="6"/>
  <c r="AG18" i="7"/>
  <c r="AG29" i="7"/>
  <c r="AI33" i="2"/>
  <c r="AK29" i="6"/>
  <c r="AG93" i="7"/>
  <c r="AI97" i="2"/>
  <c r="AK93" i="6"/>
  <c r="AI15" i="2"/>
  <c r="AK11" i="6"/>
  <c r="AG11" i="7"/>
  <c r="AI46" i="2"/>
  <c r="AG42" i="7"/>
  <c r="AK42" i="6"/>
  <c r="AI102" i="2"/>
  <c r="AG98" i="7"/>
  <c r="AK98" i="6"/>
  <c r="AI71" i="2"/>
  <c r="AK67" i="6"/>
  <c r="AG67" i="7"/>
  <c r="AG62" i="7"/>
  <c r="AI66" i="2"/>
  <c r="AK62" i="6"/>
  <c r="AG15" i="7"/>
  <c r="AI19" i="2"/>
  <c r="AK15" i="6"/>
  <c r="AI101" i="2"/>
  <c r="AK97" i="6"/>
  <c r="AG97" i="7"/>
  <c r="AG57" i="7"/>
  <c r="AI61" i="2"/>
  <c r="AK57" i="6"/>
  <c r="AI32" i="2"/>
  <c r="AK28" i="6"/>
  <c r="AG28" i="7"/>
  <c r="AG84" i="7"/>
  <c r="AI88" i="2"/>
  <c r="AK84" i="6"/>
  <c r="AG80" i="7"/>
  <c r="AI84" i="2"/>
  <c r="AK80" i="6"/>
  <c r="AI20" i="2"/>
  <c r="AK16" i="6"/>
  <c r="AG16" i="7"/>
  <c r="AG56" i="7"/>
  <c r="AI60" i="2"/>
  <c r="AK56" i="6"/>
  <c r="AI8" i="2"/>
  <c r="AK4" i="6"/>
  <c r="AG4" i="7"/>
  <c r="AG58" i="7"/>
  <c r="AI62" i="2"/>
  <c r="AK58" i="6"/>
  <c r="AI6" i="2"/>
  <c r="AG2" i="7"/>
  <c r="AK2" i="6"/>
  <c r="AG64" i="7"/>
  <c r="AK64" i="6"/>
  <c r="AI68" i="2"/>
  <c r="AI36" i="2"/>
  <c r="AK32" i="6"/>
  <c r="AG32" i="7"/>
  <c r="AG50" i="7"/>
  <c r="AI54" i="2"/>
  <c r="AK50" i="6"/>
  <c r="AI34" i="2"/>
  <c r="AK30" i="6"/>
  <c r="AG30" i="7"/>
  <c r="AI24" i="2"/>
  <c r="AG20" i="7"/>
  <c r="AK20" i="6"/>
  <c r="AI82" i="2"/>
  <c r="AK78" i="6"/>
  <c r="AG78" i="7"/>
  <c r="AK99" i="6"/>
  <c r="AI103" i="2"/>
  <c r="AG99" i="7"/>
  <c r="AK66" i="6"/>
  <c r="AI70" i="2"/>
  <c r="AG66" i="7"/>
  <c r="AK24" i="6"/>
  <c r="AI28" i="2"/>
  <c r="AG24" i="7"/>
  <c r="AK95" i="6"/>
  <c r="AI99" i="2"/>
  <c r="AG95" i="7"/>
  <c r="AK44" i="6"/>
  <c r="AI48" i="2"/>
  <c r="AG44" i="7"/>
  <c r="AK23" i="6"/>
  <c r="AI27" i="2"/>
  <c r="AG23" i="7"/>
  <c r="AK27" i="6"/>
  <c r="AI31" i="2"/>
  <c r="AG27" i="7"/>
  <c r="AK96" i="6"/>
  <c r="AI100" i="2"/>
  <c r="AG96" i="7"/>
  <c r="AK19" i="6"/>
  <c r="AI23" i="2"/>
  <c r="AG19" i="7"/>
  <c r="AI37" i="2"/>
  <c r="AK33" i="6"/>
  <c r="AG33" i="7"/>
  <c r="AI42" i="2"/>
  <c r="AG38" i="7"/>
  <c r="AK38" i="6"/>
  <c r="AI89" i="2"/>
  <c r="AK85" i="6"/>
  <c r="AG85" i="7"/>
  <c r="AK69" i="6"/>
  <c r="AI73" i="2"/>
  <c r="AG69" i="7"/>
  <c r="AI50" i="2"/>
  <c r="AK46" i="6"/>
  <c r="AG46" i="7"/>
  <c r="AK53" i="6"/>
  <c r="AI57" i="2"/>
  <c r="AG53" i="7"/>
  <c r="AI83" i="2"/>
  <c r="AG79" i="7"/>
  <c r="AK79" i="6"/>
  <c r="AI39" i="2"/>
  <c r="AK35" i="6"/>
  <c r="AG35" i="7"/>
  <c r="AK71" i="6"/>
  <c r="AI75" i="2"/>
  <c r="AG71" i="7"/>
  <c r="AK65" i="6"/>
  <c r="AI69" i="2"/>
  <c r="AG65" i="7"/>
  <c r="AK63" i="6"/>
  <c r="AI67" i="2"/>
  <c r="AG63" i="7"/>
  <c r="AK25" i="6"/>
  <c r="AI29" i="2"/>
  <c r="AG25" i="7"/>
  <c r="AK21" i="6"/>
  <c r="AG21" i="7"/>
  <c r="AI25" i="2"/>
  <c r="AK74" i="6"/>
  <c r="AI78" i="2"/>
  <c r="AG74" i="7"/>
  <c r="AK92" i="6"/>
  <c r="AI96" i="2"/>
  <c r="AG92" i="7"/>
  <c r="AK31" i="6"/>
  <c r="AI35" i="2"/>
  <c r="AG31" i="7"/>
  <c r="AI85" i="2"/>
  <c r="AK81" i="6"/>
  <c r="AG81" i="7"/>
  <c r="AK36" i="6"/>
  <c r="AI40" i="2"/>
  <c r="AG36" i="7"/>
  <c r="AI49" i="2"/>
  <c r="AK45" i="6"/>
  <c r="AG45" i="7"/>
  <c r="AK75" i="6"/>
  <c r="AI79" i="2"/>
  <c r="AG75" i="7"/>
  <c r="AK94" i="6"/>
  <c r="AI98" i="2"/>
  <c r="AG94" i="7"/>
  <c r="AK26" i="6"/>
  <c r="AI30" i="2"/>
  <c r="AG26" i="7"/>
  <c r="AI93" i="2"/>
  <c r="AK89" i="6"/>
  <c r="AG89" i="7"/>
  <c r="AK51" i="6"/>
  <c r="AI55" i="2"/>
  <c r="AG51" i="7"/>
  <c r="AI90" i="2"/>
  <c r="AG86" i="7"/>
  <c r="AK86" i="6"/>
  <c r="AK55" i="6"/>
  <c r="AI59" i="2"/>
  <c r="AG55" i="7"/>
  <c r="AK52" i="6"/>
  <c r="AI56" i="2"/>
  <c r="AG52" i="7"/>
  <c r="AK39" i="6"/>
  <c r="AI43" i="2"/>
  <c r="AG39" i="7"/>
  <c r="AK68" i="6"/>
  <c r="AI72" i="2"/>
  <c r="AG68" i="7"/>
  <c r="AI52" i="2"/>
  <c r="AK48" i="6"/>
  <c r="AG48" i="7"/>
  <c r="AK60" i="6"/>
  <c r="AI64" i="2"/>
  <c r="AG60" i="7"/>
  <c r="AH3" i="2"/>
  <c r="AL77" i="6"/>
  <c r="AJ81" i="2"/>
  <c r="AH77" i="7"/>
  <c r="AJ7" i="2"/>
  <c r="AH3" i="7"/>
  <c r="AL3" i="6"/>
  <c r="AJ80" i="2"/>
  <c r="AL76" i="6"/>
  <c r="AH76" i="7"/>
  <c r="AJ92" i="2"/>
  <c r="AL88" i="6"/>
  <c r="AH88" i="7"/>
  <c r="AJ38" i="2"/>
  <c r="AL34" i="6"/>
  <c r="AH34" i="7"/>
  <c r="AL70" i="6"/>
  <c r="AJ74" i="2"/>
  <c r="AH70" i="7"/>
  <c r="AL12" i="6"/>
  <c r="AJ16" i="2"/>
  <c r="AH12" i="7"/>
  <c r="AL49" i="6"/>
  <c r="AJ53" i="2"/>
  <c r="AH49" i="7"/>
  <c r="AL54" i="6"/>
  <c r="AJ58" i="2"/>
  <c r="AH54" i="7"/>
  <c r="AJ51" i="2"/>
  <c r="AL47" i="6"/>
  <c r="AH47" i="7"/>
  <c r="AL91" i="6"/>
  <c r="AJ95" i="2"/>
  <c r="AH91" i="7"/>
  <c r="AJ86" i="2"/>
  <c r="AL82" i="6"/>
  <c r="AH82" i="7"/>
  <c r="AL17" i="6"/>
  <c r="AJ21" i="2"/>
  <c r="AH17" i="7"/>
  <c r="AL6" i="6"/>
  <c r="AJ10" i="2"/>
  <c r="AH6" i="7"/>
  <c r="AJ65" i="2"/>
  <c r="AL61" i="6"/>
  <c r="AH61" i="7"/>
  <c r="AL10" i="6"/>
  <c r="AJ14" i="2"/>
  <c r="AH10" i="7"/>
  <c r="AJ45" i="2"/>
  <c r="AL41" i="6"/>
  <c r="AH41" i="7"/>
  <c r="AL22" i="6"/>
  <c r="AJ26" i="2"/>
  <c r="AH22" i="7"/>
  <c r="AL90" i="6"/>
  <c r="AJ94" i="2"/>
  <c r="AH90" i="7"/>
  <c r="AL8" i="6"/>
  <c r="AJ12" i="2"/>
  <c r="AH8" i="7"/>
  <c r="AL5" i="6"/>
  <c r="AJ9" i="2"/>
  <c r="AH5" i="7"/>
  <c r="AJ13" i="2"/>
  <c r="AL9" i="6"/>
  <c r="AH9" i="7"/>
  <c r="AL73" i="6"/>
  <c r="AJ77" i="2"/>
  <c r="AH73" i="7"/>
  <c r="AL87" i="6"/>
  <c r="AJ91" i="2"/>
  <c r="AH87" i="7"/>
  <c r="AL13" i="6"/>
  <c r="AJ17" i="2"/>
  <c r="AH13" i="7"/>
  <c r="AL7" i="6"/>
  <c r="AJ11" i="2"/>
  <c r="AH7" i="7"/>
  <c r="AJ87" i="2"/>
  <c r="AL83" i="6"/>
  <c r="AH83" i="7"/>
  <c r="AH72" i="7"/>
  <c r="AJ76" i="2"/>
  <c r="AL72" i="6"/>
  <c r="AJ44" i="2"/>
  <c r="AL40" i="6"/>
  <c r="AH40" i="7"/>
  <c r="AJ63" i="2"/>
  <c r="AL59" i="6"/>
  <c r="AH59" i="7"/>
  <c r="AJ18" i="2"/>
  <c r="AL14" i="6"/>
  <c r="AH14" i="7"/>
  <c r="AJ41" i="2"/>
  <c r="AL37" i="6"/>
  <c r="AH37" i="7"/>
  <c r="A29" i="2"/>
  <c r="B28" i="2"/>
  <c r="AD4" i="2"/>
  <c r="AM1" i="2"/>
  <c r="AM5" i="2" s="1"/>
  <c r="AL1" i="7"/>
  <c r="AL60" i="6" l="1"/>
  <c r="AJ64" i="2"/>
  <c r="AH60" i="7"/>
  <c r="AH48" i="7"/>
  <c r="AJ52" i="2"/>
  <c r="AL48" i="6"/>
  <c r="AH68" i="7"/>
  <c r="AL68" i="6"/>
  <c r="AJ72" i="2"/>
  <c r="AJ43" i="2"/>
  <c r="AL39" i="6"/>
  <c r="AH39" i="7"/>
  <c r="AH52" i="7"/>
  <c r="AL52" i="6"/>
  <c r="AJ56" i="2"/>
  <c r="AH55" i="7"/>
  <c r="AL55" i="6"/>
  <c r="AJ59" i="2"/>
  <c r="AH86" i="7"/>
  <c r="AL86" i="6"/>
  <c r="AJ90" i="2"/>
  <c r="AH51" i="7"/>
  <c r="AL51" i="6"/>
  <c r="AJ55" i="2"/>
  <c r="AH89" i="7"/>
  <c r="AL89" i="6"/>
  <c r="AJ93" i="2"/>
  <c r="AH26" i="7"/>
  <c r="AL26" i="6"/>
  <c r="AJ30" i="2"/>
  <c r="AH94" i="7"/>
  <c r="AL94" i="6"/>
  <c r="AJ98" i="2"/>
  <c r="AJ79" i="2"/>
  <c r="AL75" i="6"/>
  <c r="AH75" i="7"/>
  <c r="AH45" i="7"/>
  <c r="AJ49" i="2"/>
  <c r="AL45" i="6"/>
  <c r="AH36" i="7"/>
  <c r="AJ40" i="2"/>
  <c r="AL36" i="6"/>
  <c r="AH81" i="7"/>
  <c r="AL81" i="6"/>
  <c r="AJ85" i="2"/>
  <c r="AH31" i="7"/>
  <c r="AL31" i="6"/>
  <c r="AJ35" i="2"/>
  <c r="AH92" i="7"/>
  <c r="AL92" i="6"/>
  <c r="AJ96" i="2"/>
  <c r="AH74" i="7"/>
  <c r="AL74" i="6"/>
  <c r="AJ78" i="2"/>
  <c r="AH21" i="7"/>
  <c r="AL21" i="6"/>
  <c r="AJ25" i="2"/>
  <c r="AH25" i="7"/>
  <c r="AL25" i="6"/>
  <c r="AJ29" i="2"/>
  <c r="AH63" i="7"/>
  <c r="AL63" i="6"/>
  <c r="AJ67" i="2"/>
  <c r="AH65" i="7"/>
  <c r="AL65" i="6"/>
  <c r="AJ69" i="2"/>
  <c r="AH71" i="7"/>
  <c r="AL71" i="6"/>
  <c r="AJ75" i="2"/>
  <c r="AH35" i="7"/>
  <c r="AJ39" i="2"/>
  <c r="AL35" i="6"/>
  <c r="AH79" i="7"/>
  <c r="AL79" i="6"/>
  <c r="AJ83" i="2"/>
  <c r="AH53" i="7"/>
  <c r="AL53" i="6"/>
  <c r="AJ57" i="2"/>
  <c r="AH46" i="7"/>
  <c r="AJ50" i="2"/>
  <c r="AL46" i="6"/>
  <c r="AH69" i="7"/>
  <c r="AL69" i="6"/>
  <c r="AJ73" i="2"/>
  <c r="AH85" i="7"/>
  <c r="AL85" i="6"/>
  <c r="AJ89" i="2"/>
  <c r="AH38" i="7"/>
  <c r="AJ42" i="2"/>
  <c r="AL38" i="6"/>
  <c r="AH33" i="7"/>
  <c r="AJ37" i="2"/>
  <c r="AL33" i="6"/>
  <c r="AH19" i="7"/>
  <c r="AL19" i="6"/>
  <c r="AJ23" i="2"/>
  <c r="AH96" i="7"/>
  <c r="AL96" i="6"/>
  <c r="AJ100" i="2"/>
  <c r="AH27" i="7"/>
  <c r="AL27" i="6"/>
  <c r="AJ31" i="2"/>
  <c r="AH23" i="7"/>
  <c r="AL23" i="6"/>
  <c r="AJ27" i="2"/>
  <c r="AH44" i="7"/>
  <c r="AJ48" i="2"/>
  <c r="AL44" i="6"/>
  <c r="AJ99" i="2"/>
  <c r="AL95" i="6"/>
  <c r="AH95" i="7"/>
  <c r="AJ28" i="2"/>
  <c r="AL24" i="6"/>
  <c r="AH24" i="7"/>
  <c r="AH66" i="7"/>
  <c r="AL66" i="6"/>
  <c r="AJ70" i="2"/>
  <c r="AL99" i="6"/>
  <c r="AJ103" i="2"/>
  <c r="AH99" i="7"/>
  <c r="AJ82" i="2"/>
  <c r="AL78" i="6"/>
  <c r="AH78" i="7"/>
  <c r="AJ24" i="2"/>
  <c r="AH20" i="7"/>
  <c r="AL20" i="6"/>
  <c r="AJ34" i="2"/>
  <c r="AL30" i="6"/>
  <c r="AH30" i="7"/>
  <c r="AH50" i="7"/>
  <c r="AJ54" i="2"/>
  <c r="AL50" i="6"/>
  <c r="AJ36" i="2"/>
  <c r="AH32" i="7"/>
  <c r="AL32" i="6"/>
  <c r="AH64" i="7"/>
  <c r="AJ68" i="2"/>
  <c r="AL64" i="6"/>
  <c r="AI3" i="2"/>
  <c r="AJ6" i="2"/>
  <c r="AH2" i="7"/>
  <c r="AL2" i="6"/>
  <c r="AJ62" i="2"/>
  <c r="AL58" i="6"/>
  <c r="AH58" i="7"/>
  <c r="AH4" i="7"/>
  <c r="AJ8" i="2"/>
  <c r="AL4" i="6"/>
  <c r="AL56" i="6"/>
  <c r="AH56" i="7"/>
  <c r="AJ60" i="2"/>
  <c r="AJ20" i="2"/>
  <c r="AH16" i="7"/>
  <c r="AL16" i="6"/>
  <c r="AL80" i="6"/>
  <c r="AJ84" i="2"/>
  <c r="AH80" i="7"/>
  <c r="AJ88" i="2"/>
  <c r="AL84" i="6"/>
  <c r="AH84" i="7"/>
  <c r="AJ32" i="2"/>
  <c r="AL28" i="6"/>
  <c r="AH28" i="7"/>
  <c r="AL57" i="6"/>
  <c r="AH57" i="7"/>
  <c r="AJ61" i="2"/>
  <c r="AJ101" i="2"/>
  <c r="AL97" i="6"/>
  <c r="AH97" i="7"/>
  <c r="AH15" i="7"/>
  <c r="AJ19" i="2"/>
  <c r="AL15" i="6"/>
  <c r="AJ66" i="2"/>
  <c r="AL62" i="6"/>
  <c r="AH62" i="7"/>
  <c r="AL67" i="6"/>
  <c r="AH67" i="7"/>
  <c r="AJ71" i="2"/>
  <c r="AJ102" i="2"/>
  <c r="AL98" i="6"/>
  <c r="AH98" i="7"/>
  <c r="AJ46" i="2"/>
  <c r="AH42" i="7"/>
  <c r="AL42" i="6"/>
  <c r="AJ15" i="2"/>
  <c r="AL11" i="6"/>
  <c r="AH11" i="7"/>
  <c r="AJ97" i="2"/>
  <c r="AL93" i="6"/>
  <c r="AH93" i="7"/>
  <c r="AL29" i="6"/>
  <c r="AJ33" i="2"/>
  <c r="AH29" i="7"/>
  <c r="AH18" i="7"/>
  <c r="AJ22" i="2"/>
  <c r="AL18" i="6"/>
  <c r="AH43" i="7"/>
  <c r="AJ47" i="2"/>
  <c r="AL43" i="6"/>
  <c r="AK18" i="2"/>
  <c r="AM14" i="6"/>
  <c r="AI14" i="7"/>
  <c r="AK63" i="2"/>
  <c r="AM59" i="6"/>
  <c r="AI59" i="7"/>
  <c r="AK44" i="2"/>
  <c r="AM40" i="6"/>
  <c r="AI40" i="7"/>
  <c r="AI72" i="7"/>
  <c r="AK76" i="2"/>
  <c r="AM72" i="6"/>
  <c r="AK87" i="2"/>
  <c r="AM83" i="6"/>
  <c r="AI83" i="7"/>
  <c r="AM7" i="6"/>
  <c r="AK11" i="2"/>
  <c r="AI7" i="7"/>
  <c r="AM13" i="6"/>
  <c r="AK17" i="2"/>
  <c r="AI13" i="7"/>
  <c r="AM87" i="6"/>
  <c r="AK91" i="2"/>
  <c r="AI87" i="7"/>
  <c r="AM73" i="6"/>
  <c r="AK77" i="2"/>
  <c r="AI73" i="7"/>
  <c r="AM9" i="6"/>
  <c r="AK13" i="2"/>
  <c r="AI9" i="7"/>
  <c r="AM5" i="6"/>
  <c r="AK9" i="2"/>
  <c r="AI5" i="7"/>
  <c r="AM8" i="6"/>
  <c r="AK12" i="2"/>
  <c r="AI8" i="7"/>
  <c r="AM90" i="6"/>
  <c r="AK94" i="2"/>
  <c r="AI90" i="7"/>
  <c r="AM22" i="6"/>
  <c r="AK26" i="2"/>
  <c r="AI22" i="7"/>
  <c r="AK45" i="2"/>
  <c r="AM41" i="6"/>
  <c r="AI41" i="7"/>
  <c r="AM10" i="6"/>
  <c r="AK14" i="2"/>
  <c r="AI10" i="7"/>
  <c r="AM61" i="6"/>
  <c r="AK65" i="2"/>
  <c r="AI61" i="7"/>
  <c r="AM6" i="6"/>
  <c r="AK10" i="2"/>
  <c r="AI6" i="7"/>
  <c r="AM17" i="6"/>
  <c r="AK21" i="2"/>
  <c r="AI17" i="7"/>
  <c r="AM82" i="6"/>
  <c r="AK86" i="2"/>
  <c r="AI82" i="7"/>
  <c r="AM91" i="6"/>
  <c r="AK95" i="2"/>
  <c r="AI91" i="7"/>
  <c r="AK51" i="2"/>
  <c r="AM47" i="6"/>
  <c r="AI47" i="7"/>
  <c r="AM54" i="6"/>
  <c r="AK58" i="2"/>
  <c r="AI54" i="7"/>
  <c r="AM49" i="6"/>
  <c r="AK53" i="2"/>
  <c r="AI49" i="7"/>
  <c r="AM12" i="6"/>
  <c r="AK16" i="2"/>
  <c r="AI12" i="7"/>
  <c r="AM70" i="6"/>
  <c r="AK74" i="2"/>
  <c r="AI70" i="7"/>
  <c r="AK38" i="2"/>
  <c r="AM34" i="6"/>
  <c r="AI34" i="7"/>
  <c r="AK92" i="2"/>
  <c r="AM88" i="6"/>
  <c r="AI88" i="7"/>
  <c r="AI76" i="7"/>
  <c r="AK80" i="2"/>
  <c r="AM76" i="6"/>
  <c r="AM3" i="6"/>
  <c r="AK7" i="2"/>
  <c r="AI3" i="7"/>
  <c r="AM77" i="6"/>
  <c r="AK81" i="2"/>
  <c r="AI77" i="7"/>
  <c r="AK41" i="2"/>
  <c r="AM37" i="6"/>
  <c r="AI37" i="7"/>
  <c r="A30" i="2"/>
  <c r="A31" i="2" s="1"/>
  <c r="B29" i="2"/>
  <c r="AE4" i="2"/>
  <c r="AN1" i="2"/>
  <c r="AN5" i="2" s="1"/>
  <c r="AM1" i="7"/>
  <c r="AK47" i="2" l="1"/>
  <c r="AM43" i="6"/>
  <c r="AI43" i="7"/>
  <c r="AK22" i="2"/>
  <c r="AM18" i="6"/>
  <c r="AI18" i="7"/>
  <c r="AI29" i="7"/>
  <c r="AK33" i="2"/>
  <c r="AM29" i="6"/>
  <c r="AK97" i="2"/>
  <c r="AM93" i="6"/>
  <c r="AI93" i="7"/>
  <c r="AK15" i="2"/>
  <c r="AM11" i="6"/>
  <c r="AI11" i="7"/>
  <c r="AK46" i="2"/>
  <c r="AI42" i="7"/>
  <c r="AM42" i="6"/>
  <c r="AK102" i="2"/>
  <c r="AI98" i="7"/>
  <c r="AM98" i="6"/>
  <c r="AK71" i="2"/>
  <c r="AM67" i="6"/>
  <c r="AI67" i="7"/>
  <c r="AI62" i="7"/>
  <c r="AK66" i="2"/>
  <c r="AM62" i="6"/>
  <c r="AI15" i="7"/>
  <c r="AK19" i="2"/>
  <c r="AM15" i="6"/>
  <c r="AI97" i="7"/>
  <c r="AK101" i="2"/>
  <c r="AM97" i="6"/>
  <c r="AI57" i="7"/>
  <c r="AK61" i="2"/>
  <c r="AM57" i="6"/>
  <c r="AK32" i="2"/>
  <c r="AI28" i="7"/>
  <c r="AM28" i="6"/>
  <c r="AM84" i="6"/>
  <c r="AI84" i="7"/>
  <c r="AK88" i="2"/>
  <c r="AI80" i="7"/>
  <c r="AK84" i="2"/>
  <c r="AM80" i="6"/>
  <c r="AM16" i="6"/>
  <c r="AI16" i="7"/>
  <c r="AK20" i="2"/>
  <c r="AI56" i="7"/>
  <c r="AK60" i="2"/>
  <c r="AM56" i="6"/>
  <c r="AM4" i="6"/>
  <c r="AK8" i="2"/>
  <c r="AI4" i="7"/>
  <c r="AK62" i="2"/>
  <c r="AM58" i="6"/>
  <c r="AI58" i="7"/>
  <c r="AJ3" i="2"/>
  <c r="AM2" i="6"/>
  <c r="AI2" i="7"/>
  <c r="AK6" i="2"/>
  <c r="AK68" i="2"/>
  <c r="AI64" i="7"/>
  <c r="AM64" i="6"/>
  <c r="AK36" i="2"/>
  <c r="AM32" i="6"/>
  <c r="AI32" i="7"/>
  <c r="AI50" i="7"/>
  <c r="AK54" i="2"/>
  <c r="AM50" i="6"/>
  <c r="AK34" i="2"/>
  <c r="AM30" i="6"/>
  <c r="AI30" i="7"/>
  <c r="AK24" i="2"/>
  <c r="AI20" i="7"/>
  <c r="AM20" i="6"/>
  <c r="AK82" i="2"/>
  <c r="AM78" i="6"/>
  <c r="AI78" i="7"/>
  <c r="AM99" i="6"/>
  <c r="AK103" i="2"/>
  <c r="AI99" i="7"/>
  <c r="AM66" i="6"/>
  <c r="AK70" i="2"/>
  <c r="AI66" i="7"/>
  <c r="AM24" i="6"/>
  <c r="AK28" i="2"/>
  <c r="AI24" i="7"/>
  <c r="AM95" i="6"/>
  <c r="AK99" i="2"/>
  <c r="AI95" i="7"/>
  <c r="AK48" i="2"/>
  <c r="AM44" i="6"/>
  <c r="AI44" i="7"/>
  <c r="AM23" i="6"/>
  <c r="AK27" i="2"/>
  <c r="AI23" i="7"/>
  <c r="AM27" i="6"/>
  <c r="AK31" i="2"/>
  <c r="AI27" i="7"/>
  <c r="AM96" i="6"/>
  <c r="AK100" i="2"/>
  <c r="AI96" i="7"/>
  <c r="AM19" i="6"/>
  <c r="AK23" i="2"/>
  <c r="AI19" i="7"/>
  <c r="AK37" i="2"/>
  <c r="AM33" i="6"/>
  <c r="AI33" i="7"/>
  <c r="AK42" i="2"/>
  <c r="AM38" i="6"/>
  <c r="AI38" i="7"/>
  <c r="AM85" i="6"/>
  <c r="AK89" i="2"/>
  <c r="AI85" i="7"/>
  <c r="AM69" i="6"/>
  <c r="AK73" i="2"/>
  <c r="AI69" i="7"/>
  <c r="AK50" i="2"/>
  <c r="AM46" i="6"/>
  <c r="AI46" i="7"/>
  <c r="AM53" i="6"/>
  <c r="AK57" i="2"/>
  <c r="AI53" i="7"/>
  <c r="AM79" i="6"/>
  <c r="AK83" i="2"/>
  <c r="AI79" i="7"/>
  <c r="AK39" i="2"/>
  <c r="AM35" i="6"/>
  <c r="AI35" i="7"/>
  <c r="AM71" i="6"/>
  <c r="AK75" i="2"/>
  <c r="AI71" i="7"/>
  <c r="AM65" i="6"/>
  <c r="AK69" i="2"/>
  <c r="AI65" i="7"/>
  <c r="AM63" i="6"/>
  <c r="AK67" i="2"/>
  <c r="AI63" i="7"/>
  <c r="AM25" i="6"/>
  <c r="AK29" i="2"/>
  <c r="AI25" i="7"/>
  <c r="AM21" i="6"/>
  <c r="AK25" i="2"/>
  <c r="AI21" i="7"/>
  <c r="AM74" i="6"/>
  <c r="AK78" i="2"/>
  <c r="AI74" i="7"/>
  <c r="AM92" i="6"/>
  <c r="AK96" i="2"/>
  <c r="AI92" i="7"/>
  <c r="AM31" i="6"/>
  <c r="AK35" i="2"/>
  <c r="AI31" i="7"/>
  <c r="AM81" i="6"/>
  <c r="AK85" i="2"/>
  <c r="AI81" i="7"/>
  <c r="AK40" i="2"/>
  <c r="AM36" i="6"/>
  <c r="AI36" i="7"/>
  <c r="AK49" i="2"/>
  <c r="AM45" i="6"/>
  <c r="AI45" i="7"/>
  <c r="AM75" i="6"/>
  <c r="AK79" i="2"/>
  <c r="AI75" i="7"/>
  <c r="AM94" i="6"/>
  <c r="AK98" i="2"/>
  <c r="AI94" i="7"/>
  <c r="AM26" i="6"/>
  <c r="AK30" i="2"/>
  <c r="AI26" i="7"/>
  <c r="AM89" i="6"/>
  <c r="AK93" i="2"/>
  <c r="AI89" i="7"/>
  <c r="AM51" i="6"/>
  <c r="AK55" i="2"/>
  <c r="AI51" i="7"/>
  <c r="AM86" i="6"/>
  <c r="AK90" i="2"/>
  <c r="AI86" i="7"/>
  <c r="AM55" i="6"/>
  <c r="AK59" i="2"/>
  <c r="AI55" i="7"/>
  <c r="AM52" i="6"/>
  <c r="AK56" i="2"/>
  <c r="AI52" i="7"/>
  <c r="AK43" i="2"/>
  <c r="AM39" i="6"/>
  <c r="AI39" i="7"/>
  <c r="AM68" i="6"/>
  <c r="AK72" i="2"/>
  <c r="AI68" i="7"/>
  <c r="AK52" i="2"/>
  <c r="AM48" i="6"/>
  <c r="AI48" i="7"/>
  <c r="AM60" i="6"/>
  <c r="AK64" i="2"/>
  <c r="AI60" i="7"/>
  <c r="AN77" i="6"/>
  <c r="AL81" i="2"/>
  <c r="AJ77" i="7"/>
  <c r="AL7" i="2"/>
  <c r="AN3" i="6"/>
  <c r="AJ3" i="7"/>
  <c r="AL80" i="2"/>
  <c r="AN76" i="6"/>
  <c r="AJ76" i="7"/>
  <c r="AL92" i="2"/>
  <c r="AN88" i="6"/>
  <c r="AJ88" i="7"/>
  <c r="AL38" i="2"/>
  <c r="AN34" i="6"/>
  <c r="AJ34" i="7"/>
  <c r="AN70" i="6"/>
  <c r="AL74" i="2"/>
  <c r="AJ70" i="7"/>
  <c r="AN12" i="6"/>
  <c r="AL16" i="2"/>
  <c r="AJ12" i="7"/>
  <c r="AN49" i="6"/>
  <c r="AL53" i="2"/>
  <c r="AJ49" i="7"/>
  <c r="AN54" i="6"/>
  <c r="AL58" i="2"/>
  <c r="AJ54" i="7"/>
  <c r="AL51" i="2"/>
  <c r="AN47" i="6"/>
  <c r="AJ47" i="7"/>
  <c r="AN91" i="6"/>
  <c r="AL95" i="2"/>
  <c r="AJ91" i="7"/>
  <c r="AN82" i="6"/>
  <c r="AL86" i="2"/>
  <c r="AJ82" i="7"/>
  <c r="AN17" i="6"/>
  <c r="AL21" i="2"/>
  <c r="AJ17" i="7"/>
  <c r="AN6" i="6"/>
  <c r="AL10" i="2"/>
  <c r="AJ6" i="7"/>
  <c r="AN61" i="6"/>
  <c r="AL65" i="2"/>
  <c r="AJ61" i="7"/>
  <c r="AN10" i="6"/>
  <c r="AL14" i="2"/>
  <c r="AJ10" i="7"/>
  <c r="AL45" i="2"/>
  <c r="AN41" i="6"/>
  <c r="AJ41" i="7"/>
  <c r="AN22" i="6"/>
  <c r="AL26" i="2"/>
  <c r="AJ22" i="7"/>
  <c r="AN90" i="6"/>
  <c r="AL94" i="2"/>
  <c r="AJ90" i="7"/>
  <c r="AN8" i="6"/>
  <c r="AL12" i="2"/>
  <c r="AJ8" i="7"/>
  <c r="AN5" i="6"/>
  <c r="AL9" i="2"/>
  <c r="AJ5" i="7"/>
  <c r="AN9" i="6"/>
  <c r="AL13" i="2"/>
  <c r="AJ9" i="7"/>
  <c r="AN73" i="6"/>
  <c r="AL77" i="2"/>
  <c r="AJ73" i="7"/>
  <c r="AN87" i="6"/>
  <c r="AL91" i="2"/>
  <c r="AJ87" i="7"/>
  <c r="AN13" i="6"/>
  <c r="AL17" i="2"/>
  <c r="AJ13" i="7"/>
  <c r="AN7" i="6"/>
  <c r="AL11" i="2"/>
  <c r="AJ7" i="7"/>
  <c r="AL87" i="2"/>
  <c r="AN83" i="6"/>
  <c r="AJ83" i="7"/>
  <c r="AL76" i="2"/>
  <c r="AN72" i="6"/>
  <c r="AJ72" i="7"/>
  <c r="AL44" i="2"/>
  <c r="AN40" i="6"/>
  <c r="AJ40" i="7"/>
  <c r="AL63" i="2"/>
  <c r="AN59" i="6"/>
  <c r="AJ59" i="7"/>
  <c r="AL18" i="2"/>
  <c r="AN14" i="6"/>
  <c r="AJ14" i="7"/>
  <c r="AL41" i="2"/>
  <c r="AN37" i="6"/>
  <c r="AJ37" i="7"/>
  <c r="B31" i="2"/>
  <c r="A32" i="2"/>
  <c r="B30" i="2"/>
  <c r="AF4" i="2"/>
  <c r="AO1" i="2"/>
  <c r="AO5" i="2" s="1"/>
  <c r="AN1" i="7"/>
  <c r="AN60" i="6" l="1"/>
  <c r="AL64" i="2"/>
  <c r="AJ60" i="7"/>
  <c r="AL52" i="2"/>
  <c r="AN48" i="6"/>
  <c r="AJ48" i="7"/>
  <c r="AN68" i="6"/>
  <c r="AL72" i="2"/>
  <c r="AJ68" i="7"/>
  <c r="AL43" i="2"/>
  <c r="AN39" i="6"/>
  <c r="AJ39" i="7"/>
  <c r="AN52" i="6"/>
  <c r="AL56" i="2"/>
  <c r="AJ52" i="7"/>
  <c r="AN55" i="6"/>
  <c r="AL59" i="2"/>
  <c r="AJ55" i="7"/>
  <c r="AN86" i="6"/>
  <c r="AL90" i="2"/>
  <c r="AJ86" i="7"/>
  <c r="AN51" i="6"/>
  <c r="AL55" i="2"/>
  <c r="AJ51" i="7"/>
  <c r="AN89" i="6"/>
  <c r="AL93" i="2"/>
  <c r="AJ89" i="7"/>
  <c r="AN26" i="6"/>
  <c r="AL30" i="2"/>
  <c r="AJ26" i="7"/>
  <c r="AN94" i="6"/>
  <c r="AL98" i="2"/>
  <c r="AJ94" i="7"/>
  <c r="AN75" i="6"/>
  <c r="AL79" i="2"/>
  <c r="AJ75" i="7"/>
  <c r="AL49" i="2"/>
  <c r="AN45" i="6"/>
  <c r="AJ45" i="7"/>
  <c r="AL40" i="2"/>
  <c r="AN36" i="6"/>
  <c r="AJ36" i="7"/>
  <c r="AN81" i="6"/>
  <c r="AL85" i="2"/>
  <c r="AJ81" i="7"/>
  <c r="AN31" i="6"/>
  <c r="AL35" i="2"/>
  <c r="AJ31" i="7"/>
  <c r="AN92" i="6"/>
  <c r="AL96" i="2"/>
  <c r="AJ92" i="7"/>
  <c r="AN74" i="6"/>
  <c r="AL78" i="2"/>
  <c r="AJ74" i="7"/>
  <c r="AN21" i="6"/>
  <c r="AL25" i="2"/>
  <c r="AJ21" i="7"/>
  <c r="AN25" i="6"/>
  <c r="AL29" i="2"/>
  <c r="AJ25" i="7"/>
  <c r="AN63" i="6"/>
  <c r="AL67" i="2"/>
  <c r="AJ63" i="7"/>
  <c r="AN65" i="6"/>
  <c r="AL69" i="2"/>
  <c r="AJ65" i="7"/>
  <c r="AN71" i="6"/>
  <c r="AL75" i="2"/>
  <c r="AJ71" i="7"/>
  <c r="AL39" i="2"/>
  <c r="AN35" i="6"/>
  <c r="AJ35" i="7"/>
  <c r="AN79" i="6"/>
  <c r="AL83" i="2"/>
  <c r="AJ79" i="7"/>
  <c r="AN53" i="6"/>
  <c r="AL57" i="2"/>
  <c r="AJ53" i="7"/>
  <c r="AL50" i="2"/>
  <c r="AN46" i="6"/>
  <c r="AJ46" i="7"/>
  <c r="AN69" i="6"/>
  <c r="AL73" i="2"/>
  <c r="AJ69" i="7"/>
  <c r="AN85" i="6"/>
  <c r="AL89" i="2"/>
  <c r="AJ85" i="7"/>
  <c r="AL42" i="2"/>
  <c r="AN38" i="6"/>
  <c r="AJ38" i="7"/>
  <c r="AL37" i="2"/>
  <c r="AN33" i="6"/>
  <c r="AJ33" i="7"/>
  <c r="AN19" i="6"/>
  <c r="AL23" i="2"/>
  <c r="AJ19" i="7"/>
  <c r="AN96" i="6"/>
  <c r="AL100" i="2"/>
  <c r="AJ96" i="7"/>
  <c r="AN27" i="6"/>
  <c r="AL31" i="2"/>
  <c r="AJ27" i="7"/>
  <c r="AN23" i="6"/>
  <c r="AL27" i="2"/>
  <c r="AJ23" i="7"/>
  <c r="AL48" i="2"/>
  <c r="AN44" i="6"/>
  <c r="AJ44" i="7"/>
  <c r="AN95" i="6"/>
  <c r="AL99" i="2"/>
  <c r="AJ95" i="7"/>
  <c r="AN24" i="6"/>
  <c r="AL28" i="2"/>
  <c r="AJ24" i="7"/>
  <c r="AN66" i="6"/>
  <c r="AL70" i="2"/>
  <c r="AJ66" i="7"/>
  <c r="AN99" i="6"/>
  <c r="AL103" i="2"/>
  <c r="AJ99" i="7"/>
  <c r="AL82" i="2"/>
  <c r="AN78" i="6"/>
  <c r="AJ78" i="7"/>
  <c r="AL24" i="2"/>
  <c r="AJ20" i="7"/>
  <c r="AN20" i="6"/>
  <c r="AL34" i="2"/>
  <c r="AN30" i="6"/>
  <c r="AJ30" i="7"/>
  <c r="AL54" i="2"/>
  <c r="AN50" i="6"/>
  <c r="AJ50" i="7"/>
  <c r="AL36" i="2"/>
  <c r="AJ32" i="7"/>
  <c r="AN32" i="6"/>
  <c r="AJ64" i="7"/>
  <c r="AL68" i="2"/>
  <c r="AN64" i="6"/>
  <c r="AJ2" i="7"/>
  <c r="AL6" i="2"/>
  <c r="AN2" i="6"/>
  <c r="AK3" i="2"/>
  <c r="AL62" i="2"/>
  <c r="AN58" i="6"/>
  <c r="AJ58" i="7"/>
  <c r="AJ4" i="7"/>
  <c r="AL8" i="2"/>
  <c r="AN4" i="6"/>
  <c r="AJ56" i="7"/>
  <c r="AL60" i="2"/>
  <c r="AN56" i="6"/>
  <c r="AL20" i="2"/>
  <c r="AN16" i="6"/>
  <c r="AJ16" i="7"/>
  <c r="AL84" i="2"/>
  <c r="AJ80" i="7"/>
  <c r="AN80" i="6"/>
  <c r="AJ84" i="7"/>
  <c r="AL88" i="2"/>
  <c r="AN84" i="6"/>
  <c r="AJ28" i="7"/>
  <c r="AL32" i="2"/>
  <c r="AN28" i="6"/>
  <c r="AL61" i="2"/>
  <c r="AN57" i="6"/>
  <c r="AJ57" i="7"/>
  <c r="AL101" i="2"/>
  <c r="AN97" i="6"/>
  <c r="AJ97" i="7"/>
  <c r="AN15" i="6"/>
  <c r="AJ15" i="7"/>
  <c r="AL19" i="2"/>
  <c r="AJ62" i="7"/>
  <c r="AL66" i="2"/>
  <c r="AN62" i="6"/>
  <c r="AL71" i="2"/>
  <c r="AN67" i="6"/>
  <c r="AJ67" i="7"/>
  <c r="AJ98" i="7"/>
  <c r="AL102" i="2"/>
  <c r="AN98" i="6"/>
  <c r="AL46" i="2"/>
  <c r="AJ42" i="7"/>
  <c r="AN42" i="6"/>
  <c r="AL15" i="2"/>
  <c r="AN11" i="6"/>
  <c r="AJ11" i="7"/>
  <c r="AJ93" i="7"/>
  <c r="AL97" i="2"/>
  <c r="AN93" i="6"/>
  <c r="AJ29" i="7"/>
  <c r="AL33" i="2"/>
  <c r="AN29" i="6"/>
  <c r="AL22" i="2"/>
  <c r="AN18" i="6"/>
  <c r="AJ18" i="7"/>
  <c r="AL47" i="2"/>
  <c r="AN43" i="6"/>
  <c r="AJ43" i="7"/>
  <c r="AM18" i="2"/>
  <c r="AO14" i="6"/>
  <c r="AK14" i="7"/>
  <c r="AM63" i="2"/>
  <c r="AO59" i="6"/>
  <c r="AK59" i="7"/>
  <c r="AM44" i="2"/>
  <c r="AO40" i="6"/>
  <c r="AK40" i="7"/>
  <c r="AM76" i="2"/>
  <c r="AO72" i="6"/>
  <c r="AK72" i="7"/>
  <c r="AK83" i="7"/>
  <c r="AM87" i="2"/>
  <c r="AO83" i="6"/>
  <c r="AO7" i="6"/>
  <c r="AM11" i="2"/>
  <c r="AK7" i="7"/>
  <c r="AO13" i="6"/>
  <c r="AM17" i="2"/>
  <c r="AK13" i="7"/>
  <c r="AO87" i="6"/>
  <c r="AM91" i="2"/>
  <c r="AK87" i="7"/>
  <c r="AO73" i="6"/>
  <c r="AM77" i="2"/>
  <c r="AK73" i="7"/>
  <c r="AO9" i="6"/>
  <c r="AM13" i="2"/>
  <c r="AK9" i="7"/>
  <c r="AO5" i="6"/>
  <c r="AM9" i="2"/>
  <c r="AK5" i="7"/>
  <c r="AO8" i="6"/>
  <c r="AM12" i="2"/>
  <c r="AK8" i="7"/>
  <c r="AO90" i="6"/>
  <c r="AM94" i="2"/>
  <c r="AK90" i="7"/>
  <c r="AO22" i="6"/>
  <c r="AM26" i="2"/>
  <c r="AK22" i="7"/>
  <c r="AM45" i="2"/>
  <c r="AO41" i="6"/>
  <c r="AK41" i="7"/>
  <c r="AO10" i="6"/>
  <c r="AM14" i="2"/>
  <c r="AK10" i="7"/>
  <c r="AO61" i="6"/>
  <c r="AM65" i="2"/>
  <c r="AK61" i="7"/>
  <c r="AO6" i="6"/>
  <c r="AM10" i="2"/>
  <c r="AK6" i="7"/>
  <c r="AO17" i="6"/>
  <c r="AM21" i="2"/>
  <c r="AK17" i="7"/>
  <c r="AO82" i="6"/>
  <c r="AM86" i="2"/>
  <c r="AK82" i="7"/>
  <c r="AO91" i="6"/>
  <c r="AM95" i="2"/>
  <c r="AK91" i="7"/>
  <c r="AM51" i="2"/>
  <c r="AO47" i="6"/>
  <c r="AK47" i="7"/>
  <c r="AO54" i="6"/>
  <c r="AM58" i="2"/>
  <c r="AK54" i="7"/>
  <c r="AO49" i="6"/>
  <c r="AM53" i="2"/>
  <c r="AK49" i="7"/>
  <c r="AO12" i="6"/>
  <c r="AM16" i="2"/>
  <c r="AK12" i="7"/>
  <c r="AO70" i="6"/>
  <c r="AM74" i="2"/>
  <c r="AK70" i="7"/>
  <c r="AM38" i="2"/>
  <c r="AO34" i="6"/>
  <c r="AK34" i="7"/>
  <c r="AM92" i="2"/>
  <c r="AO88" i="6"/>
  <c r="AK88" i="7"/>
  <c r="AO76" i="6"/>
  <c r="AK76" i="7"/>
  <c r="AM80" i="2"/>
  <c r="AM7" i="2"/>
  <c r="AO3" i="6"/>
  <c r="AK3" i="7"/>
  <c r="AO77" i="6"/>
  <c r="AM81" i="2"/>
  <c r="AK77" i="7"/>
  <c r="AM41" i="2"/>
  <c r="AO37" i="6"/>
  <c r="AK37" i="7"/>
  <c r="B32" i="2"/>
  <c r="AG4" i="2"/>
  <c r="AP1" i="2"/>
  <c r="AP5" i="2" s="1"/>
  <c r="AP1" i="7"/>
  <c r="AO1" i="7"/>
  <c r="AM47" i="2" l="1"/>
  <c r="AO43" i="6"/>
  <c r="AK43" i="7"/>
  <c r="AM22" i="2"/>
  <c r="AO18" i="6"/>
  <c r="AK18" i="7"/>
  <c r="AM33" i="2"/>
  <c r="AO29" i="6"/>
  <c r="AK29" i="7"/>
  <c r="AM97" i="2"/>
  <c r="AK93" i="7"/>
  <c r="AO93" i="6"/>
  <c r="AK11" i="7"/>
  <c r="AM15" i="2"/>
  <c r="AO11" i="6"/>
  <c r="AM46" i="2"/>
  <c r="AO42" i="6"/>
  <c r="AK42" i="7"/>
  <c r="AK98" i="7"/>
  <c r="AM102" i="2"/>
  <c r="AO98" i="6"/>
  <c r="AK67" i="7"/>
  <c r="AM71" i="2"/>
  <c r="AO67" i="6"/>
  <c r="AK62" i="7"/>
  <c r="AM66" i="2"/>
  <c r="AO62" i="6"/>
  <c r="AK15" i="7"/>
  <c r="AM19" i="2"/>
  <c r="AO15" i="6"/>
  <c r="AK97" i="7"/>
  <c r="AM101" i="2"/>
  <c r="AO97" i="6"/>
  <c r="AO57" i="6"/>
  <c r="AK57" i="7"/>
  <c r="AM61" i="2"/>
  <c r="AM32" i="2"/>
  <c r="AK28" i="7"/>
  <c r="AO28" i="6"/>
  <c r="AK84" i="7"/>
  <c r="AM88" i="2"/>
  <c r="AO84" i="6"/>
  <c r="AK80" i="7"/>
  <c r="AM84" i="2"/>
  <c r="AO80" i="6"/>
  <c r="AK16" i="7"/>
  <c r="AM20" i="2"/>
  <c r="AO16" i="6"/>
  <c r="AK56" i="7"/>
  <c r="AM60" i="2"/>
  <c r="AO56" i="6"/>
  <c r="AK4" i="7"/>
  <c r="AM8" i="2"/>
  <c r="AO4" i="6"/>
  <c r="AK58" i="7"/>
  <c r="AM62" i="2"/>
  <c r="AO58" i="6"/>
  <c r="AL3" i="2"/>
  <c r="AK2" i="7"/>
  <c r="AM6" i="2"/>
  <c r="AO2" i="6"/>
  <c r="AK64" i="7"/>
  <c r="AM68" i="2"/>
  <c r="AO64" i="6"/>
  <c r="AM36" i="2"/>
  <c r="AO32" i="6"/>
  <c r="AK32" i="7"/>
  <c r="AK50" i="7"/>
  <c r="AM54" i="2"/>
  <c r="AO50" i="6"/>
  <c r="AO30" i="6"/>
  <c r="AM34" i="2"/>
  <c r="AK30" i="7"/>
  <c r="AM24" i="2"/>
  <c r="AK20" i="7"/>
  <c r="AO20" i="6"/>
  <c r="AM82" i="2"/>
  <c r="AO78" i="6"/>
  <c r="AK78" i="7"/>
  <c r="AO99" i="6"/>
  <c r="AM103" i="2"/>
  <c r="AK99" i="7"/>
  <c r="AO66" i="6"/>
  <c r="AM70" i="2"/>
  <c r="AK66" i="7"/>
  <c r="AO24" i="6"/>
  <c r="AM28" i="2"/>
  <c r="AK24" i="7"/>
  <c r="AO95" i="6"/>
  <c r="AM99" i="2"/>
  <c r="AK95" i="7"/>
  <c r="AM48" i="2"/>
  <c r="AO44" i="6"/>
  <c r="AK44" i="7"/>
  <c r="AO23" i="6"/>
  <c r="AM27" i="2"/>
  <c r="AK23" i="7"/>
  <c r="AO27" i="6"/>
  <c r="AM31" i="2"/>
  <c r="AK27" i="7"/>
  <c r="AO96" i="6"/>
  <c r="AM100" i="2"/>
  <c r="AK96" i="7"/>
  <c r="AO19" i="6"/>
  <c r="AM23" i="2"/>
  <c r="AK19" i="7"/>
  <c r="AM37" i="2"/>
  <c r="AO33" i="6"/>
  <c r="AK33" i="7"/>
  <c r="AM42" i="2"/>
  <c r="AO38" i="6"/>
  <c r="AK38" i="7"/>
  <c r="AO85" i="6"/>
  <c r="AM89" i="2"/>
  <c r="AK85" i="7"/>
  <c r="AO69" i="6"/>
  <c r="AM73" i="2"/>
  <c r="AK69" i="7"/>
  <c r="AM50" i="2"/>
  <c r="AO46" i="6"/>
  <c r="AK46" i="7"/>
  <c r="AO53" i="6"/>
  <c r="AM57" i="2"/>
  <c r="AK53" i="7"/>
  <c r="AO79" i="6"/>
  <c r="AM83" i="2"/>
  <c r="AK79" i="7"/>
  <c r="AM39" i="2"/>
  <c r="AO35" i="6"/>
  <c r="AK35" i="7"/>
  <c r="AO71" i="6"/>
  <c r="AM75" i="2"/>
  <c r="AK71" i="7"/>
  <c r="AO65" i="6"/>
  <c r="AM69" i="2"/>
  <c r="AK65" i="7"/>
  <c r="AO63" i="6"/>
  <c r="AM67" i="2"/>
  <c r="AK63" i="7"/>
  <c r="AO25" i="6"/>
  <c r="AM29" i="2"/>
  <c r="AK25" i="7"/>
  <c r="AO21" i="6"/>
  <c r="AM25" i="2"/>
  <c r="AK21" i="7"/>
  <c r="AO74" i="6"/>
  <c r="AM78" i="2"/>
  <c r="AK74" i="7"/>
  <c r="AO92" i="6"/>
  <c r="AM96" i="2"/>
  <c r="AK92" i="7"/>
  <c r="AO31" i="6"/>
  <c r="AM35" i="2"/>
  <c r="AK31" i="7"/>
  <c r="AO81" i="6"/>
  <c r="AM85" i="2"/>
  <c r="AK81" i="7"/>
  <c r="AM40" i="2"/>
  <c r="AO36" i="6"/>
  <c r="AK36" i="7"/>
  <c r="AM49" i="2"/>
  <c r="AO45" i="6"/>
  <c r="AK45" i="7"/>
  <c r="AO75" i="6"/>
  <c r="AM79" i="2"/>
  <c r="AK75" i="7"/>
  <c r="AO94" i="6"/>
  <c r="AM98" i="2"/>
  <c r="AK94" i="7"/>
  <c r="AO26" i="6"/>
  <c r="AM30" i="2"/>
  <c r="AK26" i="7"/>
  <c r="AO89" i="6"/>
  <c r="AM93" i="2"/>
  <c r="AK89" i="7"/>
  <c r="AO51" i="6"/>
  <c r="AM55" i="2"/>
  <c r="AK51" i="7"/>
  <c r="AO86" i="6"/>
  <c r="AM90" i="2"/>
  <c r="AK86" i="7"/>
  <c r="AO55" i="6"/>
  <c r="AM59" i="2"/>
  <c r="AK55" i="7"/>
  <c r="AO52" i="6"/>
  <c r="AM56" i="2"/>
  <c r="AK52" i="7"/>
  <c r="AM43" i="2"/>
  <c r="AO39" i="6"/>
  <c r="AK39" i="7"/>
  <c r="AO68" i="6"/>
  <c r="AM72" i="2"/>
  <c r="AK68" i="7"/>
  <c r="AM52" i="2"/>
  <c r="AO48" i="6"/>
  <c r="AK48" i="7"/>
  <c r="AO60" i="6"/>
  <c r="AM64" i="2"/>
  <c r="AK60" i="7"/>
  <c r="AP77" i="6"/>
  <c r="AN81" i="2"/>
  <c r="AL77" i="7"/>
  <c r="AP3" i="6"/>
  <c r="AN7" i="2"/>
  <c r="AL3" i="7"/>
  <c r="AN80" i="2"/>
  <c r="AP76" i="6"/>
  <c r="AL76" i="7"/>
  <c r="AN92" i="2"/>
  <c r="AP88" i="6"/>
  <c r="AL88" i="7"/>
  <c r="AN38" i="2"/>
  <c r="AP34" i="6"/>
  <c r="AL34" i="7"/>
  <c r="AP70" i="6"/>
  <c r="AN74" i="2"/>
  <c r="AL70" i="7"/>
  <c r="AP12" i="6"/>
  <c r="AN16" i="2"/>
  <c r="AL12" i="7"/>
  <c r="AP49" i="6"/>
  <c r="AN53" i="2"/>
  <c r="AL49" i="7"/>
  <c r="AP54" i="6"/>
  <c r="AN58" i="2"/>
  <c r="AL54" i="7"/>
  <c r="AN51" i="2"/>
  <c r="AP47" i="6"/>
  <c r="AL47" i="7"/>
  <c r="AP91" i="6"/>
  <c r="AN95" i="2"/>
  <c r="AL91" i="7"/>
  <c r="AP82" i="6"/>
  <c r="AN86" i="2"/>
  <c r="AL82" i="7"/>
  <c r="AP17" i="6"/>
  <c r="AN21" i="2"/>
  <c r="AL17" i="7"/>
  <c r="AP6" i="6"/>
  <c r="AN10" i="2"/>
  <c r="AL6" i="7"/>
  <c r="AP61" i="6"/>
  <c r="AN65" i="2"/>
  <c r="AL61" i="7"/>
  <c r="AP10" i="6"/>
  <c r="AN14" i="2"/>
  <c r="AL10" i="7"/>
  <c r="AN45" i="2"/>
  <c r="AP41" i="6"/>
  <c r="AL41" i="7"/>
  <c r="AP22" i="6"/>
  <c r="AN26" i="2"/>
  <c r="AL22" i="7"/>
  <c r="AP90" i="6"/>
  <c r="AN94" i="2"/>
  <c r="AL90" i="7"/>
  <c r="AP8" i="6"/>
  <c r="AN12" i="2"/>
  <c r="AL8" i="7"/>
  <c r="AP5" i="6"/>
  <c r="AN9" i="2"/>
  <c r="AL5" i="7"/>
  <c r="AP9" i="6"/>
  <c r="AN13" i="2"/>
  <c r="AL9" i="7"/>
  <c r="AP73" i="6"/>
  <c r="AN77" i="2"/>
  <c r="AL73" i="7"/>
  <c r="AP87" i="6"/>
  <c r="AN91" i="2"/>
  <c r="AL87" i="7"/>
  <c r="AP13" i="6"/>
  <c r="AN17" i="2"/>
  <c r="AL13" i="7"/>
  <c r="AP7" i="6"/>
  <c r="AN11" i="2"/>
  <c r="AL7" i="7"/>
  <c r="AL83" i="7"/>
  <c r="AN87" i="2"/>
  <c r="AP83" i="6"/>
  <c r="AN76" i="2"/>
  <c r="AL72" i="7"/>
  <c r="AP72" i="6"/>
  <c r="AN44" i="2"/>
  <c r="AP40" i="6"/>
  <c r="AL40" i="7"/>
  <c r="AN63" i="2"/>
  <c r="AP59" i="6"/>
  <c r="AL59" i="7"/>
  <c r="AN18" i="2"/>
  <c r="AP14" i="6"/>
  <c r="AL14" i="7"/>
  <c r="AN41" i="2"/>
  <c r="AP37" i="6"/>
  <c r="AL37" i="7"/>
  <c r="AH4" i="2"/>
  <c r="AQ1" i="2"/>
  <c r="AQ5" i="2" s="1"/>
  <c r="AQ1" i="7"/>
  <c r="AP60" i="6" l="1"/>
  <c r="AN64" i="2"/>
  <c r="AL60" i="7"/>
  <c r="AN52" i="2"/>
  <c r="AP48" i="6"/>
  <c r="AL48" i="7"/>
  <c r="AP68" i="6"/>
  <c r="AN72" i="2"/>
  <c r="AL68" i="7"/>
  <c r="AN43" i="2"/>
  <c r="AP39" i="6"/>
  <c r="AL39" i="7"/>
  <c r="AP52" i="6"/>
  <c r="AN56" i="2"/>
  <c r="AL52" i="7"/>
  <c r="AP55" i="6"/>
  <c r="AN59" i="2"/>
  <c r="AL55" i="7"/>
  <c r="AP86" i="6"/>
  <c r="AN90" i="2"/>
  <c r="AL86" i="7"/>
  <c r="AP51" i="6"/>
  <c r="AN55" i="2"/>
  <c r="AL51" i="7"/>
  <c r="AP89" i="6"/>
  <c r="AN93" i="2"/>
  <c r="AL89" i="7"/>
  <c r="AP26" i="6"/>
  <c r="AN30" i="2"/>
  <c r="AL26" i="7"/>
  <c r="AP94" i="6"/>
  <c r="AN98" i="2"/>
  <c r="AL94" i="7"/>
  <c r="AP75" i="6"/>
  <c r="AN79" i="2"/>
  <c r="AL75" i="7"/>
  <c r="AN49" i="2"/>
  <c r="AP45" i="6"/>
  <c r="AL45" i="7"/>
  <c r="AN40" i="2"/>
  <c r="AP36" i="6"/>
  <c r="AL36" i="7"/>
  <c r="AP81" i="6"/>
  <c r="AN85" i="2"/>
  <c r="AL81" i="7"/>
  <c r="AP31" i="6"/>
  <c r="AN35" i="2"/>
  <c r="AL31" i="7"/>
  <c r="AP92" i="6"/>
  <c r="AN96" i="2"/>
  <c r="AL92" i="7"/>
  <c r="AP74" i="6"/>
  <c r="AN78" i="2"/>
  <c r="AL74" i="7"/>
  <c r="AP21" i="6"/>
  <c r="AN25" i="2"/>
  <c r="AL21" i="7"/>
  <c r="AP25" i="6"/>
  <c r="AN29" i="2"/>
  <c r="AL25" i="7"/>
  <c r="AP63" i="6"/>
  <c r="AN67" i="2"/>
  <c r="AL63" i="7"/>
  <c r="AP65" i="6"/>
  <c r="AN69" i="2"/>
  <c r="AL65" i="7"/>
  <c r="AP71" i="6"/>
  <c r="AN75" i="2"/>
  <c r="AL71" i="7"/>
  <c r="AN39" i="2"/>
  <c r="AP35" i="6"/>
  <c r="AL35" i="7"/>
  <c r="AP79" i="6"/>
  <c r="AN83" i="2"/>
  <c r="AL79" i="7"/>
  <c r="AP53" i="6"/>
  <c r="AN57" i="2"/>
  <c r="AL53" i="7"/>
  <c r="AN50" i="2"/>
  <c r="AP46" i="6"/>
  <c r="AL46" i="7"/>
  <c r="AP69" i="6"/>
  <c r="AN73" i="2"/>
  <c r="AL69" i="7"/>
  <c r="AP85" i="6"/>
  <c r="AN89" i="2"/>
  <c r="AL85" i="7"/>
  <c r="AN42" i="2"/>
  <c r="AP38" i="6"/>
  <c r="AL38" i="7"/>
  <c r="AN37" i="2"/>
  <c r="AP33" i="6"/>
  <c r="AL33" i="7"/>
  <c r="AP19" i="6"/>
  <c r="AN23" i="2"/>
  <c r="AL19" i="7"/>
  <c r="AP96" i="6"/>
  <c r="AN100" i="2"/>
  <c r="AL96" i="7"/>
  <c r="AP27" i="6"/>
  <c r="AN31" i="2"/>
  <c r="AL27" i="7"/>
  <c r="AP23" i="6"/>
  <c r="AN27" i="2"/>
  <c r="AL23" i="7"/>
  <c r="AN48" i="2"/>
  <c r="AP44" i="6"/>
  <c r="AL44" i="7"/>
  <c r="AP95" i="6"/>
  <c r="AN99" i="2"/>
  <c r="AL95" i="7"/>
  <c r="AP24" i="6"/>
  <c r="AN28" i="2"/>
  <c r="AL24" i="7"/>
  <c r="AP66" i="6"/>
  <c r="AN70" i="2"/>
  <c r="AL66" i="7"/>
  <c r="AP99" i="6"/>
  <c r="AN103" i="2"/>
  <c r="AL99" i="7"/>
  <c r="AN82" i="2"/>
  <c r="AP78" i="6"/>
  <c r="AL78" i="7"/>
  <c r="AN24" i="2"/>
  <c r="AL20" i="7"/>
  <c r="AP20" i="6"/>
  <c r="AN34" i="2"/>
  <c r="AL30" i="7"/>
  <c r="AP30" i="6"/>
  <c r="AL50" i="7"/>
  <c r="AN54" i="2"/>
  <c r="AP50" i="6"/>
  <c r="AN36" i="2"/>
  <c r="AL32" i="7"/>
  <c r="AP32" i="6"/>
  <c r="AN68" i="2"/>
  <c r="AP64" i="6"/>
  <c r="AL64" i="7"/>
  <c r="AM3" i="2"/>
  <c r="AL2" i="7"/>
  <c r="AN6" i="2"/>
  <c r="AP2" i="6"/>
  <c r="AN62" i="2"/>
  <c r="AP58" i="6"/>
  <c r="AL58" i="7"/>
  <c r="AL4" i="7"/>
  <c r="AN8" i="2"/>
  <c r="AP4" i="6"/>
  <c r="AN60" i="2"/>
  <c r="AP56" i="6"/>
  <c r="AL56" i="7"/>
  <c r="AL16" i="7"/>
  <c r="AN20" i="2"/>
  <c r="AP16" i="6"/>
  <c r="AN84" i="2"/>
  <c r="AP80" i="6"/>
  <c r="AL80" i="7"/>
  <c r="AL84" i="7"/>
  <c r="AN88" i="2"/>
  <c r="AP84" i="6"/>
  <c r="AN32" i="2"/>
  <c r="AP28" i="6"/>
  <c r="AL28" i="7"/>
  <c r="AL57" i="7"/>
  <c r="AN61" i="2"/>
  <c r="AP57" i="6"/>
  <c r="AP97" i="6"/>
  <c r="AL97" i="7"/>
  <c r="AN101" i="2"/>
  <c r="AL15" i="7"/>
  <c r="AN19" i="2"/>
  <c r="AP15" i="6"/>
  <c r="AN66" i="2"/>
  <c r="AP62" i="6"/>
  <c r="AL62" i="7"/>
  <c r="AN71" i="2"/>
  <c r="AP67" i="6"/>
  <c r="AL67" i="7"/>
  <c r="AL98" i="7"/>
  <c r="AN102" i="2"/>
  <c r="AP98" i="6"/>
  <c r="AN46" i="2"/>
  <c r="AP42" i="6"/>
  <c r="AL42" i="7"/>
  <c r="AN15" i="2"/>
  <c r="AP11" i="6"/>
  <c r="AL11" i="7"/>
  <c r="AN97" i="2"/>
  <c r="AL93" i="7"/>
  <c r="AP93" i="6"/>
  <c r="AP29" i="6"/>
  <c r="AL29" i="7"/>
  <c r="AN33" i="2"/>
  <c r="AL18" i="7"/>
  <c r="AN22" i="2"/>
  <c r="AP18" i="6"/>
  <c r="AN47" i="2"/>
  <c r="AP43" i="6"/>
  <c r="AL43" i="7"/>
  <c r="AO18" i="2"/>
  <c r="AQ14" i="6"/>
  <c r="AM14" i="7"/>
  <c r="AO63" i="2"/>
  <c r="AQ59" i="6"/>
  <c r="AM59" i="7"/>
  <c r="AO44" i="2"/>
  <c r="AQ40" i="6"/>
  <c r="AM40" i="7"/>
  <c r="AQ72" i="6"/>
  <c r="AO76" i="2"/>
  <c r="AM72" i="7"/>
  <c r="AO87" i="2"/>
  <c r="AQ83" i="6"/>
  <c r="AM83" i="7"/>
  <c r="AQ7" i="6"/>
  <c r="AO11" i="2"/>
  <c r="AM7" i="7"/>
  <c r="AQ13" i="6"/>
  <c r="AO17" i="2"/>
  <c r="AM13" i="7"/>
  <c r="AQ87" i="6"/>
  <c r="AO91" i="2"/>
  <c r="AM87" i="7"/>
  <c r="AQ73" i="6"/>
  <c r="AO77" i="2"/>
  <c r="AM73" i="7"/>
  <c r="AQ9" i="6"/>
  <c r="AO13" i="2"/>
  <c r="AM9" i="7"/>
  <c r="AQ5" i="6"/>
  <c r="AO9" i="2"/>
  <c r="AM5" i="7"/>
  <c r="AQ8" i="6"/>
  <c r="AO12" i="2"/>
  <c r="AM8" i="7"/>
  <c r="AQ90" i="6"/>
  <c r="AO94" i="2"/>
  <c r="AM90" i="7"/>
  <c r="AQ22" i="6"/>
  <c r="AO26" i="2"/>
  <c r="AM22" i="7"/>
  <c r="AO45" i="2"/>
  <c r="AQ41" i="6"/>
  <c r="AM41" i="7"/>
  <c r="AQ10" i="6"/>
  <c r="AO14" i="2"/>
  <c r="AM10" i="7"/>
  <c r="AQ61" i="6"/>
  <c r="AO65" i="2"/>
  <c r="AM61" i="7"/>
  <c r="AQ6" i="6"/>
  <c r="AO10" i="2"/>
  <c r="AM6" i="7"/>
  <c r="AQ17" i="6"/>
  <c r="AO21" i="2"/>
  <c r="AM17" i="7"/>
  <c r="AQ82" i="6"/>
  <c r="AO86" i="2"/>
  <c r="AM82" i="7"/>
  <c r="AQ91" i="6"/>
  <c r="AO95" i="2"/>
  <c r="AM91" i="7"/>
  <c r="AO51" i="2"/>
  <c r="AQ47" i="6"/>
  <c r="AM47" i="7"/>
  <c r="AQ54" i="6"/>
  <c r="AO58" i="2"/>
  <c r="AM54" i="7"/>
  <c r="AQ49" i="6"/>
  <c r="AO53" i="2"/>
  <c r="AM49" i="7"/>
  <c r="AQ12" i="6"/>
  <c r="AO16" i="2"/>
  <c r="AM12" i="7"/>
  <c r="AQ70" i="6"/>
  <c r="AO74" i="2"/>
  <c r="AM70" i="7"/>
  <c r="AO38" i="2"/>
  <c r="AQ34" i="6"/>
  <c r="AM34" i="7"/>
  <c r="AO92" i="2"/>
  <c r="AQ88" i="6"/>
  <c r="AM88" i="7"/>
  <c r="AO80" i="2"/>
  <c r="AQ76" i="6"/>
  <c r="AM76" i="7"/>
  <c r="AO7" i="2"/>
  <c r="AQ3" i="6"/>
  <c r="AM3" i="7"/>
  <c r="AQ77" i="6"/>
  <c r="AO81" i="2"/>
  <c r="AM77" i="7"/>
  <c r="AO41" i="2"/>
  <c r="AQ37" i="6"/>
  <c r="AM37" i="7"/>
  <c r="AI4" i="2"/>
  <c r="AR1" i="2"/>
  <c r="AR5" i="2" s="1"/>
  <c r="AR1" i="7"/>
  <c r="AO47" i="2" l="1"/>
  <c r="AQ43" i="6"/>
  <c r="AM43" i="7"/>
  <c r="AO22" i="2"/>
  <c r="AQ18" i="6"/>
  <c r="AM18" i="7"/>
  <c r="AO33" i="2"/>
  <c r="AQ29" i="6"/>
  <c r="AM29" i="7"/>
  <c r="AO97" i="2"/>
  <c r="AM93" i="7"/>
  <c r="AQ93" i="6"/>
  <c r="AO15" i="2"/>
  <c r="AM11" i="7"/>
  <c r="AQ11" i="6"/>
  <c r="AO46" i="2"/>
  <c r="AM42" i="7"/>
  <c r="AQ42" i="6"/>
  <c r="AM98" i="7"/>
  <c r="AO102" i="2"/>
  <c r="AQ98" i="6"/>
  <c r="AQ67" i="6"/>
  <c r="AM67" i="7"/>
  <c r="AO71" i="2"/>
  <c r="AQ62" i="6"/>
  <c r="AM62" i="7"/>
  <c r="AO66" i="2"/>
  <c r="AO19" i="2"/>
  <c r="AQ15" i="6"/>
  <c r="AM15" i="7"/>
  <c r="AO101" i="2"/>
  <c r="AQ97" i="6"/>
  <c r="AM97" i="7"/>
  <c r="AQ57" i="6"/>
  <c r="AM57" i="7"/>
  <c r="AO61" i="2"/>
  <c r="AO32" i="2"/>
  <c r="AM28" i="7"/>
  <c r="AQ28" i="6"/>
  <c r="AM84" i="7"/>
  <c r="AO88" i="2"/>
  <c r="AQ84" i="6"/>
  <c r="AQ80" i="6"/>
  <c r="AO84" i="2"/>
  <c r="AM80" i="7"/>
  <c r="AQ16" i="6"/>
  <c r="AM16" i="7"/>
  <c r="AO20" i="2"/>
  <c r="AO60" i="2"/>
  <c r="AQ56" i="6"/>
  <c r="AM56" i="7"/>
  <c r="AO8" i="2"/>
  <c r="AM4" i="7"/>
  <c r="AQ4" i="6"/>
  <c r="AO62" i="2"/>
  <c r="AQ58" i="6"/>
  <c r="AM58" i="7"/>
  <c r="AN3" i="2"/>
  <c r="AM2" i="7"/>
  <c r="AO6" i="2"/>
  <c r="AQ2" i="6"/>
  <c r="AM64" i="7"/>
  <c r="AO68" i="2"/>
  <c r="AQ64" i="6"/>
  <c r="AO36" i="2"/>
  <c r="AM32" i="7"/>
  <c r="AQ32" i="6"/>
  <c r="AM50" i="7"/>
  <c r="AO54" i="2"/>
  <c r="AQ50" i="6"/>
  <c r="AM30" i="7"/>
  <c r="AO34" i="2"/>
  <c r="AQ30" i="6"/>
  <c r="AO24" i="2"/>
  <c r="AM20" i="7"/>
  <c r="AQ20" i="6"/>
  <c r="AO82" i="2"/>
  <c r="AQ78" i="6"/>
  <c r="AM78" i="7"/>
  <c r="AQ99" i="6"/>
  <c r="AO103" i="2"/>
  <c r="AM99" i="7"/>
  <c r="AQ66" i="6"/>
  <c r="AO70" i="2"/>
  <c r="AM66" i="7"/>
  <c r="AQ24" i="6"/>
  <c r="AO28" i="2"/>
  <c r="AM24" i="7"/>
  <c r="AQ95" i="6"/>
  <c r="AO99" i="2"/>
  <c r="AM95" i="7"/>
  <c r="AO48" i="2"/>
  <c r="AQ44" i="6"/>
  <c r="AM44" i="7"/>
  <c r="AQ23" i="6"/>
  <c r="AO27" i="2"/>
  <c r="AM23" i="7"/>
  <c r="AQ27" i="6"/>
  <c r="AO31" i="2"/>
  <c r="AM27" i="7"/>
  <c r="AQ96" i="6"/>
  <c r="AO100" i="2"/>
  <c r="AM96" i="7"/>
  <c r="AQ19" i="6"/>
  <c r="AO23" i="2"/>
  <c r="AM19" i="7"/>
  <c r="AO37" i="2"/>
  <c r="AQ33" i="6"/>
  <c r="AM33" i="7"/>
  <c r="AO42" i="2"/>
  <c r="AQ38" i="6"/>
  <c r="AM38" i="7"/>
  <c r="AQ85" i="6"/>
  <c r="AO89" i="2"/>
  <c r="AM85" i="7"/>
  <c r="AQ69" i="6"/>
  <c r="AO73" i="2"/>
  <c r="AM69" i="7"/>
  <c r="AO50" i="2"/>
  <c r="AQ46" i="6"/>
  <c r="AM46" i="7"/>
  <c r="AQ53" i="6"/>
  <c r="AO57" i="2"/>
  <c r="AM53" i="7"/>
  <c r="AQ79" i="6"/>
  <c r="AO83" i="2"/>
  <c r="AM79" i="7"/>
  <c r="AO39" i="2"/>
  <c r="AQ35" i="6"/>
  <c r="AM35" i="7"/>
  <c r="AQ71" i="6"/>
  <c r="AO75" i="2"/>
  <c r="AM71" i="7"/>
  <c r="AQ65" i="6"/>
  <c r="AO69" i="2"/>
  <c r="AM65" i="7"/>
  <c r="AQ63" i="6"/>
  <c r="AO67" i="2"/>
  <c r="AM63" i="7"/>
  <c r="AQ25" i="6"/>
  <c r="AO29" i="2"/>
  <c r="AM25" i="7"/>
  <c r="AQ21" i="6"/>
  <c r="AO25" i="2"/>
  <c r="AM21" i="7"/>
  <c r="AQ74" i="6"/>
  <c r="AO78" i="2"/>
  <c r="AM74" i="7"/>
  <c r="AQ92" i="6"/>
  <c r="AO96" i="2"/>
  <c r="AM92" i="7"/>
  <c r="AQ31" i="6"/>
  <c r="AO35" i="2"/>
  <c r="AM31" i="7"/>
  <c r="AQ81" i="6"/>
  <c r="AO85" i="2"/>
  <c r="AM81" i="7"/>
  <c r="AO40" i="2"/>
  <c r="AQ36" i="6"/>
  <c r="AM36" i="7"/>
  <c r="AO49" i="2"/>
  <c r="AQ45" i="6"/>
  <c r="AM45" i="7"/>
  <c r="AQ75" i="6"/>
  <c r="AO79" i="2"/>
  <c r="AM75" i="7"/>
  <c r="AQ94" i="6"/>
  <c r="AO98" i="2"/>
  <c r="AM94" i="7"/>
  <c r="AQ26" i="6"/>
  <c r="AO30" i="2"/>
  <c r="AM26" i="7"/>
  <c r="AQ89" i="6"/>
  <c r="AO93" i="2"/>
  <c r="AM89" i="7"/>
  <c r="AQ51" i="6"/>
  <c r="AO55" i="2"/>
  <c r="AM51" i="7"/>
  <c r="AQ86" i="6"/>
  <c r="AO90" i="2"/>
  <c r="AM86" i="7"/>
  <c r="AQ55" i="6"/>
  <c r="AO59" i="2"/>
  <c r="AM55" i="7"/>
  <c r="AQ52" i="6"/>
  <c r="AO56" i="2"/>
  <c r="AM52" i="7"/>
  <c r="AO43" i="2"/>
  <c r="AQ39" i="6"/>
  <c r="AM39" i="7"/>
  <c r="AQ68" i="6"/>
  <c r="AO72" i="2"/>
  <c r="AM68" i="7"/>
  <c r="AO52" i="2"/>
  <c r="AQ48" i="6"/>
  <c r="AM48" i="7"/>
  <c r="AQ60" i="6"/>
  <c r="AO64" i="2"/>
  <c r="AM60" i="7"/>
  <c r="AR77" i="6"/>
  <c r="AP81" i="2"/>
  <c r="AN77" i="7"/>
  <c r="AN3" i="7"/>
  <c r="AR3" i="6"/>
  <c r="AP7" i="2"/>
  <c r="AN76" i="7"/>
  <c r="AP80" i="2"/>
  <c r="AR76" i="6"/>
  <c r="AP92" i="2"/>
  <c r="AR88" i="6"/>
  <c r="AN88" i="7"/>
  <c r="AP38" i="2"/>
  <c r="AR34" i="6"/>
  <c r="AN34" i="7"/>
  <c r="AR70" i="6"/>
  <c r="AP74" i="2"/>
  <c r="AN70" i="7"/>
  <c r="AR12" i="6"/>
  <c r="AP16" i="2"/>
  <c r="AN12" i="7"/>
  <c r="AR49" i="6"/>
  <c r="AP53" i="2"/>
  <c r="AN49" i="7"/>
  <c r="AR54" i="6"/>
  <c r="AP58" i="2"/>
  <c r="AN54" i="7"/>
  <c r="AP51" i="2"/>
  <c r="AR47" i="6"/>
  <c r="AN47" i="7"/>
  <c r="AR91" i="6"/>
  <c r="AP95" i="2"/>
  <c r="AN91" i="7"/>
  <c r="AR82" i="6"/>
  <c r="AP86" i="2"/>
  <c r="AN82" i="7"/>
  <c r="AR17" i="6"/>
  <c r="AP21" i="2"/>
  <c r="AN17" i="7"/>
  <c r="AR6" i="6"/>
  <c r="AP10" i="2"/>
  <c r="AN6" i="7"/>
  <c r="AR61" i="6"/>
  <c r="AP65" i="2"/>
  <c r="AN61" i="7"/>
  <c r="AR10" i="6"/>
  <c r="AP14" i="2"/>
  <c r="AN10" i="7"/>
  <c r="AP45" i="2"/>
  <c r="AR41" i="6"/>
  <c r="AN41" i="7"/>
  <c r="AR22" i="6"/>
  <c r="AP26" i="2"/>
  <c r="AN22" i="7"/>
  <c r="AR90" i="6"/>
  <c r="AP94" i="2"/>
  <c r="AN90" i="7"/>
  <c r="AR8" i="6"/>
  <c r="AP12" i="2"/>
  <c r="AN8" i="7"/>
  <c r="AR5" i="6"/>
  <c r="AP9" i="2"/>
  <c r="AN5" i="7"/>
  <c r="AR9" i="6"/>
  <c r="AP13" i="2"/>
  <c r="AN9" i="7"/>
  <c r="AR73" i="6"/>
  <c r="AP77" i="2"/>
  <c r="AN73" i="7"/>
  <c r="AR87" i="6"/>
  <c r="AP91" i="2"/>
  <c r="AN87" i="7"/>
  <c r="AR13" i="6"/>
  <c r="AP17" i="2"/>
  <c r="AN13" i="7"/>
  <c r="AR7" i="6"/>
  <c r="AP11" i="2"/>
  <c r="AN7" i="7"/>
  <c r="AR83" i="6"/>
  <c r="AN83" i="7"/>
  <c r="AP87" i="2"/>
  <c r="AP76" i="2"/>
  <c r="AN72" i="7"/>
  <c r="AR72" i="6"/>
  <c r="AP44" i="2"/>
  <c r="AR40" i="6"/>
  <c r="AN40" i="7"/>
  <c r="AP63" i="2"/>
  <c r="AR59" i="6"/>
  <c r="AN59" i="7"/>
  <c r="AP18" i="2"/>
  <c r="AR14" i="6"/>
  <c r="AN14" i="7"/>
  <c r="AP41" i="2"/>
  <c r="AR37" i="6"/>
  <c r="AN37" i="7"/>
  <c r="AJ4" i="2"/>
  <c r="AS1" i="2"/>
  <c r="AS5" i="2" s="1"/>
  <c r="AS1" i="7"/>
  <c r="AR60" i="6" l="1"/>
  <c r="AP64" i="2"/>
  <c r="AN60" i="7"/>
  <c r="AP52" i="2"/>
  <c r="AR48" i="6"/>
  <c r="AN48" i="7"/>
  <c r="AR68" i="6"/>
  <c r="AP72" i="2"/>
  <c r="AN68" i="7"/>
  <c r="AP43" i="2"/>
  <c r="AR39" i="6"/>
  <c r="AN39" i="7"/>
  <c r="AR52" i="6"/>
  <c r="AP56" i="2"/>
  <c r="AN52" i="7"/>
  <c r="AR55" i="6"/>
  <c r="AP59" i="2"/>
  <c r="AN55" i="7"/>
  <c r="AR86" i="6"/>
  <c r="AP90" i="2"/>
  <c r="AN86" i="7"/>
  <c r="AR51" i="6"/>
  <c r="AP55" i="2"/>
  <c r="AN51" i="7"/>
  <c r="AR89" i="6"/>
  <c r="AP93" i="2"/>
  <c r="AN89" i="7"/>
  <c r="AR26" i="6"/>
  <c r="AP30" i="2"/>
  <c r="AN26" i="7"/>
  <c r="AR94" i="6"/>
  <c r="AP98" i="2"/>
  <c r="AN94" i="7"/>
  <c r="AR75" i="6"/>
  <c r="AP79" i="2"/>
  <c r="AN75" i="7"/>
  <c r="AP49" i="2"/>
  <c r="AR45" i="6"/>
  <c r="AN45" i="7"/>
  <c r="AP40" i="2"/>
  <c r="AR36" i="6"/>
  <c r="AN36" i="7"/>
  <c r="AR81" i="6"/>
  <c r="AP85" i="2"/>
  <c r="AN81" i="7"/>
  <c r="AR31" i="6"/>
  <c r="AP35" i="2"/>
  <c r="AN31" i="7"/>
  <c r="AR92" i="6"/>
  <c r="AP96" i="2"/>
  <c r="AN92" i="7"/>
  <c r="AR74" i="6"/>
  <c r="AP78" i="2"/>
  <c r="AN74" i="7"/>
  <c r="AR21" i="6"/>
  <c r="AP25" i="2"/>
  <c r="AN21" i="7"/>
  <c r="AR25" i="6"/>
  <c r="AP29" i="2"/>
  <c r="AN25" i="7"/>
  <c r="AR63" i="6"/>
  <c r="AP67" i="2"/>
  <c r="AN63" i="7"/>
  <c r="AR65" i="6"/>
  <c r="AP69" i="2"/>
  <c r="AN65" i="7"/>
  <c r="AR71" i="6"/>
  <c r="AP75" i="2"/>
  <c r="AN71" i="7"/>
  <c r="AP39" i="2"/>
  <c r="AR35" i="6"/>
  <c r="AN35" i="7"/>
  <c r="AR79" i="6"/>
  <c r="AP83" i="2"/>
  <c r="AN79" i="7"/>
  <c r="AR53" i="6"/>
  <c r="AP57" i="2"/>
  <c r="AN53" i="7"/>
  <c r="AP50" i="2"/>
  <c r="AR46" i="6"/>
  <c r="AN46" i="7"/>
  <c r="AR69" i="6"/>
  <c r="AP73" i="2"/>
  <c r="AN69" i="7"/>
  <c r="AR85" i="6"/>
  <c r="AP89" i="2"/>
  <c r="AN85" i="7"/>
  <c r="AP42" i="2"/>
  <c r="AR38" i="6"/>
  <c r="AN38" i="7"/>
  <c r="AP37" i="2"/>
  <c r="AR33" i="6"/>
  <c r="AN33" i="7"/>
  <c r="AR19" i="6"/>
  <c r="AP23" i="2"/>
  <c r="AN19" i="7"/>
  <c r="AR96" i="6"/>
  <c r="AP100" i="2"/>
  <c r="AN96" i="7"/>
  <c r="AR27" i="6"/>
  <c r="AP31" i="2"/>
  <c r="AN27" i="7"/>
  <c r="AR23" i="6"/>
  <c r="AP27" i="2"/>
  <c r="AN23" i="7"/>
  <c r="AP48" i="2"/>
  <c r="AR44" i="6"/>
  <c r="AN44" i="7"/>
  <c r="AR95" i="6"/>
  <c r="AP99" i="2"/>
  <c r="AN95" i="7"/>
  <c r="AR24" i="6"/>
  <c r="AP28" i="2"/>
  <c r="AN24" i="7"/>
  <c r="AR66" i="6"/>
  <c r="AP70" i="2"/>
  <c r="AN66" i="7"/>
  <c r="AR99" i="6"/>
  <c r="AP103" i="2"/>
  <c r="AN99" i="7"/>
  <c r="AP82" i="2"/>
  <c r="AR78" i="6"/>
  <c r="AN78" i="7"/>
  <c r="AP24" i="2"/>
  <c r="AN20" i="7"/>
  <c r="AR20" i="6"/>
  <c r="AN30" i="7"/>
  <c r="AP34" i="2"/>
  <c r="AR30" i="6"/>
  <c r="AP54" i="2"/>
  <c r="AR50" i="6"/>
  <c r="AN50" i="7"/>
  <c r="AP36" i="2"/>
  <c r="AR32" i="6"/>
  <c r="AN32" i="7"/>
  <c r="AN64" i="7"/>
  <c r="AP68" i="2"/>
  <c r="AR64" i="6"/>
  <c r="AO3" i="2"/>
  <c r="AN2" i="7"/>
  <c r="AP6" i="2"/>
  <c r="AR2" i="6"/>
  <c r="AN58" i="7"/>
  <c r="AP62" i="2"/>
  <c r="AR58" i="6"/>
  <c r="AN4" i="7"/>
  <c r="AP8" i="2"/>
  <c r="AR4" i="6"/>
  <c r="AR56" i="6"/>
  <c r="AN56" i="7"/>
  <c r="AP60" i="2"/>
  <c r="AP20" i="2"/>
  <c r="AR16" i="6"/>
  <c r="AN16" i="7"/>
  <c r="AP84" i="2"/>
  <c r="AR80" i="6"/>
  <c r="AN80" i="7"/>
  <c r="AP88" i="2"/>
  <c r="AN84" i="7"/>
  <c r="AR84" i="6"/>
  <c r="AN28" i="7"/>
  <c r="AP32" i="2"/>
  <c r="AR28" i="6"/>
  <c r="AN57" i="7"/>
  <c r="AP61" i="2"/>
  <c r="AR57" i="6"/>
  <c r="AP101" i="2"/>
  <c r="AR97" i="6"/>
  <c r="AN97" i="7"/>
  <c r="AR15" i="6"/>
  <c r="AN15" i="7"/>
  <c r="AP19" i="2"/>
  <c r="AR62" i="6"/>
  <c r="AN62" i="7"/>
  <c r="AP66" i="2"/>
  <c r="AN67" i="7"/>
  <c r="AP71" i="2"/>
  <c r="AR67" i="6"/>
  <c r="AR98" i="6"/>
  <c r="AN98" i="7"/>
  <c r="AP102" i="2"/>
  <c r="AP46" i="2"/>
  <c r="AR42" i="6"/>
  <c r="AN42" i="7"/>
  <c r="AP15" i="2"/>
  <c r="AR11" i="6"/>
  <c r="AN11" i="7"/>
  <c r="AP97" i="2"/>
  <c r="AR93" i="6"/>
  <c r="AN93" i="7"/>
  <c r="AP33" i="2"/>
  <c r="AR29" i="6"/>
  <c r="AN29" i="7"/>
  <c r="AP22" i="2"/>
  <c r="AR18" i="6"/>
  <c r="AN18" i="7"/>
  <c r="AP47" i="2"/>
  <c r="AR43" i="6"/>
  <c r="AN43" i="7"/>
  <c r="AQ18" i="2"/>
  <c r="AS14" i="6"/>
  <c r="AO14" i="7"/>
  <c r="AQ63" i="2"/>
  <c r="AS59" i="6"/>
  <c r="AO59" i="7"/>
  <c r="AQ44" i="2"/>
  <c r="AS40" i="6"/>
  <c r="AO40" i="7"/>
  <c r="AS72" i="6"/>
  <c r="AQ76" i="2"/>
  <c r="AO72" i="7"/>
  <c r="AO83" i="7"/>
  <c r="AQ87" i="2"/>
  <c r="AS83" i="6"/>
  <c r="AS7" i="6"/>
  <c r="AQ11" i="2"/>
  <c r="AO7" i="7"/>
  <c r="AS13" i="6"/>
  <c r="AQ17" i="2"/>
  <c r="AO13" i="7"/>
  <c r="AS87" i="6"/>
  <c r="AQ91" i="2"/>
  <c r="AO87" i="7"/>
  <c r="AS73" i="6"/>
  <c r="AQ77" i="2"/>
  <c r="AO73" i="7"/>
  <c r="AS9" i="6"/>
  <c r="AQ13" i="2"/>
  <c r="AO9" i="7"/>
  <c r="AS5" i="6"/>
  <c r="AQ9" i="2"/>
  <c r="AO5" i="7"/>
  <c r="AS8" i="6"/>
  <c r="AQ12" i="2"/>
  <c r="AO8" i="7"/>
  <c r="AS90" i="6"/>
  <c r="AQ94" i="2"/>
  <c r="AO90" i="7"/>
  <c r="AS22" i="6"/>
  <c r="AQ26" i="2"/>
  <c r="AO22" i="7"/>
  <c r="AQ45" i="2"/>
  <c r="AS41" i="6"/>
  <c r="AO41" i="7"/>
  <c r="AS10" i="6"/>
  <c r="AQ14" i="2"/>
  <c r="AO10" i="7"/>
  <c r="AS61" i="6"/>
  <c r="AQ65" i="2"/>
  <c r="AO61" i="7"/>
  <c r="AS6" i="6"/>
  <c r="AQ10" i="2"/>
  <c r="AO6" i="7"/>
  <c r="AS17" i="6"/>
  <c r="AQ21" i="2"/>
  <c r="AO17" i="7"/>
  <c r="AS82" i="6"/>
  <c r="AQ86" i="2"/>
  <c r="AO82" i="7"/>
  <c r="AS91" i="6"/>
  <c r="AQ95" i="2"/>
  <c r="AO91" i="7"/>
  <c r="AQ51" i="2"/>
  <c r="AS47" i="6"/>
  <c r="AO47" i="7"/>
  <c r="AS54" i="6"/>
  <c r="AQ58" i="2"/>
  <c r="AO54" i="7"/>
  <c r="AS49" i="6"/>
  <c r="AQ53" i="2"/>
  <c r="AO49" i="7"/>
  <c r="AS12" i="6"/>
  <c r="AQ16" i="2"/>
  <c r="AO12" i="7"/>
  <c r="AS70" i="6"/>
  <c r="AQ74" i="2"/>
  <c r="AO70" i="7"/>
  <c r="AQ38" i="2"/>
  <c r="AS34" i="6"/>
  <c r="AO34" i="7"/>
  <c r="AQ92" i="2"/>
  <c r="AS88" i="6"/>
  <c r="AO88" i="7"/>
  <c r="AQ80" i="2"/>
  <c r="AS76" i="6"/>
  <c r="AO76" i="7"/>
  <c r="AO3" i="7"/>
  <c r="AQ7" i="2"/>
  <c r="AS3" i="6"/>
  <c r="AS77" i="6"/>
  <c r="AQ81" i="2"/>
  <c r="AO77" i="7"/>
  <c r="AQ41" i="2"/>
  <c r="AS37" i="6"/>
  <c r="AO37" i="7"/>
  <c r="AK4" i="2"/>
  <c r="AT1" i="2"/>
  <c r="AT5" i="2" s="1"/>
  <c r="AT1" i="7"/>
  <c r="AQ47" i="2" l="1"/>
  <c r="AS43" i="6"/>
  <c r="AO43" i="7"/>
  <c r="AO18" i="7"/>
  <c r="AQ22" i="2"/>
  <c r="AS18" i="6"/>
  <c r="AO29" i="7"/>
  <c r="AQ33" i="2"/>
  <c r="AS29" i="6"/>
  <c r="AO93" i="7"/>
  <c r="AQ97" i="2"/>
  <c r="AS93" i="6"/>
  <c r="AQ15" i="2"/>
  <c r="AO11" i="7"/>
  <c r="AS11" i="6"/>
  <c r="AQ46" i="2"/>
  <c r="AO42" i="7"/>
  <c r="AS42" i="6"/>
  <c r="AO98" i="7"/>
  <c r="AQ102" i="2"/>
  <c r="AS98" i="6"/>
  <c r="AO67" i="7"/>
  <c r="AQ71" i="2"/>
  <c r="AS67" i="6"/>
  <c r="AO62" i="7"/>
  <c r="AQ66" i="2"/>
  <c r="AS62" i="6"/>
  <c r="AO15" i="7"/>
  <c r="AQ19" i="2"/>
  <c r="AS15" i="6"/>
  <c r="AO97" i="7"/>
  <c r="AQ101" i="2"/>
  <c r="AS97" i="6"/>
  <c r="AQ61" i="2"/>
  <c r="AS57" i="6"/>
  <c r="AO57" i="7"/>
  <c r="AQ32" i="2"/>
  <c r="AO28" i="7"/>
  <c r="AS28" i="6"/>
  <c r="AS84" i="6"/>
  <c r="AO84" i="7"/>
  <c r="AQ88" i="2"/>
  <c r="AQ84" i="2"/>
  <c r="AS80" i="6"/>
  <c r="AO80" i="7"/>
  <c r="AS16" i="6"/>
  <c r="AO16" i="7"/>
  <c r="AQ20" i="2"/>
  <c r="AO56" i="7"/>
  <c r="AQ60" i="2"/>
  <c r="AS56" i="6"/>
  <c r="AS4" i="6"/>
  <c r="AQ8" i="2"/>
  <c r="AO4" i="7"/>
  <c r="AO58" i="7"/>
  <c r="AQ62" i="2"/>
  <c r="AS58" i="6"/>
  <c r="AP3" i="2"/>
  <c r="AQ6" i="2"/>
  <c r="AO2" i="7"/>
  <c r="AS2" i="6"/>
  <c r="AO64" i="7"/>
  <c r="AQ68" i="2"/>
  <c r="AS64" i="6"/>
  <c r="AQ36" i="2"/>
  <c r="AO32" i="7"/>
  <c r="AS32" i="6"/>
  <c r="AO50" i="7"/>
  <c r="AQ54" i="2"/>
  <c r="AS50" i="6"/>
  <c r="AQ34" i="2"/>
  <c r="AS30" i="6"/>
  <c r="AO30" i="7"/>
  <c r="AQ24" i="2"/>
  <c r="AO20" i="7"/>
  <c r="AS20" i="6"/>
  <c r="AQ82" i="2"/>
  <c r="AS78" i="6"/>
  <c r="AO78" i="7"/>
  <c r="AS99" i="6"/>
  <c r="AQ103" i="2"/>
  <c r="AO99" i="7"/>
  <c r="AS66" i="6"/>
  <c r="AQ70" i="2"/>
  <c r="AO66" i="7"/>
  <c r="AS24" i="6"/>
  <c r="AQ28" i="2"/>
  <c r="AO24" i="7"/>
  <c r="AS95" i="6"/>
  <c r="AQ99" i="2"/>
  <c r="AO95" i="7"/>
  <c r="AQ48" i="2"/>
  <c r="AS44" i="6"/>
  <c r="AO44" i="7"/>
  <c r="AS23" i="6"/>
  <c r="AQ27" i="2"/>
  <c r="AO23" i="7"/>
  <c r="AS27" i="6"/>
  <c r="AQ31" i="2"/>
  <c r="AO27" i="7"/>
  <c r="AS96" i="6"/>
  <c r="AQ100" i="2"/>
  <c r="AO96" i="7"/>
  <c r="AS19" i="6"/>
  <c r="AQ23" i="2"/>
  <c r="AO19" i="7"/>
  <c r="AQ37" i="2"/>
  <c r="AS33" i="6"/>
  <c r="AO33" i="7"/>
  <c r="AQ42" i="2"/>
  <c r="AS38" i="6"/>
  <c r="AO38" i="7"/>
  <c r="AS85" i="6"/>
  <c r="AQ89" i="2"/>
  <c r="AO85" i="7"/>
  <c r="AS69" i="6"/>
  <c r="AQ73" i="2"/>
  <c r="AO69" i="7"/>
  <c r="AQ50" i="2"/>
  <c r="AS46" i="6"/>
  <c r="AO46" i="7"/>
  <c r="AS53" i="6"/>
  <c r="AQ57" i="2"/>
  <c r="AO53" i="7"/>
  <c r="AS79" i="6"/>
  <c r="AQ83" i="2"/>
  <c r="AO79" i="7"/>
  <c r="AQ39" i="2"/>
  <c r="AS35" i="6"/>
  <c r="AO35" i="7"/>
  <c r="AS71" i="6"/>
  <c r="AQ75" i="2"/>
  <c r="AO71" i="7"/>
  <c r="AS65" i="6"/>
  <c r="AQ69" i="2"/>
  <c r="AO65" i="7"/>
  <c r="AS63" i="6"/>
  <c r="AQ67" i="2"/>
  <c r="AO63" i="7"/>
  <c r="AS25" i="6"/>
  <c r="AQ29" i="2"/>
  <c r="AO25" i="7"/>
  <c r="AS21" i="6"/>
  <c r="AQ25" i="2"/>
  <c r="AO21" i="7"/>
  <c r="AS74" i="6"/>
  <c r="AQ78" i="2"/>
  <c r="AO74" i="7"/>
  <c r="AS92" i="6"/>
  <c r="AQ96" i="2"/>
  <c r="AO92" i="7"/>
  <c r="AS31" i="6"/>
  <c r="AQ35" i="2"/>
  <c r="AO31" i="7"/>
  <c r="AS81" i="6"/>
  <c r="AQ85" i="2"/>
  <c r="AO81" i="7"/>
  <c r="AQ40" i="2"/>
  <c r="AS36" i="6"/>
  <c r="AO36" i="7"/>
  <c r="AQ49" i="2"/>
  <c r="AS45" i="6"/>
  <c r="AO45" i="7"/>
  <c r="AS75" i="6"/>
  <c r="AQ79" i="2"/>
  <c r="AO75" i="7"/>
  <c r="AS94" i="6"/>
  <c r="AQ98" i="2"/>
  <c r="AO94" i="7"/>
  <c r="AS26" i="6"/>
  <c r="AQ30" i="2"/>
  <c r="AO26" i="7"/>
  <c r="AS89" i="6"/>
  <c r="AQ93" i="2"/>
  <c r="AO89" i="7"/>
  <c r="AS51" i="6"/>
  <c r="AQ55" i="2"/>
  <c r="AO51" i="7"/>
  <c r="AS86" i="6"/>
  <c r="AQ90" i="2"/>
  <c r="AO86" i="7"/>
  <c r="AS55" i="6"/>
  <c r="AQ59" i="2"/>
  <c r="AO55" i="7"/>
  <c r="AS52" i="6"/>
  <c r="AQ56" i="2"/>
  <c r="AO52" i="7"/>
  <c r="AQ43" i="2"/>
  <c r="AS39" i="6"/>
  <c r="AO39" i="7"/>
  <c r="AS68" i="6"/>
  <c r="AQ72" i="2"/>
  <c r="AO68" i="7"/>
  <c r="AQ52" i="2"/>
  <c r="AS48" i="6"/>
  <c r="AO48" i="7"/>
  <c r="AS60" i="6"/>
  <c r="AQ64" i="2"/>
  <c r="AO60" i="7"/>
  <c r="AT77" i="6"/>
  <c r="AR81" i="2"/>
  <c r="AP77" i="7"/>
  <c r="AR7" i="2"/>
  <c r="AP3" i="7"/>
  <c r="AT3" i="6"/>
  <c r="AR80" i="2"/>
  <c r="AP76" i="7"/>
  <c r="AT76" i="6"/>
  <c r="AR92" i="2"/>
  <c r="AT88" i="6"/>
  <c r="AP88" i="7"/>
  <c r="AR38" i="2"/>
  <c r="AT34" i="6"/>
  <c r="AP34" i="7"/>
  <c r="AT70" i="6"/>
  <c r="AR74" i="2"/>
  <c r="AP70" i="7"/>
  <c r="AT12" i="6"/>
  <c r="AR16" i="2"/>
  <c r="AP12" i="7"/>
  <c r="AT49" i="6"/>
  <c r="AR53" i="2"/>
  <c r="AP49" i="7"/>
  <c r="AT54" i="6"/>
  <c r="AR58" i="2"/>
  <c r="AP54" i="7"/>
  <c r="AR51" i="2"/>
  <c r="AT47" i="6"/>
  <c r="AP47" i="7"/>
  <c r="AT91" i="6"/>
  <c r="AR95" i="2"/>
  <c r="AP91" i="7"/>
  <c r="AT82" i="6"/>
  <c r="AR86" i="2"/>
  <c r="AP82" i="7"/>
  <c r="AT17" i="6"/>
  <c r="AR21" i="2"/>
  <c r="AP17" i="7"/>
  <c r="AT6" i="6"/>
  <c r="AR10" i="2"/>
  <c r="AP6" i="7"/>
  <c r="AT61" i="6"/>
  <c r="AR65" i="2"/>
  <c r="AP61" i="7"/>
  <c r="AT10" i="6"/>
  <c r="AR14" i="2"/>
  <c r="AP10" i="7"/>
  <c r="AR45" i="2"/>
  <c r="AT41" i="6"/>
  <c r="AP41" i="7"/>
  <c r="AT22" i="6"/>
  <c r="AR26" i="2"/>
  <c r="AP22" i="7"/>
  <c r="AT90" i="6"/>
  <c r="AR94" i="2"/>
  <c r="AP90" i="7"/>
  <c r="AT8" i="6"/>
  <c r="AR12" i="2"/>
  <c r="AP8" i="7"/>
  <c r="AT5" i="6"/>
  <c r="AR9" i="2"/>
  <c r="AP5" i="7"/>
  <c r="AT9" i="6"/>
  <c r="AR13" i="2"/>
  <c r="AP9" i="7"/>
  <c r="AT73" i="6"/>
  <c r="AR77" i="2"/>
  <c r="AP73" i="7"/>
  <c r="AT87" i="6"/>
  <c r="AR91" i="2"/>
  <c r="AP87" i="7"/>
  <c r="AT13" i="6"/>
  <c r="AR17" i="2"/>
  <c r="AP13" i="7"/>
  <c r="AT7" i="6"/>
  <c r="AR11" i="2"/>
  <c r="AP7" i="7"/>
  <c r="AP83" i="7"/>
  <c r="AR87" i="2"/>
  <c r="AT83" i="6"/>
  <c r="AR76" i="2"/>
  <c r="AT72" i="6"/>
  <c r="AP72" i="7"/>
  <c r="AR44" i="2"/>
  <c r="AT40" i="6"/>
  <c r="AP40" i="7"/>
  <c r="AR63" i="2"/>
  <c r="AT59" i="6"/>
  <c r="AP59" i="7"/>
  <c r="AR18" i="2"/>
  <c r="AT14" i="6"/>
  <c r="AP14" i="7"/>
  <c r="AR41" i="2"/>
  <c r="AP37" i="7"/>
  <c r="AT37" i="6"/>
  <c r="AL4" i="2"/>
  <c r="AU1" i="2"/>
  <c r="AU5" i="2" s="1"/>
  <c r="AU1" i="7"/>
  <c r="AV1" i="7"/>
  <c r="AT60" i="6" l="1"/>
  <c r="AR64" i="2"/>
  <c r="AP60" i="7"/>
  <c r="AR52" i="2"/>
  <c r="AT48" i="6"/>
  <c r="AP48" i="7"/>
  <c r="AT68" i="6"/>
  <c r="AR72" i="2"/>
  <c r="AP68" i="7"/>
  <c r="AR43" i="2"/>
  <c r="AT39" i="6"/>
  <c r="AP39" i="7"/>
  <c r="AT52" i="6"/>
  <c r="AR56" i="2"/>
  <c r="AP52" i="7"/>
  <c r="AT55" i="6"/>
  <c r="AR59" i="2"/>
  <c r="AP55" i="7"/>
  <c r="AT86" i="6"/>
  <c r="AR90" i="2"/>
  <c r="AP86" i="7"/>
  <c r="AT51" i="6"/>
  <c r="AR55" i="2"/>
  <c r="AP51" i="7"/>
  <c r="AT89" i="6"/>
  <c r="AR93" i="2"/>
  <c r="AP89" i="7"/>
  <c r="AT26" i="6"/>
  <c r="AR30" i="2"/>
  <c r="AP26" i="7"/>
  <c r="AT94" i="6"/>
  <c r="AR98" i="2"/>
  <c r="AP94" i="7"/>
  <c r="AT75" i="6"/>
  <c r="AR79" i="2"/>
  <c r="AP75" i="7"/>
  <c r="AR49" i="2"/>
  <c r="AT45" i="6"/>
  <c r="AP45" i="7"/>
  <c r="AR40" i="2"/>
  <c r="AT36" i="6"/>
  <c r="AP36" i="7"/>
  <c r="AT81" i="6"/>
  <c r="AR85" i="2"/>
  <c r="AP81" i="7"/>
  <c r="AT31" i="6"/>
  <c r="AR35" i="2"/>
  <c r="AP31" i="7"/>
  <c r="AT92" i="6"/>
  <c r="AR96" i="2"/>
  <c r="AP92" i="7"/>
  <c r="AT74" i="6"/>
  <c r="AR78" i="2"/>
  <c r="AP74" i="7"/>
  <c r="AT21" i="6"/>
  <c r="AR25" i="2"/>
  <c r="AP21" i="7"/>
  <c r="AT25" i="6"/>
  <c r="AR29" i="2"/>
  <c r="AP25" i="7"/>
  <c r="AT63" i="6"/>
  <c r="AR67" i="2"/>
  <c r="AP63" i="7"/>
  <c r="AT65" i="6"/>
  <c r="AR69" i="2"/>
  <c r="AP65" i="7"/>
  <c r="AT71" i="6"/>
  <c r="AR75" i="2"/>
  <c r="AP71" i="7"/>
  <c r="AR39" i="2"/>
  <c r="AT35" i="6"/>
  <c r="AP35" i="7"/>
  <c r="AT79" i="6"/>
  <c r="AR83" i="2"/>
  <c r="AP79" i="7"/>
  <c r="AT53" i="6"/>
  <c r="AR57" i="2"/>
  <c r="AP53" i="7"/>
  <c r="AR50" i="2"/>
  <c r="AT46" i="6"/>
  <c r="AP46" i="7"/>
  <c r="AT69" i="6"/>
  <c r="AR73" i="2"/>
  <c r="AP69" i="7"/>
  <c r="AT85" i="6"/>
  <c r="AR89" i="2"/>
  <c r="AP85" i="7"/>
  <c r="AR42" i="2"/>
  <c r="AT38" i="6"/>
  <c r="AP38" i="7"/>
  <c r="AR37" i="2"/>
  <c r="AT33" i="6"/>
  <c r="AP33" i="7"/>
  <c r="AT19" i="6"/>
  <c r="AR23" i="2"/>
  <c r="AP19" i="7"/>
  <c r="AT96" i="6"/>
  <c r="AR100" i="2"/>
  <c r="AP96" i="7"/>
  <c r="AT27" i="6"/>
  <c r="AR31" i="2"/>
  <c r="AP27" i="7"/>
  <c r="AT23" i="6"/>
  <c r="AR27" i="2"/>
  <c r="AP23" i="7"/>
  <c r="AR48" i="2"/>
  <c r="AT44" i="6"/>
  <c r="AP44" i="7"/>
  <c r="AT95" i="6"/>
  <c r="AR99" i="2"/>
  <c r="AP95" i="7"/>
  <c r="AT24" i="6"/>
  <c r="AR28" i="2"/>
  <c r="AP24" i="7"/>
  <c r="AT66" i="6"/>
  <c r="AR70" i="2"/>
  <c r="AP66" i="7"/>
  <c r="AT99" i="6"/>
  <c r="AR103" i="2"/>
  <c r="AP99" i="7"/>
  <c r="AR82" i="2"/>
  <c r="AT78" i="6"/>
  <c r="AP78" i="7"/>
  <c r="AR24" i="2"/>
  <c r="AP20" i="7"/>
  <c r="AT20" i="6"/>
  <c r="AP30" i="7"/>
  <c r="AR34" i="2"/>
  <c r="AT30" i="6"/>
  <c r="AP50" i="7"/>
  <c r="AR54" i="2"/>
  <c r="AT50" i="6"/>
  <c r="AR36" i="2"/>
  <c r="AP32" i="7"/>
  <c r="AT32" i="6"/>
  <c r="AR68" i="2"/>
  <c r="AT64" i="6"/>
  <c r="AP64" i="7"/>
  <c r="AQ3" i="2"/>
  <c r="AP2" i="7"/>
  <c r="AR6" i="2"/>
  <c r="AT2" i="6"/>
  <c r="AR62" i="2"/>
  <c r="AP58" i="7"/>
  <c r="AT58" i="6"/>
  <c r="AP4" i="7"/>
  <c r="AR8" i="2"/>
  <c r="AT4" i="6"/>
  <c r="AR60" i="2"/>
  <c r="AT56" i="6"/>
  <c r="AP56" i="7"/>
  <c r="AP16" i="7"/>
  <c r="AR20" i="2"/>
  <c r="AT16" i="6"/>
  <c r="AR84" i="2"/>
  <c r="AT80" i="6"/>
  <c r="AP80" i="7"/>
  <c r="AP84" i="7"/>
  <c r="AR88" i="2"/>
  <c r="AT84" i="6"/>
  <c r="AR32" i="2"/>
  <c r="AT28" i="6"/>
  <c r="AP28" i="7"/>
  <c r="AT57" i="6"/>
  <c r="AP57" i="7"/>
  <c r="AR61" i="2"/>
  <c r="AP97" i="7"/>
  <c r="AR101" i="2"/>
  <c r="AT97" i="6"/>
  <c r="AR19" i="2"/>
  <c r="AT15" i="6"/>
  <c r="AP15" i="7"/>
  <c r="AT62" i="6"/>
  <c r="AP62" i="7"/>
  <c r="AR66" i="2"/>
  <c r="AP67" i="7"/>
  <c r="AR71" i="2"/>
  <c r="AT67" i="6"/>
  <c r="AP98" i="7"/>
  <c r="AR102" i="2"/>
  <c r="AT98" i="6"/>
  <c r="AR46" i="2"/>
  <c r="AP42" i="7"/>
  <c r="AT42" i="6"/>
  <c r="AR15" i="2"/>
  <c r="AT11" i="6"/>
  <c r="AP11" i="7"/>
  <c r="AP93" i="7"/>
  <c r="AR97" i="2"/>
  <c r="AT93" i="6"/>
  <c r="AR33" i="2"/>
  <c r="AT29" i="6"/>
  <c r="AP29" i="7"/>
  <c r="AT18" i="6"/>
  <c r="AP18" i="7"/>
  <c r="AR22" i="2"/>
  <c r="AR47" i="2"/>
  <c r="AT43" i="6"/>
  <c r="AP43" i="7"/>
  <c r="AS18" i="2"/>
  <c r="AU14" i="6"/>
  <c r="AQ14" i="7"/>
  <c r="AS63" i="2"/>
  <c r="AU59" i="6"/>
  <c r="AQ59" i="7"/>
  <c r="AS44" i="2"/>
  <c r="AU40" i="6"/>
  <c r="AQ40" i="7"/>
  <c r="AQ72" i="7"/>
  <c r="AS76" i="2"/>
  <c r="AU72" i="6"/>
  <c r="AU83" i="6"/>
  <c r="AQ83" i="7"/>
  <c r="AS87" i="2"/>
  <c r="AU7" i="6"/>
  <c r="AS11" i="2"/>
  <c r="AQ7" i="7"/>
  <c r="AU13" i="6"/>
  <c r="AS17" i="2"/>
  <c r="AQ13" i="7"/>
  <c r="AU87" i="6"/>
  <c r="AS91" i="2"/>
  <c r="AQ87" i="7"/>
  <c r="AU73" i="6"/>
  <c r="AS77" i="2"/>
  <c r="AQ73" i="7"/>
  <c r="AU9" i="6"/>
  <c r="AS13" i="2"/>
  <c r="AQ9" i="7"/>
  <c r="AU5" i="6"/>
  <c r="AS9" i="2"/>
  <c r="AQ5" i="7"/>
  <c r="AU8" i="6"/>
  <c r="AS12" i="2"/>
  <c r="AQ8" i="7"/>
  <c r="AU90" i="6"/>
  <c r="AS94" i="2"/>
  <c r="AQ90" i="7"/>
  <c r="AU22" i="6"/>
  <c r="AS26" i="2"/>
  <c r="AQ22" i="7"/>
  <c r="AS45" i="2"/>
  <c r="AU41" i="6"/>
  <c r="AQ41" i="7"/>
  <c r="AU10" i="6"/>
  <c r="AS14" i="2"/>
  <c r="AQ10" i="7"/>
  <c r="AU61" i="6"/>
  <c r="AS65" i="2"/>
  <c r="AQ61" i="7"/>
  <c r="AU6" i="6"/>
  <c r="AS10" i="2"/>
  <c r="AQ6" i="7"/>
  <c r="AU17" i="6"/>
  <c r="AS21" i="2"/>
  <c r="AQ17" i="7"/>
  <c r="AU82" i="6"/>
  <c r="AS86" i="2"/>
  <c r="AQ82" i="7"/>
  <c r="AU91" i="6"/>
  <c r="AS95" i="2"/>
  <c r="AQ91" i="7"/>
  <c r="AS51" i="2"/>
  <c r="AU47" i="6"/>
  <c r="AQ47" i="7"/>
  <c r="AU54" i="6"/>
  <c r="AS58" i="2"/>
  <c r="AQ54" i="7"/>
  <c r="AU49" i="6"/>
  <c r="AS53" i="2"/>
  <c r="AQ49" i="7"/>
  <c r="AU12" i="6"/>
  <c r="AS16" i="2"/>
  <c r="AQ12" i="7"/>
  <c r="AU70" i="6"/>
  <c r="AS74" i="2"/>
  <c r="AQ70" i="7"/>
  <c r="AS38" i="2"/>
  <c r="AU34" i="6"/>
  <c r="AQ34" i="7"/>
  <c r="AS92" i="2"/>
  <c r="AU88" i="6"/>
  <c r="AQ88" i="7"/>
  <c r="AS80" i="2"/>
  <c r="AQ76" i="7"/>
  <c r="AU76" i="6"/>
  <c r="AU3" i="6"/>
  <c r="AQ3" i="7"/>
  <c r="AS7" i="2"/>
  <c r="AU77" i="6"/>
  <c r="AS81" i="2"/>
  <c r="AQ77" i="7"/>
  <c r="AS41" i="2"/>
  <c r="AQ37" i="7"/>
  <c r="AU37" i="6"/>
  <c r="AM4" i="2"/>
  <c r="AV1" i="2"/>
  <c r="AV5" i="2" s="1"/>
  <c r="AW1" i="7"/>
  <c r="AS47" i="2" l="1"/>
  <c r="AU43" i="6"/>
  <c r="AQ43" i="7"/>
  <c r="AU18" i="6"/>
  <c r="AS22" i="2"/>
  <c r="AQ18" i="7"/>
  <c r="AS33" i="2"/>
  <c r="AQ29" i="7"/>
  <c r="AU29" i="6"/>
  <c r="AQ93" i="7"/>
  <c r="AU93" i="6"/>
  <c r="AS97" i="2"/>
  <c r="AS15" i="2"/>
  <c r="AU11" i="6"/>
  <c r="AQ11" i="7"/>
  <c r="AS46" i="2"/>
  <c r="AQ42" i="7"/>
  <c r="AU42" i="6"/>
  <c r="AS102" i="2"/>
  <c r="AU98" i="6"/>
  <c r="AQ98" i="7"/>
  <c r="AU67" i="6"/>
  <c r="AQ67" i="7"/>
  <c r="AS71" i="2"/>
  <c r="AQ62" i="7"/>
  <c r="AS66" i="2"/>
  <c r="AU62" i="6"/>
  <c r="AS19" i="2"/>
  <c r="AQ15" i="7"/>
  <c r="AU15" i="6"/>
  <c r="AQ97" i="7"/>
  <c r="AS101" i="2"/>
  <c r="AU97" i="6"/>
  <c r="AQ57" i="7"/>
  <c r="AS61" i="2"/>
  <c r="AU57" i="6"/>
  <c r="AS32" i="2"/>
  <c r="AU28" i="6"/>
  <c r="AQ28" i="7"/>
  <c r="AU84" i="6"/>
  <c r="AQ84" i="7"/>
  <c r="AS88" i="2"/>
  <c r="AU80" i="6"/>
  <c r="AQ80" i="7"/>
  <c r="AS84" i="2"/>
  <c r="AU16" i="6"/>
  <c r="AS20" i="2"/>
  <c r="AQ16" i="7"/>
  <c r="AS60" i="2"/>
  <c r="AU56" i="6"/>
  <c r="AQ56" i="7"/>
  <c r="AQ4" i="7"/>
  <c r="AS8" i="2"/>
  <c r="AU4" i="6"/>
  <c r="AQ58" i="7"/>
  <c r="AS62" i="2"/>
  <c r="AU58" i="6"/>
  <c r="AR3" i="2"/>
  <c r="AS6" i="2"/>
  <c r="AU2" i="6"/>
  <c r="AQ2" i="7"/>
  <c r="AQ64" i="7"/>
  <c r="AS68" i="2"/>
  <c r="AU64" i="6"/>
  <c r="AS36" i="2"/>
  <c r="AQ32" i="7"/>
  <c r="AU32" i="6"/>
  <c r="AS54" i="2"/>
  <c r="AU50" i="6"/>
  <c r="AQ50" i="7"/>
  <c r="AU30" i="6"/>
  <c r="AS34" i="2"/>
  <c r="AQ30" i="7"/>
  <c r="AS24" i="2"/>
  <c r="AQ20" i="7"/>
  <c r="AU20" i="6"/>
  <c r="AS82" i="2"/>
  <c r="AU78" i="6"/>
  <c r="AQ78" i="7"/>
  <c r="AU99" i="6"/>
  <c r="AS103" i="2"/>
  <c r="AQ99" i="7"/>
  <c r="AU66" i="6"/>
  <c r="AS70" i="2"/>
  <c r="AQ66" i="7"/>
  <c r="AU24" i="6"/>
  <c r="AS28" i="2"/>
  <c r="AQ24" i="7"/>
  <c r="AU95" i="6"/>
  <c r="AS99" i="2"/>
  <c r="AQ95" i="7"/>
  <c r="AS48" i="2"/>
  <c r="AU44" i="6"/>
  <c r="AQ44" i="7"/>
  <c r="AU23" i="6"/>
  <c r="AS27" i="2"/>
  <c r="AQ23" i="7"/>
  <c r="AU27" i="6"/>
  <c r="AS31" i="2"/>
  <c r="AQ27" i="7"/>
  <c r="AU96" i="6"/>
  <c r="AS100" i="2"/>
  <c r="AQ96" i="7"/>
  <c r="AU19" i="6"/>
  <c r="AS23" i="2"/>
  <c r="AQ19" i="7"/>
  <c r="AS37" i="2"/>
  <c r="AU33" i="6"/>
  <c r="AQ33" i="7"/>
  <c r="AS42" i="2"/>
  <c r="AU38" i="6"/>
  <c r="AQ38" i="7"/>
  <c r="AU85" i="6"/>
  <c r="AS89" i="2"/>
  <c r="AQ85" i="7"/>
  <c r="AU69" i="6"/>
  <c r="AS73" i="2"/>
  <c r="AQ69" i="7"/>
  <c r="AS50" i="2"/>
  <c r="AU46" i="6"/>
  <c r="AQ46" i="7"/>
  <c r="AU53" i="6"/>
  <c r="AS57" i="2"/>
  <c r="AQ53" i="7"/>
  <c r="AU79" i="6"/>
  <c r="AS83" i="2"/>
  <c r="AQ79" i="7"/>
  <c r="AS39" i="2"/>
  <c r="AU35" i="6"/>
  <c r="AQ35" i="7"/>
  <c r="AU71" i="6"/>
  <c r="AS75" i="2"/>
  <c r="AQ71" i="7"/>
  <c r="AU65" i="6"/>
  <c r="AS69" i="2"/>
  <c r="AQ65" i="7"/>
  <c r="AU63" i="6"/>
  <c r="AS67" i="2"/>
  <c r="AQ63" i="7"/>
  <c r="AU25" i="6"/>
  <c r="AS29" i="2"/>
  <c r="AQ25" i="7"/>
  <c r="AU21" i="6"/>
  <c r="AS25" i="2"/>
  <c r="AQ21" i="7"/>
  <c r="AU74" i="6"/>
  <c r="AS78" i="2"/>
  <c r="AQ74" i="7"/>
  <c r="AU92" i="6"/>
  <c r="AS96" i="2"/>
  <c r="AQ92" i="7"/>
  <c r="AU31" i="6"/>
  <c r="AS35" i="2"/>
  <c r="AQ31" i="7"/>
  <c r="AU81" i="6"/>
  <c r="AS85" i="2"/>
  <c r="AQ81" i="7"/>
  <c r="AS40" i="2"/>
  <c r="AU36" i="6"/>
  <c r="AQ36" i="7"/>
  <c r="AS49" i="2"/>
  <c r="AU45" i="6"/>
  <c r="AQ45" i="7"/>
  <c r="AU75" i="6"/>
  <c r="AS79" i="2"/>
  <c r="AQ75" i="7"/>
  <c r="AU94" i="6"/>
  <c r="AS98" i="2"/>
  <c r="AQ94" i="7"/>
  <c r="AU26" i="6"/>
  <c r="AS30" i="2"/>
  <c r="AQ26" i="7"/>
  <c r="AU89" i="6"/>
  <c r="AS93" i="2"/>
  <c r="AQ89" i="7"/>
  <c r="AU51" i="6"/>
  <c r="AS55" i="2"/>
  <c r="AQ51" i="7"/>
  <c r="AU86" i="6"/>
  <c r="AS90" i="2"/>
  <c r="AQ86" i="7"/>
  <c r="AU55" i="6"/>
  <c r="AS59" i="2"/>
  <c r="AQ55" i="7"/>
  <c r="AU52" i="6"/>
  <c r="AS56" i="2"/>
  <c r="AQ52" i="7"/>
  <c r="AS43" i="2"/>
  <c r="AU39" i="6"/>
  <c r="AQ39" i="7"/>
  <c r="AU68" i="6"/>
  <c r="AS72" i="2"/>
  <c r="AQ68" i="7"/>
  <c r="AS52" i="2"/>
  <c r="AU48" i="6"/>
  <c r="AQ48" i="7"/>
  <c r="AU60" i="6"/>
  <c r="AS64" i="2"/>
  <c r="AQ60" i="7"/>
  <c r="AV77" i="6"/>
  <c r="AT81" i="2"/>
  <c r="AR77" i="7"/>
  <c r="AR3" i="7"/>
  <c r="AT7" i="2"/>
  <c r="AV3" i="6"/>
  <c r="AV76" i="6"/>
  <c r="AT80" i="2"/>
  <c r="AR76" i="7"/>
  <c r="AT92" i="2"/>
  <c r="AV88" i="6"/>
  <c r="AR88" i="7"/>
  <c r="AT38" i="2"/>
  <c r="AV34" i="6"/>
  <c r="AR34" i="7"/>
  <c r="AV70" i="6"/>
  <c r="AT74" i="2"/>
  <c r="AR70" i="7"/>
  <c r="AV12" i="6"/>
  <c r="AT16" i="2"/>
  <c r="AR12" i="7"/>
  <c r="AV49" i="6"/>
  <c r="AT53" i="2"/>
  <c r="AR49" i="7"/>
  <c r="AV54" i="6"/>
  <c r="AT58" i="2"/>
  <c r="AR54" i="7"/>
  <c r="AT51" i="2"/>
  <c r="AV47" i="6"/>
  <c r="AR47" i="7"/>
  <c r="AV91" i="6"/>
  <c r="AT95" i="2"/>
  <c r="AR91" i="7"/>
  <c r="AV82" i="6"/>
  <c r="AT86" i="2"/>
  <c r="AR82" i="7"/>
  <c r="AV17" i="6"/>
  <c r="AT21" i="2"/>
  <c r="AR17" i="7"/>
  <c r="AV6" i="6"/>
  <c r="AT10" i="2"/>
  <c r="AR6" i="7"/>
  <c r="AV61" i="6"/>
  <c r="AT65" i="2"/>
  <c r="AR61" i="7"/>
  <c r="AV10" i="6"/>
  <c r="AT14" i="2"/>
  <c r="AR10" i="7"/>
  <c r="AT45" i="2"/>
  <c r="AV41" i="6"/>
  <c r="AR41" i="7"/>
  <c r="AV22" i="6"/>
  <c r="AT26" i="2"/>
  <c r="AR22" i="7"/>
  <c r="AV90" i="6"/>
  <c r="AT94" i="2"/>
  <c r="AR90" i="7"/>
  <c r="AV8" i="6"/>
  <c r="AT12" i="2"/>
  <c r="AR8" i="7"/>
  <c r="AV5" i="6"/>
  <c r="AT9" i="2"/>
  <c r="AR5" i="7"/>
  <c r="AV9" i="6"/>
  <c r="AT13" i="2"/>
  <c r="AR9" i="7"/>
  <c r="AV73" i="6"/>
  <c r="AT77" i="2"/>
  <c r="AR73" i="7"/>
  <c r="AV87" i="6"/>
  <c r="AT91" i="2"/>
  <c r="AR87" i="7"/>
  <c r="AV13" i="6"/>
  <c r="AT17" i="2"/>
  <c r="AR13" i="7"/>
  <c r="AV7" i="6"/>
  <c r="AT11" i="2"/>
  <c r="AR7" i="7"/>
  <c r="AR83" i="7"/>
  <c r="AT87" i="2"/>
  <c r="AV83" i="6"/>
  <c r="AR72" i="7"/>
  <c r="AT76" i="2"/>
  <c r="AV72" i="6"/>
  <c r="AT44" i="2"/>
  <c r="AV40" i="6"/>
  <c r="AR40" i="7"/>
  <c r="AT63" i="2"/>
  <c r="AV59" i="6"/>
  <c r="AR59" i="7"/>
  <c r="AT18" i="2"/>
  <c r="AV14" i="6"/>
  <c r="AR14" i="7"/>
  <c r="AT41" i="2"/>
  <c r="AR37" i="7"/>
  <c r="AV37" i="6"/>
  <c r="AN4" i="2"/>
  <c r="AW1" i="2"/>
  <c r="AW5" i="2" s="1"/>
  <c r="AX1" i="7"/>
  <c r="AV60" i="6" l="1"/>
  <c r="AT64" i="2"/>
  <c r="AR60" i="7"/>
  <c r="AT52" i="2"/>
  <c r="AV48" i="6"/>
  <c r="AR48" i="7"/>
  <c r="AV68" i="6"/>
  <c r="AT72" i="2"/>
  <c r="AR68" i="7"/>
  <c r="AT43" i="2"/>
  <c r="AV39" i="6"/>
  <c r="AR39" i="7"/>
  <c r="AV52" i="6"/>
  <c r="AT56" i="2"/>
  <c r="AR52" i="7"/>
  <c r="AV55" i="6"/>
  <c r="AT59" i="2"/>
  <c r="AR55" i="7"/>
  <c r="AV86" i="6"/>
  <c r="AT90" i="2"/>
  <c r="AR86" i="7"/>
  <c r="AV51" i="6"/>
  <c r="AT55" i="2"/>
  <c r="AR51" i="7"/>
  <c r="AV89" i="6"/>
  <c r="AT93" i="2"/>
  <c r="AR89" i="7"/>
  <c r="AV26" i="6"/>
  <c r="AT30" i="2"/>
  <c r="AR26" i="7"/>
  <c r="AV94" i="6"/>
  <c r="AT98" i="2"/>
  <c r="AR94" i="7"/>
  <c r="AV75" i="6"/>
  <c r="AT79" i="2"/>
  <c r="AR75" i="7"/>
  <c r="AT49" i="2"/>
  <c r="AV45" i="6"/>
  <c r="AR45" i="7"/>
  <c r="AT40" i="2"/>
  <c r="AV36" i="6"/>
  <c r="AR36" i="7"/>
  <c r="AV81" i="6"/>
  <c r="AT85" i="2"/>
  <c r="AR81" i="7"/>
  <c r="AV31" i="6"/>
  <c r="AT35" i="2"/>
  <c r="AR31" i="7"/>
  <c r="AV92" i="6"/>
  <c r="AT96" i="2"/>
  <c r="AR92" i="7"/>
  <c r="AV74" i="6"/>
  <c r="AT78" i="2"/>
  <c r="AR74" i="7"/>
  <c r="AV21" i="6"/>
  <c r="AT25" i="2"/>
  <c r="AR21" i="7"/>
  <c r="AV25" i="6"/>
  <c r="AT29" i="2"/>
  <c r="AR25" i="7"/>
  <c r="AV63" i="6"/>
  <c r="AT67" i="2"/>
  <c r="AR63" i="7"/>
  <c r="AV65" i="6"/>
  <c r="AT69" i="2"/>
  <c r="AR65" i="7"/>
  <c r="AV71" i="6"/>
  <c r="AT75" i="2"/>
  <c r="AR71" i="7"/>
  <c r="AT39" i="2"/>
  <c r="AV35" i="6"/>
  <c r="AR35" i="7"/>
  <c r="AV79" i="6"/>
  <c r="AT83" i="2"/>
  <c r="AR79" i="7"/>
  <c r="AV53" i="6"/>
  <c r="AT57" i="2"/>
  <c r="AR53" i="7"/>
  <c r="AT50" i="2"/>
  <c r="AV46" i="6"/>
  <c r="AR46" i="7"/>
  <c r="AV69" i="6"/>
  <c r="AT73" i="2"/>
  <c r="AR69" i="7"/>
  <c r="AV85" i="6"/>
  <c r="AT89" i="2"/>
  <c r="AR85" i="7"/>
  <c r="AT42" i="2"/>
  <c r="AV38" i="6"/>
  <c r="AR38" i="7"/>
  <c r="AT37" i="2"/>
  <c r="AV33" i="6"/>
  <c r="AR33" i="7"/>
  <c r="AV19" i="6"/>
  <c r="AT23" i="2"/>
  <c r="AR19" i="7"/>
  <c r="AV96" i="6"/>
  <c r="AT100" i="2"/>
  <c r="AR96" i="7"/>
  <c r="AV27" i="6"/>
  <c r="AT31" i="2"/>
  <c r="AR27" i="7"/>
  <c r="AV23" i="6"/>
  <c r="AT27" i="2"/>
  <c r="AR23" i="7"/>
  <c r="AT48" i="2"/>
  <c r="AV44" i="6"/>
  <c r="AR44" i="7"/>
  <c r="AV95" i="6"/>
  <c r="AT99" i="2"/>
  <c r="AR95" i="7"/>
  <c r="AV24" i="6"/>
  <c r="AT28" i="2"/>
  <c r="AR24" i="7"/>
  <c r="AV66" i="6"/>
  <c r="AT70" i="2"/>
  <c r="AR66" i="7"/>
  <c r="AV99" i="6"/>
  <c r="AT103" i="2"/>
  <c r="AR99" i="7"/>
  <c r="AT82" i="2"/>
  <c r="AV78" i="6"/>
  <c r="AR78" i="7"/>
  <c r="AT24" i="2"/>
  <c r="AR20" i="7"/>
  <c r="AV20" i="6"/>
  <c r="AR30" i="7"/>
  <c r="AT34" i="2"/>
  <c r="AV30" i="6"/>
  <c r="AV50" i="6"/>
  <c r="AT54" i="2"/>
  <c r="AR50" i="7"/>
  <c r="AT36" i="2"/>
  <c r="AV32" i="6"/>
  <c r="AR32" i="7"/>
  <c r="AR64" i="7"/>
  <c r="AV64" i="6"/>
  <c r="AT68" i="2"/>
  <c r="AT6" i="2"/>
  <c r="AR2" i="7"/>
  <c r="AV2" i="6"/>
  <c r="AS3" i="2"/>
  <c r="AT62" i="2"/>
  <c r="AR58" i="7"/>
  <c r="AV58" i="6"/>
  <c r="AV4" i="6"/>
  <c r="AR4" i="7"/>
  <c r="AT8" i="2"/>
  <c r="AR56" i="7"/>
  <c r="AT60" i="2"/>
  <c r="AV56" i="6"/>
  <c r="AT20" i="2"/>
  <c r="AV16" i="6"/>
  <c r="AR16" i="7"/>
  <c r="AV80" i="6"/>
  <c r="AR80" i="7"/>
  <c r="AT84" i="2"/>
  <c r="AR84" i="7"/>
  <c r="AT88" i="2"/>
  <c r="AV84" i="6"/>
  <c r="AT32" i="2"/>
  <c r="AV28" i="6"/>
  <c r="AR28" i="7"/>
  <c r="AT61" i="2"/>
  <c r="AR57" i="7"/>
  <c r="AV57" i="6"/>
  <c r="AT101" i="2"/>
  <c r="AV97" i="6"/>
  <c r="AR97" i="7"/>
  <c r="AR15" i="7"/>
  <c r="AT19" i="2"/>
  <c r="AV15" i="6"/>
  <c r="AV62" i="6"/>
  <c r="AR62" i="7"/>
  <c r="AT66" i="2"/>
  <c r="AR67" i="7"/>
  <c r="AT71" i="2"/>
  <c r="AV67" i="6"/>
  <c r="AR98" i="7"/>
  <c r="AT102" i="2"/>
  <c r="AV98" i="6"/>
  <c r="AT46" i="2"/>
  <c r="AR42" i="7"/>
  <c r="AV42" i="6"/>
  <c r="AT15" i="2"/>
  <c r="AV11" i="6"/>
  <c r="AR11" i="7"/>
  <c r="AR93" i="7"/>
  <c r="AT97" i="2"/>
  <c r="AV93" i="6"/>
  <c r="AR29" i="7"/>
  <c r="AT33" i="2"/>
  <c r="AV29" i="6"/>
  <c r="AT22" i="2"/>
  <c r="AR18" i="7"/>
  <c r="AV18" i="6"/>
  <c r="AT47" i="2"/>
  <c r="AV43" i="6"/>
  <c r="AR43" i="7"/>
  <c r="AU18" i="2"/>
  <c r="AW14" i="6"/>
  <c r="AS14" i="7"/>
  <c r="AU63" i="2"/>
  <c r="AW59" i="6"/>
  <c r="AS59" i="7"/>
  <c r="AU44" i="2"/>
  <c r="AW40" i="6"/>
  <c r="AS40" i="7"/>
  <c r="AW72" i="6"/>
  <c r="AU76" i="2"/>
  <c r="AS72" i="7"/>
  <c r="AU87" i="2"/>
  <c r="AW83" i="6"/>
  <c r="AS83" i="7"/>
  <c r="AW7" i="6"/>
  <c r="AU11" i="2"/>
  <c r="AS7" i="7"/>
  <c r="AW13" i="6"/>
  <c r="AU17" i="2"/>
  <c r="AS13" i="7"/>
  <c r="AW87" i="6"/>
  <c r="AU91" i="2"/>
  <c r="AS87" i="7"/>
  <c r="AW73" i="6"/>
  <c r="AU77" i="2"/>
  <c r="AS73" i="7"/>
  <c r="AW9" i="6"/>
  <c r="AU13" i="2"/>
  <c r="AS9" i="7"/>
  <c r="AW5" i="6"/>
  <c r="AU9" i="2"/>
  <c r="AS5" i="7"/>
  <c r="AW8" i="6"/>
  <c r="AU12" i="2"/>
  <c r="AS8" i="7"/>
  <c r="AW90" i="6"/>
  <c r="AU94" i="2"/>
  <c r="AS90" i="7"/>
  <c r="AW22" i="6"/>
  <c r="AU26" i="2"/>
  <c r="AS22" i="7"/>
  <c r="AU45" i="2"/>
  <c r="AW41" i="6"/>
  <c r="AS41" i="7"/>
  <c r="AW10" i="6"/>
  <c r="AU14" i="2"/>
  <c r="AS10" i="7"/>
  <c r="AW61" i="6"/>
  <c r="AU65" i="2"/>
  <c r="AS61" i="7"/>
  <c r="AW6" i="6"/>
  <c r="AU10" i="2"/>
  <c r="AS6" i="7"/>
  <c r="AW17" i="6"/>
  <c r="AU21" i="2"/>
  <c r="AS17" i="7"/>
  <c r="AW82" i="6"/>
  <c r="AU86" i="2"/>
  <c r="AS82" i="7"/>
  <c r="AW91" i="6"/>
  <c r="AU95" i="2"/>
  <c r="AS91" i="7"/>
  <c r="AU51" i="2"/>
  <c r="AW47" i="6"/>
  <c r="AS47" i="7"/>
  <c r="AW54" i="6"/>
  <c r="AU58" i="2"/>
  <c r="AS54" i="7"/>
  <c r="AW49" i="6"/>
  <c r="AU53" i="2"/>
  <c r="AS49" i="7"/>
  <c r="AW12" i="6"/>
  <c r="AU16" i="2"/>
  <c r="AS12" i="7"/>
  <c r="AW70" i="6"/>
  <c r="AU74" i="2"/>
  <c r="AS70" i="7"/>
  <c r="AU38" i="2"/>
  <c r="AW34" i="6"/>
  <c r="AS34" i="7"/>
  <c r="AU92" i="2"/>
  <c r="AW88" i="6"/>
  <c r="AS88" i="7"/>
  <c r="AW76" i="6"/>
  <c r="AU80" i="2"/>
  <c r="AS76" i="7"/>
  <c r="AS3" i="7"/>
  <c r="AU7" i="2"/>
  <c r="AW3" i="6"/>
  <c r="AW77" i="6"/>
  <c r="AU81" i="2"/>
  <c r="AS77" i="7"/>
  <c r="AU41" i="2"/>
  <c r="AW37" i="6"/>
  <c r="AS37" i="7"/>
  <c r="AO4" i="2"/>
  <c r="AX1" i="2"/>
  <c r="AX5" i="2" s="1"/>
  <c r="AU47" i="2" l="1"/>
  <c r="AW43" i="6"/>
  <c r="AS43" i="7"/>
  <c r="AW18" i="6"/>
  <c r="AU22" i="2"/>
  <c r="AS18" i="7"/>
  <c r="AW29" i="6"/>
  <c r="AS29" i="7"/>
  <c r="AU33" i="2"/>
  <c r="AU97" i="2"/>
  <c r="AS93" i="7"/>
  <c r="AW93" i="6"/>
  <c r="AS11" i="7"/>
  <c r="AU15" i="2"/>
  <c r="AW11" i="6"/>
  <c r="AU46" i="2"/>
  <c r="AW42" i="6"/>
  <c r="AS42" i="7"/>
  <c r="AU102" i="2"/>
  <c r="AS98" i="7"/>
  <c r="AW98" i="6"/>
  <c r="AU71" i="2"/>
  <c r="AW67" i="6"/>
  <c r="AS67" i="7"/>
  <c r="AS62" i="7"/>
  <c r="AU66" i="2"/>
  <c r="AW62" i="6"/>
  <c r="AW15" i="6"/>
  <c r="AS15" i="7"/>
  <c r="AU19" i="2"/>
  <c r="AU101" i="2"/>
  <c r="AW97" i="6"/>
  <c r="AS97" i="7"/>
  <c r="AS57" i="7"/>
  <c r="AU61" i="2"/>
  <c r="AW57" i="6"/>
  <c r="AU32" i="2"/>
  <c r="AS28" i="7"/>
  <c r="AW28" i="6"/>
  <c r="AS84" i="7"/>
  <c r="AU88" i="2"/>
  <c r="AW84" i="6"/>
  <c r="AU84" i="2"/>
  <c r="AS80" i="7"/>
  <c r="AW80" i="6"/>
  <c r="AU20" i="2"/>
  <c r="AW16" i="6"/>
  <c r="AS16" i="7"/>
  <c r="AS56" i="7"/>
  <c r="AU60" i="2"/>
  <c r="AW56" i="6"/>
  <c r="AS4" i="7"/>
  <c r="AU8" i="2"/>
  <c r="AW4" i="6"/>
  <c r="AS58" i="7"/>
  <c r="AU62" i="2"/>
  <c r="AW58" i="6"/>
  <c r="AT3" i="2"/>
  <c r="AS2" i="7"/>
  <c r="AU6" i="2"/>
  <c r="AW2" i="6"/>
  <c r="AS64" i="7"/>
  <c r="AU68" i="2"/>
  <c r="AW64" i="6"/>
  <c r="AU36" i="2"/>
  <c r="AS32" i="7"/>
  <c r="AW32" i="6"/>
  <c r="AU54" i="2"/>
  <c r="AW50" i="6"/>
  <c r="AS50" i="7"/>
  <c r="AS30" i="7"/>
  <c r="AU34" i="2"/>
  <c r="AW30" i="6"/>
  <c r="AU24" i="2"/>
  <c r="AS20" i="7"/>
  <c r="AW20" i="6"/>
  <c r="AU82" i="2"/>
  <c r="AW78" i="6"/>
  <c r="AS78" i="7"/>
  <c r="AW99" i="6"/>
  <c r="AU103" i="2"/>
  <c r="AS99" i="7"/>
  <c r="AW66" i="6"/>
  <c r="AU70" i="2"/>
  <c r="AS66" i="7"/>
  <c r="AW24" i="6"/>
  <c r="AU28" i="2"/>
  <c r="AS24" i="7"/>
  <c r="AW95" i="6"/>
  <c r="AU99" i="2"/>
  <c r="AS95" i="7"/>
  <c r="AU48" i="2"/>
  <c r="AW44" i="6"/>
  <c r="AS44" i="7"/>
  <c r="AW23" i="6"/>
  <c r="AU27" i="2"/>
  <c r="AS23" i="7"/>
  <c r="AW27" i="6"/>
  <c r="AU31" i="2"/>
  <c r="AS27" i="7"/>
  <c r="AW96" i="6"/>
  <c r="AU100" i="2"/>
  <c r="AS96" i="7"/>
  <c r="AW19" i="6"/>
  <c r="AU23" i="2"/>
  <c r="AS19" i="7"/>
  <c r="AU37" i="2"/>
  <c r="AW33" i="6"/>
  <c r="AS33" i="7"/>
  <c r="AU42" i="2"/>
  <c r="AW38" i="6"/>
  <c r="AS38" i="7"/>
  <c r="AW85" i="6"/>
  <c r="AU89" i="2"/>
  <c r="AS85" i="7"/>
  <c r="AW69" i="6"/>
  <c r="AU73" i="2"/>
  <c r="AS69" i="7"/>
  <c r="AU50" i="2"/>
  <c r="AW46" i="6"/>
  <c r="AS46" i="7"/>
  <c r="AW53" i="6"/>
  <c r="AU57" i="2"/>
  <c r="AS53" i="7"/>
  <c r="AW79" i="6"/>
  <c r="AU83" i="2"/>
  <c r="AS79" i="7"/>
  <c r="AU39" i="2"/>
  <c r="AW35" i="6"/>
  <c r="AS35" i="7"/>
  <c r="AW71" i="6"/>
  <c r="AU75" i="2"/>
  <c r="AS71" i="7"/>
  <c r="AW65" i="6"/>
  <c r="AU69" i="2"/>
  <c r="AS65" i="7"/>
  <c r="AW63" i="6"/>
  <c r="AU67" i="2"/>
  <c r="AS63" i="7"/>
  <c r="AW25" i="6"/>
  <c r="AU29" i="2"/>
  <c r="AS25" i="7"/>
  <c r="AW21" i="6"/>
  <c r="AU25" i="2"/>
  <c r="AS21" i="7"/>
  <c r="AW74" i="6"/>
  <c r="AU78" i="2"/>
  <c r="AS74" i="7"/>
  <c r="AW92" i="6"/>
  <c r="AU96" i="2"/>
  <c r="AS92" i="7"/>
  <c r="AW31" i="6"/>
  <c r="AU35" i="2"/>
  <c r="AS31" i="7"/>
  <c r="AW81" i="6"/>
  <c r="AU85" i="2"/>
  <c r="AS81" i="7"/>
  <c r="AU40" i="2"/>
  <c r="AW36" i="6"/>
  <c r="AS36" i="7"/>
  <c r="AU49" i="2"/>
  <c r="AW45" i="6"/>
  <c r="AS45" i="7"/>
  <c r="AW75" i="6"/>
  <c r="AU79" i="2"/>
  <c r="AS75" i="7"/>
  <c r="AW94" i="6"/>
  <c r="AU98" i="2"/>
  <c r="AS94" i="7"/>
  <c r="AW26" i="6"/>
  <c r="AU30" i="2"/>
  <c r="AS26" i="7"/>
  <c r="AW89" i="6"/>
  <c r="AU93" i="2"/>
  <c r="AS89" i="7"/>
  <c r="AW51" i="6"/>
  <c r="AU55" i="2"/>
  <c r="AS51" i="7"/>
  <c r="AW86" i="6"/>
  <c r="AU90" i="2"/>
  <c r="AS86" i="7"/>
  <c r="AW55" i="6"/>
  <c r="AU59" i="2"/>
  <c r="AS55" i="7"/>
  <c r="AW52" i="6"/>
  <c r="AU56" i="2"/>
  <c r="AS52" i="7"/>
  <c r="AU43" i="2"/>
  <c r="AW39" i="6"/>
  <c r="AS39" i="7"/>
  <c r="AW68" i="6"/>
  <c r="AU72" i="2"/>
  <c r="AS68" i="7"/>
  <c r="AU52" i="2"/>
  <c r="AW48" i="6"/>
  <c r="AS48" i="7"/>
  <c r="AW60" i="6"/>
  <c r="AU64" i="2"/>
  <c r="AS60" i="7"/>
  <c r="AX77" i="6"/>
  <c r="AV81" i="2"/>
  <c r="AT77" i="7"/>
  <c r="AT3" i="7"/>
  <c r="AV7" i="2"/>
  <c r="AX3" i="6"/>
  <c r="AX76" i="6"/>
  <c r="AV80" i="2"/>
  <c r="AT76" i="7"/>
  <c r="AV92" i="2"/>
  <c r="AX88" i="6"/>
  <c r="AT88" i="7"/>
  <c r="AV38" i="2"/>
  <c r="AX34" i="6"/>
  <c r="AT34" i="7"/>
  <c r="AX70" i="6"/>
  <c r="AV74" i="2"/>
  <c r="AT70" i="7"/>
  <c r="AX12" i="6"/>
  <c r="AV16" i="2"/>
  <c r="AT12" i="7"/>
  <c r="AX49" i="6"/>
  <c r="AV53" i="2"/>
  <c r="AT49" i="7"/>
  <c r="AX54" i="6"/>
  <c r="AV58" i="2"/>
  <c r="AT54" i="7"/>
  <c r="AV51" i="2"/>
  <c r="AX47" i="6"/>
  <c r="AT47" i="7"/>
  <c r="AX91" i="6"/>
  <c r="AV95" i="2"/>
  <c r="AT91" i="7"/>
  <c r="AX82" i="6"/>
  <c r="AV86" i="2"/>
  <c r="AT82" i="7"/>
  <c r="AX17" i="6"/>
  <c r="AV21" i="2"/>
  <c r="AT17" i="7"/>
  <c r="AX6" i="6"/>
  <c r="AV10" i="2"/>
  <c r="AT6" i="7"/>
  <c r="AX61" i="6"/>
  <c r="AV65" i="2"/>
  <c r="AT61" i="7"/>
  <c r="AX10" i="6"/>
  <c r="AV14" i="2"/>
  <c r="AT10" i="7"/>
  <c r="AV45" i="2"/>
  <c r="AX41" i="6"/>
  <c r="AT41" i="7"/>
  <c r="AX22" i="6"/>
  <c r="AV26" i="2"/>
  <c r="AT22" i="7"/>
  <c r="AX90" i="6"/>
  <c r="AV94" i="2"/>
  <c r="AT90" i="7"/>
  <c r="AX8" i="6"/>
  <c r="AV12" i="2"/>
  <c r="AT8" i="7"/>
  <c r="AX5" i="6"/>
  <c r="AV9" i="2"/>
  <c r="AT5" i="7"/>
  <c r="AX9" i="6"/>
  <c r="AV13" i="2"/>
  <c r="AT9" i="7"/>
  <c r="AX73" i="6"/>
  <c r="AV77" i="2"/>
  <c r="AT73" i="7"/>
  <c r="AX87" i="6"/>
  <c r="AV91" i="2"/>
  <c r="AT87" i="7"/>
  <c r="AX13" i="6"/>
  <c r="AV17" i="2"/>
  <c r="AT13" i="7"/>
  <c r="AX7" i="6"/>
  <c r="AV11" i="2"/>
  <c r="AT7" i="7"/>
  <c r="AV87" i="2"/>
  <c r="AT83" i="7"/>
  <c r="AX83" i="6"/>
  <c r="AV76" i="2"/>
  <c r="AX72" i="6"/>
  <c r="AT72" i="7"/>
  <c r="AV44" i="2"/>
  <c r="AX40" i="6"/>
  <c r="AT40" i="7"/>
  <c r="AV63" i="2"/>
  <c r="AX59" i="6"/>
  <c r="AT59" i="7"/>
  <c r="AV18" i="2"/>
  <c r="AX14" i="6"/>
  <c r="AT14" i="7"/>
  <c r="AV41" i="2"/>
  <c r="AX37" i="6"/>
  <c r="AT37" i="7"/>
  <c r="AP4" i="2"/>
  <c r="AY1" i="2"/>
  <c r="AY5" i="2" s="1"/>
  <c r="AX60" i="6" l="1"/>
  <c r="AV64" i="2"/>
  <c r="AT60" i="7"/>
  <c r="AV52" i="2"/>
  <c r="AX48" i="6"/>
  <c r="AT48" i="7"/>
  <c r="AX68" i="6"/>
  <c r="AV72" i="2"/>
  <c r="AT68" i="7"/>
  <c r="AV43" i="2"/>
  <c r="AX39" i="6"/>
  <c r="AT39" i="7"/>
  <c r="AX52" i="6"/>
  <c r="AV56" i="2"/>
  <c r="AT52" i="7"/>
  <c r="AX55" i="6"/>
  <c r="AV59" i="2"/>
  <c r="AT55" i="7"/>
  <c r="AX86" i="6"/>
  <c r="AV90" i="2"/>
  <c r="AT86" i="7"/>
  <c r="AX51" i="6"/>
  <c r="AV55" i="2"/>
  <c r="AT51" i="7"/>
  <c r="AX89" i="6"/>
  <c r="AV93" i="2"/>
  <c r="AT89" i="7"/>
  <c r="AX26" i="6"/>
  <c r="AV30" i="2"/>
  <c r="AT26" i="7"/>
  <c r="AX94" i="6"/>
  <c r="AV98" i="2"/>
  <c r="AT94" i="7"/>
  <c r="AX75" i="6"/>
  <c r="AV79" i="2"/>
  <c r="AT75" i="7"/>
  <c r="AV49" i="2"/>
  <c r="AX45" i="6"/>
  <c r="AT45" i="7"/>
  <c r="AV40" i="2"/>
  <c r="AX36" i="6"/>
  <c r="AT36" i="7"/>
  <c r="AX81" i="6"/>
  <c r="AV85" i="2"/>
  <c r="AT81" i="7"/>
  <c r="AX31" i="6"/>
  <c r="AV35" i="2"/>
  <c r="AT31" i="7"/>
  <c r="AX92" i="6"/>
  <c r="AV96" i="2"/>
  <c r="AT92" i="7"/>
  <c r="AX74" i="6"/>
  <c r="AV78" i="2"/>
  <c r="AT74" i="7"/>
  <c r="AX21" i="6"/>
  <c r="AV25" i="2"/>
  <c r="AT21" i="7"/>
  <c r="AX25" i="6"/>
  <c r="AV29" i="2"/>
  <c r="AT25" i="7"/>
  <c r="AX63" i="6"/>
  <c r="AV67" i="2"/>
  <c r="AT63" i="7"/>
  <c r="AX65" i="6"/>
  <c r="AV69" i="2"/>
  <c r="AT65" i="7"/>
  <c r="AX71" i="6"/>
  <c r="AV75" i="2"/>
  <c r="AT71" i="7"/>
  <c r="AV39" i="2"/>
  <c r="AX35" i="6"/>
  <c r="AT35" i="7"/>
  <c r="AX79" i="6"/>
  <c r="AV83" i="2"/>
  <c r="AT79" i="7"/>
  <c r="AX53" i="6"/>
  <c r="AV57" i="2"/>
  <c r="AT53" i="7"/>
  <c r="AV50" i="2"/>
  <c r="AX46" i="6"/>
  <c r="AT46" i="7"/>
  <c r="AX69" i="6"/>
  <c r="AV73" i="2"/>
  <c r="AT69" i="7"/>
  <c r="AX85" i="6"/>
  <c r="AV89" i="2"/>
  <c r="AT85" i="7"/>
  <c r="AV42" i="2"/>
  <c r="AX38" i="6"/>
  <c r="AT38" i="7"/>
  <c r="AV37" i="2"/>
  <c r="AX33" i="6"/>
  <c r="AT33" i="7"/>
  <c r="AX19" i="6"/>
  <c r="AV23" i="2"/>
  <c r="AT19" i="7"/>
  <c r="AX96" i="6"/>
  <c r="AV100" i="2"/>
  <c r="AT96" i="7"/>
  <c r="AX27" i="6"/>
  <c r="AV31" i="2"/>
  <c r="AT27" i="7"/>
  <c r="AX23" i="6"/>
  <c r="AV27" i="2"/>
  <c r="AT23" i="7"/>
  <c r="AV48" i="2"/>
  <c r="AX44" i="6"/>
  <c r="AT44" i="7"/>
  <c r="AX95" i="6"/>
  <c r="AV99" i="2"/>
  <c r="AT95" i="7"/>
  <c r="AX24" i="6"/>
  <c r="AV28" i="2"/>
  <c r="AT24" i="7"/>
  <c r="AX66" i="6"/>
  <c r="AV70" i="2"/>
  <c r="AT66" i="7"/>
  <c r="AX99" i="6"/>
  <c r="AV103" i="2"/>
  <c r="AT99" i="7"/>
  <c r="AV82" i="2"/>
  <c r="AX78" i="6"/>
  <c r="AT78" i="7"/>
  <c r="AV24" i="2"/>
  <c r="AT20" i="7"/>
  <c r="AX20" i="6"/>
  <c r="AX30" i="6"/>
  <c r="AT30" i="7"/>
  <c r="AV34" i="2"/>
  <c r="AX50" i="6"/>
  <c r="AT50" i="7"/>
  <c r="AV54" i="2"/>
  <c r="AV36" i="2"/>
  <c r="AX32" i="6"/>
  <c r="AT32" i="7"/>
  <c r="AT64" i="7"/>
  <c r="AV68" i="2"/>
  <c r="AX64" i="6"/>
  <c r="AU3" i="2"/>
  <c r="AV6" i="2"/>
  <c r="AX2" i="6"/>
  <c r="AT2" i="7"/>
  <c r="AV62" i="2"/>
  <c r="AT58" i="7"/>
  <c r="AX58" i="6"/>
  <c r="AV8" i="2"/>
  <c r="AT4" i="7"/>
  <c r="AX4" i="6"/>
  <c r="AX56" i="6"/>
  <c r="AT56" i="7"/>
  <c r="AV60" i="2"/>
  <c r="AT16" i="7"/>
  <c r="AV20" i="2"/>
  <c r="AX16" i="6"/>
  <c r="AX80" i="6"/>
  <c r="AT80" i="7"/>
  <c r="AV84" i="2"/>
  <c r="AT84" i="7"/>
  <c r="AV88" i="2"/>
  <c r="AX84" i="6"/>
  <c r="AT28" i="7"/>
  <c r="AV32" i="2"/>
  <c r="AX28" i="6"/>
  <c r="AV61" i="2"/>
  <c r="AX57" i="6"/>
  <c r="AT57" i="7"/>
  <c r="AT97" i="7"/>
  <c r="AV101" i="2"/>
  <c r="AX97" i="6"/>
  <c r="AT15" i="7"/>
  <c r="AV19" i="2"/>
  <c r="AX15" i="6"/>
  <c r="AV66" i="2"/>
  <c r="AX62" i="6"/>
  <c r="AT62" i="7"/>
  <c r="AV71" i="2"/>
  <c r="AX67" i="6"/>
  <c r="AT67" i="7"/>
  <c r="AV102" i="2"/>
  <c r="AX98" i="6"/>
  <c r="AT98" i="7"/>
  <c r="AV46" i="2"/>
  <c r="AT42" i="7"/>
  <c r="AX42" i="6"/>
  <c r="AV15" i="2"/>
  <c r="AX11" i="6"/>
  <c r="AT11" i="7"/>
  <c r="AX93" i="6"/>
  <c r="AT93" i="7"/>
  <c r="AV97" i="2"/>
  <c r="AT29" i="7"/>
  <c r="AV33" i="2"/>
  <c r="AX29" i="6"/>
  <c r="AV22" i="2"/>
  <c r="AX18" i="6"/>
  <c r="AT18" i="7"/>
  <c r="AV47" i="2"/>
  <c r="AX43" i="6"/>
  <c r="AT43" i="7"/>
  <c r="AW18" i="2"/>
  <c r="AY14" i="6"/>
  <c r="AU14" i="7"/>
  <c r="AW63" i="2"/>
  <c r="AY59" i="6"/>
  <c r="AU59" i="7"/>
  <c r="AW44" i="2"/>
  <c r="AY40" i="6"/>
  <c r="AU40" i="7"/>
  <c r="AY72" i="6"/>
  <c r="AW76" i="2"/>
  <c r="AU72" i="7"/>
  <c r="AY83" i="6"/>
  <c r="AU83" i="7"/>
  <c r="AW87" i="2"/>
  <c r="AY7" i="6"/>
  <c r="AW11" i="2"/>
  <c r="AU7" i="7"/>
  <c r="AY13" i="6"/>
  <c r="AW17" i="2"/>
  <c r="AU13" i="7"/>
  <c r="AY87" i="6"/>
  <c r="AW91" i="2"/>
  <c r="AU87" i="7"/>
  <c r="AY73" i="6"/>
  <c r="AW77" i="2"/>
  <c r="AU73" i="7"/>
  <c r="AY9" i="6"/>
  <c r="AW13" i="2"/>
  <c r="AU9" i="7"/>
  <c r="AY5" i="6"/>
  <c r="AW9" i="2"/>
  <c r="AU5" i="7"/>
  <c r="AY8" i="6"/>
  <c r="AW12" i="2"/>
  <c r="AU8" i="7"/>
  <c r="AY90" i="6"/>
  <c r="AW94" i="2"/>
  <c r="AU90" i="7"/>
  <c r="AY22" i="6"/>
  <c r="AW26" i="2"/>
  <c r="AU22" i="7"/>
  <c r="AW45" i="2"/>
  <c r="AY41" i="6"/>
  <c r="AU41" i="7"/>
  <c r="AY10" i="6"/>
  <c r="AW14" i="2"/>
  <c r="AU10" i="7"/>
  <c r="AY61" i="6"/>
  <c r="AW65" i="2"/>
  <c r="AU61" i="7"/>
  <c r="AY6" i="6"/>
  <c r="AW10" i="2"/>
  <c r="AU6" i="7"/>
  <c r="AY17" i="6"/>
  <c r="AW21" i="2"/>
  <c r="AU17" i="7"/>
  <c r="AY82" i="6"/>
  <c r="AW86" i="2"/>
  <c r="AU82" i="7"/>
  <c r="AY91" i="6"/>
  <c r="AW95" i="2"/>
  <c r="AU91" i="7"/>
  <c r="AW51" i="2"/>
  <c r="AY47" i="6"/>
  <c r="AU47" i="7"/>
  <c r="AY54" i="6"/>
  <c r="AW58" i="2"/>
  <c r="AU54" i="7"/>
  <c r="AY49" i="6"/>
  <c r="AW53" i="2"/>
  <c r="AU49" i="7"/>
  <c r="AY12" i="6"/>
  <c r="AW16" i="2"/>
  <c r="AU12" i="7"/>
  <c r="AY70" i="6"/>
  <c r="AW74" i="2"/>
  <c r="AU70" i="7"/>
  <c r="AW38" i="2"/>
  <c r="AY34" i="6"/>
  <c r="AU34" i="7"/>
  <c r="AW92" i="2"/>
  <c r="AY88" i="6"/>
  <c r="AU88" i="7"/>
  <c r="AY76" i="6"/>
  <c r="AW80" i="2"/>
  <c r="AU76" i="7"/>
  <c r="AU3" i="7"/>
  <c r="AW7" i="2"/>
  <c r="AY3" i="6"/>
  <c r="AY77" i="6"/>
  <c r="AW81" i="2"/>
  <c r="AU77" i="7"/>
  <c r="AW41" i="2"/>
  <c r="AY37" i="6"/>
  <c r="AU37" i="7"/>
  <c r="AQ4" i="2"/>
  <c r="AZ1" i="2"/>
  <c r="AZ5" i="2" s="1"/>
  <c r="BA5" i="2" s="1"/>
  <c r="BB5" i="2" s="1"/>
  <c r="AV3" i="2" l="1"/>
  <c r="AW47" i="2"/>
  <c r="AY43" i="6"/>
  <c r="AU43" i="7"/>
  <c r="AU18" i="7"/>
  <c r="AW22" i="2"/>
  <c r="AY18" i="6"/>
  <c r="AY29" i="6"/>
  <c r="AU29" i="7"/>
  <c r="AW33" i="2"/>
  <c r="AY93" i="6"/>
  <c r="AU93" i="7"/>
  <c r="AW97" i="2"/>
  <c r="AW15" i="2"/>
  <c r="AY11" i="6"/>
  <c r="AU11" i="7"/>
  <c r="AW46" i="2"/>
  <c r="AU42" i="7"/>
  <c r="AY42" i="6"/>
  <c r="AW102" i="2"/>
  <c r="AY98" i="6"/>
  <c r="AU98" i="7"/>
  <c r="AY67" i="6"/>
  <c r="AU67" i="7"/>
  <c r="AW71" i="2"/>
  <c r="AW66" i="2"/>
  <c r="AY62" i="6"/>
  <c r="AU62" i="7"/>
  <c r="AU15" i="7"/>
  <c r="AW19" i="2"/>
  <c r="AY15" i="6"/>
  <c r="AW101" i="2"/>
  <c r="AY97" i="6"/>
  <c r="AU97" i="7"/>
  <c r="AW61" i="2"/>
  <c r="AY57" i="6"/>
  <c r="AU57" i="7"/>
  <c r="AU28" i="7"/>
  <c r="AW32" i="2"/>
  <c r="AY28" i="6"/>
  <c r="AU84" i="7"/>
  <c r="AW88" i="2"/>
  <c r="AY84" i="6"/>
  <c r="AY80" i="6"/>
  <c r="AW84" i="2"/>
  <c r="AU80" i="7"/>
  <c r="AW20" i="2"/>
  <c r="AY16" i="6"/>
  <c r="AU16" i="7"/>
  <c r="AY56" i="6"/>
  <c r="AU56" i="7"/>
  <c r="AW60" i="2"/>
  <c r="AU4" i="7"/>
  <c r="AW8" i="2"/>
  <c r="AY4" i="6"/>
  <c r="AW62" i="2"/>
  <c r="AY58" i="6"/>
  <c r="AU58" i="7"/>
  <c r="AY2" i="6"/>
  <c r="AU2" i="7"/>
  <c r="AW6" i="2"/>
  <c r="AY64" i="6"/>
  <c r="AU64" i="7"/>
  <c r="AW68" i="2"/>
  <c r="AW36" i="2"/>
  <c r="AU32" i="7"/>
  <c r="AY32" i="6"/>
  <c r="AU50" i="7"/>
  <c r="AW54" i="2"/>
  <c r="AY50" i="6"/>
  <c r="AW34" i="2"/>
  <c r="AY30" i="6"/>
  <c r="AU30" i="7"/>
  <c r="AW24" i="2"/>
  <c r="AU20" i="7"/>
  <c r="AY20" i="6"/>
  <c r="AW82" i="2"/>
  <c r="AY78" i="6"/>
  <c r="AU78" i="7"/>
  <c r="AY99" i="6"/>
  <c r="AW103" i="2"/>
  <c r="AU99" i="7"/>
  <c r="AY66" i="6"/>
  <c r="AW70" i="2"/>
  <c r="AU66" i="7"/>
  <c r="AY24" i="6"/>
  <c r="AW28" i="2"/>
  <c r="AU24" i="7"/>
  <c r="AY95" i="6"/>
  <c r="AW99" i="2"/>
  <c r="AU95" i="7"/>
  <c r="AW48" i="2"/>
  <c r="AY44" i="6"/>
  <c r="AU44" i="7"/>
  <c r="AY23" i="6"/>
  <c r="AW27" i="2"/>
  <c r="AU23" i="7"/>
  <c r="AY27" i="6"/>
  <c r="AW31" i="2"/>
  <c r="AU27" i="7"/>
  <c r="AY96" i="6"/>
  <c r="AW100" i="2"/>
  <c r="AU96" i="7"/>
  <c r="AY19" i="6"/>
  <c r="AW23" i="2"/>
  <c r="AU19" i="7"/>
  <c r="AW37" i="2"/>
  <c r="AY33" i="6"/>
  <c r="AU33" i="7"/>
  <c r="AW42" i="2"/>
  <c r="AY38" i="6"/>
  <c r="AU38" i="7"/>
  <c r="AY85" i="6"/>
  <c r="AW89" i="2"/>
  <c r="AU85" i="7"/>
  <c r="AY69" i="6"/>
  <c r="AW73" i="2"/>
  <c r="AU69" i="7"/>
  <c r="AW50" i="2"/>
  <c r="AY46" i="6"/>
  <c r="AU46" i="7"/>
  <c r="AY53" i="6"/>
  <c r="AW57" i="2"/>
  <c r="AU53" i="7"/>
  <c r="AY79" i="6"/>
  <c r="AW83" i="2"/>
  <c r="AU79" i="7"/>
  <c r="AW39" i="2"/>
  <c r="AY35" i="6"/>
  <c r="AU35" i="7"/>
  <c r="AY71" i="6"/>
  <c r="AW75" i="2"/>
  <c r="AU71" i="7"/>
  <c r="AY65" i="6"/>
  <c r="AW69" i="2"/>
  <c r="AU65" i="7"/>
  <c r="AY63" i="6"/>
  <c r="AW67" i="2"/>
  <c r="AU63" i="7"/>
  <c r="AY25" i="6"/>
  <c r="AW29" i="2"/>
  <c r="AU25" i="7"/>
  <c r="AY21" i="6"/>
  <c r="AW25" i="2"/>
  <c r="AU21" i="7"/>
  <c r="AY74" i="6"/>
  <c r="AW78" i="2"/>
  <c r="AU74" i="7"/>
  <c r="AY92" i="6"/>
  <c r="AW96" i="2"/>
  <c r="AU92" i="7"/>
  <c r="AY31" i="6"/>
  <c r="AW35" i="2"/>
  <c r="AU31" i="7"/>
  <c r="AY81" i="6"/>
  <c r="AW85" i="2"/>
  <c r="AU81" i="7"/>
  <c r="AW40" i="2"/>
  <c r="AY36" i="6"/>
  <c r="AU36" i="7"/>
  <c r="AW49" i="2"/>
  <c r="AY45" i="6"/>
  <c r="AU45" i="7"/>
  <c r="AY75" i="6"/>
  <c r="AW79" i="2"/>
  <c r="AU75" i="7"/>
  <c r="AY94" i="6"/>
  <c r="AW98" i="2"/>
  <c r="AU94" i="7"/>
  <c r="AY26" i="6"/>
  <c r="AW30" i="2"/>
  <c r="AU26" i="7"/>
  <c r="AY89" i="6"/>
  <c r="AW93" i="2"/>
  <c r="AU89" i="7"/>
  <c r="AY51" i="6"/>
  <c r="AW55" i="2"/>
  <c r="AU51" i="7"/>
  <c r="AY86" i="6"/>
  <c r="AW90" i="2"/>
  <c r="AU86" i="7"/>
  <c r="AY55" i="6"/>
  <c r="AW59" i="2"/>
  <c r="AU55" i="7"/>
  <c r="AY52" i="6"/>
  <c r="AW56" i="2"/>
  <c r="AU52" i="7"/>
  <c r="AW43" i="2"/>
  <c r="AY39" i="6"/>
  <c r="AU39" i="7"/>
  <c r="AY68" i="6"/>
  <c r="AW72" i="2"/>
  <c r="AU68" i="7"/>
  <c r="AW52" i="2"/>
  <c r="AY48" i="6"/>
  <c r="AU48" i="7"/>
  <c r="AY60" i="6"/>
  <c r="AW64" i="2"/>
  <c r="AU60" i="7"/>
  <c r="AZ77" i="6"/>
  <c r="AX81" i="2"/>
  <c r="AV77" i="7"/>
  <c r="AV3" i="7"/>
  <c r="AX7" i="2"/>
  <c r="AZ3" i="6"/>
  <c r="AZ76" i="6"/>
  <c r="AX80" i="2"/>
  <c r="AV76" i="7"/>
  <c r="AX92" i="2"/>
  <c r="AZ88" i="6"/>
  <c r="AV88" i="7"/>
  <c r="AX38" i="2"/>
  <c r="AZ34" i="6"/>
  <c r="AV34" i="7"/>
  <c r="AZ70" i="6"/>
  <c r="AX74" i="2"/>
  <c r="AV70" i="7"/>
  <c r="AZ12" i="6"/>
  <c r="AX16" i="2"/>
  <c r="AV12" i="7"/>
  <c r="AZ49" i="6"/>
  <c r="AX53" i="2"/>
  <c r="AV49" i="7"/>
  <c r="AZ54" i="6"/>
  <c r="AX58" i="2"/>
  <c r="AV54" i="7"/>
  <c r="AX51" i="2"/>
  <c r="AZ47" i="6"/>
  <c r="AV47" i="7"/>
  <c r="AZ91" i="6"/>
  <c r="AX95" i="2"/>
  <c r="AV91" i="7"/>
  <c r="AZ82" i="6"/>
  <c r="AX86" i="2"/>
  <c r="AV82" i="7"/>
  <c r="AZ17" i="6"/>
  <c r="AX21" i="2"/>
  <c r="AV17" i="7"/>
  <c r="AZ6" i="6"/>
  <c r="AX10" i="2"/>
  <c r="AV6" i="7"/>
  <c r="AZ61" i="6"/>
  <c r="AX65" i="2"/>
  <c r="AV61" i="7"/>
  <c r="AZ10" i="6"/>
  <c r="AX14" i="2"/>
  <c r="AV10" i="7"/>
  <c r="AX45" i="2"/>
  <c r="AZ41" i="6"/>
  <c r="AV41" i="7"/>
  <c r="AZ22" i="6"/>
  <c r="AX26" i="2"/>
  <c r="AV22" i="7"/>
  <c r="AZ90" i="6"/>
  <c r="AX94" i="2"/>
  <c r="AV90" i="7"/>
  <c r="AZ8" i="6"/>
  <c r="AX12" i="2"/>
  <c r="AV8" i="7"/>
  <c r="AZ5" i="6"/>
  <c r="AX9" i="2"/>
  <c r="AV5" i="7"/>
  <c r="AZ9" i="6"/>
  <c r="AX13" i="2"/>
  <c r="AV9" i="7"/>
  <c r="AZ73" i="6"/>
  <c r="AX77" i="2"/>
  <c r="AV73" i="7"/>
  <c r="AZ87" i="6"/>
  <c r="AX91" i="2"/>
  <c r="AV87" i="7"/>
  <c r="AZ13" i="6"/>
  <c r="AX17" i="2"/>
  <c r="AV13" i="7"/>
  <c r="AZ7" i="6"/>
  <c r="AX11" i="2"/>
  <c r="AV7" i="7"/>
  <c r="AX87" i="2"/>
  <c r="AZ83" i="6"/>
  <c r="AV83" i="7"/>
  <c r="AV72" i="7"/>
  <c r="AZ72" i="6"/>
  <c r="AX76" i="2"/>
  <c r="AX44" i="2"/>
  <c r="AZ40" i="6"/>
  <c r="AV40" i="7"/>
  <c r="AX63" i="2"/>
  <c r="AZ59" i="6"/>
  <c r="AV59" i="7"/>
  <c r="AX18" i="2"/>
  <c r="AZ14" i="6"/>
  <c r="AV14" i="7"/>
  <c r="AX41" i="2"/>
  <c r="AZ37" i="6"/>
  <c r="AV37" i="7"/>
  <c r="BC5" i="2"/>
  <c r="BB4" i="2"/>
  <c r="AR4" i="2"/>
  <c r="AZ60" i="6" l="1"/>
  <c r="AX64" i="2"/>
  <c r="AV60" i="7"/>
  <c r="AX52" i="2"/>
  <c r="AZ48" i="6"/>
  <c r="AV48" i="7"/>
  <c r="AZ68" i="6"/>
  <c r="AX72" i="2"/>
  <c r="AV68" i="7"/>
  <c r="AX43" i="2"/>
  <c r="AZ39" i="6"/>
  <c r="AV39" i="7"/>
  <c r="AZ52" i="6"/>
  <c r="AX56" i="2"/>
  <c r="AV52" i="7"/>
  <c r="AZ55" i="6"/>
  <c r="AX59" i="2"/>
  <c r="AV55" i="7"/>
  <c r="AZ86" i="6"/>
  <c r="AX90" i="2"/>
  <c r="AV86" i="7"/>
  <c r="AZ51" i="6"/>
  <c r="AX55" i="2"/>
  <c r="AV51" i="7"/>
  <c r="AZ89" i="6"/>
  <c r="AX93" i="2"/>
  <c r="AV89" i="7"/>
  <c r="AZ26" i="6"/>
  <c r="AX30" i="2"/>
  <c r="AV26" i="7"/>
  <c r="AZ94" i="6"/>
  <c r="AX98" i="2"/>
  <c r="AV94" i="7"/>
  <c r="AZ75" i="6"/>
  <c r="AX79" i="2"/>
  <c r="AV75" i="7"/>
  <c r="AX49" i="2"/>
  <c r="AZ45" i="6"/>
  <c r="AV45" i="7"/>
  <c r="AX40" i="2"/>
  <c r="AZ36" i="6"/>
  <c r="AV36" i="7"/>
  <c r="AZ81" i="6"/>
  <c r="AX85" i="2"/>
  <c r="AV81" i="7"/>
  <c r="AZ31" i="6"/>
  <c r="AX35" i="2"/>
  <c r="AV31" i="7"/>
  <c r="AZ92" i="6"/>
  <c r="AX96" i="2"/>
  <c r="AV92" i="7"/>
  <c r="AZ74" i="6"/>
  <c r="AX78" i="2"/>
  <c r="AV74" i="7"/>
  <c r="AZ21" i="6"/>
  <c r="AX25" i="2"/>
  <c r="AV21" i="7"/>
  <c r="AZ25" i="6"/>
  <c r="AX29" i="2"/>
  <c r="AV25" i="7"/>
  <c r="AZ63" i="6"/>
  <c r="AX67" i="2"/>
  <c r="AV63" i="7"/>
  <c r="AZ65" i="6"/>
  <c r="AX69" i="2"/>
  <c r="AV65" i="7"/>
  <c r="AZ71" i="6"/>
  <c r="AX75" i="2"/>
  <c r="AV71" i="7"/>
  <c r="AX39" i="2"/>
  <c r="AZ35" i="6"/>
  <c r="AV35" i="7"/>
  <c r="AZ79" i="6"/>
  <c r="AX83" i="2"/>
  <c r="AV79" i="7"/>
  <c r="AZ53" i="6"/>
  <c r="AX57" i="2"/>
  <c r="AV53" i="7"/>
  <c r="AX50" i="2"/>
  <c r="AZ46" i="6"/>
  <c r="AV46" i="7"/>
  <c r="AZ69" i="6"/>
  <c r="AX73" i="2"/>
  <c r="AV69" i="7"/>
  <c r="AZ85" i="6"/>
  <c r="AX89" i="2"/>
  <c r="AV85" i="7"/>
  <c r="AX42" i="2"/>
  <c r="AZ38" i="6"/>
  <c r="AV38" i="7"/>
  <c r="AX37" i="2"/>
  <c r="AZ33" i="6"/>
  <c r="AV33" i="7"/>
  <c r="AZ19" i="6"/>
  <c r="AX23" i="2"/>
  <c r="AV19" i="7"/>
  <c r="AZ96" i="6"/>
  <c r="AX100" i="2"/>
  <c r="AV96" i="7"/>
  <c r="AZ27" i="6"/>
  <c r="AX31" i="2"/>
  <c r="AV27" i="7"/>
  <c r="AZ23" i="6"/>
  <c r="AX27" i="2"/>
  <c r="AV23" i="7"/>
  <c r="AX48" i="2"/>
  <c r="AZ44" i="6"/>
  <c r="AV44" i="7"/>
  <c r="AZ95" i="6"/>
  <c r="AX99" i="2"/>
  <c r="AV95" i="7"/>
  <c r="AZ24" i="6"/>
  <c r="AX28" i="2"/>
  <c r="AV24" i="7"/>
  <c r="AZ66" i="6"/>
  <c r="AX70" i="2"/>
  <c r="AV66" i="7"/>
  <c r="AZ99" i="6"/>
  <c r="AX103" i="2"/>
  <c r="AV99" i="7"/>
  <c r="AX82" i="2"/>
  <c r="AZ78" i="6"/>
  <c r="AV78" i="7"/>
  <c r="AX24" i="2"/>
  <c r="AV20" i="7"/>
  <c r="AZ20" i="6"/>
  <c r="AV30" i="7"/>
  <c r="AX34" i="2"/>
  <c r="AZ30" i="6"/>
  <c r="AX54" i="2"/>
  <c r="AZ50" i="6"/>
  <c r="AV50" i="7"/>
  <c r="AX36" i="2"/>
  <c r="AZ32" i="6"/>
  <c r="AV32" i="7"/>
  <c r="AX68" i="2"/>
  <c r="AZ64" i="6"/>
  <c r="AV64" i="7"/>
  <c r="AX6" i="2"/>
  <c r="AZ2" i="6"/>
  <c r="AV2" i="7"/>
  <c r="AW3" i="2"/>
  <c r="AX62" i="2"/>
  <c r="AZ58" i="6"/>
  <c r="AV58" i="7"/>
  <c r="AX8" i="2"/>
  <c r="AZ4" i="6"/>
  <c r="AV4" i="7"/>
  <c r="AZ56" i="6"/>
  <c r="AX60" i="2"/>
  <c r="AV56" i="7"/>
  <c r="AX20" i="2"/>
  <c r="AV16" i="7"/>
  <c r="AZ16" i="6"/>
  <c r="AZ80" i="6"/>
  <c r="AX84" i="2"/>
  <c r="AV80" i="7"/>
  <c r="AV84" i="7"/>
  <c r="AX88" i="2"/>
  <c r="AZ84" i="6"/>
  <c r="AX32" i="2"/>
  <c r="AV28" i="7"/>
  <c r="AZ28" i="6"/>
  <c r="AV57" i="7"/>
  <c r="AX61" i="2"/>
  <c r="AZ57" i="6"/>
  <c r="AV97" i="7"/>
  <c r="AX101" i="2"/>
  <c r="AZ97" i="6"/>
  <c r="AX19" i="2"/>
  <c r="AZ15" i="6"/>
  <c r="AV15" i="7"/>
  <c r="AV62" i="7"/>
  <c r="AX66" i="2"/>
  <c r="AZ62" i="6"/>
  <c r="AV67" i="7"/>
  <c r="AX71" i="2"/>
  <c r="AZ67" i="6"/>
  <c r="AX102" i="2"/>
  <c r="AZ98" i="6"/>
  <c r="AV98" i="7"/>
  <c r="AX46" i="2"/>
  <c r="AV42" i="7"/>
  <c r="AZ42" i="6"/>
  <c r="AV11" i="7"/>
  <c r="AX15" i="2"/>
  <c r="AZ11" i="6"/>
  <c r="AX97" i="2"/>
  <c r="AZ93" i="6"/>
  <c r="AV93" i="7"/>
  <c r="AZ29" i="6"/>
  <c r="AV29" i="7"/>
  <c r="AX33" i="2"/>
  <c r="AV18" i="7"/>
  <c r="AX22" i="2"/>
  <c r="AZ18" i="6"/>
  <c r="AX47" i="2"/>
  <c r="AZ43" i="6"/>
  <c r="AV43" i="7"/>
  <c r="AY18" i="2"/>
  <c r="BA14" i="6"/>
  <c r="AW14" i="7"/>
  <c r="AY63" i="2"/>
  <c r="BA59" i="6"/>
  <c r="AW59" i="7"/>
  <c r="AY44" i="2"/>
  <c r="BA40" i="6"/>
  <c r="AW40" i="7"/>
  <c r="BA72" i="6"/>
  <c r="AY76" i="2"/>
  <c r="AW72" i="7"/>
  <c r="AW83" i="7"/>
  <c r="AY87" i="2"/>
  <c r="BA83" i="6"/>
  <c r="BA7" i="6"/>
  <c r="AY11" i="2"/>
  <c r="AW7" i="7"/>
  <c r="BA13" i="6"/>
  <c r="AY17" i="2"/>
  <c r="AW13" i="7"/>
  <c r="BA87" i="6"/>
  <c r="AY91" i="2"/>
  <c r="AW87" i="7"/>
  <c r="BA73" i="6"/>
  <c r="AY77" i="2"/>
  <c r="AW73" i="7"/>
  <c r="BA9" i="6"/>
  <c r="AY13" i="2"/>
  <c r="AW9" i="7"/>
  <c r="BA5" i="6"/>
  <c r="AY9" i="2"/>
  <c r="AW5" i="7"/>
  <c r="BA8" i="6"/>
  <c r="AY12" i="2"/>
  <c r="AW8" i="7"/>
  <c r="BA90" i="6"/>
  <c r="AY94" i="2"/>
  <c r="AW90" i="7"/>
  <c r="BA22" i="6"/>
  <c r="AY26" i="2"/>
  <c r="AW22" i="7"/>
  <c r="AY45" i="2"/>
  <c r="BA41" i="6"/>
  <c r="AW41" i="7"/>
  <c r="BA10" i="6"/>
  <c r="AY14" i="2"/>
  <c r="AW10" i="7"/>
  <c r="BA61" i="6"/>
  <c r="AY65" i="2"/>
  <c r="AW61" i="7"/>
  <c r="BA6" i="6"/>
  <c r="AY10" i="2"/>
  <c r="AW6" i="7"/>
  <c r="BA17" i="6"/>
  <c r="AY21" i="2"/>
  <c r="AW17" i="7"/>
  <c r="BA82" i="6"/>
  <c r="AY86" i="2"/>
  <c r="AW82" i="7"/>
  <c r="BA91" i="6"/>
  <c r="AY95" i="2"/>
  <c r="AW91" i="7"/>
  <c r="AY51" i="2"/>
  <c r="BA47" i="6"/>
  <c r="AW47" i="7"/>
  <c r="BA54" i="6"/>
  <c r="AY58" i="2"/>
  <c r="AW54" i="7"/>
  <c r="BA49" i="6"/>
  <c r="AY53" i="2"/>
  <c r="AW49" i="7"/>
  <c r="BA12" i="6"/>
  <c r="AY16" i="2"/>
  <c r="AW12" i="7"/>
  <c r="BA70" i="6"/>
  <c r="AY74" i="2"/>
  <c r="AW70" i="7"/>
  <c r="AY38" i="2"/>
  <c r="BA34" i="6"/>
  <c r="AW34" i="7"/>
  <c r="AY92" i="2"/>
  <c r="BA88" i="6"/>
  <c r="AW88" i="7"/>
  <c r="BA76" i="6"/>
  <c r="AY80" i="2"/>
  <c r="AW76" i="7"/>
  <c r="AW3" i="7"/>
  <c r="AY7" i="2"/>
  <c r="BA3" i="6"/>
  <c r="BA77" i="6"/>
  <c r="AY81" i="2"/>
  <c r="AW77" i="7"/>
  <c r="AY41" i="2"/>
  <c r="AW37" i="7"/>
  <c r="BA37" i="6"/>
  <c r="BD5" i="2"/>
  <c r="BC4" i="2"/>
  <c r="AS4" i="2"/>
  <c r="AY47" i="2" l="1"/>
  <c r="BA43" i="6"/>
  <c r="AW43" i="7"/>
  <c r="AW18" i="7"/>
  <c r="AY22" i="2"/>
  <c r="BA18" i="6"/>
  <c r="AY33" i="2"/>
  <c r="BA29" i="6"/>
  <c r="AW29" i="7"/>
  <c r="AW93" i="7"/>
  <c r="AY97" i="2"/>
  <c r="BA93" i="6"/>
  <c r="AY15" i="2"/>
  <c r="BA11" i="6"/>
  <c r="AW11" i="7"/>
  <c r="AY46" i="2"/>
  <c r="AW42" i="7"/>
  <c r="BA42" i="6"/>
  <c r="AW98" i="7"/>
  <c r="AY102" i="2"/>
  <c r="BA98" i="6"/>
  <c r="AW67" i="7"/>
  <c r="AY71" i="2"/>
  <c r="BA67" i="6"/>
  <c r="AW62" i="7"/>
  <c r="AY66" i="2"/>
  <c r="BA62" i="6"/>
  <c r="AY19" i="2"/>
  <c r="BA15" i="6"/>
  <c r="AW15" i="7"/>
  <c r="AY101" i="2"/>
  <c r="BA97" i="6"/>
  <c r="AW97" i="7"/>
  <c r="AY61" i="2"/>
  <c r="BA57" i="6"/>
  <c r="AW57" i="7"/>
  <c r="AY32" i="2"/>
  <c r="BA28" i="6"/>
  <c r="AW28" i="7"/>
  <c r="BA84" i="6"/>
  <c r="AW84" i="7"/>
  <c r="AY88" i="2"/>
  <c r="AY84" i="2"/>
  <c r="AW80" i="7"/>
  <c r="BA80" i="6"/>
  <c r="AY20" i="2"/>
  <c r="AW16" i="7"/>
  <c r="BA16" i="6"/>
  <c r="AY60" i="2"/>
  <c r="BA56" i="6"/>
  <c r="AW56" i="7"/>
  <c r="AY8" i="2"/>
  <c r="AW4" i="7"/>
  <c r="BA4" i="6"/>
  <c r="AY62" i="2"/>
  <c r="BA58" i="6"/>
  <c r="AW58" i="7"/>
  <c r="AW2" i="7"/>
  <c r="AY6" i="2"/>
  <c r="BA2" i="6"/>
  <c r="AX3" i="2"/>
  <c r="AW64" i="7"/>
  <c r="AY68" i="2"/>
  <c r="BA64" i="6"/>
  <c r="AY36" i="2"/>
  <c r="AW32" i="7"/>
  <c r="BA32" i="6"/>
  <c r="AY54" i="2"/>
  <c r="BA50" i="6"/>
  <c r="AW50" i="7"/>
  <c r="AW30" i="7"/>
  <c r="AY34" i="2"/>
  <c r="BA30" i="6"/>
  <c r="AY24" i="2"/>
  <c r="AW20" i="7"/>
  <c r="BA20" i="6"/>
  <c r="AY82" i="2"/>
  <c r="BA78" i="6"/>
  <c r="AW78" i="7"/>
  <c r="BA99" i="6"/>
  <c r="AY103" i="2"/>
  <c r="AW99" i="7"/>
  <c r="BA66" i="6"/>
  <c r="AY70" i="2"/>
  <c r="AW66" i="7"/>
  <c r="BA24" i="6"/>
  <c r="AY28" i="2"/>
  <c r="AW24" i="7"/>
  <c r="BA95" i="6"/>
  <c r="AY99" i="2"/>
  <c r="AW95" i="7"/>
  <c r="AY48" i="2"/>
  <c r="BA44" i="6"/>
  <c r="AW44" i="7"/>
  <c r="BA23" i="6"/>
  <c r="AY27" i="2"/>
  <c r="AW23" i="7"/>
  <c r="BA27" i="6"/>
  <c r="AY31" i="2"/>
  <c r="AW27" i="7"/>
  <c r="BA96" i="6"/>
  <c r="AY100" i="2"/>
  <c r="AW96" i="7"/>
  <c r="BA19" i="6"/>
  <c r="AY23" i="2"/>
  <c r="AW19" i="7"/>
  <c r="AY37" i="2"/>
  <c r="BA33" i="6"/>
  <c r="AW33" i="7"/>
  <c r="AY42" i="2"/>
  <c r="BA38" i="6"/>
  <c r="AW38" i="7"/>
  <c r="BA85" i="6"/>
  <c r="AY89" i="2"/>
  <c r="AW85" i="7"/>
  <c r="BA69" i="6"/>
  <c r="AY73" i="2"/>
  <c r="AW69" i="7"/>
  <c r="AY50" i="2"/>
  <c r="BA46" i="6"/>
  <c r="AW46" i="7"/>
  <c r="BA53" i="6"/>
  <c r="AY57" i="2"/>
  <c r="AW53" i="7"/>
  <c r="BA79" i="6"/>
  <c r="AY83" i="2"/>
  <c r="AW79" i="7"/>
  <c r="AY39" i="2"/>
  <c r="BA35" i="6"/>
  <c r="AW35" i="7"/>
  <c r="BA71" i="6"/>
  <c r="AY75" i="2"/>
  <c r="AW71" i="7"/>
  <c r="BA65" i="6"/>
  <c r="AY69" i="2"/>
  <c r="AW65" i="7"/>
  <c r="BA63" i="6"/>
  <c r="AY67" i="2"/>
  <c r="AW63" i="7"/>
  <c r="BA25" i="6"/>
  <c r="AY29" i="2"/>
  <c r="AW25" i="7"/>
  <c r="BA21" i="6"/>
  <c r="AY25" i="2"/>
  <c r="AW21" i="7"/>
  <c r="BA74" i="6"/>
  <c r="AY78" i="2"/>
  <c r="AW74" i="7"/>
  <c r="BA92" i="6"/>
  <c r="AY96" i="2"/>
  <c r="AW92" i="7"/>
  <c r="BA31" i="6"/>
  <c r="AY35" i="2"/>
  <c r="AW31" i="7"/>
  <c r="BA81" i="6"/>
  <c r="AY85" i="2"/>
  <c r="AW81" i="7"/>
  <c r="AY40" i="2"/>
  <c r="BA36" i="6"/>
  <c r="AW36" i="7"/>
  <c r="AY49" i="2"/>
  <c r="BA45" i="6"/>
  <c r="AW45" i="7"/>
  <c r="BA75" i="6"/>
  <c r="AY79" i="2"/>
  <c r="AW75" i="7"/>
  <c r="BA94" i="6"/>
  <c r="AY98" i="2"/>
  <c r="AW94" i="7"/>
  <c r="BA26" i="6"/>
  <c r="AY30" i="2"/>
  <c r="AW26" i="7"/>
  <c r="BA89" i="6"/>
  <c r="AY93" i="2"/>
  <c r="AW89" i="7"/>
  <c r="BA51" i="6"/>
  <c r="AY55" i="2"/>
  <c r="AW51" i="7"/>
  <c r="BA86" i="6"/>
  <c r="AY90" i="2"/>
  <c r="AW86" i="7"/>
  <c r="BA55" i="6"/>
  <c r="AY59" i="2"/>
  <c r="AW55" i="7"/>
  <c r="BA52" i="6"/>
  <c r="AY56" i="2"/>
  <c r="AW52" i="7"/>
  <c r="AY43" i="2"/>
  <c r="BA39" i="6"/>
  <c r="AW39" i="7"/>
  <c r="BA68" i="6"/>
  <c r="AY72" i="2"/>
  <c r="AW68" i="7"/>
  <c r="AY52" i="2"/>
  <c r="BA48" i="6"/>
  <c r="AW48" i="7"/>
  <c r="BA60" i="6"/>
  <c r="AY64" i="2"/>
  <c r="AW60" i="7"/>
  <c r="BB77" i="6"/>
  <c r="AZ81" i="2"/>
  <c r="AX77" i="7"/>
  <c r="AX3" i="7"/>
  <c r="AZ7" i="2"/>
  <c r="BB3" i="6"/>
  <c r="BB76" i="6"/>
  <c r="AZ80" i="2"/>
  <c r="AX76" i="7"/>
  <c r="AZ92" i="2"/>
  <c r="BB88" i="6"/>
  <c r="AX88" i="7"/>
  <c r="AZ38" i="2"/>
  <c r="BB34" i="6"/>
  <c r="AX34" i="7"/>
  <c r="BB70" i="6"/>
  <c r="AZ74" i="2"/>
  <c r="AX70" i="7"/>
  <c r="BB12" i="6"/>
  <c r="AZ16" i="2"/>
  <c r="AX12" i="7"/>
  <c r="BB49" i="6"/>
  <c r="AZ53" i="2"/>
  <c r="AX49" i="7"/>
  <c r="BB54" i="6"/>
  <c r="AZ58" i="2"/>
  <c r="AX54" i="7"/>
  <c r="AZ51" i="2"/>
  <c r="BB47" i="6"/>
  <c r="AX47" i="7"/>
  <c r="BB91" i="6"/>
  <c r="AZ95" i="2"/>
  <c r="AX91" i="7"/>
  <c r="BB82" i="6"/>
  <c r="AZ86" i="2"/>
  <c r="AX82" i="7"/>
  <c r="BB17" i="6"/>
  <c r="AZ21" i="2"/>
  <c r="AX17" i="7"/>
  <c r="BB6" i="6"/>
  <c r="AZ10" i="2"/>
  <c r="AX6" i="7"/>
  <c r="BB61" i="6"/>
  <c r="AZ65" i="2"/>
  <c r="AX61" i="7"/>
  <c r="BB10" i="6"/>
  <c r="AZ14" i="2"/>
  <c r="AX10" i="7"/>
  <c r="AZ45" i="2"/>
  <c r="BB41" i="6"/>
  <c r="AX41" i="7"/>
  <c r="BB22" i="6"/>
  <c r="AZ26" i="2"/>
  <c r="AX22" i="7"/>
  <c r="BB90" i="6"/>
  <c r="AZ94" i="2"/>
  <c r="AX90" i="7"/>
  <c r="BB8" i="6"/>
  <c r="AZ12" i="2"/>
  <c r="AX8" i="7"/>
  <c r="BB5" i="6"/>
  <c r="AZ9" i="2"/>
  <c r="AX5" i="7"/>
  <c r="BB9" i="6"/>
  <c r="AZ13" i="2"/>
  <c r="AX9" i="7"/>
  <c r="BB73" i="6"/>
  <c r="AZ77" i="2"/>
  <c r="AX73" i="7"/>
  <c r="BB87" i="6"/>
  <c r="AZ91" i="2"/>
  <c r="AX87" i="7"/>
  <c r="BB13" i="6"/>
  <c r="AZ17" i="2"/>
  <c r="AX13" i="7"/>
  <c r="BB7" i="6"/>
  <c r="AZ11" i="2"/>
  <c r="AX7" i="7"/>
  <c r="AX83" i="7"/>
  <c r="AZ87" i="2"/>
  <c r="BB83" i="6"/>
  <c r="BB72" i="6"/>
  <c r="AZ76" i="2"/>
  <c r="AX72" i="7"/>
  <c r="AZ44" i="2"/>
  <c r="BB40" i="6"/>
  <c r="AX40" i="7"/>
  <c r="AZ63" i="2"/>
  <c r="BB59" i="6"/>
  <c r="AX59" i="7"/>
  <c r="AZ18" i="2"/>
  <c r="BB14" i="6"/>
  <c r="AX14" i="7"/>
  <c r="AZ41" i="2"/>
  <c r="AX37" i="7"/>
  <c r="BB37" i="6"/>
  <c r="BE5" i="2"/>
  <c r="BD4" i="2"/>
  <c r="AT4" i="2"/>
  <c r="BB60" i="6" l="1"/>
  <c r="AZ64" i="2"/>
  <c r="AX60" i="7"/>
  <c r="AZ52" i="2"/>
  <c r="BB48" i="6"/>
  <c r="AX48" i="7"/>
  <c r="BB68" i="6"/>
  <c r="AZ72" i="2"/>
  <c r="AX68" i="7"/>
  <c r="AZ43" i="2"/>
  <c r="BB39" i="6"/>
  <c r="AX39" i="7"/>
  <c r="BB52" i="6"/>
  <c r="AZ56" i="2"/>
  <c r="AX52" i="7"/>
  <c r="BB55" i="6"/>
  <c r="AZ59" i="2"/>
  <c r="AX55" i="7"/>
  <c r="BB86" i="6"/>
  <c r="AZ90" i="2"/>
  <c r="AX86" i="7"/>
  <c r="BB51" i="6"/>
  <c r="AZ55" i="2"/>
  <c r="AX51" i="7"/>
  <c r="BB89" i="6"/>
  <c r="AZ93" i="2"/>
  <c r="AX89" i="7"/>
  <c r="BB26" i="6"/>
  <c r="AZ30" i="2"/>
  <c r="AX26" i="7"/>
  <c r="BB94" i="6"/>
  <c r="AZ98" i="2"/>
  <c r="AX94" i="7"/>
  <c r="BB75" i="6"/>
  <c r="AZ79" i="2"/>
  <c r="AX75" i="7"/>
  <c r="AZ49" i="2"/>
  <c r="BB45" i="6"/>
  <c r="AX45" i="7"/>
  <c r="AZ40" i="2"/>
  <c r="BB36" i="6"/>
  <c r="AX36" i="7"/>
  <c r="BB81" i="6"/>
  <c r="AZ85" i="2"/>
  <c r="AX81" i="7"/>
  <c r="BB31" i="6"/>
  <c r="AZ35" i="2"/>
  <c r="AX31" i="7"/>
  <c r="BB92" i="6"/>
  <c r="AZ96" i="2"/>
  <c r="AX92" i="7"/>
  <c r="BB74" i="6"/>
  <c r="AZ78" i="2"/>
  <c r="AX74" i="7"/>
  <c r="BB21" i="6"/>
  <c r="AZ25" i="2"/>
  <c r="AX21" i="7"/>
  <c r="BB25" i="6"/>
  <c r="AZ29" i="2"/>
  <c r="AX25" i="7"/>
  <c r="BB63" i="6"/>
  <c r="AZ67" i="2"/>
  <c r="AX63" i="7"/>
  <c r="BB65" i="6"/>
  <c r="AZ69" i="2"/>
  <c r="AX65" i="7"/>
  <c r="BB71" i="6"/>
  <c r="AZ75" i="2"/>
  <c r="AX71" i="7"/>
  <c r="AZ39" i="2"/>
  <c r="BB35" i="6"/>
  <c r="AX35" i="7"/>
  <c r="BB79" i="6"/>
  <c r="AZ83" i="2"/>
  <c r="AX79" i="7"/>
  <c r="BB53" i="6"/>
  <c r="AZ57" i="2"/>
  <c r="AX53" i="7"/>
  <c r="AZ50" i="2"/>
  <c r="BB46" i="6"/>
  <c r="AX46" i="7"/>
  <c r="BB69" i="6"/>
  <c r="AZ73" i="2"/>
  <c r="AX69" i="7"/>
  <c r="BB85" i="6"/>
  <c r="AZ89" i="2"/>
  <c r="AX85" i="7"/>
  <c r="AZ42" i="2"/>
  <c r="BB38" i="6"/>
  <c r="AX38" i="7"/>
  <c r="AZ37" i="2"/>
  <c r="BB33" i="6"/>
  <c r="AX33" i="7"/>
  <c r="BB19" i="6"/>
  <c r="AZ23" i="2"/>
  <c r="AX19" i="7"/>
  <c r="BB96" i="6"/>
  <c r="AZ100" i="2"/>
  <c r="AX96" i="7"/>
  <c r="BB27" i="6"/>
  <c r="AZ31" i="2"/>
  <c r="AX27" i="7"/>
  <c r="BB23" i="6"/>
  <c r="AZ27" i="2"/>
  <c r="AX23" i="7"/>
  <c r="AZ48" i="2"/>
  <c r="BB44" i="6"/>
  <c r="AX44" i="7"/>
  <c r="BB95" i="6"/>
  <c r="AZ99" i="2"/>
  <c r="AX95" i="7"/>
  <c r="BB24" i="6"/>
  <c r="AZ28" i="2"/>
  <c r="AX24" i="7"/>
  <c r="BB66" i="6"/>
  <c r="AZ70" i="2"/>
  <c r="AX66" i="7"/>
  <c r="BB99" i="6"/>
  <c r="AZ103" i="2"/>
  <c r="AX99" i="7"/>
  <c r="AZ82" i="2"/>
  <c r="BB78" i="6"/>
  <c r="AX78" i="7"/>
  <c r="AZ24" i="2"/>
  <c r="AX20" i="7"/>
  <c r="BB20" i="6"/>
  <c r="AZ34" i="2"/>
  <c r="BB30" i="6"/>
  <c r="AX30" i="7"/>
  <c r="AZ54" i="2"/>
  <c r="BB50" i="6"/>
  <c r="AX50" i="7"/>
  <c r="AZ36" i="2"/>
  <c r="BB32" i="6"/>
  <c r="AX32" i="7"/>
  <c r="AZ68" i="2"/>
  <c r="AX64" i="7"/>
  <c r="BB64" i="6"/>
  <c r="AY3" i="2"/>
  <c r="AZ6" i="2"/>
  <c r="AX2" i="7"/>
  <c r="BB2" i="6"/>
  <c r="AZ62" i="2"/>
  <c r="BB58" i="6"/>
  <c r="AX58" i="7"/>
  <c r="BB4" i="6"/>
  <c r="AX4" i="7"/>
  <c r="AZ8" i="2"/>
  <c r="AX56" i="7"/>
  <c r="AZ60" i="2"/>
  <c r="BB56" i="6"/>
  <c r="AZ20" i="2"/>
  <c r="BB16" i="6"/>
  <c r="AX16" i="7"/>
  <c r="AX80" i="7"/>
  <c r="AZ84" i="2"/>
  <c r="BB80" i="6"/>
  <c r="AZ88" i="2"/>
  <c r="BB84" i="6"/>
  <c r="AX84" i="7"/>
  <c r="AZ32" i="2"/>
  <c r="BB28" i="6"/>
  <c r="AX28" i="7"/>
  <c r="BB57" i="6"/>
  <c r="AX57" i="7"/>
  <c r="AZ61" i="2"/>
  <c r="AZ101" i="2"/>
  <c r="BB97" i="6"/>
  <c r="AX97" i="7"/>
  <c r="AX15" i="7"/>
  <c r="AZ19" i="2"/>
  <c r="BB15" i="6"/>
  <c r="BB62" i="6"/>
  <c r="AX62" i="7"/>
  <c r="AZ66" i="2"/>
  <c r="AX67" i="7"/>
  <c r="AZ71" i="2"/>
  <c r="BB67" i="6"/>
  <c r="BB98" i="6"/>
  <c r="AX98" i="7"/>
  <c r="AZ102" i="2"/>
  <c r="AZ46" i="2"/>
  <c r="AX42" i="7"/>
  <c r="BB42" i="6"/>
  <c r="AZ15" i="2"/>
  <c r="BB11" i="6"/>
  <c r="AX11" i="7"/>
  <c r="AX93" i="7"/>
  <c r="AZ97" i="2"/>
  <c r="BB93" i="6"/>
  <c r="AZ33" i="2"/>
  <c r="BB29" i="6"/>
  <c r="AX29" i="7"/>
  <c r="BB18" i="6"/>
  <c r="AX18" i="7"/>
  <c r="AZ22" i="2"/>
  <c r="AZ47" i="2"/>
  <c r="BB43" i="6"/>
  <c r="AX43" i="7"/>
  <c r="BA18" i="2"/>
  <c r="BC14" i="6"/>
  <c r="BA63" i="2"/>
  <c r="BC59" i="6"/>
  <c r="BA44" i="2"/>
  <c r="BC40" i="6"/>
  <c r="BC72" i="6"/>
  <c r="BA76" i="2"/>
  <c r="BA87" i="2"/>
  <c r="BC83" i="6"/>
  <c r="BC7" i="6"/>
  <c r="BA11" i="2"/>
  <c r="BC13" i="6"/>
  <c r="BA17" i="2"/>
  <c r="BC87" i="6"/>
  <c r="BA91" i="2"/>
  <c r="BC73" i="6"/>
  <c r="BA77" i="2"/>
  <c r="BC9" i="6"/>
  <c r="BA13" i="2"/>
  <c r="BC5" i="6"/>
  <c r="BA9" i="2"/>
  <c r="BC8" i="6"/>
  <c r="BA12" i="2"/>
  <c r="BC90" i="6"/>
  <c r="BA94" i="2"/>
  <c r="BC22" i="6"/>
  <c r="BA26" i="2"/>
  <c r="BA45" i="2"/>
  <c r="BC41" i="6"/>
  <c r="BC10" i="6"/>
  <c r="BA14" i="2"/>
  <c r="BC61" i="6"/>
  <c r="BA65" i="2"/>
  <c r="BC6" i="6"/>
  <c r="BA10" i="2"/>
  <c r="BC17" i="6"/>
  <c r="BA21" i="2"/>
  <c r="BC82" i="6"/>
  <c r="BA86" i="2"/>
  <c r="BC91" i="6"/>
  <c r="BA95" i="2"/>
  <c r="BA51" i="2"/>
  <c r="BC47" i="6"/>
  <c r="BC54" i="6"/>
  <c r="BA58" i="2"/>
  <c r="BC49" i="6"/>
  <c r="BA53" i="2"/>
  <c r="BC12" i="6"/>
  <c r="BA16" i="2"/>
  <c r="BC70" i="6"/>
  <c r="BA74" i="2"/>
  <c r="BA38" i="2"/>
  <c r="BC34" i="6"/>
  <c r="BA92" i="2"/>
  <c r="BC88" i="6"/>
  <c r="BC76" i="6"/>
  <c r="BA80" i="2"/>
  <c r="BA7" i="2"/>
  <c r="BC3" i="6"/>
  <c r="BC77" i="6"/>
  <c r="BA81" i="2"/>
  <c r="BA41" i="2"/>
  <c r="BC37" i="6"/>
  <c r="BF5" i="2"/>
  <c r="BF4" i="2" s="1"/>
  <c r="BE4" i="2"/>
  <c r="AU4" i="2"/>
  <c r="BA47" i="2" l="1"/>
  <c r="BC43" i="6"/>
  <c r="BA22" i="2"/>
  <c r="BC18" i="6"/>
  <c r="BA33" i="2"/>
  <c r="BC29" i="6"/>
  <c r="BA97" i="2"/>
  <c r="BC93" i="6"/>
  <c r="BC11" i="6"/>
  <c r="BA15" i="2"/>
  <c r="BA46" i="2"/>
  <c r="BC42" i="6"/>
  <c r="BC98" i="6"/>
  <c r="BA102" i="2"/>
  <c r="BC67" i="6"/>
  <c r="BA71" i="2"/>
  <c r="BA66" i="2"/>
  <c r="BC62" i="6"/>
  <c r="BA19" i="2"/>
  <c r="BC15" i="6"/>
  <c r="BA101" i="2"/>
  <c r="BC97" i="6"/>
  <c r="BA61" i="2"/>
  <c r="BC57" i="6"/>
  <c r="BA32" i="2"/>
  <c r="BC28" i="6"/>
  <c r="BA88" i="2"/>
  <c r="BC84" i="6"/>
  <c r="BA84" i="2"/>
  <c r="BC80" i="6"/>
  <c r="BA20" i="2"/>
  <c r="BC16" i="6"/>
  <c r="BA60" i="2"/>
  <c r="BC56" i="6"/>
  <c r="BA8" i="2"/>
  <c r="BC4" i="6"/>
  <c r="BA62" i="2"/>
  <c r="BC58" i="6"/>
  <c r="AZ3" i="2"/>
  <c r="BC2" i="6"/>
  <c r="BA6" i="2"/>
  <c r="BA68" i="2"/>
  <c r="BC64" i="6"/>
  <c r="BA36" i="2"/>
  <c r="BC32" i="6"/>
  <c r="BA54" i="2"/>
  <c r="BC50" i="6"/>
  <c r="BA34" i="2"/>
  <c r="BC30" i="6"/>
  <c r="BA24" i="2"/>
  <c r="BC20" i="6"/>
  <c r="BA82" i="2"/>
  <c r="BC78" i="6"/>
  <c r="BC99" i="6"/>
  <c r="BA103" i="2"/>
  <c r="BC66" i="6"/>
  <c r="BA70" i="2"/>
  <c r="BC24" i="6"/>
  <c r="BA28" i="2"/>
  <c r="BC95" i="6"/>
  <c r="BA99" i="2"/>
  <c r="BA48" i="2"/>
  <c r="BC44" i="6"/>
  <c r="BC23" i="6"/>
  <c r="BA27" i="2"/>
  <c r="BC27" i="6"/>
  <c r="BA31" i="2"/>
  <c r="BC96" i="6"/>
  <c r="BA100" i="2"/>
  <c r="BC19" i="6"/>
  <c r="BA23" i="2"/>
  <c r="BA37" i="2"/>
  <c r="BC33" i="6"/>
  <c r="BA42" i="2"/>
  <c r="BC38" i="6"/>
  <c r="BC85" i="6"/>
  <c r="BA89" i="2"/>
  <c r="BC69" i="6"/>
  <c r="BA73" i="2"/>
  <c r="BA50" i="2"/>
  <c r="BC46" i="6"/>
  <c r="BC53" i="6"/>
  <c r="BA57" i="2"/>
  <c r="BC79" i="6"/>
  <c r="BA83" i="2"/>
  <c r="BA39" i="2"/>
  <c r="BC35" i="6"/>
  <c r="BC71" i="6"/>
  <c r="BA75" i="2"/>
  <c r="BC65" i="6"/>
  <c r="BA69" i="2"/>
  <c r="BC63" i="6"/>
  <c r="BA67" i="2"/>
  <c r="BC25" i="6"/>
  <c r="BA29" i="2"/>
  <c r="BC21" i="6"/>
  <c r="BA25" i="2"/>
  <c r="BC74" i="6"/>
  <c r="BA78" i="2"/>
  <c r="BC92" i="6"/>
  <c r="BA96" i="2"/>
  <c r="BC31" i="6"/>
  <c r="BA35" i="2"/>
  <c r="BC81" i="6"/>
  <c r="BA85" i="2"/>
  <c r="BA40" i="2"/>
  <c r="BC36" i="6"/>
  <c r="BA49" i="2"/>
  <c r="BC45" i="6"/>
  <c r="BC75" i="6"/>
  <c r="BA79" i="2"/>
  <c r="BC94" i="6"/>
  <c r="BA98" i="2"/>
  <c r="BC26" i="6"/>
  <c r="BA30" i="2"/>
  <c r="BC89" i="6"/>
  <c r="BA93" i="2"/>
  <c r="BC51" i="6"/>
  <c r="BA55" i="2"/>
  <c r="BC86" i="6"/>
  <c r="BA90" i="2"/>
  <c r="BC55" i="6"/>
  <c r="BA59" i="2"/>
  <c r="BC52" i="6"/>
  <c r="BA56" i="2"/>
  <c r="BA43" i="2"/>
  <c r="BC39" i="6"/>
  <c r="BC68" i="6"/>
  <c r="BA72" i="2"/>
  <c r="BA52" i="2"/>
  <c r="BC48" i="6"/>
  <c r="BC60" i="6"/>
  <c r="BA64" i="2"/>
  <c r="AV4" i="2"/>
  <c r="BA3" i="2" l="1"/>
  <c r="AW4" i="2"/>
  <c r="AX4" i="2" l="1"/>
  <c r="AY4" i="2" l="1"/>
  <c r="AZ4" i="2" l="1"/>
  <c r="BA4" i="2" l="1"/>
  <c r="N118" i="16"/>
  <c r="N72" i="16"/>
  <c r="N32" i="16"/>
  <c r="N105" i="16"/>
  <c r="N26" i="16"/>
  <c r="N78" i="16"/>
  <c r="N87" i="16"/>
  <c r="N91" i="16"/>
  <c r="N110" i="16"/>
  <c r="N85" i="16"/>
  <c r="N65" i="16"/>
  <c r="N19" i="16"/>
  <c r="N68" i="16"/>
  <c r="N74" i="16"/>
  <c r="N76" i="16"/>
  <c r="AH37" i="19"/>
  <c r="O25" i="19"/>
  <c r="N69" i="16"/>
  <c r="N37" i="16"/>
  <c r="N63" i="16"/>
  <c r="N143" i="16"/>
  <c r="N116" i="16"/>
  <c r="N60" i="16"/>
  <c r="N100" i="16"/>
  <c r="N103" i="16"/>
  <c r="N8" i="16"/>
  <c r="N77" i="16"/>
  <c r="N113" i="16"/>
  <c r="N25" i="16"/>
  <c r="N36" i="16"/>
  <c r="N64" i="16"/>
  <c r="N120" i="16"/>
  <c r="O24" i="19"/>
  <c r="N129" i="16"/>
  <c r="N58" i="16"/>
  <c r="N48" i="16"/>
  <c r="L129" i="16"/>
  <c r="L52" i="16"/>
  <c r="L45" i="16"/>
  <c r="L41" i="16"/>
  <c r="L27" i="16"/>
  <c r="O5" i="16"/>
  <c r="L37" i="16"/>
  <c r="L136" i="16"/>
  <c r="L124" i="16"/>
  <c r="L109" i="16"/>
  <c r="L98" i="16"/>
  <c r="L11" i="16"/>
  <c r="L61" i="16"/>
  <c r="P23" i="16"/>
  <c r="P61" i="16"/>
  <c r="O37" i="16"/>
  <c r="L20" i="16"/>
  <c r="L142" i="16"/>
  <c r="L123" i="16"/>
  <c r="O144" i="16"/>
  <c r="O73" i="16"/>
  <c r="L76" i="16"/>
  <c r="L47" i="16"/>
  <c r="L146" i="16"/>
  <c r="O52" i="16"/>
  <c r="L65" i="16"/>
  <c r="O41" i="16"/>
  <c r="O104" i="16"/>
  <c r="L74" i="16"/>
  <c r="L113" i="16"/>
  <c r="O114" i="16"/>
  <c r="P129" i="16"/>
  <c r="O39" i="16"/>
  <c r="P17" i="16"/>
  <c r="P111" i="16"/>
  <c r="P27" i="16"/>
  <c r="L108" i="16"/>
  <c r="L57" i="16"/>
  <c r="L58" i="16"/>
  <c r="L141" i="16"/>
  <c r="P38" i="16"/>
  <c r="L99" i="16"/>
  <c r="L53" i="16"/>
  <c r="O111" i="16"/>
  <c r="P107" i="16"/>
  <c r="O90" i="16"/>
  <c r="L80" i="16"/>
  <c r="L122" i="16"/>
  <c r="P81" i="16"/>
  <c r="P49" i="16"/>
  <c r="L134" i="16"/>
  <c r="L10" i="16"/>
  <c r="P58" i="16"/>
  <c r="P25" i="16"/>
  <c r="P18" i="16"/>
  <c r="P28" i="16"/>
  <c r="O143" i="16"/>
  <c r="L96" i="16"/>
  <c r="L7" i="16"/>
  <c r="P133" i="16"/>
  <c r="O112" i="16"/>
  <c r="P35" i="16"/>
  <c r="L71" i="16"/>
  <c r="O120" i="16"/>
  <c r="O134" i="16"/>
  <c r="O54" i="16"/>
  <c r="P143" i="16"/>
  <c r="P120" i="16"/>
  <c r="O63" i="16"/>
  <c r="M122" i="16"/>
  <c r="M121" i="16"/>
  <c r="M27" i="16"/>
  <c r="M125" i="16"/>
  <c r="M51" i="16"/>
  <c r="P113" i="16"/>
  <c r="M105" i="16"/>
  <c r="M69" i="16"/>
  <c r="O43" i="16"/>
  <c r="M98" i="16"/>
  <c r="M138" i="16"/>
  <c r="M36" i="16"/>
  <c r="O82" i="16"/>
  <c r="M107" i="16"/>
  <c r="M10" i="16"/>
  <c r="M22" i="16"/>
  <c r="M6" i="16"/>
  <c r="O2" i="16"/>
  <c r="M9" i="16"/>
  <c r="M144" i="16"/>
  <c r="M54" i="16"/>
  <c r="M63" i="16"/>
  <c r="M67" i="16"/>
  <c r="M119" i="16"/>
  <c r="M71" i="16"/>
  <c r="M38" i="16"/>
  <c r="M146" i="16"/>
  <c r="M81" i="16"/>
  <c r="M18" i="16"/>
  <c r="O103" i="16"/>
  <c r="M139" i="16"/>
  <c r="M91" i="16"/>
  <c r="M37" i="16"/>
  <c r="N42" i="16"/>
  <c r="N44" i="16"/>
  <c r="N86" i="16"/>
  <c r="N109" i="16"/>
  <c r="N132" i="16"/>
  <c r="N24" i="16"/>
  <c r="O83" i="16"/>
  <c r="P126" i="16"/>
  <c r="P50" i="16"/>
  <c r="P108" i="16"/>
  <c r="O57" i="16"/>
  <c r="O46" i="16"/>
  <c r="P84" i="16"/>
  <c r="P93" i="16"/>
  <c r="P78" i="16"/>
  <c r="O128" i="16"/>
  <c r="P64" i="16"/>
  <c r="P31" i="16"/>
  <c r="P71" i="16"/>
  <c r="M80" i="16"/>
  <c r="M127" i="16"/>
  <c r="M2" i="16"/>
  <c r="M14" i="16"/>
  <c r="M93" i="16"/>
  <c r="M44" i="16"/>
  <c r="M20" i="16"/>
  <c r="M56" i="16"/>
  <c r="M12" i="16"/>
  <c r="M110" i="16"/>
  <c r="U13" i="10"/>
  <c r="U19" i="10"/>
  <c r="U6" i="10"/>
  <c r="U15" i="10"/>
  <c r="U5" i="10"/>
  <c r="U7" i="10"/>
  <c r="U18" i="10"/>
  <c r="N119" i="16"/>
  <c r="N57" i="16"/>
  <c r="N30" i="16"/>
  <c r="N71" i="16"/>
  <c r="N112" i="16"/>
  <c r="N131" i="16"/>
  <c r="N53" i="16"/>
  <c r="O22" i="19"/>
  <c r="N40" i="16"/>
  <c r="N81" i="16"/>
  <c r="O10" i="19"/>
  <c r="L110" i="16"/>
  <c r="L40" i="16"/>
  <c r="L82" i="16"/>
  <c r="L60" i="16"/>
  <c r="P36" i="16"/>
  <c r="L143" i="16"/>
  <c r="L120" i="16"/>
  <c r="P51" i="16"/>
  <c r="P8" i="16"/>
  <c r="L89" i="16"/>
  <c r="P82" i="16"/>
  <c r="L29" i="16"/>
  <c r="L107" i="16"/>
  <c r="O44" i="16"/>
  <c r="L95" i="16"/>
  <c r="O124" i="16"/>
  <c r="L34" i="16"/>
  <c r="O77" i="16"/>
  <c r="O94" i="16"/>
  <c r="P100" i="16"/>
  <c r="O45" i="16"/>
  <c r="M97" i="16"/>
  <c r="P117" i="16"/>
  <c r="M33" i="16"/>
  <c r="P22" i="16"/>
  <c r="M62" i="16"/>
  <c r="M48" i="16"/>
  <c r="M99" i="16"/>
  <c r="P24" i="16"/>
  <c r="P69" i="16"/>
  <c r="M96" i="16"/>
  <c r="M134" i="16"/>
  <c r="N59" i="16"/>
  <c r="O146" i="16"/>
  <c r="P57" i="16"/>
  <c r="O119" i="16"/>
  <c r="O31" i="16"/>
  <c r="M106" i="16"/>
  <c r="M133" i="16"/>
  <c r="M28" i="16"/>
  <c r="AI138" i="19"/>
  <c r="N54" i="16"/>
  <c r="N128" i="16"/>
  <c r="N51" i="16"/>
  <c r="N49" i="16"/>
  <c r="N127" i="16"/>
  <c r="N4" i="16"/>
  <c r="N134" i="16"/>
  <c r="N106" i="16"/>
  <c r="N142" i="16"/>
  <c r="N97" i="16"/>
  <c r="AJ37" i="19"/>
  <c r="N146" i="16"/>
  <c r="N138" i="16"/>
  <c r="N102" i="16"/>
  <c r="N89" i="16"/>
  <c r="N96" i="16"/>
  <c r="N84" i="16"/>
  <c r="N99" i="16"/>
  <c r="O9" i="19"/>
  <c r="N125" i="16"/>
  <c r="N73" i="16"/>
  <c r="AD37" i="19"/>
  <c r="N27" i="16"/>
  <c r="N70" i="16"/>
  <c r="N108" i="16"/>
  <c r="N15" i="16"/>
  <c r="N123" i="16"/>
  <c r="N61" i="16"/>
  <c r="N79" i="16"/>
  <c r="N11" i="16"/>
  <c r="N145" i="16"/>
  <c r="N130" i="16"/>
  <c r="N14" i="16"/>
  <c r="N50" i="16"/>
  <c r="N55" i="16"/>
  <c r="N101" i="16"/>
  <c r="L25" i="16"/>
  <c r="L138" i="16"/>
  <c r="L140" i="16"/>
  <c r="L73" i="16"/>
  <c r="L87" i="16"/>
  <c r="L75" i="16"/>
  <c r="L51" i="16"/>
  <c r="L70" i="16"/>
  <c r="O129" i="16"/>
  <c r="O85" i="16"/>
  <c r="L9" i="16"/>
  <c r="L36" i="16"/>
  <c r="L106" i="16"/>
  <c r="P45" i="16"/>
  <c r="P5" i="16"/>
  <c r="L62" i="16"/>
  <c r="L42" i="16"/>
  <c r="L111" i="16"/>
  <c r="L115" i="16"/>
  <c r="O19" i="16"/>
  <c r="P104" i="16"/>
  <c r="L39" i="16"/>
  <c r="L32" i="16"/>
  <c r="L26" i="16"/>
  <c r="O35" i="16"/>
  <c r="L126" i="16"/>
  <c r="L118" i="16"/>
  <c r="O11" i="16"/>
  <c r="L13" i="16"/>
  <c r="L86" i="16"/>
  <c r="O32" i="16"/>
  <c r="L137" i="16"/>
  <c r="L79" i="16"/>
  <c r="O97" i="16"/>
  <c r="O88" i="16"/>
  <c r="P90" i="16"/>
  <c r="L132" i="16"/>
  <c r="L67" i="16"/>
  <c r="L59" i="16"/>
  <c r="L3" i="16"/>
  <c r="L46" i="16"/>
  <c r="P142" i="16"/>
  <c r="O25" i="16"/>
  <c r="O18" i="16"/>
  <c r="P6" i="16"/>
  <c r="O106" i="16"/>
  <c r="L48" i="16"/>
  <c r="L105" i="16"/>
  <c r="P70" i="16"/>
  <c r="L100" i="16"/>
  <c r="O62" i="16"/>
  <c r="L28" i="16"/>
  <c r="P75" i="16"/>
  <c r="P56" i="16"/>
  <c r="P33" i="16"/>
  <c r="O6" i="16"/>
  <c r="P118" i="16"/>
  <c r="P114" i="16"/>
  <c r="L43" i="16"/>
  <c r="L64" i="16"/>
  <c r="L14" i="16"/>
  <c r="L54" i="16"/>
  <c r="O95" i="16"/>
  <c r="P20" i="16"/>
  <c r="O110" i="16"/>
  <c r="O91" i="16"/>
  <c r="O118" i="16"/>
  <c r="P89" i="16"/>
  <c r="O40" i="16"/>
  <c r="M53" i="16"/>
  <c r="M129" i="16"/>
  <c r="M140" i="16"/>
  <c r="M42" i="16"/>
  <c r="M128" i="16"/>
  <c r="M87" i="16"/>
  <c r="M11" i="16"/>
  <c r="M130" i="16"/>
  <c r="O47" i="16"/>
  <c r="P139" i="16"/>
  <c r="M30" i="16"/>
  <c r="O100" i="16"/>
  <c r="M115" i="16"/>
  <c r="M136" i="16"/>
  <c r="O30" i="16"/>
  <c r="M88" i="16"/>
  <c r="P59" i="16"/>
  <c r="M124" i="16"/>
  <c r="M79" i="16"/>
  <c r="O125" i="16"/>
  <c r="M61" i="16"/>
  <c r="M5" i="16"/>
  <c r="M64" i="16"/>
  <c r="P110" i="16"/>
  <c r="P116" i="16"/>
  <c r="M132" i="16"/>
  <c r="M32" i="16"/>
  <c r="M101" i="16"/>
  <c r="M137" i="16"/>
  <c r="M50" i="16"/>
  <c r="M45" i="16"/>
  <c r="M90" i="16"/>
  <c r="M120" i="16"/>
  <c r="N137" i="16"/>
  <c r="N141" i="16"/>
  <c r="N56" i="16"/>
  <c r="N39" i="16"/>
  <c r="N94" i="16"/>
  <c r="O15" i="16"/>
  <c r="P83" i="16"/>
  <c r="P72" i="16"/>
  <c r="O50" i="16"/>
  <c r="O132" i="16"/>
  <c r="O67" i="16"/>
  <c r="P46" i="16"/>
  <c r="P122" i="16"/>
  <c r="O93" i="16"/>
  <c r="O96" i="16"/>
  <c r="P130" i="16"/>
  <c r="P55" i="16"/>
  <c r="P14" i="16"/>
  <c r="O71" i="16"/>
  <c r="M114" i="16"/>
  <c r="M4" i="16"/>
  <c r="M89" i="16"/>
  <c r="M123" i="16"/>
  <c r="M31" i="16"/>
  <c r="M141" i="16"/>
  <c r="M76" i="16"/>
  <c r="M57" i="16"/>
  <c r="M84" i="16"/>
  <c r="U9" i="10"/>
  <c r="U8" i="10"/>
  <c r="U4" i="10"/>
  <c r="N88" i="16"/>
  <c r="AG37" i="19"/>
  <c r="O6" i="19"/>
  <c r="N139" i="16"/>
  <c r="N33" i="16"/>
  <c r="N115" i="16"/>
  <c r="N21" i="16"/>
  <c r="N45" i="16"/>
  <c r="N34" i="16"/>
  <c r="N95" i="16"/>
  <c r="N22" i="16"/>
  <c r="N135" i="16"/>
  <c r="N31" i="16"/>
  <c r="L56" i="16"/>
  <c r="L144" i="16"/>
  <c r="L17" i="16"/>
  <c r="L8" i="16"/>
  <c r="L90" i="16"/>
  <c r="L63" i="16"/>
  <c r="L38" i="16"/>
  <c r="L21" i="16"/>
  <c r="P102" i="16"/>
  <c r="P76" i="16"/>
  <c r="L12" i="16"/>
  <c r="L135" i="16"/>
  <c r="P41" i="16"/>
  <c r="L101" i="16"/>
  <c r="L94" i="16"/>
  <c r="O109" i="16"/>
  <c r="O27" i="16"/>
  <c r="P136" i="16"/>
  <c r="L119" i="16"/>
  <c r="P2" i="16"/>
  <c r="L130" i="16"/>
  <c r="L116" i="16"/>
  <c r="P40" i="16"/>
  <c r="O9" i="16"/>
  <c r="P80" i="16"/>
  <c r="P19" i="16"/>
  <c r="M72" i="16"/>
  <c r="M65" i="16"/>
  <c r="P137" i="16"/>
  <c r="M108" i="16"/>
  <c r="O33" i="16"/>
  <c r="M40" i="16"/>
  <c r="M86" i="16"/>
  <c r="P44" i="16"/>
  <c r="M85" i="16"/>
  <c r="N90" i="16"/>
  <c r="N9" i="16"/>
  <c r="P135" i="16"/>
  <c r="O3" i="16"/>
  <c r="O105" i="16"/>
  <c r="O64" i="16"/>
  <c r="M103" i="16"/>
  <c r="M111" i="16"/>
  <c r="M3" i="16"/>
  <c r="AF138" i="19"/>
  <c r="N3" i="16"/>
  <c r="N122" i="16"/>
  <c r="N28" i="16"/>
  <c r="N121" i="16"/>
  <c r="N16" i="16"/>
  <c r="N38" i="16"/>
  <c r="N144" i="16"/>
  <c r="N133" i="16"/>
  <c r="N107" i="16"/>
  <c r="N104" i="16"/>
  <c r="O12" i="19"/>
  <c r="N7" i="16"/>
  <c r="N82" i="16"/>
  <c r="N52" i="16"/>
  <c r="N46" i="16"/>
  <c r="N41" i="16"/>
  <c r="O19" i="19"/>
  <c r="N23" i="16"/>
  <c r="N126" i="16"/>
  <c r="N111" i="16"/>
  <c r="N2" i="16"/>
  <c r="N136" i="16"/>
  <c r="O23" i="19"/>
  <c r="N35" i="16"/>
  <c r="O20" i="19"/>
  <c r="N13" i="16"/>
  <c r="AE37" i="19"/>
  <c r="O21" i="19"/>
  <c r="N67" i="16"/>
  <c r="N98" i="16"/>
  <c r="O11" i="19"/>
  <c r="N124" i="16"/>
  <c r="O7" i="19"/>
  <c r="N6" i="16"/>
  <c r="N47" i="16"/>
  <c r="N17" i="16"/>
  <c r="L22" i="16"/>
  <c r="L97" i="16"/>
  <c r="L18" i="16"/>
  <c r="L104" i="16"/>
  <c r="L5" i="16"/>
  <c r="L121" i="16"/>
  <c r="L85" i="16"/>
  <c r="L35" i="16"/>
  <c r="L66" i="16"/>
  <c r="L33" i="16"/>
  <c r="O138" i="16"/>
  <c r="L77" i="16"/>
  <c r="L102" i="16"/>
  <c r="P73" i="16"/>
  <c r="L114" i="16"/>
  <c r="L19" i="16"/>
  <c r="L131" i="16"/>
  <c r="L15" i="16"/>
  <c r="L6" i="16"/>
  <c r="O23" i="16"/>
  <c r="P11" i="16"/>
  <c r="L127" i="16"/>
  <c r="L81" i="16"/>
  <c r="L44" i="16"/>
  <c r="L83" i="16"/>
  <c r="O26" i="16"/>
  <c r="O66" i="16"/>
  <c r="P87" i="16"/>
  <c r="L112" i="16"/>
  <c r="L133" i="16"/>
  <c r="O121" i="16"/>
  <c r="L88" i="16"/>
  <c r="O115" i="16"/>
  <c r="L50" i="16"/>
  <c r="P60" i="16"/>
  <c r="P106" i="16"/>
  <c r="L92" i="16"/>
  <c r="L117" i="16"/>
  <c r="L2" i="16"/>
  <c r="P127" i="16"/>
  <c r="L91" i="16"/>
  <c r="P4" i="16"/>
  <c r="O56" i="16"/>
  <c r="P16" i="16"/>
  <c r="O79" i="16"/>
  <c r="P53" i="16"/>
  <c r="P13" i="16"/>
  <c r="O17" i="16"/>
  <c r="L139" i="16"/>
  <c r="L93" i="16"/>
  <c r="L68" i="16"/>
  <c r="O117" i="16"/>
  <c r="L69" i="16"/>
  <c r="P42" i="16"/>
  <c r="P68" i="16"/>
  <c r="O99" i="16"/>
  <c r="O34" i="16"/>
  <c r="L128" i="16"/>
  <c r="P43" i="16"/>
  <c r="L55" i="16"/>
  <c r="L145" i="16"/>
  <c r="P10" i="16"/>
  <c r="L125" i="16"/>
  <c r="O59" i="16"/>
  <c r="O141" i="16"/>
  <c r="P99" i="16"/>
  <c r="P34" i="16"/>
  <c r="O131" i="16"/>
  <c r="M82" i="16"/>
  <c r="M24" i="16"/>
  <c r="M41" i="16"/>
  <c r="O140" i="16"/>
  <c r="P92" i="16"/>
  <c r="O20" i="16"/>
  <c r="M78" i="16"/>
  <c r="M68" i="16"/>
  <c r="O60" i="16"/>
  <c r="M35" i="16"/>
  <c r="O42" i="16"/>
  <c r="M94" i="16"/>
  <c r="M7" i="16"/>
  <c r="M118" i="16"/>
  <c r="M70" i="16"/>
  <c r="M8" i="16"/>
  <c r="M73" i="16"/>
  <c r="M145" i="16"/>
  <c r="P74" i="16"/>
  <c r="M66" i="16"/>
  <c r="M43" i="16"/>
  <c r="M112" i="16"/>
  <c r="M75" i="16"/>
  <c r="M23" i="16"/>
  <c r="M83" i="16"/>
  <c r="M13" i="16"/>
  <c r="M113" i="16"/>
  <c r="M49" i="16"/>
  <c r="M100" i="16"/>
  <c r="M95" i="16"/>
  <c r="M47" i="16"/>
  <c r="M74" i="16"/>
  <c r="M25" i="16"/>
  <c r="M21" i="16"/>
  <c r="N92" i="16"/>
  <c r="N93" i="16"/>
  <c r="N114" i="16"/>
  <c r="N43" i="16"/>
  <c r="N10" i="16"/>
  <c r="O123" i="16"/>
  <c r="P65" i="16"/>
  <c r="O72" i="16"/>
  <c r="P101" i="16"/>
  <c r="O29" i="16"/>
  <c r="P3" i="16"/>
  <c r="O48" i="16"/>
  <c r="P105" i="16"/>
  <c r="P119" i="16"/>
  <c r="P96" i="16"/>
  <c r="O7" i="16"/>
  <c r="O55" i="16"/>
  <c r="O145" i="16"/>
  <c r="M135" i="16"/>
  <c r="M117" i="16"/>
  <c r="M116" i="16"/>
  <c r="M77" i="16"/>
  <c r="M19" i="16"/>
  <c r="M142" i="16"/>
  <c r="M39" i="16"/>
  <c r="M52" i="16"/>
  <c r="M60" i="16"/>
  <c r="M59" i="16"/>
  <c r="M29" i="16"/>
  <c r="U12" i="10"/>
  <c r="U16" i="10"/>
  <c r="U11" i="10"/>
  <c r="U14" i="10"/>
  <c r="AC138" i="19"/>
  <c r="N75" i="16"/>
  <c r="N29" i="16"/>
  <c r="N20" i="16"/>
  <c r="N140" i="16"/>
  <c r="N12" i="16"/>
  <c r="N83" i="16"/>
  <c r="O8" i="19"/>
  <c r="N80" i="16"/>
  <c r="N5" i="16"/>
  <c r="N117" i="16"/>
  <c r="AK37" i="19"/>
  <c r="N18" i="16"/>
  <c r="L23" i="16"/>
  <c r="P140" i="16"/>
  <c r="L30" i="16"/>
  <c r="O22" i="16"/>
  <c r="L49" i="16"/>
  <c r="O8" i="16"/>
  <c r="L4" i="16"/>
  <c r="L72" i="16"/>
  <c r="O102" i="16"/>
  <c r="O12" i="16"/>
  <c r="P79" i="16"/>
  <c r="L16" i="16"/>
  <c r="L24" i="16"/>
  <c r="P98" i="16"/>
  <c r="L84" i="16"/>
  <c r="O142" i="16"/>
  <c r="L78" i="16"/>
  <c r="O98" i="16"/>
  <c r="L103" i="16"/>
  <c r="L31" i="16"/>
  <c r="P21" i="16"/>
  <c r="P77" i="16"/>
  <c r="M92" i="16"/>
  <c r="M26" i="16"/>
  <c r="M126" i="16"/>
  <c r="M55" i="16"/>
  <c r="P66" i="16"/>
  <c r="M46" i="16"/>
  <c r="M16" i="16"/>
  <c r="M143" i="16"/>
  <c r="M15" i="16"/>
  <c r="O87" i="16"/>
  <c r="P86" i="16"/>
  <c r="M131" i="16"/>
  <c r="M17" i="16"/>
  <c r="N66" i="16"/>
  <c r="N62" i="16"/>
  <c r="O65" i="16"/>
  <c r="O101" i="16"/>
  <c r="O84" i="16"/>
  <c r="P128" i="16"/>
  <c r="P145" i="16"/>
  <c r="M34" i="16"/>
  <c r="M104" i="16"/>
  <c r="M102" i="16"/>
  <c r="M109" i="16"/>
  <c r="U17" i="10"/>
  <c r="M58" i="16"/>
  <c r="U10" i="10"/>
  <c r="P125" i="16"/>
  <c r="O69" i="16"/>
  <c r="O139" i="16"/>
  <c r="O24" i="16"/>
  <c r="O16" i="16"/>
  <c r="O137" i="16"/>
  <c r="O74" i="16"/>
  <c r="P63" i="16"/>
  <c r="P30" i="16"/>
  <c r="P132" i="16"/>
  <c r="O122" i="16"/>
  <c r="P123" i="16"/>
  <c r="P67" i="16"/>
  <c r="O136" i="16"/>
  <c r="P94" i="16"/>
  <c r="P52" i="16"/>
  <c r="O127" i="16"/>
  <c r="O108" i="16"/>
  <c r="P97" i="16"/>
  <c r="P144" i="16"/>
  <c r="O68" i="16"/>
  <c r="P95" i="16"/>
  <c r="O89" i="16"/>
  <c r="P47" i="16"/>
  <c r="O36" i="16"/>
  <c r="O75" i="16"/>
  <c r="O21" i="16"/>
  <c r="O13" i="16"/>
  <c r="O130" i="16"/>
  <c r="O76" i="16"/>
  <c r="P7" i="16"/>
  <c r="P39" i="16"/>
  <c r="O58" i="16"/>
  <c r="P124" i="16"/>
  <c r="O38" i="16"/>
  <c r="P146" i="16"/>
  <c r="J29" i="10"/>
  <c r="G23" i="10"/>
  <c r="G28" i="10"/>
  <c r="G32" i="10"/>
  <c r="G34" i="10"/>
  <c r="N4" i="10"/>
  <c r="N8" i="10"/>
  <c r="N12" i="10"/>
  <c r="N17" i="10"/>
  <c r="N21" i="10"/>
  <c r="N26" i="10"/>
  <c r="T19" i="10"/>
  <c r="T15" i="10"/>
  <c r="T11" i="10"/>
  <c r="T7" i="10"/>
  <c r="P103" i="16"/>
  <c r="P134" i="16"/>
  <c r="O53" i="16"/>
  <c r="P141" i="16"/>
  <c r="P88" i="16"/>
  <c r="P112" i="16"/>
  <c r="P131" i="16"/>
  <c r="P9" i="16"/>
  <c r="P48" i="16"/>
  <c r="P37" i="16"/>
  <c r="O126" i="16"/>
  <c r="O10" i="16"/>
  <c r="P115" i="16"/>
  <c r="O78" i="16"/>
  <c r="O70" i="16"/>
  <c r="O135" i="16"/>
  <c r="P138" i="16"/>
  <c r="P109" i="16"/>
  <c r="O49" i="16"/>
  <c r="W19" i="10"/>
  <c r="G24" i="10"/>
  <c r="G29" i="10"/>
  <c r="G33" i="10"/>
  <c r="W17" i="10"/>
  <c r="W15" i="10"/>
  <c r="W13" i="10"/>
  <c r="W11" i="10"/>
  <c r="W9" i="10"/>
  <c r="W7" i="10"/>
  <c r="W5" i="10"/>
  <c r="W3" i="10"/>
  <c r="N5" i="10"/>
  <c r="N9" i="10"/>
  <c r="N13" i="10"/>
  <c r="N18" i="10"/>
  <c r="N23" i="10"/>
  <c r="N27" i="10"/>
  <c r="T18" i="10"/>
  <c r="T14" i="10"/>
  <c r="T10" i="10"/>
  <c r="T6" i="10"/>
  <c r="P54" i="16"/>
  <c r="O28" i="16"/>
  <c r="O80" i="16"/>
  <c r="P91" i="16"/>
  <c r="O92" i="16"/>
  <c r="O86" i="16"/>
  <c r="O81" i="16"/>
  <c r="O61" i="16"/>
  <c r="P85" i="16"/>
  <c r="O4" i="16"/>
  <c r="P29" i="16"/>
  <c r="O51" i="16"/>
  <c r="P12" i="16"/>
  <c r="P26" i="16"/>
  <c r="O133" i="16"/>
  <c r="O14" i="16"/>
  <c r="P62" i="16"/>
  <c r="P32" i="16"/>
  <c r="P121" i="16"/>
  <c r="P15" i="16"/>
  <c r="G22" i="10"/>
  <c r="G27" i="10"/>
  <c r="G31" i="10"/>
  <c r="G35" i="10"/>
  <c r="W18" i="10"/>
  <c r="W16" i="10"/>
  <c r="W14" i="10"/>
  <c r="W12" i="10"/>
  <c r="W10" i="10"/>
  <c r="W8" i="10"/>
  <c r="W6" i="10"/>
  <c r="W4" i="10"/>
  <c r="N3" i="10"/>
  <c r="N7" i="10"/>
  <c r="N11" i="10"/>
  <c r="N16" i="10"/>
  <c r="N20" i="10"/>
  <c r="N25" i="10"/>
  <c r="N15" i="10"/>
  <c r="T16" i="10"/>
  <c r="T12" i="10"/>
  <c r="T8" i="10"/>
  <c r="T4" i="10"/>
  <c r="O116" i="16"/>
  <c r="O107" i="16"/>
  <c r="O113" i="16"/>
  <c r="P195" i="13"/>
  <c r="P103" i="13"/>
  <c r="O146" i="13"/>
  <c r="O266" i="13"/>
  <c r="P134" i="13"/>
  <c r="O209" i="13"/>
  <c r="O133" i="13"/>
  <c r="P254" i="13"/>
  <c r="O168" i="13"/>
  <c r="O67" i="13"/>
  <c r="P83" i="13"/>
  <c r="P127" i="13"/>
  <c r="O201" i="13"/>
  <c r="P62" i="13"/>
  <c r="O140" i="13"/>
  <c r="P11" i="13"/>
  <c r="O64" i="13"/>
  <c r="O143" i="13"/>
  <c r="O175" i="13"/>
  <c r="P153" i="13"/>
  <c r="O142" i="13"/>
  <c r="P56" i="13"/>
  <c r="P52" i="13"/>
  <c r="P113" i="13"/>
  <c r="P256" i="13"/>
  <c r="O265" i="13"/>
  <c r="O108" i="13"/>
  <c r="O81" i="13"/>
  <c r="P173" i="13"/>
  <c r="P276" i="13"/>
  <c r="O244" i="13"/>
  <c r="P193" i="13"/>
  <c r="O286" i="13"/>
  <c r="P61" i="13"/>
  <c r="P13" i="13"/>
  <c r="P23" i="13"/>
  <c r="O99" i="13"/>
  <c r="P30" i="13"/>
  <c r="P284" i="13"/>
  <c r="P47" i="13"/>
  <c r="P160" i="13"/>
  <c r="O156" i="13"/>
  <c r="P150" i="13"/>
  <c r="P249" i="13"/>
  <c r="O269" i="13"/>
  <c r="N153" i="13"/>
  <c r="N32" i="13"/>
  <c r="N248" i="13"/>
  <c r="O11" i="13"/>
  <c r="N84" i="13"/>
  <c r="P154" i="13"/>
  <c r="N108" i="13"/>
  <c r="N81" i="13"/>
  <c r="N155" i="13"/>
  <c r="O131" i="13"/>
  <c r="O24" i="13"/>
  <c r="O52" i="13"/>
  <c r="P161" i="13"/>
  <c r="O115" i="13"/>
  <c r="P158" i="13"/>
  <c r="P96" i="13"/>
  <c r="P274" i="13"/>
  <c r="P44" i="13"/>
  <c r="P58" i="13"/>
  <c r="P42" i="13"/>
  <c r="P215" i="13"/>
  <c r="P261" i="13"/>
  <c r="O22" i="13"/>
  <c r="P214" i="13"/>
  <c r="P164" i="13"/>
  <c r="O92" i="13"/>
  <c r="O70" i="13"/>
  <c r="O122" i="13"/>
  <c r="P43" i="13"/>
  <c r="P240" i="13"/>
  <c r="P99" i="13"/>
  <c r="P4" i="13"/>
  <c r="P81" i="13"/>
  <c r="O29" i="13"/>
  <c r="O203" i="13"/>
  <c r="P138" i="13"/>
  <c r="O239" i="13"/>
  <c r="P179" i="13"/>
  <c r="P280" i="13"/>
  <c r="P74" i="13"/>
  <c r="O285" i="13"/>
  <c r="O48" i="13"/>
  <c r="P92" i="13"/>
  <c r="P70" i="13"/>
  <c r="O20" i="13"/>
  <c r="O236" i="13"/>
  <c r="O32" i="13"/>
  <c r="P251" i="13"/>
  <c r="P281" i="13"/>
  <c r="P19" i="13"/>
  <c r="O31" i="13"/>
  <c r="O272" i="13"/>
  <c r="O205" i="13"/>
  <c r="O249" i="13"/>
  <c r="O76" i="13"/>
  <c r="O130" i="13"/>
  <c r="O180" i="13"/>
  <c r="O211" i="13"/>
  <c r="P104" i="13"/>
  <c r="O14" i="13"/>
  <c r="P190" i="13"/>
  <c r="O221" i="13"/>
  <c r="P27" i="13"/>
  <c r="P64" i="13"/>
  <c r="P143" i="13"/>
  <c r="P175" i="13"/>
  <c r="O153" i="13"/>
  <c r="P142" i="13"/>
  <c r="P20" i="13"/>
  <c r="O56" i="13"/>
  <c r="P223" i="13"/>
  <c r="O256" i="13"/>
  <c r="P265" i="13"/>
  <c r="O170" i="13"/>
  <c r="O173" i="13"/>
  <c r="O167" i="13"/>
  <c r="O38" i="13"/>
  <c r="O235" i="13"/>
  <c r="O107" i="13"/>
  <c r="O134" i="13"/>
  <c r="O25" i="13"/>
  <c r="P272" i="13"/>
  <c r="P219" i="13"/>
  <c r="O47" i="13"/>
  <c r="P29" i="13"/>
  <c r="P49" i="13"/>
  <c r="P208" i="13"/>
  <c r="N70" i="13"/>
  <c r="N142" i="13"/>
  <c r="N56" i="13"/>
  <c r="N223" i="13"/>
  <c r="O98" i="13"/>
  <c r="N94" i="13"/>
  <c r="P245" i="13"/>
  <c r="P237" i="13"/>
  <c r="N276" i="13"/>
  <c r="O273" i="13"/>
  <c r="O218" i="13"/>
  <c r="O280" i="13"/>
  <c r="N38" i="13"/>
  <c r="O230" i="13"/>
  <c r="P191" i="13"/>
  <c r="P69" i="13"/>
  <c r="O65" i="13"/>
  <c r="O83" i="13"/>
  <c r="O42" i="13"/>
  <c r="O214" i="13"/>
  <c r="O125" i="13"/>
  <c r="O154" i="13"/>
  <c r="O196" i="13"/>
  <c r="P222" i="13"/>
  <c r="O100" i="13"/>
  <c r="O204" i="13"/>
  <c r="O250" i="13"/>
  <c r="O245" i="13"/>
  <c r="O159" i="13"/>
  <c r="P269" i="13"/>
  <c r="P201" i="13"/>
  <c r="O161" i="13"/>
  <c r="P41" i="13"/>
  <c r="O97" i="13"/>
  <c r="P220" i="13"/>
  <c r="P85" i="13"/>
  <c r="P14" i="13"/>
  <c r="P277" i="13"/>
  <c r="O179" i="13"/>
  <c r="P63" i="13"/>
  <c r="O261" i="13"/>
  <c r="P101" i="13"/>
  <c r="P75" i="13"/>
  <c r="P141" i="13"/>
  <c r="O233" i="13"/>
  <c r="O232" i="13"/>
  <c r="O127" i="13"/>
  <c r="O96" i="13"/>
  <c r="O34" i="13"/>
  <c r="O231" i="13"/>
  <c r="O145" i="13"/>
  <c r="P228" i="13"/>
  <c r="P207" i="13"/>
  <c r="P163" i="13"/>
  <c r="O3" i="13"/>
  <c r="P93" i="13"/>
  <c r="N62" i="13"/>
  <c r="N146" i="13"/>
  <c r="O46" i="13"/>
  <c r="N46" i="13"/>
  <c r="P182" i="13"/>
  <c r="O228" i="13"/>
  <c r="O194" i="13"/>
  <c r="N164" i="13"/>
  <c r="P157" i="13"/>
  <c r="N88" i="13"/>
  <c r="N61" i="13"/>
  <c r="P285" i="13"/>
  <c r="N220" i="13"/>
  <c r="O254" i="13"/>
  <c r="P268" i="13"/>
  <c r="N25" i="13"/>
  <c r="P121" i="13"/>
  <c r="O89" i="13"/>
  <c r="P188" i="13"/>
  <c r="P263" i="13"/>
  <c r="N184" i="13"/>
  <c r="N191" i="13"/>
  <c r="O259" i="13"/>
  <c r="N168" i="13"/>
  <c r="N258" i="13"/>
  <c r="N192" i="13"/>
  <c r="O45" i="13"/>
  <c r="N243" i="13"/>
  <c r="N245" i="13"/>
  <c r="N198" i="13"/>
  <c r="P176" i="13"/>
  <c r="N185" i="13"/>
  <c r="N123" i="13"/>
  <c r="O28" i="13"/>
  <c r="O148" i="13"/>
  <c r="P36" i="13"/>
  <c r="O110" i="13"/>
  <c r="N212" i="13"/>
  <c r="N196" i="13"/>
  <c r="N238" i="13"/>
  <c r="N118" i="13"/>
  <c r="P194" i="13"/>
  <c r="N24" i="13"/>
  <c r="N169" i="13"/>
  <c r="N182" i="13"/>
  <c r="O283" i="13"/>
  <c r="N119" i="13"/>
  <c r="N90" i="13"/>
  <c r="P54" i="13"/>
  <c r="N116" i="13"/>
  <c r="N159" i="13"/>
  <c r="O267" i="13"/>
  <c r="P178" i="13"/>
  <c r="N231" i="13"/>
  <c r="N93" i="13"/>
  <c r="N40" i="13"/>
  <c r="N208" i="13"/>
  <c r="N204" i="13"/>
  <c r="N105" i="13"/>
  <c r="N254" i="13"/>
  <c r="N8" i="13"/>
  <c r="O224" i="13"/>
  <c r="O10" i="13"/>
  <c r="N266" i="13"/>
  <c r="N279" i="13"/>
  <c r="N259" i="13"/>
  <c r="N132" i="13"/>
  <c r="P31" i="13"/>
  <c r="N33" i="13"/>
  <c r="N58" i="13"/>
  <c r="N137" i="13"/>
  <c r="P236" i="13"/>
  <c r="P248" i="13"/>
  <c r="O113" i="13"/>
  <c r="O82" i="13"/>
  <c r="P94" i="13"/>
  <c r="P170" i="13"/>
  <c r="O171" i="13"/>
  <c r="P167" i="13"/>
  <c r="P38" i="13"/>
  <c r="P2" i="13"/>
  <c r="P107" i="13"/>
  <c r="O44" i="13"/>
  <c r="O23" i="13"/>
  <c r="P130" i="13"/>
  <c r="O284" i="13"/>
  <c r="P212" i="13"/>
  <c r="O116" i="13"/>
  <c r="O49" i="13"/>
  <c r="P21" i="13"/>
  <c r="N175" i="13"/>
  <c r="P106" i="13"/>
  <c r="O112" i="13"/>
  <c r="N113" i="13"/>
  <c r="N82" i="13"/>
  <c r="N170" i="13"/>
  <c r="O144" i="13"/>
  <c r="N171" i="13"/>
  <c r="O105" i="13"/>
  <c r="O17" i="13"/>
  <c r="N180" i="13"/>
  <c r="O118" i="13"/>
  <c r="P198" i="13"/>
  <c r="P145" i="13"/>
  <c r="O270" i="13"/>
  <c r="O207" i="13"/>
  <c r="O5" i="13"/>
  <c r="P79" i="13"/>
  <c r="O192" i="13"/>
  <c r="O62" i="13"/>
  <c r="O120" i="13"/>
  <c r="O226" i="13"/>
  <c r="P12" i="13"/>
  <c r="P186" i="13"/>
  <c r="P68" i="13"/>
  <c r="O77" i="13"/>
  <c r="P152" i="13"/>
  <c r="P112" i="13"/>
  <c r="P260" i="13"/>
  <c r="O169" i="13"/>
  <c r="P174" i="13"/>
  <c r="P146" i="13"/>
  <c r="P109" i="13"/>
  <c r="O19" i="13"/>
  <c r="O237" i="13"/>
  <c r="O7" i="13"/>
  <c r="O132" i="13"/>
  <c r="O264" i="13"/>
  <c r="P199" i="13"/>
  <c r="P140" i="13"/>
  <c r="O124" i="13"/>
  <c r="P111" i="13"/>
  <c r="P39" i="13"/>
  <c r="P200" i="13"/>
  <c r="P225" i="13"/>
  <c r="O119" i="13"/>
  <c r="P231" i="13"/>
  <c r="P205" i="13"/>
  <c r="O258" i="13"/>
  <c r="P26" i="13"/>
  <c r="O63" i="13"/>
  <c r="P118" i="13"/>
  <c r="O69" i="13"/>
  <c r="P89" i="13"/>
  <c r="P238" i="13"/>
  <c r="P216" i="13"/>
  <c r="P252" i="13"/>
  <c r="P162" i="13"/>
  <c r="P234" i="13"/>
  <c r="P110" i="13"/>
  <c r="O50" i="13"/>
  <c r="O210" i="13"/>
  <c r="N203" i="13"/>
  <c r="P264" i="13"/>
  <c r="N107" i="13"/>
  <c r="N102" i="13"/>
  <c r="N144" i="13"/>
  <c r="N11" i="13"/>
  <c r="N139" i="13"/>
  <c r="N44" i="13"/>
  <c r="N13" i="13"/>
  <c r="N91" i="13"/>
  <c r="P126" i="13"/>
  <c r="P135" i="13"/>
  <c r="O26" i="13"/>
  <c r="N239" i="13"/>
  <c r="O217" i="13"/>
  <c r="N22" i="13"/>
  <c r="N34" i="13"/>
  <c r="N145" i="13"/>
  <c r="O79" i="13"/>
  <c r="N27" i="13"/>
  <c r="N272" i="13"/>
  <c r="N130" i="13"/>
  <c r="N30" i="13"/>
  <c r="N233" i="13"/>
  <c r="N285" i="13"/>
  <c r="N79" i="13"/>
  <c r="O121" i="13"/>
  <c r="O57" i="13"/>
  <c r="P271" i="13"/>
  <c r="N262" i="13"/>
  <c r="N47" i="13"/>
  <c r="O129" i="13"/>
  <c r="O229" i="13"/>
  <c r="N160" i="13"/>
  <c r="N29" i="13"/>
  <c r="O85" i="13"/>
  <c r="N240" i="13"/>
  <c r="O66" i="13"/>
  <c r="O260" i="13"/>
  <c r="O253" i="13"/>
  <c r="N133" i="13"/>
  <c r="N37" i="13"/>
  <c r="O279" i="13"/>
  <c r="N147" i="13"/>
  <c r="N49" i="13"/>
  <c r="O4" i="13"/>
  <c r="P32" i="13"/>
  <c r="O248" i="13"/>
  <c r="O84" i="13"/>
  <c r="P82" i="13"/>
  <c r="O94" i="13"/>
  <c r="O155" i="13"/>
  <c r="P171" i="13"/>
  <c r="P180" i="13"/>
  <c r="O193" i="13"/>
  <c r="P203" i="13"/>
  <c r="O61" i="13"/>
  <c r="O13" i="13"/>
  <c r="P22" i="13"/>
  <c r="O30" i="13"/>
  <c r="P123" i="13"/>
  <c r="O212" i="13"/>
  <c r="P116" i="13"/>
  <c r="O150" i="13"/>
  <c r="O21" i="13"/>
  <c r="N20" i="13"/>
  <c r="N215" i="13"/>
  <c r="N52" i="13"/>
  <c r="N64" i="13"/>
  <c r="N115" i="13"/>
  <c r="O86" i="13"/>
  <c r="P90" i="13"/>
  <c r="O225" i="13"/>
  <c r="N92" i="13"/>
  <c r="N167" i="13"/>
  <c r="O274" i="13"/>
  <c r="N244" i="13"/>
  <c r="P53" i="13"/>
  <c r="O238" i="13"/>
  <c r="O213" i="13"/>
  <c r="N193" i="13"/>
  <c r="O109" i="13"/>
  <c r="O40" i="13"/>
  <c r="P243" i="13"/>
  <c r="P211" i="13"/>
  <c r="O103" i="13"/>
  <c r="O255" i="13"/>
  <c r="O197" i="13"/>
  <c r="O6" i="13"/>
  <c r="O187" i="13"/>
  <c r="P133" i="13"/>
  <c r="O181" i="13"/>
  <c r="O246" i="13"/>
  <c r="O257" i="13"/>
  <c r="O104" i="13"/>
  <c r="P35" i="13"/>
  <c r="P139" i="13"/>
  <c r="P102" i="13"/>
  <c r="P76" i="13"/>
  <c r="P60" i="13"/>
  <c r="P239" i="13"/>
  <c r="O9" i="13"/>
  <c r="O240" i="13"/>
  <c r="O206" i="13"/>
  <c r="P131" i="13"/>
  <c r="P266" i="13"/>
  <c r="P136" i="13"/>
  <c r="P37" i="13"/>
  <c r="O95" i="13"/>
  <c r="O72" i="13"/>
  <c r="P73" i="13"/>
  <c r="O183" i="13"/>
  <c r="P78" i="13"/>
  <c r="P98" i="13"/>
  <c r="P247" i="13"/>
  <c r="P181" i="13"/>
  <c r="O177" i="13"/>
  <c r="P184" i="13"/>
  <c r="O78" i="13"/>
  <c r="O188" i="13"/>
  <c r="P197" i="13"/>
  <c r="N48" i="13"/>
  <c r="N163" i="13"/>
  <c r="O138" i="13"/>
  <c r="N235" i="13"/>
  <c r="N2" i="13"/>
  <c r="N19" i="13"/>
  <c r="N104" i="13"/>
  <c r="N50" i="13"/>
  <c r="O88" i="13"/>
  <c r="N60" i="13"/>
  <c r="P253" i="13"/>
  <c r="N86" i="13"/>
  <c r="N39" i="13"/>
  <c r="P232" i="13"/>
  <c r="N186" i="13"/>
  <c r="N141" i="13"/>
  <c r="O184" i="13"/>
  <c r="P3" i="13"/>
  <c r="O93" i="13"/>
  <c r="N207" i="13"/>
  <c r="P206" i="13"/>
  <c r="P183" i="13"/>
  <c r="N18" i="13"/>
  <c r="N257" i="13"/>
  <c r="O106" i="13"/>
  <c r="N99" i="13"/>
  <c r="P227" i="13"/>
  <c r="N42" i="13"/>
  <c r="N100" i="13"/>
  <c r="N219" i="13"/>
  <c r="N284" i="13"/>
  <c r="N114" i="13"/>
  <c r="O126" i="13"/>
  <c r="P279" i="13"/>
  <c r="N96" i="13"/>
  <c r="N7" i="13"/>
  <c r="P267" i="13"/>
  <c r="P172" i="13"/>
  <c r="N136" i="13"/>
  <c r="O215" i="13"/>
  <c r="O223" i="13"/>
  <c r="P84" i="13"/>
  <c r="P115" i="13"/>
  <c r="P108" i="13"/>
  <c r="P155" i="13"/>
  <c r="O276" i="13"/>
  <c r="P244" i="13"/>
  <c r="P235" i="13"/>
  <c r="P286" i="13"/>
  <c r="O190" i="13"/>
  <c r="P25" i="13"/>
  <c r="P168" i="13"/>
  <c r="O219" i="13"/>
  <c r="O123" i="13"/>
  <c r="O160" i="13"/>
  <c r="P156" i="13"/>
  <c r="O208" i="13"/>
  <c r="P209" i="13"/>
  <c r="N236" i="13"/>
  <c r="O199" i="13"/>
  <c r="P185" i="13"/>
  <c r="N256" i="13"/>
  <c r="N265" i="13"/>
  <c r="O27" i="13"/>
  <c r="N173" i="13"/>
  <c r="O58" i="13"/>
  <c r="O220" i="13"/>
  <c r="P17" i="13"/>
  <c r="N143" i="13"/>
  <c r="O195" i="13"/>
  <c r="O15" i="13"/>
  <c r="P125" i="13"/>
  <c r="O200" i="13"/>
  <c r="O164" i="13"/>
  <c r="P202" i="13"/>
  <c r="O281" i="13"/>
  <c r="O227" i="13"/>
  <c r="O91" i="13"/>
  <c r="O16" i="13"/>
  <c r="P77" i="13"/>
  <c r="P144" i="13"/>
  <c r="P246" i="13"/>
  <c r="P258" i="13"/>
  <c r="P65" i="13"/>
  <c r="O198" i="13"/>
  <c r="P117" i="13"/>
  <c r="P250" i="13"/>
  <c r="O234" i="13"/>
  <c r="O271" i="13"/>
  <c r="P259" i="13"/>
  <c r="O137" i="13"/>
  <c r="P66" i="13"/>
  <c r="P229" i="13"/>
  <c r="O176" i="13"/>
  <c r="P270" i="13"/>
  <c r="P189" i="13"/>
  <c r="O149" i="13"/>
  <c r="P18" i="13"/>
  <c r="P6" i="13"/>
  <c r="P16" i="13"/>
  <c r="P147" i="13"/>
  <c r="P255" i="13"/>
  <c r="P71" i="13"/>
  <c r="P24" i="13"/>
  <c r="O278" i="13"/>
  <c r="O268" i="13"/>
  <c r="O136" i="13"/>
  <c r="O141" i="13"/>
  <c r="P48" i="13"/>
  <c r="P46" i="13"/>
  <c r="P7" i="13"/>
  <c r="O135" i="13"/>
  <c r="P192" i="13"/>
  <c r="O263" i="13"/>
  <c r="O74" i="13"/>
  <c r="P122" i="13"/>
  <c r="N127" i="13"/>
  <c r="P275" i="13"/>
  <c r="P114" i="13"/>
  <c r="N72" i="13"/>
  <c r="N174" i="13"/>
  <c r="N286" i="13"/>
  <c r="O162" i="13"/>
  <c r="N247" i="13"/>
  <c r="N190" i="13"/>
  <c r="N264" i="13"/>
  <c r="N134" i="13"/>
  <c r="N199" i="13"/>
  <c r="O152" i="13"/>
  <c r="O242" i="13"/>
  <c r="P28" i="13"/>
  <c r="P166" i="13"/>
  <c r="O216" i="13"/>
  <c r="N69" i="13"/>
  <c r="N23" i="13"/>
  <c r="O18" i="13"/>
  <c r="N202" i="13"/>
  <c r="P8" i="13"/>
  <c r="N226" i="13"/>
  <c r="N250" i="13"/>
  <c r="N45" i="13"/>
  <c r="N187" i="13"/>
  <c r="N280" i="13"/>
  <c r="N273" i="13"/>
  <c r="N109" i="13"/>
  <c r="N117" i="13"/>
  <c r="O262" i="13"/>
  <c r="O166" i="13"/>
  <c r="N121" i="13"/>
  <c r="N57" i="13"/>
  <c r="N78" i="13"/>
  <c r="O71" i="13"/>
  <c r="N5" i="13"/>
  <c r="O36" i="13"/>
  <c r="N97" i="13"/>
  <c r="N229" i="13"/>
  <c r="N17" i="13"/>
  <c r="O189" i="13"/>
  <c r="N89" i="13"/>
  <c r="N150" i="13"/>
  <c r="N103" i="13"/>
  <c r="N74" i="13"/>
  <c r="N201" i="13"/>
  <c r="N255" i="13"/>
  <c r="N35" i="13"/>
  <c r="N253" i="13"/>
  <c r="N177" i="13"/>
  <c r="N126" i="13"/>
  <c r="O241" i="13"/>
  <c r="N188" i="13"/>
  <c r="N16" i="13"/>
  <c r="N31" i="13"/>
  <c r="P242" i="13"/>
  <c r="N111" i="13"/>
  <c r="N98" i="13"/>
  <c r="N129" i="13"/>
  <c r="N106" i="13"/>
  <c r="O151" i="13"/>
  <c r="O277" i="13"/>
  <c r="P283" i="13"/>
  <c r="P221" i="13"/>
  <c r="N166" i="13"/>
  <c r="P67" i="13"/>
  <c r="N252" i="13"/>
  <c r="N195" i="13"/>
  <c r="O75" i="13"/>
  <c r="N75" i="13"/>
  <c r="N269" i="13"/>
  <c r="N151" i="13"/>
  <c r="O43" i="13"/>
  <c r="N183" i="13"/>
  <c r="N251" i="13"/>
  <c r="N154" i="13"/>
  <c r="N205" i="13"/>
  <c r="N67" i="13"/>
  <c r="N271" i="13"/>
  <c r="N268" i="13"/>
  <c r="O59" i="13"/>
  <c r="P165" i="13"/>
  <c r="O33" i="13"/>
  <c r="P224" i="13"/>
  <c r="P204" i="13"/>
  <c r="P159" i="13"/>
  <c r="O90" i="13"/>
  <c r="P169" i="13"/>
  <c r="P57" i="13"/>
  <c r="O185" i="13"/>
  <c r="P187" i="13"/>
  <c r="P257" i="13"/>
  <c r="P91" i="13"/>
  <c r="P86" i="13"/>
  <c r="P88" i="13"/>
  <c r="O163" i="13"/>
  <c r="O117" i="13"/>
  <c r="P34" i="13"/>
  <c r="O174" i="13"/>
  <c r="N122" i="13"/>
  <c r="O12" i="13"/>
  <c r="N274" i="13"/>
  <c r="O101" i="13"/>
  <c r="N9" i="13"/>
  <c r="N156" i="13"/>
  <c r="N261" i="13"/>
  <c r="P129" i="13"/>
  <c r="O8" i="13"/>
  <c r="N216" i="13"/>
  <c r="N157" i="13"/>
  <c r="O275" i="13"/>
  <c r="N228" i="13"/>
  <c r="N12" i="13"/>
  <c r="O54" i="13"/>
  <c r="N200" i="13"/>
  <c r="P51" i="13"/>
  <c r="P80" i="13"/>
  <c r="N26" i="13"/>
  <c r="N4" i="13"/>
  <c r="N95" i="13"/>
  <c r="N275" i="13"/>
  <c r="N176" i="13"/>
  <c r="N241" i="13"/>
  <c r="N85" i="13"/>
  <c r="O55" i="13"/>
  <c r="N83" i="13"/>
  <c r="N76" i="13"/>
  <c r="N158" i="13"/>
  <c r="O251" i="13"/>
  <c r="N51" i="13"/>
  <c r="O282" i="13"/>
  <c r="P218" i="13"/>
  <c r="P59" i="13"/>
  <c r="N218" i="13"/>
  <c r="N36" i="13"/>
  <c r="N54" i="13"/>
  <c r="O222" i="13"/>
  <c r="N221" i="13"/>
  <c r="P210" i="13"/>
  <c r="N73" i="13"/>
  <c r="N246" i="13"/>
  <c r="N282" i="13"/>
  <c r="N217" i="13"/>
  <c r="N152" i="13"/>
  <c r="O41" i="13"/>
  <c r="P241" i="13"/>
  <c r="P230" i="13"/>
  <c r="O68" i="13"/>
  <c r="O157" i="13"/>
  <c r="O147" i="13"/>
  <c r="P119" i="13"/>
  <c r="P97" i="13"/>
  <c r="P262" i="13"/>
  <c r="P273" i="13"/>
  <c r="O243" i="13"/>
  <c r="O202" i="13"/>
  <c r="O186" i="13"/>
  <c r="O247" i="13"/>
  <c r="P50" i="13"/>
  <c r="P132" i="13"/>
  <c r="O53" i="13"/>
  <c r="O172" i="13"/>
  <c r="P233" i="13"/>
  <c r="O39" i="13"/>
  <c r="O102" i="13"/>
  <c r="O252" i="13"/>
  <c r="P120" i="13"/>
  <c r="N181" i="13"/>
  <c r="N172" i="13"/>
  <c r="P10" i="13"/>
  <c r="N161" i="13"/>
  <c r="O80" i="13"/>
  <c r="N267" i="13"/>
  <c r="N77" i="13"/>
  <c r="N53" i="13"/>
  <c r="N225" i="13"/>
  <c r="P217" i="13"/>
  <c r="P177" i="13"/>
  <c r="N224" i="13"/>
  <c r="P33" i="13"/>
  <c r="N124" i="13"/>
  <c r="O165" i="13"/>
  <c r="O178" i="13"/>
  <c r="N230" i="13"/>
  <c r="N148" i="13"/>
  <c r="N87" i="13"/>
  <c r="N214" i="13"/>
  <c r="N232" i="13"/>
  <c r="N194" i="13"/>
  <c r="N165" i="13"/>
  <c r="N10" i="13"/>
  <c r="N14" i="13"/>
  <c r="O128" i="13"/>
  <c r="N206" i="13"/>
  <c r="N211" i="13"/>
  <c r="N6" i="13"/>
  <c r="N65" i="13"/>
  <c r="N63" i="13"/>
  <c r="N112" i="13"/>
  <c r="N209" i="13"/>
  <c r="P151" i="13"/>
  <c r="N28" i="13"/>
  <c r="N179" i="13"/>
  <c r="N125" i="13"/>
  <c r="N71" i="13"/>
  <c r="N210" i="13"/>
  <c r="P149" i="13"/>
  <c r="N138" i="13"/>
  <c r="N283" i="13"/>
  <c r="N120" i="13"/>
  <c r="P15" i="13"/>
  <c r="O87" i="13"/>
  <c r="O35" i="13"/>
  <c r="P9" i="13"/>
  <c r="P5" i="13"/>
  <c r="P45" i="13"/>
  <c r="O60" i="13"/>
  <c r="P72" i="13"/>
  <c r="O111" i="13"/>
  <c r="N237" i="13"/>
  <c r="N66" i="13"/>
  <c r="N110" i="13"/>
  <c r="P148" i="13"/>
  <c r="O51" i="13"/>
  <c r="P278" i="13"/>
  <c r="N234" i="13"/>
  <c r="P128" i="13"/>
  <c r="P282" i="13"/>
  <c r="N281" i="13"/>
  <c r="N249" i="13"/>
  <c r="N68" i="13"/>
  <c r="N101" i="13"/>
  <c r="P87" i="13"/>
  <c r="N270" i="13"/>
  <c r="N21" i="13"/>
  <c r="N80" i="13"/>
  <c r="N131" i="13"/>
  <c r="P95" i="13"/>
  <c r="N260" i="13"/>
  <c r="N189" i="13"/>
  <c r="N263" i="13"/>
  <c r="N278" i="13"/>
  <c r="N242" i="13"/>
  <c r="N55" i="13"/>
  <c r="N140" i="13"/>
  <c r="O158" i="13"/>
  <c r="N3" i="13"/>
  <c r="O73" i="13"/>
  <c r="N277" i="13"/>
  <c r="N15" i="13"/>
  <c r="N197" i="13"/>
  <c r="N41" i="13"/>
  <c r="N59" i="13"/>
  <c r="P213" i="13"/>
  <c r="N213" i="13"/>
  <c r="N135" i="13"/>
  <c r="N222" i="13"/>
  <c r="N43" i="13"/>
  <c r="N162" i="13"/>
  <c r="N128" i="13"/>
  <c r="N227" i="13"/>
  <c r="N178" i="13"/>
  <c r="N149" i="13"/>
  <c r="P55" i="13"/>
  <c r="P137" i="13"/>
  <c r="P124" i="13"/>
  <c r="P105" i="13"/>
  <c r="P40" i="13"/>
  <c r="O37" i="13"/>
  <c r="O182" i="13"/>
  <c r="P196" i="13"/>
  <c r="O114" i="13"/>
  <c r="P100" i="13"/>
  <c r="P226" i="13"/>
  <c r="O191" i="13"/>
  <c r="O139" i="13"/>
  <c r="T5" i="10"/>
  <c r="T9" i="10"/>
  <c r="T13" i="10"/>
  <c r="T17" i="10"/>
  <c r="N22" i="10"/>
  <c r="N24" i="10"/>
  <c r="N19" i="10"/>
  <c r="N14" i="10"/>
  <c r="N10" i="10"/>
  <c r="N6" i="10"/>
  <c r="T3" i="10"/>
  <c r="G30" i="10"/>
  <c r="G25" i="10"/>
  <c r="G21" i="10"/>
  <c r="O2" i="13"/>
  <c r="V34" i="10"/>
  <c r="W34" i="10"/>
  <c r="T34" i="10"/>
  <c r="X34" i="10"/>
  <c r="U34" i="10"/>
  <c r="U23" i="10"/>
  <c r="T23" i="10"/>
  <c r="V23" i="10"/>
  <c r="X23" i="10"/>
  <c r="W23" i="10"/>
  <c r="U27" i="10"/>
  <c r="V27" i="10"/>
  <c r="X27" i="10"/>
  <c r="W27" i="10"/>
  <c r="T27" i="10"/>
  <c r="U31" i="10"/>
  <c r="V31" i="10"/>
  <c r="T31" i="10"/>
  <c r="W31" i="10"/>
  <c r="X31" i="10"/>
  <c r="U35" i="10"/>
  <c r="V35" i="10"/>
  <c r="T35" i="10"/>
  <c r="X35" i="10"/>
  <c r="W35" i="10"/>
  <c r="V26" i="10"/>
  <c r="W26" i="10"/>
  <c r="U26" i="10"/>
  <c r="T26" i="10"/>
  <c r="X26" i="10"/>
  <c r="V38" i="10"/>
  <c r="W38" i="10"/>
  <c r="T38" i="10"/>
  <c r="X38" i="10"/>
  <c r="U38" i="10"/>
  <c r="T24" i="10"/>
  <c r="X24" i="10"/>
  <c r="U24" i="10"/>
  <c r="V24" i="10"/>
  <c r="W24" i="10"/>
  <c r="T28" i="10"/>
  <c r="X28" i="10"/>
  <c r="U28" i="10"/>
  <c r="V28" i="10"/>
  <c r="W28" i="10"/>
  <c r="T32" i="10"/>
  <c r="X32" i="10"/>
  <c r="U32" i="10"/>
  <c r="W32" i="10"/>
  <c r="V32" i="10"/>
  <c r="T36" i="10"/>
  <c r="X36" i="10"/>
  <c r="U36" i="10"/>
  <c r="V36" i="10"/>
  <c r="W36" i="10"/>
  <c r="V30" i="10"/>
  <c r="W30" i="10"/>
  <c r="T30" i="10"/>
  <c r="X30" i="10"/>
  <c r="U30" i="10"/>
  <c r="W25" i="10"/>
  <c r="T25" i="10"/>
  <c r="X25" i="10"/>
  <c r="V25" i="10"/>
  <c r="U25" i="10"/>
  <c r="W29" i="10"/>
  <c r="T29" i="10"/>
  <c r="X29" i="10"/>
  <c r="V29" i="10"/>
  <c r="U29" i="10"/>
  <c r="W33" i="10"/>
  <c r="T33" i="10"/>
  <c r="X33" i="10"/>
  <c r="U33" i="10"/>
  <c r="V33" i="10"/>
  <c r="W37" i="10"/>
  <c r="T37" i="10"/>
  <c r="X37" i="10"/>
  <c r="V37" i="10"/>
  <c r="U37" i="10"/>
  <c r="U39" i="10"/>
  <c r="V39" i="10"/>
  <c r="T39" i="10"/>
  <c r="W39" i="10"/>
  <c r="X39" i="10"/>
  <c r="S24" i="10" l="1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Q163" i="13"/>
  <c r="Q174" i="13"/>
  <c r="Q102" i="13"/>
  <c r="Q60" i="13"/>
  <c r="Q247" i="13"/>
  <c r="Q139" i="13"/>
  <c r="Q39" i="13"/>
  <c r="Q186" i="13"/>
  <c r="Q191" i="13"/>
  <c r="Q202" i="13"/>
  <c r="Q243" i="13"/>
  <c r="Q185" i="13"/>
  <c r="Q114" i="13"/>
  <c r="Q117" i="13"/>
  <c r="Q182" i="13"/>
  <c r="Q172" i="13"/>
  <c r="Q90" i="13"/>
  <c r="Q37" i="13"/>
  <c r="Q147" i="13"/>
  <c r="Q53" i="13"/>
  <c r="Q157" i="13"/>
  <c r="Q35" i="13"/>
  <c r="Q68" i="13"/>
  <c r="Q33" i="13"/>
  <c r="Q87" i="13"/>
  <c r="Q41" i="13"/>
  <c r="Q59" i="13"/>
  <c r="Q222" i="13"/>
  <c r="Q43" i="13"/>
  <c r="Q75" i="13"/>
  <c r="Q282" i="13"/>
  <c r="Q73" i="13"/>
  <c r="Q251" i="13"/>
  <c r="Q158" i="13"/>
  <c r="Q128" i="13"/>
  <c r="Q277" i="13"/>
  <c r="Q55" i="13"/>
  <c r="Q151" i="13"/>
  <c r="Q178" i="13"/>
  <c r="Q165" i="13"/>
  <c r="Q241" i="13"/>
  <c r="Q54" i="13"/>
  <c r="Q10" i="13"/>
  <c r="Q224" i="13"/>
  <c r="Q275" i="13"/>
  <c r="Q8" i="13"/>
  <c r="Q80" i="13"/>
  <c r="Q4" i="13"/>
  <c r="Q267" i="13"/>
  <c r="Q51" i="13"/>
  <c r="Q189" i="13"/>
  <c r="Q279" i="13"/>
  <c r="Q101" i="13"/>
  <c r="Q253" i="13"/>
  <c r="Q283" i="13"/>
  <c r="Q260" i="13"/>
  <c r="Q66" i="13"/>
  <c r="Q12" i="13"/>
  <c r="Q85" i="13"/>
  <c r="Q36" i="13"/>
  <c r="Q111" i="13"/>
  <c r="Q252" i="13"/>
  <c r="Q229" i="13"/>
  <c r="Q71" i="13"/>
  <c r="Q129" i="13"/>
  <c r="Q110" i="13"/>
  <c r="Q148" i="13"/>
  <c r="Q166" i="13"/>
  <c r="Q57" i="13"/>
  <c r="Q28" i="13"/>
  <c r="Q262" i="13"/>
  <c r="Q126" i="13"/>
  <c r="Q121" i="13"/>
  <c r="Q45" i="13"/>
  <c r="Q106" i="13"/>
  <c r="Q79" i="13"/>
  <c r="Q259" i="13"/>
  <c r="Q18" i="13"/>
  <c r="Q217" i="13"/>
  <c r="Q216" i="13"/>
  <c r="Q93" i="13"/>
  <c r="Q26" i="13"/>
  <c r="Q89" i="13"/>
  <c r="Q184" i="13"/>
  <c r="Q242" i="13"/>
  <c r="Q152" i="13"/>
  <c r="Q254" i="13"/>
  <c r="Q162" i="13"/>
  <c r="Q88" i="13"/>
  <c r="Q194" i="13"/>
  <c r="Q210" i="13"/>
  <c r="Q228" i="13"/>
  <c r="Q50" i="13"/>
  <c r="Q138" i="13"/>
  <c r="Q46" i="13"/>
  <c r="Q74" i="13"/>
  <c r="Q263" i="13"/>
  <c r="Q188" i="13"/>
  <c r="Q3" i="13"/>
  <c r="Q135" i="13"/>
  <c r="Q78" i="13"/>
  <c r="Q69" i="13"/>
  <c r="Q177" i="13"/>
  <c r="Q63" i="13"/>
  <c r="Q145" i="13"/>
  <c r="Q141" i="13"/>
  <c r="Q231" i="13"/>
  <c r="Q136" i="13"/>
  <c r="Q258" i="13"/>
  <c r="Q34" i="13"/>
  <c r="Q268" i="13"/>
  <c r="Q96" i="13"/>
  <c r="Q278" i="13"/>
  <c r="Q183" i="13"/>
  <c r="Q127" i="13"/>
  <c r="Q119" i="13"/>
  <c r="Q232" i="13"/>
  <c r="Q72" i="13"/>
  <c r="Q233" i="13"/>
  <c r="Q95" i="13"/>
  <c r="Q124" i="13"/>
  <c r="Q261" i="13"/>
  <c r="Q149" i="13"/>
  <c r="Q206" i="13"/>
  <c r="Q179" i="13"/>
  <c r="Q240" i="13"/>
  <c r="Q264" i="13"/>
  <c r="Q9" i="13"/>
  <c r="Q132" i="13"/>
  <c r="Q176" i="13"/>
  <c r="Q7" i="13"/>
  <c r="Q237" i="13"/>
  <c r="Q19" i="13"/>
  <c r="Q97" i="13"/>
  <c r="Q137" i="13"/>
  <c r="Q161" i="13"/>
  <c r="Q271" i="13"/>
  <c r="Q234" i="13"/>
  <c r="Q104" i="13"/>
  <c r="Q169" i="13"/>
  <c r="Q257" i="13"/>
  <c r="Q159" i="13"/>
  <c r="Q246" i="13"/>
  <c r="Q245" i="13"/>
  <c r="Q198" i="13"/>
  <c r="Q181" i="13"/>
  <c r="Q250" i="13"/>
  <c r="Q77" i="13"/>
  <c r="Q204" i="13"/>
  <c r="Q187" i="13"/>
  <c r="Q100" i="13"/>
  <c r="Q6" i="13"/>
  <c r="Q197" i="13"/>
  <c r="Q196" i="13"/>
  <c r="Q255" i="13"/>
  <c r="Q226" i="13"/>
  <c r="Q154" i="13"/>
  <c r="Q16" i="13"/>
  <c r="Q103" i="13"/>
  <c r="Q120" i="13"/>
  <c r="Q125" i="13"/>
  <c r="Q91" i="13"/>
  <c r="Q62" i="13"/>
  <c r="Q214" i="13"/>
  <c r="Q227" i="13"/>
  <c r="Q192" i="13"/>
  <c r="Q42" i="13"/>
  <c r="Q281" i="13"/>
  <c r="Q40" i="13"/>
  <c r="Q83" i="13"/>
  <c r="Q109" i="13"/>
  <c r="Q5" i="13"/>
  <c r="Q65" i="13"/>
  <c r="Q164" i="13"/>
  <c r="Q207" i="13"/>
  <c r="Q200" i="13"/>
  <c r="Q213" i="13"/>
  <c r="Q270" i="13"/>
  <c r="Q238" i="13"/>
  <c r="Q230" i="13"/>
  <c r="Q15" i="13"/>
  <c r="Q195" i="13"/>
  <c r="Q118" i="13"/>
  <c r="Q280" i="13"/>
  <c r="Q274" i="13"/>
  <c r="Q218" i="13"/>
  <c r="Q17" i="13"/>
  <c r="Q273" i="13"/>
  <c r="Q220" i="13"/>
  <c r="Q105" i="13"/>
  <c r="Q58" i="13"/>
  <c r="Q225" i="13"/>
  <c r="Q144" i="13"/>
  <c r="Q27" i="13"/>
  <c r="Q86" i="13"/>
  <c r="Q98" i="13"/>
  <c r="Q11" i="13"/>
  <c r="Q112" i="13"/>
  <c r="Q199" i="13"/>
  <c r="Q269" i="13"/>
  <c r="Q21" i="13"/>
  <c r="Q208" i="13"/>
  <c r="Q150" i="13"/>
  <c r="Q49" i="13"/>
  <c r="Q156" i="13"/>
  <c r="Q116" i="13"/>
  <c r="Q160" i="13"/>
  <c r="Q212" i="13"/>
  <c r="Q47" i="13"/>
  <c r="Q123" i="13"/>
  <c r="Q284" i="13"/>
  <c r="Q219" i="13"/>
  <c r="Q30" i="13"/>
  <c r="Q99" i="13"/>
  <c r="Q23" i="13"/>
  <c r="Q25" i="13"/>
  <c r="Q13" i="13"/>
  <c r="Q44" i="13"/>
  <c r="Q134" i="13"/>
  <c r="Q190" i="13"/>
  <c r="Q61" i="13"/>
  <c r="Q107" i="13"/>
  <c r="Q286" i="13"/>
  <c r="Q2" i="13"/>
  <c r="Q235" i="13"/>
  <c r="Q193" i="13"/>
  <c r="Q38" i="13"/>
  <c r="Q244" i="13"/>
  <c r="Q167" i="13"/>
  <c r="Q276" i="13"/>
  <c r="Q171" i="13"/>
  <c r="Q173" i="13"/>
  <c r="Q155" i="13"/>
  <c r="Q81" i="13"/>
  <c r="Q170" i="13"/>
  <c r="Q108" i="13"/>
  <c r="Q94" i="13"/>
  <c r="Q265" i="13"/>
  <c r="Q82" i="13"/>
  <c r="Q256" i="13"/>
  <c r="Q84" i="13"/>
  <c r="Q113" i="13"/>
  <c r="Q223" i="13"/>
  <c r="Q248" i="13"/>
  <c r="Q56" i="13"/>
  <c r="Q215" i="13"/>
  <c r="Q32" i="13"/>
  <c r="Q142" i="13"/>
  <c r="Q236" i="13"/>
  <c r="Q153" i="13"/>
  <c r="Q20" i="13"/>
  <c r="Q175" i="13"/>
  <c r="Q70" i="13"/>
  <c r="Q143" i="13"/>
  <c r="Q92" i="13"/>
  <c r="Q64" i="13"/>
  <c r="Q48" i="13"/>
  <c r="Q285" i="13"/>
  <c r="Q140" i="13"/>
  <c r="Q221" i="13"/>
  <c r="Q22" i="13"/>
  <c r="Q201" i="13"/>
  <c r="Q14" i="13"/>
  <c r="Q239" i="13"/>
  <c r="Q211" i="13"/>
  <c r="Q67" i="13"/>
  <c r="Q180" i="13"/>
  <c r="Q203" i="13"/>
  <c r="Q168" i="13"/>
  <c r="Q130" i="13"/>
  <c r="Q29" i="13"/>
  <c r="Q76" i="13"/>
  <c r="Q133" i="13"/>
  <c r="Q249" i="13"/>
  <c r="Q209" i="13"/>
  <c r="Q205" i="13"/>
  <c r="Q115" i="13"/>
  <c r="Q272" i="13"/>
  <c r="Q266" i="13"/>
  <c r="Q31" i="13"/>
  <c r="Q52" i="13"/>
  <c r="Q146" i="13"/>
  <c r="Q122" i="13"/>
  <c r="Q24" i="13"/>
  <c r="S23" i="10"/>
  <c r="Q131" i="13"/>
  <c r="G26" i="10"/>
  <c r="B39" i="10" s="1"/>
  <c r="L280" i="13"/>
  <c r="L99" i="13"/>
  <c r="L184" i="13"/>
  <c r="L36" i="13"/>
  <c r="L77" i="13"/>
  <c r="L158" i="13"/>
  <c r="L201" i="13"/>
  <c r="L206" i="13"/>
  <c r="L279" i="13"/>
  <c r="L236" i="13"/>
  <c r="L57" i="13"/>
  <c r="L255" i="13"/>
  <c r="L19" i="13"/>
  <c r="L62" i="13"/>
  <c r="L9" i="13"/>
  <c r="L166" i="13"/>
  <c r="L6" i="13"/>
  <c r="L196" i="13"/>
  <c r="L222" i="13"/>
  <c r="L126" i="13"/>
  <c r="L225" i="13"/>
  <c r="L170" i="13"/>
  <c r="L32" i="13"/>
  <c r="L150" i="13"/>
  <c r="L246" i="13"/>
  <c r="L268" i="13"/>
  <c r="L152" i="13"/>
  <c r="L82" i="13"/>
  <c r="L18" i="13"/>
  <c r="L143" i="13"/>
  <c r="L286" i="13"/>
  <c r="L95" i="13"/>
  <c r="L190" i="13"/>
  <c r="L260" i="13"/>
  <c r="L117" i="13"/>
  <c r="L194" i="13"/>
  <c r="L53" i="13"/>
  <c r="L174" i="13"/>
  <c r="L220" i="13"/>
  <c r="L172" i="13"/>
  <c r="L134" i="13"/>
  <c r="L64" i="13"/>
  <c r="L153" i="13"/>
  <c r="L41" i="13"/>
  <c r="L110" i="13"/>
  <c r="L182" i="13"/>
  <c r="L67" i="13"/>
  <c r="L209" i="13"/>
  <c r="L69" i="13"/>
  <c r="L215" i="13"/>
  <c r="L282" i="13"/>
  <c r="L284" i="13"/>
  <c r="L259" i="13"/>
  <c r="L164" i="13"/>
  <c r="L160" i="13"/>
  <c r="L248" i="13"/>
  <c r="L133" i="13"/>
  <c r="L29" i="13"/>
  <c r="L242" i="13"/>
  <c r="L176" i="13"/>
  <c r="L199" i="13"/>
  <c r="L195" i="13"/>
  <c r="L177" i="13"/>
  <c r="L230" i="13"/>
  <c r="L137" i="13"/>
  <c r="L131" i="13"/>
  <c r="L138" i="13"/>
  <c r="L207" i="13"/>
  <c r="L265" i="13"/>
  <c r="L128" i="13"/>
  <c r="L103" i="13"/>
  <c r="L193" i="13"/>
  <c r="L129" i="13"/>
  <c r="L119" i="13"/>
  <c r="L191" i="13"/>
  <c r="L154" i="13"/>
  <c r="L156" i="13"/>
  <c r="L210" i="13"/>
  <c r="L283" i="13"/>
  <c r="L70" i="13"/>
  <c r="L179" i="13"/>
  <c r="L253" i="13"/>
  <c r="L252" i="13"/>
  <c r="L155" i="13"/>
  <c r="L20" i="13"/>
  <c r="L249" i="13"/>
  <c r="L108" i="13"/>
  <c r="L269" i="13"/>
  <c r="L75" i="13"/>
  <c r="L146" i="13"/>
  <c r="L125" i="13"/>
  <c r="L239" i="13"/>
  <c r="L232" i="13"/>
  <c r="L52" i="13"/>
  <c r="L241" i="13"/>
  <c r="L203" i="13"/>
  <c r="L40" i="13"/>
  <c r="L276" i="13"/>
  <c r="L185" i="13"/>
  <c r="L96" i="13"/>
  <c r="L23" i="13"/>
  <c r="L76" i="13"/>
  <c r="L264" i="13"/>
  <c r="L212" i="13"/>
  <c r="L169" i="13"/>
  <c r="L15" i="13"/>
  <c r="L78" i="13"/>
  <c r="L274" i="13"/>
  <c r="L165" i="13"/>
  <c r="L147" i="13"/>
  <c r="L151" i="13"/>
  <c r="L3" i="13"/>
  <c r="L140" i="13"/>
  <c r="L226" i="13"/>
  <c r="L109" i="13"/>
  <c r="L61" i="13"/>
  <c r="L266" i="13"/>
  <c r="L244" i="13"/>
  <c r="L81" i="13"/>
  <c r="L229" i="13"/>
  <c r="L16" i="13"/>
  <c r="L80" i="13"/>
  <c r="L60" i="13"/>
  <c r="L43" i="13"/>
  <c r="L24" i="13"/>
  <c r="L101" i="13"/>
  <c r="L144" i="13"/>
  <c r="L285" i="13"/>
  <c r="L245" i="13"/>
  <c r="L111" i="13"/>
  <c r="L98" i="13"/>
  <c r="L139" i="13"/>
  <c r="L112" i="13"/>
  <c r="L192" i="13"/>
  <c r="L261" i="13"/>
  <c r="L231" i="13"/>
  <c r="L5" i="13"/>
  <c r="L214" i="13"/>
  <c r="L271" i="13"/>
  <c r="L227" i="13"/>
  <c r="L42" i="13"/>
  <c r="L188" i="13"/>
  <c r="L37" i="13"/>
  <c r="L102" i="13"/>
  <c r="L257" i="13"/>
  <c r="L213" i="13"/>
  <c r="L59" i="13"/>
  <c r="L208" i="13"/>
  <c r="L11" i="13"/>
  <c r="L141" i="13"/>
  <c r="L173" i="13"/>
  <c r="L91" i="13"/>
  <c r="L115" i="13"/>
  <c r="L113" i="13"/>
  <c r="L234" i="13"/>
  <c r="L132" i="13"/>
  <c r="L30" i="13"/>
  <c r="L223" i="13"/>
  <c r="L107" i="13"/>
  <c r="L171" i="13"/>
  <c r="L86" i="13"/>
  <c r="L48" i="13"/>
  <c r="L204" i="13"/>
  <c r="L97" i="13"/>
  <c r="L216" i="13"/>
  <c r="L162" i="13"/>
  <c r="L183" i="13"/>
  <c r="L258" i="13"/>
  <c r="L197" i="13"/>
  <c r="L28" i="13"/>
  <c r="L189" i="13"/>
  <c r="L85" i="13"/>
  <c r="L17" i="13"/>
  <c r="L272" i="13"/>
  <c r="L90" i="13"/>
  <c r="L50" i="13"/>
  <c r="L72" i="13"/>
  <c r="L34" i="13"/>
  <c r="L202" i="13"/>
  <c r="L79" i="13"/>
  <c r="L142" i="13"/>
  <c r="L116" i="13"/>
  <c r="L263" i="13"/>
  <c r="L123" i="13"/>
  <c r="L94" i="13"/>
  <c r="L273" i="13"/>
  <c r="L217" i="13"/>
  <c r="L161" i="13"/>
  <c r="L27" i="13"/>
  <c r="L254" i="13"/>
  <c r="L200" i="13"/>
  <c r="L218" i="13"/>
  <c r="L84" i="13"/>
  <c r="L211" i="13"/>
  <c r="L251" i="13"/>
  <c r="L4" i="13"/>
  <c r="L135" i="13"/>
  <c r="L221" i="13"/>
  <c r="L187" i="13"/>
  <c r="L87" i="13"/>
  <c r="L46" i="13"/>
  <c r="L49" i="13"/>
  <c r="L2" i="13"/>
  <c r="L35" i="13"/>
  <c r="L159" i="13"/>
  <c r="L74" i="13"/>
  <c r="L240" i="13"/>
  <c r="L31" i="13"/>
  <c r="L12" i="13"/>
  <c r="L65" i="13"/>
  <c r="L66" i="13"/>
  <c r="L106" i="13"/>
  <c r="L175" i="13"/>
  <c r="L58" i="13"/>
  <c r="L127" i="13"/>
  <c r="L136" i="13"/>
  <c r="L247" i="13"/>
  <c r="L157" i="13"/>
  <c r="L88" i="13"/>
  <c r="L10" i="13"/>
  <c r="L26" i="13"/>
  <c r="L250" i="13"/>
  <c r="L121" i="13"/>
  <c r="L83" i="13"/>
  <c r="L219" i="13"/>
  <c r="L68" i="13"/>
  <c r="L238" i="13"/>
  <c r="L92" i="13"/>
  <c r="L100" i="13"/>
  <c r="L130" i="13"/>
  <c r="L55" i="13"/>
  <c r="L38" i="13"/>
  <c r="L47" i="13"/>
  <c r="L124" i="13"/>
  <c r="L167" i="13"/>
  <c r="L180" i="13"/>
  <c r="L186" i="13"/>
  <c r="L267" i="13"/>
  <c r="L270" i="13"/>
  <c r="L278" i="13"/>
  <c r="L224" i="13"/>
  <c r="L51" i="13"/>
  <c r="L89" i="13"/>
  <c r="L228" i="13"/>
  <c r="L198" i="13"/>
  <c r="L205" i="13"/>
  <c r="L56" i="13"/>
  <c r="L7" i="13"/>
  <c r="L21" i="13"/>
  <c r="L114" i="13"/>
  <c r="L54" i="13"/>
  <c r="L145" i="13"/>
  <c r="L281" i="13"/>
  <c r="L63" i="13"/>
  <c r="L39" i="13"/>
  <c r="L118" i="13"/>
  <c r="L104" i="13"/>
  <c r="L73" i="13"/>
  <c r="L168" i="13"/>
  <c r="L237" i="13"/>
  <c r="L45" i="13"/>
  <c r="L149" i="13"/>
  <c r="L122" i="13"/>
  <c r="L277" i="13"/>
  <c r="L163" i="13"/>
  <c r="L178" i="13"/>
  <c r="L8" i="13"/>
  <c r="L262" i="13"/>
  <c r="L233" i="13"/>
  <c r="L25" i="13"/>
  <c r="L243" i="13"/>
  <c r="L105" i="13"/>
  <c r="L13" i="13"/>
  <c r="L44" i="13"/>
  <c r="L22" i="13"/>
  <c r="L71" i="13"/>
  <c r="L93" i="13"/>
  <c r="L14" i="13"/>
  <c r="L33" i="13"/>
  <c r="L120" i="13"/>
  <c r="L275" i="13"/>
  <c r="L256" i="13"/>
  <c r="L235" i="13"/>
  <c r="L181" i="13"/>
  <c r="L148" i="13"/>
  <c r="H35" i="10"/>
  <c r="H31" i="10"/>
  <c r="H26" i="10"/>
  <c r="H5" i="10"/>
  <c r="H23" i="10"/>
  <c r="S5" i="10"/>
  <c r="S9" i="10"/>
  <c r="S13" i="10"/>
  <c r="S17" i="10"/>
  <c r="H33" i="10"/>
  <c r="H28" i="10"/>
  <c r="H7" i="10"/>
  <c r="H21" i="10"/>
  <c r="H25" i="10"/>
  <c r="S3" i="10"/>
  <c r="S7" i="10"/>
  <c r="S11" i="10"/>
  <c r="S15" i="10"/>
  <c r="V19" i="10"/>
  <c r="H29" i="10"/>
  <c r="H32" i="10"/>
  <c r="H27" i="10"/>
  <c r="H4" i="10"/>
  <c r="H22" i="10"/>
  <c r="H3" i="10"/>
  <c r="V3" i="10"/>
  <c r="V5" i="10"/>
  <c r="V7" i="10"/>
  <c r="V9" i="10"/>
  <c r="V11" i="10"/>
  <c r="V13" i="10"/>
  <c r="V15" i="10"/>
  <c r="V17" i="10"/>
  <c r="S4" i="10"/>
  <c r="S8" i="10"/>
  <c r="S12" i="10"/>
  <c r="S16" i="10"/>
  <c r="H34" i="10"/>
  <c r="H30" i="10"/>
  <c r="H8" i="10"/>
  <c r="H6" i="10"/>
  <c r="H24" i="10"/>
  <c r="V4" i="10"/>
  <c r="V6" i="10"/>
  <c r="V8" i="10"/>
  <c r="V10" i="10"/>
  <c r="V12" i="10"/>
  <c r="V14" i="10"/>
  <c r="V16" i="10"/>
  <c r="V18" i="10"/>
  <c r="S6" i="10"/>
  <c r="S10" i="10"/>
  <c r="S14" i="10"/>
  <c r="S18" i="10"/>
  <c r="S19" i="10"/>
  <c r="H14" i="10"/>
  <c r="H18" i="10"/>
  <c r="H11" i="10"/>
  <c r="H15" i="10"/>
  <c r="H19" i="10"/>
  <c r="H10" i="10"/>
  <c r="H12" i="10"/>
  <c r="H16" i="10"/>
  <c r="H20" i="10"/>
  <c r="H9" i="10"/>
  <c r="H13" i="10"/>
  <c r="H17" i="10"/>
  <c r="K20" i="1" l="1"/>
  <c r="M96" i="13"/>
  <c r="M133" i="13"/>
  <c r="M182" i="13"/>
  <c r="M125" i="13"/>
  <c r="M165" i="13"/>
  <c r="M19" i="13"/>
  <c r="M84" i="13"/>
  <c r="M284" i="13"/>
  <c r="M78" i="13"/>
  <c r="M136" i="13"/>
  <c r="M49" i="13"/>
  <c r="M253" i="13"/>
  <c r="M209" i="13"/>
  <c r="M188" i="13"/>
  <c r="M70" i="13"/>
  <c r="M11" i="13"/>
  <c r="M22" i="13"/>
  <c r="M15" i="13"/>
  <c r="M6" i="13"/>
  <c r="M237" i="13"/>
  <c r="M203" i="13"/>
  <c r="M128" i="13"/>
  <c r="M26" i="13"/>
  <c r="M224" i="13"/>
  <c r="M238" i="13"/>
  <c r="M176" i="13"/>
  <c r="M88" i="13"/>
  <c r="M20" i="13"/>
  <c r="M265" i="13"/>
  <c r="M215" i="13"/>
  <c r="M51" i="13"/>
  <c r="M283" i="13"/>
  <c r="M65" i="13"/>
  <c r="M72" i="13"/>
  <c r="M274" i="13"/>
  <c r="M109" i="13"/>
  <c r="M115" i="13"/>
  <c r="M7" i="13"/>
  <c r="M250" i="13"/>
  <c r="M227" i="13"/>
  <c r="M200" i="13"/>
  <c r="M114" i="13"/>
  <c r="M262" i="13"/>
  <c r="M259" i="13"/>
  <c r="M10" i="13"/>
  <c r="M62" i="13"/>
  <c r="M242" i="13"/>
  <c r="M205" i="13"/>
  <c r="M151" i="13"/>
  <c r="M35" i="13"/>
  <c r="M121" i="13"/>
  <c r="M5" i="13"/>
  <c r="M44" i="13"/>
  <c r="M280" i="13"/>
  <c r="M94" i="13"/>
  <c r="M195" i="13"/>
  <c r="M63" i="13"/>
  <c r="M266" i="13"/>
  <c r="M126" i="13"/>
  <c r="M142" i="13"/>
  <c r="M244" i="13"/>
  <c r="M48" i="13"/>
  <c r="M270" i="13"/>
  <c r="M190" i="13"/>
  <c r="M13" i="13"/>
  <c r="M189" i="13"/>
  <c r="M276" i="13"/>
  <c r="M269" i="13"/>
  <c r="M12" i="13"/>
  <c r="M75" i="13"/>
  <c r="M225" i="13"/>
  <c r="M236" i="13"/>
  <c r="M231" i="13"/>
  <c r="M89" i="13"/>
  <c r="M81" i="13"/>
  <c r="M137" i="13"/>
  <c r="M41" i="13"/>
  <c r="M55" i="13"/>
  <c r="M204" i="13"/>
  <c r="M167" i="13"/>
  <c r="M169" i="13"/>
  <c r="M186" i="13"/>
  <c r="M206" i="13"/>
  <c r="M163" i="13"/>
  <c r="M263" i="13"/>
  <c r="M56" i="13"/>
  <c r="M147" i="13"/>
  <c r="M159" i="13"/>
  <c r="M52" i="13"/>
  <c r="M178" i="13"/>
  <c r="M9" i="13"/>
  <c r="M249" i="13"/>
  <c r="M164" i="13"/>
  <c r="M34" i="13"/>
  <c r="M91" i="13"/>
  <c r="M247" i="13"/>
  <c r="M155" i="13"/>
  <c r="M105" i="13"/>
  <c r="M260" i="13"/>
  <c r="M92" i="13"/>
  <c r="M220" i="13"/>
  <c r="M113" i="13"/>
  <c r="M258" i="13"/>
  <c r="M144" i="13"/>
  <c r="M132" i="13"/>
  <c r="M245" i="13"/>
  <c r="M14" i="13"/>
  <c r="M279" i="13"/>
  <c r="M240" i="13"/>
  <c r="M40" i="13"/>
  <c r="M235" i="13"/>
  <c r="M211" i="13"/>
  <c r="M192" i="13"/>
  <c r="M162" i="13"/>
  <c r="M2" i="13"/>
  <c r="M201" i="13"/>
  <c r="M90" i="13"/>
  <c r="M54" i="13"/>
  <c r="M246" i="13"/>
  <c r="M140" i="13"/>
  <c r="M183" i="13"/>
  <c r="M217" i="13"/>
  <c r="M21" i="13"/>
  <c r="M150" i="13"/>
  <c r="M123" i="13"/>
  <c r="M42" i="13"/>
  <c r="M219" i="13"/>
  <c r="M53" i="13"/>
  <c r="M170" i="13"/>
  <c r="M172" i="13"/>
  <c r="M46" i="13"/>
  <c r="M118" i="13"/>
  <c r="M100" i="13"/>
  <c r="M139" i="13"/>
  <c r="M243" i="13"/>
  <c r="M239" i="13"/>
  <c r="M57" i="13"/>
  <c r="M210" i="13"/>
  <c r="M158" i="13"/>
  <c r="M82" i="13"/>
  <c r="M80" i="13"/>
  <c r="M59" i="13"/>
  <c r="M73" i="13"/>
  <c r="M67" i="13"/>
  <c r="M174" i="13"/>
  <c r="M64" i="13"/>
  <c r="M143" i="13"/>
  <c r="M282" i="13"/>
  <c r="M98" i="13"/>
  <c r="M196" i="13"/>
  <c r="M124" i="13"/>
  <c r="M106" i="13"/>
  <c r="M30" i="13"/>
  <c r="M278" i="13"/>
  <c r="M17" i="13"/>
  <c r="M37" i="13"/>
  <c r="M181" i="13"/>
  <c r="M156" i="13"/>
  <c r="M212" i="13"/>
  <c r="M93" i="13"/>
  <c r="M36" i="13"/>
  <c r="M28" i="13"/>
  <c r="M61" i="13"/>
  <c r="M148" i="13"/>
  <c r="M180" i="13"/>
  <c r="M4" i="13"/>
  <c r="M86" i="13"/>
  <c r="M135" i="13"/>
  <c r="M275" i="13"/>
  <c r="M286" i="13"/>
  <c r="M3" i="13"/>
  <c r="M119" i="13"/>
  <c r="M39" i="13"/>
  <c r="M71" i="13"/>
  <c r="M230" i="13"/>
  <c r="M257" i="13"/>
  <c r="M223" i="13"/>
  <c r="M87" i="13"/>
  <c r="M60" i="13"/>
  <c r="M256" i="13"/>
  <c r="M234" i="13"/>
  <c r="M255" i="13"/>
  <c r="M33" i="13"/>
  <c r="M101" i="13"/>
  <c r="M267" i="13"/>
  <c r="M233" i="13"/>
  <c r="M103" i="13"/>
  <c r="M99" i="13"/>
  <c r="M83" i="13"/>
  <c r="M32" i="13"/>
  <c r="M157" i="13"/>
  <c r="M66" i="13"/>
  <c r="M191" i="13"/>
  <c r="M252" i="13"/>
  <c r="M23" i="13"/>
  <c r="M207" i="13"/>
  <c r="M229" i="13"/>
  <c r="M58" i="13"/>
  <c r="M184" i="13"/>
  <c r="M187" i="13"/>
  <c r="M285" i="13"/>
  <c r="M221" i="13"/>
  <c r="M79" i="13"/>
  <c r="M281" i="13"/>
  <c r="M145" i="13"/>
  <c r="M27" i="13"/>
  <c r="M122" i="13"/>
  <c r="M218" i="13"/>
  <c r="M131" i="13"/>
  <c r="M228" i="13"/>
  <c r="M8" i="13"/>
  <c r="M74" i="13"/>
  <c r="M127" i="13"/>
  <c r="M146" i="13"/>
  <c r="M111" i="13"/>
  <c r="M171" i="13"/>
  <c r="M138" i="13"/>
  <c r="M112" i="13"/>
  <c r="M241" i="13"/>
  <c r="M85" i="13"/>
  <c r="M216" i="13"/>
  <c r="M273" i="13"/>
  <c r="M69" i="13"/>
  <c r="M18" i="13"/>
  <c r="M202" i="13"/>
  <c r="M161" i="13"/>
  <c r="M154" i="13"/>
  <c r="M268" i="13"/>
  <c r="M198" i="13"/>
  <c r="M130" i="13"/>
  <c r="M213" i="13"/>
  <c r="M117" i="13"/>
  <c r="M134" i="13"/>
  <c r="M226" i="13"/>
  <c r="M272" i="13"/>
  <c r="M108" i="13"/>
  <c r="M141" i="13"/>
  <c r="M45" i="13"/>
  <c r="M166" i="13"/>
  <c r="M168" i="13"/>
  <c r="M116" i="13"/>
  <c r="M179" i="13"/>
  <c r="M277" i="13"/>
  <c r="M194" i="13"/>
  <c r="M149" i="13"/>
  <c r="M160" i="13"/>
  <c r="M197" i="13"/>
  <c r="M31" i="13"/>
  <c r="M261" i="13"/>
  <c r="M152" i="13"/>
  <c r="M43" i="13"/>
  <c r="M175" i="13"/>
  <c r="M24" i="13"/>
  <c r="M254" i="13"/>
  <c r="M199" i="13"/>
  <c r="M95" i="13"/>
  <c r="M97" i="13"/>
  <c r="M38" i="13"/>
  <c r="M107" i="13"/>
  <c r="M222" i="13"/>
  <c r="M102" i="13"/>
  <c r="M110" i="13"/>
  <c r="M214" i="13"/>
  <c r="M77" i="13"/>
  <c r="M25" i="13"/>
  <c r="M173" i="13"/>
  <c r="M248" i="13"/>
  <c r="M76" i="13"/>
  <c r="M50" i="13"/>
  <c r="M16" i="13"/>
  <c r="M208" i="13"/>
  <c r="M264" i="13"/>
  <c r="M232" i="13"/>
  <c r="M104" i="13"/>
  <c r="M251" i="13"/>
  <c r="M153" i="13"/>
  <c r="M68" i="13"/>
  <c r="M177" i="13"/>
  <c r="M47" i="13"/>
  <c r="M185" i="13"/>
  <c r="M271" i="13"/>
  <c r="M129" i="13"/>
  <c r="M120" i="13"/>
  <c r="M29" i="13"/>
  <c r="K14" i="1" a="1"/>
  <c r="M193" i="13"/>
  <c r="K17" i="1"/>
  <c r="K14" i="1"/>
  <c r="K18" i="1"/>
  <c r="K19" i="1"/>
  <c r="K16" i="1"/>
  <c r="K15" i="1"/>
</calcChain>
</file>

<file path=xl/comments1.xml><?xml version="1.0" encoding="utf-8"?>
<comments xmlns="http://schemas.openxmlformats.org/spreadsheetml/2006/main">
  <authors>
    <author>vermosen</author>
    <author>Marie PROUILLE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  <comment ref="B5" authorId="1" shapeId="0">
      <text>
        <r>
          <rPr>
            <b/>
            <sz val="8"/>
            <color indexed="81"/>
            <rFont val="Tahoma"/>
            <family val="2"/>
          </rPr>
          <t>Inscrivez le montant cash de l'opération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'=BDP("EURUSD Curncy";"BID")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'=BDP("US0001M Index";"PX_LAST")
</t>
        </r>
      </text>
    </comment>
  </commentList>
</comments>
</file>

<file path=xl/comments2.xml><?xml version="1.0" encoding="utf-8"?>
<comments xmlns="http://schemas.openxmlformats.org/spreadsheetml/2006/main">
  <authors>
    <author>Jean-Matthieu VERMOSEN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stop : 145</t>
        </r>
      </text>
    </comment>
  </commentList>
</comments>
</file>

<file path=xl/comments3.xml><?xml version="1.0" encoding="utf-8"?>
<comments xmlns="http://schemas.openxmlformats.org/spreadsheetml/2006/main">
  <authors>
    <author>Jean-Matthieu VERMOSEN</author>
  </authors>
  <commentList>
    <comment ref="D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flows over the period (cpn - coc)</t>
        </r>
      </text>
    </comment>
    <comment ref="E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maturity yield : includes the accrual and the cost-of-carry</t>
        </r>
      </text>
    </comment>
    <comment ref="I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carry over the period</t>
        </r>
      </text>
    </comment>
    <comment ref="J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Roll-Down of the instrument</t>
        </r>
      </text>
    </comment>
    <comment ref="K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breakeven spread (carry + roll-down) for the termination date given
-------------------
pas certain qu'il faille garder le carry dans la fonction : seul le coc et le roll-down ?</t>
        </r>
      </text>
    </comment>
  </commentList>
</comments>
</file>

<file path=xl/comments4.xml><?xml version="1.0" encoding="utf-8"?>
<comments xmlns="http://schemas.openxmlformats.org/spreadsheetml/2006/main">
  <authors>
    <author>vermosen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J4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comments5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6.xml><?xml version="1.0" encoding="utf-8"?>
<comments xmlns="http://schemas.openxmlformats.org/spreadsheetml/2006/main">
  <authors>
    <author>Jean-Matthieu VERMOSEN</author>
  </authors>
  <commentList>
    <comment ref="J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7.xml><?xml version="1.0" encoding="utf-8"?>
<comments xmlns="http://schemas.openxmlformats.org/spreadsheetml/2006/main">
  <authors>
    <author>Jean-Matthieu VERMOSEN</author>
  </authors>
  <commentList>
    <comment ref="D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a terme : faire une request dans la db</t>
        </r>
      </text>
    </comment>
  </commentList>
</comments>
</file>

<file path=xl/sharedStrings.xml><?xml version="1.0" encoding="utf-8"?>
<sst xmlns="http://schemas.openxmlformats.org/spreadsheetml/2006/main" count="2605" uniqueCount="1271">
  <si>
    <t>USD</t>
  </si>
  <si>
    <t>Target Solde Fed</t>
  </si>
  <si>
    <t>BBG code</t>
  </si>
  <si>
    <t>PX_MID</t>
  </si>
  <si>
    <t>MV UST</t>
  </si>
  <si>
    <t>Cible Repo</t>
  </si>
  <si>
    <t>Trésorerie</t>
  </si>
  <si>
    <t>ERC en euros (mios)</t>
  </si>
  <si>
    <t>USD (mios)</t>
  </si>
  <si>
    <t>inf 15 j</t>
  </si>
  <si>
    <t>15 j - 3mois</t>
  </si>
  <si>
    <t>3 mois - 1 an</t>
  </si>
  <si>
    <t>reverse repo</t>
  </si>
  <si>
    <t xml:space="preserve">bid </t>
  </si>
  <si>
    <t>ask</t>
  </si>
  <si>
    <t xml:space="preserve">EUR / USD </t>
  </si>
  <si>
    <t>Libor</t>
  </si>
  <si>
    <t>2W</t>
  </si>
  <si>
    <t>3M</t>
  </si>
  <si>
    <t>6M</t>
  </si>
  <si>
    <t>stock</t>
  </si>
  <si>
    <t>balance</t>
  </si>
  <si>
    <t>Balance</t>
  </si>
  <si>
    <t>RESINV1USD</t>
  </si>
  <si>
    <t>Delivery Amount Cumulative</t>
  </si>
  <si>
    <t>UST2017024.625</t>
  </si>
  <si>
    <t>Payment Amount  Cumulative</t>
  </si>
  <si>
    <t>OPINV1USD</t>
  </si>
  <si>
    <t>RESFX</t>
  </si>
  <si>
    <t>RESFX2</t>
  </si>
  <si>
    <t>RESSWAPORUSD</t>
  </si>
  <si>
    <t>RESXAU</t>
  </si>
  <si>
    <t>UST2015032.5</t>
  </si>
  <si>
    <t>USD FRNYNYC 021083912/6000</t>
  </si>
  <si>
    <t>UST2015042.5</t>
  </si>
  <si>
    <t>US912828MW79</t>
  </si>
  <si>
    <t>US912828MZ01</t>
  </si>
  <si>
    <t>US912828GH76</t>
  </si>
  <si>
    <t>UST2013061.125</t>
  </si>
  <si>
    <t>US912828NH93</t>
  </si>
  <si>
    <t>RESINV1USDTIPS</t>
  </si>
  <si>
    <t>USB20121004</t>
  </si>
  <si>
    <t>US9127956K26</t>
  </si>
  <si>
    <t>USB20121011</t>
  </si>
  <si>
    <t>US9127956M81</t>
  </si>
  <si>
    <t>UST2013020.625</t>
  </si>
  <si>
    <t>US912828QK95</t>
  </si>
  <si>
    <t>UST2013040.625</t>
  </si>
  <si>
    <t>US912828QE36</t>
  </si>
  <si>
    <t>UST2013090.125</t>
  </si>
  <si>
    <t>US912828RK86</t>
  </si>
  <si>
    <t>UST2013110.25</t>
  </si>
  <si>
    <t>US912828RS13</t>
  </si>
  <si>
    <t>UST2014010.25</t>
  </si>
  <si>
    <t>US912828SB78</t>
  </si>
  <si>
    <t>UST2014030.25</t>
  </si>
  <si>
    <t>US912828SL50</t>
  </si>
  <si>
    <t>US912828SK77</t>
  </si>
  <si>
    <t>UST2017020.875</t>
  </si>
  <si>
    <t>US912828SJ05</t>
  </si>
  <si>
    <t>UST2017031</t>
  </si>
  <si>
    <t>US912828SM34</t>
  </si>
  <si>
    <t>UST2021112</t>
  </si>
  <si>
    <t>US912828RR30</t>
  </si>
  <si>
    <t>UST2022022</t>
  </si>
  <si>
    <t>US912828SF82</t>
  </si>
  <si>
    <t>USB20121018</t>
  </si>
  <si>
    <t>US9127955G23</t>
  </si>
  <si>
    <t>Total</t>
  </si>
  <si>
    <t>INT_ACC</t>
  </si>
  <si>
    <t>UST2013070.375</t>
  </si>
  <si>
    <t>US912828QW34</t>
  </si>
  <si>
    <t>Pricing date</t>
  </si>
  <si>
    <t>Rate</t>
  </si>
  <si>
    <t>maturities</t>
  </si>
  <si>
    <t>Spot rates</t>
  </si>
  <si>
    <t>DEPOSIT</t>
  </si>
  <si>
    <t>1W</t>
  </si>
  <si>
    <t>1M</t>
  </si>
  <si>
    <t>2M</t>
  </si>
  <si>
    <t>FUTURE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</si>
  <si>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</si>
  <si>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</si>
  <si>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</si>
  <si>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</si>
  <si>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</si>
  <si>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</si>
  <si>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</si>
  <si>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</si>
  <si>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</si>
  <si>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</si>
  <si>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</si>
  <si>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</si>
  <si>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</si>
  <si>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</si>
  <si>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</si>
  <si>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</si>
  <si>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</si>
  <si>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</si>
  <si>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</si>
  <si>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</si>
  <si>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</si>
  <si>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</si>
  <si>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</si>
  <si>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</si>
  <si>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</si>
  <si>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</si>
  <si>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</si>
  <si>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</si>
  <si>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</si>
  <si>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</si>
  <si>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</si>
  <si>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</si>
  <si>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</si>
  <si>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</si>
  <si>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</si>
  <si>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</si>
  <si>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</si>
  <si>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</si>
  <si>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SWAP</t>
  </si>
  <si>
    <t>11Y</t>
  </si>
  <si>
    <t>40Y</t>
  </si>
  <si>
    <t>50Y</t>
  </si>
  <si>
    <t>date</t>
  </si>
  <si>
    <t>zero rate</t>
  </si>
  <si>
    <t>rate conventions</t>
  </si>
  <si>
    <t>Nominal Amount</t>
  </si>
  <si>
    <t>Present Value</t>
  </si>
  <si>
    <t>IR Exposure (1bp)</t>
  </si>
  <si>
    <t>Quote</t>
  </si>
  <si>
    <t>Quote  Start</t>
  </si>
  <si>
    <t>BKINV1USD</t>
  </si>
  <si>
    <t>COST-OF-CARRY</t>
  </si>
  <si>
    <t>BILL</t>
  </si>
  <si>
    <t>USB20111215</t>
  </si>
  <si>
    <t>US9127952T70</t>
  </si>
  <si>
    <t>DEPO</t>
  </si>
  <si>
    <t>US360DEPO</t>
  </si>
  <si>
    <t>T/N</t>
  </si>
  <si>
    <t>BOND</t>
  </si>
  <si>
    <t>3W</t>
  </si>
  <si>
    <t>USB20120705</t>
  </si>
  <si>
    <t>US9127955U17</t>
  </si>
  <si>
    <t>USB20120712</t>
  </si>
  <si>
    <t>US9127955W72</t>
  </si>
  <si>
    <t>UST2012060.625</t>
  </si>
  <si>
    <t>US912828NS58</t>
  </si>
  <si>
    <t>USB20120719</t>
  </si>
  <si>
    <t>US9127955X55</t>
  </si>
  <si>
    <t>USB20120726</t>
  </si>
  <si>
    <t>US9127954B45</t>
  </si>
  <si>
    <t>USB20120802</t>
  </si>
  <si>
    <t>US9127955Y39</t>
  </si>
  <si>
    <t>USB20120809</t>
  </si>
  <si>
    <t>US9127956A44</t>
  </si>
  <si>
    <t>USB20120816</t>
  </si>
  <si>
    <t>US9127956B27</t>
  </si>
  <si>
    <t>USB20120823</t>
  </si>
  <si>
    <t>US912795Y967</t>
  </si>
  <si>
    <t>USB20120830</t>
  </si>
  <si>
    <t>US9127956C00</t>
  </si>
  <si>
    <t>USB20120906</t>
  </si>
  <si>
    <t>US9127956G14</t>
  </si>
  <si>
    <t>USB20120913</t>
  </si>
  <si>
    <t>US9127956H96</t>
  </si>
  <si>
    <t>USB20120920</t>
  </si>
  <si>
    <t>US9127955C19</t>
  </si>
  <si>
    <t>USB20120927</t>
  </si>
  <si>
    <t>US9127956J52</t>
  </si>
  <si>
    <t>UST2012070.625</t>
  </si>
  <si>
    <t>US912828NQ92</t>
  </si>
  <si>
    <t>UST2012080.375</t>
  </si>
  <si>
    <t>US912828PH75</t>
  </si>
  <si>
    <t>UST2012090.375</t>
  </si>
  <si>
    <t>US912828NX44</t>
  </si>
  <si>
    <t>9M</t>
  </si>
  <si>
    <t>UST2012100.375</t>
  </si>
  <si>
    <t>US912828PD61</t>
  </si>
  <si>
    <t>UST2012110.5</t>
  </si>
  <si>
    <t>US912828PV69</t>
  </si>
  <si>
    <t>UST2012120.625</t>
  </si>
  <si>
    <t>US912828PW43</t>
  </si>
  <si>
    <t>1Y</t>
  </si>
  <si>
    <t>UST2013010.625</t>
  </si>
  <si>
    <t>US912828PR57</t>
  </si>
  <si>
    <t>UST2013030.75</t>
  </si>
  <si>
    <t>US912828QL78</t>
  </si>
  <si>
    <t>UST2013050.5</t>
  </si>
  <si>
    <t>US912828QZ64</t>
  </si>
  <si>
    <t>UST2013060.375</t>
  </si>
  <si>
    <t>US912828RA05</t>
  </si>
  <si>
    <t>UST2013080.125</t>
  </si>
  <si>
    <t>US912828RD44</t>
  </si>
  <si>
    <t>UST2013100.25</t>
  </si>
  <si>
    <t>US912828RN26</t>
  </si>
  <si>
    <t>UST2013120.125</t>
  </si>
  <si>
    <t>US912828RW25</t>
  </si>
  <si>
    <t>UST2014020.25</t>
  </si>
  <si>
    <t>US912828SG65</t>
  </si>
  <si>
    <t>UST2015012.25</t>
  </si>
  <si>
    <t>US912828MH03</t>
  </si>
  <si>
    <t>UST2015022.375</t>
  </si>
  <si>
    <t>US912828MR84</t>
  </si>
  <si>
    <t>UST2015052.125</t>
  </si>
  <si>
    <t>US912828NF38</t>
  </si>
  <si>
    <t>UST2015061.875</t>
  </si>
  <si>
    <t>US912828NL06</t>
  </si>
  <si>
    <t>UST2015071.75</t>
  </si>
  <si>
    <t>US912828NP10</t>
  </si>
  <si>
    <t>UST2015081.25</t>
  </si>
  <si>
    <t>US912828NV87</t>
  </si>
  <si>
    <t>UST2015091.25</t>
  </si>
  <si>
    <t>US912828NZ91</t>
  </si>
  <si>
    <t>UST2015101.25</t>
  </si>
  <si>
    <t>US912828PE45</t>
  </si>
  <si>
    <t>UST2015111.375</t>
  </si>
  <si>
    <t>US912828PJ32</t>
  </si>
  <si>
    <t>UST2015122.125</t>
  </si>
  <si>
    <t>US912828PM60</t>
  </si>
  <si>
    <t>UST2016012</t>
  </si>
  <si>
    <t>US912828PS31</t>
  </si>
  <si>
    <t>UST2016022.125</t>
  </si>
  <si>
    <t>US912828QJ23</t>
  </si>
  <si>
    <t>UST2016032.25</t>
  </si>
  <si>
    <t>US912828QA14</t>
  </si>
  <si>
    <t>UST2016042</t>
  </si>
  <si>
    <t>US912828QF01</t>
  </si>
  <si>
    <t>UST2016051.75</t>
  </si>
  <si>
    <t>US912828QP82</t>
  </si>
  <si>
    <t>UST2016061.5</t>
  </si>
  <si>
    <t>US912828QR49</t>
  </si>
  <si>
    <t>UST2016071.5</t>
  </si>
  <si>
    <t>US912828QX17</t>
  </si>
  <si>
    <t>UST2016081</t>
  </si>
  <si>
    <t>US912828RF91</t>
  </si>
  <si>
    <t>UST2016091</t>
  </si>
  <si>
    <t>US912828RJ14</t>
  </si>
  <si>
    <t>UST2016101</t>
  </si>
  <si>
    <t>US912828RM43</t>
  </si>
  <si>
    <t>UST2016110.875</t>
  </si>
  <si>
    <t>US912828RU68</t>
  </si>
  <si>
    <t>UST2016120.875</t>
  </si>
  <si>
    <t>US912828RX08</t>
  </si>
  <si>
    <t>UST2017010.875</t>
  </si>
  <si>
    <t>US912828SC51</t>
  </si>
  <si>
    <t>UST2019083.625</t>
  </si>
  <si>
    <t>US912828LJ77</t>
  </si>
  <si>
    <t>UST2019113.375</t>
  </si>
  <si>
    <t>US912828LY45</t>
  </si>
  <si>
    <t>UST2020023.625</t>
  </si>
  <si>
    <t>US912828MP29</t>
  </si>
  <si>
    <t>UST2020053.5</t>
  </si>
  <si>
    <t>US912828ND89</t>
  </si>
  <si>
    <t>UST2020082.625</t>
  </si>
  <si>
    <t>US912828NT32</t>
  </si>
  <si>
    <t>UST2020112.625</t>
  </si>
  <si>
    <t>US912828PC88</t>
  </si>
  <si>
    <t>UST2021023.625</t>
  </si>
  <si>
    <t>US912828PX26</t>
  </si>
  <si>
    <t>UST2021053.125</t>
  </si>
  <si>
    <t>US912828QN35</t>
  </si>
  <si>
    <t>UST2021082.125</t>
  </si>
  <si>
    <t>US912828RC60</t>
  </si>
  <si>
    <t>UST2013021.375</t>
  </si>
  <si>
    <t>MARGIN-INSTRUMENT-USD</t>
  </si>
  <si>
    <t>UST2013121.5</t>
  </si>
  <si>
    <t>REPO</t>
  </si>
  <si>
    <t>US360REPODO</t>
  </si>
  <si>
    <t>FX-SWAP</t>
  </si>
  <si>
    <t>USCPNAT20120713</t>
  </si>
  <si>
    <t>XS0773332076</t>
  </si>
  <si>
    <t>USCPNAT20120717</t>
  </si>
  <si>
    <t>XS0774744634</t>
  </si>
  <si>
    <t>USICO2012075.375</t>
  </si>
  <si>
    <t>XS0307800945</t>
  </si>
  <si>
    <t>BONDFUT</t>
  </si>
  <si>
    <t>USCPNAT20120718</t>
  </si>
  <si>
    <t>XS0775059032</t>
  </si>
  <si>
    <t>USCPNAT20120719</t>
  </si>
  <si>
    <t>XS0775235616</t>
  </si>
  <si>
    <t>USCPCADES20120720</t>
  </si>
  <si>
    <t>XS0736420513</t>
  </si>
  <si>
    <t>USCFF2012071.625</t>
  </si>
  <si>
    <t>XS0527923550</t>
  </si>
  <si>
    <t>USNEDWBK2012095.375</t>
  </si>
  <si>
    <t>XS0311512957</t>
  </si>
  <si>
    <t>USESG2012092</t>
  </si>
  <si>
    <t>XS0452149072</t>
  </si>
  <si>
    <t>USICO2012092.5</t>
  </si>
  <si>
    <t>XS0439860403</t>
  </si>
  <si>
    <t>USITG2012102.125</t>
  </si>
  <si>
    <t>US465410BU10</t>
  </si>
  <si>
    <t>USOKB2012104.75</t>
  </si>
  <si>
    <t>US676167AV17</t>
  </si>
  <si>
    <t>DEPOFUT</t>
  </si>
  <si>
    <t>USBNG2012110.75</t>
  </si>
  <si>
    <t>XS0561837013</t>
  </si>
  <si>
    <t>USWSTP2012121.9</t>
  </si>
  <si>
    <t>US9612ENAL11</t>
  </si>
  <si>
    <t>USHESLAN2013015</t>
  </si>
  <si>
    <t>XS0246261308</t>
  </si>
  <si>
    <t>EDU2</t>
  </si>
  <si>
    <t>USCPCADES20130123</t>
  </si>
  <si>
    <t>XS0739182193</t>
  </si>
  <si>
    <t>USCPCADES20130128</t>
  </si>
  <si>
    <t>XS0740607659</t>
  </si>
  <si>
    <t>USCPCADES20130204</t>
  </si>
  <si>
    <t>XS0744001248</t>
  </si>
  <si>
    <t>USCPCADES20130213</t>
  </si>
  <si>
    <t>XS0747896412</t>
  </si>
  <si>
    <t>USCPCADES20130227</t>
  </si>
  <si>
    <t>XS0752982347</t>
  </si>
  <si>
    <t>EDZ2</t>
  </si>
  <si>
    <t>IRSWAP</t>
  </si>
  <si>
    <t>US360FLOLEG</t>
  </si>
  <si>
    <t>US360IRSFXDFLO</t>
  </si>
  <si>
    <t>US360FXDLEG</t>
  </si>
  <si>
    <t>USCFF2013042.125</t>
  </si>
  <si>
    <t>XS0504189449</t>
  </si>
  <si>
    <t>USITG2013064.375</t>
  </si>
  <si>
    <t>US465410BF43</t>
  </si>
  <si>
    <t>USSPAIN2013063.625</t>
  </si>
  <si>
    <t>XS0363874081</t>
  </si>
  <si>
    <t>USLBBW2013072</t>
  </si>
  <si>
    <t>DE000LB0B979</t>
  </si>
  <si>
    <t>USCDCEPS2013091.25</t>
  </si>
  <si>
    <t>FR0010945279</t>
  </si>
  <si>
    <t>USAFD2013111.25</t>
  </si>
  <si>
    <t>XS0562102615</t>
  </si>
  <si>
    <t>USCFF2014032.25</t>
  </si>
  <si>
    <t>XS0602335191</t>
  </si>
  <si>
    <t>USCDCEPS2014031.625</t>
  </si>
  <si>
    <t>FR0011018332</t>
  </si>
  <si>
    <t>USBNG2014031.5</t>
  </si>
  <si>
    <t>XS0610555681</t>
  </si>
  <si>
    <t>EDH3</t>
  </si>
  <si>
    <t>EDM3</t>
  </si>
  <si>
    <t>EDU3</t>
  </si>
  <si>
    <t>EDZ3</t>
  </si>
  <si>
    <t>USBNG2014055</t>
  </si>
  <si>
    <t>XS0300990529</t>
  </si>
  <si>
    <t>USAFD2014061.25</t>
  </si>
  <si>
    <t>XS0635033128</t>
  </si>
  <si>
    <t>USCBA2014063.625</t>
  </si>
  <si>
    <t>US20272CAF95</t>
  </si>
  <si>
    <t>USWSTP2014092.9</t>
  </si>
  <si>
    <t>US9612ENAH09</t>
  </si>
  <si>
    <t>USNEDWBK2014101.25</t>
  </si>
  <si>
    <t>USN9638CAY59</t>
  </si>
  <si>
    <t>USITG2015013.125</t>
  </si>
  <si>
    <t>US465410BV92</t>
  </si>
  <si>
    <t>XS0743901026</t>
  </si>
  <si>
    <t>USPTG2015033.5</t>
  </si>
  <si>
    <t>XS0497536598</t>
  </si>
  <si>
    <t>EDH4</t>
  </si>
  <si>
    <t>EDM4</t>
  </si>
  <si>
    <t>EDU4</t>
  </si>
  <si>
    <t>EDZ4</t>
  </si>
  <si>
    <t>USKBN2015052.75</t>
  </si>
  <si>
    <t>XS0506368363</t>
  </si>
  <si>
    <t>USBNG2015072.75</t>
  </si>
  <si>
    <t>XS0521024132</t>
  </si>
  <si>
    <t>USCFF2015092.5</t>
  </si>
  <si>
    <t>XS0542722862</t>
  </si>
  <si>
    <t>USBNG2015101.75</t>
  </si>
  <si>
    <t>XS0546548636</t>
  </si>
  <si>
    <t>USBNG2016012.5</t>
  </si>
  <si>
    <t>XS0576210289</t>
  </si>
  <si>
    <t>USKBN2016012.375</t>
  </si>
  <si>
    <t>XS0579811489</t>
  </si>
  <si>
    <t>USNEDWBK2016062.125</t>
  </si>
  <si>
    <t>US63983UAB89</t>
  </si>
  <si>
    <t>EDH5</t>
  </si>
  <si>
    <t>EDM5</t>
  </si>
  <si>
    <t>USITG2017065.375</t>
  </si>
  <si>
    <t>US465410BS63</t>
  </si>
  <si>
    <t>class</t>
  </si>
  <si>
    <t>issuer</t>
  </si>
  <si>
    <t>position</t>
  </si>
  <si>
    <t>category</t>
  </si>
  <si>
    <t>spot Swap</t>
  </si>
  <si>
    <t>SECURITY_DES</t>
  </si>
  <si>
    <t>Settlement</t>
  </si>
  <si>
    <t>yield</t>
  </si>
  <si>
    <t>amount</t>
  </si>
  <si>
    <t>jours</t>
  </si>
  <si>
    <t>Price</t>
  </si>
  <si>
    <t>dv01</t>
  </si>
  <si>
    <t>Convexity</t>
  </si>
  <si>
    <t>Z-spread</t>
  </si>
  <si>
    <t>G-spread</t>
  </si>
  <si>
    <t>Carry RD 1M (hors coc)</t>
  </si>
  <si>
    <t>Carry RD 3M (hors coc)</t>
  </si>
  <si>
    <t>conv/dur ratio</t>
  </si>
  <si>
    <t>ISSUE_DT</t>
  </si>
  <si>
    <t>INT_ACC_DT</t>
  </si>
  <si>
    <t>FIRST_CPN_DT</t>
  </si>
  <si>
    <t>PENULTIMATE_CPN_DT</t>
  </si>
  <si>
    <t>MATURITY</t>
  </si>
  <si>
    <t>CPN</t>
  </si>
  <si>
    <t>AMT_OUTSTANDING</t>
  </si>
  <si>
    <t>instance</t>
  </si>
  <si>
    <t>US912828LB42</t>
  </si>
  <si>
    <t>US912828GZ74</t>
  </si>
  <si>
    <t>US912828AJ96</t>
  </si>
  <si>
    <t>US912828LH12</t>
  </si>
  <si>
    <t>US912828HC70</t>
  </si>
  <si>
    <t>US912828LM07</t>
  </si>
  <si>
    <t>US912828HE37</t>
  </si>
  <si>
    <t>US912828LR93</t>
  </si>
  <si>
    <t>US912828HG84</t>
  </si>
  <si>
    <t>US912828LX61</t>
  </si>
  <si>
    <t>US912828AP56</t>
  </si>
  <si>
    <t>US912828HK96</t>
  </si>
  <si>
    <t>US9127955Q05</t>
  </si>
  <si>
    <t>US912828MB33</t>
  </si>
  <si>
    <t>US912828HM52</t>
  </si>
  <si>
    <t>US9127955V99</t>
  </si>
  <si>
    <t>US912828MG20</t>
  </si>
  <si>
    <t>US912828HQ66</t>
  </si>
  <si>
    <t>US9127955Z04</t>
  </si>
  <si>
    <t>US912828AU42</t>
  </si>
  <si>
    <t>US912828MN70</t>
  </si>
  <si>
    <t>US912828HT06</t>
  </si>
  <si>
    <t>US9127956E65</t>
  </si>
  <si>
    <t>US912828MT41</t>
  </si>
  <si>
    <t>US912828HV51</t>
  </si>
  <si>
    <t>US9127956F31</t>
  </si>
  <si>
    <t>US912828MX52</t>
  </si>
  <si>
    <t>US912828HY90</t>
  </si>
  <si>
    <t>US912828BA78</t>
  </si>
  <si>
    <t>US912828NC07</t>
  </si>
  <si>
    <t>US912828JB79</t>
  </si>
  <si>
    <t>US912828JD36</t>
  </si>
  <si>
    <t>US912828NN61</t>
  </si>
  <si>
    <t>US912828JG66</t>
  </si>
  <si>
    <t>US912828NU05</t>
  </si>
  <si>
    <t>US912828BH22</t>
  </si>
  <si>
    <t>US912828JK78</t>
  </si>
  <si>
    <t>US912828NY27</t>
  </si>
  <si>
    <t>US912828JM35</t>
  </si>
  <si>
    <t>US912828PB06</t>
  </si>
  <si>
    <t>US912828JQ49</t>
  </si>
  <si>
    <t>US912828BR04</t>
  </si>
  <si>
    <t>US912828PU86</t>
  </si>
  <si>
    <t>US912828JT87</t>
  </si>
  <si>
    <t>US912828PL87</t>
  </si>
  <si>
    <t>US912828JW17</t>
  </si>
  <si>
    <t>US912828PQ74</t>
  </si>
  <si>
    <t>US912828JZ48</t>
  </si>
  <si>
    <t>US912828QH66</t>
  </si>
  <si>
    <t>US912828CA69</t>
  </si>
  <si>
    <t>US912828KF64</t>
  </si>
  <si>
    <t>US912828PZ73</t>
  </si>
  <si>
    <t>US912828KJ86</t>
  </si>
  <si>
    <t>US912828QC79</t>
  </si>
  <si>
    <t>US912828KN98</t>
  </si>
  <si>
    <t>US912828CJ78</t>
  </si>
  <si>
    <t>US912828QM51</t>
  </si>
  <si>
    <t>US912828KV15</t>
  </si>
  <si>
    <t>US912828QS22</t>
  </si>
  <si>
    <t>US912828KY53</t>
  </si>
  <si>
    <t>US912828QU77</t>
  </si>
  <si>
    <t>US912828LC25</t>
  </si>
  <si>
    <t>US912828RB87</t>
  </si>
  <si>
    <t>US912828CT50</t>
  </si>
  <si>
    <t>US912828LK41</t>
  </si>
  <si>
    <t>US912828RG74</t>
  </si>
  <si>
    <t>US912828LQ11</t>
  </si>
  <si>
    <t>US912828RL69</t>
  </si>
  <si>
    <t>US912828LS76</t>
  </si>
  <si>
    <t>US912828RQ56</t>
  </si>
  <si>
    <t>US912828DC17</t>
  </si>
  <si>
    <t>US912828LZ10</t>
  </si>
  <si>
    <t>US912828RV42</t>
  </si>
  <si>
    <t>US912828ME71</t>
  </si>
  <si>
    <t>US912828RZ55</t>
  </si>
  <si>
    <t>US912810DP04</t>
  </si>
  <si>
    <t>US912828SE18</t>
  </si>
  <si>
    <t>US912828DM98</t>
  </si>
  <si>
    <t>US912828SP64</t>
  </si>
  <si>
    <t>US912828DV97</t>
  </si>
  <si>
    <t>US912810DS43</t>
  </si>
  <si>
    <t>US912828EE63</t>
  </si>
  <si>
    <t>US912828EN62</t>
  </si>
  <si>
    <t>US912810DT26</t>
  </si>
  <si>
    <t>US912810DV71</t>
  </si>
  <si>
    <t>US912828EW61</t>
  </si>
  <si>
    <t>US912828KS85</t>
  </si>
  <si>
    <t>US912828KT68</t>
  </si>
  <si>
    <t>US912828KR03</t>
  </si>
  <si>
    <t>US912810DW54</t>
  </si>
  <si>
    <t>US912828FF20</t>
  </si>
  <si>
    <t>US912828KW97</t>
  </si>
  <si>
    <t>US912828KZ29</t>
  </si>
  <si>
    <t>US912828LD08</t>
  </si>
  <si>
    <t>US912828FQ84</t>
  </si>
  <si>
    <t>US912828LL24</t>
  </si>
  <si>
    <t>US912828LP38</t>
  </si>
  <si>
    <t>US912828LU23</t>
  </si>
  <si>
    <t>US912810DX38</t>
  </si>
  <si>
    <t>US912828FY19</t>
  </si>
  <si>
    <t>US912828MA59</t>
  </si>
  <si>
    <t>US912828MD98</t>
  </si>
  <si>
    <t>US912828MK32</t>
  </si>
  <si>
    <t>US912828MS67</t>
  </si>
  <si>
    <t>US912828MV96</t>
  </si>
  <si>
    <t>US912828NA41</t>
  </si>
  <si>
    <t>US912828GS32</t>
  </si>
  <si>
    <t>US912810DY11</t>
  </si>
  <si>
    <t>US912828NG11</t>
  </si>
  <si>
    <t>US912828NK23</t>
  </si>
  <si>
    <t>US912828NR75</t>
  </si>
  <si>
    <t>US912828HA15</t>
  </si>
  <si>
    <t>US912810DZ85</t>
  </si>
  <si>
    <t>US912828NW60</t>
  </si>
  <si>
    <t>US912828PA23</t>
  </si>
  <si>
    <t>US912828PF10</t>
  </si>
  <si>
    <t>US912828HH67</t>
  </si>
  <si>
    <t>US912828PK05</t>
  </si>
  <si>
    <t>US912828PN44</t>
  </si>
  <si>
    <t>US912828PT14</t>
  </si>
  <si>
    <t>US912828HR40</t>
  </si>
  <si>
    <t>US912828PY09</t>
  </si>
  <si>
    <t>US912828QB96</t>
  </si>
  <si>
    <t>US912828QG83</t>
  </si>
  <si>
    <t>US912810EA26</t>
  </si>
  <si>
    <t>US912828HZ65</t>
  </si>
  <si>
    <t>US912828QQ65</t>
  </si>
  <si>
    <t>US912828QT05</t>
  </si>
  <si>
    <t>US912828QY99</t>
  </si>
  <si>
    <t>US912828JH40</t>
  </si>
  <si>
    <t>US912828RE27</t>
  </si>
  <si>
    <t>US912828RH57</t>
  </si>
  <si>
    <t>US912828RP73</t>
  </si>
  <si>
    <t>US912828JR22</t>
  </si>
  <si>
    <t>US912810EB09</t>
  </si>
  <si>
    <t>US912828RT95</t>
  </si>
  <si>
    <t>US912828RY80</t>
  </si>
  <si>
    <t>US912828SD35</t>
  </si>
  <si>
    <t>US912828KD17</t>
  </si>
  <si>
    <t>US912810EC81</t>
  </si>
  <si>
    <t>US912828SH49</t>
  </si>
  <si>
    <t>US912828SN17</t>
  </si>
  <si>
    <t>US912828KQ20</t>
  </si>
  <si>
    <t>US912810ED64</t>
  </si>
  <si>
    <t>US912810EE48</t>
  </si>
  <si>
    <t>US912810EF13</t>
  </si>
  <si>
    <t>US912810EG95</t>
  </si>
  <si>
    <t>US912810EH78</t>
  </si>
  <si>
    <t>US912810EJ35</t>
  </si>
  <si>
    <t>US912810EK08</t>
  </si>
  <si>
    <t>US912810EL80</t>
  </si>
  <si>
    <t>US912810EM63</t>
  </si>
  <si>
    <t>US912810EN47</t>
  </si>
  <si>
    <t>US912810EP94</t>
  </si>
  <si>
    <t>US912810EQ77</t>
  </si>
  <si>
    <t>US912810ES34</t>
  </si>
  <si>
    <t>US912810ET17</t>
  </si>
  <si>
    <t>US912810EV62</t>
  </si>
  <si>
    <t>US912810EW46</t>
  </si>
  <si>
    <t>US912810EX29</t>
  </si>
  <si>
    <t>US912810EY02</t>
  </si>
  <si>
    <t>US912810EZ76</t>
  </si>
  <si>
    <t>US912810FA17</t>
  </si>
  <si>
    <t>US912810FB99</t>
  </si>
  <si>
    <t>US912810FE39</t>
  </si>
  <si>
    <t>US912810FF04</t>
  </si>
  <si>
    <t>US912810FG86</t>
  </si>
  <si>
    <t>US912810FJ26</t>
  </si>
  <si>
    <t>US912810FM54</t>
  </si>
  <si>
    <t>US912810FP85</t>
  </si>
  <si>
    <t>US912810FT08</t>
  </si>
  <si>
    <t>US912810PT97</t>
  </si>
  <si>
    <t>US912810PU60</t>
  </si>
  <si>
    <t>US912810PW27</t>
  </si>
  <si>
    <t>US912810PX00</t>
  </si>
  <si>
    <t>US912810QA97</t>
  </si>
  <si>
    <t>US912810QB70</t>
  </si>
  <si>
    <t>US912810QC53</t>
  </si>
  <si>
    <t>US912810QD37</t>
  </si>
  <si>
    <t>US912810QE10</t>
  </si>
  <si>
    <t>US912810QH41</t>
  </si>
  <si>
    <t>US912810QK79</t>
  </si>
  <si>
    <t>US912810QL52</t>
  </si>
  <si>
    <t>US912810QN19</t>
  </si>
  <si>
    <t>US912810QQ40</t>
  </si>
  <si>
    <t>US912810QS06</t>
  </si>
  <si>
    <t>US912810QT88</t>
  </si>
  <si>
    <t>US912810QU51</t>
  </si>
  <si>
    <t>OIS-spread</t>
  </si>
  <si>
    <t>5Y-10Y</t>
  </si>
  <si>
    <t>inf 1Y</t>
  </si>
  <si>
    <t>1Y-5Y</t>
  </si>
  <si>
    <t>IRS (*)</t>
  </si>
  <si>
    <t>GOVT</t>
  </si>
  <si>
    <t>EURO</t>
  </si>
  <si>
    <t>S/N</t>
  </si>
  <si>
    <t>+10Y</t>
  </si>
  <si>
    <t>Gap</t>
  </si>
  <si>
    <t>10Y+</t>
  </si>
  <si>
    <t>LIBOR</t>
  </si>
  <si>
    <t>Mmkt</t>
  </si>
  <si>
    <t>total</t>
  </si>
  <si>
    <t>USCPNAT20120724</t>
  </si>
  <si>
    <t>XS0776622192</t>
  </si>
  <si>
    <t>USKOMIN2015041</t>
  </si>
  <si>
    <t>XS0776287897</t>
  </si>
  <si>
    <t>US912828SS04</t>
  </si>
  <si>
    <t>position différentielle (en jours)</t>
  </si>
  <si>
    <t>USB20121025</t>
  </si>
  <si>
    <t>US9127956N64</t>
  </si>
  <si>
    <t>CADES</t>
  </si>
  <si>
    <t>NAT</t>
  </si>
  <si>
    <t>BNG</t>
  </si>
  <si>
    <t>ITG</t>
  </si>
  <si>
    <t>CDCEPS</t>
  </si>
  <si>
    <t>ICO</t>
  </si>
  <si>
    <t>CFF</t>
  </si>
  <si>
    <t>NEDWBK</t>
  </si>
  <si>
    <t>ESG</t>
  </si>
  <si>
    <t>OKB</t>
  </si>
  <si>
    <t>WSTP</t>
  </si>
  <si>
    <t>HESLAN</t>
  </si>
  <si>
    <t>SPAIN</t>
  </si>
  <si>
    <t>LBBW</t>
  </si>
  <si>
    <t>AFD</t>
  </si>
  <si>
    <t>CBA</t>
  </si>
  <si>
    <t>KBN</t>
  </si>
  <si>
    <t>COE</t>
  </si>
  <si>
    <t>PTG</t>
  </si>
  <si>
    <t>KOMIN</t>
  </si>
  <si>
    <t>risque</t>
  </si>
  <si>
    <t>Total général</t>
  </si>
  <si>
    <t>spot UST</t>
  </si>
  <si>
    <t>R^2</t>
  </si>
  <si>
    <t>beta 0</t>
  </si>
  <si>
    <t>beta 1</t>
  </si>
  <si>
    <t>beta 2</t>
  </si>
  <si>
    <t>beta 3</t>
  </si>
  <si>
    <t>kappa 1</t>
  </si>
  <si>
    <t>kappa 2</t>
  </si>
  <si>
    <t>UST2014040.25</t>
  </si>
  <si>
    <t>US912828SR21</t>
  </si>
  <si>
    <t>position ptf</t>
  </si>
  <si>
    <t>USB20130404</t>
  </si>
  <si>
    <t>UST2017040.875</t>
  </si>
  <si>
    <t>ISIN/CUSIP</t>
  </si>
  <si>
    <t>CPN_FREQ</t>
  </si>
  <si>
    <t>DAY_CNT_DES</t>
  </si>
  <si>
    <t>Instance</t>
  </si>
  <si>
    <t>FR0010950675</t>
  </si>
  <si>
    <t>US12802NAB01</t>
  </si>
  <si>
    <t>US12802DAB29</t>
  </si>
  <si>
    <t>FR0010925446</t>
  </si>
  <si>
    <t>FR0010998104</t>
  </si>
  <si>
    <t>FR0010827246</t>
  </si>
  <si>
    <t>FR0011012731</t>
  </si>
  <si>
    <t>US12802DAC02</t>
  </si>
  <si>
    <t>XS0749451398</t>
  </si>
  <si>
    <t>FR0010941732</t>
  </si>
  <si>
    <t>US12802DAD84</t>
  </si>
  <si>
    <t>XS0771920856</t>
  </si>
  <si>
    <t>FR0010776674</t>
  </si>
  <si>
    <t>US12802DAA46</t>
  </si>
  <si>
    <t>US12802NAA28</t>
  </si>
  <si>
    <t>FR0010815332</t>
  </si>
  <si>
    <t>FR0010862581</t>
  </si>
  <si>
    <t>FR0010956565</t>
  </si>
  <si>
    <t>FR0010606442</t>
  </si>
  <si>
    <t>FR0010775239</t>
  </si>
  <si>
    <t>FR0010306340</t>
  </si>
  <si>
    <t>FR0010394452</t>
  </si>
  <si>
    <t>FR0010500843</t>
  </si>
  <si>
    <t>rate convention</t>
  </si>
  <si>
    <t>FR0010875302</t>
  </si>
  <si>
    <t>XS0637187773</t>
  </si>
  <si>
    <t>XS0546234450</t>
  </si>
  <si>
    <t>XS0477425283</t>
  </si>
  <si>
    <t>XS0460002859</t>
  </si>
  <si>
    <t>Issuer</t>
  </si>
  <si>
    <t>XS0705646452</t>
  </si>
  <si>
    <t>XS0760314103</t>
  </si>
  <si>
    <t>XS0490844718</t>
  </si>
  <si>
    <t>XS0451654189</t>
  </si>
  <si>
    <t>XS0477137813</t>
  </si>
  <si>
    <t>XS0353485492</t>
  </si>
  <si>
    <t>XS0172157876</t>
  </si>
  <si>
    <t>XS0372089572</t>
  </si>
  <si>
    <t>XS0592582653</t>
  </si>
  <si>
    <t>XS0270250136</t>
  </si>
  <si>
    <t>XS0284982922</t>
  </si>
  <si>
    <t>US639832AD61</t>
  </si>
  <si>
    <t>US63983TAA34</t>
  </si>
  <si>
    <t>US63983UAA07</t>
  </si>
  <si>
    <t>XS0458548921</t>
  </si>
  <si>
    <t>XS0540029807</t>
  </si>
  <si>
    <t>US63983TAC99</t>
  </si>
  <si>
    <t>US63983UAD46</t>
  </si>
  <si>
    <t>US63983TAE55</t>
  </si>
  <si>
    <t>XS0495091620</t>
  </si>
  <si>
    <t>objects</t>
  </si>
  <si>
    <t>mat.</t>
  </si>
  <si>
    <t>zero rates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</si>
  <si>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</si>
  <si>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</si>
  <si>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</si>
  <si>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</si>
  <si>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</si>
  <si>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</si>
  <si>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</si>
  <si>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</si>
  <si>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</si>
  <si>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</si>
  <si>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</si>
  <si>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</si>
  <si>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</si>
  <si>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</si>
  <si>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</si>
  <si>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</si>
  <si>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</si>
  <si>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</si>
  <si>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</si>
  <si>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</si>
  <si>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</si>
  <si>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</si>
  <si>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</si>
  <si>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</si>
  <si>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</si>
  <si>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</si>
  <si>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</si>
  <si>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</si>
  <si>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</si>
  <si>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</si>
  <si>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OIS fwd 1M</t>
  </si>
  <si>
    <t>UST fwd 1M</t>
  </si>
  <si>
    <t>USSO15 Curncy</t>
  </si>
  <si>
    <t>USSO20 Curncy</t>
  </si>
  <si>
    <t>USSO25 Curncy</t>
  </si>
  <si>
    <t>spot</t>
  </si>
  <si>
    <t>carry/dur</t>
  </si>
  <si>
    <t>US912828ST86</t>
  </si>
  <si>
    <t>USB20121101</t>
  </si>
  <si>
    <t>US9127956P13</t>
  </si>
  <si>
    <t>titre</t>
  </si>
  <si>
    <t>USB20130502</t>
  </si>
  <si>
    <t>US9127956L09</t>
  </si>
  <si>
    <t xml:space="preserve">Identifiant </t>
  </si>
  <si>
    <t>T1,75 08/12</t>
  </si>
  <si>
    <t>T0,75 05/12</t>
  </si>
  <si>
    <t>bps</t>
  </si>
  <si>
    <t>Isin</t>
  </si>
  <si>
    <t>yld Bid</t>
  </si>
  <si>
    <t>yld Ask</t>
  </si>
  <si>
    <t>(forcé)</t>
  </si>
  <si>
    <t>+/- spread</t>
  </si>
  <si>
    <t>True Yield US</t>
  </si>
  <si>
    <t>Bid/Ask (z-spread)</t>
  </si>
  <si>
    <t>swap-Spread</t>
  </si>
  <si>
    <t>ois-spread</t>
  </si>
  <si>
    <t>G-Spread</t>
  </si>
  <si>
    <t>maturité</t>
  </si>
  <si>
    <t>Règlement</t>
  </si>
  <si>
    <t>y1</t>
  </si>
  <si>
    <t>y2</t>
  </si>
  <si>
    <t>risk</t>
  </si>
  <si>
    <t>yr</t>
  </si>
  <si>
    <t>Carry &amp; Roll-down Analysis (risk weighted - 1 Mio Nominal)</t>
  </si>
  <si>
    <t>termination (jours)</t>
  </si>
  <si>
    <t>Mmkt rates</t>
  </si>
  <si>
    <t>BreakEven</t>
  </si>
  <si>
    <t>P&amp;L</t>
  </si>
  <si>
    <t>Deal Synthesis</t>
  </si>
  <si>
    <t>(bps)</t>
  </si>
  <si>
    <t>Carry</t>
  </si>
  <si>
    <t>Cost-of-carry</t>
  </si>
  <si>
    <t>Roll-Down</t>
  </si>
  <si>
    <t>Carry + RD</t>
  </si>
  <si>
    <t>Reverse</t>
  </si>
  <si>
    <t>Repo</t>
  </si>
  <si>
    <t>- (Bid-Ask) :</t>
  </si>
  <si>
    <t>Swap-Spread</t>
  </si>
  <si>
    <t>Limit consumption (Mios)</t>
  </si>
  <si>
    <t>Spread Bid 1</t>
  </si>
  <si>
    <t>Spread Bid 2</t>
  </si>
  <si>
    <t>spread Bid</t>
  </si>
  <si>
    <t>x-2*sigma</t>
  </si>
  <si>
    <t>x+2*sigma</t>
  </si>
  <si>
    <t>spread Ask</t>
  </si>
  <si>
    <t>pick-up</t>
  </si>
  <si>
    <t>durée :</t>
  </si>
  <si>
    <t>mois</t>
  </si>
  <si>
    <t>Taux ASW</t>
  </si>
  <si>
    <t>Nominal (RW)</t>
  </si>
  <si>
    <t>(overload)</t>
  </si>
  <si>
    <t>Taux Forwards :</t>
  </si>
  <si>
    <t>forward courbe UST :</t>
  </si>
  <si>
    <t>forward courbe SWAP :</t>
  </si>
  <si>
    <t>Pick-up SS :</t>
  </si>
  <si>
    <t>=SWAP.NPV("ASW_" &amp; isin2;swap_curve;contrôles!B50)</t>
  </si>
  <si>
    <t>ERC (EUR)</t>
  </si>
  <si>
    <t>Pick-up OIS :</t>
  </si>
  <si>
    <t>Série temporelle</t>
  </si>
  <si>
    <t>ZSPREAD1_</t>
  </si>
  <si>
    <t>ZSPREAD2_</t>
  </si>
  <si>
    <t>ZSPREAD3_</t>
  </si>
  <si>
    <t>(instance)</t>
  </si>
  <si>
    <t>US298785FT86</t>
  </si>
  <si>
    <t>US298785FR21</t>
  </si>
  <si>
    <t>US298785FV33</t>
  </si>
  <si>
    <t>US298785FF82</t>
  </si>
  <si>
    <t>US298785FL50</t>
  </si>
  <si>
    <t>US298785FS04</t>
  </si>
  <si>
    <t>US298785FJ05</t>
  </si>
  <si>
    <t>US298785FP64</t>
  </si>
  <si>
    <t>US298785FC51</t>
  </si>
  <si>
    <t>US298785FG65</t>
  </si>
  <si>
    <t>US298785FW16</t>
  </si>
  <si>
    <t>US298785EZ55</t>
  </si>
  <si>
    <t>US298785FU59</t>
  </si>
  <si>
    <t>US298785FE18</t>
  </si>
  <si>
    <t>XS0558939269</t>
  </si>
  <si>
    <t>US298785FQ48</t>
  </si>
  <si>
    <t>XS0547845205</t>
  </si>
  <si>
    <t>XS0742416380</t>
  </si>
  <si>
    <t>US29878TCC62</t>
  </si>
  <si>
    <t>US298785FK77</t>
  </si>
  <si>
    <t>US298785EV42</t>
  </si>
  <si>
    <t>US298785FN17</t>
  </si>
  <si>
    <t>US298785FD35</t>
  </si>
  <si>
    <t>US298785EK86</t>
  </si>
  <si>
    <t>US298785FB78</t>
  </si>
  <si>
    <t>US298785FH49</t>
  </si>
  <si>
    <t>US298785EX08</t>
  </si>
  <si>
    <t>US298785EY80</t>
  </si>
  <si>
    <t>XS0468848253</t>
  </si>
  <si>
    <t>US29878TBU79</t>
  </si>
  <si>
    <t>US298785EN26</t>
  </si>
  <si>
    <t>US298785CX26</t>
  </si>
  <si>
    <t>XS0347750365</t>
  </si>
  <si>
    <t>XS0205179483</t>
  </si>
  <si>
    <t>US298785FM34</t>
  </si>
  <si>
    <t>XS0225513703</t>
  </si>
  <si>
    <t>US298785ER30</t>
  </si>
  <si>
    <t>US298785DD52</t>
  </si>
  <si>
    <t>US298785DR49</t>
  </si>
  <si>
    <t>XS0322956490</t>
  </si>
  <si>
    <t>US298785DU77</t>
  </si>
  <si>
    <t>US298785EA05</t>
  </si>
  <si>
    <t>US298785DV50</t>
  </si>
  <si>
    <t>XS0271449000</t>
  </si>
  <si>
    <t>XS0287792914</t>
  </si>
  <si>
    <t>US298785DY99</t>
  </si>
  <si>
    <t>US298785EG74</t>
  </si>
  <si>
    <t>XS0252479497</t>
  </si>
  <si>
    <t>USB20121108</t>
  </si>
  <si>
    <t>US9127956S51</t>
  </si>
  <si>
    <t>UST2022051.75</t>
  </si>
  <si>
    <t>US912828SV33</t>
  </si>
  <si>
    <t>USCOE2015044</t>
  </si>
  <si>
    <t>XS0349064328</t>
  </si>
  <si>
    <t>EI939268 Corp</t>
  </si>
  <si>
    <t>EI839783 Corp</t>
  </si>
  <si>
    <t>EI251950 Corp</t>
  </si>
  <si>
    <t>EI009749 Corp</t>
  </si>
  <si>
    <t>EI787877 Corp</t>
  </si>
  <si>
    <t>EI297586 Corp</t>
  </si>
  <si>
    <t>EI347021 Corp</t>
  </si>
  <si>
    <t>EH790357 Corp</t>
  </si>
  <si>
    <t>EH237816 Corp</t>
  </si>
  <si>
    <t>ED037578 Corp</t>
  </si>
  <si>
    <t>EH967487 Corp</t>
  </si>
  <si>
    <t>EI143648 Corp</t>
  </si>
  <si>
    <t>EF086162 Corp</t>
  </si>
  <si>
    <t>EH539714 Corp</t>
  </si>
  <si>
    <t>EC687043 Corp</t>
  </si>
  <si>
    <t>ED607736 Corp</t>
  </si>
  <si>
    <t>EG914838 Corp</t>
  </si>
  <si>
    <t>EF684257 Corp</t>
  </si>
  <si>
    <t>EI791877 Corp</t>
  </si>
  <si>
    <t>EI697819 Corp</t>
  </si>
  <si>
    <t>EI472618 Corp</t>
  </si>
  <si>
    <t>EI954150 Corp</t>
  </si>
  <si>
    <t>EI265078 Corp</t>
  </si>
  <si>
    <t>EJ095994 Corp</t>
  </si>
  <si>
    <t>EI791385 Corp</t>
  </si>
  <si>
    <t>EI355035 Corp</t>
  </si>
  <si>
    <t>EI575402 Corp</t>
  </si>
  <si>
    <t>EI133522 Corp</t>
  </si>
  <si>
    <t>EH828973 Corp</t>
  </si>
  <si>
    <t>EH531108 Corp</t>
  </si>
  <si>
    <t>ED650463 Corp</t>
  </si>
  <si>
    <t>EG524914 Corp</t>
  </si>
  <si>
    <t>EF501708 Corp</t>
  </si>
  <si>
    <t>USB20121115</t>
  </si>
  <si>
    <t>US9127955L18</t>
  </si>
  <si>
    <t>USB20121123</t>
  </si>
  <si>
    <t>US9127956T35</t>
  </si>
  <si>
    <t>US912828SU59</t>
  </si>
  <si>
    <t>US912810QW18</t>
  </si>
  <si>
    <t>Carry/risk ratio</t>
  </si>
  <si>
    <t>SSA</t>
  </si>
  <si>
    <t>UST2014050.25</t>
  </si>
  <si>
    <t>US912828SW16</t>
  </si>
  <si>
    <t>UST2017050.625</t>
  </si>
  <si>
    <t>US912828SY71</t>
  </si>
  <si>
    <t>US912828SX98</t>
  </si>
  <si>
    <t>USB20121129</t>
  </si>
  <si>
    <t>US9127956U08</t>
  </si>
  <si>
    <t>TUU2</t>
  </si>
  <si>
    <t>US9127956R78</t>
  </si>
  <si>
    <t>CT2</t>
  </si>
  <si>
    <t>USCADES2013071.375</t>
  </si>
  <si>
    <t>USB20121206</t>
  </si>
  <si>
    <t>US9127956V80</t>
  </si>
  <si>
    <t>USB20121213</t>
  </si>
  <si>
    <t>DV01</t>
  </si>
  <si>
    <t>USB20130530</t>
  </si>
  <si>
    <t>CT10</t>
  </si>
  <si>
    <t>USB20121220</t>
  </si>
  <si>
    <t>US9127956X47</t>
  </si>
  <si>
    <t>CT5</t>
  </si>
  <si>
    <t>CT5B</t>
  </si>
  <si>
    <t>CT5C</t>
  </si>
  <si>
    <t>CT5D</t>
  </si>
  <si>
    <t>CT10B</t>
  </si>
  <si>
    <t>CT10C</t>
  </si>
  <si>
    <t>CT2B</t>
  </si>
  <si>
    <t>CT2C</t>
  </si>
  <si>
    <t>CT2D</t>
  </si>
  <si>
    <t>USB20121227</t>
  </si>
  <si>
    <t>US9127956Y20</t>
  </si>
  <si>
    <t>UST2014060.25</t>
  </si>
  <si>
    <t>US912828TA86</t>
  </si>
  <si>
    <t>CT2E</t>
  </si>
  <si>
    <t>size (MM)</t>
  </si>
  <si>
    <t>Deal price</t>
  </si>
  <si>
    <t>Value date</t>
  </si>
  <si>
    <t>Deal Value date</t>
  </si>
  <si>
    <t>Deal yield</t>
  </si>
  <si>
    <t>current Price</t>
  </si>
  <si>
    <t>Px+acc</t>
  </si>
  <si>
    <t>UST2017060.75</t>
  </si>
  <si>
    <t>US912828TB69</t>
  </si>
  <si>
    <t>CT5E</t>
  </si>
  <si>
    <t>cost-of-carry</t>
  </si>
  <si>
    <t>Position/ P&amp;L</t>
  </si>
  <si>
    <t>Px+acc/période</t>
  </si>
  <si>
    <t>Repo Rate</t>
  </si>
  <si>
    <t>Flattener 2-10Yr</t>
  </si>
  <si>
    <t>Current Yield</t>
  </si>
  <si>
    <t>Position 10 Yr</t>
  </si>
  <si>
    <t>TRANSFER USD BDF -EUROCLEAR +F</t>
  </si>
  <si>
    <t>USB20130627</t>
  </si>
  <si>
    <t>US9127956W63</t>
  </si>
  <si>
    <t>Swap Curve USD (Spot)</t>
  </si>
  <si>
    <t>OIS Curve USD (Spot)</t>
  </si>
  <si>
    <t>fixing history</t>
  </si>
  <si>
    <t>IR exposure portfolio</t>
  </si>
  <si>
    <t>Ir exposure Benchmark</t>
  </si>
  <si>
    <t>aggregate position (benchmark)</t>
  </si>
  <si>
    <t>aggregate position (portfolio)</t>
  </si>
  <si>
    <t>duration Benchmark (days)</t>
  </si>
  <si>
    <t>duration portfolio (days)</t>
  </si>
  <si>
    <t>curves</t>
  </si>
  <si>
    <t>Credit risk calculations</t>
  </si>
  <si>
    <t>NSS calibration parameters</t>
  </si>
  <si>
    <t>Svensson model parameters</t>
  </si>
  <si>
    <t>portfolio/benchmark</t>
  </si>
  <si>
    <t>market value ratio</t>
  </si>
  <si>
    <t>Treasury curve</t>
  </si>
  <si>
    <t>Controls</t>
  </si>
  <si>
    <t>1M Swap fwd</t>
  </si>
  <si>
    <t>(*) under the hypothesis of a null NPV on trading date</t>
  </si>
  <si>
    <t>Gold swap (*)</t>
  </si>
  <si>
    <t>issuer consumption</t>
  </si>
  <si>
    <t>buy/sell</t>
  </si>
  <si>
    <t>deposit or CD</t>
  </si>
  <si>
    <t>B 07/05/12</t>
  </si>
  <si>
    <t>B 07/12/12</t>
  </si>
  <si>
    <t>T 1 1/2 07/15/12</t>
  </si>
  <si>
    <t>B 07/19/12</t>
  </si>
  <si>
    <t>B 07/26/12</t>
  </si>
  <si>
    <t>T 0 5/8 07/31/12</t>
  </si>
  <si>
    <t>T 4 5/8 07/31/12</t>
  </si>
  <si>
    <t>B 08/02/12</t>
  </si>
  <si>
    <t>B 08/09/12</t>
  </si>
  <si>
    <t>T 4 3/8 08/15/12</t>
  </si>
  <si>
    <t>T 1 3/4 08/15/12</t>
  </si>
  <si>
    <t>B 08/16/12</t>
  </si>
  <si>
    <t>B 08/23/12</t>
  </si>
  <si>
    <t>B 08/30/12</t>
  </si>
  <si>
    <t>T 0 3/8 08/31/12</t>
  </si>
  <si>
    <t>T 4 1/8 08/31/12</t>
  </si>
  <si>
    <t>B 09/06/12</t>
  </si>
  <si>
    <t>B 09/13/12</t>
  </si>
  <si>
    <t>T 1 3/8 09/15/12</t>
  </si>
  <si>
    <t>B 09/20/12</t>
  </si>
  <si>
    <t>B 09/27/12</t>
  </si>
  <si>
    <t>T 4 1/4 09/30/12</t>
  </si>
  <si>
    <t>T 0 3/8 09/30/12</t>
  </si>
  <si>
    <t>B 10/04/12</t>
  </si>
  <si>
    <t>B 10/11/12</t>
  </si>
  <si>
    <t>T 1 3/8 10/15/12</t>
  </si>
  <si>
    <t>B 10/18/12</t>
  </si>
  <si>
    <t>B 10/25/12</t>
  </si>
  <si>
    <t>T 3 7/8 10/31/12</t>
  </si>
  <si>
    <t>T 0 3/8 10/31/12</t>
  </si>
  <si>
    <t>B 11/01/12</t>
  </si>
  <si>
    <t>B 11/08/12</t>
  </si>
  <si>
    <t>B 11/15/12</t>
  </si>
  <si>
    <t>T 4 11/15/12</t>
  </si>
  <si>
    <t>T 1 3/8 11/15/12</t>
  </si>
  <si>
    <t>B 11/23/12</t>
  </si>
  <si>
    <t>B 11/29/12</t>
  </si>
  <si>
    <t>T 3 3/8 11/30/12</t>
  </si>
  <si>
    <t>T 0 1/2 11/30/12</t>
  </si>
  <si>
    <t>B 12/13/12</t>
  </si>
  <si>
    <t>T 1 1/8 12/15/12</t>
  </si>
  <si>
    <t>T 3 5/8 12/31/12</t>
  </si>
  <si>
    <t>T 0 5/8 12/31/12</t>
  </si>
  <si>
    <t>B 01/10/13</t>
  </si>
  <si>
    <t>T 1 3/8 01/15/13</t>
  </si>
  <si>
    <t>T 0 5/8 01/31/13</t>
  </si>
  <si>
    <t>T 2 7/8 01/31/13</t>
  </si>
  <si>
    <t>B 02/07/13</t>
  </si>
  <si>
    <t>T 3 7/8 02/15/13</t>
  </si>
  <si>
    <t>T 1 3/8 02/15/13</t>
  </si>
  <si>
    <t>T 0 5/8 02/28/13</t>
  </si>
  <si>
    <t>T 2 3/4 02/28/13</t>
  </si>
  <si>
    <t>B 03/07/13</t>
  </si>
  <si>
    <t>T 1 3/8 03/15/13</t>
  </si>
  <si>
    <t>T 2 1/2 03/31/13</t>
  </si>
  <si>
    <t>T 0 3/4 03/31/13</t>
  </si>
  <si>
    <t>B 04/04/13</t>
  </si>
  <si>
    <t>T 1 3/4 04/15/13</t>
  </si>
  <si>
    <t>T 0 5/8 04/30/13</t>
  </si>
  <si>
    <t>T 3 1/8 04/30/13</t>
  </si>
  <si>
    <t>B 05/02/13</t>
  </si>
  <si>
    <t>T 1 3/8 05/15/13</t>
  </si>
  <si>
    <t>T 3 5/8 05/15/13</t>
  </si>
  <si>
    <t>B 05/30/13</t>
  </si>
  <si>
    <t>T 0 1/2 05/31/13</t>
  </si>
  <si>
    <t>T 3 1/2 05/31/13</t>
  </si>
  <si>
    <t>T 1 1/8 06/15/13</t>
  </si>
  <si>
    <t>T 0 3/8 06/30/13</t>
  </si>
  <si>
    <t>T 3 3/8 06/30/13</t>
  </si>
  <si>
    <t>T 1 07/15/13</t>
  </si>
  <si>
    <t>T 3 3/8 07/31/13</t>
  </si>
  <si>
    <t>T 0 3/8 07/31/13</t>
  </si>
  <si>
    <t>T 0 3/4 08/15/13</t>
  </si>
  <si>
    <t>T 4 1/4 08/15/13</t>
  </si>
  <si>
    <t>T 3 1/8 08/31/13</t>
  </si>
  <si>
    <t>T 0 1/8 08/31/13</t>
  </si>
  <si>
    <t>T 0 3/4 09/15/13</t>
  </si>
  <si>
    <t>T 0 1/8 09/30/13</t>
  </si>
  <si>
    <t>T 3 1/8 09/30/13</t>
  </si>
  <si>
    <t>T 0 1/2 10/15/13</t>
  </si>
  <si>
    <t>T 0 1/4 10/31/13</t>
  </si>
  <si>
    <t>T 2 3/4 10/31/13</t>
  </si>
  <si>
    <t>T 0 1/2 11/15/13</t>
  </si>
  <si>
    <t>T 4 1/4 11/15/13</t>
  </si>
  <si>
    <t>T 0 1/4 11/30/13</t>
  </si>
  <si>
    <t>T 2 11/30/13</t>
  </si>
  <si>
    <t>T 0 3/4 12/15/13</t>
  </si>
  <si>
    <t>T 0 1/8 12/31/13</t>
  </si>
  <si>
    <t>T 1 1/2 12/31/13</t>
  </si>
  <si>
    <t>T 1 01/15/14</t>
  </si>
  <si>
    <t>T 1 3/4 01/31/14</t>
  </si>
  <si>
    <t>T 0 1/4 01/31/14</t>
  </si>
  <si>
    <t>T 1 1/4 02/15/14</t>
  </si>
  <si>
    <t>T 4 02/15/14</t>
  </si>
  <si>
    <t>T 0 1/4 02/28/14</t>
  </si>
  <si>
    <t>T 1 7/8 02/28/14</t>
  </si>
  <si>
    <t>T 1 1/4 03/15/14</t>
  </si>
  <si>
    <t>T 0 1/4 03/31/14</t>
  </si>
  <si>
    <t>T 1 3/4 03/31/14</t>
  </si>
  <si>
    <t>T 1 1/4 04/15/14</t>
  </si>
  <si>
    <t>T 1 7/8 04/30/14</t>
  </si>
  <si>
    <t>T 0 1/4 04/30/14</t>
  </si>
  <si>
    <t>T 1 05/15/14</t>
  </si>
  <si>
    <t>T 4 3/4 05/15/14</t>
  </si>
  <si>
    <t>T 2 1/4 05/31/14</t>
  </si>
  <si>
    <t>T 0 1/4 05/31/14</t>
  </si>
  <si>
    <t>T 0 3/4 06/15/14</t>
  </si>
  <si>
    <t>T 2 5/8 06/30/14</t>
  </si>
  <si>
    <t>T 0 1/4 06/30/14</t>
  </si>
  <si>
    <t>T 0 5/8 07/15/14</t>
  </si>
  <si>
    <t>T 2 5/8 07/31/14</t>
  </si>
  <si>
    <t>T 4 1/4 08/15/14</t>
  </si>
  <si>
    <t>T 0 1/2 08/15/14</t>
  </si>
  <si>
    <t>T 2 3/8 08/31/14</t>
  </si>
  <si>
    <t>T 0 1/4 09/15/14</t>
  </si>
  <si>
    <t>T 2 3/8 09/30/14</t>
  </si>
  <si>
    <t>T 0 1/2 10/15/14</t>
  </si>
  <si>
    <t>T 2 3/8 10/31/14</t>
  </si>
  <si>
    <t>T 4 1/4 11/15/14</t>
  </si>
  <si>
    <t>T 0 3/8 11/15/14</t>
  </si>
  <si>
    <t>T 2 1/8 11/30/14</t>
  </si>
  <si>
    <t>T 0 1/4 12/15/14</t>
  </si>
  <si>
    <t>T 2 5/8 12/31/14</t>
  </si>
  <si>
    <t>T 0 1/4 01/15/15</t>
  </si>
  <si>
    <t>T 2 1/4 01/31/15</t>
  </si>
  <si>
    <t>T 11 1/4 02/15/15</t>
  </si>
  <si>
    <t>T 4 02/15/15</t>
  </si>
  <si>
    <t>T 0 1/4 02/15/15</t>
  </si>
  <si>
    <t>T 2 3/8 02/28/15</t>
  </si>
  <si>
    <t>T 0 3/8 03/15/15</t>
  </si>
  <si>
    <t>T 2 1/2 03/31/15</t>
  </si>
  <si>
    <t>T 0 3/8 04/15/15</t>
  </si>
  <si>
    <t>T 2 1/2 04/30/15</t>
  </si>
  <si>
    <t>T 0 1/4 05/15/15</t>
  </si>
  <si>
    <t>T 4 1/8 05/15/15</t>
  </si>
  <si>
    <t>T 2 1/8 05/31/15</t>
  </si>
  <si>
    <t>T 1 7/8 06/30/15</t>
  </si>
  <si>
    <t>T 1 3/4 07/31/15</t>
  </si>
  <si>
    <t>T 4 1/4 08/15/15</t>
  </si>
  <si>
    <t>T 10 5/8 08/15/15</t>
  </si>
  <si>
    <t>T 1 1/4 08/31/15</t>
  </si>
  <si>
    <t>T 1 1/4 09/30/15</t>
  </si>
  <si>
    <t>T 1 1/4 10/31/15</t>
  </si>
  <si>
    <t>T 9 7/8 11/15/15</t>
  </si>
  <si>
    <t>T 4 1/2 11/15/15</t>
  </si>
  <si>
    <t>T 1 3/8 11/30/15</t>
  </si>
  <si>
    <t>T 2 1/8 12/31/15</t>
  </si>
  <si>
    <t>T 2 01/31/16</t>
  </si>
  <si>
    <t>T 9 1/4 02/15/16</t>
  </si>
  <si>
    <t>T 4 1/2 02/15/16</t>
  </si>
  <si>
    <t>T 2 5/8 02/29/16</t>
  </si>
  <si>
    <t>T 2 1/8 02/29/16</t>
  </si>
  <si>
    <t>T 2 3/8 03/31/16</t>
  </si>
  <si>
    <t>T 2 1/4 03/31/16</t>
  </si>
  <si>
    <t>T 2 04/30/16</t>
  </si>
  <si>
    <t>T 2 5/8 04/30/16</t>
  </si>
  <si>
    <t>T 7 1/4 05/15/16</t>
  </si>
  <si>
    <t>T 5 1/8 05/15/16</t>
  </si>
  <si>
    <t>T 1 3/4 05/31/16</t>
  </si>
  <si>
    <t>T 3 1/4 05/31/16</t>
  </si>
  <si>
    <t>T 3 1/4 06/30/16</t>
  </si>
  <si>
    <t>T 1 1/2 06/30/16</t>
  </si>
  <si>
    <t>T 1 1/2 07/31/16</t>
  </si>
  <si>
    <t>T 3 1/4 07/31/16</t>
  </si>
  <si>
    <t>T 4 7/8 08/15/16</t>
  </si>
  <si>
    <t>T 3 08/31/16</t>
  </si>
  <si>
    <t>T 1 08/31/16</t>
  </si>
  <si>
    <t>T 3 09/30/16</t>
  </si>
  <si>
    <t>T 1 09/30/16</t>
  </si>
  <si>
    <t>T 1 10/31/16</t>
  </si>
  <si>
    <t>T 3 1/8 10/31/16</t>
  </si>
  <si>
    <t>T 4 5/8 11/15/16</t>
  </si>
  <si>
    <t>T 7 1/2 11/15/16</t>
  </si>
  <si>
    <t>T 2 3/4 11/30/16</t>
  </si>
  <si>
    <t>T 0 7/8 11/30/16</t>
  </si>
  <si>
    <t>T 0 7/8 12/31/16</t>
  </si>
  <si>
    <t>T 3 1/4 12/31/16</t>
  </si>
  <si>
    <t>T 3 1/8 01/31/17</t>
  </si>
  <si>
    <t>T 0 7/8 01/31/17</t>
  </si>
  <si>
    <t>T 4 5/8 02/15/17</t>
  </si>
  <si>
    <t>T 3 02/28/17</t>
  </si>
  <si>
    <t>T 0 7/8 02/28/17</t>
  </si>
  <si>
    <t>T 3 1/4 03/31/17</t>
  </si>
  <si>
    <t>T 1 03/31/17</t>
  </si>
  <si>
    <t>T 0 7/8 04/30/17</t>
  </si>
  <si>
    <t>T 3 1/8 04/30/17</t>
  </si>
  <si>
    <t>T 4 1/2 05/15/17</t>
  </si>
  <si>
    <t>T 8 3/4 05/15/17</t>
  </si>
  <si>
    <t>T 0 5/8 05/31/17</t>
  </si>
  <si>
    <t>T 2 3/4 05/31/17</t>
  </si>
  <si>
    <t>T 2 1/2 06/30/17</t>
  </si>
  <si>
    <t>T 0 3/4 06/30/17</t>
  </si>
  <si>
    <t>T 2 3/8 07/31/17</t>
  </si>
  <si>
    <t>T 8 7/8 08/15/17</t>
  </si>
  <si>
    <t>T 4 3/4 08/15/17</t>
  </si>
  <si>
    <t>T 1 7/8 08/31/17</t>
  </si>
  <si>
    <t>T 1 7/8 09/30/17</t>
  </si>
  <si>
    <t>T 1 7/8 10/31/17</t>
  </si>
  <si>
    <t>T 4 1/4 11/15/17</t>
  </si>
  <si>
    <t>T 2 1/4 11/30/17</t>
  </si>
  <si>
    <t>T 2 3/4 12/31/17</t>
  </si>
  <si>
    <t>T 2 5/8 01/31/18</t>
  </si>
  <si>
    <t>T 3 1/2 02/15/18</t>
  </si>
  <si>
    <t>T 2 3/4 02/28/18</t>
  </si>
  <si>
    <t>T 2 7/8 03/31/18</t>
  </si>
  <si>
    <t>T 2 5/8 04/30/18</t>
  </si>
  <si>
    <t>T 9 1/8 05/15/18</t>
  </si>
  <si>
    <t>T 3 7/8 05/15/18</t>
  </si>
  <si>
    <t>T 2 3/8 05/31/18</t>
  </si>
  <si>
    <t>T 2 3/8 06/30/18</t>
  </si>
  <si>
    <t>T 2 1/4 07/31/18</t>
  </si>
  <si>
    <t>T 4 08/15/18</t>
  </si>
  <si>
    <t>T 1 1/2 08/31/18</t>
  </si>
  <si>
    <t>T 1 3/8 09/30/18</t>
  </si>
  <si>
    <t>T 1 3/4 10/31/18</t>
  </si>
  <si>
    <t>T 3 3/4 11/15/18</t>
  </si>
  <si>
    <t>T 9 11/15/18</t>
  </si>
  <si>
    <t>T 1 3/8 11/30/18</t>
  </si>
  <si>
    <t>T 1 3/8 12/31/18</t>
  </si>
  <si>
    <t>T 1 1/4 01/31/19</t>
  </si>
  <si>
    <t>T 8 7/8 02/15/19</t>
  </si>
  <si>
    <t>T 2 3/4 02/15/19</t>
  </si>
  <si>
    <t>T 1 3/8 02/28/19</t>
  </si>
  <si>
    <t>T 1 1/2 03/31/19</t>
  </si>
  <si>
    <t>T 1 1/4 04/30/19</t>
  </si>
  <si>
    <t>T 3 1/8 05/15/19</t>
  </si>
  <si>
    <t>T 1 1/8 05/31/19</t>
  </si>
  <si>
    <t>T 3 5/8 08/15/19</t>
  </si>
  <si>
    <t>T 8 1/8 08/15/19</t>
  </si>
  <si>
    <t>T 3 3/8 11/15/19</t>
  </si>
  <si>
    <t>T 8 1/2 02/15/20</t>
  </si>
  <si>
    <t>T 3 5/8 02/15/20</t>
  </si>
  <si>
    <t>T 8 3/4 05/15/20</t>
  </si>
  <si>
    <t>T 3 1/2 05/15/20</t>
  </si>
  <si>
    <t>T 8 3/4 08/15/20</t>
  </si>
  <si>
    <t>T 2 5/8 08/15/20</t>
  </si>
  <si>
    <t>T 2 5/8 11/15/20</t>
  </si>
  <si>
    <t>T 3 5/8 02/15/21</t>
  </si>
  <si>
    <t>T 7 7/8 02/15/21</t>
  </si>
  <si>
    <t>T 3 1/8 05/15/21</t>
  </si>
  <si>
    <t>T 8 1/8 05/15/21</t>
  </si>
  <si>
    <t>T 2 1/8 08/15/21</t>
  </si>
  <si>
    <t>T 8 1/8 08/15/21</t>
  </si>
  <si>
    <t>T 8 11/15/21</t>
  </si>
  <si>
    <t>T 2 11/15/21</t>
  </si>
  <si>
    <t>T 2 02/15/22</t>
  </si>
  <si>
    <t>T 1 3/4 05/15/22</t>
  </si>
  <si>
    <t>T 7 1/4 08/15/22</t>
  </si>
  <si>
    <t>T 7 5/8 11/15/22</t>
  </si>
  <si>
    <t>T 7 1/8 02/15/23</t>
  </si>
  <si>
    <t>T 6 1/4 08/15/23</t>
  </si>
  <si>
    <t>T 7 1/2 11/15/24</t>
  </si>
  <si>
    <t>T 7 5/8 02/15/25</t>
  </si>
  <si>
    <t>T 6 7/8 08/15/25</t>
  </si>
  <si>
    <t>T 6 02/15/26</t>
  </si>
  <si>
    <t>T 6 3/4 08/15/26</t>
  </si>
  <si>
    <t>T 6 1/2 11/15/26</t>
  </si>
  <si>
    <t>T 6 5/8 02/15/27</t>
  </si>
  <si>
    <t>T 6 3/8 08/15/27</t>
  </si>
  <si>
    <t>T 6 1/8 11/15/27</t>
  </si>
  <si>
    <t>T 5 1/2 08/15/28</t>
  </si>
  <si>
    <t>T 5 1/4 11/15/28</t>
  </si>
  <si>
    <t>T 5 1/4 02/15/29</t>
  </si>
  <si>
    <t>T 6 1/8 08/15/29</t>
  </si>
  <si>
    <t>T 6 1/4 05/15/30</t>
  </si>
  <si>
    <t>T 5 3/8 02/15/31</t>
  </si>
  <si>
    <t>T 4 1/2 02/15/36</t>
  </si>
  <si>
    <t>T 4 3/4 02/15/37</t>
  </si>
  <si>
    <t>T 5 05/15/37</t>
  </si>
  <si>
    <t>T 4 3/8 02/15/38</t>
  </si>
  <si>
    <t>T 4 1/2 05/15/38</t>
  </si>
  <si>
    <t>T 3 1/2 02/15/39</t>
  </si>
  <si>
    <t>T 4 1/4 05/15/39</t>
  </si>
  <si>
    <t>T 4 1/2 08/15/39</t>
  </si>
  <si>
    <t>T 4 3/8 11/15/39</t>
  </si>
  <si>
    <t>T 4 5/8 02/15/40</t>
  </si>
  <si>
    <t>T 4 3/8 05/15/40</t>
  </si>
  <si>
    <t>T 3 7/8 08/15/40</t>
  </si>
  <si>
    <t>T 4 1/4 11/15/40</t>
  </si>
  <si>
    <t>T 4 3/4 02/15/41</t>
  </si>
  <si>
    <t>T 4 3/8 05/15/41</t>
  </si>
  <si>
    <t>T 3 3/4 08/15/41</t>
  </si>
  <si>
    <t>T 3 1/8 11/15/41</t>
  </si>
  <si>
    <t>T 3 1/8 02/15/42</t>
  </si>
  <si>
    <t>T 3 05/15/42</t>
  </si>
  <si>
    <t>days</t>
  </si>
  <si>
    <t>ISIN code</t>
  </si>
  <si>
    <t>Bloomberg security description</t>
  </si>
  <si>
    <t>comment</t>
  </si>
  <si>
    <t>ask price</t>
  </si>
  <si>
    <t>ask yield</t>
  </si>
  <si>
    <t>convexity</t>
  </si>
  <si>
    <t>position vs. Benchmark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</si>
</sst>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_-* #,##0.0000\ _E_u_r_-;\-* #,##0.0000\ _E_u_r_-;_-* &quot;-&quot;??\ _E_u_r_-;_-@_-"/>
    <numFmt numFmtId="167" formatCode="dd/mm/yy;@"/>
    <numFmt numFmtId="168" formatCode="[$-40C]mmm\-yy;@"/>
    <numFmt numFmtId="169" formatCode="0.00000"/>
    <numFmt numFmtId="170" formatCode="#,##0.00000"/>
    <numFmt numFmtId="171" formatCode="0.000"/>
    <numFmt numFmtId="172" formatCode="0.00000%"/>
    <numFmt numFmtId="173" formatCode="0.0"/>
    <numFmt numFmtId="174" formatCode="#,##0.0"/>
    <numFmt numFmtId="175" formatCode="0.0000"/>
    <numFmt numFmtId="176" formatCode="_-* #,##0.00\ [$€-1]_-;\-* #,##0.00\ [$€-1]_-;_-* &quot;-&quot;??\ [$€-1]_-"/>
    <numFmt numFmtId="177" formatCode="0.000000"/>
    <numFmt numFmtId="178" formatCode="[$$-409]#,##0.00"/>
    <numFmt numFmtId="179" formatCode="#,##0.00000_ ;\-#,##0.00000\ "/>
    <numFmt numFmtId="180" formatCode="#,##0\ [$USD]"/>
  </numFmts>
  <fonts count="7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9"/>
      <name val="Arial"/>
      <family val="2"/>
    </font>
    <font>
      <b/>
      <u/>
      <sz val="8"/>
      <name val="Arial"/>
      <family val="2"/>
    </font>
    <font>
      <sz val="8"/>
      <color indexed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onsolas"/>
      <family val="3"/>
    </font>
    <font>
      <b/>
      <sz val="8"/>
      <color indexed="8"/>
      <name val="Consolas"/>
      <family val="3"/>
    </font>
    <font>
      <sz val="8"/>
      <color theme="1"/>
      <name val="Consolas"/>
      <family val="3"/>
    </font>
    <font>
      <sz val="8"/>
      <color indexed="8"/>
      <name val="Consolas"/>
      <family val="3"/>
    </font>
    <font>
      <b/>
      <sz val="8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8"/>
      <color indexed="9"/>
      <name val="Arial"/>
      <family val="2"/>
    </font>
    <font>
      <b/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Arial"/>
      <family val="2"/>
    </font>
    <font>
      <b/>
      <sz val="8"/>
      <color rgb="FF000000"/>
      <name val="Arial"/>
      <family val="2"/>
    </font>
  </fonts>
  <fills count="97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51"/>
        <bgColor indexed="64"/>
      </patternFill>
    </fill>
    <fill>
      <patternFill patternType="lightUp">
        <bgColor theme="6" tint="0.39991454817346722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Up">
        <bgColor theme="4" tint="0.399945066682943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medium">
        <color theme="0"/>
      </left>
      <right style="dashed">
        <color theme="0"/>
      </right>
      <top/>
      <bottom/>
      <diagonal/>
    </border>
    <border>
      <left style="dashed">
        <color theme="0"/>
      </left>
      <right style="dashed">
        <color theme="0"/>
      </right>
      <top/>
      <bottom/>
      <diagonal/>
    </border>
    <border>
      <left style="dashed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/>
      <diagonal/>
    </border>
    <border>
      <left/>
      <right/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 style="medium">
        <color theme="0"/>
      </top>
      <bottom style="medium">
        <color theme="0"/>
      </bottom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/>
      <bottom/>
      <diagonal/>
    </border>
  </borders>
  <cellStyleXfs count="165">
    <xf numFmtId="0" fontId="0" fillId="0" borderId="0"/>
    <xf numFmtId="165" fontId="12" fillId="2" borderId="0"/>
    <xf numFmtId="0" fontId="13" fillId="4" borderId="1" applyNumberFormat="0" applyFont="0" applyBorder="0" applyAlignment="0" applyProtection="0"/>
    <xf numFmtId="15" fontId="14" fillId="5" borderId="0">
      <alignment horizontal="right"/>
    </xf>
    <xf numFmtId="0" fontId="15" fillId="6" borderId="0" applyNumberFormat="0" applyBorder="0" applyAlignment="0">
      <alignment horizontal="center"/>
    </xf>
    <xf numFmtId="0" fontId="16" fillId="7" borderId="0" applyNumberFormat="0" applyBorder="0" applyAlignment="0"/>
    <xf numFmtId="0" fontId="17" fillId="7" borderId="0">
      <alignment horizontal="centerContinuous"/>
    </xf>
    <xf numFmtId="0" fontId="6" fillId="8" borderId="2">
      <alignment horizontal="center"/>
      <protection locked="0"/>
    </xf>
    <xf numFmtId="0" fontId="11" fillId="9" borderId="3">
      <alignment horizontal="left"/>
    </xf>
    <xf numFmtId="0" fontId="10" fillId="10" borderId="4">
      <protection locked="0"/>
    </xf>
    <xf numFmtId="0" fontId="18" fillId="5" borderId="0"/>
    <xf numFmtId="0" fontId="19" fillId="10" borderId="4">
      <alignment vertical="center"/>
    </xf>
    <xf numFmtId="164" fontId="4" fillId="0" borderId="0" applyFont="0" applyFill="0" applyBorder="0" applyAlignment="0" applyProtection="0"/>
    <xf numFmtId="10" fontId="13" fillId="11" borderId="1" applyBorder="0">
      <alignment horizontal="center"/>
      <protection locked="0"/>
    </xf>
    <xf numFmtId="0" fontId="21" fillId="2" borderId="0"/>
    <xf numFmtId="0" fontId="20" fillId="2" borderId="0"/>
    <xf numFmtId="0" fontId="21" fillId="2" borderId="0"/>
    <xf numFmtId="0" fontId="22" fillId="12" borderId="0">
      <alignment horizontal="centerContinuous"/>
    </xf>
    <xf numFmtId="0" fontId="23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39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8" fillId="46" borderId="0" applyNumberFormat="0" applyBorder="0" applyAlignment="0" applyProtection="0"/>
    <xf numFmtId="0" fontId="38" fillId="43" borderId="0" applyNumberFormat="0" applyBorder="0" applyAlignment="0" applyProtection="0"/>
    <xf numFmtId="0" fontId="38" fillId="44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49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2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53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" borderId="57" applyNumberFormat="0" applyAlignment="0" applyProtection="0"/>
    <xf numFmtId="0" fontId="41" fillId="0" borderId="58" applyNumberFormat="0" applyFill="0" applyAlignment="0" applyProtection="0"/>
    <xf numFmtId="0" fontId="4" fillId="54" borderId="59" applyNumberFormat="0" applyFont="0" applyAlignment="0" applyProtection="0"/>
    <xf numFmtId="0" fontId="42" fillId="41" borderId="57" applyNumberFormat="0" applyAlignment="0" applyProtection="0"/>
    <xf numFmtId="176" fontId="4" fillId="0" borderId="0" applyFont="0" applyFill="0" applyBorder="0" applyAlignment="0" applyProtection="0"/>
    <xf numFmtId="0" fontId="43" fillId="3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4" fillId="5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5" fillId="38" borderId="0" applyNumberFormat="0" applyBorder="0" applyAlignment="0" applyProtection="0"/>
    <xf numFmtId="0" fontId="46" fillId="3" borderId="4" applyNumberFormat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60" applyNumberFormat="0" applyFill="0" applyAlignment="0" applyProtection="0"/>
    <xf numFmtId="0" fontId="50" fillId="0" borderId="61" applyNumberFormat="0" applyFill="0" applyAlignment="0" applyProtection="0"/>
    <xf numFmtId="0" fontId="51" fillId="0" borderId="62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3" applyNumberFormat="0" applyFill="0" applyAlignment="0" applyProtection="0"/>
    <xf numFmtId="0" fontId="53" fillId="56" borderId="64" applyNumberFormat="0" applyAlignment="0" applyProtection="0"/>
    <xf numFmtId="0" fontId="2" fillId="0" borderId="0"/>
    <xf numFmtId="0" fontId="57" fillId="0" borderId="0" applyNumberFormat="0" applyFill="0" applyBorder="0" applyAlignment="0" applyProtection="0"/>
    <xf numFmtId="0" fontId="58" fillId="0" borderId="69" applyNumberFormat="0" applyFill="0" applyAlignment="0" applyProtection="0"/>
    <xf numFmtId="0" fontId="59" fillId="0" borderId="70" applyNumberFormat="0" applyFill="0" applyAlignment="0" applyProtection="0"/>
    <xf numFmtId="0" fontId="60" fillId="0" borderId="71" applyNumberFormat="0" applyFill="0" applyAlignment="0" applyProtection="0"/>
    <xf numFmtId="0" fontId="60" fillId="0" borderId="0" applyNumberFormat="0" applyFill="0" applyBorder="0" applyAlignment="0" applyProtection="0"/>
    <xf numFmtId="0" fontId="61" fillId="65" borderId="0" applyNumberFormat="0" applyBorder="0" applyAlignment="0" applyProtection="0"/>
    <xf numFmtId="0" fontId="62" fillId="66" borderId="0" applyNumberFormat="0" applyBorder="0" applyAlignment="0" applyProtection="0"/>
    <xf numFmtId="0" fontId="63" fillId="67" borderId="0" applyNumberFormat="0" applyBorder="0" applyAlignment="0" applyProtection="0"/>
    <xf numFmtId="0" fontId="64" fillId="68" borderId="72" applyNumberFormat="0" applyAlignment="0" applyProtection="0"/>
    <xf numFmtId="0" fontId="65" fillId="69" borderId="73" applyNumberFormat="0" applyAlignment="0" applyProtection="0"/>
    <xf numFmtId="0" fontId="66" fillId="69" borderId="72" applyNumberFormat="0" applyAlignment="0" applyProtection="0"/>
    <xf numFmtId="0" fontId="67" fillId="0" borderId="74" applyNumberFormat="0" applyFill="0" applyAlignment="0" applyProtection="0"/>
    <xf numFmtId="0" fontId="68" fillId="70" borderId="75" applyNumberFormat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56" fillId="0" borderId="77" applyNumberFormat="0" applyFill="0" applyAlignment="0" applyProtection="0"/>
    <xf numFmtId="0" fontId="71" fillId="72" borderId="0" applyNumberFormat="0" applyBorder="0" applyAlignment="0" applyProtection="0"/>
    <xf numFmtId="0" fontId="1" fillId="73" borderId="0" applyNumberFormat="0" applyBorder="0" applyAlignment="0" applyProtection="0"/>
    <xf numFmtId="0" fontId="1" fillId="74" borderId="0" applyNumberFormat="0" applyBorder="0" applyAlignment="0" applyProtection="0"/>
    <xf numFmtId="0" fontId="71" fillId="75" borderId="0" applyNumberFormat="0" applyBorder="0" applyAlignment="0" applyProtection="0"/>
    <xf numFmtId="0" fontId="7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78" borderId="0" applyNumberFormat="0" applyBorder="0" applyAlignment="0" applyProtection="0"/>
    <xf numFmtId="0" fontId="71" fillId="79" borderId="0" applyNumberFormat="0" applyBorder="0" applyAlignment="0" applyProtection="0"/>
    <xf numFmtId="0" fontId="7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2" borderId="0" applyNumberFormat="0" applyBorder="0" applyAlignment="0" applyProtection="0"/>
    <xf numFmtId="0" fontId="71" fillId="83" borderId="0" applyNumberFormat="0" applyBorder="0" applyAlignment="0" applyProtection="0"/>
    <xf numFmtId="0" fontId="71" fillId="84" borderId="0" applyNumberFormat="0" applyBorder="0" applyAlignment="0" applyProtection="0"/>
    <xf numFmtId="0" fontId="1" fillId="85" borderId="0" applyNumberFormat="0" applyBorder="0" applyAlignment="0" applyProtection="0"/>
    <xf numFmtId="0" fontId="1" fillId="86" borderId="0" applyNumberFormat="0" applyBorder="0" applyAlignment="0" applyProtection="0"/>
    <xf numFmtId="0" fontId="71" fillId="87" borderId="0" applyNumberFormat="0" applyBorder="0" applyAlignment="0" applyProtection="0"/>
    <xf numFmtId="0" fontId="71" fillId="88" borderId="0" applyNumberFormat="0" applyBorder="0" applyAlignment="0" applyProtection="0"/>
    <xf numFmtId="0" fontId="1" fillId="89" borderId="0" applyNumberFormat="0" applyBorder="0" applyAlignment="0" applyProtection="0"/>
    <xf numFmtId="0" fontId="1" fillId="90" borderId="0" applyNumberFormat="0" applyBorder="0" applyAlignment="0" applyProtection="0"/>
    <xf numFmtId="0" fontId="71" fillId="91" borderId="0" applyNumberFormat="0" applyBorder="0" applyAlignment="0" applyProtection="0"/>
    <xf numFmtId="0" fontId="71" fillId="92" borderId="0" applyNumberFormat="0" applyBorder="0" applyAlignment="0" applyProtection="0"/>
    <xf numFmtId="0" fontId="1" fillId="93" borderId="0" applyNumberFormat="0" applyBorder="0" applyAlignment="0" applyProtection="0"/>
    <xf numFmtId="0" fontId="1" fillId="94" borderId="0" applyNumberFormat="0" applyBorder="0" applyAlignment="0" applyProtection="0"/>
    <xf numFmtId="0" fontId="71" fillId="95" borderId="0" applyNumberFormat="0" applyBorder="0" applyAlignment="0" applyProtection="0"/>
    <xf numFmtId="0" fontId="1" fillId="0" borderId="0" applyNumberFormat="0" applyFont="0" applyFill="0" applyBorder="0" applyProtection="0"/>
    <xf numFmtId="0" fontId="1" fillId="71" borderId="76" applyNumberFormat="0" applyFont="0" applyAlignment="0" applyProtection="0"/>
  </cellStyleXfs>
  <cellXfs count="449">
    <xf numFmtId="0" fontId="0" fillId="0" borderId="0" xfId="0"/>
    <xf numFmtId="0" fontId="5" fillId="0" borderId="0" xfId="0" applyFont="1"/>
    <xf numFmtId="0" fontId="5" fillId="0" borderId="0" xfId="0" applyFont="1" applyAlignment="1">
      <alignment horizontal="right"/>
    </xf>
    <xf numFmtId="168" fontId="5" fillId="0" borderId="0" xfId="0" applyNumberFormat="1" applyFont="1" applyFill="1" applyAlignment="1">
      <alignment horizontal="right"/>
    </xf>
    <xf numFmtId="11" fontId="5" fillId="0" borderId="0" xfId="0" applyNumberFormat="1" applyFont="1"/>
    <xf numFmtId="0" fontId="7" fillId="0" borderId="0" xfId="0" applyFont="1" applyAlignment="1">
      <alignment horizontal="right"/>
    </xf>
    <xf numFmtId="11" fontId="7" fillId="0" borderId="0" xfId="0" applyNumberFormat="1" applyFont="1"/>
    <xf numFmtId="0" fontId="7" fillId="0" borderId="0" xfId="0" applyFont="1"/>
    <xf numFmtId="14" fontId="5" fillId="0" borderId="0" xfId="0" applyNumberFormat="1" applyFont="1"/>
    <xf numFmtId="3" fontId="5" fillId="0" borderId="0" xfId="0" applyNumberFormat="1" applyFont="1"/>
    <xf numFmtId="0" fontId="7" fillId="0" borderId="0" xfId="0" applyFont="1" applyFill="1" applyAlignment="1">
      <alignment horizontal="right"/>
    </xf>
    <xf numFmtId="0" fontId="5" fillId="0" borderId="0" xfId="0" applyFont="1" applyFill="1"/>
    <xf numFmtId="0" fontId="5" fillId="13" borderId="0" xfId="0" applyFont="1" applyFill="1"/>
    <xf numFmtId="3" fontId="8" fillId="0" borderId="0" xfId="0" applyNumberFormat="1" applyFont="1" applyFill="1" applyAlignment="1" applyProtection="1">
      <alignment horizontal="right"/>
      <protection locked="0"/>
    </xf>
    <xf numFmtId="14" fontId="7" fillId="0" borderId="0" xfId="0" applyNumberFormat="1" applyFont="1"/>
    <xf numFmtId="0" fontId="8" fillId="15" borderId="0" xfId="0" applyNumberFormat="1" applyFont="1" applyFill="1" applyAlignment="1" applyProtection="1">
      <alignment horizontal="right"/>
    </xf>
    <xf numFmtId="3" fontId="8" fillId="15" borderId="0" xfId="0" applyNumberFormat="1" applyFont="1" applyFill="1" applyAlignment="1" applyProtection="1">
      <alignment horizontal="center"/>
    </xf>
    <xf numFmtId="11" fontId="7" fillId="2" borderId="0" xfId="0" applyNumberFormat="1" applyFont="1" applyFill="1" applyAlignment="1" applyProtection="1">
      <alignment horizontal="right" vertical="center"/>
    </xf>
    <xf numFmtId="14" fontId="7" fillId="0" borderId="0" xfId="0" applyNumberFormat="1" applyFont="1" applyFill="1" applyBorder="1" applyAlignment="1" applyProtection="1">
      <alignment horizontal="right"/>
    </xf>
    <xf numFmtId="3" fontId="8" fillId="0" borderId="0" xfId="0" applyNumberFormat="1" applyFont="1" applyFill="1" applyProtection="1"/>
    <xf numFmtId="3" fontId="7" fillId="2" borderId="5" xfId="0" applyNumberFormat="1" applyFont="1" applyFill="1" applyBorder="1" applyAlignment="1" applyProtection="1">
      <alignment horizontal="right"/>
    </xf>
    <xf numFmtId="3" fontId="8" fillId="0" borderId="5" xfId="0" applyNumberFormat="1" applyFont="1" applyFill="1" applyBorder="1" applyProtection="1"/>
    <xf numFmtId="14" fontId="7" fillId="0" borderId="5" xfId="0" applyNumberFormat="1" applyFont="1" applyFill="1" applyBorder="1" applyAlignment="1" applyProtection="1">
      <alignment horizontal="right"/>
    </xf>
    <xf numFmtId="11" fontId="5" fillId="15" borderId="0" xfId="0" applyNumberFormat="1" applyFont="1" applyFill="1" applyProtection="1"/>
    <xf numFmtId="11" fontId="5" fillId="2" borderId="0" xfId="0" applyNumberFormat="1" applyFont="1" applyFill="1" applyAlignment="1" applyProtection="1">
      <alignment horizontal="right"/>
    </xf>
    <xf numFmtId="3" fontId="5" fillId="0" borderId="0" xfId="0" applyNumberFormat="1" applyFont="1" applyFill="1" applyBorder="1" applyAlignment="1" applyProtection="1">
      <alignment vertical="center"/>
    </xf>
    <xf numFmtId="3" fontId="5" fillId="0" borderId="0" xfId="0" applyNumberFormat="1" applyFont="1" applyFill="1" applyProtection="1"/>
    <xf numFmtId="11" fontId="9" fillId="2" borderId="0" xfId="0" applyNumberFormat="1" applyFont="1" applyFill="1" applyAlignment="1" applyProtection="1">
      <alignment horizontal="right"/>
    </xf>
    <xf numFmtId="3" fontId="7" fillId="0" borderId="0" xfId="0" applyNumberFormat="1" applyFont="1" applyFill="1" applyProtection="1"/>
    <xf numFmtId="11" fontId="7" fillId="15" borderId="0" xfId="0" applyNumberFormat="1" applyFont="1" applyFill="1" applyAlignment="1" applyProtection="1">
      <alignment horizontal="left"/>
    </xf>
    <xf numFmtId="3" fontId="8" fillId="2" borderId="0" xfId="0" applyNumberFormat="1" applyFont="1" applyFill="1" applyAlignment="1" applyProtection="1">
      <alignment horizontal="right"/>
    </xf>
    <xf numFmtId="168" fontId="8" fillId="15" borderId="0" xfId="0" applyNumberFormat="1" applyFont="1" applyFill="1" applyAlignment="1" applyProtection="1">
      <alignment horizontal="center"/>
    </xf>
    <xf numFmtId="11" fontId="8" fillId="2" borderId="0" xfId="0" applyNumberFormat="1" applyFont="1" applyFill="1" applyAlignment="1" applyProtection="1">
      <alignment horizontal="right"/>
    </xf>
    <xf numFmtId="3" fontId="8" fillId="0" borderId="0" xfId="0" applyNumberFormat="1" applyFont="1" applyFill="1" applyProtection="1">
      <protection locked="0"/>
    </xf>
    <xf numFmtId="10" fontId="5" fillId="0" borderId="0" xfId="0" applyNumberFormat="1" applyFont="1"/>
    <xf numFmtId="4" fontId="5" fillId="0" borderId="0" xfId="0" applyNumberFormat="1" applyFont="1"/>
    <xf numFmtId="0" fontId="5" fillId="13" borderId="0" xfId="0" applyFont="1" applyFill="1" applyProtection="1">
      <protection locked="0"/>
    </xf>
    <xf numFmtId="3" fontId="5" fillId="0" borderId="0" xfId="0" applyNumberFormat="1" applyFont="1" applyProtection="1">
      <protection locked="0"/>
    </xf>
    <xf numFmtId="0" fontId="5" fillId="2" borderId="0" xfId="0" applyFont="1" applyFill="1"/>
    <xf numFmtId="0" fontId="5" fillId="0" borderId="0" xfId="0" applyFont="1" applyProtection="1">
      <protection locked="0"/>
    </xf>
    <xf numFmtId="3" fontId="5" fillId="2" borderId="0" xfId="0" applyNumberFormat="1" applyFont="1" applyFill="1"/>
    <xf numFmtId="14" fontId="5" fillId="0" borderId="0" xfId="0" applyNumberFormat="1" applyFont="1" applyProtection="1">
      <protection locked="0"/>
    </xf>
    <xf numFmtId="0" fontId="5" fillId="16" borderId="0" xfId="0" applyFont="1" applyFill="1" applyProtection="1">
      <protection locked="0"/>
    </xf>
    <xf numFmtId="0" fontId="7" fillId="16" borderId="0" xfId="0" applyFont="1" applyFill="1" applyProtection="1">
      <protection locked="0"/>
    </xf>
    <xf numFmtId="0" fontId="7" fillId="15" borderId="0" xfId="0" applyFont="1" applyFill="1" applyProtection="1"/>
    <xf numFmtId="0" fontId="7" fillId="17" borderId="0" xfId="0" applyFont="1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26" fillId="18" borderId="0" xfId="0" applyFont="1" applyFill="1" applyAlignment="1" applyProtection="1">
      <alignment horizontal="center"/>
      <protection locked="0"/>
    </xf>
    <xf numFmtId="2" fontId="5" fillId="16" borderId="0" xfId="0" applyNumberFormat="1" applyFont="1" applyFill="1" applyProtection="1">
      <protection locked="0"/>
    </xf>
    <xf numFmtId="0" fontId="5" fillId="16" borderId="0" xfId="0" applyFont="1" applyFill="1" applyProtection="1"/>
    <xf numFmtId="4" fontId="7" fillId="16" borderId="0" xfId="0" applyNumberFormat="1" applyFont="1" applyFill="1" applyProtection="1"/>
    <xf numFmtId="0" fontId="7" fillId="16" borderId="0" xfId="0" applyFont="1" applyFill="1" applyProtection="1"/>
    <xf numFmtId="0" fontId="5" fillId="16" borderId="0" xfId="0" applyFont="1" applyFill="1" applyAlignment="1" applyProtection="1">
      <alignment horizontal="center"/>
    </xf>
    <xf numFmtId="166" fontId="5" fillId="16" borderId="0" xfId="0" applyNumberFormat="1" applyFont="1" applyFill="1" applyAlignment="1" applyProtection="1">
      <alignment horizontal="center"/>
    </xf>
    <xf numFmtId="0" fontId="7" fillId="16" borderId="0" xfId="0" applyFont="1" applyFill="1" applyAlignment="1" applyProtection="1">
      <alignment horizontal="center"/>
    </xf>
    <xf numFmtId="0" fontId="5" fillId="16" borderId="7" xfId="0" applyFont="1" applyFill="1" applyBorder="1" applyAlignment="1" applyProtection="1">
      <alignment horizontal="right"/>
    </xf>
    <xf numFmtId="166" fontId="7" fillId="16" borderId="8" xfId="12" applyNumberFormat="1" applyFont="1" applyFill="1" applyBorder="1" applyProtection="1"/>
    <xf numFmtId="166" fontId="7" fillId="16" borderId="9" xfId="12" applyNumberFormat="1" applyFont="1" applyFill="1" applyBorder="1" applyProtection="1"/>
    <xf numFmtId="0" fontId="5" fillId="16" borderId="0" xfId="0" applyFont="1" applyFill="1" applyBorder="1" applyAlignment="1" applyProtection="1">
      <alignment horizontal="right"/>
    </xf>
    <xf numFmtId="166" fontId="7" fillId="16" borderId="0" xfId="12" applyNumberFormat="1" applyFont="1" applyFill="1" applyBorder="1" applyProtection="1"/>
    <xf numFmtId="166" fontId="7" fillId="16" borderId="6" xfId="12" applyNumberFormat="1" applyFont="1" applyFill="1" applyBorder="1" applyAlignment="1" applyProtection="1"/>
    <xf numFmtId="3" fontId="7" fillId="0" borderId="0" xfId="0" applyNumberFormat="1" applyFont="1"/>
    <xf numFmtId="170" fontId="5" fillId="0" borderId="0" xfId="0" applyNumberFormat="1" applyFont="1"/>
    <xf numFmtId="170" fontId="7" fillId="0" borderId="0" xfId="0" applyNumberFormat="1" applyFont="1"/>
    <xf numFmtId="0" fontId="5" fillId="16" borderId="11" xfId="0" applyFont="1" applyFill="1" applyBorder="1" applyProtection="1">
      <protection locked="0"/>
    </xf>
    <xf numFmtId="0" fontId="28" fillId="16" borderId="11" xfId="0" applyFont="1" applyFill="1" applyBorder="1" applyProtection="1">
      <protection locked="0"/>
    </xf>
    <xf numFmtId="0" fontId="5" fillId="16" borderId="6" xfId="0" applyFont="1" applyFill="1" applyBorder="1" applyProtection="1">
      <protection locked="0"/>
    </xf>
    <xf numFmtId="0" fontId="7" fillId="16" borderId="6" xfId="0" applyFont="1" applyFill="1" applyBorder="1" applyProtection="1">
      <protection locked="0"/>
    </xf>
    <xf numFmtId="0" fontId="5" fillId="16" borderId="12" xfId="0" applyFont="1" applyFill="1" applyBorder="1" applyProtection="1">
      <protection locked="0"/>
    </xf>
    <xf numFmtId="4" fontId="7" fillId="16" borderId="7" xfId="0" applyNumberFormat="1" applyFont="1" applyFill="1" applyBorder="1" applyAlignment="1" applyProtection="1">
      <alignment horizontal="center"/>
    </xf>
    <xf numFmtId="4" fontId="7" fillId="16" borderId="8" xfId="0" applyNumberFormat="1" applyFont="1" applyFill="1" applyBorder="1" applyAlignment="1" applyProtection="1">
      <alignment horizontal="center"/>
    </xf>
    <xf numFmtId="4" fontId="7" fillId="16" borderId="9" xfId="0" applyNumberFormat="1" applyFont="1" applyFill="1" applyBorder="1" applyAlignment="1" applyProtection="1">
      <alignment horizontal="center"/>
    </xf>
    <xf numFmtId="0" fontId="27" fillId="16" borderId="0" xfId="0" applyFont="1" applyFill="1" applyProtection="1">
      <protection locked="0"/>
    </xf>
    <xf numFmtId="14" fontId="5" fillId="16" borderId="0" xfId="0" applyNumberFormat="1" applyFont="1" applyFill="1" applyProtection="1">
      <protection locked="0"/>
    </xf>
    <xf numFmtId="0" fontId="5" fillId="20" borderId="0" xfId="0" applyFont="1" applyFill="1" applyProtection="1">
      <protection locked="0"/>
    </xf>
    <xf numFmtId="0" fontId="29" fillId="21" borderId="1" xfId="0" applyFont="1" applyFill="1" applyBorder="1"/>
    <xf numFmtId="0" fontId="29" fillId="21" borderId="14" xfId="0" applyFont="1" applyFill="1" applyBorder="1"/>
    <xf numFmtId="0" fontId="30" fillId="21" borderId="16" xfId="0" applyFont="1" applyFill="1" applyBorder="1"/>
    <xf numFmtId="0" fontId="30" fillId="21" borderId="0" xfId="0" applyFont="1" applyFill="1" applyBorder="1"/>
    <xf numFmtId="165" fontId="30" fillId="21" borderId="0" xfId="0" applyNumberFormat="1" applyFont="1" applyFill="1" applyBorder="1"/>
    <xf numFmtId="165" fontId="30" fillId="21" borderId="11" xfId="0" applyNumberFormat="1" applyFont="1" applyFill="1" applyBorder="1"/>
    <xf numFmtId="171" fontId="30" fillId="21" borderId="0" xfId="0" applyNumberFormat="1" applyFont="1" applyFill="1" applyBorder="1"/>
    <xf numFmtId="165" fontId="30" fillId="21" borderId="6" xfId="0" applyNumberFormat="1" applyFont="1" applyFill="1" applyBorder="1"/>
    <xf numFmtId="0" fontId="30" fillId="21" borderId="6" xfId="0" applyFont="1" applyFill="1" applyBorder="1" applyAlignment="1">
      <alignment horizontal="right"/>
    </xf>
    <xf numFmtId="0" fontId="29" fillId="21" borderId="15" xfId="0" applyFont="1" applyFill="1" applyBorder="1"/>
    <xf numFmtId="0" fontId="30" fillId="21" borderId="12" xfId="0" applyFont="1" applyFill="1" applyBorder="1" applyAlignment="1">
      <alignment horizontal="right"/>
    </xf>
    <xf numFmtId="0" fontId="30" fillId="21" borderId="17" xfId="0" quotePrefix="1" applyFont="1" applyFill="1" applyBorder="1" applyAlignment="1"/>
    <xf numFmtId="0" fontId="29" fillId="21" borderId="14" xfId="0" applyFont="1" applyFill="1" applyBorder="1" applyAlignment="1">
      <alignment horizontal="right"/>
    </xf>
    <xf numFmtId="0" fontId="30" fillId="0" borderId="0" xfId="0" applyFont="1"/>
    <xf numFmtId="14" fontId="30" fillId="0" borderId="0" xfId="0" applyNumberFormat="1" applyFont="1"/>
    <xf numFmtId="10" fontId="30" fillId="0" borderId="0" xfId="0" applyNumberFormat="1" applyFont="1"/>
    <xf numFmtId="167" fontId="30" fillId="21" borderId="0" xfId="0" applyNumberFormat="1" applyFont="1" applyFill="1" applyBorder="1"/>
    <xf numFmtId="165" fontId="5" fillId="20" borderId="11" xfId="0" applyNumberFormat="1" applyFont="1" applyFill="1" applyBorder="1"/>
    <xf numFmtId="0" fontId="5" fillId="19" borderId="0" xfId="0" applyFont="1" applyFill="1"/>
    <xf numFmtId="0" fontId="7" fillId="19" borderId="0" xfId="0" applyFont="1" applyFill="1"/>
    <xf numFmtId="2" fontId="7" fillId="15" borderId="0" xfId="0" applyNumberFormat="1" applyFont="1" applyFill="1" applyAlignment="1" applyProtection="1">
      <alignment horizontal="center"/>
    </xf>
    <xf numFmtId="14" fontId="30" fillId="0" borderId="0" xfId="0" applyNumberFormat="1" applyFont="1" applyAlignment="1">
      <alignment horizontal="right"/>
    </xf>
    <xf numFmtId="165" fontId="30" fillId="0" borderId="0" xfId="0" applyNumberFormat="1" applyFont="1"/>
    <xf numFmtId="165" fontId="29" fillId="0" borderId="0" xfId="0" applyNumberFormat="1" applyFont="1"/>
    <xf numFmtId="3" fontId="31" fillId="22" borderId="18" xfId="19" applyNumberFormat="1" applyFont="1" applyFill="1" applyBorder="1" applyAlignment="1" applyProtection="1">
      <alignment textRotation="45" wrapText="1"/>
      <protection locked="0"/>
    </xf>
    <xf numFmtId="3" fontId="31" fillId="22" borderId="19" xfId="19" applyNumberFormat="1" applyFont="1" applyFill="1" applyBorder="1" applyAlignment="1" applyProtection="1">
      <alignment textRotation="45" wrapText="1"/>
      <protection locked="0"/>
    </xf>
    <xf numFmtId="14" fontId="31" fillId="22" borderId="18" xfId="19" applyNumberFormat="1" applyFont="1" applyFill="1" applyBorder="1" applyAlignment="1" applyProtection="1">
      <alignment textRotation="45" wrapText="1"/>
      <protection locked="0"/>
    </xf>
    <xf numFmtId="165" fontId="31" fillId="22" borderId="19" xfId="19" applyNumberFormat="1" applyFont="1" applyFill="1" applyBorder="1" applyAlignment="1" applyProtection="1">
      <alignment textRotation="45" wrapText="1"/>
      <protection locked="0"/>
    </xf>
    <xf numFmtId="3" fontId="31" fillId="22" borderId="20" xfId="19" applyNumberFormat="1" applyFont="1" applyFill="1" applyBorder="1" applyAlignment="1" applyProtection="1">
      <alignment textRotation="45" wrapText="1"/>
      <protection locked="0"/>
    </xf>
    <xf numFmtId="172" fontId="31" fillId="22" borderId="21" xfId="19" applyNumberFormat="1" applyFont="1" applyFill="1" applyBorder="1" applyAlignment="1" applyProtection="1">
      <alignment textRotation="45" wrapText="1"/>
    </xf>
    <xf numFmtId="170" fontId="31" fillId="22" borderId="19" xfId="19" applyNumberFormat="1" applyFont="1" applyFill="1" applyBorder="1" applyAlignment="1" applyProtection="1">
      <alignment textRotation="45" wrapText="1"/>
    </xf>
    <xf numFmtId="169" fontId="31" fillId="22" borderId="19" xfId="19" applyNumberFormat="1" applyFont="1" applyFill="1" applyBorder="1" applyAlignment="1" applyProtection="1">
      <alignment textRotation="45" wrapText="1"/>
    </xf>
    <xf numFmtId="171" fontId="31" fillId="22" borderId="19" xfId="19" applyNumberFormat="1" applyFont="1" applyFill="1" applyBorder="1" applyAlignment="1" applyProtection="1">
      <alignment textRotation="45" wrapText="1"/>
    </xf>
    <xf numFmtId="173" fontId="31" fillId="22" borderId="19" xfId="19" applyNumberFormat="1" applyFont="1" applyFill="1" applyBorder="1" applyAlignment="1" applyProtection="1">
      <alignment textRotation="45" wrapText="1"/>
    </xf>
    <xf numFmtId="1" fontId="31" fillId="22" borderId="19" xfId="19" applyNumberFormat="1" applyFont="1" applyFill="1" applyBorder="1" applyAlignment="1" applyProtection="1">
      <alignment textRotation="45" wrapText="1"/>
    </xf>
    <xf numFmtId="3" fontId="31" fillId="23" borderId="22" xfId="19" applyNumberFormat="1" applyFont="1" applyFill="1" applyBorder="1" applyAlignment="1" applyProtection="1">
      <alignment textRotation="45" wrapText="1"/>
    </xf>
    <xf numFmtId="0" fontId="31" fillId="24" borderId="23" xfId="19" applyFont="1" applyFill="1" applyBorder="1" applyAlignment="1">
      <alignment textRotation="45" wrapText="1"/>
    </xf>
    <xf numFmtId="0" fontId="31" fillId="24" borderId="24" xfId="19" applyFont="1" applyFill="1" applyBorder="1" applyAlignment="1">
      <alignment textRotation="45" wrapText="1"/>
    </xf>
    <xf numFmtId="3" fontId="31" fillId="24" borderId="24" xfId="19" applyNumberFormat="1" applyFont="1" applyFill="1" applyBorder="1" applyAlignment="1">
      <alignment textRotation="45" wrapText="1"/>
    </xf>
    <xf numFmtId="0" fontId="30" fillId="0" borderId="25" xfId="0" applyFont="1" applyBorder="1" applyAlignment="1">
      <alignment textRotation="45" wrapText="1"/>
    </xf>
    <xf numFmtId="3" fontId="31" fillId="25" borderId="26" xfId="19" applyNumberFormat="1" applyFont="1" applyFill="1" applyBorder="1" applyProtection="1">
      <protection locked="0"/>
    </xf>
    <xf numFmtId="14" fontId="5" fillId="26" borderId="28" xfId="19" applyNumberFormat="1" applyFont="1" applyFill="1" applyBorder="1" applyProtection="1">
      <protection locked="0"/>
    </xf>
    <xf numFmtId="165" fontId="5" fillId="26" borderId="26" xfId="19" applyNumberFormat="1" applyFont="1" applyFill="1" applyBorder="1" applyProtection="1">
      <protection locked="0"/>
    </xf>
    <xf numFmtId="3" fontId="5" fillId="26" borderId="26" xfId="19" applyNumberFormat="1" applyFont="1" applyFill="1" applyBorder="1" applyProtection="1">
      <protection locked="0"/>
    </xf>
    <xf numFmtId="3" fontId="5" fillId="26" borderId="29" xfId="19" applyNumberFormat="1" applyFont="1" applyFill="1" applyBorder="1" applyProtection="1">
      <protection locked="0"/>
    </xf>
    <xf numFmtId="172" fontId="5" fillId="27" borderId="30" xfId="19" applyNumberFormat="1" applyFont="1" applyFill="1" applyBorder="1" applyProtection="1"/>
    <xf numFmtId="170" fontId="5" fillId="27" borderId="26" xfId="19" applyNumberFormat="1" applyFont="1" applyFill="1" applyBorder="1" applyProtection="1"/>
    <xf numFmtId="169" fontId="5" fillId="27" borderId="26" xfId="19" applyNumberFormat="1" applyFont="1" applyFill="1" applyBorder="1" applyProtection="1"/>
    <xf numFmtId="173" fontId="5" fillId="27" borderId="26" xfId="19" applyNumberFormat="1" applyFont="1" applyFill="1" applyBorder="1" applyProtection="1"/>
    <xf numFmtId="165" fontId="5" fillId="27" borderId="26" xfId="19" applyNumberFormat="1" applyFont="1" applyFill="1" applyBorder="1" applyProtection="1"/>
    <xf numFmtId="3" fontId="5" fillId="28" borderId="31" xfId="19" applyNumberFormat="1" applyFont="1" applyFill="1" applyBorder="1" applyProtection="1"/>
    <xf numFmtId="14" fontId="5" fillId="19" borderId="32" xfId="19" applyNumberFormat="1" applyFont="1" applyFill="1" applyBorder="1"/>
    <xf numFmtId="14" fontId="5" fillId="19" borderId="33" xfId="19" applyNumberFormat="1" applyFont="1" applyFill="1" applyBorder="1"/>
    <xf numFmtId="165" fontId="5" fillId="19" borderId="33" xfId="19" applyNumberFormat="1" applyFont="1" applyFill="1" applyBorder="1"/>
    <xf numFmtId="3" fontId="5" fillId="19" borderId="33" xfId="19" applyNumberFormat="1" applyFont="1" applyFill="1" applyBorder="1"/>
    <xf numFmtId="0" fontId="5" fillId="19" borderId="33" xfId="19" applyFont="1" applyFill="1" applyBorder="1"/>
    <xf numFmtId="3" fontId="31" fillId="25" borderId="34" xfId="19" applyNumberFormat="1" applyFont="1" applyFill="1" applyBorder="1" applyProtection="1">
      <protection locked="0"/>
    </xf>
    <xf numFmtId="14" fontId="30" fillId="0" borderId="35" xfId="0" applyNumberFormat="1" applyFont="1" applyBorder="1"/>
    <xf numFmtId="165" fontId="30" fillId="0" borderId="0" xfId="0" applyNumberFormat="1" applyFont="1" applyBorder="1"/>
    <xf numFmtId="0" fontId="30" fillId="0" borderId="0" xfId="0" applyFont="1" applyBorder="1"/>
    <xf numFmtId="0" fontId="30" fillId="0" borderId="36" xfId="0" applyFont="1" applyBorder="1"/>
    <xf numFmtId="172" fontId="30" fillId="0" borderId="0" xfId="0" applyNumberFormat="1" applyFont="1" applyProtection="1"/>
    <xf numFmtId="170" fontId="30" fillId="0" borderId="0" xfId="0" applyNumberFormat="1" applyFont="1" applyProtection="1"/>
    <xf numFmtId="169" fontId="30" fillId="0" borderId="0" xfId="0" applyNumberFormat="1" applyFont="1" applyProtection="1"/>
    <xf numFmtId="165" fontId="30" fillId="0" borderId="0" xfId="0" applyNumberFormat="1" applyFont="1" applyProtection="1"/>
    <xf numFmtId="1" fontId="30" fillId="0" borderId="0" xfId="0" applyNumberFormat="1" applyFont="1" applyProtection="1"/>
    <xf numFmtId="3" fontId="30" fillId="0" borderId="37" xfId="0" applyNumberFormat="1" applyFont="1" applyFill="1" applyBorder="1" applyProtection="1"/>
    <xf numFmtId="3" fontId="30" fillId="0" borderId="0" xfId="0" applyNumberFormat="1" applyFont="1"/>
    <xf numFmtId="1" fontId="5" fillId="27" borderId="27" xfId="19" applyNumberFormat="1" applyFont="1" applyFill="1" applyBorder="1" applyProtection="1"/>
    <xf numFmtId="3" fontId="5" fillId="14" borderId="6" xfId="0" applyNumberFormat="1" applyFont="1" applyFill="1" applyBorder="1" applyProtection="1"/>
    <xf numFmtId="3" fontId="7" fillId="20" borderId="5" xfId="0" applyNumberFormat="1" applyFont="1" applyFill="1" applyBorder="1" applyAlignment="1" applyProtection="1">
      <alignment horizontal="right"/>
    </xf>
    <xf numFmtId="11" fontId="7" fillId="15" borderId="5" xfId="0" applyNumberFormat="1" applyFont="1" applyFill="1" applyBorder="1" applyProtection="1"/>
    <xf numFmtId="173" fontId="30" fillId="0" borderId="0" xfId="0" applyNumberFormat="1" applyFont="1" applyProtection="1"/>
    <xf numFmtId="0" fontId="7" fillId="17" borderId="0" xfId="0" applyFont="1" applyFill="1" applyAlignment="1" applyProtection="1">
      <alignment horizontal="right"/>
      <protection locked="0"/>
    </xf>
    <xf numFmtId="0" fontId="5" fillId="16" borderId="7" xfId="0" applyFont="1" applyFill="1" applyBorder="1" applyProtection="1"/>
    <xf numFmtId="0" fontId="7" fillId="29" borderId="7" xfId="0" applyFont="1" applyFill="1" applyBorder="1" applyAlignment="1" applyProtection="1">
      <alignment horizontal="center"/>
    </xf>
    <xf numFmtId="0" fontId="7" fillId="29" borderId="8" xfId="0" applyFont="1" applyFill="1" applyBorder="1" applyAlignment="1" applyProtection="1">
      <alignment horizontal="center"/>
    </xf>
    <xf numFmtId="0" fontId="7" fillId="29" borderId="9" xfId="0" applyFont="1" applyFill="1" applyBorder="1" applyAlignment="1" applyProtection="1">
      <alignment horizontal="center"/>
    </xf>
    <xf numFmtId="0" fontId="5" fillId="16" borderId="0" xfId="0" applyFont="1" applyFill="1" applyAlignment="1" applyProtection="1">
      <alignment horizontal="right"/>
      <protection locked="0"/>
    </xf>
    <xf numFmtId="3" fontId="5" fillId="19" borderId="0" xfId="0" applyNumberFormat="1" applyFont="1" applyFill="1"/>
    <xf numFmtId="175" fontId="5" fillId="16" borderId="0" xfId="0" applyNumberFormat="1" applyFont="1" applyFill="1" applyAlignment="1" applyProtection="1">
      <alignment horizontal="left"/>
      <protection locked="0"/>
    </xf>
    <xf numFmtId="0" fontId="7" fillId="19" borderId="38" xfId="0" applyFont="1" applyFill="1" applyBorder="1"/>
    <xf numFmtId="0" fontId="7" fillId="19" borderId="39" xfId="0" applyFont="1" applyFill="1" applyBorder="1"/>
    <xf numFmtId="0" fontId="7" fillId="19" borderId="40" xfId="0" applyFont="1" applyFill="1" applyBorder="1"/>
    <xf numFmtId="0" fontId="7" fillId="19" borderId="41" xfId="0" applyFont="1" applyFill="1" applyBorder="1"/>
    <xf numFmtId="1" fontId="5" fillId="19" borderId="0" xfId="0" applyNumberFormat="1" applyFont="1" applyFill="1" applyBorder="1"/>
    <xf numFmtId="1" fontId="5" fillId="19" borderId="42" xfId="0" applyNumberFormat="1" applyFont="1" applyFill="1" applyBorder="1"/>
    <xf numFmtId="0" fontId="7" fillId="19" borderId="43" xfId="0" quotePrefix="1" applyFont="1" applyFill="1" applyBorder="1"/>
    <xf numFmtId="1" fontId="5" fillId="19" borderId="5" xfId="0" applyNumberFormat="1" applyFont="1" applyFill="1" applyBorder="1"/>
    <xf numFmtId="1" fontId="5" fillId="19" borderId="44" xfId="0" applyNumberFormat="1" applyFont="1" applyFill="1" applyBorder="1"/>
    <xf numFmtId="173" fontId="5" fillId="19" borderId="0" xfId="0" applyNumberFormat="1" applyFont="1" applyFill="1" applyBorder="1"/>
    <xf numFmtId="173" fontId="5" fillId="19" borderId="42" xfId="0" applyNumberFormat="1" applyFont="1" applyFill="1" applyBorder="1"/>
    <xf numFmtId="173" fontId="5" fillId="0" borderId="0" xfId="0" applyNumberFormat="1" applyFont="1"/>
    <xf numFmtId="173" fontId="7" fillId="19" borderId="41" xfId="0" applyNumberFormat="1" applyFont="1" applyFill="1" applyBorder="1"/>
    <xf numFmtId="173" fontId="5" fillId="19" borderId="5" xfId="0" applyNumberFormat="1" applyFont="1" applyFill="1" applyBorder="1"/>
    <xf numFmtId="173" fontId="5" fillId="19" borderId="44" xfId="0" applyNumberFormat="1" applyFont="1" applyFill="1" applyBorder="1"/>
    <xf numFmtId="173" fontId="7" fillId="19" borderId="43" xfId="0" quotePrefix="1" applyNumberFormat="1" applyFont="1" applyFill="1" applyBorder="1"/>
    <xf numFmtId="0" fontId="7" fillId="19" borderId="45" xfId="0" applyFont="1" applyFill="1" applyBorder="1"/>
    <xf numFmtId="173" fontId="5" fillId="19" borderId="46" xfId="0" applyNumberFormat="1" applyFont="1" applyFill="1" applyBorder="1"/>
    <xf numFmtId="0" fontId="7" fillId="19" borderId="47" xfId="0" applyFont="1" applyFill="1" applyBorder="1"/>
    <xf numFmtId="173" fontId="5" fillId="19" borderId="48" xfId="0" applyNumberFormat="1" applyFont="1" applyFill="1" applyBorder="1"/>
    <xf numFmtId="173" fontId="5" fillId="19" borderId="49" xfId="0" applyNumberFormat="1" applyFont="1" applyFill="1" applyBorder="1"/>
    <xf numFmtId="0" fontId="32" fillId="30" borderId="50" xfId="0" applyFont="1" applyFill="1" applyBorder="1" applyAlignment="1">
      <alignment horizontal="center"/>
    </xf>
    <xf numFmtId="1" fontId="32" fillId="30" borderId="50" xfId="0" applyNumberFormat="1" applyFont="1" applyFill="1" applyBorder="1" applyAlignment="1">
      <alignment horizontal="center"/>
    </xf>
    <xf numFmtId="0" fontId="33" fillId="32" borderId="51" xfId="0" applyFont="1" applyFill="1" applyBorder="1"/>
    <xf numFmtId="1" fontId="34" fillId="32" borderId="51" xfId="0" applyNumberFormat="1" applyFont="1" applyFill="1" applyBorder="1" applyAlignment="1">
      <alignment horizontal="center" vertical="center"/>
    </xf>
    <xf numFmtId="1" fontId="35" fillId="32" borderId="51" xfId="12" applyNumberFormat="1" applyFont="1" applyFill="1" applyBorder="1" applyAlignment="1">
      <alignment horizontal="center" vertical="center"/>
    </xf>
    <xf numFmtId="0" fontId="33" fillId="31" borderId="51" xfId="0" applyFont="1" applyFill="1" applyBorder="1"/>
    <xf numFmtId="1" fontId="34" fillId="31" borderId="51" xfId="0" applyNumberFormat="1" applyFont="1" applyFill="1" applyBorder="1" applyAlignment="1">
      <alignment horizontal="center" vertical="center"/>
    </xf>
    <xf numFmtId="1" fontId="35" fillId="31" borderId="51" xfId="12" applyNumberFormat="1" applyFont="1" applyFill="1" applyBorder="1" applyAlignment="1">
      <alignment horizontal="center" vertical="center"/>
    </xf>
    <xf numFmtId="0" fontId="33" fillId="32" borderId="52" xfId="0" applyFont="1" applyFill="1" applyBorder="1"/>
    <xf numFmtId="1" fontId="34" fillId="32" borderId="52" xfId="0" applyNumberFormat="1" applyFont="1" applyFill="1" applyBorder="1" applyAlignment="1">
      <alignment horizontal="center" vertical="center"/>
    </xf>
    <xf numFmtId="1" fontId="35" fillId="32" borderId="52" xfId="12" applyNumberFormat="1" applyFont="1" applyFill="1" applyBorder="1" applyAlignment="1">
      <alignment horizontal="center" vertical="center"/>
    </xf>
    <xf numFmtId="0" fontId="36" fillId="32" borderId="53" xfId="0" applyFont="1" applyFill="1" applyBorder="1"/>
    <xf numFmtId="174" fontId="5" fillId="33" borderId="0" xfId="0" applyNumberFormat="1" applyFont="1" applyFill="1"/>
    <xf numFmtId="174" fontId="36" fillId="32" borderId="54" xfId="0" applyNumberFormat="1" applyFont="1" applyFill="1" applyBorder="1"/>
    <xf numFmtId="3" fontId="5" fillId="26" borderId="28" xfId="19" applyNumberFormat="1" applyFont="1" applyFill="1" applyBorder="1" applyProtection="1">
      <protection locked="0"/>
    </xf>
    <xf numFmtId="3" fontId="30" fillId="0" borderId="35" xfId="0" applyNumberFormat="1" applyFont="1" applyBorder="1"/>
    <xf numFmtId="0" fontId="5" fillId="16" borderId="1" xfId="0" applyFont="1" applyFill="1" applyBorder="1" applyProtection="1">
      <protection locked="0"/>
    </xf>
    <xf numFmtId="0" fontId="5" fillId="16" borderId="14" xfId="0" applyFont="1" applyFill="1" applyBorder="1" applyProtection="1">
      <protection locked="0"/>
    </xf>
    <xf numFmtId="0" fontId="5" fillId="16" borderId="15" xfId="0" applyFont="1" applyFill="1" applyBorder="1" applyProtection="1">
      <protection locked="0"/>
    </xf>
    <xf numFmtId="0" fontId="5" fillId="16" borderId="16" xfId="0" applyFont="1" applyFill="1" applyBorder="1" applyProtection="1">
      <protection locked="0"/>
    </xf>
    <xf numFmtId="0" fontId="5" fillId="16" borderId="0" xfId="0" applyFont="1" applyFill="1" applyBorder="1" applyProtection="1">
      <protection locked="0"/>
    </xf>
    <xf numFmtId="0" fontId="5" fillId="16" borderId="17" xfId="0" applyFont="1" applyFill="1" applyBorder="1" applyProtection="1">
      <protection locked="0"/>
    </xf>
    <xf numFmtId="175" fontId="5" fillId="16" borderId="0" xfId="0" applyNumberFormat="1" applyFont="1" applyFill="1" applyProtection="1">
      <protection locked="0"/>
    </xf>
    <xf numFmtId="3" fontId="31" fillId="22" borderId="21" xfId="19" applyNumberFormat="1" applyFont="1" applyFill="1" applyBorder="1" applyAlignment="1" applyProtection="1">
      <alignment textRotation="45" wrapText="1"/>
      <protection locked="0"/>
    </xf>
    <xf numFmtId="3" fontId="31" fillId="25" borderId="30" xfId="19" applyNumberFormat="1" applyFont="1" applyFill="1" applyBorder="1" applyProtection="1">
      <protection locked="0"/>
    </xf>
    <xf numFmtId="174" fontId="5" fillId="26" borderId="26" xfId="19" applyNumberFormat="1" applyFont="1" applyFill="1" applyBorder="1" applyProtection="1">
      <protection locked="0"/>
    </xf>
    <xf numFmtId="165" fontId="5" fillId="0" borderId="0" xfId="0" applyNumberFormat="1" applyFont="1"/>
    <xf numFmtId="174" fontId="31" fillId="22" borderId="19" xfId="19" applyNumberFormat="1" applyFont="1" applyFill="1" applyBorder="1" applyAlignment="1" applyProtection="1">
      <alignment textRotation="45" wrapText="1"/>
      <protection locked="0"/>
    </xf>
    <xf numFmtId="174" fontId="30" fillId="0" borderId="0" xfId="0" applyNumberFormat="1" applyFont="1" applyBorder="1"/>
    <xf numFmtId="0" fontId="5" fillId="0" borderId="0" xfId="19" applyFont="1"/>
    <xf numFmtId="0" fontId="7" fillId="0" borderId="0" xfId="19" applyFont="1" applyAlignment="1">
      <alignment horizontal="right"/>
    </xf>
    <xf numFmtId="20" fontId="5" fillId="35" borderId="65" xfId="19" applyNumberFormat="1" applyFont="1" applyFill="1" applyBorder="1"/>
    <xf numFmtId="20" fontId="5" fillId="35" borderId="66" xfId="19" applyNumberFormat="1" applyFont="1" applyFill="1" applyBorder="1"/>
    <xf numFmtId="20" fontId="5" fillId="35" borderId="67" xfId="19" applyNumberFormat="1" applyFont="1" applyFill="1" applyBorder="1"/>
    <xf numFmtId="20" fontId="5" fillId="35" borderId="56" xfId="19" applyNumberFormat="1" applyFont="1" applyFill="1" applyBorder="1"/>
    <xf numFmtId="20" fontId="7" fillId="35" borderId="0" xfId="19" applyNumberFormat="1" applyFont="1" applyFill="1" applyBorder="1" applyAlignment="1">
      <alignment horizontal="right"/>
    </xf>
    <xf numFmtId="0" fontId="5" fillId="57" borderId="0" xfId="19" applyFont="1" applyFill="1" applyBorder="1" applyAlignment="1" applyProtection="1">
      <alignment horizontal="right"/>
      <protection locked="0"/>
    </xf>
    <xf numFmtId="20" fontId="5" fillId="35" borderId="42" xfId="19" applyNumberFormat="1" applyFont="1" applyFill="1" applyBorder="1"/>
    <xf numFmtId="20" fontId="5" fillId="35" borderId="0" xfId="19" applyNumberFormat="1" applyFont="1" applyFill="1" applyBorder="1" applyAlignment="1">
      <alignment horizontal="center"/>
    </xf>
    <xf numFmtId="169" fontId="5" fillId="35" borderId="0" xfId="19" applyNumberFormat="1" applyFont="1" applyFill="1" applyBorder="1" applyAlignment="1">
      <alignment horizontal="right" shrinkToFit="1"/>
    </xf>
    <xf numFmtId="20" fontId="5" fillId="35" borderId="42" xfId="19" quotePrefix="1" applyNumberFormat="1" applyFont="1" applyFill="1" applyBorder="1"/>
    <xf numFmtId="0" fontId="5" fillId="35" borderId="0" xfId="19" applyFont="1" applyFill="1" applyBorder="1" applyAlignment="1">
      <alignment horizontal="right"/>
    </xf>
    <xf numFmtId="165" fontId="7" fillId="35" borderId="0" xfId="20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 applyProtection="1">
      <alignment horizontal="left"/>
      <protection locked="0"/>
    </xf>
    <xf numFmtId="165" fontId="5" fillId="57" borderId="0" xfId="19" applyNumberFormat="1" applyFont="1" applyFill="1" applyBorder="1" applyAlignment="1" applyProtection="1">
      <alignment horizontal="right"/>
      <protection locked="0"/>
    </xf>
    <xf numFmtId="169" fontId="7" fillId="35" borderId="0" xfId="19" applyNumberFormat="1" applyFont="1" applyFill="1" applyBorder="1" applyAlignment="1">
      <alignment horizontal="right"/>
    </xf>
    <xf numFmtId="165" fontId="5" fillId="35" borderId="0" xfId="20" applyNumberFormat="1" applyFont="1" applyFill="1" applyBorder="1" applyAlignment="1">
      <alignment horizontal="right"/>
    </xf>
    <xf numFmtId="0" fontId="7" fillId="35" borderId="0" xfId="19" applyFont="1" applyFill="1" applyAlignment="1">
      <alignment horizontal="right"/>
    </xf>
    <xf numFmtId="2" fontId="7" fillId="35" borderId="0" xfId="19" applyNumberFormat="1" applyFont="1" applyFill="1"/>
    <xf numFmtId="20" fontId="7" fillId="35" borderId="42" xfId="19" applyNumberFormat="1" applyFont="1" applyFill="1" applyBorder="1"/>
    <xf numFmtId="173" fontId="7" fillId="35" borderId="0" xfId="19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>
      <alignment horizontal="left"/>
    </xf>
    <xf numFmtId="167" fontId="5" fillId="35" borderId="0" xfId="19" applyNumberFormat="1" applyFont="1" applyFill="1" applyBorder="1" applyAlignment="1">
      <alignment horizontal="right"/>
    </xf>
    <xf numFmtId="20" fontId="9" fillId="35" borderId="42" xfId="19" applyNumberFormat="1" applyFont="1" applyFill="1" applyBorder="1" applyAlignment="1">
      <alignment horizontal="center"/>
    </xf>
    <xf numFmtId="20" fontId="5" fillId="35" borderId="42" xfId="19" applyNumberFormat="1" applyFont="1" applyFill="1" applyBorder="1" applyAlignment="1">
      <alignment horizontal="center"/>
    </xf>
    <xf numFmtId="177" fontId="5" fillId="35" borderId="0" xfId="19" applyNumberFormat="1" applyFont="1" applyFill="1" applyBorder="1" applyAlignment="1">
      <alignment horizontal="right"/>
    </xf>
    <xf numFmtId="14" fontId="5" fillId="57" borderId="0" xfId="19" applyNumberFormat="1" applyFont="1" applyFill="1" applyBorder="1" applyAlignment="1" applyProtection="1">
      <alignment horizontal="right"/>
      <protection locked="0"/>
    </xf>
    <xf numFmtId="20" fontId="5" fillId="35" borderId="68" xfId="19" applyNumberFormat="1" applyFont="1" applyFill="1" applyBorder="1"/>
    <xf numFmtId="20" fontId="5" fillId="35" borderId="5" xfId="19" applyNumberFormat="1" applyFont="1" applyFill="1" applyBorder="1"/>
    <xf numFmtId="20" fontId="5" fillId="35" borderId="44" xfId="19" applyNumberFormat="1" applyFont="1" applyFill="1" applyBorder="1"/>
    <xf numFmtId="0" fontId="54" fillId="59" borderId="0" xfId="19" applyFont="1" applyFill="1" applyProtection="1"/>
    <xf numFmtId="0" fontId="7" fillId="34" borderId="0" xfId="19" applyFont="1" applyFill="1" applyProtection="1"/>
    <xf numFmtId="0" fontId="7" fillId="60" borderId="0" xfId="19" applyFont="1" applyFill="1" applyProtection="1"/>
    <xf numFmtId="0" fontId="5" fillId="14" borderId="0" xfId="19" applyFont="1" applyFill="1" applyProtection="1"/>
    <xf numFmtId="14" fontId="31" fillId="61" borderId="0" xfId="19" applyNumberFormat="1" applyFont="1" applyFill="1" applyProtection="1"/>
    <xf numFmtId="0" fontId="31" fillId="61" borderId="0" xfId="19" applyFont="1" applyFill="1" applyProtection="1"/>
    <xf numFmtId="0" fontId="31" fillId="61" borderId="0" xfId="19" quotePrefix="1" applyFont="1" applyFill="1" applyProtection="1"/>
    <xf numFmtId="0" fontId="5" fillId="58" borderId="56" xfId="19" applyFont="1" applyFill="1" applyBorder="1"/>
    <xf numFmtId="0" fontId="7" fillId="58" borderId="0" xfId="19" applyFont="1" applyFill="1" applyBorder="1" applyAlignment="1">
      <alignment horizontal="right"/>
    </xf>
    <xf numFmtId="0" fontId="5" fillId="58" borderId="42" xfId="19" applyFont="1" applyFill="1" applyBorder="1" applyAlignment="1">
      <alignment horizontal="right"/>
    </xf>
    <xf numFmtId="14" fontId="54" fillId="59" borderId="0" xfId="19" applyNumberFormat="1" applyFont="1" applyFill="1" applyProtection="1"/>
    <xf numFmtId="0" fontId="5" fillId="34" borderId="0" xfId="19" applyFont="1" applyFill="1" applyProtection="1"/>
    <xf numFmtId="0" fontId="5" fillId="60" borderId="0" xfId="19" applyFont="1" applyFill="1" applyProtection="1"/>
    <xf numFmtId="0" fontId="5" fillId="60" borderId="0" xfId="19" quotePrefix="1" applyFont="1" applyFill="1" applyProtection="1"/>
    <xf numFmtId="0" fontId="5" fillId="14" borderId="0" xfId="19" quotePrefix="1" applyFont="1" applyFill="1" applyProtection="1"/>
    <xf numFmtId="0" fontId="54" fillId="59" borderId="0" xfId="19" quotePrefix="1" applyFont="1" applyFill="1" applyProtection="1"/>
    <xf numFmtId="0" fontId="7" fillId="58" borderId="42" xfId="19" applyFont="1" applyFill="1" applyBorder="1" applyAlignment="1">
      <alignment horizontal="right"/>
    </xf>
    <xf numFmtId="2" fontId="7" fillId="58" borderId="0" xfId="19" applyNumberFormat="1" applyFont="1" applyFill="1" applyBorder="1" applyAlignment="1">
      <alignment horizontal="right"/>
    </xf>
    <xf numFmtId="10" fontId="7" fillId="58" borderId="0" xfId="19" applyNumberFormat="1" applyFont="1" applyFill="1" applyBorder="1" applyAlignment="1">
      <alignment horizontal="right"/>
    </xf>
    <xf numFmtId="0" fontId="5" fillId="0" borderId="0" xfId="19" applyFont="1" applyAlignment="1">
      <alignment horizontal="right"/>
    </xf>
    <xf numFmtId="173" fontId="5" fillId="58" borderId="42" xfId="20" applyNumberFormat="1" applyFont="1" applyFill="1" applyBorder="1" applyAlignment="1">
      <alignment horizontal="right"/>
    </xf>
    <xf numFmtId="0" fontId="7" fillId="58" borderId="0" xfId="19" quotePrefix="1" applyFont="1" applyFill="1" applyBorder="1" applyAlignment="1">
      <alignment horizontal="right"/>
    </xf>
    <xf numFmtId="0" fontId="5" fillId="58" borderId="68" xfId="19" applyFont="1" applyFill="1" applyBorder="1"/>
    <xf numFmtId="0" fontId="7" fillId="58" borderId="5" xfId="19" applyFont="1" applyFill="1" applyBorder="1" applyAlignment="1">
      <alignment horizontal="right"/>
    </xf>
    <xf numFmtId="0" fontId="5" fillId="58" borderId="44" xfId="19" applyFont="1" applyFill="1" applyBorder="1" applyAlignment="1">
      <alignment horizontal="right"/>
    </xf>
    <xf numFmtId="14" fontId="5" fillId="0" borderId="0" xfId="19" applyNumberFormat="1" applyFont="1"/>
    <xf numFmtId="165" fontId="5" fillId="0" borderId="0" xfId="19" applyNumberFormat="1" applyFont="1"/>
    <xf numFmtId="165" fontId="5" fillId="0" borderId="0" xfId="20" applyNumberFormat="1" applyFont="1"/>
    <xf numFmtId="179" fontId="5" fillId="0" borderId="0" xfId="12" applyNumberFormat="1" applyFont="1" applyAlignment="1"/>
    <xf numFmtId="178" fontId="5" fillId="0" borderId="0" xfId="19" applyNumberFormat="1" applyFont="1"/>
    <xf numFmtId="179" fontId="5" fillId="0" borderId="0" xfId="19" applyNumberFormat="1" applyFont="1"/>
    <xf numFmtId="0" fontId="5" fillId="0" borderId="0" xfId="19" applyFont="1" applyFill="1" applyAlignment="1">
      <alignment vertical="center" wrapText="1"/>
    </xf>
    <xf numFmtId="169" fontId="5" fillId="0" borderId="0" xfId="19" applyNumberFormat="1" applyFont="1"/>
    <xf numFmtId="9" fontId="5" fillId="0" borderId="0" xfId="19" applyNumberFormat="1" applyFont="1"/>
    <xf numFmtId="171" fontId="5" fillId="0" borderId="0" xfId="19" applyNumberFormat="1" applyFont="1"/>
    <xf numFmtId="3" fontId="5" fillId="0" borderId="0" xfId="19" applyNumberFormat="1" applyFont="1"/>
    <xf numFmtId="171" fontId="5" fillId="0" borderId="0" xfId="20" applyNumberFormat="1" applyFont="1"/>
    <xf numFmtId="0" fontId="5" fillId="0" borderId="0" xfId="19" applyFont="1" applyProtection="1"/>
    <xf numFmtId="0" fontId="5" fillId="62" borderId="65" xfId="19" applyFont="1" applyFill="1" applyBorder="1"/>
    <xf numFmtId="0" fontId="5" fillId="62" borderId="66" xfId="19" applyFont="1" applyFill="1" applyBorder="1"/>
    <xf numFmtId="0" fontId="5" fillId="62" borderId="67" xfId="19" applyFont="1" applyFill="1" applyBorder="1"/>
    <xf numFmtId="0" fontId="7" fillId="62" borderId="56" xfId="19" applyFont="1" applyFill="1" applyBorder="1" applyAlignment="1">
      <alignment horizontal="right"/>
    </xf>
    <xf numFmtId="0" fontId="7" fillId="62" borderId="0" xfId="19" applyFont="1" applyFill="1" applyBorder="1" applyAlignment="1">
      <alignment horizontal="right"/>
    </xf>
    <xf numFmtId="2" fontId="5" fillId="62" borderId="0" xfId="19" applyNumberFormat="1" applyFont="1" applyFill="1" applyBorder="1" applyAlignment="1">
      <alignment horizontal="right"/>
    </xf>
    <xf numFmtId="0" fontId="5" fillId="62" borderId="42" xfId="19" applyFont="1" applyFill="1" applyBorder="1"/>
    <xf numFmtId="0" fontId="5" fillId="62" borderId="0" xfId="19" applyFont="1" applyFill="1" applyBorder="1"/>
    <xf numFmtId="0" fontId="5" fillId="62" borderId="0" xfId="19" applyFont="1" applyFill="1" applyBorder="1" applyAlignment="1">
      <alignment horizontal="center"/>
    </xf>
    <xf numFmtId="10" fontId="7" fillId="62" borderId="0" xfId="20" quotePrefix="1" applyNumberFormat="1" applyFont="1" applyFill="1" applyBorder="1" applyAlignment="1">
      <alignment horizontal="right"/>
    </xf>
    <xf numFmtId="2" fontId="7" fillId="62" borderId="0" xfId="19" applyNumberFormat="1" applyFont="1" applyFill="1" applyBorder="1"/>
    <xf numFmtId="0" fontId="7" fillId="62" borderId="42" xfId="19" applyFont="1" applyFill="1" applyBorder="1"/>
    <xf numFmtId="0" fontId="5" fillId="62" borderId="56" xfId="19" applyFont="1" applyFill="1" applyBorder="1"/>
    <xf numFmtId="175" fontId="5" fillId="62" borderId="0" xfId="19" applyNumberFormat="1" applyFont="1" applyFill="1" applyBorder="1"/>
    <xf numFmtId="165" fontId="7" fillId="62" borderId="0" xfId="20" applyNumberFormat="1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left"/>
    </xf>
    <xf numFmtId="0" fontId="5" fillId="62" borderId="0" xfId="19" applyFont="1" applyFill="1" applyBorder="1" applyAlignment="1">
      <alignment horizontal="right"/>
    </xf>
    <xf numFmtId="165" fontId="5" fillId="62" borderId="0" xfId="20" quotePrefix="1" applyNumberFormat="1" applyFont="1" applyFill="1" applyBorder="1" applyAlignment="1">
      <alignment horizontal="right"/>
    </xf>
    <xf numFmtId="171" fontId="5" fillId="62" borderId="42" xfId="19" applyNumberFormat="1" applyFont="1" applyFill="1" applyBorder="1" applyAlignment="1">
      <alignment horizontal="left"/>
    </xf>
    <xf numFmtId="20" fontId="7" fillId="62" borderId="0" xfId="19" applyNumberFormat="1" applyFont="1" applyFill="1" applyBorder="1" applyAlignment="1">
      <alignment horizontal="right"/>
    </xf>
    <xf numFmtId="10" fontId="7" fillId="62" borderId="0" xfId="20" applyNumberFormat="1" applyFont="1" applyFill="1" applyBorder="1" applyAlignment="1">
      <alignment horizontal="right"/>
    </xf>
    <xf numFmtId="0" fontId="5" fillId="62" borderId="68" xfId="19" applyFont="1" applyFill="1" applyBorder="1"/>
    <xf numFmtId="10" fontId="7" fillId="62" borderId="5" xfId="20" applyNumberFormat="1" applyFont="1" applyFill="1" applyBorder="1" applyAlignment="1">
      <alignment horizontal="right"/>
    </xf>
    <xf numFmtId="0" fontId="5" fillId="62" borderId="44" xfId="19" applyFont="1" applyFill="1" applyBorder="1"/>
    <xf numFmtId="0" fontId="5" fillId="62" borderId="5" xfId="19" applyFont="1" applyFill="1" applyBorder="1"/>
    <xf numFmtId="0" fontId="7" fillId="62" borderId="0" xfId="19" quotePrefix="1" applyFont="1" applyFill="1" applyBorder="1" applyAlignment="1">
      <alignment horizontal="center"/>
    </xf>
    <xf numFmtId="1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0" xfId="19" applyFont="1" applyFill="1" applyBorder="1"/>
    <xf numFmtId="0" fontId="27" fillId="62" borderId="0" xfId="19" applyFont="1" applyFill="1" applyBorder="1" applyAlignment="1">
      <alignment horizontal="right"/>
    </xf>
    <xf numFmtId="0" fontId="27" fillId="62" borderId="55" xfId="19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right"/>
    </xf>
    <xf numFmtId="0" fontId="27" fillId="62" borderId="10" xfId="19" applyFont="1" applyFill="1" applyBorder="1" applyAlignment="1">
      <alignment horizontal="right"/>
    </xf>
    <xf numFmtId="173" fontId="5" fillId="62" borderId="0" xfId="20" applyNumberFormat="1" applyFont="1" applyFill="1" applyBorder="1" applyAlignment="1">
      <alignment horizontal="right"/>
    </xf>
    <xf numFmtId="165" fontId="7" fillId="62" borderId="10" xfId="20" applyNumberFormat="1" applyFont="1" applyFill="1" applyBorder="1" applyAlignment="1">
      <alignment horizontal="right"/>
    </xf>
    <xf numFmtId="178" fontId="5" fillId="62" borderId="0" xfId="19" applyNumberFormat="1" applyFont="1" applyFill="1" applyBorder="1"/>
    <xf numFmtId="178" fontId="5" fillId="64" borderId="0" xfId="19" applyNumberFormat="1" applyFont="1" applyFill="1" applyBorder="1"/>
    <xf numFmtId="165" fontId="7" fillId="64" borderId="10" xfId="20" applyNumberFormat="1" applyFont="1" applyFill="1" applyBorder="1" applyAlignment="1">
      <alignment horizontal="right"/>
    </xf>
    <xf numFmtId="1" fontId="5" fillId="62" borderId="42" xfId="19" applyNumberFormat="1" applyFont="1" applyFill="1" applyBorder="1" applyAlignment="1">
      <alignment horizontal="right"/>
    </xf>
    <xf numFmtId="0" fontId="7" fillId="62" borderId="6" xfId="19" applyFont="1" applyFill="1" applyBorder="1" applyAlignment="1">
      <alignment horizontal="right"/>
    </xf>
    <xf numFmtId="174" fontId="5" fillId="62" borderId="6" xfId="19" applyNumberFormat="1" applyFont="1" applyFill="1" applyBorder="1"/>
    <xf numFmtId="165" fontId="7" fillId="62" borderId="13" xfId="20" applyNumberFormat="1" applyFont="1" applyFill="1" applyBorder="1" applyAlignment="1">
      <alignment horizontal="right"/>
    </xf>
    <xf numFmtId="178" fontId="5" fillId="62" borderId="6" xfId="19" applyNumberFormat="1" applyFont="1" applyFill="1" applyBorder="1"/>
    <xf numFmtId="178" fontId="5" fillId="64" borderId="6" xfId="19" applyNumberFormat="1" applyFont="1" applyFill="1" applyBorder="1"/>
    <xf numFmtId="165" fontId="7" fillId="64" borderId="13" xfId="20" applyNumberFormat="1" applyFont="1" applyFill="1" applyBorder="1" applyAlignment="1">
      <alignment horizontal="right"/>
    </xf>
    <xf numFmtId="14" fontId="7" fillId="62" borderId="0" xfId="19" applyNumberFormat="1" applyFont="1" applyFill="1" applyBorder="1" applyAlignment="1">
      <alignment horizontal="right"/>
    </xf>
    <xf numFmtId="171" fontId="7" fillId="62" borderId="13" xfId="19" applyNumberFormat="1" applyFont="1" applyFill="1" applyBorder="1"/>
    <xf numFmtId="2" fontId="7" fillId="64" borderId="13" xfId="19" applyNumberFormat="1" applyFont="1" applyFill="1" applyBorder="1"/>
    <xf numFmtId="0" fontId="7" fillId="62" borderId="5" xfId="19" applyFont="1" applyFill="1" applyBorder="1" applyAlignment="1">
      <alignment horizontal="right"/>
    </xf>
    <xf numFmtId="2" fontId="5" fillId="62" borderId="5" xfId="19" applyNumberFormat="1" applyFont="1" applyFill="1" applyBorder="1"/>
    <xf numFmtId="171" fontId="7" fillId="62" borderId="5" xfId="19" applyNumberFormat="1" applyFont="1" applyFill="1" applyBorder="1"/>
    <xf numFmtId="171" fontId="7" fillId="62" borderId="44" xfId="19" applyNumberFormat="1" applyFont="1" applyFill="1" applyBorder="1" applyAlignment="1">
      <alignment horizontal="left"/>
    </xf>
    <xf numFmtId="0" fontId="5" fillId="63" borderId="0" xfId="19" applyFont="1" applyFill="1" applyBorder="1" applyAlignment="1" applyProtection="1">
      <alignment horizontal="right"/>
      <protection locked="0"/>
    </xf>
    <xf numFmtId="165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56" xfId="19" applyFont="1" applyFill="1" applyBorder="1"/>
    <xf numFmtId="0" fontId="5" fillId="62" borderId="56" xfId="19" applyFont="1" applyFill="1" applyBorder="1" applyAlignment="1">
      <alignment horizontal="right"/>
    </xf>
    <xf numFmtId="3" fontId="7" fillId="62" borderId="0" xfId="19" applyNumberFormat="1" applyFont="1" applyFill="1" applyBorder="1" applyAlignment="1">
      <alignment horizontal="center"/>
    </xf>
    <xf numFmtId="0" fontId="7" fillId="62" borderId="0" xfId="19" applyFont="1" applyFill="1" applyBorder="1" applyAlignment="1">
      <alignment horizontal="center"/>
    </xf>
    <xf numFmtId="1" fontId="5" fillId="62" borderId="0" xfId="19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/>
    <xf numFmtId="2" fontId="5" fillId="62" borderId="0" xfId="19" applyNumberFormat="1" applyFont="1" applyFill="1" applyBorder="1"/>
    <xf numFmtId="171" fontId="7" fillId="62" borderId="0" xfId="19" applyNumberFormat="1" applyFont="1" applyFill="1" applyBorder="1"/>
    <xf numFmtId="2" fontId="7" fillId="62" borderId="0" xfId="19" applyNumberFormat="1" applyFont="1" applyFill="1" applyBorder="1" applyAlignment="1">
      <alignment horizontal="right"/>
    </xf>
    <xf numFmtId="0" fontId="7" fillId="62" borderId="68" xfId="19" applyFont="1" applyFill="1" applyBorder="1"/>
    <xf numFmtId="20" fontId="5" fillId="62" borderId="65" xfId="19" applyNumberFormat="1" applyFont="1" applyFill="1" applyBorder="1"/>
    <xf numFmtId="20" fontId="5" fillId="62" borderId="66" xfId="19" applyNumberFormat="1" applyFont="1" applyFill="1" applyBorder="1"/>
    <xf numFmtId="20" fontId="5" fillId="62" borderId="67" xfId="19" applyNumberFormat="1" applyFont="1" applyFill="1" applyBorder="1"/>
    <xf numFmtId="20" fontId="5" fillId="62" borderId="56" xfId="19" applyNumberFormat="1" applyFont="1" applyFill="1" applyBorder="1"/>
    <xf numFmtId="20" fontId="5" fillId="62" borderId="42" xfId="19" applyNumberFormat="1" applyFont="1" applyFill="1" applyBorder="1"/>
    <xf numFmtId="20" fontId="5" fillId="62" borderId="0" xfId="19" applyNumberFormat="1" applyFont="1" applyFill="1" applyBorder="1" applyAlignment="1">
      <alignment horizontal="center"/>
    </xf>
    <xf numFmtId="169" fontId="5" fillId="62" borderId="0" xfId="19" applyNumberFormat="1" applyFont="1" applyFill="1" applyBorder="1" applyAlignment="1">
      <alignment horizontal="right" shrinkToFit="1"/>
    </xf>
    <xf numFmtId="20" fontId="5" fillId="62" borderId="42" xfId="19" quotePrefix="1" applyNumberFormat="1" applyFont="1" applyFill="1" applyBorder="1"/>
    <xf numFmtId="20" fontId="7" fillId="62" borderId="42" xfId="19" applyNumberFormat="1" applyFont="1" applyFill="1" applyBorder="1" applyAlignment="1" applyProtection="1">
      <alignment horizontal="left"/>
      <protection locked="0"/>
    </xf>
    <xf numFmtId="177" fontId="7" fillId="62" borderId="0" xfId="19" applyNumberFormat="1" applyFont="1" applyFill="1" applyBorder="1" applyAlignment="1">
      <alignment horizontal="right"/>
    </xf>
    <xf numFmtId="165" fontId="5" fillId="62" borderId="0" xfId="20" applyNumberFormat="1" applyFont="1" applyFill="1" applyBorder="1" applyAlignment="1">
      <alignment horizontal="right"/>
    </xf>
    <xf numFmtId="0" fontId="7" fillId="62" borderId="0" xfId="19" applyFont="1" applyFill="1" applyAlignment="1">
      <alignment horizontal="right"/>
    </xf>
    <xf numFmtId="2" fontId="7" fillId="62" borderId="0" xfId="19" applyNumberFormat="1" applyFont="1" applyFill="1"/>
    <xf numFmtId="20" fontId="7" fillId="62" borderId="42" xfId="19" applyNumberFormat="1" applyFont="1" applyFill="1" applyBorder="1"/>
    <xf numFmtId="173" fontId="7" fillId="62" borderId="0" xfId="19" applyNumberFormat="1" applyFont="1" applyFill="1" applyBorder="1" applyAlignment="1">
      <alignment horizontal="right"/>
    </xf>
    <xf numFmtId="20" fontId="7" fillId="62" borderId="42" xfId="19" applyNumberFormat="1" applyFont="1" applyFill="1" applyBorder="1" applyAlignment="1">
      <alignment horizontal="left"/>
    </xf>
    <xf numFmtId="167" fontId="5" fillId="62" borderId="0" xfId="19" applyNumberFormat="1" applyFont="1" applyFill="1" applyBorder="1" applyAlignment="1">
      <alignment horizontal="right"/>
    </xf>
    <xf numFmtId="20" fontId="9" fillId="62" borderId="42" xfId="19" applyNumberFormat="1" applyFont="1" applyFill="1" applyBorder="1" applyAlignment="1">
      <alignment horizontal="center"/>
    </xf>
    <xf numFmtId="20" fontId="5" fillId="62" borderId="42" xfId="19" applyNumberFormat="1" applyFont="1" applyFill="1" applyBorder="1" applyAlignment="1">
      <alignment horizontal="center"/>
    </xf>
    <xf numFmtId="177" fontId="5" fillId="62" borderId="0" xfId="19" applyNumberFormat="1" applyFont="1" applyFill="1" applyBorder="1" applyAlignment="1">
      <alignment horizontal="right"/>
    </xf>
    <xf numFmtId="169" fontId="7" fillId="62" borderId="0" xfId="19" applyNumberFormat="1" applyFont="1" applyFill="1" applyBorder="1" applyAlignment="1">
      <alignment horizontal="right"/>
    </xf>
    <xf numFmtId="20" fontId="5" fillId="62" borderId="68" xfId="19" applyNumberFormat="1" applyFont="1" applyFill="1" applyBorder="1"/>
    <xf numFmtId="20" fontId="5" fillId="62" borderId="5" xfId="19" applyNumberFormat="1" applyFont="1" applyFill="1" applyBorder="1"/>
    <xf numFmtId="20" fontId="5" fillId="62" borderId="44" xfId="19" applyNumberFormat="1" applyFont="1" applyFill="1" applyBorder="1"/>
    <xf numFmtId="14" fontId="5" fillId="63" borderId="0" xfId="19" applyNumberFormat="1" applyFont="1" applyFill="1" applyBorder="1" applyAlignment="1" applyProtection="1">
      <alignment horizontal="right"/>
      <protection locked="0"/>
    </xf>
    <xf numFmtId="3" fontId="31" fillId="25" borderId="30" xfId="19" applyNumberFormat="1" applyFont="1" applyFill="1" applyBorder="1" applyAlignment="1" applyProtection="1">
      <alignment horizontal="center"/>
      <protection locked="0"/>
    </xf>
    <xf numFmtId="0" fontId="30" fillId="0" borderId="0" xfId="0" applyFont="1" applyAlignment="1">
      <alignment horizontal="center"/>
    </xf>
    <xf numFmtId="3" fontId="31" fillId="22" borderId="21" xfId="19" applyNumberFormat="1" applyFont="1" applyFill="1" applyBorder="1" applyAlignment="1" applyProtection="1">
      <alignment horizontal="left" textRotation="45" wrapText="1"/>
      <protection locked="0"/>
    </xf>
    <xf numFmtId="171" fontId="5" fillId="0" borderId="0" xfId="0" applyNumberFormat="1" applyFont="1" applyProtection="1">
      <protection locked="0"/>
    </xf>
    <xf numFmtId="174" fontId="31" fillId="22" borderId="20" xfId="19" applyNumberFormat="1" applyFont="1" applyFill="1" applyBorder="1" applyAlignment="1" applyProtection="1">
      <alignment textRotation="45" wrapText="1"/>
      <protection locked="0"/>
    </xf>
    <xf numFmtId="174" fontId="5" fillId="26" borderId="29" xfId="19" applyNumberFormat="1" applyFont="1" applyFill="1" applyBorder="1" applyProtection="1">
      <protection locked="0"/>
    </xf>
    <xf numFmtId="174" fontId="30" fillId="0" borderId="36" xfId="0" applyNumberFormat="1" applyFont="1" applyBorder="1"/>
    <xf numFmtId="171" fontId="5" fillId="27" borderId="27" xfId="19" applyNumberFormat="1" applyFont="1" applyFill="1" applyBorder="1" applyProtection="1"/>
    <xf numFmtId="171" fontId="30" fillId="0" borderId="0" xfId="0" applyNumberFormat="1" applyFont="1" applyProtection="1"/>
    <xf numFmtId="173" fontId="5" fillId="27" borderId="27" xfId="19" applyNumberFormat="1" applyFont="1" applyFill="1" applyBorder="1" applyProtection="1"/>
    <xf numFmtId="0" fontId="36" fillId="32" borderId="54" xfId="0" applyFont="1" applyFill="1" applyBorder="1" applyAlignment="1">
      <alignment horizontal="left"/>
    </xf>
    <xf numFmtId="3" fontId="5" fillId="33" borderId="0" xfId="0" applyNumberFormat="1" applyFont="1" applyFill="1"/>
    <xf numFmtId="0" fontId="5" fillId="0" borderId="0" xfId="0" applyFont="1" applyAlignment="1">
      <alignment horizontal="left"/>
    </xf>
    <xf numFmtId="0" fontId="30" fillId="0" borderId="0" xfId="163" applyFont="1"/>
    <xf numFmtId="165" fontId="30" fillId="0" borderId="83" xfId="0" applyNumberFormat="1" applyFont="1" applyFill="1" applyBorder="1" applyProtection="1"/>
    <xf numFmtId="167" fontId="30" fillId="0" borderId="82" xfId="0" applyNumberFormat="1" applyFont="1" applyFill="1" applyBorder="1" applyProtection="1"/>
    <xf numFmtId="3" fontId="31" fillId="25" borderId="27" xfId="19" applyNumberFormat="1" applyFont="1" applyFill="1" applyBorder="1" applyProtection="1">
      <protection locked="0"/>
    </xf>
    <xf numFmtId="165" fontId="31" fillId="23" borderId="79" xfId="19" applyNumberFormat="1" applyFont="1" applyFill="1" applyBorder="1" applyAlignment="1" applyProtection="1">
      <alignment textRotation="45" wrapText="1"/>
    </xf>
    <xf numFmtId="167" fontId="31" fillId="23" borderId="78" xfId="19" applyNumberFormat="1" applyFont="1" applyFill="1" applyBorder="1" applyAlignment="1" applyProtection="1">
      <alignment textRotation="45" wrapText="1"/>
    </xf>
    <xf numFmtId="165" fontId="5" fillId="28" borderId="81" xfId="19" applyNumberFormat="1" applyFont="1" applyFill="1" applyBorder="1" applyProtection="1"/>
    <xf numFmtId="167" fontId="5" fillId="28" borderId="80" xfId="19" applyNumberFormat="1" applyFont="1" applyFill="1" applyBorder="1" applyProtection="1"/>
    <xf numFmtId="1" fontId="5" fillId="16" borderId="0" xfId="0" applyNumberFormat="1" applyFont="1" applyFill="1" applyProtection="1">
      <protection locked="0"/>
    </xf>
    <xf numFmtId="10" fontId="31" fillId="22" borderId="93" xfId="19" applyNumberFormat="1" applyFont="1" applyFill="1" applyBorder="1" applyAlignment="1" applyProtection="1">
      <alignment textRotation="45" wrapText="1"/>
      <protection locked="0"/>
    </xf>
    <xf numFmtId="10" fontId="31" fillId="25" borderId="94" xfId="19" applyNumberFormat="1" applyFont="1" applyFill="1" applyBorder="1" applyProtection="1">
      <protection locked="0"/>
    </xf>
    <xf numFmtId="10" fontId="30" fillId="0" borderId="90" xfId="0" applyNumberFormat="1" applyFont="1" applyBorder="1"/>
    <xf numFmtId="180" fontId="31" fillId="25" borderId="95" xfId="19" applyNumberFormat="1" applyFont="1" applyFill="1" applyBorder="1" applyProtection="1">
      <protection locked="0"/>
    </xf>
    <xf numFmtId="3" fontId="31" fillId="25" borderId="96" xfId="19" applyNumberFormat="1" applyFont="1" applyFill="1" applyBorder="1" applyProtection="1">
      <protection locked="0"/>
    </xf>
    <xf numFmtId="3" fontId="31" fillId="22" borderId="97" xfId="19" applyNumberFormat="1" applyFont="1" applyFill="1" applyBorder="1" applyAlignment="1" applyProtection="1">
      <alignment textRotation="45" wrapText="1"/>
      <protection locked="0"/>
    </xf>
    <xf numFmtId="180" fontId="31" fillId="25" borderId="98" xfId="19" applyNumberFormat="1" applyFont="1" applyFill="1" applyBorder="1" applyProtection="1">
      <protection locked="0"/>
    </xf>
    <xf numFmtId="3" fontId="31" fillId="25" borderId="99" xfId="19" applyNumberFormat="1" applyFont="1" applyFill="1" applyBorder="1" applyProtection="1">
      <protection locked="0"/>
    </xf>
    <xf numFmtId="0" fontId="30" fillId="0" borderId="100" xfId="0" applyFont="1" applyBorder="1"/>
    <xf numFmtId="167" fontId="31" fillId="24" borderId="85" xfId="19" applyNumberFormat="1" applyFont="1" applyFill="1" applyBorder="1" applyAlignment="1">
      <alignment textRotation="45" wrapText="1"/>
    </xf>
    <xf numFmtId="167" fontId="5" fillId="19" borderId="88" xfId="19" applyNumberFormat="1" applyFont="1" applyFill="1" applyBorder="1"/>
    <xf numFmtId="167" fontId="30" fillId="0" borderId="91" xfId="0" applyNumberFormat="1" applyFont="1" applyBorder="1"/>
    <xf numFmtId="165" fontId="31" fillId="24" borderId="86" xfId="19" applyNumberFormat="1" applyFont="1" applyFill="1" applyBorder="1" applyAlignment="1">
      <alignment textRotation="45" wrapText="1"/>
    </xf>
    <xf numFmtId="165" fontId="5" fillId="19" borderId="89" xfId="19" applyNumberFormat="1" applyFont="1" applyFill="1" applyBorder="1"/>
    <xf numFmtId="165" fontId="30" fillId="0" borderId="92" xfId="0" applyNumberFormat="1" applyFont="1" applyBorder="1"/>
    <xf numFmtId="169" fontId="31" fillId="23" borderId="22" xfId="19" applyNumberFormat="1" applyFont="1" applyFill="1" applyBorder="1" applyAlignment="1" applyProtection="1">
      <alignment textRotation="45" wrapText="1"/>
    </xf>
    <xf numFmtId="169" fontId="31" fillId="23" borderId="78" xfId="19" applyNumberFormat="1" applyFont="1" applyFill="1" applyBorder="1" applyAlignment="1" applyProtection="1">
      <alignment textRotation="45" wrapText="1"/>
    </xf>
    <xf numFmtId="169" fontId="5" fillId="28" borderId="31" xfId="19" applyNumberFormat="1" applyFont="1" applyFill="1" applyBorder="1" applyProtection="1"/>
    <xf numFmtId="169" fontId="5" fillId="28" borderId="80" xfId="19" applyNumberFormat="1" applyFont="1" applyFill="1" applyBorder="1" applyProtection="1"/>
    <xf numFmtId="169" fontId="30" fillId="0" borderId="37" xfId="0" applyNumberFormat="1" applyFont="1" applyFill="1" applyBorder="1" applyProtection="1"/>
    <xf numFmtId="169" fontId="30" fillId="0" borderId="82" xfId="0" applyNumberFormat="1" applyFont="1" applyFill="1" applyBorder="1" applyProtection="1"/>
    <xf numFmtId="169" fontId="31" fillId="24" borderId="84" xfId="19" applyNumberFormat="1" applyFont="1" applyFill="1" applyBorder="1" applyAlignment="1">
      <alignment textRotation="45" wrapText="1"/>
    </xf>
    <xf numFmtId="169" fontId="5" fillId="19" borderId="87" xfId="19" applyNumberFormat="1" applyFont="1" applyFill="1" applyBorder="1"/>
    <xf numFmtId="169" fontId="30" fillId="0" borderId="90" xfId="0" applyNumberFormat="1" applyFont="1" applyBorder="1"/>
    <xf numFmtId="169" fontId="31" fillId="24" borderId="85" xfId="19" applyNumberFormat="1" applyFont="1" applyFill="1" applyBorder="1" applyAlignment="1">
      <alignment textRotation="45" wrapText="1"/>
    </xf>
    <xf numFmtId="169" fontId="5" fillId="19" borderId="88" xfId="19" applyNumberFormat="1" applyFont="1" applyFill="1" applyBorder="1"/>
    <xf numFmtId="169" fontId="30" fillId="0" borderId="91" xfId="0" applyNumberFormat="1" applyFont="1" applyBorder="1"/>
    <xf numFmtId="180" fontId="55" fillId="25" borderId="34" xfId="19" applyNumberFormat="1" applyFont="1" applyFill="1" applyBorder="1" applyProtection="1">
      <protection locked="0"/>
    </xf>
    <xf numFmtId="0" fontId="5" fillId="0" borderId="0" xfId="0" quotePrefix="1" applyFont="1"/>
    <xf numFmtId="0" fontId="7" fillId="16" borderId="0" xfId="0" quotePrefix="1" applyFont="1" applyFill="1" applyProtection="1">
      <protection locked="0"/>
    </xf>
    <xf numFmtId="0" fontId="5" fillId="16" borderId="0" xfId="0" quotePrefix="1" applyFont="1" applyFill="1" applyProtection="1">
      <protection locked="0"/>
    </xf>
    <xf numFmtId="0" fontId="5" fillId="16" borderId="0" xfId="0" applyFont="1" applyFill="1" applyAlignment="1" applyProtection="1">
      <alignment horizontal="left"/>
      <protection locked="0"/>
    </xf>
    <xf numFmtId="0" fontId="27" fillId="16" borderId="0" xfId="0" applyFont="1" applyFill="1" applyAlignment="1" applyProtection="1">
      <alignment horizontal="center"/>
      <protection locked="0"/>
    </xf>
    <xf numFmtId="14" fontId="5" fillId="20" borderId="0" xfId="0" applyNumberFormat="1" applyFont="1" applyFill="1" applyProtection="1">
      <protection locked="0"/>
    </xf>
    <xf numFmtId="0" fontId="30" fillId="96" borderId="1" xfId="0" applyFont="1" applyFill="1" applyBorder="1"/>
    <xf numFmtId="0" fontId="30" fillId="96" borderId="14" xfId="0" applyFont="1" applyFill="1" applyBorder="1"/>
    <xf numFmtId="0" fontId="30" fillId="96" borderId="15" xfId="0" applyFont="1" applyFill="1" applyBorder="1"/>
    <xf numFmtId="14" fontId="30" fillId="96" borderId="16" xfId="0" applyNumberFormat="1" applyFont="1" applyFill="1" applyBorder="1"/>
    <xf numFmtId="0" fontId="30" fillId="96" borderId="0" xfId="0" applyFont="1" applyFill="1" applyBorder="1"/>
    <xf numFmtId="10" fontId="30" fillId="96" borderId="11" xfId="0" applyNumberFormat="1" applyFont="1" applyFill="1" applyBorder="1"/>
    <xf numFmtId="14" fontId="30" fillId="96" borderId="17" xfId="0" applyNumberFormat="1" applyFont="1" applyFill="1" applyBorder="1"/>
    <xf numFmtId="0" fontId="30" fillId="96" borderId="6" xfId="0" applyFont="1" applyFill="1" applyBorder="1"/>
    <xf numFmtId="10" fontId="30" fillId="96" borderId="12" xfId="0" applyNumberFormat="1" applyFont="1" applyFill="1" applyBorder="1"/>
    <xf numFmtId="0" fontId="27" fillId="15" borderId="0" xfId="0" applyFont="1" applyFill="1" applyAlignment="1" applyProtection="1">
      <alignment horizontal="center"/>
    </xf>
    <xf numFmtId="0" fontId="7" fillId="21" borderId="65" xfId="19" applyFont="1" applyFill="1" applyBorder="1" applyAlignment="1">
      <alignment horizontal="center" vertical="center"/>
    </xf>
    <xf numFmtId="0" fontId="7" fillId="21" borderId="66" xfId="19" applyFont="1" applyFill="1" applyBorder="1" applyAlignment="1">
      <alignment horizontal="center" vertical="center"/>
    </xf>
    <xf numFmtId="0" fontId="7" fillId="21" borderId="67" xfId="19" applyFont="1" applyFill="1" applyBorder="1" applyAlignment="1">
      <alignment horizontal="center" vertical="center"/>
    </xf>
    <xf numFmtId="0" fontId="7" fillId="21" borderId="68" xfId="19" applyFont="1" applyFill="1" applyBorder="1" applyAlignment="1">
      <alignment horizontal="center" vertical="center"/>
    </xf>
    <xf numFmtId="0" fontId="7" fillId="21" borderId="5" xfId="19" applyFont="1" applyFill="1" applyBorder="1" applyAlignment="1">
      <alignment horizontal="center" vertical="center"/>
    </xf>
    <xf numFmtId="0" fontId="7" fillId="21" borderId="44" xfId="19" applyFont="1" applyFill="1" applyBorder="1" applyAlignment="1">
      <alignment horizontal="center" vertical="center"/>
    </xf>
    <xf numFmtId="20" fontId="7" fillId="21" borderId="65" xfId="19" applyNumberFormat="1" applyFont="1" applyFill="1" applyBorder="1" applyAlignment="1">
      <alignment horizontal="center" vertical="center"/>
    </xf>
    <xf numFmtId="20" fontId="7" fillId="21" borderId="66" xfId="19" applyNumberFormat="1" applyFont="1" applyFill="1" applyBorder="1" applyAlignment="1">
      <alignment horizontal="center" vertical="center"/>
    </xf>
    <xf numFmtId="20" fontId="7" fillId="21" borderId="67" xfId="19" applyNumberFormat="1" applyFont="1" applyFill="1" applyBorder="1" applyAlignment="1">
      <alignment horizontal="center" vertical="center"/>
    </xf>
    <xf numFmtId="20" fontId="7" fillId="21" borderId="56" xfId="19" applyNumberFormat="1" applyFont="1" applyFill="1" applyBorder="1" applyAlignment="1">
      <alignment horizontal="center" vertical="center"/>
    </xf>
    <xf numFmtId="20" fontId="7" fillId="21" borderId="0" xfId="19" applyNumberFormat="1" applyFont="1" applyFill="1" applyBorder="1" applyAlignment="1">
      <alignment horizontal="center" vertical="center"/>
    </xf>
    <xf numFmtId="20" fontId="7" fillId="21" borderId="42" xfId="19" applyNumberFormat="1" applyFont="1" applyFill="1" applyBorder="1" applyAlignment="1">
      <alignment horizontal="center" vertical="center"/>
    </xf>
    <xf numFmtId="20" fontId="7" fillId="21" borderId="68" xfId="19" applyNumberFormat="1" applyFont="1" applyFill="1" applyBorder="1" applyAlignment="1">
      <alignment horizontal="center" vertical="center"/>
    </xf>
    <xf numFmtId="20" fontId="7" fillId="21" borderId="5" xfId="19" applyNumberFormat="1" applyFont="1" applyFill="1" applyBorder="1" applyAlignment="1">
      <alignment horizontal="center" vertical="center"/>
    </xf>
    <xf numFmtId="20" fontId="7" fillId="21" borderId="44" xfId="19" applyNumberFormat="1" applyFont="1" applyFill="1" applyBorder="1" applyAlignment="1">
      <alignment horizontal="center" vertical="center"/>
    </xf>
    <xf numFmtId="0" fontId="7" fillId="21" borderId="56" xfId="19" applyFont="1" applyFill="1" applyBorder="1" applyAlignment="1">
      <alignment horizontal="center" vertical="center"/>
    </xf>
    <xf numFmtId="0" fontId="7" fillId="21" borderId="0" xfId="19" applyFont="1" applyFill="1" applyBorder="1" applyAlignment="1">
      <alignment horizontal="center" vertical="center"/>
    </xf>
    <xf numFmtId="0" fontId="7" fillId="21" borderId="42" xfId="19" applyFont="1" applyFill="1" applyBorder="1" applyAlignment="1">
      <alignment horizontal="center" vertical="center"/>
    </xf>
    <xf numFmtId="0" fontId="74" fillId="0" borderId="6" xfId="0" applyFont="1" applyBorder="1" applyAlignment="1">
      <alignment horizontal="center"/>
    </xf>
  </cellXfs>
  <cellStyles count="165">
    <cellStyle name="20 % - Accent1" xfId="140" builtinId="30" customBuiltin="1"/>
    <cellStyle name="20 % - Accent1 2" xfId="21"/>
    <cellStyle name="20 % - Accent2" xfId="144" builtinId="34" customBuiltin="1"/>
    <cellStyle name="20 % - Accent2 2" xfId="22"/>
    <cellStyle name="20 % - Accent3" xfId="148" builtinId="38" customBuiltin="1"/>
    <cellStyle name="20 % - Accent3 2" xfId="23"/>
    <cellStyle name="20 % - Accent4" xfId="152" builtinId="42" customBuiltin="1"/>
    <cellStyle name="20 % - Accent4 2" xfId="24"/>
    <cellStyle name="20 % - Accent5" xfId="156" builtinId="46" customBuiltin="1"/>
    <cellStyle name="20 % - Accent5 2" xfId="25"/>
    <cellStyle name="20 % - Accent6" xfId="160" builtinId="50" customBuiltin="1"/>
    <cellStyle name="20 % - Accent6 2" xfId="26"/>
    <cellStyle name="40 % - Accent1" xfId="141" builtinId="31" customBuiltin="1"/>
    <cellStyle name="40 % - Accent1 2" xfId="27"/>
    <cellStyle name="40 % - Accent2" xfId="145" builtinId="35" customBuiltin="1"/>
    <cellStyle name="40 % - Accent2 2" xfId="28"/>
    <cellStyle name="40 % - Accent3" xfId="149" builtinId="39" customBuiltin="1"/>
    <cellStyle name="40 % - Accent3 2" xfId="29"/>
    <cellStyle name="40 % - Accent4" xfId="153" builtinId="43" customBuiltin="1"/>
    <cellStyle name="40 % - Accent4 2" xfId="30"/>
    <cellStyle name="40 % - Accent5" xfId="157" builtinId="47" customBuiltin="1"/>
    <cellStyle name="40 % - Accent5 2" xfId="31"/>
    <cellStyle name="40 % - Accent6" xfId="161" builtinId="51" customBuiltin="1"/>
    <cellStyle name="40 % - Accent6 2" xfId="32"/>
    <cellStyle name="60 % - Accent1" xfId="142" builtinId="32" customBuiltin="1"/>
    <cellStyle name="60 % - Accent1 2" xfId="33"/>
    <cellStyle name="60 % - Accent2" xfId="146" builtinId="36" customBuiltin="1"/>
    <cellStyle name="60 % - Accent2 2" xfId="34"/>
    <cellStyle name="60 % - Accent3" xfId="150" builtinId="40" customBuiltin="1"/>
    <cellStyle name="60 % - Accent3 2" xfId="35"/>
    <cellStyle name="60 % - Accent4" xfId="154" builtinId="44" customBuiltin="1"/>
    <cellStyle name="60 % - Accent4 2" xfId="36"/>
    <cellStyle name="60 % - Accent5" xfId="158" builtinId="48" customBuiltin="1"/>
    <cellStyle name="60 % - Accent5 2" xfId="37"/>
    <cellStyle name="60 % - Accent6" xfId="162" builtinId="52" customBuiltin="1"/>
    <cellStyle name="60 % - Accent6 2" xfId="38"/>
    <cellStyle name="Accent1" xfId="139" builtinId="29" customBuiltin="1"/>
    <cellStyle name="Accent1 2" xfId="39"/>
    <cellStyle name="Accent2" xfId="143" builtinId="33" customBuiltin="1"/>
    <cellStyle name="Accent2 2" xfId="40"/>
    <cellStyle name="Accent3" xfId="147" builtinId="37" customBuiltin="1"/>
    <cellStyle name="Accent3 2" xfId="41"/>
    <cellStyle name="Accent4" xfId="151" builtinId="41" customBuiltin="1"/>
    <cellStyle name="Accent4 2" xfId="42"/>
    <cellStyle name="Accent5" xfId="155" builtinId="45" customBuiltin="1"/>
    <cellStyle name="Accent5 2" xfId="43"/>
    <cellStyle name="Accent6" xfId="159" builtinId="49" customBuiltin="1"/>
    <cellStyle name="Accent6 2" xfId="44"/>
    <cellStyle name="Avertissement" xfId="136" builtinId="11" customBuiltin="1"/>
    <cellStyle name="Avertissement 2" xfId="45"/>
    <cellStyle name="calc" xfId="1"/>
    <cellStyle name="Calcul" xfId="133" builtinId="22" customBuiltin="1"/>
    <cellStyle name="Calcul 2" xfId="46"/>
    <cellStyle name="Cellule liée" xfId="134" builtinId="24" customBuiltin="1"/>
    <cellStyle name="Cellule liée 2" xfId="47"/>
    <cellStyle name="Commentaire 2" xfId="48"/>
    <cellStyle name="Commentaire 3" xfId="164"/>
    <cellStyle name="Data" xfId="2"/>
    <cellStyle name="Data1" xfId="3"/>
    <cellStyle name="Data2" xfId="4"/>
    <cellStyle name="Data3" xfId="5"/>
    <cellStyle name="Data4" xfId="6"/>
    <cellStyle name="Data5" xfId="7"/>
    <cellStyle name="Entrée" xfId="131" builtinId="20" customBuiltin="1"/>
    <cellStyle name="Entrée 2" xfId="49"/>
    <cellStyle name="Euro" xfId="50"/>
    <cellStyle name="Header" xfId="8"/>
    <cellStyle name="input" xfId="9"/>
    <cellStyle name="Insatisfaisant" xfId="129" builtinId="27" customBuiltin="1"/>
    <cellStyle name="Insatisfaisant 2" xfId="51"/>
    <cellStyle name="label" xfId="10"/>
    <cellStyle name="main_input" xfId="11"/>
    <cellStyle name="Milliers" xfId="12" builtinId="3"/>
    <cellStyle name="Milliers 2" xfId="52"/>
    <cellStyle name="Milliers 3" xfId="53"/>
    <cellStyle name="Milliers 4" xfId="54"/>
    <cellStyle name="Milliers 5" xfId="55"/>
    <cellStyle name="Modifiable" xfId="13"/>
    <cellStyle name="Neutre" xfId="130" builtinId="28" customBuiltin="1"/>
    <cellStyle name="Neutre 2" xfId="56"/>
    <cellStyle name="Normal" xfId="0" builtinId="0"/>
    <cellStyle name="Normal 10" xfId="122"/>
    <cellStyle name="Normal 11" xfId="163"/>
    <cellStyle name="Normal 2" xfId="19"/>
    <cellStyle name="Normal 3" xfId="57"/>
    <cellStyle name="Normal 3 2" xfId="58"/>
    <cellStyle name="Normal 3 2 2" xfId="59"/>
    <cellStyle name="Normal 3 2 2 2" xfId="60"/>
    <cellStyle name="Normal 3 2 2 2 2" xfId="61"/>
    <cellStyle name="Normal 3 2 2 2 2 2" xfId="62"/>
    <cellStyle name="Normal 3 2 2 2 3" xfId="63"/>
    <cellStyle name="Normal 3 2 2 3" xfId="64"/>
    <cellStyle name="Normal 3 2 2 3 2" xfId="65"/>
    <cellStyle name="Normal 3 2 2 4" xfId="66"/>
    <cellStyle name="Normal 3 2 3" xfId="67"/>
    <cellStyle name="Normal 3 2 3 2" xfId="68"/>
    <cellStyle name="Normal 3 2 3 2 2" xfId="69"/>
    <cellStyle name="Normal 3 2 3 3" xfId="70"/>
    <cellStyle name="Normal 3 2 4" xfId="71"/>
    <cellStyle name="Normal 3 2 4 2" xfId="72"/>
    <cellStyle name="Normal 3 2 5" xfId="73"/>
    <cellStyle name="Normal 3 2 6" xfId="74"/>
    <cellStyle name="Normal 3 3" xfId="75"/>
    <cellStyle name="Normal 3 3 2" xfId="76"/>
    <cellStyle name="Normal 3 3 2 2" xfId="77"/>
    <cellStyle name="Normal 3 3 2 2 2" xfId="78"/>
    <cellStyle name="Normal 3 3 2 3" xfId="79"/>
    <cellStyle name="Normal 3 3 3" xfId="80"/>
    <cellStyle name="Normal 3 3 3 2" xfId="81"/>
    <cellStyle name="Normal 3 3 4" xfId="82"/>
    <cellStyle name="Normal 3 4" xfId="83"/>
    <cellStyle name="Normal 3 4 2" xfId="84"/>
    <cellStyle name="Normal 3 4 2 2" xfId="85"/>
    <cellStyle name="Normal 3 4 3" xfId="86"/>
    <cellStyle name="Normal 3 5" xfId="87"/>
    <cellStyle name="Normal 3 5 2" xfId="88"/>
    <cellStyle name="Normal 3 6" xfId="89"/>
    <cellStyle name="Normal 3 7" xfId="90"/>
    <cellStyle name="Normal 4" xfId="91"/>
    <cellStyle name="Normal 5" xfId="92"/>
    <cellStyle name="Normal 5 2" xfId="93"/>
    <cellStyle name="Normal 5 2 2" xfId="94"/>
    <cellStyle name="Normal 5 2 2 2" xfId="95"/>
    <cellStyle name="Normal 5 2 3" xfId="96"/>
    <cellStyle name="Normal 5 3" xfId="97"/>
    <cellStyle name="Normal 5 3 2" xfId="98"/>
    <cellStyle name="Normal 5 4" xfId="99"/>
    <cellStyle name="Normal 6" xfId="100"/>
    <cellStyle name="Normal 6 2" xfId="101"/>
    <cellStyle name="Normal 7" xfId="102"/>
    <cellStyle name="Normal 7 2" xfId="103"/>
    <cellStyle name="Normal 7 2 2" xfId="104"/>
    <cellStyle name="Normal 7 3" xfId="105"/>
    <cellStyle name="Normal 8" xfId="106"/>
    <cellStyle name="Normal 9" xfId="107"/>
    <cellStyle name="Normal 9 2" xfId="108"/>
    <cellStyle name="Pourcentage 2" xfId="20"/>
    <cellStyle name="Pourcentage 3" xfId="109"/>
    <cellStyle name="Pourcentage 4" xfId="110"/>
    <cellStyle name="Pourcentage 5" xfId="111"/>
    <cellStyle name="rt" xfId="14"/>
    <cellStyle name="Satisfaisant" xfId="128" builtinId="26" customBuiltin="1"/>
    <cellStyle name="Satisfaisant 2" xfId="112"/>
    <cellStyle name="Sortie" xfId="132" builtinId="21" customBuiltin="1"/>
    <cellStyle name="Sortie 2" xfId="113"/>
    <cellStyle name="static" xfId="15"/>
    <cellStyle name="text" xfId="16"/>
    <cellStyle name="Texte explicatif" xfId="137" builtinId="53" customBuiltin="1"/>
    <cellStyle name="Texte explicatif 2" xfId="114"/>
    <cellStyle name="Titre" xfId="123" builtinId="15" customBuiltin="1"/>
    <cellStyle name="Titre 2" xfId="115"/>
    <cellStyle name="Titre 1" xfId="124" builtinId="16" customBuiltin="1"/>
    <cellStyle name="Titre 1 2" xfId="116"/>
    <cellStyle name="Titre 2" xfId="125" builtinId="17" customBuiltin="1"/>
    <cellStyle name="Titre 2 2" xfId="117"/>
    <cellStyle name="Titre 3" xfId="126" builtinId="18" customBuiltin="1"/>
    <cellStyle name="Titre 3 2" xfId="118"/>
    <cellStyle name="Titre 4" xfId="127" builtinId="19" customBuiltin="1"/>
    <cellStyle name="Titre 4 2" xfId="119"/>
    <cellStyle name="TitreRub" xfId="17"/>
    <cellStyle name="TitreTab" xfId="18"/>
    <cellStyle name="Total" xfId="138" builtinId="25" customBuiltin="1"/>
    <cellStyle name="Total 2" xfId="120"/>
    <cellStyle name="Vérification" xfId="135" builtinId="23" customBuiltin="1"/>
    <cellStyle name="Vérification 2" xfId="121"/>
  </cellStyles>
  <dxfs count="13">
    <dxf>
      <font>
        <b/>
        <i val="0"/>
        <color rgb="FFFF0000"/>
      </font>
      <fill>
        <patternFill>
          <bgColor theme="5" tint="0.79998168889431442"/>
        </patternFill>
      </fill>
      <border>
        <vertical/>
        <horizontal/>
      </border>
    </dxf>
    <dxf>
      <font>
        <b/>
        <i val="0"/>
        <color rgb="FF00B050"/>
      </font>
      <fill>
        <patternFill>
          <bgColor rgb="FFCC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 patternType="mediumGray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sz val="8"/>
      </font>
    </dxf>
    <dxf>
      <numFmt numFmtId="3" formatCode="#,##0"/>
    </dxf>
    <dxf>
      <fill>
        <patternFill>
          <bgColor indexed="10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curve!$S$2</c:f>
              <c:strCache>
                <c:ptCount val="1"/>
                <c:pt idx="0">
                  <c:v>spot Swap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curve!$S$3:$S$19</c:f>
              <c:numCache>
                <c:formatCode>0.000%</c:formatCode>
                <c:ptCount val="17"/>
                <c:pt idx="0">
                  <c:v>2.3573448103716009E-3</c:v>
                </c:pt>
                <c:pt idx="1">
                  <c:v>3.0900303629124446E-3</c:v>
                </c:pt>
                <c:pt idx="2">
                  <c:v>4.4433457338079957E-3</c:v>
                </c:pt>
                <c:pt idx="3">
                  <c:v>4.4585552890361591E-3</c:v>
                </c:pt>
                <c:pt idx="4">
                  <c:v>4.6997277876204002E-3</c:v>
                </c:pt>
                <c:pt idx="5">
                  <c:v>4.8348002706446458E-3</c:v>
                </c:pt>
                <c:pt idx="6">
                  <c:v>4.9705172779770379E-3</c:v>
                </c:pt>
                <c:pt idx="7">
                  <c:v>5.0878858638876423E-3</c:v>
                </c:pt>
                <c:pt idx="8">
                  <c:v>5.3507011613498356E-3</c:v>
                </c:pt>
                <c:pt idx="9">
                  <c:v>6.154499138494085E-3</c:v>
                </c:pt>
                <c:pt idx="10">
                  <c:v>7.7019681536687479E-3</c:v>
                </c:pt>
                <c:pt idx="11">
                  <c:v>9.5668764728480404E-3</c:v>
                </c:pt>
                <c:pt idx="12">
                  <c:v>1.1437355342033495E-2</c:v>
                </c:pt>
                <c:pt idx="13">
                  <c:v>1.347015456844014E-2</c:v>
                </c:pt>
                <c:pt idx="14">
                  <c:v>1.5121471348742865E-2</c:v>
                </c:pt>
                <c:pt idx="15">
                  <c:v>1.6593211886357651E-2</c:v>
                </c:pt>
                <c:pt idx="16">
                  <c:v>1.7953919858320955E-2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curve!$U$2</c:f>
              <c:strCache>
                <c:ptCount val="1"/>
                <c:pt idx="0">
                  <c:v>spot UST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curve!$U$3:$U$19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curve!$T$2</c:f>
              <c:strCache>
                <c:ptCount val="1"/>
                <c:pt idx="0">
                  <c:v>spot OIS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curve!$T$3:$T$19</c:f>
              <c:numCache>
                <c:formatCode>0.000%</c:formatCode>
                <c:ptCount val="17"/>
                <c:pt idx="0">
                  <c:v>1.7270737015892964E-3</c:v>
                </c:pt>
                <c:pt idx="1">
                  <c:v>1.7722993268765035E-3</c:v>
                </c:pt>
                <c:pt idx="2">
                  <c:v>1.7806288252441833E-3</c:v>
                </c:pt>
                <c:pt idx="3">
                  <c:v>1.8105478695296107E-3</c:v>
                </c:pt>
                <c:pt idx="4">
                  <c:v>1.818429019310841E-3</c:v>
                </c:pt>
                <c:pt idx="5">
                  <c:v>1.8475648394171706E-3</c:v>
                </c:pt>
                <c:pt idx="6">
                  <c:v>1.8708642308120638E-3</c:v>
                </c:pt>
                <c:pt idx="7">
                  <c:v>1.9178749239916471E-3</c:v>
                </c:pt>
                <c:pt idx="8">
                  <c:v>2.0793563654644132E-3</c:v>
                </c:pt>
                <c:pt idx="9">
                  <c:v>2.6069904263033017E-3</c:v>
                </c:pt>
                <c:pt idx="10">
                  <c:v>4.2183912839699467E-3</c:v>
                </c:pt>
                <c:pt idx="11">
                  <c:v>6.1369345706552281E-3</c:v>
                </c:pt>
                <c:pt idx="12">
                  <c:v>8.1107576769134937E-3</c:v>
                </c:pt>
                <c:pt idx="13">
                  <c:v>9.9985362936116928E-3</c:v>
                </c:pt>
                <c:pt idx="14">
                  <c:v>1.1730131809219557E-2</c:v>
                </c:pt>
                <c:pt idx="15">
                  <c:v>1.3285433224524024E-2</c:v>
                </c:pt>
                <c:pt idx="16">
                  <c:v>1.4694529857275818E-2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6351944"/>
        <c:axId val="646352336"/>
      </c:lineChart>
      <c:dateAx>
        <c:axId val="6463519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646352336"/>
        <c:crosses val="autoZero"/>
        <c:auto val="1"/>
        <c:lblOffset val="100"/>
        <c:baseTimeUnit val="months"/>
        <c:majorUnit val="1"/>
        <c:majorTimeUnit val="years"/>
      </c:dateAx>
      <c:valAx>
        <c:axId val="646352336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64635194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8044556430446196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'suivi globale'!$B$4:$B$14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'suivi globale'!$G$4:$G$14</c:f>
              <c:numCache>
                <c:formatCode>0</c:formatCode>
                <c:ptCount val="11"/>
                <c:pt idx="0">
                  <c:v>1.4874597980029085</c:v>
                </c:pt>
                <c:pt idx="1">
                  <c:v>10.617974027127641</c:v>
                </c:pt>
                <c:pt idx="2">
                  <c:v>-31.334818918426052</c:v>
                </c:pt>
                <c:pt idx="3">
                  <c:v>-16.119931231514066</c:v>
                </c:pt>
                <c:pt idx="4">
                  <c:v>16.013610966636332</c:v>
                </c:pt>
                <c:pt idx="5">
                  <c:v>12.702547914474696</c:v>
                </c:pt>
                <c:pt idx="6">
                  <c:v>1.4893607200235381</c:v>
                </c:pt>
                <c:pt idx="7">
                  <c:v>-9.1356665359393574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646353512"/>
        <c:axId val="646353904"/>
      </c:barChart>
      <c:catAx>
        <c:axId val="6463535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646353904"/>
        <c:crosses val="autoZero"/>
        <c:auto val="1"/>
        <c:lblAlgn val="ctr"/>
        <c:lblOffset val="100"/>
        <c:noMultiLvlLbl val="0"/>
      </c:catAx>
      <c:valAx>
        <c:axId val="64635390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646353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70712248468941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'suivi globale'!$F$3</c:f>
              <c:strCache>
                <c:ptCount val="1"/>
                <c:pt idx="0">
                  <c:v>Mmkt</c:v>
                </c:pt>
              </c:strCache>
            </c:strRef>
          </c:tx>
          <c:invertIfNegative val="0"/>
          <c:cat>
            <c:strRef>
              <c:f>'suivi globale'!$B$4:$B$14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'suivi globale'!$F$4:$F$14</c:f>
              <c:numCache>
                <c:formatCode>0</c:formatCode>
                <c:ptCount val="11"/>
                <c:pt idx="0">
                  <c:v>0.9553032688207308</c:v>
                </c:pt>
                <c:pt idx="1">
                  <c:v>20.269904161904833</c:v>
                </c:pt>
                <c:pt idx="2">
                  <c:v>1.0414278412357023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'suivi globale'!$E$3</c:f>
              <c:strCache>
                <c:ptCount val="1"/>
                <c:pt idx="0">
                  <c:v>LIBOR</c:v>
                </c:pt>
              </c:strCache>
            </c:strRef>
          </c:tx>
          <c:invertIfNegative val="0"/>
          <c:val>
            <c:numRef>
              <c:f>'suivi globale'!$E$4:$E$14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-6.2313497071258359</c:v>
                </c:pt>
                <c:pt idx="3">
                  <c:v>-5.7126668665906264</c:v>
                </c:pt>
                <c:pt idx="4">
                  <c:v>-6.1044779608841324</c:v>
                </c:pt>
                <c:pt idx="5">
                  <c:v>-22.362458799903354</c:v>
                </c:pt>
                <c:pt idx="6">
                  <c:v>-5.4715942044166921</c:v>
                </c:pt>
                <c:pt idx="7">
                  <c:v>-27.995146157763788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'suivi globale'!$D$3</c:f>
              <c:strCache>
                <c:ptCount val="1"/>
                <c:pt idx="0">
                  <c:v>SSA</c:v>
                </c:pt>
              </c:strCache>
            </c:strRef>
          </c:tx>
          <c:invertIfNegative val="0"/>
          <c:val>
            <c:numRef>
              <c:f>'suivi globale'!$D$4:$D$14</c:f>
              <c:numCache>
                <c:formatCode>0</c:formatCode>
                <c:ptCount val="11"/>
                <c:pt idx="0">
                  <c:v>1.3775466797989973</c:v>
                </c:pt>
                <c:pt idx="1">
                  <c:v>0.70356295149243275</c:v>
                </c:pt>
                <c:pt idx="2">
                  <c:v>1.7687797434507315</c:v>
                </c:pt>
                <c:pt idx="3">
                  <c:v>4.8131614935829132</c:v>
                </c:pt>
                <c:pt idx="4">
                  <c:v>3.6928982456459001</c:v>
                </c:pt>
                <c:pt idx="5">
                  <c:v>20.506472171491161</c:v>
                </c:pt>
                <c:pt idx="6">
                  <c:v>16.652715971076454</c:v>
                </c:pt>
                <c:pt idx="7">
                  <c:v>12.313457882173378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'suivi globale'!$C$3</c:f>
              <c:strCache>
                <c:ptCount val="1"/>
                <c:pt idx="0">
                  <c:v>GOVT</c:v>
                </c:pt>
              </c:strCache>
            </c:strRef>
          </c:tx>
          <c:invertIfNegative val="0"/>
          <c:val>
            <c:numRef>
              <c:f>'suivi globale'!$C$4:$C$14</c:f>
              <c:numCache>
                <c:formatCode>0</c:formatCode>
                <c:ptCount val="11"/>
                <c:pt idx="0">
                  <c:v>-0.84539015061681966</c:v>
                </c:pt>
                <c:pt idx="1">
                  <c:v>-10.355493086269625</c:v>
                </c:pt>
                <c:pt idx="2">
                  <c:v>-27.913676795986653</c:v>
                </c:pt>
                <c:pt idx="3">
                  <c:v>-15.220425858506353</c:v>
                </c:pt>
                <c:pt idx="4">
                  <c:v>18.425190681874565</c:v>
                </c:pt>
                <c:pt idx="5">
                  <c:v>14.558534542886889</c:v>
                </c:pt>
                <c:pt idx="6">
                  <c:v>-9.6917610466362234</c:v>
                </c:pt>
                <c:pt idx="7">
                  <c:v>6.5460217396510529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646354688"/>
        <c:axId val="646355080"/>
      </c:barChart>
      <c:catAx>
        <c:axId val="646354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646355080"/>
        <c:crosses val="autoZero"/>
        <c:auto val="1"/>
        <c:lblAlgn val="ctr"/>
        <c:lblOffset val="100"/>
        <c:noMultiLvlLbl val="0"/>
      </c:catAx>
      <c:valAx>
        <c:axId val="64635508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64635468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12263406098628E-2"/>
          <c:y val="6.6914498141263934E-2"/>
          <c:w val="0.73686845167864601"/>
          <c:h val="0.79360979877515303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Value'!$K$6</c:f>
              <c:strCache>
                <c:ptCount val="1"/>
                <c:pt idx="0">
                  <c:v>T0,75 05/12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Value'!$AF$37:$AF$135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Value'!$AG$37:$AG$135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Value'!$AH$37:$AH$135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55864"/>
        <c:axId val="646356256"/>
      </c:lineChart>
      <c:dateAx>
        <c:axId val="646355864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646356256"/>
        <c:crosses val="autoZero"/>
        <c:auto val="1"/>
        <c:lblOffset val="100"/>
        <c:baseTimeUnit val="days"/>
        <c:majorUnit val="14"/>
        <c:minorUnit val="1"/>
      </c:dateAx>
      <c:valAx>
        <c:axId val="64635625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646355864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6.1214400848129732E-3"/>
          <c:y val="0.88235289456742438"/>
          <c:w val="0.99387862231506774"/>
          <c:h val="8.823529411764774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429435882633223E-2"/>
          <c:y val="6.6666907794082006E-2"/>
          <c:w val="0.74025319702713888"/>
          <c:h val="0.8052001062539117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Value'!titre2</c:f>
              <c:strCache>
                <c:ptCount val="1"/>
                <c:pt idx="0">
                  <c:v>T1,75 08/12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Value'!$AC$37:$AC$135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-0.50560913401615581</c:v>
                </c:pt>
                <c:pt idx="19">
                  <c:v>-0.41208430652603273</c:v>
                </c:pt>
                <c:pt idx="20">
                  <c:v>0.8537746708152365</c:v>
                </c:pt>
                <c:pt idx="21">
                  <c:v>0.41290286418349953</c:v>
                </c:pt>
                <c:pt idx="22">
                  <c:v>-0.29389385800548706</c:v>
                </c:pt>
                <c:pt idx="23">
                  <c:v>1.7128375328876757</c:v>
                </c:pt>
                <c:pt idx="24">
                  <c:v>-0.36119529417403351</c:v>
                </c:pt>
                <c:pt idx="25">
                  <c:v>-1.3520786497128883</c:v>
                </c:pt>
                <c:pt idx="26">
                  <c:v>8.7583995853114938E-2</c:v>
                </c:pt>
                <c:pt idx="27">
                  <c:v>1.3485832515608678</c:v>
                </c:pt>
                <c:pt idx="28">
                  <c:v>0.79741752030157287</c:v>
                </c:pt>
                <c:pt idx="29">
                  <c:v>1.3963259273567916</c:v>
                </c:pt>
                <c:pt idx="30">
                  <c:v>0.65900852267529919</c:v>
                </c:pt>
                <c:pt idx="31">
                  <c:v>2.2265044841633119</c:v>
                </c:pt>
                <c:pt idx="32">
                  <c:v>1.8052811141723877</c:v>
                </c:pt>
                <c:pt idx="33">
                  <c:v>3.2205837458138831</c:v>
                </c:pt>
                <c:pt idx="34">
                  <c:v>3.0022793546800939</c:v>
                </c:pt>
                <c:pt idx="35">
                  <c:v>3.0473748065900468</c:v>
                </c:pt>
                <c:pt idx="36">
                  <c:v>3.4222614901573909</c:v>
                </c:pt>
                <c:pt idx="37">
                  <c:v>4.3980104782682128</c:v>
                </c:pt>
                <c:pt idx="38">
                  <c:v>3.6595951091388992</c:v>
                </c:pt>
                <c:pt idx="39">
                  <c:v>3.8831500464882556</c:v>
                </c:pt>
                <c:pt idx="40">
                  <c:v>4.2437150612675767</c:v>
                </c:pt>
                <c:pt idx="41">
                  <c:v>4.7115464718609852</c:v>
                </c:pt>
                <c:pt idx="42">
                  <c:v>3.1901921203216346</c:v>
                </c:pt>
                <c:pt idx="43">
                  <c:v>3.0676406210739318</c:v>
                </c:pt>
                <c:pt idx="44">
                  <c:v>3.4641794389461058</c:v>
                </c:pt>
                <c:pt idx="45">
                  <c:v>1.6666269693644031</c:v>
                </c:pt>
                <c:pt idx="46">
                  <c:v>0.17186843657131548</c:v>
                </c:pt>
                <c:pt idx="47">
                  <c:v>1.305952874408689</c:v>
                </c:pt>
                <c:pt idx="48">
                  <c:v>2.0636756983590043</c:v>
                </c:pt>
                <c:pt idx="49">
                  <c:v>1.5147367167324133</c:v>
                </c:pt>
                <c:pt idx="50">
                  <c:v>4.6451411176749664</c:v>
                </c:pt>
                <c:pt idx="51">
                  <c:v>3.1875266195966074</c:v>
                </c:pt>
                <c:pt idx="52">
                  <c:v>3.5953489446203264</c:v>
                </c:pt>
                <c:pt idx="53">
                  <c:v>2.2861934928787546</c:v>
                </c:pt>
                <c:pt idx="54">
                  <c:v>2.0895670316628365</c:v>
                </c:pt>
                <c:pt idx="55">
                  <c:v>1.6870100966036723</c:v>
                </c:pt>
                <c:pt idx="56">
                  <c:v>2.2817711097980631</c:v>
                </c:pt>
                <c:pt idx="57">
                  <c:v>2.9565333394047797</c:v>
                </c:pt>
                <c:pt idx="58">
                  <c:v>1.9244532840960791</c:v>
                </c:pt>
                <c:pt idx="59">
                  <c:v>1.9819418683718451</c:v>
                </c:pt>
                <c:pt idx="60">
                  <c:v>2.0301937761312647</c:v>
                </c:pt>
                <c:pt idx="61">
                  <c:v>4.0071728749997133</c:v>
                </c:pt>
                <c:pt idx="62">
                  <c:v>4.0861695764452799</c:v>
                </c:pt>
                <c:pt idx="63">
                  <c:v>2.6476655128885045</c:v>
                </c:pt>
                <c:pt idx="64">
                  <c:v>1.7104217220949325</c:v>
                </c:pt>
                <c:pt idx="65">
                  <c:v>1.9349629854892294</c:v>
                </c:pt>
                <c:pt idx="66">
                  <c:v>2.8558783398270426</c:v>
                </c:pt>
                <c:pt idx="67">
                  <c:v>3.3621227690129234</c:v>
                </c:pt>
                <c:pt idx="68">
                  <c:v>4.0650764999745252</c:v>
                </c:pt>
                <c:pt idx="69">
                  <c:v>4.1995462906151495</c:v>
                </c:pt>
                <c:pt idx="70">
                  <c:v>3.1912196839393059</c:v>
                </c:pt>
                <c:pt idx="71">
                  <c:v>3.4655530953708471</c:v>
                </c:pt>
                <c:pt idx="72">
                  <c:v>4.3214193992261691</c:v>
                </c:pt>
                <c:pt idx="73">
                  <c:v>3.98278637235263</c:v>
                </c:pt>
                <c:pt idx="74">
                  <c:v>4.4946452231327765</c:v>
                </c:pt>
                <c:pt idx="75">
                  <c:v>5.7518174008255869</c:v>
                </c:pt>
                <c:pt idx="76">
                  <c:v>5.4113761603852497</c:v>
                </c:pt>
                <c:pt idx="77">
                  <c:v>5.0220272948114646</c:v>
                </c:pt>
                <c:pt idx="78">
                  <c:v>4.9100898226835774</c:v>
                </c:pt>
                <c:pt idx="79">
                  <c:v>5.3701314274262124</c:v>
                </c:pt>
                <c:pt idx="80">
                  <c:v>5.3759095586616041</c:v>
                </c:pt>
                <c:pt idx="81">
                  <c:v>6.5037874014919801</c:v>
                </c:pt>
                <c:pt idx="82">
                  <c:v>5.0898960464936458</c:v>
                </c:pt>
                <c:pt idx="83">
                  <c:v>2.7111747408818876</c:v>
                </c:pt>
                <c:pt idx="84">
                  <c:v>2.5508981182928605</c:v>
                </c:pt>
                <c:pt idx="85">
                  <c:v>3.2011724783802169</c:v>
                </c:pt>
                <c:pt idx="86">
                  <c:v>2.7190829930641507</c:v>
                </c:pt>
                <c:pt idx="87">
                  <c:v>1.7105946144030324</c:v>
                </c:pt>
                <c:pt idx="88">
                  <c:v>3.3968366340868204</c:v>
                </c:pt>
                <c:pt idx="89">
                  <c:v>2.5507919761741751</c:v>
                </c:pt>
                <c:pt idx="90">
                  <c:v>3.6690790163830806</c:v>
                </c:pt>
                <c:pt idx="91">
                  <c:v>2.1743373056841921</c:v>
                </c:pt>
                <c:pt idx="92">
                  <c:v>3.7901142880511869</c:v>
                </c:pt>
                <c:pt idx="93">
                  <c:v>3.6969475433503605</c:v>
                </c:pt>
                <c:pt idx="94">
                  <c:v>2.7523774334416027</c:v>
                </c:pt>
                <c:pt idx="95">
                  <c:v>2.3864554785522265</c:v>
                </c:pt>
                <c:pt idx="96">
                  <c:v>2.0429261418444522</c:v>
                </c:pt>
                <c:pt idx="97">
                  <c:v>-0.26753933839284855</c:v>
                </c:pt>
                <c:pt idx="98">
                  <c:v>0.11443487924758949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Value'!$AD$37:$AD$135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Value'!$AE$37:$AE$135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57040"/>
        <c:axId val="646357432"/>
      </c:lineChart>
      <c:dateAx>
        <c:axId val="646357040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646357432"/>
        <c:crosses val="autoZero"/>
        <c:auto val="1"/>
        <c:lblOffset val="100"/>
        <c:baseTimeUnit val="days"/>
        <c:majorUnit val="14"/>
        <c:minorUnit val="1"/>
      </c:dateAx>
      <c:valAx>
        <c:axId val="64635743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646357040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8.1464548114300109E-3"/>
          <c:y val="0.86239954904965743"/>
          <c:w val="0.99185336048879835"/>
          <c:h val="0.1353090595219398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2416168091644E-2"/>
          <c:y val="6.6914498141263934E-2"/>
          <c:w val="0.73562619683042374"/>
          <c:h val="0.7993495549898367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Value'!$AI$37:$AI$135</c:f>
              <c:numCache>
                <c:formatCode>General</c:formatCode>
                <c:ptCount val="99"/>
                <c:pt idx="0">
                  <c:v>0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  <c:pt idx="11">
                  <c:v>1E-4</c:v>
                </c:pt>
                <c:pt idx="12">
                  <c:v>1E-4</c:v>
                </c:pt>
                <c:pt idx="13">
                  <c:v>1E-4</c:v>
                </c:pt>
                <c:pt idx="14">
                  <c:v>1E-4</c:v>
                </c:pt>
                <c:pt idx="15">
                  <c:v>1E-4</c:v>
                </c:pt>
                <c:pt idx="16">
                  <c:v>1E-4</c:v>
                </c:pt>
                <c:pt idx="17">
                  <c:v>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Value'!$AJ$37:$AJ$135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cat>
          <c:val>
            <c:numRef>
              <c:f>'Relative Value'!$AK$37:$AK$135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6358216"/>
        <c:axId val="646358608"/>
      </c:lineChart>
      <c:dateAx>
        <c:axId val="646358216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646358608"/>
        <c:crosses val="autoZero"/>
        <c:auto val="1"/>
        <c:lblOffset val="100"/>
        <c:baseTimeUnit val="days"/>
        <c:majorUnit val="14"/>
        <c:minorUnit val="1"/>
      </c:dateAx>
      <c:valAx>
        <c:axId val="646358608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646358216"/>
        <c:crosses val="autoZero"/>
        <c:crossBetween val="between"/>
      </c:valAx>
    </c:plotArea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fr-FR" sz="1200"/>
              <a:t>instantaneous forward curves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curve!$S$22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curve!$S$23:$S$39</c:f>
              <c:numCache>
                <c:formatCode>0.000%</c:formatCode>
                <c:ptCount val="17"/>
                <c:pt idx="0">
                  <c:v>1.7270737015892964E-3</c:v>
                </c:pt>
                <c:pt idx="1">
                  <c:v>1.7722993268765035E-3</c:v>
                </c:pt>
                <c:pt idx="2">
                  <c:v>1.7806288252441833E-3</c:v>
                </c:pt>
                <c:pt idx="3">
                  <c:v>1.8105478695296107E-3</c:v>
                </c:pt>
                <c:pt idx="4">
                  <c:v>1.818429019310841E-3</c:v>
                </c:pt>
                <c:pt idx="5">
                  <c:v>1.8475648394171706E-3</c:v>
                </c:pt>
                <c:pt idx="6">
                  <c:v>1.8708642308120638E-3</c:v>
                </c:pt>
                <c:pt idx="7">
                  <c:v>1.9178749239916471E-3</c:v>
                </c:pt>
                <c:pt idx="8">
                  <c:v>2.0793563654644132E-3</c:v>
                </c:pt>
                <c:pt idx="9">
                  <c:v>2.6069904263033017E-3</c:v>
                </c:pt>
                <c:pt idx="10">
                  <c:v>4.2183912839699467E-3</c:v>
                </c:pt>
                <c:pt idx="11">
                  <c:v>6.1369345706552281E-3</c:v>
                </c:pt>
                <c:pt idx="12">
                  <c:v>8.1107576769134937E-3</c:v>
                </c:pt>
                <c:pt idx="13">
                  <c:v>9.9985362936116928E-3</c:v>
                </c:pt>
                <c:pt idx="14">
                  <c:v>1.1730131809219557E-2</c:v>
                </c:pt>
                <c:pt idx="15">
                  <c:v>1.3285433224524024E-2</c:v>
                </c:pt>
                <c:pt idx="16">
                  <c:v>1.4694529857275818E-2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curve!$T$22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curve!$T$23:$T$39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curve!$U$22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curve!$U$23:$U$39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curve!$V$22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curve!$V$23:$V$39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curve!$W$22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curve!$W$23:$W$39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curve!$X$22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curve!$X$23:$X$39</c:f>
              <c:numCache>
                <c:formatCode>0.000%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curve!$W$2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curve!$W$3:$W$19</c:f>
              <c:numCache>
                <c:formatCode>0.000%</c:formatCode>
                <c:ptCount val="17"/>
                <c:pt idx="0">
                  <c:v>1.816695985600912E-3</c:v>
                </c:pt>
                <c:pt idx="1">
                  <c:v>1.7964884759294425E-3</c:v>
                </c:pt>
                <c:pt idx="2">
                  <c:v>1.8608250945668207E-3</c:v>
                </c:pt>
                <c:pt idx="3">
                  <c:v>1.8752226840390541E-3</c:v>
                </c:pt>
                <c:pt idx="4">
                  <c:v>1.9092979925607811E-3</c:v>
                </c:pt>
                <c:pt idx="5">
                  <c:v>1.9382746651510629E-3</c:v>
                </c:pt>
                <c:pt idx="6">
                  <c:v>2.0558870822826964E-3</c:v>
                </c:pt>
                <c:pt idx="7">
                  <c:v>2.3907708335201313E-3</c:v>
                </c:pt>
                <c:pt idx="8">
                  <c:v>2.620314085167645E-3</c:v>
                </c:pt>
                <c:pt idx="9">
                  <c:v>6.2474676072659108E-3</c:v>
                </c:pt>
                <c:pt idx="10">
                  <c:v>1.1849137132985013E-2</c:v>
                </c:pt>
                <c:pt idx="11">
                  <c:v>1.6113973355516197E-2</c:v>
                </c:pt>
                <c:pt idx="12">
                  <c:v>1.9907278276945717E-2</c:v>
                </c:pt>
                <c:pt idx="13">
                  <c:v>2.2683443776997048E-2</c:v>
                </c:pt>
                <c:pt idx="14">
                  <c:v>2.4882251219299083E-2</c:v>
                </c:pt>
                <c:pt idx="15">
                  <c:v>2.6580757621797201E-2</c:v>
                </c:pt>
                <c:pt idx="16">
                  <c:v>2.8004967559819703E-2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953416"/>
        <c:axId val="156953808"/>
      </c:lineChart>
      <c:dateAx>
        <c:axId val="1569534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156953808"/>
        <c:crosses val="autoZero"/>
        <c:auto val="1"/>
        <c:lblOffset val="100"/>
        <c:baseTimeUnit val="months"/>
      </c:dateAx>
      <c:valAx>
        <c:axId val="156953808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156953416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24</xdr:row>
      <xdr:rowOff>0</xdr:rowOff>
    </xdr:from>
    <xdr:to>
      <xdr:col>6</xdr:col>
      <xdr:colOff>19050</xdr:colOff>
      <xdr:row>40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1 - Data Cleanup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2 - instrument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16</xdr:row>
      <xdr:rowOff>0</xdr:rowOff>
    </xdr:from>
    <xdr:to>
      <xdr:col>7</xdr:col>
      <xdr:colOff>1</xdr:colOff>
      <xdr:row>32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7</xdr:col>
      <xdr:colOff>0</xdr:colOff>
      <xdr:row>49</xdr:row>
      <xdr:rowOff>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20</xdr:row>
      <xdr:rowOff>0</xdr:rowOff>
    </xdr:from>
    <xdr:to>
      <xdr:col>22</xdr:col>
      <xdr:colOff>609599</xdr:colOff>
      <xdr:row>35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22</xdr:col>
      <xdr:colOff>609599</xdr:colOff>
      <xdr:row>19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</xdr:colOff>
      <xdr:row>36</xdr:row>
      <xdr:rowOff>1</xdr:rowOff>
    </xdr:from>
    <xdr:to>
      <xdr:col>23</xdr:col>
      <xdr:colOff>0</xdr:colOff>
      <xdr:row>49</xdr:row>
      <xdr:rowOff>1</xdr:rowOff>
    </xdr:to>
    <xdr:graphicFrame macro="">
      <xdr:nvGraphicFramePr>
        <xdr:cNvPr id="4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114898</xdr:colOff>
          <xdr:row>19</xdr:row>
          <xdr:rowOff>114898</xdr:rowOff>
        </xdr:from>
        <xdr:to>
          <xdr:col>9</xdr:col>
          <xdr:colOff>229797</xdr:colOff>
          <xdr:row>21</xdr:row>
          <xdr:rowOff>124473</xdr:rowOff>
        </xdr:to>
        <xdr:sp macro="" textlink="">
          <xdr:nvSpPr>
            <xdr:cNvPr id="43009" name="changeSwitchButt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0.13952</cdr:y>
    </cdr:from>
    <cdr:to>
      <cdr:x>1</cdr:x>
      <cdr:y>0.27285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86093" y="288384"/>
          <a:ext cx="609606" cy="275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0.58033</cdr:y>
    </cdr:from>
    <cdr:to>
      <cdr:x>1</cdr:x>
      <cdr:y>0.71367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295643" y="1199508"/>
          <a:ext cx="609606" cy="27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0.13563</cdr:y>
    </cdr:from>
    <cdr:to>
      <cdr:x>1</cdr:x>
      <cdr:y>0.2655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152768" y="303594"/>
          <a:ext cx="609606" cy="290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0.6959</cdr:y>
    </cdr:from>
    <cdr:to>
      <cdr:x>1</cdr:x>
      <cdr:y>0.82577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3267068" y="1557690"/>
          <a:ext cx="609606" cy="2906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0.83247</cdr:x>
      <cdr:y>0.66509</cdr:y>
    </cdr:from>
    <cdr:to>
      <cdr:x>0.99742</cdr:x>
      <cdr:y>0.85849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76568" y="1343026"/>
          <a:ext cx="609606" cy="390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fr-FR" sz="800">
              <a:solidFill>
                <a:schemeClr val="bg1"/>
              </a:solidFill>
            </a:rPr>
            <a:t>Switch back</a:t>
          </a:r>
        </a:p>
      </cdr:txBody>
    </cdr:sp>
  </cdr:relSizeAnchor>
  <cdr:relSizeAnchor xmlns:cdr="http://schemas.openxmlformats.org/drawingml/2006/chartDrawing">
    <cdr:from>
      <cdr:x>0.83505</cdr:x>
      <cdr:y>0.14623</cdr:y>
    </cdr:from>
    <cdr:to>
      <cdr:x>1</cdr:x>
      <cdr:y>0.29246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086094" y="295275"/>
          <a:ext cx="609606" cy="295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fr-FR" sz="800">
              <a:solidFill>
                <a:sysClr val="window" lastClr="FFFFFF"/>
              </a:solidFill>
            </a:rPr>
            <a:t>Switch 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9524</xdr:colOff>
      <xdr:row>40</xdr:row>
      <xdr:rowOff>28575</xdr:rowOff>
    </xdr:from>
    <xdr:to>
      <xdr:col>25</xdr:col>
      <xdr:colOff>285749</xdr:colOff>
      <xdr:row>59</xdr:row>
      <xdr:rowOff>57150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jeanmatthieu/tools/2%20-%20Relative%20Val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Portefeuille%20AUD/Portefeuille%20AU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ôles"/>
      <sheetName val="Quote TWEB"/>
      <sheetName val="Relative Value"/>
      <sheetName val="index"/>
      <sheetName val="CM UST trade"/>
      <sheetName val="calendrier"/>
    </sheetNames>
    <sheetDataSet>
      <sheetData sheetId="0">
        <row r="2">
          <cell r="L2" t="str">
            <v>O/N</v>
          </cell>
        </row>
        <row r="3">
          <cell r="L3" t="str">
            <v>1W</v>
          </cell>
        </row>
        <row r="4">
          <cell r="L4" t="str">
            <v>2W</v>
          </cell>
        </row>
        <row r="5">
          <cell r="L5" t="str">
            <v>3W</v>
          </cell>
        </row>
        <row r="6">
          <cell r="L6" t="str">
            <v>1M</v>
          </cell>
        </row>
        <row r="7">
          <cell r="L7" t="str">
            <v>2M</v>
          </cell>
        </row>
        <row r="8">
          <cell r="L8" t="str">
            <v>3M</v>
          </cell>
        </row>
        <row r="10">
          <cell r="B10" t="str">
            <v>USTCURV#0000</v>
          </cell>
        </row>
        <row r="32">
          <cell r="B32" t="str">
            <v>US_SWAP#0025</v>
          </cell>
        </row>
        <row r="43">
          <cell r="B43" t="str">
            <v>US_OIS#0013</v>
          </cell>
        </row>
      </sheetData>
      <sheetData sheetId="1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M1">
            <v>0</v>
          </cell>
          <cell r="N1">
            <v>0</v>
          </cell>
          <cell r="P1">
            <v>0</v>
          </cell>
          <cell r="Q1">
            <v>0</v>
          </cell>
        </row>
        <row r="2">
          <cell r="A2" t="str">
            <v>short Name</v>
          </cell>
          <cell r="B2" t="str">
            <v>CUSIP</v>
          </cell>
          <cell r="C2" t="str">
            <v>ID_ISIN</v>
          </cell>
          <cell r="D2" t="str">
            <v>ISSUE_DT</v>
          </cell>
          <cell r="E2" t="str">
            <v>INT_ACC_DT</v>
          </cell>
          <cell r="F2" t="str">
            <v>FIRST_CPN_DT</v>
          </cell>
          <cell r="G2" t="str">
            <v>PENULTIMATE_CPN_DT</v>
          </cell>
          <cell r="H2" t="str">
            <v>MATURITY</v>
          </cell>
          <cell r="I2" t="str">
            <v>CPN</v>
          </cell>
          <cell r="J2">
            <v>0</v>
          </cell>
          <cell r="K2" t="str">
            <v>BID</v>
          </cell>
          <cell r="L2" t="str">
            <v>ASK</v>
          </cell>
          <cell r="M2" t="str">
            <v>RT_YIELD_1</v>
          </cell>
          <cell r="N2" t="str">
            <v>SEC_YLD_1</v>
          </cell>
          <cell r="O2">
            <v>0</v>
          </cell>
          <cell r="P2" t="str">
            <v>Prix de marché BID</v>
          </cell>
          <cell r="Q2" t="str">
            <v>Prix de marché ASK</v>
          </cell>
        </row>
        <row r="3">
          <cell r="A3" t="str">
            <v>B 04/07/11</v>
          </cell>
          <cell r="B3" t="str">
            <v>912795VD0</v>
          </cell>
          <cell r="C3" t="str">
            <v>US912795VD05</v>
          </cell>
          <cell r="D3">
            <v>40276</v>
          </cell>
          <cell r="E3">
            <v>40276</v>
          </cell>
          <cell r="F3">
            <v>0</v>
          </cell>
          <cell r="G3">
            <v>0</v>
          </cell>
          <cell r="H3">
            <v>40640</v>
          </cell>
          <cell r="I3">
            <v>0</v>
          </cell>
          <cell r="J3">
            <v>0</v>
          </cell>
          <cell r="K3">
            <v>1.7500000000000003E-4</v>
          </cell>
          <cell r="L3">
            <v>1E-4</v>
          </cell>
          <cell r="M3">
            <v>1.7999999999999998E-4</v>
          </cell>
          <cell r="N3">
            <v>1E-4</v>
          </cell>
          <cell r="O3">
            <v>0</v>
          </cell>
          <cell r="P3">
            <v>99.999902777777791</v>
          </cell>
          <cell r="Q3">
            <v>99.999944444444438</v>
          </cell>
        </row>
        <row r="4">
          <cell r="A4" t="str">
            <v>B 04/14/11</v>
          </cell>
          <cell r="B4" t="str">
            <v>9127952L4</v>
          </cell>
          <cell r="C4" t="str">
            <v>US9127952L45</v>
          </cell>
          <cell r="D4">
            <v>40465</v>
          </cell>
          <cell r="E4">
            <v>40465</v>
          </cell>
          <cell r="F4">
            <v>0</v>
          </cell>
          <cell r="G4">
            <v>0</v>
          </cell>
          <cell r="H4">
            <v>40647</v>
          </cell>
          <cell r="I4">
            <v>0</v>
          </cell>
          <cell r="J4">
            <v>0</v>
          </cell>
          <cell r="K4">
            <v>2.7500000000000002E-4</v>
          </cell>
          <cell r="L4">
            <v>2.0000000000000001E-4</v>
          </cell>
          <cell r="M4">
            <v>2.8000000000000003E-4</v>
          </cell>
          <cell r="N4">
            <v>2.0000000000000001E-4</v>
          </cell>
          <cell r="O4">
            <v>0</v>
          </cell>
          <cell r="P4">
            <v>99.99931250000003</v>
          </cell>
          <cell r="Q4">
            <v>99.999500000000012</v>
          </cell>
        </row>
        <row r="5">
          <cell r="A5" t="str">
            <v>B 04/15/11</v>
          </cell>
          <cell r="B5" t="str">
            <v>9127956Q9</v>
          </cell>
          <cell r="C5" t="str">
            <v>US9127956Q95</v>
          </cell>
          <cell r="D5">
            <v>40599</v>
          </cell>
          <cell r="E5">
            <v>40599</v>
          </cell>
          <cell r="F5">
            <v>0</v>
          </cell>
          <cell r="G5">
            <v>0</v>
          </cell>
          <cell r="H5">
            <v>40648</v>
          </cell>
          <cell r="I5">
            <v>0</v>
          </cell>
          <cell r="J5">
            <v>0</v>
          </cell>
          <cell r="K5">
            <v>2.5000000000000001E-4</v>
          </cell>
          <cell r="L5">
            <v>1.4999999999999999E-4</v>
          </cell>
          <cell r="M5">
            <v>2.5000000000000001E-4</v>
          </cell>
          <cell r="N5">
            <v>1.4999999999999999E-4</v>
          </cell>
          <cell r="O5">
            <v>0</v>
          </cell>
          <cell r="P5">
            <v>99.999305555555566</v>
          </cell>
          <cell r="Q5">
            <v>99.999583333333334</v>
          </cell>
        </row>
        <row r="6">
          <cell r="A6" t="str">
            <v>B 04/21/11</v>
          </cell>
          <cell r="B6" t="str">
            <v>9127952M2</v>
          </cell>
          <cell r="C6" t="str">
            <v>US9127952M28</v>
          </cell>
          <cell r="D6">
            <v>40472</v>
          </cell>
          <cell r="E6">
            <v>40472</v>
          </cell>
          <cell r="F6">
            <v>0</v>
          </cell>
          <cell r="G6">
            <v>0</v>
          </cell>
          <cell r="H6">
            <v>40654</v>
          </cell>
          <cell r="I6">
            <v>0</v>
          </cell>
          <cell r="J6">
            <v>0</v>
          </cell>
          <cell r="K6">
            <v>3.7500000000000001E-4</v>
          </cell>
          <cell r="L6">
            <v>2.9999999999999997E-4</v>
          </cell>
          <cell r="M6">
            <v>3.7999999999999997E-4</v>
          </cell>
          <cell r="N6">
            <v>3.1E-4</v>
          </cell>
          <cell r="O6">
            <v>0</v>
          </cell>
          <cell r="P6">
            <v>99.998333333333363</v>
          </cell>
          <cell r="Q6">
            <v>99.998666666666679</v>
          </cell>
        </row>
        <row r="7">
          <cell r="A7" t="str">
            <v>B 04/28/11</v>
          </cell>
          <cell r="B7" t="str">
            <v>9127952N0</v>
          </cell>
          <cell r="C7" t="str">
            <v>US9127952N01</v>
          </cell>
          <cell r="D7">
            <v>40479</v>
          </cell>
          <cell r="E7">
            <v>40479</v>
          </cell>
          <cell r="F7">
            <v>0</v>
          </cell>
          <cell r="G7">
            <v>0</v>
          </cell>
          <cell r="H7">
            <v>40661</v>
          </cell>
          <cell r="I7">
            <v>0</v>
          </cell>
          <cell r="J7">
            <v>0</v>
          </cell>
          <cell r="K7">
            <v>2.9999999999999997E-4</v>
          </cell>
          <cell r="L7">
            <v>2.2499999999999999E-4</v>
          </cell>
          <cell r="M7">
            <v>3.1E-4</v>
          </cell>
          <cell r="N7">
            <v>2.3000000000000001E-4</v>
          </cell>
          <cell r="O7">
            <v>0</v>
          </cell>
          <cell r="P7">
            <v>99.998083333333355</v>
          </cell>
          <cell r="Q7">
            <v>99.99856250000002</v>
          </cell>
        </row>
        <row r="8">
          <cell r="A8" t="str">
            <v>T4,875 04/11</v>
          </cell>
          <cell r="B8" t="str">
            <v>912828FD7</v>
          </cell>
          <cell r="C8" t="str">
            <v>US912828FD71</v>
          </cell>
          <cell r="D8">
            <v>38838</v>
          </cell>
          <cell r="E8">
            <v>38837</v>
          </cell>
          <cell r="F8">
            <v>39021</v>
          </cell>
          <cell r="G8">
            <v>40482</v>
          </cell>
          <cell r="H8">
            <v>40663</v>
          </cell>
          <cell r="I8">
            <v>4.8750000000000002E-2</v>
          </cell>
          <cell r="J8">
            <v>0</v>
          </cell>
          <cell r="K8">
            <v>100.31640625</v>
          </cell>
          <cell r="L8">
            <v>100.32421875</v>
          </cell>
          <cell r="M8">
            <v>1E-3</v>
          </cell>
          <cell r="N8">
            <v>-1.4999999999999999E-4</v>
          </cell>
          <cell r="O8">
            <v>0</v>
          </cell>
          <cell r="P8">
            <v>100.31640625</v>
          </cell>
          <cell r="Q8">
            <v>100.32421875</v>
          </cell>
        </row>
        <row r="9">
          <cell r="A9" t="str">
            <v>T0,875 04/11</v>
          </cell>
          <cell r="B9" t="str">
            <v>912828KL3</v>
          </cell>
          <cell r="C9" t="str">
            <v>US912828KL33</v>
          </cell>
          <cell r="D9">
            <v>39933</v>
          </cell>
          <cell r="E9">
            <v>39933</v>
          </cell>
          <cell r="F9">
            <v>40117</v>
          </cell>
          <cell r="G9">
            <v>40482</v>
          </cell>
          <cell r="H9">
            <v>40663</v>
          </cell>
          <cell r="I9">
            <v>8.7500000000000008E-3</v>
          </cell>
          <cell r="J9">
            <v>0</v>
          </cell>
          <cell r="K9">
            <v>100.05078125</v>
          </cell>
          <cell r="L9">
            <v>100.05859375</v>
          </cell>
          <cell r="M9">
            <v>1.09E-3</v>
          </cell>
          <cell r="N9">
            <v>-8.9999999999999992E-5</v>
          </cell>
          <cell r="O9">
            <v>0</v>
          </cell>
          <cell r="P9">
            <v>100.05078125</v>
          </cell>
          <cell r="Q9">
            <v>100.05859375</v>
          </cell>
        </row>
        <row r="10">
          <cell r="A10" t="str">
            <v>B 05/05/11</v>
          </cell>
          <cell r="B10" t="str">
            <v>912795VE8</v>
          </cell>
          <cell r="C10" t="str">
            <v>US912795VE87</v>
          </cell>
          <cell r="D10">
            <v>40304</v>
          </cell>
          <cell r="E10">
            <v>40304</v>
          </cell>
          <cell r="F10">
            <v>0</v>
          </cell>
          <cell r="G10">
            <v>0</v>
          </cell>
          <cell r="H10">
            <v>40668</v>
          </cell>
          <cell r="I10">
            <v>0</v>
          </cell>
          <cell r="J10">
            <v>0</v>
          </cell>
          <cell r="K10">
            <v>4.75E-4</v>
          </cell>
          <cell r="L10">
            <v>4.0000000000000002E-4</v>
          </cell>
          <cell r="M10">
            <v>4.8000000000000001E-4</v>
          </cell>
          <cell r="N10">
            <v>4.0999999999999999E-4</v>
          </cell>
          <cell r="O10">
            <v>0</v>
          </cell>
          <cell r="P10">
            <v>99.996041666666656</v>
          </cell>
          <cell r="Q10">
            <v>99.996666666666684</v>
          </cell>
        </row>
        <row r="11">
          <cell r="A11" t="str">
            <v>B 05/12/11</v>
          </cell>
          <cell r="B11" t="str">
            <v>9127952Q3</v>
          </cell>
          <cell r="C11" t="str">
            <v>US9127952Q32</v>
          </cell>
          <cell r="D11">
            <v>40494</v>
          </cell>
          <cell r="E11">
            <v>40494</v>
          </cell>
          <cell r="F11">
            <v>0</v>
          </cell>
          <cell r="G11">
            <v>0</v>
          </cell>
          <cell r="H11">
            <v>40675</v>
          </cell>
          <cell r="I11">
            <v>0</v>
          </cell>
          <cell r="J11">
            <v>0</v>
          </cell>
          <cell r="K11">
            <v>2.9999999999999997E-4</v>
          </cell>
          <cell r="L11">
            <v>2.0000000000000001E-4</v>
          </cell>
          <cell r="M11">
            <v>2.9999999999999997E-4</v>
          </cell>
          <cell r="N11">
            <v>2.0000000000000001E-4</v>
          </cell>
          <cell r="O11">
            <v>0</v>
          </cell>
          <cell r="P11">
            <v>99.996916666666692</v>
          </cell>
          <cell r="Q11">
            <v>99.997944444444499</v>
          </cell>
        </row>
        <row r="12">
          <cell r="A12" t="str">
            <v>B 05/19/11</v>
          </cell>
          <cell r="B12" t="str">
            <v>9127952R1</v>
          </cell>
          <cell r="C12" t="str">
            <v>US9127952R15</v>
          </cell>
          <cell r="D12">
            <v>40500</v>
          </cell>
          <cell r="E12">
            <v>40500</v>
          </cell>
          <cell r="F12">
            <v>0</v>
          </cell>
          <cell r="G12">
            <v>0</v>
          </cell>
          <cell r="H12">
            <v>40682</v>
          </cell>
          <cell r="I12">
            <v>0</v>
          </cell>
          <cell r="J12">
            <v>0</v>
          </cell>
          <cell r="K12">
            <v>4.2500000000000003E-4</v>
          </cell>
          <cell r="L12">
            <v>3.2499999999999999E-4</v>
          </cell>
          <cell r="M12">
            <v>4.3000000000000004E-4</v>
          </cell>
          <cell r="N12">
            <v>3.3E-4</v>
          </cell>
          <cell r="O12">
            <v>0</v>
          </cell>
          <cell r="P12">
            <v>99.994805555555573</v>
          </cell>
          <cell r="Q12">
            <v>99.996027777777797</v>
          </cell>
        </row>
        <row r="13">
          <cell r="A13" t="str">
            <v>B 05/26/11</v>
          </cell>
          <cell r="B13" t="str">
            <v>9127952S9</v>
          </cell>
          <cell r="C13" t="str">
            <v>US9127952S97</v>
          </cell>
          <cell r="D13">
            <v>40508</v>
          </cell>
          <cell r="E13">
            <v>40508</v>
          </cell>
          <cell r="F13">
            <v>0</v>
          </cell>
          <cell r="G13">
            <v>0</v>
          </cell>
          <cell r="H13">
            <v>40689</v>
          </cell>
          <cell r="I13">
            <v>0</v>
          </cell>
          <cell r="J13">
            <v>0</v>
          </cell>
          <cell r="K13">
            <v>3.7500000000000001E-4</v>
          </cell>
          <cell r="L13">
            <v>2.7500000000000002E-4</v>
          </cell>
          <cell r="M13">
            <v>3.7999999999999997E-4</v>
          </cell>
          <cell r="N13">
            <v>2.8000000000000003E-4</v>
          </cell>
          <cell r="O13">
            <v>0</v>
          </cell>
          <cell r="P13">
            <v>99.994687500000012</v>
          </cell>
          <cell r="Q13">
            <v>99.996104166666726</v>
          </cell>
        </row>
        <row r="14">
          <cell r="A14" t="str">
            <v>T4,875 05/11</v>
          </cell>
          <cell r="B14" t="str">
            <v>912828FH8</v>
          </cell>
          <cell r="C14" t="str">
            <v>US912828FH85</v>
          </cell>
          <cell r="D14">
            <v>38868</v>
          </cell>
          <cell r="E14">
            <v>38868</v>
          </cell>
          <cell r="F14">
            <v>39051</v>
          </cell>
          <cell r="G14">
            <v>40512</v>
          </cell>
          <cell r="H14">
            <v>40694</v>
          </cell>
          <cell r="I14">
            <v>4.8750000000000002E-2</v>
          </cell>
          <cell r="J14">
            <v>0</v>
          </cell>
          <cell r="K14">
            <v>100.72265625</v>
          </cell>
          <cell r="L14">
            <v>100.734375</v>
          </cell>
          <cell r="M14">
            <v>8.9999999999999998E-4</v>
          </cell>
          <cell r="N14">
            <v>1.4000000000000001E-4</v>
          </cell>
          <cell r="O14">
            <v>0</v>
          </cell>
          <cell r="P14">
            <v>100.72265625</v>
          </cell>
          <cell r="Q14">
            <v>100.734375</v>
          </cell>
        </row>
        <row r="15">
          <cell r="A15" t="str">
            <v>T0,875 05/11</v>
          </cell>
          <cell r="B15" t="str">
            <v>912828KU3</v>
          </cell>
          <cell r="C15" t="str">
            <v>US912828KU32</v>
          </cell>
          <cell r="D15">
            <v>39965</v>
          </cell>
          <cell r="E15">
            <v>39964</v>
          </cell>
          <cell r="F15">
            <v>40147</v>
          </cell>
          <cell r="G15">
            <v>40512</v>
          </cell>
          <cell r="H15">
            <v>40694</v>
          </cell>
          <cell r="I15">
            <v>8.7500000000000008E-3</v>
          </cell>
          <cell r="J15">
            <v>0</v>
          </cell>
          <cell r="K15">
            <v>100.12109375</v>
          </cell>
          <cell r="L15">
            <v>100.12890625</v>
          </cell>
          <cell r="M15">
            <v>7.3000000000000007E-4</v>
          </cell>
          <cell r="N15">
            <v>2.1999999999999998E-4</v>
          </cell>
          <cell r="O15">
            <v>0</v>
          </cell>
          <cell r="P15">
            <v>100.12109375</v>
          </cell>
          <cell r="Q15">
            <v>100.12890625</v>
          </cell>
        </row>
        <row r="16">
          <cell r="A16" t="str">
            <v>B 06/02/11</v>
          </cell>
          <cell r="B16" t="str">
            <v>912795W64</v>
          </cell>
          <cell r="C16" t="str">
            <v>US912795W649</v>
          </cell>
          <cell r="D16">
            <v>40332</v>
          </cell>
          <cell r="E16">
            <v>40332</v>
          </cell>
          <cell r="F16">
            <v>0</v>
          </cell>
          <cell r="G16">
            <v>0</v>
          </cell>
          <cell r="H16">
            <v>40696</v>
          </cell>
          <cell r="I16">
            <v>0</v>
          </cell>
          <cell r="J16">
            <v>0</v>
          </cell>
          <cell r="K16">
            <v>4.2500000000000003E-4</v>
          </cell>
          <cell r="L16">
            <v>3.2499999999999999E-4</v>
          </cell>
          <cell r="M16">
            <v>4.3000000000000004E-4</v>
          </cell>
          <cell r="N16">
            <v>3.3E-4</v>
          </cell>
          <cell r="O16">
            <v>0</v>
          </cell>
          <cell r="P16">
            <v>99.99315277777778</v>
          </cell>
          <cell r="Q16">
            <v>99.994763888888897</v>
          </cell>
        </row>
        <row r="17">
          <cell r="A17" t="str">
            <v>B 06/09/11</v>
          </cell>
          <cell r="B17" t="str">
            <v>9127952U4</v>
          </cell>
          <cell r="C17" t="str">
            <v>US9127952U44</v>
          </cell>
          <cell r="D17">
            <v>40521</v>
          </cell>
          <cell r="E17">
            <v>40521</v>
          </cell>
          <cell r="F17">
            <v>0</v>
          </cell>
          <cell r="G17">
            <v>0</v>
          </cell>
          <cell r="H17">
            <v>40703</v>
          </cell>
          <cell r="I17">
            <v>0</v>
          </cell>
          <cell r="J17">
            <v>0</v>
          </cell>
          <cell r="K17">
            <v>4.0000000000000002E-4</v>
          </cell>
          <cell r="L17">
            <v>2.9999999999999997E-4</v>
          </cell>
          <cell r="M17">
            <v>4.0999999999999999E-4</v>
          </cell>
          <cell r="N17">
            <v>3.1E-4</v>
          </cell>
          <cell r="O17">
            <v>0</v>
          </cell>
          <cell r="P17">
            <v>99.992777777777803</v>
          </cell>
          <cell r="Q17">
            <v>99.994583333333352</v>
          </cell>
        </row>
        <row r="18">
          <cell r="A18" t="str">
            <v>B 06/16/11</v>
          </cell>
          <cell r="B18" t="str">
            <v>9127952V2</v>
          </cell>
          <cell r="C18" t="str">
            <v>US9127952V27</v>
          </cell>
          <cell r="D18">
            <v>40528</v>
          </cell>
          <cell r="E18">
            <v>40528</v>
          </cell>
          <cell r="F18">
            <v>0</v>
          </cell>
          <cell r="G18">
            <v>0</v>
          </cell>
          <cell r="H18">
            <v>40710</v>
          </cell>
          <cell r="I18">
            <v>0</v>
          </cell>
          <cell r="J18">
            <v>0</v>
          </cell>
          <cell r="K18">
            <v>4.75E-4</v>
          </cell>
          <cell r="L18">
            <v>3.7500000000000001E-4</v>
          </cell>
          <cell r="M18">
            <v>4.8000000000000001E-4</v>
          </cell>
          <cell r="N18">
            <v>3.7999999999999997E-4</v>
          </cell>
          <cell r="O18">
            <v>0</v>
          </cell>
          <cell r="P18">
            <v>99.990500000000054</v>
          </cell>
          <cell r="Q18">
            <v>99.992500000000021</v>
          </cell>
        </row>
        <row r="19">
          <cell r="A19" t="str">
            <v>B 06/23/11</v>
          </cell>
          <cell r="B19" t="str">
            <v>9127952W0</v>
          </cell>
          <cell r="C19" t="str">
            <v>US9127952W00</v>
          </cell>
          <cell r="D19">
            <v>40535</v>
          </cell>
          <cell r="E19">
            <v>40535</v>
          </cell>
          <cell r="F19">
            <v>0</v>
          </cell>
          <cell r="G19">
            <v>0</v>
          </cell>
          <cell r="H19">
            <v>40717</v>
          </cell>
          <cell r="I19">
            <v>0</v>
          </cell>
          <cell r="J19">
            <v>0</v>
          </cell>
          <cell r="K19">
            <v>5.2500000000000008E-4</v>
          </cell>
          <cell r="L19">
            <v>4.2500000000000003E-4</v>
          </cell>
          <cell r="M19">
            <v>5.3000000000000009E-4</v>
          </cell>
          <cell r="N19">
            <v>4.3000000000000004E-4</v>
          </cell>
          <cell r="O19">
            <v>0</v>
          </cell>
          <cell r="P19">
            <v>99.988479166666679</v>
          </cell>
          <cell r="Q19">
            <v>99.990673611111148</v>
          </cell>
        </row>
        <row r="20">
          <cell r="A20" t="str">
            <v>T1,125 06/11</v>
          </cell>
          <cell r="B20" t="str">
            <v>912828LF5</v>
          </cell>
          <cell r="C20" t="str">
            <v>US912828LF55</v>
          </cell>
          <cell r="D20">
            <v>39994</v>
          </cell>
          <cell r="E20">
            <v>39994</v>
          </cell>
          <cell r="F20">
            <v>40178</v>
          </cell>
          <cell r="G20">
            <v>40543</v>
          </cell>
          <cell r="H20">
            <v>40724</v>
          </cell>
          <cell r="I20">
            <v>1.125E-2</v>
          </cell>
          <cell r="J20">
            <v>0</v>
          </cell>
          <cell r="K20">
            <v>100.2421875</v>
          </cell>
          <cell r="L20">
            <v>100.25390625</v>
          </cell>
          <cell r="M20">
            <v>9.2999999999999995E-4</v>
          </cell>
          <cell r="N20">
            <v>4.3000000000000004E-4</v>
          </cell>
          <cell r="O20">
            <v>0</v>
          </cell>
          <cell r="P20">
            <v>100.2421875</v>
          </cell>
          <cell r="Q20">
            <v>100.25390625</v>
          </cell>
        </row>
        <row r="21">
          <cell r="A21" t="str">
            <v>T5,125 06/11</v>
          </cell>
          <cell r="B21" t="str">
            <v>912828FK1</v>
          </cell>
          <cell r="C21" t="str">
            <v>US912828FK15</v>
          </cell>
          <cell r="D21">
            <v>38898</v>
          </cell>
          <cell r="E21">
            <v>38898</v>
          </cell>
          <cell r="F21">
            <v>39082</v>
          </cell>
          <cell r="G21">
            <v>40543</v>
          </cell>
          <cell r="H21">
            <v>40724</v>
          </cell>
          <cell r="I21">
            <v>5.1249999999999997E-2</v>
          </cell>
          <cell r="J21">
            <v>0</v>
          </cell>
          <cell r="K21">
            <v>101.1796875</v>
          </cell>
          <cell r="L21">
            <v>101.19140625</v>
          </cell>
          <cell r="M21">
            <v>9.7999999999999997E-4</v>
          </cell>
          <cell r="N21">
            <v>5.0000000000000001E-4</v>
          </cell>
          <cell r="O21">
            <v>0</v>
          </cell>
          <cell r="P21">
            <v>101.1796875</v>
          </cell>
          <cell r="Q21">
            <v>101.19140625</v>
          </cell>
        </row>
        <row r="22">
          <cell r="A22" t="str">
            <v>B 06/30/11</v>
          </cell>
          <cell r="B22" t="str">
            <v>912795X22</v>
          </cell>
          <cell r="C22" t="str">
            <v>US912795X225</v>
          </cell>
          <cell r="D22">
            <v>40360</v>
          </cell>
          <cell r="E22">
            <v>40360</v>
          </cell>
          <cell r="F22">
            <v>0</v>
          </cell>
          <cell r="G22">
            <v>0</v>
          </cell>
          <cell r="H22">
            <v>40724</v>
          </cell>
          <cell r="I22">
            <v>0</v>
          </cell>
          <cell r="J22">
            <v>0</v>
          </cell>
          <cell r="K22">
            <v>5.9999999999999995E-4</v>
          </cell>
          <cell r="L22">
            <v>5.0000000000000001E-4</v>
          </cell>
          <cell r="M22">
            <v>6.0999999999999997E-4</v>
          </cell>
          <cell r="N22">
            <v>5.1000000000000004E-4</v>
          </cell>
          <cell r="O22">
            <v>0</v>
          </cell>
          <cell r="P22">
            <v>99.98566666666666</v>
          </cell>
          <cell r="Q22">
            <v>99.988055555555562</v>
          </cell>
        </row>
        <row r="23">
          <cell r="A23" t="str">
            <v>B 07/07/11</v>
          </cell>
          <cell r="B23" t="str">
            <v>9127952X8</v>
          </cell>
          <cell r="C23" t="str">
            <v>US9127952X82</v>
          </cell>
          <cell r="D23">
            <v>40549</v>
          </cell>
          <cell r="E23">
            <v>40549</v>
          </cell>
          <cell r="F23">
            <v>0</v>
          </cell>
          <cell r="G23">
            <v>0</v>
          </cell>
          <cell r="H23">
            <v>40731</v>
          </cell>
          <cell r="I23">
            <v>0</v>
          </cell>
          <cell r="J23">
            <v>0</v>
          </cell>
          <cell r="K23">
            <v>6.7500000000000004E-4</v>
          </cell>
          <cell r="L23">
            <v>6.2500000000000001E-4</v>
          </cell>
          <cell r="M23">
            <v>6.7999999999999994E-4</v>
          </cell>
          <cell r="N23">
            <v>6.3000000000000003E-4</v>
          </cell>
          <cell r="O23">
            <v>0</v>
          </cell>
          <cell r="P23">
            <v>99.982562500000029</v>
          </cell>
          <cell r="Q23">
            <v>99.983854166666703</v>
          </cell>
        </row>
        <row r="24">
          <cell r="A24" t="str">
            <v>B 07/14/11</v>
          </cell>
          <cell r="B24" t="str">
            <v>9127952Z3</v>
          </cell>
          <cell r="C24" t="str">
            <v>US9127952Z31</v>
          </cell>
          <cell r="D24">
            <v>40556</v>
          </cell>
          <cell r="E24">
            <v>40556</v>
          </cell>
          <cell r="F24">
            <v>0</v>
          </cell>
          <cell r="G24">
            <v>0</v>
          </cell>
          <cell r="H24">
            <v>40738</v>
          </cell>
          <cell r="I24">
            <v>0</v>
          </cell>
          <cell r="J24">
            <v>0</v>
          </cell>
          <cell r="K24">
            <v>7.000000000000001E-4</v>
          </cell>
          <cell r="L24">
            <v>5.9999999999999995E-4</v>
          </cell>
          <cell r="M24">
            <v>7.1000000000000013E-4</v>
          </cell>
          <cell r="N24">
            <v>6.0999999999999997E-4</v>
          </cell>
          <cell r="O24">
            <v>0</v>
          </cell>
          <cell r="P24">
            <v>99.980555555555583</v>
          </cell>
          <cell r="Q24">
            <v>99.983333333333363</v>
          </cell>
        </row>
        <row r="25">
          <cell r="A25" t="str">
            <v>B 07/21/11</v>
          </cell>
          <cell r="B25" t="str">
            <v>9127953A7</v>
          </cell>
          <cell r="C25" t="str">
            <v>US9127953A70</v>
          </cell>
          <cell r="D25">
            <v>40563</v>
          </cell>
          <cell r="E25">
            <v>40563</v>
          </cell>
          <cell r="F25">
            <v>0</v>
          </cell>
          <cell r="G25">
            <v>0</v>
          </cell>
          <cell r="H25">
            <v>40745</v>
          </cell>
          <cell r="I25">
            <v>0</v>
          </cell>
          <cell r="J25">
            <v>0</v>
          </cell>
          <cell r="K25">
            <v>8.5000000000000006E-4</v>
          </cell>
          <cell r="L25">
            <v>7.5000000000000012E-4</v>
          </cell>
          <cell r="M25">
            <v>8.6000000000000009E-4</v>
          </cell>
          <cell r="N25">
            <v>7.6000000000000015E-4</v>
          </cell>
          <cell r="O25">
            <v>0</v>
          </cell>
          <cell r="P25">
            <v>99.974736111111127</v>
          </cell>
          <cell r="Q25">
            <v>99.977708333333382</v>
          </cell>
        </row>
        <row r="26">
          <cell r="A26" t="str">
            <v>B 07/28/11</v>
          </cell>
          <cell r="B26" t="str">
            <v>912795X63</v>
          </cell>
          <cell r="C26" t="str">
            <v>US912795X639</v>
          </cell>
          <cell r="D26">
            <v>40388</v>
          </cell>
          <cell r="E26">
            <v>40388</v>
          </cell>
          <cell r="F26">
            <v>0</v>
          </cell>
          <cell r="G26">
            <v>0</v>
          </cell>
          <cell r="H26">
            <v>40752</v>
          </cell>
          <cell r="I26">
            <v>0</v>
          </cell>
          <cell r="J26">
            <v>0</v>
          </cell>
          <cell r="K26">
            <v>8.7500000000000013E-4</v>
          </cell>
          <cell r="L26">
            <v>7.7500000000000008E-4</v>
          </cell>
          <cell r="M26">
            <v>8.8999999999999995E-4</v>
          </cell>
          <cell r="N26">
            <v>7.9000000000000001E-4</v>
          </cell>
          <cell r="O26">
            <v>0</v>
          </cell>
          <cell r="P26">
            <v>99.972291666666663</v>
          </cell>
          <cell r="Q26">
            <v>99.97545833333335</v>
          </cell>
        </row>
        <row r="27">
          <cell r="A27" t="str">
            <v>T1 07/11</v>
          </cell>
          <cell r="B27" t="str">
            <v>912828LG3</v>
          </cell>
          <cell r="C27" t="str">
            <v>US912828LG39</v>
          </cell>
          <cell r="D27">
            <v>40025</v>
          </cell>
          <cell r="E27">
            <v>40025</v>
          </cell>
          <cell r="F27">
            <v>40209</v>
          </cell>
          <cell r="G27">
            <v>40574</v>
          </cell>
          <cell r="H27">
            <v>40755</v>
          </cell>
          <cell r="I27">
            <v>0.01</v>
          </cell>
          <cell r="J27">
            <v>0</v>
          </cell>
          <cell r="K27">
            <v>100.28125</v>
          </cell>
          <cell r="L27">
            <v>100.29296875</v>
          </cell>
          <cell r="M27">
            <v>1.2200000000000002E-3</v>
          </cell>
          <cell r="N27">
            <v>8.5000000000000006E-4</v>
          </cell>
          <cell r="O27">
            <v>0</v>
          </cell>
          <cell r="P27">
            <v>100.28125</v>
          </cell>
          <cell r="Q27">
            <v>100.29296875</v>
          </cell>
        </row>
        <row r="28">
          <cell r="A28" t="str">
            <v>T4,875 07/11</v>
          </cell>
          <cell r="B28" t="str">
            <v>912828FN5</v>
          </cell>
          <cell r="C28" t="str">
            <v>US912828FN53</v>
          </cell>
          <cell r="D28">
            <v>38929</v>
          </cell>
          <cell r="E28">
            <v>38929</v>
          </cell>
          <cell r="F28">
            <v>39113</v>
          </cell>
          <cell r="G28">
            <v>40574</v>
          </cell>
          <cell r="H28">
            <v>40755</v>
          </cell>
          <cell r="I28">
            <v>4.8750000000000002E-2</v>
          </cell>
          <cell r="J28">
            <v>0</v>
          </cell>
          <cell r="K28">
            <v>101.5234375</v>
          </cell>
          <cell r="L28">
            <v>101.5390625</v>
          </cell>
          <cell r="M28">
            <v>1.1799999999999998E-3</v>
          </cell>
          <cell r="N28">
            <v>7.000000000000001E-4</v>
          </cell>
          <cell r="O28">
            <v>0</v>
          </cell>
          <cell r="P28">
            <v>101.5234375</v>
          </cell>
          <cell r="Q28">
            <v>101.5390625</v>
          </cell>
        </row>
        <row r="29">
          <cell r="A29" t="str">
            <v>B 08/04/11</v>
          </cell>
          <cell r="B29" t="str">
            <v>9127953B5</v>
          </cell>
          <cell r="C29" t="str">
            <v>US9127953B53</v>
          </cell>
          <cell r="D29">
            <v>40577</v>
          </cell>
          <cell r="E29">
            <v>40577</v>
          </cell>
          <cell r="F29">
            <v>0</v>
          </cell>
          <cell r="G29">
            <v>0</v>
          </cell>
          <cell r="H29">
            <v>40759</v>
          </cell>
          <cell r="I29">
            <v>0</v>
          </cell>
          <cell r="J29">
            <v>0</v>
          </cell>
          <cell r="K29">
            <v>8.9999999999999998E-4</v>
          </cell>
          <cell r="L29">
            <v>8.0000000000000004E-4</v>
          </cell>
          <cell r="M29">
            <v>9.1E-4</v>
          </cell>
          <cell r="N29">
            <v>8.1000000000000006E-4</v>
          </cell>
          <cell r="O29">
            <v>0</v>
          </cell>
          <cell r="P29">
            <v>99.969750000000033</v>
          </cell>
          <cell r="Q29">
            <v>99.973111111111137</v>
          </cell>
        </row>
        <row r="30">
          <cell r="A30" t="str">
            <v>B 08/11/11</v>
          </cell>
          <cell r="B30" t="str">
            <v>9127953D1</v>
          </cell>
          <cell r="C30" t="str">
            <v>US9127953D10</v>
          </cell>
          <cell r="D30">
            <v>40584</v>
          </cell>
          <cell r="E30">
            <v>40584</v>
          </cell>
          <cell r="F30">
            <v>0</v>
          </cell>
          <cell r="G30">
            <v>0</v>
          </cell>
          <cell r="H30">
            <v>40766</v>
          </cell>
          <cell r="I30">
            <v>0</v>
          </cell>
          <cell r="J30">
            <v>0</v>
          </cell>
          <cell r="K30">
            <v>1.0250000000000001E-3</v>
          </cell>
          <cell r="L30">
            <v>9.5E-4</v>
          </cell>
          <cell r="M30">
            <v>1.0400000000000001E-3</v>
          </cell>
          <cell r="N30">
            <v>9.6000000000000002E-4</v>
          </cell>
          <cell r="O30">
            <v>0</v>
          </cell>
          <cell r="P30">
            <v>99.963555555555573</v>
          </cell>
          <cell r="Q30">
            <v>99.966222222222257</v>
          </cell>
        </row>
        <row r="31">
          <cell r="A31" t="str">
            <v>T5 08/11</v>
          </cell>
          <cell r="B31" t="str">
            <v>9128277B2</v>
          </cell>
          <cell r="C31" t="str">
            <v>US9128277B27</v>
          </cell>
          <cell r="D31">
            <v>37118</v>
          </cell>
          <cell r="E31">
            <v>37118</v>
          </cell>
          <cell r="F31">
            <v>37302</v>
          </cell>
          <cell r="G31">
            <v>40589</v>
          </cell>
          <cell r="H31">
            <v>40770</v>
          </cell>
          <cell r="I31">
            <v>0.05</v>
          </cell>
          <cell r="J31">
            <v>0</v>
          </cell>
          <cell r="K31">
            <v>101.7578125</v>
          </cell>
          <cell r="L31">
            <v>101.76953125</v>
          </cell>
          <cell r="M31">
            <v>1.3900000000000002E-3</v>
          </cell>
          <cell r="N31">
            <v>1.08E-3</v>
          </cell>
          <cell r="O31">
            <v>0</v>
          </cell>
          <cell r="P31">
            <v>101.7578125</v>
          </cell>
          <cell r="Q31">
            <v>101.76953125</v>
          </cell>
        </row>
        <row r="32">
          <cell r="A32" t="str">
            <v>B 08/18/11</v>
          </cell>
          <cell r="B32" t="str">
            <v>9127953E9</v>
          </cell>
          <cell r="C32" t="str">
            <v>US9127953E92</v>
          </cell>
          <cell r="D32">
            <v>40591</v>
          </cell>
          <cell r="E32">
            <v>40591</v>
          </cell>
          <cell r="F32">
            <v>0</v>
          </cell>
          <cell r="G32">
            <v>0</v>
          </cell>
          <cell r="H32">
            <v>40773</v>
          </cell>
          <cell r="I32">
            <v>0</v>
          </cell>
          <cell r="J32">
            <v>0</v>
          </cell>
          <cell r="K32">
            <v>1.1000000000000001E-3</v>
          </cell>
          <cell r="L32">
            <v>1.0250000000000001E-3</v>
          </cell>
          <cell r="M32">
            <v>1.1200000000000001E-3</v>
          </cell>
          <cell r="N32">
            <v>1.0400000000000001E-3</v>
          </cell>
          <cell r="O32">
            <v>0</v>
          </cell>
          <cell r="P32">
            <v>99.958750000000023</v>
          </cell>
          <cell r="Q32">
            <v>99.961562500000042</v>
          </cell>
        </row>
        <row r="33">
          <cell r="A33" t="str">
            <v>B 08/25/11</v>
          </cell>
          <cell r="B33" t="str">
            <v>9127952A8</v>
          </cell>
          <cell r="C33" t="str">
            <v>US9127952A89</v>
          </cell>
          <cell r="D33">
            <v>40416</v>
          </cell>
          <cell r="E33">
            <v>40416</v>
          </cell>
          <cell r="F33">
            <v>0</v>
          </cell>
          <cell r="G33">
            <v>0</v>
          </cell>
          <cell r="H33">
            <v>40780</v>
          </cell>
          <cell r="I33">
            <v>0</v>
          </cell>
          <cell r="J33">
            <v>0</v>
          </cell>
          <cell r="K33">
            <v>1.15E-3</v>
          </cell>
          <cell r="L33">
            <v>1.0750000000000002E-3</v>
          </cell>
          <cell r="M33">
            <v>1.17E-3</v>
          </cell>
          <cell r="N33">
            <v>1.09E-3</v>
          </cell>
          <cell r="O33">
            <v>0</v>
          </cell>
          <cell r="P33">
            <v>99.954638888888908</v>
          </cell>
          <cell r="Q33">
            <v>99.957597222222233</v>
          </cell>
        </row>
        <row r="34">
          <cell r="A34" t="str">
            <v>T1 08/11</v>
          </cell>
          <cell r="B34" t="str">
            <v>912828LV0</v>
          </cell>
          <cell r="C34" t="str">
            <v>US912828LV06</v>
          </cell>
          <cell r="D34">
            <v>40056</v>
          </cell>
          <cell r="E34">
            <v>40056</v>
          </cell>
          <cell r="F34">
            <v>40237</v>
          </cell>
          <cell r="G34">
            <v>40602</v>
          </cell>
          <cell r="H34">
            <v>40786</v>
          </cell>
          <cell r="I34">
            <v>0.01</v>
          </cell>
          <cell r="J34">
            <v>0</v>
          </cell>
          <cell r="K34">
            <v>100.34375</v>
          </cell>
          <cell r="L34">
            <v>100.3515625</v>
          </cell>
          <cell r="M34">
            <v>1.3900000000000002E-3</v>
          </cell>
          <cell r="N34">
            <v>1.1899999999999999E-3</v>
          </cell>
          <cell r="O34">
            <v>0</v>
          </cell>
          <cell r="P34">
            <v>100.34375</v>
          </cell>
          <cell r="Q34">
            <v>100.3515625</v>
          </cell>
        </row>
        <row r="35">
          <cell r="A35" t="str">
            <v>T4,625 08/11</v>
          </cell>
          <cell r="B35" t="str">
            <v>912828FS4</v>
          </cell>
          <cell r="C35" t="str">
            <v>US912828FS41</v>
          </cell>
          <cell r="D35">
            <v>38960</v>
          </cell>
          <cell r="E35">
            <v>38960</v>
          </cell>
          <cell r="F35">
            <v>39141</v>
          </cell>
          <cell r="G35">
            <v>40602</v>
          </cell>
          <cell r="H35">
            <v>40786</v>
          </cell>
          <cell r="I35">
            <v>4.6249999999999999E-2</v>
          </cell>
          <cell r="J35">
            <v>0</v>
          </cell>
          <cell r="K35">
            <v>101.79296875</v>
          </cell>
          <cell r="L35">
            <v>101.80078125</v>
          </cell>
          <cell r="M35">
            <v>1.33E-3</v>
          </cell>
          <cell r="N35">
            <v>1.14E-3</v>
          </cell>
          <cell r="O35">
            <v>0</v>
          </cell>
          <cell r="P35">
            <v>101.79296875</v>
          </cell>
          <cell r="Q35">
            <v>101.80078125</v>
          </cell>
        </row>
        <row r="36">
          <cell r="A36" t="str">
            <v>B 09/01/11</v>
          </cell>
          <cell r="B36" t="str">
            <v>9127953F6</v>
          </cell>
          <cell r="C36" t="str">
            <v>US9127953F67</v>
          </cell>
          <cell r="D36">
            <v>40605</v>
          </cell>
          <cell r="E36">
            <v>40605</v>
          </cell>
          <cell r="F36">
            <v>0</v>
          </cell>
          <cell r="G36">
            <v>0</v>
          </cell>
          <cell r="H36">
            <v>40787</v>
          </cell>
          <cell r="I36">
            <v>0</v>
          </cell>
          <cell r="J36">
            <v>0</v>
          </cell>
          <cell r="K36">
            <v>1.15E-3</v>
          </cell>
          <cell r="L36">
            <v>1.0750000000000002E-3</v>
          </cell>
          <cell r="M36">
            <v>1.17E-3</v>
          </cell>
          <cell r="N36">
            <v>1.09E-3</v>
          </cell>
          <cell r="O36">
            <v>0</v>
          </cell>
          <cell r="P36">
            <v>99.952402777777806</v>
          </cell>
          <cell r="Q36">
            <v>99.95550694444448</v>
          </cell>
        </row>
        <row r="37">
          <cell r="A37" t="str">
            <v>B 09/08/11</v>
          </cell>
          <cell r="B37" t="str">
            <v>9127953J8</v>
          </cell>
          <cell r="C37" t="str">
            <v>US9127953J89</v>
          </cell>
          <cell r="D37">
            <v>40612</v>
          </cell>
          <cell r="E37">
            <v>40612</v>
          </cell>
          <cell r="F37">
            <v>0</v>
          </cell>
          <cell r="G37">
            <v>0</v>
          </cell>
          <cell r="H37">
            <v>40794</v>
          </cell>
          <cell r="I37">
            <v>0</v>
          </cell>
          <cell r="J37">
            <v>0</v>
          </cell>
          <cell r="K37">
            <v>1.2750000000000001E-3</v>
          </cell>
          <cell r="L37">
            <v>1.2000000000000001E-3</v>
          </cell>
          <cell r="M37">
            <v>1.2999999999999999E-3</v>
          </cell>
          <cell r="N37">
            <v>1.2200000000000002E-3</v>
          </cell>
          <cell r="O37">
            <v>0</v>
          </cell>
          <cell r="P37">
            <v>99.944750000000028</v>
          </cell>
          <cell r="Q37">
            <v>99.948000000000036</v>
          </cell>
        </row>
        <row r="38">
          <cell r="A38" t="str">
            <v>B 09/15/11</v>
          </cell>
          <cell r="B38" t="str">
            <v>9127953K5</v>
          </cell>
          <cell r="C38" t="str">
            <v>US9127953K52</v>
          </cell>
          <cell r="D38">
            <v>40619</v>
          </cell>
          <cell r="E38">
            <v>40619</v>
          </cell>
          <cell r="F38">
            <v>0</v>
          </cell>
          <cell r="G38">
            <v>0</v>
          </cell>
          <cell r="H38">
            <v>40801</v>
          </cell>
          <cell r="I38">
            <v>0</v>
          </cell>
          <cell r="J38">
            <v>0</v>
          </cell>
          <cell r="K38">
            <v>1.3500000000000001E-3</v>
          </cell>
          <cell r="L38">
            <v>1.25E-3</v>
          </cell>
          <cell r="M38">
            <v>1.3700000000000001E-3</v>
          </cell>
          <cell r="N38">
            <v>1.2700000000000001E-3</v>
          </cell>
          <cell r="O38">
            <v>0</v>
          </cell>
          <cell r="P38">
            <v>99.938875000000039</v>
          </cell>
          <cell r="Q38">
            <v>99.943402777777806</v>
          </cell>
        </row>
        <row r="39">
          <cell r="A39" t="str">
            <v>B 09/22/11</v>
          </cell>
          <cell r="B39" t="str">
            <v>9127952F7</v>
          </cell>
          <cell r="C39" t="str">
            <v>US9127952F76</v>
          </cell>
          <cell r="D39">
            <v>40444</v>
          </cell>
          <cell r="E39">
            <v>40444</v>
          </cell>
          <cell r="F39">
            <v>0</v>
          </cell>
          <cell r="G39">
            <v>0</v>
          </cell>
          <cell r="H39">
            <v>40808</v>
          </cell>
          <cell r="I39">
            <v>0</v>
          </cell>
          <cell r="J39">
            <v>0</v>
          </cell>
          <cell r="K39">
            <v>1.3750000000000001E-3</v>
          </cell>
          <cell r="L39">
            <v>1.2999999999999999E-3</v>
          </cell>
          <cell r="M39">
            <v>1.4000000000000002E-3</v>
          </cell>
          <cell r="N39">
            <v>1.32E-3</v>
          </cell>
          <cell r="O39">
            <v>0</v>
          </cell>
          <cell r="P39">
            <v>99.935069444444466</v>
          </cell>
          <cell r="Q39">
            <v>99.938611111111115</v>
          </cell>
        </row>
        <row r="40">
          <cell r="A40" t="str">
            <v>B 09/29/11</v>
          </cell>
          <cell r="B40" t="str">
            <v>9127953L3</v>
          </cell>
          <cell r="C40" t="str">
            <v>US9127953L36</v>
          </cell>
          <cell r="D40">
            <v>40633</v>
          </cell>
          <cell r="E40">
            <v>40633</v>
          </cell>
          <cell r="F40">
            <v>0</v>
          </cell>
          <cell r="G40">
            <v>0</v>
          </cell>
          <cell r="H40">
            <v>40815</v>
          </cell>
          <cell r="I40">
            <v>0</v>
          </cell>
          <cell r="J40">
            <v>0</v>
          </cell>
          <cell r="K40">
            <v>1.3750000000000001E-3</v>
          </cell>
          <cell r="L40">
            <v>1.2750000000000001E-3</v>
          </cell>
          <cell r="M40">
            <v>1.4000000000000002E-3</v>
          </cell>
          <cell r="N40">
            <v>1.2999999999999999E-3</v>
          </cell>
          <cell r="O40">
            <v>0</v>
          </cell>
          <cell r="P40">
            <v>99.932395833333345</v>
          </cell>
          <cell r="Q40">
            <v>99.937312500000019</v>
          </cell>
        </row>
        <row r="41">
          <cell r="A41" t="str">
            <v>T1 09/11</v>
          </cell>
          <cell r="B41" t="str">
            <v>912828LW8</v>
          </cell>
          <cell r="C41" t="str">
            <v>US912828LW88</v>
          </cell>
          <cell r="D41">
            <v>40086</v>
          </cell>
          <cell r="E41">
            <v>40086</v>
          </cell>
          <cell r="F41">
            <v>40268</v>
          </cell>
          <cell r="G41">
            <v>40633</v>
          </cell>
          <cell r="H41">
            <v>40816</v>
          </cell>
          <cell r="I41">
            <v>0.01</v>
          </cell>
          <cell r="J41">
            <v>0</v>
          </cell>
          <cell r="K41">
            <v>100.40234375</v>
          </cell>
          <cell r="L41">
            <v>100.4140625</v>
          </cell>
          <cell r="M41">
            <v>1.67E-3</v>
          </cell>
          <cell r="N41">
            <v>1.4300000000000001E-3</v>
          </cell>
          <cell r="O41">
            <v>0</v>
          </cell>
          <cell r="P41">
            <v>100.40234375</v>
          </cell>
          <cell r="Q41">
            <v>100.4140625</v>
          </cell>
        </row>
        <row r="42">
          <cell r="A42" t="str">
            <v>T4,5 09/11</v>
          </cell>
          <cell r="B42" t="str">
            <v>912828FU9</v>
          </cell>
          <cell r="C42" t="str">
            <v>US912828FU96</v>
          </cell>
          <cell r="D42">
            <v>38992</v>
          </cell>
          <cell r="E42">
            <v>38990</v>
          </cell>
          <cell r="F42">
            <v>39172</v>
          </cell>
          <cell r="G42">
            <v>40633</v>
          </cell>
          <cell r="H42">
            <v>40816</v>
          </cell>
          <cell r="I42">
            <v>4.4999999999999998E-2</v>
          </cell>
          <cell r="J42">
            <v>0</v>
          </cell>
          <cell r="K42">
            <v>102.09375</v>
          </cell>
          <cell r="L42">
            <v>102.109375</v>
          </cell>
          <cell r="M42">
            <v>1.67E-3</v>
          </cell>
          <cell r="N42">
            <v>1.3500000000000001E-3</v>
          </cell>
          <cell r="O42">
            <v>0</v>
          </cell>
          <cell r="P42">
            <v>102.09375</v>
          </cell>
          <cell r="Q42">
            <v>102.109375</v>
          </cell>
        </row>
        <row r="43">
          <cell r="A43" t="str">
            <v>B 10/20/11</v>
          </cell>
          <cell r="B43" t="str">
            <v>9127952K6</v>
          </cell>
          <cell r="C43" t="str">
            <v>US9127952K61</v>
          </cell>
          <cell r="D43">
            <v>40472</v>
          </cell>
          <cell r="E43">
            <v>40472</v>
          </cell>
          <cell r="F43">
            <v>0</v>
          </cell>
          <cell r="G43">
            <v>0</v>
          </cell>
          <cell r="H43">
            <v>40836</v>
          </cell>
          <cell r="I43">
            <v>0</v>
          </cell>
          <cell r="J43">
            <v>0</v>
          </cell>
          <cell r="K43">
            <v>1.3750000000000001E-3</v>
          </cell>
          <cell r="L43">
            <v>1.2999999999999999E-3</v>
          </cell>
          <cell r="M43">
            <v>1.4000000000000002E-3</v>
          </cell>
          <cell r="N43">
            <v>1.32E-3</v>
          </cell>
          <cell r="O43">
            <v>0</v>
          </cell>
          <cell r="P43">
            <v>99.924375000000012</v>
          </cell>
          <cell r="Q43">
            <v>99.928500000000028</v>
          </cell>
        </row>
        <row r="44">
          <cell r="A44" t="str">
            <v>T4,625 10/11</v>
          </cell>
          <cell r="B44" t="str">
            <v>912828FW5</v>
          </cell>
          <cell r="C44" t="str">
            <v>US912828FW52</v>
          </cell>
          <cell r="D44">
            <v>39021</v>
          </cell>
          <cell r="E44">
            <v>39021</v>
          </cell>
          <cell r="F44">
            <v>39202</v>
          </cell>
          <cell r="G44">
            <v>40663</v>
          </cell>
          <cell r="H44">
            <v>40847</v>
          </cell>
          <cell r="I44">
            <v>4.6249999999999999E-2</v>
          </cell>
          <cell r="J44">
            <v>0</v>
          </cell>
          <cell r="K44">
            <v>102.51953125</v>
          </cell>
          <cell r="L44">
            <v>102.53125</v>
          </cell>
          <cell r="M44">
            <v>1.7200000000000002E-3</v>
          </cell>
          <cell r="N44">
            <v>1.5100000000000001E-3</v>
          </cell>
          <cell r="O44">
            <v>0</v>
          </cell>
          <cell r="P44">
            <v>102.51953125</v>
          </cell>
          <cell r="Q44">
            <v>102.53125</v>
          </cell>
        </row>
        <row r="45">
          <cell r="A45" t="str">
            <v>T1 10/11</v>
          </cell>
          <cell r="B45" t="str">
            <v>912828LT5</v>
          </cell>
          <cell r="C45" t="str">
            <v>US912828LT59</v>
          </cell>
          <cell r="D45">
            <v>40119</v>
          </cell>
          <cell r="E45">
            <v>40117</v>
          </cell>
          <cell r="F45">
            <v>40298</v>
          </cell>
          <cell r="G45">
            <v>40663</v>
          </cell>
          <cell r="H45">
            <v>40847</v>
          </cell>
          <cell r="I45">
            <v>0.01</v>
          </cell>
          <cell r="J45">
            <v>0</v>
          </cell>
          <cell r="K45">
            <v>100.46875</v>
          </cell>
          <cell r="L45">
            <v>100.48046875</v>
          </cell>
          <cell r="M45">
            <v>1.7100000000000001E-3</v>
          </cell>
          <cell r="N45">
            <v>1.5100000000000001E-3</v>
          </cell>
          <cell r="O45">
            <v>0</v>
          </cell>
          <cell r="P45">
            <v>100.46875</v>
          </cell>
          <cell r="Q45">
            <v>100.48046875</v>
          </cell>
        </row>
        <row r="46">
          <cell r="A46" t="str">
            <v>T1,75 11/11</v>
          </cell>
          <cell r="B46" t="str">
            <v>912828JU5</v>
          </cell>
          <cell r="C46" t="str">
            <v>US912828JU50</v>
          </cell>
          <cell r="D46">
            <v>39769</v>
          </cell>
          <cell r="E46">
            <v>39767</v>
          </cell>
          <cell r="F46">
            <v>39948</v>
          </cell>
          <cell r="G46">
            <v>40678</v>
          </cell>
          <cell r="H46">
            <v>40862</v>
          </cell>
          <cell r="I46">
            <v>1.7500000000000002E-2</v>
          </cell>
          <cell r="J46">
            <v>0</v>
          </cell>
          <cell r="K46">
            <v>100.953125</v>
          </cell>
          <cell r="L46">
            <v>100.96484375</v>
          </cell>
          <cell r="M46">
            <v>1.8E-3</v>
          </cell>
          <cell r="N46">
            <v>1.6100000000000001E-3</v>
          </cell>
          <cell r="O46">
            <v>0</v>
          </cell>
          <cell r="P46">
            <v>100.953125</v>
          </cell>
          <cell r="Q46">
            <v>100.96484375</v>
          </cell>
        </row>
        <row r="47">
          <cell r="A47" t="str">
            <v>B 11/17/11</v>
          </cell>
          <cell r="B47" t="str">
            <v>9127952P5</v>
          </cell>
          <cell r="C47" t="str">
            <v>US9127952P58</v>
          </cell>
          <cell r="D47">
            <v>40500</v>
          </cell>
          <cell r="E47">
            <v>40500</v>
          </cell>
          <cell r="F47">
            <v>0</v>
          </cell>
          <cell r="G47">
            <v>0</v>
          </cell>
          <cell r="H47">
            <v>40864</v>
          </cell>
          <cell r="I47">
            <v>0</v>
          </cell>
          <cell r="J47">
            <v>0</v>
          </cell>
          <cell r="K47">
            <v>1.5249999999999999E-3</v>
          </cell>
          <cell r="L47">
            <v>1.4500000000000001E-3</v>
          </cell>
          <cell r="M47">
            <v>1.5499999999999999E-3</v>
          </cell>
          <cell r="N47">
            <v>1.4700000000000002E-3</v>
          </cell>
          <cell r="O47">
            <v>0</v>
          </cell>
          <cell r="P47">
            <v>99.90426388888892</v>
          </cell>
          <cell r="Q47">
            <v>99.90897222222226</v>
          </cell>
        </row>
        <row r="48">
          <cell r="A48" t="str">
            <v>T0,75 11/11</v>
          </cell>
          <cell r="B48" t="str">
            <v>912828MM9</v>
          </cell>
          <cell r="C48" t="str">
            <v>US912828MM97</v>
          </cell>
          <cell r="D48">
            <v>40147</v>
          </cell>
          <cell r="E48">
            <v>40147</v>
          </cell>
          <cell r="F48">
            <v>40329</v>
          </cell>
          <cell r="G48">
            <v>40694</v>
          </cell>
          <cell r="H48">
            <v>40877</v>
          </cell>
          <cell r="I48">
            <v>7.4999999999999997E-3</v>
          </cell>
          <cell r="J48">
            <v>0</v>
          </cell>
          <cell r="K48">
            <v>100.3515625</v>
          </cell>
          <cell r="L48">
            <v>100.36328125</v>
          </cell>
          <cell r="M48">
            <v>2.0900000000000003E-3</v>
          </cell>
          <cell r="N48">
            <v>1.91E-3</v>
          </cell>
          <cell r="O48">
            <v>0</v>
          </cell>
          <cell r="P48">
            <v>100.3515625</v>
          </cell>
          <cell r="Q48">
            <v>100.36328125</v>
          </cell>
        </row>
        <row r="49">
          <cell r="A49" t="str">
            <v>T4,5 11/11</v>
          </cell>
          <cell r="B49" t="str">
            <v>912828GA2</v>
          </cell>
          <cell r="C49" t="str">
            <v>US912828GA24</v>
          </cell>
          <cell r="D49">
            <v>39051</v>
          </cell>
          <cell r="E49">
            <v>39051</v>
          </cell>
          <cell r="F49">
            <v>39233</v>
          </cell>
          <cell r="G49">
            <v>40694</v>
          </cell>
          <cell r="H49">
            <v>40877</v>
          </cell>
          <cell r="I49">
            <v>4.4999999999999998E-2</v>
          </cell>
          <cell r="J49">
            <v>0</v>
          </cell>
          <cell r="K49">
            <v>102.78515625</v>
          </cell>
          <cell r="L49">
            <v>102.796875</v>
          </cell>
          <cell r="M49">
            <v>2.1700000000000001E-3</v>
          </cell>
          <cell r="N49">
            <v>1.99E-3</v>
          </cell>
          <cell r="O49">
            <v>0</v>
          </cell>
          <cell r="P49">
            <v>102.78515625</v>
          </cell>
          <cell r="Q49">
            <v>102.796875</v>
          </cell>
        </row>
        <row r="50">
          <cell r="A50" t="str">
            <v>B 12/15/11</v>
          </cell>
          <cell r="B50" t="str">
            <v>9127952T7</v>
          </cell>
          <cell r="C50" t="str">
            <v>US9127952T70</v>
          </cell>
          <cell r="D50">
            <v>40528</v>
          </cell>
          <cell r="E50">
            <v>40528</v>
          </cell>
          <cell r="F50">
            <v>0</v>
          </cell>
          <cell r="G50">
            <v>0</v>
          </cell>
          <cell r="H50">
            <v>40892</v>
          </cell>
          <cell r="I50">
            <v>0</v>
          </cell>
          <cell r="J50">
            <v>0</v>
          </cell>
          <cell r="K50">
            <v>1.7250000000000002E-3</v>
          </cell>
          <cell r="L50">
            <v>1.6250000000000001E-3</v>
          </cell>
          <cell r="M50">
            <v>1.7500000000000003E-3</v>
          </cell>
          <cell r="N50">
            <v>1.65E-3</v>
          </cell>
          <cell r="O50">
            <v>0</v>
          </cell>
          <cell r="P50">
            <v>99.878291666666684</v>
          </cell>
          <cell r="Q50">
            <v>99.885347222222251</v>
          </cell>
        </row>
        <row r="51">
          <cell r="A51" t="str">
            <v>T1,125 12/11</v>
          </cell>
          <cell r="B51" t="str">
            <v>912828KA7</v>
          </cell>
          <cell r="C51" t="str">
            <v>US912828KA77</v>
          </cell>
          <cell r="D51">
            <v>39797</v>
          </cell>
          <cell r="E51">
            <v>39797</v>
          </cell>
          <cell r="F51">
            <v>39979</v>
          </cell>
          <cell r="G51">
            <v>40709</v>
          </cell>
          <cell r="H51">
            <v>40892</v>
          </cell>
          <cell r="I51">
            <v>1.125E-2</v>
          </cell>
          <cell r="J51">
            <v>0</v>
          </cell>
          <cell r="K51">
            <v>100.62890625</v>
          </cell>
          <cell r="L51">
            <v>100.64453125</v>
          </cell>
          <cell r="M51">
            <v>2.1500000000000004E-3</v>
          </cell>
          <cell r="N51">
            <v>1.9300000000000001E-3</v>
          </cell>
          <cell r="O51">
            <v>0</v>
          </cell>
          <cell r="P51">
            <v>100.62890625</v>
          </cell>
          <cell r="Q51">
            <v>100.64453125</v>
          </cell>
        </row>
        <row r="52">
          <cell r="A52" t="str">
            <v>T4,625 12/11</v>
          </cell>
          <cell r="B52" t="str">
            <v>912828GC8</v>
          </cell>
          <cell r="C52" t="str">
            <v>US912828GC89</v>
          </cell>
          <cell r="D52">
            <v>39084</v>
          </cell>
          <cell r="E52">
            <v>39082</v>
          </cell>
          <cell r="F52">
            <v>39263</v>
          </cell>
          <cell r="G52">
            <v>40724</v>
          </cell>
          <cell r="H52">
            <v>40908</v>
          </cell>
          <cell r="I52">
            <v>4.6249999999999999E-2</v>
          </cell>
          <cell r="J52">
            <v>0</v>
          </cell>
          <cell r="K52">
            <v>103.21875</v>
          </cell>
          <cell r="L52">
            <v>103.23046875</v>
          </cell>
          <cell r="M52">
            <v>2.3800000000000002E-3</v>
          </cell>
          <cell r="N52">
            <v>2.2200000000000002E-3</v>
          </cell>
          <cell r="O52">
            <v>0</v>
          </cell>
          <cell r="P52">
            <v>103.21875</v>
          </cell>
          <cell r="Q52">
            <v>103.23046875</v>
          </cell>
        </row>
        <row r="53">
          <cell r="A53" t="str">
            <v>T1 12/11</v>
          </cell>
          <cell r="B53" t="str">
            <v>912828ML1</v>
          </cell>
          <cell r="C53" t="str">
            <v>US912828ML15</v>
          </cell>
          <cell r="D53">
            <v>40178</v>
          </cell>
          <cell r="E53">
            <v>40178</v>
          </cell>
          <cell r="F53">
            <v>40359</v>
          </cell>
          <cell r="G53">
            <v>40724</v>
          </cell>
          <cell r="H53">
            <v>40908</v>
          </cell>
          <cell r="I53">
            <v>0.01</v>
          </cell>
          <cell r="J53">
            <v>0</v>
          </cell>
          <cell r="K53">
            <v>100.56640625</v>
          </cell>
          <cell r="L53">
            <v>100.57421875</v>
          </cell>
          <cell r="M53">
            <v>2.2799999999999999E-3</v>
          </cell>
          <cell r="N53">
            <v>2.1700000000000001E-3</v>
          </cell>
          <cell r="O53">
            <v>0</v>
          </cell>
          <cell r="P53">
            <v>100.56640625</v>
          </cell>
          <cell r="Q53">
            <v>100.57421875</v>
          </cell>
        </row>
        <row r="54">
          <cell r="A54" t="str">
            <v>B 01/12/12</v>
          </cell>
          <cell r="B54" t="str">
            <v>9127952Y6</v>
          </cell>
          <cell r="C54" t="str">
            <v>US9127952Y65</v>
          </cell>
          <cell r="D54">
            <v>40556</v>
          </cell>
          <cell r="E54">
            <v>40556</v>
          </cell>
          <cell r="F54">
            <v>0</v>
          </cell>
          <cell r="G54">
            <v>0</v>
          </cell>
          <cell r="H54">
            <v>40920</v>
          </cell>
          <cell r="I54">
            <v>0</v>
          </cell>
          <cell r="J54">
            <v>0</v>
          </cell>
          <cell r="K54">
            <v>1.9500000000000001E-3</v>
          </cell>
          <cell r="L54">
            <v>1.8749999999999999E-3</v>
          </cell>
          <cell r="M54">
            <v>1.98E-3</v>
          </cell>
          <cell r="N54">
            <v>1.9E-3</v>
          </cell>
          <cell r="O54">
            <v>0</v>
          </cell>
          <cell r="P54">
            <v>99.847250000000017</v>
          </cell>
          <cell r="Q54">
            <v>99.85312500000002</v>
          </cell>
        </row>
        <row r="55">
          <cell r="A55" t="str">
            <v>T1,125 01/12</v>
          </cell>
          <cell r="B55" t="str">
            <v>912828KB5</v>
          </cell>
          <cell r="C55" t="str">
            <v>US912828KB50</v>
          </cell>
          <cell r="D55">
            <v>39828</v>
          </cell>
          <cell r="E55">
            <v>39828</v>
          </cell>
          <cell r="F55">
            <v>40009</v>
          </cell>
          <cell r="G55">
            <v>40739</v>
          </cell>
          <cell r="H55">
            <v>40923</v>
          </cell>
          <cell r="I55">
            <v>1.125E-2</v>
          </cell>
          <cell r="J55">
            <v>0</v>
          </cell>
          <cell r="K55">
            <v>100.68359375</v>
          </cell>
          <cell r="L55">
            <v>100.6953125</v>
          </cell>
          <cell r="M55">
            <v>2.4300000000000003E-3</v>
          </cell>
          <cell r="N55">
            <v>2.2799999999999999E-3</v>
          </cell>
          <cell r="O55">
            <v>0</v>
          </cell>
          <cell r="P55">
            <v>100.68359375</v>
          </cell>
          <cell r="Q55">
            <v>100.6953125</v>
          </cell>
        </row>
        <row r="56">
          <cell r="A56" t="str">
            <v>T4,75 01/12</v>
          </cell>
          <cell r="B56" t="str">
            <v>912828GF1</v>
          </cell>
          <cell r="C56" t="str">
            <v>US912828GF11</v>
          </cell>
          <cell r="D56">
            <v>39113</v>
          </cell>
          <cell r="E56">
            <v>39113</v>
          </cell>
          <cell r="F56">
            <v>39294</v>
          </cell>
          <cell r="G56">
            <v>40755</v>
          </cell>
          <cell r="H56">
            <v>40939</v>
          </cell>
          <cell r="I56">
            <v>4.7500000000000001E-2</v>
          </cell>
          <cell r="J56">
            <v>0</v>
          </cell>
          <cell r="K56">
            <v>103.6875</v>
          </cell>
          <cell r="L56">
            <v>103.6953125</v>
          </cell>
          <cell r="M56">
            <v>2.4800000000000004E-3</v>
          </cell>
          <cell r="N56">
            <v>2.3800000000000002E-3</v>
          </cell>
          <cell r="O56">
            <v>0</v>
          </cell>
          <cell r="P56">
            <v>103.6875</v>
          </cell>
          <cell r="Q56">
            <v>103.6953125</v>
          </cell>
        </row>
        <row r="57">
          <cell r="A57" t="str">
            <v>T0,875 01/12</v>
          </cell>
          <cell r="B57" t="str">
            <v>912828MJ6</v>
          </cell>
          <cell r="C57" t="str">
            <v>US912828MJ68</v>
          </cell>
          <cell r="D57">
            <v>40210</v>
          </cell>
          <cell r="E57">
            <v>40209</v>
          </cell>
          <cell r="F57">
            <v>40390</v>
          </cell>
          <cell r="G57">
            <v>40755</v>
          </cell>
          <cell r="H57">
            <v>40939</v>
          </cell>
          <cell r="I57">
            <v>8.7500000000000008E-3</v>
          </cell>
          <cell r="J57">
            <v>0</v>
          </cell>
          <cell r="K57">
            <v>100.5078125</v>
          </cell>
          <cell r="L57">
            <v>100.51953125</v>
          </cell>
          <cell r="M57">
            <v>2.5500000000000002E-3</v>
          </cell>
          <cell r="N57">
            <v>2.4100000000000002E-3</v>
          </cell>
          <cell r="O57">
            <v>0</v>
          </cell>
          <cell r="P57">
            <v>100.5078125</v>
          </cell>
          <cell r="Q57">
            <v>100.51953125</v>
          </cell>
        </row>
        <row r="58">
          <cell r="A58" t="str">
            <v>B 02/09/12</v>
          </cell>
          <cell r="B58" t="str">
            <v>9127953C3</v>
          </cell>
          <cell r="C58" t="str">
            <v>US9127953C37</v>
          </cell>
          <cell r="D58">
            <v>40584</v>
          </cell>
          <cell r="E58">
            <v>40584</v>
          </cell>
          <cell r="F58">
            <v>0</v>
          </cell>
          <cell r="G58">
            <v>0</v>
          </cell>
          <cell r="H58">
            <v>40948</v>
          </cell>
          <cell r="I58">
            <v>0</v>
          </cell>
          <cell r="J58">
            <v>0</v>
          </cell>
          <cell r="K58">
            <v>2.1500000000000004E-3</v>
          </cell>
          <cell r="L58">
            <v>2.0500000000000002E-3</v>
          </cell>
          <cell r="M58">
            <v>2.1800000000000001E-3</v>
          </cell>
          <cell r="N58">
            <v>2.0800000000000003E-3</v>
          </cell>
          <cell r="O58">
            <v>0</v>
          </cell>
          <cell r="P58">
            <v>99.814861111111156</v>
          </cell>
          <cell r="Q58">
            <v>99.823472222222264</v>
          </cell>
        </row>
        <row r="59">
          <cell r="A59" t="str">
            <v>T1,375 02/12</v>
          </cell>
          <cell r="B59" t="str">
            <v>912828KC3</v>
          </cell>
          <cell r="C59" t="str">
            <v>US912828KC34</v>
          </cell>
          <cell r="D59">
            <v>39861</v>
          </cell>
          <cell r="E59">
            <v>39859</v>
          </cell>
          <cell r="F59">
            <v>40040</v>
          </cell>
          <cell r="G59">
            <v>40770</v>
          </cell>
          <cell r="H59">
            <v>40954</v>
          </cell>
          <cell r="I59">
            <v>1.375E-2</v>
          </cell>
          <cell r="J59">
            <v>0</v>
          </cell>
          <cell r="K59">
            <v>100.9453125</v>
          </cell>
          <cell r="L59">
            <v>100.96875</v>
          </cell>
          <cell r="M59">
            <v>2.7600000000000003E-3</v>
          </cell>
          <cell r="N59">
            <v>2.4900000000000005E-3</v>
          </cell>
          <cell r="O59">
            <v>0</v>
          </cell>
          <cell r="P59">
            <v>100.9453125</v>
          </cell>
          <cell r="Q59">
            <v>100.96875</v>
          </cell>
        </row>
        <row r="60">
          <cell r="A60" t="str">
            <v>T4,875 02/12</v>
          </cell>
          <cell r="B60" t="str">
            <v>9128277L0</v>
          </cell>
          <cell r="C60" t="str">
            <v>US9128277L09</v>
          </cell>
          <cell r="D60">
            <v>37302</v>
          </cell>
          <cell r="E60">
            <v>37302</v>
          </cell>
          <cell r="F60">
            <v>37483</v>
          </cell>
          <cell r="G60">
            <v>40770</v>
          </cell>
          <cell r="H60">
            <v>40954</v>
          </cell>
          <cell r="I60">
            <v>4.8750000000000002E-2</v>
          </cell>
          <cell r="J60">
            <v>0</v>
          </cell>
          <cell r="K60">
            <v>103.953125</v>
          </cell>
          <cell r="L60">
            <v>103.96875</v>
          </cell>
          <cell r="M60">
            <v>2.7900000000000004E-3</v>
          </cell>
          <cell r="N60">
            <v>2.6199999999999999E-3</v>
          </cell>
          <cell r="O60">
            <v>0</v>
          </cell>
          <cell r="P60">
            <v>103.953125</v>
          </cell>
          <cell r="Q60">
            <v>103.96875</v>
          </cell>
        </row>
        <row r="61">
          <cell r="A61" t="str">
            <v>T4,625 02/12</v>
          </cell>
          <cell r="B61" t="str">
            <v>912828GK0</v>
          </cell>
          <cell r="C61" t="str">
            <v>US912828GK06</v>
          </cell>
          <cell r="D61">
            <v>39141</v>
          </cell>
          <cell r="E61">
            <v>39141</v>
          </cell>
          <cell r="F61">
            <v>39325</v>
          </cell>
          <cell r="G61">
            <v>40786</v>
          </cell>
          <cell r="H61">
            <v>40968</v>
          </cell>
          <cell r="I61">
            <v>4.6249999999999999E-2</v>
          </cell>
          <cell r="J61">
            <v>0</v>
          </cell>
          <cell r="K61">
            <v>103.88671875</v>
          </cell>
          <cell r="L61">
            <v>103.90234375</v>
          </cell>
          <cell r="M61">
            <v>2.9500000000000004E-3</v>
          </cell>
          <cell r="N61">
            <v>2.7800000000000004E-3</v>
          </cell>
          <cell r="O61">
            <v>0</v>
          </cell>
          <cell r="P61">
            <v>103.88671875</v>
          </cell>
          <cell r="Q61">
            <v>103.90234375</v>
          </cell>
        </row>
        <row r="62">
          <cell r="A62" t="str">
            <v>T0,875 02/12</v>
          </cell>
          <cell r="B62" t="str">
            <v>912828MQ0</v>
          </cell>
          <cell r="C62" t="str">
            <v>US912828MQ02</v>
          </cell>
          <cell r="D62">
            <v>40238</v>
          </cell>
          <cell r="E62">
            <v>40237</v>
          </cell>
          <cell r="F62">
            <v>40421</v>
          </cell>
          <cell r="G62">
            <v>40786</v>
          </cell>
          <cell r="H62">
            <v>40968</v>
          </cell>
          <cell r="I62">
            <v>8.7500000000000008E-3</v>
          </cell>
          <cell r="J62">
            <v>0</v>
          </cell>
          <cell r="K62">
            <v>100.53125</v>
          </cell>
          <cell r="L62">
            <v>100.54296875</v>
          </cell>
          <cell r="M62">
            <v>2.8300000000000005E-3</v>
          </cell>
          <cell r="N62">
            <v>2.7000000000000001E-3</v>
          </cell>
          <cell r="O62">
            <v>0</v>
          </cell>
          <cell r="P62">
            <v>100.53125</v>
          </cell>
          <cell r="Q62">
            <v>100.54296875</v>
          </cell>
        </row>
        <row r="63">
          <cell r="A63" t="str">
            <v>B 03/08/12</v>
          </cell>
          <cell r="B63" t="str">
            <v>9127953G4</v>
          </cell>
          <cell r="C63" t="str">
            <v>US9127953G41</v>
          </cell>
          <cell r="D63">
            <v>40612</v>
          </cell>
          <cell r="E63">
            <v>40612</v>
          </cell>
          <cell r="F63">
            <v>0</v>
          </cell>
          <cell r="G63">
            <v>0</v>
          </cell>
          <cell r="H63">
            <v>40976</v>
          </cell>
          <cell r="I63">
            <v>0</v>
          </cell>
          <cell r="J63">
            <v>0</v>
          </cell>
          <cell r="K63">
            <v>2.3500000000000001E-3</v>
          </cell>
          <cell r="L63">
            <v>2.2750000000000001E-3</v>
          </cell>
          <cell r="M63">
            <v>2.3900000000000002E-3</v>
          </cell>
          <cell r="N63">
            <v>2.32E-3</v>
          </cell>
          <cell r="O63">
            <v>0</v>
          </cell>
          <cell r="P63">
            <v>99.779361111111115</v>
          </cell>
          <cell r="Q63">
            <v>99.786402777777809</v>
          </cell>
        </row>
        <row r="64">
          <cell r="A64" t="str">
            <v>T1,375 03/12</v>
          </cell>
          <cell r="B64" t="str">
            <v>912828KG4</v>
          </cell>
          <cell r="C64" t="str">
            <v>US912828KG48</v>
          </cell>
          <cell r="D64">
            <v>39888</v>
          </cell>
          <cell r="E64">
            <v>39887</v>
          </cell>
          <cell r="F64">
            <v>40071</v>
          </cell>
          <cell r="G64">
            <v>40801</v>
          </cell>
          <cell r="H64">
            <v>40983</v>
          </cell>
          <cell r="I64">
            <v>1.375E-2</v>
          </cell>
          <cell r="J64">
            <v>0</v>
          </cell>
          <cell r="K64">
            <v>101.01171875</v>
          </cell>
          <cell r="L64">
            <v>101.02734375</v>
          </cell>
          <cell r="M64">
            <v>2.9700000000000004E-3</v>
          </cell>
          <cell r="N64">
            <v>2.8000000000000004E-3</v>
          </cell>
          <cell r="O64">
            <v>0</v>
          </cell>
          <cell r="P64">
            <v>101.01171875</v>
          </cell>
          <cell r="Q64">
            <v>101.02734375</v>
          </cell>
        </row>
        <row r="65">
          <cell r="A65" t="str">
            <v>T4,5 03/12</v>
          </cell>
          <cell r="B65" t="str">
            <v>912828GM6</v>
          </cell>
          <cell r="C65" t="str">
            <v>US912828GM61</v>
          </cell>
          <cell r="D65">
            <v>39174</v>
          </cell>
          <cell r="E65">
            <v>39172</v>
          </cell>
          <cell r="F65">
            <v>39355</v>
          </cell>
          <cell r="G65">
            <v>40816</v>
          </cell>
          <cell r="H65">
            <v>40999</v>
          </cell>
          <cell r="I65">
            <v>4.4999999999999998E-2</v>
          </cell>
          <cell r="J65">
            <v>0</v>
          </cell>
          <cell r="K65">
            <v>104.09375</v>
          </cell>
          <cell r="L65">
            <v>104.125</v>
          </cell>
          <cell r="M65">
            <v>3.2799999999999999E-3</v>
          </cell>
          <cell r="N65">
            <v>2.9700000000000004E-3</v>
          </cell>
          <cell r="O65">
            <v>0</v>
          </cell>
          <cell r="P65">
            <v>104.09375</v>
          </cell>
          <cell r="Q65">
            <v>104.125</v>
          </cell>
        </row>
        <row r="66">
          <cell r="A66" t="str">
            <v>T1 03/12</v>
          </cell>
          <cell r="B66" t="str">
            <v>912828MU1</v>
          </cell>
          <cell r="C66" t="str">
            <v>US912828MU14</v>
          </cell>
          <cell r="D66">
            <v>40268</v>
          </cell>
          <cell r="E66">
            <v>40268</v>
          </cell>
          <cell r="F66">
            <v>40451</v>
          </cell>
          <cell r="G66">
            <v>40816</v>
          </cell>
          <cell r="H66">
            <v>40999</v>
          </cell>
          <cell r="I66">
            <v>0.01</v>
          </cell>
          <cell r="J66">
            <v>0</v>
          </cell>
          <cell r="K66">
            <v>100.671875</v>
          </cell>
          <cell r="L66">
            <v>100.68359375</v>
          </cell>
          <cell r="M66">
            <v>3.15E-3</v>
          </cell>
          <cell r="N66">
            <v>3.0299999999999997E-3</v>
          </cell>
          <cell r="O66">
            <v>0</v>
          </cell>
          <cell r="P66">
            <v>100.671875</v>
          </cell>
          <cell r="Q66">
            <v>100.68359375</v>
          </cell>
        </row>
        <row r="67">
          <cell r="A67" t="str">
            <v>T1,375 04/12</v>
          </cell>
          <cell r="B67" t="str">
            <v>912828KK5</v>
          </cell>
          <cell r="C67" t="str">
            <v>US912828KK59</v>
          </cell>
          <cell r="D67">
            <v>39918</v>
          </cell>
          <cell r="E67">
            <v>39918</v>
          </cell>
          <cell r="F67">
            <v>40101</v>
          </cell>
          <cell r="G67">
            <v>40831</v>
          </cell>
          <cell r="H67">
            <v>41014</v>
          </cell>
          <cell r="I67">
            <v>1.375E-2</v>
          </cell>
          <cell r="J67">
            <v>0</v>
          </cell>
          <cell r="K67">
            <v>101.0703125</v>
          </cell>
          <cell r="L67">
            <v>101.09375</v>
          </cell>
          <cell r="M67">
            <v>3.2799999999999999E-3</v>
          </cell>
          <cell r="N67">
            <v>3.0499999999999998E-3</v>
          </cell>
          <cell r="O67">
            <v>0</v>
          </cell>
          <cell r="P67">
            <v>101.0703125</v>
          </cell>
          <cell r="Q67">
            <v>101.09375</v>
          </cell>
        </row>
        <row r="68">
          <cell r="A68" t="str">
            <v>T4,5 04/12</v>
          </cell>
          <cell r="B68" t="str">
            <v>912828GQ7</v>
          </cell>
          <cell r="C68" t="str">
            <v>US912828GQ75</v>
          </cell>
          <cell r="D68">
            <v>39202</v>
          </cell>
          <cell r="E68">
            <v>39202</v>
          </cell>
          <cell r="F68">
            <v>39386</v>
          </cell>
          <cell r="G68">
            <v>40847</v>
          </cell>
          <cell r="H68">
            <v>41029</v>
          </cell>
          <cell r="I68">
            <v>4.4999999999999998E-2</v>
          </cell>
          <cell r="J68">
            <v>0</v>
          </cell>
          <cell r="K68">
            <v>104.43359375</v>
          </cell>
          <cell r="L68">
            <v>104.46484375</v>
          </cell>
          <cell r="M68">
            <v>3.31E-3</v>
          </cell>
          <cell r="N68">
            <v>3.0299999999999997E-3</v>
          </cell>
          <cell r="O68">
            <v>0</v>
          </cell>
          <cell r="P68">
            <v>104.43359375</v>
          </cell>
          <cell r="Q68">
            <v>104.46484375</v>
          </cell>
        </row>
        <row r="69">
          <cell r="A69" t="str">
            <v>T1 04/12</v>
          </cell>
          <cell r="B69" t="str">
            <v>912828NB2</v>
          </cell>
          <cell r="C69" t="str">
            <v>US912828NB24</v>
          </cell>
          <cell r="D69">
            <v>40298</v>
          </cell>
          <cell r="E69">
            <v>40298</v>
          </cell>
          <cell r="F69">
            <v>40482</v>
          </cell>
          <cell r="G69">
            <v>40847</v>
          </cell>
          <cell r="H69">
            <v>41029</v>
          </cell>
          <cell r="I69">
            <v>0.01</v>
          </cell>
          <cell r="J69">
            <v>0</v>
          </cell>
          <cell r="K69">
            <v>100.69921875</v>
          </cell>
          <cell r="L69">
            <v>100.71484375</v>
          </cell>
          <cell r="M69">
            <v>3.4199999999999999E-3</v>
          </cell>
          <cell r="N69">
            <v>3.2799999999999999E-3</v>
          </cell>
          <cell r="O69">
            <v>0</v>
          </cell>
          <cell r="P69">
            <v>100.69921875</v>
          </cell>
          <cell r="Q69">
            <v>100.71484375</v>
          </cell>
        </row>
        <row r="70">
          <cell r="A70" t="str">
            <v>T1,375 05/12</v>
          </cell>
          <cell r="B70" t="str">
            <v>912828KP4</v>
          </cell>
          <cell r="C70" t="str">
            <v>US912828KP47</v>
          </cell>
          <cell r="D70">
            <v>39948</v>
          </cell>
          <cell r="E70">
            <v>39948</v>
          </cell>
          <cell r="F70">
            <v>40132</v>
          </cell>
          <cell r="G70">
            <v>40862</v>
          </cell>
          <cell r="H70">
            <v>41044</v>
          </cell>
          <cell r="I70">
            <v>1.375E-2</v>
          </cell>
          <cell r="J70">
            <v>0</v>
          </cell>
          <cell r="K70">
            <v>101.10546875</v>
          </cell>
          <cell r="L70">
            <v>101.13671875</v>
          </cell>
          <cell r="M70">
            <v>3.7399999999999998E-3</v>
          </cell>
          <cell r="N70">
            <v>3.4599999999999995E-3</v>
          </cell>
          <cell r="O70">
            <v>0</v>
          </cell>
          <cell r="P70">
            <v>101.10546875</v>
          </cell>
          <cell r="Q70">
            <v>101.13671875</v>
          </cell>
        </row>
        <row r="71">
          <cell r="A71" t="str">
            <v>T4,75 05/12</v>
          </cell>
          <cell r="B71" t="str">
            <v>912828GU8</v>
          </cell>
          <cell r="C71" t="str">
            <v>US912828GU87</v>
          </cell>
          <cell r="D71">
            <v>39233</v>
          </cell>
          <cell r="E71">
            <v>39233</v>
          </cell>
          <cell r="F71">
            <v>39416</v>
          </cell>
          <cell r="G71">
            <v>40877</v>
          </cell>
          <cell r="H71">
            <v>41060</v>
          </cell>
          <cell r="I71">
            <v>4.7500000000000001E-2</v>
          </cell>
          <cell r="J71">
            <v>0</v>
          </cell>
          <cell r="K71">
            <v>105.01171875</v>
          </cell>
          <cell r="L71">
            <v>105.03515625</v>
          </cell>
          <cell r="M71">
            <v>3.82E-3</v>
          </cell>
          <cell r="N71">
            <v>3.62E-3</v>
          </cell>
          <cell r="O71">
            <v>0</v>
          </cell>
          <cell r="P71">
            <v>105.01171875</v>
          </cell>
          <cell r="Q71">
            <v>105.03515625</v>
          </cell>
        </row>
        <row r="72">
          <cell r="A72" t="str">
            <v>T0,75 05/12</v>
          </cell>
          <cell r="B72" t="str">
            <v>912828NE6</v>
          </cell>
          <cell r="C72" t="str">
            <v>US912828NE62</v>
          </cell>
          <cell r="D72">
            <v>40330</v>
          </cell>
          <cell r="E72">
            <v>40329</v>
          </cell>
          <cell r="F72">
            <v>40512</v>
          </cell>
          <cell r="G72">
            <v>40877</v>
          </cell>
          <cell r="H72">
            <v>41060</v>
          </cell>
          <cell r="I72">
            <v>7.4999999999999997E-3</v>
          </cell>
          <cell r="J72">
            <v>0</v>
          </cell>
          <cell r="K72">
            <v>100.42578125</v>
          </cell>
          <cell r="L72">
            <v>100.44140625</v>
          </cell>
          <cell r="M72">
            <v>3.79E-3</v>
          </cell>
          <cell r="N72">
            <v>3.65E-3</v>
          </cell>
          <cell r="O72">
            <v>0</v>
          </cell>
          <cell r="P72">
            <v>100.42578125</v>
          </cell>
          <cell r="Q72">
            <v>100.44140625</v>
          </cell>
        </row>
        <row r="73">
          <cell r="A73" t="str">
            <v>T1,875 06/12</v>
          </cell>
          <cell r="B73" t="str">
            <v>912828KX7</v>
          </cell>
          <cell r="C73" t="str">
            <v>US912828KX70</v>
          </cell>
          <cell r="D73">
            <v>39979</v>
          </cell>
          <cell r="E73">
            <v>39979</v>
          </cell>
          <cell r="F73">
            <v>40162</v>
          </cell>
          <cell r="G73">
            <v>40892</v>
          </cell>
          <cell r="H73">
            <v>41075</v>
          </cell>
          <cell r="I73">
            <v>1.8749999999999999E-2</v>
          </cell>
          <cell r="J73">
            <v>0</v>
          </cell>
          <cell r="K73">
            <v>101.7578125</v>
          </cell>
          <cell r="L73">
            <v>101.78125</v>
          </cell>
          <cell r="M73">
            <v>3.96E-3</v>
          </cell>
          <cell r="N73">
            <v>3.7599999999999999E-3</v>
          </cell>
          <cell r="O73">
            <v>0</v>
          </cell>
          <cell r="P73">
            <v>101.7578125</v>
          </cell>
          <cell r="Q73">
            <v>101.78125</v>
          </cell>
        </row>
        <row r="74">
          <cell r="A74" t="str">
            <v>T0,625 06/12</v>
          </cell>
          <cell r="B74" t="str">
            <v>912828NS5</v>
          </cell>
          <cell r="C74" t="str">
            <v>US912828NS58</v>
          </cell>
          <cell r="D74">
            <v>40359</v>
          </cell>
          <cell r="E74">
            <v>40359</v>
          </cell>
          <cell r="F74">
            <v>40543</v>
          </cell>
          <cell r="G74">
            <v>40908</v>
          </cell>
          <cell r="H74">
            <v>41090</v>
          </cell>
          <cell r="I74">
            <v>6.2500000000000003E-3</v>
          </cell>
          <cell r="J74">
            <v>0</v>
          </cell>
          <cell r="K74">
            <v>100.265625</v>
          </cell>
          <cell r="L74">
            <v>100.28125</v>
          </cell>
          <cell r="M74">
            <v>4.0899999999999999E-3</v>
          </cell>
          <cell r="N74">
            <v>3.96E-3</v>
          </cell>
          <cell r="O74">
            <v>0</v>
          </cell>
          <cell r="P74">
            <v>100.265625</v>
          </cell>
          <cell r="Q74">
            <v>100.28125</v>
          </cell>
        </row>
        <row r="75">
          <cell r="A75" t="str">
            <v>T4,875 06/12</v>
          </cell>
          <cell r="B75" t="str">
            <v>912828GW4</v>
          </cell>
          <cell r="C75" t="str">
            <v>US912828GW44</v>
          </cell>
          <cell r="D75">
            <v>39265</v>
          </cell>
          <cell r="E75">
            <v>39263</v>
          </cell>
          <cell r="F75">
            <v>39447</v>
          </cell>
          <cell r="G75">
            <v>40908</v>
          </cell>
          <cell r="H75">
            <v>41090</v>
          </cell>
          <cell r="I75">
            <v>4.8750000000000002E-2</v>
          </cell>
          <cell r="J75">
            <v>0</v>
          </cell>
          <cell r="K75">
            <v>105.4765625</v>
          </cell>
          <cell r="L75">
            <v>105.51171875</v>
          </cell>
          <cell r="M75">
            <v>4.2300000000000003E-3</v>
          </cell>
          <cell r="N75">
            <v>3.96E-3</v>
          </cell>
          <cell r="O75">
            <v>0</v>
          </cell>
          <cell r="P75">
            <v>105.4765625</v>
          </cell>
          <cell r="Q75">
            <v>105.51171875</v>
          </cell>
        </row>
        <row r="76">
          <cell r="A76" t="str">
            <v>T1,5 07/12</v>
          </cell>
          <cell r="B76" t="str">
            <v>912828LB4</v>
          </cell>
          <cell r="C76" t="str">
            <v>US912828LB42</v>
          </cell>
          <cell r="D76">
            <v>40009</v>
          </cell>
          <cell r="E76">
            <v>40009</v>
          </cell>
          <cell r="F76">
            <v>40193</v>
          </cell>
          <cell r="G76">
            <v>40923</v>
          </cell>
          <cell r="H76">
            <v>41105</v>
          </cell>
          <cell r="I76">
            <v>1.4999999999999999E-2</v>
          </cell>
          <cell r="J76">
            <v>0</v>
          </cell>
          <cell r="K76">
            <v>101.36328125</v>
          </cell>
          <cell r="L76">
            <v>101.38671875</v>
          </cell>
          <cell r="M76">
            <v>4.2800000000000008E-3</v>
          </cell>
          <cell r="N76">
            <v>4.0899999999999999E-3</v>
          </cell>
          <cell r="O76">
            <v>0</v>
          </cell>
          <cell r="P76">
            <v>101.36328125</v>
          </cell>
          <cell r="Q76">
            <v>101.38671875</v>
          </cell>
        </row>
        <row r="77">
          <cell r="A77" t="str">
            <v>T0,625 07/12</v>
          </cell>
          <cell r="B77" t="str">
            <v>912828NQ9</v>
          </cell>
          <cell r="C77" t="str">
            <v>US912828NQ92</v>
          </cell>
          <cell r="D77">
            <v>40392</v>
          </cell>
          <cell r="E77">
            <v>40390</v>
          </cell>
          <cell r="F77">
            <v>40574</v>
          </cell>
          <cell r="G77">
            <v>40939</v>
          </cell>
          <cell r="H77">
            <v>41121</v>
          </cell>
          <cell r="I77">
            <v>6.2500000000000003E-3</v>
          </cell>
          <cell r="J77">
            <v>0</v>
          </cell>
          <cell r="K77">
            <v>100.2421875</v>
          </cell>
          <cell r="L77">
            <v>100.2578125</v>
          </cell>
          <cell r="M77">
            <v>4.4099999999999999E-3</v>
          </cell>
          <cell r="N77">
            <v>4.2900000000000004E-3</v>
          </cell>
          <cell r="O77">
            <v>0</v>
          </cell>
          <cell r="P77">
            <v>100.2421875</v>
          </cell>
          <cell r="Q77">
            <v>100.2578125</v>
          </cell>
        </row>
        <row r="78">
          <cell r="A78" t="str">
            <v>T4,625 07/12</v>
          </cell>
          <cell r="B78" t="str">
            <v>912828GZ7</v>
          </cell>
          <cell r="C78" t="str">
            <v>US912828GZ74</v>
          </cell>
          <cell r="D78">
            <v>39294</v>
          </cell>
          <cell r="E78">
            <v>39294</v>
          </cell>
          <cell r="F78">
            <v>39478</v>
          </cell>
          <cell r="G78">
            <v>40939</v>
          </cell>
          <cell r="H78">
            <v>41121</v>
          </cell>
          <cell r="I78">
            <v>4.6249999999999999E-2</v>
          </cell>
          <cell r="J78">
            <v>0</v>
          </cell>
          <cell r="K78">
            <v>105.4765625</v>
          </cell>
          <cell r="L78">
            <v>105.5078125</v>
          </cell>
          <cell r="M78">
            <v>4.5999999999999999E-3</v>
          </cell>
          <cell r="N78">
            <v>4.3700000000000006E-3</v>
          </cell>
          <cell r="O78">
            <v>0</v>
          </cell>
          <cell r="P78">
            <v>105.4765625</v>
          </cell>
          <cell r="Q78">
            <v>105.5078125</v>
          </cell>
        </row>
        <row r="79">
          <cell r="A79" t="str">
            <v>T1,75 08/12</v>
          </cell>
          <cell r="B79" t="str">
            <v>912828LH1</v>
          </cell>
          <cell r="C79" t="str">
            <v>US912828LH12</v>
          </cell>
          <cell r="D79">
            <v>40042</v>
          </cell>
          <cell r="E79">
            <v>40040</v>
          </cell>
          <cell r="F79">
            <v>40224</v>
          </cell>
          <cell r="G79">
            <v>40954</v>
          </cell>
          <cell r="H79">
            <v>41136</v>
          </cell>
          <cell r="I79">
            <v>1.7500000000000002E-2</v>
          </cell>
          <cell r="J79">
            <v>0</v>
          </cell>
          <cell r="K79">
            <v>101.72265625</v>
          </cell>
          <cell r="L79">
            <v>101.7421875</v>
          </cell>
          <cell r="M79">
            <v>4.79E-3</v>
          </cell>
          <cell r="N79">
            <v>4.6500000000000005E-3</v>
          </cell>
          <cell r="O79">
            <v>0</v>
          </cell>
          <cell r="P79">
            <v>101.72265625</v>
          </cell>
          <cell r="Q79">
            <v>101.7421875</v>
          </cell>
        </row>
        <row r="80">
          <cell r="A80" t="str">
            <v>T4,375 08/12</v>
          </cell>
          <cell r="B80" t="str">
            <v>912828AJ9</v>
          </cell>
          <cell r="C80" t="str">
            <v>US912828AJ96</v>
          </cell>
          <cell r="D80">
            <v>37483</v>
          </cell>
          <cell r="E80">
            <v>37483</v>
          </cell>
          <cell r="F80">
            <v>37667</v>
          </cell>
          <cell r="G80">
            <v>40954</v>
          </cell>
          <cell r="H80">
            <v>41136</v>
          </cell>
          <cell r="I80">
            <v>4.3749999999999997E-2</v>
          </cell>
          <cell r="J80">
            <v>0</v>
          </cell>
          <cell r="K80">
            <v>105.26953125</v>
          </cell>
          <cell r="L80">
            <v>105.3046875</v>
          </cell>
          <cell r="M80">
            <v>4.8800000000000007E-3</v>
          </cell>
          <cell r="N80">
            <v>4.6300000000000004E-3</v>
          </cell>
          <cell r="O80">
            <v>0</v>
          </cell>
          <cell r="P80">
            <v>105.26953125</v>
          </cell>
          <cell r="Q80">
            <v>105.3046875</v>
          </cell>
        </row>
        <row r="81">
          <cell r="A81" t="str">
            <v>T4,125 08/12</v>
          </cell>
          <cell r="B81" t="str">
            <v>912828HC7</v>
          </cell>
          <cell r="C81" t="str">
            <v>US912828HC70</v>
          </cell>
          <cell r="D81">
            <v>39325</v>
          </cell>
          <cell r="E81">
            <v>39325</v>
          </cell>
          <cell r="F81">
            <v>39507</v>
          </cell>
          <cell r="G81">
            <v>40968</v>
          </cell>
          <cell r="H81">
            <v>41152</v>
          </cell>
          <cell r="I81">
            <v>4.1250000000000002E-2</v>
          </cell>
          <cell r="J81">
            <v>0</v>
          </cell>
          <cell r="K81">
            <v>105.03125</v>
          </cell>
          <cell r="L81">
            <v>105.0625</v>
          </cell>
          <cell r="M81">
            <v>5.1200000000000004E-3</v>
          </cell>
          <cell r="N81">
            <v>4.9000000000000007E-3</v>
          </cell>
          <cell r="O81">
            <v>0</v>
          </cell>
          <cell r="P81">
            <v>105.03125</v>
          </cell>
          <cell r="Q81">
            <v>105.0625</v>
          </cell>
        </row>
        <row r="82">
          <cell r="A82" t="str">
            <v>T0,375 08/12</v>
          </cell>
          <cell r="B82" t="str">
            <v>912828PH7</v>
          </cell>
          <cell r="C82" t="str">
            <v>US912828PH75</v>
          </cell>
          <cell r="D82">
            <v>40421</v>
          </cell>
          <cell r="E82">
            <v>40421</v>
          </cell>
          <cell r="F82">
            <v>40602</v>
          </cell>
          <cell r="G82">
            <v>40968</v>
          </cell>
          <cell r="H82">
            <v>41152</v>
          </cell>
          <cell r="I82">
            <v>3.7499999999999999E-3</v>
          </cell>
          <cell r="J82">
            <v>0</v>
          </cell>
          <cell r="K82">
            <v>99.83984375</v>
          </cell>
          <cell r="L82">
            <v>99.85546875</v>
          </cell>
          <cell r="M82">
            <v>4.9000000000000007E-3</v>
          </cell>
          <cell r="N82">
            <v>4.79E-3</v>
          </cell>
          <cell r="O82">
            <v>0</v>
          </cell>
          <cell r="P82">
            <v>99.83984375</v>
          </cell>
          <cell r="Q82">
            <v>99.85546875</v>
          </cell>
        </row>
        <row r="83">
          <cell r="A83" t="str">
            <v>T1,375 09/12</v>
          </cell>
          <cell r="B83" t="str">
            <v>912828LM0</v>
          </cell>
          <cell r="C83" t="str">
            <v>US912828LM07</v>
          </cell>
          <cell r="D83">
            <v>40071</v>
          </cell>
          <cell r="E83">
            <v>40071</v>
          </cell>
          <cell r="F83">
            <v>40252</v>
          </cell>
          <cell r="G83">
            <v>40983</v>
          </cell>
          <cell r="H83">
            <v>41167</v>
          </cell>
          <cell r="I83">
            <v>1.375E-2</v>
          </cell>
          <cell r="J83">
            <v>0</v>
          </cell>
          <cell r="K83">
            <v>101.2109375</v>
          </cell>
          <cell r="L83">
            <v>101.234375</v>
          </cell>
          <cell r="M83">
            <v>5.3E-3</v>
          </cell>
          <cell r="N83">
            <v>5.1400000000000005E-3</v>
          </cell>
          <cell r="O83">
            <v>0</v>
          </cell>
          <cell r="P83">
            <v>101.2109375</v>
          </cell>
          <cell r="Q83">
            <v>101.234375</v>
          </cell>
        </row>
        <row r="84">
          <cell r="A84" t="str">
            <v>T0,375 09/12</v>
          </cell>
          <cell r="B84" t="str">
            <v>912828NX4</v>
          </cell>
          <cell r="C84" t="str">
            <v>US912828NX44</v>
          </cell>
          <cell r="D84">
            <v>40451</v>
          </cell>
          <cell r="E84">
            <v>40451</v>
          </cell>
          <cell r="F84">
            <v>40633</v>
          </cell>
          <cell r="G84">
            <v>40999</v>
          </cell>
          <cell r="H84">
            <v>41182</v>
          </cell>
          <cell r="I84">
            <v>3.7499999999999999E-3</v>
          </cell>
          <cell r="J84">
            <v>0</v>
          </cell>
          <cell r="K84">
            <v>99.76171875</v>
          </cell>
          <cell r="L84">
            <v>99.77734375</v>
          </cell>
          <cell r="M84">
            <v>5.3600000000000002E-3</v>
          </cell>
          <cell r="N84">
            <v>5.2599999999999999E-3</v>
          </cell>
          <cell r="O84">
            <v>0</v>
          </cell>
          <cell r="P84">
            <v>99.76171875</v>
          </cell>
          <cell r="Q84">
            <v>99.77734375</v>
          </cell>
        </row>
        <row r="85">
          <cell r="A85" t="str">
            <v>T4,25 09/12</v>
          </cell>
          <cell r="B85" t="str">
            <v>912828HE3</v>
          </cell>
          <cell r="C85" t="str">
            <v>US912828HE37</v>
          </cell>
          <cell r="D85">
            <v>39356</v>
          </cell>
          <cell r="E85">
            <v>39355</v>
          </cell>
          <cell r="F85">
            <v>39538</v>
          </cell>
          <cell r="G85">
            <v>40999</v>
          </cell>
          <cell r="H85">
            <v>41182</v>
          </cell>
          <cell r="I85">
            <v>4.2500000000000003E-2</v>
          </cell>
          <cell r="J85">
            <v>0</v>
          </cell>
          <cell r="K85">
            <v>105.45703125</v>
          </cell>
          <cell r="L85">
            <v>105.48828125</v>
          </cell>
          <cell r="M85">
            <v>5.5200000000000006E-3</v>
          </cell>
          <cell r="N85">
            <v>5.3100000000000005E-3</v>
          </cell>
          <cell r="O85">
            <v>0</v>
          </cell>
          <cell r="P85">
            <v>105.45703125</v>
          </cell>
          <cell r="Q85">
            <v>105.48828125</v>
          </cell>
        </row>
        <row r="86">
          <cell r="A86" t="str">
            <v>T1,375 10/12</v>
          </cell>
          <cell r="B86" t="str">
            <v>912828LR9</v>
          </cell>
          <cell r="C86" t="str">
            <v>US912828LR93</v>
          </cell>
          <cell r="D86">
            <v>40101</v>
          </cell>
          <cell r="E86">
            <v>40101</v>
          </cell>
          <cell r="F86">
            <v>40283</v>
          </cell>
          <cell r="G86">
            <v>41014</v>
          </cell>
          <cell r="H86">
            <v>41197</v>
          </cell>
          <cell r="I86">
            <v>1.375E-2</v>
          </cell>
          <cell r="J86">
            <v>0</v>
          </cell>
          <cell r="K86">
            <v>101.21484375</v>
          </cell>
          <cell r="L86">
            <v>101.234375</v>
          </cell>
          <cell r="M86">
            <v>5.7399999999999994E-3</v>
          </cell>
          <cell r="N86">
            <v>5.6100000000000004E-3</v>
          </cell>
          <cell r="O86">
            <v>0</v>
          </cell>
          <cell r="P86">
            <v>101.21484375</v>
          </cell>
          <cell r="Q86">
            <v>101.234375</v>
          </cell>
        </row>
        <row r="87">
          <cell r="A87" t="str">
            <v>T3,875 10/12</v>
          </cell>
          <cell r="B87" t="str">
            <v>912828HG8</v>
          </cell>
          <cell r="C87" t="str">
            <v>US912828HG84</v>
          </cell>
          <cell r="D87">
            <v>39386</v>
          </cell>
          <cell r="E87">
            <v>39386</v>
          </cell>
          <cell r="F87">
            <v>39568</v>
          </cell>
          <cell r="G87">
            <v>41029</v>
          </cell>
          <cell r="H87">
            <v>41213</v>
          </cell>
          <cell r="I87">
            <v>3.875E-2</v>
          </cell>
          <cell r="J87">
            <v>0</v>
          </cell>
          <cell r="K87">
            <v>105.12109375</v>
          </cell>
          <cell r="L87">
            <v>105.1484375</v>
          </cell>
          <cell r="M87">
            <v>5.8499999999999993E-3</v>
          </cell>
          <cell r="N87">
            <v>5.680000000000001E-3</v>
          </cell>
          <cell r="O87">
            <v>0</v>
          </cell>
          <cell r="P87">
            <v>105.12109375</v>
          </cell>
          <cell r="Q87">
            <v>105.1484375</v>
          </cell>
        </row>
        <row r="88">
          <cell r="A88" t="str">
            <v>T0,375 10/12</v>
          </cell>
          <cell r="B88" t="str">
            <v>912828PD6</v>
          </cell>
          <cell r="C88" t="str">
            <v>US912828PD61</v>
          </cell>
          <cell r="D88">
            <v>40483</v>
          </cell>
          <cell r="E88">
            <v>40482</v>
          </cell>
          <cell r="F88">
            <v>40663</v>
          </cell>
          <cell r="G88">
            <v>41029</v>
          </cell>
          <cell r="H88">
            <v>41213</v>
          </cell>
          <cell r="I88">
            <v>3.7499999999999999E-3</v>
          </cell>
          <cell r="J88">
            <v>0</v>
          </cell>
          <cell r="K88">
            <v>99.671875</v>
          </cell>
          <cell r="L88">
            <v>99.6875</v>
          </cell>
          <cell r="M88">
            <v>5.8599999999999998E-3</v>
          </cell>
          <cell r="N88">
            <v>5.7599999999999995E-3</v>
          </cell>
          <cell r="O88">
            <v>0</v>
          </cell>
          <cell r="P88">
            <v>99.671875</v>
          </cell>
          <cell r="Q88">
            <v>99.6875</v>
          </cell>
        </row>
        <row r="89">
          <cell r="A89" t="str">
            <v>T1,375 11/12</v>
          </cell>
          <cell r="B89" t="str">
            <v>912828LX6</v>
          </cell>
          <cell r="C89" t="str">
            <v>US912828LX61</v>
          </cell>
          <cell r="D89">
            <v>40133</v>
          </cell>
          <cell r="E89">
            <v>40132</v>
          </cell>
          <cell r="F89">
            <v>40313</v>
          </cell>
          <cell r="G89">
            <v>41044</v>
          </cell>
          <cell r="H89">
            <v>41228</v>
          </cell>
          <cell r="I89">
            <v>1.375E-2</v>
          </cell>
          <cell r="J89">
            <v>0</v>
          </cell>
          <cell r="K89">
            <v>101.203125</v>
          </cell>
          <cell r="L89">
            <v>101.2265625</v>
          </cell>
          <cell r="M89">
            <v>6.2199999999999998E-3</v>
          </cell>
          <cell r="N89">
            <v>6.0699999999999999E-3</v>
          </cell>
          <cell r="O89">
            <v>0</v>
          </cell>
          <cell r="P89">
            <v>101.203125</v>
          </cell>
          <cell r="Q89">
            <v>101.2265625</v>
          </cell>
        </row>
        <row r="90">
          <cell r="A90" t="str">
            <v>T4 11/12</v>
          </cell>
          <cell r="B90" t="str">
            <v>912828AP5</v>
          </cell>
          <cell r="C90" t="str">
            <v>US912828AP56</v>
          </cell>
          <cell r="D90">
            <v>37575</v>
          </cell>
          <cell r="E90">
            <v>37575</v>
          </cell>
          <cell r="F90">
            <v>37756</v>
          </cell>
          <cell r="G90">
            <v>41044</v>
          </cell>
          <cell r="H90">
            <v>41228</v>
          </cell>
          <cell r="I90">
            <v>0.04</v>
          </cell>
          <cell r="J90">
            <v>0</v>
          </cell>
          <cell r="K90">
            <v>105.40625</v>
          </cell>
          <cell r="L90">
            <v>105.4375</v>
          </cell>
          <cell r="M90">
            <v>6.1500000000000001E-3</v>
          </cell>
          <cell r="N90">
            <v>5.96E-3</v>
          </cell>
          <cell r="O90">
            <v>0</v>
          </cell>
          <cell r="P90">
            <v>105.40625</v>
          </cell>
          <cell r="Q90">
            <v>105.4375</v>
          </cell>
        </row>
        <row r="91">
          <cell r="A91" t="str">
            <v>T3,375 11/12</v>
          </cell>
          <cell r="B91" t="str">
            <v>912828HK9</v>
          </cell>
          <cell r="C91" t="str">
            <v>US912828HK96</v>
          </cell>
          <cell r="D91">
            <v>39416</v>
          </cell>
          <cell r="E91">
            <v>39416</v>
          </cell>
          <cell r="F91">
            <v>39599</v>
          </cell>
          <cell r="G91">
            <v>41060</v>
          </cell>
          <cell r="H91">
            <v>41243</v>
          </cell>
          <cell r="I91">
            <v>3.3750000000000002E-2</v>
          </cell>
          <cell r="J91">
            <v>0</v>
          </cell>
          <cell r="K91">
            <v>104.53515625</v>
          </cell>
          <cell r="L91">
            <v>104.5625</v>
          </cell>
          <cell r="M91">
            <v>6.0999999999999995E-3</v>
          </cell>
          <cell r="N91">
            <v>5.94E-3</v>
          </cell>
          <cell r="O91">
            <v>0</v>
          </cell>
          <cell r="P91">
            <v>104.53515625</v>
          </cell>
          <cell r="Q91">
            <v>104.5625</v>
          </cell>
        </row>
        <row r="92">
          <cell r="A92" t="str">
            <v>T0,5 11/12</v>
          </cell>
          <cell r="B92" t="str">
            <v>912828PV6</v>
          </cell>
          <cell r="C92" t="str">
            <v>US912828PV69</v>
          </cell>
          <cell r="D92">
            <v>40512</v>
          </cell>
          <cell r="E92">
            <v>40512</v>
          </cell>
          <cell r="F92">
            <v>40694</v>
          </cell>
          <cell r="G92">
            <v>41060</v>
          </cell>
          <cell r="H92">
            <v>41243</v>
          </cell>
          <cell r="I92">
            <v>5.0000000000000001E-3</v>
          </cell>
          <cell r="J92">
            <v>0</v>
          </cell>
          <cell r="K92">
            <v>99.7890625</v>
          </cell>
          <cell r="L92">
            <v>99.8046875</v>
          </cell>
          <cell r="M92">
            <v>6.2900000000000005E-3</v>
          </cell>
          <cell r="N92">
            <v>6.1900000000000002E-3</v>
          </cell>
          <cell r="O92">
            <v>0</v>
          </cell>
          <cell r="P92">
            <v>99.7890625</v>
          </cell>
          <cell r="Q92">
            <v>99.8046875</v>
          </cell>
        </row>
        <row r="93">
          <cell r="A93" t="str">
            <v>T1,125 12/12</v>
          </cell>
          <cell r="B93" t="str">
            <v>912828MB3</v>
          </cell>
          <cell r="C93" t="str">
            <v>US912828MB33</v>
          </cell>
          <cell r="D93">
            <v>40162</v>
          </cell>
          <cell r="E93">
            <v>40162</v>
          </cell>
          <cell r="F93">
            <v>40344</v>
          </cell>
          <cell r="G93">
            <v>41075</v>
          </cell>
          <cell r="H93">
            <v>41258</v>
          </cell>
          <cell r="I93">
            <v>1.125E-2</v>
          </cell>
          <cell r="J93">
            <v>0</v>
          </cell>
          <cell r="K93">
            <v>100.765625</v>
          </cell>
          <cell r="L93">
            <v>100.7890625</v>
          </cell>
          <cell r="M93">
            <v>6.6900000000000006E-3</v>
          </cell>
          <cell r="N93">
            <v>6.5500000000000003E-3</v>
          </cell>
          <cell r="O93">
            <v>0</v>
          </cell>
          <cell r="P93">
            <v>100.765625</v>
          </cell>
          <cell r="Q93">
            <v>100.7890625</v>
          </cell>
        </row>
        <row r="94">
          <cell r="A94" t="str">
            <v>T3,625 12/12</v>
          </cell>
          <cell r="B94" t="str">
            <v>912828HM5</v>
          </cell>
          <cell r="C94" t="str">
            <v>US912828HM52</v>
          </cell>
          <cell r="D94">
            <v>39447</v>
          </cell>
          <cell r="E94">
            <v>39447</v>
          </cell>
          <cell r="F94">
            <v>39629</v>
          </cell>
          <cell r="G94">
            <v>41090</v>
          </cell>
          <cell r="H94">
            <v>41274</v>
          </cell>
          <cell r="I94">
            <v>3.6249999999999998E-2</v>
          </cell>
          <cell r="J94">
            <v>0</v>
          </cell>
          <cell r="K94">
            <v>105.1171875</v>
          </cell>
          <cell r="L94">
            <v>105.1484375</v>
          </cell>
          <cell r="M94">
            <v>6.5300000000000002E-3</v>
          </cell>
          <cell r="N94">
            <v>6.3600000000000002E-3</v>
          </cell>
          <cell r="O94">
            <v>0</v>
          </cell>
          <cell r="P94">
            <v>105.1171875</v>
          </cell>
          <cell r="Q94">
            <v>105.1484375</v>
          </cell>
        </row>
        <row r="95">
          <cell r="A95" t="str">
            <v>T0,625 12/12</v>
          </cell>
          <cell r="B95" t="str">
            <v>912828PW4</v>
          </cell>
          <cell r="C95" t="str">
            <v>US912828PW43</v>
          </cell>
          <cell r="D95">
            <v>40543</v>
          </cell>
          <cell r="E95">
            <v>40543</v>
          </cell>
          <cell r="F95">
            <v>40724</v>
          </cell>
          <cell r="G95">
            <v>41090</v>
          </cell>
          <cell r="H95">
            <v>41274</v>
          </cell>
          <cell r="I95">
            <v>6.2500000000000003E-3</v>
          </cell>
          <cell r="J95">
            <v>0</v>
          </cell>
          <cell r="K95">
            <v>99.90234375</v>
          </cell>
          <cell r="L95">
            <v>99.9140625</v>
          </cell>
          <cell r="M95">
            <v>6.8199999999999997E-3</v>
          </cell>
          <cell r="N95">
            <v>6.7499999999999991E-3</v>
          </cell>
          <cell r="O95">
            <v>0</v>
          </cell>
          <cell r="P95">
            <v>99.90234375</v>
          </cell>
          <cell r="Q95">
            <v>99.9140625</v>
          </cell>
        </row>
        <row r="96">
          <cell r="A96" t="str">
            <v>T1,375 01/13</v>
          </cell>
          <cell r="B96" t="str">
            <v>912828MG2</v>
          </cell>
          <cell r="C96" t="str">
            <v>US912828MG20</v>
          </cell>
          <cell r="D96">
            <v>40193</v>
          </cell>
          <cell r="E96">
            <v>40193</v>
          </cell>
          <cell r="F96">
            <v>40374</v>
          </cell>
          <cell r="G96">
            <v>41105</v>
          </cell>
          <cell r="H96">
            <v>41289</v>
          </cell>
          <cell r="I96">
            <v>1.375E-2</v>
          </cell>
          <cell r="J96">
            <v>0</v>
          </cell>
          <cell r="K96">
            <v>101.16015625</v>
          </cell>
          <cell r="L96">
            <v>101.1796875</v>
          </cell>
          <cell r="M96">
            <v>7.1599999999999997E-3</v>
          </cell>
          <cell r="N96">
            <v>7.0499999999999998E-3</v>
          </cell>
          <cell r="O96">
            <v>0</v>
          </cell>
          <cell r="P96">
            <v>101.16015625</v>
          </cell>
          <cell r="Q96">
            <v>101.1796875</v>
          </cell>
        </row>
        <row r="97">
          <cell r="A97" t="str">
            <v>T0,625 01/13</v>
          </cell>
          <cell r="B97" t="str">
            <v>912828PR5</v>
          </cell>
          <cell r="C97" t="str">
            <v>US912828PR57</v>
          </cell>
          <cell r="D97">
            <v>40574</v>
          </cell>
          <cell r="E97">
            <v>40574</v>
          </cell>
          <cell r="F97">
            <v>40755</v>
          </cell>
          <cell r="G97">
            <v>41121</v>
          </cell>
          <cell r="H97">
            <v>41305</v>
          </cell>
          <cell r="I97">
            <v>6.2500000000000003E-3</v>
          </cell>
          <cell r="J97">
            <v>0</v>
          </cell>
          <cell r="K97">
            <v>99.8046875</v>
          </cell>
          <cell r="L97">
            <v>99.8203125</v>
          </cell>
          <cell r="M97">
            <v>7.3299999999999997E-3</v>
          </cell>
          <cell r="N97">
            <v>7.2399999999999999E-3</v>
          </cell>
          <cell r="O97">
            <v>0</v>
          </cell>
          <cell r="P97">
            <v>99.8046875</v>
          </cell>
          <cell r="Q97">
            <v>99.8203125</v>
          </cell>
        </row>
        <row r="98">
          <cell r="A98" t="str">
            <v>T2,875 01/13</v>
          </cell>
          <cell r="B98" t="str">
            <v>912828HQ6</v>
          </cell>
          <cell r="C98" t="str">
            <v>US912828HQ66</v>
          </cell>
          <cell r="D98">
            <v>39478</v>
          </cell>
          <cell r="E98">
            <v>39478</v>
          </cell>
          <cell r="F98">
            <v>39660</v>
          </cell>
          <cell r="G98">
            <v>41121</v>
          </cell>
          <cell r="H98">
            <v>41305</v>
          </cell>
          <cell r="I98">
            <v>2.8750000000000001E-2</v>
          </cell>
          <cell r="J98">
            <v>0</v>
          </cell>
          <cell r="K98">
            <v>103.94921875</v>
          </cell>
          <cell r="L98">
            <v>103.98046875</v>
          </cell>
          <cell r="M98">
            <v>6.8799999999999998E-3</v>
          </cell>
          <cell r="N98">
            <v>6.709999999999999E-3</v>
          </cell>
          <cell r="O98">
            <v>0</v>
          </cell>
          <cell r="P98">
            <v>103.94921875</v>
          </cell>
          <cell r="Q98">
            <v>103.98046875</v>
          </cell>
        </row>
        <row r="99">
          <cell r="A99" t="str">
            <v>T3,875 02/13</v>
          </cell>
          <cell r="B99" t="str">
            <v>912828AU4</v>
          </cell>
          <cell r="C99" t="str">
            <v>US912828AU42</v>
          </cell>
          <cell r="D99">
            <v>37670</v>
          </cell>
          <cell r="E99">
            <v>37667</v>
          </cell>
          <cell r="F99">
            <v>37848</v>
          </cell>
          <cell r="G99">
            <v>41136</v>
          </cell>
          <cell r="H99">
            <v>41320</v>
          </cell>
          <cell r="I99">
            <v>3.875E-2</v>
          </cell>
          <cell r="J99">
            <v>0</v>
          </cell>
          <cell r="K99">
            <v>105.86328125</v>
          </cell>
          <cell r="L99">
            <v>105.89453125</v>
          </cell>
          <cell r="M99">
            <v>6.9899999999999997E-3</v>
          </cell>
          <cell r="N99">
            <v>6.8299999999999993E-3</v>
          </cell>
          <cell r="O99">
            <v>0</v>
          </cell>
          <cell r="P99">
            <v>105.86328125</v>
          </cell>
          <cell r="Q99">
            <v>105.89453125</v>
          </cell>
        </row>
        <row r="100">
          <cell r="A100" t="str">
            <v>T1,375 02/13</v>
          </cell>
          <cell r="B100" t="str">
            <v>912828MN7</v>
          </cell>
          <cell r="C100" t="str">
            <v>US912828MN70</v>
          </cell>
          <cell r="D100">
            <v>40225</v>
          </cell>
          <cell r="E100">
            <v>40224</v>
          </cell>
          <cell r="F100">
            <v>40405</v>
          </cell>
          <cell r="G100">
            <v>41136</v>
          </cell>
          <cell r="H100">
            <v>41320</v>
          </cell>
          <cell r="I100">
            <v>1.375E-2</v>
          </cell>
          <cell r="J100">
            <v>0</v>
          </cell>
          <cell r="K100">
            <v>101.140625</v>
          </cell>
          <cell r="L100">
            <v>101.16015625</v>
          </cell>
          <cell r="M100">
            <v>7.5700000000000003E-3</v>
          </cell>
          <cell r="N100">
            <v>7.4599999999999996E-3</v>
          </cell>
          <cell r="O100">
            <v>0</v>
          </cell>
          <cell r="P100">
            <v>101.140625</v>
          </cell>
          <cell r="Q100">
            <v>101.16015625</v>
          </cell>
        </row>
        <row r="101">
          <cell r="A101" t="str">
            <v>T2,75 02/13</v>
          </cell>
          <cell r="B101" t="str">
            <v>912828HT0</v>
          </cell>
          <cell r="C101" t="str">
            <v>US912828HT06</v>
          </cell>
          <cell r="D101">
            <v>39507</v>
          </cell>
          <cell r="E101">
            <v>39507</v>
          </cell>
          <cell r="F101">
            <v>39691</v>
          </cell>
          <cell r="G101">
            <v>41152</v>
          </cell>
          <cell r="H101">
            <v>41333</v>
          </cell>
          <cell r="I101">
            <v>2.75E-2</v>
          </cell>
          <cell r="J101">
            <v>0</v>
          </cell>
          <cell r="K101">
            <v>103.75390625</v>
          </cell>
          <cell r="L101">
            <v>103.77734375</v>
          </cell>
          <cell r="M101">
            <v>7.5599999999999999E-3</v>
          </cell>
          <cell r="N101">
            <v>7.43E-3</v>
          </cell>
          <cell r="O101">
            <v>0</v>
          </cell>
          <cell r="P101">
            <v>103.75390625</v>
          </cell>
          <cell r="Q101">
            <v>103.77734375</v>
          </cell>
        </row>
        <row r="102">
          <cell r="A102" t="str">
            <v>T0,625 02/13</v>
          </cell>
          <cell r="B102" t="str">
            <v>912828QK9</v>
          </cell>
          <cell r="C102" t="str">
            <v>US912828QK95</v>
          </cell>
          <cell r="D102">
            <v>40602</v>
          </cell>
          <cell r="E102">
            <v>40602</v>
          </cell>
          <cell r="F102">
            <v>40786</v>
          </cell>
          <cell r="G102">
            <v>41152</v>
          </cell>
          <cell r="H102">
            <v>41333</v>
          </cell>
          <cell r="I102">
            <v>6.2500000000000003E-3</v>
          </cell>
          <cell r="J102">
            <v>0</v>
          </cell>
          <cell r="K102">
            <v>99.71875</v>
          </cell>
          <cell r="L102">
            <v>99.73046875</v>
          </cell>
          <cell r="M102">
            <v>7.7399999999999995E-3</v>
          </cell>
          <cell r="N102">
            <v>7.6800000000000002E-3</v>
          </cell>
          <cell r="O102">
            <v>0</v>
          </cell>
          <cell r="P102">
            <v>99.71875</v>
          </cell>
          <cell r="Q102">
            <v>99.73046875</v>
          </cell>
        </row>
        <row r="103">
          <cell r="A103" t="str">
            <v>T1,375 03/13</v>
          </cell>
          <cell r="B103" t="str">
            <v>912828MT4</v>
          </cell>
          <cell r="C103" t="str">
            <v>US912828MT41</v>
          </cell>
          <cell r="D103">
            <v>40252</v>
          </cell>
          <cell r="E103">
            <v>40252</v>
          </cell>
          <cell r="F103">
            <v>40436</v>
          </cell>
          <cell r="G103">
            <v>41167</v>
          </cell>
          <cell r="H103">
            <v>41348</v>
          </cell>
          <cell r="I103">
            <v>1.375E-2</v>
          </cell>
          <cell r="J103">
            <v>0</v>
          </cell>
          <cell r="K103">
            <v>101.109375</v>
          </cell>
          <cell r="L103">
            <v>101.1328125</v>
          </cell>
          <cell r="M103">
            <v>7.9799999999999992E-3</v>
          </cell>
          <cell r="N103">
            <v>7.8499999999999993E-3</v>
          </cell>
          <cell r="O103">
            <v>0</v>
          </cell>
          <cell r="P103">
            <v>101.109375</v>
          </cell>
          <cell r="Q103">
            <v>101.1328125</v>
          </cell>
        </row>
        <row r="104">
          <cell r="A104" t="str">
            <v>T0,75 03/13</v>
          </cell>
          <cell r="B104" t="str">
            <v>912828QL7</v>
          </cell>
          <cell r="C104" t="str">
            <v>US912828QL78</v>
          </cell>
          <cell r="D104">
            <v>40633</v>
          </cell>
          <cell r="E104">
            <v>40633</v>
          </cell>
          <cell r="F104">
            <v>40816</v>
          </cell>
          <cell r="G104">
            <v>41182</v>
          </cell>
          <cell r="H104">
            <v>41364</v>
          </cell>
          <cell r="I104">
            <v>7.4999999999999997E-3</v>
          </cell>
          <cell r="J104">
            <v>0</v>
          </cell>
          <cell r="K104">
            <v>99.8828125</v>
          </cell>
          <cell r="L104">
            <v>99.890625</v>
          </cell>
          <cell r="M104">
            <v>8.1000000000000013E-3</v>
          </cell>
          <cell r="N104">
            <v>8.0600000000000012E-3</v>
          </cell>
          <cell r="O104">
            <v>0</v>
          </cell>
          <cell r="P104">
            <v>99.8828125</v>
          </cell>
          <cell r="Q104">
            <v>99.890625</v>
          </cell>
        </row>
        <row r="105">
          <cell r="A105" t="str">
            <v>T2,5 03/13</v>
          </cell>
          <cell r="B105" t="str">
            <v>912828HV5</v>
          </cell>
          <cell r="C105" t="str">
            <v>US912828HV51</v>
          </cell>
          <cell r="D105">
            <v>39538</v>
          </cell>
          <cell r="E105">
            <v>39538</v>
          </cell>
          <cell r="F105">
            <v>39721</v>
          </cell>
          <cell r="G105">
            <v>41182</v>
          </cell>
          <cell r="H105">
            <v>41364</v>
          </cell>
          <cell r="I105">
            <v>2.5000000000000001E-2</v>
          </cell>
          <cell r="J105">
            <v>0</v>
          </cell>
          <cell r="K105">
            <v>103.3515625</v>
          </cell>
          <cell r="L105">
            <v>103.3828125</v>
          </cell>
          <cell r="M105">
            <v>7.9399999999999991E-3</v>
          </cell>
          <cell r="N105">
            <v>7.7799999999999987E-3</v>
          </cell>
          <cell r="O105">
            <v>0</v>
          </cell>
          <cell r="P105">
            <v>103.3515625</v>
          </cell>
          <cell r="Q105">
            <v>103.3828125</v>
          </cell>
        </row>
        <row r="106">
          <cell r="A106" t="str">
            <v>T1,75 04/13</v>
          </cell>
          <cell r="B106" t="str">
            <v>912828MX5</v>
          </cell>
          <cell r="C106" t="str">
            <v>US912828MX52</v>
          </cell>
          <cell r="D106">
            <v>40283</v>
          </cell>
          <cell r="E106">
            <v>40283</v>
          </cell>
          <cell r="F106">
            <v>40466</v>
          </cell>
          <cell r="G106">
            <v>41197</v>
          </cell>
          <cell r="H106">
            <v>41379</v>
          </cell>
          <cell r="I106">
            <v>1.7500000000000002E-2</v>
          </cell>
          <cell r="J106">
            <v>0</v>
          </cell>
          <cell r="K106">
            <v>101.828125</v>
          </cell>
          <cell r="L106">
            <v>101.84375</v>
          </cell>
          <cell r="M106">
            <v>8.3700000000000007E-3</v>
          </cell>
          <cell r="N106">
            <v>8.3000000000000001E-3</v>
          </cell>
          <cell r="O106">
            <v>0</v>
          </cell>
          <cell r="P106">
            <v>101.828125</v>
          </cell>
          <cell r="Q106">
            <v>101.84375</v>
          </cell>
        </row>
        <row r="107">
          <cell r="A107" t="str">
            <v>T3,125 04/13</v>
          </cell>
          <cell r="B107" t="str">
            <v>912828HY9</v>
          </cell>
          <cell r="C107" t="str">
            <v>US912828HY90</v>
          </cell>
          <cell r="D107">
            <v>39568</v>
          </cell>
          <cell r="E107">
            <v>39568</v>
          </cell>
          <cell r="F107">
            <v>39752</v>
          </cell>
          <cell r="G107">
            <v>41213</v>
          </cell>
          <cell r="H107">
            <v>41394</v>
          </cell>
          <cell r="I107">
            <v>3.125E-2</v>
          </cell>
          <cell r="J107">
            <v>0</v>
          </cell>
          <cell r="K107">
            <v>104.7265625</v>
          </cell>
          <cell r="L107">
            <v>104.7578125</v>
          </cell>
          <cell r="M107">
            <v>8.1300000000000001E-3</v>
          </cell>
          <cell r="N107">
            <v>7.9899999999999988E-3</v>
          </cell>
          <cell r="O107">
            <v>0</v>
          </cell>
          <cell r="P107">
            <v>104.7265625</v>
          </cell>
          <cell r="Q107">
            <v>104.7578125</v>
          </cell>
        </row>
        <row r="108">
          <cell r="A108" t="str">
            <v>T3,625 05/13</v>
          </cell>
          <cell r="B108" t="str">
            <v>912828BA7</v>
          </cell>
          <cell r="C108" t="str">
            <v>US912828BA78</v>
          </cell>
          <cell r="D108">
            <v>37756</v>
          </cell>
          <cell r="E108">
            <v>37756</v>
          </cell>
          <cell r="F108">
            <v>37940</v>
          </cell>
          <cell r="G108">
            <v>41228</v>
          </cell>
          <cell r="H108">
            <v>41409</v>
          </cell>
          <cell r="I108">
            <v>3.6249999999999998E-2</v>
          </cell>
          <cell r="J108">
            <v>0</v>
          </cell>
          <cell r="K108">
            <v>105.78125</v>
          </cell>
          <cell r="L108">
            <v>105.8125</v>
          </cell>
          <cell r="M108">
            <v>8.5100000000000002E-3</v>
          </cell>
          <cell r="N108">
            <v>8.3700000000000007E-3</v>
          </cell>
          <cell r="O108">
            <v>0</v>
          </cell>
          <cell r="P108">
            <v>105.78125</v>
          </cell>
          <cell r="Q108">
            <v>105.8125</v>
          </cell>
        </row>
        <row r="109">
          <cell r="A109" t="str">
            <v>T1,375 05/13</v>
          </cell>
          <cell r="B109" t="str">
            <v>912828NC0</v>
          </cell>
          <cell r="C109" t="str">
            <v>US912828NC07</v>
          </cell>
          <cell r="D109">
            <v>40315</v>
          </cell>
          <cell r="E109">
            <v>40313</v>
          </cell>
          <cell r="F109">
            <v>40497</v>
          </cell>
          <cell r="G109">
            <v>41228</v>
          </cell>
          <cell r="H109">
            <v>41409</v>
          </cell>
          <cell r="I109">
            <v>1.375E-2</v>
          </cell>
          <cell r="J109">
            <v>0</v>
          </cell>
          <cell r="K109">
            <v>101.0390625</v>
          </cell>
          <cell r="L109">
            <v>101.0546875</v>
          </cell>
          <cell r="M109">
            <v>8.7600000000000004E-3</v>
          </cell>
          <cell r="N109">
            <v>8.6900000000000015E-3</v>
          </cell>
          <cell r="O109">
            <v>0</v>
          </cell>
          <cell r="P109">
            <v>101.0390625</v>
          </cell>
          <cell r="Q109">
            <v>101.0546875</v>
          </cell>
        </row>
        <row r="110">
          <cell r="A110" t="str">
            <v>T3,5 05/13</v>
          </cell>
          <cell r="B110" t="str">
            <v>912828JB7</v>
          </cell>
          <cell r="C110" t="str">
            <v>US912828JB79</v>
          </cell>
          <cell r="D110">
            <v>39601</v>
          </cell>
          <cell r="E110">
            <v>39599</v>
          </cell>
          <cell r="F110">
            <v>39782</v>
          </cell>
          <cell r="G110">
            <v>41243</v>
          </cell>
          <cell r="H110">
            <v>41425</v>
          </cell>
          <cell r="I110">
            <v>3.5000000000000003E-2</v>
          </cell>
          <cell r="J110">
            <v>0</v>
          </cell>
          <cell r="K110">
            <v>105.6484375</v>
          </cell>
          <cell r="L110">
            <v>105.6796875</v>
          </cell>
          <cell r="M110">
            <v>8.4400000000000013E-3</v>
          </cell>
          <cell r="N110">
            <v>8.3000000000000001E-3</v>
          </cell>
          <cell r="O110">
            <v>0</v>
          </cell>
          <cell r="P110">
            <v>105.6484375</v>
          </cell>
          <cell r="Q110">
            <v>105.6796875</v>
          </cell>
        </row>
        <row r="111">
          <cell r="A111" t="str">
            <v>T1,125 06/13</v>
          </cell>
          <cell r="B111" t="str">
            <v>912828NH9</v>
          </cell>
          <cell r="C111" t="str">
            <v>US912828NH93</v>
          </cell>
          <cell r="D111">
            <v>40344</v>
          </cell>
          <cell r="E111">
            <v>40344</v>
          </cell>
          <cell r="F111">
            <v>40527</v>
          </cell>
          <cell r="G111">
            <v>41258</v>
          </cell>
          <cell r="H111">
            <v>41440</v>
          </cell>
          <cell r="I111">
            <v>1.125E-2</v>
          </cell>
          <cell r="J111">
            <v>0</v>
          </cell>
          <cell r="K111">
            <v>100.4375</v>
          </cell>
          <cell r="L111">
            <v>100.453125</v>
          </cell>
          <cell r="M111">
            <v>9.2300000000000004E-3</v>
          </cell>
          <cell r="N111">
            <v>9.1599999999999997E-3</v>
          </cell>
          <cell r="O111">
            <v>0</v>
          </cell>
          <cell r="P111">
            <v>100.4375</v>
          </cell>
          <cell r="Q111">
            <v>100.453125</v>
          </cell>
        </row>
        <row r="112">
          <cell r="A112" t="str">
            <v>T3,375 06/13</v>
          </cell>
          <cell r="B112" t="str">
            <v>912828JD3</v>
          </cell>
          <cell r="C112" t="str">
            <v>US912828JD36</v>
          </cell>
          <cell r="D112">
            <v>39629</v>
          </cell>
          <cell r="E112">
            <v>39629</v>
          </cell>
          <cell r="F112">
            <v>39813</v>
          </cell>
          <cell r="G112">
            <v>41274</v>
          </cell>
          <cell r="H112">
            <v>41455</v>
          </cell>
          <cell r="I112">
            <v>3.3750000000000002E-2</v>
          </cell>
          <cell r="J112">
            <v>0</v>
          </cell>
          <cell r="K112">
            <v>105.421875</v>
          </cell>
          <cell r="L112">
            <v>105.453125</v>
          </cell>
          <cell r="M112">
            <v>9.1800000000000007E-3</v>
          </cell>
          <cell r="N112">
            <v>9.0399999999999994E-3</v>
          </cell>
          <cell r="O112">
            <v>0</v>
          </cell>
          <cell r="P112">
            <v>105.421875</v>
          </cell>
          <cell r="Q112">
            <v>105.453125</v>
          </cell>
        </row>
        <row r="113">
          <cell r="A113" t="str">
            <v>T1 07/13</v>
          </cell>
          <cell r="B113" t="str">
            <v>912828NN6</v>
          </cell>
          <cell r="C113" t="str">
            <v>US912828NN61</v>
          </cell>
          <cell r="D113">
            <v>40374</v>
          </cell>
          <cell r="E113">
            <v>40374</v>
          </cell>
          <cell r="F113">
            <v>40558</v>
          </cell>
          <cell r="G113">
            <v>41289</v>
          </cell>
          <cell r="H113">
            <v>41470</v>
          </cell>
          <cell r="I113">
            <v>0.01</v>
          </cell>
          <cell r="J113">
            <v>0</v>
          </cell>
          <cell r="K113">
            <v>100.09375</v>
          </cell>
          <cell r="L113">
            <v>100.109375</v>
          </cell>
          <cell r="M113">
            <v>9.58E-3</v>
          </cell>
          <cell r="N113">
            <v>9.5100000000000011E-3</v>
          </cell>
          <cell r="O113">
            <v>0</v>
          </cell>
          <cell r="P113">
            <v>100.09375</v>
          </cell>
          <cell r="Q113">
            <v>100.109375</v>
          </cell>
        </row>
        <row r="114">
          <cell r="A114" t="str">
            <v>T3,375 07/13</v>
          </cell>
          <cell r="B114" t="str">
            <v>912828JG6</v>
          </cell>
          <cell r="C114" t="str">
            <v>US912828JG66</v>
          </cell>
          <cell r="D114">
            <v>39660</v>
          </cell>
          <cell r="E114">
            <v>39660</v>
          </cell>
          <cell r="F114">
            <v>39844</v>
          </cell>
          <cell r="G114">
            <v>41305</v>
          </cell>
          <cell r="H114">
            <v>41486</v>
          </cell>
          <cell r="I114">
            <v>3.3750000000000002E-2</v>
          </cell>
          <cell r="J114">
            <v>0</v>
          </cell>
          <cell r="K114">
            <v>105.5625</v>
          </cell>
          <cell r="L114">
            <v>105.6015625</v>
          </cell>
          <cell r="M114">
            <v>9.4500000000000001E-3</v>
          </cell>
          <cell r="N114">
            <v>9.2899999999999996E-3</v>
          </cell>
          <cell r="O114">
            <v>0</v>
          </cell>
          <cell r="P114">
            <v>105.5625</v>
          </cell>
          <cell r="Q114">
            <v>105.6015625</v>
          </cell>
        </row>
        <row r="115">
          <cell r="A115" t="str">
            <v>T0,75 08/13</v>
          </cell>
          <cell r="B115" t="str">
            <v>912828NU0</v>
          </cell>
          <cell r="C115" t="str">
            <v>US912828NU05</v>
          </cell>
          <cell r="D115">
            <v>40406</v>
          </cell>
          <cell r="E115">
            <v>40405</v>
          </cell>
          <cell r="F115">
            <v>40589</v>
          </cell>
          <cell r="G115">
            <v>41320</v>
          </cell>
          <cell r="H115">
            <v>41501</v>
          </cell>
          <cell r="I115">
            <v>7.4999999999999997E-3</v>
          </cell>
          <cell r="J115">
            <v>0</v>
          </cell>
          <cell r="K115">
            <v>99.4296875</v>
          </cell>
          <cell r="L115">
            <v>99.453125</v>
          </cell>
          <cell r="M115">
            <v>9.9500000000000005E-3</v>
          </cell>
          <cell r="N115">
            <v>9.8499999999999994E-3</v>
          </cell>
          <cell r="O115">
            <v>0</v>
          </cell>
          <cell r="P115">
            <v>99.4296875</v>
          </cell>
          <cell r="Q115">
            <v>99.453125</v>
          </cell>
        </row>
        <row r="116">
          <cell r="A116" t="str">
            <v>T4,25 08/13</v>
          </cell>
          <cell r="B116" t="str">
            <v>912828BH2</v>
          </cell>
          <cell r="C116" t="str">
            <v>US912828BH22</v>
          </cell>
          <cell r="D116">
            <v>37848</v>
          </cell>
          <cell r="E116">
            <v>37848</v>
          </cell>
          <cell r="F116">
            <v>38032</v>
          </cell>
          <cell r="G116">
            <v>41320</v>
          </cell>
          <cell r="H116">
            <v>41501</v>
          </cell>
          <cell r="I116">
            <v>4.2500000000000003E-2</v>
          </cell>
          <cell r="J116">
            <v>0</v>
          </cell>
          <cell r="K116">
            <v>107.625</v>
          </cell>
          <cell r="L116">
            <v>107.65625</v>
          </cell>
          <cell r="M116">
            <v>9.7599999999999996E-3</v>
          </cell>
          <cell r="N116">
            <v>9.6300000000000014E-3</v>
          </cell>
          <cell r="O116">
            <v>0</v>
          </cell>
          <cell r="P116">
            <v>107.625</v>
          </cell>
          <cell r="Q116">
            <v>107.65625</v>
          </cell>
        </row>
        <row r="117">
          <cell r="A117" t="str">
            <v>T3,125 08/13</v>
          </cell>
          <cell r="B117" t="str">
            <v>912828JK7</v>
          </cell>
          <cell r="C117" t="str">
            <v>US912828JK78</v>
          </cell>
          <cell r="D117">
            <v>39693</v>
          </cell>
          <cell r="E117">
            <v>39691</v>
          </cell>
          <cell r="F117">
            <v>39872</v>
          </cell>
          <cell r="G117">
            <v>41333</v>
          </cell>
          <cell r="H117">
            <v>41517</v>
          </cell>
          <cell r="I117">
            <v>3.125E-2</v>
          </cell>
          <cell r="J117">
            <v>0</v>
          </cell>
          <cell r="K117">
            <v>105.078125</v>
          </cell>
          <cell r="L117">
            <v>105.109375</v>
          </cell>
          <cell r="M117">
            <v>9.7800000000000005E-3</v>
          </cell>
          <cell r="N117">
            <v>9.6500000000000006E-3</v>
          </cell>
          <cell r="O117">
            <v>0</v>
          </cell>
          <cell r="P117">
            <v>105.078125</v>
          </cell>
          <cell r="Q117">
            <v>105.109375</v>
          </cell>
        </row>
        <row r="118">
          <cell r="A118" t="str">
            <v>T0,75 09/13</v>
          </cell>
          <cell r="B118" t="str">
            <v>912828NY2</v>
          </cell>
          <cell r="C118" t="str">
            <v>US912828NY27</v>
          </cell>
          <cell r="D118">
            <v>40436</v>
          </cell>
          <cell r="E118">
            <v>40436</v>
          </cell>
          <cell r="F118">
            <v>40617</v>
          </cell>
          <cell r="G118">
            <v>41348</v>
          </cell>
          <cell r="H118">
            <v>41532</v>
          </cell>
          <cell r="I118">
            <v>7.4999999999999997E-3</v>
          </cell>
          <cell r="J118">
            <v>0</v>
          </cell>
          <cell r="K118">
            <v>99.3125</v>
          </cell>
          <cell r="L118">
            <v>99.3203125</v>
          </cell>
          <cell r="M118">
            <v>1.0360000000000001E-2</v>
          </cell>
          <cell r="N118">
            <v>1.0329999999999999E-2</v>
          </cell>
          <cell r="O118">
            <v>0</v>
          </cell>
          <cell r="P118">
            <v>99.3125</v>
          </cell>
          <cell r="Q118">
            <v>99.3203125</v>
          </cell>
        </row>
        <row r="119">
          <cell r="A119" t="str">
            <v>T3,125 09/13</v>
          </cell>
          <cell r="B119" t="str">
            <v>912828JM3</v>
          </cell>
          <cell r="C119" t="str">
            <v>US912828JM35</v>
          </cell>
          <cell r="D119">
            <v>39721</v>
          </cell>
          <cell r="E119">
            <v>39721</v>
          </cell>
          <cell r="F119">
            <v>39903</v>
          </cell>
          <cell r="G119">
            <v>41364</v>
          </cell>
          <cell r="H119">
            <v>41547</v>
          </cell>
          <cell r="I119">
            <v>3.125E-2</v>
          </cell>
          <cell r="J119">
            <v>0</v>
          </cell>
          <cell r="K119">
            <v>105.09375</v>
          </cell>
          <cell r="L119">
            <v>105.1328125</v>
          </cell>
          <cell r="M119">
            <v>1.042E-2</v>
          </cell>
          <cell r="N119">
            <v>1.027E-2</v>
          </cell>
          <cell r="O119">
            <v>0</v>
          </cell>
          <cell r="P119">
            <v>105.09375</v>
          </cell>
          <cell r="Q119">
            <v>105.1328125</v>
          </cell>
        </row>
        <row r="120">
          <cell r="A120" t="str">
            <v>T0,5 10/13</v>
          </cell>
          <cell r="B120" t="str">
            <v>912828PB0</v>
          </cell>
          <cell r="C120" t="str">
            <v>US912828PB06</v>
          </cell>
          <cell r="D120">
            <v>40466</v>
          </cell>
          <cell r="E120">
            <v>40466</v>
          </cell>
          <cell r="F120">
            <v>40648</v>
          </cell>
          <cell r="G120">
            <v>41379</v>
          </cell>
          <cell r="H120">
            <v>41562</v>
          </cell>
          <cell r="I120">
            <v>5.0000000000000001E-3</v>
          </cell>
          <cell r="J120">
            <v>0</v>
          </cell>
          <cell r="K120">
            <v>98.5625</v>
          </cell>
          <cell r="L120">
            <v>98.5859375</v>
          </cell>
          <cell r="M120">
            <v>1.0789999999999999E-2</v>
          </cell>
          <cell r="N120">
            <v>1.069E-2</v>
          </cell>
          <cell r="O120">
            <v>0</v>
          </cell>
          <cell r="P120">
            <v>98.5625</v>
          </cell>
          <cell r="Q120">
            <v>98.5859375</v>
          </cell>
        </row>
        <row r="121">
          <cell r="A121" t="str">
            <v>T2,75 10/13</v>
          </cell>
          <cell r="B121" t="str">
            <v>912828JQ4</v>
          </cell>
          <cell r="C121" t="str">
            <v>US912828JQ49</v>
          </cell>
          <cell r="D121">
            <v>39752</v>
          </cell>
          <cell r="E121">
            <v>39752</v>
          </cell>
          <cell r="F121">
            <v>39933</v>
          </cell>
          <cell r="G121">
            <v>41394</v>
          </cell>
          <cell r="H121">
            <v>41578</v>
          </cell>
          <cell r="I121">
            <v>2.75E-2</v>
          </cell>
          <cell r="J121">
            <v>0</v>
          </cell>
          <cell r="K121">
            <v>104.2421875</v>
          </cell>
          <cell r="L121">
            <v>104.2734375</v>
          </cell>
          <cell r="M121">
            <v>1.0700000000000001E-2</v>
          </cell>
          <cell r="N121">
            <v>1.0580000000000001E-2</v>
          </cell>
          <cell r="O121">
            <v>0</v>
          </cell>
          <cell r="P121">
            <v>104.2421875</v>
          </cell>
          <cell r="Q121">
            <v>104.2734375</v>
          </cell>
        </row>
        <row r="122">
          <cell r="A122" t="str">
            <v>T4,25 11/13</v>
          </cell>
          <cell r="B122" t="str">
            <v>912828BR0</v>
          </cell>
          <cell r="C122" t="str">
            <v>US912828BR04</v>
          </cell>
          <cell r="D122">
            <v>37942</v>
          </cell>
          <cell r="E122">
            <v>37940</v>
          </cell>
          <cell r="F122">
            <v>38122</v>
          </cell>
          <cell r="G122">
            <v>41409</v>
          </cell>
          <cell r="H122">
            <v>41593</v>
          </cell>
          <cell r="I122">
            <v>4.2500000000000003E-2</v>
          </cell>
          <cell r="J122">
            <v>0</v>
          </cell>
          <cell r="K122">
            <v>108.1875</v>
          </cell>
          <cell r="L122">
            <v>108.2265625</v>
          </cell>
          <cell r="M122">
            <v>1.0580000000000001E-2</v>
          </cell>
          <cell r="N122">
            <v>1.044E-2</v>
          </cell>
          <cell r="O122">
            <v>0</v>
          </cell>
          <cell r="P122">
            <v>108.1875</v>
          </cell>
          <cell r="Q122">
            <v>108.2265625</v>
          </cell>
        </row>
        <row r="123">
          <cell r="A123" t="str">
            <v>T0,5 11/13</v>
          </cell>
          <cell r="B123" t="str">
            <v>912828PU8</v>
          </cell>
          <cell r="C123" t="str">
            <v>US912828PU86</v>
          </cell>
          <cell r="D123">
            <v>40497</v>
          </cell>
          <cell r="E123">
            <v>40497</v>
          </cell>
          <cell r="F123">
            <v>40678</v>
          </cell>
          <cell r="G123">
            <v>41409</v>
          </cell>
          <cell r="H123">
            <v>41593</v>
          </cell>
          <cell r="I123">
            <v>5.0000000000000001E-3</v>
          </cell>
          <cell r="J123">
            <v>0</v>
          </cell>
          <cell r="K123">
            <v>98.421875</v>
          </cell>
          <cell r="L123">
            <v>98.4375</v>
          </cell>
          <cell r="M123">
            <v>1.1160000000000002E-2</v>
          </cell>
          <cell r="N123">
            <v>1.11E-2</v>
          </cell>
          <cell r="O123">
            <v>0</v>
          </cell>
          <cell r="P123">
            <v>98.421875</v>
          </cell>
          <cell r="Q123">
            <v>98.4375</v>
          </cell>
        </row>
        <row r="124">
          <cell r="A124" t="str">
            <v>T2 11/13</v>
          </cell>
          <cell r="B124" t="str">
            <v>912828JT8</v>
          </cell>
          <cell r="C124" t="str">
            <v>US912828JT87</v>
          </cell>
          <cell r="D124">
            <v>39783</v>
          </cell>
          <cell r="E124">
            <v>39782</v>
          </cell>
          <cell r="F124">
            <v>39964</v>
          </cell>
          <cell r="G124">
            <v>41425</v>
          </cell>
          <cell r="H124">
            <v>41608</v>
          </cell>
          <cell r="I124">
            <v>0.02</v>
          </cell>
          <cell r="J124">
            <v>0</v>
          </cell>
          <cell r="K124">
            <v>102.25</v>
          </cell>
          <cell r="L124">
            <v>102.28125</v>
          </cell>
          <cell r="M124">
            <v>1.1360000000000002E-2</v>
          </cell>
          <cell r="N124">
            <v>1.1240000000000002E-2</v>
          </cell>
          <cell r="O124">
            <v>0</v>
          </cell>
          <cell r="P124">
            <v>102.25</v>
          </cell>
          <cell r="Q124">
            <v>102.28125</v>
          </cell>
        </row>
        <row r="125">
          <cell r="A125" t="str">
            <v>T0,75 12/13</v>
          </cell>
          <cell r="B125" t="str">
            <v>912828PL8</v>
          </cell>
          <cell r="C125" t="str">
            <v>US912828PL87</v>
          </cell>
          <cell r="D125">
            <v>40527</v>
          </cell>
          <cell r="E125">
            <v>40527</v>
          </cell>
          <cell r="F125">
            <v>40709</v>
          </cell>
          <cell r="G125">
            <v>41440</v>
          </cell>
          <cell r="H125">
            <v>41623</v>
          </cell>
          <cell r="I125">
            <v>7.4999999999999997E-3</v>
          </cell>
          <cell r="J125">
            <v>0</v>
          </cell>
          <cell r="K125">
            <v>98.90625</v>
          </cell>
          <cell r="L125">
            <v>98.9140625</v>
          </cell>
          <cell r="M125">
            <v>1.1640000000000001E-2</v>
          </cell>
          <cell r="N125">
            <v>1.1610000000000001E-2</v>
          </cell>
          <cell r="O125">
            <v>0</v>
          </cell>
          <cell r="P125">
            <v>98.90625</v>
          </cell>
          <cell r="Q125">
            <v>98.9140625</v>
          </cell>
        </row>
        <row r="126">
          <cell r="A126" t="str">
            <v>T1,5 12/13</v>
          </cell>
          <cell r="B126" t="str">
            <v>912828JW1</v>
          </cell>
          <cell r="C126" t="str">
            <v>US912828JW17</v>
          </cell>
          <cell r="D126">
            <v>39813</v>
          </cell>
          <cell r="E126">
            <v>39813</v>
          </cell>
          <cell r="F126">
            <v>39994</v>
          </cell>
          <cell r="G126">
            <v>41455</v>
          </cell>
          <cell r="H126">
            <v>41639</v>
          </cell>
          <cell r="I126">
            <v>1.4999999999999999E-2</v>
          </cell>
          <cell r="J126">
            <v>0</v>
          </cell>
          <cell r="K126">
            <v>100.8828125</v>
          </cell>
          <cell r="L126">
            <v>100.9140625</v>
          </cell>
          <cell r="M126">
            <v>1.171E-2</v>
          </cell>
          <cell r="N126">
            <v>1.159E-2</v>
          </cell>
          <cell r="O126">
            <v>0</v>
          </cell>
          <cell r="P126">
            <v>100.8828125</v>
          </cell>
          <cell r="Q126">
            <v>100.9140625</v>
          </cell>
        </row>
        <row r="127">
          <cell r="A127" t="str">
            <v>T1 01/14</v>
          </cell>
          <cell r="B127" t="str">
            <v>912828PQ7</v>
          </cell>
          <cell r="C127" t="str">
            <v>US912828PQ74</v>
          </cell>
          <cell r="D127">
            <v>40561</v>
          </cell>
          <cell r="E127">
            <v>40558</v>
          </cell>
          <cell r="F127">
            <v>40739</v>
          </cell>
          <cell r="G127">
            <v>41470</v>
          </cell>
          <cell r="H127">
            <v>41654</v>
          </cell>
          <cell r="I127">
            <v>0.01</v>
          </cell>
          <cell r="J127">
            <v>0</v>
          </cell>
          <cell r="K127">
            <v>99.4296875</v>
          </cell>
          <cell r="L127">
            <v>99.4453125</v>
          </cell>
          <cell r="M127">
            <v>1.2089999999999998E-2</v>
          </cell>
          <cell r="N127">
            <v>1.204E-2</v>
          </cell>
          <cell r="O127">
            <v>0</v>
          </cell>
          <cell r="P127">
            <v>99.4296875</v>
          </cell>
          <cell r="Q127">
            <v>99.4453125</v>
          </cell>
        </row>
        <row r="128">
          <cell r="A128" t="str">
            <v>T1,75 01/14</v>
          </cell>
          <cell r="B128" t="str">
            <v>912828JZ4</v>
          </cell>
          <cell r="C128" t="str">
            <v>US912828JZ48</v>
          </cell>
          <cell r="D128">
            <v>39846</v>
          </cell>
          <cell r="E128">
            <v>39844</v>
          </cell>
          <cell r="F128">
            <v>40025</v>
          </cell>
          <cell r="G128">
            <v>41486</v>
          </cell>
          <cell r="H128">
            <v>41670</v>
          </cell>
          <cell r="I128">
            <v>1.7500000000000002E-2</v>
          </cell>
          <cell r="J128">
            <v>0</v>
          </cell>
          <cell r="K128">
            <v>101.4921875</v>
          </cell>
          <cell r="L128">
            <v>101.5234375</v>
          </cell>
          <cell r="M128">
            <v>1.21E-2</v>
          </cell>
          <cell r="N128">
            <v>1.1990000000000001E-2</v>
          </cell>
          <cell r="O128">
            <v>0</v>
          </cell>
          <cell r="P128">
            <v>101.4921875</v>
          </cell>
          <cell r="Q128">
            <v>101.5234375</v>
          </cell>
        </row>
        <row r="129">
          <cell r="A129" t="str">
            <v>T1,25 02/14</v>
          </cell>
          <cell r="B129" t="str">
            <v>912828QH6</v>
          </cell>
          <cell r="C129" t="str">
            <v>US912828QH66</v>
          </cell>
          <cell r="D129">
            <v>40589</v>
          </cell>
          <cell r="E129">
            <v>40589</v>
          </cell>
          <cell r="F129">
            <v>40770</v>
          </cell>
          <cell r="G129">
            <v>41501</v>
          </cell>
          <cell r="H129">
            <v>41685</v>
          </cell>
          <cell r="I129">
            <v>1.2500000000000001E-2</v>
          </cell>
          <cell r="J129">
            <v>0</v>
          </cell>
          <cell r="K129">
            <v>99.9921875</v>
          </cell>
          <cell r="L129">
            <v>100.0078125</v>
          </cell>
          <cell r="M129">
            <v>1.2529999999999999E-2</v>
          </cell>
          <cell r="N129">
            <v>1.2469999999999998E-2</v>
          </cell>
          <cell r="O129">
            <v>0</v>
          </cell>
          <cell r="P129">
            <v>99.9921875</v>
          </cell>
          <cell r="Q129">
            <v>100.0078125</v>
          </cell>
        </row>
        <row r="130">
          <cell r="A130" t="str">
            <v>T4 02/14</v>
          </cell>
          <cell r="B130" t="str">
            <v>912828CA6</v>
          </cell>
          <cell r="C130" t="str">
            <v>US912828CA69</v>
          </cell>
          <cell r="D130">
            <v>38034</v>
          </cell>
          <cell r="E130">
            <v>38032</v>
          </cell>
          <cell r="F130">
            <v>38214</v>
          </cell>
          <cell r="G130">
            <v>41501</v>
          </cell>
          <cell r="H130">
            <v>41685</v>
          </cell>
          <cell r="I130">
            <v>0.04</v>
          </cell>
          <cell r="J130">
            <v>0</v>
          </cell>
          <cell r="K130">
            <v>107.9140625</v>
          </cell>
          <cell r="L130">
            <v>107.953125</v>
          </cell>
          <cell r="M130">
            <v>1.179E-2</v>
          </cell>
          <cell r="N130">
            <v>1.1660000000000002E-2</v>
          </cell>
          <cell r="O130">
            <v>0</v>
          </cell>
          <cell r="P130">
            <v>107.9140625</v>
          </cell>
          <cell r="Q130">
            <v>107.953125</v>
          </cell>
        </row>
        <row r="131">
          <cell r="A131" t="str">
            <v>T1,875 02/14</v>
          </cell>
          <cell r="B131" t="str">
            <v>912828KF6</v>
          </cell>
          <cell r="C131" t="str">
            <v>US912828KF64</v>
          </cell>
          <cell r="D131">
            <v>39874</v>
          </cell>
          <cell r="E131">
            <v>39872</v>
          </cell>
          <cell r="F131">
            <v>40056</v>
          </cell>
          <cell r="G131">
            <v>41517</v>
          </cell>
          <cell r="H131">
            <v>41698</v>
          </cell>
          <cell r="I131">
            <v>1.8749999999999999E-2</v>
          </cell>
          <cell r="J131">
            <v>0</v>
          </cell>
          <cell r="K131">
            <v>101.7734375</v>
          </cell>
          <cell r="L131">
            <v>101.796875</v>
          </cell>
          <cell r="M131">
            <v>1.2500000000000001E-2</v>
          </cell>
          <cell r="N131">
            <v>1.242E-2</v>
          </cell>
          <cell r="O131">
            <v>0</v>
          </cell>
          <cell r="P131">
            <v>101.7734375</v>
          </cell>
          <cell r="Q131">
            <v>101.796875</v>
          </cell>
        </row>
        <row r="132">
          <cell r="A132" t="str">
            <v>T1,25 03/14</v>
          </cell>
          <cell r="B132" t="str">
            <v>912828PZ7</v>
          </cell>
          <cell r="C132" t="str">
            <v>US912828PZ73</v>
          </cell>
          <cell r="D132">
            <v>40617</v>
          </cell>
          <cell r="E132">
            <v>40617</v>
          </cell>
          <cell r="F132">
            <v>40801</v>
          </cell>
          <cell r="G132">
            <v>41532</v>
          </cell>
          <cell r="H132">
            <v>41713</v>
          </cell>
          <cell r="I132">
            <v>1.2500000000000001E-2</v>
          </cell>
          <cell r="J132">
            <v>0</v>
          </cell>
          <cell r="K132">
            <v>99.921875</v>
          </cell>
          <cell r="L132">
            <v>99.9296875</v>
          </cell>
          <cell r="M132">
            <v>1.2769999999999998E-2</v>
          </cell>
          <cell r="N132">
            <v>1.274E-2</v>
          </cell>
          <cell r="O132">
            <v>0</v>
          </cell>
          <cell r="P132">
            <v>99.921875</v>
          </cell>
          <cell r="Q132">
            <v>99.9296875</v>
          </cell>
        </row>
        <row r="133">
          <cell r="A133" t="str">
            <v>T1,75 03/14</v>
          </cell>
          <cell r="B133" t="str">
            <v>912828KJ8</v>
          </cell>
          <cell r="C133" t="str">
            <v>US912828KJ86</v>
          </cell>
          <cell r="D133">
            <v>39903</v>
          </cell>
          <cell r="E133">
            <v>39903</v>
          </cell>
          <cell r="F133">
            <v>40086</v>
          </cell>
          <cell r="G133">
            <v>41547</v>
          </cell>
          <cell r="H133">
            <v>41729</v>
          </cell>
          <cell r="I133">
            <v>1.7500000000000002E-2</v>
          </cell>
          <cell r="J133">
            <v>0</v>
          </cell>
          <cell r="K133">
            <v>101.34375</v>
          </cell>
          <cell r="L133">
            <v>101.375</v>
          </cell>
          <cell r="M133">
            <v>1.2889999999999999E-2</v>
          </cell>
          <cell r="N133">
            <v>1.2789999999999999E-2</v>
          </cell>
          <cell r="O133">
            <v>0</v>
          </cell>
          <cell r="P133">
            <v>101.34375</v>
          </cell>
          <cell r="Q133">
            <v>101.375</v>
          </cell>
        </row>
        <row r="134">
          <cell r="A134" t="str">
            <v>T1,875 04/14</v>
          </cell>
          <cell r="B134" t="str">
            <v>912828KN9</v>
          </cell>
          <cell r="C134" t="str">
            <v>US912828KN98</v>
          </cell>
          <cell r="D134">
            <v>39933</v>
          </cell>
          <cell r="E134">
            <v>39933</v>
          </cell>
          <cell r="F134">
            <v>40117</v>
          </cell>
          <cell r="G134">
            <v>41578</v>
          </cell>
          <cell r="H134">
            <v>41759</v>
          </cell>
          <cell r="I134">
            <v>1.8749999999999999E-2</v>
          </cell>
          <cell r="J134">
            <v>0</v>
          </cell>
          <cell r="K134">
            <v>101.6328125</v>
          </cell>
          <cell r="L134">
            <v>101.6640625</v>
          </cell>
          <cell r="M134">
            <v>1.3300000000000001E-2</v>
          </cell>
          <cell r="N134">
            <v>1.319E-2</v>
          </cell>
          <cell r="O134">
            <v>0</v>
          </cell>
          <cell r="P134">
            <v>101.6328125</v>
          </cell>
          <cell r="Q134">
            <v>101.6640625</v>
          </cell>
        </row>
        <row r="135">
          <cell r="A135" t="str">
            <v>T4,75 05/14</v>
          </cell>
          <cell r="B135" t="str">
            <v>912828CJ7</v>
          </cell>
          <cell r="C135" t="str">
            <v>US912828CJ78</v>
          </cell>
          <cell r="D135">
            <v>38124</v>
          </cell>
          <cell r="E135">
            <v>38122</v>
          </cell>
          <cell r="F135">
            <v>38306</v>
          </cell>
          <cell r="G135">
            <v>41593</v>
          </cell>
          <cell r="H135">
            <v>41774</v>
          </cell>
          <cell r="I135">
            <v>4.7500000000000001E-2</v>
          </cell>
          <cell r="J135">
            <v>0</v>
          </cell>
          <cell r="K135">
            <v>110.5078125</v>
          </cell>
          <cell r="L135">
            <v>110.546875</v>
          </cell>
          <cell r="M135">
            <v>1.2889999999999999E-2</v>
          </cell>
          <cell r="N135">
            <v>1.2769999999999998E-2</v>
          </cell>
          <cell r="O135">
            <v>0</v>
          </cell>
          <cell r="P135">
            <v>110.5078125</v>
          </cell>
          <cell r="Q135">
            <v>110.546875</v>
          </cell>
        </row>
        <row r="136">
          <cell r="A136" t="str">
            <v>T2,25 05/14</v>
          </cell>
          <cell r="B136" t="str">
            <v>912828KV1</v>
          </cell>
          <cell r="C136" t="str">
            <v>US912828KV15</v>
          </cell>
          <cell r="D136">
            <v>39965</v>
          </cell>
          <cell r="E136">
            <v>39964</v>
          </cell>
          <cell r="F136">
            <v>40147</v>
          </cell>
          <cell r="G136">
            <v>41608</v>
          </cell>
          <cell r="H136">
            <v>41790</v>
          </cell>
          <cell r="I136">
            <v>2.2499999999999999E-2</v>
          </cell>
          <cell r="J136">
            <v>0</v>
          </cell>
          <cell r="K136">
            <v>102.6875</v>
          </cell>
          <cell r="L136">
            <v>102.7109375</v>
          </cell>
          <cell r="M136">
            <v>1.375E-2</v>
          </cell>
          <cell r="N136">
            <v>1.3680000000000001E-2</v>
          </cell>
          <cell r="O136">
            <v>0</v>
          </cell>
          <cell r="P136">
            <v>102.6875</v>
          </cell>
          <cell r="Q136">
            <v>102.7109375</v>
          </cell>
        </row>
        <row r="137">
          <cell r="A137" t="str">
            <v>T2,625 06/14</v>
          </cell>
          <cell r="B137" t="str">
            <v>912828KY5</v>
          </cell>
          <cell r="C137" t="str">
            <v>US912828KY53</v>
          </cell>
          <cell r="D137">
            <v>39994</v>
          </cell>
          <cell r="E137">
            <v>39994</v>
          </cell>
          <cell r="F137">
            <v>40178</v>
          </cell>
          <cell r="G137">
            <v>41639</v>
          </cell>
          <cell r="H137">
            <v>41820</v>
          </cell>
          <cell r="I137">
            <v>2.6249999999999999E-2</v>
          </cell>
          <cell r="J137">
            <v>0</v>
          </cell>
          <cell r="K137">
            <v>103.796875</v>
          </cell>
          <cell r="L137">
            <v>103.828125</v>
          </cell>
          <cell r="M137">
            <v>1.4199999999999999E-2</v>
          </cell>
          <cell r="N137">
            <v>1.41E-2</v>
          </cell>
          <cell r="O137">
            <v>0</v>
          </cell>
          <cell r="P137">
            <v>103.796875</v>
          </cell>
          <cell r="Q137">
            <v>103.828125</v>
          </cell>
        </row>
        <row r="138">
          <cell r="A138" t="str">
            <v>T2,625 07/14</v>
          </cell>
          <cell r="B138" t="str">
            <v>912828LC2</v>
          </cell>
          <cell r="C138" t="str">
            <v>US912828LC25</v>
          </cell>
          <cell r="D138">
            <v>40025</v>
          </cell>
          <cell r="E138">
            <v>40025</v>
          </cell>
          <cell r="F138">
            <v>40209</v>
          </cell>
          <cell r="G138">
            <v>41670</v>
          </cell>
          <cell r="H138">
            <v>41851</v>
          </cell>
          <cell r="I138">
            <v>2.6249999999999999E-2</v>
          </cell>
          <cell r="J138">
            <v>0</v>
          </cell>
          <cell r="K138">
            <v>103.7265625</v>
          </cell>
          <cell r="L138">
            <v>103.75</v>
          </cell>
          <cell r="M138">
            <v>1.4709999999999999E-2</v>
          </cell>
          <cell r="N138">
            <v>1.464E-2</v>
          </cell>
          <cell r="O138">
            <v>0</v>
          </cell>
          <cell r="P138">
            <v>103.7265625</v>
          </cell>
          <cell r="Q138">
            <v>103.75</v>
          </cell>
        </row>
        <row r="139">
          <cell r="A139" t="str">
            <v>T4,25 08/14</v>
          </cell>
          <cell r="B139" t="str">
            <v>912828CT5</v>
          </cell>
          <cell r="C139" t="str">
            <v>US912828CT50</v>
          </cell>
          <cell r="D139">
            <v>38215</v>
          </cell>
          <cell r="E139">
            <v>38214</v>
          </cell>
          <cell r="F139">
            <v>38398</v>
          </cell>
          <cell r="G139">
            <v>41685</v>
          </cell>
          <cell r="H139">
            <v>41866</v>
          </cell>
          <cell r="I139">
            <v>4.2500000000000003E-2</v>
          </cell>
          <cell r="J139">
            <v>0</v>
          </cell>
          <cell r="K139">
            <v>109.1953125</v>
          </cell>
          <cell r="L139">
            <v>109.234375</v>
          </cell>
          <cell r="M139">
            <v>1.4379999999999999E-2</v>
          </cell>
          <cell r="N139">
            <v>1.4269999999999998E-2</v>
          </cell>
          <cell r="O139">
            <v>0</v>
          </cell>
          <cell r="P139">
            <v>109.1953125</v>
          </cell>
          <cell r="Q139">
            <v>109.234375</v>
          </cell>
        </row>
        <row r="140">
          <cell r="A140" t="str">
            <v>T2,375 08/14</v>
          </cell>
          <cell r="B140" t="str">
            <v>912828LK4</v>
          </cell>
          <cell r="C140" t="str">
            <v>US912828LK41</v>
          </cell>
          <cell r="D140">
            <v>40056</v>
          </cell>
          <cell r="E140">
            <v>40056</v>
          </cell>
          <cell r="F140">
            <v>40237</v>
          </cell>
          <cell r="G140">
            <v>41698</v>
          </cell>
          <cell r="H140">
            <v>41882</v>
          </cell>
          <cell r="I140">
            <v>2.375E-2</v>
          </cell>
          <cell r="J140">
            <v>0</v>
          </cell>
          <cell r="K140">
            <v>102.8125</v>
          </cell>
          <cell r="L140">
            <v>102.8359375</v>
          </cell>
          <cell r="M140">
            <v>1.5229999999999999E-2</v>
          </cell>
          <cell r="N140">
            <v>1.516E-2</v>
          </cell>
          <cell r="O140">
            <v>0</v>
          </cell>
          <cell r="P140">
            <v>102.8125</v>
          </cell>
          <cell r="Q140">
            <v>102.8359375</v>
          </cell>
        </row>
        <row r="141">
          <cell r="A141" t="str">
            <v>T2,375 09/14</v>
          </cell>
          <cell r="B141" t="str">
            <v>912828LQ1</v>
          </cell>
          <cell r="C141" t="str">
            <v>US912828LQ11</v>
          </cell>
          <cell r="D141">
            <v>40086</v>
          </cell>
          <cell r="E141">
            <v>40086</v>
          </cell>
          <cell r="F141">
            <v>40268</v>
          </cell>
          <cell r="G141">
            <v>41729</v>
          </cell>
          <cell r="H141">
            <v>41912</v>
          </cell>
          <cell r="I141">
            <v>2.375E-2</v>
          </cell>
          <cell r="J141">
            <v>0</v>
          </cell>
          <cell r="K141">
            <v>102.75</v>
          </cell>
          <cell r="L141">
            <v>102.7734375</v>
          </cell>
          <cell r="M141">
            <v>1.5609999999999999E-2</v>
          </cell>
          <cell r="N141">
            <v>1.554E-2</v>
          </cell>
          <cell r="O141">
            <v>0</v>
          </cell>
          <cell r="P141">
            <v>102.75</v>
          </cell>
          <cell r="Q141">
            <v>102.7734375</v>
          </cell>
        </row>
        <row r="142">
          <cell r="A142" t="str">
            <v>T2,375 10/14</v>
          </cell>
          <cell r="B142" t="str">
            <v>912828LS7</v>
          </cell>
          <cell r="C142" t="str">
            <v>US912828LS76</v>
          </cell>
          <cell r="D142">
            <v>40119</v>
          </cell>
          <cell r="E142">
            <v>40117</v>
          </cell>
          <cell r="F142">
            <v>40298</v>
          </cell>
          <cell r="G142">
            <v>41759</v>
          </cell>
          <cell r="H142">
            <v>41943</v>
          </cell>
          <cell r="I142">
            <v>2.375E-2</v>
          </cell>
          <cell r="J142">
            <v>0</v>
          </cell>
          <cell r="K142">
            <v>102.6640625</v>
          </cell>
          <cell r="L142">
            <v>102.6875</v>
          </cell>
          <cell r="M142">
            <v>1.6029999999999999E-2</v>
          </cell>
          <cell r="N142">
            <v>1.5969999999999998E-2</v>
          </cell>
          <cell r="O142">
            <v>0</v>
          </cell>
          <cell r="P142">
            <v>102.6640625</v>
          </cell>
          <cell r="Q142">
            <v>102.6875</v>
          </cell>
        </row>
        <row r="143">
          <cell r="A143" t="str">
            <v>T4,25 11/14</v>
          </cell>
          <cell r="B143" t="str">
            <v>912828DC1</v>
          </cell>
          <cell r="C143" t="str">
            <v>US912828DC17</v>
          </cell>
          <cell r="D143">
            <v>38306</v>
          </cell>
          <cell r="E143">
            <v>38306</v>
          </cell>
          <cell r="F143">
            <v>38487</v>
          </cell>
          <cell r="G143">
            <v>41774</v>
          </cell>
          <cell r="H143">
            <v>41958</v>
          </cell>
          <cell r="I143">
            <v>4.2500000000000003E-2</v>
          </cell>
          <cell r="J143">
            <v>0</v>
          </cell>
          <cell r="K143">
            <v>109.4140625</v>
          </cell>
          <cell r="L143">
            <v>109.4609375</v>
          </cell>
          <cell r="M143">
            <v>1.5560000000000001E-2</v>
          </cell>
          <cell r="N143">
            <v>1.5429999999999999E-2</v>
          </cell>
          <cell r="O143">
            <v>0</v>
          </cell>
          <cell r="P143">
            <v>109.4140625</v>
          </cell>
          <cell r="Q143">
            <v>109.4609375</v>
          </cell>
        </row>
        <row r="144">
          <cell r="A144" t="str">
            <v>T2,125 11/14</v>
          </cell>
          <cell r="B144" t="str">
            <v>912828LZ1</v>
          </cell>
          <cell r="C144" t="str">
            <v>US912828LZ10</v>
          </cell>
          <cell r="D144">
            <v>40147</v>
          </cell>
          <cell r="E144">
            <v>40147</v>
          </cell>
          <cell r="F144">
            <v>40329</v>
          </cell>
          <cell r="G144">
            <v>41790</v>
          </cell>
          <cell r="H144">
            <v>41973</v>
          </cell>
          <cell r="I144">
            <v>2.1250000000000002E-2</v>
          </cell>
          <cell r="J144">
            <v>0</v>
          </cell>
          <cell r="K144">
            <v>101.6953125</v>
          </cell>
          <cell r="L144">
            <v>101.71875</v>
          </cell>
          <cell r="M144">
            <v>1.644E-2</v>
          </cell>
          <cell r="N144">
            <v>1.6380000000000002E-2</v>
          </cell>
          <cell r="O144">
            <v>0</v>
          </cell>
          <cell r="P144">
            <v>101.6953125</v>
          </cell>
          <cell r="Q144">
            <v>101.71875</v>
          </cell>
        </row>
        <row r="145">
          <cell r="A145" t="str">
            <v>T2,625 12/14</v>
          </cell>
          <cell r="B145" t="str">
            <v>912828ME7</v>
          </cell>
          <cell r="C145" t="str">
            <v>US912828ME71</v>
          </cell>
          <cell r="D145">
            <v>40178</v>
          </cell>
          <cell r="E145">
            <v>40178</v>
          </cell>
          <cell r="F145">
            <v>40359</v>
          </cell>
          <cell r="G145">
            <v>41820</v>
          </cell>
          <cell r="H145">
            <v>42004</v>
          </cell>
          <cell r="I145">
            <v>2.6249999999999999E-2</v>
          </cell>
          <cell r="J145">
            <v>0</v>
          </cell>
          <cell r="K145">
            <v>103.40625</v>
          </cell>
          <cell r="L145">
            <v>103.4296875</v>
          </cell>
          <cell r="M145">
            <v>1.6800000000000002E-2</v>
          </cell>
          <cell r="N145">
            <v>1.6730000000000002E-2</v>
          </cell>
          <cell r="O145">
            <v>0</v>
          </cell>
          <cell r="P145">
            <v>103.40625</v>
          </cell>
          <cell r="Q145">
            <v>103.4296875</v>
          </cell>
        </row>
        <row r="146">
          <cell r="A146" t="str">
            <v>T2,25 01/15</v>
          </cell>
          <cell r="B146" t="str">
            <v>912828MH0</v>
          </cell>
          <cell r="C146" t="str">
            <v>US912828MH03</v>
          </cell>
          <cell r="D146">
            <v>40210</v>
          </cell>
          <cell r="E146">
            <v>40209</v>
          </cell>
          <cell r="F146">
            <v>40390</v>
          </cell>
          <cell r="G146">
            <v>41851</v>
          </cell>
          <cell r="H146">
            <v>42035</v>
          </cell>
          <cell r="I146">
            <v>2.2499999999999999E-2</v>
          </cell>
          <cell r="J146">
            <v>0</v>
          </cell>
          <cell r="K146">
            <v>101.9453125</v>
          </cell>
          <cell r="L146">
            <v>101.96875</v>
          </cell>
          <cell r="M146">
            <v>1.721E-2</v>
          </cell>
          <cell r="N146">
            <v>1.7149999999999999E-2</v>
          </cell>
          <cell r="O146">
            <v>0</v>
          </cell>
          <cell r="P146">
            <v>101.9453125</v>
          </cell>
          <cell r="Q146">
            <v>101.96875</v>
          </cell>
        </row>
        <row r="147">
          <cell r="A147" t="str">
            <v>T4 02/15</v>
          </cell>
          <cell r="B147" t="str">
            <v>912828DM9</v>
          </cell>
          <cell r="C147" t="str">
            <v>US912828DM98</v>
          </cell>
          <cell r="D147">
            <v>38398</v>
          </cell>
          <cell r="E147">
            <v>38398</v>
          </cell>
          <cell r="F147">
            <v>38579</v>
          </cell>
          <cell r="G147">
            <v>41866</v>
          </cell>
          <cell r="H147">
            <v>42050</v>
          </cell>
          <cell r="I147">
            <v>0.04</v>
          </cell>
          <cell r="J147">
            <v>0</v>
          </cell>
          <cell r="K147">
            <v>108.5</v>
          </cell>
          <cell r="L147">
            <v>108.5390625</v>
          </cell>
          <cell r="M147">
            <v>1.7149999999999999E-2</v>
          </cell>
          <cell r="N147">
            <v>1.7049999999999999E-2</v>
          </cell>
          <cell r="O147">
            <v>0</v>
          </cell>
          <cell r="P147">
            <v>108.5</v>
          </cell>
          <cell r="Q147">
            <v>108.5390625</v>
          </cell>
        </row>
        <row r="148">
          <cell r="A148" t="str">
            <v>T11,25 02/15</v>
          </cell>
          <cell r="B148" t="str">
            <v>912810DP0</v>
          </cell>
          <cell r="C148" t="str">
            <v>US912810DP04</v>
          </cell>
          <cell r="D148">
            <v>31093</v>
          </cell>
          <cell r="E148">
            <v>31093</v>
          </cell>
          <cell r="F148">
            <v>31274</v>
          </cell>
          <cell r="G148">
            <v>41866</v>
          </cell>
          <cell r="H148">
            <v>42050</v>
          </cell>
          <cell r="I148">
            <v>0.1125</v>
          </cell>
          <cell r="J148">
            <v>0</v>
          </cell>
          <cell r="K148">
            <v>135.71875</v>
          </cell>
          <cell r="L148">
            <v>135.8046875</v>
          </cell>
          <cell r="M148">
            <v>1.661E-2</v>
          </cell>
          <cell r="N148">
            <v>1.6420000000000001E-2</v>
          </cell>
          <cell r="O148">
            <v>0</v>
          </cell>
          <cell r="P148">
            <v>135.71875</v>
          </cell>
          <cell r="Q148">
            <v>135.8046875</v>
          </cell>
        </row>
        <row r="149">
          <cell r="A149" t="str">
            <v>T2,375 02/15</v>
          </cell>
          <cell r="B149" t="str">
            <v>912828MR8</v>
          </cell>
          <cell r="C149" t="str">
            <v>US912828MR84</v>
          </cell>
          <cell r="D149">
            <v>40238</v>
          </cell>
          <cell r="E149">
            <v>40237</v>
          </cell>
          <cell r="F149">
            <v>40421</v>
          </cell>
          <cell r="G149">
            <v>41882</v>
          </cell>
          <cell r="H149">
            <v>42063</v>
          </cell>
          <cell r="I149">
            <v>2.375E-2</v>
          </cell>
          <cell r="J149">
            <v>0</v>
          </cell>
          <cell r="K149">
            <v>102.3125</v>
          </cell>
          <cell r="L149">
            <v>102.3359375</v>
          </cell>
          <cell r="M149">
            <v>1.7589999999999998E-2</v>
          </cell>
          <cell r="N149">
            <v>1.7520000000000001E-2</v>
          </cell>
          <cell r="O149">
            <v>0</v>
          </cell>
          <cell r="P149">
            <v>102.3125</v>
          </cell>
          <cell r="Q149">
            <v>102.3359375</v>
          </cell>
        </row>
        <row r="150">
          <cell r="A150" t="str">
            <v>T2,5 03/15</v>
          </cell>
          <cell r="B150" t="str">
            <v>912828MW7</v>
          </cell>
          <cell r="C150" t="str">
            <v>US912828MW79</v>
          </cell>
          <cell r="D150">
            <v>40268</v>
          </cell>
          <cell r="E150">
            <v>40268</v>
          </cell>
          <cell r="F150">
            <v>40451</v>
          </cell>
          <cell r="G150">
            <v>41912</v>
          </cell>
          <cell r="H150">
            <v>42094</v>
          </cell>
          <cell r="I150">
            <v>2.5000000000000001E-2</v>
          </cell>
          <cell r="J150">
            <v>0</v>
          </cell>
          <cell r="K150">
            <v>102.7265625</v>
          </cell>
          <cell r="L150">
            <v>102.75</v>
          </cell>
          <cell r="M150">
            <v>1.788E-2</v>
          </cell>
          <cell r="N150">
            <v>1.7819999999999999E-2</v>
          </cell>
          <cell r="O150">
            <v>0</v>
          </cell>
          <cell r="P150">
            <v>102.7265625</v>
          </cell>
          <cell r="Q150">
            <v>102.75</v>
          </cell>
        </row>
        <row r="151">
          <cell r="A151" t="str">
            <v>T2,5 04/15</v>
          </cell>
          <cell r="B151" t="str">
            <v>912828MZ0</v>
          </cell>
          <cell r="C151" t="str">
            <v>US912828MZ01</v>
          </cell>
          <cell r="D151">
            <v>40298</v>
          </cell>
          <cell r="E151">
            <v>40298</v>
          </cell>
          <cell r="F151">
            <v>40482</v>
          </cell>
          <cell r="G151">
            <v>41943</v>
          </cell>
          <cell r="H151">
            <v>42124</v>
          </cell>
          <cell r="I151">
            <v>2.5000000000000001E-2</v>
          </cell>
          <cell r="J151">
            <v>0</v>
          </cell>
          <cell r="K151">
            <v>102.6171875</v>
          </cell>
          <cell r="L151">
            <v>102.6328125</v>
          </cell>
          <cell r="M151">
            <v>1.8290000000000001E-2</v>
          </cell>
          <cell r="N151">
            <v>1.8249999999999999E-2</v>
          </cell>
          <cell r="O151">
            <v>0</v>
          </cell>
          <cell r="P151">
            <v>102.6171875</v>
          </cell>
          <cell r="Q151">
            <v>102.6328125</v>
          </cell>
        </row>
        <row r="152">
          <cell r="A152" t="str">
            <v>T4,125 05/15</v>
          </cell>
          <cell r="B152" t="str">
            <v>912828DV9</v>
          </cell>
          <cell r="C152" t="str">
            <v>US912828DV97</v>
          </cell>
          <cell r="D152">
            <v>38488</v>
          </cell>
          <cell r="E152">
            <v>38487</v>
          </cell>
          <cell r="F152">
            <v>38671</v>
          </cell>
          <cell r="G152">
            <v>41958</v>
          </cell>
          <cell r="H152">
            <v>42139</v>
          </cell>
          <cell r="I152">
            <v>4.1250000000000002E-2</v>
          </cell>
          <cell r="J152">
            <v>0</v>
          </cell>
          <cell r="K152">
            <v>109.0390625</v>
          </cell>
          <cell r="L152">
            <v>109.0703125</v>
          </cell>
          <cell r="M152">
            <v>1.83E-2</v>
          </cell>
          <cell r="N152">
            <v>1.823E-2</v>
          </cell>
          <cell r="O152">
            <v>0</v>
          </cell>
          <cell r="P152">
            <v>109.0390625</v>
          </cell>
          <cell r="Q152">
            <v>109.0703125</v>
          </cell>
        </row>
        <row r="153">
          <cell r="A153" t="str">
            <v>T2,125 05/15</v>
          </cell>
          <cell r="B153" t="str">
            <v>912828NF3</v>
          </cell>
          <cell r="C153" t="str">
            <v>US912828NF38</v>
          </cell>
          <cell r="D153">
            <v>40330</v>
          </cell>
          <cell r="E153">
            <v>40329</v>
          </cell>
          <cell r="F153">
            <v>40512</v>
          </cell>
          <cell r="G153">
            <v>41973</v>
          </cell>
          <cell r="H153">
            <v>42155</v>
          </cell>
          <cell r="I153">
            <v>2.1250000000000002E-2</v>
          </cell>
          <cell r="J153">
            <v>0</v>
          </cell>
          <cell r="K153">
            <v>100.9765625</v>
          </cell>
          <cell r="L153">
            <v>101</v>
          </cell>
          <cell r="M153">
            <v>1.8790000000000001E-2</v>
          </cell>
          <cell r="N153">
            <v>1.873E-2</v>
          </cell>
          <cell r="O153">
            <v>0</v>
          </cell>
          <cell r="P153">
            <v>100.9765625</v>
          </cell>
          <cell r="Q153">
            <v>101</v>
          </cell>
        </row>
        <row r="154">
          <cell r="A154" t="str">
            <v>T1,875 06/15</v>
          </cell>
          <cell r="B154" t="str">
            <v>912828NL0</v>
          </cell>
          <cell r="C154" t="str">
            <v>US912828NL06</v>
          </cell>
          <cell r="D154">
            <v>40359</v>
          </cell>
          <cell r="E154">
            <v>40359</v>
          </cell>
          <cell r="F154">
            <v>40543</v>
          </cell>
          <cell r="G154">
            <v>42004</v>
          </cell>
          <cell r="H154">
            <v>42185</v>
          </cell>
          <cell r="I154">
            <v>1.8749999999999999E-2</v>
          </cell>
          <cell r="J154">
            <v>0</v>
          </cell>
          <cell r="K154">
            <v>99.8125</v>
          </cell>
          <cell r="L154">
            <v>99.84375</v>
          </cell>
          <cell r="M154">
            <v>1.9209999999999998E-2</v>
          </cell>
          <cell r="N154">
            <v>1.9129999999999998E-2</v>
          </cell>
          <cell r="O154">
            <v>0</v>
          </cell>
          <cell r="P154">
            <v>99.8125</v>
          </cell>
          <cell r="Q154">
            <v>99.84375</v>
          </cell>
        </row>
        <row r="155">
          <cell r="A155" t="str">
            <v>T1,75 07/15</v>
          </cell>
          <cell r="B155" t="str">
            <v>912828NP1</v>
          </cell>
          <cell r="C155" t="str">
            <v>US912828NP10</v>
          </cell>
          <cell r="D155">
            <v>40392</v>
          </cell>
          <cell r="E155">
            <v>40390</v>
          </cell>
          <cell r="F155">
            <v>40574</v>
          </cell>
          <cell r="G155">
            <v>42035</v>
          </cell>
          <cell r="H155">
            <v>42216</v>
          </cell>
          <cell r="I155">
            <v>1.7500000000000002E-2</v>
          </cell>
          <cell r="J155">
            <v>0</v>
          </cell>
          <cell r="K155">
            <v>99.1484375</v>
          </cell>
          <cell r="L155">
            <v>99.1640625</v>
          </cell>
          <cell r="M155">
            <v>1.9560000000000001E-2</v>
          </cell>
          <cell r="N155">
            <v>1.9519999999999999E-2</v>
          </cell>
          <cell r="O155">
            <v>0</v>
          </cell>
          <cell r="P155">
            <v>99.1484375</v>
          </cell>
          <cell r="Q155">
            <v>99.1640625</v>
          </cell>
        </row>
        <row r="156">
          <cell r="A156" t="str">
            <v>T4,25 08/15</v>
          </cell>
          <cell r="B156" t="str">
            <v>912828EE6</v>
          </cell>
          <cell r="C156" t="str">
            <v>US912828EE63</v>
          </cell>
          <cell r="D156">
            <v>38579</v>
          </cell>
          <cell r="E156">
            <v>38579</v>
          </cell>
          <cell r="F156">
            <v>38763</v>
          </cell>
          <cell r="G156">
            <v>42050</v>
          </cell>
          <cell r="H156">
            <v>42231</v>
          </cell>
          <cell r="I156">
            <v>4.2500000000000003E-2</v>
          </cell>
          <cell r="J156">
            <v>0</v>
          </cell>
          <cell r="K156">
            <v>109.609375</v>
          </cell>
          <cell r="L156">
            <v>109.6484375</v>
          </cell>
          <cell r="M156">
            <v>1.9409999999999997E-2</v>
          </cell>
          <cell r="N156">
            <v>1.932E-2</v>
          </cell>
          <cell r="O156">
            <v>0</v>
          </cell>
          <cell r="P156">
            <v>109.609375</v>
          </cell>
          <cell r="Q156">
            <v>109.6484375</v>
          </cell>
        </row>
        <row r="157">
          <cell r="A157" t="str">
            <v>T10,625 08/15</v>
          </cell>
          <cell r="B157" t="str">
            <v>912810DS4</v>
          </cell>
          <cell r="C157" t="str">
            <v>US912810DS43</v>
          </cell>
          <cell r="D157">
            <v>31274</v>
          </cell>
          <cell r="E157">
            <v>31274</v>
          </cell>
          <cell r="F157">
            <v>31458</v>
          </cell>
          <cell r="G157">
            <v>42050</v>
          </cell>
          <cell r="H157">
            <v>42231</v>
          </cell>
          <cell r="I157">
            <v>0.10625</v>
          </cell>
          <cell r="J157">
            <v>0</v>
          </cell>
          <cell r="K157">
            <v>136.5390625</v>
          </cell>
          <cell r="L157">
            <v>136.6328125</v>
          </cell>
          <cell r="M157">
            <v>1.8630000000000001E-2</v>
          </cell>
          <cell r="N157">
            <v>1.8440000000000002E-2</v>
          </cell>
          <cell r="O157">
            <v>0</v>
          </cell>
          <cell r="P157">
            <v>136.5390625</v>
          </cell>
          <cell r="Q157">
            <v>136.6328125</v>
          </cell>
        </row>
        <row r="158">
          <cell r="A158" t="str">
            <v>T1,25 08/15</v>
          </cell>
          <cell r="B158" t="str">
            <v>912828NV8</v>
          </cell>
          <cell r="C158" t="str">
            <v>US912828NV87</v>
          </cell>
          <cell r="D158">
            <v>40421</v>
          </cell>
          <cell r="E158">
            <v>40421</v>
          </cell>
          <cell r="F158">
            <v>40602</v>
          </cell>
          <cell r="G158">
            <v>42063</v>
          </cell>
          <cell r="H158">
            <v>42247</v>
          </cell>
          <cell r="I158">
            <v>1.2500000000000001E-2</v>
          </cell>
          <cell r="J158">
            <v>0</v>
          </cell>
          <cell r="K158">
            <v>96.8125</v>
          </cell>
          <cell r="L158">
            <v>96.828125</v>
          </cell>
          <cell r="M158">
            <v>2.0109999999999996E-2</v>
          </cell>
          <cell r="N158">
            <v>2.0070000000000001E-2</v>
          </cell>
          <cell r="O158">
            <v>0</v>
          </cell>
          <cell r="P158">
            <v>96.8125</v>
          </cell>
          <cell r="Q158">
            <v>96.828125</v>
          </cell>
        </row>
        <row r="159">
          <cell r="A159" t="str">
            <v>T1,25 09/15</v>
          </cell>
          <cell r="B159" t="str">
            <v>912828NZ9</v>
          </cell>
          <cell r="C159" t="str">
            <v>US912828NZ91</v>
          </cell>
          <cell r="D159">
            <v>40451</v>
          </cell>
          <cell r="E159">
            <v>40451</v>
          </cell>
          <cell r="F159">
            <v>40633</v>
          </cell>
          <cell r="G159">
            <v>42094</v>
          </cell>
          <cell r="H159">
            <v>42277</v>
          </cell>
          <cell r="I159">
            <v>1.2500000000000001E-2</v>
          </cell>
          <cell r="J159">
            <v>0</v>
          </cell>
          <cell r="K159">
            <v>96.6015625</v>
          </cell>
          <cell r="L159">
            <v>96.625</v>
          </cell>
          <cell r="M159">
            <v>2.0470000000000002E-2</v>
          </cell>
          <cell r="N159">
            <v>2.0419999999999997E-2</v>
          </cell>
          <cell r="O159">
            <v>0</v>
          </cell>
          <cell r="P159">
            <v>96.6015625</v>
          </cell>
          <cell r="Q159">
            <v>96.625</v>
          </cell>
        </row>
        <row r="160">
          <cell r="A160" t="str">
            <v>T1,25 10/15</v>
          </cell>
          <cell r="B160" t="str">
            <v>912828PE4</v>
          </cell>
          <cell r="C160" t="str">
            <v>US912828PE45</v>
          </cell>
          <cell r="D160">
            <v>40483</v>
          </cell>
          <cell r="E160">
            <v>40482</v>
          </cell>
          <cell r="F160">
            <v>40663</v>
          </cell>
          <cell r="G160">
            <v>42124</v>
          </cell>
          <cell r="H160">
            <v>42308</v>
          </cell>
          <cell r="I160">
            <v>1.2500000000000001E-2</v>
          </cell>
          <cell r="J160">
            <v>0</v>
          </cell>
          <cell r="K160">
            <v>96.375</v>
          </cell>
          <cell r="L160">
            <v>96.40625</v>
          </cell>
          <cell r="M160">
            <v>2.086E-2</v>
          </cell>
          <cell r="N160">
            <v>2.0789999999999996E-2</v>
          </cell>
          <cell r="O160">
            <v>0</v>
          </cell>
          <cell r="P160">
            <v>96.375</v>
          </cell>
          <cell r="Q160">
            <v>96.40625</v>
          </cell>
        </row>
        <row r="161">
          <cell r="A161" t="str">
            <v>T9,875 11/15</v>
          </cell>
          <cell r="B161" t="str">
            <v>912810DT2</v>
          </cell>
          <cell r="C161" t="str">
            <v>US912810DT26</v>
          </cell>
          <cell r="D161">
            <v>31380</v>
          </cell>
          <cell r="E161">
            <v>31366</v>
          </cell>
          <cell r="F161">
            <v>31547</v>
          </cell>
          <cell r="G161">
            <v>42139</v>
          </cell>
          <cell r="H161">
            <v>42323</v>
          </cell>
          <cell r="I161">
            <v>9.8750000000000004E-2</v>
          </cell>
          <cell r="J161">
            <v>0</v>
          </cell>
          <cell r="K161">
            <v>134.65625</v>
          </cell>
          <cell r="L161">
            <v>134.75</v>
          </cell>
          <cell r="M161">
            <v>1.9689999999999999E-2</v>
          </cell>
          <cell r="N161">
            <v>1.9519999999999999E-2</v>
          </cell>
          <cell r="O161">
            <v>0</v>
          </cell>
          <cell r="P161">
            <v>134.65625</v>
          </cell>
          <cell r="Q161">
            <v>134.75</v>
          </cell>
        </row>
        <row r="162">
          <cell r="A162" t="str">
            <v>T4,5 11/15</v>
          </cell>
          <cell r="B162" t="str">
            <v>912828EN6</v>
          </cell>
          <cell r="C162" t="str">
            <v>US912828EN62</v>
          </cell>
          <cell r="D162">
            <v>38671</v>
          </cell>
          <cell r="E162">
            <v>38671</v>
          </cell>
          <cell r="F162">
            <v>38852</v>
          </cell>
          <cell r="G162">
            <v>42139</v>
          </cell>
          <cell r="H162">
            <v>42323</v>
          </cell>
          <cell r="I162">
            <v>4.4999999999999998E-2</v>
          </cell>
          <cell r="J162">
            <v>0</v>
          </cell>
          <cell r="K162">
            <v>110.7890625</v>
          </cell>
          <cell r="L162">
            <v>110.828125</v>
          </cell>
          <cell r="M162">
            <v>2.0349999999999997E-2</v>
          </cell>
          <cell r="N162">
            <v>2.0259999999999997E-2</v>
          </cell>
          <cell r="O162">
            <v>0</v>
          </cell>
          <cell r="P162">
            <v>110.7890625</v>
          </cell>
          <cell r="Q162">
            <v>110.828125</v>
          </cell>
        </row>
        <row r="163">
          <cell r="A163" t="str">
            <v>T1,375 11/15</v>
          </cell>
          <cell r="B163" t="str">
            <v>912828PJ3</v>
          </cell>
          <cell r="C163" t="str">
            <v>US912828PJ32</v>
          </cell>
          <cell r="D163">
            <v>40512</v>
          </cell>
          <cell r="E163">
            <v>40512</v>
          </cell>
          <cell r="F163">
            <v>40694</v>
          </cell>
          <cell r="G163">
            <v>42155</v>
          </cell>
          <cell r="H163">
            <v>42338</v>
          </cell>
          <cell r="I163">
            <v>1.375E-2</v>
          </cell>
          <cell r="J163">
            <v>0</v>
          </cell>
          <cell r="K163">
            <v>96.7265625</v>
          </cell>
          <cell r="L163">
            <v>96.75</v>
          </cell>
          <cell r="M163">
            <v>2.1179999999999997E-2</v>
          </cell>
          <cell r="N163">
            <v>2.1119999999999996E-2</v>
          </cell>
          <cell r="O163">
            <v>0</v>
          </cell>
          <cell r="P163">
            <v>96.7265625</v>
          </cell>
          <cell r="Q163">
            <v>96.75</v>
          </cell>
        </row>
        <row r="164">
          <cell r="A164" t="str">
            <v>T2,125 12/15</v>
          </cell>
          <cell r="B164" t="str">
            <v>912828PM6</v>
          </cell>
          <cell r="C164" t="str">
            <v>US912828PM60</v>
          </cell>
          <cell r="D164">
            <v>40543</v>
          </cell>
          <cell r="E164">
            <v>40543</v>
          </cell>
          <cell r="F164">
            <v>40724</v>
          </cell>
          <cell r="G164">
            <v>42185</v>
          </cell>
          <cell r="H164">
            <v>42369</v>
          </cell>
          <cell r="I164">
            <v>2.1250000000000002E-2</v>
          </cell>
          <cell r="J164">
            <v>0</v>
          </cell>
          <cell r="K164">
            <v>99.90625</v>
          </cell>
          <cell r="L164">
            <v>99.9140625</v>
          </cell>
          <cell r="M164">
            <v>2.146E-2</v>
          </cell>
          <cell r="N164">
            <v>2.1440000000000001E-2</v>
          </cell>
          <cell r="O164">
            <v>0</v>
          </cell>
          <cell r="P164">
            <v>99.90625</v>
          </cell>
          <cell r="Q164">
            <v>99.9140625</v>
          </cell>
        </row>
        <row r="165">
          <cell r="A165" t="str">
            <v>T2 01/16</v>
          </cell>
          <cell r="B165" t="str">
            <v>912828PS3</v>
          </cell>
          <cell r="C165" t="str">
            <v>US912828PS31</v>
          </cell>
          <cell r="D165">
            <v>40574</v>
          </cell>
          <cell r="E165">
            <v>40574</v>
          </cell>
          <cell r="F165">
            <v>40755</v>
          </cell>
          <cell r="G165">
            <v>42216</v>
          </cell>
          <cell r="H165">
            <v>42400</v>
          </cell>
          <cell r="I165">
            <v>0.02</v>
          </cell>
          <cell r="J165">
            <v>0</v>
          </cell>
          <cell r="K165">
            <v>99.171875</v>
          </cell>
          <cell r="L165">
            <v>99.1875</v>
          </cell>
          <cell r="M165">
            <v>2.1819999999999999E-2</v>
          </cell>
          <cell r="N165">
            <v>2.1780000000000001E-2</v>
          </cell>
          <cell r="O165">
            <v>0</v>
          </cell>
          <cell r="P165">
            <v>99.171875</v>
          </cell>
          <cell r="Q165">
            <v>99.1875</v>
          </cell>
        </row>
        <row r="166">
          <cell r="A166" t="str">
            <v>T9,25 02/16</v>
          </cell>
          <cell r="B166" t="str">
            <v>912810DV7</v>
          </cell>
          <cell r="C166" t="str">
            <v>US912810DV71</v>
          </cell>
          <cell r="D166">
            <v>31461</v>
          </cell>
          <cell r="E166">
            <v>31458</v>
          </cell>
          <cell r="F166">
            <v>31639</v>
          </cell>
          <cell r="G166">
            <v>42231</v>
          </cell>
          <cell r="H166">
            <v>42415</v>
          </cell>
          <cell r="I166">
            <v>9.2499999999999999E-2</v>
          </cell>
          <cell r="J166">
            <v>0</v>
          </cell>
          <cell r="K166">
            <v>132.9375</v>
          </cell>
          <cell r="L166">
            <v>133.03125</v>
          </cell>
          <cell r="M166">
            <v>2.0889999999999999E-2</v>
          </cell>
          <cell r="N166">
            <v>2.0719999999999995E-2</v>
          </cell>
          <cell r="O166">
            <v>0</v>
          </cell>
          <cell r="P166">
            <v>132.9375</v>
          </cell>
          <cell r="Q166">
            <v>133.03125</v>
          </cell>
        </row>
        <row r="167">
          <cell r="A167" t="str">
            <v>T4,5 02/16</v>
          </cell>
          <cell r="B167" t="str">
            <v>912828EW6</v>
          </cell>
          <cell r="C167" t="str">
            <v>US912828EW61</v>
          </cell>
          <cell r="D167">
            <v>38763</v>
          </cell>
          <cell r="E167">
            <v>38763</v>
          </cell>
          <cell r="F167">
            <v>38944</v>
          </cell>
          <cell r="G167">
            <v>42231</v>
          </cell>
          <cell r="H167">
            <v>42415</v>
          </cell>
          <cell r="I167">
            <v>4.4999999999999998E-2</v>
          </cell>
          <cell r="J167">
            <v>0</v>
          </cell>
          <cell r="K167">
            <v>110.84375</v>
          </cell>
          <cell r="L167">
            <v>110.890625</v>
          </cell>
          <cell r="M167">
            <v>2.1389999999999999E-2</v>
          </cell>
          <cell r="N167">
            <v>2.1299999999999999E-2</v>
          </cell>
          <cell r="O167">
            <v>0</v>
          </cell>
          <cell r="P167">
            <v>110.84375</v>
          </cell>
          <cell r="Q167">
            <v>110.890625</v>
          </cell>
        </row>
        <row r="168">
          <cell r="A168" t="str">
            <v>T2,125 02/16</v>
          </cell>
          <cell r="B168" t="str">
            <v>912828QJ2</v>
          </cell>
          <cell r="C168" t="str">
            <v>US912828QJ23</v>
          </cell>
          <cell r="D168">
            <v>40602</v>
          </cell>
          <cell r="E168">
            <v>40602</v>
          </cell>
          <cell r="F168">
            <v>40786</v>
          </cell>
          <cell r="G168">
            <v>42247</v>
          </cell>
          <cell r="H168">
            <v>42429</v>
          </cell>
          <cell r="I168">
            <v>2.1250000000000002E-2</v>
          </cell>
          <cell r="J168">
            <v>0</v>
          </cell>
          <cell r="K168">
            <v>99.5859375</v>
          </cell>
          <cell r="L168">
            <v>99.6015625</v>
          </cell>
          <cell r="M168">
            <v>2.214E-2</v>
          </cell>
          <cell r="N168">
            <v>2.2109999999999998E-2</v>
          </cell>
          <cell r="O168">
            <v>0</v>
          </cell>
          <cell r="P168">
            <v>99.5859375</v>
          </cell>
          <cell r="Q168">
            <v>99.6015625</v>
          </cell>
        </row>
        <row r="169">
          <cell r="A169" t="str">
            <v>T2,625 02/16</v>
          </cell>
          <cell r="B169" t="str">
            <v>912828KS8</v>
          </cell>
          <cell r="C169" t="str">
            <v>US912828KS85</v>
          </cell>
          <cell r="D169">
            <v>39874</v>
          </cell>
          <cell r="E169">
            <v>39872</v>
          </cell>
          <cell r="F169">
            <v>40056</v>
          </cell>
          <cell r="G169">
            <v>42247</v>
          </cell>
          <cell r="H169">
            <v>42429</v>
          </cell>
          <cell r="I169">
            <v>2.6249999999999999E-2</v>
          </cell>
          <cell r="J169">
            <v>0</v>
          </cell>
          <cell r="K169">
            <v>101.9140625</v>
          </cell>
          <cell r="L169">
            <v>101.9609375</v>
          </cell>
          <cell r="M169">
            <v>2.2099999999999998E-2</v>
          </cell>
          <cell r="N169">
            <v>2.2000000000000002E-2</v>
          </cell>
          <cell r="O169">
            <v>0</v>
          </cell>
          <cell r="P169">
            <v>101.9140625</v>
          </cell>
          <cell r="Q169">
            <v>101.9609375</v>
          </cell>
        </row>
        <row r="170">
          <cell r="A170" t="str">
            <v>T2,375 03/16</v>
          </cell>
          <cell r="B170" t="str">
            <v>912828KT6</v>
          </cell>
          <cell r="C170" t="str">
            <v>US912828KT68</v>
          </cell>
          <cell r="D170">
            <v>39903</v>
          </cell>
          <cell r="E170">
            <v>39903</v>
          </cell>
          <cell r="F170">
            <v>40086</v>
          </cell>
          <cell r="G170">
            <v>42277</v>
          </cell>
          <cell r="H170">
            <v>42460</v>
          </cell>
          <cell r="I170">
            <v>2.375E-2</v>
          </cell>
          <cell r="J170">
            <v>0</v>
          </cell>
          <cell r="K170">
            <v>100.59375</v>
          </cell>
          <cell r="L170">
            <v>100.625</v>
          </cell>
          <cell r="M170">
            <v>2.2480000000000003E-2</v>
          </cell>
          <cell r="N170">
            <v>2.2419999999999999E-2</v>
          </cell>
          <cell r="O170">
            <v>0</v>
          </cell>
          <cell r="P170">
            <v>100.59375</v>
          </cell>
          <cell r="Q170">
            <v>100.625</v>
          </cell>
        </row>
        <row r="171">
          <cell r="A171" t="str">
            <v>T2,25 03/16</v>
          </cell>
          <cell r="B171" t="str">
            <v>912828QA1</v>
          </cell>
          <cell r="C171" t="str">
            <v>US912828QA14</v>
          </cell>
          <cell r="D171">
            <v>40633</v>
          </cell>
          <cell r="E171">
            <v>40633</v>
          </cell>
          <cell r="F171">
            <v>40816</v>
          </cell>
          <cell r="G171">
            <v>42277</v>
          </cell>
          <cell r="H171">
            <v>42460</v>
          </cell>
          <cell r="I171">
            <v>2.2499999999999999E-2</v>
          </cell>
          <cell r="J171">
            <v>0</v>
          </cell>
          <cell r="K171">
            <v>100.0078125</v>
          </cell>
          <cell r="L171">
            <v>100.015625</v>
          </cell>
          <cell r="M171">
            <v>2.2480000000000003E-2</v>
          </cell>
          <cell r="N171">
            <v>2.2470000000000004E-2</v>
          </cell>
          <cell r="O171">
            <v>0</v>
          </cell>
          <cell r="P171">
            <v>100.0078125</v>
          </cell>
          <cell r="Q171">
            <v>100.015625</v>
          </cell>
        </row>
        <row r="172">
          <cell r="A172" t="str">
            <v>T2,625 04/16</v>
          </cell>
          <cell r="B172" t="str">
            <v>912828KR0</v>
          </cell>
          <cell r="C172" t="str">
            <v>US912828KR03</v>
          </cell>
          <cell r="D172">
            <v>39933</v>
          </cell>
          <cell r="E172">
            <v>39933</v>
          </cell>
          <cell r="F172">
            <v>40117</v>
          </cell>
          <cell r="G172">
            <v>42308</v>
          </cell>
          <cell r="H172">
            <v>42490</v>
          </cell>
          <cell r="I172">
            <v>2.6249999999999999E-2</v>
          </cell>
          <cell r="J172">
            <v>0</v>
          </cell>
          <cell r="K172">
            <v>101.65625</v>
          </cell>
          <cell r="L172">
            <v>101.6875</v>
          </cell>
          <cell r="M172">
            <v>2.2770000000000002E-2</v>
          </cell>
          <cell r="N172">
            <v>2.2700000000000001E-2</v>
          </cell>
          <cell r="O172">
            <v>0</v>
          </cell>
          <cell r="P172">
            <v>101.65625</v>
          </cell>
          <cell r="Q172">
            <v>101.6875</v>
          </cell>
        </row>
        <row r="173">
          <cell r="A173" t="str">
            <v>T5,125 05/16</v>
          </cell>
          <cell r="B173" t="str">
            <v>912828FF2</v>
          </cell>
          <cell r="C173" t="str">
            <v>US912828FF20</v>
          </cell>
          <cell r="D173">
            <v>38852</v>
          </cell>
          <cell r="E173">
            <v>38852</v>
          </cell>
          <cell r="F173">
            <v>39036</v>
          </cell>
          <cell r="G173">
            <v>42323</v>
          </cell>
          <cell r="H173">
            <v>42505</v>
          </cell>
          <cell r="I173">
            <v>5.1249999999999997E-2</v>
          </cell>
          <cell r="J173">
            <v>0</v>
          </cell>
          <cell r="K173">
            <v>113.78125</v>
          </cell>
          <cell r="L173">
            <v>113.8359375</v>
          </cell>
          <cell r="M173">
            <v>2.2530000000000001E-2</v>
          </cell>
          <cell r="N173">
            <v>2.2419999999999999E-2</v>
          </cell>
          <cell r="O173">
            <v>0</v>
          </cell>
          <cell r="P173">
            <v>113.78125</v>
          </cell>
          <cell r="Q173">
            <v>113.8359375</v>
          </cell>
        </row>
        <row r="174">
          <cell r="A174" t="str">
            <v>T7,25 05/16</v>
          </cell>
          <cell r="B174" t="str">
            <v>912810DW5</v>
          </cell>
          <cell r="C174" t="str">
            <v>US912810DW54</v>
          </cell>
          <cell r="D174">
            <v>31547</v>
          </cell>
          <cell r="E174">
            <v>31547</v>
          </cell>
          <cell r="F174">
            <v>31731</v>
          </cell>
          <cell r="G174">
            <v>42323</v>
          </cell>
          <cell r="H174">
            <v>42505</v>
          </cell>
          <cell r="I174">
            <v>7.2499999999999995E-2</v>
          </cell>
          <cell r="J174">
            <v>0</v>
          </cell>
          <cell r="K174">
            <v>124.125</v>
          </cell>
          <cell r="L174">
            <v>124.21875</v>
          </cell>
          <cell r="M174">
            <v>2.2259999999999999E-2</v>
          </cell>
          <cell r="N174">
            <v>2.2090000000000002E-2</v>
          </cell>
          <cell r="O174">
            <v>0</v>
          </cell>
          <cell r="P174">
            <v>124.125</v>
          </cell>
          <cell r="Q174">
            <v>124.21875</v>
          </cell>
        </row>
        <row r="175">
          <cell r="A175" t="str">
            <v>T3,25 05/16</v>
          </cell>
          <cell r="B175" t="str">
            <v>912828KW9</v>
          </cell>
          <cell r="C175" t="str">
            <v>US912828KW97</v>
          </cell>
          <cell r="D175">
            <v>39965</v>
          </cell>
          <cell r="E175">
            <v>39964</v>
          </cell>
          <cell r="F175">
            <v>40147</v>
          </cell>
          <cell r="G175">
            <v>42338</v>
          </cell>
          <cell r="H175">
            <v>42521</v>
          </cell>
          <cell r="I175">
            <v>3.2500000000000001E-2</v>
          </cell>
          <cell r="J175">
            <v>0</v>
          </cell>
          <cell r="K175">
            <v>104.5859375</v>
          </cell>
          <cell r="L175">
            <v>104.625</v>
          </cell>
          <cell r="M175">
            <v>2.3E-2</v>
          </cell>
          <cell r="N175">
            <v>2.2930000000000002E-2</v>
          </cell>
          <cell r="O175">
            <v>0</v>
          </cell>
          <cell r="P175">
            <v>104.5859375</v>
          </cell>
          <cell r="Q175">
            <v>104.625</v>
          </cell>
        </row>
        <row r="176">
          <cell r="A176" t="str">
            <v>T3,25 06/16</v>
          </cell>
          <cell r="B176" t="str">
            <v>912828KZ2</v>
          </cell>
          <cell r="C176" t="str">
            <v>US912828KZ29</v>
          </cell>
          <cell r="D176">
            <v>39994</v>
          </cell>
          <cell r="E176">
            <v>39994</v>
          </cell>
          <cell r="F176">
            <v>40178</v>
          </cell>
          <cell r="G176">
            <v>42369</v>
          </cell>
          <cell r="H176">
            <v>42551</v>
          </cell>
          <cell r="I176">
            <v>3.2500000000000001E-2</v>
          </cell>
          <cell r="J176">
            <v>0</v>
          </cell>
          <cell r="K176">
            <v>104.5078125</v>
          </cell>
          <cell r="L176">
            <v>104.546875</v>
          </cell>
          <cell r="M176">
            <v>2.3299999999999998E-2</v>
          </cell>
          <cell r="N176">
            <v>2.3219999999999998E-2</v>
          </cell>
          <cell r="O176">
            <v>0</v>
          </cell>
          <cell r="P176">
            <v>104.5078125</v>
          </cell>
          <cell r="Q176">
            <v>104.546875</v>
          </cell>
        </row>
        <row r="177">
          <cell r="A177" t="str">
            <v>T3,25 07/16</v>
          </cell>
          <cell r="B177" t="str">
            <v>912828LD0</v>
          </cell>
          <cell r="C177" t="str">
            <v>US912828LD08</v>
          </cell>
          <cell r="D177">
            <v>40025</v>
          </cell>
          <cell r="E177">
            <v>40025</v>
          </cell>
          <cell r="F177">
            <v>40209</v>
          </cell>
          <cell r="G177">
            <v>42400</v>
          </cell>
          <cell r="H177">
            <v>42582</v>
          </cell>
          <cell r="I177">
            <v>3.2500000000000001E-2</v>
          </cell>
          <cell r="J177">
            <v>0</v>
          </cell>
          <cell r="K177">
            <v>104.390625</v>
          </cell>
          <cell r="L177">
            <v>104.4296875</v>
          </cell>
          <cell r="M177">
            <v>2.3659999999999997E-2</v>
          </cell>
          <cell r="N177">
            <v>2.3589999999999996E-2</v>
          </cell>
          <cell r="O177">
            <v>0</v>
          </cell>
          <cell r="P177">
            <v>104.390625</v>
          </cell>
          <cell r="Q177">
            <v>104.4296875</v>
          </cell>
        </row>
        <row r="178">
          <cell r="A178" t="str">
            <v>T4,875 08/16</v>
          </cell>
          <cell r="B178" t="str">
            <v>912828FQ8</v>
          </cell>
          <cell r="C178" t="str">
            <v>US912828FQ84</v>
          </cell>
          <cell r="D178">
            <v>38944</v>
          </cell>
          <cell r="E178">
            <v>38944</v>
          </cell>
          <cell r="F178">
            <v>39128</v>
          </cell>
          <cell r="G178">
            <v>42415</v>
          </cell>
          <cell r="H178">
            <v>42597</v>
          </cell>
          <cell r="I178">
            <v>4.8750000000000002E-2</v>
          </cell>
          <cell r="J178">
            <v>0</v>
          </cell>
          <cell r="K178">
            <v>112.71875</v>
          </cell>
          <cell r="L178">
            <v>112.765625</v>
          </cell>
          <cell r="M178">
            <v>2.3369999999999998E-2</v>
          </cell>
          <cell r="N178">
            <v>2.3279999999999999E-2</v>
          </cell>
          <cell r="O178">
            <v>0</v>
          </cell>
          <cell r="P178">
            <v>112.71875</v>
          </cell>
          <cell r="Q178">
            <v>112.765625</v>
          </cell>
        </row>
        <row r="179">
          <cell r="A179" t="str">
            <v>T2 08/16</v>
          </cell>
          <cell r="B179" t="str">
            <v>912828LL2</v>
          </cell>
          <cell r="C179" t="str">
            <v>US912828LL24</v>
          </cell>
          <cell r="D179">
            <v>40056</v>
          </cell>
          <cell r="E179">
            <v>40056</v>
          </cell>
          <cell r="F179">
            <v>40237</v>
          </cell>
          <cell r="G179">
            <v>42429</v>
          </cell>
          <cell r="H179">
            <v>42613</v>
          </cell>
          <cell r="I179">
            <v>0.03</v>
          </cell>
          <cell r="J179">
            <v>0</v>
          </cell>
          <cell r="K179">
            <v>102.9765625</v>
          </cell>
          <cell r="L179">
            <v>103.015625</v>
          </cell>
          <cell r="M179">
            <v>2.4089999999999997E-2</v>
          </cell>
          <cell r="N179">
            <v>2.4009999999999997E-2</v>
          </cell>
          <cell r="O179">
            <v>0</v>
          </cell>
          <cell r="P179">
            <v>102.9765625</v>
          </cell>
          <cell r="Q179">
            <v>103.015625</v>
          </cell>
        </row>
        <row r="180">
          <cell r="A180" t="str">
            <v>T2 09/16</v>
          </cell>
          <cell r="B180" t="str">
            <v>912828LP3</v>
          </cell>
          <cell r="C180" t="str">
            <v>US912828LP38</v>
          </cell>
          <cell r="D180">
            <v>40086</v>
          </cell>
          <cell r="E180">
            <v>40086</v>
          </cell>
          <cell r="F180">
            <v>40268</v>
          </cell>
          <cell r="G180">
            <v>42460</v>
          </cell>
          <cell r="H180">
            <v>42643</v>
          </cell>
          <cell r="I180">
            <v>0.03</v>
          </cell>
          <cell r="J180">
            <v>0</v>
          </cell>
          <cell r="K180">
            <v>102.8828125</v>
          </cell>
          <cell r="L180">
            <v>102.921875</v>
          </cell>
          <cell r="M180">
            <v>2.4349999999999997E-2</v>
          </cell>
          <cell r="N180">
            <v>2.4279999999999999E-2</v>
          </cell>
          <cell r="O180">
            <v>0</v>
          </cell>
          <cell r="P180">
            <v>102.8828125</v>
          </cell>
          <cell r="Q180">
            <v>102.921875</v>
          </cell>
        </row>
        <row r="181">
          <cell r="A181" t="str">
            <v>T3,125 10/16</v>
          </cell>
          <cell r="B181" t="str">
            <v>912828LU2</v>
          </cell>
          <cell r="C181" t="str">
            <v>US912828LU23</v>
          </cell>
          <cell r="D181">
            <v>40119</v>
          </cell>
          <cell r="E181">
            <v>40117</v>
          </cell>
          <cell r="F181">
            <v>40298</v>
          </cell>
          <cell r="G181">
            <v>42490</v>
          </cell>
          <cell r="H181">
            <v>42674</v>
          </cell>
          <cell r="I181">
            <v>3.125E-2</v>
          </cell>
          <cell r="J181">
            <v>0</v>
          </cell>
          <cell r="K181">
            <v>103.375</v>
          </cell>
          <cell r="L181">
            <v>103.4296875</v>
          </cell>
          <cell r="M181">
            <v>2.4719999999999995E-2</v>
          </cell>
          <cell r="N181">
            <v>2.4619999999999996E-2</v>
          </cell>
          <cell r="O181">
            <v>0</v>
          </cell>
          <cell r="P181">
            <v>103.375</v>
          </cell>
          <cell r="Q181">
            <v>103.4296875</v>
          </cell>
        </row>
        <row r="182">
          <cell r="A182" t="str">
            <v>T7,5 11/16</v>
          </cell>
          <cell r="B182" t="str">
            <v>912810DX3</v>
          </cell>
          <cell r="C182" t="str">
            <v>US912810DX38</v>
          </cell>
          <cell r="D182">
            <v>31731</v>
          </cell>
          <cell r="E182">
            <v>31731</v>
          </cell>
          <cell r="F182">
            <v>31912</v>
          </cell>
          <cell r="G182">
            <v>42505</v>
          </cell>
          <cell r="H182">
            <v>42689</v>
          </cell>
          <cell r="I182">
            <v>7.4999999999999997E-2</v>
          </cell>
          <cell r="J182">
            <v>0</v>
          </cell>
          <cell r="K182">
            <v>126.5078125</v>
          </cell>
          <cell r="L182">
            <v>126.6015625</v>
          </cell>
          <cell r="M182">
            <v>2.4159999999999994E-2</v>
          </cell>
          <cell r="N182">
            <v>2.4009999999999997E-2</v>
          </cell>
          <cell r="O182">
            <v>0</v>
          </cell>
          <cell r="P182">
            <v>126.5078125</v>
          </cell>
          <cell r="Q182">
            <v>126.6015625</v>
          </cell>
        </row>
        <row r="183">
          <cell r="A183" t="str">
            <v>T4,625 11/16</v>
          </cell>
          <cell r="B183" t="str">
            <v>912828FY1</v>
          </cell>
          <cell r="C183" t="str">
            <v>US912828FY19</v>
          </cell>
          <cell r="D183">
            <v>39036</v>
          </cell>
          <cell r="E183">
            <v>39036</v>
          </cell>
          <cell r="F183">
            <v>39217</v>
          </cell>
          <cell r="G183">
            <v>42505</v>
          </cell>
          <cell r="H183">
            <v>42689</v>
          </cell>
          <cell r="I183">
            <v>4.6249999999999999E-2</v>
          </cell>
          <cell r="J183">
            <v>0</v>
          </cell>
          <cell r="K183">
            <v>111.3203125</v>
          </cell>
          <cell r="L183">
            <v>111.375</v>
          </cell>
          <cell r="M183">
            <v>2.4519999999999997E-2</v>
          </cell>
          <cell r="N183">
            <v>2.4419999999999997E-2</v>
          </cell>
          <cell r="O183">
            <v>0</v>
          </cell>
          <cell r="P183">
            <v>111.3203125</v>
          </cell>
          <cell r="Q183">
            <v>111.375</v>
          </cell>
        </row>
        <row r="184">
          <cell r="A184" t="str">
            <v>T2,75 11/16</v>
          </cell>
          <cell r="B184" t="str">
            <v>912828MA5</v>
          </cell>
          <cell r="C184" t="str">
            <v>US912828MA59</v>
          </cell>
          <cell r="D184">
            <v>40147</v>
          </cell>
          <cell r="E184">
            <v>40147</v>
          </cell>
          <cell r="F184">
            <v>40329</v>
          </cell>
          <cell r="G184">
            <v>42521</v>
          </cell>
          <cell r="H184">
            <v>42704</v>
          </cell>
          <cell r="I184">
            <v>2.75E-2</v>
          </cell>
          <cell r="J184">
            <v>0</v>
          </cell>
          <cell r="K184">
            <v>101.2890625</v>
          </cell>
          <cell r="L184">
            <v>101.3359375</v>
          </cell>
          <cell r="M184">
            <v>2.504E-2</v>
          </cell>
          <cell r="N184">
            <v>2.4949999999999996E-2</v>
          </cell>
          <cell r="O184">
            <v>0</v>
          </cell>
          <cell r="P184">
            <v>101.2890625</v>
          </cell>
          <cell r="Q184">
            <v>101.3359375</v>
          </cell>
        </row>
        <row r="185">
          <cell r="A185" t="str">
            <v>T3,25 12/16</v>
          </cell>
          <cell r="B185" t="str">
            <v>912828MD9</v>
          </cell>
          <cell r="C185" t="str">
            <v>US912828MD98</v>
          </cell>
          <cell r="D185">
            <v>40178</v>
          </cell>
          <cell r="E185">
            <v>40178</v>
          </cell>
          <cell r="F185">
            <v>40359</v>
          </cell>
          <cell r="G185">
            <v>42551</v>
          </cell>
          <cell r="H185">
            <v>42735</v>
          </cell>
          <cell r="I185">
            <v>3.2500000000000001E-2</v>
          </cell>
          <cell r="J185">
            <v>0</v>
          </cell>
          <cell r="K185">
            <v>103.8125</v>
          </cell>
          <cell r="L185">
            <v>103.8515625</v>
          </cell>
          <cell r="M185">
            <v>2.5309999999999996E-2</v>
          </cell>
          <cell r="N185">
            <v>2.5239999999999999E-2</v>
          </cell>
          <cell r="O185">
            <v>0</v>
          </cell>
          <cell r="P185">
            <v>103.8125</v>
          </cell>
          <cell r="Q185">
            <v>103.8515625</v>
          </cell>
        </row>
        <row r="186">
          <cell r="A186" t="str">
            <v>T3,125 01/17</v>
          </cell>
          <cell r="B186" t="str">
            <v>912828MK3</v>
          </cell>
          <cell r="C186" t="str">
            <v>US912828MK32</v>
          </cell>
          <cell r="D186">
            <v>40210</v>
          </cell>
          <cell r="E186">
            <v>40209</v>
          </cell>
          <cell r="F186">
            <v>40390</v>
          </cell>
          <cell r="G186">
            <v>42582</v>
          </cell>
          <cell r="H186">
            <v>42766</v>
          </cell>
          <cell r="I186">
            <v>3.125E-2</v>
          </cell>
          <cell r="J186">
            <v>0</v>
          </cell>
          <cell r="K186">
            <v>103.0546875</v>
          </cell>
          <cell r="L186">
            <v>103.0859375</v>
          </cell>
          <cell r="M186">
            <v>2.5559999999999996E-2</v>
          </cell>
          <cell r="N186">
            <v>2.5509999999999998E-2</v>
          </cell>
          <cell r="O186">
            <v>0</v>
          </cell>
          <cell r="P186">
            <v>103.0546875</v>
          </cell>
          <cell r="Q186">
            <v>103.0859375</v>
          </cell>
        </row>
        <row r="187">
          <cell r="A187" t="str">
            <v>T4,625 02/17</v>
          </cell>
          <cell r="B187" t="str">
            <v>912828GH7</v>
          </cell>
          <cell r="C187" t="str">
            <v>US912828GH76</v>
          </cell>
          <cell r="D187">
            <v>39128</v>
          </cell>
          <cell r="E187">
            <v>39128</v>
          </cell>
          <cell r="F187">
            <v>39309</v>
          </cell>
          <cell r="G187">
            <v>42597</v>
          </cell>
          <cell r="H187">
            <v>42781</v>
          </cell>
          <cell r="I187">
            <v>4.6249999999999999E-2</v>
          </cell>
          <cell r="J187">
            <v>0</v>
          </cell>
          <cell r="K187">
            <v>111.3046875</v>
          </cell>
          <cell r="L187">
            <v>111.34375</v>
          </cell>
          <cell r="M187">
            <v>2.537E-2</v>
          </cell>
          <cell r="N187">
            <v>2.53E-2</v>
          </cell>
          <cell r="O187">
            <v>0</v>
          </cell>
          <cell r="P187">
            <v>111.3046875</v>
          </cell>
          <cell r="Q187">
            <v>111.34375</v>
          </cell>
        </row>
        <row r="188">
          <cell r="A188" t="str">
            <v>T2 02/17</v>
          </cell>
          <cell r="B188" t="str">
            <v>912828MS6</v>
          </cell>
          <cell r="C188" t="str">
            <v>US912828MS67</v>
          </cell>
          <cell r="D188">
            <v>40238</v>
          </cell>
          <cell r="E188">
            <v>40237</v>
          </cell>
          <cell r="F188">
            <v>40421</v>
          </cell>
          <cell r="G188">
            <v>42613</v>
          </cell>
          <cell r="H188">
            <v>42794</v>
          </cell>
          <cell r="I188">
            <v>0.03</v>
          </cell>
          <cell r="J188">
            <v>0</v>
          </cell>
          <cell r="K188">
            <v>102.1953125</v>
          </cell>
          <cell r="L188">
            <v>102.234375</v>
          </cell>
          <cell r="M188">
            <v>2.5959999999999997E-2</v>
          </cell>
          <cell r="N188">
            <v>2.589E-2</v>
          </cell>
          <cell r="O188">
            <v>0</v>
          </cell>
          <cell r="P188">
            <v>102.1953125</v>
          </cell>
          <cell r="Q188">
            <v>102.234375</v>
          </cell>
        </row>
        <row r="189">
          <cell r="A189" t="str">
            <v>T3,25 03/17</v>
          </cell>
          <cell r="B189" t="str">
            <v>912828MV9</v>
          </cell>
          <cell r="C189" t="str">
            <v>US912828MV96</v>
          </cell>
          <cell r="D189">
            <v>40268</v>
          </cell>
          <cell r="E189">
            <v>40268</v>
          </cell>
          <cell r="F189">
            <v>40451</v>
          </cell>
          <cell r="G189">
            <v>42643</v>
          </cell>
          <cell r="H189">
            <v>42825</v>
          </cell>
          <cell r="I189">
            <v>3.2500000000000001E-2</v>
          </cell>
          <cell r="J189">
            <v>0</v>
          </cell>
          <cell r="K189">
            <v>103.5</v>
          </cell>
          <cell r="L189">
            <v>103.5390625</v>
          </cell>
          <cell r="M189">
            <v>2.614E-2</v>
          </cell>
          <cell r="N189">
            <v>2.6070000000000003E-2</v>
          </cell>
          <cell r="O189">
            <v>0</v>
          </cell>
          <cell r="P189">
            <v>103.5</v>
          </cell>
          <cell r="Q189">
            <v>103.5390625</v>
          </cell>
        </row>
        <row r="190">
          <cell r="A190" t="str">
            <v>T3,125 04/17</v>
          </cell>
          <cell r="B190" t="str">
            <v>912828NA4</v>
          </cell>
          <cell r="C190" t="str">
            <v>US912828NA41</v>
          </cell>
          <cell r="D190">
            <v>40298</v>
          </cell>
          <cell r="E190">
            <v>40298</v>
          </cell>
          <cell r="F190">
            <v>40482</v>
          </cell>
          <cell r="G190">
            <v>42674</v>
          </cell>
          <cell r="H190">
            <v>42855</v>
          </cell>
          <cell r="I190">
            <v>3.125E-2</v>
          </cell>
          <cell r="J190">
            <v>0</v>
          </cell>
          <cell r="K190">
            <v>102.6875</v>
          </cell>
          <cell r="L190">
            <v>102.7265625</v>
          </cell>
          <cell r="M190">
            <v>2.6419999999999999E-2</v>
          </cell>
          <cell r="N190">
            <v>2.6349999999999998E-2</v>
          </cell>
          <cell r="O190">
            <v>0</v>
          </cell>
          <cell r="P190">
            <v>102.6875</v>
          </cell>
          <cell r="Q190">
            <v>102.7265625</v>
          </cell>
        </row>
        <row r="191">
          <cell r="A191" t="str">
            <v>T8,75 05/17</v>
          </cell>
          <cell r="B191" t="str">
            <v>912810DY1</v>
          </cell>
          <cell r="C191" t="str">
            <v>US912810DY11</v>
          </cell>
          <cell r="D191">
            <v>31912</v>
          </cell>
          <cell r="E191">
            <v>31912</v>
          </cell>
          <cell r="F191">
            <v>32096</v>
          </cell>
          <cell r="G191">
            <v>42689</v>
          </cell>
          <cell r="H191">
            <v>42870</v>
          </cell>
          <cell r="I191">
            <v>8.7499999999999994E-2</v>
          </cell>
          <cell r="J191">
            <v>0</v>
          </cell>
          <cell r="K191">
            <v>134.8984375</v>
          </cell>
          <cell r="L191">
            <v>134.9921875</v>
          </cell>
          <cell r="M191">
            <v>2.5440000000000001E-2</v>
          </cell>
          <cell r="N191">
            <v>2.53E-2</v>
          </cell>
          <cell r="O191">
            <v>0</v>
          </cell>
          <cell r="P191">
            <v>134.8984375</v>
          </cell>
          <cell r="Q191">
            <v>134.9921875</v>
          </cell>
        </row>
        <row r="192">
          <cell r="A192" t="str">
            <v>T4,5 05/17</v>
          </cell>
          <cell r="B192" t="str">
            <v>912828GS3</v>
          </cell>
          <cell r="C192" t="str">
            <v>US912828GS32</v>
          </cell>
          <cell r="D192">
            <v>39217</v>
          </cell>
          <cell r="E192">
            <v>39217</v>
          </cell>
          <cell r="F192">
            <v>39401</v>
          </cell>
          <cell r="G192">
            <v>42689</v>
          </cell>
          <cell r="H192">
            <v>42870</v>
          </cell>
          <cell r="I192">
            <v>4.4999999999999998E-2</v>
          </cell>
          <cell r="J192">
            <v>0</v>
          </cell>
          <cell r="K192">
            <v>110.546875</v>
          </cell>
          <cell r="L192">
            <v>110.59375</v>
          </cell>
          <cell r="M192">
            <v>2.6200000000000001E-2</v>
          </cell>
          <cell r="N192">
            <v>2.6119999999999997E-2</v>
          </cell>
          <cell r="O192">
            <v>0</v>
          </cell>
          <cell r="P192">
            <v>110.546875</v>
          </cell>
          <cell r="Q192">
            <v>110.59375</v>
          </cell>
        </row>
        <row r="193">
          <cell r="A193" t="str">
            <v>T2,75 05/17</v>
          </cell>
          <cell r="B193" t="str">
            <v>912828NG1</v>
          </cell>
          <cell r="C193" t="str">
            <v>US912828NG11</v>
          </cell>
          <cell r="D193">
            <v>40330</v>
          </cell>
          <cell r="E193">
            <v>40329</v>
          </cell>
          <cell r="F193">
            <v>40512</v>
          </cell>
          <cell r="G193">
            <v>42704</v>
          </cell>
          <cell r="H193">
            <v>42886</v>
          </cell>
          <cell r="I193">
            <v>2.75E-2</v>
          </cell>
          <cell r="J193">
            <v>0</v>
          </cell>
          <cell r="K193">
            <v>100.40625</v>
          </cell>
          <cell r="L193">
            <v>100.4453125</v>
          </cell>
          <cell r="M193">
            <v>2.6779999999999998E-2</v>
          </cell>
          <cell r="N193">
            <v>2.6709999999999998E-2</v>
          </cell>
          <cell r="O193">
            <v>0</v>
          </cell>
          <cell r="P193">
            <v>100.40625</v>
          </cell>
          <cell r="Q193">
            <v>100.4453125</v>
          </cell>
        </row>
        <row r="194">
          <cell r="A194" t="str">
            <v>T2,5 06/17</v>
          </cell>
          <cell r="B194" t="str">
            <v>912828NK2</v>
          </cell>
          <cell r="C194" t="str">
            <v>US912828NK23</v>
          </cell>
          <cell r="D194">
            <v>40359</v>
          </cell>
          <cell r="E194">
            <v>40359</v>
          </cell>
          <cell r="F194">
            <v>40543</v>
          </cell>
          <cell r="G194">
            <v>42735</v>
          </cell>
          <cell r="H194">
            <v>42916</v>
          </cell>
          <cell r="I194">
            <v>2.5000000000000001E-2</v>
          </cell>
          <cell r="J194">
            <v>0</v>
          </cell>
          <cell r="K194">
            <v>98.8359375</v>
          </cell>
          <cell r="L194">
            <v>98.875</v>
          </cell>
          <cell r="M194">
            <v>2.7040000000000002E-2</v>
          </cell>
          <cell r="N194">
            <v>2.6970000000000001E-2</v>
          </cell>
          <cell r="O194">
            <v>0</v>
          </cell>
          <cell r="P194">
            <v>98.8359375</v>
          </cell>
          <cell r="Q194">
            <v>98.875</v>
          </cell>
        </row>
        <row r="195">
          <cell r="A195" t="str">
            <v>T2,375 07/17</v>
          </cell>
          <cell r="B195" t="str">
            <v>912828NR7</v>
          </cell>
          <cell r="C195" t="str">
            <v>US912828NR75</v>
          </cell>
          <cell r="D195">
            <v>40392</v>
          </cell>
          <cell r="E195">
            <v>40390</v>
          </cell>
          <cell r="F195">
            <v>40574</v>
          </cell>
          <cell r="G195">
            <v>42766</v>
          </cell>
          <cell r="H195">
            <v>42947</v>
          </cell>
          <cell r="I195">
            <v>2.375E-2</v>
          </cell>
          <cell r="J195">
            <v>0</v>
          </cell>
          <cell r="K195">
            <v>97.8984375</v>
          </cell>
          <cell r="L195">
            <v>97.9375</v>
          </cell>
          <cell r="M195">
            <v>2.7389999999999998E-2</v>
          </cell>
          <cell r="N195">
            <v>2.7319999999999997E-2</v>
          </cell>
          <cell r="O195">
            <v>0</v>
          </cell>
          <cell r="P195">
            <v>97.8984375</v>
          </cell>
          <cell r="Q195">
            <v>97.9375</v>
          </cell>
        </row>
        <row r="196">
          <cell r="A196" t="str">
            <v>T4,75 08/17</v>
          </cell>
          <cell r="B196" t="str">
            <v>912828HA1</v>
          </cell>
          <cell r="C196" t="str">
            <v>US912828HA15</v>
          </cell>
          <cell r="D196">
            <v>39309</v>
          </cell>
          <cell r="E196">
            <v>39309</v>
          </cell>
          <cell r="F196">
            <v>39493</v>
          </cell>
          <cell r="G196">
            <v>42781</v>
          </cell>
          <cell r="H196">
            <v>42962</v>
          </cell>
          <cell r="I196">
            <v>4.7500000000000001E-2</v>
          </cell>
          <cell r="J196">
            <v>0</v>
          </cell>
          <cell r="K196">
            <v>111.96875</v>
          </cell>
          <cell r="L196">
            <v>112</v>
          </cell>
          <cell r="M196">
            <v>2.69E-2</v>
          </cell>
          <cell r="N196">
            <v>2.6849999999999999E-2</v>
          </cell>
          <cell r="O196">
            <v>0</v>
          </cell>
          <cell r="P196">
            <v>111.96875</v>
          </cell>
          <cell r="Q196">
            <v>112</v>
          </cell>
        </row>
        <row r="197">
          <cell r="A197" t="str">
            <v>T8,875 08/17</v>
          </cell>
          <cell r="B197" t="str">
            <v>912810DZ8</v>
          </cell>
          <cell r="C197" t="str">
            <v>US912810DZ85</v>
          </cell>
          <cell r="D197">
            <v>32004</v>
          </cell>
          <cell r="E197">
            <v>32004</v>
          </cell>
          <cell r="F197">
            <v>32188</v>
          </cell>
          <cell r="G197">
            <v>42781</v>
          </cell>
          <cell r="H197">
            <v>42962</v>
          </cell>
          <cell r="I197">
            <v>8.8749999999999996E-2</v>
          </cell>
          <cell r="J197">
            <v>0</v>
          </cell>
          <cell r="K197">
            <v>136.4375</v>
          </cell>
          <cell r="L197">
            <v>136.53125</v>
          </cell>
          <cell r="M197">
            <v>2.6189999999999998E-2</v>
          </cell>
          <cell r="N197">
            <v>2.606E-2</v>
          </cell>
          <cell r="O197">
            <v>0</v>
          </cell>
          <cell r="P197">
            <v>136.4375</v>
          </cell>
          <cell r="Q197">
            <v>136.53125</v>
          </cell>
        </row>
        <row r="198">
          <cell r="A198" t="str">
            <v>T1,875 08/17</v>
          </cell>
          <cell r="B198" t="str">
            <v>912828NW6</v>
          </cell>
          <cell r="C198" t="str">
            <v>US912828NW60</v>
          </cell>
          <cell r="D198">
            <v>40421</v>
          </cell>
          <cell r="E198">
            <v>40421</v>
          </cell>
          <cell r="F198">
            <v>40602</v>
          </cell>
          <cell r="G198">
            <v>42794</v>
          </cell>
          <cell r="H198">
            <v>42978</v>
          </cell>
          <cell r="I198">
            <v>1.8749999999999999E-2</v>
          </cell>
          <cell r="J198">
            <v>0</v>
          </cell>
          <cell r="K198">
            <v>94.7265625</v>
          </cell>
          <cell r="L198">
            <v>94.7734375</v>
          </cell>
          <cell r="M198">
            <v>2.7800000000000002E-2</v>
          </cell>
          <cell r="N198">
            <v>2.7719999999999998E-2</v>
          </cell>
          <cell r="O198">
            <v>0</v>
          </cell>
          <cell r="P198">
            <v>94.7265625</v>
          </cell>
          <cell r="Q198">
            <v>94.7734375</v>
          </cell>
        </row>
        <row r="199">
          <cell r="A199" t="str">
            <v>T1,875 09/17</v>
          </cell>
          <cell r="B199" t="str">
            <v>912828PA2</v>
          </cell>
          <cell r="C199" t="str">
            <v>US912828PA23</v>
          </cell>
          <cell r="D199">
            <v>40451</v>
          </cell>
          <cell r="E199">
            <v>40451</v>
          </cell>
          <cell r="F199">
            <v>40633</v>
          </cell>
          <cell r="G199">
            <v>42825</v>
          </cell>
          <cell r="H199">
            <v>43008</v>
          </cell>
          <cell r="I199">
            <v>1.8749999999999999E-2</v>
          </cell>
          <cell r="J199">
            <v>0</v>
          </cell>
          <cell r="K199">
            <v>94.5234375</v>
          </cell>
          <cell r="L199">
            <v>94.5546875</v>
          </cell>
          <cell r="M199">
            <v>2.8049999999999999E-2</v>
          </cell>
          <cell r="N199">
            <v>2.7990000000000001E-2</v>
          </cell>
          <cell r="O199">
            <v>0</v>
          </cell>
          <cell r="P199">
            <v>94.5234375</v>
          </cell>
          <cell r="Q199">
            <v>94.5546875</v>
          </cell>
        </row>
        <row r="200">
          <cell r="A200" t="str">
            <v>T1,875 10/17</v>
          </cell>
          <cell r="B200" t="str">
            <v>912828PF1</v>
          </cell>
          <cell r="C200" t="str">
            <v>US912828PF10</v>
          </cell>
          <cell r="D200">
            <v>40483</v>
          </cell>
          <cell r="E200">
            <v>40482</v>
          </cell>
          <cell r="F200">
            <v>40663</v>
          </cell>
          <cell r="G200">
            <v>42855</v>
          </cell>
          <cell r="H200">
            <v>43039</v>
          </cell>
          <cell r="I200">
            <v>1.8749999999999999E-2</v>
          </cell>
          <cell r="J200">
            <v>0</v>
          </cell>
          <cell r="K200">
            <v>94.34375</v>
          </cell>
          <cell r="L200">
            <v>94.375</v>
          </cell>
          <cell r="M200">
            <v>2.8249999999999997E-2</v>
          </cell>
          <cell r="N200">
            <v>2.8189999999999996E-2</v>
          </cell>
          <cell r="O200">
            <v>0</v>
          </cell>
          <cell r="P200">
            <v>94.34375</v>
          </cell>
          <cell r="Q200">
            <v>94.375</v>
          </cell>
        </row>
        <row r="201">
          <cell r="A201" t="str">
            <v>T4,25 11/17</v>
          </cell>
          <cell r="B201" t="str">
            <v>912828HH6</v>
          </cell>
          <cell r="C201" t="str">
            <v>US912828HH67</v>
          </cell>
          <cell r="D201">
            <v>39401</v>
          </cell>
          <cell r="E201">
            <v>39401</v>
          </cell>
          <cell r="F201">
            <v>39583</v>
          </cell>
          <cell r="G201">
            <v>42870</v>
          </cell>
          <cell r="H201">
            <v>43054</v>
          </cell>
          <cell r="I201">
            <v>4.2500000000000003E-2</v>
          </cell>
          <cell r="J201">
            <v>0</v>
          </cell>
          <cell r="K201">
            <v>108.875</v>
          </cell>
          <cell r="L201">
            <v>108.9140625</v>
          </cell>
          <cell r="M201">
            <v>2.7709999999999999E-2</v>
          </cell>
          <cell r="N201">
            <v>2.7640000000000001E-2</v>
          </cell>
          <cell r="O201">
            <v>0</v>
          </cell>
          <cell r="P201">
            <v>108.875</v>
          </cell>
          <cell r="Q201">
            <v>108.9140625</v>
          </cell>
        </row>
        <row r="202">
          <cell r="A202" t="str">
            <v>T2,25 11/17</v>
          </cell>
          <cell r="B202" t="str">
            <v>912828PK0</v>
          </cell>
          <cell r="C202" t="str">
            <v>US912828PK05</v>
          </cell>
          <cell r="D202">
            <v>40512</v>
          </cell>
          <cell r="E202">
            <v>40512</v>
          </cell>
          <cell r="F202">
            <v>40694</v>
          </cell>
          <cell r="G202">
            <v>42886</v>
          </cell>
          <cell r="H202">
            <v>43069</v>
          </cell>
          <cell r="I202">
            <v>2.2499999999999999E-2</v>
          </cell>
          <cell r="J202">
            <v>0</v>
          </cell>
          <cell r="K202">
            <v>96.4921875</v>
          </cell>
          <cell r="L202">
            <v>96.5078125</v>
          </cell>
          <cell r="M202">
            <v>2.8319999999999994E-2</v>
          </cell>
          <cell r="N202">
            <v>2.8289999999999996E-2</v>
          </cell>
          <cell r="O202">
            <v>0</v>
          </cell>
          <cell r="P202">
            <v>96.4921875</v>
          </cell>
          <cell r="Q202">
            <v>96.5078125</v>
          </cell>
        </row>
        <row r="203">
          <cell r="A203" t="str">
            <v>T2,75 12/17</v>
          </cell>
          <cell r="B203" t="str">
            <v>912828PN4</v>
          </cell>
          <cell r="C203" t="str">
            <v>US912828PN44</v>
          </cell>
          <cell r="D203">
            <v>40543</v>
          </cell>
          <cell r="E203">
            <v>40543</v>
          </cell>
          <cell r="F203">
            <v>40724</v>
          </cell>
          <cell r="G203">
            <v>42916</v>
          </cell>
          <cell r="H203">
            <v>43100</v>
          </cell>
          <cell r="I203">
            <v>2.75E-2</v>
          </cell>
          <cell r="J203">
            <v>0</v>
          </cell>
          <cell r="K203">
            <v>99.421875</v>
          </cell>
          <cell r="L203">
            <v>99.4453125</v>
          </cell>
          <cell r="M203">
            <v>2.8449999999999996E-2</v>
          </cell>
          <cell r="N203">
            <v>2.8409999999999998E-2</v>
          </cell>
          <cell r="O203">
            <v>0</v>
          </cell>
          <cell r="P203">
            <v>99.421875</v>
          </cell>
          <cell r="Q203">
            <v>99.4453125</v>
          </cell>
        </row>
        <row r="204">
          <cell r="A204" t="str">
            <v>T2,625 01/18</v>
          </cell>
          <cell r="B204" t="str">
            <v>912828PT1</v>
          </cell>
          <cell r="C204" t="str">
            <v>US912828PT14</v>
          </cell>
          <cell r="D204">
            <v>40574</v>
          </cell>
          <cell r="E204">
            <v>40574</v>
          </cell>
          <cell r="F204">
            <v>40755</v>
          </cell>
          <cell r="G204">
            <v>42947</v>
          </cell>
          <cell r="H204">
            <v>43131</v>
          </cell>
          <cell r="I204">
            <v>2.6249999999999999E-2</v>
          </cell>
          <cell r="J204">
            <v>0</v>
          </cell>
          <cell r="K204">
            <v>98.5078125</v>
          </cell>
          <cell r="L204">
            <v>98.53125</v>
          </cell>
          <cell r="M204">
            <v>2.8670000000000001E-2</v>
          </cell>
          <cell r="N204">
            <v>2.8629999999999999E-2</v>
          </cell>
          <cell r="O204">
            <v>0</v>
          </cell>
          <cell r="P204">
            <v>98.5078125</v>
          </cell>
          <cell r="Q204">
            <v>98.53125</v>
          </cell>
        </row>
        <row r="205">
          <cell r="A205" t="str">
            <v>T3,5 02/18</v>
          </cell>
          <cell r="B205" t="str">
            <v>912828HR4</v>
          </cell>
          <cell r="C205" t="str">
            <v>US912828HR40</v>
          </cell>
          <cell r="D205">
            <v>39493</v>
          </cell>
          <cell r="E205">
            <v>39493</v>
          </cell>
          <cell r="F205">
            <v>39675</v>
          </cell>
          <cell r="G205">
            <v>42962</v>
          </cell>
          <cell r="H205">
            <v>43146</v>
          </cell>
          <cell r="I205">
            <v>3.5000000000000003E-2</v>
          </cell>
          <cell r="J205">
            <v>0</v>
          </cell>
          <cell r="K205">
            <v>103.9296875</v>
          </cell>
          <cell r="L205">
            <v>103.9609375</v>
          </cell>
          <cell r="M205">
            <v>2.8649999999999998E-2</v>
          </cell>
          <cell r="N205">
            <v>2.86E-2</v>
          </cell>
          <cell r="O205">
            <v>0</v>
          </cell>
          <cell r="P205">
            <v>103.9296875</v>
          </cell>
          <cell r="Q205">
            <v>103.9609375</v>
          </cell>
        </row>
        <row r="206">
          <cell r="A206" t="str">
            <v>T2,75 02/18</v>
          </cell>
          <cell r="B206" t="str">
            <v>912828PY0</v>
          </cell>
          <cell r="C206" t="str">
            <v>US912828PY09</v>
          </cell>
          <cell r="D206">
            <v>40602</v>
          </cell>
          <cell r="E206">
            <v>40602</v>
          </cell>
          <cell r="F206">
            <v>40786</v>
          </cell>
          <cell r="G206">
            <v>42978</v>
          </cell>
          <cell r="H206">
            <v>43159</v>
          </cell>
          <cell r="I206">
            <v>2.75E-2</v>
          </cell>
          <cell r="J206">
            <v>0</v>
          </cell>
          <cell r="K206">
            <v>99.1484375</v>
          </cell>
          <cell r="L206">
            <v>99.1640625</v>
          </cell>
          <cell r="M206">
            <v>2.887E-2</v>
          </cell>
          <cell r="N206">
            <v>2.8839999999999998E-2</v>
          </cell>
          <cell r="O206">
            <v>0</v>
          </cell>
          <cell r="P206">
            <v>99.1484375</v>
          </cell>
          <cell r="Q206">
            <v>99.1640625</v>
          </cell>
        </row>
        <row r="207">
          <cell r="A207" t="str">
            <v>T2,875 03/18</v>
          </cell>
          <cell r="B207" t="str">
            <v>912828QB9</v>
          </cell>
          <cell r="C207" t="str">
            <v>US912828QB96</v>
          </cell>
          <cell r="D207">
            <v>40633</v>
          </cell>
          <cell r="E207">
            <v>40633</v>
          </cell>
          <cell r="F207">
            <v>40816</v>
          </cell>
          <cell r="G207">
            <v>43008</v>
          </cell>
          <cell r="H207">
            <v>43190</v>
          </cell>
          <cell r="I207">
            <v>2.8750000000000001E-2</v>
          </cell>
          <cell r="J207">
            <v>0</v>
          </cell>
          <cell r="K207">
            <v>99.78125</v>
          </cell>
          <cell r="L207">
            <v>99.796875</v>
          </cell>
          <cell r="M207">
            <v>2.9099999999999997E-2</v>
          </cell>
          <cell r="N207">
            <v>2.9069999999999999E-2</v>
          </cell>
          <cell r="O207">
            <v>0</v>
          </cell>
          <cell r="P207">
            <v>99.78125</v>
          </cell>
          <cell r="Q207">
            <v>99.796875</v>
          </cell>
        </row>
        <row r="208">
          <cell r="A208" t="str">
            <v>T3,875 05/18</v>
          </cell>
          <cell r="B208" t="str">
            <v>912828HZ6</v>
          </cell>
          <cell r="C208" t="str">
            <v>US912828HZ65</v>
          </cell>
          <cell r="D208">
            <v>39583</v>
          </cell>
          <cell r="E208">
            <v>39583</v>
          </cell>
          <cell r="F208">
            <v>39767</v>
          </cell>
          <cell r="G208">
            <v>43054</v>
          </cell>
          <cell r="H208">
            <v>43235</v>
          </cell>
          <cell r="I208">
            <v>3.875E-2</v>
          </cell>
          <cell r="J208">
            <v>0</v>
          </cell>
          <cell r="K208">
            <v>106.140625</v>
          </cell>
          <cell r="L208">
            <v>106.171875</v>
          </cell>
          <cell r="M208">
            <v>2.9119999999999993E-2</v>
          </cell>
          <cell r="N208">
            <v>2.9069999999999999E-2</v>
          </cell>
          <cell r="O208">
            <v>0</v>
          </cell>
          <cell r="P208">
            <v>106.140625</v>
          </cell>
          <cell r="Q208">
            <v>106.171875</v>
          </cell>
        </row>
        <row r="209">
          <cell r="A209" t="str">
            <v>T9,125 05/18</v>
          </cell>
          <cell r="B209" t="str">
            <v>912810EA2</v>
          </cell>
          <cell r="C209" t="str">
            <v>US912810EA26</v>
          </cell>
          <cell r="D209">
            <v>32278</v>
          </cell>
          <cell r="E209">
            <v>32278</v>
          </cell>
          <cell r="F209">
            <v>32462</v>
          </cell>
          <cell r="G209">
            <v>43054</v>
          </cell>
          <cell r="H209">
            <v>43235</v>
          </cell>
          <cell r="I209">
            <v>9.1249999999999998E-2</v>
          </cell>
          <cell r="J209">
            <v>0</v>
          </cell>
          <cell r="K209">
            <v>140.6484375</v>
          </cell>
          <cell r="L209">
            <v>140.7421875</v>
          </cell>
          <cell r="M209">
            <v>2.7820000000000001E-2</v>
          </cell>
          <cell r="N209">
            <v>2.7699999999999999E-2</v>
          </cell>
          <cell r="O209">
            <v>0</v>
          </cell>
          <cell r="P209">
            <v>140.6484375</v>
          </cell>
          <cell r="Q209">
            <v>140.7421875</v>
          </cell>
        </row>
        <row r="210">
          <cell r="A210" t="str">
            <v>T4 08/18</v>
          </cell>
          <cell r="B210" t="str">
            <v>912828JH4</v>
          </cell>
          <cell r="C210" t="str">
            <v>US912828JH40</v>
          </cell>
          <cell r="D210">
            <v>39675</v>
          </cell>
          <cell r="E210">
            <v>39675</v>
          </cell>
          <cell r="F210">
            <v>39859</v>
          </cell>
          <cell r="G210">
            <v>43146</v>
          </cell>
          <cell r="H210">
            <v>43327</v>
          </cell>
          <cell r="I210">
            <v>0.04</v>
          </cell>
          <cell r="J210">
            <v>0</v>
          </cell>
          <cell r="K210">
            <v>106.8046875</v>
          </cell>
          <cell r="L210">
            <v>106.8359375</v>
          </cell>
          <cell r="M210">
            <v>2.964E-2</v>
          </cell>
          <cell r="N210">
            <v>2.9589999999999995E-2</v>
          </cell>
          <cell r="O210">
            <v>0</v>
          </cell>
          <cell r="P210">
            <v>106.8046875</v>
          </cell>
          <cell r="Q210">
            <v>106.8359375</v>
          </cell>
        </row>
        <row r="211">
          <cell r="A211" t="str">
            <v>T8 11/18</v>
          </cell>
          <cell r="B211" t="str">
            <v>912810EB0</v>
          </cell>
          <cell r="C211" t="str">
            <v>US912810EB09</v>
          </cell>
          <cell r="D211">
            <v>32469</v>
          </cell>
          <cell r="E211">
            <v>32462</v>
          </cell>
          <cell r="F211">
            <v>32643</v>
          </cell>
          <cell r="G211">
            <v>43235</v>
          </cell>
          <cell r="H211">
            <v>43419</v>
          </cell>
          <cell r="I211">
            <v>0.09</v>
          </cell>
          <cell r="J211">
            <v>0</v>
          </cell>
          <cell r="K211">
            <v>141.4453125</v>
          </cell>
          <cell r="L211">
            <v>141.53125</v>
          </cell>
          <cell r="M211">
            <v>2.8909999999999995E-2</v>
          </cell>
          <cell r="N211">
            <v>2.8809999999999999E-2</v>
          </cell>
          <cell r="O211">
            <v>0</v>
          </cell>
          <cell r="P211">
            <v>141.4453125</v>
          </cell>
          <cell r="Q211">
            <v>141.53125</v>
          </cell>
        </row>
        <row r="212">
          <cell r="A212" t="str">
            <v>T3,75 11/18</v>
          </cell>
          <cell r="B212" t="str">
            <v>912828JR2</v>
          </cell>
          <cell r="C212" t="str">
            <v>US912828JR22</v>
          </cell>
          <cell r="D212">
            <v>39769</v>
          </cell>
          <cell r="E212">
            <v>39767</v>
          </cell>
          <cell r="F212">
            <v>39948</v>
          </cell>
          <cell r="G212">
            <v>43235</v>
          </cell>
          <cell r="H212">
            <v>43419</v>
          </cell>
          <cell r="I212">
            <v>3.7499999999999999E-2</v>
          </cell>
          <cell r="J212">
            <v>0</v>
          </cell>
          <cell r="K212">
            <v>104.8984375</v>
          </cell>
          <cell r="L212">
            <v>104.9296875</v>
          </cell>
          <cell r="M212">
            <v>3.024E-2</v>
          </cell>
          <cell r="N212">
            <v>3.0200000000000001E-2</v>
          </cell>
          <cell r="O212">
            <v>0</v>
          </cell>
          <cell r="P212">
            <v>104.8984375</v>
          </cell>
          <cell r="Q212">
            <v>104.9296875</v>
          </cell>
        </row>
        <row r="213">
          <cell r="A213" t="str">
            <v>T2,75 02/19</v>
          </cell>
          <cell r="B213" t="str">
            <v>912828KD1</v>
          </cell>
          <cell r="C213" t="str">
            <v>US912828KD17</v>
          </cell>
          <cell r="D213">
            <v>39861</v>
          </cell>
          <cell r="E213">
            <v>39859</v>
          </cell>
          <cell r="F213">
            <v>40040</v>
          </cell>
          <cell r="G213">
            <v>43327</v>
          </cell>
          <cell r="H213">
            <v>43511</v>
          </cell>
          <cell r="I213">
            <v>2.75E-2</v>
          </cell>
          <cell r="J213">
            <v>0</v>
          </cell>
          <cell r="K213">
            <v>97.5078125</v>
          </cell>
          <cell r="L213">
            <v>97.546875</v>
          </cell>
          <cell r="M213">
            <v>3.109E-2</v>
          </cell>
          <cell r="N213">
            <v>3.1040000000000002E-2</v>
          </cell>
          <cell r="O213">
            <v>0</v>
          </cell>
          <cell r="P213">
            <v>97.5078125</v>
          </cell>
          <cell r="Q213">
            <v>97.546875</v>
          </cell>
        </row>
        <row r="214">
          <cell r="A214" t="str">
            <v>T8,875 02/19</v>
          </cell>
          <cell r="B214" t="str">
            <v>912810EC8</v>
          </cell>
          <cell r="C214" t="str">
            <v>US912810EC81</v>
          </cell>
          <cell r="D214">
            <v>32554</v>
          </cell>
          <cell r="E214">
            <v>32554</v>
          </cell>
          <cell r="F214">
            <v>32735</v>
          </cell>
          <cell r="G214">
            <v>43327</v>
          </cell>
          <cell r="H214">
            <v>43511</v>
          </cell>
          <cell r="I214">
            <v>8.8749999999999996E-2</v>
          </cell>
          <cell r="J214">
            <v>0</v>
          </cell>
          <cell r="K214">
            <v>141.2890625</v>
          </cell>
          <cell r="L214">
            <v>141.3828125</v>
          </cell>
          <cell r="M214">
            <v>2.9509999999999995E-2</v>
          </cell>
          <cell r="N214">
            <v>2.9399999999999999E-2</v>
          </cell>
          <cell r="O214">
            <v>0</v>
          </cell>
          <cell r="P214">
            <v>141.2890625</v>
          </cell>
          <cell r="Q214">
            <v>141.3828125</v>
          </cell>
        </row>
        <row r="215">
          <cell r="A215" t="str">
            <v>T3,125 05/19</v>
          </cell>
          <cell r="B215" t="str">
            <v>912828KQ2</v>
          </cell>
          <cell r="C215" t="str">
            <v>US912828KQ20</v>
          </cell>
          <cell r="D215">
            <v>39948</v>
          </cell>
          <cell r="E215">
            <v>39948</v>
          </cell>
          <cell r="F215">
            <v>40132</v>
          </cell>
          <cell r="G215">
            <v>43419</v>
          </cell>
          <cell r="H215">
            <v>43600</v>
          </cell>
          <cell r="I215">
            <v>3.125E-2</v>
          </cell>
          <cell r="J215">
            <v>0</v>
          </cell>
          <cell r="K215">
            <v>99.84375</v>
          </cell>
          <cell r="L215">
            <v>99.875</v>
          </cell>
          <cell r="M215">
            <v>3.1470000000000005E-2</v>
          </cell>
          <cell r="N215">
            <v>3.1419999999999997E-2</v>
          </cell>
          <cell r="O215">
            <v>0</v>
          </cell>
          <cell r="P215">
            <v>99.84375</v>
          </cell>
          <cell r="Q215">
            <v>99.875</v>
          </cell>
        </row>
        <row r="216">
          <cell r="A216" t="str">
            <v>T3,625 08/19</v>
          </cell>
          <cell r="B216" t="str">
            <v>912828LJ7</v>
          </cell>
          <cell r="C216" t="str">
            <v>US912828LJ77</v>
          </cell>
          <cell r="D216">
            <v>40042</v>
          </cell>
          <cell r="E216">
            <v>40040</v>
          </cell>
          <cell r="F216">
            <v>40224</v>
          </cell>
          <cell r="G216">
            <v>43511</v>
          </cell>
          <cell r="H216">
            <v>43692</v>
          </cell>
          <cell r="I216">
            <v>3.6249999999999998E-2</v>
          </cell>
          <cell r="J216">
            <v>0</v>
          </cell>
          <cell r="K216">
            <v>103.203125</v>
          </cell>
          <cell r="L216">
            <v>103.234375</v>
          </cell>
          <cell r="M216">
            <v>3.1850000000000003E-2</v>
          </cell>
          <cell r="N216">
            <v>3.1809999999999998E-2</v>
          </cell>
          <cell r="O216">
            <v>0</v>
          </cell>
          <cell r="P216">
            <v>103.203125</v>
          </cell>
          <cell r="Q216">
            <v>103.234375</v>
          </cell>
        </row>
        <row r="217">
          <cell r="A217" t="str">
            <v>T8,125 08/19</v>
          </cell>
          <cell r="B217" t="str">
            <v>912810ED6</v>
          </cell>
          <cell r="C217" t="str">
            <v>US912810ED64</v>
          </cell>
          <cell r="D217">
            <v>32735</v>
          </cell>
          <cell r="E217">
            <v>32735</v>
          </cell>
          <cell r="F217">
            <v>32919</v>
          </cell>
          <cell r="G217">
            <v>43511</v>
          </cell>
          <cell r="H217">
            <v>43692</v>
          </cell>
          <cell r="I217">
            <v>8.1250000000000003E-2</v>
          </cell>
          <cell r="J217">
            <v>0</v>
          </cell>
          <cell r="K217">
            <v>137.0703125</v>
          </cell>
          <cell r="L217">
            <v>137.15625</v>
          </cell>
          <cell r="M217">
            <v>3.065E-2</v>
          </cell>
          <cell r="N217">
            <v>3.0549999999999997E-2</v>
          </cell>
          <cell r="O217">
            <v>0</v>
          </cell>
          <cell r="P217">
            <v>137.0703125</v>
          </cell>
          <cell r="Q217">
            <v>137.15625</v>
          </cell>
        </row>
        <row r="218">
          <cell r="A218" t="str">
            <v>T3,375 11/19</v>
          </cell>
          <cell r="B218" t="str">
            <v>912828LY4</v>
          </cell>
          <cell r="C218" t="str">
            <v>US912828LY45</v>
          </cell>
          <cell r="D218">
            <v>40133</v>
          </cell>
          <cell r="E218">
            <v>40132</v>
          </cell>
          <cell r="F218">
            <v>40313</v>
          </cell>
          <cell r="G218">
            <v>43600</v>
          </cell>
          <cell r="H218">
            <v>43784</v>
          </cell>
          <cell r="I218">
            <v>3.3750000000000002E-2</v>
          </cell>
          <cell r="J218">
            <v>0</v>
          </cell>
          <cell r="K218">
            <v>100.953125</v>
          </cell>
          <cell r="L218">
            <v>100.984375</v>
          </cell>
          <cell r="M218">
            <v>3.2470000000000006E-2</v>
          </cell>
          <cell r="N218">
            <v>3.243E-2</v>
          </cell>
          <cell r="O218">
            <v>0</v>
          </cell>
          <cell r="P218">
            <v>100.953125</v>
          </cell>
          <cell r="Q218">
            <v>100.984375</v>
          </cell>
        </row>
        <row r="219">
          <cell r="A219" t="str">
            <v>T3,625 02/20</v>
          </cell>
          <cell r="B219" t="str">
            <v>912828MP2</v>
          </cell>
          <cell r="C219" t="str">
            <v>US912828MP29</v>
          </cell>
          <cell r="D219">
            <v>40225</v>
          </cell>
          <cell r="E219">
            <v>40224</v>
          </cell>
          <cell r="F219">
            <v>40405</v>
          </cell>
          <cell r="G219">
            <v>43692</v>
          </cell>
          <cell r="H219">
            <v>43876</v>
          </cell>
          <cell r="I219">
            <v>3.6249999999999998E-2</v>
          </cell>
          <cell r="J219">
            <v>0</v>
          </cell>
          <cell r="K219">
            <v>102.5546875</v>
          </cell>
          <cell r="L219">
            <v>102.5703125</v>
          </cell>
          <cell r="M219">
            <v>3.2899999999999999E-2</v>
          </cell>
          <cell r="N219">
            <v>3.288E-2</v>
          </cell>
          <cell r="O219">
            <v>0</v>
          </cell>
          <cell r="P219">
            <v>102.5546875</v>
          </cell>
          <cell r="Q219">
            <v>102.5703125</v>
          </cell>
        </row>
        <row r="220">
          <cell r="A220" t="str">
            <v>T8,5 02/20</v>
          </cell>
          <cell r="B220" t="str">
            <v>912810EE4</v>
          </cell>
          <cell r="C220" t="str">
            <v>US912810EE48</v>
          </cell>
          <cell r="D220">
            <v>32919</v>
          </cell>
          <cell r="E220">
            <v>32919</v>
          </cell>
          <cell r="F220">
            <v>33100</v>
          </cell>
          <cell r="G220">
            <v>43692</v>
          </cell>
          <cell r="H220">
            <v>43876</v>
          </cell>
          <cell r="I220">
            <v>8.5000000000000006E-2</v>
          </cell>
          <cell r="J220">
            <v>0</v>
          </cell>
          <cell r="K220">
            <v>140.9140625</v>
          </cell>
          <cell r="L220">
            <v>141.0078125</v>
          </cell>
          <cell r="M220">
            <v>3.168E-2</v>
          </cell>
          <cell r="N220">
            <v>3.1579999999999997E-2</v>
          </cell>
          <cell r="O220">
            <v>0</v>
          </cell>
          <cell r="P220">
            <v>140.9140625</v>
          </cell>
          <cell r="Q220">
            <v>141.0078125</v>
          </cell>
        </row>
        <row r="221">
          <cell r="A221" t="str">
            <v>T3,5 05/20</v>
          </cell>
          <cell r="B221" t="str">
            <v>912828ND8</v>
          </cell>
          <cell r="C221" t="str">
            <v>US912828ND89</v>
          </cell>
          <cell r="D221">
            <v>40315</v>
          </cell>
          <cell r="E221">
            <v>40313</v>
          </cell>
          <cell r="F221">
            <v>40497</v>
          </cell>
          <cell r="G221">
            <v>43784</v>
          </cell>
          <cell r="H221">
            <v>43966</v>
          </cell>
          <cell r="I221">
            <v>3.5000000000000003E-2</v>
          </cell>
          <cell r="J221">
            <v>0</v>
          </cell>
          <cell r="K221">
            <v>101.1875</v>
          </cell>
          <cell r="L221">
            <v>101.2109375</v>
          </cell>
          <cell r="M221">
            <v>3.347E-2</v>
          </cell>
          <cell r="N221">
            <v>3.3439999999999998E-2</v>
          </cell>
          <cell r="O221">
            <v>0</v>
          </cell>
          <cell r="P221">
            <v>101.1875</v>
          </cell>
          <cell r="Q221">
            <v>101.2109375</v>
          </cell>
        </row>
        <row r="222">
          <cell r="A222" t="str">
            <v>T8,75 05/20</v>
          </cell>
          <cell r="B222" t="str">
            <v>912810EF1</v>
          </cell>
          <cell r="C222" t="str">
            <v>US912810EF13</v>
          </cell>
          <cell r="D222">
            <v>33008</v>
          </cell>
          <cell r="E222">
            <v>33008</v>
          </cell>
          <cell r="F222">
            <v>33192</v>
          </cell>
          <cell r="G222">
            <v>43784</v>
          </cell>
          <cell r="H222">
            <v>43966</v>
          </cell>
          <cell r="I222">
            <v>8.7499999999999994E-2</v>
          </cell>
          <cell r="J222">
            <v>0</v>
          </cell>
          <cell r="K222">
            <v>143.28125</v>
          </cell>
          <cell r="L222">
            <v>143.375</v>
          </cell>
          <cell r="M222">
            <v>3.227E-2</v>
          </cell>
          <cell r="N222">
            <v>3.2170000000000004E-2</v>
          </cell>
          <cell r="O222">
            <v>0</v>
          </cell>
          <cell r="P222">
            <v>143.28125</v>
          </cell>
          <cell r="Q222">
            <v>143.375</v>
          </cell>
        </row>
        <row r="223">
          <cell r="A223" t="str">
            <v>T8,75 08/20</v>
          </cell>
          <cell r="B223" t="str">
            <v>912810EG9</v>
          </cell>
          <cell r="C223" t="str">
            <v>US912810EG95</v>
          </cell>
          <cell r="D223">
            <v>33100</v>
          </cell>
          <cell r="E223">
            <v>33100</v>
          </cell>
          <cell r="F223">
            <v>33284</v>
          </cell>
          <cell r="G223">
            <v>43876</v>
          </cell>
          <cell r="H223">
            <v>44058</v>
          </cell>
          <cell r="I223">
            <v>8.7499999999999994E-2</v>
          </cell>
          <cell r="J223">
            <v>0</v>
          </cell>
          <cell r="K223">
            <v>143.7890625</v>
          </cell>
          <cell r="L223">
            <v>143.8828125</v>
          </cell>
          <cell r="M223">
            <v>3.279E-2</v>
          </cell>
          <cell r="N223">
            <v>3.27E-2</v>
          </cell>
          <cell r="O223">
            <v>0</v>
          </cell>
          <cell r="P223">
            <v>143.7890625</v>
          </cell>
          <cell r="Q223">
            <v>143.8828125</v>
          </cell>
        </row>
        <row r="224">
          <cell r="A224" t="str">
            <v>T2,625 08/20</v>
          </cell>
          <cell r="B224" t="str">
            <v>912828NT3</v>
          </cell>
          <cell r="C224" t="str">
            <v>US912828NT32</v>
          </cell>
          <cell r="D224">
            <v>40406</v>
          </cell>
          <cell r="E224">
            <v>40405</v>
          </cell>
          <cell r="F224">
            <v>40589</v>
          </cell>
          <cell r="G224">
            <v>43876</v>
          </cell>
          <cell r="H224">
            <v>44058</v>
          </cell>
          <cell r="I224">
            <v>2.6249999999999999E-2</v>
          </cell>
          <cell r="J224">
            <v>0</v>
          </cell>
          <cell r="K224">
            <v>93.6328125</v>
          </cell>
          <cell r="L224">
            <v>93.65625</v>
          </cell>
          <cell r="M224">
            <v>3.4249999999999996E-2</v>
          </cell>
          <cell r="N224">
            <v>3.422E-2</v>
          </cell>
          <cell r="O224">
            <v>0</v>
          </cell>
          <cell r="P224">
            <v>93.6328125</v>
          </cell>
          <cell r="Q224">
            <v>93.65625</v>
          </cell>
        </row>
        <row r="225">
          <cell r="A225" t="str">
            <v>T2,625 11/20</v>
          </cell>
          <cell r="B225" t="str">
            <v>912828PC8</v>
          </cell>
          <cell r="C225" t="str">
            <v>US912828PC88</v>
          </cell>
          <cell r="D225">
            <v>40497</v>
          </cell>
          <cell r="E225">
            <v>40497</v>
          </cell>
          <cell r="F225">
            <v>40678</v>
          </cell>
          <cell r="G225">
            <v>43966</v>
          </cell>
          <cell r="H225">
            <v>44150</v>
          </cell>
          <cell r="I225">
            <v>2.6249999999999999E-2</v>
          </cell>
          <cell r="J225">
            <v>0</v>
          </cell>
          <cell r="K225">
            <v>93.1328125</v>
          </cell>
          <cell r="L225">
            <v>93.15625</v>
          </cell>
          <cell r="M225">
            <v>3.4709999999999998E-2</v>
          </cell>
          <cell r="N225">
            <v>3.4680000000000002E-2</v>
          </cell>
          <cell r="O225">
            <v>0</v>
          </cell>
          <cell r="P225">
            <v>93.1328125</v>
          </cell>
          <cell r="Q225">
            <v>93.15625</v>
          </cell>
        </row>
        <row r="226">
          <cell r="A226" t="str">
            <v>T7,875 02/21</v>
          </cell>
          <cell r="B226" t="str">
            <v>912810EH7</v>
          </cell>
          <cell r="C226" t="str">
            <v>US912810EH78</v>
          </cell>
          <cell r="D226">
            <v>33284</v>
          </cell>
          <cell r="E226">
            <v>33284</v>
          </cell>
          <cell r="F226">
            <v>33465</v>
          </cell>
          <cell r="G226">
            <v>44058</v>
          </cell>
          <cell r="H226">
            <v>44242</v>
          </cell>
          <cell r="I226">
            <v>7.8750000000000001E-2</v>
          </cell>
          <cell r="J226">
            <v>0</v>
          </cell>
          <cell r="K226">
            <v>137.453125</v>
          </cell>
          <cell r="L226">
            <v>137.53125</v>
          </cell>
          <cell r="M226">
            <v>3.3769999999999994E-2</v>
          </cell>
          <cell r="N226">
            <v>3.3699999999999994E-2</v>
          </cell>
          <cell r="O226">
            <v>0</v>
          </cell>
          <cell r="P226">
            <v>137.453125</v>
          </cell>
          <cell r="Q226">
            <v>137.53125</v>
          </cell>
        </row>
        <row r="227">
          <cell r="A227" t="str">
            <v>T3,625 02/21</v>
          </cell>
          <cell r="B227" t="str">
            <v>912828PX2</v>
          </cell>
          <cell r="C227" t="str">
            <v>US912828PX26</v>
          </cell>
          <cell r="D227">
            <v>40589</v>
          </cell>
          <cell r="E227">
            <v>40589</v>
          </cell>
          <cell r="F227">
            <v>40770</v>
          </cell>
          <cell r="G227">
            <v>44058</v>
          </cell>
          <cell r="H227">
            <v>44242</v>
          </cell>
          <cell r="I227">
            <v>3.6249999999999998E-2</v>
          </cell>
          <cell r="J227">
            <v>0</v>
          </cell>
          <cell r="K227">
            <v>101.234375</v>
          </cell>
          <cell r="L227">
            <v>101.25</v>
          </cell>
          <cell r="M227">
            <v>3.4759999999999992E-2</v>
          </cell>
          <cell r="N227">
            <v>3.474E-2</v>
          </cell>
          <cell r="O227">
            <v>0</v>
          </cell>
          <cell r="P227">
            <v>101.234375</v>
          </cell>
          <cell r="Q227">
            <v>101.25</v>
          </cell>
        </row>
        <row r="228">
          <cell r="A228" t="str">
            <v>T8,125 05/21</v>
          </cell>
          <cell r="B228" t="str">
            <v>912810EJ3</v>
          </cell>
          <cell r="C228" t="str">
            <v>US912810EJ35</v>
          </cell>
          <cell r="D228">
            <v>33373</v>
          </cell>
          <cell r="E228">
            <v>33373</v>
          </cell>
          <cell r="F228">
            <v>33557</v>
          </cell>
          <cell r="G228">
            <v>44150</v>
          </cell>
          <cell r="H228">
            <v>44331</v>
          </cell>
          <cell r="I228">
            <v>8.1250000000000003E-2</v>
          </cell>
          <cell r="J228">
            <v>0</v>
          </cell>
          <cell r="K228">
            <v>139.8125</v>
          </cell>
          <cell r="L228">
            <v>139.890625</v>
          </cell>
          <cell r="M228">
            <v>3.4299999999999997E-2</v>
          </cell>
          <cell r="N228">
            <v>3.4230000000000003E-2</v>
          </cell>
          <cell r="O228">
            <v>0</v>
          </cell>
          <cell r="P228">
            <v>139.8125</v>
          </cell>
          <cell r="Q228">
            <v>139.890625</v>
          </cell>
        </row>
        <row r="229">
          <cell r="A229" t="str">
            <v>T8,125 08/21</v>
          </cell>
          <cell r="B229" t="str">
            <v>912810EK0</v>
          </cell>
          <cell r="C229" t="str">
            <v>US912810EK08</v>
          </cell>
          <cell r="D229">
            <v>33465</v>
          </cell>
          <cell r="E229">
            <v>33465</v>
          </cell>
          <cell r="F229">
            <v>33649</v>
          </cell>
          <cell r="G229">
            <v>44242</v>
          </cell>
          <cell r="H229">
            <v>44423</v>
          </cell>
          <cell r="I229">
            <v>8.1250000000000003E-2</v>
          </cell>
          <cell r="J229">
            <v>0</v>
          </cell>
          <cell r="K229">
            <v>140.21875</v>
          </cell>
          <cell r="L229">
            <v>140.28125</v>
          </cell>
          <cell r="M229">
            <v>3.4699999999999995E-2</v>
          </cell>
          <cell r="N229">
            <v>3.4639999999999997E-2</v>
          </cell>
          <cell r="O229">
            <v>0</v>
          </cell>
          <cell r="P229">
            <v>140.21875</v>
          </cell>
          <cell r="Q229">
            <v>140.28125</v>
          </cell>
        </row>
        <row r="230">
          <cell r="A230" t="str">
            <v>T8 11/21</v>
          </cell>
          <cell r="B230" t="str">
            <v>912810EL8</v>
          </cell>
          <cell r="C230" t="str">
            <v>US912810EL80</v>
          </cell>
          <cell r="D230">
            <v>33557</v>
          </cell>
          <cell r="E230">
            <v>33557</v>
          </cell>
          <cell r="F230">
            <v>33739</v>
          </cell>
          <cell r="G230">
            <v>44331</v>
          </cell>
          <cell r="H230">
            <v>44515</v>
          </cell>
          <cell r="I230">
            <v>0.08</v>
          </cell>
          <cell r="J230">
            <v>0</v>
          </cell>
          <cell r="K230">
            <v>139.34375</v>
          </cell>
          <cell r="L230">
            <v>139.421875</v>
          </cell>
          <cell r="M230">
            <v>3.5220000000000001E-2</v>
          </cell>
          <cell r="N230">
            <v>3.5149999999999994E-2</v>
          </cell>
          <cell r="O230">
            <v>0</v>
          </cell>
          <cell r="P230">
            <v>139.34375</v>
          </cell>
          <cell r="Q230">
            <v>139.421875</v>
          </cell>
        </row>
        <row r="231">
          <cell r="A231" t="str">
            <v>T7,25 08/22</v>
          </cell>
          <cell r="B231" t="str">
            <v>912810EM6</v>
          </cell>
          <cell r="C231" t="str">
            <v>US912810EM63</v>
          </cell>
          <cell r="D231">
            <v>33833</v>
          </cell>
          <cell r="E231">
            <v>33831</v>
          </cell>
          <cell r="F231">
            <v>34015</v>
          </cell>
          <cell r="G231">
            <v>44607</v>
          </cell>
          <cell r="H231">
            <v>44788</v>
          </cell>
          <cell r="I231">
            <v>7.2499999999999995E-2</v>
          </cell>
          <cell r="J231">
            <v>0</v>
          </cell>
          <cell r="K231">
            <v>133.25</v>
          </cell>
          <cell r="L231">
            <v>133.34375</v>
          </cell>
          <cell r="M231">
            <v>3.6479999999999999E-2</v>
          </cell>
          <cell r="N231">
            <v>3.6400000000000002E-2</v>
          </cell>
          <cell r="O231">
            <v>0</v>
          </cell>
          <cell r="P231">
            <v>133.25</v>
          </cell>
          <cell r="Q231">
            <v>133.34375</v>
          </cell>
        </row>
        <row r="232">
          <cell r="A232" t="str">
            <v>T7,625 11/22</v>
          </cell>
          <cell r="B232" t="str">
            <v>912810EN4</v>
          </cell>
          <cell r="C232" t="str">
            <v>US912810EN47</v>
          </cell>
          <cell r="D232">
            <v>33924</v>
          </cell>
          <cell r="E232">
            <v>33923</v>
          </cell>
          <cell r="F232">
            <v>34104</v>
          </cell>
          <cell r="G232">
            <v>44696</v>
          </cell>
          <cell r="H232">
            <v>44880</v>
          </cell>
          <cell r="I232">
            <v>7.6249999999999998E-2</v>
          </cell>
          <cell r="J232">
            <v>0</v>
          </cell>
          <cell r="K232">
            <v>137.03125</v>
          </cell>
          <cell r="L232">
            <v>137.09375</v>
          </cell>
          <cell r="M232">
            <v>3.6759999999999994E-2</v>
          </cell>
          <cell r="N232">
            <v>3.671E-2</v>
          </cell>
          <cell r="O232">
            <v>0</v>
          </cell>
          <cell r="P232">
            <v>137.03125</v>
          </cell>
          <cell r="Q232">
            <v>137.09375</v>
          </cell>
        </row>
        <row r="233">
          <cell r="A233" t="str">
            <v>T7,125 02/23</v>
          </cell>
          <cell r="B233" t="str">
            <v>912810EP9</v>
          </cell>
          <cell r="C233" t="str">
            <v>US912810EP94</v>
          </cell>
          <cell r="D233">
            <v>34016</v>
          </cell>
          <cell r="E233">
            <v>34015</v>
          </cell>
          <cell r="F233">
            <v>34196</v>
          </cell>
          <cell r="G233">
            <v>44788</v>
          </cell>
          <cell r="H233">
            <v>44972</v>
          </cell>
          <cell r="I233">
            <v>7.1249999999999994E-2</v>
          </cell>
          <cell r="J233">
            <v>0</v>
          </cell>
          <cell r="K233">
            <v>132.296875</v>
          </cell>
          <cell r="L233">
            <v>132.390625</v>
          </cell>
          <cell r="M233">
            <v>3.73E-2</v>
          </cell>
          <cell r="N233">
            <v>3.7220000000000003E-2</v>
          </cell>
          <cell r="O233">
            <v>0</v>
          </cell>
          <cell r="P233">
            <v>132.296875</v>
          </cell>
          <cell r="Q233">
            <v>132.390625</v>
          </cell>
        </row>
        <row r="234">
          <cell r="A234" t="str">
            <v>T6,25 08/23</v>
          </cell>
          <cell r="B234" t="str">
            <v>912810EQ7</v>
          </cell>
          <cell r="C234" t="str">
            <v>US912810EQ77</v>
          </cell>
          <cell r="D234">
            <v>34197</v>
          </cell>
          <cell r="E234">
            <v>34196</v>
          </cell>
          <cell r="F234">
            <v>34380</v>
          </cell>
          <cell r="G234">
            <v>44972</v>
          </cell>
          <cell r="H234">
            <v>45153</v>
          </cell>
          <cell r="I234">
            <v>6.25E-2</v>
          </cell>
          <cell r="J234">
            <v>0</v>
          </cell>
          <cell r="K234">
            <v>123.84375</v>
          </cell>
          <cell r="L234">
            <v>123.9375</v>
          </cell>
          <cell r="M234">
            <v>3.8119999999999994E-2</v>
          </cell>
          <cell r="N234">
            <v>3.8039999999999997E-2</v>
          </cell>
          <cell r="O234">
            <v>0</v>
          </cell>
          <cell r="P234">
            <v>123.84375</v>
          </cell>
          <cell r="Q234">
            <v>123.9375</v>
          </cell>
        </row>
        <row r="235">
          <cell r="A235" t="str">
            <v>T7,5 11/24</v>
          </cell>
          <cell r="B235" t="str">
            <v>912810ES3</v>
          </cell>
          <cell r="C235" t="str">
            <v>US912810ES34</v>
          </cell>
          <cell r="D235">
            <v>34561</v>
          </cell>
          <cell r="E235">
            <v>34561</v>
          </cell>
          <cell r="F235">
            <v>34653</v>
          </cell>
          <cell r="G235">
            <v>45427</v>
          </cell>
          <cell r="H235">
            <v>45611</v>
          </cell>
          <cell r="I235">
            <v>7.4999999999999997E-2</v>
          </cell>
          <cell r="J235">
            <v>0</v>
          </cell>
          <cell r="K235">
            <v>137.625</v>
          </cell>
          <cell r="L235">
            <v>137.6875</v>
          </cell>
          <cell r="M235">
            <v>3.9079999999999997E-2</v>
          </cell>
          <cell r="N235">
            <v>3.9030000000000002E-2</v>
          </cell>
          <cell r="O235">
            <v>0</v>
          </cell>
          <cell r="P235">
            <v>137.625</v>
          </cell>
          <cell r="Q235">
            <v>137.6875</v>
          </cell>
        </row>
        <row r="236">
          <cell r="A236" t="str">
            <v>T7,625 02/25</v>
          </cell>
          <cell r="B236" t="str">
            <v>912810ET1</v>
          </cell>
          <cell r="C236" t="str">
            <v>US912810ET17</v>
          </cell>
          <cell r="D236">
            <v>34745</v>
          </cell>
          <cell r="E236">
            <v>34745</v>
          </cell>
          <cell r="F236">
            <v>34926</v>
          </cell>
          <cell r="G236">
            <v>45519</v>
          </cell>
          <cell r="H236">
            <v>45703</v>
          </cell>
          <cell r="I236">
            <v>7.6249999999999998E-2</v>
          </cell>
          <cell r="J236">
            <v>0</v>
          </cell>
          <cell r="K236">
            <v>139.265625</v>
          </cell>
          <cell r="L236">
            <v>139.34375</v>
          </cell>
          <cell r="M236">
            <v>3.925E-2</v>
          </cell>
          <cell r="N236">
            <v>3.9189999999999996E-2</v>
          </cell>
          <cell r="O236">
            <v>0</v>
          </cell>
          <cell r="P236">
            <v>139.265625</v>
          </cell>
          <cell r="Q236">
            <v>139.34375</v>
          </cell>
        </row>
        <row r="237">
          <cell r="A237" t="str">
            <v>T6,875 08/25</v>
          </cell>
          <cell r="B237" t="str">
            <v>912810EV6</v>
          </cell>
          <cell r="C237" t="str">
            <v>US912810EV62</v>
          </cell>
          <cell r="D237">
            <v>34926</v>
          </cell>
          <cell r="E237">
            <v>34926</v>
          </cell>
          <cell r="F237">
            <v>35110</v>
          </cell>
          <cell r="G237">
            <v>45703</v>
          </cell>
          <cell r="H237">
            <v>45884</v>
          </cell>
          <cell r="I237">
            <v>6.8750000000000006E-2</v>
          </cell>
          <cell r="J237">
            <v>0</v>
          </cell>
          <cell r="K237">
            <v>131.25</v>
          </cell>
          <cell r="L237">
            <v>131.3125</v>
          </cell>
          <cell r="M237">
            <v>3.9939999999999996E-2</v>
          </cell>
          <cell r="N237">
            <v>3.9890000000000002E-2</v>
          </cell>
          <cell r="O237">
            <v>0</v>
          </cell>
          <cell r="P237">
            <v>131.25</v>
          </cell>
          <cell r="Q237">
            <v>131.3125</v>
          </cell>
        </row>
        <row r="238">
          <cell r="A238" t="str">
            <v>T5 02/26</v>
          </cell>
          <cell r="B238" t="str">
            <v>912810EW4</v>
          </cell>
          <cell r="C238" t="str">
            <v>US912810EW46</v>
          </cell>
          <cell r="D238">
            <v>35110</v>
          </cell>
          <cell r="E238">
            <v>35110</v>
          </cell>
          <cell r="F238">
            <v>35292</v>
          </cell>
          <cell r="G238">
            <v>45884</v>
          </cell>
          <cell r="H238">
            <v>46068</v>
          </cell>
          <cell r="I238">
            <v>0.06</v>
          </cell>
          <cell r="J238">
            <v>0</v>
          </cell>
          <cell r="K238">
            <v>121.40625</v>
          </cell>
          <cell r="L238">
            <v>121.46875</v>
          </cell>
          <cell r="M238">
            <v>4.0660000000000002E-2</v>
          </cell>
          <cell r="N238">
            <v>4.061E-2</v>
          </cell>
          <cell r="O238">
            <v>0</v>
          </cell>
          <cell r="P238">
            <v>121.40625</v>
          </cell>
          <cell r="Q238">
            <v>121.46875</v>
          </cell>
        </row>
        <row r="239">
          <cell r="A239" t="str">
            <v>T6,75 08/26</v>
          </cell>
          <cell r="B239" t="str">
            <v>912810EX2</v>
          </cell>
          <cell r="C239" t="str">
            <v>US912810EX29</v>
          </cell>
          <cell r="D239">
            <v>35292</v>
          </cell>
          <cell r="E239">
            <v>35292</v>
          </cell>
          <cell r="F239">
            <v>35476</v>
          </cell>
          <cell r="G239">
            <v>46068</v>
          </cell>
          <cell r="H239">
            <v>46249</v>
          </cell>
          <cell r="I239">
            <v>6.7500000000000004E-2</v>
          </cell>
          <cell r="J239">
            <v>0</v>
          </cell>
          <cell r="K239">
            <v>130.3125</v>
          </cell>
          <cell r="L239">
            <v>130.375</v>
          </cell>
          <cell r="M239">
            <v>4.0750000000000001E-2</v>
          </cell>
          <cell r="N239">
            <v>4.07E-2</v>
          </cell>
          <cell r="O239">
            <v>0</v>
          </cell>
          <cell r="P239">
            <v>130.3125</v>
          </cell>
          <cell r="Q239">
            <v>130.375</v>
          </cell>
        </row>
        <row r="240">
          <cell r="A240" t="str">
            <v>T6,5 11/26</v>
          </cell>
          <cell r="B240" t="str">
            <v>912810EY0</v>
          </cell>
          <cell r="C240" t="str">
            <v>US912810EY02</v>
          </cell>
          <cell r="D240">
            <v>35384</v>
          </cell>
          <cell r="E240">
            <v>35384</v>
          </cell>
          <cell r="F240">
            <v>35565</v>
          </cell>
          <cell r="G240">
            <v>46157</v>
          </cell>
          <cell r="H240">
            <v>46341</v>
          </cell>
          <cell r="I240">
            <v>6.5000000000000002E-2</v>
          </cell>
          <cell r="J240">
            <v>0</v>
          </cell>
          <cell r="K240">
            <v>127.421875</v>
          </cell>
          <cell r="L240">
            <v>127.46875</v>
          </cell>
          <cell r="M240">
            <v>4.1029999999999997E-2</v>
          </cell>
          <cell r="N240">
            <v>4.0999999999999995E-2</v>
          </cell>
          <cell r="O240">
            <v>0</v>
          </cell>
          <cell r="P240">
            <v>127.421875</v>
          </cell>
          <cell r="Q240">
            <v>127.46875</v>
          </cell>
        </row>
        <row r="241">
          <cell r="A241" t="str">
            <v>T6,625 02/27</v>
          </cell>
          <cell r="B241" t="str">
            <v>912810EZ7</v>
          </cell>
          <cell r="C241" t="str">
            <v>US912810EZ76</v>
          </cell>
          <cell r="D241">
            <v>35479</v>
          </cell>
          <cell r="E241">
            <v>35476</v>
          </cell>
          <cell r="F241">
            <v>35657</v>
          </cell>
          <cell r="G241">
            <v>46249</v>
          </cell>
          <cell r="H241">
            <v>46433</v>
          </cell>
          <cell r="I241">
            <v>6.6250000000000003E-2</v>
          </cell>
          <cell r="J241">
            <v>0</v>
          </cell>
          <cell r="K241">
            <v>129.046875</v>
          </cell>
          <cell r="L241">
            <v>129.109375</v>
          </cell>
          <cell r="M241">
            <v>4.1129999999999993E-2</v>
          </cell>
          <cell r="N241">
            <v>4.1090000000000002E-2</v>
          </cell>
          <cell r="O241">
            <v>0</v>
          </cell>
          <cell r="P241">
            <v>129.046875</v>
          </cell>
          <cell r="Q241">
            <v>129.109375</v>
          </cell>
        </row>
        <row r="242">
          <cell r="A242" t="str">
            <v>T6,375 08/27</v>
          </cell>
          <cell r="B242" t="str">
            <v>912810FA1</v>
          </cell>
          <cell r="C242" t="str">
            <v>US912810FA17</v>
          </cell>
          <cell r="D242">
            <v>35657</v>
          </cell>
          <cell r="E242">
            <v>35657</v>
          </cell>
          <cell r="F242">
            <v>35841</v>
          </cell>
          <cell r="G242">
            <v>46433</v>
          </cell>
          <cell r="H242">
            <v>46614</v>
          </cell>
          <cell r="I242">
            <v>6.3750000000000001E-2</v>
          </cell>
          <cell r="J242">
            <v>0</v>
          </cell>
          <cell r="K242">
            <v>126.21875</v>
          </cell>
          <cell r="L242">
            <v>126.28125</v>
          </cell>
          <cell r="M242">
            <v>4.1509999999999998E-2</v>
          </cell>
          <cell r="N242">
            <v>4.1459999999999997E-2</v>
          </cell>
          <cell r="O242">
            <v>0</v>
          </cell>
          <cell r="P242">
            <v>126.21875</v>
          </cell>
          <cell r="Q242">
            <v>126.28125</v>
          </cell>
        </row>
        <row r="243">
          <cell r="A243" t="str">
            <v>T6,125 11/27</v>
          </cell>
          <cell r="B243" t="str">
            <v>912810FB9</v>
          </cell>
          <cell r="C243" t="str">
            <v>US912810FB99</v>
          </cell>
          <cell r="D243">
            <v>35751</v>
          </cell>
          <cell r="E243">
            <v>35749</v>
          </cell>
          <cell r="F243">
            <v>35930</v>
          </cell>
          <cell r="G243">
            <v>46522</v>
          </cell>
          <cell r="H243">
            <v>46706</v>
          </cell>
          <cell r="I243">
            <v>6.1249999999999999E-2</v>
          </cell>
          <cell r="J243">
            <v>0</v>
          </cell>
          <cell r="K243">
            <v>123.1875</v>
          </cell>
          <cell r="L243">
            <v>123.25</v>
          </cell>
          <cell r="M243">
            <v>4.1749999999999995E-2</v>
          </cell>
          <cell r="N243">
            <v>4.1700000000000001E-2</v>
          </cell>
          <cell r="O243">
            <v>0</v>
          </cell>
          <cell r="P243">
            <v>123.1875</v>
          </cell>
          <cell r="Q243">
            <v>123.25</v>
          </cell>
        </row>
        <row r="244">
          <cell r="A244" t="str">
            <v>T5,5 08/28</v>
          </cell>
          <cell r="B244" t="str">
            <v>912810FE3</v>
          </cell>
          <cell r="C244" t="str">
            <v>US912810FE39</v>
          </cell>
          <cell r="D244">
            <v>36024</v>
          </cell>
          <cell r="E244">
            <v>36022</v>
          </cell>
          <cell r="F244">
            <v>36206</v>
          </cell>
          <cell r="G244">
            <v>46798</v>
          </cell>
          <cell r="H244">
            <v>46980</v>
          </cell>
          <cell r="I244">
            <v>5.5E-2</v>
          </cell>
          <cell r="J244">
            <v>0</v>
          </cell>
          <cell r="K244">
            <v>115.484375</v>
          </cell>
          <cell r="L244">
            <v>115.5625</v>
          </cell>
          <cell r="M244">
            <v>4.2310000000000007E-2</v>
          </cell>
          <cell r="N244">
            <v>4.2249999999999996E-2</v>
          </cell>
          <cell r="O244">
            <v>0</v>
          </cell>
          <cell r="P244">
            <v>115.484375</v>
          </cell>
          <cell r="Q244">
            <v>115.5625</v>
          </cell>
        </row>
        <row r="245">
          <cell r="A245" t="str">
            <v>T5,25 11/28</v>
          </cell>
          <cell r="B245" t="str">
            <v>912810FF0</v>
          </cell>
          <cell r="C245" t="str">
            <v>US912810FF04</v>
          </cell>
          <cell r="D245">
            <v>36115</v>
          </cell>
          <cell r="E245">
            <v>36114</v>
          </cell>
          <cell r="F245">
            <v>36295</v>
          </cell>
          <cell r="G245">
            <v>46888</v>
          </cell>
          <cell r="H245">
            <v>47072</v>
          </cell>
          <cell r="I245">
            <v>5.2499999999999998E-2</v>
          </cell>
          <cell r="J245">
            <v>0</v>
          </cell>
          <cell r="K245">
            <v>112.296875</v>
          </cell>
          <cell r="L245">
            <v>112.359375</v>
          </cell>
          <cell r="M245">
            <v>4.2510000000000006E-2</v>
          </cell>
          <cell r="N245">
            <v>4.2460000000000005E-2</v>
          </cell>
          <cell r="O245">
            <v>0</v>
          </cell>
          <cell r="P245">
            <v>112.296875</v>
          </cell>
          <cell r="Q245">
            <v>112.359375</v>
          </cell>
        </row>
        <row r="246">
          <cell r="A246" t="str">
            <v>T5,25 02/29</v>
          </cell>
          <cell r="B246" t="str">
            <v>912810FG8</v>
          </cell>
          <cell r="C246" t="str">
            <v>US912810FG86</v>
          </cell>
          <cell r="D246">
            <v>36207</v>
          </cell>
          <cell r="E246">
            <v>36206</v>
          </cell>
          <cell r="F246">
            <v>36387</v>
          </cell>
          <cell r="G246">
            <v>46980</v>
          </cell>
          <cell r="H246">
            <v>47164</v>
          </cell>
          <cell r="I246">
            <v>5.2499999999999998E-2</v>
          </cell>
          <cell r="J246">
            <v>0</v>
          </cell>
          <cell r="K246">
            <v>112.34375</v>
          </cell>
          <cell r="L246">
            <v>112.40625</v>
          </cell>
          <cell r="M246">
            <v>4.2560000000000001E-2</v>
          </cell>
          <cell r="N246">
            <v>4.2510000000000006E-2</v>
          </cell>
          <cell r="O246">
            <v>0</v>
          </cell>
          <cell r="P246">
            <v>112.34375</v>
          </cell>
          <cell r="Q246">
            <v>112.40625</v>
          </cell>
        </row>
        <row r="247">
          <cell r="A247" t="str">
            <v>T6,125 08/29</v>
          </cell>
          <cell r="B247" t="str">
            <v>912810FJ2</v>
          </cell>
          <cell r="C247" t="str">
            <v>US912810FJ26</v>
          </cell>
          <cell r="D247">
            <v>36388</v>
          </cell>
          <cell r="E247">
            <v>36387</v>
          </cell>
          <cell r="F247">
            <v>36571</v>
          </cell>
          <cell r="G247">
            <v>47164</v>
          </cell>
          <cell r="H247">
            <v>47345</v>
          </cell>
          <cell r="I247">
            <v>6.1249999999999999E-2</v>
          </cell>
          <cell r="J247">
            <v>0</v>
          </cell>
          <cell r="K247">
            <v>123.84375</v>
          </cell>
          <cell r="L247">
            <v>123.9375</v>
          </cell>
          <cell r="M247">
            <v>4.2419999999999999E-2</v>
          </cell>
          <cell r="N247">
            <v>4.2360000000000009E-2</v>
          </cell>
          <cell r="O247">
            <v>0</v>
          </cell>
          <cell r="P247">
            <v>123.84375</v>
          </cell>
          <cell r="Q247">
            <v>123.9375</v>
          </cell>
        </row>
        <row r="248">
          <cell r="A248" t="str">
            <v>T6,25 05/30</v>
          </cell>
          <cell r="B248" t="str">
            <v>912810FM5</v>
          </cell>
          <cell r="C248" t="str">
            <v>US912810FM54</v>
          </cell>
          <cell r="D248">
            <v>36571</v>
          </cell>
          <cell r="E248">
            <v>36479</v>
          </cell>
          <cell r="F248">
            <v>36661</v>
          </cell>
          <cell r="G248">
            <v>47437</v>
          </cell>
          <cell r="H248">
            <v>47618</v>
          </cell>
          <cell r="I248">
            <v>6.25E-2</v>
          </cell>
          <cell r="J248">
            <v>0</v>
          </cell>
          <cell r="K248">
            <v>125.78125</v>
          </cell>
          <cell r="L248">
            <v>125.84375</v>
          </cell>
          <cell r="M248">
            <v>4.2630000000000001E-2</v>
          </cell>
          <cell r="N248">
            <v>4.2590000000000003E-2</v>
          </cell>
          <cell r="O248">
            <v>0</v>
          </cell>
          <cell r="P248">
            <v>125.78125</v>
          </cell>
          <cell r="Q248">
            <v>125.84375</v>
          </cell>
        </row>
        <row r="249">
          <cell r="A249" t="str">
            <v>T5,375 02/31</v>
          </cell>
          <cell r="B249" t="str">
            <v>912810FP8</v>
          </cell>
          <cell r="C249" t="str">
            <v>US912810FP85</v>
          </cell>
          <cell r="D249">
            <v>36937</v>
          </cell>
          <cell r="E249">
            <v>36937</v>
          </cell>
          <cell r="F249">
            <v>37118</v>
          </cell>
          <cell r="G249">
            <v>47710</v>
          </cell>
          <cell r="H249">
            <v>47894</v>
          </cell>
          <cell r="I249">
            <v>5.3749999999999999E-2</v>
          </cell>
          <cell r="J249">
            <v>0</v>
          </cell>
          <cell r="K249">
            <v>114.140625</v>
          </cell>
          <cell r="L249">
            <v>114.203125</v>
          </cell>
          <cell r="M249">
            <v>4.308E-2</v>
          </cell>
          <cell r="N249">
            <v>4.3039999999999995E-2</v>
          </cell>
          <cell r="O249">
            <v>0</v>
          </cell>
          <cell r="P249">
            <v>114.140625</v>
          </cell>
          <cell r="Q249">
            <v>114.203125</v>
          </cell>
        </row>
        <row r="250">
          <cell r="A250" t="str">
            <v>T4,5 02/36</v>
          </cell>
          <cell r="B250" t="str">
            <v>912810FT0</v>
          </cell>
          <cell r="C250" t="str">
            <v>US912810FT08</v>
          </cell>
          <cell r="D250">
            <v>38763</v>
          </cell>
          <cell r="E250">
            <v>38763</v>
          </cell>
          <cell r="F250">
            <v>38944</v>
          </cell>
          <cell r="G250">
            <v>49536</v>
          </cell>
          <cell r="H250">
            <v>49720</v>
          </cell>
          <cell r="I250">
            <v>4.4999999999999998E-2</v>
          </cell>
          <cell r="J250">
            <v>0</v>
          </cell>
          <cell r="K250">
            <v>100.84375</v>
          </cell>
          <cell r="L250">
            <v>100.90625</v>
          </cell>
          <cell r="M250">
            <v>4.4430000000000004E-2</v>
          </cell>
          <cell r="N250">
            <v>4.4390000000000013E-2</v>
          </cell>
          <cell r="O250">
            <v>0</v>
          </cell>
          <cell r="P250">
            <v>100.84375</v>
          </cell>
          <cell r="Q250">
            <v>100.90625</v>
          </cell>
        </row>
        <row r="251">
          <cell r="A251" t="str">
            <v>T4,75 02/37</v>
          </cell>
          <cell r="B251" t="str">
            <v>912810PT9</v>
          </cell>
          <cell r="C251" t="str">
            <v>US912810PT97</v>
          </cell>
          <cell r="D251">
            <v>39128</v>
          </cell>
          <cell r="E251">
            <v>39128</v>
          </cell>
          <cell r="F251">
            <v>39309</v>
          </cell>
          <cell r="G251">
            <v>49902</v>
          </cell>
          <cell r="H251">
            <v>50086</v>
          </cell>
          <cell r="I251">
            <v>4.7500000000000001E-2</v>
          </cell>
          <cell r="J251">
            <v>0</v>
          </cell>
          <cell r="K251">
            <v>104.53125</v>
          </cell>
          <cell r="L251">
            <v>104.59375</v>
          </cell>
          <cell r="M251">
            <v>4.453E-2</v>
          </cell>
          <cell r="N251">
            <v>4.4490000000000009E-2</v>
          </cell>
          <cell r="O251">
            <v>0</v>
          </cell>
          <cell r="P251">
            <v>104.53125</v>
          </cell>
          <cell r="Q251">
            <v>104.59375</v>
          </cell>
        </row>
        <row r="252">
          <cell r="A252" t="str">
            <v>T5 05/37</v>
          </cell>
          <cell r="B252" t="str">
            <v>912810PU6</v>
          </cell>
          <cell r="C252" t="str">
            <v>US912810PU60</v>
          </cell>
          <cell r="D252">
            <v>39309</v>
          </cell>
          <cell r="E252">
            <v>39217</v>
          </cell>
          <cell r="F252">
            <v>39401</v>
          </cell>
          <cell r="G252">
            <v>49994</v>
          </cell>
          <cell r="H252">
            <v>50175</v>
          </cell>
          <cell r="I252">
            <v>0.05</v>
          </cell>
          <cell r="J252">
            <v>0</v>
          </cell>
          <cell r="K252">
            <v>108.515625</v>
          </cell>
          <cell r="L252">
            <v>108.5625</v>
          </cell>
          <cell r="M252">
            <v>4.4450000000000003E-2</v>
          </cell>
          <cell r="N252">
            <v>4.4420000000000001E-2</v>
          </cell>
          <cell r="O252">
            <v>0</v>
          </cell>
          <cell r="P252">
            <v>108.515625</v>
          </cell>
          <cell r="Q252">
            <v>108.5625</v>
          </cell>
        </row>
        <row r="253">
          <cell r="A253" t="str">
            <v>T4,375 02/38</v>
          </cell>
          <cell r="B253" t="str">
            <v>912810PW2</v>
          </cell>
          <cell r="C253" t="str">
            <v>US912810PW27</v>
          </cell>
          <cell r="D253">
            <v>39493</v>
          </cell>
          <cell r="E253">
            <v>39493</v>
          </cell>
          <cell r="F253">
            <v>39675</v>
          </cell>
          <cell r="G253">
            <v>50267</v>
          </cell>
          <cell r="H253">
            <v>50451</v>
          </cell>
          <cell r="I253">
            <v>4.3749999999999997E-2</v>
          </cell>
          <cell r="J253">
            <v>0</v>
          </cell>
          <cell r="K253">
            <v>98.25</v>
          </cell>
          <cell r="L253">
            <v>98.3125</v>
          </cell>
          <cell r="M253">
            <v>4.487E-2</v>
          </cell>
          <cell r="N253">
            <v>4.4830000000000009E-2</v>
          </cell>
          <cell r="O253">
            <v>0</v>
          </cell>
          <cell r="P253">
            <v>98.25</v>
          </cell>
          <cell r="Q253">
            <v>98.3125</v>
          </cell>
        </row>
        <row r="254">
          <cell r="A254" t="str">
            <v>T4,5 05/38</v>
          </cell>
          <cell r="B254" t="str">
            <v>912810PX0</v>
          </cell>
          <cell r="C254" t="str">
            <v>US912810PX00</v>
          </cell>
          <cell r="D254">
            <v>39675</v>
          </cell>
          <cell r="E254">
            <v>39583</v>
          </cell>
          <cell r="F254">
            <v>39767</v>
          </cell>
          <cell r="G254">
            <v>50359</v>
          </cell>
          <cell r="H254">
            <v>50540</v>
          </cell>
          <cell r="I254">
            <v>4.4999999999999998E-2</v>
          </cell>
          <cell r="J254">
            <v>0</v>
          </cell>
          <cell r="K254">
            <v>100.1875</v>
          </cell>
          <cell r="L254">
            <v>100.25</v>
          </cell>
          <cell r="M254">
            <v>4.4880000000000003E-2</v>
          </cell>
          <cell r="N254">
            <v>4.4839999999999998E-2</v>
          </cell>
          <cell r="O254">
            <v>0</v>
          </cell>
          <cell r="P254">
            <v>100.1875</v>
          </cell>
          <cell r="Q254">
            <v>100.25</v>
          </cell>
        </row>
        <row r="255">
          <cell r="A255" t="str">
            <v>T3,5 02/39</v>
          </cell>
          <cell r="B255" t="str">
            <v>912810QA9</v>
          </cell>
          <cell r="C255" t="str">
            <v>US912810QA97</v>
          </cell>
          <cell r="D255">
            <v>39861</v>
          </cell>
          <cell r="E255">
            <v>39859</v>
          </cell>
          <cell r="F255">
            <v>40040</v>
          </cell>
          <cell r="G255">
            <v>50632</v>
          </cell>
          <cell r="H255">
            <v>50816</v>
          </cell>
          <cell r="I255">
            <v>3.5000000000000003E-2</v>
          </cell>
          <cell r="J255">
            <v>0</v>
          </cell>
          <cell r="K255">
            <v>83.734375</v>
          </cell>
          <cell r="L255">
            <v>83.78125</v>
          </cell>
          <cell r="M255">
            <v>4.5339999999999998E-2</v>
          </cell>
          <cell r="N255">
            <v>4.53E-2</v>
          </cell>
          <cell r="O255">
            <v>0</v>
          </cell>
          <cell r="P255">
            <v>83.734375</v>
          </cell>
          <cell r="Q255">
            <v>83.78125</v>
          </cell>
        </row>
        <row r="256">
          <cell r="A256" t="str">
            <v>T4,25 05/39</v>
          </cell>
          <cell r="B256" t="str">
            <v>912810QB7</v>
          </cell>
          <cell r="C256" t="str">
            <v>US912810QB70</v>
          </cell>
          <cell r="D256">
            <v>39948</v>
          </cell>
          <cell r="E256">
            <v>39948</v>
          </cell>
          <cell r="F256">
            <v>40132</v>
          </cell>
          <cell r="G256">
            <v>50724</v>
          </cell>
          <cell r="H256">
            <v>50905</v>
          </cell>
          <cell r="I256">
            <v>4.2500000000000003E-2</v>
          </cell>
          <cell r="J256">
            <v>0</v>
          </cell>
          <cell r="K256">
            <v>95.8125</v>
          </cell>
          <cell r="L256">
            <v>95.859375</v>
          </cell>
          <cell r="M256">
            <v>4.5139999999999993E-2</v>
          </cell>
          <cell r="N256">
            <v>4.5110000000000004E-2</v>
          </cell>
          <cell r="O256">
            <v>0</v>
          </cell>
          <cell r="P256">
            <v>95.8125</v>
          </cell>
          <cell r="Q256">
            <v>95.859375</v>
          </cell>
        </row>
        <row r="257">
          <cell r="A257" t="str">
            <v>T4,5 08/39</v>
          </cell>
          <cell r="B257" t="str">
            <v>912810QC5</v>
          </cell>
          <cell r="C257" t="str">
            <v>US912810QC53</v>
          </cell>
          <cell r="D257">
            <v>40042</v>
          </cell>
          <cell r="E257">
            <v>40040</v>
          </cell>
          <cell r="F257">
            <v>40224</v>
          </cell>
          <cell r="G257">
            <v>50816</v>
          </cell>
          <cell r="H257">
            <v>50997</v>
          </cell>
          <cell r="I257">
            <v>4.4999999999999998E-2</v>
          </cell>
          <cell r="J257">
            <v>0</v>
          </cell>
          <cell r="K257">
            <v>99.859375</v>
          </cell>
          <cell r="L257">
            <v>99.90625</v>
          </cell>
          <cell r="M257">
            <v>4.5090000000000005E-2</v>
          </cell>
          <cell r="N257">
            <v>4.5060000000000003E-2</v>
          </cell>
          <cell r="O257">
            <v>0</v>
          </cell>
          <cell r="P257">
            <v>99.859375</v>
          </cell>
          <cell r="Q257">
            <v>99.90625</v>
          </cell>
        </row>
        <row r="258">
          <cell r="A258" t="str">
            <v>T4,375 11/39</v>
          </cell>
          <cell r="B258" t="str">
            <v>912810QD3</v>
          </cell>
          <cell r="C258" t="str">
            <v>US912810QD37</v>
          </cell>
          <cell r="D258">
            <v>40133</v>
          </cell>
          <cell r="E258">
            <v>40132</v>
          </cell>
          <cell r="F258">
            <v>40313</v>
          </cell>
          <cell r="G258">
            <v>50905</v>
          </cell>
          <cell r="H258">
            <v>51089</v>
          </cell>
          <cell r="I258">
            <v>4.3749999999999997E-2</v>
          </cell>
          <cell r="J258">
            <v>0</v>
          </cell>
          <cell r="K258">
            <v>97.71875</v>
          </cell>
          <cell r="L258">
            <v>97.765625</v>
          </cell>
          <cell r="M258">
            <v>4.5179999999999998E-2</v>
          </cell>
          <cell r="N258">
            <v>4.5149999999999996E-2</v>
          </cell>
          <cell r="O258">
            <v>0</v>
          </cell>
          <cell r="P258">
            <v>97.71875</v>
          </cell>
          <cell r="Q258">
            <v>97.765625</v>
          </cell>
        </row>
        <row r="259">
          <cell r="A259" t="str">
            <v>T4,625 02/40</v>
          </cell>
          <cell r="B259" t="str">
            <v>912810QE1</v>
          </cell>
          <cell r="C259" t="str">
            <v>US912810QE10</v>
          </cell>
          <cell r="D259">
            <v>40225</v>
          </cell>
          <cell r="E259">
            <v>40224</v>
          </cell>
          <cell r="F259">
            <v>40405</v>
          </cell>
          <cell r="G259">
            <v>50997</v>
          </cell>
          <cell r="H259">
            <v>51181</v>
          </cell>
          <cell r="I259">
            <v>4.6249999999999999E-2</v>
          </cell>
          <cell r="J259">
            <v>0</v>
          </cell>
          <cell r="K259">
            <v>101.84375</v>
          </cell>
          <cell r="L259">
            <v>101.890625</v>
          </cell>
          <cell r="M259">
            <v>4.5100000000000001E-2</v>
          </cell>
          <cell r="N259">
            <v>4.5069999999999999E-2</v>
          </cell>
          <cell r="O259">
            <v>0</v>
          </cell>
          <cell r="P259">
            <v>101.84375</v>
          </cell>
          <cell r="Q259">
            <v>101.890625</v>
          </cell>
        </row>
        <row r="260">
          <cell r="A260" t="str">
            <v>T4,375 05/40</v>
          </cell>
          <cell r="B260" t="str">
            <v>912810QH4</v>
          </cell>
          <cell r="C260" t="str">
            <v>US912810QH41</v>
          </cell>
          <cell r="D260">
            <v>40315</v>
          </cell>
          <cell r="E260">
            <v>40313</v>
          </cell>
          <cell r="F260">
            <v>40497</v>
          </cell>
          <cell r="G260">
            <v>51089</v>
          </cell>
          <cell r="H260">
            <v>51271</v>
          </cell>
          <cell r="I260">
            <v>4.3749999999999997E-2</v>
          </cell>
          <cell r="J260">
            <v>0</v>
          </cell>
          <cell r="K260">
            <v>97.625</v>
          </cell>
          <cell r="L260">
            <v>97.6875</v>
          </cell>
          <cell r="M260">
            <v>4.5219999999999996E-2</v>
          </cell>
          <cell r="N260">
            <v>4.5179999999999998E-2</v>
          </cell>
          <cell r="O260">
            <v>0</v>
          </cell>
          <cell r="P260">
            <v>97.625</v>
          </cell>
          <cell r="Q260">
            <v>97.6875</v>
          </cell>
        </row>
        <row r="261">
          <cell r="A261" t="str">
            <v>T3,875 08/40</v>
          </cell>
          <cell r="B261" t="str">
            <v>912810QK7</v>
          </cell>
          <cell r="C261" t="str">
            <v>US912810QK79</v>
          </cell>
          <cell r="D261">
            <v>40406</v>
          </cell>
          <cell r="E261">
            <v>40405</v>
          </cell>
          <cell r="F261">
            <v>40589</v>
          </cell>
          <cell r="G261">
            <v>51181</v>
          </cell>
          <cell r="H261">
            <v>51363</v>
          </cell>
          <cell r="I261">
            <v>3.875E-2</v>
          </cell>
          <cell r="J261">
            <v>0</v>
          </cell>
          <cell r="K261">
            <v>89.375</v>
          </cell>
          <cell r="L261">
            <v>89.421875</v>
          </cell>
          <cell r="M261">
            <v>4.5330000000000002E-2</v>
          </cell>
          <cell r="N261">
            <v>4.53E-2</v>
          </cell>
          <cell r="O261">
            <v>0</v>
          </cell>
          <cell r="P261">
            <v>89.375</v>
          </cell>
          <cell r="Q261">
            <v>89.421875</v>
          </cell>
        </row>
        <row r="262">
          <cell r="A262" t="str">
            <v>T4,25 11/40</v>
          </cell>
          <cell r="B262" t="str">
            <v>912810QL5</v>
          </cell>
          <cell r="C262" t="str">
            <v>US912810QL52</v>
          </cell>
          <cell r="D262">
            <v>40497</v>
          </cell>
          <cell r="E262">
            <v>40497</v>
          </cell>
          <cell r="F262">
            <v>40678</v>
          </cell>
          <cell r="G262">
            <v>51271</v>
          </cell>
          <cell r="H262">
            <v>51455</v>
          </cell>
          <cell r="I262">
            <v>4.2500000000000003E-2</v>
          </cell>
          <cell r="J262">
            <v>0</v>
          </cell>
          <cell r="K262">
            <v>95.5</v>
          </cell>
          <cell r="L262">
            <v>95.5625</v>
          </cell>
          <cell r="M262">
            <v>4.5269999999999991E-2</v>
          </cell>
          <cell r="N262">
            <v>4.5229999999999999E-2</v>
          </cell>
          <cell r="O262">
            <v>0</v>
          </cell>
          <cell r="P262">
            <v>95.5</v>
          </cell>
          <cell r="Q262">
            <v>95.5625</v>
          </cell>
        </row>
        <row r="263">
          <cell r="A263" t="str">
            <v>T4,75 02/41</v>
          </cell>
          <cell r="B263" t="str">
            <v>912810QN1</v>
          </cell>
          <cell r="C263" t="str">
            <v>US912810QN19</v>
          </cell>
          <cell r="D263">
            <v>40589</v>
          </cell>
          <cell r="E263">
            <v>40589</v>
          </cell>
          <cell r="F263">
            <v>40770</v>
          </cell>
          <cell r="G263">
            <v>51363</v>
          </cell>
          <cell r="H263">
            <v>51547</v>
          </cell>
          <cell r="I263">
            <v>4.7500000000000001E-2</v>
          </cell>
          <cell r="J263">
            <v>0</v>
          </cell>
          <cell r="K263">
            <v>103.796875</v>
          </cell>
          <cell r="L263">
            <v>103.828125</v>
          </cell>
          <cell r="M263">
            <v>4.5169999999999995E-2</v>
          </cell>
          <cell r="N263">
            <v>4.5149999999999996E-2</v>
          </cell>
          <cell r="O263">
            <v>0</v>
          </cell>
          <cell r="P263">
            <v>103.796875</v>
          </cell>
          <cell r="Q263">
            <v>103.828125</v>
          </cell>
        </row>
        <row r="264">
          <cell r="A264">
            <v>0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>
            <v>0</v>
          </cell>
          <cell r="P264" t="e">
            <v>#VALUE!</v>
          </cell>
          <cell r="Q264" t="e">
            <v>#VALUE!</v>
          </cell>
        </row>
        <row r="265">
          <cell r="A265">
            <v>0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>
            <v>0</v>
          </cell>
          <cell r="P265" t="e">
            <v>#VALUE!</v>
          </cell>
          <cell r="Q265" t="e">
            <v>#VALUE!</v>
          </cell>
        </row>
        <row r="266">
          <cell r="A266">
            <v>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>
            <v>0</v>
          </cell>
          <cell r="P266" t="e">
            <v>#VALUE!</v>
          </cell>
          <cell r="Q266" t="e">
            <v>#VALUE!</v>
          </cell>
        </row>
        <row r="267">
          <cell r="A267">
            <v>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>
            <v>0</v>
          </cell>
          <cell r="P267" t="e">
            <v>#VALUE!</v>
          </cell>
          <cell r="Q267" t="e">
            <v>#VALUE!</v>
          </cell>
        </row>
        <row r="268">
          <cell r="A268">
            <v>0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>
            <v>0</v>
          </cell>
          <cell r="P268" t="e">
            <v>#VALUE!</v>
          </cell>
          <cell r="Q268" t="e">
            <v>#VALUE!</v>
          </cell>
        </row>
        <row r="269">
          <cell r="A269">
            <v>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>
            <v>0</v>
          </cell>
          <cell r="P269" t="e">
            <v>#VALUE!</v>
          </cell>
          <cell r="Q269" t="e">
            <v>#VALUE!</v>
          </cell>
        </row>
        <row r="270">
          <cell r="A270">
            <v>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>
            <v>0</v>
          </cell>
          <cell r="P270" t="e">
            <v>#VALUE!</v>
          </cell>
          <cell r="Q270" t="e">
            <v>#VALUE!</v>
          </cell>
        </row>
        <row r="271">
          <cell r="A271">
            <v>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>
            <v>0</v>
          </cell>
          <cell r="P271" t="e">
            <v>#VALUE!</v>
          </cell>
          <cell r="Q271" t="e">
            <v>#VALUE!</v>
          </cell>
        </row>
        <row r="272">
          <cell r="A272">
            <v>0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>
            <v>0</v>
          </cell>
          <cell r="P272" t="e">
            <v>#VALUE!</v>
          </cell>
          <cell r="Q272" t="e">
            <v>#VALUE!</v>
          </cell>
        </row>
        <row r="273">
          <cell r="A273">
            <v>0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>
            <v>0</v>
          </cell>
          <cell r="P273" t="e">
            <v>#VALUE!</v>
          </cell>
          <cell r="Q273" t="e">
            <v>#VALUE!</v>
          </cell>
        </row>
        <row r="274">
          <cell r="A274">
            <v>0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>
            <v>0</v>
          </cell>
          <cell r="P274" t="e">
            <v>#VALUE!</v>
          </cell>
          <cell r="Q274" t="e">
            <v>#VALUE!</v>
          </cell>
        </row>
        <row r="275">
          <cell r="A275">
            <v>0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>
            <v>0</v>
          </cell>
          <cell r="P275" t="e">
            <v>#VALUE!</v>
          </cell>
          <cell r="Q275" t="e">
            <v>#VALUE!</v>
          </cell>
        </row>
        <row r="276">
          <cell r="A276">
            <v>0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>
            <v>0</v>
          </cell>
          <cell r="P276" t="e">
            <v>#VALUE!</v>
          </cell>
          <cell r="Q276" t="e">
            <v>#VALUE!</v>
          </cell>
        </row>
        <row r="277">
          <cell r="A277">
            <v>0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>
            <v>0</v>
          </cell>
          <cell r="P277" t="e">
            <v>#VALUE!</v>
          </cell>
          <cell r="Q277" t="e">
            <v>#VALUE!</v>
          </cell>
        </row>
        <row r="278">
          <cell r="A278">
            <v>0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>
            <v>0</v>
          </cell>
          <cell r="P278" t="e">
            <v>#VALUE!</v>
          </cell>
          <cell r="Q278" t="e">
            <v>#VALUE!</v>
          </cell>
        </row>
        <row r="279">
          <cell r="A279">
            <v>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>
            <v>0</v>
          </cell>
          <cell r="P279" t="e">
            <v>#VALUE!</v>
          </cell>
          <cell r="Q279" t="e">
            <v>#VALUE!</v>
          </cell>
        </row>
        <row r="280">
          <cell r="A280">
            <v>0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  <cell r="O280">
            <v>0</v>
          </cell>
          <cell r="P280" t="e">
            <v>#VALUE!</v>
          </cell>
          <cell r="Q280" t="e">
            <v>#VALUE!</v>
          </cell>
        </row>
        <row r="281">
          <cell r="A281">
            <v>0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  <cell r="O281">
            <v>0</v>
          </cell>
          <cell r="P281" t="e">
            <v>#VALUE!</v>
          </cell>
          <cell r="Q281" t="e">
            <v>#VALUE!</v>
          </cell>
        </row>
        <row r="282">
          <cell r="A282">
            <v>0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  <cell r="O282">
            <v>0</v>
          </cell>
          <cell r="P282" t="e">
            <v>#VALUE!</v>
          </cell>
          <cell r="Q282" t="e">
            <v>#VALUE!</v>
          </cell>
        </row>
        <row r="283">
          <cell r="A283">
            <v>0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  <cell r="O283">
            <v>0</v>
          </cell>
          <cell r="P283" t="e">
            <v>#VALUE!</v>
          </cell>
          <cell r="Q283" t="e">
            <v>#VALUE!</v>
          </cell>
        </row>
        <row r="284">
          <cell r="A284">
            <v>0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>
            <v>0</v>
          </cell>
          <cell r="P284" t="e">
            <v>#VALUE!</v>
          </cell>
          <cell r="Q284" t="e">
            <v>#VALUE!</v>
          </cell>
        </row>
        <row r="285">
          <cell r="A285">
            <v>0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>
            <v>0</v>
          </cell>
          <cell r="P285" t="e">
            <v>#VALUE!</v>
          </cell>
          <cell r="Q285" t="e">
            <v>#VALUE!</v>
          </cell>
        </row>
        <row r="286">
          <cell r="A286">
            <v>0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  <cell r="O286">
            <v>0</v>
          </cell>
          <cell r="P286" t="e">
            <v>#VALUE!</v>
          </cell>
          <cell r="Q286" t="e">
            <v>#VALUE!</v>
          </cell>
        </row>
        <row r="287">
          <cell r="A287">
            <v>0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  <cell r="O287">
            <v>0</v>
          </cell>
          <cell r="P287" t="e">
            <v>#VALUE!</v>
          </cell>
          <cell r="Q287" t="e">
            <v>#VALUE!</v>
          </cell>
        </row>
        <row r="288">
          <cell r="A288">
            <v>0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  <cell r="O288">
            <v>0</v>
          </cell>
          <cell r="P288" t="e">
            <v>#VALUE!</v>
          </cell>
          <cell r="Q288" t="e">
            <v>#VALUE!</v>
          </cell>
        </row>
        <row r="289">
          <cell r="A289">
            <v>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O289">
            <v>0</v>
          </cell>
          <cell r="P289" t="e">
            <v>#VALUE!</v>
          </cell>
          <cell r="Q289" t="e">
            <v>#VALUE!</v>
          </cell>
        </row>
        <row r="290">
          <cell r="A290">
            <v>0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  <cell r="O290">
            <v>0</v>
          </cell>
          <cell r="P290" t="e">
            <v>#VALUE!</v>
          </cell>
          <cell r="Q290" t="e">
            <v>#VALUE!</v>
          </cell>
        </row>
        <row r="291">
          <cell r="A291">
            <v>0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  <cell r="O291">
            <v>0</v>
          </cell>
          <cell r="P291" t="e">
            <v>#VALUE!</v>
          </cell>
          <cell r="Q291" t="e">
            <v>#VALUE!</v>
          </cell>
        </row>
        <row r="292">
          <cell r="A292">
            <v>0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  <cell r="O292">
            <v>0</v>
          </cell>
          <cell r="P292" t="e">
            <v>#VALUE!</v>
          </cell>
          <cell r="Q292" t="e">
            <v>#VALUE!</v>
          </cell>
        </row>
        <row r="293">
          <cell r="A293">
            <v>0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  <cell r="O293">
            <v>0</v>
          </cell>
          <cell r="P293" t="e">
            <v>#VALUE!</v>
          </cell>
          <cell r="Q293" t="e">
            <v>#VALUE!</v>
          </cell>
        </row>
        <row r="294">
          <cell r="A294">
            <v>0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  <cell r="O294">
            <v>0</v>
          </cell>
          <cell r="P294" t="e">
            <v>#VALUE!</v>
          </cell>
          <cell r="Q294" t="e">
            <v>#VALUE!</v>
          </cell>
        </row>
        <row r="295">
          <cell r="A295">
            <v>0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>
            <v>0</v>
          </cell>
          <cell r="P295" t="e">
            <v>#VALUE!</v>
          </cell>
          <cell r="Q295" t="e">
            <v>#VALUE!</v>
          </cell>
        </row>
        <row r="296">
          <cell r="A296">
            <v>0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>
            <v>0</v>
          </cell>
          <cell r="P296" t="e">
            <v>#VALUE!</v>
          </cell>
          <cell r="Q296" t="e">
            <v>#VALUE!</v>
          </cell>
        </row>
        <row r="297">
          <cell r="A297">
            <v>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  <cell r="O297">
            <v>0</v>
          </cell>
          <cell r="P297" t="e">
            <v>#VALUE!</v>
          </cell>
          <cell r="Q297" t="e">
            <v>#VALUE!</v>
          </cell>
        </row>
        <row r="298">
          <cell r="A298">
            <v>0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  <cell r="O298">
            <v>0</v>
          </cell>
          <cell r="P298" t="e">
            <v>#VALUE!</v>
          </cell>
          <cell r="Q298" t="e">
            <v>#VALUE!</v>
          </cell>
        </row>
        <row r="299">
          <cell r="A299">
            <v>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  <cell r="O299">
            <v>0</v>
          </cell>
          <cell r="P299" t="e">
            <v>#VALUE!</v>
          </cell>
          <cell r="Q299" t="e">
            <v>#VALUE!</v>
          </cell>
        </row>
        <row r="300">
          <cell r="A300">
            <v>0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  <cell r="O300">
            <v>0</v>
          </cell>
          <cell r="P300" t="e">
            <v>#VALUE!</v>
          </cell>
          <cell r="Q300" t="e">
            <v>#VALUE!</v>
          </cell>
        </row>
        <row r="301">
          <cell r="A301">
            <v>0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>
            <v>0</v>
          </cell>
          <cell r="P301" t="e">
            <v>#VALUE!</v>
          </cell>
          <cell r="Q301" t="e">
            <v>#VALUE!</v>
          </cell>
        </row>
        <row r="302">
          <cell r="A302">
            <v>0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O302">
            <v>0</v>
          </cell>
          <cell r="P302" t="e">
            <v>#VALUE!</v>
          </cell>
          <cell r="Q302" t="e">
            <v>#VALUE!</v>
          </cell>
        </row>
        <row r="303">
          <cell r="A303">
            <v>0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  <cell r="O303">
            <v>0</v>
          </cell>
          <cell r="P303" t="e">
            <v>#VALUE!</v>
          </cell>
          <cell r="Q303" t="e">
            <v>#VALUE!</v>
          </cell>
        </row>
        <row r="304">
          <cell r="A304">
            <v>0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  <cell r="O304">
            <v>0</v>
          </cell>
          <cell r="P304" t="e">
            <v>#VALUE!</v>
          </cell>
          <cell r="Q304" t="e">
            <v>#VALUE!</v>
          </cell>
        </row>
        <row r="305">
          <cell r="A305">
            <v>0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  <cell r="O305">
            <v>0</v>
          </cell>
          <cell r="P305" t="e">
            <v>#VALUE!</v>
          </cell>
          <cell r="Q305" t="e">
            <v>#VALUE!</v>
          </cell>
        </row>
        <row r="306">
          <cell r="A306">
            <v>0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O306">
            <v>0</v>
          </cell>
          <cell r="P306" t="e">
            <v>#VALUE!</v>
          </cell>
          <cell r="Q306" t="e">
            <v>#VALUE!</v>
          </cell>
        </row>
        <row r="307">
          <cell r="A307">
            <v>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  <cell r="O307">
            <v>0</v>
          </cell>
          <cell r="P307" t="e">
            <v>#VALUE!</v>
          </cell>
          <cell r="Q307" t="e">
            <v>#VALUE!</v>
          </cell>
        </row>
        <row r="308">
          <cell r="A308">
            <v>0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  <cell r="O308">
            <v>0</v>
          </cell>
          <cell r="P308" t="e">
            <v>#VALUE!</v>
          </cell>
          <cell r="Q308" t="e">
            <v>#VALUE!</v>
          </cell>
        </row>
        <row r="309">
          <cell r="A309">
            <v>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  <cell r="O309">
            <v>0</v>
          </cell>
          <cell r="P309" t="e">
            <v>#VALUE!</v>
          </cell>
          <cell r="Q309" t="e">
            <v>#VALUE!</v>
          </cell>
        </row>
        <row r="310">
          <cell r="A310">
            <v>0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  <cell r="O310">
            <v>0</v>
          </cell>
          <cell r="P310" t="e">
            <v>#VALUE!</v>
          </cell>
          <cell r="Q310" t="e">
            <v>#VALUE!</v>
          </cell>
        </row>
        <row r="311">
          <cell r="A311">
            <v>0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  <cell r="O311">
            <v>0</v>
          </cell>
          <cell r="P311" t="e">
            <v>#VALUE!</v>
          </cell>
          <cell r="Q311" t="e">
            <v>#VALUE!</v>
          </cell>
        </row>
        <row r="312">
          <cell r="A312">
            <v>0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>
            <v>0</v>
          </cell>
          <cell r="P312" t="e">
            <v>#VALUE!</v>
          </cell>
          <cell r="Q312" t="e">
            <v>#VALUE!</v>
          </cell>
        </row>
        <row r="313">
          <cell r="A313">
            <v>0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O313">
            <v>0</v>
          </cell>
          <cell r="P313" t="e">
            <v>#VALUE!</v>
          </cell>
          <cell r="Q313" t="e">
            <v>#VALUE!</v>
          </cell>
        </row>
        <row r="314">
          <cell r="A314">
            <v>0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  <cell r="O314">
            <v>0</v>
          </cell>
          <cell r="P314" t="e">
            <v>#VALUE!</v>
          </cell>
          <cell r="Q314" t="e">
            <v>#VALUE!</v>
          </cell>
        </row>
        <row r="315">
          <cell r="A315">
            <v>0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  <cell r="O315">
            <v>0</v>
          </cell>
          <cell r="P315" t="e">
            <v>#VALUE!</v>
          </cell>
          <cell r="Q315" t="e">
            <v>#VALUE!</v>
          </cell>
        </row>
        <row r="316">
          <cell r="A316">
            <v>0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  <cell r="O316">
            <v>0</v>
          </cell>
          <cell r="P316" t="e">
            <v>#VALUE!</v>
          </cell>
          <cell r="Q316" t="e">
            <v>#VALUE!</v>
          </cell>
        </row>
        <row r="317">
          <cell r="A317">
            <v>0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>
            <v>0</v>
          </cell>
          <cell r="P317" t="e">
            <v>#VALUE!</v>
          </cell>
          <cell r="Q317" t="e">
            <v>#VALUE!</v>
          </cell>
        </row>
        <row r="318">
          <cell r="A318">
            <v>0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>
            <v>0</v>
          </cell>
          <cell r="P318" t="e">
            <v>#VALUE!</v>
          </cell>
          <cell r="Q318" t="e">
            <v>#VALUE!</v>
          </cell>
        </row>
        <row r="319">
          <cell r="A319">
            <v>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>
            <v>0</v>
          </cell>
          <cell r="P319" t="e">
            <v>#VALUE!</v>
          </cell>
          <cell r="Q319" t="e">
            <v>#VALUE!</v>
          </cell>
        </row>
        <row r="320">
          <cell r="A320">
            <v>0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  <cell r="O320">
            <v>0</v>
          </cell>
          <cell r="P320" t="e">
            <v>#VALUE!</v>
          </cell>
          <cell r="Q320" t="e">
            <v>#VALUE!</v>
          </cell>
        </row>
        <row r="321">
          <cell r="A321">
            <v>0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  <cell r="O321">
            <v>0</v>
          </cell>
          <cell r="P321" t="e">
            <v>#VALUE!</v>
          </cell>
          <cell r="Q321" t="e">
            <v>#VALUE!</v>
          </cell>
        </row>
        <row r="322">
          <cell r="A322">
            <v>0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  <cell r="O322">
            <v>0</v>
          </cell>
          <cell r="P322" t="e">
            <v>#VALUE!</v>
          </cell>
          <cell r="Q322" t="e">
            <v>#VALUE!</v>
          </cell>
        </row>
        <row r="323">
          <cell r="A323">
            <v>0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  <cell r="O323">
            <v>0</v>
          </cell>
          <cell r="P323" t="e">
            <v>#VALUE!</v>
          </cell>
          <cell r="Q323" t="e">
            <v>#VALUE!</v>
          </cell>
        </row>
        <row r="324">
          <cell r="A324">
            <v>0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  <cell r="O324">
            <v>0</v>
          </cell>
          <cell r="P324" t="e">
            <v>#VALUE!</v>
          </cell>
          <cell r="Q324" t="e">
            <v>#VALUE!</v>
          </cell>
        </row>
        <row r="325">
          <cell r="A325">
            <v>0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  <cell r="O325">
            <v>0</v>
          </cell>
          <cell r="P325" t="e">
            <v>#VALUE!</v>
          </cell>
          <cell r="Q325" t="e">
            <v>#VALUE!</v>
          </cell>
        </row>
        <row r="326">
          <cell r="A326">
            <v>0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  <cell r="O326">
            <v>0</v>
          </cell>
          <cell r="P326" t="e">
            <v>#VALUE!</v>
          </cell>
          <cell r="Q326" t="e">
            <v>#VALUE!</v>
          </cell>
        </row>
        <row r="327">
          <cell r="A327">
            <v>0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O327">
            <v>0</v>
          </cell>
          <cell r="P327" t="e">
            <v>#VALUE!</v>
          </cell>
          <cell r="Q327" t="e">
            <v>#VALUE!</v>
          </cell>
        </row>
        <row r="328">
          <cell r="A328">
            <v>0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  <cell r="O328">
            <v>0</v>
          </cell>
          <cell r="P328" t="e">
            <v>#VALUE!</v>
          </cell>
          <cell r="Q328" t="e">
            <v>#VALUE!</v>
          </cell>
        </row>
        <row r="329">
          <cell r="A329">
            <v>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  <cell r="O329">
            <v>0</v>
          </cell>
          <cell r="P329" t="e">
            <v>#VALUE!</v>
          </cell>
          <cell r="Q329" t="e">
            <v>#VALUE!</v>
          </cell>
        </row>
        <row r="330">
          <cell r="A330">
            <v>0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>
            <v>0</v>
          </cell>
          <cell r="P330" t="e">
            <v>#VALUE!</v>
          </cell>
          <cell r="Q330" t="e">
            <v>#VALUE!</v>
          </cell>
        </row>
        <row r="331">
          <cell r="A331">
            <v>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>
            <v>0</v>
          </cell>
          <cell r="P331" t="e">
            <v>#VALUE!</v>
          </cell>
          <cell r="Q331" t="e">
            <v>#VALUE!</v>
          </cell>
        </row>
        <row r="332">
          <cell r="A332">
            <v>0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  <cell r="O332">
            <v>0</v>
          </cell>
          <cell r="P332" t="e">
            <v>#VALUE!</v>
          </cell>
          <cell r="Q332" t="e">
            <v>#VALUE!</v>
          </cell>
        </row>
        <row r="333">
          <cell r="A333">
            <v>0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  <cell r="O333">
            <v>0</v>
          </cell>
          <cell r="P333" t="e">
            <v>#VALUE!</v>
          </cell>
          <cell r="Q333" t="e">
            <v>#VALUE!</v>
          </cell>
        </row>
        <row r="334">
          <cell r="A334">
            <v>0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  <cell r="O334">
            <v>0</v>
          </cell>
          <cell r="P334" t="e">
            <v>#VALUE!</v>
          </cell>
          <cell r="Q334" t="e">
            <v>#VALUE!</v>
          </cell>
        </row>
        <row r="335">
          <cell r="A335">
            <v>0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  <cell r="O335">
            <v>0</v>
          </cell>
          <cell r="P335" t="e">
            <v>#VALUE!</v>
          </cell>
          <cell r="Q335" t="e">
            <v>#VALUE!</v>
          </cell>
        </row>
        <row r="336">
          <cell r="A336">
            <v>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O336">
            <v>0</v>
          </cell>
          <cell r="P336" t="e">
            <v>#VALUE!</v>
          </cell>
          <cell r="Q336" t="e">
            <v>#VALUE!</v>
          </cell>
        </row>
        <row r="337">
          <cell r="A337">
            <v>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O337">
            <v>0</v>
          </cell>
          <cell r="P337" t="e">
            <v>#VALUE!</v>
          </cell>
          <cell r="Q337" t="e">
            <v>#VALUE!</v>
          </cell>
        </row>
        <row r="338">
          <cell r="A338">
            <v>0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  <cell r="O338">
            <v>0</v>
          </cell>
          <cell r="P338" t="e">
            <v>#VALUE!</v>
          </cell>
          <cell r="Q338" t="e">
            <v>#VALUE!</v>
          </cell>
        </row>
        <row r="339">
          <cell r="A339">
            <v>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  <cell r="O339">
            <v>0</v>
          </cell>
          <cell r="P339" t="e">
            <v>#VALUE!</v>
          </cell>
          <cell r="Q339" t="e">
            <v>#VALUE!</v>
          </cell>
        </row>
        <row r="340">
          <cell r="A340">
            <v>0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  <cell r="O340">
            <v>0</v>
          </cell>
          <cell r="P340" t="e">
            <v>#VALUE!</v>
          </cell>
          <cell r="Q340" t="e">
            <v>#VALUE!</v>
          </cell>
        </row>
        <row r="341">
          <cell r="A341">
            <v>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  <cell r="O341">
            <v>0</v>
          </cell>
          <cell r="P341" t="e">
            <v>#VALUE!</v>
          </cell>
          <cell r="Q341" t="e">
            <v>#VALUE!</v>
          </cell>
        </row>
        <row r="342">
          <cell r="A342">
            <v>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O342">
            <v>0</v>
          </cell>
          <cell r="P342" t="e">
            <v>#VALUE!</v>
          </cell>
          <cell r="Q342" t="e">
            <v>#VALUE!</v>
          </cell>
        </row>
        <row r="343">
          <cell r="A343">
            <v>0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  <cell r="O343">
            <v>0</v>
          </cell>
          <cell r="P343" t="e">
            <v>#VALUE!</v>
          </cell>
          <cell r="Q343" t="e">
            <v>#VALUE!</v>
          </cell>
        </row>
        <row r="344">
          <cell r="A344">
            <v>0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  <cell r="O344">
            <v>0</v>
          </cell>
          <cell r="P344" t="e">
            <v>#VALUE!</v>
          </cell>
          <cell r="Q344" t="e">
            <v>#VALUE!</v>
          </cell>
        </row>
        <row r="345">
          <cell r="A345">
            <v>0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  <cell r="O345">
            <v>0</v>
          </cell>
          <cell r="P345" t="e">
            <v>#VALUE!</v>
          </cell>
          <cell r="Q345" t="e">
            <v>#VALUE!</v>
          </cell>
        </row>
        <row r="346">
          <cell r="A346">
            <v>0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  <cell r="O346">
            <v>0</v>
          </cell>
          <cell r="P346" t="e">
            <v>#VALUE!</v>
          </cell>
          <cell r="Q346" t="e">
            <v>#VALUE!</v>
          </cell>
        </row>
        <row r="347">
          <cell r="A347">
            <v>0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O347">
            <v>0</v>
          </cell>
          <cell r="P347" t="e">
            <v>#VALUE!</v>
          </cell>
          <cell r="Q347" t="e">
            <v>#VALUE!</v>
          </cell>
        </row>
        <row r="348">
          <cell r="A348">
            <v>0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O348">
            <v>0</v>
          </cell>
          <cell r="P348" t="e">
            <v>#VALUE!</v>
          </cell>
          <cell r="Q348" t="e">
            <v>#VALUE!</v>
          </cell>
        </row>
        <row r="349">
          <cell r="A349">
            <v>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  <cell r="O349">
            <v>0</v>
          </cell>
          <cell r="P349" t="e">
            <v>#VALUE!</v>
          </cell>
          <cell r="Q349" t="e">
            <v>#VALUE!</v>
          </cell>
        </row>
        <row r="350">
          <cell r="A350">
            <v>0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  <cell r="O350">
            <v>0</v>
          </cell>
          <cell r="P350" t="e">
            <v>#VALUE!</v>
          </cell>
          <cell r="Q350" t="e">
            <v>#VALUE!</v>
          </cell>
        </row>
        <row r="351">
          <cell r="A351">
            <v>0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  <cell r="O351">
            <v>0</v>
          </cell>
          <cell r="P351" t="e">
            <v>#VALUE!</v>
          </cell>
          <cell r="Q351" t="e">
            <v>#VALUE!</v>
          </cell>
        </row>
        <row r="352">
          <cell r="A352">
            <v>0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  <cell r="O352">
            <v>0</v>
          </cell>
          <cell r="P352" t="e">
            <v>#VALUE!</v>
          </cell>
          <cell r="Q352" t="e">
            <v>#VALUE!</v>
          </cell>
        </row>
        <row r="353">
          <cell r="A353">
            <v>0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O353">
            <v>0</v>
          </cell>
          <cell r="P353" t="e">
            <v>#VALUE!</v>
          </cell>
          <cell r="Q353" t="e">
            <v>#VALUE!</v>
          </cell>
        </row>
        <row r="354">
          <cell r="A354">
            <v>0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O354">
            <v>0</v>
          </cell>
          <cell r="P354" t="e">
            <v>#VALUE!</v>
          </cell>
          <cell r="Q354" t="e">
            <v>#VALUE!</v>
          </cell>
        </row>
        <row r="355">
          <cell r="A355">
            <v>0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  <cell r="O355">
            <v>0</v>
          </cell>
          <cell r="P355" t="e">
            <v>#VALUE!</v>
          </cell>
          <cell r="Q355" t="e">
            <v>#VALUE!</v>
          </cell>
        </row>
        <row r="356">
          <cell r="A356">
            <v>0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  <cell r="O356">
            <v>0</v>
          </cell>
          <cell r="P356" t="e">
            <v>#VALUE!</v>
          </cell>
          <cell r="Q356" t="e">
            <v>#VALUE!</v>
          </cell>
        </row>
        <row r="357">
          <cell r="A357">
            <v>0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  <cell r="O357">
            <v>0</v>
          </cell>
          <cell r="P357" t="e">
            <v>#VALUE!</v>
          </cell>
          <cell r="Q357" t="e">
            <v>#VALUE!</v>
          </cell>
        </row>
        <row r="358">
          <cell r="A358">
            <v>0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  <cell r="O358">
            <v>0</v>
          </cell>
          <cell r="P358" t="e">
            <v>#VALUE!</v>
          </cell>
          <cell r="Q358" t="e">
            <v>#VALUE!</v>
          </cell>
        </row>
        <row r="359">
          <cell r="A359">
            <v>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  <cell r="O359">
            <v>0</v>
          </cell>
          <cell r="P359" t="e">
            <v>#VALUE!</v>
          </cell>
          <cell r="Q359" t="e">
            <v>#VALUE!</v>
          </cell>
        </row>
        <row r="360">
          <cell r="A360">
            <v>0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  <cell r="O360">
            <v>0</v>
          </cell>
          <cell r="P360" t="e">
            <v>#VALUE!</v>
          </cell>
          <cell r="Q360" t="e">
            <v>#VALUE!</v>
          </cell>
        </row>
        <row r="361">
          <cell r="A361">
            <v>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  <cell r="O361">
            <v>0</v>
          </cell>
          <cell r="P361" t="e">
            <v>#VALUE!</v>
          </cell>
          <cell r="Q361" t="e">
            <v>#VALUE!</v>
          </cell>
        </row>
        <row r="362">
          <cell r="A362">
            <v>0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  <cell r="O362">
            <v>0</v>
          </cell>
          <cell r="P362" t="e">
            <v>#VALUE!</v>
          </cell>
          <cell r="Q362" t="e">
            <v>#VALUE!</v>
          </cell>
        </row>
        <row r="363">
          <cell r="A363">
            <v>0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  <cell r="O363">
            <v>0</v>
          </cell>
          <cell r="P363" t="e">
            <v>#VALUE!</v>
          </cell>
          <cell r="Q363" t="e">
            <v>#VALUE!</v>
          </cell>
        </row>
        <row r="364">
          <cell r="A364">
            <v>0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O364">
            <v>0</v>
          </cell>
          <cell r="P364" t="e">
            <v>#VALUE!</v>
          </cell>
          <cell r="Q364" t="e">
            <v>#VALUE!</v>
          </cell>
        </row>
        <row r="365">
          <cell r="A365">
            <v>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O365">
            <v>0</v>
          </cell>
          <cell r="P365" t="e">
            <v>#VALUE!</v>
          </cell>
          <cell r="Q365" t="e">
            <v>#VALUE!</v>
          </cell>
        </row>
        <row r="366">
          <cell r="A366">
            <v>0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  <cell r="O366">
            <v>0</v>
          </cell>
          <cell r="P366" t="e">
            <v>#VALUE!</v>
          </cell>
          <cell r="Q366" t="e">
            <v>#VALUE!</v>
          </cell>
        </row>
        <row r="367">
          <cell r="A367">
            <v>0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  <cell r="O367">
            <v>0</v>
          </cell>
          <cell r="P367" t="e">
            <v>#VALUE!</v>
          </cell>
          <cell r="Q367" t="e">
            <v>#VALUE!</v>
          </cell>
        </row>
        <row r="368">
          <cell r="A368">
            <v>0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  <cell r="O368">
            <v>0</v>
          </cell>
          <cell r="P368" t="e">
            <v>#VALUE!</v>
          </cell>
          <cell r="Q368" t="e">
            <v>#VALUE!</v>
          </cell>
        </row>
        <row r="369">
          <cell r="A369">
            <v>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  <cell r="O369">
            <v>0</v>
          </cell>
          <cell r="P369" t="e">
            <v>#VALUE!</v>
          </cell>
          <cell r="Q369" t="e">
            <v>#VALUE!</v>
          </cell>
        </row>
        <row r="370">
          <cell r="A370">
            <v>0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O370">
            <v>0</v>
          </cell>
          <cell r="P370" t="e">
            <v>#VALUE!</v>
          </cell>
          <cell r="Q370" t="e">
            <v>#VALUE!</v>
          </cell>
        </row>
        <row r="371">
          <cell r="A371">
            <v>0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O371">
            <v>0</v>
          </cell>
          <cell r="P371" t="e">
            <v>#VALUE!</v>
          </cell>
          <cell r="Q371" t="e">
            <v>#VALUE!</v>
          </cell>
        </row>
        <row r="372">
          <cell r="A372">
            <v>0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  <cell r="O372">
            <v>0</v>
          </cell>
          <cell r="P372" t="e">
            <v>#VALUE!</v>
          </cell>
          <cell r="Q372" t="e">
            <v>#VALUE!</v>
          </cell>
        </row>
        <row r="373">
          <cell r="A373">
            <v>0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O373">
            <v>0</v>
          </cell>
          <cell r="P373" t="e">
            <v>#VALUE!</v>
          </cell>
          <cell r="Q373" t="e">
            <v>#VALUE!</v>
          </cell>
        </row>
        <row r="374">
          <cell r="A374">
            <v>0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  <cell r="O374">
            <v>0</v>
          </cell>
          <cell r="P374" t="e">
            <v>#VALUE!</v>
          </cell>
          <cell r="Q374" t="e">
            <v>#VALUE!</v>
          </cell>
        </row>
        <row r="375">
          <cell r="A375">
            <v>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  <cell r="O375">
            <v>0</v>
          </cell>
          <cell r="P375" t="e">
            <v>#VALUE!</v>
          </cell>
          <cell r="Q375" t="e">
            <v>#VALUE!</v>
          </cell>
        </row>
        <row r="432">
          <cell r="A432" t="str">
            <v>WIB6</v>
          </cell>
          <cell r="B432" t="str">
            <v>9999B06M8</v>
          </cell>
          <cell r="C432" t="str">
            <v>WIB6</v>
          </cell>
          <cell r="D432">
            <v>40637</v>
          </cell>
          <cell r="E432">
            <v>40637</v>
          </cell>
          <cell r="F432" t="e">
            <v>#VALUE!</v>
          </cell>
          <cell r="G432" t="e">
            <v>#VALUE!</v>
          </cell>
          <cell r="H432" t="e">
            <v>#VALUE!</v>
          </cell>
          <cell r="I432">
            <v>0</v>
          </cell>
          <cell r="J432">
            <v>0</v>
          </cell>
          <cell r="K432">
            <v>1.325E-3</v>
          </cell>
          <cell r="L432">
            <v>1.25E-3</v>
          </cell>
          <cell r="M432">
            <v>1.3500000000000001E-3</v>
          </cell>
          <cell r="N432">
            <v>1.2700000000000001E-3</v>
          </cell>
          <cell r="O432">
            <v>0</v>
          </cell>
          <cell r="P432" t="e">
            <v>#VALUE!</v>
          </cell>
          <cell r="Q432" t="e">
            <v>#VALUE!</v>
          </cell>
        </row>
        <row r="433">
          <cell r="A433" t="str">
            <v>WIB12</v>
          </cell>
          <cell r="B433" t="str">
            <v>9127953H2</v>
          </cell>
          <cell r="C433" t="str">
            <v>WIB12</v>
          </cell>
          <cell r="D433">
            <v>40637</v>
          </cell>
          <cell r="E433">
            <v>40637</v>
          </cell>
          <cell r="F433" t="e">
            <v>#VALUE!</v>
          </cell>
          <cell r="G433" t="e">
            <v>#VALUE!</v>
          </cell>
          <cell r="H433">
            <v>41004</v>
          </cell>
          <cell r="I433">
            <v>0</v>
          </cell>
          <cell r="J433">
            <v>0</v>
          </cell>
          <cell r="K433">
            <v>2.8250000000000003E-3</v>
          </cell>
          <cell r="L433">
            <v>2.7750000000000001E-3</v>
          </cell>
          <cell r="M433">
            <v>2.8800000000000002E-3</v>
          </cell>
          <cell r="N433">
            <v>2.8300000000000005E-3</v>
          </cell>
          <cell r="O433">
            <v>0</v>
          </cell>
          <cell r="P433">
            <v>99.708000000000041</v>
          </cell>
          <cell r="Q433">
            <v>99.713069444444457</v>
          </cell>
        </row>
        <row r="434">
          <cell r="A434" t="str">
            <v>WIT2</v>
          </cell>
          <cell r="B434" t="str">
            <v>9999T02Y7</v>
          </cell>
          <cell r="C434" t="str">
            <v>WIT2</v>
          </cell>
          <cell r="D434">
            <v>40637</v>
          </cell>
          <cell r="E434" t="e">
            <v>#VALUE!</v>
          </cell>
          <cell r="F434" t="e">
            <v>#VALUE!</v>
          </cell>
          <cell r="G434" t="e">
            <v>#VALUE!</v>
          </cell>
          <cell r="H434" t="e">
            <v>#VALUE!</v>
          </cell>
          <cell r="I434">
            <v>0</v>
          </cell>
          <cell r="J434">
            <v>0</v>
          </cell>
          <cell r="K434">
            <v>7.92E-3</v>
          </cell>
          <cell r="L434">
            <v>7.8499999999999993E-3</v>
          </cell>
          <cell r="M434">
            <v>7.92E-3</v>
          </cell>
          <cell r="N434">
            <v>7.8499999999999993E-3</v>
          </cell>
          <cell r="O434">
            <v>0</v>
          </cell>
          <cell r="P434" t="e">
            <v>#VALUE!</v>
          </cell>
          <cell r="Q434" t="e">
            <v>#VALUE!</v>
          </cell>
        </row>
        <row r="435">
          <cell r="A435" t="str">
            <v>WIT3</v>
          </cell>
          <cell r="B435" t="str">
            <v>9999T03Y6</v>
          </cell>
          <cell r="C435" t="str">
            <v>WIT3</v>
          </cell>
          <cell r="D435">
            <v>40637</v>
          </cell>
          <cell r="E435" t="e">
            <v>#VALUE!</v>
          </cell>
          <cell r="F435" t="e">
            <v>#VALUE!</v>
          </cell>
          <cell r="G435" t="e">
            <v>#VALUE!</v>
          </cell>
          <cell r="H435" t="e">
            <v>#VALUE!</v>
          </cell>
          <cell r="I435">
            <v>0</v>
          </cell>
          <cell r="J435">
            <v>0</v>
          </cell>
          <cell r="K435">
            <v>1.274E-2</v>
          </cell>
          <cell r="L435">
            <v>1.269E-2</v>
          </cell>
          <cell r="M435">
            <v>1.274E-2</v>
          </cell>
          <cell r="N435">
            <v>1.269E-2</v>
          </cell>
          <cell r="O435">
            <v>0</v>
          </cell>
          <cell r="P435" t="e">
            <v>#VALUE!</v>
          </cell>
          <cell r="Q435" t="e">
            <v>#VALUE!</v>
          </cell>
        </row>
        <row r="436">
          <cell r="A436" t="str">
            <v>WIT5</v>
          </cell>
          <cell r="B436" t="str">
            <v>9999T05Y4</v>
          </cell>
          <cell r="C436" t="str">
            <v>WIT5</v>
          </cell>
          <cell r="D436">
            <v>40637</v>
          </cell>
          <cell r="E436" t="e">
            <v>#VALUE!</v>
          </cell>
          <cell r="F436" t="e">
            <v>#VALUE!</v>
          </cell>
          <cell r="G436" t="e">
            <v>#VALUE!</v>
          </cell>
          <cell r="H436" t="e">
            <v>#VALUE!</v>
          </cell>
          <cell r="I436">
            <v>0</v>
          </cell>
          <cell r="J436">
            <v>0</v>
          </cell>
          <cell r="K436">
            <v>2.2630000000000004E-2</v>
          </cell>
          <cell r="L436">
            <v>2.2579999999999999E-2</v>
          </cell>
          <cell r="M436">
            <v>2.2630000000000004E-2</v>
          </cell>
          <cell r="N436">
            <v>2.2579999999999999E-2</v>
          </cell>
          <cell r="O436">
            <v>0</v>
          </cell>
          <cell r="P436" t="e">
            <v>#VALUE!</v>
          </cell>
          <cell r="Q436" t="e">
            <v>#VALUE!</v>
          </cell>
        </row>
        <row r="437">
          <cell r="A437" t="str">
            <v>WIT7</v>
          </cell>
          <cell r="B437" t="str">
            <v>9999T07Y2</v>
          </cell>
          <cell r="C437" t="str">
            <v>WIT7</v>
          </cell>
          <cell r="D437">
            <v>40637</v>
          </cell>
          <cell r="E437" t="e">
            <v>#VALUE!</v>
          </cell>
          <cell r="F437" t="e">
            <v>#VALUE!</v>
          </cell>
          <cell r="G437" t="e">
            <v>#VALUE!</v>
          </cell>
          <cell r="H437" t="e">
            <v>#VALUE!</v>
          </cell>
          <cell r="I437">
            <v>0</v>
          </cell>
          <cell r="J437">
            <v>0</v>
          </cell>
          <cell r="K437">
            <v>2.8769999999999997E-2</v>
          </cell>
          <cell r="L437">
            <v>2.8709999999999996E-2</v>
          </cell>
          <cell r="M437">
            <v>2.8769999999999997E-2</v>
          </cell>
          <cell r="N437">
            <v>2.8709999999999996E-2</v>
          </cell>
          <cell r="O437">
            <v>0</v>
          </cell>
          <cell r="P437" t="e">
            <v>#VALUE!</v>
          </cell>
          <cell r="Q437" t="e">
            <v>#VALUE!</v>
          </cell>
        </row>
        <row r="438">
          <cell r="A438" t="str">
            <v>WIT10</v>
          </cell>
          <cell r="B438" t="str">
            <v>9999T10Y7</v>
          </cell>
          <cell r="C438" t="str">
            <v>WIT10</v>
          </cell>
          <cell r="D438">
            <v>40637</v>
          </cell>
          <cell r="E438" t="e">
            <v>#VALUE!</v>
          </cell>
          <cell r="F438" t="e">
            <v>#VALUE!</v>
          </cell>
          <cell r="G438" t="e">
            <v>#VALUE!</v>
          </cell>
          <cell r="H438" t="e">
            <v>#VALUE!</v>
          </cell>
          <cell r="I438">
            <v>0</v>
          </cell>
          <cell r="J438">
            <v>0</v>
          </cell>
          <cell r="K438">
            <v>3.4789999999999995E-2</v>
          </cell>
          <cell r="L438">
            <v>3.4699999999999995E-2</v>
          </cell>
          <cell r="M438">
            <v>3.4789999999999995E-2</v>
          </cell>
          <cell r="N438">
            <v>3.4699999999999995E-2</v>
          </cell>
          <cell r="O438">
            <v>0</v>
          </cell>
          <cell r="P438" t="e">
            <v>#VALUE!</v>
          </cell>
          <cell r="Q438" t="e">
            <v>#VALUE!</v>
          </cell>
        </row>
        <row r="439">
          <cell r="A439" t="str">
            <v>WIT30</v>
          </cell>
          <cell r="B439" t="str">
            <v>9999T30Y3</v>
          </cell>
          <cell r="C439" t="str">
            <v>WIT30</v>
          </cell>
          <cell r="D439">
            <v>40637</v>
          </cell>
          <cell r="E439" t="e">
            <v>#VALUE!</v>
          </cell>
          <cell r="F439" t="e">
            <v>#VALUE!</v>
          </cell>
          <cell r="G439" t="e">
            <v>#VALUE!</v>
          </cell>
          <cell r="H439" t="e">
            <v>#VALUE!</v>
          </cell>
          <cell r="I439">
            <v>0</v>
          </cell>
          <cell r="J439">
            <v>0</v>
          </cell>
          <cell r="K439">
            <v>3.4789999999999995E-2</v>
          </cell>
          <cell r="L439">
            <v>3.4699999999999995E-2</v>
          </cell>
          <cell r="M439">
            <v>3.4789999999999995E-2</v>
          </cell>
          <cell r="N439">
            <v>3.4699999999999995E-2</v>
          </cell>
          <cell r="O439">
            <v>0</v>
          </cell>
          <cell r="P439" t="e">
            <v>#VALUE!</v>
          </cell>
          <cell r="Q439" t="e">
            <v>#VALUE!</v>
          </cell>
        </row>
        <row r="440">
          <cell r="A440">
            <v>0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mites"/>
      <sheetName val="position treasury"/>
      <sheetName val="Position Futures"/>
      <sheetName val="position Cash"/>
      <sheetName val="treasury Monitor"/>
      <sheetName val="position Titre"/>
      <sheetName val="tréso Détaillée"/>
      <sheetName val="Benchmark 2"/>
      <sheetName val="Benchmark 3"/>
      <sheetName val="bonds"/>
      <sheetName val="courbes aussie"/>
      <sheetName val="MV Repo"/>
      <sheetName val="Stock"/>
      <sheetName val="future history"/>
      <sheetName val="Feuil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65">
          <cell r="B65" t="str">
            <v>1M</v>
          </cell>
        </row>
        <row r="66">
          <cell r="B66" t="str">
            <v>2M</v>
          </cell>
        </row>
        <row r="67">
          <cell r="B67" t="str">
            <v>3M</v>
          </cell>
        </row>
        <row r="68">
          <cell r="B68" t="str">
            <v>6M</v>
          </cell>
        </row>
        <row r="69">
          <cell r="B69" t="str">
            <v>9M</v>
          </cell>
        </row>
        <row r="70">
          <cell r="B70" t="str">
            <v>1Y</v>
          </cell>
        </row>
        <row r="71">
          <cell r="B71" t="str">
            <v>15M</v>
          </cell>
        </row>
        <row r="72">
          <cell r="B72" t="str">
            <v>18M</v>
          </cell>
        </row>
        <row r="73">
          <cell r="B73" t="str">
            <v>2Y</v>
          </cell>
        </row>
        <row r="74">
          <cell r="B74" t="str">
            <v>3Y</v>
          </cell>
        </row>
        <row r="75">
          <cell r="B75" t="str">
            <v>4Y</v>
          </cell>
        </row>
        <row r="76">
          <cell r="B76" t="str">
            <v>5Y</v>
          </cell>
        </row>
        <row r="77">
          <cell r="B77" t="str">
            <v>6Y</v>
          </cell>
        </row>
        <row r="78">
          <cell r="B78" t="str">
            <v>7Y</v>
          </cell>
        </row>
        <row r="79">
          <cell r="B79" t="str">
            <v>8Y</v>
          </cell>
        </row>
        <row r="80">
          <cell r="B80" t="str">
            <v>9Y</v>
          </cell>
        </row>
        <row r="81">
          <cell r="B81" t="str">
            <v>10Y</v>
          </cell>
        </row>
      </sheetData>
      <sheetData sheetId="11"/>
      <sheetData sheetId="12"/>
      <sheetData sheetId="13"/>
      <sheetData sheetId="1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vermosen" refreshedDate="41873.363663194446" createdVersion="3" refreshedVersion="5" minRefreshableVersion="3" recordCount="350">
  <cacheSource type="worksheet">
    <worksheetSource ref="M1:O1048576" sheet="raw Data"/>
  </cacheSource>
  <cacheFields count="3">
    <cacheField name="issuer" numFmtId="0">
      <sharedItems containsBlank="1" count="27">
        <s v=""/>
        <s v="ICO"/>
        <s v="NAT"/>
        <s v="CADES"/>
        <s v="CFF"/>
        <s v="NEDWBK"/>
        <s v="ESG"/>
        <s v="ITG"/>
        <s v="OKB"/>
        <s v="BNG"/>
        <s v="WSTP"/>
        <s v="HESLAN"/>
        <s v="SPAIN"/>
        <s v="LBBW"/>
        <s v="CDCEPS"/>
        <s v="AFD"/>
        <s v="CBA"/>
        <s v="PTG"/>
        <s v="COE"/>
        <s v="KOMIN"/>
        <s v="KBN"/>
        <m/>
        <s v="EBRD" u="1"/>
        <s v="MQGAU" u="1"/>
        <s v="DEXMA" u="1"/>
        <s v="UKRAIL" u="1"/>
        <s v="SFEFR" u="1"/>
      </sharedItems>
    </cacheField>
    <cacheField name="position" numFmtId="0">
      <sharedItems containsBlank="1" containsMixedTypes="1" containsNumber="1" minValue="-2586125" maxValue="4895000"/>
    </cacheField>
    <cacheField name="risque" numFmtId="0">
      <sharedItems containsString="0" containsBlank="1" containsNumber="1" minValue="-146.78339000000003" maxValue="246.327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">
  <r>
    <x v="0"/>
    <n v="-329581.96064501168"/>
    <n v="0"/>
  </r>
  <r>
    <x v="0"/>
    <n v="0"/>
    <n v="0"/>
  </r>
  <r>
    <x v="0"/>
    <n v="-431628.95478151832"/>
    <n v="0.61339999999999995"/>
  </r>
  <r>
    <x v="0"/>
    <n v="-34808.786675928895"/>
    <n v="0"/>
  </r>
  <r>
    <x v="0"/>
    <n v="-366652.55298645102"/>
    <n v="1.05332"/>
  </r>
  <r>
    <x v="0"/>
    <n v="-111388.11736297247"/>
    <n v="0.69332000000000005"/>
  </r>
  <r>
    <x v="0"/>
    <n v="-366652.55298645102"/>
    <n v="3.5108800000000002"/>
  </r>
  <r>
    <x v="0"/>
    <n v="-111388.11736297247"/>
    <n v="1.43991"/>
  </r>
  <r>
    <x v="0"/>
    <n v="-366652.55298645102"/>
    <n v="5.9687600000000005"/>
  </r>
  <r>
    <x v="0"/>
    <n v="-111388.11736297247"/>
    <n v="2.1866099999999999"/>
  </r>
  <r>
    <x v="0"/>
    <n v="-268027.65740465251"/>
    <n v="6.1598500000000005"/>
  </r>
  <r>
    <x v="0"/>
    <n v="-268027.65740465251"/>
    <n v="7.05816"/>
  </r>
  <r>
    <x v="0"/>
    <n v="-268317.7306269519"/>
    <n v="7.9650799999999995"/>
  </r>
  <r>
    <x v="0"/>
    <n v="-268201.70133803214"/>
    <n v="8.8605"/>
  </r>
  <r>
    <x v="0"/>
    <n v="-268027.65740465251"/>
    <n v="9.7530599999999996"/>
  </r>
  <r>
    <x v="0"/>
    <n v="-268027.65740465251"/>
    <n v="10.65137"/>
  </r>
  <r>
    <x v="0"/>
    <n v="-268027.65740465251"/>
    <n v="11.549670000000001"/>
  </r>
  <r>
    <x v="0"/>
    <n v="-431048.80833691946"/>
    <n v="6.5397299999999996"/>
  </r>
  <r>
    <x v="0"/>
    <n v="-431628.95478151832"/>
    <n v="12.860239999999999"/>
  </r>
  <r>
    <x v="0"/>
    <n v="-268027.65740465251"/>
    <n v="12.447959999999998"/>
  </r>
  <r>
    <x v="0"/>
    <n v="-268027.65740465251"/>
    <n v="13.346270000000001"/>
  </r>
  <r>
    <x v="0"/>
    <n v="-268027.65740465251"/>
    <n v="14.24457"/>
  </r>
  <r>
    <x v="0"/>
    <n v="-268027.65740465251"/>
    <n v="15.14287"/>
  </r>
  <r>
    <x v="0"/>
    <n v="-268027.65740465251"/>
    <n v="16.041160000000001"/>
  </r>
  <r>
    <x v="0"/>
    <n v="-268027.65740465251"/>
    <n v="16.939419999999998"/>
  </r>
  <r>
    <x v="0"/>
    <n v="-268027.65740465251"/>
    <n v="17.837820000000001"/>
  </r>
  <r>
    <x v="0"/>
    <n v="-268027.65740465251"/>
    <n v="18.8643"/>
  </r>
  <r>
    <x v="0"/>
    <n v="-268027.65740465251"/>
    <n v="19.63429"/>
  </r>
  <r>
    <x v="0"/>
    <n v="-268201.70133803214"/>
    <n v="20.545950000000001"/>
  </r>
  <r>
    <x v="0"/>
    <n v="-268027.65740465251"/>
    <n v="21.43102"/>
  </r>
  <r>
    <x v="0"/>
    <n v="-268027.65740465251"/>
    <n v="22.32921"/>
  </r>
  <r>
    <x v="0"/>
    <n v="-268027.65740465251"/>
    <n v="23.227520000000002"/>
  </r>
  <r>
    <x v="0"/>
    <n v="-431048.80833691946"/>
    <n v="19.157910000000001"/>
  </r>
  <r>
    <x v="0"/>
    <n v="-430468.66189232067"/>
    <n v="25.233520000000002"/>
  </r>
  <r>
    <x v="0"/>
    <n v="-430468.66189232067"/>
    <n v="31.349630000000001"/>
  </r>
  <r>
    <x v="0"/>
    <n v="-431628.95478151832"/>
    <n v="37.778370000000002"/>
  </r>
  <r>
    <x v="0"/>
    <n v="-430468.66189232067"/>
    <n v="44.004220000000004"/>
  </r>
  <r>
    <x v="0"/>
    <n v="-431628.95478151832"/>
    <n v="49.84178"/>
  </r>
  <r>
    <x v="0"/>
    <n v="-431048.80833691946"/>
    <n v="56.346830000000004"/>
  </r>
  <r>
    <x v="0"/>
    <n v="-431048.80833691946"/>
    <n v="62.196640000000002"/>
  </r>
  <r>
    <x v="0"/>
    <n v="-431048.80833691946"/>
    <n v="68.435220000000001"/>
  </r>
  <r>
    <x v="0"/>
    <n v="-430613.6985034704"/>
    <n v="74.57786999999999"/>
  </r>
  <r>
    <x v="0"/>
    <n v="-431048.80833691946"/>
    <n v="80.751499999999993"/>
  </r>
  <r>
    <x v="0"/>
    <n v="-431048.80833691946"/>
    <n v="87.455439999999996"/>
  </r>
  <r>
    <x v="0"/>
    <n v="-431628.95478151832"/>
    <n v="93.032699999999991"/>
  </r>
  <r>
    <x v="0"/>
    <n v="-430468.66189232067"/>
    <n v="99.164349999999999"/>
  </r>
  <r>
    <x v="0"/>
    <n v="-430468.66189232067"/>
    <n v="105.59591999999999"/>
  </r>
  <r>
    <x v="0"/>
    <n v="-431628.95478151832"/>
    <n v="111.61408999999999"/>
  </r>
  <r>
    <x v="0"/>
    <n v="-430468.66189232067"/>
    <n v="117.73407"/>
  </r>
  <r>
    <x v="0"/>
    <n v="-412484.12210975739"/>
    <n v="118.22467"/>
  </r>
  <r>
    <x v="0"/>
    <n v="-412484.12210975739"/>
    <n v="124.21216"/>
  </r>
  <r>
    <x v="0"/>
    <n v="-411903.97566515859"/>
    <n v="129.83828"/>
  </r>
  <r>
    <x v="0"/>
    <n v="-412484.12210975739"/>
    <n v="136.41670000000002"/>
  </r>
  <r>
    <x v="0"/>
    <n v="-412484.12210975739"/>
    <n v="141.25504999999998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221035.79539214849"/>
    <n v="182.04246000000001"/>
  </r>
  <r>
    <x v="0"/>
    <n v="-222196.08828134611"/>
    <n v="184.73500000000001"/>
  </r>
  <r>
    <x v="0"/>
    <n v="-221035.79539214849"/>
    <n v="187.36376000000001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115449.14247516418"/>
    <n v="177.73602"/>
  </r>
  <r>
    <x v="0"/>
    <n v="-122410.89981034995"/>
    <n v="192.43432000000001"/>
  </r>
  <r>
    <x v="0"/>
    <n v="-123571.19269954758"/>
    <n v="195.77554000000001"/>
  </r>
  <r>
    <x v="0"/>
    <n v="243771.55953999999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1"/>
    <n v="135000"/>
    <n v="0.11692"/>
  </r>
  <r>
    <x v="0"/>
    <n v="-1045010.2"/>
    <n v="-0.76094000000000006"/>
  </r>
  <r>
    <x v="0"/>
    <n v="0"/>
    <n v="0"/>
  </r>
  <r>
    <x v="0"/>
    <n v="0"/>
    <n v="0"/>
  </r>
  <r>
    <x v="0"/>
    <n v="0"/>
    <n v="0"/>
  </r>
  <r>
    <x v="0"/>
    <n v="400000"/>
    <n v="0.44536000000000003"/>
  </r>
  <r>
    <x v="0"/>
    <n v="-1184826"/>
    <n v="-2.165"/>
  </r>
  <r>
    <x v="0"/>
    <n v="0"/>
    <n v="0"/>
  </r>
  <r>
    <x v="0"/>
    <n v="0"/>
    <n v="0"/>
  </r>
  <r>
    <x v="0"/>
    <n v="0"/>
    <n v="1.6044100000000001"/>
  </r>
  <r>
    <x v="2"/>
    <n v="150000"/>
    <n v="0.58325000000000005"/>
  </r>
  <r>
    <x v="0"/>
    <n v="-2586125"/>
    <n v="-7.8823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2.2462900000000001"/>
  </r>
  <r>
    <x v="2"/>
    <n v="200000"/>
    <n v="0.99980999999999998"/>
  </r>
  <r>
    <x v="2"/>
    <n v="150000"/>
    <n v="0.79150999999999994"/>
  </r>
  <r>
    <x v="2"/>
    <n v="150000"/>
    <n v="0.83314999999999995"/>
  </r>
  <r>
    <x v="3"/>
    <n v="100000"/>
    <n v="0.58325000000000005"/>
  </r>
  <r>
    <x v="0"/>
    <n v="175000"/>
    <n v="0.87661999999999995"/>
  </r>
  <r>
    <x v="0"/>
    <n v="-682046.5"/>
    <n v="-3.22079"/>
  </r>
  <r>
    <x v="0"/>
    <n v="0"/>
    <n v="0"/>
  </r>
  <r>
    <x v="0"/>
    <n v="0"/>
    <n v="0"/>
  </r>
  <r>
    <x v="0"/>
    <n v="0"/>
    <n v="13.649229999999999"/>
  </r>
  <r>
    <x v="2"/>
    <n v="250000"/>
    <n v="1.7356199999999999"/>
  </r>
  <r>
    <x v="4"/>
    <n v="192000"/>
    <n v="1.26769"/>
  </r>
  <r>
    <x v="0"/>
    <n v="0"/>
    <n v="19.98237"/>
  </r>
  <r>
    <x v="5"/>
    <n v="50000"/>
    <n v="0.96389000000000002"/>
  </r>
  <r>
    <x v="6"/>
    <n v="45000"/>
    <n v="0.95871000000000006"/>
  </r>
  <r>
    <x v="1"/>
    <n v="75000"/>
    <n v="1.6072"/>
  </r>
  <r>
    <x v="0"/>
    <n v="4895000"/>
    <n v="81.712450000000004"/>
  </r>
  <r>
    <x v="0"/>
    <n v="414000"/>
    <n v="18.399360000000001"/>
  </r>
  <r>
    <x v="0"/>
    <n v="400000"/>
    <n v="20.110400000000002"/>
  </r>
  <r>
    <x v="7"/>
    <n v="40000"/>
    <n v="1.0652900000000001"/>
  </r>
  <r>
    <x v="8"/>
    <n v="97000"/>
    <n v="2.9545599999999999"/>
  </r>
  <r>
    <x v="9"/>
    <n v="99500"/>
    <n v="3.9867199999999996"/>
  </r>
  <r>
    <x v="10"/>
    <n v="19000"/>
    <n v="0.86746000000000001"/>
  </r>
  <r>
    <x v="0"/>
    <n v="0"/>
    <n v="0"/>
  </r>
  <r>
    <x v="0"/>
    <n v="200000"/>
    <n v="5.2248799999999997"/>
  </r>
  <r>
    <x v="0"/>
    <n v="-1249000"/>
    <n v="-31.262900000000002"/>
  </r>
  <r>
    <x v="0"/>
    <n v="0"/>
    <n v="0"/>
  </r>
  <r>
    <x v="3"/>
    <n v="50000"/>
    <n v="2.8708200000000001"/>
  </r>
  <r>
    <x v="3"/>
    <n v="26000"/>
    <n v="1.5284200000000001"/>
  </r>
  <r>
    <x v="3"/>
    <n v="40000"/>
    <n v="2.4280500000000003"/>
  </r>
  <r>
    <x v="3"/>
    <n v="150000"/>
    <n v="9.47438"/>
  </r>
  <r>
    <x v="3"/>
    <n v="85000"/>
    <n v="5.6938999999999993"/>
  </r>
  <r>
    <x v="11"/>
    <n v="39900"/>
    <n v="2.1522299999999999"/>
  </r>
  <r>
    <x v="0"/>
    <n v="-1145000"/>
    <n v="-28.66065"/>
  </r>
  <r>
    <x v="0"/>
    <n v="1000000"/>
    <n v="77.497119999999995"/>
  </r>
  <r>
    <x v="0"/>
    <n v="478000"/>
    <n v="40.761249999999997"/>
  </r>
  <r>
    <x v="0"/>
    <n v="0"/>
    <n v="1.0000000000000001E-5"/>
  </r>
  <r>
    <x v="0"/>
    <n v="194000"/>
    <n v="19.560890000000001"/>
  </r>
  <r>
    <x v="4"/>
    <n v="201500"/>
    <n v="16.216419999999999"/>
  </r>
  <r>
    <x v="0"/>
    <n v="252000"/>
    <n v="21.09496"/>
  </r>
  <r>
    <x v="0"/>
    <n v="456000"/>
    <n v="42.000620000000005"/>
  </r>
  <r>
    <x v="7"/>
    <n v="10000"/>
    <n v="0.95665999999999995"/>
  </r>
  <r>
    <x v="0"/>
    <n v="0"/>
    <n v="0"/>
  </r>
  <r>
    <x v="12"/>
    <n v="15000"/>
    <n v="1.35432"/>
  </r>
  <r>
    <x v="0"/>
    <n v="-621000"/>
    <n v="-15.54542"/>
  </r>
  <r>
    <x v="0"/>
    <n v="300000"/>
    <n v="7.5768199999999997"/>
  </r>
  <r>
    <x v="0"/>
    <n v="-300000"/>
    <n v="-22.657779999999999"/>
  </r>
  <r>
    <x v="0"/>
    <n v="0"/>
    <n v="0"/>
  </r>
  <r>
    <x v="13"/>
    <n v="25000"/>
    <n v="2.6040100000000002"/>
  </r>
  <r>
    <x v="3"/>
    <n v="18000"/>
    <n v="1.9423299999999999"/>
  </r>
  <r>
    <x v="0"/>
    <n v="470000"/>
    <n v="51.081029999999998"/>
  </r>
  <r>
    <x v="14"/>
    <n v="185000"/>
    <n v="22.53201"/>
  </r>
  <r>
    <x v="0"/>
    <n v="1505000"/>
    <n v="188.19114999999999"/>
  </r>
  <r>
    <x v="0"/>
    <n v="433000"/>
    <n v="57.86815"/>
  </r>
  <r>
    <x v="15"/>
    <n v="200000"/>
    <n v="27.988679999999999"/>
  </r>
  <r>
    <x v="0"/>
    <n v="685000"/>
    <n v="97.484100000000012"/>
  </r>
  <r>
    <x v="0"/>
    <n v="1137000"/>
    <n v="180.40921"/>
  </r>
  <r>
    <x v="4"/>
    <n v="27800"/>
    <n v="4.6280799999999997"/>
  </r>
  <r>
    <x v="14"/>
    <n v="94000"/>
    <n v="15.867459999999999"/>
  </r>
  <r>
    <x v="9"/>
    <n v="39000"/>
    <n v="6.7771099999999995"/>
  </r>
  <r>
    <x v="0"/>
    <n v="1046000"/>
    <n v="182.73688000000001"/>
  </r>
  <r>
    <x v="0"/>
    <n v="312000"/>
    <n v="57.055699999999995"/>
  </r>
  <r>
    <x v="9"/>
    <n v="30000"/>
    <n v="5.8802399999999997"/>
  </r>
  <r>
    <x v="15"/>
    <n v="50000"/>
    <n v="9.5813500000000005"/>
  </r>
  <r>
    <x v="16"/>
    <n v="25000"/>
    <n v="5.0804200000000002"/>
  </r>
  <r>
    <x v="0"/>
    <n v="-920000"/>
    <n v="-23.03154"/>
  </r>
  <r>
    <x v="0"/>
    <n v="-738000"/>
    <n v="-18.47655"/>
  </r>
  <r>
    <x v="0"/>
    <n v="-522000"/>
    <n v="-13.069450000000002"/>
  </r>
  <r>
    <x v="0"/>
    <n v="-1087000"/>
    <n v="-27.447590000000002"/>
  </r>
  <r>
    <x v="0"/>
    <n v="200000"/>
    <n v="1.3345199999999999"/>
  </r>
  <r>
    <x v="0"/>
    <n v="-200000"/>
    <n v="-31.50263"/>
  </r>
  <r>
    <x v="0"/>
    <n v="211000"/>
    <n v="41.91957"/>
  </r>
  <r>
    <x v="10"/>
    <n v="50000"/>
    <n v="11.21579"/>
  </r>
  <r>
    <x v="5"/>
    <n v="66000"/>
    <n v="15.04401"/>
  </r>
  <r>
    <x v="7"/>
    <n v="70000"/>
    <n v="16.799419999999998"/>
  </r>
  <r>
    <x v="17"/>
    <n v="50000"/>
    <n v="9.3708200000000001"/>
  </r>
  <r>
    <x v="0"/>
    <n v="0"/>
    <n v="0"/>
  </r>
  <r>
    <x v="18"/>
    <n v="25000"/>
    <n v="7.2561400000000003"/>
  </r>
  <r>
    <x v="19"/>
    <n v="70000"/>
    <n v="19.534990000000001"/>
  </r>
  <r>
    <x v="0"/>
    <n v="0"/>
    <n v="0"/>
  </r>
  <r>
    <x v="20"/>
    <n v="15000"/>
    <n v="4.3260899999999998"/>
  </r>
  <r>
    <x v="0"/>
    <n v="-45600"/>
    <n v="-8.5948600000000006"/>
  </r>
  <r>
    <x v="0"/>
    <n v="-396000"/>
    <n v="-9.915989999999999"/>
  </r>
  <r>
    <x v="0"/>
    <n v="-307000"/>
    <n v="-7.68912"/>
  </r>
  <r>
    <x v="0"/>
    <n v="-285000"/>
    <n v="-7.1397700000000004"/>
  </r>
  <r>
    <x v="0"/>
    <n v="-108000"/>
    <n v="-2.7063000000000001"/>
  </r>
  <r>
    <x v="9"/>
    <n v="27000"/>
    <n v="8.1166099999999997"/>
  </r>
  <r>
    <x v="4"/>
    <n v="15000"/>
    <n v="4.6389499999999995"/>
  </r>
  <r>
    <x v="9"/>
    <n v="57000"/>
    <n v="18.24213"/>
  </r>
  <r>
    <x v="9"/>
    <n v="30000"/>
    <n v="10.44844"/>
  </r>
  <r>
    <x v="20"/>
    <n v="5000"/>
    <n v="1.7844200000000001"/>
  </r>
  <r>
    <x v="5"/>
    <n v="37000"/>
    <n v="14.24023"/>
  </r>
  <r>
    <x v="0"/>
    <n v="0"/>
    <n v="0"/>
  </r>
  <r>
    <x v="0"/>
    <n v="0"/>
    <n v="0"/>
  </r>
  <r>
    <x v="0"/>
    <n v="33000"/>
    <n v="15.551600000000001"/>
  </r>
  <r>
    <x v="0"/>
    <n v="477000"/>
    <n v="230.07465999999999"/>
  </r>
  <r>
    <x v="7"/>
    <n v="10000"/>
    <n v="4.3062700000000005"/>
  </r>
  <r>
    <x v="0"/>
    <n v="-40000"/>
    <n v="-1.00261"/>
  </r>
  <r>
    <x v="0"/>
    <n v="350000"/>
    <n v="7.3333699999999995"/>
  </r>
  <r>
    <x v="0"/>
    <n v="-350000"/>
    <n v="-146.78339000000003"/>
  </r>
  <r>
    <x v="0"/>
    <n v="346000"/>
    <n v="170.15159"/>
  </r>
  <r>
    <x v="0"/>
    <n v="0"/>
    <n v="0"/>
  </r>
  <r>
    <x v="0"/>
    <n v="212000"/>
    <n v="193.34632999999999"/>
  </r>
  <r>
    <x v="0"/>
    <n v="268000"/>
    <n v="246.32791"/>
  </r>
  <r>
    <x v="0"/>
    <n v="101695.00744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2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7" applyNumberFormats="0" applyBorderFormats="0" applyFontFormats="0" applyPatternFormats="0" applyAlignmentFormats="0" applyWidthHeightFormats="1" dataCaption="Valeurs" updatedVersion="5" minRefreshableVersion="3" showCalcMbrs="0" useAutoFormatting="1" itemPrintTitles="1" createdVersion="3" indent="0" showHeaders="0" outline="1" outlineData="1" multipleFieldFilters="0" chartFormat="2">
  <location ref="B52:B72" firstHeaderRow="0" firstDataRow="0" firstDataCol="1"/>
  <pivotFields count="3">
    <pivotField axis="axisRow" showAll="0">
      <items count="28">
        <item h="1" x="0"/>
        <item x="15"/>
        <item x="9"/>
        <item x="3"/>
        <item x="16"/>
        <item x="14"/>
        <item x="4"/>
        <item x="18"/>
        <item m="1" x="24"/>
        <item m="1" x="22"/>
        <item x="6"/>
        <item x="11"/>
        <item x="1"/>
        <item x="7"/>
        <item x="20"/>
        <item x="19"/>
        <item x="13"/>
        <item m="1" x="23"/>
        <item x="2"/>
        <item x="5"/>
        <item x="8"/>
        <item x="17"/>
        <item x="12"/>
        <item m="1" x="25"/>
        <item x="10"/>
        <item h="1" x="21"/>
        <item h="1" m="1" x="26"/>
        <item t="default"/>
      </items>
    </pivotField>
    <pivotField showAll="0"/>
    <pivotField showAll="0"/>
  </pivotFields>
  <rowFields count="1">
    <field x="0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 t="grand">
      <x/>
    </i>
  </rowItems>
  <colItems count="1">
    <i/>
  </colItems>
  <formats count="2">
    <format dxfId="10">
      <pivotArea outline="0" collapsedLevelsAreSubtotals="1" fieldPosition="0"/>
    </format>
    <format dxfId="9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7.xml"/><Relationship Id="rId4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B2:Z242"/>
  <sheetViews>
    <sheetView tabSelected="1" workbookViewId="0">
      <selection activeCell="I10" sqref="I10"/>
    </sheetView>
  </sheetViews>
  <sheetFormatPr baseColWidth="10" defaultColWidth="11.3984375" defaultRowHeight="10.199999999999999" x14ac:dyDescent="0.3"/>
  <cols>
    <col min="1" max="1" width="1.73046875" style="42" customWidth="1"/>
    <col min="2" max="2" width="12.59765625" style="42" customWidth="1"/>
    <col min="3" max="3" width="12.1328125" style="43" customWidth="1"/>
    <col min="4" max="6" width="10" style="43" customWidth="1"/>
    <col min="7" max="7" width="1.73046875" style="64" customWidth="1"/>
    <col min="8" max="8" width="1.73046875" style="42" customWidth="1"/>
    <col min="9" max="9" width="17.3984375" style="42" customWidth="1"/>
    <col min="10" max="12" width="10.1328125" style="42" customWidth="1"/>
    <col min="13" max="13" width="13.59765625" style="42" bestFit="1" customWidth="1"/>
    <col min="14" max="19" width="2.59765625" style="42" customWidth="1"/>
    <col min="20" max="16384" width="11.3984375" style="42"/>
  </cols>
  <sheetData>
    <row r="2" spans="2:26" x14ac:dyDescent="0.3">
      <c r="B2" s="72" t="s">
        <v>965</v>
      </c>
      <c r="D2" s="429" t="s">
        <v>7</v>
      </c>
      <c r="E2" s="429"/>
      <c r="F2" s="429"/>
      <c r="I2" s="72" t="s">
        <v>72</v>
      </c>
      <c r="K2" s="42" t="s">
        <v>971</v>
      </c>
    </row>
    <row r="3" spans="2:26" x14ac:dyDescent="0.3">
      <c r="D3" s="44"/>
      <c r="E3" s="44"/>
      <c r="F3" s="44"/>
      <c r="I3" s="73">
        <f ca="1">IF(I4="",_xll.ADDIN.PRICING.DATE(CALENDRIER.JOURS.OUVRES(TODAY(),"USD",0)),_xll.ADDIN.PRICING.DATE(I4))</f>
        <v>41088</v>
      </c>
    </row>
    <row r="4" spans="2:26" x14ac:dyDescent="0.3">
      <c r="B4" s="45" t="s">
        <v>8</v>
      </c>
      <c r="C4" s="46"/>
      <c r="D4" s="95" t="s">
        <v>9</v>
      </c>
      <c r="E4" s="95" t="s">
        <v>10</v>
      </c>
      <c r="F4" s="95" t="s">
        <v>11</v>
      </c>
      <c r="I4" s="419">
        <v>41088</v>
      </c>
    </row>
    <row r="5" spans="2:26" x14ac:dyDescent="0.3">
      <c r="B5" s="47">
        <v>300</v>
      </c>
      <c r="C5" s="148" t="s">
        <v>977</v>
      </c>
      <c r="D5" s="95">
        <f>0.5*B5/change*(1+D21/100*14/360)</f>
        <v>119.12515385531643</v>
      </c>
      <c r="E5" s="95">
        <f>B5/change*(1+E21/100*90/360)</f>
        <v>238.50190582069402</v>
      </c>
      <c r="F5" s="95">
        <f>1.5*B5/change*(1+F21/100*180/360)</f>
        <v>358.6535376796632</v>
      </c>
      <c r="G5" s="65"/>
      <c r="H5" s="48"/>
      <c r="I5" s="72" t="s">
        <v>968</v>
      </c>
    </row>
    <row r="6" spans="2:26" x14ac:dyDescent="0.3">
      <c r="B6" s="49"/>
      <c r="C6" s="148" t="s">
        <v>12</v>
      </c>
      <c r="D6" s="95">
        <f>B5/change*0.03</f>
        <v>7.1468276026363844</v>
      </c>
      <c r="E6" s="95">
        <f>B5/change*0.04</f>
        <v>9.5291034701818464</v>
      </c>
      <c r="F6" s="95">
        <f>B5/change*0.05</f>
        <v>11.911379337727309</v>
      </c>
      <c r="I6" s="72" t="s">
        <v>969</v>
      </c>
    </row>
    <row r="7" spans="2:26" x14ac:dyDescent="0.3">
      <c r="B7" s="49"/>
      <c r="C7" s="49"/>
      <c r="D7" s="49"/>
      <c r="E7" s="49"/>
      <c r="F7" s="49"/>
      <c r="I7" s="155">
        <f>(SUMIF('raw Data'!$A:$A,"RESINV1USD",'raw Data'!$G:$G)+SUMIF('raw Data'!$A:$A,"RESSWAPORUSD",'raw Data'!$G:$G))/SUMIF('raw Data'!$A:$A,"BKINV1USD",'raw Data'!$G:$G)</f>
        <v>0.58014644459881493</v>
      </c>
    </row>
    <row r="8" spans="2:26" x14ac:dyDescent="0.3">
      <c r="B8" s="49"/>
      <c r="C8" s="148" t="s">
        <v>976</v>
      </c>
      <c r="D8" s="95"/>
      <c r="E8" s="95">
        <f>0.03*$B$5/change</f>
        <v>7.1468276026363844</v>
      </c>
      <c r="F8" s="95"/>
    </row>
    <row r="9" spans="2:26" x14ac:dyDescent="0.3">
      <c r="B9" s="49"/>
      <c r="C9" s="148" t="s">
        <v>975</v>
      </c>
      <c r="D9" s="95"/>
      <c r="E9" s="95">
        <f>$B$5/change</f>
        <v>238.22758675454617</v>
      </c>
      <c r="F9" s="95"/>
      <c r="I9" s="42" t="s">
        <v>970</v>
      </c>
    </row>
    <row r="10" spans="2:26" x14ac:dyDescent="0.3">
      <c r="B10" s="49"/>
      <c r="C10" s="148" t="s">
        <v>974</v>
      </c>
      <c r="D10" s="95"/>
      <c r="E10" s="95">
        <f>$B$5/change*0.07</f>
        <v>16.675931072818234</v>
      </c>
      <c r="F10" s="95"/>
      <c r="I10" s="42" t="str">
        <f ca="1">_xll.INSTANCE.COURBE.AJUSTEE("UST_CURVE",pricingDate,1,treasuries!A2:A282,treasuries!I2:I282,"USD",I11)</f>
        <v xml:space="preserve">Error in call to Excel: (xlSpecial | 2) callback failed:  Command failed </v>
      </c>
    </row>
    <row r="11" spans="2:26" x14ac:dyDescent="0.3">
      <c r="B11" s="49"/>
      <c r="C11" s="148"/>
      <c r="D11" s="95"/>
      <c r="E11" s="95"/>
      <c r="F11" s="95"/>
      <c r="I11" s="42" t="str">
        <f ca="1">_xll.INSTANCE.FITTING.SVENSSON("FITTING_SVENSSON","No Constraint",M14,N14,1,1,6000,0.000000001)</f>
        <v>FITTING_SVENSSON#0002</v>
      </c>
      <c r="M11" s="385"/>
    </row>
    <row r="13" spans="2:26" x14ac:dyDescent="0.3">
      <c r="C13" s="50"/>
      <c r="D13" s="95" t="s">
        <v>592</v>
      </c>
      <c r="E13" s="95" t="s">
        <v>593</v>
      </c>
      <c r="F13" s="95" t="s">
        <v>591</v>
      </c>
      <c r="I13" s="72" t="s">
        <v>125</v>
      </c>
      <c r="J13" s="417"/>
      <c r="K13" s="418" t="s">
        <v>967</v>
      </c>
      <c r="M13" s="43" t="s">
        <v>966</v>
      </c>
    </row>
    <row r="14" spans="2:26" x14ac:dyDescent="0.3">
      <c r="C14" s="148" t="s">
        <v>594</v>
      </c>
      <c r="D14" s="95">
        <f>0.5%*$B$5/change</f>
        <v>1.1911379337727308</v>
      </c>
      <c r="E14" s="95">
        <f>$B$5%/change</f>
        <v>2.3822758675454616</v>
      </c>
      <c r="F14" s="95">
        <f>1.5%*$B$5/change</f>
        <v>3.5734138013181922</v>
      </c>
      <c r="I14" s="42" t="str">
        <f ca="1">_xll.INSTANCE.CONVENTION.TAUX("US_CONV","ACT/ACT","SimpleThenCompounded","Semi-Annual","Unadjusted",TODAY())</f>
        <v>US_CONV#0002</v>
      </c>
      <c r="J14" s="153" t="s">
        <v>636</v>
      </c>
      <c r="K14" s="42" t="str">
        <f t="array" aca="1" ref="K14:K19" ca="1">_xll.FITTING.PARAMETRES.COURBE(ustCurve)</f>
        <v>ObjectHandler error: attempt to retrieve object with unknown ID 'Parameter 'bond selection rule' has error value'</v>
      </c>
      <c r="M14" s="193" t="str">
        <f ca="1">_xll.INSTANCE.MATRICE("VECTOR",M15:M20,TODAY())</f>
        <v>VECTOR#0001</v>
      </c>
      <c r="N14" s="194" t="str">
        <f ca="1">_xll.INSTANCE.MATRICE("RANDOM",N15:S20,TODAY())</f>
        <v>RANDOM#0001</v>
      </c>
      <c r="O14" s="194"/>
      <c r="P14" s="194"/>
      <c r="Q14" s="194"/>
      <c r="R14" s="194"/>
      <c r="S14" s="195"/>
    </row>
    <row r="15" spans="2:26" ht="10.55" x14ac:dyDescent="0.35">
      <c r="D15" s="42"/>
      <c r="F15" s="153" t="s">
        <v>973</v>
      </c>
      <c r="I15" s="42" t="str">
        <f ca="1">_xll.INSTANCE.CONVENTION.TAUX("TRUE_YIELD","ACT/ACT","SimpleThenCompounded","Semi-Annual","Following",TODAY())</f>
        <v>TRUE_YIELD#0003</v>
      </c>
      <c r="J15" s="153" t="s">
        <v>637</v>
      </c>
      <c r="K15" s="42" t="str">
        <f ca="1"/>
        <v>ObjectHandler error: attempt to retrieve object with unknown ID 'Parameter 'bond selection rule' has error value'</v>
      </c>
      <c r="M15" s="196">
        <v>-2.5245640484687516E-2</v>
      </c>
      <c r="N15" s="197">
        <v>1</v>
      </c>
      <c r="O15" s="197">
        <v>0</v>
      </c>
      <c r="P15" s="197">
        <v>0</v>
      </c>
      <c r="Q15" s="197">
        <v>0</v>
      </c>
      <c r="R15" s="197">
        <v>0</v>
      </c>
      <c r="S15" s="64">
        <v>0</v>
      </c>
      <c r="U15" s="377"/>
      <c r="V15" s="377"/>
      <c r="W15" s="377"/>
      <c r="X15" s="377"/>
      <c r="Y15" s="377"/>
      <c r="Z15" s="377"/>
    </row>
    <row r="16" spans="2:26" x14ac:dyDescent="0.3">
      <c r="C16" s="415"/>
      <c r="I16" s="42" t="str">
        <f ca="1">_xll.INSTANCE.CONVENTION.TAUX("CONT_CONV","ACT/ACT","Continuous","Annual","Following",TODAY())</f>
        <v>CONT_CONV#0003</v>
      </c>
      <c r="J16" s="153" t="s">
        <v>638</v>
      </c>
      <c r="K16" s="42" t="str">
        <f ca="1"/>
        <v>ObjectHandler error: attempt to retrieve object with unknown ID 'Parameter 'bond selection rule' has error value'</v>
      </c>
      <c r="M16" s="196">
        <v>2.5798643353690698E-2</v>
      </c>
      <c r="N16" s="197">
        <v>0</v>
      </c>
      <c r="O16" s="197">
        <v>1</v>
      </c>
      <c r="P16" s="197">
        <v>0</v>
      </c>
      <c r="Q16" s="197">
        <v>0</v>
      </c>
      <c r="R16" s="197">
        <v>0</v>
      </c>
      <c r="S16" s="64">
        <v>0</v>
      </c>
    </row>
    <row r="17" spans="2:19" x14ac:dyDescent="0.3">
      <c r="C17" s="42"/>
      <c r="D17" s="49"/>
      <c r="E17" s="54" t="s">
        <v>13</v>
      </c>
      <c r="F17" s="54" t="s">
        <v>14</v>
      </c>
      <c r="I17" s="42" t="str">
        <f ca="1">_xll.INSTANCE.CONVENTION.TAUX("SIMPLE_CONV","ACT/ACT","Simple","Annual","Unadjusted",TODAY())</f>
        <v>SIMPLE_CONV#0003</v>
      </c>
      <c r="J17" s="153" t="s">
        <v>639</v>
      </c>
      <c r="K17" s="42" t="str">
        <f ca="1"/>
        <v>ObjectHandler error: attempt to retrieve object with unknown ID 'Parameter 'bond selection rule' has error value'</v>
      </c>
      <c r="M17" s="196">
        <v>1.903675918820142E-2</v>
      </c>
      <c r="N17" s="197">
        <v>0</v>
      </c>
      <c r="O17" s="197">
        <v>0</v>
      </c>
      <c r="P17" s="197">
        <v>1</v>
      </c>
      <c r="Q17" s="197">
        <v>0</v>
      </c>
      <c r="R17" s="197">
        <v>0</v>
      </c>
      <c r="S17" s="64">
        <v>0</v>
      </c>
    </row>
    <row r="18" spans="2:19" x14ac:dyDescent="0.3">
      <c r="C18" s="42"/>
      <c r="D18" s="55" t="s">
        <v>15</v>
      </c>
      <c r="E18" s="56">
        <v>1.2593000000000001</v>
      </c>
      <c r="F18" s="57">
        <v>1.2594000000000001</v>
      </c>
      <c r="I18" s="42" t="str">
        <f ca="1">_xll.INSTANCE.CONVENTION.TAUX("ANN_CONV","ACT/ACT","Compounded","Annual","Unadjusted",TODAY())</f>
        <v>ANN_CONV#0003</v>
      </c>
      <c r="J18" s="153" t="s">
        <v>640</v>
      </c>
      <c r="K18" s="42" t="str">
        <f ca="1"/>
        <v>ObjectHandler error: attempt to retrieve object with unknown ID 'Parameter 'bond selection rule' has error value'</v>
      </c>
      <c r="M18" s="196">
        <v>0.17517012554300268</v>
      </c>
      <c r="N18" s="197">
        <v>0</v>
      </c>
      <c r="O18" s="197">
        <v>0</v>
      </c>
      <c r="P18" s="197">
        <v>0</v>
      </c>
      <c r="Q18" s="197">
        <v>1</v>
      </c>
      <c r="R18" s="197">
        <v>0</v>
      </c>
      <c r="S18" s="64">
        <v>0</v>
      </c>
    </row>
    <row r="19" spans="2:19" x14ac:dyDescent="0.3">
      <c r="C19" s="58"/>
      <c r="D19" s="59"/>
      <c r="E19" s="59"/>
      <c r="F19" s="51"/>
      <c r="I19" s="42" t="str">
        <f ca="1">_xll.INSTANCE.CONVENTION.TAUX("SEMI_CONV","ACT/ACT","Compounded","Semi-Annual","Unadjusted",TODAY())</f>
        <v>SEMI_CONV#0003</v>
      </c>
      <c r="J19" s="153" t="s">
        <v>641</v>
      </c>
      <c r="K19" s="42" t="str">
        <f ca="1"/>
        <v>ObjectHandler error: attempt to retrieve object with unknown ID 'Parameter 'bond selection rule' has error value'</v>
      </c>
      <c r="M19" s="196">
        <v>0.85706488493485367</v>
      </c>
      <c r="N19" s="197">
        <v>0</v>
      </c>
      <c r="O19" s="197">
        <v>0</v>
      </c>
      <c r="P19" s="197">
        <v>0</v>
      </c>
      <c r="Q19" s="197">
        <v>0</v>
      </c>
      <c r="R19" s="197">
        <v>1</v>
      </c>
      <c r="S19" s="64">
        <v>0</v>
      </c>
    </row>
    <row r="20" spans="2:19" x14ac:dyDescent="0.3">
      <c r="C20" s="60" t="s">
        <v>16</v>
      </c>
      <c r="D20" s="150" t="s">
        <v>78</v>
      </c>
      <c r="E20" s="151" t="s">
        <v>18</v>
      </c>
      <c r="F20" s="152" t="s">
        <v>19</v>
      </c>
      <c r="I20" s="42" t="str">
        <f ca="1">_xll.INSTANCE.CONVENTION.TAUX("MMKT_CONV","ACT/360","Simple","Annual","Unadjusted",TODAY())</f>
        <v>MMKT_CONV#0002</v>
      </c>
      <c r="J20" s="153" t="s">
        <v>635</v>
      </c>
      <c r="K20" s="42">
        <f ca="1">_xll.FITTING.COEFFICIENT.DETERMINATION(ustCurve)</f>
        <v>0</v>
      </c>
      <c r="M20" s="198">
        <v>6.3275020419456887E-2</v>
      </c>
      <c r="N20" s="66">
        <v>0</v>
      </c>
      <c r="O20" s="66">
        <v>0</v>
      </c>
      <c r="P20" s="66">
        <v>0</v>
      </c>
      <c r="Q20" s="66">
        <v>0</v>
      </c>
      <c r="R20" s="66">
        <v>0</v>
      </c>
      <c r="S20" s="68">
        <v>1</v>
      </c>
    </row>
    <row r="21" spans="2:19" x14ac:dyDescent="0.3">
      <c r="C21" s="149" t="s">
        <v>0</v>
      </c>
      <c r="D21" s="69">
        <v>0.24525</v>
      </c>
      <c r="E21" s="70">
        <v>0.46060000000000001</v>
      </c>
      <c r="F21" s="71">
        <v>0.73440000000000005</v>
      </c>
    </row>
    <row r="22" spans="2:19" s="66" customFormat="1" x14ac:dyDescent="0.3">
      <c r="C22" s="67"/>
      <c r="D22" s="67"/>
      <c r="E22" s="67"/>
      <c r="F22" s="67"/>
      <c r="G22" s="68"/>
    </row>
    <row r="24" spans="2:19" ht="11.25" customHeight="1" x14ac:dyDescent="0.3">
      <c r="B24" s="72" t="s">
        <v>964</v>
      </c>
      <c r="C24" s="51"/>
      <c r="D24" s="51"/>
      <c r="E24" s="51"/>
      <c r="I24" s="416"/>
    </row>
    <row r="25" spans="2:19" ht="11.25" customHeight="1" x14ac:dyDescent="0.3">
      <c r="B25" s="52"/>
      <c r="C25" s="53"/>
      <c r="D25" s="51"/>
      <c r="E25" s="51"/>
    </row>
    <row r="26" spans="2:19" ht="11.25" customHeight="1" x14ac:dyDescent="0.3">
      <c r="D26" s="51"/>
      <c r="E26" s="51"/>
    </row>
    <row r="27" spans="2:19" ht="11.25" customHeight="1" x14ac:dyDescent="0.3">
      <c r="C27" s="42"/>
      <c r="D27" s="42"/>
      <c r="E27" s="42"/>
    </row>
    <row r="28" spans="2:19" ht="11.25" customHeight="1" x14ac:dyDescent="0.3">
      <c r="C28" s="42"/>
      <c r="D28" s="42"/>
      <c r="E28" s="42"/>
    </row>
    <row r="29" spans="2:19" ht="11.25" customHeight="1" x14ac:dyDescent="0.3">
      <c r="C29" s="42"/>
      <c r="D29" s="42"/>
      <c r="E29" s="42"/>
    </row>
    <row r="30" spans="2:19" ht="11.25" customHeight="1" x14ac:dyDescent="0.3">
      <c r="C30" s="42"/>
      <c r="D30" s="42"/>
      <c r="E30" s="42"/>
    </row>
    <row r="31" spans="2:19" ht="11.25" customHeight="1" x14ac:dyDescent="0.3">
      <c r="C31" s="42"/>
      <c r="D31" s="42"/>
      <c r="E31" s="42"/>
    </row>
    <row r="32" spans="2:19" ht="11.25" customHeight="1" x14ac:dyDescent="0.3">
      <c r="C32" s="42"/>
      <c r="D32" s="42"/>
    </row>
    <row r="33" spans="3:4" ht="11.25" customHeight="1" x14ac:dyDescent="0.3">
      <c r="C33" s="42"/>
      <c r="D33" s="42"/>
    </row>
    <row r="34" spans="3:4" ht="11.25" customHeight="1" x14ac:dyDescent="0.3">
      <c r="C34" s="42"/>
      <c r="D34" s="42"/>
    </row>
    <row r="35" spans="3:4" ht="11.25" customHeight="1" x14ac:dyDescent="0.3">
      <c r="C35" s="42"/>
      <c r="D35" s="42"/>
    </row>
    <row r="36" spans="3:4" ht="11.25" customHeight="1" x14ac:dyDescent="0.3">
      <c r="C36" s="42"/>
      <c r="D36" s="42"/>
    </row>
    <row r="37" spans="3:4" ht="11.25" customHeight="1" x14ac:dyDescent="0.3">
      <c r="C37" s="42"/>
      <c r="D37" s="42"/>
    </row>
    <row r="38" spans="3:4" ht="11.25" customHeight="1" x14ac:dyDescent="0.3">
      <c r="C38" s="42"/>
      <c r="D38" s="42"/>
    </row>
    <row r="39" spans="3:4" ht="11.25" customHeight="1" x14ac:dyDescent="0.3">
      <c r="C39" s="42"/>
      <c r="D39" s="42"/>
    </row>
    <row r="40" spans="3:4" ht="11.25" customHeight="1" x14ac:dyDescent="0.3">
      <c r="C40" s="42"/>
      <c r="D40" s="42"/>
    </row>
    <row r="41" spans="3:4" ht="11.25" customHeight="1" x14ac:dyDescent="0.3">
      <c r="C41" s="42"/>
      <c r="D41" s="42"/>
    </row>
    <row r="42" spans="3:4" ht="11.25" customHeight="1" x14ac:dyDescent="0.3">
      <c r="C42" s="42"/>
      <c r="D42" s="42"/>
    </row>
    <row r="43" spans="3:4" ht="11.25" customHeight="1" x14ac:dyDescent="0.3">
      <c r="C43" s="199"/>
      <c r="D43" s="42"/>
    </row>
    <row r="44" spans="3:4" ht="11.25" customHeight="1" x14ac:dyDescent="0.3">
      <c r="C44" s="42"/>
      <c r="D44" s="42"/>
    </row>
    <row r="45" spans="3:4" ht="11.25" customHeight="1" x14ac:dyDescent="0.3">
      <c r="C45" s="42"/>
      <c r="D45" s="42"/>
    </row>
    <row r="46" spans="3:4" ht="11.25" customHeight="1" x14ac:dyDescent="0.3">
      <c r="C46" s="42"/>
      <c r="D46" s="42"/>
    </row>
    <row r="47" spans="3:4" ht="11.25" customHeight="1" x14ac:dyDescent="0.3">
      <c r="C47" s="42"/>
      <c r="D47" s="42"/>
    </row>
    <row r="48" spans="3:4" ht="11.25" customHeight="1" x14ac:dyDescent="0.3">
      <c r="C48" s="42"/>
      <c r="D48" s="42"/>
    </row>
    <row r="49" spans="3:4" ht="11.25" customHeight="1" x14ac:dyDescent="0.3">
      <c r="C49" s="42"/>
      <c r="D49" s="42"/>
    </row>
    <row r="50" spans="3:4" ht="11.25" customHeight="1" x14ac:dyDescent="0.3">
      <c r="C50" s="42"/>
      <c r="D50" s="42"/>
    </row>
    <row r="124" spans="9:9" x14ac:dyDescent="0.3">
      <c r="I124" s="1"/>
    </row>
    <row r="125" spans="9:9" x14ac:dyDescent="0.3">
      <c r="I125" s="1"/>
    </row>
    <row r="126" spans="9:9" x14ac:dyDescent="0.3">
      <c r="I126" s="1"/>
    </row>
    <row r="127" spans="9:9" x14ac:dyDescent="0.3">
      <c r="I127" s="1"/>
    </row>
    <row r="128" spans="9:9" x14ac:dyDescent="0.3">
      <c r="I128" s="1"/>
    </row>
    <row r="129" spans="9:9" x14ac:dyDescent="0.3">
      <c r="I129" s="1"/>
    </row>
    <row r="130" spans="9:9" x14ac:dyDescent="0.3">
      <c r="I130" s="1"/>
    </row>
    <row r="131" spans="9:9" x14ac:dyDescent="0.3">
      <c r="I131" s="1"/>
    </row>
    <row r="132" spans="9:9" x14ac:dyDescent="0.3">
      <c r="I132" s="1"/>
    </row>
    <row r="133" spans="9:9" x14ac:dyDescent="0.3">
      <c r="I133" s="1"/>
    </row>
    <row r="134" spans="9:9" x14ac:dyDescent="0.3">
      <c r="I134" s="1"/>
    </row>
    <row r="135" spans="9:9" x14ac:dyDescent="0.3">
      <c r="I135" s="1"/>
    </row>
    <row r="136" spans="9:9" x14ac:dyDescent="0.3">
      <c r="I136" s="1"/>
    </row>
    <row r="137" spans="9:9" x14ac:dyDescent="0.3">
      <c r="I137" s="1"/>
    </row>
    <row r="138" spans="9:9" x14ac:dyDescent="0.3">
      <c r="I138" s="1"/>
    </row>
    <row r="139" spans="9:9" x14ac:dyDescent="0.3">
      <c r="I139" s="1"/>
    </row>
    <row r="140" spans="9:9" x14ac:dyDescent="0.3">
      <c r="I140" s="1"/>
    </row>
    <row r="141" spans="9:9" x14ac:dyDescent="0.3">
      <c r="I141" s="1"/>
    </row>
    <row r="142" spans="9:9" x14ac:dyDescent="0.3">
      <c r="I142" s="1"/>
    </row>
    <row r="143" spans="9:9" x14ac:dyDescent="0.3">
      <c r="I143" s="1"/>
    </row>
    <row r="144" spans="9:9" x14ac:dyDescent="0.3">
      <c r="I144" s="1"/>
    </row>
    <row r="145" spans="9:9" x14ac:dyDescent="0.3">
      <c r="I145" s="1"/>
    </row>
    <row r="146" spans="9:9" x14ac:dyDescent="0.3">
      <c r="I146" s="1"/>
    </row>
    <row r="147" spans="9:9" x14ac:dyDescent="0.3">
      <c r="I147" s="1"/>
    </row>
    <row r="148" spans="9:9" x14ac:dyDescent="0.3">
      <c r="I148" s="1"/>
    </row>
    <row r="149" spans="9:9" x14ac:dyDescent="0.3">
      <c r="I149" s="1"/>
    </row>
    <row r="150" spans="9:9" x14ac:dyDescent="0.3">
      <c r="I150" s="1"/>
    </row>
    <row r="151" spans="9:9" x14ac:dyDescent="0.3">
      <c r="I151" s="1"/>
    </row>
    <row r="152" spans="9:9" x14ac:dyDescent="0.3">
      <c r="I152" s="1"/>
    </row>
    <row r="153" spans="9:9" x14ac:dyDescent="0.3">
      <c r="I153" s="1"/>
    </row>
    <row r="154" spans="9:9" x14ac:dyDescent="0.3">
      <c r="I154" s="1"/>
    </row>
    <row r="155" spans="9:9" x14ac:dyDescent="0.3">
      <c r="I155" s="1"/>
    </row>
    <row r="156" spans="9:9" x14ac:dyDescent="0.3">
      <c r="I156" s="1"/>
    </row>
    <row r="157" spans="9:9" x14ac:dyDescent="0.3">
      <c r="I157" s="1"/>
    </row>
    <row r="158" spans="9:9" x14ac:dyDescent="0.3">
      <c r="I158" s="1"/>
    </row>
    <row r="159" spans="9:9" x14ac:dyDescent="0.3">
      <c r="I159" s="1"/>
    </row>
    <row r="160" spans="9:9" x14ac:dyDescent="0.3">
      <c r="I160" s="1"/>
    </row>
    <row r="161" spans="9:9" x14ac:dyDescent="0.3">
      <c r="I161" s="1"/>
    </row>
    <row r="162" spans="9:9" x14ac:dyDescent="0.3">
      <c r="I162" s="1"/>
    </row>
    <row r="163" spans="9:9" x14ac:dyDescent="0.3">
      <c r="I163" s="1"/>
    </row>
    <row r="164" spans="9:9" x14ac:dyDescent="0.3">
      <c r="I164" s="1"/>
    </row>
    <row r="165" spans="9:9" x14ac:dyDescent="0.3">
      <c r="I165" s="1"/>
    </row>
    <row r="166" spans="9:9" x14ac:dyDescent="0.3">
      <c r="I166" s="1"/>
    </row>
    <row r="167" spans="9:9" x14ac:dyDescent="0.3">
      <c r="I167" s="1"/>
    </row>
    <row r="168" spans="9:9" x14ac:dyDescent="0.3">
      <c r="I168" s="1"/>
    </row>
    <row r="169" spans="9:9" x14ac:dyDescent="0.3">
      <c r="I169" s="1"/>
    </row>
    <row r="170" spans="9:9" x14ac:dyDescent="0.3">
      <c r="I170" s="1"/>
    </row>
    <row r="171" spans="9:9" x14ac:dyDescent="0.3">
      <c r="I171" s="1"/>
    </row>
    <row r="172" spans="9:9" x14ac:dyDescent="0.3">
      <c r="I172" s="1"/>
    </row>
    <row r="173" spans="9:9" x14ac:dyDescent="0.3">
      <c r="I173" s="1"/>
    </row>
    <row r="174" spans="9:9" x14ac:dyDescent="0.3">
      <c r="I174" s="1"/>
    </row>
    <row r="175" spans="9:9" x14ac:dyDescent="0.3">
      <c r="I175" s="1"/>
    </row>
    <row r="176" spans="9:9" x14ac:dyDescent="0.3">
      <c r="I176" s="1"/>
    </row>
    <row r="177" spans="9:9" x14ac:dyDescent="0.3">
      <c r="I177" s="1"/>
    </row>
    <row r="178" spans="9:9" x14ac:dyDescent="0.3">
      <c r="I178" s="1"/>
    </row>
    <row r="179" spans="9:9" x14ac:dyDescent="0.3">
      <c r="I179" s="1"/>
    </row>
    <row r="180" spans="9:9" x14ac:dyDescent="0.3">
      <c r="I180" s="1"/>
    </row>
    <row r="181" spans="9:9" x14ac:dyDescent="0.3">
      <c r="I181" s="1"/>
    </row>
    <row r="182" spans="9:9" x14ac:dyDescent="0.3">
      <c r="I182" s="1"/>
    </row>
    <row r="183" spans="9:9" x14ac:dyDescent="0.3">
      <c r="I183" s="1"/>
    </row>
    <row r="184" spans="9:9" x14ac:dyDescent="0.3">
      <c r="I184" s="1"/>
    </row>
    <row r="185" spans="9:9" x14ac:dyDescent="0.3">
      <c r="I185" s="1"/>
    </row>
    <row r="186" spans="9:9" x14ac:dyDescent="0.3">
      <c r="I186" s="1"/>
    </row>
    <row r="187" spans="9:9" x14ac:dyDescent="0.3">
      <c r="I187" s="1"/>
    </row>
    <row r="188" spans="9:9" x14ac:dyDescent="0.3">
      <c r="I188" s="1"/>
    </row>
    <row r="189" spans="9:9" x14ac:dyDescent="0.3">
      <c r="I189" s="1"/>
    </row>
    <row r="190" spans="9:9" x14ac:dyDescent="0.3">
      <c r="I190" s="1"/>
    </row>
    <row r="191" spans="9:9" x14ac:dyDescent="0.3">
      <c r="I191" s="1"/>
    </row>
    <row r="192" spans="9:9" x14ac:dyDescent="0.3">
      <c r="I192" s="1"/>
    </row>
    <row r="193" spans="9:9" x14ac:dyDescent="0.3">
      <c r="I193" s="1"/>
    </row>
    <row r="194" spans="9:9" x14ac:dyDescent="0.3">
      <c r="I194" s="1"/>
    </row>
    <row r="195" spans="9:9" x14ac:dyDescent="0.3">
      <c r="I195" s="1"/>
    </row>
    <row r="196" spans="9:9" x14ac:dyDescent="0.3">
      <c r="I196" s="1"/>
    </row>
    <row r="197" spans="9:9" x14ac:dyDescent="0.3">
      <c r="I197" s="1"/>
    </row>
    <row r="198" spans="9:9" x14ac:dyDescent="0.3">
      <c r="I198" s="1"/>
    </row>
    <row r="199" spans="9:9" x14ac:dyDescent="0.3">
      <c r="I199" s="1"/>
    </row>
    <row r="200" spans="9:9" x14ac:dyDescent="0.3">
      <c r="I200" s="1"/>
    </row>
    <row r="201" spans="9:9" x14ac:dyDescent="0.3">
      <c r="I201" s="1"/>
    </row>
    <row r="202" spans="9:9" x14ac:dyDescent="0.3">
      <c r="I202" s="1"/>
    </row>
    <row r="203" spans="9:9" x14ac:dyDescent="0.3">
      <c r="I203" s="1"/>
    </row>
    <row r="204" spans="9:9" x14ac:dyDescent="0.3">
      <c r="I204" s="1"/>
    </row>
    <row r="205" spans="9:9" x14ac:dyDescent="0.3">
      <c r="I205" s="1"/>
    </row>
    <row r="206" spans="9:9" x14ac:dyDescent="0.3">
      <c r="I206" s="1"/>
    </row>
    <row r="207" spans="9:9" x14ac:dyDescent="0.3">
      <c r="I207" s="1"/>
    </row>
    <row r="208" spans="9:9" x14ac:dyDescent="0.3">
      <c r="I208" s="1"/>
    </row>
    <row r="209" spans="9:9" x14ac:dyDescent="0.3">
      <c r="I209" s="1"/>
    </row>
    <row r="210" spans="9:9" x14ac:dyDescent="0.3">
      <c r="I210" s="1"/>
    </row>
    <row r="211" spans="9:9" x14ac:dyDescent="0.3">
      <c r="I211" s="1"/>
    </row>
    <row r="212" spans="9:9" x14ac:dyDescent="0.3">
      <c r="I212" s="1"/>
    </row>
    <row r="213" spans="9:9" x14ac:dyDescent="0.3">
      <c r="I213" s="1"/>
    </row>
    <row r="214" spans="9:9" x14ac:dyDescent="0.3">
      <c r="I214" s="1"/>
    </row>
    <row r="215" spans="9:9" x14ac:dyDescent="0.3">
      <c r="I215" s="1"/>
    </row>
    <row r="216" spans="9:9" x14ac:dyDescent="0.3">
      <c r="I216" s="1"/>
    </row>
    <row r="217" spans="9:9" x14ac:dyDescent="0.3">
      <c r="I217" s="1"/>
    </row>
    <row r="218" spans="9:9" x14ac:dyDescent="0.3">
      <c r="I218" s="1"/>
    </row>
    <row r="219" spans="9:9" x14ac:dyDescent="0.3">
      <c r="I219" s="1"/>
    </row>
    <row r="220" spans="9:9" x14ac:dyDescent="0.3">
      <c r="I220" s="1"/>
    </row>
    <row r="221" spans="9:9" x14ac:dyDescent="0.3">
      <c r="I221" s="1"/>
    </row>
    <row r="222" spans="9:9" x14ac:dyDescent="0.3">
      <c r="I222" s="1"/>
    </row>
    <row r="223" spans="9:9" x14ac:dyDescent="0.3">
      <c r="I223" s="1"/>
    </row>
    <row r="224" spans="9:9" x14ac:dyDescent="0.3">
      <c r="I224" s="1"/>
    </row>
    <row r="225" spans="9:9" x14ac:dyDescent="0.3">
      <c r="I225" s="1"/>
    </row>
    <row r="226" spans="9:9" x14ac:dyDescent="0.3">
      <c r="I226" s="1"/>
    </row>
    <row r="227" spans="9:9" x14ac:dyDescent="0.3">
      <c r="I227" s="1"/>
    </row>
    <row r="228" spans="9:9" x14ac:dyDescent="0.3">
      <c r="I228" s="1"/>
    </row>
    <row r="229" spans="9:9" x14ac:dyDescent="0.3">
      <c r="I229" s="1"/>
    </row>
    <row r="230" spans="9:9" x14ac:dyDescent="0.3">
      <c r="I230" s="1"/>
    </row>
    <row r="231" spans="9:9" x14ac:dyDescent="0.3">
      <c r="I231" s="1"/>
    </row>
    <row r="232" spans="9:9" x14ac:dyDescent="0.3">
      <c r="I232" s="1"/>
    </row>
    <row r="233" spans="9:9" x14ac:dyDescent="0.3">
      <c r="I233" s="1"/>
    </row>
    <row r="234" spans="9:9" x14ac:dyDescent="0.3">
      <c r="I234" s="1"/>
    </row>
    <row r="235" spans="9:9" x14ac:dyDescent="0.3">
      <c r="I235" s="1"/>
    </row>
    <row r="236" spans="9:9" x14ac:dyDescent="0.3">
      <c r="I236" s="1"/>
    </row>
    <row r="237" spans="9:9" x14ac:dyDescent="0.3">
      <c r="I237" s="1"/>
    </row>
    <row r="238" spans="9:9" x14ac:dyDescent="0.3">
      <c r="I238" s="1"/>
    </row>
    <row r="239" spans="9:9" x14ac:dyDescent="0.3">
      <c r="I239" s="1"/>
    </row>
    <row r="240" spans="9:9" x14ac:dyDescent="0.3">
      <c r="I240" s="1"/>
    </row>
    <row r="241" spans="9:9" x14ac:dyDescent="0.3">
      <c r="I241" s="1"/>
    </row>
    <row r="242" spans="9:9" x14ac:dyDescent="0.3">
      <c r="I242" s="1"/>
    </row>
  </sheetData>
  <customSheetViews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mergeCells count="1">
    <mergeCell ref="D2:F2"/>
  </mergeCell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ignoredErrors>
    <ignoredError sqref="I12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6" name="Button 2">
              <controlPr defaultSize="0" print="0" autoFill="0" autoPict="0" macro="[0]!purge_data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3">
              <controlPr defaultSize="0" print="0" autoFill="0" autoPict="0" macro="[0]!loadTreasuries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7"/>
  </sheetPr>
  <dimension ref="A1:IS207"/>
  <sheetViews>
    <sheetView zoomScaleNormal="100" zoomScaleSheetLayoutView="100" workbookViewId="0">
      <selection activeCell="F1" sqref="F1"/>
    </sheetView>
  </sheetViews>
  <sheetFormatPr baseColWidth="10" defaultColWidth="13.3984375" defaultRowHeight="14.25" customHeight="1" x14ac:dyDescent="0.3"/>
  <cols>
    <col min="1" max="1" width="2.59765625" style="15" customWidth="1"/>
    <col min="2" max="2" width="11.1328125" style="16" customWidth="1"/>
    <col min="3" max="3" width="12.59765625" style="32" customWidth="1"/>
    <col min="4" max="4" width="12.59765625" style="32" hidden="1" customWidth="1"/>
    <col min="5" max="58" width="12.3984375" style="33" customWidth="1"/>
    <col min="59" max="16384" width="13.3984375" style="33"/>
  </cols>
  <sheetData>
    <row r="1" spans="1:253" s="19" customFormat="1" ht="14.25" customHeight="1" x14ac:dyDescent="0.3">
      <c r="A1" s="16"/>
      <c r="B1" s="16"/>
      <c r="C1" s="17"/>
      <c r="D1" s="17"/>
      <c r="E1" s="18">
        <f>'MV Repo'!H$1</f>
        <v>41089</v>
      </c>
      <c r="F1" s="18">
        <f>'MV Repo'!I$1</f>
        <v>41092</v>
      </c>
      <c r="G1" s="18">
        <f>'MV Repo'!J$1</f>
        <v>41093</v>
      </c>
      <c r="H1" s="18">
        <f>'MV Repo'!K$1</f>
        <v>41095</v>
      </c>
      <c r="I1" s="18">
        <f>'MV Repo'!L$1</f>
        <v>41096</v>
      </c>
      <c r="J1" s="18">
        <f>'MV Repo'!M$1</f>
        <v>41099</v>
      </c>
      <c r="K1" s="18">
        <f>'MV Repo'!N$1</f>
        <v>41100</v>
      </c>
      <c r="L1" s="18">
        <f>'MV Repo'!O$1</f>
        <v>41101</v>
      </c>
      <c r="M1" s="18">
        <f>'MV Repo'!P$1</f>
        <v>41102</v>
      </c>
      <c r="N1" s="18">
        <f>'MV Repo'!Q$1</f>
        <v>41103</v>
      </c>
      <c r="O1" s="18">
        <f>'MV Repo'!R$1</f>
        <v>41106</v>
      </c>
      <c r="P1" s="18">
        <f>'MV Repo'!S$1</f>
        <v>41107</v>
      </c>
      <c r="Q1" s="18">
        <f>'MV Repo'!T$1</f>
        <v>41108</v>
      </c>
      <c r="R1" s="18">
        <f>'MV Repo'!U$1</f>
        <v>41109</v>
      </c>
      <c r="S1" s="18">
        <f>'MV Repo'!V$1</f>
        <v>41110</v>
      </c>
      <c r="T1" s="18">
        <f>'MV Repo'!W$1</f>
        <v>41113</v>
      </c>
      <c r="U1" s="18">
        <f>'MV Repo'!X$1</f>
        <v>41114</v>
      </c>
      <c r="V1" s="18">
        <f>'MV Repo'!Y$1</f>
        <v>41115</v>
      </c>
      <c r="W1" s="18">
        <f>'MV Repo'!Z$1</f>
        <v>41116</v>
      </c>
      <c r="X1" s="18">
        <f>'MV Repo'!AA$1</f>
        <v>41117</v>
      </c>
      <c r="Y1" s="18">
        <f>'MV Repo'!AB$1</f>
        <v>41120</v>
      </c>
      <c r="Z1" s="18">
        <f>'MV Repo'!AC$1</f>
        <v>41121</v>
      </c>
      <c r="AA1" s="18">
        <f>'MV Repo'!AD$1</f>
        <v>41122</v>
      </c>
      <c r="AB1" s="18">
        <f>'MV Repo'!AE$1</f>
        <v>41123</v>
      </c>
      <c r="AC1" s="18">
        <f>'MV Repo'!AF$1</f>
        <v>41124</v>
      </c>
      <c r="AD1" s="18">
        <f>'MV Repo'!AG$1</f>
        <v>41127</v>
      </c>
      <c r="AE1" s="18">
        <f>'MV Repo'!AH$1</f>
        <v>41128</v>
      </c>
      <c r="AF1" s="18">
        <f>'MV Repo'!AI$1</f>
        <v>41129</v>
      </c>
      <c r="AG1" s="18">
        <f>'MV Repo'!AJ$1</f>
        <v>41130</v>
      </c>
      <c r="AH1" s="18">
        <f>'MV Repo'!AK$1</f>
        <v>41131</v>
      </c>
      <c r="AI1" s="18">
        <f>'MV Repo'!AL$1</f>
        <v>41134</v>
      </c>
      <c r="AJ1" s="18">
        <f>'MV Repo'!AM$1</f>
        <v>41135</v>
      </c>
      <c r="AK1" s="18">
        <f>'MV Repo'!AN$1</f>
        <v>41136</v>
      </c>
      <c r="AL1" s="18">
        <f>'MV Repo'!AO$1</f>
        <v>41137</v>
      </c>
      <c r="AM1" s="18">
        <f>'MV Repo'!AP$1</f>
        <v>41138</v>
      </c>
      <c r="AN1" s="18">
        <f>'MV Repo'!AQ$1</f>
        <v>41141</v>
      </c>
      <c r="AO1" s="18">
        <f>'MV Repo'!AR$1</f>
        <v>41142</v>
      </c>
      <c r="AP1" s="18">
        <f>'MV Repo'!AS$1</f>
        <v>41143</v>
      </c>
      <c r="AQ1" s="18">
        <f>'MV Repo'!AT$1</f>
        <v>41144</v>
      </c>
      <c r="AR1" s="18">
        <f>'MV Repo'!AU$1</f>
        <v>41145</v>
      </c>
      <c r="AS1" s="18">
        <f>'MV Repo'!AV$1</f>
        <v>41148</v>
      </c>
      <c r="AT1" s="18">
        <f>'MV Repo'!AW$1</f>
        <v>41149</v>
      </c>
      <c r="AU1" s="18">
        <f>'MV Repo'!AX$1</f>
        <v>41150</v>
      </c>
      <c r="AV1" s="18">
        <f>'MV Repo'!AY$1</f>
        <v>41151</v>
      </c>
      <c r="AW1" s="18">
        <f>'MV Repo'!AZ$1</f>
        <v>41152</v>
      </c>
      <c r="AX1" s="18">
        <f>'MV Repo'!BA$1</f>
        <v>41156</v>
      </c>
      <c r="AY1" s="18">
        <f>'MV Repo'!BB$1</f>
        <v>41157</v>
      </c>
      <c r="AZ1" s="18">
        <f>'MV Repo'!BC$1</f>
        <v>41158</v>
      </c>
      <c r="BA1" s="18">
        <f>'MV Repo'!BD$1</f>
        <v>0</v>
      </c>
      <c r="BB1" s="18">
        <f>'MV Repo'!BE$1</f>
        <v>0</v>
      </c>
      <c r="BC1" s="18">
        <f>'MV Repo'!BF$1</f>
        <v>0</v>
      </c>
      <c r="BD1" s="18">
        <f>'MV Repo'!BG$1</f>
        <v>0</v>
      </c>
      <c r="BE1" s="18">
        <f>'MV Repo'!BH$1</f>
        <v>0</v>
      </c>
      <c r="BF1" s="18">
        <f>'MV Repo'!BI$1</f>
        <v>0</v>
      </c>
    </row>
    <row r="2" spans="1:253" s="22" customFormat="1" ht="11.25" customHeight="1" thickBot="1" x14ac:dyDescent="0.35">
      <c r="A2" s="146"/>
      <c r="B2" s="146" t="s">
        <v>1</v>
      </c>
      <c r="C2" s="145">
        <v>-270000</v>
      </c>
      <c r="D2" s="20"/>
      <c r="E2" s="21">
        <f>$C$2</f>
        <v>-270000</v>
      </c>
      <c r="F2" s="21">
        <f t="shared" ref="F2:BF2" si="0">$C$2</f>
        <v>-270000</v>
      </c>
      <c r="G2" s="21">
        <f t="shared" si="0"/>
        <v>-270000</v>
      </c>
      <c r="H2" s="21">
        <f t="shared" si="0"/>
        <v>-270000</v>
      </c>
      <c r="I2" s="21">
        <f t="shared" si="0"/>
        <v>-270000</v>
      </c>
      <c r="J2" s="21">
        <f t="shared" si="0"/>
        <v>-270000</v>
      </c>
      <c r="K2" s="21">
        <f t="shared" si="0"/>
        <v>-270000</v>
      </c>
      <c r="L2" s="21">
        <f t="shared" si="0"/>
        <v>-270000</v>
      </c>
      <c r="M2" s="21">
        <f t="shared" si="0"/>
        <v>-270000</v>
      </c>
      <c r="N2" s="21">
        <f t="shared" si="0"/>
        <v>-270000</v>
      </c>
      <c r="O2" s="21">
        <f t="shared" si="0"/>
        <v>-270000</v>
      </c>
      <c r="P2" s="21">
        <f t="shared" si="0"/>
        <v>-270000</v>
      </c>
      <c r="Q2" s="21">
        <f t="shared" si="0"/>
        <v>-270000</v>
      </c>
      <c r="R2" s="21">
        <f t="shared" si="0"/>
        <v>-270000</v>
      </c>
      <c r="S2" s="21">
        <f t="shared" si="0"/>
        <v>-270000</v>
      </c>
      <c r="T2" s="21">
        <f t="shared" si="0"/>
        <v>-270000</v>
      </c>
      <c r="U2" s="21">
        <f t="shared" si="0"/>
        <v>-270000</v>
      </c>
      <c r="V2" s="21">
        <f t="shared" si="0"/>
        <v>-270000</v>
      </c>
      <c r="W2" s="21">
        <f t="shared" si="0"/>
        <v>-270000</v>
      </c>
      <c r="X2" s="21">
        <f t="shared" si="0"/>
        <v>-270000</v>
      </c>
      <c r="Y2" s="21">
        <f t="shared" si="0"/>
        <v>-270000</v>
      </c>
      <c r="Z2" s="21">
        <f t="shared" si="0"/>
        <v>-270000</v>
      </c>
      <c r="AA2" s="21">
        <f t="shared" si="0"/>
        <v>-270000</v>
      </c>
      <c r="AB2" s="21">
        <f t="shared" si="0"/>
        <v>-270000</v>
      </c>
      <c r="AC2" s="21">
        <f t="shared" si="0"/>
        <v>-270000</v>
      </c>
      <c r="AD2" s="21">
        <f t="shared" si="0"/>
        <v>-270000</v>
      </c>
      <c r="AE2" s="21">
        <f t="shared" si="0"/>
        <v>-270000</v>
      </c>
      <c r="AF2" s="21">
        <f t="shared" si="0"/>
        <v>-270000</v>
      </c>
      <c r="AG2" s="21">
        <f t="shared" si="0"/>
        <v>-270000</v>
      </c>
      <c r="AH2" s="21">
        <f t="shared" si="0"/>
        <v>-270000</v>
      </c>
      <c r="AI2" s="21">
        <f t="shared" si="0"/>
        <v>-270000</v>
      </c>
      <c r="AJ2" s="21">
        <f t="shared" si="0"/>
        <v>-270000</v>
      </c>
      <c r="AK2" s="21">
        <f t="shared" si="0"/>
        <v>-270000</v>
      </c>
      <c r="AL2" s="21">
        <f t="shared" si="0"/>
        <v>-270000</v>
      </c>
      <c r="AM2" s="21">
        <f t="shared" si="0"/>
        <v>-270000</v>
      </c>
      <c r="AN2" s="21">
        <f t="shared" si="0"/>
        <v>-270000</v>
      </c>
      <c r="AO2" s="21">
        <f t="shared" si="0"/>
        <v>-270000</v>
      </c>
      <c r="AP2" s="21">
        <f t="shared" si="0"/>
        <v>-270000</v>
      </c>
      <c r="AQ2" s="21">
        <f t="shared" si="0"/>
        <v>-270000</v>
      </c>
      <c r="AR2" s="21">
        <f t="shared" si="0"/>
        <v>-270000</v>
      </c>
      <c r="AS2" s="21">
        <f t="shared" si="0"/>
        <v>-270000</v>
      </c>
      <c r="AT2" s="21">
        <f t="shared" si="0"/>
        <v>-270000</v>
      </c>
      <c r="AU2" s="21">
        <f t="shared" si="0"/>
        <v>-270000</v>
      </c>
      <c r="AV2" s="21">
        <f t="shared" si="0"/>
        <v>-270000</v>
      </c>
      <c r="AW2" s="21">
        <f t="shared" si="0"/>
        <v>-270000</v>
      </c>
      <c r="AX2" s="21">
        <f t="shared" si="0"/>
        <v>-270000</v>
      </c>
      <c r="AY2" s="21">
        <f t="shared" si="0"/>
        <v>-270000</v>
      </c>
      <c r="AZ2" s="21">
        <f t="shared" si="0"/>
        <v>-270000</v>
      </c>
      <c r="BA2" s="21">
        <f t="shared" si="0"/>
        <v>-270000</v>
      </c>
      <c r="BB2" s="21">
        <f t="shared" si="0"/>
        <v>-270000</v>
      </c>
      <c r="BC2" s="21">
        <f t="shared" si="0"/>
        <v>-270000</v>
      </c>
      <c r="BD2" s="21">
        <f t="shared" si="0"/>
        <v>-270000</v>
      </c>
      <c r="BE2" s="21">
        <f t="shared" si="0"/>
        <v>-270000</v>
      </c>
      <c r="BF2" s="21">
        <f t="shared" si="0"/>
        <v>-270000</v>
      </c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</row>
    <row r="3" spans="1:253" s="26" customFormat="1" ht="11.25" customHeight="1" x14ac:dyDescent="0.3">
      <c r="A3" s="23"/>
      <c r="B3" s="23" t="s">
        <v>4</v>
      </c>
      <c r="C3" s="24"/>
      <c r="D3" s="24"/>
      <c r="E3" s="25">
        <f ca="1">SUM('MV Repo'!G2:G99)</f>
        <v>4404000</v>
      </c>
      <c r="F3" s="25">
        <f ca="1">SUM('MV Repo'!H2:H99)</f>
        <v>4404000</v>
      </c>
      <c r="G3" s="25">
        <f ca="1">SUM('MV Repo'!I2:I99)</f>
        <v>4404000</v>
      </c>
      <c r="H3" s="25">
        <f ca="1">SUM('MV Repo'!J2:J99)</f>
        <v>4404000</v>
      </c>
      <c r="I3" s="25">
        <f ca="1">SUM('MV Repo'!K2:K99)</f>
        <v>4404000</v>
      </c>
      <c r="J3" s="25">
        <f ca="1">SUM('MV Repo'!L2:L99)</f>
        <v>4404000</v>
      </c>
      <c r="K3" s="25">
        <f ca="1">SUM('MV Repo'!M2:M99)</f>
        <v>4404000</v>
      </c>
      <c r="L3" s="25">
        <f ca="1">SUM('MV Repo'!N2:N99)</f>
        <v>4404000</v>
      </c>
      <c r="M3" s="25">
        <f ca="1">SUM('MV Repo'!O2:O99)</f>
        <v>4404000</v>
      </c>
      <c r="N3" s="25">
        <f ca="1">SUM('MV Repo'!P2:P99)</f>
        <v>4404000</v>
      </c>
      <c r="O3" s="25">
        <f ca="1">SUM('MV Repo'!Q2:Q99)</f>
        <v>4404000</v>
      </c>
      <c r="P3" s="25">
        <f ca="1">SUM('MV Repo'!R2:R99)</f>
        <v>4404000</v>
      </c>
      <c r="Q3" s="25">
        <f ca="1">SUM('MV Repo'!S2:S99)</f>
        <v>4404000</v>
      </c>
      <c r="R3" s="25">
        <f ca="1">SUM('MV Repo'!T2:T99)</f>
        <v>4404000</v>
      </c>
      <c r="S3" s="25">
        <f ca="1">SUM('MV Repo'!U2:U99)</f>
        <v>4404000</v>
      </c>
      <c r="T3" s="25">
        <f ca="1">SUM('MV Repo'!V2:V99)</f>
        <v>4404000</v>
      </c>
      <c r="U3" s="25">
        <f ca="1">SUM('MV Repo'!W2:W99)</f>
        <v>4404000</v>
      </c>
      <c r="V3" s="25">
        <f ca="1">SUM('MV Repo'!X2:X99)</f>
        <v>4404000</v>
      </c>
      <c r="W3" s="25">
        <f ca="1">SUM('MV Repo'!Y2:Y99)</f>
        <v>4404000</v>
      </c>
      <c r="X3" s="25">
        <f ca="1">SUM('MV Repo'!Z2:Z99)</f>
        <v>4404000</v>
      </c>
      <c r="Y3" s="25">
        <f ca="1">SUM('MV Repo'!AA2:AA99)</f>
        <v>4404000</v>
      </c>
      <c r="Z3" s="25">
        <f ca="1">SUM('MV Repo'!AB2:AB99)</f>
        <v>4404000</v>
      </c>
      <c r="AA3" s="25">
        <f ca="1">SUM('MV Repo'!AC2:AC99)</f>
        <v>4404000</v>
      </c>
      <c r="AB3" s="25">
        <f ca="1">SUM('MV Repo'!AD2:AD99)</f>
        <v>4404000</v>
      </c>
      <c r="AC3" s="25">
        <f ca="1">SUM('MV Repo'!AE2:AE99)</f>
        <v>4404000</v>
      </c>
      <c r="AD3" s="25">
        <f ca="1">SUM('MV Repo'!AF2:AF99)</f>
        <v>4404000</v>
      </c>
      <c r="AE3" s="25">
        <f ca="1">SUM('MV Repo'!AG2:AG99)</f>
        <v>4404000</v>
      </c>
      <c r="AF3" s="25">
        <f ca="1">SUM('MV Repo'!AH2:AH99)</f>
        <v>4404000</v>
      </c>
      <c r="AG3" s="25">
        <f ca="1">SUM('MV Repo'!AI2:AI99)</f>
        <v>4404000</v>
      </c>
      <c r="AH3" s="25">
        <f ca="1">SUM('MV Repo'!AJ2:AJ99)</f>
        <v>4404000</v>
      </c>
      <c r="AI3" s="25">
        <f ca="1">SUM('MV Repo'!AK2:AK99)</f>
        <v>4404000</v>
      </c>
      <c r="AJ3" s="25">
        <f ca="1">SUM('MV Repo'!AL2:AL99)</f>
        <v>4404000</v>
      </c>
      <c r="AK3" s="25">
        <f ca="1">SUM('MV Repo'!AM2:AM99)</f>
        <v>4404000</v>
      </c>
      <c r="AL3" s="25">
        <f ca="1">SUM('MV Repo'!AN2:AN99)</f>
        <v>4404000</v>
      </c>
      <c r="AM3" s="25">
        <f ca="1">SUM('MV Repo'!AO2:AO99)</f>
        <v>4404000</v>
      </c>
      <c r="AN3" s="25">
        <f ca="1">SUM('MV Repo'!AP2:AP99)</f>
        <v>4404000</v>
      </c>
      <c r="AO3" s="25">
        <f ca="1">SUM('MV Repo'!AQ2:AQ99)</f>
        <v>4404000</v>
      </c>
      <c r="AP3" s="25">
        <f ca="1">SUM('MV Repo'!AR2:AR99)</f>
        <v>4404000</v>
      </c>
      <c r="AQ3" s="25">
        <f ca="1">SUM('MV Repo'!AS2:AS99)</f>
        <v>4404000</v>
      </c>
      <c r="AR3" s="25">
        <f ca="1">SUM('MV Repo'!AT2:AT99)</f>
        <v>4404000</v>
      </c>
      <c r="AS3" s="25">
        <f ca="1">SUM('MV Repo'!AU2:AU99)</f>
        <v>4404000</v>
      </c>
      <c r="AT3" s="25">
        <f ca="1">SUM('MV Repo'!AV2:AV99)</f>
        <v>4404000</v>
      </c>
      <c r="AU3" s="25">
        <f ca="1">SUM('MV Repo'!AW2:AW99)</f>
        <v>4404000</v>
      </c>
      <c r="AV3" s="25">
        <f ca="1">SUM('MV Repo'!AX2:AX99)</f>
        <v>4404000</v>
      </c>
      <c r="AW3" s="25">
        <f ca="1">SUM('MV Repo'!AY2:AY99)</f>
        <v>4404000</v>
      </c>
      <c r="AX3" s="25">
        <f ca="1">SUM('MV Repo'!AZ2:AZ99)</f>
        <v>4404000</v>
      </c>
      <c r="AY3" s="25">
        <f ca="1">SUM('MV Repo'!BA2:BA99)</f>
        <v>4404000</v>
      </c>
      <c r="AZ3" s="25">
        <f ca="1">SUM('MV Repo'!BB2:BB99)</f>
        <v>4404000</v>
      </c>
      <c r="BA3" s="25">
        <f ca="1">SUM('MV Repo'!BC2:BC99)</f>
        <v>4404000</v>
      </c>
      <c r="BB3" s="25">
        <f>SUM('MV Repo'!BD2:BD99)</f>
        <v>0</v>
      </c>
      <c r="BC3" s="25">
        <f>SUM('MV Repo'!BE2:BE99)</f>
        <v>0</v>
      </c>
      <c r="BD3" s="25">
        <f>SUM('MV Repo'!BF2:BF99)</f>
        <v>0</v>
      </c>
      <c r="BE3" s="25">
        <f>SUM('MV Repo'!BG2:BG99)</f>
        <v>0</v>
      </c>
      <c r="BF3" s="25">
        <f>SUM('MV Repo'!BH2:BH99)</f>
        <v>0</v>
      </c>
    </row>
    <row r="4" spans="1:253" s="28" customFormat="1" ht="11.25" customHeight="1" x14ac:dyDescent="0.3">
      <c r="A4" s="29"/>
      <c r="B4" s="29" t="s">
        <v>5</v>
      </c>
      <c r="C4" s="27"/>
      <c r="D4" s="27"/>
      <c r="E4" s="28">
        <f ca="1">E3+E5+E2</f>
        <v>4404366.3824100001</v>
      </c>
      <c r="F4" s="28">
        <f t="shared" ref="F4:AJ4" ca="1" si="1">F3+F5+F2</f>
        <v>3057223.25875</v>
      </c>
      <c r="G4" s="28">
        <f t="shared" ca="1" si="1"/>
        <v>3458063.74486</v>
      </c>
      <c r="H4" s="28">
        <f t="shared" ca="1" si="1"/>
        <v>2957917.9023599997</v>
      </c>
      <c r="I4" s="28">
        <f t="shared" ca="1" si="1"/>
        <v>2273084.0580099998</v>
      </c>
      <c r="J4" s="28">
        <f t="shared" ca="1" si="1"/>
        <v>524631.35418999987</v>
      </c>
      <c r="K4" s="28">
        <f t="shared" ca="1" si="1"/>
        <v>525628.85418999987</v>
      </c>
      <c r="L4" s="28">
        <f t="shared" ca="1" si="1"/>
        <v>525518.14954000013</v>
      </c>
      <c r="M4" s="28">
        <f t="shared" ca="1" si="1"/>
        <v>137850.58967000013</v>
      </c>
      <c r="N4" s="28">
        <f t="shared" ca="1" si="1"/>
        <v>287850.58967000013</v>
      </c>
      <c r="O4" s="28">
        <f t="shared" ca="1" si="1"/>
        <v>-382979.79652999993</v>
      </c>
      <c r="P4" s="28">
        <f t="shared" ca="1" si="1"/>
        <v>-7016.5326399998739</v>
      </c>
      <c r="Q4" s="28">
        <f t="shared" ca="1" si="1"/>
        <v>142983.46736000013</v>
      </c>
      <c r="R4" s="28">
        <f t="shared" ca="1" si="1"/>
        <v>494353.56730999984</v>
      </c>
      <c r="S4" s="28">
        <f t="shared" ca="1" si="1"/>
        <v>794408.62562000006</v>
      </c>
      <c r="T4" s="28">
        <f t="shared" ca="1" si="1"/>
        <v>1287750.30969</v>
      </c>
      <c r="U4" s="28">
        <f t="shared" ca="1" si="1"/>
        <v>2684205.8723200001</v>
      </c>
      <c r="V4" s="28">
        <f t="shared" ca="1" si="1"/>
        <v>2684205.8723200001</v>
      </c>
      <c r="W4" s="28">
        <f t="shared" ca="1" si="1"/>
        <v>3203051.3893800001</v>
      </c>
      <c r="X4" s="28">
        <f t="shared" ca="1" si="1"/>
        <v>3203051.3893800001</v>
      </c>
      <c r="Y4" s="28">
        <f t="shared" ca="1" si="1"/>
        <v>3508297.86252</v>
      </c>
      <c r="Z4" s="28">
        <f t="shared" ca="1" si="1"/>
        <v>4036067.8473399999</v>
      </c>
      <c r="AA4" s="28">
        <f t="shared" ca="1" si="1"/>
        <v>4036708.4723399999</v>
      </c>
      <c r="AB4" s="28">
        <f t="shared" ca="1" si="1"/>
        <v>4487130.2436699998</v>
      </c>
      <c r="AC4" s="28">
        <f t="shared" ca="1" si="1"/>
        <v>4487130.2436699998</v>
      </c>
      <c r="AD4" s="28">
        <f t="shared" ca="1" si="1"/>
        <v>4487130.2436699998</v>
      </c>
      <c r="AE4" s="28">
        <f t="shared" ca="1" si="1"/>
        <v>5088433.5770100001</v>
      </c>
      <c r="AF4" s="28">
        <f t="shared" ca="1" si="1"/>
        <v>5288852.6881200001</v>
      </c>
      <c r="AG4" s="28">
        <f t="shared" ca="1" si="1"/>
        <v>5439174.6881200001</v>
      </c>
      <c r="AH4" s="28">
        <f t="shared" ca="1" si="1"/>
        <v>5439174.6881200001</v>
      </c>
      <c r="AI4" s="28">
        <f t="shared" ca="1" si="1"/>
        <v>5439174.6881200001</v>
      </c>
      <c r="AJ4" s="28">
        <f t="shared" ca="1" si="1"/>
        <v>5439174.6881200001</v>
      </c>
      <c r="AK4" s="28">
        <f t="shared" ref="AK4:BA4" ca="1" si="2">AK3+AK5+AK2</f>
        <v>5520452.1881200001</v>
      </c>
      <c r="AL4" s="28">
        <f t="shared" ca="1" si="2"/>
        <v>5622370.2714499999</v>
      </c>
      <c r="AM4" s="28">
        <f t="shared" ca="1" si="2"/>
        <v>6023228.9381200001</v>
      </c>
      <c r="AN4" s="28">
        <f t="shared" ca="1" si="2"/>
        <v>6425813.1768899998</v>
      </c>
      <c r="AO4" s="28">
        <f t="shared" ca="1" si="2"/>
        <v>6676394.5657800008</v>
      </c>
      <c r="AP4" s="28">
        <f t="shared" ca="1" si="2"/>
        <v>6876854.5657800008</v>
      </c>
      <c r="AQ4" s="28">
        <f t="shared" ca="1" si="2"/>
        <v>6876854.5657800008</v>
      </c>
      <c r="AR4" s="28">
        <f t="shared" ca="1" si="2"/>
        <v>7027199.5657800008</v>
      </c>
      <c r="AS4" s="28">
        <f t="shared" ca="1" si="2"/>
        <v>7117442.26578</v>
      </c>
      <c r="AT4" s="28">
        <f t="shared" ca="1" si="2"/>
        <v>7117442.26578</v>
      </c>
      <c r="AU4" s="28">
        <f t="shared" ca="1" si="2"/>
        <v>7117442.26578</v>
      </c>
      <c r="AV4" s="28">
        <f t="shared" ca="1" si="2"/>
        <v>7368030.0435600001</v>
      </c>
      <c r="AW4" s="28">
        <f t="shared" ca="1" si="2"/>
        <v>7718293.4368699994</v>
      </c>
      <c r="AX4" s="28">
        <f t="shared" ca="1" si="2"/>
        <v>7770980.9368699994</v>
      </c>
      <c r="AY4" s="28">
        <f t="shared" ca="1" si="2"/>
        <v>8151854.9368699994</v>
      </c>
      <c r="AZ4" s="28">
        <f t="shared" ca="1" si="2"/>
        <v>8151854.9368699994</v>
      </c>
      <c r="BA4" s="28">
        <f t="shared" ca="1" si="2"/>
        <v>8151854.9368699994</v>
      </c>
      <c r="BB4" s="28">
        <f t="shared" ref="BB4:BF4" si="3">BB3+BB5+BB2</f>
        <v>3747854.9368699999</v>
      </c>
      <c r="BC4" s="28">
        <f t="shared" si="3"/>
        <v>3747854.9368699999</v>
      </c>
      <c r="BD4" s="28">
        <f t="shared" si="3"/>
        <v>3747854.9368699999</v>
      </c>
      <c r="BE4" s="28">
        <f t="shared" si="3"/>
        <v>3747854.9368699999</v>
      </c>
      <c r="BF4" s="28">
        <f t="shared" si="3"/>
        <v>3747854.9368699999</v>
      </c>
    </row>
    <row r="5" spans="1:253" s="144" customFormat="1" ht="11.25" customHeight="1" x14ac:dyDescent="0.3">
      <c r="A5" s="144" t="s">
        <v>6</v>
      </c>
      <c r="E5" s="144">
        <f>VLOOKUP(E1,'tréso détaillée'!$A:$I,9,FALSE)</f>
        <v>270366.38241000002</v>
      </c>
      <c r="F5" s="144">
        <f>IF(ISNA(VLOOKUP(F1,'tréso détaillée'!$A:$I,9,FALSE)),E5,VLOOKUP(F1,'tréso détaillée'!$A:$I,9,FALSE))</f>
        <v>-1076776.74125</v>
      </c>
      <c r="G5" s="144">
        <f>IF(ISNA(VLOOKUP(G1,'tréso détaillée'!$A:$I,9,FALSE)),F5,VLOOKUP(G1,'tréso détaillée'!$A:$I,9,FALSE))</f>
        <v>-675936.25514000002</v>
      </c>
      <c r="H5" s="144">
        <f>IF(ISNA(VLOOKUP(H1,'tréso détaillée'!$A:$I,9,FALSE)),G5,VLOOKUP(H1,'tréso détaillée'!$A:$I,9,FALSE))</f>
        <v>-1176082.0976400001</v>
      </c>
      <c r="I5" s="144">
        <f>IF(ISNA(VLOOKUP(I1,'tréso détaillée'!$A:$I,9,FALSE)),H5,VLOOKUP(I1,'tréso détaillée'!$A:$I,9,FALSE))</f>
        <v>-1860915.94199</v>
      </c>
      <c r="J5" s="144">
        <f>IF(ISNA(VLOOKUP(J1,'tréso détaillée'!$A:$I,9,FALSE)),I5,VLOOKUP(J1,'tréso détaillée'!$A:$I,9,FALSE))</f>
        <v>-3609368.6458100001</v>
      </c>
      <c r="K5" s="144">
        <f>IF(ISNA(VLOOKUP(K1,'tréso détaillée'!$A:$I,9,FALSE)),J5,VLOOKUP(K1,'tréso détaillée'!$A:$I,9,FALSE))</f>
        <v>-3608371.1458100001</v>
      </c>
      <c r="L5" s="144">
        <f>IF(ISNA(VLOOKUP(L1,'tréso détaillée'!$A:$I,9,FALSE)),K5,VLOOKUP(L1,'tréso détaillée'!$A:$I,9,FALSE))</f>
        <v>-3608481.8504599999</v>
      </c>
      <c r="M5" s="144">
        <f>IF(ISNA(VLOOKUP(M1,'tréso détaillée'!$A:$I,9,FALSE)),L5,VLOOKUP(M1,'tréso détaillée'!$A:$I,9,FALSE))</f>
        <v>-3996149.4103299999</v>
      </c>
      <c r="N5" s="144">
        <f>IF(ISNA(VLOOKUP(N1,'tréso détaillée'!$A:$I,9,FALSE)),M5,VLOOKUP(N1,'tréso détaillée'!$A:$I,9,FALSE))</f>
        <v>-3846149.4103299999</v>
      </c>
      <c r="O5" s="144">
        <f>IF(ISNA(VLOOKUP(O1,'tréso détaillée'!$A:$I,9,FALSE)),N5,VLOOKUP(O1,'tréso détaillée'!$A:$I,9,FALSE))</f>
        <v>-4516979.7965299999</v>
      </c>
      <c r="P5" s="144">
        <f>IF(ISNA(VLOOKUP(P1,'tréso détaillée'!$A:$I,9,FALSE)),O5,VLOOKUP(P1,'tréso détaillée'!$A:$I,9,FALSE))</f>
        <v>-4141016.5326399999</v>
      </c>
      <c r="Q5" s="144">
        <f>IF(ISNA(VLOOKUP(Q1,'tréso détaillée'!$A:$I,9,FALSE)),P5,VLOOKUP(Q1,'tréso détaillée'!$A:$I,9,FALSE))</f>
        <v>-3991016.5326399999</v>
      </c>
      <c r="R5" s="144">
        <f>IF(ISNA(VLOOKUP(R1,'tréso détaillée'!$A:$I,9,FALSE)),Q5,VLOOKUP(R1,'tréso détaillée'!$A:$I,9,FALSE))</f>
        <v>-3639646.4326900002</v>
      </c>
      <c r="S5" s="144">
        <f>IF(ISNA(VLOOKUP(S1,'tréso détaillée'!$A:$I,9,FALSE)),R5,VLOOKUP(S1,'tréso détaillée'!$A:$I,9,FALSE))</f>
        <v>-3339591.3743799999</v>
      </c>
      <c r="T5" s="144">
        <f>IF(ISNA(VLOOKUP(T1,'tréso détaillée'!$A:$I,9,FALSE)),S5,VLOOKUP(T1,'tréso détaillée'!$A:$I,9,FALSE))</f>
        <v>-2846249.69031</v>
      </c>
      <c r="U5" s="144">
        <f>IF(ISNA(VLOOKUP(U1,'tréso détaillée'!$A:$I,9,FALSE)),T5,VLOOKUP(U1,'tréso détaillée'!$A:$I,9,FALSE))</f>
        <v>-1449794.1276800002</v>
      </c>
      <c r="V5" s="144">
        <f>IF(ISNA(VLOOKUP(V1,'tréso détaillée'!$A:$I,9,FALSE)),U5,VLOOKUP(V1,'tréso détaillée'!$A:$I,9,FALSE))</f>
        <v>-1449794.1276800002</v>
      </c>
      <c r="W5" s="144">
        <f>IF(ISNA(VLOOKUP(W1,'tréso détaillée'!$A:$I,9,FALSE)),V5,VLOOKUP(W1,'tréso détaillée'!$A:$I,9,FALSE))</f>
        <v>-930948.61062000005</v>
      </c>
      <c r="X5" s="144">
        <f>IF(ISNA(VLOOKUP(X1,'tréso détaillée'!$A:$I,9,FALSE)),W5,VLOOKUP(X1,'tréso détaillée'!$A:$I,9,FALSE))</f>
        <v>-930948.61062000005</v>
      </c>
      <c r="Y5" s="144">
        <f>IF(ISNA(VLOOKUP(Y1,'tréso détaillée'!$A:$I,9,FALSE)),X5,VLOOKUP(Y1,'tréso détaillée'!$A:$I,9,FALSE))</f>
        <v>-625702.13748000003</v>
      </c>
      <c r="Z5" s="144">
        <f>IF(ISNA(VLOOKUP(Z1,'tréso détaillée'!$A:$I,9,FALSE)),Y5,VLOOKUP(Z1,'tréso détaillée'!$A:$I,9,FALSE))</f>
        <v>-97932.152659999992</v>
      </c>
      <c r="AA5" s="144">
        <f>IF(ISNA(VLOOKUP(AA1,'tréso détaillée'!$A:$I,9,FALSE)),Z5,VLOOKUP(AA1,'tréso détaillée'!$A:$I,9,FALSE))</f>
        <v>-97291.527659999992</v>
      </c>
      <c r="AB5" s="144">
        <f>IF(ISNA(VLOOKUP(AB1,'tréso détaillée'!$A:$I,9,FALSE)),AA5,VLOOKUP(AB1,'tréso détaillée'!$A:$I,9,FALSE))</f>
        <v>353130.24367</v>
      </c>
      <c r="AC5" s="144">
        <f>IF(ISNA(VLOOKUP(AC1,'tréso détaillée'!$A:$I,9,FALSE)),AB5,VLOOKUP(AC1,'tréso détaillée'!$A:$I,9,FALSE))</f>
        <v>353130.24367</v>
      </c>
      <c r="AD5" s="144">
        <f>IF(ISNA(VLOOKUP(AD1,'tréso détaillée'!$A:$I,9,FALSE)),AC5,VLOOKUP(AD1,'tréso détaillée'!$A:$I,9,FALSE))</f>
        <v>353130.24367</v>
      </c>
      <c r="AE5" s="144">
        <f>IF(ISNA(VLOOKUP(AE1,'tréso détaillée'!$A:$I,9,FALSE)),AD5,VLOOKUP(AE1,'tréso détaillée'!$A:$I,9,FALSE))</f>
        <v>954433.57701000001</v>
      </c>
      <c r="AF5" s="144">
        <f>IF(ISNA(VLOOKUP(AF1,'tréso détaillée'!$A:$I,9,FALSE)),AE5,VLOOKUP(AF1,'tréso détaillée'!$A:$I,9,FALSE))</f>
        <v>1154852.6881199998</v>
      </c>
      <c r="AG5" s="144">
        <f>IF(ISNA(VLOOKUP(AG1,'tréso détaillée'!$A:$I,9,FALSE)),AF5,VLOOKUP(AG1,'tréso détaillée'!$A:$I,9,FALSE))</f>
        <v>1305174.6881199998</v>
      </c>
      <c r="AH5" s="144">
        <f>IF(ISNA(VLOOKUP(AH1,'tréso détaillée'!$A:$I,9,FALSE)),AG5,VLOOKUP(AH1,'tréso détaillée'!$A:$I,9,FALSE))</f>
        <v>1305174.6881199998</v>
      </c>
      <c r="AI5" s="144">
        <f>IF(ISNA(VLOOKUP(AI1,'tréso détaillée'!$A:$I,9,FALSE)),AH5,VLOOKUP(AI1,'tréso détaillée'!$A:$I,9,FALSE))</f>
        <v>1305174.6881199998</v>
      </c>
      <c r="AJ5" s="144">
        <f>IF(ISNA(VLOOKUP(AJ1,'tréso détaillée'!$A:$I,9,FALSE)),AI5,VLOOKUP(AJ1,'tréso détaillée'!$A:$I,9,FALSE))</f>
        <v>1305174.6881199998</v>
      </c>
      <c r="AK5" s="144">
        <f>IF(ISNA(VLOOKUP(AK1,'tréso détaillée'!$A:$I,9,FALSE)),AJ5,VLOOKUP(AK1,'tréso détaillée'!$A:$I,9,FALSE))</f>
        <v>1386452.1881199998</v>
      </c>
      <c r="AL5" s="144">
        <f>IF(ISNA(VLOOKUP(AL1,'tréso détaillée'!$A:$I,9,FALSE)),AK5,VLOOKUP(AL1,'tréso détaillée'!$A:$I,9,FALSE))</f>
        <v>1488370.2714500001</v>
      </c>
      <c r="AM5" s="144">
        <f>IF(ISNA(VLOOKUP(AM1,'tréso détaillée'!$A:$I,9,FALSE)),AL5,VLOOKUP(AM1,'tréso détaillée'!$A:$I,9,FALSE))</f>
        <v>1889228.9381199998</v>
      </c>
      <c r="AN5" s="144">
        <f>IF(ISNA(VLOOKUP(AN1,'tréso détaillée'!$A:$I,9,FALSE)),AM5,VLOOKUP(AN1,'tréso détaillée'!$A:$I,9,FALSE))</f>
        <v>2291813.1768899998</v>
      </c>
      <c r="AO5" s="144">
        <f>IF(ISNA(VLOOKUP(AO1,'tréso détaillée'!$A:$I,9,FALSE)),AN5,VLOOKUP(AO1,'tréso détaillée'!$A:$I,9,FALSE))</f>
        <v>2542394.5657800003</v>
      </c>
      <c r="AP5" s="144">
        <f>IF(ISNA(VLOOKUP(AP1,'tréso détaillée'!$A:$I,9,FALSE)),AO5,VLOOKUP(AP1,'tréso détaillée'!$A:$I,9,FALSE))</f>
        <v>2742854.5657800003</v>
      </c>
      <c r="AQ5" s="144">
        <f>IF(ISNA(VLOOKUP(AQ1,'tréso détaillée'!$A:$I,9,FALSE)),AP5,VLOOKUP(AQ1,'tréso détaillée'!$A:$I,9,FALSE))</f>
        <v>2742854.5657800003</v>
      </c>
      <c r="AR5" s="144">
        <f>IF(ISNA(VLOOKUP(AR1,'tréso détaillée'!$A:$I,9,FALSE)),AQ5,VLOOKUP(AR1,'tréso détaillée'!$A:$I,9,FALSE))</f>
        <v>2893199.5657800003</v>
      </c>
      <c r="AS5" s="144">
        <f>IF(ISNA(VLOOKUP(AS1,'tréso détaillée'!$A:$I,9,FALSE)),AR5,VLOOKUP(AS1,'tréso détaillée'!$A:$I,9,FALSE))</f>
        <v>2983442.26578</v>
      </c>
      <c r="AT5" s="144">
        <f>IF(ISNA(VLOOKUP(AT1,'tréso détaillée'!$A:$I,9,FALSE)),AS5,VLOOKUP(AT1,'tréso détaillée'!$A:$I,9,FALSE))</f>
        <v>2983442.26578</v>
      </c>
      <c r="AU5" s="144">
        <f>IF(ISNA(VLOOKUP(AU1,'tréso détaillée'!$A:$I,9,FALSE)),AT5,VLOOKUP(AU1,'tréso détaillée'!$A:$I,9,FALSE))</f>
        <v>2983442.26578</v>
      </c>
      <c r="AV5" s="144">
        <f>IF(ISNA(VLOOKUP(AV1,'tréso détaillée'!$A:$I,9,FALSE)),AU5,VLOOKUP(AV1,'tréso détaillée'!$A:$I,9,FALSE))</f>
        <v>3234030.0435600001</v>
      </c>
      <c r="AW5" s="144">
        <f>IF(ISNA(VLOOKUP(AW1,'tréso détaillée'!$A:$I,9,FALSE)),AV5,VLOOKUP(AW1,'tréso détaillée'!$A:$I,9,FALSE))</f>
        <v>3584293.4368699999</v>
      </c>
      <c r="AX5" s="144">
        <f>IF(ISNA(VLOOKUP(AX1,'tréso détaillée'!$A:$I,9,FALSE)),AW5,VLOOKUP(AX1,'tréso détaillée'!$A:$I,9,FALSE))</f>
        <v>3636980.9368699999</v>
      </c>
      <c r="AY5" s="144">
        <f>IF(ISNA(VLOOKUP(AY1,'tréso détaillée'!$A:$I,9,FALSE)),AX5,VLOOKUP(AY1,'tréso détaillée'!$A:$I,9,FALSE))</f>
        <v>4017854.9368699999</v>
      </c>
      <c r="AZ5" s="144">
        <f>IF(ISNA(VLOOKUP(AZ1,'tréso détaillée'!$A:$I,9,FALSE)),AY5,VLOOKUP(AZ1,'tréso détaillée'!$A:$I,9,FALSE))</f>
        <v>4017854.9368699999</v>
      </c>
      <c r="BA5" s="144">
        <f>IF(ISNA(VLOOKUP(BA1,'tréso détaillée'!$A:$I,9,FALSE)),AZ5,VLOOKUP(BA1,'tréso détaillée'!$A:$I,9,FALSE))</f>
        <v>4017854.9368699999</v>
      </c>
      <c r="BB5" s="144">
        <f>IF(ISNA(VLOOKUP(BB1,'tréso détaillée'!$A:$I,9,FALSE)),BA5,VLOOKUP(BB1,'tréso détaillée'!$A:$I,9,FALSE))</f>
        <v>4017854.9368699999</v>
      </c>
      <c r="BC5" s="144">
        <f>IF(ISNA(VLOOKUP(BC1,'tréso détaillée'!$A:$I,9,FALSE)),BB5,VLOOKUP(BC1,'tréso détaillée'!$A:$I,9,FALSE))</f>
        <v>4017854.9368699999</v>
      </c>
      <c r="BD5" s="144">
        <f>IF(ISNA(VLOOKUP(BD1,'tréso détaillée'!$A:$I,9,FALSE)),BC5,VLOOKUP(BD1,'tréso détaillée'!$A:$I,9,FALSE))</f>
        <v>4017854.9368699999</v>
      </c>
      <c r="BE5" s="144">
        <f>IF(ISNA(VLOOKUP(BE1,'tréso détaillée'!$A:$I,9,FALSE)),BD5,VLOOKUP(BE1,'tréso détaillée'!$A:$I,9,FALSE))</f>
        <v>4017854.9368699999</v>
      </c>
      <c r="BF5" s="144">
        <f>IF(ISNA(VLOOKUP(BF1,'tréso détaillée'!$A:$I,9,FALSE)),BE5,VLOOKUP(BF1,'tréso détaillée'!$A:$I,9,FALSE))</f>
        <v>4017854.9368699999</v>
      </c>
    </row>
    <row r="6" spans="1:253" ht="14.25" customHeight="1" x14ac:dyDescent="0.3">
      <c r="A6" s="15">
        <f>IF('MV Repo'!A2="","",IF(E6="",0,1))</f>
        <v>0</v>
      </c>
      <c r="B6" s="31" t="str">
        <f>IF(A6="","",IF('MV Repo'!A2=0,"B " &amp; TEXT('MV Repo'!B2,"mm/jj/aa"),"T " &amp; 'MV Repo'!A2 &amp; " " &amp; TEXT('MV Repo'!B2,"mm/aa")))</f>
        <v>B 12/06/12</v>
      </c>
      <c r="C6" s="30" t="str">
        <f>IF('Stock UST'!C2="","",'Stock UST'!C2)</f>
        <v>USB20121206</v>
      </c>
      <c r="D6" s="30" t="str">
        <f>IF('Stock UST'!D2="","",'Stock UST'!D2)</f>
        <v>US9127956V80</v>
      </c>
      <c r="E6" s="13" t="str">
        <f>IF(Stock!B2="","",Stock!B2)</f>
        <v/>
      </c>
      <c r="F6" s="13" t="str">
        <f ca="1">IF(Stock!C2="","",Stock!C2)</f>
        <v/>
      </c>
      <c r="G6" s="13" t="str">
        <f ca="1">IF(Stock!D2="","",Stock!D2)</f>
        <v/>
      </c>
      <c r="H6" s="13" t="str">
        <f ca="1">IF(Stock!E2="","",Stock!E2)</f>
        <v/>
      </c>
      <c r="I6" s="13" t="str">
        <f ca="1">IF(Stock!F2="","",Stock!F2)</f>
        <v/>
      </c>
      <c r="J6" s="13" t="str">
        <f ca="1">IF(Stock!G2="","",Stock!G2)</f>
        <v/>
      </c>
      <c r="K6" s="13" t="str">
        <f ca="1">IF(Stock!H2="","",Stock!H2)</f>
        <v/>
      </c>
      <c r="L6" s="13" t="str">
        <f ca="1">IF(Stock!I2="","",Stock!I2)</f>
        <v/>
      </c>
      <c r="M6" s="13" t="str">
        <f ca="1">IF(Stock!J2="","",Stock!J2)</f>
        <v/>
      </c>
      <c r="N6" s="13" t="str">
        <f ca="1">IF(Stock!K2="","",Stock!K2)</f>
        <v/>
      </c>
      <c r="O6" s="13" t="str">
        <f ca="1">IF(Stock!L2="","",Stock!L2)</f>
        <v/>
      </c>
      <c r="P6" s="13" t="str">
        <f ca="1">IF(Stock!M2="","",Stock!M2)</f>
        <v/>
      </c>
      <c r="Q6" s="13" t="str">
        <f ca="1">IF(Stock!N2="","",Stock!N2)</f>
        <v/>
      </c>
      <c r="R6" s="13" t="str">
        <f ca="1">IF(Stock!O2="","",Stock!O2)</f>
        <v/>
      </c>
      <c r="S6" s="13" t="str">
        <f ca="1">IF(Stock!P2="","",Stock!P2)</f>
        <v/>
      </c>
      <c r="T6" s="13" t="str">
        <f ca="1">IF(Stock!Q2="","",Stock!Q2)</f>
        <v/>
      </c>
      <c r="U6" s="13" t="str">
        <f ca="1">IF(Stock!R2="","",Stock!R2)</f>
        <v/>
      </c>
      <c r="V6" s="13" t="str">
        <f ca="1">IF(Stock!S2="","",Stock!S2)</f>
        <v/>
      </c>
      <c r="W6" s="13" t="str">
        <f ca="1">IF(Stock!T2="","",Stock!T2)</f>
        <v/>
      </c>
      <c r="X6" s="13" t="str">
        <f ca="1">IF(Stock!U2="","",Stock!U2)</f>
        <v/>
      </c>
      <c r="Y6" s="13" t="str">
        <f ca="1">IF(Stock!V2="","",Stock!V2)</f>
        <v/>
      </c>
      <c r="Z6" s="13" t="str">
        <f ca="1">IF(Stock!W2="","",Stock!W2)</f>
        <v/>
      </c>
      <c r="AA6" s="13" t="str">
        <f ca="1">IF(Stock!X2="","",Stock!X2)</f>
        <v/>
      </c>
      <c r="AB6" s="13" t="str">
        <f ca="1">IF(Stock!Y2="","",Stock!Y2)</f>
        <v/>
      </c>
      <c r="AC6" s="13" t="str">
        <f ca="1">IF(Stock!Z2="","",Stock!Z2)</f>
        <v/>
      </c>
      <c r="AD6" s="13" t="str">
        <f ca="1">IF(Stock!AA2="","",Stock!AA2)</f>
        <v/>
      </c>
      <c r="AE6" s="13" t="str">
        <f ca="1">IF(Stock!AB2="","",Stock!AB2)</f>
        <v/>
      </c>
      <c r="AF6" s="13" t="str">
        <f ca="1">IF(Stock!AC2="","",Stock!AC2)</f>
        <v/>
      </c>
      <c r="AG6" s="13" t="str">
        <f ca="1">IF(Stock!AD2="","",Stock!AD2)</f>
        <v/>
      </c>
      <c r="AH6" s="13" t="str">
        <f ca="1">IF(Stock!AE2="","",Stock!AE2)</f>
        <v/>
      </c>
      <c r="AI6" s="13" t="str">
        <f ca="1">IF(Stock!AF2="","",Stock!AF2)</f>
        <v/>
      </c>
      <c r="AJ6" s="13" t="str">
        <f ca="1">IF(Stock!AG2="","",Stock!AG2)</f>
        <v/>
      </c>
      <c r="AK6" s="13" t="str">
        <f ca="1">IF(Stock!AH2="","",Stock!AH2)</f>
        <v/>
      </c>
      <c r="AL6" s="13" t="str">
        <f ca="1">IF(Stock!AI2="","",Stock!AI2)</f>
        <v/>
      </c>
      <c r="AM6" s="13" t="str">
        <f ca="1">IF(Stock!AJ2="","",Stock!AJ2)</f>
        <v/>
      </c>
      <c r="AN6" s="13" t="str">
        <f ca="1">IF(Stock!AK2="","",Stock!AK2)</f>
        <v/>
      </c>
      <c r="AO6" s="13" t="str">
        <f ca="1">IF(Stock!AL2="","",Stock!AL2)</f>
        <v/>
      </c>
      <c r="AP6" s="13" t="str">
        <f ca="1">IF(Stock!AM2="","",Stock!AM2)</f>
        <v/>
      </c>
      <c r="AQ6" s="13" t="str">
        <f ca="1">IF(Stock!AN2="","",Stock!AN2)</f>
        <v/>
      </c>
      <c r="AR6" s="13" t="str">
        <f ca="1">IF(Stock!AO2="","",Stock!AO2)</f>
        <v/>
      </c>
      <c r="AS6" s="13" t="str">
        <f ca="1">IF(Stock!AP2="","",Stock!AP2)</f>
        <v/>
      </c>
      <c r="AT6" s="13" t="str">
        <f ca="1">IF(Stock!AQ2="","",Stock!AQ2)</f>
        <v/>
      </c>
      <c r="AU6" s="13" t="str">
        <f ca="1">IF(Stock!AR2="","",Stock!AR2)</f>
        <v/>
      </c>
      <c r="AV6" s="13" t="str">
        <f ca="1">IF(Stock!AS2="","",Stock!AS2)</f>
        <v/>
      </c>
      <c r="AW6" s="13" t="str">
        <f ca="1">IF(Stock!AT2="","",Stock!AT2)</f>
        <v/>
      </c>
      <c r="AX6" s="13" t="str">
        <f ca="1">IF(Stock!AU2="","",Stock!AU2)</f>
        <v/>
      </c>
      <c r="AY6" s="13" t="str">
        <f ca="1">IF(Stock!AV2="","",Stock!AV2)</f>
        <v/>
      </c>
      <c r="AZ6" s="13" t="str">
        <f ca="1">IF(Stock!AW2="","",Stock!AW2)</f>
        <v/>
      </c>
      <c r="BA6" s="13" t="str">
        <f ca="1">IF(Stock!AX2="","",Stock!AX2)</f>
        <v/>
      </c>
      <c r="BB6" s="13" t="str">
        <f>IF(Stock!AY2="","",Stock!AY2)</f>
        <v/>
      </c>
      <c r="BC6" s="13" t="str">
        <f>IF(Stock!AZ2="","",Stock!AZ2)</f>
        <v/>
      </c>
      <c r="BD6" s="13" t="str">
        <f>IF(Stock!BA2="","",Stock!BA2)</f>
        <v/>
      </c>
      <c r="BE6" s="13" t="str">
        <f>IF(Stock!BB2="","",Stock!BB2)</f>
        <v/>
      </c>
      <c r="BF6" s="13" t="str">
        <f>IF(Stock!BC2="","",Stock!BC2)</f>
        <v/>
      </c>
    </row>
    <row r="7" spans="1:253" ht="14.25" customHeight="1" x14ac:dyDescent="0.3">
      <c r="A7" s="15">
        <f>IF('MV Repo'!A3="","",IF(E7="",A6,A6+1))</f>
        <v>1</v>
      </c>
      <c r="B7" s="31" t="str">
        <f>IF(A7="","",IF('MV Repo'!A3=0,"B " &amp; TEXT('MV Repo'!B3,"mm/jj/aa"),"T " &amp; 'MV Repo'!A3 &amp; " " &amp; TEXT('MV Repo'!B3,"mm/aa")))</f>
        <v>B 12/27/12</v>
      </c>
      <c r="C7" s="30" t="str">
        <f>IF('Stock UST'!C3="","",'Stock UST'!C3)</f>
        <v>USB20121227</v>
      </c>
      <c r="D7" s="30" t="str">
        <f>IF('Stock UST'!D3="","",'Stock UST'!D3)</f>
        <v>US9127956Y20</v>
      </c>
      <c r="E7" s="13">
        <f>IF(Stock!B3="","",Stock!B3)</f>
        <v>400000</v>
      </c>
      <c r="F7" s="13">
        <f ca="1">IF(Stock!C3="","",Stock!C3)</f>
        <v>400000</v>
      </c>
      <c r="G7" s="13">
        <f ca="1">IF(Stock!D3="","",Stock!D3)</f>
        <v>400000</v>
      </c>
      <c r="H7" s="13">
        <f ca="1">IF(Stock!E3="","",Stock!E3)</f>
        <v>400000</v>
      </c>
      <c r="I7" s="13">
        <f ca="1">IF(Stock!F3="","",Stock!F3)</f>
        <v>400000</v>
      </c>
      <c r="J7" s="13">
        <f ca="1">IF(Stock!G3="","",Stock!G3)</f>
        <v>400000</v>
      </c>
      <c r="K7" s="13">
        <f ca="1">IF(Stock!H3="","",Stock!H3)</f>
        <v>400000</v>
      </c>
      <c r="L7" s="13">
        <f ca="1">IF(Stock!I3="","",Stock!I3)</f>
        <v>400000</v>
      </c>
      <c r="M7" s="13">
        <f ca="1">IF(Stock!J3="","",Stock!J3)</f>
        <v>400000</v>
      </c>
      <c r="N7" s="13">
        <f ca="1">IF(Stock!K3="","",Stock!K3)</f>
        <v>400000</v>
      </c>
      <c r="O7" s="13">
        <f ca="1">IF(Stock!L3="","",Stock!L3)</f>
        <v>400000</v>
      </c>
      <c r="P7" s="13">
        <f ca="1">IF(Stock!M3="","",Stock!M3)</f>
        <v>400000</v>
      </c>
      <c r="Q7" s="13">
        <f ca="1">IF(Stock!N3="","",Stock!N3)</f>
        <v>400000</v>
      </c>
      <c r="R7" s="13">
        <f ca="1">IF(Stock!O3="","",Stock!O3)</f>
        <v>400000</v>
      </c>
      <c r="S7" s="13">
        <f ca="1">IF(Stock!P3="","",Stock!P3)</f>
        <v>400000</v>
      </c>
      <c r="T7" s="13">
        <f ca="1">IF(Stock!Q3="","",Stock!Q3)</f>
        <v>400000</v>
      </c>
      <c r="U7" s="13">
        <f ca="1">IF(Stock!R3="","",Stock!R3)</f>
        <v>400000</v>
      </c>
      <c r="V7" s="13">
        <f ca="1">IF(Stock!S3="","",Stock!S3)</f>
        <v>400000</v>
      </c>
      <c r="W7" s="13">
        <f ca="1">IF(Stock!T3="","",Stock!T3)</f>
        <v>400000</v>
      </c>
      <c r="X7" s="13">
        <f ca="1">IF(Stock!U3="","",Stock!U3)</f>
        <v>400000</v>
      </c>
      <c r="Y7" s="13">
        <f ca="1">IF(Stock!V3="","",Stock!V3)</f>
        <v>400000</v>
      </c>
      <c r="Z7" s="13">
        <f ca="1">IF(Stock!W3="","",Stock!W3)</f>
        <v>400000</v>
      </c>
      <c r="AA7" s="13">
        <f ca="1">IF(Stock!X3="","",Stock!X3)</f>
        <v>400000</v>
      </c>
      <c r="AB7" s="13">
        <f ca="1">IF(Stock!Y3="","",Stock!Y3)</f>
        <v>400000</v>
      </c>
      <c r="AC7" s="13">
        <f ca="1">IF(Stock!Z3="","",Stock!Z3)</f>
        <v>400000</v>
      </c>
      <c r="AD7" s="13">
        <f ca="1">IF(Stock!AA3="","",Stock!AA3)</f>
        <v>400000</v>
      </c>
      <c r="AE7" s="13">
        <f ca="1">IF(Stock!AB3="","",Stock!AB3)</f>
        <v>400000</v>
      </c>
      <c r="AF7" s="13">
        <f ca="1">IF(Stock!AC3="","",Stock!AC3)</f>
        <v>400000</v>
      </c>
      <c r="AG7" s="13">
        <f ca="1">IF(Stock!AD3="","",Stock!AD3)</f>
        <v>400000</v>
      </c>
      <c r="AH7" s="13">
        <f ca="1">IF(Stock!AE3="","",Stock!AE3)</f>
        <v>400000</v>
      </c>
      <c r="AI7" s="13">
        <f ca="1">IF(Stock!AF3="","",Stock!AF3)</f>
        <v>400000</v>
      </c>
      <c r="AJ7" s="13">
        <f ca="1">IF(Stock!AG3="","",Stock!AG3)</f>
        <v>400000</v>
      </c>
      <c r="AK7" s="13">
        <f ca="1">IF(Stock!AH3="","",Stock!AH3)</f>
        <v>400000</v>
      </c>
      <c r="AL7" s="13">
        <f ca="1">IF(Stock!AI3="","",Stock!AI3)</f>
        <v>400000</v>
      </c>
      <c r="AM7" s="13">
        <f ca="1">IF(Stock!AJ3="","",Stock!AJ3)</f>
        <v>400000</v>
      </c>
      <c r="AN7" s="13">
        <f ca="1">IF(Stock!AK3="","",Stock!AK3)</f>
        <v>400000</v>
      </c>
      <c r="AO7" s="13">
        <f ca="1">IF(Stock!AL3="","",Stock!AL3)</f>
        <v>400000</v>
      </c>
      <c r="AP7" s="13">
        <f ca="1">IF(Stock!AM3="","",Stock!AM3)</f>
        <v>400000</v>
      </c>
      <c r="AQ7" s="13">
        <f ca="1">IF(Stock!AN3="","",Stock!AN3)</f>
        <v>400000</v>
      </c>
      <c r="AR7" s="13">
        <f ca="1">IF(Stock!AO3="","",Stock!AO3)</f>
        <v>400000</v>
      </c>
      <c r="AS7" s="13">
        <f ca="1">IF(Stock!AP3="","",Stock!AP3)</f>
        <v>400000</v>
      </c>
      <c r="AT7" s="13">
        <f ca="1">IF(Stock!AQ3="","",Stock!AQ3)</f>
        <v>400000</v>
      </c>
      <c r="AU7" s="13">
        <f ca="1">IF(Stock!AR3="","",Stock!AR3)</f>
        <v>400000</v>
      </c>
      <c r="AV7" s="13">
        <f ca="1">IF(Stock!AS3="","",Stock!AS3)</f>
        <v>400000</v>
      </c>
      <c r="AW7" s="13">
        <f ca="1">IF(Stock!AT3="","",Stock!AT3)</f>
        <v>400000</v>
      </c>
      <c r="AX7" s="13">
        <f ca="1">IF(Stock!AU3="","",Stock!AU3)</f>
        <v>400000</v>
      </c>
      <c r="AY7" s="13">
        <f ca="1">IF(Stock!AV3="","",Stock!AV3)</f>
        <v>400000</v>
      </c>
      <c r="AZ7" s="13">
        <f ca="1">IF(Stock!AW3="","",Stock!AW3)</f>
        <v>400000</v>
      </c>
      <c r="BA7" s="13">
        <f ca="1">IF(Stock!AX3="","",Stock!AX3)</f>
        <v>400000</v>
      </c>
      <c r="BB7" s="13" t="str">
        <f>IF(Stock!AY3="","",Stock!AY3)</f>
        <v/>
      </c>
      <c r="BC7" s="13" t="str">
        <f>IF(Stock!AZ3="","",Stock!AZ3)</f>
        <v/>
      </c>
      <c r="BD7" s="13" t="str">
        <f>IF(Stock!BA3="","",Stock!BA3)</f>
        <v/>
      </c>
      <c r="BE7" s="13" t="str">
        <f>IF(Stock!BB3="","",Stock!BB3)</f>
        <v/>
      </c>
      <c r="BF7" s="13" t="str">
        <f>IF(Stock!BC3="","",Stock!BC3)</f>
        <v/>
      </c>
    </row>
    <row r="8" spans="1:253" ht="14.25" customHeight="1" x14ac:dyDescent="0.3">
      <c r="A8" s="15">
        <f>IF('MV Repo'!A4="","",IF(E8="",A7,A7+1))</f>
        <v>1</v>
      </c>
      <c r="B8" s="31" t="str">
        <f>IF(A8="","",IF('MV Repo'!A4=0,"B " &amp; TEXT('MV Repo'!B4,"mm/jj/aa"),"T " &amp; 'MV Repo'!A4 &amp; " " &amp; TEXT('MV Repo'!B4,"mm/aa")))</f>
        <v>B 04/04/13</v>
      </c>
      <c r="C8" s="30" t="str">
        <f>IF('Stock UST'!C4="","",'Stock UST'!C4)</f>
        <v>USB20130404</v>
      </c>
      <c r="D8" s="30" t="str">
        <f>IF('Stock UST'!D4="","",'Stock UST'!D4)</f>
        <v>US9127956F31</v>
      </c>
      <c r="E8" s="13" t="str">
        <f>IF(Stock!B4="","",Stock!B4)</f>
        <v/>
      </c>
      <c r="F8" s="13" t="str">
        <f ca="1">IF(Stock!C4="","",Stock!C4)</f>
        <v/>
      </c>
      <c r="G8" s="13" t="str">
        <f ca="1">IF(Stock!D4="","",Stock!D4)</f>
        <v/>
      </c>
      <c r="H8" s="13" t="str">
        <f ca="1">IF(Stock!E4="","",Stock!E4)</f>
        <v/>
      </c>
      <c r="I8" s="13" t="str">
        <f ca="1">IF(Stock!F4="","",Stock!F4)</f>
        <v/>
      </c>
      <c r="J8" s="13" t="str">
        <f ca="1">IF(Stock!G4="","",Stock!G4)</f>
        <v/>
      </c>
      <c r="K8" s="13" t="str">
        <f ca="1">IF(Stock!H4="","",Stock!H4)</f>
        <v/>
      </c>
      <c r="L8" s="13" t="str">
        <f ca="1">IF(Stock!I4="","",Stock!I4)</f>
        <v/>
      </c>
      <c r="M8" s="13" t="str">
        <f ca="1">IF(Stock!J4="","",Stock!J4)</f>
        <v/>
      </c>
      <c r="N8" s="13" t="str">
        <f ca="1">IF(Stock!K4="","",Stock!K4)</f>
        <v/>
      </c>
      <c r="O8" s="13" t="str">
        <f ca="1">IF(Stock!L4="","",Stock!L4)</f>
        <v/>
      </c>
      <c r="P8" s="13" t="str">
        <f ca="1">IF(Stock!M4="","",Stock!M4)</f>
        <v/>
      </c>
      <c r="Q8" s="13" t="str">
        <f ca="1">IF(Stock!N4="","",Stock!N4)</f>
        <v/>
      </c>
      <c r="R8" s="13" t="str">
        <f ca="1">IF(Stock!O4="","",Stock!O4)</f>
        <v/>
      </c>
      <c r="S8" s="13" t="str">
        <f ca="1">IF(Stock!P4="","",Stock!P4)</f>
        <v/>
      </c>
      <c r="T8" s="13" t="str">
        <f ca="1">IF(Stock!Q4="","",Stock!Q4)</f>
        <v/>
      </c>
      <c r="U8" s="13" t="str">
        <f ca="1">IF(Stock!R4="","",Stock!R4)</f>
        <v/>
      </c>
      <c r="V8" s="13" t="str">
        <f ca="1">IF(Stock!S4="","",Stock!S4)</f>
        <v/>
      </c>
      <c r="W8" s="13" t="str">
        <f ca="1">IF(Stock!T4="","",Stock!T4)</f>
        <v/>
      </c>
      <c r="X8" s="13" t="str">
        <f ca="1">IF(Stock!U4="","",Stock!U4)</f>
        <v/>
      </c>
      <c r="Y8" s="13" t="str">
        <f ca="1">IF(Stock!V4="","",Stock!V4)</f>
        <v/>
      </c>
      <c r="Z8" s="13" t="str">
        <f ca="1">IF(Stock!W4="","",Stock!W4)</f>
        <v/>
      </c>
      <c r="AA8" s="13" t="str">
        <f ca="1">IF(Stock!X4="","",Stock!X4)</f>
        <v/>
      </c>
      <c r="AB8" s="13" t="str">
        <f ca="1">IF(Stock!Y4="","",Stock!Y4)</f>
        <v/>
      </c>
      <c r="AC8" s="13" t="str">
        <f ca="1">IF(Stock!Z4="","",Stock!Z4)</f>
        <v/>
      </c>
      <c r="AD8" s="13" t="str">
        <f ca="1">IF(Stock!AA4="","",Stock!AA4)</f>
        <v/>
      </c>
      <c r="AE8" s="13" t="str">
        <f ca="1">IF(Stock!AB4="","",Stock!AB4)</f>
        <v/>
      </c>
      <c r="AF8" s="13" t="str">
        <f ca="1">IF(Stock!AC4="","",Stock!AC4)</f>
        <v/>
      </c>
      <c r="AG8" s="13" t="str">
        <f ca="1">IF(Stock!AD4="","",Stock!AD4)</f>
        <v/>
      </c>
      <c r="AH8" s="13" t="str">
        <f ca="1">IF(Stock!AE4="","",Stock!AE4)</f>
        <v/>
      </c>
      <c r="AI8" s="13" t="str">
        <f ca="1">IF(Stock!AF4="","",Stock!AF4)</f>
        <v/>
      </c>
      <c r="AJ8" s="13" t="str">
        <f ca="1">IF(Stock!AG4="","",Stock!AG4)</f>
        <v/>
      </c>
      <c r="AK8" s="13" t="str">
        <f ca="1">IF(Stock!AH4="","",Stock!AH4)</f>
        <v/>
      </c>
      <c r="AL8" s="13" t="str">
        <f ca="1">IF(Stock!AI4="","",Stock!AI4)</f>
        <v/>
      </c>
      <c r="AM8" s="13" t="str">
        <f ca="1">IF(Stock!AJ4="","",Stock!AJ4)</f>
        <v/>
      </c>
      <c r="AN8" s="13" t="str">
        <f ca="1">IF(Stock!AK4="","",Stock!AK4)</f>
        <v/>
      </c>
      <c r="AO8" s="13" t="str">
        <f ca="1">IF(Stock!AL4="","",Stock!AL4)</f>
        <v/>
      </c>
      <c r="AP8" s="13" t="str">
        <f ca="1">IF(Stock!AM4="","",Stock!AM4)</f>
        <v/>
      </c>
      <c r="AQ8" s="13" t="str">
        <f ca="1">IF(Stock!AN4="","",Stock!AN4)</f>
        <v/>
      </c>
      <c r="AR8" s="13" t="str">
        <f ca="1">IF(Stock!AO4="","",Stock!AO4)</f>
        <v/>
      </c>
      <c r="AS8" s="13" t="str">
        <f ca="1">IF(Stock!AP4="","",Stock!AP4)</f>
        <v/>
      </c>
      <c r="AT8" s="13" t="str">
        <f ca="1">IF(Stock!AQ4="","",Stock!AQ4)</f>
        <v/>
      </c>
      <c r="AU8" s="13" t="str">
        <f ca="1">IF(Stock!AR4="","",Stock!AR4)</f>
        <v/>
      </c>
      <c r="AV8" s="13" t="str">
        <f ca="1">IF(Stock!AS4="","",Stock!AS4)</f>
        <v/>
      </c>
      <c r="AW8" s="13" t="str">
        <f ca="1">IF(Stock!AT4="","",Stock!AT4)</f>
        <v/>
      </c>
      <c r="AX8" s="13" t="str">
        <f ca="1">IF(Stock!AU4="","",Stock!AU4)</f>
        <v/>
      </c>
      <c r="AY8" s="13" t="str">
        <f ca="1">IF(Stock!AV4="","",Stock!AV4)</f>
        <v/>
      </c>
      <c r="AZ8" s="13" t="str">
        <f ca="1">IF(Stock!AW4="","",Stock!AW4)</f>
        <v/>
      </c>
      <c r="BA8" s="13" t="str">
        <f ca="1">IF(Stock!AX4="","",Stock!AX4)</f>
        <v/>
      </c>
      <c r="BB8" s="13" t="str">
        <f>IF(Stock!AY4="","",Stock!AY4)</f>
        <v/>
      </c>
      <c r="BC8" s="13" t="str">
        <f>IF(Stock!AZ4="","",Stock!AZ4)</f>
        <v/>
      </c>
      <c r="BD8" s="13" t="str">
        <f>IF(Stock!BA4="","",Stock!BA4)</f>
        <v/>
      </c>
      <c r="BE8" s="13" t="str">
        <f>IF(Stock!BB4="","",Stock!BB4)</f>
        <v/>
      </c>
      <c r="BF8" s="13" t="str">
        <f>IF(Stock!BC4="","",Stock!BC4)</f>
        <v/>
      </c>
    </row>
    <row r="9" spans="1:253" ht="14.25" customHeight="1" x14ac:dyDescent="0.3">
      <c r="A9" s="15">
        <f>IF('MV Repo'!A5="","",IF(E9="",A8,A8+1))</f>
        <v>2</v>
      </c>
      <c r="B9" s="31" t="str">
        <f>IF(A9="","",IF('MV Repo'!A5=0,"B " &amp; TEXT('MV Repo'!B5,"mm/jj/aa"),"T " &amp; 'MV Repo'!A5 &amp; " " &amp; TEXT('MV Repo'!B5,"mm/aa")))</f>
        <v>T 0.625 04/13</v>
      </c>
      <c r="C9" s="30" t="str">
        <f>IF('Stock UST'!C5="","",'Stock UST'!C5)</f>
        <v>UST2013040.625</v>
      </c>
      <c r="D9" s="30" t="str">
        <f>IF('Stock UST'!D5="","",'Stock UST'!D5)</f>
        <v>US912828QE36</v>
      </c>
      <c r="E9" s="13">
        <f>IF(Stock!B5="","",Stock!B5)</f>
        <v>252000</v>
      </c>
      <c r="F9" s="13">
        <f ca="1">IF(Stock!C5="","",Stock!C5)</f>
        <v>252000</v>
      </c>
      <c r="G9" s="13">
        <f ca="1">IF(Stock!D5="","",Stock!D5)</f>
        <v>252000</v>
      </c>
      <c r="H9" s="13">
        <f ca="1">IF(Stock!E5="","",Stock!E5)</f>
        <v>252000</v>
      </c>
      <c r="I9" s="13">
        <f ca="1">IF(Stock!F5="","",Stock!F5)</f>
        <v>252000</v>
      </c>
      <c r="J9" s="13">
        <f ca="1">IF(Stock!G5="","",Stock!G5)</f>
        <v>252000</v>
      </c>
      <c r="K9" s="13">
        <f ca="1">IF(Stock!H5="","",Stock!H5)</f>
        <v>252000</v>
      </c>
      <c r="L9" s="13">
        <f ca="1">IF(Stock!I5="","",Stock!I5)</f>
        <v>252000</v>
      </c>
      <c r="M9" s="13">
        <f ca="1">IF(Stock!J5="","",Stock!J5)</f>
        <v>252000</v>
      </c>
      <c r="N9" s="13">
        <f ca="1">IF(Stock!K5="","",Stock!K5)</f>
        <v>252000</v>
      </c>
      <c r="O9" s="13">
        <f ca="1">IF(Stock!L5="","",Stock!L5)</f>
        <v>252000</v>
      </c>
      <c r="P9" s="13">
        <f ca="1">IF(Stock!M5="","",Stock!M5)</f>
        <v>252000</v>
      </c>
      <c r="Q9" s="13">
        <f ca="1">IF(Stock!N5="","",Stock!N5)</f>
        <v>252000</v>
      </c>
      <c r="R9" s="13">
        <f ca="1">IF(Stock!O5="","",Stock!O5)</f>
        <v>252000</v>
      </c>
      <c r="S9" s="13">
        <f ca="1">IF(Stock!P5="","",Stock!P5)</f>
        <v>252000</v>
      </c>
      <c r="T9" s="13">
        <f ca="1">IF(Stock!Q5="","",Stock!Q5)</f>
        <v>252000</v>
      </c>
      <c r="U9" s="13">
        <f ca="1">IF(Stock!R5="","",Stock!R5)</f>
        <v>252000</v>
      </c>
      <c r="V9" s="13">
        <f ca="1">IF(Stock!S5="","",Stock!S5)</f>
        <v>252000</v>
      </c>
      <c r="W9" s="13">
        <f ca="1">IF(Stock!T5="","",Stock!T5)</f>
        <v>252000</v>
      </c>
      <c r="X9" s="13">
        <f ca="1">IF(Stock!U5="","",Stock!U5)</f>
        <v>252000</v>
      </c>
      <c r="Y9" s="13">
        <f ca="1">IF(Stock!V5="","",Stock!V5)</f>
        <v>252000</v>
      </c>
      <c r="Z9" s="13">
        <f ca="1">IF(Stock!W5="","",Stock!W5)</f>
        <v>252000</v>
      </c>
      <c r="AA9" s="13">
        <f ca="1">IF(Stock!X5="","",Stock!X5)</f>
        <v>252000</v>
      </c>
      <c r="AB9" s="13">
        <f ca="1">IF(Stock!Y5="","",Stock!Y5)</f>
        <v>252000</v>
      </c>
      <c r="AC9" s="13">
        <f ca="1">IF(Stock!Z5="","",Stock!Z5)</f>
        <v>252000</v>
      </c>
      <c r="AD9" s="13">
        <f ca="1">IF(Stock!AA5="","",Stock!AA5)</f>
        <v>252000</v>
      </c>
      <c r="AE9" s="13">
        <f ca="1">IF(Stock!AB5="","",Stock!AB5)</f>
        <v>252000</v>
      </c>
      <c r="AF9" s="13">
        <f ca="1">IF(Stock!AC5="","",Stock!AC5)</f>
        <v>252000</v>
      </c>
      <c r="AG9" s="13">
        <f ca="1">IF(Stock!AD5="","",Stock!AD5)</f>
        <v>252000</v>
      </c>
      <c r="AH9" s="13">
        <f ca="1">IF(Stock!AE5="","",Stock!AE5)</f>
        <v>252000</v>
      </c>
      <c r="AI9" s="13">
        <f ca="1">IF(Stock!AF5="","",Stock!AF5)</f>
        <v>252000</v>
      </c>
      <c r="AJ9" s="13">
        <f ca="1">IF(Stock!AG5="","",Stock!AG5)</f>
        <v>252000</v>
      </c>
      <c r="AK9" s="13">
        <f ca="1">IF(Stock!AH5="","",Stock!AH5)</f>
        <v>252000</v>
      </c>
      <c r="AL9" s="13">
        <f ca="1">IF(Stock!AI5="","",Stock!AI5)</f>
        <v>252000</v>
      </c>
      <c r="AM9" s="13">
        <f ca="1">IF(Stock!AJ5="","",Stock!AJ5)</f>
        <v>252000</v>
      </c>
      <c r="AN9" s="13">
        <f ca="1">IF(Stock!AK5="","",Stock!AK5)</f>
        <v>252000</v>
      </c>
      <c r="AO9" s="13">
        <f ca="1">IF(Stock!AL5="","",Stock!AL5)</f>
        <v>252000</v>
      </c>
      <c r="AP9" s="13">
        <f ca="1">IF(Stock!AM5="","",Stock!AM5)</f>
        <v>252000</v>
      </c>
      <c r="AQ9" s="13">
        <f ca="1">IF(Stock!AN5="","",Stock!AN5)</f>
        <v>252000</v>
      </c>
      <c r="AR9" s="13">
        <f ca="1">IF(Stock!AO5="","",Stock!AO5)</f>
        <v>252000</v>
      </c>
      <c r="AS9" s="13">
        <f ca="1">IF(Stock!AP5="","",Stock!AP5)</f>
        <v>252000</v>
      </c>
      <c r="AT9" s="13">
        <f ca="1">IF(Stock!AQ5="","",Stock!AQ5)</f>
        <v>252000</v>
      </c>
      <c r="AU9" s="13">
        <f ca="1">IF(Stock!AR5="","",Stock!AR5)</f>
        <v>252000</v>
      </c>
      <c r="AV9" s="13">
        <f ca="1">IF(Stock!AS5="","",Stock!AS5)</f>
        <v>252000</v>
      </c>
      <c r="AW9" s="13">
        <f ca="1">IF(Stock!AT5="","",Stock!AT5)</f>
        <v>252000</v>
      </c>
      <c r="AX9" s="13">
        <f ca="1">IF(Stock!AU5="","",Stock!AU5)</f>
        <v>252000</v>
      </c>
      <c r="AY9" s="13">
        <f ca="1">IF(Stock!AV5="","",Stock!AV5)</f>
        <v>252000</v>
      </c>
      <c r="AZ9" s="13">
        <f ca="1">IF(Stock!AW5="","",Stock!AW5)</f>
        <v>252000</v>
      </c>
      <c r="BA9" s="13">
        <f ca="1">IF(Stock!AX5="","",Stock!AX5)</f>
        <v>252000</v>
      </c>
      <c r="BB9" s="13" t="str">
        <f>IF(Stock!AY5="","",Stock!AY5)</f>
        <v/>
      </c>
      <c r="BC9" s="13" t="str">
        <f>IF(Stock!AZ5="","",Stock!AZ5)</f>
        <v/>
      </c>
      <c r="BD9" s="13" t="str">
        <f>IF(Stock!BA5="","",Stock!BA5)</f>
        <v/>
      </c>
      <c r="BE9" s="13" t="str">
        <f>IF(Stock!BB5="","",Stock!BB5)</f>
        <v/>
      </c>
      <c r="BF9" s="13" t="str">
        <f>IF(Stock!BC5="","",Stock!BC5)</f>
        <v/>
      </c>
    </row>
    <row r="10" spans="1:253" ht="14.25" customHeight="1" x14ac:dyDescent="0.3">
      <c r="A10" s="15">
        <f>IF('MV Repo'!A6="","",IF(E10="",A9,A9+1))</f>
        <v>3</v>
      </c>
      <c r="B10" s="31" t="str">
        <f>IF(A10="","",IF('MV Repo'!A6=0,"B " &amp; TEXT('MV Repo'!B6,"mm/jj/aa"),"T " &amp; 'MV Repo'!A6 &amp; " " &amp; TEXT('MV Repo'!B6,"mm/aa")))</f>
        <v>B 05/02/13</v>
      </c>
      <c r="C10" s="30" t="str">
        <f>IF('Stock UST'!C6="","",'Stock UST'!C6)</f>
        <v>USB20130502</v>
      </c>
      <c r="D10" s="30" t="str">
        <f>IF('Stock UST'!D6="","",'Stock UST'!D6)</f>
        <v>US9127956L09</v>
      </c>
      <c r="E10" s="13">
        <f>IF(Stock!B6="","",Stock!B6)</f>
        <v>267000</v>
      </c>
      <c r="F10" s="13">
        <f ca="1">IF(Stock!C6="","",Stock!C6)</f>
        <v>267000</v>
      </c>
      <c r="G10" s="13">
        <f ca="1">IF(Stock!D6="","",Stock!D6)</f>
        <v>267000</v>
      </c>
      <c r="H10" s="13">
        <f ca="1">IF(Stock!E6="","",Stock!E6)</f>
        <v>267000</v>
      </c>
      <c r="I10" s="13">
        <f ca="1">IF(Stock!F6="","",Stock!F6)</f>
        <v>267000</v>
      </c>
      <c r="J10" s="13">
        <f ca="1">IF(Stock!G6="","",Stock!G6)</f>
        <v>267000</v>
      </c>
      <c r="K10" s="13">
        <f ca="1">IF(Stock!H6="","",Stock!H6)</f>
        <v>267000</v>
      </c>
      <c r="L10" s="13">
        <f ca="1">IF(Stock!I6="","",Stock!I6)</f>
        <v>267000</v>
      </c>
      <c r="M10" s="13">
        <f ca="1">IF(Stock!J6="","",Stock!J6)</f>
        <v>267000</v>
      </c>
      <c r="N10" s="13">
        <f ca="1">IF(Stock!K6="","",Stock!K6)</f>
        <v>267000</v>
      </c>
      <c r="O10" s="13">
        <f ca="1">IF(Stock!L6="","",Stock!L6)</f>
        <v>267000</v>
      </c>
      <c r="P10" s="13">
        <f ca="1">IF(Stock!M6="","",Stock!M6)</f>
        <v>267000</v>
      </c>
      <c r="Q10" s="13">
        <f ca="1">IF(Stock!N6="","",Stock!N6)</f>
        <v>267000</v>
      </c>
      <c r="R10" s="13">
        <f ca="1">IF(Stock!O6="","",Stock!O6)</f>
        <v>267000</v>
      </c>
      <c r="S10" s="13">
        <f ca="1">IF(Stock!P6="","",Stock!P6)</f>
        <v>267000</v>
      </c>
      <c r="T10" s="13">
        <f ca="1">IF(Stock!Q6="","",Stock!Q6)</f>
        <v>267000</v>
      </c>
      <c r="U10" s="13">
        <f ca="1">IF(Stock!R6="","",Stock!R6)</f>
        <v>267000</v>
      </c>
      <c r="V10" s="13">
        <f ca="1">IF(Stock!S6="","",Stock!S6)</f>
        <v>267000</v>
      </c>
      <c r="W10" s="13">
        <f ca="1">IF(Stock!T6="","",Stock!T6)</f>
        <v>267000</v>
      </c>
      <c r="X10" s="13">
        <f ca="1">IF(Stock!U6="","",Stock!U6)</f>
        <v>267000</v>
      </c>
      <c r="Y10" s="13">
        <f ca="1">IF(Stock!V6="","",Stock!V6)</f>
        <v>267000</v>
      </c>
      <c r="Z10" s="13">
        <f ca="1">IF(Stock!W6="","",Stock!W6)</f>
        <v>267000</v>
      </c>
      <c r="AA10" s="13">
        <f ca="1">IF(Stock!X6="","",Stock!X6)</f>
        <v>267000</v>
      </c>
      <c r="AB10" s="13">
        <f ca="1">IF(Stock!Y6="","",Stock!Y6)</f>
        <v>267000</v>
      </c>
      <c r="AC10" s="13">
        <f ca="1">IF(Stock!Z6="","",Stock!Z6)</f>
        <v>267000</v>
      </c>
      <c r="AD10" s="13">
        <f ca="1">IF(Stock!AA6="","",Stock!AA6)</f>
        <v>267000</v>
      </c>
      <c r="AE10" s="13">
        <f ca="1">IF(Stock!AB6="","",Stock!AB6)</f>
        <v>267000</v>
      </c>
      <c r="AF10" s="13">
        <f ca="1">IF(Stock!AC6="","",Stock!AC6)</f>
        <v>267000</v>
      </c>
      <c r="AG10" s="13">
        <f ca="1">IF(Stock!AD6="","",Stock!AD6)</f>
        <v>267000</v>
      </c>
      <c r="AH10" s="13">
        <f ca="1">IF(Stock!AE6="","",Stock!AE6)</f>
        <v>267000</v>
      </c>
      <c r="AI10" s="13">
        <f ca="1">IF(Stock!AF6="","",Stock!AF6)</f>
        <v>267000</v>
      </c>
      <c r="AJ10" s="13">
        <f ca="1">IF(Stock!AG6="","",Stock!AG6)</f>
        <v>267000</v>
      </c>
      <c r="AK10" s="13">
        <f ca="1">IF(Stock!AH6="","",Stock!AH6)</f>
        <v>267000</v>
      </c>
      <c r="AL10" s="13">
        <f ca="1">IF(Stock!AI6="","",Stock!AI6)</f>
        <v>267000</v>
      </c>
      <c r="AM10" s="13">
        <f ca="1">IF(Stock!AJ6="","",Stock!AJ6)</f>
        <v>267000</v>
      </c>
      <c r="AN10" s="13">
        <f ca="1">IF(Stock!AK6="","",Stock!AK6)</f>
        <v>267000</v>
      </c>
      <c r="AO10" s="13">
        <f ca="1">IF(Stock!AL6="","",Stock!AL6)</f>
        <v>267000</v>
      </c>
      <c r="AP10" s="13">
        <f ca="1">IF(Stock!AM6="","",Stock!AM6)</f>
        <v>267000</v>
      </c>
      <c r="AQ10" s="13">
        <f ca="1">IF(Stock!AN6="","",Stock!AN6)</f>
        <v>267000</v>
      </c>
      <c r="AR10" s="13">
        <f ca="1">IF(Stock!AO6="","",Stock!AO6)</f>
        <v>267000</v>
      </c>
      <c r="AS10" s="13">
        <f ca="1">IF(Stock!AP6="","",Stock!AP6)</f>
        <v>267000</v>
      </c>
      <c r="AT10" s="13">
        <f ca="1">IF(Stock!AQ6="","",Stock!AQ6)</f>
        <v>267000</v>
      </c>
      <c r="AU10" s="13">
        <f ca="1">IF(Stock!AR6="","",Stock!AR6)</f>
        <v>267000</v>
      </c>
      <c r="AV10" s="13">
        <f ca="1">IF(Stock!AS6="","",Stock!AS6)</f>
        <v>267000</v>
      </c>
      <c r="AW10" s="13">
        <f ca="1">IF(Stock!AT6="","",Stock!AT6)</f>
        <v>267000</v>
      </c>
      <c r="AX10" s="13">
        <f ca="1">IF(Stock!AU6="","",Stock!AU6)</f>
        <v>267000</v>
      </c>
      <c r="AY10" s="13">
        <f ca="1">IF(Stock!AV6="","",Stock!AV6)</f>
        <v>267000</v>
      </c>
      <c r="AZ10" s="13">
        <f ca="1">IF(Stock!AW6="","",Stock!AW6)</f>
        <v>267000</v>
      </c>
      <c r="BA10" s="13">
        <f ca="1">IF(Stock!AX6="","",Stock!AX6)</f>
        <v>267000</v>
      </c>
      <c r="BB10" s="13" t="str">
        <f>IF(Stock!AY6="","",Stock!AY6)</f>
        <v/>
      </c>
      <c r="BC10" s="13" t="str">
        <f>IF(Stock!AZ6="","",Stock!AZ6)</f>
        <v/>
      </c>
      <c r="BD10" s="13" t="str">
        <f>IF(Stock!BA6="","",Stock!BA6)</f>
        <v/>
      </c>
      <c r="BE10" s="13" t="str">
        <f>IF(Stock!BB6="","",Stock!BB6)</f>
        <v/>
      </c>
      <c r="BF10" s="13" t="str">
        <f>IF(Stock!BC6="","",Stock!BC6)</f>
        <v/>
      </c>
    </row>
    <row r="11" spans="1:253" ht="14.25" customHeight="1" x14ac:dyDescent="0.3">
      <c r="A11" s="15">
        <f>IF('MV Repo'!A7="","",IF(E11="",A10,A10+1))</f>
        <v>3</v>
      </c>
      <c r="B11" s="31" t="str">
        <f>IF(A11="","",IF('MV Repo'!A7=0,"B " &amp; TEXT('MV Repo'!B7,"mm/jj/aa"),"T " &amp; 'MV Repo'!A7 &amp; " " &amp; TEXT('MV Repo'!B7,"mm/aa")))</f>
        <v>B 05/30/13</v>
      </c>
      <c r="C11" s="30" t="str">
        <f>IF('Stock UST'!C7="","",'Stock UST'!C7)</f>
        <v>USB20130530</v>
      </c>
      <c r="D11" s="30" t="str">
        <f>IF('Stock UST'!D7="","",'Stock UST'!D7)</f>
        <v>US9127956R78</v>
      </c>
      <c r="E11" s="13" t="str">
        <f>IF(Stock!B7="","",Stock!B7)</f>
        <v/>
      </c>
      <c r="F11" s="13" t="str">
        <f ca="1">IF(Stock!C7="","",Stock!C7)</f>
        <v/>
      </c>
      <c r="G11" s="13" t="str">
        <f ca="1">IF(Stock!D7="","",Stock!D7)</f>
        <v/>
      </c>
      <c r="H11" s="13" t="str">
        <f ca="1">IF(Stock!E7="","",Stock!E7)</f>
        <v/>
      </c>
      <c r="I11" s="13" t="str">
        <f ca="1">IF(Stock!F7="","",Stock!F7)</f>
        <v/>
      </c>
      <c r="J11" s="13" t="str">
        <f ca="1">IF(Stock!G7="","",Stock!G7)</f>
        <v/>
      </c>
      <c r="K11" s="13" t="str">
        <f ca="1">IF(Stock!H7="","",Stock!H7)</f>
        <v/>
      </c>
      <c r="L11" s="13" t="str">
        <f ca="1">IF(Stock!I7="","",Stock!I7)</f>
        <v/>
      </c>
      <c r="M11" s="13" t="str">
        <f ca="1">IF(Stock!J7="","",Stock!J7)</f>
        <v/>
      </c>
      <c r="N11" s="13" t="str">
        <f ca="1">IF(Stock!K7="","",Stock!K7)</f>
        <v/>
      </c>
      <c r="O11" s="13" t="str">
        <f ca="1">IF(Stock!L7="","",Stock!L7)</f>
        <v/>
      </c>
      <c r="P11" s="13" t="str">
        <f ca="1">IF(Stock!M7="","",Stock!M7)</f>
        <v/>
      </c>
      <c r="Q11" s="13" t="str">
        <f ca="1">IF(Stock!N7="","",Stock!N7)</f>
        <v/>
      </c>
      <c r="R11" s="13" t="str">
        <f ca="1">IF(Stock!O7="","",Stock!O7)</f>
        <v/>
      </c>
      <c r="S11" s="13" t="str">
        <f ca="1">IF(Stock!P7="","",Stock!P7)</f>
        <v/>
      </c>
      <c r="T11" s="13" t="str">
        <f ca="1">IF(Stock!Q7="","",Stock!Q7)</f>
        <v/>
      </c>
      <c r="U11" s="13" t="str">
        <f ca="1">IF(Stock!R7="","",Stock!R7)</f>
        <v/>
      </c>
      <c r="V11" s="13" t="str">
        <f ca="1">IF(Stock!S7="","",Stock!S7)</f>
        <v/>
      </c>
      <c r="W11" s="13" t="str">
        <f ca="1">IF(Stock!T7="","",Stock!T7)</f>
        <v/>
      </c>
      <c r="X11" s="13" t="str">
        <f ca="1">IF(Stock!U7="","",Stock!U7)</f>
        <v/>
      </c>
      <c r="Y11" s="13" t="str">
        <f ca="1">IF(Stock!V7="","",Stock!V7)</f>
        <v/>
      </c>
      <c r="Z11" s="13" t="str">
        <f ca="1">IF(Stock!W7="","",Stock!W7)</f>
        <v/>
      </c>
      <c r="AA11" s="13" t="str">
        <f ca="1">IF(Stock!X7="","",Stock!X7)</f>
        <v/>
      </c>
      <c r="AB11" s="13" t="str">
        <f ca="1">IF(Stock!Y7="","",Stock!Y7)</f>
        <v/>
      </c>
      <c r="AC11" s="13" t="str">
        <f ca="1">IF(Stock!Z7="","",Stock!Z7)</f>
        <v/>
      </c>
      <c r="AD11" s="13" t="str">
        <f ca="1">IF(Stock!AA7="","",Stock!AA7)</f>
        <v/>
      </c>
      <c r="AE11" s="13" t="str">
        <f ca="1">IF(Stock!AB7="","",Stock!AB7)</f>
        <v/>
      </c>
      <c r="AF11" s="13" t="str">
        <f ca="1">IF(Stock!AC7="","",Stock!AC7)</f>
        <v/>
      </c>
      <c r="AG11" s="13" t="str">
        <f ca="1">IF(Stock!AD7="","",Stock!AD7)</f>
        <v/>
      </c>
      <c r="AH11" s="13" t="str">
        <f ca="1">IF(Stock!AE7="","",Stock!AE7)</f>
        <v/>
      </c>
      <c r="AI11" s="13" t="str">
        <f ca="1">IF(Stock!AF7="","",Stock!AF7)</f>
        <v/>
      </c>
      <c r="AJ11" s="13" t="str">
        <f ca="1">IF(Stock!AG7="","",Stock!AG7)</f>
        <v/>
      </c>
      <c r="AK11" s="13" t="str">
        <f ca="1">IF(Stock!AH7="","",Stock!AH7)</f>
        <v/>
      </c>
      <c r="AL11" s="13" t="str">
        <f ca="1">IF(Stock!AI7="","",Stock!AI7)</f>
        <v/>
      </c>
      <c r="AM11" s="13" t="str">
        <f ca="1">IF(Stock!AJ7="","",Stock!AJ7)</f>
        <v/>
      </c>
      <c r="AN11" s="13" t="str">
        <f ca="1">IF(Stock!AK7="","",Stock!AK7)</f>
        <v/>
      </c>
      <c r="AO11" s="13" t="str">
        <f ca="1">IF(Stock!AL7="","",Stock!AL7)</f>
        <v/>
      </c>
      <c r="AP11" s="13" t="str">
        <f ca="1">IF(Stock!AM7="","",Stock!AM7)</f>
        <v/>
      </c>
      <c r="AQ11" s="13" t="str">
        <f ca="1">IF(Stock!AN7="","",Stock!AN7)</f>
        <v/>
      </c>
      <c r="AR11" s="13" t="str">
        <f ca="1">IF(Stock!AO7="","",Stock!AO7)</f>
        <v/>
      </c>
      <c r="AS11" s="13" t="str">
        <f ca="1">IF(Stock!AP7="","",Stock!AP7)</f>
        <v/>
      </c>
      <c r="AT11" s="13" t="str">
        <f ca="1">IF(Stock!AQ7="","",Stock!AQ7)</f>
        <v/>
      </c>
      <c r="AU11" s="13" t="str">
        <f ca="1">IF(Stock!AR7="","",Stock!AR7)</f>
        <v/>
      </c>
      <c r="AV11" s="13" t="str">
        <f ca="1">IF(Stock!AS7="","",Stock!AS7)</f>
        <v/>
      </c>
      <c r="AW11" s="13" t="str">
        <f ca="1">IF(Stock!AT7="","",Stock!AT7)</f>
        <v/>
      </c>
      <c r="AX11" s="13" t="str">
        <f ca="1">IF(Stock!AU7="","",Stock!AU7)</f>
        <v/>
      </c>
      <c r="AY11" s="13" t="str">
        <f ca="1">IF(Stock!AV7="","",Stock!AV7)</f>
        <v/>
      </c>
      <c r="AZ11" s="13" t="str">
        <f ca="1">IF(Stock!AW7="","",Stock!AW7)</f>
        <v/>
      </c>
      <c r="BA11" s="13" t="str">
        <f ca="1">IF(Stock!AX7="","",Stock!AX7)</f>
        <v/>
      </c>
      <c r="BB11" s="13" t="str">
        <f>IF(Stock!AY7="","",Stock!AY7)</f>
        <v/>
      </c>
      <c r="BC11" s="13" t="str">
        <f>IF(Stock!AZ7="","",Stock!AZ7)</f>
        <v/>
      </c>
      <c r="BD11" s="13" t="str">
        <f>IF(Stock!BA7="","",Stock!BA7)</f>
        <v/>
      </c>
      <c r="BE11" s="13" t="str">
        <f>IF(Stock!BB7="","",Stock!BB7)</f>
        <v/>
      </c>
      <c r="BF11" s="13" t="str">
        <f>IF(Stock!BC7="","",Stock!BC7)</f>
        <v/>
      </c>
    </row>
    <row r="12" spans="1:253" ht="14.25" customHeight="1" x14ac:dyDescent="0.3">
      <c r="A12" s="15">
        <f>IF('MV Repo'!A8="","",IF(E12="",A11,A11+1))</f>
        <v>4</v>
      </c>
      <c r="B12" s="31" t="str">
        <f>IF(A12="","",IF('MV Repo'!A8=0,"B " &amp; TEXT('MV Repo'!B8,"mm/jj/aa"),"T " &amp; 'MV Repo'!A8 &amp; " " &amp; TEXT('MV Repo'!B8,"mm/aa")))</f>
        <v>T 0.5 05/13</v>
      </c>
      <c r="C12" s="30" t="str">
        <f>IF('Stock UST'!C8="","",'Stock UST'!C8)</f>
        <v>UST2013050.5</v>
      </c>
      <c r="D12" s="30" t="str">
        <f>IF('Stock UST'!D8="","",'Stock UST'!D8)</f>
        <v>US912828QZ64</v>
      </c>
      <c r="E12" s="13">
        <f>IF(Stock!B8="","",Stock!B8)</f>
        <v>456000</v>
      </c>
      <c r="F12" s="13">
        <f ca="1">IF(Stock!C8="","",Stock!C8)</f>
        <v>456000</v>
      </c>
      <c r="G12" s="13">
        <f ca="1">IF(Stock!D8="","",Stock!D8)</f>
        <v>456000</v>
      </c>
      <c r="H12" s="13">
        <f ca="1">IF(Stock!E8="","",Stock!E8)</f>
        <v>456000</v>
      </c>
      <c r="I12" s="13">
        <f ca="1">IF(Stock!F8="","",Stock!F8)</f>
        <v>456000</v>
      </c>
      <c r="J12" s="13">
        <f ca="1">IF(Stock!G8="","",Stock!G8)</f>
        <v>456000</v>
      </c>
      <c r="K12" s="13">
        <f ca="1">IF(Stock!H8="","",Stock!H8)</f>
        <v>456000</v>
      </c>
      <c r="L12" s="13">
        <f ca="1">IF(Stock!I8="","",Stock!I8)</f>
        <v>456000</v>
      </c>
      <c r="M12" s="13">
        <f ca="1">IF(Stock!J8="","",Stock!J8)</f>
        <v>456000</v>
      </c>
      <c r="N12" s="13">
        <f ca="1">IF(Stock!K8="","",Stock!K8)</f>
        <v>456000</v>
      </c>
      <c r="O12" s="13">
        <f ca="1">IF(Stock!L8="","",Stock!L8)</f>
        <v>456000</v>
      </c>
      <c r="P12" s="13">
        <f ca="1">IF(Stock!M8="","",Stock!M8)</f>
        <v>456000</v>
      </c>
      <c r="Q12" s="13">
        <f ca="1">IF(Stock!N8="","",Stock!N8)</f>
        <v>456000</v>
      </c>
      <c r="R12" s="13">
        <f ca="1">IF(Stock!O8="","",Stock!O8)</f>
        <v>456000</v>
      </c>
      <c r="S12" s="13">
        <f ca="1">IF(Stock!P8="","",Stock!P8)</f>
        <v>456000</v>
      </c>
      <c r="T12" s="13">
        <f ca="1">IF(Stock!Q8="","",Stock!Q8)</f>
        <v>456000</v>
      </c>
      <c r="U12" s="13">
        <f ca="1">IF(Stock!R8="","",Stock!R8)</f>
        <v>456000</v>
      </c>
      <c r="V12" s="13">
        <f ca="1">IF(Stock!S8="","",Stock!S8)</f>
        <v>456000</v>
      </c>
      <c r="W12" s="13">
        <f ca="1">IF(Stock!T8="","",Stock!T8)</f>
        <v>456000</v>
      </c>
      <c r="X12" s="13">
        <f ca="1">IF(Stock!U8="","",Stock!U8)</f>
        <v>456000</v>
      </c>
      <c r="Y12" s="13">
        <f ca="1">IF(Stock!V8="","",Stock!V8)</f>
        <v>456000</v>
      </c>
      <c r="Z12" s="13">
        <f ca="1">IF(Stock!W8="","",Stock!W8)</f>
        <v>456000</v>
      </c>
      <c r="AA12" s="13">
        <f ca="1">IF(Stock!X8="","",Stock!X8)</f>
        <v>456000</v>
      </c>
      <c r="AB12" s="13">
        <f ca="1">IF(Stock!Y8="","",Stock!Y8)</f>
        <v>456000</v>
      </c>
      <c r="AC12" s="13">
        <f ca="1">IF(Stock!Z8="","",Stock!Z8)</f>
        <v>456000</v>
      </c>
      <c r="AD12" s="13">
        <f ca="1">IF(Stock!AA8="","",Stock!AA8)</f>
        <v>456000</v>
      </c>
      <c r="AE12" s="13">
        <f ca="1">IF(Stock!AB8="","",Stock!AB8)</f>
        <v>456000</v>
      </c>
      <c r="AF12" s="13">
        <f ca="1">IF(Stock!AC8="","",Stock!AC8)</f>
        <v>456000</v>
      </c>
      <c r="AG12" s="13">
        <f ca="1">IF(Stock!AD8="","",Stock!AD8)</f>
        <v>456000</v>
      </c>
      <c r="AH12" s="13">
        <f ca="1">IF(Stock!AE8="","",Stock!AE8)</f>
        <v>456000</v>
      </c>
      <c r="AI12" s="13">
        <f ca="1">IF(Stock!AF8="","",Stock!AF8)</f>
        <v>456000</v>
      </c>
      <c r="AJ12" s="13">
        <f ca="1">IF(Stock!AG8="","",Stock!AG8)</f>
        <v>456000</v>
      </c>
      <c r="AK12" s="13">
        <f ca="1">IF(Stock!AH8="","",Stock!AH8)</f>
        <v>456000</v>
      </c>
      <c r="AL12" s="13">
        <f ca="1">IF(Stock!AI8="","",Stock!AI8)</f>
        <v>456000</v>
      </c>
      <c r="AM12" s="13">
        <f ca="1">IF(Stock!AJ8="","",Stock!AJ8)</f>
        <v>456000</v>
      </c>
      <c r="AN12" s="13">
        <f ca="1">IF(Stock!AK8="","",Stock!AK8)</f>
        <v>456000</v>
      </c>
      <c r="AO12" s="13">
        <f ca="1">IF(Stock!AL8="","",Stock!AL8)</f>
        <v>456000</v>
      </c>
      <c r="AP12" s="13">
        <f ca="1">IF(Stock!AM8="","",Stock!AM8)</f>
        <v>456000</v>
      </c>
      <c r="AQ12" s="13">
        <f ca="1">IF(Stock!AN8="","",Stock!AN8)</f>
        <v>456000</v>
      </c>
      <c r="AR12" s="13">
        <f ca="1">IF(Stock!AO8="","",Stock!AO8)</f>
        <v>456000</v>
      </c>
      <c r="AS12" s="13">
        <f ca="1">IF(Stock!AP8="","",Stock!AP8)</f>
        <v>456000</v>
      </c>
      <c r="AT12" s="13">
        <f ca="1">IF(Stock!AQ8="","",Stock!AQ8)</f>
        <v>456000</v>
      </c>
      <c r="AU12" s="13">
        <f ca="1">IF(Stock!AR8="","",Stock!AR8)</f>
        <v>456000</v>
      </c>
      <c r="AV12" s="13">
        <f ca="1">IF(Stock!AS8="","",Stock!AS8)</f>
        <v>456000</v>
      </c>
      <c r="AW12" s="13">
        <f ca="1">IF(Stock!AT8="","",Stock!AT8)</f>
        <v>456000</v>
      </c>
      <c r="AX12" s="13">
        <f ca="1">IF(Stock!AU8="","",Stock!AU8)</f>
        <v>456000</v>
      </c>
      <c r="AY12" s="13">
        <f ca="1">IF(Stock!AV8="","",Stock!AV8)</f>
        <v>456000</v>
      </c>
      <c r="AZ12" s="13">
        <f ca="1">IF(Stock!AW8="","",Stock!AW8)</f>
        <v>456000</v>
      </c>
      <c r="BA12" s="13">
        <f ca="1">IF(Stock!AX8="","",Stock!AX8)</f>
        <v>456000</v>
      </c>
      <c r="BB12" s="13" t="str">
        <f>IF(Stock!AY8="","",Stock!AY8)</f>
        <v/>
      </c>
      <c r="BC12" s="13" t="str">
        <f>IF(Stock!AZ8="","",Stock!AZ8)</f>
        <v/>
      </c>
      <c r="BD12" s="13" t="str">
        <f>IF(Stock!BA8="","",Stock!BA8)</f>
        <v/>
      </c>
      <c r="BE12" s="13" t="str">
        <f>IF(Stock!BB8="","",Stock!BB8)</f>
        <v/>
      </c>
      <c r="BF12" s="13" t="str">
        <f>IF(Stock!BC8="","",Stock!BC8)</f>
        <v/>
      </c>
    </row>
    <row r="13" spans="1:253" ht="14.25" customHeight="1" x14ac:dyDescent="0.3">
      <c r="A13" s="15">
        <f>IF('MV Repo'!A9="","",IF(E13="",A12,A12+1))</f>
        <v>4</v>
      </c>
      <c r="B13" s="31" t="str">
        <f>IF(A13="","",IF('MV Repo'!A9=0,"B " &amp; TEXT('MV Repo'!B9,"mm/jj/aa"),"T " &amp; 'MV Repo'!A9 &amp; " " &amp; TEXT('MV Repo'!B9,"mm/aa")))</f>
        <v>T 1.125 06/13</v>
      </c>
      <c r="C13" s="30" t="str">
        <f>IF('Stock UST'!C9="","",'Stock UST'!C9)</f>
        <v>UST2013061.125</v>
      </c>
      <c r="D13" s="30" t="str">
        <f>IF('Stock UST'!D9="","",'Stock UST'!D9)</f>
        <v>US912828NH93</v>
      </c>
      <c r="E13" s="13" t="str">
        <f>IF(Stock!B9="","",Stock!B9)</f>
        <v/>
      </c>
      <c r="F13" s="13" t="str">
        <f ca="1">IF(Stock!C9="","",Stock!C9)</f>
        <v/>
      </c>
      <c r="G13" s="13" t="str">
        <f ca="1">IF(Stock!D9="","",Stock!D9)</f>
        <v/>
      </c>
      <c r="H13" s="13" t="str">
        <f ca="1">IF(Stock!E9="","",Stock!E9)</f>
        <v/>
      </c>
      <c r="I13" s="13" t="str">
        <f ca="1">IF(Stock!F9="","",Stock!F9)</f>
        <v/>
      </c>
      <c r="J13" s="13" t="str">
        <f ca="1">IF(Stock!G9="","",Stock!G9)</f>
        <v/>
      </c>
      <c r="K13" s="13" t="str">
        <f ca="1">IF(Stock!H9="","",Stock!H9)</f>
        <v/>
      </c>
      <c r="L13" s="13" t="str">
        <f ca="1">IF(Stock!I9="","",Stock!I9)</f>
        <v/>
      </c>
      <c r="M13" s="13" t="str">
        <f ca="1">IF(Stock!J9="","",Stock!J9)</f>
        <v/>
      </c>
      <c r="N13" s="13" t="str">
        <f ca="1">IF(Stock!K9="","",Stock!K9)</f>
        <v/>
      </c>
      <c r="O13" s="13" t="str">
        <f ca="1">IF(Stock!L9="","",Stock!L9)</f>
        <v/>
      </c>
      <c r="P13" s="13" t="str">
        <f ca="1">IF(Stock!M9="","",Stock!M9)</f>
        <v/>
      </c>
      <c r="Q13" s="13" t="str">
        <f ca="1">IF(Stock!N9="","",Stock!N9)</f>
        <v/>
      </c>
      <c r="R13" s="13" t="str">
        <f ca="1">IF(Stock!O9="","",Stock!O9)</f>
        <v/>
      </c>
      <c r="S13" s="13" t="str">
        <f ca="1">IF(Stock!P9="","",Stock!P9)</f>
        <v/>
      </c>
      <c r="T13" s="13" t="str">
        <f ca="1">IF(Stock!Q9="","",Stock!Q9)</f>
        <v/>
      </c>
      <c r="U13" s="13" t="str">
        <f ca="1">IF(Stock!R9="","",Stock!R9)</f>
        <v/>
      </c>
      <c r="V13" s="13" t="str">
        <f ca="1">IF(Stock!S9="","",Stock!S9)</f>
        <v/>
      </c>
      <c r="W13" s="13" t="str">
        <f ca="1">IF(Stock!T9="","",Stock!T9)</f>
        <v/>
      </c>
      <c r="X13" s="13" t="str">
        <f ca="1">IF(Stock!U9="","",Stock!U9)</f>
        <v/>
      </c>
      <c r="Y13" s="13" t="str">
        <f ca="1">IF(Stock!V9="","",Stock!V9)</f>
        <v/>
      </c>
      <c r="Z13" s="13" t="str">
        <f ca="1">IF(Stock!W9="","",Stock!W9)</f>
        <v/>
      </c>
      <c r="AA13" s="13" t="str">
        <f ca="1">IF(Stock!X9="","",Stock!X9)</f>
        <v/>
      </c>
      <c r="AB13" s="13" t="str">
        <f ca="1">IF(Stock!Y9="","",Stock!Y9)</f>
        <v/>
      </c>
      <c r="AC13" s="13" t="str">
        <f ca="1">IF(Stock!Z9="","",Stock!Z9)</f>
        <v/>
      </c>
      <c r="AD13" s="13" t="str">
        <f ca="1">IF(Stock!AA9="","",Stock!AA9)</f>
        <v/>
      </c>
      <c r="AE13" s="13" t="str">
        <f ca="1">IF(Stock!AB9="","",Stock!AB9)</f>
        <v/>
      </c>
      <c r="AF13" s="13" t="str">
        <f ca="1">IF(Stock!AC9="","",Stock!AC9)</f>
        <v/>
      </c>
      <c r="AG13" s="13" t="str">
        <f ca="1">IF(Stock!AD9="","",Stock!AD9)</f>
        <v/>
      </c>
      <c r="AH13" s="13" t="str">
        <f ca="1">IF(Stock!AE9="","",Stock!AE9)</f>
        <v/>
      </c>
      <c r="AI13" s="13" t="str">
        <f ca="1">IF(Stock!AF9="","",Stock!AF9)</f>
        <v/>
      </c>
      <c r="AJ13" s="13" t="str">
        <f ca="1">IF(Stock!AG9="","",Stock!AG9)</f>
        <v/>
      </c>
      <c r="AK13" s="13" t="str">
        <f ca="1">IF(Stock!AH9="","",Stock!AH9)</f>
        <v/>
      </c>
      <c r="AL13" s="13" t="str">
        <f ca="1">IF(Stock!AI9="","",Stock!AI9)</f>
        <v/>
      </c>
      <c r="AM13" s="13" t="str">
        <f ca="1">IF(Stock!AJ9="","",Stock!AJ9)</f>
        <v/>
      </c>
      <c r="AN13" s="13" t="str">
        <f ca="1">IF(Stock!AK9="","",Stock!AK9)</f>
        <v/>
      </c>
      <c r="AO13" s="13" t="str">
        <f ca="1">IF(Stock!AL9="","",Stock!AL9)</f>
        <v/>
      </c>
      <c r="AP13" s="13" t="str">
        <f ca="1">IF(Stock!AM9="","",Stock!AM9)</f>
        <v/>
      </c>
      <c r="AQ13" s="13" t="str">
        <f ca="1">IF(Stock!AN9="","",Stock!AN9)</f>
        <v/>
      </c>
      <c r="AR13" s="13" t="str">
        <f ca="1">IF(Stock!AO9="","",Stock!AO9)</f>
        <v/>
      </c>
      <c r="AS13" s="13" t="str">
        <f ca="1">IF(Stock!AP9="","",Stock!AP9)</f>
        <v/>
      </c>
      <c r="AT13" s="13" t="str">
        <f ca="1">IF(Stock!AQ9="","",Stock!AQ9)</f>
        <v/>
      </c>
      <c r="AU13" s="13" t="str">
        <f ca="1">IF(Stock!AR9="","",Stock!AR9)</f>
        <v/>
      </c>
      <c r="AV13" s="13" t="str">
        <f ca="1">IF(Stock!AS9="","",Stock!AS9)</f>
        <v/>
      </c>
      <c r="AW13" s="13" t="str">
        <f ca="1">IF(Stock!AT9="","",Stock!AT9)</f>
        <v/>
      </c>
      <c r="AX13" s="13" t="str">
        <f ca="1">IF(Stock!AU9="","",Stock!AU9)</f>
        <v/>
      </c>
      <c r="AY13" s="13" t="str">
        <f ca="1">IF(Stock!AV9="","",Stock!AV9)</f>
        <v/>
      </c>
      <c r="AZ13" s="13" t="str">
        <f ca="1">IF(Stock!AW9="","",Stock!AW9)</f>
        <v/>
      </c>
      <c r="BA13" s="13" t="str">
        <f ca="1">IF(Stock!AX9="","",Stock!AX9)</f>
        <v/>
      </c>
      <c r="BB13" s="13" t="str">
        <f>IF(Stock!AY9="","",Stock!AY9)</f>
        <v/>
      </c>
      <c r="BC13" s="13" t="str">
        <f>IF(Stock!AZ9="","",Stock!AZ9)</f>
        <v/>
      </c>
      <c r="BD13" s="13" t="str">
        <f>IF(Stock!BA9="","",Stock!BA9)</f>
        <v/>
      </c>
      <c r="BE13" s="13" t="str">
        <f>IF(Stock!BB9="","",Stock!BB9)</f>
        <v/>
      </c>
      <c r="BF13" s="13" t="str">
        <f>IF(Stock!BC9="","",Stock!BC9)</f>
        <v/>
      </c>
    </row>
    <row r="14" spans="1:253" ht="14.25" customHeight="1" x14ac:dyDescent="0.3">
      <c r="A14" s="15">
        <f>IF('MV Repo'!A10="","",IF(E14="",A13,A13+1))</f>
        <v>5</v>
      </c>
      <c r="B14" s="31" t="str">
        <f>IF(A14="","",IF('MV Repo'!A10=0,"B " &amp; TEXT('MV Repo'!B10,"mm/jj/aa"),"T " &amp; 'MV Repo'!A10 &amp; " " &amp; TEXT('MV Repo'!B10,"mm/aa")))</f>
        <v>B 06/27/13</v>
      </c>
      <c r="C14" s="30" t="str">
        <f>IF('Stock UST'!C10="","",'Stock UST'!C10)</f>
        <v>USB20130627</v>
      </c>
      <c r="D14" s="30" t="str">
        <f>IF('Stock UST'!D10="","",'Stock UST'!D10)</f>
        <v>US9127956W63</v>
      </c>
      <c r="E14" s="13">
        <f>IF(Stock!B10="","",Stock!B10)</f>
        <v>194000</v>
      </c>
      <c r="F14" s="13">
        <f ca="1">IF(Stock!C10="","",Stock!C10)</f>
        <v>194000</v>
      </c>
      <c r="G14" s="13">
        <f ca="1">IF(Stock!D10="","",Stock!D10)</f>
        <v>194000</v>
      </c>
      <c r="H14" s="13">
        <f ca="1">IF(Stock!E10="","",Stock!E10)</f>
        <v>194000</v>
      </c>
      <c r="I14" s="13">
        <f ca="1">IF(Stock!F10="","",Stock!F10)</f>
        <v>194000</v>
      </c>
      <c r="J14" s="13">
        <f ca="1">IF(Stock!G10="","",Stock!G10)</f>
        <v>194000</v>
      </c>
      <c r="K14" s="13">
        <f ca="1">IF(Stock!H10="","",Stock!H10)</f>
        <v>194000</v>
      </c>
      <c r="L14" s="13">
        <f ca="1">IF(Stock!I10="","",Stock!I10)</f>
        <v>194000</v>
      </c>
      <c r="M14" s="13">
        <f ca="1">IF(Stock!J10="","",Stock!J10)</f>
        <v>194000</v>
      </c>
      <c r="N14" s="13">
        <f ca="1">IF(Stock!K10="","",Stock!K10)</f>
        <v>194000</v>
      </c>
      <c r="O14" s="13">
        <f ca="1">IF(Stock!L10="","",Stock!L10)</f>
        <v>194000</v>
      </c>
      <c r="P14" s="13">
        <f ca="1">IF(Stock!M10="","",Stock!M10)</f>
        <v>194000</v>
      </c>
      <c r="Q14" s="13">
        <f ca="1">IF(Stock!N10="","",Stock!N10)</f>
        <v>194000</v>
      </c>
      <c r="R14" s="13">
        <f ca="1">IF(Stock!O10="","",Stock!O10)</f>
        <v>194000</v>
      </c>
      <c r="S14" s="13">
        <f ca="1">IF(Stock!P10="","",Stock!P10)</f>
        <v>194000</v>
      </c>
      <c r="T14" s="13">
        <f ca="1">IF(Stock!Q10="","",Stock!Q10)</f>
        <v>194000</v>
      </c>
      <c r="U14" s="13">
        <f ca="1">IF(Stock!R10="","",Stock!R10)</f>
        <v>194000</v>
      </c>
      <c r="V14" s="13">
        <f ca="1">IF(Stock!S10="","",Stock!S10)</f>
        <v>194000</v>
      </c>
      <c r="W14" s="13">
        <f ca="1">IF(Stock!T10="","",Stock!T10)</f>
        <v>194000</v>
      </c>
      <c r="X14" s="13">
        <f ca="1">IF(Stock!U10="","",Stock!U10)</f>
        <v>194000</v>
      </c>
      <c r="Y14" s="13">
        <f ca="1">IF(Stock!V10="","",Stock!V10)</f>
        <v>194000</v>
      </c>
      <c r="Z14" s="13">
        <f ca="1">IF(Stock!W10="","",Stock!W10)</f>
        <v>194000</v>
      </c>
      <c r="AA14" s="13">
        <f ca="1">IF(Stock!X10="","",Stock!X10)</f>
        <v>194000</v>
      </c>
      <c r="AB14" s="13">
        <f ca="1">IF(Stock!Y10="","",Stock!Y10)</f>
        <v>194000</v>
      </c>
      <c r="AC14" s="13">
        <f ca="1">IF(Stock!Z10="","",Stock!Z10)</f>
        <v>194000</v>
      </c>
      <c r="AD14" s="13">
        <f ca="1">IF(Stock!AA10="","",Stock!AA10)</f>
        <v>194000</v>
      </c>
      <c r="AE14" s="13">
        <f ca="1">IF(Stock!AB10="","",Stock!AB10)</f>
        <v>194000</v>
      </c>
      <c r="AF14" s="13">
        <f ca="1">IF(Stock!AC10="","",Stock!AC10)</f>
        <v>194000</v>
      </c>
      <c r="AG14" s="13">
        <f ca="1">IF(Stock!AD10="","",Stock!AD10)</f>
        <v>194000</v>
      </c>
      <c r="AH14" s="13">
        <f ca="1">IF(Stock!AE10="","",Stock!AE10)</f>
        <v>194000</v>
      </c>
      <c r="AI14" s="13">
        <f ca="1">IF(Stock!AF10="","",Stock!AF10)</f>
        <v>194000</v>
      </c>
      <c r="AJ14" s="13">
        <f ca="1">IF(Stock!AG10="","",Stock!AG10)</f>
        <v>194000</v>
      </c>
      <c r="AK14" s="13">
        <f ca="1">IF(Stock!AH10="","",Stock!AH10)</f>
        <v>194000</v>
      </c>
      <c r="AL14" s="13">
        <f ca="1">IF(Stock!AI10="","",Stock!AI10)</f>
        <v>194000</v>
      </c>
      <c r="AM14" s="13">
        <f ca="1">IF(Stock!AJ10="","",Stock!AJ10)</f>
        <v>194000</v>
      </c>
      <c r="AN14" s="13">
        <f ca="1">IF(Stock!AK10="","",Stock!AK10)</f>
        <v>194000</v>
      </c>
      <c r="AO14" s="13">
        <f ca="1">IF(Stock!AL10="","",Stock!AL10)</f>
        <v>194000</v>
      </c>
      <c r="AP14" s="13">
        <f ca="1">IF(Stock!AM10="","",Stock!AM10)</f>
        <v>194000</v>
      </c>
      <c r="AQ14" s="13">
        <f ca="1">IF(Stock!AN10="","",Stock!AN10)</f>
        <v>194000</v>
      </c>
      <c r="AR14" s="13">
        <f ca="1">IF(Stock!AO10="","",Stock!AO10)</f>
        <v>194000</v>
      </c>
      <c r="AS14" s="13">
        <f ca="1">IF(Stock!AP10="","",Stock!AP10)</f>
        <v>194000</v>
      </c>
      <c r="AT14" s="13">
        <f ca="1">IF(Stock!AQ10="","",Stock!AQ10)</f>
        <v>194000</v>
      </c>
      <c r="AU14" s="13">
        <f ca="1">IF(Stock!AR10="","",Stock!AR10)</f>
        <v>194000</v>
      </c>
      <c r="AV14" s="13">
        <f ca="1">IF(Stock!AS10="","",Stock!AS10)</f>
        <v>194000</v>
      </c>
      <c r="AW14" s="13">
        <f ca="1">IF(Stock!AT10="","",Stock!AT10)</f>
        <v>194000</v>
      </c>
      <c r="AX14" s="13">
        <f ca="1">IF(Stock!AU10="","",Stock!AU10)</f>
        <v>194000</v>
      </c>
      <c r="AY14" s="13">
        <f ca="1">IF(Stock!AV10="","",Stock!AV10)</f>
        <v>194000</v>
      </c>
      <c r="AZ14" s="13">
        <f ca="1">IF(Stock!AW10="","",Stock!AW10)</f>
        <v>194000</v>
      </c>
      <c r="BA14" s="13">
        <f ca="1">IF(Stock!AX10="","",Stock!AX10)</f>
        <v>194000</v>
      </c>
      <c r="BB14" s="13" t="str">
        <f>IF(Stock!AY10="","",Stock!AY10)</f>
        <v/>
      </c>
      <c r="BC14" s="13" t="str">
        <f>IF(Stock!AZ10="","",Stock!AZ10)</f>
        <v/>
      </c>
      <c r="BD14" s="13" t="str">
        <f>IF(Stock!BA10="","",Stock!BA10)</f>
        <v/>
      </c>
      <c r="BE14" s="13" t="str">
        <f>IF(Stock!BB10="","",Stock!BB10)</f>
        <v/>
      </c>
      <c r="BF14" s="13" t="str">
        <f>IF(Stock!BC10="","",Stock!BC10)</f>
        <v/>
      </c>
    </row>
    <row r="15" spans="1:253" ht="14.25" customHeight="1" x14ac:dyDescent="0.3">
      <c r="A15" s="15">
        <f>IF('MV Repo'!A11="","",IF(E15="",A14,A14+1))</f>
        <v>5</v>
      </c>
      <c r="B15" s="31" t="str">
        <f>IF(A15="","",IF('MV Repo'!A11=0,"B " &amp; TEXT('MV Repo'!B11,"mm/jj/aa"),"T " &amp; 'MV Repo'!A11 &amp; " " &amp; TEXT('MV Repo'!B11,"mm/aa")))</f>
        <v>T 0.375 07/13</v>
      </c>
      <c r="C15" s="30" t="str">
        <f>IF('Stock UST'!C11="","",'Stock UST'!C11)</f>
        <v>UST2013070.375</v>
      </c>
      <c r="D15" s="30" t="str">
        <f>IF('Stock UST'!D11="","",'Stock UST'!D11)</f>
        <v>US912828QW34</v>
      </c>
      <c r="E15" s="13" t="str">
        <f>IF(Stock!B11="","",Stock!B11)</f>
        <v/>
      </c>
      <c r="F15" s="13" t="str">
        <f ca="1">IF(Stock!C11="","",Stock!C11)</f>
        <v/>
      </c>
      <c r="G15" s="13" t="str">
        <f ca="1">IF(Stock!D11="","",Stock!D11)</f>
        <v/>
      </c>
      <c r="H15" s="13" t="str">
        <f ca="1">IF(Stock!E11="","",Stock!E11)</f>
        <v/>
      </c>
      <c r="I15" s="13" t="str">
        <f ca="1">IF(Stock!F11="","",Stock!F11)</f>
        <v/>
      </c>
      <c r="J15" s="13" t="str">
        <f ca="1">IF(Stock!G11="","",Stock!G11)</f>
        <v/>
      </c>
      <c r="K15" s="13" t="str">
        <f ca="1">IF(Stock!H11="","",Stock!H11)</f>
        <v/>
      </c>
      <c r="L15" s="13" t="str">
        <f ca="1">IF(Stock!I11="","",Stock!I11)</f>
        <v/>
      </c>
      <c r="M15" s="13" t="str">
        <f ca="1">IF(Stock!J11="","",Stock!J11)</f>
        <v/>
      </c>
      <c r="N15" s="13" t="str">
        <f ca="1">IF(Stock!K11="","",Stock!K11)</f>
        <v/>
      </c>
      <c r="O15" s="13" t="str">
        <f ca="1">IF(Stock!L11="","",Stock!L11)</f>
        <v/>
      </c>
      <c r="P15" s="13" t="str">
        <f ca="1">IF(Stock!M11="","",Stock!M11)</f>
        <v/>
      </c>
      <c r="Q15" s="13" t="str">
        <f ca="1">IF(Stock!N11="","",Stock!N11)</f>
        <v/>
      </c>
      <c r="R15" s="13" t="str">
        <f ca="1">IF(Stock!O11="","",Stock!O11)</f>
        <v/>
      </c>
      <c r="S15" s="13" t="str">
        <f ca="1">IF(Stock!P11="","",Stock!P11)</f>
        <v/>
      </c>
      <c r="T15" s="13" t="str">
        <f ca="1">IF(Stock!Q11="","",Stock!Q11)</f>
        <v/>
      </c>
      <c r="U15" s="13" t="str">
        <f ca="1">IF(Stock!R11="","",Stock!R11)</f>
        <v/>
      </c>
      <c r="V15" s="13" t="str">
        <f ca="1">IF(Stock!S11="","",Stock!S11)</f>
        <v/>
      </c>
      <c r="W15" s="13" t="str">
        <f ca="1">IF(Stock!T11="","",Stock!T11)</f>
        <v/>
      </c>
      <c r="X15" s="13" t="str">
        <f ca="1">IF(Stock!U11="","",Stock!U11)</f>
        <v/>
      </c>
      <c r="Y15" s="13" t="str">
        <f ca="1">IF(Stock!V11="","",Stock!V11)</f>
        <v/>
      </c>
      <c r="Z15" s="13" t="str">
        <f ca="1">IF(Stock!W11="","",Stock!W11)</f>
        <v/>
      </c>
      <c r="AA15" s="13" t="str">
        <f ca="1">IF(Stock!X11="","",Stock!X11)</f>
        <v/>
      </c>
      <c r="AB15" s="13" t="str">
        <f ca="1">IF(Stock!Y11="","",Stock!Y11)</f>
        <v/>
      </c>
      <c r="AC15" s="13" t="str">
        <f ca="1">IF(Stock!Z11="","",Stock!Z11)</f>
        <v/>
      </c>
      <c r="AD15" s="13" t="str">
        <f ca="1">IF(Stock!AA11="","",Stock!AA11)</f>
        <v/>
      </c>
      <c r="AE15" s="13" t="str">
        <f ca="1">IF(Stock!AB11="","",Stock!AB11)</f>
        <v/>
      </c>
      <c r="AF15" s="13" t="str">
        <f ca="1">IF(Stock!AC11="","",Stock!AC11)</f>
        <v/>
      </c>
      <c r="AG15" s="13" t="str">
        <f ca="1">IF(Stock!AD11="","",Stock!AD11)</f>
        <v/>
      </c>
      <c r="AH15" s="13" t="str">
        <f ca="1">IF(Stock!AE11="","",Stock!AE11)</f>
        <v/>
      </c>
      <c r="AI15" s="13" t="str">
        <f ca="1">IF(Stock!AF11="","",Stock!AF11)</f>
        <v/>
      </c>
      <c r="AJ15" s="13" t="str">
        <f ca="1">IF(Stock!AG11="","",Stock!AG11)</f>
        <v/>
      </c>
      <c r="AK15" s="13" t="str">
        <f ca="1">IF(Stock!AH11="","",Stock!AH11)</f>
        <v/>
      </c>
      <c r="AL15" s="13" t="str">
        <f ca="1">IF(Stock!AI11="","",Stock!AI11)</f>
        <v/>
      </c>
      <c r="AM15" s="13" t="str">
        <f ca="1">IF(Stock!AJ11="","",Stock!AJ11)</f>
        <v/>
      </c>
      <c r="AN15" s="13" t="str">
        <f ca="1">IF(Stock!AK11="","",Stock!AK11)</f>
        <v/>
      </c>
      <c r="AO15" s="13" t="str">
        <f ca="1">IF(Stock!AL11="","",Stock!AL11)</f>
        <v/>
      </c>
      <c r="AP15" s="13" t="str">
        <f ca="1">IF(Stock!AM11="","",Stock!AM11)</f>
        <v/>
      </c>
      <c r="AQ15" s="13" t="str">
        <f ca="1">IF(Stock!AN11="","",Stock!AN11)</f>
        <v/>
      </c>
      <c r="AR15" s="13" t="str">
        <f ca="1">IF(Stock!AO11="","",Stock!AO11)</f>
        <v/>
      </c>
      <c r="AS15" s="13" t="str">
        <f ca="1">IF(Stock!AP11="","",Stock!AP11)</f>
        <v/>
      </c>
      <c r="AT15" s="13" t="str">
        <f ca="1">IF(Stock!AQ11="","",Stock!AQ11)</f>
        <v/>
      </c>
      <c r="AU15" s="13" t="str">
        <f ca="1">IF(Stock!AR11="","",Stock!AR11)</f>
        <v/>
      </c>
      <c r="AV15" s="13" t="str">
        <f ca="1">IF(Stock!AS11="","",Stock!AS11)</f>
        <v/>
      </c>
      <c r="AW15" s="13" t="str">
        <f ca="1">IF(Stock!AT11="","",Stock!AT11)</f>
        <v/>
      </c>
      <c r="AX15" s="13" t="str">
        <f ca="1">IF(Stock!AU11="","",Stock!AU11)</f>
        <v/>
      </c>
      <c r="AY15" s="13" t="str">
        <f ca="1">IF(Stock!AV11="","",Stock!AV11)</f>
        <v/>
      </c>
      <c r="AZ15" s="13" t="str">
        <f ca="1">IF(Stock!AW11="","",Stock!AW11)</f>
        <v/>
      </c>
      <c r="BA15" s="13" t="str">
        <f ca="1">IF(Stock!AX11="","",Stock!AX11)</f>
        <v/>
      </c>
      <c r="BB15" s="13" t="str">
        <f>IF(Stock!AY11="","",Stock!AY11)</f>
        <v/>
      </c>
      <c r="BC15" s="13" t="str">
        <f>IF(Stock!AZ11="","",Stock!AZ11)</f>
        <v/>
      </c>
      <c r="BD15" s="13" t="str">
        <f>IF(Stock!BA11="","",Stock!BA11)</f>
        <v/>
      </c>
      <c r="BE15" s="13" t="str">
        <f>IF(Stock!BB11="","",Stock!BB11)</f>
        <v/>
      </c>
      <c r="BF15" s="13" t="str">
        <f>IF(Stock!BC11="","",Stock!BC11)</f>
        <v/>
      </c>
    </row>
    <row r="16" spans="1:253" ht="14.25" customHeight="1" x14ac:dyDescent="0.3">
      <c r="A16" s="15">
        <f>IF('MV Repo'!A12="","",IF(E16="",A15,A15+1))</f>
        <v>6</v>
      </c>
      <c r="B16" s="31" t="str">
        <f>IF(A16="","",IF('MV Repo'!A12=0,"B " &amp; TEXT('MV Repo'!B12,"mm/jj/aa"),"T " &amp; 'MV Repo'!A12 &amp; " " &amp; TEXT('MV Repo'!B12,"mm/aa")))</f>
        <v>T 0.125 09/13</v>
      </c>
      <c r="C16" s="30" t="str">
        <f>IF('Stock UST'!C12="","",'Stock UST'!C12)</f>
        <v>UST2013090.125</v>
      </c>
      <c r="D16" s="30" t="str">
        <f>IF('Stock UST'!D12="","",'Stock UST'!D12)</f>
        <v>US912828RK86</v>
      </c>
      <c r="E16" s="13">
        <f>IF(Stock!B12="","",Stock!B12)</f>
        <v>505000</v>
      </c>
      <c r="F16" s="13">
        <f ca="1">IF(Stock!C12="","",Stock!C12)</f>
        <v>505000</v>
      </c>
      <c r="G16" s="13">
        <f ca="1">IF(Stock!D12="","",Stock!D12)</f>
        <v>505000</v>
      </c>
      <c r="H16" s="13">
        <f ca="1">IF(Stock!E12="","",Stock!E12)</f>
        <v>505000</v>
      </c>
      <c r="I16" s="13">
        <f ca="1">IF(Stock!F12="","",Stock!F12)</f>
        <v>505000</v>
      </c>
      <c r="J16" s="13">
        <f ca="1">IF(Stock!G12="","",Stock!G12)</f>
        <v>505000</v>
      </c>
      <c r="K16" s="13">
        <f ca="1">IF(Stock!H12="","",Stock!H12)</f>
        <v>505000</v>
      </c>
      <c r="L16" s="13">
        <f ca="1">IF(Stock!I12="","",Stock!I12)</f>
        <v>505000</v>
      </c>
      <c r="M16" s="13">
        <f ca="1">IF(Stock!J12="","",Stock!J12)</f>
        <v>505000</v>
      </c>
      <c r="N16" s="13">
        <f ca="1">IF(Stock!K12="","",Stock!K12)</f>
        <v>505000</v>
      </c>
      <c r="O16" s="13">
        <f ca="1">IF(Stock!L12="","",Stock!L12)</f>
        <v>505000</v>
      </c>
      <c r="P16" s="13">
        <f ca="1">IF(Stock!M12="","",Stock!M12)</f>
        <v>505000</v>
      </c>
      <c r="Q16" s="13">
        <f ca="1">IF(Stock!N12="","",Stock!N12)</f>
        <v>505000</v>
      </c>
      <c r="R16" s="13">
        <f ca="1">IF(Stock!O12="","",Stock!O12)</f>
        <v>505000</v>
      </c>
      <c r="S16" s="13">
        <f ca="1">IF(Stock!P12="","",Stock!P12)</f>
        <v>505000</v>
      </c>
      <c r="T16" s="13">
        <f ca="1">IF(Stock!Q12="","",Stock!Q12)</f>
        <v>505000</v>
      </c>
      <c r="U16" s="13">
        <f ca="1">IF(Stock!R12="","",Stock!R12)</f>
        <v>505000</v>
      </c>
      <c r="V16" s="13">
        <f ca="1">IF(Stock!S12="","",Stock!S12)</f>
        <v>505000</v>
      </c>
      <c r="W16" s="13">
        <f ca="1">IF(Stock!T12="","",Stock!T12)</f>
        <v>505000</v>
      </c>
      <c r="X16" s="13">
        <f ca="1">IF(Stock!U12="","",Stock!U12)</f>
        <v>505000</v>
      </c>
      <c r="Y16" s="13">
        <f ca="1">IF(Stock!V12="","",Stock!V12)</f>
        <v>505000</v>
      </c>
      <c r="Z16" s="13">
        <f ca="1">IF(Stock!W12="","",Stock!W12)</f>
        <v>505000</v>
      </c>
      <c r="AA16" s="13">
        <f ca="1">IF(Stock!X12="","",Stock!X12)</f>
        <v>505000</v>
      </c>
      <c r="AB16" s="13">
        <f ca="1">IF(Stock!Y12="","",Stock!Y12)</f>
        <v>505000</v>
      </c>
      <c r="AC16" s="13">
        <f ca="1">IF(Stock!Z12="","",Stock!Z12)</f>
        <v>505000</v>
      </c>
      <c r="AD16" s="13">
        <f ca="1">IF(Stock!AA12="","",Stock!AA12)</f>
        <v>505000</v>
      </c>
      <c r="AE16" s="13">
        <f ca="1">IF(Stock!AB12="","",Stock!AB12)</f>
        <v>505000</v>
      </c>
      <c r="AF16" s="13">
        <f ca="1">IF(Stock!AC12="","",Stock!AC12)</f>
        <v>505000</v>
      </c>
      <c r="AG16" s="13">
        <f ca="1">IF(Stock!AD12="","",Stock!AD12)</f>
        <v>505000</v>
      </c>
      <c r="AH16" s="13">
        <f ca="1">IF(Stock!AE12="","",Stock!AE12)</f>
        <v>505000</v>
      </c>
      <c r="AI16" s="13">
        <f ca="1">IF(Stock!AF12="","",Stock!AF12)</f>
        <v>505000</v>
      </c>
      <c r="AJ16" s="13">
        <f ca="1">IF(Stock!AG12="","",Stock!AG12)</f>
        <v>505000</v>
      </c>
      <c r="AK16" s="13">
        <f ca="1">IF(Stock!AH12="","",Stock!AH12)</f>
        <v>505000</v>
      </c>
      <c r="AL16" s="13">
        <f ca="1">IF(Stock!AI12="","",Stock!AI12)</f>
        <v>505000</v>
      </c>
      <c r="AM16" s="13">
        <f ca="1">IF(Stock!AJ12="","",Stock!AJ12)</f>
        <v>505000</v>
      </c>
      <c r="AN16" s="13">
        <f ca="1">IF(Stock!AK12="","",Stock!AK12)</f>
        <v>505000</v>
      </c>
      <c r="AO16" s="13">
        <f ca="1">IF(Stock!AL12="","",Stock!AL12)</f>
        <v>505000</v>
      </c>
      <c r="AP16" s="13">
        <f ca="1">IF(Stock!AM12="","",Stock!AM12)</f>
        <v>505000</v>
      </c>
      <c r="AQ16" s="13">
        <f ca="1">IF(Stock!AN12="","",Stock!AN12)</f>
        <v>505000</v>
      </c>
      <c r="AR16" s="13">
        <f ca="1">IF(Stock!AO12="","",Stock!AO12)</f>
        <v>505000</v>
      </c>
      <c r="AS16" s="13">
        <f ca="1">IF(Stock!AP12="","",Stock!AP12)</f>
        <v>505000</v>
      </c>
      <c r="AT16" s="13">
        <f ca="1">IF(Stock!AQ12="","",Stock!AQ12)</f>
        <v>505000</v>
      </c>
      <c r="AU16" s="13">
        <f ca="1">IF(Stock!AR12="","",Stock!AR12)</f>
        <v>505000</v>
      </c>
      <c r="AV16" s="13">
        <f ca="1">IF(Stock!AS12="","",Stock!AS12)</f>
        <v>505000</v>
      </c>
      <c r="AW16" s="13">
        <f ca="1">IF(Stock!AT12="","",Stock!AT12)</f>
        <v>505000</v>
      </c>
      <c r="AX16" s="13">
        <f ca="1">IF(Stock!AU12="","",Stock!AU12)</f>
        <v>505000</v>
      </c>
      <c r="AY16" s="13">
        <f ca="1">IF(Stock!AV12="","",Stock!AV12)</f>
        <v>505000</v>
      </c>
      <c r="AZ16" s="13">
        <f ca="1">IF(Stock!AW12="","",Stock!AW12)</f>
        <v>505000</v>
      </c>
      <c r="BA16" s="13">
        <f ca="1">IF(Stock!AX12="","",Stock!AX12)</f>
        <v>505000</v>
      </c>
      <c r="BB16" s="13" t="str">
        <f>IF(Stock!AY12="","",Stock!AY12)</f>
        <v/>
      </c>
      <c r="BC16" s="13" t="str">
        <f>IF(Stock!AZ12="","",Stock!AZ12)</f>
        <v/>
      </c>
      <c r="BD16" s="13" t="str">
        <f>IF(Stock!BA12="","",Stock!BA12)</f>
        <v/>
      </c>
      <c r="BE16" s="13" t="str">
        <f>IF(Stock!BB12="","",Stock!BB12)</f>
        <v/>
      </c>
      <c r="BF16" s="13" t="str">
        <f>IF(Stock!BC12="","",Stock!BC12)</f>
        <v/>
      </c>
    </row>
    <row r="17" spans="1:58" ht="14.25" customHeight="1" x14ac:dyDescent="0.3">
      <c r="A17" s="15">
        <f>IF('MV Repo'!A13="","",IF(E17="",A16,A16+1))</f>
        <v>7</v>
      </c>
      <c r="B17" s="31" t="str">
        <f>IF(A17="","",IF('MV Repo'!A13=0,"B " &amp; TEXT('MV Repo'!B13,"mm/jj/aa"),"T " &amp; 'MV Repo'!A13 &amp; " " &amp; TEXT('MV Repo'!B13,"mm/aa")))</f>
        <v>T 0.25 10/13</v>
      </c>
      <c r="C17" s="30" t="str">
        <f>IF('Stock UST'!C13="","",'Stock UST'!C13)</f>
        <v>UST2013100.25</v>
      </c>
      <c r="D17" s="30" t="str">
        <f>IF('Stock UST'!D13="","",'Stock UST'!D13)</f>
        <v>US912828RN26</v>
      </c>
      <c r="E17" s="13">
        <f>IF(Stock!B13="","",Stock!B13)</f>
        <v>183000</v>
      </c>
      <c r="F17" s="13">
        <f ca="1">IF(Stock!C13="","",Stock!C13)</f>
        <v>183000</v>
      </c>
      <c r="G17" s="13">
        <f ca="1">IF(Stock!D13="","",Stock!D13)</f>
        <v>183000</v>
      </c>
      <c r="H17" s="13">
        <f ca="1">IF(Stock!E13="","",Stock!E13)</f>
        <v>183000</v>
      </c>
      <c r="I17" s="13">
        <f ca="1">IF(Stock!F13="","",Stock!F13)</f>
        <v>183000</v>
      </c>
      <c r="J17" s="13">
        <f ca="1">IF(Stock!G13="","",Stock!G13)</f>
        <v>183000</v>
      </c>
      <c r="K17" s="13">
        <f ca="1">IF(Stock!H13="","",Stock!H13)</f>
        <v>183000</v>
      </c>
      <c r="L17" s="13">
        <f ca="1">IF(Stock!I13="","",Stock!I13)</f>
        <v>183000</v>
      </c>
      <c r="M17" s="13">
        <f ca="1">IF(Stock!J13="","",Stock!J13)</f>
        <v>183000</v>
      </c>
      <c r="N17" s="13">
        <f ca="1">IF(Stock!K13="","",Stock!K13)</f>
        <v>183000</v>
      </c>
      <c r="O17" s="13">
        <f ca="1">IF(Stock!L13="","",Stock!L13)</f>
        <v>183000</v>
      </c>
      <c r="P17" s="13">
        <f ca="1">IF(Stock!M13="","",Stock!M13)</f>
        <v>183000</v>
      </c>
      <c r="Q17" s="13">
        <f ca="1">IF(Stock!N13="","",Stock!N13)</f>
        <v>183000</v>
      </c>
      <c r="R17" s="13">
        <f ca="1">IF(Stock!O13="","",Stock!O13)</f>
        <v>183000</v>
      </c>
      <c r="S17" s="13">
        <f ca="1">IF(Stock!P13="","",Stock!P13)</f>
        <v>183000</v>
      </c>
      <c r="T17" s="13">
        <f ca="1">IF(Stock!Q13="","",Stock!Q13)</f>
        <v>183000</v>
      </c>
      <c r="U17" s="13">
        <f ca="1">IF(Stock!R13="","",Stock!R13)</f>
        <v>183000</v>
      </c>
      <c r="V17" s="13">
        <f ca="1">IF(Stock!S13="","",Stock!S13)</f>
        <v>183000</v>
      </c>
      <c r="W17" s="13">
        <f ca="1">IF(Stock!T13="","",Stock!T13)</f>
        <v>183000</v>
      </c>
      <c r="X17" s="13">
        <f ca="1">IF(Stock!U13="","",Stock!U13)</f>
        <v>183000</v>
      </c>
      <c r="Y17" s="13">
        <f ca="1">IF(Stock!V13="","",Stock!V13)</f>
        <v>183000</v>
      </c>
      <c r="Z17" s="13">
        <f ca="1">IF(Stock!W13="","",Stock!W13)</f>
        <v>183000</v>
      </c>
      <c r="AA17" s="13">
        <f ca="1">IF(Stock!X13="","",Stock!X13)</f>
        <v>183000</v>
      </c>
      <c r="AB17" s="13">
        <f ca="1">IF(Stock!Y13="","",Stock!Y13)</f>
        <v>183000</v>
      </c>
      <c r="AC17" s="13">
        <f ca="1">IF(Stock!Z13="","",Stock!Z13)</f>
        <v>183000</v>
      </c>
      <c r="AD17" s="13">
        <f ca="1">IF(Stock!AA13="","",Stock!AA13)</f>
        <v>183000</v>
      </c>
      <c r="AE17" s="13">
        <f ca="1">IF(Stock!AB13="","",Stock!AB13)</f>
        <v>183000</v>
      </c>
      <c r="AF17" s="13">
        <f ca="1">IF(Stock!AC13="","",Stock!AC13)</f>
        <v>183000</v>
      </c>
      <c r="AG17" s="13">
        <f ca="1">IF(Stock!AD13="","",Stock!AD13)</f>
        <v>183000</v>
      </c>
      <c r="AH17" s="13">
        <f ca="1">IF(Stock!AE13="","",Stock!AE13)</f>
        <v>183000</v>
      </c>
      <c r="AI17" s="13">
        <f ca="1">IF(Stock!AF13="","",Stock!AF13)</f>
        <v>183000</v>
      </c>
      <c r="AJ17" s="13">
        <f ca="1">IF(Stock!AG13="","",Stock!AG13)</f>
        <v>183000</v>
      </c>
      <c r="AK17" s="13">
        <f ca="1">IF(Stock!AH13="","",Stock!AH13)</f>
        <v>183000</v>
      </c>
      <c r="AL17" s="13">
        <f ca="1">IF(Stock!AI13="","",Stock!AI13)</f>
        <v>183000</v>
      </c>
      <c r="AM17" s="13">
        <f ca="1">IF(Stock!AJ13="","",Stock!AJ13)</f>
        <v>183000</v>
      </c>
      <c r="AN17" s="13">
        <f ca="1">IF(Stock!AK13="","",Stock!AK13)</f>
        <v>183000</v>
      </c>
      <c r="AO17" s="13">
        <f ca="1">IF(Stock!AL13="","",Stock!AL13)</f>
        <v>183000</v>
      </c>
      <c r="AP17" s="13">
        <f ca="1">IF(Stock!AM13="","",Stock!AM13)</f>
        <v>183000</v>
      </c>
      <c r="AQ17" s="13">
        <f ca="1">IF(Stock!AN13="","",Stock!AN13)</f>
        <v>183000</v>
      </c>
      <c r="AR17" s="13">
        <f ca="1">IF(Stock!AO13="","",Stock!AO13)</f>
        <v>183000</v>
      </c>
      <c r="AS17" s="13">
        <f ca="1">IF(Stock!AP13="","",Stock!AP13)</f>
        <v>183000</v>
      </c>
      <c r="AT17" s="13">
        <f ca="1">IF(Stock!AQ13="","",Stock!AQ13)</f>
        <v>183000</v>
      </c>
      <c r="AU17" s="13">
        <f ca="1">IF(Stock!AR13="","",Stock!AR13)</f>
        <v>183000</v>
      </c>
      <c r="AV17" s="13">
        <f ca="1">IF(Stock!AS13="","",Stock!AS13)</f>
        <v>183000</v>
      </c>
      <c r="AW17" s="13">
        <f ca="1">IF(Stock!AT13="","",Stock!AT13)</f>
        <v>183000</v>
      </c>
      <c r="AX17" s="13">
        <f ca="1">IF(Stock!AU13="","",Stock!AU13)</f>
        <v>183000</v>
      </c>
      <c r="AY17" s="13">
        <f ca="1">IF(Stock!AV13="","",Stock!AV13)</f>
        <v>183000</v>
      </c>
      <c r="AZ17" s="13">
        <f ca="1">IF(Stock!AW13="","",Stock!AW13)</f>
        <v>183000</v>
      </c>
      <c r="BA17" s="13">
        <f ca="1">IF(Stock!AX13="","",Stock!AX13)</f>
        <v>183000</v>
      </c>
      <c r="BB17" s="13" t="str">
        <f>IF(Stock!AY13="","",Stock!AY13)</f>
        <v/>
      </c>
      <c r="BC17" s="13" t="str">
        <f>IF(Stock!AZ13="","",Stock!AZ13)</f>
        <v/>
      </c>
      <c r="BD17" s="13" t="str">
        <f>IF(Stock!BA13="","",Stock!BA13)</f>
        <v/>
      </c>
      <c r="BE17" s="13" t="str">
        <f>IF(Stock!BB13="","",Stock!BB13)</f>
        <v/>
      </c>
      <c r="BF17" s="13" t="str">
        <f>IF(Stock!BC13="","",Stock!BC13)</f>
        <v/>
      </c>
    </row>
    <row r="18" spans="1:58" ht="14.25" customHeight="1" x14ac:dyDescent="0.3">
      <c r="A18" s="15">
        <f>IF('MV Repo'!A14="","",IF(E18="",A17,A17+1))</f>
        <v>7</v>
      </c>
      <c r="B18" s="31" t="str">
        <f>IF(A18="","",IF('MV Repo'!A14=0,"B " &amp; TEXT('MV Repo'!B14,"mm/jj/aa"),"T " &amp; 'MV Repo'!A14 &amp; " " &amp; TEXT('MV Repo'!B14,"mm/aa")))</f>
        <v>T 0.25 11/13</v>
      </c>
      <c r="C18" s="30" t="str">
        <f>IF('Stock UST'!C14="","",'Stock UST'!C14)</f>
        <v>UST2013110.25</v>
      </c>
      <c r="D18" s="30" t="str">
        <f>IF('Stock UST'!D14="","",'Stock UST'!D14)</f>
        <v>US912828RS13</v>
      </c>
      <c r="E18" s="13" t="str">
        <f>IF(Stock!B14="","",Stock!B14)</f>
        <v/>
      </c>
      <c r="F18" s="13" t="str">
        <f ca="1">IF(Stock!C14="","",Stock!C14)</f>
        <v/>
      </c>
      <c r="G18" s="13" t="str">
        <f ca="1">IF(Stock!D14="","",Stock!D14)</f>
        <v/>
      </c>
      <c r="H18" s="13" t="str">
        <f ca="1">IF(Stock!E14="","",Stock!E14)</f>
        <v/>
      </c>
      <c r="I18" s="13" t="str">
        <f ca="1">IF(Stock!F14="","",Stock!F14)</f>
        <v/>
      </c>
      <c r="J18" s="13" t="str">
        <f ca="1">IF(Stock!G14="","",Stock!G14)</f>
        <v/>
      </c>
      <c r="K18" s="13" t="str">
        <f ca="1">IF(Stock!H14="","",Stock!H14)</f>
        <v/>
      </c>
      <c r="L18" s="13" t="str">
        <f ca="1">IF(Stock!I14="","",Stock!I14)</f>
        <v/>
      </c>
      <c r="M18" s="13" t="str">
        <f ca="1">IF(Stock!J14="","",Stock!J14)</f>
        <v/>
      </c>
      <c r="N18" s="13" t="str">
        <f ca="1">IF(Stock!K14="","",Stock!K14)</f>
        <v/>
      </c>
      <c r="O18" s="13" t="str">
        <f ca="1">IF(Stock!L14="","",Stock!L14)</f>
        <v/>
      </c>
      <c r="P18" s="13" t="str">
        <f ca="1">IF(Stock!M14="","",Stock!M14)</f>
        <v/>
      </c>
      <c r="Q18" s="13" t="str">
        <f ca="1">IF(Stock!N14="","",Stock!N14)</f>
        <v/>
      </c>
      <c r="R18" s="13" t="str">
        <f ca="1">IF(Stock!O14="","",Stock!O14)</f>
        <v/>
      </c>
      <c r="S18" s="13" t="str">
        <f ca="1">IF(Stock!P14="","",Stock!P14)</f>
        <v/>
      </c>
      <c r="T18" s="13" t="str">
        <f ca="1">IF(Stock!Q14="","",Stock!Q14)</f>
        <v/>
      </c>
      <c r="U18" s="13" t="str">
        <f ca="1">IF(Stock!R14="","",Stock!R14)</f>
        <v/>
      </c>
      <c r="V18" s="13" t="str">
        <f ca="1">IF(Stock!S14="","",Stock!S14)</f>
        <v/>
      </c>
      <c r="W18" s="13" t="str">
        <f ca="1">IF(Stock!T14="","",Stock!T14)</f>
        <v/>
      </c>
      <c r="X18" s="13" t="str">
        <f ca="1">IF(Stock!U14="","",Stock!U14)</f>
        <v/>
      </c>
      <c r="Y18" s="13" t="str">
        <f ca="1">IF(Stock!V14="","",Stock!V14)</f>
        <v/>
      </c>
      <c r="Z18" s="13" t="str">
        <f ca="1">IF(Stock!W14="","",Stock!W14)</f>
        <v/>
      </c>
      <c r="AA18" s="13" t="str">
        <f ca="1">IF(Stock!X14="","",Stock!X14)</f>
        <v/>
      </c>
      <c r="AB18" s="13" t="str">
        <f ca="1">IF(Stock!Y14="","",Stock!Y14)</f>
        <v/>
      </c>
      <c r="AC18" s="13" t="str">
        <f ca="1">IF(Stock!Z14="","",Stock!Z14)</f>
        <v/>
      </c>
      <c r="AD18" s="13" t="str">
        <f ca="1">IF(Stock!AA14="","",Stock!AA14)</f>
        <v/>
      </c>
      <c r="AE18" s="13" t="str">
        <f ca="1">IF(Stock!AB14="","",Stock!AB14)</f>
        <v/>
      </c>
      <c r="AF18" s="13" t="str">
        <f ca="1">IF(Stock!AC14="","",Stock!AC14)</f>
        <v/>
      </c>
      <c r="AG18" s="13" t="str">
        <f ca="1">IF(Stock!AD14="","",Stock!AD14)</f>
        <v/>
      </c>
      <c r="AH18" s="13" t="str">
        <f ca="1">IF(Stock!AE14="","",Stock!AE14)</f>
        <v/>
      </c>
      <c r="AI18" s="13" t="str">
        <f ca="1">IF(Stock!AF14="","",Stock!AF14)</f>
        <v/>
      </c>
      <c r="AJ18" s="13" t="str">
        <f ca="1">IF(Stock!AG14="","",Stock!AG14)</f>
        <v/>
      </c>
      <c r="AK18" s="13" t="str">
        <f ca="1">IF(Stock!AH14="","",Stock!AH14)</f>
        <v/>
      </c>
      <c r="AL18" s="13" t="str">
        <f ca="1">IF(Stock!AI14="","",Stock!AI14)</f>
        <v/>
      </c>
      <c r="AM18" s="13" t="str">
        <f ca="1">IF(Stock!AJ14="","",Stock!AJ14)</f>
        <v/>
      </c>
      <c r="AN18" s="13" t="str">
        <f ca="1">IF(Stock!AK14="","",Stock!AK14)</f>
        <v/>
      </c>
      <c r="AO18" s="13" t="str">
        <f ca="1">IF(Stock!AL14="","",Stock!AL14)</f>
        <v/>
      </c>
      <c r="AP18" s="13" t="str">
        <f ca="1">IF(Stock!AM14="","",Stock!AM14)</f>
        <v/>
      </c>
      <c r="AQ18" s="13" t="str">
        <f ca="1">IF(Stock!AN14="","",Stock!AN14)</f>
        <v/>
      </c>
      <c r="AR18" s="13" t="str">
        <f ca="1">IF(Stock!AO14="","",Stock!AO14)</f>
        <v/>
      </c>
      <c r="AS18" s="13" t="str">
        <f ca="1">IF(Stock!AP14="","",Stock!AP14)</f>
        <v/>
      </c>
      <c r="AT18" s="13" t="str">
        <f ca="1">IF(Stock!AQ14="","",Stock!AQ14)</f>
        <v/>
      </c>
      <c r="AU18" s="13" t="str">
        <f ca="1">IF(Stock!AR14="","",Stock!AR14)</f>
        <v/>
      </c>
      <c r="AV18" s="13" t="str">
        <f ca="1">IF(Stock!AS14="","",Stock!AS14)</f>
        <v/>
      </c>
      <c r="AW18" s="13" t="str">
        <f ca="1">IF(Stock!AT14="","",Stock!AT14)</f>
        <v/>
      </c>
      <c r="AX18" s="13" t="str">
        <f ca="1">IF(Stock!AU14="","",Stock!AU14)</f>
        <v/>
      </c>
      <c r="AY18" s="13" t="str">
        <f ca="1">IF(Stock!AV14="","",Stock!AV14)</f>
        <v/>
      </c>
      <c r="AZ18" s="13" t="str">
        <f ca="1">IF(Stock!AW14="","",Stock!AW14)</f>
        <v/>
      </c>
      <c r="BA18" s="13" t="str">
        <f ca="1">IF(Stock!AX14="","",Stock!AX14)</f>
        <v/>
      </c>
      <c r="BB18" s="13" t="str">
        <f>IF(Stock!AY14="","",Stock!AY14)</f>
        <v/>
      </c>
      <c r="BC18" s="13" t="str">
        <f>IF(Stock!AZ14="","",Stock!AZ14)</f>
        <v/>
      </c>
      <c r="BD18" s="13" t="str">
        <f>IF(Stock!BA14="","",Stock!BA14)</f>
        <v/>
      </c>
      <c r="BE18" s="13" t="str">
        <f>IF(Stock!BB14="","",Stock!BB14)</f>
        <v/>
      </c>
      <c r="BF18" s="13" t="str">
        <f>IF(Stock!BC14="","",Stock!BC14)</f>
        <v/>
      </c>
    </row>
    <row r="19" spans="1:58" ht="14.25" customHeight="1" x14ac:dyDescent="0.3">
      <c r="A19" s="15">
        <f>IF('MV Repo'!A15="","",IF(E19="",A18,A18+1))</f>
        <v>8</v>
      </c>
      <c r="B19" s="31" t="str">
        <f>IF(A19="","",IF('MV Repo'!A15=0,"B " &amp; TEXT('MV Repo'!B15,"mm/jj/aa"),"T " &amp; 'MV Repo'!A15 &amp; " " &amp; TEXT('MV Repo'!B15,"mm/aa")))</f>
        <v>T 0.25 01/14</v>
      </c>
      <c r="C19" s="30" t="str">
        <f>IF('Stock UST'!C15="","",'Stock UST'!C15)</f>
        <v>UST2014010.25</v>
      </c>
      <c r="D19" s="30" t="str">
        <f>IF('Stock UST'!D15="","",'Stock UST'!D15)</f>
        <v>US912828SB78</v>
      </c>
      <c r="E19" s="13">
        <f>IF(Stock!B15="","",Stock!B15)</f>
        <v>637000</v>
      </c>
      <c r="F19" s="13">
        <f ca="1">IF(Stock!C15="","",Stock!C15)</f>
        <v>637000</v>
      </c>
      <c r="G19" s="13">
        <f ca="1">IF(Stock!D15="","",Stock!D15)</f>
        <v>637000</v>
      </c>
      <c r="H19" s="13">
        <f ca="1">IF(Stock!E15="","",Stock!E15)</f>
        <v>637000</v>
      </c>
      <c r="I19" s="13">
        <f ca="1">IF(Stock!F15="","",Stock!F15)</f>
        <v>637000</v>
      </c>
      <c r="J19" s="13">
        <f ca="1">IF(Stock!G15="","",Stock!G15)</f>
        <v>637000</v>
      </c>
      <c r="K19" s="13">
        <f ca="1">IF(Stock!H15="","",Stock!H15)</f>
        <v>637000</v>
      </c>
      <c r="L19" s="13">
        <f ca="1">IF(Stock!I15="","",Stock!I15)</f>
        <v>637000</v>
      </c>
      <c r="M19" s="13">
        <f ca="1">IF(Stock!J15="","",Stock!J15)</f>
        <v>637000</v>
      </c>
      <c r="N19" s="13">
        <f ca="1">IF(Stock!K15="","",Stock!K15)</f>
        <v>637000</v>
      </c>
      <c r="O19" s="13">
        <f ca="1">IF(Stock!L15="","",Stock!L15)</f>
        <v>637000</v>
      </c>
      <c r="P19" s="13">
        <f ca="1">IF(Stock!M15="","",Stock!M15)</f>
        <v>637000</v>
      </c>
      <c r="Q19" s="13">
        <f ca="1">IF(Stock!N15="","",Stock!N15)</f>
        <v>637000</v>
      </c>
      <c r="R19" s="13">
        <f ca="1">IF(Stock!O15="","",Stock!O15)</f>
        <v>637000</v>
      </c>
      <c r="S19" s="13">
        <f ca="1">IF(Stock!P15="","",Stock!P15)</f>
        <v>637000</v>
      </c>
      <c r="T19" s="13">
        <f ca="1">IF(Stock!Q15="","",Stock!Q15)</f>
        <v>637000</v>
      </c>
      <c r="U19" s="13">
        <f ca="1">IF(Stock!R15="","",Stock!R15)</f>
        <v>637000</v>
      </c>
      <c r="V19" s="13">
        <f ca="1">IF(Stock!S15="","",Stock!S15)</f>
        <v>637000</v>
      </c>
      <c r="W19" s="13">
        <f ca="1">IF(Stock!T15="","",Stock!T15)</f>
        <v>637000</v>
      </c>
      <c r="X19" s="13">
        <f ca="1">IF(Stock!U15="","",Stock!U15)</f>
        <v>637000</v>
      </c>
      <c r="Y19" s="13">
        <f ca="1">IF(Stock!V15="","",Stock!V15)</f>
        <v>637000</v>
      </c>
      <c r="Z19" s="13">
        <f ca="1">IF(Stock!W15="","",Stock!W15)</f>
        <v>637000</v>
      </c>
      <c r="AA19" s="13">
        <f ca="1">IF(Stock!X15="","",Stock!X15)</f>
        <v>637000</v>
      </c>
      <c r="AB19" s="13">
        <f ca="1">IF(Stock!Y15="","",Stock!Y15)</f>
        <v>637000</v>
      </c>
      <c r="AC19" s="13">
        <f ca="1">IF(Stock!Z15="","",Stock!Z15)</f>
        <v>637000</v>
      </c>
      <c r="AD19" s="13">
        <f ca="1">IF(Stock!AA15="","",Stock!AA15)</f>
        <v>637000</v>
      </c>
      <c r="AE19" s="13">
        <f ca="1">IF(Stock!AB15="","",Stock!AB15)</f>
        <v>637000</v>
      </c>
      <c r="AF19" s="13">
        <f ca="1">IF(Stock!AC15="","",Stock!AC15)</f>
        <v>637000</v>
      </c>
      <c r="AG19" s="13">
        <f ca="1">IF(Stock!AD15="","",Stock!AD15)</f>
        <v>637000</v>
      </c>
      <c r="AH19" s="13">
        <f ca="1">IF(Stock!AE15="","",Stock!AE15)</f>
        <v>637000</v>
      </c>
      <c r="AI19" s="13">
        <f ca="1">IF(Stock!AF15="","",Stock!AF15)</f>
        <v>637000</v>
      </c>
      <c r="AJ19" s="13">
        <f ca="1">IF(Stock!AG15="","",Stock!AG15)</f>
        <v>637000</v>
      </c>
      <c r="AK19" s="13">
        <f ca="1">IF(Stock!AH15="","",Stock!AH15)</f>
        <v>637000</v>
      </c>
      <c r="AL19" s="13">
        <f ca="1">IF(Stock!AI15="","",Stock!AI15)</f>
        <v>637000</v>
      </c>
      <c r="AM19" s="13">
        <f ca="1">IF(Stock!AJ15="","",Stock!AJ15)</f>
        <v>637000</v>
      </c>
      <c r="AN19" s="13">
        <f ca="1">IF(Stock!AK15="","",Stock!AK15)</f>
        <v>637000</v>
      </c>
      <c r="AO19" s="13">
        <f ca="1">IF(Stock!AL15="","",Stock!AL15)</f>
        <v>637000</v>
      </c>
      <c r="AP19" s="13">
        <f ca="1">IF(Stock!AM15="","",Stock!AM15)</f>
        <v>637000</v>
      </c>
      <c r="AQ19" s="13">
        <f ca="1">IF(Stock!AN15="","",Stock!AN15)</f>
        <v>637000</v>
      </c>
      <c r="AR19" s="13">
        <f ca="1">IF(Stock!AO15="","",Stock!AO15)</f>
        <v>637000</v>
      </c>
      <c r="AS19" s="13">
        <f ca="1">IF(Stock!AP15="","",Stock!AP15)</f>
        <v>637000</v>
      </c>
      <c r="AT19" s="13">
        <f ca="1">IF(Stock!AQ15="","",Stock!AQ15)</f>
        <v>637000</v>
      </c>
      <c r="AU19" s="13">
        <f ca="1">IF(Stock!AR15="","",Stock!AR15)</f>
        <v>637000</v>
      </c>
      <c r="AV19" s="13">
        <f ca="1">IF(Stock!AS15="","",Stock!AS15)</f>
        <v>637000</v>
      </c>
      <c r="AW19" s="13">
        <f ca="1">IF(Stock!AT15="","",Stock!AT15)</f>
        <v>637000</v>
      </c>
      <c r="AX19" s="13">
        <f ca="1">IF(Stock!AU15="","",Stock!AU15)</f>
        <v>637000</v>
      </c>
      <c r="AY19" s="13">
        <f ca="1">IF(Stock!AV15="","",Stock!AV15)</f>
        <v>637000</v>
      </c>
      <c r="AZ19" s="13">
        <f ca="1">IF(Stock!AW15="","",Stock!AW15)</f>
        <v>637000</v>
      </c>
      <c r="BA19" s="13">
        <f ca="1">IF(Stock!AX15="","",Stock!AX15)</f>
        <v>637000</v>
      </c>
      <c r="BB19" s="13" t="str">
        <f>IF(Stock!AY15="","",Stock!AY15)</f>
        <v/>
      </c>
      <c r="BC19" s="13" t="str">
        <f>IF(Stock!AZ15="","",Stock!AZ15)</f>
        <v/>
      </c>
      <c r="BD19" s="13" t="str">
        <f>IF(Stock!BA15="","",Stock!BA15)</f>
        <v/>
      </c>
      <c r="BE19" s="13" t="str">
        <f>IF(Stock!BB15="","",Stock!BB15)</f>
        <v/>
      </c>
      <c r="BF19" s="13" t="str">
        <f>IF(Stock!BC15="","",Stock!BC15)</f>
        <v/>
      </c>
    </row>
    <row r="20" spans="1:58" ht="14.25" customHeight="1" x14ac:dyDescent="0.3">
      <c r="A20" s="15">
        <f>IF('MV Repo'!A16="","",IF(E20="",A19,A19+1))</f>
        <v>9</v>
      </c>
      <c r="B20" s="31" t="str">
        <f>IF(A20="","",IF('MV Repo'!A16=0,"B " &amp; TEXT('MV Repo'!B16,"mm/jj/aa"),"T " &amp; 'MV Repo'!A16 &amp; " " &amp; TEXT('MV Repo'!B16,"mm/aa")))</f>
        <v>T 0.25 03/14</v>
      </c>
      <c r="C20" s="30" t="str">
        <f>IF('Stock UST'!C16="","",'Stock UST'!C16)</f>
        <v>UST2014030.25</v>
      </c>
      <c r="D20" s="30" t="str">
        <f>IF('Stock UST'!D16="","",'Stock UST'!D16)</f>
        <v>US912828SL50</v>
      </c>
      <c r="E20" s="13">
        <f>IF(Stock!B16="","",Stock!B16)</f>
        <v>208000</v>
      </c>
      <c r="F20" s="13">
        <f ca="1">IF(Stock!C16="","",Stock!C16)</f>
        <v>208000</v>
      </c>
      <c r="G20" s="13">
        <f ca="1">IF(Stock!D16="","",Stock!D16)</f>
        <v>208000</v>
      </c>
      <c r="H20" s="13">
        <f ca="1">IF(Stock!E16="","",Stock!E16)</f>
        <v>208000</v>
      </c>
      <c r="I20" s="13">
        <f ca="1">IF(Stock!F16="","",Stock!F16)</f>
        <v>208000</v>
      </c>
      <c r="J20" s="13">
        <f ca="1">IF(Stock!G16="","",Stock!G16)</f>
        <v>208000</v>
      </c>
      <c r="K20" s="13">
        <f ca="1">IF(Stock!H16="","",Stock!H16)</f>
        <v>208000</v>
      </c>
      <c r="L20" s="13">
        <f ca="1">IF(Stock!I16="","",Stock!I16)</f>
        <v>208000</v>
      </c>
      <c r="M20" s="13">
        <f ca="1">IF(Stock!J16="","",Stock!J16)</f>
        <v>208000</v>
      </c>
      <c r="N20" s="13">
        <f ca="1">IF(Stock!K16="","",Stock!K16)</f>
        <v>208000</v>
      </c>
      <c r="O20" s="13">
        <f ca="1">IF(Stock!L16="","",Stock!L16)</f>
        <v>208000</v>
      </c>
      <c r="P20" s="13">
        <f ca="1">IF(Stock!M16="","",Stock!M16)</f>
        <v>208000</v>
      </c>
      <c r="Q20" s="13">
        <f ca="1">IF(Stock!N16="","",Stock!N16)</f>
        <v>208000</v>
      </c>
      <c r="R20" s="13">
        <f ca="1">IF(Stock!O16="","",Stock!O16)</f>
        <v>208000</v>
      </c>
      <c r="S20" s="13">
        <f ca="1">IF(Stock!P16="","",Stock!P16)</f>
        <v>208000</v>
      </c>
      <c r="T20" s="13">
        <f ca="1">IF(Stock!Q16="","",Stock!Q16)</f>
        <v>208000</v>
      </c>
      <c r="U20" s="13">
        <f ca="1">IF(Stock!R16="","",Stock!R16)</f>
        <v>208000</v>
      </c>
      <c r="V20" s="13">
        <f ca="1">IF(Stock!S16="","",Stock!S16)</f>
        <v>208000</v>
      </c>
      <c r="W20" s="13">
        <f ca="1">IF(Stock!T16="","",Stock!T16)</f>
        <v>208000</v>
      </c>
      <c r="X20" s="13">
        <f ca="1">IF(Stock!U16="","",Stock!U16)</f>
        <v>208000</v>
      </c>
      <c r="Y20" s="13">
        <f ca="1">IF(Stock!V16="","",Stock!V16)</f>
        <v>208000</v>
      </c>
      <c r="Z20" s="13">
        <f ca="1">IF(Stock!W16="","",Stock!W16)</f>
        <v>208000</v>
      </c>
      <c r="AA20" s="13">
        <f ca="1">IF(Stock!X16="","",Stock!X16)</f>
        <v>208000</v>
      </c>
      <c r="AB20" s="13">
        <f ca="1">IF(Stock!Y16="","",Stock!Y16)</f>
        <v>208000</v>
      </c>
      <c r="AC20" s="13">
        <f ca="1">IF(Stock!Z16="","",Stock!Z16)</f>
        <v>208000</v>
      </c>
      <c r="AD20" s="13">
        <f ca="1">IF(Stock!AA16="","",Stock!AA16)</f>
        <v>208000</v>
      </c>
      <c r="AE20" s="13">
        <f ca="1">IF(Stock!AB16="","",Stock!AB16)</f>
        <v>208000</v>
      </c>
      <c r="AF20" s="13">
        <f ca="1">IF(Stock!AC16="","",Stock!AC16)</f>
        <v>208000</v>
      </c>
      <c r="AG20" s="13">
        <f ca="1">IF(Stock!AD16="","",Stock!AD16)</f>
        <v>208000</v>
      </c>
      <c r="AH20" s="13">
        <f ca="1">IF(Stock!AE16="","",Stock!AE16)</f>
        <v>208000</v>
      </c>
      <c r="AI20" s="13">
        <f ca="1">IF(Stock!AF16="","",Stock!AF16)</f>
        <v>208000</v>
      </c>
      <c r="AJ20" s="13">
        <f ca="1">IF(Stock!AG16="","",Stock!AG16)</f>
        <v>208000</v>
      </c>
      <c r="AK20" s="13">
        <f ca="1">IF(Stock!AH16="","",Stock!AH16)</f>
        <v>208000</v>
      </c>
      <c r="AL20" s="13">
        <f ca="1">IF(Stock!AI16="","",Stock!AI16)</f>
        <v>208000</v>
      </c>
      <c r="AM20" s="13">
        <f ca="1">IF(Stock!AJ16="","",Stock!AJ16)</f>
        <v>208000</v>
      </c>
      <c r="AN20" s="13">
        <f ca="1">IF(Stock!AK16="","",Stock!AK16)</f>
        <v>208000</v>
      </c>
      <c r="AO20" s="13">
        <f ca="1">IF(Stock!AL16="","",Stock!AL16)</f>
        <v>208000</v>
      </c>
      <c r="AP20" s="13">
        <f ca="1">IF(Stock!AM16="","",Stock!AM16)</f>
        <v>208000</v>
      </c>
      <c r="AQ20" s="13">
        <f ca="1">IF(Stock!AN16="","",Stock!AN16)</f>
        <v>208000</v>
      </c>
      <c r="AR20" s="13">
        <f ca="1">IF(Stock!AO16="","",Stock!AO16)</f>
        <v>208000</v>
      </c>
      <c r="AS20" s="13">
        <f ca="1">IF(Stock!AP16="","",Stock!AP16)</f>
        <v>208000</v>
      </c>
      <c r="AT20" s="13">
        <f ca="1">IF(Stock!AQ16="","",Stock!AQ16)</f>
        <v>208000</v>
      </c>
      <c r="AU20" s="13">
        <f ca="1">IF(Stock!AR16="","",Stock!AR16)</f>
        <v>208000</v>
      </c>
      <c r="AV20" s="13">
        <f ca="1">IF(Stock!AS16="","",Stock!AS16)</f>
        <v>208000</v>
      </c>
      <c r="AW20" s="13">
        <f ca="1">IF(Stock!AT16="","",Stock!AT16)</f>
        <v>208000</v>
      </c>
      <c r="AX20" s="13">
        <f ca="1">IF(Stock!AU16="","",Stock!AU16)</f>
        <v>208000</v>
      </c>
      <c r="AY20" s="13">
        <f ca="1">IF(Stock!AV16="","",Stock!AV16)</f>
        <v>208000</v>
      </c>
      <c r="AZ20" s="13">
        <f ca="1">IF(Stock!AW16="","",Stock!AW16)</f>
        <v>208000</v>
      </c>
      <c r="BA20" s="13">
        <f ca="1">IF(Stock!AX16="","",Stock!AX16)</f>
        <v>208000</v>
      </c>
      <c r="BB20" s="13" t="str">
        <f>IF(Stock!AY16="","",Stock!AY16)</f>
        <v/>
      </c>
      <c r="BC20" s="13" t="str">
        <f>IF(Stock!AZ16="","",Stock!AZ16)</f>
        <v/>
      </c>
      <c r="BD20" s="13" t="str">
        <f>IF(Stock!BA16="","",Stock!BA16)</f>
        <v/>
      </c>
      <c r="BE20" s="13" t="str">
        <f>IF(Stock!BB16="","",Stock!BB16)</f>
        <v/>
      </c>
      <c r="BF20" s="13" t="str">
        <f>IF(Stock!BC16="","",Stock!BC16)</f>
        <v/>
      </c>
    </row>
    <row r="21" spans="1:58" ht="14.25" customHeight="1" x14ac:dyDescent="0.3">
      <c r="A21" s="15">
        <f>IF('MV Repo'!A17="","",IF(E21="",A20,A20+1))</f>
        <v>10</v>
      </c>
      <c r="B21" s="31" t="str">
        <f>IF(A21="","",IF('MV Repo'!A17=0,"B " &amp; TEXT('MV Repo'!B17,"mm/jj/aa"),"T " &amp; 'MV Repo'!A17 &amp; " " &amp; TEXT('MV Repo'!B17,"mm/aa")))</f>
        <v>T 0.25 04/14</v>
      </c>
      <c r="C21" s="30" t="str">
        <f>IF('Stock UST'!C17="","",'Stock UST'!C17)</f>
        <v>UST2014040.25</v>
      </c>
      <c r="D21" s="30" t="str">
        <f>IF('Stock UST'!D17="","",'Stock UST'!D17)</f>
        <v>US912828SR21</v>
      </c>
      <c r="E21" s="13">
        <f>IF(Stock!B17="","",Stock!B17)</f>
        <v>312000</v>
      </c>
      <c r="F21" s="13">
        <f ca="1">IF(Stock!C17="","",Stock!C17)</f>
        <v>312000</v>
      </c>
      <c r="G21" s="13">
        <f ca="1">IF(Stock!D17="","",Stock!D17)</f>
        <v>312000</v>
      </c>
      <c r="H21" s="13">
        <f ca="1">IF(Stock!E17="","",Stock!E17)</f>
        <v>312000</v>
      </c>
      <c r="I21" s="13">
        <f ca="1">IF(Stock!F17="","",Stock!F17)</f>
        <v>312000</v>
      </c>
      <c r="J21" s="13">
        <f ca="1">IF(Stock!G17="","",Stock!G17)</f>
        <v>312000</v>
      </c>
      <c r="K21" s="13">
        <f ca="1">IF(Stock!H17="","",Stock!H17)</f>
        <v>312000</v>
      </c>
      <c r="L21" s="13">
        <f ca="1">IF(Stock!I17="","",Stock!I17)</f>
        <v>312000</v>
      </c>
      <c r="M21" s="13">
        <f ca="1">IF(Stock!J17="","",Stock!J17)</f>
        <v>312000</v>
      </c>
      <c r="N21" s="13">
        <f ca="1">IF(Stock!K17="","",Stock!K17)</f>
        <v>312000</v>
      </c>
      <c r="O21" s="13">
        <f ca="1">IF(Stock!L17="","",Stock!L17)</f>
        <v>312000</v>
      </c>
      <c r="P21" s="13">
        <f ca="1">IF(Stock!M17="","",Stock!M17)</f>
        <v>312000</v>
      </c>
      <c r="Q21" s="13">
        <f ca="1">IF(Stock!N17="","",Stock!N17)</f>
        <v>312000</v>
      </c>
      <c r="R21" s="13">
        <f ca="1">IF(Stock!O17="","",Stock!O17)</f>
        <v>312000</v>
      </c>
      <c r="S21" s="13">
        <f ca="1">IF(Stock!P17="","",Stock!P17)</f>
        <v>312000</v>
      </c>
      <c r="T21" s="13">
        <f ca="1">IF(Stock!Q17="","",Stock!Q17)</f>
        <v>312000</v>
      </c>
      <c r="U21" s="13">
        <f ca="1">IF(Stock!R17="","",Stock!R17)</f>
        <v>312000</v>
      </c>
      <c r="V21" s="13">
        <f ca="1">IF(Stock!S17="","",Stock!S17)</f>
        <v>312000</v>
      </c>
      <c r="W21" s="13">
        <f ca="1">IF(Stock!T17="","",Stock!T17)</f>
        <v>312000</v>
      </c>
      <c r="X21" s="13">
        <f ca="1">IF(Stock!U17="","",Stock!U17)</f>
        <v>312000</v>
      </c>
      <c r="Y21" s="13">
        <f ca="1">IF(Stock!V17="","",Stock!V17)</f>
        <v>312000</v>
      </c>
      <c r="Z21" s="13">
        <f ca="1">IF(Stock!W17="","",Stock!W17)</f>
        <v>312000</v>
      </c>
      <c r="AA21" s="13">
        <f ca="1">IF(Stock!X17="","",Stock!X17)</f>
        <v>312000</v>
      </c>
      <c r="AB21" s="13">
        <f ca="1">IF(Stock!Y17="","",Stock!Y17)</f>
        <v>312000</v>
      </c>
      <c r="AC21" s="13">
        <f ca="1">IF(Stock!Z17="","",Stock!Z17)</f>
        <v>312000</v>
      </c>
      <c r="AD21" s="13">
        <f ca="1">IF(Stock!AA17="","",Stock!AA17)</f>
        <v>312000</v>
      </c>
      <c r="AE21" s="13">
        <f ca="1">IF(Stock!AB17="","",Stock!AB17)</f>
        <v>312000</v>
      </c>
      <c r="AF21" s="13">
        <f ca="1">IF(Stock!AC17="","",Stock!AC17)</f>
        <v>312000</v>
      </c>
      <c r="AG21" s="13">
        <f ca="1">IF(Stock!AD17="","",Stock!AD17)</f>
        <v>312000</v>
      </c>
      <c r="AH21" s="13">
        <f ca="1">IF(Stock!AE17="","",Stock!AE17)</f>
        <v>312000</v>
      </c>
      <c r="AI21" s="13">
        <f ca="1">IF(Stock!AF17="","",Stock!AF17)</f>
        <v>312000</v>
      </c>
      <c r="AJ21" s="13">
        <f ca="1">IF(Stock!AG17="","",Stock!AG17)</f>
        <v>312000</v>
      </c>
      <c r="AK21" s="13">
        <f ca="1">IF(Stock!AH17="","",Stock!AH17)</f>
        <v>312000</v>
      </c>
      <c r="AL21" s="13">
        <f ca="1">IF(Stock!AI17="","",Stock!AI17)</f>
        <v>312000</v>
      </c>
      <c r="AM21" s="13">
        <f ca="1">IF(Stock!AJ17="","",Stock!AJ17)</f>
        <v>312000</v>
      </c>
      <c r="AN21" s="13">
        <f ca="1">IF(Stock!AK17="","",Stock!AK17)</f>
        <v>312000</v>
      </c>
      <c r="AO21" s="13">
        <f ca="1">IF(Stock!AL17="","",Stock!AL17)</f>
        <v>312000</v>
      </c>
      <c r="AP21" s="13">
        <f ca="1">IF(Stock!AM17="","",Stock!AM17)</f>
        <v>312000</v>
      </c>
      <c r="AQ21" s="13">
        <f ca="1">IF(Stock!AN17="","",Stock!AN17)</f>
        <v>312000</v>
      </c>
      <c r="AR21" s="13">
        <f ca="1">IF(Stock!AO17="","",Stock!AO17)</f>
        <v>312000</v>
      </c>
      <c r="AS21" s="13">
        <f ca="1">IF(Stock!AP17="","",Stock!AP17)</f>
        <v>312000</v>
      </c>
      <c r="AT21" s="13">
        <f ca="1">IF(Stock!AQ17="","",Stock!AQ17)</f>
        <v>312000</v>
      </c>
      <c r="AU21" s="13">
        <f ca="1">IF(Stock!AR17="","",Stock!AR17)</f>
        <v>312000</v>
      </c>
      <c r="AV21" s="13">
        <f ca="1">IF(Stock!AS17="","",Stock!AS17)</f>
        <v>312000</v>
      </c>
      <c r="AW21" s="13">
        <f ca="1">IF(Stock!AT17="","",Stock!AT17)</f>
        <v>312000</v>
      </c>
      <c r="AX21" s="13">
        <f ca="1">IF(Stock!AU17="","",Stock!AU17)</f>
        <v>312000</v>
      </c>
      <c r="AY21" s="13">
        <f ca="1">IF(Stock!AV17="","",Stock!AV17)</f>
        <v>312000</v>
      </c>
      <c r="AZ21" s="13">
        <f ca="1">IF(Stock!AW17="","",Stock!AW17)</f>
        <v>312000</v>
      </c>
      <c r="BA21" s="13">
        <f ca="1">IF(Stock!AX17="","",Stock!AX17)</f>
        <v>312000</v>
      </c>
      <c r="BB21" s="13" t="str">
        <f>IF(Stock!AY17="","",Stock!AY17)</f>
        <v/>
      </c>
      <c r="BC21" s="13" t="str">
        <f>IF(Stock!AZ17="","",Stock!AZ17)</f>
        <v/>
      </c>
      <c r="BD21" s="13" t="str">
        <f>IF(Stock!BA17="","",Stock!BA17)</f>
        <v/>
      </c>
      <c r="BE21" s="13" t="str">
        <f>IF(Stock!BB17="","",Stock!BB17)</f>
        <v/>
      </c>
      <c r="BF21" s="13" t="str">
        <f>IF(Stock!BC17="","",Stock!BC17)</f>
        <v/>
      </c>
    </row>
    <row r="22" spans="1:58" ht="14.25" customHeight="1" x14ac:dyDescent="0.3">
      <c r="A22" s="15">
        <f>IF('MV Repo'!A18="","",IF(E22="",A21,A21+1))</f>
        <v>10</v>
      </c>
      <c r="B22" s="31" t="str">
        <f>IF(A22="","",IF('MV Repo'!A18=0,"B " &amp; TEXT('MV Repo'!B18,"mm/jj/aa"),"T " &amp; 'MV Repo'!A18 &amp; " " &amp; TEXT('MV Repo'!B18,"mm/aa")))</f>
        <v>T 0.25 06/14</v>
      </c>
      <c r="C22" s="30" t="str">
        <f>IF('Stock UST'!C18="","",'Stock UST'!C18)</f>
        <v>UST2014060.25</v>
      </c>
      <c r="D22" s="30" t="str">
        <f>IF('Stock UST'!D18="","",'Stock UST'!D18)</f>
        <v>US912828TA86</v>
      </c>
      <c r="E22" s="13" t="str">
        <f>IF(Stock!B18="","",Stock!B18)</f>
        <v/>
      </c>
      <c r="F22" s="13" t="str">
        <f ca="1">IF(Stock!C18="","",Stock!C18)</f>
        <v/>
      </c>
      <c r="G22" s="13" t="str">
        <f ca="1">IF(Stock!D18="","",Stock!D18)</f>
        <v/>
      </c>
      <c r="H22" s="13" t="str">
        <f ca="1">IF(Stock!E18="","",Stock!E18)</f>
        <v/>
      </c>
      <c r="I22" s="13" t="str">
        <f ca="1">IF(Stock!F18="","",Stock!F18)</f>
        <v/>
      </c>
      <c r="J22" s="13" t="str">
        <f ca="1">IF(Stock!G18="","",Stock!G18)</f>
        <v/>
      </c>
      <c r="K22" s="13" t="str">
        <f ca="1">IF(Stock!H18="","",Stock!H18)</f>
        <v/>
      </c>
      <c r="L22" s="13" t="str">
        <f ca="1">IF(Stock!I18="","",Stock!I18)</f>
        <v/>
      </c>
      <c r="M22" s="13" t="str">
        <f ca="1">IF(Stock!J18="","",Stock!J18)</f>
        <v/>
      </c>
      <c r="N22" s="13" t="str">
        <f ca="1">IF(Stock!K18="","",Stock!K18)</f>
        <v/>
      </c>
      <c r="O22" s="13" t="str">
        <f ca="1">IF(Stock!L18="","",Stock!L18)</f>
        <v/>
      </c>
      <c r="P22" s="13" t="str">
        <f ca="1">IF(Stock!M18="","",Stock!M18)</f>
        <v/>
      </c>
      <c r="Q22" s="13" t="str">
        <f ca="1">IF(Stock!N18="","",Stock!N18)</f>
        <v/>
      </c>
      <c r="R22" s="13" t="str">
        <f ca="1">IF(Stock!O18="","",Stock!O18)</f>
        <v/>
      </c>
      <c r="S22" s="13" t="str">
        <f ca="1">IF(Stock!P18="","",Stock!P18)</f>
        <v/>
      </c>
      <c r="T22" s="13" t="str">
        <f ca="1">IF(Stock!Q18="","",Stock!Q18)</f>
        <v/>
      </c>
      <c r="U22" s="13" t="str">
        <f ca="1">IF(Stock!R18="","",Stock!R18)</f>
        <v/>
      </c>
      <c r="V22" s="13" t="str">
        <f ca="1">IF(Stock!S18="","",Stock!S18)</f>
        <v/>
      </c>
      <c r="W22" s="13" t="str">
        <f ca="1">IF(Stock!T18="","",Stock!T18)</f>
        <v/>
      </c>
      <c r="X22" s="13" t="str">
        <f ca="1">IF(Stock!U18="","",Stock!U18)</f>
        <v/>
      </c>
      <c r="Y22" s="13" t="str">
        <f ca="1">IF(Stock!V18="","",Stock!V18)</f>
        <v/>
      </c>
      <c r="Z22" s="13" t="str">
        <f ca="1">IF(Stock!W18="","",Stock!W18)</f>
        <v/>
      </c>
      <c r="AA22" s="13" t="str">
        <f ca="1">IF(Stock!X18="","",Stock!X18)</f>
        <v/>
      </c>
      <c r="AB22" s="13" t="str">
        <f ca="1">IF(Stock!Y18="","",Stock!Y18)</f>
        <v/>
      </c>
      <c r="AC22" s="13" t="str">
        <f ca="1">IF(Stock!Z18="","",Stock!Z18)</f>
        <v/>
      </c>
      <c r="AD22" s="13" t="str">
        <f ca="1">IF(Stock!AA18="","",Stock!AA18)</f>
        <v/>
      </c>
      <c r="AE22" s="13" t="str">
        <f ca="1">IF(Stock!AB18="","",Stock!AB18)</f>
        <v/>
      </c>
      <c r="AF22" s="13" t="str">
        <f ca="1">IF(Stock!AC18="","",Stock!AC18)</f>
        <v/>
      </c>
      <c r="AG22" s="13" t="str">
        <f ca="1">IF(Stock!AD18="","",Stock!AD18)</f>
        <v/>
      </c>
      <c r="AH22" s="13" t="str">
        <f ca="1">IF(Stock!AE18="","",Stock!AE18)</f>
        <v/>
      </c>
      <c r="AI22" s="13" t="str">
        <f ca="1">IF(Stock!AF18="","",Stock!AF18)</f>
        <v/>
      </c>
      <c r="AJ22" s="13" t="str">
        <f ca="1">IF(Stock!AG18="","",Stock!AG18)</f>
        <v/>
      </c>
      <c r="AK22" s="13" t="str">
        <f ca="1">IF(Stock!AH18="","",Stock!AH18)</f>
        <v/>
      </c>
      <c r="AL22" s="13" t="str">
        <f ca="1">IF(Stock!AI18="","",Stock!AI18)</f>
        <v/>
      </c>
      <c r="AM22" s="13" t="str">
        <f ca="1">IF(Stock!AJ18="","",Stock!AJ18)</f>
        <v/>
      </c>
      <c r="AN22" s="13" t="str">
        <f ca="1">IF(Stock!AK18="","",Stock!AK18)</f>
        <v/>
      </c>
      <c r="AO22" s="13" t="str">
        <f ca="1">IF(Stock!AL18="","",Stock!AL18)</f>
        <v/>
      </c>
      <c r="AP22" s="13" t="str">
        <f ca="1">IF(Stock!AM18="","",Stock!AM18)</f>
        <v/>
      </c>
      <c r="AQ22" s="13" t="str">
        <f ca="1">IF(Stock!AN18="","",Stock!AN18)</f>
        <v/>
      </c>
      <c r="AR22" s="13" t="str">
        <f ca="1">IF(Stock!AO18="","",Stock!AO18)</f>
        <v/>
      </c>
      <c r="AS22" s="13" t="str">
        <f ca="1">IF(Stock!AP18="","",Stock!AP18)</f>
        <v/>
      </c>
      <c r="AT22" s="13" t="str">
        <f ca="1">IF(Stock!AQ18="","",Stock!AQ18)</f>
        <v/>
      </c>
      <c r="AU22" s="13" t="str">
        <f ca="1">IF(Stock!AR18="","",Stock!AR18)</f>
        <v/>
      </c>
      <c r="AV22" s="13" t="str">
        <f ca="1">IF(Stock!AS18="","",Stock!AS18)</f>
        <v/>
      </c>
      <c r="AW22" s="13" t="str">
        <f ca="1">IF(Stock!AT18="","",Stock!AT18)</f>
        <v/>
      </c>
      <c r="AX22" s="13" t="str">
        <f ca="1">IF(Stock!AU18="","",Stock!AU18)</f>
        <v/>
      </c>
      <c r="AY22" s="13" t="str">
        <f ca="1">IF(Stock!AV18="","",Stock!AV18)</f>
        <v/>
      </c>
      <c r="AZ22" s="13" t="str">
        <f ca="1">IF(Stock!AW18="","",Stock!AW18)</f>
        <v/>
      </c>
      <c r="BA22" s="13" t="str">
        <f ca="1">IF(Stock!AX18="","",Stock!AX18)</f>
        <v/>
      </c>
      <c r="BB22" s="13" t="str">
        <f>IF(Stock!AY18="","",Stock!AY18)</f>
        <v/>
      </c>
      <c r="BC22" s="13" t="str">
        <f>IF(Stock!AZ18="","",Stock!AZ18)</f>
        <v/>
      </c>
      <c r="BD22" s="13" t="str">
        <f>IF(Stock!BA18="","",Stock!BA18)</f>
        <v/>
      </c>
      <c r="BE22" s="13" t="str">
        <f>IF(Stock!BB18="","",Stock!BB18)</f>
        <v/>
      </c>
      <c r="BF22" s="13" t="str">
        <f>IF(Stock!BC18="","",Stock!BC18)</f>
        <v/>
      </c>
    </row>
    <row r="23" spans="1:58" ht="14.25" customHeight="1" x14ac:dyDescent="0.3">
      <c r="A23" s="15">
        <f>IF('MV Repo'!A19="","",IF(E23="",A22,A22+1))</f>
        <v>10</v>
      </c>
      <c r="B23" s="31" t="str">
        <f>IF(A23="","",IF('MV Repo'!A19=0,"B " &amp; TEXT('MV Repo'!B19,"mm/jj/aa"),"T " &amp; 'MV Repo'!A19 &amp; " " &amp; TEXT('MV Repo'!B19,"mm/aa")))</f>
        <v>T 2.5 03/15</v>
      </c>
      <c r="C23" s="30" t="str">
        <f>IF('Stock UST'!C19="","",'Stock UST'!C19)</f>
        <v>UST2015032.5</v>
      </c>
      <c r="D23" s="30" t="str">
        <f>IF('Stock UST'!D19="","",'Stock UST'!D19)</f>
        <v>US912828MW79</v>
      </c>
      <c r="E23" s="13" t="str">
        <f>IF(Stock!B19="","",Stock!B19)</f>
        <v/>
      </c>
      <c r="F23" s="13" t="str">
        <f ca="1">IF(Stock!C19="","",Stock!C19)</f>
        <v/>
      </c>
      <c r="G23" s="13" t="str">
        <f ca="1">IF(Stock!D19="","",Stock!D19)</f>
        <v/>
      </c>
      <c r="H23" s="13" t="str">
        <f ca="1">IF(Stock!E19="","",Stock!E19)</f>
        <v/>
      </c>
      <c r="I23" s="13" t="str">
        <f ca="1">IF(Stock!F19="","",Stock!F19)</f>
        <v/>
      </c>
      <c r="J23" s="13" t="str">
        <f ca="1">IF(Stock!G19="","",Stock!G19)</f>
        <v/>
      </c>
      <c r="K23" s="13" t="str">
        <f ca="1">IF(Stock!H19="","",Stock!H19)</f>
        <v/>
      </c>
      <c r="L23" s="13" t="str">
        <f ca="1">IF(Stock!I19="","",Stock!I19)</f>
        <v/>
      </c>
      <c r="M23" s="13" t="str">
        <f ca="1">IF(Stock!J19="","",Stock!J19)</f>
        <v/>
      </c>
      <c r="N23" s="13" t="str">
        <f ca="1">IF(Stock!K19="","",Stock!K19)</f>
        <v/>
      </c>
      <c r="O23" s="13" t="str">
        <f ca="1">IF(Stock!L19="","",Stock!L19)</f>
        <v/>
      </c>
      <c r="P23" s="13" t="str">
        <f ca="1">IF(Stock!M19="","",Stock!M19)</f>
        <v/>
      </c>
      <c r="Q23" s="13" t="str">
        <f ca="1">IF(Stock!N19="","",Stock!N19)</f>
        <v/>
      </c>
      <c r="R23" s="13" t="str">
        <f ca="1">IF(Stock!O19="","",Stock!O19)</f>
        <v/>
      </c>
      <c r="S23" s="13" t="str">
        <f ca="1">IF(Stock!P19="","",Stock!P19)</f>
        <v/>
      </c>
      <c r="T23" s="13" t="str">
        <f ca="1">IF(Stock!Q19="","",Stock!Q19)</f>
        <v/>
      </c>
      <c r="U23" s="13" t="str">
        <f ca="1">IF(Stock!R19="","",Stock!R19)</f>
        <v/>
      </c>
      <c r="V23" s="13" t="str">
        <f ca="1">IF(Stock!S19="","",Stock!S19)</f>
        <v/>
      </c>
      <c r="W23" s="13" t="str">
        <f ca="1">IF(Stock!T19="","",Stock!T19)</f>
        <v/>
      </c>
      <c r="X23" s="13" t="str">
        <f ca="1">IF(Stock!U19="","",Stock!U19)</f>
        <v/>
      </c>
      <c r="Y23" s="13" t="str">
        <f ca="1">IF(Stock!V19="","",Stock!V19)</f>
        <v/>
      </c>
      <c r="Z23" s="13" t="str">
        <f ca="1">IF(Stock!W19="","",Stock!W19)</f>
        <v/>
      </c>
      <c r="AA23" s="13" t="str">
        <f ca="1">IF(Stock!X19="","",Stock!X19)</f>
        <v/>
      </c>
      <c r="AB23" s="13" t="str">
        <f ca="1">IF(Stock!Y19="","",Stock!Y19)</f>
        <v/>
      </c>
      <c r="AC23" s="13" t="str">
        <f ca="1">IF(Stock!Z19="","",Stock!Z19)</f>
        <v/>
      </c>
      <c r="AD23" s="13" t="str">
        <f ca="1">IF(Stock!AA19="","",Stock!AA19)</f>
        <v/>
      </c>
      <c r="AE23" s="13" t="str">
        <f ca="1">IF(Stock!AB19="","",Stock!AB19)</f>
        <v/>
      </c>
      <c r="AF23" s="13" t="str">
        <f ca="1">IF(Stock!AC19="","",Stock!AC19)</f>
        <v/>
      </c>
      <c r="AG23" s="13" t="str">
        <f ca="1">IF(Stock!AD19="","",Stock!AD19)</f>
        <v/>
      </c>
      <c r="AH23" s="13" t="str">
        <f ca="1">IF(Stock!AE19="","",Stock!AE19)</f>
        <v/>
      </c>
      <c r="AI23" s="13" t="str">
        <f ca="1">IF(Stock!AF19="","",Stock!AF19)</f>
        <v/>
      </c>
      <c r="AJ23" s="13" t="str">
        <f ca="1">IF(Stock!AG19="","",Stock!AG19)</f>
        <v/>
      </c>
      <c r="AK23" s="13" t="str">
        <f ca="1">IF(Stock!AH19="","",Stock!AH19)</f>
        <v/>
      </c>
      <c r="AL23" s="13" t="str">
        <f ca="1">IF(Stock!AI19="","",Stock!AI19)</f>
        <v/>
      </c>
      <c r="AM23" s="13" t="str">
        <f ca="1">IF(Stock!AJ19="","",Stock!AJ19)</f>
        <v/>
      </c>
      <c r="AN23" s="13" t="str">
        <f ca="1">IF(Stock!AK19="","",Stock!AK19)</f>
        <v/>
      </c>
      <c r="AO23" s="13" t="str">
        <f ca="1">IF(Stock!AL19="","",Stock!AL19)</f>
        <v/>
      </c>
      <c r="AP23" s="13" t="str">
        <f ca="1">IF(Stock!AM19="","",Stock!AM19)</f>
        <v/>
      </c>
      <c r="AQ23" s="13" t="str">
        <f ca="1">IF(Stock!AN19="","",Stock!AN19)</f>
        <v/>
      </c>
      <c r="AR23" s="13" t="str">
        <f ca="1">IF(Stock!AO19="","",Stock!AO19)</f>
        <v/>
      </c>
      <c r="AS23" s="13" t="str">
        <f ca="1">IF(Stock!AP19="","",Stock!AP19)</f>
        <v/>
      </c>
      <c r="AT23" s="13" t="str">
        <f ca="1">IF(Stock!AQ19="","",Stock!AQ19)</f>
        <v/>
      </c>
      <c r="AU23" s="13" t="str">
        <f ca="1">IF(Stock!AR19="","",Stock!AR19)</f>
        <v/>
      </c>
      <c r="AV23" s="13" t="str">
        <f ca="1">IF(Stock!AS19="","",Stock!AS19)</f>
        <v/>
      </c>
      <c r="AW23" s="13" t="str">
        <f ca="1">IF(Stock!AT19="","",Stock!AT19)</f>
        <v/>
      </c>
      <c r="AX23" s="13" t="str">
        <f ca="1">IF(Stock!AU19="","",Stock!AU19)</f>
        <v/>
      </c>
      <c r="AY23" s="13" t="str">
        <f ca="1">IF(Stock!AV19="","",Stock!AV19)</f>
        <v/>
      </c>
      <c r="AZ23" s="13" t="str">
        <f ca="1">IF(Stock!AW19="","",Stock!AW19)</f>
        <v/>
      </c>
      <c r="BA23" s="13" t="str">
        <f ca="1">IF(Stock!AX19="","",Stock!AX19)</f>
        <v/>
      </c>
      <c r="BB23" s="13" t="str">
        <f>IF(Stock!AY19="","",Stock!AY19)</f>
        <v/>
      </c>
      <c r="BC23" s="13" t="str">
        <f>IF(Stock!AZ19="","",Stock!AZ19)</f>
        <v/>
      </c>
      <c r="BD23" s="13" t="str">
        <f>IF(Stock!BA19="","",Stock!BA19)</f>
        <v/>
      </c>
      <c r="BE23" s="13" t="str">
        <f>IF(Stock!BB19="","",Stock!BB19)</f>
        <v/>
      </c>
      <c r="BF23" s="13" t="str">
        <f>IF(Stock!BC19="","",Stock!BC19)</f>
        <v/>
      </c>
    </row>
    <row r="24" spans="1:58" ht="14.25" customHeight="1" x14ac:dyDescent="0.3">
      <c r="A24" s="15">
        <f>IF('MV Repo'!A20="","",IF(E24="",A23,A23+1))</f>
        <v>10</v>
      </c>
      <c r="B24" s="31" t="str">
        <f>IF(A24="","",IF('MV Repo'!A20=0,"B " &amp; TEXT('MV Repo'!B20,"mm/jj/aa"),"T " &amp; 'MV Repo'!A20 &amp; " " &amp; TEXT('MV Repo'!B20,"mm/aa")))</f>
        <v>T 2.5 04/15</v>
      </c>
      <c r="C24" s="30" t="str">
        <f>IF('Stock UST'!C20="","",'Stock UST'!C20)</f>
        <v>UST2015042.5</v>
      </c>
      <c r="D24" s="30" t="str">
        <f>IF('Stock UST'!D20="","",'Stock UST'!D20)</f>
        <v>US912828MZ01</v>
      </c>
      <c r="E24" s="13" t="str">
        <f>IF(Stock!B20="","",Stock!B20)</f>
        <v/>
      </c>
      <c r="F24" s="13" t="str">
        <f ca="1">IF(Stock!C20="","",Stock!C20)</f>
        <v/>
      </c>
      <c r="G24" s="13" t="str">
        <f ca="1">IF(Stock!D20="","",Stock!D20)</f>
        <v/>
      </c>
      <c r="H24" s="13" t="str">
        <f ca="1">IF(Stock!E20="","",Stock!E20)</f>
        <v/>
      </c>
      <c r="I24" s="13" t="str">
        <f ca="1">IF(Stock!F20="","",Stock!F20)</f>
        <v/>
      </c>
      <c r="J24" s="13" t="str">
        <f ca="1">IF(Stock!G20="","",Stock!G20)</f>
        <v/>
      </c>
      <c r="K24" s="13" t="str">
        <f ca="1">IF(Stock!H20="","",Stock!H20)</f>
        <v/>
      </c>
      <c r="L24" s="13" t="str">
        <f ca="1">IF(Stock!I20="","",Stock!I20)</f>
        <v/>
      </c>
      <c r="M24" s="13" t="str">
        <f ca="1">IF(Stock!J20="","",Stock!J20)</f>
        <v/>
      </c>
      <c r="N24" s="13" t="str">
        <f ca="1">IF(Stock!K20="","",Stock!K20)</f>
        <v/>
      </c>
      <c r="O24" s="13" t="str">
        <f ca="1">IF(Stock!L20="","",Stock!L20)</f>
        <v/>
      </c>
      <c r="P24" s="13" t="str">
        <f ca="1">IF(Stock!M20="","",Stock!M20)</f>
        <v/>
      </c>
      <c r="Q24" s="13" t="str">
        <f ca="1">IF(Stock!N20="","",Stock!N20)</f>
        <v/>
      </c>
      <c r="R24" s="13" t="str">
        <f ca="1">IF(Stock!O20="","",Stock!O20)</f>
        <v/>
      </c>
      <c r="S24" s="13" t="str">
        <f ca="1">IF(Stock!P20="","",Stock!P20)</f>
        <v/>
      </c>
      <c r="T24" s="13" t="str">
        <f ca="1">IF(Stock!Q20="","",Stock!Q20)</f>
        <v/>
      </c>
      <c r="U24" s="13" t="str">
        <f ca="1">IF(Stock!R20="","",Stock!R20)</f>
        <v/>
      </c>
      <c r="V24" s="13" t="str">
        <f ca="1">IF(Stock!S20="","",Stock!S20)</f>
        <v/>
      </c>
      <c r="W24" s="13" t="str">
        <f ca="1">IF(Stock!T20="","",Stock!T20)</f>
        <v/>
      </c>
      <c r="X24" s="13" t="str">
        <f ca="1">IF(Stock!U20="","",Stock!U20)</f>
        <v/>
      </c>
      <c r="Y24" s="13" t="str">
        <f ca="1">IF(Stock!V20="","",Stock!V20)</f>
        <v/>
      </c>
      <c r="Z24" s="13" t="str">
        <f ca="1">IF(Stock!W20="","",Stock!W20)</f>
        <v/>
      </c>
      <c r="AA24" s="13" t="str">
        <f ca="1">IF(Stock!X20="","",Stock!X20)</f>
        <v/>
      </c>
      <c r="AB24" s="13" t="str">
        <f ca="1">IF(Stock!Y20="","",Stock!Y20)</f>
        <v/>
      </c>
      <c r="AC24" s="13" t="str">
        <f ca="1">IF(Stock!Z20="","",Stock!Z20)</f>
        <v/>
      </c>
      <c r="AD24" s="13" t="str">
        <f ca="1">IF(Stock!AA20="","",Stock!AA20)</f>
        <v/>
      </c>
      <c r="AE24" s="13" t="str">
        <f ca="1">IF(Stock!AB20="","",Stock!AB20)</f>
        <v/>
      </c>
      <c r="AF24" s="13" t="str">
        <f ca="1">IF(Stock!AC20="","",Stock!AC20)</f>
        <v/>
      </c>
      <c r="AG24" s="13" t="str">
        <f ca="1">IF(Stock!AD20="","",Stock!AD20)</f>
        <v/>
      </c>
      <c r="AH24" s="13" t="str">
        <f ca="1">IF(Stock!AE20="","",Stock!AE20)</f>
        <v/>
      </c>
      <c r="AI24" s="13" t="str">
        <f ca="1">IF(Stock!AF20="","",Stock!AF20)</f>
        <v/>
      </c>
      <c r="AJ24" s="13" t="str">
        <f ca="1">IF(Stock!AG20="","",Stock!AG20)</f>
        <v/>
      </c>
      <c r="AK24" s="13" t="str">
        <f ca="1">IF(Stock!AH20="","",Stock!AH20)</f>
        <v/>
      </c>
      <c r="AL24" s="13" t="str">
        <f ca="1">IF(Stock!AI20="","",Stock!AI20)</f>
        <v/>
      </c>
      <c r="AM24" s="13" t="str">
        <f ca="1">IF(Stock!AJ20="","",Stock!AJ20)</f>
        <v/>
      </c>
      <c r="AN24" s="13" t="str">
        <f ca="1">IF(Stock!AK20="","",Stock!AK20)</f>
        <v/>
      </c>
      <c r="AO24" s="13" t="str">
        <f ca="1">IF(Stock!AL20="","",Stock!AL20)</f>
        <v/>
      </c>
      <c r="AP24" s="13" t="str">
        <f ca="1">IF(Stock!AM20="","",Stock!AM20)</f>
        <v/>
      </c>
      <c r="AQ24" s="13" t="str">
        <f ca="1">IF(Stock!AN20="","",Stock!AN20)</f>
        <v/>
      </c>
      <c r="AR24" s="13" t="str">
        <f ca="1">IF(Stock!AO20="","",Stock!AO20)</f>
        <v/>
      </c>
      <c r="AS24" s="13" t="str">
        <f ca="1">IF(Stock!AP20="","",Stock!AP20)</f>
        <v/>
      </c>
      <c r="AT24" s="13" t="str">
        <f ca="1">IF(Stock!AQ20="","",Stock!AQ20)</f>
        <v/>
      </c>
      <c r="AU24" s="13" t="str">
        <f ca="1">IF(Stock!AR20="","",Stock!AR20)</f>
        <v/>
      </c>
      <c r="AV24" s="13" t="str">
        <f ca="1">IF(Stock!AS20="","",Stock!AS20)</f>
        <v/>
      </c>
      <c r="AW24" s="13" t="str">
        <f ca="1">IF(Stock!AT20="","",Stock!AT20)</f>
        <v/>
      </c>
      <c r="AX24" s="13" t="str">
        <f ca="1">IF(Stock!AU20="","",Stock!AU20)</f>
        <v/>
      </c>
      <c r="AY24" s="13" t="str">
        <f ca="1">IF(Stock!AV20="","",Stock!AV20)</f>
        <v/>
      </c>
      <c r="AZ24" s="13" t="str">
        <f ca="1">IF(Stock!AW20="","",Stock!AW20)</f>
        <v/>
      </c>
      <c r="BA24" s="13" t="str">
        <f ca="1">IF(Stock!AX20="","",Stock!AX20)</f>
        <v/>
      </c>
      <c r="BB24" s="13" t="str">
        <f>IF(Stock!AY20="","",Stock!AY20)</f>
        <v/>
      </c>
      <c r="BC24" s="13" t="str">
        <f>IF(Stock!AZ20="","",Stock!AZ20)</f>
        <v/>
      </c>
      <c r="BD24" s="13" t="str">
        <f>IF(Stock!BA20="","",Stock!BA20)</f>
        <v/>
      </c>
      <c r="BE24" s="13" t="str">
        <f>IF(Stock!BB20="","",Stock!BB20)</f>
        <v/>
      </c>
      <c r="BF24" s="13" t="str">
        <f>IF(Stock!BC20="","",Stock!BC20)</f>
        <v/>
      </c>
    </row>
    <row r="25" spans="1:58" ht="14.25" customHeight="1" x14ac:dyDescent="0.3">
      <c r="A25" s="15">
        <f>IF('MV Repo'!A21="","",IF(E25="",A24,A24+1))</f>
        <v>10</v>
      </c>
      <c r="B25" s="31" t="str">
        <f>IF(A25="","",IF('MV Repo'!A21=0,"B " &amp; TEXT('MV Repo'!B21,"mm/jj/aa"),"T " &amp; 'MV Repo'!A21 &amp; " " &amp; TEXT('MV Repo'!B21,"mm/aa")))</f>
        <v>T 4.625 02/17</v>
      </c>
      <c r="C25" s="30" t="str">
        <f>IF('Stock UST'!C21="","",'Stock UST'!C21)</f>
        <v>UST2017024.625</v>
      </c>
      <c r="D25" s="30" t="str">
        <f>IF('Stock UST'!D21="","",'Stock UST'!D21)</f>
        <v>US912828GH76</v>
      </c>
      <c r="E25" s="13" t="str">
        <f>IF(Stock!B21="","",Stock!B21)</f>
        <v/>
      </c>
      <c r="F25" s="13" t="str">
        <f ca="1">IF(Stock!C21="","",Stock!C21)</f>
        <v/>
      </c>
      <c r="G25" s="13" t="str">
        <f ca="1">IF(Stock!D21="","",Stock!D21)</f>
        <v/>
      </c>
      <c r="H25" s="13" t="str">
        <f ca="1">IF(Stock!E21="","",Stock!E21)</f>
        <v/>
      </c>
      <c r="I25" s="13" t="str">
        <f ca="1">IF(Stock!F21="","",Stock!F21)</f>
        <v/>
      </c>
      <c r="J25" s="13" t="str">
        <f ca="1">IF(Stock!G21="","",Stock!G21)</f>
        <v/>
      </c>
      <c r="K25" s="13" t="str">
        <f ca="1">IF(Stock!H21="","",Stock!H21)</f>
        <v/>
      </c>
      <c r="L25" s="13" t="str">
        <f ca="1">IF(Stock!I21="","",Stock!I21)</f>
        <v/>
      </c>
      <c r="M25" s="13" t="str">
        <f ca="1">IF(Stock!J21="","",Stock!J21)</f>
        <v/>
      </c>
      <c r="N25" s="13" t="str">
        <f ca="1">IF(Stock!K21="","",Stock!K21)</f>
        <v/>
      </c>
      <c r="O25" s="13" t="str">
        <f ca="1">IF(Stock!L21="","",Stock!L21)</f>
        <v/>
      </c>
      <c r="P25" s="13" t="str">
        <f ca="1">IF(Stock!M21="","",Stock!M21)</f>
        <v/>
      </c>
      <c r="Q25" s="13" t="str">
        <f ca="1">IF(Stock!N21="","",Stock!N21)</f>
        <v/>
      </c>
      <c r="R25" s="13" t="str">
        <f ca="1">IF(Stock!O21="","",Stock!O21)</f>
        <v/>
      </c>
      <c r="S25" s="13" t="str">
        <f ca="1">IF(Stock!P21="","",Stock!P21)</f>
        <v/>
      </c>
      <c r="T25" s="13" t="str">
        <f ca="1">IF(Stock!Q21="","",Stock!Q21)</f>
        <v/>
      </c>
      <c r="U25" s="13" t="str">
        <f ca="1">IF(Stock!R21="","",Stock!R21)</f>
        <v/>
      </c>
      <c r="V25" s="13" t="str">
        <f ca="1">IF(Stock!S21="","",Stock!S21)</f>
        <v/>
      </c>
      <c r="W25" s="13" t="str">
        <f ca="1">IF(Stock!T21="","",Stock!T21)</f>
        <v/>
      </c>
      <c r="X25" s="13" t="str">
        <f ca="1">IF(Stock!U21="","",Stock!U21)</f>
        <v/>
      </c>
      <c r="Y25" s="13" t="str">
        <f ca="1">IF(Stock!V21="","",Stock!V21)</f>
        <v/>
      </c>
      <c r="Z25" s="13" t="str">
        <f ca="1">IF(Stock!W21="","",Stock!W21)</f>
        <v/>
      </c>
      <c r="AA25" s="13" t="str">
        <f ca="1">IF(Stock!X21="","",Stock!X21)</f>
        <v/>
      </c>
      <c r="AB25" s="13" t="str">
        <f ca="1">IF(Stock!Y21="","",Stock!Y21)</f>
        <v/>
      </c>
      <c r="AC25" s="13" t="str">
        <f ca="1">IF(Stock!Z21="","",Stock!Z21)</f>
        <v/>
      </c>
      <c r="AD25" s="13" t="str">
        <f ca="1">IF(Stock!AA21="","",Stock!AA21)</f>
        <v/>
      </c>
      <c r="AE25" s="13" t="str">
        <f ca="1">IF(Stock!AB21="","",Stock!AB21)</f>
        <v/>
      </c>
      <c r="AF25" s="13" t="str">
        <f ca="1">IF(Stock!AC21="","",Stock!AC21)</f>
        <v/>
      </c>
      <c r="AG25" s="13" t="str">
        <f ca="1">IF(Stock!AD21="","",Stock!AD21)</f>
        <v/>
      </c>
      <c r="AH25" s="13" t="str">
        <f ca="1">IF(Stock!AE21="","",Stock!AE21)</f>
        <v/>
      </c>
      <c r="AI25" s="13" t="str">
        <f ca="1">IF(Stock!AF21="","",Stock!AF21)</f>
        <v/>
      </c>
      <c r="AJ25" s="13" t="str">
        <f ca="1">IF(Stock!AG21="","",Stock!AG21)</f>
        <v/>
      </c>
      <c r="AK25" s="13" t="str">
        <f ca="1">IF(Stock!AH21="","",Stock!AH21)</f>
        <v/>
      </c>
      <c r="AL25" s="13" t="str">
        <f ca="1">IF(Stock!AI21="","",Stock!AI21)</f>
        <v/>
      </c>
      <c r="AM25" s="13" t="str">
        <f ca="1">IF(Stock!AJ21="","",Stock!AJ21)</f>
        <v/>
      </c>
      <c r="AN25" s="13" t="str">
        <f ca="1">IF(Stock!AK21="","",Stock!AK21)</f>
        <v/>
      </c>
      <c r="AO25" s="13" t="str">
        <f ca="1">IF(Stock!AL21="","",Stock!AL21)</f>
        <v/>
      </c>
      <c r="AP25" s="13" t="str">
        <f ca="1">IF(Stock!AM21="","",Stock!AM21)</f>
        <v/>
      </c>
      <c r="AQ25" s="13" t="str">
        <f ca="1">IF(Stock!AN21="","",Stock!AN21)</f>
        <v/>
      </c>
      <c r="AR25" s="13" t="str">
        <f ca="1">IF(Stock!AO21="","",Stock!AO21)</f>
        <v/>
      </c>
      <c r="AS25" s="13" t="str">
        <f ca="1">IF(Stock!AP21="","",Stock!AP21)</f>
        <v/>
      </c>
      <c r="AT25" s="13" t="str">
        <f ca="1">IF(Stock!AQ21="","",Stock!AQ21)</f>
        <v/>
      </c>
      <c r="AU25" s="13" t="str">
        <f ca="1">IF(Stock!AR21="","",Stock!AR21)</f>
        <v/>
      </c>
      <c r="AV25" s="13" t="str">
        <f ca="1">IF(Stock!AS21="","",Stock!AS21)</f>
        <v/>
      </c>
      <c r="AW25" s="13" t="str">
        <f ca="1">IF(Stock!AT21="","",Stock!AT21)</f>
        <v/>
      </c>
      <c r="AX25" s="13" t="str">
        <f ca="1">IF(Stock!AU21="","",Stock!AU21)</f>
        <v/>
      </c>
      <c r="AY25" s="13" t="str">
        <f ca="1">IF(Stock!AV21="","",Stock!AV21)</f>
        <v/>
      </c>
      <c r="AZ25" s="13" t="str">
        <f ca="1">IF(Stock!AW21="","",Stock!AW21)</f>
        <v/>
      </c>
      <c r="BA25" s="13" t="str">
        <f ca="1">IF(Stock!AX21="","",Stock!AX21)</f>
        <v/>
      </c>
      <c r="BB25" s="13" t="str">
        <f>IF(Stock!AY21="","",Stock!AY21)</f>
        <v/>
      </c>
      <c r="BC25" s="13" t="str">
        <f>IF(Stock!AZ21="","",Stock!AZ21)</f>
        <v/>
      </c>
      <c r="BD25" s="13" t="str">
        <f>IF(Stock!BA21="","",Stock!BA21)</f>
        <v/>
      </c>
      <c r="BE25" s="13" t="str">
        <f>IF(Stock!BB21="","",Stock!BB21)</f>
        <v/>
      </c>
      <c r="BF25" s="13" t="str">
        <f>IF(Stock!BC21="","",Stock!BC21)</f>
        <v/>
      </c>
    </row>
    <row r="26" spans="1:58" ht="14.25" customHeight="1" x14ac:dyDescent="0.3">
      <c r="A26" s="15">
        <f>IF('MV Repo'!A22="","",IF(E26="",A25,A25+1))</f>
        <v>10</v>
      </c>
      <c r="B26" s="31" t="str">
        <f>IF(A26="","",IF('MV Repo'!A22=0,"B " &amp; TEXT('MV Repo'!B22,"mm/jj/aa"),"T " &amp; 'MV Repo'!A22 &amp; " " &amp; TEXT('MV Repo'!B22,"mm/aa")))</f>
        <v>T 0.875 02/17</v>
      </c>
      <c r="C26" s="30" t="str">
        <f>IF('Stock UST'!C22="","",'Stock UST'!C22)</f>
        <v>UST2017020.875</v>
      </c>
      <c r="D26" s="30" t="str">
        <f>IF('Stock UST'!D22="","",'Stock UST'!D22)</f>
        <v>US912828SJ05</v>
      </c>
      <c r="E26" s="13" t="str">
        <f>IF(Stock!B22="","",Stock!B22)</f>
        <v/>
      </c>
      <c r="F26" s="13" t="str">
        <f ca="1">IF(Stock!C22="","",Stock!C22)</f>
        <v/>
      </c>
      <c r="G26" s="13" t="str">
        <f ca="1">IF(Stock!D22="","",Stock!D22)</f>
        <v/>
      </c>
      <c r="H26" s="13" t="str">
        <f ca="1">IF(Stock!E22="","",Stock!E22)</f>
        <v/>
      </c>
      <c r="I26" s="13" t="str">
        <f ca="1">IF(Stock!F22="","",Stock!F22)</f>
        <v/>
      </c>
      <c r="J26" s="13" t="str">
        <f ca="1">IF(Stock!G22="","",Stock!G22)</f>
        <v/>
      </c>
      <c r="K26" s="13" t="str">
        <f ca="1">IF(Stock!H22="","",Stock!H22)</f>
        <v/>
      </c>
      <c r="L26" s="13" t="str">
        <f ca="1">IF(Stock!I22="","",Stock!I22)</f>
        <v/>
      </c>
      <c r="M26" s="13" t="str">
        <f ca="1">IF(Stock!J22="","",Stock!J22)</f>
        <v/>
      </c>
      <c r="N26" s="13" t="str">
        <f ca="1">IF(Stock!K22="","",Stock!K22)</f>
        <v/>
      </c>
      <c r="O26" s="13" t="str">
        <f ca="1">IF(Stock!L22="","",Stock!L22)</f>
        <v/>
      </c>
      <c r="P26" s="13" t="str">
        <f ca="1">IF(Stock!M22="","",Stock!M22)</f>
        <v/>
      </c>
      <c r="Q26" s="13" t="str">
        <f ca="1">IF(Stock!N22="","",Stock!N22)</f>
        <v/>
      </c>
      <c r="R26" s="13" t="str">
        <f ca="1">IF(Stock!O22="","",Stock!O22)</f>
        <v/>
      </c>
      <c r="S26" s="13" t="str">
        <f ca="1">IF(Stock!P22="","",Stock!P22)</f>
        <v/>
      </c>
      <c r="T26" s="13" t="str">
        <f ca="1">IF(Stock!Q22="","",Stock!Q22)</f>
        <v/>
      </c>
      <c r="U26" s="13" t="str">
        <f ca="1">IF(Stock!R22="","",Stock!R22)</f>
        <v/>
      </c>
      <c r="V26" s="13" t="str">
        <f ca="1">IF(Stock!S22="","",Stock!S22)</f>
        <v/>
      </c>
      <c r="W26" s="13" t="str">
        <f ca="1">IF(Stock!T22="","",Stock!T22)</f>
        <v/>
      </c>
      <c r="X26" s="13" t="str">
        <f ca="1">IF(Stock!U22="","",Stock!U22)</f>
        <v/>
      </c>
      <c r="Y26" s="13" t="str">
        <f ca="1">IF(Stock!V22="","",Stock!V22)</f>
        <v/>
      </c>
      <c r="Z26" s="13" t="str">
        <f ca="1">IF(Stock!W22="","",Stock!W22)</f>
        <v/>
      </c>
      <c r="AA26" s="13" t="str">
        <f ca="1">IF(Stock!X22="","",Stock!X22)</f>
        <v/>
      </c>
      <c r="AB26" s="13" t="str">
        <f ca="1">IF(Stock!Y22="","",Stock!Y22)</f>
        <v/>
      </c>
      <c r="AC26" s="13" t="str">
        <f ca="1">IF(Stock!Z22="","",Stock!Z22)</f>
        <v/>
      </c>
      <c r="AD26" s="13" t="str">
        <f ca="1">IF(Stock!AA22="","",Stock!AA22)</f>
        <v/>
      </c>
      <c r="AE26" s="13" t="str">
        <f ca="1">IF(Stock!AB22="","",Stock!AB22)</f>
        <v/>
      </c>
      <c r="AF26" s="13" t="str">
        <f ca="1">IF(Stock!AC22="","",Stock!AC22)</f>
        <v/>
      </c>
      <c r="AG26" s="13" t="str">
        <f ca="1">IF(Stock!AD22="","",Stock!AD22)</f>
        <v/>
      </c>
      <c r="AH26" s="13" t="str">
        <f ca="1">IF(Stock!AE22="","",Stock!AE22)</f>
        <v/>
      </c>
      <c r="AI26" s="13" t="str">
        <f ca="1">IF(Stock!AF22="","",Stock!AF22)</f>
        <v/>
      </c>
      <c r="AJ26" s="13" t="str">
        <f ca="1">IF(Stock!AG22="","",Stock!AG22)</f>
        <v/>
      </c>
      <c r="AK26" s="13" t="str">
        <f ca="1">IF(Stock!AH22="","",Stock!AH22)</f>
        <v/>
      </c>
      <c r="AL26" s="13" t="str">
        <f ca="1">IF(Stock!AI22="","",Stock!AI22)</f>
        <v/>
      </c>
      <c r="AM26" s="13" t="str">
        <f ca="1">IF(Stock!AJ22="","",Stock!AJ22)</f>
        <v/>
      </c>
      <c r="AN26" s="13" t="str">
        <f ca="1">IF(Stock!AK22="","",Stock!AK22)</f>
        <v/>
      </c>
      <c r="AO26" s="13" t="str">
        <f ca="1">IF(Stock!AL22="","",Stock!AL22)</f>
        <v/>
      </c>
      <c r="AP26" s="13" t="str">
        <f ca="1">IF(Stock!AM22="","",Stock!AM22)</f>
        <v/>
      </c>
      <c r="AQ26" s="13" t="str">
        <f ca="1">IF(Stock!AN22="","",Stock!AN22)</f>
        <v/>
      </c>
      <c r="AR26" s="13" t="str">
        <f ca="1">IF(Stock!AO22="","",Stock!AO22)</f>
        <v/>
      </c>
      <c r="AS26" s="13" t="str">
        <f ca="1">IF(Stock!AP22="","",Stock!AP22)</f>
        <v/>
      </c>
      <c r="AT26" s="13" t="str">
        <f ca="1">IF(Stock!AQ22="","",Stock!AQ22)</f>
        <v/>
      </c>
      <c r="AU26" s="13" t="str">
        <f ca="1">IF(Stock!AR22="","",Stock!AR22)</f>
        <v/>
      </c>
      <c r="AV26" s="13" t="str">
        <f ca="1">IF(Stock!AS22="","",Stock!AS22)</f>
        <v/>
      </c>
      <c r="AW26" s="13" t="str">
        <f ca="1">IF(Stock!AT22="","",Stock!AT22)</f>
        <v/>
      </c>
      <c r="AX26" s="13" t="str">
        <f ca="1">IF(Stock!AU22="","",Stock!AU22)</f>
        <v/>
      </c>
      <c r="AY26" s="13" t="str">
        <f ca="1">IF(Stock!AV22="","",Stock!AV22)</f>
        <v/>
      </c>
      <c r="AZ26" s="13" t="str">
        <f ca="1">IF(Stock!AW22="","",Stock!AW22)</f>
        <v/>
      </c>
      <c r="BA26" s="13" t="str">
        <f ca="1">IF(Stock!AX22="","",Stock!AX22)</f>
        <v/>
      </c>
      <c r="BB26" s="13" t="str">
        <f>IF(Stock!AY22="","",Stock!AY22)</f>
        <v/>
      </c>
      <c r="BC26" s="13" t="str">
        <f>IF(Stock!AZ22="","",Stock!AZ22)</f>
        <v/>
      </c>
      <c r="BD26" s="13" t="str">
        <f>IF(Stock!BA22="","",Stock!BA22)</f>
        <v/>
      </c>
      <c r="BE26" s="13" t="str">
        <f>IF(Stock!BB22="","",Stock!BB22)</f>
        <v/>
      </c>
      <c r="BF26" s="13" t="str">
        <f>IF(Stock!BC22="","",Stock!BC22)</f>
        <v/>
      </c>
    </row>
    <row r="27" spans="1:58" ht="14.25" customHeight="1" x14ac:dyDescent="0.3">
      <c r="A27" s="15">
        <f>IF('MV Repo'!A23="","",IF(E27="",A26,A26+1))</f>
        <v>11</v>
      </c>
      <c r="B27" s="31" t="str">
        <f>IF(A27="","",IF('MV Repo'!A23=0,"B " &amp; TEXT('MV Repo'!B23,"mm/jj/aa"),"T " &amp; 'MV Repo'!A23 &amp; " " &amp; TEXT('MV Repo'!B23,"mm/aa")))</f>
        <v>T 1 03/17</v>
      </c>
      <c r="C27" s="30" t="str">
        <f>IF('Stock UST'!C23="","",'Stock UST'!C23)</f>
        <v>UST2017031</v>
      </c>
      <c r="D27" s="30" t="str">
        <f>IF('Stock UST'!D23="","",'Stock UST'!D23)</f>
        <v>US912828SM34</v>
      </c>
      <c r="E27" s="13">
        <f>IF(Stock!B23="","",Stock!B23)</f>
        <v>33000</v>
      </c>
      <c r="F27" s="13">
        <f ca="1">IF(Stock!C23="","",Stock!C23)</f>
        <v>33000</v>
      </c>
      <c r="G27" s="13">
        <f ca="1">IF(Stock!D23="","",Stock!D23)</f>
        <v>33000</v>
      </c>
      <c r="H27" s="13">
        <f ca="1">IF(Stock!E23="","",Stock!E23)</f>
        <v>33000</v>
      </c>
      <c r="I27" s="13">
        <f ca="1">IF(Stock!F23="","",Stock!F23)</f>
        <v>33000</v>
      </c>
      <c r="J27" s="13">
        <f ca="1">IF(Stock!G23="","",Stock!G23)</f>
        <v>33000</v>
      </c>
      <c r="K27" s="13">
        <f ca="1">IF(Stock!H23="","",Stock!H23)</f>
        <v>33000</v>
      </c>
      <c r="L27" s="13">
        <f ca="1">IF(Stock!I23="","",Stock!I23)</f>
        <v>33000</v>
      </c>
      <c r="M27" s="13">
        <f ca="1">IF(Stock!J23="","",Stock!J23)</f>
        <v>33000</v>
      </c>
      <c r="N27" s="13">
        <f ca="1">IF(Stock!K23="","",Stock!K23)</f>
        <v>33000</v>
      </c>
      <c r="O27" s="13">
        <f ca="1">IF(Stock!L23="","",Stock!L23)</f>
        <v>33000</v>
      </c>
      <c r="P27" s="13">
        <f ca="1">IF(Stock!M23="","",Stock!M23)</f>
        <v>33000</v>
      </c>
      <c r="Q27" s="13">
        <f ca="1">IF(Stock!N23="","",Stock!N23)</f>
        <v>33000</v>
      </c>
      <c r="R27" s="13">
        <f ca="1">IF(Stock!O23="","",Stock!O23)</f>
        <v>33000</v>
      </c>
      <c r="S27" s="13">
        <f ca="1">IF(Stock!P23="","",Stock!P23)</f>
        <v>33000</v>
      </c>
      <c r="T27" s="13">
        <f ca="1">IF(Stock!Q23="","",Stock!Q23)</f>
        <v>33000</v>
      </c>
      <c r="U27" s="13">
        <f ca="1">IF(Stock!R23="","",Stock!R23)</f>
        <v>33000</v>
      </c>
      <c r="V27" s="13">
        <f ca="1">IF(Stock!S23="","",Stock!S23)</f>
        <v>33000</v>
      </c>
      <c r="W27" s="13">
        <f ca="1">IF(Stock!T23="","",Stock!T23)</f>
        <v>33000</v>
      </c>
      <c r="X27" s="13">
        <f ca="1">IF(Stock!U23="","",Stock!U23)</f>
        <v>33000</v>
      </c>
      <c r="Y27" s="13">
        <f ca="1">IF(Stock!V23="","",Stock!V23)</f>
        <v>33000</v>
      </c>
      <c r="Z27" s="13">
        <f ca="1">IF(Stock!W23="","",Stock!W23)</f>
        <v>33000</v>
      </c>
      <c r="AA27" s="13">
        <f ca="1">IF(Stock!X23="","",Stock!X23)</f>
        <v>33000</v>
      </c>
      <c r="AB27" s="13">
        <f ca="1">IF(Stock!Y23="","",Stock!Y23)</f>
        <v>33000</v>
      </c>
      <c r="AC27" s="13">
        <f ca="1">IF(Stock!Z23="","",Stock!Z23)</f>
        <v>33000</v>
      </c>
      <c r="AD27" s="13">
        <f ca="1">IF(Stock!AA23="","",Stock!AA23)</f>
        <v>33000</v>
      </c>
      <c r="AE27" s="13">
        <f ca="1">IF(Stock!AB23="","",Stock!AB23)</f>
        <v>33000</v>
      </c>
      <c r="AF27" s="13">
        <f ca="1">IF(Stock!AC23="","",Stock!AC23)</f>
        <v>33000</v>
      </c>
      <c r="AG27" s="13">
        <f ca="1">IF(Stock!AD23="","",Stock!AD23)</f>
        <v>33000</v>
      </c>
      <c r="AH27" s="13">
        <f ca="1">IF(Stock!AE23="","",Stock!AE23)</f>
        <v>33000</v>
      </c>
      <c r="AI27" s="13">
        <f ca="1">IF(Stock!AF23="","",Stock!AF23)</f>
        <v>33000</v>
      </c>
      <c r="AJ27" s="13">
        <f ca="1">IF(Stock!AG23="","",Stock!AG23)</f>
        <v>33000</v>
      </c>
      <c r="AK27" s="13">
        <f ca="1">IF(Stock!AH23="","",Stock!AH23)</f>
        <v>33000</v>
      </c>
      <c r="AL27" s="13">
        <f ca="1">IF(Stock!AI23="","",Stock!AI23)</f>
        <v>33000</v>
      </c>
      <c r="AM27" s="13">
        <f ca="1">IF(Stock!AJ23="","",Stock!AJ23)</f>
        <v>33000</v>
      </c>
      <c r="AN27" s="13">
        <f ca="1">IF(Stock!AK23="","",Stock!AK23)</f>
        <v>33000</v>
      </c>
      <c r="AO27" s="13">
        <f ca="1">IF(Stock!AL23="","",Stock!AL23)</f>
        <v>33000</v>
      </c>
      <c r="AP27" s="13">
        <f ca="1">IF(Stock!AM23="","",Stock!AM23)</f>
        <v>33000</v>
      </c>
      <c r="AQ27" s="13">
        <f ca="1">IF(Stock!AN23="","",Stock!AN23)</f>
        <v>33000</v>
      </c>
      <c r="AR27" s="13">
        <f ca="1">IF(Stock!AO23="","",Stock!AO23)</f>
        <v>33000</v>
      </c>
      <c r="AS27" s="13">
        <f ca="1">IF(Stock!AP23="","",Stock!AP23)</f>
        <v>33000</v>
      </c>
      <c r="AT27" s="13">
        <f ca="1">IF(Stock!AQ23="","",Stock!AQ23)</f>
        <v>33000</v>
      </c>
      <c r="AU27" s="13">
        <f ca="1">IF(Stock!AR23="","",Stock!AR23)</f>
        <v>33000</v>
      </c>
      <c r="AV27" s="13">
        <f ca="1">IF(Stock!AS23="","",Stock!AS23)</f>
        <v>33000</v>
      </c>
      <c r="AW27" s="13">
        <f ca="1">IF(Stock!AT23="","",Stock!AT23)</f>
        <v>33000</v>
      </c>
      <c r="AX27" s="13">
        <f ca="1">IF(Stock!AU23="","",Stock!AU23)</f>
        <v>33000</v>
      </c>
      <c r="AY27" s="13">
        <f ca="1">IF(Stock!AV23="","",Stock!AV23)</f>
        <v>33000</v>
      </c>
      <c r="AZ27" s="13">
        <f ca="1">IF(Stock!AW23="","",Stock!AW23)</f>
        <v>33000</v>
      </c>
      <c r="BA27" s="13">
        <f ca="1">IF(Stock!AX23="","",Stock!AX23)</f>
        <v>33000</v>
      </c>
      <c r="BB27" s="13" t="str">
        <f>IF(Stock!AY23="","",Stock!AY23)</f>
        <v/>
      </c>
      <c r="BC27" s="13" t="str">
        <f>IF(Stock!AZ23="","",Stock!AZ23)</f>
        <v/>
      </c>
      <c r="BD27" s="13" t="str">
        <f>IF(Stock!BA23="","",Stock!BA23)</f>
        <v/>
      </c>
      <c r="BE27" s="13" t="str">
        <f>IF(Stock!BB23="","",Stock!BB23)</f>
        <v/>
      </c>
      <c r="BF27" s="13" t="str">
        <f>IF(Stock!BC23="","",Stock!BC23)</f>
        <v/>
      </c>
    </row>
    <row r="28" spans="1:58" ht="14.25" customHeight="1" x14ac:dyDescent="0.3">
      <c r="A28" s="15">
        <f>IF('MV Repo'!A24="","",IF(E28="",A27,A27+1))</f>
        <v>12</v>
      </c>
      <c r="B28" s="31" t="str">
        <f>IF(A28="","",IF('MV Repo'!A24=0,"B " &amp; TEXT('MV Repo'!B24,"mm/jj/aa"),"T " &amp; 'MV Repo'!A24 &amp; " " &amp; TEXT('MV Repo'!B24,"mm/aa")))</f>
        <v>T 0.625 05/17</v>
      </c>
      <c r="C28" s="30" t="str">
        <f>IF('Stock UST'!C24="","",'Stock UST'!C24)</f>
        <v>UST2017050.625</v>
      </c>
      <c r="D28" s="30" t="str">
        <f>IF('Stock UST'!D24="","",'Stock UST'!D24)</f>
        <v>US912828SY71</v>
      </c>
      <c r="E28" s="13">
        <f>IF(Stock!B24="","",Stock!B24)</f>
        <v>477000</v>
      </c>
      <c r="F28" s="13">
        <f ca="1">IF(Stock!C24="","",Stock!C24)</f>
        <v>477000</v>
      </c>
      <c r="G28" s="13">
        <f ca="1">IF(Stock!D24="","",Stock!D24)</f>
        <v>477000</v>
      </c>
      <c r="H28" s="13">
        <f ca="1">IF(Stock!E24="","",Stock!E24)</f>
        <v>477000</v>
      </c>
      <c r="I28" s="13">
        <f ca="1">IF(Stock!F24="","",Stock!F24)</f>
        <v>477000</v>
      </c>
      <c r="J28" s="13">
        <f ca="1">IF(Stock!G24="","",Stock!G24)</f>
        <v>477000</v>
      </c>
      <c r="K28" s="13">
        <f ca="1">IF(Stock!H24="","",Stock!H24)</f>
        <v>477000</v>
      </c>
      <c r="L28" s="13">
        <f ca="1">IF(Stock!I24="","",Stock!I24)</f>
        <v>477000</v>
      </c>
      <c r="M28" s="13">
        <f ca="1">IF(Stock!J24="","",Stock!J24)</f>
        <v>477000</v>
      </c>
      <c r="N28" s="13">
        <f ca="1">IF(Stock!K24="","",Stock!K24)</f>
        <v>477000</v>
      </c>
      <c r="O28" s="13">
        <f ca="1">IF(Stock!L24="","",Stock!L24)</f>
        <v>477000</v>
      </c>
      <c r="P28" s="13">
        <f ca="1">IF(Stock!M24="","",Stock!M24)</f>
        <v>477000</v>
      </c>
      <c r="Q28" s="13">
        <f ca="1">IF(Stock!N24="","",Stock!N24)</f>
        <v>477000</v>
      </c>
      <c r="R28" s="13">
        <f ca="1">IF(Stock!O24="","",Stock!O24)</f>
        <v>477000</v>
      </c>
      <c r="S28" s="13">
        <f ca="1">IF(Stock!P24="","",Stock!P24)</f>
        <v>477000</v>
      </c>
      <c r="T28" s="13">
        <f ca="1">IF(Stock!Q24="","",Stock!Q24)</f>
        <v>477000</v>
      </c>
      <c r="U28" s="13">
        <f ca="1">IF(Stock!R24="","",Stock!R24)</f>
        <v>477000</v>
      </c>
      <c r="V28" s="13">
        <f ca="1">IF(Stock!S24="","",Stock!S24)</f>
        <v>477000</v>
      </c>
      <c r="W28" s="13">
        <f ca="1">IF(Stock!T24="","",Stock!T24)</f>
        <v>477000</v>
      </c>
      <c r="X28" s="13">
        <f ca="1">IF(Stock!U24="","",Stock!U24)</f>
        <v>477000</v>
      </c>
      <c r="Y28" s="13">
        <f ca="1">IF(Stock!V24="","",Stock!V24)</f>
        <v>477000</v>
      </c>
      <c r="Z28" s="13">
        <f ca="1">IF(Stock!W24="","",Stock!W24)</f>
        <v>477000</v>
      </c>
      <c r="AA28" s="13">
        <f ca="1">IF(Stock!X24="","",Stock!X24)</f>
        <v>477000</v>
      </c>
      <c r="AB28" s="13">
        <f ca="1">IF(Stock!Y24="","",Stock!Y24)</f>
        <v>477000</v>
      </c>
      <c r="AC28" s="13">
        <f ca="1">IF(Stock!Z24="","",Stock!Z24)</f>
        <v>477000</v>
      </c>
      <c r="AD28" s="13">
        <f ca="1">IF(Stock!AA24="","",Stock!AA24)</f>
        <v>477000</v>
      </c>
      <c r="AE28" s="13">
        <f ca="1">IF(Stock!AB24="","",Stock!AB24)</f>
        <v>477000</v>
      </c>
      <c r="AF28" s="13">
        <f ca="1">IF(Stock!AC24="","",Stock!AC24)</f>
        <v>477000</v>
      </c>
      <c r="AG28" s="13">
        <f ca="1">IF(Stock!AD24="","",Stock!AD24)</f>
        <v>477000</v>
      </c>
      <c r="AH28" s="13">
        <f ca="1">IF(Stock!AE24="","",Stock!AE24)</f>
        <v>477000</v>
      </c>
      <c r="AI28" s="13">
        <f ca="1">IF(Stock!AF24="","",Stock!AF24)</f>
        <v>477000</v>
      </c>
      <c r="AJ28" s="13">
        <f ca="1">IF(Stock!AG24="","",Stock!AG24)</f>
        <v>477000</v>
      </c>
      <c r="AK28" s="13">
        <f ca="1">IF(Stock!AH24="","",Stock!AH24)</f>
        <v>477000</v>
      </c>
      <c r="AL28" s="13">
        <f ca="1">IF(Stock!AI24="","",Stock!AI24)</f>
        <v>477000</v>
      </c>
      <c r="AM28" s="13">
        <f ca="1">IF(Stock!AJ24="","",Stock!AJ24)</f>
        <v>477000</v>
      </c>
      <c r="AN28" s="13">
        <f ca="1">IF(Stock!AK24="","",Stock!AK24)</f>
        <v>477000</v>
      </c>
      <c r="AO28" s="13">
        <f ca="1">IF(Stock!AL24="","",Stock!AL24)</f>
        <v>477000</v>
      </c>
      <c r="AP28" s="13">
        <f ca="1">IF(Stock!AM24="","",Stock!AM24)</f>
        <v>477000</v>
      </c>
      <c r="AQ28" s="13">
        <f ca="1">IF(Stock!AN24="","",Stock!AN24)</f>
        <v>477000</v>
      </c>
      <c r="AR28" s="13">
        <f ca="1">IF(Stock!AO24="","",Stock!AO24)</f>
        <v>477000</v>
      </c>
      <c r="AS28" s="13">
        <f ca="1">IF(Stock!AP24="","",Stock!AP24)</f>
        <v>477000</v>
      </c>
      <c r="AT28" s="13">
        <f ca="1">IF(Stock!AQ24="","",Stock!AQ24)</f>
        <v>477000</v>
      </c>
      <c r="AU28" s="13">
        <f ca="1">IF(Stock!AR24="","",Stock!AR24)</f>
        <v>477000</v>
      </c>
      <c r="AV28" s="13">
        <f ca="1">IF(Stock!AS24="","",Stock!AS24)</f>
        <v>477000</v>
      </c>
      <c r="AW28" s="13">
        <f ca="1">IF(Stock!AT24="","",Stock!AT24)</f>
        <v>477000</v>
      </c>
      <c r="AX28" s="13">
        <f ca="1">IF(Stock!AU24="","",Stock!AU24)</f>
        <v>477000</v>
      </c>
      <c r="AY28" s="13">
        <f ca="1">IF(Stock!AV24="","",Stock!AV24)</f>
        <v>477000</v>
      </c>
      <c r="AZ28" s="13">
        <f ca="1">IF(Stock!AW24="","",Stock!AW24)</f>
        <v>477000</v>
      </c>
      <c r="BA28" s="13">
        <f ca="1">IF(Stock!AX24="","",Stock!AX24)</f>
        <v>477000</v>
      </c>
      <c r="BB28" s="13" t="str">
        <f>IF(Stock!AY24="","",Stock!AY24)</f>
        <v/>
      </c>
      <c r="BC28" s="13" t="str">
        <f>IF(Stock!AZ24="","",Stock!AZ24)</f>
        <v/>
      </c>
      <c r="BD28" s="13" t="str">
        <f>IF(Stock!BA24="","",Stock!BA24)</f>
        <v/>
      </c>
      <c r="BE28" s="13" t="str">
        <f>IF(Stock!BB24="","",Stock!BB24)</f>
        <v/>
      </c>
      <c r="BF28" s="13" t="str">
        <f>IF(Stock!BC24="","",Stock!BC24)</f>
        <v/>
      </c>
    </row>
    <row r="29" spans="1:58" ht="14.25" customHeight="1" x14ac:dyDescent="0.3">
      <c r="A29" s="15">
        <f>IF('MV Repo'!A25="","",IF(E29="",A28,A28+1))</f>
        <v>12</v>
      </c>
      <c r="B29" s="31" t="str">
        <f>IF(A29="","",IF('MV Repo'!A25=0,"B " &amp; TEXT('MV Repo'!B25,"mm/jj/aa"),"T " &amp; 'MV Repo'!A25 &amp; " " &amp; TEXT('MV Repo'!B25,"mm/aa")))</f>
        <v>T 0.75 06/17</v>
      </c>
      <c r="C29" s="30" t="str">
        <f>IF('Stock UST'!C25="","",'Stock UST'!C25)</f>
        <v>UST2017060.75</v>
      </c>
      <c r="D29" s="30" t="str">
        <f>IF('Stock UST'!D25="","",'Stock UST'!D25)</f>
        <v>US912828TB69</v>
      </c>
      <c r="E29" s="13" t="str">
        <f>IF(Stock!B25="","",Stock!B25)</f>
        <v/>
      </c>
      <c r="F29" s="13" t="str">
        <f ca="1">IF(Stock!C25="","",Stock!C25)</f>
        <v/>
      </c>
      <c r="G29" s="13" t="str">
        <f ca="1">IF(Stock!D25="","",Stock!D25)</f>
        <v/>
      </c>
      <c r="H29" s="13" t="str">
        <f ca="1">IF(Stock!E25="","",Stock!E25)</f>
        <v/>
      </c>
      <c r="I29" s="13" t="str">
        <f ca="1">IF(Stock!F25="","",Stock!F25)</f>
        <v/>
      </c>
      <c r="J29" s="13" t="str">
        <f ca="1">IF(Stock!G25="","",Stock!G25)</f>
        <v/>
      </c>
      <c r="K29" s="13" t="str">
        <f ca="1">IF(Stock!H25="","",Stock!H25)</f>
        <v/>
      </c>
      <c r="L29" s="13" t="str">
        <f ca="1">IF(Stock!I25="","",Stock!I25)</f>
        <v/>
      </c>
      <c r="M29" s="13" t="str">
        <f ca="1">IF(Stock!J25="","",Stock!J25)</f>
        <v/>
      </c>
      <c r="N29" s="13" t="str">
        <f ca="1">IF(Stock!K25="","",Stock!K25)</f>
        <v/>
      </c>
      <c r="O29" s="13" t="str">
        <f ca="1">IF(Stock!L25="","",Stock!L25)</f>
        <v/>
      </c>
      <c r="P29" s="13" t="str">
        <f ca="1">IF(Stock!M25="","",Stock!M25)</f>
        <v/>
      </c>
      <c r="Q29" s="13" t="str">
        <f ca="1">IF(Stock!N25="","",Stock!N25)</f>
        <v/>
      </c>
      <c r="R29" s="13" t="str">
        <f ca="1">IF(Stock!O25="","",Stock!O25)</f>
        <v/>
      </c>
      <c r="S29" s="13" t="str">
        <f ca="1">IF(Stock!P25="","",Stock!P25)</f>
        <v/>
      </c>
      <c r="T29" s="13" t="str">
        <f ca="1">IF(Stock!Q25="","",Stock!Q25)</f>
        <v/>
      </c>
      <c r="U29" s="13" t="str">
        <f ca="1">IF(Stock!R25="","",Stock!R25)</f>
        <v/>
      </c>
      <c r="V29" s="13" t="str">
        <f ca="1">IF(Stock!S25="","",Stock!S25)</f>
        <v/>
      </c>
      <c r="W29" s="13" t="str">
        <f ca="1">IF(Stock!T25="","",Stock!T25)</f>
        <v/>
      </c>
      <c r="X29" s="13" t="str">
        <f ca="1">IF(Stock!U25="","",Stock!U25)</f>
        <v/>
      </c>
      <c r="Y29" s="13" t="str">
        <f ca="1">IF(Stock!V25="","",Stock!V25)</f>
        <v/>
      </c>
      <c r="Z29" s="13" t="str">
        <f ca="1">IF(Stock!W25="","",Stock!W25)</f>
        <v/>
      </c>
      <c r="AA29" s="13" t="str">
        <f ca="1">IF(Stock!X25="","",Stock!X25)</f>
        <v/>
      </c>
      <c r="AB29" s="13" t="str">
        <f ca="1">IF(Stock!Y25="","",Stock!Y25)</f>
        <v/>
      </c>
      <c r="AC29" s="13" t="str">
        <f ca="1">IF(Stock!Z25="","",Stock!Z25)</f>
        <v/>
      </c>
      <c r="AD29" s="13" t="str">
        <f ca="1">IF(Stock!AA25="","",Stock!AA25)</f>
        <v/>
      </c>
      <c r="AE29" s="13" t="str">
        <f ca="1">IF(Stock!AB25="","",Stock!AB25)</f>
        <v/>
      </c>
      <c r="AF29" s="13" t="str">
        <f ca="1">IF(Stock!AC25="","",Stock!AC25)</f>
        <v/>
      </c>
      <c r="AG29" s="13" t="str">
        <f ca="1">IF(Stock!AD25="","",Stock!AD25)</f>
        <v/>
      </c>
      <c r="AH29" s="13" t="str">
        <f ca="1">IF(Stock!AE25="","",Stock!AE25)</f>
        <v/>
      </c>
      <c r="AI29" s="13" t="str">
        <f ca="1">IF(Stock!AF25="","",Stock!AF25)</f>
        <v/>
      </c>
      <c r="AJ29" s="13" t="str">
        <f ca="1">IF(Stock!AG25="","",Stock!AG25)</f>
        <v/>
      </c>
      <c r="AK29" s="13" t="str">
        <f ca="1">IF(Stock!AH25="","",Stock!AH25)</f>
        <v/>
      </c>
      <c r="AL29" s="13" t="str">
        <f ca="1">IF(Stock!AI25="","",Stock!AI25)</f>
        <v/>
      </c>
      <c r="AM29" s="13" t="str">
        <f ca="1">IF(Stock!AJ25="","",Stock!AJ25)</f>
        <v/>
      </c>
      <c r="AN29" s="13" t="str">
        <f ca="1">IF(Stock!AK25="","",Stock!AK25)</f>
        <v/>
      </c>
      <c r="AO29" s="13" t="str">
        <f ca="1">IF(Stock!AL25="","",Stock!AL25)</f>
        <v/>
      </c>
      <c r="AP29" s="13" t="str">
        <f ca="1">IF(Stock!AM25="","",Stock!AM25)</f>
        <v/>
      </c>
      <c r="AQ29" s="13" t="str">
        <f ca="1">IF(Stock!AN25="","",Stock!AN25)</f>
        <v/>
      </c>
      <c r="AR29" s="13" t="str">
        <f ca="1">IF(Stock!AO25="","",Stock!AO25)</f>
        <v/>
      </c>
      <c r="AS29" s="13" t="str">
        <f ca="1">IF(Stock!AP25="","",Stock!AP25)</f>
        <v/>
      </c>
      <c r="AT29" s="13" t="str">
        <f ca="1">IF(Stock!AQ25="","",Stock!AQ25)</f>
        <v/>
      </c>
      <c r="AU29" s="13" t="str">
        <f ca="1">IF(Stock!AR25="","",Stock!AR25)</f>
        <v/>
      </c>
      <c r="AV29" s="13" t="str">
        <f ca="1">IF(Stock!AS25="","",Stock!AS25)</f>
        <v/>
      </c>
      <c r="AW29" s="13" t="str">
        <f ca="1">IF(Stock!AT25="","",Stock!AT25)</f>
        <v/>
      </c>
      <c r="AX29" s="13" t="str">
        <f ca="1">IF(Stock!AU25="","",Stock!AU25)</f>
        <v/>
      </c>
      <c r="AY29" s="13" t="str">
        <f ca="1">IF(Stock!AV25="","",Stock!AV25)</f>
        <v/>
      </c>
      <c r="AZ29" s="13" t="str">
        <f ca="1">IF(Stock!AW25="","",Stock!AW25)</f>
        <v/>
      </c>
      <c r="BA29" s="13" t="str">
        <f ca="1">IF(Stock!AX25="","",Stock!AX25)</f>
        <v/>
      </c>
      <c r="BB29" s="13" t="str">
        <f>IF(Stock!AY25="","",Stock!AY25)</f>
        <v/>
      </c>
      <c r="BC29" s="13" t="str">
        <f>IF(Stock!AZ25="","",Stock!AZ25)</f>
        <v/>
      </c>
      <c r="BD29" s="13" t="str">
        <f>IF(Stock!BA25="","",Stock!BA25)</f>
        <v/>
      </c>
      <c r="BE29" s="13" t="str">
        <f>IF(Stock!BB25="","",Stock!BB25)</f>
        <v/>
      </c>
      <c r="BF29" s="13" t="str">
        <f>IF(Stock!BC25="","",Stock!BC25)</f>
        <v/>
      </c>
    </row>
    <row r="30" spans="1:58" ht="14.25" customHeight="1" x14ac:dyDescent="0.3">
      <c r="A30" s="15">
        <f>IF('MV Repo'!A26="","",IF(E30="",A29,A29+1))</f>
        <v>12</v>
      </c>
      <c r="B30" s="31" t="str">
        <f>IF(A30="","",IF('MV Repo'!A26=0,"B " &amp; TEXT('MV Repo'!B26,"mm/jj/aa"),"T " &amp; 'MV Repo'!A26 &amp; " " &amp; TEXT('MV Repo'!B26,"mm/aa")))</f>
        <v>T 2 11/21</v>
      </c>
      <c r="C30" s="30" t="str">
        <f>IF('Stock UST'!C26="","",'Stock UST'!C26)</f>
        <v>UST2021112</v>
      </c>
      <c r="D30" s="30" t="str">
        <f>IF('Stock UST'!D26="","",'Stock UST'!D26)</f>
        <v>US912828RR30</v>
      </c>
      <c r="E30" s="13" t="str">
        <f>IF(Stock!B26="","",Stock!B26)</f>
        <v/>
      </c>
      <c r="F30" s="13" t="str">
        <f ca="1">IF(Stock!C26="","",Stock!C26)</f>
        <v/>
      </c>
      <c r="G30" s="13" t="str">
        <f ca="1">IF(Stock!D26="","",Stock!D26)</f>
        <v/>
      </c>
      <c r="H30" s="13" t="str">
        <f ca="1">IF(Stock!E26="","",Stock!E26)</f>
        <v/>
      </c>
      <c r="I30" s="13" t="str">
        <f ca="1">IF(Stock!F26="","",Stock!F26)</f>
        <v/>
      </c>
      <c r="J30" s="13" t="str">
        <f ca="1">IF(Stock!G26="","",Stock!G26)</f>
        <v/>
      </c>
      <c r="K30" s="13" t="str">
        <f ca="1">IF(Stock!H26="","",Stock!H26)</f>
        <v/>
      </c>
      <c r="L30" s="13" t="str">
        <f ca="1">IF(Stock!I26="","",Stock!I26)</f>
        <v/>
      </c>
      <c r="M30" s="13" t="str">
        <f ca="1">IF(Stock!J26="","",Stock!J26)</f>
        <v/>
      </c>
      <c r="N30" s="13" t="str">
        <f ca="1">IF(Stock!K26="","",Stock!K26)</f>
        <v/>
      </c>
      <c r="O30" s="13" t="str">
        <f ca="1">IF(Stock!L26="","",Stock!L26)</f>
        <v/>
      </c>
      <c r="P30" s="13" t="str">
        <f ca="1">IF(Stock!M26="","",Stock!M26)</f>
        <v/>
      </c>
      <c r="Q30" s="13" t="str">
        <f ca="1">IF(Stock!N26="","",Stock!N26)</f>
        <v/>
      </c>
      <c r="R30" s="13" t="str">
        <f ca="1">IF(Stock!O26="","",Stock!O26)</f>
        <v/>
      </c>
      <c r="S30" s="13" t="str">
        <f ca="1">IF(Stock!P26="","",Stock!P26)</f>
        <v/>
      </c>
      <c r="T30" s="13" t="str">
        <f ca="1">IF(Stock!Q26="","",Stock!Q26)</f>
        <v/>
      </c>
      <c r="U30" s="13" t="str">
        <f ca="1">IF(Stock!R26="","",Stock!R26)</f>
        <v/>
      </c>
      <c r="V30" s="13" t="str">
        <f ca="1">IF(Stock!S26="","",Stock!S26)</f>
        <v/>
      </c>
      <c r="W30" s="13" t="str">
        <f ca="1">IF(Stock!T26="","",Stock!T26)</f>
        <v/>
      </c>
      <c r="X30" s="13" t="str">
        <f ca="1">IF(Stock!U26="","",Stock!U26)</f>
        <v/>
      </c>
      <c r="Y30" s="13" t="str">
        <f ca="1">IF(Stock!V26="","",Stock!V26)</f>
        <v/>
      </c>
      <c r="Z30" s="13" t="str">
        <f ca="1">IF(Stock!W26="","",Stock!W26)</f>
        <v/>
      </c>
      <c r="AA30" s="13" t="str">
        <f ca="1">IF(Stock!X26="","",Stock!X26)</f>
        <v/>
      </c>
      <c r="AB30" s="13" t="str">
        <f ca="1">IF(Stock!Y26="","",Stock!Y26)</f>
        <v/>
      </c>
      <c r="AC30" s="13" t="str">
        <f ca="1">IF(Stock!Z26="","",Stock!Z26)</f>
        <v/>
      </c>
      <c r="AD30" s="13" t="str">
        <f ca="1">IF(Stock!AA26="","",Stock!AA26)</f>
        <v/>
      </c>
      <c r="AE30" s="13" t="str">
        <f ca="1">IF(Stock!AB26="","",Stock!AB26)</f>
        <v/>
      </c>
      <c r="AF30" s="13" t="str">
        <f ca="1">IF(Stock!AC26="","",Stock!AC26)</f>
        <v/>
      </c>
      <c r="AG30" s="13" t="str">
        <f ca="1">IF(Stock!AD26="","",Stock!AD26)</f>
        <v/>
      </c>
      <c r="AH30" s="13" t="str">
        <f ca="1">IF(Stock!AE26="","",Stock!AE26)</f>
        <v/>
      </c>
      <c r="AI30" s="13" t="str">
        <f ca="1">IF(Stock!AF26="","",Stock!AF26)</f>
        <v/>
      </c>
      <c r="AJ30" s="13" t="str">
        <f ca="1">IF(Stock!AG26="","",Stock!AG26)</f>
        <v/>
      </c>
      <c r="AK30" s="13" t="str">
        <f ca="1">IF(Stock!AH26="","",Stock!AH26)</f>
        <v/>
      </c>
      <c r="AL30" s="13" t="str">
        <f ca="1">IF(Stock!AI26="","",Stock!AI26)</f>
        <v/>
      </c>
      <c r="AM30" s="13" t="str">
        <f ca="1">IF(Stock!AJ26="","",Stock!AJ26)</f>
        <v/>
      </c>
      <c r="AN30" s="13" t="str">
        <f ca="1">IF(Stock!AK26="","",Stock!AK26)</f>
        <v/>
      </c>
      <c r="AO30" s="13" t="str">
        <f ca="1">IF(Stock!AL26="","",Stock!AL26)</f>
        <v/>
      </c>
      <c r="AP30" s="13" t="str">
        <f ca="1">IF(Stock!AM26="","",Stock!AM26)</f>
        <v/>
      </c>
      <c r="AQ30" s="13" t="str">
        <f ca="1">IF(Stock!AN26="","",Stock!AN26)</f>
        <v/>
      </c>
      <c r="AR30" s="13" t="str">
        <f ca="1">IF(Stock!AO26="","",Stock!AO26)</f>
        <v/>
      </c>
      <c r="AS30" s="13" t="str">
        <f ca="1">IF(Stock!AP26="","",Stock!AP26)</f>
        <v/>
      </c>
      <c r="AT30" s="13" t="str">
        <f ca="1">IF(Stock!AQ26="","",Stock!AQ26)</f>
        <v/>
      </c>
      <c r="AU30" s="13" t="str">
        <f ca="1">IF(Stock!AR26="","",Stock!AR26)</f>
        <v/>
      </c>
      <c r="AV30" s="13" t="str">
        <f ca="1">IF(Stock!AS26="","",Stock!AS26)</f>
        <v/>
      </c>
      <c r="AW30" s="13" t="str">
        <f ca="1">IF(Stock!AT26="","",Stock!AT26)</f>
        <v/>
      </c>
      <c r="AX30" s="13" t="str">
        <f ca="1">IF(Stock!AU26="","",Stock!AU26)</f>
        <v/>
      </c>
      <c r="AY30" s="13" t="str">
        <f ca="1">IF(Stock!AV26="","",Stock!AV26)</f>
        <v/>
      </c>
      <c r="AZ30" s="13" t="str">
        <f ca="1">IF(Stock!AW26="","",Stock!AW26)</f>
        <v/>
      </c>
      <c r="BA30" s="13" t="str">
        <f ca="1">IF(Stock!AX26="","",Stock!AX26)</f>
        <v/>
      </c>
      <c r="BB30" s="13" t="str">
        <f>IF(Stock!AY26="","",Stock!AY26)</f>
        <v/>
      </c>
      <c r="BC30" s="13" t="str">
        <f>IF(Stock!AZ26="","",Stock!AZ26)</f>
        <v/>
      </c>
      <c r="BD30" s="13" t="str">
        <f>IF(Stock!BA26="","",Stock!BA26)</f>
        <v/>
      </c>
      <c r="BE30" s="13" t="str">
        <f>IF(Stock!BB26="","",Stock!BB26)</f>
        <v/>
      </c>
      <c r="BF30" s="13" t="str">
        <f>IF(Stock!BC26="","",Stock!BC26)</f>
        <v/>
      </c>
    </row>
    <row r="31" spans="1:58" ht="14.25" customHeight="1" x14ac:dyDescent="0.3">
      <c r="A31" s="15">
        <f>IF('MV Repo'!A27="","",IF(E31="",A30,A30+1))</f>
        <v>13</v>
      </c>
      <c r="B31" s="31" t="str">
        <f>IF(A31="","",IF('MV Repo'!A27=0,"B " &amp; TEXT('MV Repo'!B27,"mm/jj/aa"),"T " &amp; 'MV Repo'!A27 &amp; " " &amp; TEXT('MV Repo'!B27,"mm/aa")))</f>
        <v>T 2 02/22</v>
      </c>
      <c r="C31" s="30" t="str">
        <f>IF('Stock UST'!C27="","",'Stock UST'!C27)</f>
        <v>UST2022022</v>
      </c>
      <c r="D31" s="30" t="str">
        <f>IF('Stock UST'!D27="","",'Stock UST'!D27)</f>
        <v>US912828SF82</v>
      </c>
      <c r="E31" s="13">
        <f>IF(Stock!B27="","",Stock!B27)</f>
        <v>212000</v>
      </c>
      <c r="F31" s="13">
        <f ca="1">IF(Stock!C27="","",Stock!C27)</f>
        <v>212000</v>
      </c>
      <c r="G31" s="13">
        <f ca="1">IF(Stock!D27="","",Stock!D27)</f>
        <v>212000</v>
      </c>
      <c r="H31" s="13">
        <f ca="1">IF(Stock!E27="","",Stock!E27)</f>
        <v>212000</v>
      </c>
      <c r="I31" s="13">
        <f ca="1">IF(Stock!F27="","",Stock!F27)</f>
        <v>212000</v>
      </c>
      <c r="J31" s="13">
        <f ca="1">IF(Stock!G27="","",Stock!G27)</f>
        <v>212000</v>
      </c>
      <c r="K31" s="13">
        <f ca="1">IF(Stock!H27="","",Stock!H27)</f>
        <v>212000</v>
      </c>
      <c r="L31" s="13">
        <f ca="1">IF(Stock!I27="","",Stock!I27)</f>
        <v>212000</v>
      </c>
      <c r="M31" s="13">
        <f ca="1">IF(Stock!J27="","",Stock!J27)</f>
        <v>212000</v>
      </c>
      <c r="N31" s="13">
        <f ca="1">IF(Stock!K27="","",Stock!K27)</f>
        <v>212000</v>
      </c>
      <c r="O31" s="13">
        <f ca="1">IF(Stock!L27="","",Stock!L27)</f>
        <v>212000</v>
      </c>
      <c r="P31" s="13">
        <f ca="1">IF(Stock!M27="","",Stock!M27)</f>
        <v>212000</v>
      </c>
      <c r="Q31" s="13">
        <f ca="1">IF(Stock!N27="","",Stock!N27)</f>
        <v>212000</v>
      </c>
      <c r="R31" s="13">
        <f ca="1">IF(Stock!O27="","",Stock!O27)</f>
        <v>212000</v>
      </c>
      <c r="S31" s="13">
        <f ca="1">IF(Stock!P27="","",Stock!P27)</f>
        <v>212000</v>
      </c>
      <c r="T31" s="13">
        <f ca="1">IF(Stock!Q27="","",Stock!Q27)</f>
        <v>212000</v>
      </c>
      <c r="U31" s="13">
        <f ca="1">IF(Stock!R27="","",Stock!R27)</f>
        <v>212000</v>
      </c>
      <c r="V31" s="13">
        <f ca="1">IF(Stock!S27="","",Stock!S27)</f>
        <v>212000</v>
      </c>
      <c r="W31" s="13">
        <f ca="1">IF(Stock!T27="","",Stock!T27)</f>
        <v>212000</v>
      </c>
      <c r="X31" s="13">
        <f ca="1">IF(Stock!U27="","",Stock!U27)</f>
        <v>212000</v>
      </c>
      <c r="Y31" s="13">
        <f ca="1">IF(Stock!V27="","",Stock!V27)</f>
        <v>212000</v>
      </c>
      <c r="Z31" s="13">
        <f ca="1">IF(Stock!W27="","",Stock!W27)</f>
        <v>212000</v>
      </c>
      <c r="AA31" s="13">
        <f ca="1">IF(Stock!X27="","",Stock!X27)</f>
        <v>212000</v>
      </c>
      <c r="AB31" s="13">
        <f ca="1">IF(Stock!Y27="","",Stock!Y27)</f>
        <v>212000</v>
      </c>
      <c r="AC31" s="13">
        <f ca="1">IF(Stock!Z27="","",Stock!Z27)</f>
        <v>212000</v>
      </c>
      <c r="AD31" s="13">
        <f ca="1">IF(Stock!AA27="","",Stock!AA27)</f>
        <v>212000</v>
      </c>
      <c r="AE31" s="13">
        <f ca="1">IF(Stock!AB27="","",Stock!AB27)</f>
        <v>212000</v>
      </c>
      <c r="AF31" s="13">
        <f ca="1">IF(Stock!AC27="","",Stock!AC27)</f>
        <v>212000</v>
      </c>
      <c r="AG31" s="13">
        <f ca="1">IF(Stock!AD27="","",Stock!AD27)</f>
        <v>212000</v>
      </c>
      <c r="AH31" s="13">
        <f ca="1">IF(Stock!AE27="","",Stock!AE27)</f>
        <v>212000</v>
      </c>
      <c r="AI31" s="13">
        <f ca="1">IF(Stock!AF27="","",Stock!AF27)</f>
        <v>212000</v>
      </c>
      <c r="AJ31" s="13">
        <f ca="1">IF(Stock!AG27="","",Stock!AG27)</f>
        <v>212000</v>
      </c>
      <c r="AK31" s="13">
        <f ca="1">IF(Stock!AH27="","",Stock!AH27)</f>
        <v>212000</v>
      </c>
      <c r="AL31" s="13">
        <f ca="1">IF(Stock!AI27="","",Stock!AI27)</f>
        <v>212000</v>
      </c>
      <c r="AM31" s="13">
        <f ca="1">IF(Stock!AJ27="","",Stock!AJ27)</f>
        <v>212000</v>
      </c>
      <c r="AN31" s="13">
        <f ca="1">IF(Stock!AK27="","",Stock!AK27)</f>
        <v>212000</v>
      </c>
      <c r="AO31" s="13">
        <f ca="1">IF(Stock!AL27="","",Stock!AL27)</f>
        <v>212000</v>
      </c>
      <c r="AP31" s="13">
        <f ca="1">IF(Stock!AM27="","",Stock!AM27)</f>
        <v>212000</v>
      </c>
      <c r="AQ31" s="13">
        <f ca="1">IF(Stock!AN27="","",Stock!AN27)</f>
        <v>212000</v>
      </c>
      <c r="AR31" s="13">
        <f ca="1">IF(Stock!AO27="","",Stock!AO27)</f>
        <v>212000</v>
      </c>
      <c r="AS31" s="13">
        <f ca="1">IF(Stock!AP27="","",Stock!AP27)</f>
        <v>212000</v>
      </c>
      <c r="AT31" s="13">
        <f ca="1">IF(Stock!AQ27="","",Stock!AQ27)</f>
        <v>212000</v>
      </c>
      <c r="AU31" s="13">
        <f ca="1">IF(Stock!AR27="","",Stock!AR27)</f>
        <v>212000</v>
      </c>
      <c r="AV31" s="13">
        <f ca="1">IF(Stock!AS27="","",Stock!AS27)</f>
        <v>212000</v>
      </c>
      <c r="AW31" s="13">
        <f ca="1">IF(Stock!AT27="","",Stock!AT27)</f>
        <v>212000</v>
      </c>
      <c r="AX31" s="13">
        <f ca="1">IF(Stock!AU27="","",Stock!AU27)</f>
        <v>212000</v>
      </c>
      <c r="AY31" s="13">
        <f ca="1">IF(Stock!AV27="","",Stock!AV27)</f>
        <v>212000</v>
      </c>
      <c r="AZ31" s="13">
        <f ca="1">IF(Stock!AW27="","",Stock!AW27)</f>
        <v>212000</v>
      </c>
      <c r="BA31" s="13">
        <f ca="1">IF(Stock!AX27="","",Stock!AX27)</f>
        <v>212000</v>
      </c>
      <c r="BB31" s="13" t="str">
        <f>IF(Stock!AY27="","",Stock!AY27)</f>
        <v/>
      </c>
      <c r="BC31" s="13" t="str">
        <f>IF(Stock!AZ27="","",Stock!AZ27)</f>
        <v/>
      </c>
      <c r="BD31" s="13" t="str">
        <f>IF(Stock!BA27="","",Stock!BA27)</f>
        <v/>
      </c>
      <c r="BE31" s="13" t="str">
        <f>IF(Stock!BB27="","",Stock!BB27)</f>
        <v/>
      </c>
      <c r="BF31" s="13" t="str">
        <f>IF(Stock!BC27="","",Stock!BC27)</f>
        <v/>
      </c>
    </row>
    <row r="32" spans="1:58" ht="14.25" customHeight="1" x14ac:dyDescent="0.3">
      <c r="A32" s="15">
        <f>IF('MV Repo'!A28="","",IF(E32="",A31,A31+1))</f>
        <v>14</v>
      </c>
      <c r="B32" s="31" t="str">
        <f>IF(A32="","",IF('MV Repo'!A28=0,"B " &amp; TEXT('MV Repo'!B28,"mm/jj/aa"),"T " &amp; 'MV Repo'!A28 &amp; " " &amp; TEXT('MV Repo'!B28,"mm/aa")))</f>
        <v>T 1.75 05/22</v>
      </c>
      <c r="C32" s="30" t="str">
        <f>IF('Stock UST'!C28="","",'Stock UST'!C28)</f>
        <v>UST2022051.75</v>
      </c>
      <c r="D32" s="30" t="str">
        <f>IF('Stock UST'!D28="","",'Stock UST'!D28)</f>
        <v>US912828SV33</v>
      </c>
      <c r="E32" s="13">
        <f>IF(Stock!B28="","",Stock!B28)</f>
        <v>268000</v>
      </c>
      <c r="F32" s="13">
        <f ca="1">IF(Stock!C28="","",Stock!C28)</f>
        <v>268000</v>
      </c>
      <c r="G32" s="13">
        <f ca="1">IF(Stock!D28="","",Stock!D28)</f>
        <v>268000</v>
      </c>
      <c r="H32" s="13">
        <f ca="1">IF(Stock!E28="","",Stock!E28)</f>
        <v>268000</v>
      </c>
      <c r="I32" s="13">
        <f ca="1">IF(Stock!F28="","",Stock!F28)</f>
        <v>268000</v>
      </c>
      <c r="J32" s="13">
        <f ca="1">IF(Stock!G28="","",Stock!G28)</f>
        <v>268000</v>
      </c>
      <c r="K32" s="13">
        <f ca="1">IF(Stock!H28="","",Stock!H28)</f>
        <v>268000</v>
      </c>
      <c r="L32" s="13">
        <f ca="1">IF(Stock!I28="","",Stock!I28)</f>
        <v>268000</v>
      </c>
      <c r="M32" s="13">
        <f ca="1">IF(Stock!J28="","",Stock!J28)</f>
        <v>268000</v>
      </c>
      <c r="N32" s="13">
        <f ca="1">IF(Stock!K28="","",Stock!K28)</f>
        <v>268000</v>
      </c>
      <c r="O32" s="13">
        <f ca="1">IF(Stock!L28="","",Stock!L28)</f>
        <v>268000</v>
      </c>
      <c r="P32" s="13">
        <f ca="1">IF(Stock!M28="","",Stock!M28)</f>
        <v>268000</v>
      </c>
      <c r="Q32" s="13">
        <f ca="1">IF(Stock!N28="","",Stock!N28)</f>
        <v>268000</v>
      </c>
      <c r="R32" s="13">
        <f ca="1">IF(Stock!O28="","",Stock!O28)</f>
        <v>268000</v>
      </c>
      <c r="S32" s="13">
        <f ca="1">IF(Stock!P28="","",Stock!P28)</f>
        <v>268000</v>
      </c>
      <c r="T32" s="13">
        <f ca="1">IF(Stock!Q28="","",Stock!Q28)</f>
        <v>268000</v>
      </c>
      <c r="U32" s="13">
        <f ca="1">IF(Stock!R28="","",Stock!R28)</f>
        <v>268000</v>
      </c>
      <c r="V32" s="13">
        <f ca="1">IF(Stock!S28="","",Stock!S28)</f>
        <v>268000</v>
      </c>
      <c r="W32" s="13">
        <f ca="1">IF(Stock!T28="","",Stock!T28)</f>
        <v>268000</v>
      </c>
      <c r="X32" s="13">
        <f ca="1">IF(Stock!U28="","",Stock!U28)</f>
        <v>268000</v>
      </c>
      <c r="Y32" s="13">
        <f ca="1">IF(Stock!V28="","",Stock!V28)</f>
        <v>268000</v>
      </c>
      <c r="Z32" s="13">
        <f ca="1">IF(Stock!W28="","",Stock!W28)</f>
        <v>268000</v>
      </c>
      <c r="AA32" s="13">
        <f ca="1">IF(Stock!X28="","",Stock!X28)</f>
        <v>268000</v>
      </c>
      <c r="AB32" s="13">
        <f ca="1">IF(Stock!Y28="","",Stock!Y28)</f>
        <v>268000</v>
      </c>
      <c r="AC32" s="13">
        <f ca="1">IF(Stock!Z28="","",Stock!Z28)</f>
        <v>268000</v>
      </c>
      <c r="AD32" s="13">
        <f ca="1">IF(Stock!AA28="","",Stock!AA28)</f>
        <v>268000</v>
      </c>
      <c r="AE32" s="13">
        <f ca="1">IF(Stock!AB28="","",Stock!AB28)</f>
        <v>268000</v>
      </c>
      <c r="AF32" s="13">
        <f ca="1">IF(Stock!AC28="","",Stock!AC28)</f>
        <v>268000</v>
      </c>
      <c r="AG32" s="13">
        <f ca="1">IF(Stock!AD28="","",Stock!AD28)</f>
        <v>268000</v>
      </c>
      <c r="AH32" s="13">
        <f ca="1">IF(Stock!AE28="","",Stock!AE28)</f>
        <v>268000</v>
      </c>
      <c r="AI32" s="13">
        <f ca="1">IF(Stock!AF28="","",Stock!AF28)</f>
        <v>268000</v>
      </c>
      <c r="AJ32" s="13">
        <f ca="1">IF(Stock!AG28="","",Stock!AG28)</f>
        <v>268000</v>
      </c>
      <c r="AK32" s="13">
        <f ca="1">IF(Stock!AH28="","",Stock!AH28)</f>
        <v>268000</v>
      </c>
      <c r="AL32" s="13">
        <f ca="1">IF(Stock!AI28="","",Stock!AI28)</f>
        <v>268000</v>
      </c>
      <c r="AM32" s="13">
        <f ca="1">IF(Stock!AJ28="","",Stock!AJ28)</f>
        <v>268000</v>
      </c>
      <c r="AN32" s="13">
        <f ca="1">IF(Stock!AK28="","",Stock!AK28)</f>
        <v>268000</v>
      </c>
      <c r="AO32" s="13">
        <f ca="1">IF(Stock!AL28="","",Stock!AL28)</f>
        <v>268000</v>
      </c>
      <c r="AP32" s="13">
        <f ca="1">IF(Stock!AM28="","",Stock!AM28)</f>
        <v>268000</v>
      </c>
      <c r="AQ32" s="13">
        <f ca="1">IF(Stock!AN28="","",Stock!AN28)</f>
        <v>268000</v>
      </c>
      <c r="AR32" s="13">
        <f ca="1">IF(Stock!AO28="","",Stock!AO28)</f>
        <v>268000</v>
      </c>
      <c r="AS32" s="13">
        <f ca="1">IF(Stock!AP28="","",Stock!AP28)</f>
        <v>268000</v>
      </c>
      <c r="AT32" s="13">
        <f ca="1">IF(Stock!AQ28="","",Stock!AQ28)</f>
        <v>268000</v>
      </c>
      <c r="AU32" s="13">
        <f ca="1">IF(Stock!AR28="","",Stock!AR28)</f>
        <v>268000</v>
      </c>
      <c r="AV32" s="13">
        <f ca="1">IF(Stock!AS28="","",Stock!AS28)</f>
        <v>268000</v>
      </c>
      <c r="AW32" s="13">
        <f ca="1">IF(Stock!AT28="","",Stock!AT28)</f>
        <v>268000</v>
      </c>
      <c r="AX32" s="13">
        <f ca="1">IF(Stock!AU28="","",Stock!AU28)</f>
        <v>268000</v>
      </c>
      <c r="AY32" s="13">
        <f ca="1">IF(Stock!AV28="","",Stock!AV28)</f>
        <v>268000</v>
      </c>
      <c r="AZ32" s="13">
        <f ca="1">IF(Stock!AW28="","",Stock!AW28)</f>
        <v>268000</v>
      </c>
      <c r="BA32" s="13">
        <f ca="1">IF(Stock!AX28="","",Stock!AX28)</f>
        <v>268000</v>
      </c>
      <c r="BB32" s="13" t="str">
        <f>IF(Stock!AY28="","",Stock!AY28)</f>
        <v/>
      </c>
      <c r="BC32" s="13" t="str">
        <f>IF(Stock!AZ28="","",Stock!AZ28)</f>
        <v/>
      </c>
      <c r="BD32" s="13" t="str">
        <f>IF(Stock!BA28="","",Stock!BA28)</f>
        <v/>
      </c>
      <c r="BE32" s="13" t="str">
        <f>IF(Stock!BB28="","",Stock!BB28)</f>
        <v/>
      </c>
      <c r="BF32" s="13" t="str">
        <f>IF(Stock!BC28="","",Stock!BC28)</f>
        <v/>
      </c>
    </row>
    <row r="33" spans="1:58" ht="14.25" customHeight="1" x14ac:dyDescent="0.3">
      <c r="A33" s="15" t="str">
        <f>IF('MV Repo'!A29="","",IF(E33="",A32,A32+1))</f>
        <v/>
      </c>
      <c r="B33" s="31" t="str">
        <f>IF(A33="","",IF('MV Repo'!A29=0,"B " &amp; TEXT('MV Repo'!B29,"mm/jj/aa"),"T " &amp; 'MV Repo'!A29 &amp; " " &amp; TEXT('MV Repo'!B29,"mm/aa")))</f>
        <v/>
      </c>
      <c r="C33" s="30" t="str">
        <f>IF('Stock UST'!C29="","",'Stock UST'!C29)</f>
        <v/>
      </c>
      <c r="D33" s="30" t="str">
        <f>IF('Stock UST'!D29="","",'Stock UST'!D29)</f>
        <v/>
      </c>
      <c r="E33" s="13" t="str">
        <f>IF(Stock!B29="","",Stock!B29)</f>
        <v/>
      </c>
      <c r="F33" s="13" t="str">
        <f ca="1">IF(Stock!C29="","",Stock!C29)</f>
        <v/>
      </c>
      <c r="G33" s="13" t="str">
        <f ca="1">IF(Stock!D29="","",Stock!D29)</f>
        <v/>
      </c>
      <c r="H33" s="13" t="str">
        <f ca="1">IF(Stock!E29="","",Stock!E29)</f>
        <v/>
      </c>
      <c r="I33" s="13" t="str">
        <f ca="1">IF(Stock!F29="","",Stock!F29)</f>
        <v/>
      </c>
      <c r="J33" s="13" t="str">
        <f ca="1">IF(Stock!G29="","",Stock!G29)</f>
        <v/>
      </c>
      <c r="K33" s="13" t="str">
        <f ca="1">IF(Stock!H29="","",Stock!H29)</f>
        <v/>
      </c>
      <c r="L33" s="13" t="str">
        <f ca="1">IF(Stock!I29="","",Stock!I29)</f>
        <v/>
      </c>
      <c r="M33" s="13" t="str">
        <f ca="1">IF(Stock!J29="","",Stock!J29)</f>
        <v/>
      </c>
      <c r="N33" s="13" t="str">
        <f ca="1">IF(Stock!K29="","",Stock!K29)</f>
        <v/>
      </c>
      <c r="O33" s="13" t="str">
        <f ca="1">IF(Stock!L29="","",Stock!L29)</f>
        <v/>
      </c>
      <c r="P33" s="13" t="str">
        <f ca="1">IF(Stock!M29="","",Stock!M29)</f>
        <v/>
      </c>
      <c r="Q33" s="13" t="str">
        <f ca="1">IF(Stock!N29="","",Stock!N29)</f>
        <v/>
      </c>
      <c r="R33" s="13" t="str">
        <f ca="1">IF(Stock!O29="","",Stock!O29)</f>
        <v/>
      </c>
      <c r="S33" s="13" t="str">
        <f ca="1">IF(Stock!P29="","",Stock!P29)</f>
        <v/>
      </c>
      <c r="T33" s="13" t="str">
        <f ca="1">IF(Stock!Q29="","",Stock!Q29)</f>
        <v/>
      </c>
      <c r="U33" s="13" t="str">
        <f ca="1">IF(Stock!R29="","",Stock!R29)</f>
        <v/>
      </c>
      <c r="V33" s="13" t="str">
        <f ca="1">IF(Stock!S29="","",Stock!S29)</f>
        <v/>
      </c>
      <c r="W33" s="13" t="str">
        <f ca="1">IF(Stock!T29="","",Stock!T29)</f>
        <v/>
      </c>
      <c r="X33" s="13" t="str">
        <f ca="1">IF(Stock!U29="","",Stock!U29)</f>
        <v/>
      </c>
      <c r="Y33" s="13" t="str">
        <f ca="1">IF(Stock!V29="","",Stock!V29)</f>
        <v/>
      </c>
      <c r="Z33" s="13" t="str">
        <f ca="1">IF(Stock!W29="","",Stock!W29)</f>
        <v/>
      </c>
      <c r="AA33" s="13" t="str">
        <f ca="1">IF(Stock!X29="","",Stock!X29)</f>
        <v/>
      </c>
      <c r="AB33" s="13" t="str">
        <f ca="1">IF(Stock!Y29="","",Stock!Y29)</f>
        <v/>
      </c>
      <c r="AC33" s="13" t="str">
        <f ca="1">IF(Stock!Z29="","",Stock!Z29)</f>
        <v/>
      </c>
      <c r="AD33" s="13" t="str">
        <f ca="1">IF(Stock!AA29="","",Stock!AA29)</f>
        <v/>
      </c>
      <c r="AE33" s="13" t="str">
        <f ca="1">IF(Stock!AB29="","",Stock!AB29)</f>
        <v/>
      </c>
      <c r="AF33" s="13" t="str">
        <f ca="1">IF(Stock!AC29="","",Stock!AC29)</f>
        <v/>
      </c>
      <c r="AG33" s="13" t="str">
        <f ca="1">IF(Stock!AD29="","",Stock!AD29)</f>
        <v/>
      </c>
      <c r="AH33" s="13" t="str">
        <f ca="1">IF(Stock!AE29="","",Stock!AE29)</f>
        <v/>
      </c>
      <c r="AI33" s="13" t="str">
        <f ca="1">IF(Stock!AF29="","",Stock!AF29)</f>
        <v/>
      </c>
      <c r="AJ33" s="13" t="str">
        <f ca="1">IF(Stock!AG29="","",Stock!AG29)</f>
        <v/>
      </c>
      <c r="AK33" s="13" t="str">
        <f ca="1">IF(Stock!AH29="","",Stock!AH29)</f>
        <v/>
      </c>
      <c r="AL33" s="13" t="str">
        <f ca="1">IF(Stock!AI29="","",Stock!AI29)</f>
        <v/>
      </c>
      <c r="AM33" s="13" t="str">
        <f ca="1">IF(Stock!AJ29="","",Stock!AJ29)</f>
        <v/>
      </c>
      <c r="AN33" s="13" t="str">
        <f ca="1">IF(Stock!AK29="","",Stock!AK29)</f>
        <v/>
      </c>
      <c r="AO33" s="13" t="str">
        <f ca="1">IF(Stock!AL29="","",Stock!AL29)</f>
        <v/>
      </c>
      <c r="AP33" s="13" t="str">
        <f ca="1">IF(Stock!AM29="","",Stock!AM29)</f>
        <v/>
      </c>
      <c r="AQ33" s="13" t="str">
        <f ca="1">IF(Stock!AN29="","",Stock!AN29)</f>
        <v/>
      </c>
      <c r="AR33" s="13" t="str">
        <f ca="1">IF(Stock!AO29="","",Stock!AO29)</f>
        <v/>
      </c>
      <c r="AS33" s="13" t="str">
        <f ca="1">IF(Stock!AP29="","",Stock!AP29)</f>
        <v/>
      </c>
      <c r="AT33" s="13" t="str">
        <f ca="1">IF(Stock!AQ29="","",Stock!AQ29)</f>
        <v/>
      </c>
      <c r="AU33" s="13" t="str">
        <f ca="1">IF(Stock!AR29="","",Stock!AR29)</f>
        <v/>
      </c>
      <c r="AV33" s="13" t="str">
        <f ca="1">IF(Stock!AS29="","",Stock!AS29)</f>
        <v/>
      </c>
      <c r="AW33" s="13" t="str">
        <f ca="1">IF(Stock!AT29="","",Stock!AT29)</f>
        <v/>
      </c>
      <c r="AX33" s="13" t="str">
        <f ca="1">IF(Stock!AU29="","",Stock!AU29)</f>
        <v/>
      </c>
      <c r="AY33" s="13" t="str">
        <f ca="1">IF(Stock!AV29="","",Stock!AV29)</f>
        <v/>
      </c>
      <c r="AZ33" s="13" t="str">
        <f ca="1">IF(Stock!AW29="","",Stock!AW29)</f>
        <v/>
      </c>
      <c r="BA33" s="13" t="str">
        <f ca="1">IF(Stock!AX29="","",Stock!AX29)</f>
        <v/>
      </c>
      <c r="BB33" s="13" t="str">
        <f>IF(Stock!AY29="","",Stock!AY29)</f>
        <v/>
      </c>
      <c r="BC33" s="13" t="str">
        <f>IF(Stock!AZ29="","",Stock!AZ29)</f>
        <v/>
      </c>
      <c r="BD33" s="13" t="str">
        <f>IF(Stock!BA29="","",Stock!BA29)</f>
        <v/>
      </c>
      <c r="BE33" s="13" t="str">
        <f>IF(Stock!BB29="","",Stock!BB29)</f>
        <v/>
      </c>
      <c r="BF33" s="13" t="str">
        <f>IF(Stock!BC29="","",Stock!BC29)</f>
        <v/>
      </c>
    </row>
    <row r="34" spans="1:58" ht="14.25" customHeight="1" x14ac:dyDescent="0.3">
      <c r="A34" s="15" t="str">
        <f>IF('MV Repo'!A30="","",IF(E34="",A33,A33+1))</f>
        <v/>
      </c>
      <c r="B34" s="31" t="str">
        <f>IF(A34="","",IF('MV Repo'!A30=0,"B " &amp; TEXT('MV Repo'!B30,"mm/jj/aa"),"T " &amp; 'MV Repo'!A30 &amp; " " &amp; TEXT('MV Repo'!B30,"mm/aa")))</f>
        <v/>
      </c>
      <c r="C34" s="30" t="str">
        <f>IF('Stock UST'!C30="","",'Stock UST'!C30)</f>
        <v/>
      </c>
      <c r="D34" s="30" t="str">
        <f>IF('Stock UST'!D30="","",'Stock UST'!D30)</f>
        <v/>
      </c>
      <c r="E34" s="13" t="str">
        <f>IF(Stock!B30="","",Stock!B30)</f>
        <v/>
      </c>
      <c r="F34" s="13" t="str">
        <f ca="1">IF(Stock!C30="","",Stock!C30)</f>
        <v/>
      </c>
      <c r="G34" s="13" t="str">
        <f ca="1">IF(Stock!D30="","",Stock!D30)</f>
        <v/>
      </c>
      <c r="H34" s="13" t="str">
        <f ca="1">IF(Stock!E30="","",Stock!E30)</f>
        <v/>
      </c>
      <c r="I34" s="13" t="str">
        <f ca="1">IF(Stock!F30="","",Stock!F30)</f>
        <v/>
      </c>
      <c r="J34" s="13" t="str">
        <f ca="1">IF(Stock!G30="","",Stock!G30)</f>
        <v/>
      </c>
      <c r="K34" s="13" t="str">
        <f ca="1">IF(Stock!H30="","",Stock!H30)</f>
        <v/>
      </c>
      <c r="L34" s="13" t="str">
        <f ca="1">IF(Stock!I30="","",Stock!I30)</f>
        <v/>
      </c>
      <c r="M34" s="13" t="str">
        <f ca="1">IF(Stock!J30="","",Stock!J30)</f>
        <v/>
      </c>
      <c r="N34" s="13" t="str">
        <f ca="1">IF(Stock!K30="","",Stock!K30)</f>
        <v/>
      </c>
      <c r="O34" s="13" t="str">
        <f ca="1">IF(Stock!L30="","",Stock!L30)</f>
        <v/>
      </c>
      <c r="P34" s="13" t="str">
        <f ca="1">IF(Stock!M30="","",Stock!M30)</f>
        <v/>
      </c>
      <c r="Q34" s="13" t="str">
        <f ca="1">IF(Stock!N30="","",Stock!N30)</f>
        <v/>
      </c>
      <c r="R34" s="13" t="str">
        <f ca="1">IF(Stock!O30="","",Stock!O30)</f>
        <v/>
      </c>
      <c r="S34" s="13" t="str">
        <f ca="1">IF(Stock!P30="","",Stock!P30)</f>
        <v/>
      </c>
      <c r="T34" s="13" t="str">
        <f ca="1">IF(Stock!Q30="","",Stock!Q30)</f>
        <v/>
      </c>
      <c r="U34" s="13" t="str">
        <f ca="1">IF(Stock!R30="","",Stock!R30)</f>
        <v/>
      </c>
      <c r="V34" s="13" t="str">
        <f ca="1">IF(Stock!S30="","",Stock!S30)</f>
        <v/>
      </c>
      <c r="W34" s="13" t="str">
        <f ca="1">IF(Stock!T30="","",Stock!T30)</f>
        <v/>
      </c>
      <c r="X34" s="13" t="str">
        <f ca="1">IF(Stock!U30="","",Stock!U30)</f>
        <v/>
      </c>
      <c r="Y34" s="13" t="str">
        <f ca="1">IF(Stock!V30="","",Stock!V30)</f>
        <v/>
      </c>
      <c r="Z34" s="13" t="str">
        <f ca="1">IF(Stock!W30="","",Stock!W30)</f>
        <v/>
      </c>
      <c r="AA34" s="13" t="str">
        <f ca="1">IF(Stock!X30="","",Stock!X30)</f>
        <v/>
      </c>
      <c r="AB34" s="13" t="str">
        <f ca="1">IF(Stock!Y30="","",Stock!Y30)</f>
        <v/>
      </c>
      <c r="AC34" s="13" t="str">
        <f ca="1">IF(Stock!Z30="","",Stock!Z30)</f>
        <v/>
      </c>
      <c r="AD34" s="13" t="str">
        <f ca="1">IF(Stock!AA30="","",Stock!AA30)</f>
        <v/>
      </c>
      <c r="AE34" s="13" t="str">
        <f ca="1">IF(Stock!AB30="","",Stock!AB30)</f>
        <v/>
      </c>
      <c r="AF34" s="13" t="str">
        <f ca="1">IF(Stock!AC30="","",Stock!AC30)</f>
        <v/>
      </c>
      <c r="AG34" s="13" t="str">
        <f ca="1">IF(Stock!AD30="","",Stock!AD30)</f>
        <v/>
      </c>
      <c r="AH34" s="13" t="str">
        <f ca="1">IF(Stock!AE30="","",Stock!AE30)</f>
        <v/>
      </c>
      <c r="AI34" s="13" t="str">
        <f ca="1">IF(Stock!AF30="","",Stock!AF30)</f>
        <v/>
      </c>
      <c r="AJ34" s="13" t="str">
        <f ca="1">IF(Stock!AG30="","",Stock!AG30)</f>
        <v/>
      </c>
      <c r="AK34" s="13" t="str">
        <f ca="1">IF(Stock!AH30="","",Stock!AH30)</f>
        <v/>
      </c>
      <c r="AL34" s="13" t="str">
        <f ca="1">IF(Stock!AI30="","",Stock!AI30)</f>
        <v/>
      </c>
      <c r="AM34" s="13" t="str">
        <f ca="1">IF(Stock!AJ30="","",Stock!AJ30)</f>
        <v/>
      </c>
      <c r="AN34" s="13" t="str">
        <f ca="1">IF(Stock!AK30="","",Stock!AK30)</f>
        <v/>
      </c>
      <c r="AO34" s="13" t="str">
        <f ca="1">IF(Stock!AL30="","",Stock!AL30)</f>
        <v/>
      </c>
      <c r="AP34" s="13" t="str">
        <f ca="1">IF(Stock!AM30="","",Stock!AM30)</f>
        <v/>
      </c>
      <c r="AQ34" s="13" t="str">
        <f ca="1">IF(Stock!AN30="","",Stock!AN30)</f>
        <v/>
      </c>
      <c r="AR34" s="13" t="str">
        <f ca="1">IF(Stock!AO30="","",Stock!AO30)</f>
        <v/>
      </c>
      <c r="AS34" s="13" t="str">
        <f ca="1">IF(Stock!AP30="","",Stock!AP30)</f>
        <v/>
      </c>
      <c r="AT34" s="13" t="str">
        <f ca="1">IF(Stock!AQ30="","",Stock!AQ30)</f>
        <v/>
      </c>
      <c r="AU34" s="13" t="str">
        <f ca="1">IF(Stock!AR30="","",Stock!AR30)</f>
        <v/>
      </c>
      <c r="AV34" s="13" t="str">
        <f ca="1">IF(Stock!AS30="","",Stock!AS30)</f>
        <v/>
      </c>
      <c r="AW34" s="13" t="str">
        <f ca="1">IF(Stock!AT30="","",Stock!AT30)</f>
        <v/>
      </c>
      <c r="AX34" s="13" t="str">
        <f ca="1">IF(Stock!AU30="","",Stock!AU30)</f>
        <v/>
      </c>
      <c r="AY34" s="13" t="str">
        <f ca="1">IF(Stock!AV30="","",Stock!AV30)</f>
        <v/>
      </c>
      <c r="AZ34" s="13" t="str">
        <f ca="1">IF(Stock!AW30="","",Stock!AW30)</f>
        <v/>
      </c>
      <c r="BA34" s="13" t="str">
        <f ca="1">IF(Stock!AX30="","",Stock!AX30)</f>
        <v/>
      </c>
      <c r="BB34" s="13" t="str">
        <f>IF(Stock!AY30="","",Stock!AY30)</f>
        <v/>
      </c>
      <c r="BC34" s="13" t="str">
        <f>IF(Stock!AZ30="","",Stock!AZ30)</f>
        <v/>
      </c>
      <c r="BD34" s="13" t="str">
        <f>IF(Stock!BA30="","",Stock!BA30)</f>
        <v/>
      </c>
      <c r="BE34" s="13" t="str">
        <f>IF(Stock!BB30="","",Stock!BB30)</f>
        <v/>
      </c>
      <c r="BF34" s="13" t="str">
        <f>IF(Stock!BC30="","",Stock!BC30)</f>
        <v/>
      </c>
    </row>
    <row r="35" spans="1:58" ht="14.25" customHeight="1" x14ac:dyDescent="0.3">
      <c r="A35" s="15" t="str">
        <f>IF('MV Repo'!A31="","",IF(E35="",A34,A34+1))</f>
        <v/>
      </c>
      <c r="B35" s="31" t="str">
        <f>IF(A35="","",IF('MV Repo'!A31=0,"B " &amp; TEXT('MV Repo'!B31,"mm/jj/aa"),"T " &amp; 'MV Repo'!A31 &amp; " " &amp; TEXT('MV Repo'!B31,"mm/aa")))</f>
        <v/>
      </c>
      <c r="C35" s="30" t="str">
        <f>IF('Stock UST'!C32="","",'Stock UST'!C32)</f>
        <v/>
      </c>
      <c r="D35" s="30" t="str">
        <f>IF('Stock UST'!D32="","",'Stock UST'!D32)</f>
        <v/>
      </c>
      <c r="E35" s="13" t="str">
        <f>IF(Stock!B31="","",Stock!B31)</f>
        <v/>
      </c>
      <c r="F35" s="13" t="str">
        <f ca="1">IF(Stock!C31="","",Stock!C31)</f>
        <v/>
      </c>
      <c r="G35" s="13" t="str">
        <f ca="1">IF(Stock!D31="","",Stock!D31)</f>
        <v/>
      </c>
      <c r="H35" s="13" t="str">
        <f ca="1">IF(Stock!E31="","",Stock!E31)</f>
        <v/>
      </c>
      <c r="I35" s="13" t="str">
        <f ca="1">IF(Stock!F31="","",Stock!F31)</f>
        <v/>
      </c>
      <c r="J35" s="13" t="str">
        <f ca="1">IF(Stock!G31="","",Stock!G31)</f>
        <v/>
      </c>
      <c r="K35" s="13" t="str">
        <f ca="1">IF(Stock!H31="","",Stock!H31)</f>
        <v/>
      </c>
      <c r="L35" s="13" t="str">
        <f ca="1">IF(Stock!I31="","",Stock!I31)</f>
        <v/>
      </c>
      <c r="M35" s="13" t="str">
        <f ca="1">IF(Stock!J31="","",Stock!J31)</f>
        <v/>
      </c>
      <c r="N35" s="13" t="str">
        <f ca="1">IF(Stock!K31="","",Stock!K31)</f>
        <v/>
      </c>
      <c r="O35" s="13" t="str">
        <f ca="1">IF(Stock!L31="","",Stock!L31)</f>
        <v/>
      </c>
      <c r="P35" s="13" t="str">
        <f ca="1">IF(Stock!M31="","",Stock!M31)</f>
        <v/>
      </c>
      <c r="Q35" s="13" t="str">
        <f ca="1">IF(Stock!N31="","",Stock!N31)</f>
        <v/>
      </c>
      <c r="R35" s="13" t="str">
        <f ca="1">IF(Stock!O31="","",Stock!O31)</f>
        <v/>
      </c>
      <c r="S35" s="13" t="str">
        <f ca="1">IF(Stock!P31="","",Stock!P31)</f>
        <v/>
      </c>
      <c r="T35" s="13" t="str">
        <f ca="1">IF(Stock!Q31="","",Stock!Q31)</f>
        <v/>
      </c>
      <c r="U35" s="13" t="str">
        <f ca="1">IF(Stock!R31="","",Stock!R31)</f>
        <v/>
      </c>
      <c r="V35" s="13" t="str">
        <f ca="1">IF(Stock!S31="","",Stock!S31)</f>
        <v/>
      </c>
      <c r="W35" s="13" t="str">
        <f ca="1">IF(Stock!T31="","",Stock!T31)</f>
        <v/>
      </c>
      <c r="X35" s="13" t="str">
        <f ca="1">IF(Stock!U31="","",Stock!U31)</f>
        <v/>
      </c>
      <c r="Y35" s="13" t="str">
        <f ca="1">IF(Stock!V31="","",Stock!V31)</f>
        <v/>
      </c>
      <c r="Z35" s="13" t="str">
        <f ca="1">IF(Stock!W31="","",Stock!W31)</f>
        <v/>
      </c>
      <c r="AA35" s="13" t="str">
        <f ca="1">IF(Stock!X31="","",Stock!X31)</f>
        <v/>
      </c>
      <c r="AB35" s="13" t="str">
        <f ca="1">IF(Stock!Y31="","",Stock!Y31)</f>
        <v/>
      </c>
      <c r="AC35" s="13" t="str">
        <f ca="1">IF(Stock!Z31="","",Stock!Z31)</f>
        <v/>
      </c>
      <c r="AD35" s="13" t="str">
        <f ca="1">IF(Stock!AA31="","",Stock!AA31)</f>
        <v/>
      </c>
      <c r="AE35" s="13" t="str">
        <f ca="1">IF(Stock!AB31="","",Stock!AB31)</f>
        <v/>
      </c>
      <c r="AF35" s="13" t="str">
        <f ca="1">IF(Stock!AC31="","",Stock!AC31)</f>
        <v/>
      </c>
      <c r="AG35" s="13" t="str">
        <f ca="1">IF(Stock!AD31="","",Stock!AD31)</f>
        <v/>
      </c>
      <c r="AH35" s="13" t="str">
        <f ca="1">IF(Stock!AE31="","",Stock!AE31)</f>
        <v/>
      </c>
      <c r="AI35" s="13" t="str">
        <f ca="1">IF(Stock!AF31="","",Stock!AF31)</f>
        <v/>
      </c>
      <c r="AJ35" s="13" t="str">
        <f ca="1">IF(Stock!AG31="","",Stock!AG31)</f>
        <v/>
      </c>
      <c r="AK35" s="13" t="str">
        <f ca="1">IF(Stock!AH31="","",Stock!AH31)</f>
        <v/>
      </c>
      <c r="AL35" s="13" t="str">
        <f ca="1">IF(Stock!AI31="","",Stock!AI31)</f>
        <v/>
      </c>
      <c r="AM35" s="13" t="str">
        <f ca="1">IF(Stock!AJ31="","",Stock!AJ31)</f>
        <v/>
      </c>
      <c r="AN35" s="13" t="str">
        <f ca="1">IF(Stock!AK31="","",Stock!AK31)</f>
        <v/>
      </c>
      <c r="AO35" s="13" t="str">
        <f ca="1">IF(Stock!AL31="","",Stock!AL31)</f>
        <v/>
      </c>
      <c r="AP35" s="13" t="str">
        <f ca="1">IF(Stock!AM31="","",Stock!AM31)</f>
        <v/>
      </c>
      <c r="AQ35" s="13" t="str">
        <f ca="1">IF(Stock!AN31="","",Stock!AN31)</f>
        <v/>
      </c>
      <c r="AR35" s="13" t="str">
        <f ca="1">IF(Stock!AO31="","",Stock!AO31)</f>
        <v/>
      </c>
      <c r="AS35" s="13" t="str">
        <f ca="1">IF(Stock!AP31="","",Stock!AP31)</f>
        <v/>
      </c>
      <c r="AT35" s="13" t="str">
        <f ca="1">IF(Stock!AQ31="","",Stock!AQ31)</f>
        <v/>
      </c>
      <c r="AU35" s="13" t="str">
        <f ca="1">IF(Stock!AR31="","",Stock!AR31)</f>
        <v/>
      </c>
      <c r="AV35" s="13" t="str">
        <f ca="1">IF(Stock!AS31="","",Stock!AS31)</f>
        <v/>
      </c>
      <c r="AW35" s="13" t="str">
        <f ca="1">IF(Stock!AT31="","",Stock!AT31)</f>
        <v/>
      </c>
      <c r="AX35" s="13" t="str">
        <f ca="1">IF(Stock!AU31="","",Stock!AU31)</f>
        <v/>
      </c>
      <c r="AY35" s="13" t="str">
        <f ca="1">IF(Stock!AV31="","",Stock!AV31)</f>
        <v/>
      </c>
      <c r="AZ35" s="13" t="str">
        <f ca="1">IF(Stock!AW31="","",Stock!AW31)</f>
        <v/>
      </c>
      <c r="BA35" s="13" t="str">
        <f ca="1">IF(Stock!AX31="","",Stock!AX31)</f>
        <v/>
      </c>
      <c r="BB35" s="13" t="str">
        <f>IF(Stock!AY31="","",Stock!AY31)</f>
        <v/>
      </c>
      <c r="BC35" s="13" t="str">
        <f>IF(Stock!AZ31="","",Stock!AZ31)</f>
        <v/>
      </c>
      <c r="BD35" s="13" t="str">
        <f>IF(Stock!BA31="","",Stock!BA31)</f>
        <v/>
      </c>
      <c r="BE35" s="13" t="str">
        <f>IF(Stock!BB31="","",Stock!BB31)</f>
        <v/>
      </c>
      <c r="BF35" s="13" t="str">
        <f>IF(Stock!BC31="","",Stock!BC31)</f>
        <v/>
      </c>
    </row>
    <row r="36" spans="1:58" ht="14.25" customHeight="1" x14ac:dyDescent="0.3">
      <c r="A36" s="15" t="str">
        <f>IF('MV Repo'!A32="","",IF(E36="",A35,A35+1))</f>
        <v/>
      </c>
      <c r="B36" s="31" t="str">
        <f>IF(A36="","",IF('MV Repo'!A32=0,"B " &amp; TEXT('MV Repo'!B32,"mm/jj/aa"),"T " &amp; 'MV Repo'!A32 &amp; " " &amp; TEXT('MV Repo'!B32,"mm/aa")))</f>
        <v/>
      </c>
      <c r="C36" s="30" t="str">
        <f>IF('Stock UST'!C33="","",'Stock UST'!C33)</f>
        <v/>
      </c>
      <c r="D36" s="30" t="str">
        <f>IF('Stock UST'!D33="","",'Stock UST'!D33)</f>
        <v/>
      </c>
      <c r="E36" s="13" t="str">
        <f>IF(Stock!B32="","",Stock!B32)</f>
        <v/>
      </c>
      <c r="F36" s="13" t="str">
        <f ca="1">IF(Stock!C32="","",Stock!C32)</f>
        <v/>
      </c>
      <c r="G36" s="13" t="str">
        <f ca="1">IF(Stock!D32="","",Stock!D32)</f>
        <v/>
      </c>
      <c r="H36" s="13" t="str">
        <f ca="1">IF(Stock!E32="","",Stock!E32)</f>
        <v/>
      </c>
      <c r="I36" s="13" t="str">
        <f ca="1">IF(Stock!F32="","",Stock!F32)</f>
        <v/>
      </c>
      <c r="J36" s="13" t="str">
        <f ca="1">IF(Stock!G32="","",Stock!G32)</f>
        <v/>
      </c>
      <c r="K36" s="13" t="str">
        <f ca="1">IF(Stock!H32="","",Stock!H32)</f>
        <v/>
      </c>
      <c r="L36" s="13" t="str">
        <f ca="1">IF(Stock!I32="","",Stock!I32)</f>
        <v/>
      </c>
      <c r="M36" s="13" t="str">
        <f ca="1">IF(Stock!J32="","",Stock!J32)</f>
        <v/>
      </c>
      <c r="N36" s="13" t="str">
        <f ca="1">IF(Stock!K32="","",Stock!K32)</f>
        <v/>
      </c>
      <c r="O36" s="13" t="str">
        <f ca="1">IF(Stock!L32="","",Stock!L32)</f>
        <v/>
      </c>
      <c r="P36" s="13" t="str">
        <f ca="1">IF(Stock!M32="","",Stock!M32)</f>
        <v/>
      </c>
      <c r="Q36" s="13" t="str">
        <f ca="1">IF(Stock!N32="","",Stock!N32)</f>
        <v/>
      </c>
      <c r="R36" s="13" t="str">
        <f ca="1">IF(Stock!O32="","",Stock!O32)</f>
        <v/>
      </c>
      <c r="S36" s="13" t="str">
        <f ca="1">IF(Stock!P32="","",Stock!P32)</f>
        <v/>
      </c>
      <c r="T36" s="13" t="str">
        <f ca="1">IF(Stock!Q32="","",Stock!Q32)</f>
        <v/>
      </c>
      <c r="U36" s="13" t="str">
        <f ca="1">IF(Stock!R32="","",Stock!R32)</f>
        <v/>
      </c>
      <c r="V36" s="13" t="str">
        <f ca="1">IF(Stock!S32="","",Stock!S32)</f>
        <v/>
      </c>
      <c r="W36" s="13" t="str">
        <f ca="1">IF(Stock!T32="","",Stock!T32)</f>
        <v/>
      </c>
      <c r="X36" s="13" t="str">
        <f ca="1">IF(Stock!U32="","",Stock!U32)</f>
        <v/>
      </c>
      <c r="Y36" s="13" t="str">
        <f ca="1">IF(Stock!V32="","",Stock!V32)</f>
        <v/>
      </c>
      <c r="Z36" s="13" t="str">
        <f ca="1">IF(Stock!W32="","",Stock!W32)</f>
        <v/>
      </c>
      <c r="AA36" s="13" t="str">
        <f ca="1">IF(Stock!X32="","",Stock!X32)</f>
        <v/>
      </c>
      <c r="AB36" s="13" t="str">
        <f ca="1">IF(Stock!Y32="","",Stock!Y32)</f>
        <v/>
      </c>
      <c r="AC36" s="13" t="str">
        <f ca="1">IF(Stock!Z32="","",Stock!Z32)</f>
        <v/>
      </c>
      <c r="AD36" s="13" t="str">
        <f ca="1">IF(Stock!AA32="","",Stock!AA32)</f>
        <v/>
      </c>
      <c r="AE36" s="13" t="str">
        <f ca="1">IF(Stock!AB32="","",Stock!AB32)</f>
        <v/>
      </c>
      <c r="AF36" s="13" t="str">
        <f ca="1">IF(Stock!AC32="","",Stock!AC32)</f>
        <v/>
      </c>
      <c r="AG36" s="13" t="str">
        <f ca="1">IF(Stock!AD32="","",Stock!AD32)</f>
        <v/>
      </c>
      <c r="AH36" s="13" t="str">
        <f ca="1">IF(Stock!AE32="","",Stock!AE32)</f>
        <v/>
      </c>
      <c r="AI36" s="13" t="str">
        <f ca="1">IF(Stock!AF32="","",Stock!AF32)</f>
        <v/>
      </c>
      <c r="AJ36" s="13" t="str">
        <f ca="1">IF(Stock!AG32="","",Stock!AG32)</f>
        <v/>
      </c>
      <c r="AK36" s="13" t="str">
        <f ca="1">IF(Stock!AH32="","",Stock!AH32)</f>
        <v/>
      </c>
      <c r="AL36" s="13" t="str">
        <f ca="1">IF(Stock!AI32="","",Stock!AI32)</f>
        <v/>
      </c>
      <c r="AM36" s="13" t="str">
        <f ca="1">IF(Stock!AJ32="","",Stock!AJ32)</f>
        <v/>
      </c>
      <c r="AN36" s="13" t="str">
        <f ca="1">IF(Stock!AK32="","",Stock!AK32)</f>
        <v/>
      </c>
      <c r="AO36" s="13" t="str">
        <f ca="1">IF(Stock!AL32="","",Stock!AL32)</f>
        <v/>
      </c>
      <c r="AP36" s="13" t="str">
        <f ca="1">IF(Stock!AM32="","",Stock!AM32)</f>
        <v/>
      </c>
      <c r="AQ36" s="13" t="str">
        <f ca="1">IF(Stock!AN32="","",Stock!AN32)</f>
        <v/>
      </c>
      <c r="AR36" s="13" t="str">
        <f ca="1">IF(Stock!AO32="","",Stock!AO32)</f>
        <v/>
      </c>
      <c r="AS36" s="13" t="str">
        <f ca="1">IF(Stock!AP32="","",Stock!AP32)</f>
        <v/>
      </c>
      <c r="AT36" s="13" t="str">
        <f ca="1">IF(Stock!AQ32="","",Stock!AQ32)</f>
        <v/>
      </c>
      <c r="AU36" s="13" t="str">
        <f ca="1">IF(Stock!AR32="","",Stock!AR32)</f>
        <v/>
      </c>
      <c r="AV36" s="13" t="str">
        <f ca="1">IF(Stock!AS32="","",Stock!AS32)</f>
        <v/>
      </c>
      <c r="AW36" s="13" t="str">
        <f ca="1">IF(Stock!AT32="","",Stock!AT32)</f>
        <v/>
      </c>
      <c r="AX36" s="13" t="str">
        <f ca="1">IF(Stock!AU32="","",Stock!AU32)</f>
        <v/>
      </c>
      <c r="AY36" s="13" t="str">
        <f ca="1">IF(Stock!AV32="","",Stock!AV32)</f>
        <v/>
      </c>
      <c r="AZ36" s="13" t="str">
        <f ca="1">IF(Stock!AW32="","",Stock!AW32)</f>
        <v/>
      </c>
      <c r="BA36" s="13" t="str">
        <f ca="1">IF(Stock!AX32="","",Stock!AX32)</f>
        <v/>
      </c>
      <c r="BB36" s="13" t="str">
        <f>IF(Stock!AY32="","",Stock!AY32)</f>
        <v/>
      </c>
      <c r="BC36" s="13" t="str">
        <f>IF(Stock!AZ32="","",Stock!AZ32)</f>
        <v/>
      </c>
      <c r="BD36" s="13" t="str">
        <f>IF(Stock!BA32="","",Stock!BA32)</f>
        <v/>
      </c>
      <c r="BE36" s="13" t="str">
        <f>IF(Stock!BB32="","",Stock!BB32)</f>
        <v/>
      </c>
      <c r="BF36" s="13" t="str">
        <f>IF(Stock!BC32="","",Stock!BC32)</f>
        <v/>
      </c>
    </row>
    <row r="37" spans="1:58" ht="14.25" customHeight="1" x14ac:dyDescent="0.3">
      <c r="A37" s="15" t="str">
        <f>IF('MV Repo'!A33="","",IF(E37="",A36,A36+1))</f>
        <v/>
      </c>
      <c r="B37" s="31" t="str">
        <f>IF(A37="","",IF('MV Repo'!A33=0,"B " &amp; TEXT('MV Repo'!B33,"mm/jj/aa"),"T " &amp; 'MV Repo'!A33 &amp; " " &amp; TEXT('MV Repo'!B33,"mm/aa")))</f>
        <v/>
      </c>
      <c r="C37" s="30" t="str">
        <f>IF('Stock UST'!C34="","",'Stock UST'!C34)</f>
        <v/>
      </c>
      <c r="D37" s="30" t="str">
        <f>IF('Stock UST'!D34="","",'Stock UST'!D34)</f>
        <v/>
      </c>
      <c r="E37" s="13" t="str">
        <f>IF(Stock!B33="","",Stock!B33)</f>
        <v/>
      </c>
      <c r="F37" s="13" t="str">
        <f ca="1">IF(Stock!C33="","",Stock!C33)</f>
        <v/>
      </c>
      <c r="G37" s="13" t="str">
        <f ca="1">IF(Stock!D33="","",Stock!D33)</f>
        <v/>
      </c>
      <c r="H37" s="13" t="str">
        <f ca="1">IF(Stock!E33="","",Stock!E33)</f>
        <v/>
      </c>
      <c r="I37" s="13" t="str">
        <f ca="1">IF(Stock!F33="","",Stock!F33)</f>
        <v/>
      </c>
      <c r="J37" s="13" t="str">
        <f ca="1">IF(Stock!G33="","",Stock!G33)</f>
        <v/>
      </c>
      <c r="K37" s="13" t="str">
        <f ca="1">IF(Stock!H33="","",Stock!H33)</f>
        <v/>
      </c>
      <c r="L37" s="13" t="str">
        <f ca="1">IF(Stock!I33="","",Stock!I33)</f>
        <v/>
      </c>
      <c r="M37" s="13" t="str">
        <f ca="1">IF(Stock!J33="","",Stock!J33)</f>
        <v/>
      </c>
      <c r="N37" s="13" t="str">
        <f ca="1">IF(Stock!K33="","",Stock!K33)</f>
        <v/>
      </c>
      <c r="O37" s="13" t="str">
        <f ca="1">IF(Stock!L33="","",Stock!L33)</f>
        <v/>
      </c>
      <c r="P37" s="13" t="str">
        <f ca="1">IF(Stock!M33="","",Stock!M33)</f>
        <v/>
      </c>
      <c r="Q37" s="13" t="str">
        <f ca="1">IF(Stock!N33="","",Stock!N33)</f>
        <v/>
      </c>
      <c r="R37" s="13" t="str">
        <f ca="1">IF(Stock!O33="","",Stock!O33)</f>
        <v/>
      </c>
      <c r="S37" s="13" t="str">
        <f ca="1">IF(Stock!P33="","",Stock!P33)</f>
        <v/>
      </c>
      <c r="T37" s="13" t="str">
        <f ca="1">IF(Stock!Q33="","",Stock!Q33)</f>
        <v/>
      </c>
      <c r="U37" s="13" t="str">
        <f ca="1">IF(Stock!R33="","",Stock!R33)</f>
        <v/>
      </c>
      <c r="V37" s="13" t="str">
        <f ca="1">IF(Stock!S33="","",Stock!S33)</f>
        <v/>
      </c>
      <c r="W37" s="13" t="str">
        <f ca="1">IF(Stock!T33="","",Stock!T33)</f>
        <v/>
      </c>
      <c r="X37" s="13" t="str">
        <f ca="1">IF(Stock!U33="","",Stock!U33)</f>
        <v/>
      </c>
      <c r="Y37" s="13" t="str">
        <f ca="1">IF(Stock!V33="","",Stock!V33)</f>
        <v/>
      </c>
      <c r="Z37" s="13" t="str">
        <f ca="1">IF(Stock!W33="","",Stock!W33)</f>
        <v/>
      </c>
      <c r="AA37" s="13" t="str">
        <f ca="1">IF(Stock!X33="","",Stock!X33)</f>
        <v/>
      </c>
      <c r="AB37" s="13" t="str">
        <f ca="1">IF(Stock!Y33="","",Stock!Y33)</f>
        <v/>
      </c>
      <c r="AC37" s="13" t="str">
        <f ca="1">IF(Stock!Z33="","",Stock!Z33)</f>
        <v/>
      </c>
      <c r="AD37" s="13" t="str">
        <f ca="1">IF(Stock!AA33="","",Stock!AA33)</f>
        <v/>
      </c>
      <c r="AE37" s="13" t="str">
        <f ca="1">IF(Stock!AB33="","",Stock!AB33)</f>
        <v/>
      </c>
      <c r="AF37" s="13" t="str">
        <f ca="1">IF(Stock!AC33="","",Stock!AC33)</f>
        <v/>
      </c>
      <c r="AG37" s="13" t="str">
        <f ca="1">IF(Stock!AD33="","",Stock!AD33)</f>
        <v/>
      </c>
      <c r="AH37" s="13" t="str">
        <f ca="1">IF(Stock!AE33="","",Stock!AE33)</f>
        <v/>
      </c>
      <c r="AI37" s="13" t="str">
        <f ca="1">IF(Stock!AF33="","",Stock!AF33)</f>
        <v/>
      </c>
      <c r="AJ37" s="13" t="str">
        <f ca="1">IF(Stock!AG33="","",Stock!AG33)</f>
        <v/>
      </c>
      <c r="AK37" s="13" t="str">
        <f ca="1">IF(Stock!AH33="","",Stock!AH33)</f>
        <v/>
      </c>
      <c r="AL37" s="13" t="str">
        <f ca="1">IF(Stock!AI33="","",Stock!AI33)</f>
        <v/>
      </c>
      <c r="AM37" s="13" t="str">
        <f ca="1">IF(Stock!AJ33="","",Stock!AJ33)</f>
        <v/>
      </c>
      <c r="AN37" s="13" t="str">
        <f ca="1">IF(Stock!AK33="","",Stock!AK33)</f>
        <v/>
      </c>
      <c r="AO37" s="13" t="str">
        <f ca="1">IF(Stock!AL33="","",Stock!AL33)</f>
        <v/>
      </c>
      <c r="AP37" s="13" t="str">
        <f ca="1">IF(Stock!AM33="","",Stock!AM33)</f>
        <v/>
      </c>
      <c r="AQ37" s="13" t="str">
        <f ca="1">IF(Stock!AN33="","",Stock!AN33)</f>
        <v/>
      </c>
      <c r="AR37" s="13" t="str">
        <f ca="1">IF(Stock!AO33="","",Stock!AO33)</f>
        <v/>
      </c>
      <c r="AS37" s="13" t="str">
        <f ca="1">IF(Stock!AP33="","",Stock!AP33)</f>
        <v/>
      </c>
      <c r="AT37" s="13" t="str">
        <f ca="1">IF(Stock!AQ33="","",Stock!AQ33)</f>
        <v/>
      </c>
      <c r="AU37" s="13" t="str">
        <f ca="1">IF(Stock!AR33="","",Stock!AR33)</f>
        <v/>
      </c>
      <c r="AV37" s="13" t="str">
        <f ca="1">IF(Stock!AS33="","",Stock!AS33)</f>
        <v/>
      </c>
      <c r="AW37" s="13" t="str">
        <f ca="1">IF(Stock!AT33="","",Stock!AT33)</f>
        <v/>
      </c>
      <c r="AX37" s="13" t="str">
        <f ca="1">IF(Stock!AU33="","",Stock!AU33)</f>
        <v/>
      </c>
      <c r="AY37" s="13" t="str">
        <f ca="1">IF(Stock!AV33="","",Stock!AV33)</f>
        <v/>
      </c>
      <c r="AZ37" s="13" t="str">
        <f ca="1">IF(Stock!AW33="","",Stock!AW33)</f>
        <v/>
      </c>
      <c r="BA37" s="13" t="str">
        <f ca="1">IF(Stock!AX33="","",Stock!AX33)</f>
        <v/>
      </c>
      <c r="BB37" s="13" t="str">
        <f>IF(Stock!AY33="","",Stock!AY33)</f>
        <v/>
      </c>
      <c r="BC37" s="13" t="str">
        <f>IF(Stock!AZ33="","",Stock!AZ33)</f>
        <v/>
      </c>
      <c r="BD37" s="13" t="str">
        <f>IF(Stock!BA33="","",Stock!BA33)</f>
        <v/>
      </c>
      <c r="BE37" s="13" t="str">
        <f>IF(Stock!BB33="","",Stock!BB33)</f>
        <v/>
      </c>
      <c r="BF37" s="13" t="str">
        <f>IF(Stock!BC33="","",Stock!BC33)</f>
        <v/>
      </c>
    </row>
    <row r="38" spans="1:58" ht="14.25" customHeight="1" x14ac:dyDescent="0.3">
      <c r="A38" s="15" t="str">
        <f>IF('MV Repo'!A34="","",IF(E38="",A37,A37+1))</f>
        <v/>
      </c>
      <c r="B38" s="31" t="str">
        <f>IF(A38="","",IF('MV Repo'!A34=0,"B " &amp; TEXT('MV Repo'!B34,"mm/jj/aa"),"T " &amp; 'MV Repo'!A34 &amp; " " &amp; TEXT('MV Repo'!B34,"mm/aa")))</f>
        <v/>
      </c>
      <c r="C38" s="30" t="str">
        <f>IF('Stock UST'!C35="","",'Stock UST'!C35)</f>
        <v/>
      </c>
      <c r="D38" s="30" t="str">
        <f>IF('Stock UST'!D35="","",'Stock UST'!D35)</f>
        <v/>
      </c>
      <c r="E38" s="13" t="str">
        <f>IF(Stock!B34="","",Stock!B34)</f>
        <v/>
      </c>
      <c r="F38" s="13" t="str">
        <f ca="1">IF(Stock!C34="","",Stock!C34)</f>
        <v/>
      </c>
      <c r="G38" s="13" t="str">
        <f ca="1">IF(Stock!D34="","",Stock!D34)</f>
        <v/>
      </c>
      <c r="H38" s="13" t="str">
        <f ca="1">IF(Stock!E34="","",Stock!E34)</f>
        <v/>
      </c>
      <c r="I38" s="13" t="str">
        <f ca="1">IF(Stock!F34="","",Stock!F34)</f>
        <v/>
      </c>
      <c r="J38" s="13" t="str">
        <f ca="1">IF(Stock!G34="","",Stock!G34)</f>
        <v/>
      </c>
      <c r="K38" s="13" t="str">
        <f ca="1">IF(Stock!H34="","",Stock!H34)</f>
        <v/>
      </c>
      <c r="L38" s="13" t="str">
        <f ca="1">IF(Stock!I34="","",Stock!I34)</f>
        <v/>
      </c>
      <c r="M38" s="13" t="str">
        <f ca="1">IF(Stock!J34="","",Stock!J34)</f>
        <v/>
      </c>
      <c r="N38" s="13" t="str">
        <f ca="1">IF(Stock!K34="","",Stock!K34)</f>
        <v/>
      </c>
      <c r="O38" s="13" t="str">
        <f ca="1">IF(Stock!L34="","",Stock!L34)</f>
        <v/>
      </c>
      <c r="P38" s="13" t="str">
        <f ca="1">IF(Stock!M34="","",Stock!M34)</f>
        <v/>
      </c>
      <c r="Q38" s="13" t="str">
        <f ca="1">IF(Stock!N34="","",Stock!N34)</f>
        <v/>
      </c>
      <c r="R38" s="13" t="str">
        <f ca="1">IF(Stock!O34="","",Stock!O34)</f>
        <v/>
      </c>
      <c r="S38" s="13" t="str">
        <f ca="1">IF(Stock!P34="","",Stock!P34)</f>
        <v/>
      </c>
      <c r="T38" s="13" t="str">
        <f ca="1">IF(Stock!Q34="","",Stock!Q34)</f>
        <v/>
      </c>
      <c r="U38" s="13" t="str">
        <f ca="1">IF(Stock!R34="","",Stock!R34)</f>
        <v/>
      </c>
      <c r="V38" s="13" t="str">
        <f ca="1">IF(Stock!S34="","",Stock!S34)</f>
        <v/>
      </c>
      <c r="W38" s="13" t="str">
        <f ca="1">IF(Stock!T34="","",Stock!T34)</f>
        <v/>
      </c>
      <c r="X38" s="13" t="str">
        <f ca="1">IF(Stock!U34="","",Stock!U34)</f>
        <v/>
      </c>
      <c r="Y38" s="13" t="str">
        <f ca="1">IF(Stock!V34="","",Stock!V34)</f>
        <v/>
      </c>
      <c r="Z38" s="13" t="str">
        <f ca="1">IF(Stock!W34="","",Stock!W34)</f>
        <v/>
      </c>
      <c r="AA38" s="13" t="str">
        <f ca="1">IF(Stock!X34="","",Stock!X34)</f>
        <v/>
      </c>
      <c r="AB38" s="13" t="str">
        <f ca="1">IF(Stock!Y34="","",Stock!Y34)</f>
        <v/>
      </c>
      <c r="AC38" s="13" t="str">
        <f ca="1">IF(Stock!Z34="","",Stock!Z34)</f>
        <v/>
      </c>
      <c r="AD38" s="13" t="str">
        <f ca="1">IF(Stock!AA34="","",Stock!AA34)</f>
        <v/>
      </c>
      <c r="AE38" s="13" t="str">
        <f ca="1">IF(Stock!AB34="","",Stock!AB34)</f>
        <v/>
      </c>
      <c r="AF38" s="13" t="str">
        <f ca="1">IF(Stock!AC34="","",Stock!AC34)</f>
        <v/>
      </c>
      <c r="AG38" s="13" t="str">
        <f ca="1">IF(Stock!AD34="","",Stock!AD34)</f>
        <v/>
      </c>
      <c r="AH38" s="13" t="str">
        <f ca="1">IF(Stock!AE34="","",Stock!AE34)</f>
        <v/>
      </c>
      <c r="AI38" s="13" t="str">
        <f ca="1">IF(Stock!AF34="","",Stock!AF34)</f>
        <v/>
      </c>
      <c r="AJ38" s="13" t="str">
        <f ca="1">IF(Stock!AG34="","",Stock!AG34)</f>
        <v/>
      </c>
      <c r="AK38" s="13" t="str">
        <f ca="1">IF(Stock!AH34="","",Stock!AH34)</f>
        <v/>
      </c>
      <c r="AL38" s="13" t="str">
        <f ca="1">IF(Stock!AI34="","",Stock!AI34)</f>
        <v/>
      </c>
      <c r="AM38" s="13" t="str">
        <f ca="1">IF(Stock!AJ34="","",Stock!AJ34)</f>
        <v/>
      </c>
      <c r="AN38" s="13" t="str">
        <f ca="1">IF(Stock!AK34="","",Stock!AK34)</f>
        <v/>
      </c>
      <c r="AO38" s="13" t="str">
        <f ca="1">IF(Stock!AL34="","",Stock!AL34)</f>
        <v/>
      </c>
      <c r="AP38" s="13" t="str">
        <f ca="1">IF(Stock!AM34="","",Stock!AM34)</f>
        <v/>
      </c>
      <c r="AQ38" s="13" t="str">
        <f ca="1">IF(Stock!AN34="","",Stock!AN34)</f>
        <v/>
      </c>
      <c r="AR38" s="13" t="str">
        <f ca="1">IF(Stock!AO34="","",Stock!AO34)</f>
        <v/>
      </c>
      <c r="AS38" s="13" t="str">
        <f ca="1">IF(Stock!AP34="","",Stock!AP34)</f>
        <v/>
      </c>
      <c r="AT38" s="13" t="str">
        <f ca="1">IF(Stock!AQ34="","",Stock!AQ34)</f>
        <v/>
      </c>
      <c r="AU38" s="13" t="str">
        <f ca="1">IF(Stock!AR34="","",Stock!AR34)</f>
        <v/>
      </c>
      <c r="AV38" s="13" t="str">
        <f ca="1">IF(Stock!AS34="","",Stock!AS34)</f>
        <v/>
      </c>
      <c r="AW38" s="13" t="str">
        <f ca="1">IF(Stock!AT34="","",Stock!AT34)</f>
        <v/>
      </c>
      <c r="AX38" s="13" t="str">
        <f ca="1">IF(Stock!AU34="","",Stock!AU34)</f>
        <v/>
      </c>
      <c r="AY38" s="13" t="str">
        <f ca="1">IF(Stock!AV34="","",Stock!AV34)</f>
        <v/>
      </c>
      <c r="AZ38" s="13" t="str">
        <f ca="1">IF(Stock!AW34="","",Stock!AW34)</f>
        <v/>
      </c>
      <c r="BA38" s="13" t="str">
        <f ca="1">IF(Stock!AX34="","",Stock!AX34)</f>
        <v/>
      </c>
      <c r="BB38" s="13" t="str">
        <f>IF(Stock!AY34="","",Stock!AY34)</f>
        <v/>
      </c>
      <c r="BC38" s="13" t="str">
        <f>IF(Stock!AZ34="","",Stock!AZ34)</f>
        <v/>
      </c>
      <c r="BD38" s="13" t="str">
        <f>IF(Stock!BA34="","",Stock!BA34)</f>
        <v/>
      </c>
      <c r="BE38" s="13" t="str">
        <f>IF(Stock!BB34="","",Stock!BB34)</f>
        <v/>
      </c>
      <c r="BF38" s="13" t="str">
        <f>IF(Stock!BC34="","",Stock!BC34)</f>
        <v/>
      </c>
    </row>
    <row r="39" spans="1:58" ht="14.25" customHeight="1" x14ac:dyDescent="0.3">
      <c r="A39" s="15" t="str">
        <f>IF('MV Repo'!A35="","",IF(E39="",A38,A38+1))</f>
        <v/>
      </c>
      <c r="B39" s="31" t="str">
        <f>IF(A39="","",IF('MV Repo'!A35=0,"B " &amp; TEXT('MV Repo'!B35,"mm/jj/aa"),"T " &amp; 'MV Repo'!A35 &amp; " " &amp; TEXT('MV Repo'!B35,"mm/aa")))</f>
        <v/>
      </c>
      <c r="C39" s="30" t="str">
        <f>IF('Stock UST'!C36="","",'Stock UST'!C36)</f>
        <v/>
      </c>
      <c r="D39" s="30" t="str">
        <f>IF('Stock UST'!D36="","",'Stock UST'!D36)</f>
        <v/>
      </c>
      <c r="E39" s="13" t="str">
        <f>IF(Stock!B35="","",Stock!B35)</f>
        <v/>
      </c>
      <c r="F39" s="13" t="str">
        <f ca="1">IF(Stock!C35="","",Stock!C35)</f>
        <v/>
      </c>
      <c r="G39" s="13" t="str">
        <f ca="1">IF(Stock!D35="","",Stock!D35)</f>
        <v/>
      </c>
      <c r="H39" s="13" t="str">
        <f ca="1">IF(Stock!E35="","",Stock!E35)</f>
        <v/>
      </c>
      <c r="I39" s="13" t="str">
        <f ca="1">IF(Stock!F35="","",Stock!F35)</f>
        <v/>
      </c>
      <c r="J39" s="13" t="str">
        <f ca="1">IF(Stock!G35="","",Stock!G35)</f>
        <v/>
      </c>
      <c r="K39" s="13" t="str">
        <f ca="1">IF(Stock!H35="","",Stock!H35)</f>
        <v/>
      </c>
      <c r="L39" s="13" t="str">
        <f ca="1">IF(Stock!I35="","",Stock!I35)</f>
        <v/>
      </c>
      <c r="M39" s="13" t="str">
        <f ca="1">IF(Stock!J35="","",Stock!J35)</f>
        <v/>
      </c>
      <c r="N39" s="13" t="str">
        <f ca="1">IF(Stock!K35="","",Stock!K35)</f>
        <v/>
      </c>
      <c r="O39" s="13" t="str">
        <f ca="1">IF(Stock!L35="","",Stock!L35)</f>
        <v/>
      </c>
      <c r="P39" s="13" t="str">
        <f ca="1">IF(Stock!M35="","",Stock!M35)</f>
        <v/>
      </c>
      <c r="Q39" s="13" t="str">
        <f ca="1">IF(Stock!N35="","",Stock!N35)</f>
        <v/>
      </c>
      <c r="R39" s="13" t="str">
        <f ca="1">IF(Stock!O35="","",Stock!O35)</f>
        <v/>
      </c>
      <c r="S39" s="13" t="str">
        <f ca="1">IF(Stock!P35="","",Stock!P35)</f>
        <v/>
      </c>
      <c r="T39" s="13" t="str">
        <f ca="1">IF(Stock!Q35="","",Stock!Q35)</f>
        <v/>
      </c>
      <c r="U39" s="13" t="str">
        <f ca="1">IF(Stock!R35="","",Stock!R35)</f>
        <v/>
      </c>
      <c r="V39" s="13" t="str">
        <f ca="1">IF(Stock!S35="","",Stock!S35)</f>
        <v/>
      </c>
      <c r="W39" s="13" t="str">
        <f ca="1">IF(Stock!T35="","",Stock!T35)</f>
        <v/>
      </c>
      <c r="X39" s="13" t="str">
        <f ca="1">IF(Stock!U35="","",Stock!U35)</f>
        <v/>
      </c>
      <c r="Y39" s="13" t="str">
        <f ca="1">IF(Stock!V35="","",Stock!V35)</f>
        <v/>
      </c>
      <c r="Z39" s="13" t="str">
        <f ca="1">IF(Stock!W35="","",Stock!W35)</f>
        <v/>
      </c>
      <c r="AA39" s="13" t="str">
        <f ca="1">IF(Stock!X35="","",Stock!X35)</f>
        <v/>
      </c>
      <c r="AB39" s="13" t="str">
        <f ca="1">IF(Stock!Y35="","",Stock!Y35)</f>
        <v/>
      </c>
      <c r="AC39" s="13" t="str">
        <f ca="1">IF(Stock!Z35="","",Stock!Z35)</f>
        <v/>
      </c>
      <c r="AD39" s="13" t="str">
        <f ca="1">IF(Stock!AA35="","",Stock!AA35)</f>
        <v/>
      </c>
      <c r="AE39" s="13" t="str">
        <f ca="1">IF(Stock!AB35="","",Stock!AB35)</f>
        <v/>
      </c>
      <c r="AF39" s="13" t="str">
        <f ca="1">IF(Stock!AC35="","",Stock!AC35)</f>
        <v/>
      </c>
      <c r="AG39" s="13" t="str">
        <f ca="1">IF(Stock!AD35="","",Stock!AD35)</f>
        <v/>
      </c>
      <c r="AH39" s="13" t="str">
        <f ca="1">IF(Stock!AE35="","",Stock!AE35)</f>
        <v/>
      </c>
      <c r="AI39" s="13" t="str">
        <f ca="1">IF(Stock!AF35="","",Stock!AF35)</f>
        <v/>
      </c>
      <c r="AJ39" s="13" t="str">
        <f ca="1">IF(Stock!AG35="","",Stock!AG35)</f>
        <v/>
      </c>
      <c r="AK39" s="13" t="str">
        <f ca="1">IF(Stock!AH35="","",Stock!AH35)</f>
        <v/>
      </c>
      <c r="AL39" s="13" t="str">
        <f ca="1">IF(Stock!AI35="","",Stock!AI35)</f>
        <v/>
      </c>
      <c r="AM39" s="13" t="str">
        <f ca="1">IF(Stock!AJ35="","",Stock!AJ35)</f>
        <v/>
      </c>
      <c r="AN39" s="13" t="str">
        <f ca="1">IF(Stock!AK35="","",Stock!AK35)</f>
        <v/>
      </c>
      <c r="AO39" s="13" t="str">
        <f ca="1">IF(Stock!AL35="","",Stock!AL35)</f>
        <v/>
      </c>
      <c r="AP39" s="13" t="str">
        <f ca="1">IF(Stock!AM35="","",Stock!AM35)</f>
        <v/>
      </c>
      <c r="AQ39" s="13" t="str">
        <f ca="1">IF(Stock!AN35="","",Stock!AN35)</f>
        <v/>
      </c>
      <c r="AR39" s="13" t="str">
        <f ca="1">IF(Stock!AO35="","",Stock!AO35)</f>
        <v/>
      </c>
      <c r="AS39" s="13" t="str">
        <f ca="1">IF(Stock!AP35="","",Stock!AP35)</f>
        <v/>
      </c>
      <c r="AT39" s="13" t="str">
        <f ca="1">IF(Stock!AQ35="","",Stock!AQ35)</f>
        <v/>
      </c>
      <c r="AU39" s="13" t="str">
        <f ca="1">IF(Stock!AR35="","",Stock!AR35)</f>
        <v/>
      </c>
      <c r="AV39" s="13" t="str">
        <f ca="1">IF(Stock!AS35="","",Stock!AS35)</f>
        <v/>
      </c>
      <c r="AW39" s="13" t="str">
        <f ca="1">IF(Stock!AT35="","",Stock!AT35)</f>
        <v/>
      </c>
      <c r="AX39" s="13" t="str">
        <f ca="1">IF(Stock!AU35="","",Stock!AU35)</f>
        <v/>
      </c>
      <c r="AY39" s="13" t="str">
        <f ca="1">IF(Stock!AV35="","",Stock!AV35)</f>
        <v/>
      </c>
      <c r="AZ39" s="13" t="str">
        <f ca="1">IF(Stock!AW35="","",Stock!AW35)</f>
        <v/>
      </c>
      <c r="BA39" s="13" t="str">
        <f ca="1">IF(Stock!AX35="","",Stock!AX35)</f>
        <v/>
      </c>
      <c r="BB39" s="13" t="str">
        <f>IF(Stock!AY35="","",Stock!AY35)</f>
        <v/>
      </c>
      <c r="BC39" s="13" t="str">
        <f>IF(Stock!AZ35="","",Stock!AZ35)</f>
        <v/>
      </c>
      <c r="BD39" s="13" t="str">
        <f>IF(Stock!BA35="","",Stock!BA35)</f>
        <v/>
      </c>
      <c r="BE39" s="13" t="str">
        <f>IF(Stock!BB35="","",Stock!BB35)</f>
        <v/>
      </c>
      <c r="BF39" s="13" t="str">
        <f>IF(Stock!BC35="","",Stock!BC35)</f>
        <v/>
      </c>
    </row>
    <row r="40" spans="1:58" ht="14.25" customHeight="1" x14ac:dyDescent="0.3">
      <c r="A40" s="15" t="str">
        <f>IF('MV Repo'!A36="","",IF(E40="",A39,A39+1))</f>
        <v/>
      </c>
      <c r="B40" s="31" t="str">
        <f>IF(A40="","",IF('MV Repo'!A36=0,"B " &amp; TEXT('MV Repo'!B36,"mm/jj/aa"),"T " &amp; 'MV Repo'!A36 &amp; " " &amp; TEXT('MV Repo'!B36,"mm/aa")))</f>
        <v/>
      </c>
      <c r="C40" s="30" t="str">
        <f>IF('Stock UST'!C37="","",'Stock UST'!C37)</f>
        <v/>
      </c>
      <c r="D40" s="30" t="str">
        <f>IF('Stock UST'!D37="","",'Stock UST'!D37)</f>
        <v/>
      </c>
      <c r="E40" s="13" t="str">
        <f>IF(Stock!B36="","",Stock!B36)</f>
        <v/>
      </c>
      <c r="F40" s="13" t="str">
        <f ca="1">IF(Stock!C36="","",Stock!C36)</f>
        <v/>
      </c>
      <c r="G40" s="13" t="str">
        <f ca="1">IF(Stock!D36="","",Stock!D36)</f>
        <v/>
      </c>
      <c r="H40" s="13" t="str">
        <f ca="1">IF(Stock!E36="","",Stock!E36)</f>
        <v/>
      </c>
      <c r="I40" s="13" t="str">
        <f ca="1">IF(Stock!F36="","",Stock!F36)</f>
        <v/>
      </c>
      <c r="J40" s="13" t="str">
        <f ca="1">IF(Stock!G36="","",Stock!G36)</f>
        <v/>
      </c>
      <c r="K40" s="13" t="str">
        <f ca="1">IF(Stock!H36="","",Stock!H36)</f>
        <v/>
      </c>
      <c r="L40" s="13" t="str">
        <f ca="1">IF(Stock!I36="","",Stock!I36)</f>
        <v/>
      </c>
      <c r="M40" s="13" t="str">
        <f ca="1">IF(Stock!J36="","",Stock!J36)</f>
        <v/>
      </c>
      <c r="N40" s="13" t="str">
        <f ca="1">IF(Stock!K36="","",Stock!K36)</f>
        <v/>
      </c>
      <c r="O40" s="13" t="str">
        <f ca="1">IF(Stock!L36="","",Stock!L36)</f>
        <v/>
      </c>
      <c r="P40" s="13" t="str">
        <f ca="1">IF(Stock!M36="","",Stock!M36)</f>
        <v/>
      </c>
      <c r="Q40" s="13" t="str">
        <f ca="1">IF(Stock!N36="","",Stock!N36)</f>
        <v/>
      </c>
      <c r="R40" s="13" t="str">
        <f ca="1">IF(Stock!O36="","",Stock!O36)</f>
        <v/>
      </c>
      <c r="S40" s="13" t="str">
        <f ca="1">IF(Stock!P36="","",Stock!P36)</f>
        <v/>
      </c>
      <c r="T40" s="13" t="str">
        <f ca="1">IF(Stock!Q36="","",Stock!Q36)</f>
        <v/>
      </c>
      <c r="U40" s="13" t="str">
        <f ca="1">IF(Stock!R36="","",Stock!R36)</f>
        <v/>
      </c>
      <c r="V40" s="13" t="str">
        <f ca="1">IF(Stock!S36="","",Stock!S36)</f>
        <v/>
      </c>
      <c r="W40" s="13" t="str">
        <f ca="1">IF(Stock!T36="","",Stock!T36)</f>
        <v/>
      </c>
      <c r="X40" s="13" t="str">
        <f ca="1">IF(Stock!U36="","",Stock!U36)</f>
        <v/>
      </c>
      <c r="Y40" s="13" t="str">
        <f ca="1">IF(Stock!V36="","",Stock!V36)</f>
        <v/>
      </c>
      <c r="Z40" s="13" t="str">
        <f ca="1">IF(Stock!W36="","",Stock!W36)</f>
        <v/>
      </c>
      <c r="AA40" s="13" t="str">
        <f ca="1">IF(Stock!X36="","",Stock!X36)</f>
        <v/>
      </c>
      <c r="AB40" s="13" t="str">
        <f ca="1">IF(Stock!Y36="","",Stock!Y36)</f>
        <v/>
      </c>
      <c r="AC40" s="13" t="str">
        <f ca="1">IF(Stock!Z36="","",Stock!Z36)</f>
        <v/>
      </c>
      <c r="AD40" s="13" t="str">
        <f ca="1">IF(Stock!AA36="","",Stock!AA36)</f>
        <v/>
      </c>
      <c r="AE40" s="13" t="str">
        <f ca="1">IF(Stock!AB36="","",Stock!AB36)</f>
        <v/>
      </c>
      <c r="AF40" s="13" t="str">
        <f ca="1">IF(Stock!AC36="","",Stock!AC36)</f>
        <v/>
      </c>
      <c r="AG40" s="13" t="str">
        <f ca="1">IF(Stock!AD36="","",Stock!AD36)</f>
        <v/>
      </c>
      <c r="AH40" s="13" t="str">
        <f ca="1">IF(Stock!AE36="","",Stock!AE36)</f>
        <v/>
      </c>
      <c r="AI40" s="13" t="str">
        <f ca="1">IF(Stock!AF36="","",Stock!AF36)</f>
        <v/>
      </c>
      <c r="AJ40" s="13" t="str">
        <f ca="1">IF(Stock!AG36="","",Stock!AG36)</f>
        <v/>
      </c>
      <c r="AK40" s="13" t="str">
        <f ca="1">IF(Stock!AH36="","",Stock!AH36)</f>
        <v/>
      </c>
      <c r="AL40" s="13" t="str">
        <f ca="1">IF(Stock!AI36="","",Stock!AI36)</f>
        <v/>
      </c>
      <c r="AM40" s="13" t="str">
        <f ca="1">IF(Stock!AJ36="","",Stock!AJ36)</f>
        <v/>
      </c>
      <c r="AN40" s="13" t="str">
        <f ca="1">IF(Stock!AK36="","",Stock!AK36)</f>
        <v/>
      </c>
      <c r="AO40" s="13" t="str">
        <f ca="1">IF(Stock!AL36="","",Stock!AL36)</f>
        <v/>
      </c>
      <c r="AP40" s="13" t="str">
        <f ca="1">IF(Stock!AM36="","",Stock!AM36)</f>
        <v/>
      </c>
      <c r="AQ40" s="13" t="str">
        <f ca="1">IF(Stock!AN36="","",Stock!AN36)</f>
        <v/>
      </c>
      <c r="AR40" s="13" t="str">
        <f ca="1">IF(Stock!AO36="","",Stock!AO36)</f>
        <v/>
      </c>
      <c r="AS40" s="13" t="str">
        <f ca="1">IF(Stock!AP36="","",Stock!AP36)</f>
        <v/>
      </c>
      <c r="AT40" s="13" t="str">
        <f ca="1">IF(Stock!AQ36="","",Stock!AQ36)</f>
        <v/>
      </c>
      <c r="AU40" s="13" t="str">
        <f ca="1">IF(Stock!AR36="","",Stock!AR36)</f>
        <v/>
      </c>
      <c r="AV40" s="13" t="str">
        <f ca="1">IF(Stock!AS36="","",Stock!AS36)</f>
        <v/>
      </c>
      <c r="AW40" s="13" t="str">
        <f ca="1">IF(Stock!AT36="","",Stock!AT36)</f>
        <v/>
      </c>
      <c r="AX40" s="13" t="str">
        <f ca="1">IF(Stock!AU36="","",Stock!AU36)</f>
        <v/>
      </c>
      <c r="AY40" s="13" t="str">
        <f ca="1">IF(Stock!AV36="","",Stock!AV36)</f>
        <v/>
      </c>
      <c r="AZ40" s="13" t="str">
        <f ca="1">IF(Stock!AW36="","",Stock!AW36)</f>
        <v/>
      </c>
      <c r="BA40" s="13" t="str">
        <f ca="1">IF(Stock!AX36="","",Stock!AX36)</f>
        <v/>
      </c>
      <c r="BB40" s="13" t="str">
        <f>IF(Stock!AY36="","",Stock!AY36)</f>
        <v/>
      </c>
      <c r="BC40" s="13" t="str">
        <f>IF(Stock!AZ36="","",Stock!AZ36)</f>
        <v/>
      </c>
      <c r="BD40" s="13" t="str">
        <f>IF(Stock!BA36="","",Stock!BA36)</f>
        <v/>
      </c>
      <c r="BE40" s="13" t="str">
        <f>IF(Stock!BB36="","",Stock!BB36)</f>
        <v/>
      </c>
      <c r="BF40" s="13" t="str">
        <f>IF(Stock!BC36="","",Stock!BC36)</f>
        <v/>
      </c>
    </row>
    <row r="41" spans="1:58" ht="14.25" customHeight="1" x14ac:dyDescent="0.3">
      <c r="A41" s="15" t="str">
        <f>IF('MV Repo'!A37="","",IF(E41="",A40,A40+1))</f>
        <v/>
      </c>
      <c r="B41" s="31" t="str">
        <f>IF(A41="","",IF('MV Repo'!A37=0,"B " &amp; TEXT('MV Repo'!B37,"mm/jj/aa"),"T " &amp; 'MV Repo'!A37 &amp; " " &amp; TEXT('MV Repo'!B37,"mm/aa")))</f>
        <v/>
      </c>
      <c r="C41" s="30" t="str">
        <f>IF('Stock UST'!C38="","",'Stock UST'!C38)</f>
        <v/>
      </c>
      <c r="D41" s="30" t="str">
        <f>IF('Stock UST'!D38="","",'Stock UST'!D38)</f>
        <v/>
      </c>
      <c r="E41" s="13" t="str">
        <f>IF(Stock!B37="","",Stock!B37)</f>
        <v/>
      </c>
      <c r="F41" s="13" t="str">
        <f ca="1">IF(Stock!C37="","",Stock!C37)</f>
        <v/>
      </c>
      <c r="G41" s="13" t="str">
        <f ca="1">IF(Stock!D37="","",Stock!D37)</f>
        <v/>
      </c>
      <c r="H41" s="13" t="str">
        <f ca="1">IF(Stock!E37="","",Stock!E37)</f>
        <v/>
      </c>
      <c r="I41" s="13" t="str">
        <f ca="1">IF(Stock!F37="","",Stock!F37)</f>
        <v/>
      </c>
      <c r="J41" s="13" t="str">
        <f ca="1">IF(Stock!G37="","",Stock!G37)</f>
        <v/>
      </c>
      <c r="K41" s="13" t="str">
        <f ca="1">IF(Stock!H37="","",Stock!H37)</f>
        <v/>
      </c>
      <c r="L41" s="13" t="str">
        <f ca="1">IF(Stock!I37="","",Stock!I37)</f>
        <v/>
      </c>
      <c r="M41" s="13" t="str">
        <f ca="1">IF(Stock!J37="","",Stock!J37)</f>
        <v/>
      </c>
      <c r="N41" s="13" t="str">
        <f ca="1">IF(Stock!K37="","",Stock!K37)</f>
        <v/>
      </c>
      <c r="O41" s="13" t="str">
        <f ca="1">IF(Stock!L37="","",Stock!L37)</f>
        <v/>
      </c>
      <c r="P41" s="13" t="str">
        <f ca="1">IF(Stock!M37="","",Stock!M37)</f>
        <v/>
      </c>
      <c r="Q41" s="13" t="str">
        <f ca="1">IF(Stock!N37="","",Stock!N37)</f>
        <v/>
      </c>
      <c r="R41" s="13" t="str">
        <f ca="1">IF(Stock!O37="","",Stock!O37)</f>
        <v/>
      </c>
      <c r="S41" s="13" t="str">
        <f ca="1">IF(Stock!P37="","",Stock!P37)</f>
        <v/>
      </c>
      <c r="T41" s="13" t="str">
        <f ca="1">IF(Stock!Q37="","",Stock!Q37)</f>
        <v/>
      </c>
      <c r="U41" s="13" t="str">
        <f ca="1">IF(Stock!R37="","",Stock!R37)</f>
        <v/>
      </c>
      <c r="V41" s="13" t="str">
        <f ca="1">IF(Stock!S37="","",Stock!S37)</f>
        <v/>
      </c>
      <c r="W41" s="13" t="str">
        <f ca="1">IF(Stock!T37="","",Stock!T37)</f>
        <v/>
      </c>
      <c r="X41" s="13" t="str">
        <f ca="1">IF(Stock!U37="","",Stock!U37)</f>
        <v/>
      </c>
      <c r="Y41" s="13" t="str">
        <f ca="1">IF(Stock!V37="","",Stock!V37)</f>
        <v/>
      </c>
      <c r="Z41" s="13" t="str">
        <f ca="1">IF(Stock!W37="","",Stock!W37)</f>
        <v/>
      </c>
      <c r="AA41" s="13" t="str">
        <f ca="1">IF(Stock!X37="","",Stock!X37)</f>
        <v/>
      </c>
      <c r="AB41" s="13" t="str">
        <f ca="1">IF(Stock!Y37="","",Stock!Y37)</f>
        <v/>
      </c>
      <c r="AC41" s="13" t="str">
        <f ca="1">IF(Stock!Z37="","",Stock!Z37)</f>
        <v/>
      </c>
      <c r="AD41" s="13" t="str">
        <f ca="1">IF(Stock!AA37="","",Stock!AA37)</f>
        <v/>
      </c>
      <c r="AE41" s="13" t="str">
        <f ca="1">IF(Stock!AB37="","",Stock!AB37)</f>
        <v/>
      </c>
      <c r="AF41" s="13" t="str">
        <f ca="1">IF(Stock!AC37="","",Stock!AC37)</f>
        <v/>
      </c>
      <c r="AG41" s="13" t="str">
        <f ca="1">IF(Stock!AD37="","",Stock!AD37)</f>
        <v/>
      </c>
      <c r="AH41" s="13" t="str">
        <f ca="1">IF(Stock!AE37="","",Stock!AE37)</f>
        <v/>
      </c>
      <c r="AI41" s="13" t="str">
        <f ca="1">IF(Stock!AF37="","",Stock!AF37)</f>
        <v/>
      </c>
      <c r="AJ41" s="13" t="str">
        <f ca="1">IF(Stock!AG37="","",Stock!AG37)</f>
        <v/>
      </c>
      <c r="AK41" s="13" t="str">
        <f ca="1">IF(Stock!AH37="","",Stock!AH37)</f>
        <v/>
      </c>
      <c r="AL41" s="13" t="str">
        <f ca="1">IF(Stock!AI37="","",Stock!AI37)</f>
        <v/>
      </c>
      <c r="AM41" s="13" t="str">
        <f ca="1">IF(Stock!AJ37="","",Stock!AJ37)</f>
        <v/>
      </c>
      <c r="AN41" s="13" t="str">
        <f ca="1">IF(Stock!AK37="","",Stock!AK37)</f>
        <v/>
      </c>
      <c r="AO41" s="13" t="str">
        <f ca="1">IF(Stock!AL37="","",Stock!AL37)</f>
        <v/>
      </c>
      <c r="AP41" s="13" t="str">
        <f ca="1">IF(Stock!AM37="","",Stock!AM37)</f>
        <v/>
      </c>
      <c r="AQ41" s="13" t="str">
        <f ca="1">IF(Stock!AN37="","",Stock!AN37)</f>
        <v/>
      </c>
      <c r="AR41" s="13" t="str">
        <f ca="1">IF(Stock!AO37="","",Stock!AO37)</f>
        <v/>
      </c>
      <c r="AS41" s="13" t="str">
        <f ca="1">IF(Stock!AP37="","",Stock!AP37)</f>
        <v/>
      </c>
      <c r="AT41" s="13" t="str">
        <f ca="1">IF(Stock!AQ37="","",Stock!AQ37)</f>
        <v/>
      </c>
      <c r="AU41" s="13" t="str">
        <f ca="1">IF(Stock!AR37="","",Stock!AR37)</f>
        <v/>
      </c>
      <c r="AV41" s="13" t="str">
        <f ca="1">IF(Stock!AS37="","",Stock!AS37)</f>
        <v/>
      </c>
      <c r="AW41" s="13" t="str">
        <f ca="1">IF(Stock!AT37="","",Stock!AT37)</f>
        <v/>
      </c>
      <c r="AX41" s="13" t="str">
        <f ca="1">IF(Stock!AU37="","",Stock!AU37)</f>
        <v/>
      </c>
      <c r="AY41" s="13" t="str">
        <f ca="1">IF(Stock!AV37="","",Stock!AV37)</f>
        <v/>
      </c>
      <c r="AZ41" s="13" t="str">
        <f ca="1">IF(Stock!AW37="","",Stock!AW37)</f>
        <v/>
      </c>
      <c r="BA41" s="13" t="str">
        <f ca="1">IF(Stock!AX37="","",Stock!AX37)</f>
        <v/>
      </c>
      <c r="BB41" s="13" t="str">
        <f>IF(Stock!AY37="","",Stock!AY37)</f>
        <v/>
      </c>
      <c r="BC41" s="13" t="str">
        <f>IF(Stock!AZ37="","",Stock!AZ37)</f>
        <v/>
      </c>
      <c r="BD41" s="13" t="str">
        <f>IF(Stock!BA37="","",Stock!BA37)</f>
        <v/>
      </c>
      <c r="BE41" s="13" t="str">
        <f>IF(Stock!BB37="","",Stock!BB37)</f>
        <v/>
      </c>
      <c r="BF41" s="13" t="str">
        <f>IF(Stock!BC37="","",Stock!BC37)</f>
        <v/>
      </c>
    </row>
    <row r="42" spans="1:58" ht="14.25" customHeight="1" x14ac:dyDescent="0.3">
      <c r="A42" s="15" t="str">
        <f>IF('MV Repo'!A38="","",IF(E42="",A41,A41+1))</f>
        <v/>
      </c>
      <c r="B42" s="31" t="str">
        <f>IF(A42="","",IF('MV Repo'!A38=0,"B " &amp; TEXT('MV Repo'!B38,"mm/jj/aa"),"T " &amp; 'MV Repo'!A38 &amp; " " &amp; TEXT('MV Repo'!B38,"mm/aa")))</f>
        <v/>
      </c>
      <c r="C42" s="30" t="str">
        <f>IF('Stock UST'!C39="","",'Stock UST'!C39)</f>
        <v/>
      </c>
      <c r="D42" s="30" t="str">
        <f>IF('Stock UST'!D39="","",'Stock UST'!D39)</f>
        <v/>
      </c>
      <c r="E42" s="13" t="str">
        <f>IF(Stock!B38="","",Stock!B38)</f>
        <v/>
      </c>
      <c r="F42" s="13" t="str">
        <f ca="1">IF(Stock!C38="","",Stock!C38)</f>
        <v/>
      </c>
      <c r="G42" s="13" t="str">
        <f ca="1">IF(Stock!D38="","",Stock!D38)</f>
        <v/>
      </c>
      <c r="H42" s="13" t="str">
        <f ca="1">IF(Stock!E38="","",Stock!E38)</f>
        <v/>
      </c>
      <c r="I42" s="13" t="str">
        <f ca="1">IF(Stock!F38="","",Stock!F38)</f>
        <v/>
      </c>
      <c r="J42" s="13" t="str">
        <f ca="1">IF(Stock!G38="","",Stock!G38)</f>
        <v/>
      </c>
      <c r="K42" s="13" t="str">
        <f ca="1">IF(Stock!H38="","",Stock!H38)</f>
        <v/>
      </c>
      <c r="L42" s="13" t="str">
        <f ca="1">IF(Stock!I38="","",Stock!I38)</f>
        <v/>
      </c>
      <c r="M42" s="13" t="str">
        <f ca="1">IF(Stock!J38="","",Stock!J38)</f>
        <v/>
      </c>
      <c r="N42" s="13" t="str">
        <f ca="1">IF(Stock!K38="","",Stock!K38)</f>
        <v/>
      </c>
      <c r="O42" s="13" t="str">
        <f ca="1">IF(Stock!L38="","",Stock!L38)</f>
        <v/>
      </c>
      <c r="P42" s="13" t="str">
        <f ca="1">IF(Stock!M38="","",Stock!M38)</f>
        <v/>
      </c>
      <c r="Q42" s="13" t="str">
        <f ca="1">IF(Stock!N38="","",Stock!N38)</f>
        <v/>
      </c>
      <c r="R42" s="13" t="str">
        <f ca="1">IF(Stock!O38="","",Stock!O38)</f>
        <v/>
      </c>
      <c r="S42" s="13" t="str">
        <f ca="1">IF(Stock!P38="","",Stock!P38)</f>
        <v/>
      </c>
      <c r="T42" s="13" t="str">
        <f ca="1">IF(Stock!Q38="","",Stock!Q38)</f>
        <v/>
      </c>
      <c r="U42" s="13" t="str">
        <f ca="1">IF(Stock!R38="","",Stock!R38)</f>
        <v/>
      </c>
      <c r="V42" s="13" t="str">
        <f ca="1">IF(Stock!S38="","",Stock!S38)</f>
        <v/>
      </c>
      <c r="W42" s="13" t="str">
        <f ca="1">IF(Stock!T38="","",Stock!T38)</f>
        <v/>
      </c>
      <c r="X42" s="13" t="str">
        <f ca="1">IF(Stock!U38="","",Stock!U38)</f>
        <v/>
      </c>
      <c r="Y42" s="13" t="str">
        <f ca="1">IF(Stock!V38="","",Stock!V38)</f>
        <v/>
      </c>
      <c r="Z42" s="13" t="str">
        <f ca="1">IF(Stock!W38="","",Stock!W38)</f>
        <v/>
      </c>
      <c r="AA42" s="13" t="str">
        <f ca="1">IF(Stock!X38="","",Stock!X38)</f>
        <v/>
      </c>
      <c r="AB42" s="13" t="str">
        <f ca="1">IF(Stock!Y38="","",Stock!Y38)</f>
        <v/>
      </c>
      <c r="AC42" s="13" t="str">
        <f ca="1">IF(Stock!Z38="","",Stock!Z38)</f>
        <v/>
      </c>
      <c r="AD42" s="13" t="str">
        <f ca="1">IF(Stock!AA38="","",Stock!AA38)</f>
        <v/>
      </c>
      <c r="AE42" s="13" t="str">
        <f ca="1">IF(Stock!AB38="","",Stock!AB38)</f>
        <v/>
      </c>
      <c r="AF42" s="13" t="str">
        <f ca="1">IF(Stock!AC38="","",Stock!AC38)</f>
        <v/>
      </c>
      <c r="AG42" s="13" t="str">
        <f ca="1">IF(Stock!AD38="","",Stock!AD38)</f>
        <v/>
      </c>
      <c r="AH42" s="13" t="str">
        <f ca="1">IF(Stock!AE38="","",Stock!AE38)</f>
        <v/>
      </c>
      <c r="AI42" s="13" t="str">
        <f ca="1">IF(Stock!AF38="","",Stock!AF38)</f>
        <v/>
      </c>
      <c r="AJ42" s="13" t="str">
        <f ca="1">IF(Stock!AG38="","",Stock!AG38)</f>
        <v/>
      </c>
      <c r="AK42" s="13" t="str">
        <f ca="1">IF(Stock!AH38="","",Stock!AH38)</f>
        <v/>
      </c>
      <c r="AL42" s="13" t="str">
        <f ca="1">IF(Stock!AI38="","",Stock!AI38)</f>
        <v/>
      </c>
      <c r="AM42" s="13" t="str">
        <f ca="1">IF(Stock!AJ38="","",Stock!AJ38)</f>
        <v/>
      </c>
      <c r="AN42" s="13" t="str">
        <f ca="1">IF(Stock!AK38="","",Stock!AK38)</f>
        <v/>
      </c>
      <c r="AO42" s="13" t="str">
        <f ca="1">IF(Stock!AL38="","",Stock!AL38)</f>
        <v/>
      </c>
      <c r="AP42" s="13" t="str">
        <f ca="1">IF(Stock!AM38="","",Stock!AM38)</f>
        <v/>
      </c>
      <c r="AQ42" s="13" t="str">
        <f ca="1">IF(Stock!AN38="","",Stock!AN38)</f>
        <v/>
      </c>
      <c r="AR42" s="13" t="str">
        <f ca="1">IF(Stock!AO38="","",Stock!AO38)</f>
        <v/>
      </c>
      <c r="AS42" s="13" t="str">
        <f ca="1">IF(Stock!AP38="","",Stock!AP38)</f>
        <v/>
      </c>
      <c r="AT42" s="13" t="str">
        <f ca="1">IF(Stock!AQ38="","",Stock!AQ38)</f>
        <v/>
      </c>
      <c r="AU42" s="13" t="str">
        <f ca="1">IF(Stock!AR38="","",Stock!AR38)</f>
        <v/>
      </c>
      <c r="AV42" s="13" t="str">
        <f ca="1">IF(Stock!AS38="","",Stock!AS38)</f>
        <v/>
      </c>
      <c r="AW42" s="13" t="str">
        <f ca="1">IF(Stock!AT38="","",Stock!AT38)</f>
        <v/>
      </c>
      <c r="AX42" s="13" t="str">
        <f ca="1">IF(Stock!AU38="","",Stock!AU38)</f>
        <v/>
      </c>
      <c r="AY42" s="13" t="str">
        <f ca="1">IF(Stock!AV38="","",Stock!AV38)</f>
        <v/>
      </c>
      <c r="AZ42" s="13" t="str">
        <f ca="1">IF(Stock!AW38="","",Stock!AW38)</f>
        <v/>
      </c>
      <c r="BA42" s="13" t="str">
        <f ca="1">IF(Stock!AX38="","",Stock!AX38)</f>
        <v/>
      </c>
      <c r="BB42" s="13" t="str">
        <f>IF(Stock!AY38="","",Stock!AY38)</f>
        <v/>
      </c>
      <c r="BC42" s="13" t="str">
        <f>IF(Stock!AZ38="","",Stock!AZ38)</f>
        <v/>
      </c>
      <c r="BD42" s="13" t="str">
        <f>IF(Stock!BA38="","",Stock!BA38)</f>
        <v/>
      </c>
      <c r="BE42" s="13" t="str">
        <f>IF(Stock!BB38="","",Stock!BB38)</f>
        <v/>
      </c>
      <c r="BF42" s="13" t="str">
        <f>IF(Stock!BC38="","",Stock!BC38)</f>
        <v/>
      </c>
    </row>
    <row r="43" spans="1:58" ht="14.25" customHeight="1" x14ac:dyDescent="0.3">
      <c r="A43" s="15" t="str">
        <f>IF('MV Repo'!A39="","",IF(E43="",A42,A42+1))</f>
        <v/>
      </c>
      <c r="B43" s="31" t="str">
        <f>IF(A43="","",IF('MV Repo'!A39=0,"B " &amp; TEXT('MV Repo'!B39,"mm/jj/aa"),"T " &amp; 'MV Repo'!A39 &amp; " " &amp; TEXT('MV Repo'!B39,"mm/aa")))</f>
        <v/>
      </c>
      <c r="C43" s="30" t="str">
        <f>IF('Stock UST'!C40="","",'Stock UST'!C40)</f>
        <v/>
      </c>
      <c r="D43" s="30" t="str">
        <f>IF('Stock UST'!D40="","",'Stock UST'!D40)</f>
        <v/>
      </c>
      <c r="E43" s="13" t="str">
        <f>IF(Stock!B39="","",Stock!B39)</f>
        <v/>
      </c>
      <c r="F43" s="13" t="str">
        <f ca="1">IF(Stock!C39="","",Stock!C39)</f>
        <v/>
      </c>
      <c r="G43" s="13" t="str">
        <f ca="1">IF(Stock!D39="","",Stock!D39)</f>
        <v/>
      </c>
      <c r="H43" s="13" t="str">
        <f ca="1">IF(Stock!E39="","",Stock!E39)</f>
        <v/>
      </c>
      <c r="I43" s="13" t="str">
        <f ca="1">IF(Stock!F39="","",Stock!F39)</f>
        <v/>
      </c>
      <c r="J43" s="13" t="str">
        <f ca="1">IF(Stock!G39="","",Stock!G39)</f>
        <v/>
      </c>
      <c r="K43" s="13" t="str">
        <f ca="1">IF(Stock!H39="","",Stock!H39)</f>
        <v/>
      </c>
      <c r="L43" s="13" t="str">
        <f ca="1">IF(Stock!I39="","",Stock!I39)</f>
        <v/>
      </c>
      <c r="M43" s="13" t="str">
        <f ca="1">IF(Stock!J39="","",Stock!J39)</f>
        <v/>
      </c>
      <c r="N43" s="13" t="str">
        <f ca="1">IF(Stock!K39="","",Stock!K39)</f>
        <v/>
      </c>
      <c r="O43" s="13" t="str">
        <f ca="1">IF(Stock!L39="","",Stock!L39)</f>
        <v/>
      </c>
      <c r="P43" s="13" t="str">
        <f ca="1">IF(Stock!M39="","",Stock!M39)</f>
        <v/>
      </c>
      <c r="Q43" s="13" t="str">
        <f ca="1">IF(Stock!N39="","",Stock!N39)</f>
        <v/>
      </c>
      <c r="R43" s="13" t="str">
        <f ca="1">IF(Stock!O39="","",Stock!O39)</f>
        <v/>
      </c>
      <c r="S43" s="13" t="str">
        <f ca="1">IF(Stock!P39="","",Stock!P39)</f>
        <v/>
      </c>
      <c r="T43" s="13" t="str">
        <f ca="1">IF(Stock!Q39="","",Stock!Q39)</f>
        <v/>
      </c>
      <c r="U43" s="13" t="str">
        <f ca="1">IF(Stock!R39="","",Stock!R39)</f>
        <v/>
      </c>
      <c r="V43" s="13" t="str">
        <f ca="1">IF(Stock!S39="","",Stock!S39)</f>
        <v/>
      </c>
      <c r="W43" s="13" t="str">
        <f ca="1">IF(Stock!T39="","",Stock!T39)</f>
        <v/>
      </c>
      <c r="X43" s="13" t="str">
        <f ca="1">IF(Stock!U39="","",Stock!U39)</f>
        <v/>
      </c>
      <c r="Y43" s="13" t="str">
        <f ca="1">IF(Stock!V39="","",Stock!V39)</f>
        <v/>
      </c>
      <c r="Z43" s="13" t="str">
        <f ca="1">IF(Stock!W39="","",Stock!W39)</f>
        <v/>
      </c>
      <c r="AA43" s="13" t="str">
        <f ca="1">IF(Stock!X39="","",Stock!X39)</f>
        <v/>
      </c>
      <c r="AB43" s="13" t="str">
        <f ca="1">IF(Stock!Y39="","",Stock!Y39)</f>
        <v/>
      </c>
      <c r="AC43" s="13" t="str">
        <f ca="1">IF(Stock!Z39="","",Stock!Z39)</f>
        <v/>
      </c>
      <c r="AD43" s="13" t="str">
        <f ca="1">IF(Stock!AA39="","",Stock!AA39)</f>
        <v/>
      </c>
      <c r="AE43" s="13" t="str">
        <f ca="1">IF(Stock!AB39="","",Stock!AB39)</f>
        <v/>
      </c>
      <c r="AF43" s="13" t="str">
        <f ca="1">IF(Stock!AC39="","",Stock!AC39)</f>
        <v/>
      </c>
      <c r="AG43" s="13" t="str">
        <f ca="1">IF(Stock!AD39="","",Stock!AD39)</f>
        <v/>
      </c>
      <c r="AH43" s="13" t="str">
        <f ca="1">IF(Stock!AE39="","",Stock!AE39)</f>
        <v/>
      </c>
      <c r="AI43" s="13" t="str">
        <f ca="1">IF(Stock!AF39="","",Stock!AF39)</f>
        <v/>
      </c>
      <c r="AJ43" s="13" t="str">
        <f ca="1">IF(Stock!AG39="","",Stock!AG39)</f>
        <v/>
      </c>
      <c r="AK43" s="13" t="str">
        <f ca="1">IF(Stock!AH39="","",Stock!AH39)</f>
        <v/>
      </c>
      <c r="AL43" s="13" t="str">
        <f ca="1">IF(Stock!AI39="","",Stock!AI39)</f>
        <v/>
      </c>
      <c r="AM43" s="13" t="str">
        <f ca="1">IF(Stock!AJ39="","",Stock!AJ39)</f>
        <v/>
      </c>
      <c r="AN43" s="13" t="str">
        <f ca="1">IF(Stock!AK39="","",Stock!AK39)</f>
        <v/>
      </c>
      <c r="AO43" s="13" t="str">
        <f ca="1">IF(Stock!AL39="","",Stock!AL39)</f>
        <v/>
      </c>
      <c r="AP43" s="13" t="str">
        <f ca="1">IF(Stock!AM39="","",Stock!AM39)</f>
        <v/>
      </c>
      <c r="AQ43" s="13" t="str">
        <f ca="1">IF(Stock!AN39="","",Stock!AN39)</f>
        <v/>
      </c>
      <c r="AR43" s="13" t="str">
        <f ca="1">IF(Stock!AO39="","",Stock!AO39)</f>
        <v/>
      </c>
      <c r="AS43" s="13" t="str">
        <f ca="1">IF(Stock!AP39="","",Stock!AP39)</f>
        <v/>
      </c>
      <c r="AT43" s="13" t="str">
        <f ca="1">IF(Stock!AQ39="","",Stock!AQ39)</f>
        <v/>
      </c>
      <c r="AU43" s="13" t="str">
        <f ca="1">IF(Stock!AR39="","",Stock!AR39)</f>
        <v/>
      </c>
      <c r="AV43" s="13" t="str">
        <f ca="1">IF(Stock!AS39="","",Stock!AS39)</f>
        <v/>
      </c>
      <c r="AW43" s="13" t="str">
        <f ca="1">IF(Stock!AT39="","",Stock!AT39)</f>
        <v/>
      </c>
      <c r="AX43" s="13" t="str">
        <f ca="1">IF(Stock!AU39="","",Stock!AU39)</f>
        <v/>
      </c>
      <c r="AY43" s="13" t="str">
        <f ca="1">IF(Stock!AV39="","",Stock!AV39)</f>
        <v/>
      </c>
      <c r="AZ43" s="13" t="str">
        <f ca="1">IF(Stock!AW39="","",Stock!AW39)</f>
        <v/>
      </c>
      <c r="BA43" s="13" t="str">
        <f ca="1">IF(Stock!AX39="","",Stock!AX39)</f>
        <v/>
      </c>
      <c r="BB43" s="13" t="str">
        <f>IF(Stock!AY39="","",Stock!AY39)</f>
        <v/>
      </c>
      <c r="BC43" s="13" t="str">
        <f>IF(Stock!AZ39="","",Stock!AZ39)</f>
        <v/>
      </c>
      <c r="BD43" s="13" t="str">
        <f>IF(Stock!BA39="","",Stock!BA39)</f>
        <v/>
      </c>
      <c r="BE43" s="13" t="str">
        <f>IF(Stock!BB39="","",Stock!BB39)</f>
        <v/>
      </c>
      <c r="BF43" s="13" t="str">
        <f>IF(Stock!BC39="","",Stock!BC39)</f>
        <v/>
      </c>
    </row>
    <row r="44" spans="1:58" ht="14.25" customHeight="1" x14ac:dyDescent="0.3">
      <c r="A44" s="15" t="str">
        <f>IF('MV Repo'!A40="","",IF(E44="",A43,A43+1))</f>
        <v/>
      </c>
      <c r="B44" s="31" t="str">
        <f>IF(A44="","",IF('MV Repo'!A40=0,"B " &amp; TEXT('MV Repo'!B40,"mm/jj/aa"),"T " &amp; 'MV Repo'!A40 &amp; " " &amp; TEXT('MV Repo'!B40,"mm/aa")))</f>
        <v/>
      </c>
      <c r="C44" s="30" t="str">
        <f>IF('Stock UST'!C41="","",'Stock UST'!C41)</f>
        <v/>
      </c>
      <c r="D44" s="30" t="str">
        <f>IF('Stock UST'!D41="","",'Stock UST'!D41)</f>
        <v/>
      </c>
      <c r="E44" s="13" t="str">
        <f>IF(Stock!B40="","",Stock!B40)</f>
        <v/>
      </c>
      <c r="F44" s="13" t="str">
        <f ca="1">IF(Stock!C40="","",Stock!C40)</f>
        <v/>
      </c>
      <c r="G44" s="13" t="str">
        <f ca="1">IF(Stock!D40="","",Stock!D40)</f>
        <v/>
      </c>
      <c r="H44" s="13" t="str">
        <f ca="1">IF(Stock!E40="","",Stock!E40)</f>
        <v/>
      </c>
      <c r="I44" s="13" t="str">
        <f ca="1">IF(Stock!F40="","",Stock!F40)</f>
        <v/>
      </c>
      <c r="J44" s="13" t="str">
        <f ca="1">IF(Stock!G40="","",Stock!G40)</f>
        <v/>
      </c>
      <c r="K44" s="13" t="str">
        <f ca="1">IF(Stock!H40="","",Stock!H40)</f>
        <v/>
      </c>
      <c r="L44" s="13" t="str">
        <f ca="1">IF(Stock!I40="","",Stock!I40)</f>
        <v/>
      </c>
      <c r="M44" s="13" t="str">
        <f ca="1">IF(Stock!J40="","",Stock!J40)</f>
        <v/>
      </c>
      <c r="N44" s="13" t="str">
        <f ca="1">IF(Stock!K40="","",Stock!K40)</f>
        <v/>
      </c>
      <c r="O44" s="13" t="str">
        <f ca="1">IF(Stock!L40="","",Stock!L40)</f>
        <v/>
      </c>
      <c r="P44" s="13" t="str">
        <f ca="1">IF(Stock!M40="","",Stock!M40)</f>
        <v/>
      </c>
      <c r="Q44" s="13" t="str">
        <f ca="1">IF(Stock!N40="","",Stock!N40)</f>
        <v/>
      </c>
      <c r="R44" s="13" t="str">
        <f ca="1">IF(Stock!O40="","",Stock!O40)</f>
        <v/>
      </c>
      <c r="S44" s="13" t="str">
        <f ca="1">IF(Stock!P40="","",Stock!P40)</f>
        <v/>
      </c>
      <c r="T44" s="13" t="str">
        <f ca="1">IF(Stock!Q40="","",Stock!Q40)</f>
        <v/>
      </c>
      <c r="U44" s="13" t="str">
        <f ca="1">IF(Stock!R40="","",Stock!R40)</f>
        <v/>
      </c>
      <c r="V44" s="13" t="str">
        <f ca="1">IF(Stock!S40="","",Stock!S40)</f>
        <v/>
      </c>
      <c r="W44" s="13" t="str">
        <f ca="1">IF(Stock!T40="","",Stock!T40)</f>
        <v/>
      </c>
      <c r="X44" s="13" t="str">
        <f ca="1">IF(Stock!U40="","",Stock!U40)</f>
        <v/>
      </c>
      <c r="Y44" s="13" t="str">
        <f ca="1">IF(Stock!V40="","",Stock!V40)</f>
        <v/>
      </c>
      <c r="Z44" s="13" t="str">
        <f ca="1">IF(Stock!W40="","",Stock!W40)</f>
        <v/>
      </c>
      <c r="AA44" s="13" t="str">
        <f ca="1">IF(Stock!X40="","",Stock!X40)</f>
        <v/>
      </c>
      <c r="AB44" s="13" t="str">
        <f ca="1">IF(Stock!Y40="","",Stock!Y40)</f>
        <v/>
      </c>
      <c r="AC44" s="13" t="str">
        <f ca="1">IF(Stock!Z40="","",Stock!Z40)</f>
        <v/>
      </c>
      <c r="AD44" s="13" t="str">
        <f ca="1">IF(Stock!AA40="","",Stock!AA40)</f>
        <v/>
      </c>
      <c r="AE44" s="13" t="str">
        <f ca="1">IF(Stock!AB40="","",Stock!AB40)</f>
        <v/>
      </c>
      <c r="AF44" s="13" t="str">
        <f ca="1">IF(Stock!AC40="","",Stock!AC40)</f>
        <v/>
      </c>
      <c r="AG44" s="13" t="str">
        <f ca="1">IF(Stock!AD40="","",Stock!AD40)</f>
        <v/>
      </c>
      <c r="AH44" s="13" t="str">
        <f ca="1">IF(Stock!AE40="","",Stock!AE40)</f>
        <v/>
      </c>
      <c r="AI44" s="13" t="str">
        <f ca="1">IF(Stock!AF40="","",Stock!AF40)</f>
        <v/>
      </c>
      <c r="AJ44" s="13" t="str">
        <f ca="1">IF(Stock!AG40="","",Stock!AG40)</f>
        <v/>
      </c>
      <c r="AK44" s="13" t="str">
        <f ca="1">IF(Stock!AH40="","",Stock!AH40)</f>
        <v/>
      </c>
      <c r="AL44" s="13" t="str">
        <f ca="1">IF(Stock!AI40="","",Stock!AI40)</f>
        <v/>
      </c>
      <c r="AM44" s="13" t="str">
        <f ca="1">IF(Stock!AJ40="","",Stock!AJ40)</f>
        <v/>
      </c>
      <c r="AN44" s="13" t="str">
        <f ca="1">IF(Stock!AK40="","",Stock!AK40)</f>
        <v/>
      </c>
      <c r="AO44" s="13" t="str">
        <f ca="1">IF(Stock!AL40="","",Stock!AL40)</f>
        <v/>
      </c>
      <c r="AP44" s="13" t="str">
        <f ca="1">IF(Stock!AM40="","",Stock!AM40)</f>
        <v/>
      </c>
      <c r="AQ44" s="13" t="str">
        <f ca="1">IF(Stock!AN40="","",Stock!AN40)</f>
        <v/>
      </c>
      <c r="AR44" s="13" t="str">
        <f ca="1">IF(Stock!AO40="","",Stock!AO40)</f>
        <v/>
      </c>
      <c r="AS44" s="13" t="str">
        <f ca="1">IF(Stock!AP40="","",Stock!AP40)</f>
        <v/>
      </c>
      <c r="AT44" s="13" t="str">
        <f ca="1">IF(Stock!AQ40="","",Stock!AQ40)</f>
        <v/>
      </c>
      <c r="AU44" s="13" t="str">
        <f ca="1">IF(Stock!AR40="","",Stock!AR40)</f>
        <v/>
      </c>
      <c r="AV44" s="13" t="str">
        <f ca="1">IF(Stock!AS40="","",Stock!AS40)</f>
        <v/>
      </c>
      <c r="AW44" s="13" t="str">
        <f ca="1">IF(Stock!AT40="","",Stock!AT40)</f>
        <v/>
      </c>
      <c r="AX44" s="13" t="str">
        <f ca="1">IF(Stock!AU40="","",Stock!AU40)</f>
        <v/>
      </c>
      <c r="AY44" s="13" t="str">
        <f ca="1">IF(Stock!AV40="","",Stock!AV40)</f>
        <v/>
      </c>
      <c r="AZ44" s="13" t="str">
        <f ca="1">IF(Stock!AW40="","",Stock!AW40)</f>
        <v/>
      </c>
      <c r="BA44" s="13" t="str">
        <f ca="1">IF(Stock!AX40="","",Stock!AX40)</f>
        <v/>
      </c>
      <c r="BB44" s="13" t="str">
        <f>IF(Stock!AY40="","",Stock!AY40)</f>
        <v/>
      </c>
      <c r="BC44" s="13" t="str">
        <f>IF(Stock!AZ40="","",Stock!AZ40)</f>
        <v/>
      </c>
      <c r="BD44" s="13" t="str">
        <f>IF(Stock!BA40="","",Stock!BA40)</f>
        <v/>
      </c>
      <c r="BE44" s="13" t="str">
        <f>IF(Stock!BB40="","",Stock!BB40)</f>
        <v/>
      </c>
      <c r="BF44" s="13" t="str">
        <f>IF(Stock!BC40="","",Stock!BC40)</f>
        <v/>
      </c>
    </row>
    <row r="45" spans="1:58" ht="14.25" customHeight="1" x14ac:dyDescent="0.3">
      <c r="A45" s="15" t="str">
        <f>IF('MV Repo'!A41="","",IF(E45="",A44,A44+1))</f>
        <v/>
      </c>
      <c r="B45" s="31" t="str">
        <f>IF(A45="","",IF('MV Repo'!A41=0,"B " &amp; TEXT('MV Repo'!B41,"mm/jj/aa"),"T " &amp; 'MV Repo'!A41 &amp; " " &amp; TEXT('MV Repo'!B41,"mm/aa")))</f>
        <v/>
      </c>
      <c r="C45" s="30" t="str">
        <f>IF('Stock UST'!C42="","",'Stock UST'!C42)</f>
        <v/>
      </c>
      <c r="D45" s="30" t="str">
        <f>IF('Stock UST'!D42="","",'Stock UST'!D42)</f>
        <v/>
      </c>
      <c r="E45" s="13" t="str">
        <f>IF(Stock!B41="","",Stock!B41)</f>
        <v/>
      </c>
      <c r="F45" s="13" t="str">
        <f ca="1">IF(Stock!C41="","",Stock!C41)</f>
        <v/>
      </c>
      <c r="G45" s="13" t="str">
        <f ca="1">IF(Stock!D41="","",Stock!D41)</f>
        <v/>
      </c>
      <c r="H45" s="13" t="str">
        <f ca="1">IF(Stock!E41="","",Stock!E41)</f>
        <v/>
      </c>
      <c r="I45" s="13" t="str">
        <f ca="1">IF(Stock!F41="","",Stock!F41)</f>
        <v/>
      </c>
      <c r="J45" s="13" t="str">
        <f ca="1">IF(Stock!G41="","",Stock!G41)</f>
        <v/>
      </c>
      <c r="K45" s="13" t="str">
        <f ca="1">IF(Stock!H41="","",Stock!H41)</f>
        <v/>
      </c>
      <c r="L45" s="13" t="str">
        <f ca="1">IF(Stock!I41="","",Stock!I41)</f>
        <v/>
      </c>
      <c r="M45" s="13" t="str">
        <f ca="1">IF(Stock!J41="","",Stock!J41)</f>
        <v/>
      </c>
      <c r="N45" s="13" t="str">
        <f ca="1">IF(Stock!K41="","",Stock!K41)</f>
        <v/>
      </c>
      <c r="O45" s="13" t="str">
        <f ca="1">IF(Stock!L41="","",Stock!L41)</f>
        <v/>
      </c>
      <c r="P45" s="13" t="str">
        <f ca="1">IF(Stock!M41="","",Stock!M41)</f>
        <v/>
      </c>
      <c r="Q45" s="13" t="str">
        <f ca="1">IF(Stock!N41="","",Stock!N41)</f>
        <v/>
      </c>
      <c r="R45" s="13" t="str">
        <f ca="1">IF(Stock!O41="","",Stock!O41)</f>
        <v/>
      </c>
      <c r="S45" s="13" t="str">
        <f ca="1">IF(Stock!P41="","",Stock!P41)</f>
        <v/>
      </c>
      <c r="T45" s="13" t="str">
        <f ca="1">IF(Stock!Q41="","",Stock!Q41)</f>
        <v/>
      </c>
      <c r="U45" s="13" t="str">
        <f ca="1">IF(Stock!R41="","",Stock!R41)</f>
        <v/>
      </c>
      <c r="V45" s="13" t="str">
        <f ca="1">IF(Stock!S41="","",Stock!S41)</f>
        <v/>
      </c>
      <c r="W45" s="13" t="str">
        <f ca="1">IF(Stock!T41="","",Stock!T41)</f>
        <v/>
      </c>
      <c r="X45" s="13" t="str">
        <f ca="1">IF(Stock!U41="","",Stock!U41)</f>
        <v/>
      </c>
      <c r="Y45" s="13" t="str">
        <f ca="1">IF(Stock!V41="","",Stock!V41)</f>
        <v/>
      </c>
      <c r="Z45" s="13" t="str">
        <f ca="1">IF(Stock!W41="","",Stock!W41)</f>
        <v/>
      </c>
      <c r="AA45" s="13" t="str">
        <f ca="1">IF(Stock!X41="","",Stock!X41)</f>
        <v/>
      </c>
      <c r="AB45" s="13" t="str">
        <f ca="1">IF(Stock!Y41="","",Stock!Y41)</f>
        <v/>
      </c>
      <c r="AC45" s="13" t="str">
        <f ca="1">IF(Stock!Z41="","",Stock!Z41)</f>
        <v/>
      </c>
      <c r="AD45" s="13" t="str">
        <f ca="1">IF(Stock!AA41="","",Stock!AA41)</f>
        <v/>
      </c>
      <c r="AE45" s="13" t="str">
        <f ca="1">IF(Stock!AB41="","",Stock!AB41)</f>
        <v/>
      </c>
      <c r="AF45" s="13" t="str">
        <f ca="1">IF(Stock!AC41="","",Stock!AC41)</f>
        <v/>
      </c>
      <c r="AG45" s="13" t="str">
        <f ca="1">IF(Stock!AD41="","",Stock!AD41)</f>
        <v/>
      </c>
      <c r="AH45" s="13" t="str">
        <f ca="1">IF(Stock!AE41="","",Stock!AE41)</f>
        <v/>
      </c>
      <c r="AI45" s="13" t="str">
        <f ca="1">IF(Stock!AF41="","",Stock!AF41)</f>
        <v/>
      </c>
      <c r="AJ45" s="13" t="str">
        <f ca="1">IF(Stock!AG41="","",Stock!AG41)</f>
        <v/>
      </c>
      <c r="AK45" s="13" t="str">
        <f ca="1">IF(Stock!AH41="","",Stock!AH41)</f>
        <v/>
      </c>
      <c r="AL45" s="13" t="str">
        <f ca="1">IF(Stock!AI41="","",Stock!AI41)</f>
        <v/>
      </c>
      <c r="AM45" s="13" t="str">
        <f ca="1">IF(Stock!AJ41="","",Stock!AJ41)</f>
        <v/>
      </c>
      <c r="AN45" s="13" t="str">
        <f ca="1">IF(Stock!AK41="","",Stock!AK41)</f>
        <v/>
      </c>
      <c r="AO45" s="13" t="str">
        <f ca="1">IF(Stock!AL41="","",Stock!AL41)</f>
        <v/>
      </c>
      <c r="AP45" s="13" t="str">
        <f ca="1">IF(Stock!AM41="","",Stock!AM41)</f>
        <v/>
      </c>
      <c r="AQ45" s="13" t="str">
        <f ca="1">IF(Stock!AN41="","",Stock!AN41)</f>
        <v/>
      </c>
      <c r="AR45" s="13" t="str">
        <f ca="1">IF(Stock!AO41="","",Stock!AO41)</f>
        <v/>
      </c>
      <c r="AS45" s="13" t="str">
        <f ca="1">IF(Stock!AP41="","",Stock!AP41)</f>
        <v/>
      </c>
      <c r="AT45" s="13" t="str">
        <f ca="1">IF(Stock!AQ41="","",Stock!AQ41)</f>
        <v/>
      </c>
      <c r="AU45" s="13" t="str">
        <f ca="1">IF(Stock!AR41="","",Stock!AR41)</f>
        <v/>
      </c>
      <c r="AV45" s="13" t="str">
        <f ca="1">IF(Stock!AS41="","",Stock!AS41)</f>
        <v/>
      </c>
      <c r="AW45" s="13" t="str">
        <f ca="1">IF(Stock!AT41="","",Stock!AT41)</f>
        <v/>
      </c>
      <c r="AX45" s="13" t="str">
        <f ca="1">IF(Stock!AU41="","",Stock!AU41)</f>
        <v/>
      </c>
      <c r="AY45" s="13" t="str">
        <f ca="1">IF(Stock!AV41="","",Stock!AV41)</f>
        <v/>
      </c>
      <c r="AZ45" s="13" t="str">
        <f ca="1">IF(Stock!AW41="","",Stock!AW41)</f>
        <v/>
      </c>
      <c r="BA45" s="13" t="str">
        <f ca="1">IF(Stock!AX41="","",Stock!AX41)</f>
        <v/>
      </c>
      <c r="BB45" s="13" t="str">
        <f>IF(Stock!AY41="","",Stock!AY41)</f>
        <v/>
      </c>
      <c r="BC45" s="13" t="str">
        <f>IF(Stock!AZ41="","",Stock!AZ41)</f>
        <v/>
      </c>
      <c r="BD45" s="13" t="str">
        <f>IF(Stock!BA41="","",Stock!BA41)</f>
        <v/>
      </c>
      <c r="BE45" s="13" t="str">
        <f>IF(Stock!BB41="","",Stock!BB41)</f>
        <v/>
      </c>
      <c r="BF45" s="13" t="str">
        <f>IF(Stock!BC41="","",Stock!BC41)</f>
        <v/>
      </c>
    </row>
    <row r="46" spans="1:58" ht="14.25" customHeight="1" x14ac:dyDescent="0.3">
      <c r="A46" s="15" t="str">
        <f>IF('MV Repo'!A42="","",IF(E46="",A45,A45+1))</f>
        <v/>
      </c>
      <c r="B46" s="31" t="str">
        <f>IF(A46="","",IF('MV Repo'!A42=0,"B " &amp; TEXT('MV Repo'!B42,"mm/jj/aa"),"T " &amp; 'MV Repo'!A42 &amp; " " &amp; TEXT('MV Repo'!B42,"mm/aa")))</f>
        <v/>
      </c>
      <c r="C46" s="30" t="str">
        <f>IF('Stock UST'!C43="","",'Stock UST'!C43)</f>
        <v/>
      </c>
      <c r="D46" s="30" t="str">
        <f>IF('Stock UST'!D43="","",'Stock UST'!D43)</f>
        <v/>
      </c>
      <c r="E46" s="13" t="str">
        <f>IF(Stock!B42="","",Stock!B42)</f>
        <v/>
      </c>
      <c r="F46" s="13" t="str">
        <f ca="1">IF(Stock!C42="","",Stock!C42)</f>
        <v/>
      </c>
      <c r="G46" s="13" t="str">
        <f ca="1">IF(Stock!D42="","",Stock!D42)</f>
        <v/>
      </c>
      <c r="H46" s="13" t="str">
        <f ca="1">IF(Stock!E42="","",Stock!E42)</f>
        <v/>
      </c>
      <c r="I46" s="13" t="str">
        <f ca="1">IF(Stock!F42="","",Stock!F42)</f>
        <v/>
      </c>
      <c r="J46" s="13" t="str">
        <f ca="1">IF(Stock!G42="","",Stock!G42)</f>
        <v/>
      </c>
      <c r="K46" s="13" t="str">
        <f ca="1">IF(Stock!H42="","",Stock!H42)</f>
        <v/>
      </c>
      <c r="L46" s="13" t="str">
        <f ca="1">IF(Stock!I42="","",Stock!I42)</f>
        <v/>
      </c>
      <c r="M46" s="13" t="str">
        <f ca="1">IF(Stock!J42="","",Stock!J42)</f>
        <v/>
      </c>
      <c r="N46" s="13" t="str">
        <f ca="1">IF(Stock!K42="","",Stock!K42)</f>
        <v/>
      </c>
      <c r="O46" s="13" t="str">
        <f ca="1">IF(Stock!L42="","",Stock!L42)</f>
        <v/>
      </c>
      <c r="P46" s="13" t="str">
        <f ca="1">IF(Stock!M42="","",Stock!M42)</f>
        <v/>
      </c>
      <c r="Q46" s="13" t="str">
        <f ca="1">IF(Stock!N42="","",Stock!N42)</f>
        <v/>
      </c>
      <c r="R46" s="13" t="str">
        <f ca="1">IF(Stock!O42="","",Stock!O42)</f>
        <v/>
      </c>
      <c r="S46" s="13" t="str">
        <f ca="1">IF(Stock!P42="","",Stock!P42)</f>
        <v/>
      </c>
      <c r="T46" s="13" t="str">
        <f ca="1">IF(Stock!Q42="","",Stock!Q42)</f>
        <v/>
      </c>
      <c r="U46" s="13" t="str">
        <f ca="1">IF(Stock!R42="","",Stock!R42)</f>
        <v/>
      </c>
      <c r="V46" s="13" t="str">
        <f ca="1">IF(Stock!S42="","",Stock!S42)</f>
        <v/>
      </c>
      <c r="W46" s="13" t="str">
        <f ca="1">IF(Stock!T42="","",Stock!T42)</f>
        <v/>
      </c>
      <c r="X46" s="13" t="str">
        <f ca="1">IF(Stock!U42="","",Stock!U42)</f>
        <v/>
      </c>
      <c r="Y46" s="13" t="str">
        <f ca="1">IF(Stock!V42="","",Stock!V42)</f>
        <v/>
      </c>
      <c r="Z46" s="13" t="str">
        <f ca="1">IF(Stock!W42="","",Stock!W42)</f>
        <v/>
      </c>
      <c r="AA46" s="13" t="str">
        <f ca="1">IF(Stock!X42="","",Stock!X42)</f>
        <v/>
      </c>
      <c r="AB46" s="13" t="str">
        <f ca="1">IF(Stock!Y42="","",Stock!Y42)</f>
        <v/>
      </c>
      <c r="AC46" s="13" t="str">
        <f ca="1">IF(Stock!Z42="","",Stock!Z42)</f>
        <v/>
      </c>
      <c r="AD46" s="13" t="str">
        <f ca="1">IF(Stock!AA42="","",Stock!AA42)</f>
        <v/>
      </c>
      <c r="AE46" s="13" t="str">
        <f ca="1">IF(Stock!AB42="","",Stock!AB42)</f>
        <v/>
      </c>
      <c r="AF46" s="13" t="str">
        <f ca="1">IF(Stock!AC42="","",Stock!AC42)</f>
        <v/>
      </c>
      <c r="AG46" s="13" t="str">
        <f ca="1">IF(Stock!AD42="","",Stock!AD42)</f>
        <v/>
      </c>
      <c r="AH46" s="13" t="str">
        <f ca="1">IF(Stock!AE42="","",Stock!AE42)</f>
        <v/>
      </c>
      <c r="AI46" s="13" t="str">
        <f ca="1">IF(Stock!AF42="","",Stock!AF42)</f>
        <v/>
      </c>
      <c r="AJ46" s="13" t="str">
        <f ca="1">IF(Stock!AG42="","",Stock!AG42)</f>
        <v/>
      </c>
      <c r="AK46" s="13" t="str">
        <f ca="1">IF(Stock!AH42="","",Stock!AH42)</f>
        <v/>
      </c>
      <c r="AL46" s="13" t="str">
        <f ca="1">IF(Stock!AI42="","",Stock!AI42)</f>
        <v/>
      </c>
      <c r="AM46" s="13" t="str">
        <f ca="1">IF(Stock!AJ42="","",Stock!AJ42)</f>
        <v/>
      </c>
      <c r="AN46" s="13" t="str">
        <f ca="1">IF(Stock!AK42="","",Stock!AK42)</f>
        <v/>
      </c>
      <c r="AO46" s="13" t="str">
        <f ca="1">IF(Stock!AL42="","",Stock!AL42)</f>
        <v/>
      </c>
      <c r="AP46" s="13" t="str">
        <f ca="1">IF(Stock!AM42="","",Stock!AM42)</f>
        <v/>
      </c>
      <c r="AQ46" s="13" t="str">
        <f ca="1">IF(Stock!AN42="","",Stock!AN42)</f>
        <v/>
      </c>
      <c r="AR46" s="13" t="str">
        <f ca="1">IF(Stock!AO42="","",Stock!AO42)</f>
        <v/>
      </c>
      <c r="AS46" s="13" t="str">
        <f ca="1">IF(Stock!AP42="","",Stock!AP42)</f>
        <v/>
      </c>
      <c r="AT46" s="13" t="str">
        <f ca="1">IF(Stock!AQ42="","",Stock!AQ42)</f>
        <v/>
      </c>
      <c r="AU46" s="13" t="str">
        <f ca="1">IF(Stock!AR42="","",Stock!AR42)</f>
        <v/>
      </c>
      <c r="AV46" s="13" t="str">
        <f ca="1">IF(Stock!AS42="","",Stock!AS42)</f>
        <v/>
      </c>
      <c r="AW46" s="13" t="str">
        <f ca="1">IF(Stock!AT42="","",Stock!AT42)</f>
        <v/>
      </c>
      <c r="AX46" s="13" t="str">
        <f ca="1">IF(Stock!AU42="","",Stock!AU42)</f>
        <v/>
      </c>
      <c r="AY46" s="13" t="str">
        <f ca="1">IF(Stock!AV42="","",Stock!AV42)</f>
        <v/>
      </c>
      <c r="AZ46" s="13" t="str">
        <f ca="1">IF(Stock!AW42="","",Stock!AW42)</f>
        <v/>
      </c>
      <c r="BA46" s="13" t="str">
        <f ca="1">IF(Stock!AX42="","",Stock!AX42)</f>
        <v/>
      </c>
      <c r="BB46" s="13" t="str">
        <f>IF(Stock!AY42="","",Stock!AY42)</f>
        <v/>
      </c>
      <c r="BC46" s="13" t="str">
        <f>IF(Stock!AZ42="","",Stock!AZ42)</f>
        <v/>
      </c>
      <c r="BD46" s="13" t="str">
        <f>IF(Stock!BA42="","",Stock!BA42)</f>
        <v/>
      </c>
      <c r="BE46" s="13" t="str">
        <f>IF(Stock!BB42="","",Stock!BB42)</f>
        <v/>
      </c>
      <c r="BF46" s="13" t="str">
        <f>IF(Stock!BC42="","",Stock!BC42)</f>
        <v/>
      </c>
    </row>
    <row r="47" spans="1:58" ht="14.25" customHeight="1" x14ac:dyDescent="0.3">
      <c r="A47" s="15" t="str">
        <f>IF('MV Repo'!A43="","",IF(E47="",A46,A46+1))</f>
        <v/>
      </c>
      <c r="B47" s="31" t="str">
        <f>IF(A47="","",IF('MV Repo'!A43=0,"B " &amp; TEXT('MV Repo'!B43,"mm/jj/aa"),"T " &amp; 'MV Repo'!A43 &amp; " " &amp; TEXT('MV Repo'!B43,"mm/aa")))</f>
        <v/>
      </c>
      <c r="C47" s="30" t="str">
        <f>IF('Stock UST'!C44="","",'Stock UST'!C44)</f>
        <v/>
      </c>
      <c r="D47" s="30" t="str">
        <f>IF('Stock UST'!D44="","",'Stock UST'!D44)</f>
        <v/>
      </c>
      <c r="E47" s="13" t="str">
        <f>IF(Stock!B43="","",Stock!B43)</f>
        <v/>
      </c>
      <c r="F47" s="13" t="str">
        <f ca="1">IF(Stock!C43="","",Stock!C43)</f>
        <v/>
      </c>
      <c r="G47" s="13" t="str">
        <f ca="1">IF(Stock!D43="","",Stock!D43)</f>
        <v/>
      </c>
      <c r="H47" s="13" t="str">
        <f ca="1">IF(Stock!E43="","",Stock!E43)</f>
        <v/>
      </c>
      <c r="I47" s="13" t="str">
        <f ca="1">IF(Stock!F43="","",Stock!F43)</f>
        <v/>
      </c>
      <c r="J47" s="13" t="str">
        <f ca="1">IF(Stock!G43="","",Stock!G43)</f>
        <v/>
      </c>
      <c r="K47" s="13" t="str">
        <f ca="1">IF(Stock!H43="","",Stock!H43)</f>
        <v/>
      </c>
      <c r="L47" s="13" t="str">
        <f ca="1">IF(Stock!I43="","",Stock!I43)</f>
        <v/>
      </c>
      <c r="M47" s="13" t="str">
        <f ca="1">IF(Stock!J43="","",Stock!J43)</f>
        <v/>
      </c>
      <c r="N47" s="13" t="str">
        <f ca="1">IF(Stock!K43="","",Stock!K43)</f>
        <v/>
      </c>
      <c r="O47" s="13" t="str">
        <f ca="1">IF(Stock!L43="","",Stock!L43)</f>
        <v/>
      </c>
      <c r="P47" s="13" t="str">
        <f ca="1">IF(Stock!M43="","",Stock!M43)</f>
        <v/>
      </c>
      <c r="Q47" s="13" t="str">
        <f ca="1">IF(Stock!N43="","",Stock!N43)</f>
        <v/>
      </c>
      <c r="R47" s="13" t="str">
        <f ca="1">IF(Stock!O43="","",Stock!O43)</f>
        <v/>
      </c>
      <c r="S47" s="13" t="str">
        <f ca="1">IF(Stock!P43="","",Stock!P43)</f>
        <v/>
      </c>
      <c r="T47" s="13" t="str">
        <f ca="1">IF(Stock!Q43="","",Stock!Q43)</f>
        <v/>
      </c>
      <c r="U47" s="13" t="str">
        <f ca="1">IF(Stock!R43="","",Stock!R43)</f>
        <v/>
      </c>
      <c r="V47" s="13" t="str">
        <f ca="1">IF(Stock!S43="","",Stock!S43)</f>
        <v/>
      </c>
      <c r="W47" s="13" t="str">
        <f ca="1">IF(Stock!T43="","",Stock!T43)</f>
        <v/>
      </c>
      <c r="X47" s="13" t="str">
        <f ca="1">IF(Stock!U43="","",Stock!U43)</f>
        <v/>
      </c>
      <c r="Y47" s="13" t="str">
        <f ca="1">IF(Stock!V43="","",Stock!V43)</f>
        <v/>
      </c>
      <c r="Z47" s="13" t="str">
        <f ca="1">IF(Stock!W43="","",Stock!W43)</f>
        <v/>
      </c>
      <c r="AA47" s="13" t="str">
        <f ca="1">IF(Stock!X43="","",Stock!X43)</f>
        <v/>
      </c>
      <c r="AB47" s="13" t="str">
        <f ca="1">IF(Stock!Y43="","",Stock!Y43)</f>
        <v/>
      </c>
      <c r="AC47" s="13" t="str">
        <f ca="1">IF(Stock!Z43="","",Stock!Z43)</f>
        <v/>
      </c>
      <c r="AD47" s="13" t="str">
        <f ca="1">IF(Stock!AA43="","",Stock!AA43)</f>
        <v/>
      </c>
      <c r="AE47" s="13" t="str">
        <f ca="1">IF(Stock!AB43="","",Stock!AB43)</f>
        <v/>
      </c>
      <c r="AF47" s="13" t="str">
        <f ca="1">IF(Stock!AC43="","",Stock!AC43)</f>
        <v/>
      </c>
      <c r="AG47" s="13" t="str">
        <f ca="1">IF(Stock!AD43="","",Stock!AD43)</f>
        <v/>
      </c>
      <c r="AH47" s="13" t="str">
        <f ca="1">IF(Stock!AE43="","",Stock!AE43)</f>
        <v/>
      </c>
      <c r="AI47" s="13" t="str">
        <f ca="1">IF(Stock!AF43="","",Stock!AF43)</f>
        <v/>
      </c>
      <c r="AJ47" s="13" t="str">
        <f ca="1">IF(Stock!AG43="","",Stock!AG43)</f>
        <v/>
      </c>
      <c r="AK47" s="13" t="str">
        <f ca="1">IF(Stock!AH43="","",Stock!AH43)</f>
        <v/>
      </c>
      <c r="AL47" s="13" t="str">
        <f ca="1">IF(Stock!AI43="","",Stock!AI43)</f>
        <v/>
      </c>
      <c r="AM47" s="13" t="str">
        <f ca="1">IF(Stock!AJ43="","",Stock!AJ43)</f>
        <v/>
      </c>
      <c r="AN47" s="13" t="str">
        <f ca="1">IF(Stock!AK43="","",Stock!AK43)</f>
        <v/>
      </c>
      <c r="AO47" s="13" t="str">
        <f ca="1">IF(Stock!AL43="","",Stock!AL43)</f>
        <v/>
      </c>
      <c r="AP47" s="13" t="str">
        <f ca="1">IF(Stock!AM43="","",Stock!AM43)</f>
        <v/>
      </c>
      <c r="AQ47" s="13" t="str">
        <f ca="1">IF(Stock!AN43="","",Stock!AN43)</f>
        <v/>
      </c>
      <c r="AR47" s="13" t="str">
        <f ca="1">IF(Stock!AO43="","",Stock!AO43)</f>
        <v/>
      </c>
      <c r="AS47" s="13" t="str">
        <f ca="1">IF(Stock!AP43="","",Stock!AP43)</f>
        <v/>
      </c>
      <c r="AT47" s="13" t="str">
        <f ca="1">IF(Stock!AQ43="","",Stock!AQ43)</f>
        <v/>
      </c>
      <c r="AU47" s="13" t="str">
        <f ca="1">IF(Stock!AR43="","",Stock!AR43)</f>
        <v/>
      </c>
      <c r="AV47" s="13" t="str">
        <f ca="1">IF(Stock!AS43="","",Stock!AS43)</f>
        <v/>
      </c>
      <c r="AW47" s="13" t="str">
        <f ca="1">IF(Stock!AT43="","",Stock!AT43)</f>
        <v/>
      </c>
      <c r="AX47" s="13" t="str">
        <f ca="1">IF(Stock!AU43="","",Stock!AU43)</f>
        <v/>
      </c>
      <c r="AY47" s="13" t="str">
        <f ca="1">IF(Stock!AV43="","",Stock!AV43)</f>
        <v/>
      </c>
      <c r="AZ47" s="13" t="str">
        <f ca="1">IF(Stock!AW43="","",Stock!AW43)</f>
        <v/>
      </c>
      <c r="BA47" s="13" t="str">
        <f ca="1">IF(Stock!AX43="","",Stock!AX43)</f>
        <v/>
      </c>
      <c r="BB47" s="13" t="str">
        <f>IF(Stock!AY43="","",Stock!AY43)</f>
        <v/>
      </c>
      <c r="BC47" s="13" t="str">
        <f>IF(Stock!AZ43="","",Stock!AZ43)</f>
        <v/>
      </c>
      <c r="BD47" s="13" t="str">
        <f>IF(Stock!BA43="","",Stock!BA43)</f>
        <v/>
      </c>
      <c r="BE47" s="13" t="str">
        <f>IF(Stock!BB43="","",Stock!BB43)</f>
        <v/>
      </c>
      <c r="BF47" s="13" t="str">
        <f>IF(Stock!BC43="","",Stock!BC43)</f>
        <v/>
      </c>
    </row>
    <row r="48" spans="1:58" ht="14.25" customHeight="1" x14ac:dyDescent="0.3">
      <c r="A48" s="15" t="str">
        <f>IF('MV Repo'!A44="","",IF(E48="",A47,A47+1))</f>
        <v/>
      </c>
      <c r="B48" s="31" t="str">
        <f>IF(A48="","",IF('MV Repo'!A44=0,"B " &amp; TEXT('MV Repo'!B44,"mm/jj/aa"),"T " &amp; 'MV Repo'!A44 &amp; " " &amp; TEXT('MV Repo'!B44,"mm/aa")))</f>
        <v/>
      </c>
      <c r="C48" s="30" t="str">
        <f>IF('Stock UST'!C45="","",'Stock UST'!C45)</f>
        <v/>
      </c>
      <c r="D48" s="30" t="str">
        <f>IF('Stock UST'!D45="","",'Stock UST'!D45)</f>
        <v/>
      </c>
      <c r="E48" s="13" t="str">
        <f>IF(Stock!B44="","",Stock!B44)</f>
        <v/>
      </c>
      <c r="F48" s="13" t="str">
        <f ca="1">IF(Stock!C44="","",Stock!C44)</f>
        <v/>
      </c>
      <c r="G48" s="13" t="str">
        <f ca="1">IF(Stock!D44="","",Stock!D44)</f>
        <v/>
      </c>
      <c r="H48" s="13" t="str">
        <f ca="1">IF(Stock!E44="","",Stock!E44)</f>
        <v/>
      </c>
      <c r="I48" s="13" t="str">
        <f ca="1">IF(Stock!F44="","",Stock!F44)</f>
        <v/>
      </c>
      <c r="J48" s="13" t="str">
        <f ca="1">IF(Stock!G44="","",Stock!G44)</f>
        <v/>
      </c>
      <c r="K48" s="13" t="str">
        <f ca="1">IF(Stock!H44="","",Stock!H44)</f>
        <v/>
      </c>
      <c r="L48" s="13" t="str">
        <f ca="1">IF(Stock!I44="","",Stock!I44)</f>
        <v/>
      </c>
      <c r="M48" s="13" t="str">
        <f ca="1">IF(Stock!J44="","",Stock!J44)</f>
        <v/>
      </c>
      <c r="N48" s="13" t="str">
        <f ca="1">IF(Stock!K44="","",Stock!K44)</f>
        <v/>
      </c>
      <c r="O48" s="13" t="str">
        <f ca="1">IF(Stock!L44="","",Stock!L44)</f>
        <v/>
      </c>
      <c r="P48" s="13" t="str">
        <f ca="1">IF(Stock!M44="","",Stock!M44)</f>
        <v/>
      </c>
      <c r="Q48" s="13" t="str">
        <f ca="1">IF(Stock!N44="","",Stock!N44)</f>
        <v/>
      </c>
      <c r="R48" s="13" t="str">
        <f ca="1">IF(Stock!O44="","",Stock!O44)</f>
        <v/>
      </c>
      <c r="S48" s="13" t="str">
        <f ca="1">IF(Stock!P44="","",Stock!P44)</f>
        <v/>
      </c>
      <c r="T48" s="13" t="str">
        <f ca="1">IF(Stock!Q44="","",Stock!Q44)</f>
        <v/>
      </c>
      <c r="U48" s="13" t="str">
        <f ca="1">IF(Stock!R44="","",Stock!R44)</f>
        <v/>
      </c>
      <c r="V48" s="13" t="str">
        <f ca="1">IF(Stock!S44="","",Stock!S44)</f>
        <v/>
      </c>
      <c r="W48" s="13" t="str">
        <f ca="1">IF(Stock!T44="","",Stock!T44)</f>
        <v/>
      </c>
      <c r="X48" s="13" t="str">
        <f ca="1">IF(Stock!U44="","",Stock!U44)</f>
        <v/>
      </c>
      <c r="Y48" s="13" t="str">
        <f ca="1">IF(Stock!V44="","",Stock!V44)</f>
        <v/>
      </c>
      <c r="Z48" s="13" t="str">
        <f ca="1">IF(Stock!W44="","",Stock!W44)</f>
        <v/>
      </c>
      <c r="AA48" s="13" t="str">
        <f ca="1">IF(Stock!X44="","",Stock!X44)</f>
        <v/>
      </c>
      <c r="AB48" s="13" t="str">
        <f ca="1">IF(Stock!Y44="","",Stock!Y44)</f>
        <v/>
      </c>
      <c r="AC48" s="13" t="str">
        <f ca="1">IF(Stock!Z44="","",Stock!Z44)</f>
        <v/>
      </c>
      <c r="AD48" s="13" t="str">
        <f ca="1">IF(Stock!AA44="","",Stock!AA44)</f>
        <v/>
      </c>
      <c r="AE48" s="13" t="str">
        <f ca="1">IF(Stock!AB44="","",Stock!AB44)</f>
        <v/>
      </c>
      <c r="AF48" s="13" t="str">
        <f ca="1">IF(Stock!AC44="","",Stock!AC44)</f>
        <v/>
      </c>
      <c r="AG48" s="13" t="str">
        <f ca="1">IF(Stock!AD44="","",Stock!AD44)</f>
        <v/>
      </c>
      <c r="AH48" s="13" t="str">
        <f ca="1">IF(Stock!AE44="","",Stock!AE44)</f>
        <v/>
      </c>
      <c r="AI48" s="13" t="str">
        <f ca="1">IF(Stock!AF44="","",Stock!AF44)</f>
        <v/>
      </c>
      <c r="AJ48" s="13" t="str">
        <f ca="1">IF(Stock!AG44="","",Stock!AG44)</f>
        <v/>
      </c>
      <c r="AK48" s="13" t="str">
        <f ca="1">IF(Stock!AH44="","",Stock!AH44)</f>
        <v/>
      </c>
      <c r="AL48" s="13" t="str">
        <f ca="1">IF(Stock!AI44="","",Stock!AI44)</f>
        <v/>
      </c>
      <c r="AM48" s="13" t="str">
        <f ca="1">IF(Stock!AJ44="","",Stock!AJ44)</f>
        <v/>
      </c>
      <c r="AN48" s="13" t="str">
        <f ca="1">IF(Stock!AK44="","",Stock!AK44)</f>
        <v/>
      </c>
      <c r="AO48" s="13" t="str">
        <f ca="1">IF(Stock!AL44="","",Stock!AL44)</f>
        <v/>
      </c>
      <c r="AP48" s="13" t="str">
        <f ca="1">IF(Stock!AM44="","",Stock!AM44)</f>
        <v/>
      </c>
      <c r="AQ48" s="13" t="str">
        <f ca="1">IF(Stock!AN44="","",Stock!AN44)</f>
        <v/>
      </c>
      <c r="AR48" s="13" t="str">
        <f ca="1">IF(Stock!AO44="","",Stock!AO44)</f>
        <v/>
      </c>
      <c r="AS48" s="13" t="str">
        <f ca="1">IF(Stock!AP44="","",Stock!AP44)</f>
        <v/>
      </c>
      <c r="AT48" s="13" t="str">
        <f ca="1">IF(Stock!AQ44="","",Stock!AQ44)</f>
        <v/>
      </c>
      <c r="AU48" s="13" t="str">
        <f ca="1">IF(Stock!AR44="","",Stock!AR44)</f>
        <v/>
      </c>
      <c r="AV48" s="13" t="str">
        <f ca="1">IF(Stock!AS44="","",Stock!AS44)</f>
        <v/>
      </c>
      <c r="AW48" s="13" t="str">
        <f ca="1">IF(Stock!AT44="","",Stock!AT44)</f>
        <v/>
      </c>
      <c r="AX48" s="13" t="str">
        <f ca="1">IF(Stock!AU44="","",Stock!AU44)</f>
        <v/>
      </c>
      <c r="AY48" s="13" t="str">
        <f ca="1">IF(Stock!AV44="","",Stock!AV44)</f>
        <v/>
      </c>
      <c r="AZ48" s="13" t="str">
        <f ca="1">IF(Stock!AW44="","",Stock!AW44)</f>
        <v/>
      </c>
      <c r="BA48" s="13" t="str">
        <f ca="1">IF(Stock!AX44="","",Stock!AX44)</f>
        <v/>
      </c>
      <c r="BB48" s="13" t="str">
        <f>IF(Stock!AY44="","",Stock!AY44)</f>
        <v/>
      </c>
      <c r="BC48" s="13" t="str">
        <f>IF(Stock!AZ44="","",Stock!AZ44)</f>
        <v/>
      </c>
      <c r="BD48" s="13" t="str">
        <f>IF(Stock!BA44="","",Stock!BA44)</f>
        <v/>
      </c>
      <c r="BE48" s="13" t="str">
        <f>IF(Stock!BB44="","",Stock!BB44)</f>
        <v/>
      </c>
      <c r="BF48" s="13" t="str">
        <f>IF(Stock!BC44="","",Stock!BC44)</f>
        <v/>
      </c>
    </row>
    <row r="49" spans="1:58" ht="14.25" customHeight="1" x14ac:dyDescent="0.3">
      <c r="A49" s="15" t="str">
        <f>IF('MV Repo'!A45="","",IF(E49="",A48,A48+1))</f>
        <v/>
      </c>
      <c r="B49" s="31" t="str">
        <f>IF(A49="","",IF('MV Repo'!A45=0,"B " &amp; TEXT('MV Repo'!B45,"mm/jj/aa"),"T " &amp; 'MV Repo'!A45 &amp; " " &amp; TEXT('MV Repo'!B45,"mm/aa")))</f>
        <v/>
      </c>
      <c r="C49" s="30" t="str">
        <f>IF('Stock UST'!C46="","",'Stock UST'!C46)</f>
        <v/>
      </c>
      <c r="D49" s="30" t="str">
        <f>IF('Stock UST'!D46="","",'Stock UST'!D46)</f>
        <v/>
      </c>
      <c r="E49" s="13" t="str">
        <f>IF(Stock!B45="","",Stock!B45)</f>
        <v/>
      </c>
      <c r="F49" s="13" t="str">
        <f ca="1">IF(Stock!C45="","",Stock!C45)</f>
        <v/>
      </c>
      <c r="G49" s="13" t="str">
        <f ca="1">IF(Stock!D45="","",Stock!D45)</f>
        <v/>
      </c>
      <c r="H49" s="13" t="str">
        <f ca="1">IF(Stock!E45="","",Stock!E45)</f>
        <v/>
      </c>
      <c r="I49" s="13" t="str">
        <f ca="1">IF(Stock!F45="","",Stock!F45)</f>
        <v/>
      </c>
      <c r="J49" s="13" t="str">
        <f ca="1">IF(Stock!G45="","",Stock!G45)</f>
        <v/>
      </c>
      <c r="K49" s="13" t="str">
        <f ca="1">IF(Stock!H45="","",Stock!H45)</f>
        <v/>
      </c>
      <c r="L49" s="13" t="str">
        <f ca="1">IF(Stock!I45="","",Stock!I45)</f>
        <v/>
      </c>
      <c r="M49" s="13" t="str">
        <f ca="1">IF(Stock!J45="","",Stock!J45)</f>
        <v/>
      </c>
      <c r="N49" s="13" t="str">
        <f ca="1">IF(Stock!K45="","",Stock!K45)</f>
        <v/>
      </c>
      <c r="O49" s="13" t="str">
        <f ca="1">IF(Stock!L45="","",Stock!L45)</f>
        <v/>
      </c>
      <c r="P49" s="13" t="str">
        <f ca="1">IF(Stock!M45="","",Stock!M45)</f>
        <v/>
      </c>
      <c r="Q49" s="13" t="str">
        <f ca="1">IF(Stock!N45="","",Stock!N45)</f>
        <v/>
      </c>
      <c r="R49" s="13" t="str">
        <f ca="1">IF(Stock!O45="","",Stock!O45)</f>
        <v/>
      </c>
      <c r="S49" s="13" t="str">
        <f ca="1">IF(Stock!P45="","",Stock!P45)</f>
        <v/>
      </c>
      <c r="T49" s="13" t="str">
        <f ca="1">IF(Stock!Q45="","",Stock!Q45)</f>
        <v/>
      </c>
      <c r="U49" s="13" t="str">
        <f ca="1">IF(Stock!R45="","",Stock!R45)</f>
        <v/>
      </c>
      <c r="V49" s="13" t="str">
        <f ca="1">IF(Stock!S45="","",Stock!S45)</f>
        <v/>
      </c>
      <c r="W49" s="13" t="str">
        <f ca="1">IF(Stock!T45="","",Stock!T45)</f>
        <v/>
      </c>
      <c r="X49" s="13" t="str">
        <f ca="1">IF(Stock!U45="","",Stock!U45)</f>
        <v/>
      </c>
      <c r="Y49" s="13" t="str">
        <f ca="1">IF(Stock!V45="","",Stock!V45)</f>
        <v/>
      </c>
      <c r="Z49" s="13" t="str">
        <f ca="1">IF(Stock!W45="","",Stock!W45)</f>
        <v/>
      </c>
      <c r="AA49" s="13" t="str">
        <f ca="1">IF(Stock!X45="","",Stock!X45)</f>
        <v/>
      </c>
      <c r="AB49" s="13" t="str">
        <f ca="1">IF(Stock!Y45="","",Stock!Y45)</f>
        <v/>
      </c>
      <c r="AC49" s="13" t="str">
        <f ca="1">IF(Stock!Z45="","",Stock!Z45)</f>
        <v/>
      </c>
      <c r="AD49" s="13" t="str">
        <f ca="1">IF(Stock!AA45="","",Stock!AA45)</f>
        <v/>
      </c>
      <c r="AE49" s="13" t="str">
        <f ca="1">IF(Stock!AB45="","",Stock!AB45)</f>
        <v/>
      </c>
      <c r="AF49" s="13" t="str">
        <f ca="1">IF(Stock!AC45="","",Stock!AC45)</f>
        <v/>
      </c>
      <c r="AG49" s="13" t="str">
        <f ca="1">IF(Stock!AD45="","",Stock!AD45)</f>
        <v/>
      </c>
      <c r="AH49" s="13" t="str">
        <f ca="1">IF(Stock!AE45="","",Stock!AE45)</f>
        <v/>
      </c>
      <c r="AI49" s="13" t="str">
        <f ca="1">IF(Stock!AF45="","",Stock!AF45)</f>
        <v/>
      </c>
      <c r="AJ49" s="13" t="str">
        <f ca="1">IF(Stock!AG45="","",Stock!AG45)</f>
        <v/>
      </c>
      <c r="AK49" s="13" t="str">
        <f ca="1">IF(Stock!AH45="","",Stock!AH45)</f>
        <v/>
      </c>
      <c r="AL49" s="13" t="str">
        <f ca="1">IF(Stock!AI45="","",Stock!AI45)</f>
        <v/>
      </c>
      <c r="AM49" s="13" t="str">
        <f ca="1">IF(Stock!AJ45="","",Stock!AJ45)</f>
        <v/>
      </c>
      <c r="AN49" s="13" t="str">
        <f ca="1">IF(Stock!AK45="","",Stock!AK45)</f>
        <v/>
      </c>
      <c r="AO49" s="13" t="str">
        <f ca="1">IF(Stock!AL45="","",Stock!AL45)</f>
        <v/>
      </c>
      <c r="AP49" s="13" t="str">
        <f ca="1">IF(Stock!AM45="","",Stock!AM45)</f>
        <v/>
      </c>
      <c r="AQ49" s="13" t="str">
        <f ca="1">IF(Stock!AN45="","",Stock!AN45)</f>
        <v/>
      </c>
      <c r="AR49" s="13" t="str">
        <f ca="1">IF(Stock!AO45="","",Stock!AO45)</f>
        <v/>
      </c>
      <c r="AS49" s="13" t="str">
        <f ca="1">IF(Stock!AP45="","",Stock!AP45)</f>
        <v/>
      </c>
      <c r="AT49" s="13" t="str">
        <f ca="1">IF(Stock!AQ45="","",Stock!AQ45)</f>
        <v/>
      </c>
      <c r="AU49" s="13" t="str">
        <f ca="1">IF(Stock!AR45="","",Stock!AR45)</f>
        <v/>
      </c>
      <c r="AV49" s="13" t="str">
        <f ca="1">IF(Stock!AS45="","",Stock!AS45)</f>
        <v/>
      </c>
      <c r="AW49" s="13" t="str">
        <f ca="1">IF(Stock!AT45="","",Stock!AT45)</f>
        <v/>
      </c>
      <c r="AX49" s="13" t="str">
        <f ca="1">IF(Stock!AU45="","",Stock!AU45)</f>
        <v/>
      </c>
      <c r="AY49" s="13" t="str">
        <f ca="1">IF(Stock!AV45="","",Stock!AV45)</f>
        <v/>
      </c>
      <c r="AZ49" s="13" t="str">
        <f ca="1">IF(Stock!AW45="","",Stock!AW45)</f>
        <v/>
      </c>
      <c r="BA49" s="13" t="str">
        <f ca="1">IF(Stock!AX45="","",Stock!AX45)</f>
        <v/>
      </c>
      <c r="BB49" s="13" t="str">
        <f>IF(Stock!AY45="","",Stock!AY45)</f>
        <v/>
      </c>
      <c r="BC49" s="13" t="str">
        <f>IF(Stock!AZ45="","",Stock!AZ45)</f>
        <v/>
      </c>
      <c r="BD49" s="13" t="str">
        <f>IF(Stock!BA45="","",Stock!BA45)</f>
        <v/>
      </c>
      <c r="BE49" s="13" t="str">
        <f>IF(Stock!BB45="","",Stock!BB45)</f>
        <v/>
      </c>
      <c r="BF49" s="13" t="str">
        <f>IF(Stock!BC45="","",Stock!BC45)</f>
        <v/>
      </c>
    </row>
    <row r="50" spans="1:58" ht="14.25" customHeight="1" x14ac:dyDescent="0.3">
      <c r="A50" s="15" t="str">
        <f>IF('MV Repo'!A46="","",IF(E50="",A49,A49+1))</f>
        <v/>
      </c>
      <c r="B50" s="31" t="str">
        <f>IF(A50="","",IF('MV Repo'!A46=0,"B " &amp; TEXT('MV Repo'!B46,"mm/jj/aa"),"T " &amp; 'MV Repo'!A46 &amp; " " &amp; TEXT('MV Repo'!B46,"mm/aa")))</f>
        <v/>
      </c>
      <c r="C50" s="30" t="str">
        <f>IF('Stock UST'!C47="","",'Stock UST'!C47)</f>
        <v/>
      </c>
      <c r="D50" s="30" t="str">
        <f>IF('Stock UST'!D47="","",'Stock UST'!D47)</f>
        <v/>
      </c>
      <c r="E50" s="13" t="str">
        <f>IF(Stock!B46="","",Stock!B46)</f>
        <v/>
      </c>
      <c r="F50" s="13" t="str">
        <f ca="1">IF(Stock!C46="","",Stock!C46)</f>
        <v/>
      </c>
      <c r="G50" s="13" t="str">
        <f ca="1">IF(Stock!D46="","",Stock!D46)</f>
        <v/>
      </c>
      <c r="H50" s="13" t="str">
        <f ca="1">IF(Stock!E46="","",Stock!E46)</f>
        <v/>
      </c>
      <c r="I50" s="13" t="str">
        <f ca="1">IF(Stock!F46="","",Stock!F46)</f>
        <v/>
      </c>
      <c r="J50" s="13" t="str">
        <f ca="1">IF(Stock!G46="","",Stock!G46)</f>
        <v/>
      </c>
      <c r="K50" s="13" t="str">
        <f ca="1">IF(Stock!H46="","",Stock!H46)</f>
        <v/>
      </c>
      <c r="L50" s="13" t="str">
        <f ca="1">IF(Stock!I46="","",Stock!I46)</f>
        <v/>
      </c>
      <c r="M50" s="13" t="str">
        <f ca="1">IF(Stock!J46="","",Stock!J46)</f>
        <v/>
      </c>
      <c r="N50" s="13" t="str">
        <f ca="1">IF(Stock!K46="","",Stock!K46)</f>
        <v/>
      </c>
      <c r="O50" s="13" t="str">
        <f ca="1">IF(Stock!L46="","",Stock!L46)</f>
        <v/>
      </c>
      <c r="P50" s="13" t="str">
        <f ca="1">IF(Stock!M46="","",Stock!M46)</f>
        <v/>
      </c>
      <c r="Q50" s="13" t="str">
        <f ca="1">IF(Stock!N46="","",Stock!N46)</f>
        <v/>
      </c>
      <c r="R50" s="13" t="str">
        <f ca="1">IF(Stock!O46="","",Stock!O46)</f>
        <v/>
      </c>
      <c r="S50" s="13" t="str">
        <f ca="1">IF(Stock!P46="","",Stock!P46)</f>
        <v/>
      </c>
      <c r="T50" s="13" t="str">
        <f ca="1">IF(Stock!Q46="","",Stock!Q46)</f>
        <v/>
      </c>
      <c r="U50" s="13" t="str">
        <f ca="1">IF(Stock!R46="","",Stock!R46)</f>
        <v/>
      </c>
      <c r="V50" s="13" t="str">
        <f ca="1">IF(Stock!S46="","",Stock!S46)</f>
        <v/>
      </c>
      <c r="W50" s="13" t="str">
        <f ca="1">IF(Stock!T46="","",Stock!T46)</f>
        <v/>
      </c>
      <c r="X50" s="13" t="str">
        <f ca="1">IF(Stock!U46="","",Stock!U46)</f>
        <v/>
      </c>
      <c r="Y50" s="13" t="str">
        <f ca="1">IF(Stock!V46="","",Stock!V46)</f>
        <v/>
      </c>
      <c r="Z50" s="13" t="str">
        <f ca="1">IF(Stock!W46="","",Stock!W46)</f>
        <v/>
      </c>
      <c r="AA50" s="13" t="str">
        <f ca="1">IF(Stock!X46="","",Stock!X46)</f>
        <v/>
      </c>
      <c r="AB50" s="13" t="str">
        <f ca="1">IF(Stock!Y46="","",Stock!Y46)</f>
        <v/>
      </c>
      <c r="AC50" s="13" t="str">
        <f ca="1">IF(Stock!Z46="","",Stock!Z46)</f>
        <v/>
      </c>
      <c r="AD50" s="13" t="str">
        <f ca="1">IF(Stock!AA46="","",Stock!AA46)</f>
        <v/>
      </c>
      <c r="AE50" s="13" t="str">
        <f ca="1">IF(Stock!AB46="","",Stock!AB46)</f>
        <v/>
      </c>
      <c r="AF50" s="13" t="str">
        <f ca="1">IF(Stock!AC46="","",Stock!AC46)</f>
        <v/>
      </c>
      <c r="AG50" s="13" t="str">
        <f ca="1">IF(Stock!AD46="","",Stock!AD46)</f>
        <v/>
      </c>
      <c r="AH50" s="13" t="str">
        <f ca="1">IF(Stock!AE46="","",Stock!AE46)</f>
        <v/>
      </c>
      <c r="AI50" s="13" t="str">
        <f ca="1">IF(Stock!AF46="","",Stock!AF46)</f>
        <v/>
      </c>
      <c r="AJ50" s="13" t="str">
        <f ca="1">IF(Stock!AG46="","",Stock!AG46)</f>
        <v/>
      </c>
      <c r="AK50" s="13" t="str">
        <f ca="1">IF(Stock!AH46="","",Stock!AH46)</f>
        <v/>
      </c>
      <c r="AL50" s="13" t="str">
        <f ca="1">IF(Stock!AI46="","",Stock!AI46)</f>
        <v/>
      </c>
      <c r="AM50" s="13" t="str">
        <f ca="1">IF(Stock!AJ46="","",Stock!AJ46)</f>
        <v/>
      </c>
      <c r="AN50" s="13" t="str">
        <f ca="1">IF(Stock!AK46="","",Stock!AK46)</f>
        <v/>
      </c>
      <c r="AO50" s="13" t="str">
        <f ca="1">IF(Stock!AL46="","",Stock!AL46)</f>
        <v/>
      </c>
      <c r="AP50" s="13" t="str">
        <f ca="1">IF(Stock!AM46="","",Stock!AM46)</f>
        <v/>
      </c>
      <c r="AQ50" s="13" t="str">
        <f ca="1">IF(Stock!AN46="","",Stock!AN46)</f>
        <v/>
      </c>
      <c r="AR50" s="13" t="str">
        <f ca="1">IF(Stock!AO46="","",Stock!AO46)</f>
        <v/>
      </c>
      <c r="AS50" s="13" t="str">
        <f ca="1">IF(Stock!AP46="","",Stock!AP46)</f>
        <v/>
      </c>
      <c r="AT50" s="13" t="str">
        <f ca="1">IF(Stock!AQ46="","",Stock!AQ46)</f>
        <v/>
      </c>
      <c r="AU50" s="13" t="str">
        <f ca="1">IF(Stock!AR46="","",Stock!AR46)</f>
        <v/>
      </c>
      <c r="AV50" s="13" t="str">
        <f ca="1">IF(Stock!AS46="","",Stock!AS46)</f>
        <v/>
      </c>
      <c r="AW50" s="13" t="str">
        <f ca="1">IF(Stock!AT46="","",Stock!AT46)</f>
        <v/>
      </c>
      <c r="AX50" s="13" t="str">
        <f ca="1">IF(Stock!AU46="","",Stock!AU46)</f>
        <v/>
      </c>
      <c r="AY50" s="13" t="str">
        <f ca="1">IF(Stock!AV46="","",Stock!AV46)</f>
        <v/>
      </c>
      <c r="AZ50" s="13" t="str">
        <f ca="1">IF(Stock!AW46="","",Stock!AW46)</f>
        <v/>
      </c>
      <c r="BA50" s="13" t="str">
        <f ca="1">IF(Stock!AX46="","",Stock!AX46)</f>
        <v/>
      </c>
      <c r="BB50" s="13" t="str">
        <f>IF(Stock!AY46="","",Stock!AY46)</f>
        <v/>
      </c>
      <c r="BC50" s="13" t="str">
        <f>IF(Stock!AZ46="","",Stock!AZ46)</f>
        <v/>
      </c>
      <c r="BD50" s="13" t="str">
        <f>IF(Stock!BA46="","",Stock!BA46)</f>
        <v/>
      </c>
      <c r="BE50" s="13" t="str">
        <f>IF(Stock!BB46="","",Stock!BB46)</f>
        <v/>
      </c>
      <c r="BF50" s="13" t="str">
        <f>IF(Stock!BC46="","",Stock!BC46)</f>
        <v/>
      </c>
    </row>
    <row r="51" spans="1:58" ht="14.25" customHeight="1" x14ac:dyDescent="0.3">
      <c r="A51" s="15" t="str">
        <f>IF('MV Repo'!A47="","",IF(E51="",A50,A50+1))</f>
        <v/>
      </c>
      <c r="B51" s="31" t="str">
        <f>IF(A51="","",IF('MV Repo'!A47=0,"B " &amp; TEXT('MV Repo'!B47,"mm/jj/aa"),"T " &amp; 'MV Repo'!A47 &amp; " " &amp; TEXT('MV Repo'!B47,"mm/aa")))</f>
        <v/>
      </c>
      <c r="C51" s="30" t="str">
        <f>IF('Stock UST'!C48="","",'Stock UST'!C48)</f>
        <v/>
      </c>
      <c r="D51" s="30" t="str">
        <f>IF('Stock UST'!D48="","",'Stock UST'!D48)</f>
        <v/>
      </c>
      <c r="E51" s="13" t="str">
        <f>IF(Stock!B47="","",Stock!B47)</f>
        <v/>
      </c>
      <c r="F51" s="13" t="str">
        <f ca="1">IF(Stock!C47="","",Stock!C47)</f>
        <v/>
      </c>
      <c r="G51" s="13" t="str">
        <f ca="1">IF(Stock!D47="","",Stock!D47)</f>
        <v/>
      </c>
      <c r="H51" s="13" t="str">
        <f ca="1">IF(Stock!E47="","",Stock!E47)</f>
        <v/>
      </c>
      <c r="I51" s="13" t="str">
        <f ca="1">IF(Stock!F47="","",Stock!F47)</f>
        <v/>
      </c>
      <c r="J51" s="13" t="str">
        <f ca="1">IF(Stock!G47="","",Stock!G47)</f>
        <v/>
      </c>
      <c r="K51" s="13" t="str">
        <f ca="1">IF(Stock!H47="","",Stock!H47)</f>
        <v/>
      </c>
      <c r="L51" s="13" t="str">
        <f ca="1">IF(Stock!I47="","",Stock!I47)</f>
        <v/>
      </c>
      <c r="M51" s="13" t="str">
        <f ca="1">IF(Stock!J47="","",Stock!J47)</f>
        <v/>
      </c>
      <c r="N51" s="13" t="str">
        <f ca="1">IF(Stock!K47="","",Stock!K47)</f>
        <v/>
      </c>
      <c r="O51" s="13" t="str">
        <f ca="1">IF(Stock!L47="","",Stock!L47)</f>
        <v/>
      </c>
      <c r="P51" s="13" t="str">
        <f ca="1">IF(Stock!M47="","",Stock!M47)</f>
        <v/>
      </c>
      <c r="Q51" s="13" t="str">
        <f ca="1">IF(Stock!N47="","",Stock!N47)</f>
        <v/>
      </c>
      <c r="R51" s="13" t="str">
        <f ca="1">IF(Stock!O47="","",Stock!O47)</f>
        <v/>
      </c>
      <c r="S51" s="13" t="str">
        <f ca="1">IF(Stock!P47="","",Stock!P47)</f>
        <v/>
      </c>
      <c r="T51" s="13" t="str">
        <f ca="1">IF(Stock!Q47="","",Stock!Q47)</f>
        <v/>
      </c>
      <c r="U51" s="13" t="str">
        <f ca="1">IF(Stock!R47="","",Stock!R47)</f>
        <v/>
      </c>
      <c r="V51" s="13" t="str">
        <f ca="1">IF(Stock!S47="","",Stock!S47)</f>
        <v/>
      </c>
      <c r="W51" s="13" t="str">
        <f ca="1">IF(Stock!T47="","",Stock!T47)</f>
        <v/>
      </c>
      <c r="X51" s="13" t="str">
        <f ca="1">IF(Stock!U47="","",Stock!U47)</f>
        <v/>
      </c>
      <c r="Y51" s="13" t="str">
        <f ca="1">IF(Stock!V47="","",Stock!V47)</f>
        <v/>
      </c>
      <c r="Z51" s="13" t="str">
        <f ca="1">IF(Stock!W47="","",Stock!W47)</f>
        <v/>
      </c>
      <c r="AA51" s="13" t="str">
        <f ca="1">IF(Stock!X47="","",Stock!X47)</f>
        <v/>
      </c>
      <c r="AB51" s="13" t="str">
        <f ca="1">IF(Stock!Y47="","",Stock!Y47)</f>
        <v/>
      </c>
      <c r="AC51" s="13" t="str">
        <f ca="1">IF(Stock!Z47="","",Stock!Z47)</f>
        <v/>
      </c>
      <c r="AD51" s="13" t="str">
        <f ca="1">IF(Stock!AA47="","",Stock!AA47)</f>
        <v/>
      </c>
      <c r="AE51" s="13" t="str">
        <f ca="1">IF(Stock!AB47="","",Stock!AB47)</f>
        <v/>
      </c>
      <c r="AF51" s="13" t="str">
        <f ca="1">IF(Stock!AC47="","",Stock!AC47)</f>
        <v/>
      </c>
      <c r="AG51" s="13" t="str">
        <f ca="1">IF(Stock!AD47="","",Stock!AD47)</f>
        <v/>
      </c>
      <c r="AH51" s="13" t="str">
        <f ca="1">IF(Stock!AE47="","",Stock!AE47)</f>
        <v/>
      </c>
      <c r="AI51" s="13" t="str">
        <f ca="1">IF(Stock!AF47="","",Stock!AF47)</f>
        <v/>
      </c>
      <c r="AJ51" s="13" t="str">
        <f ca="1">IF(Stock!AG47="","",Stock!AG47)</f>
        <v/>
      </c>
      <c r="AK51" s="13" t="str">
        <f ca="1">IF(Stock!AH47="","",Stock!AH47)</f>
        <v/>
      </c>
      <c r="AL51" s="13" t="str">
        <f ca="1">IF(Stock!AI47="","",Stock!AI47)</f>
        <v/>
      </c>
      <c r="AM51" s="13" t="str">
        <f ca="1">IF(Stock!AJ47="","",Stock!AJ47)</f>
        <v/>
      </c>
      <c r="AN51" s="13" t="str">
        <f ca="1">IF(Stock!AK47="","",Stock!AK47)</f>
        <v/>
      </c>
      <c r="AO51" s="13" t="str">
        <f ca="1">IF(Stock!AL47="","",Stock!AL47)</f>
        <v/>
      </c>
      <c r="AP51" s="13" t="str">
        <f ca="1">IF(Stock!AM47="","",Stock!AM47)</f>
        <v/>
      </c>
      <c r="AQ51" s="13" t="str">
        <f ca="1">IF(Stock!AN47="","",Stock!AN47)</f>
        <v/>
      </c>
      <c r="AR51" s="13" t="str">
        <f ca="1">IF(Stock!AO47="","",Stock!AO47)</f>
        <v/>
      </c>
      <c r="AS51" s="13" t="str">
        <f ca="1">IF(Stock!AP47="","",Stock!AP47)</f>
        <v/>
      </c>
      <c r="AT51" s="13" t="str">
        <f ca="1">IF(Stock!AQ47="","",Stock!AQ47)</f>
        <v/>
      </c>
      <c r="AU51" s="13" t="str">
        <f ca="1">IF(Stock!AR47="","",Stock!AR47)</f>
        <v/>
      </c>
      <c r="AV51" s="13" t="str">
        <f ca="1">IF(Stock!AS47="","",Stock!AS47)</f>
        <v/>
      </c>
      <c r="AW51" s="13" t="str">
        <f ca="1">IF(Stock!AT47="","",Stock!AT47)</f>
        <v/>
      </c>
      <c r="AX51" s="13" t="str">
        <f ca="1">IF(Stock!AU47="","",Stock!AU47)</f>
        <v/>
      </c>
      <c r="AY51" s="13" t="str">
        <f ca="1">IF(Stock!AV47="","",Stock!AV47)</f>
        <v/>
      </c>
      <c r="AZ51" s="13" t="str">
        <f ca="1">IF(Stock!AW47="","",Stock!AW47)</f>
        <v/>
      </c>
      <c r="BA51" s="13" t="str">
        <f ca="1">IF(Stock!AX47="","",Stock!AX47)</f>
        <v/>
      </c>
      <c r="BB51" s="13" t="str">
        <f>IF(Stock!AY47="","",Stock!AY47)</f>
        <v/>
      </c>
      <c r="BC51" s="13" t="str">
        <f>IF(Stock!AZ47="","",Stock!AZ47)</f>
        <v/>
      </c>
      <c r="BD51" s="13" t="str">
        <f>IF(Stock!BA47="","",Stock!BA47)</f>
        <v/>
      </c>
      <c r="BE51" s="13" t="str">
        <f>IF(Stock!BB47="","",Stock!BB47)</f>
        <v/>
      </c>
      <c r="BF51" s="13" t="str">
        <f>IF(Stock!BC47="","",Stock!BC47)</f>
        <v/>
      </c>
    </row>
    <row r="52" spans="1:58" ht="14.25" customHeight="1" x14ac:dyDescent="0.3">
      <c r="A52" s="15" t="str">
        <f>IF('MV Repo'!A48="","",IF(E52="",A51,A51+1))</f>
        <v/>
      </c>
      <c r="B52" s="31" t="str">
        <f>IF(A52="","",IF('MV Repo'!A48=0,"B " &amp; TEXT('MV Repo'!B48,"mm/jj/aa"),"T " &amp; 'MV Repo'!A48 &amp; " " &amp; TEXT('MV Repo'!B48,"mm/aa")))</f>
        <v/>
      </c>
      <c r="C52" s="30" t="str">
        <f>IF('Stock UST'!C49="","",'Stock UST'!C49)</f>
        <v/>
      </c>
      <c r="D52" s="30" t="str">
        <f>IF('Stock UST'!D49="","",'Stock UST'!D49)</f>
        <v/>
      </c>
      <c r="E52" s="13" t="str">
        <f>IF(Stock!B48="","",Stock!B48)</f>
        <v/>
      </c>
      <c r="F52" s="13" t="str">
        <f ca="1">IF(Stock!C48="","",Stock!C48)</f>
        <v/>
      </c>
      <c r="G52" s="13" t="str">
        <f ca="1">IF(Stock!D48="","",Stock!D48)</f>
        <v/>
      </c>
      <c r="H52" s="13" t="str">
        <f ca="1">IF(Stock!E48="","",Stock!E48)</f>
        <v/>
      </c>
      <c r="I52" s="13" t="str">
        <f ca="1">IF(Stock!F48="","",Stock!F48)</f>
        <v/>
      </c>
      <c r="J52" s="13" t="str">
        <f ca="1">IF(Stock!G48="","",Stock!G48)</f>
        <v/>
      </c>
      <c r="K52" s="13" t="str">
        <f ca="1">IF(Stock!H48="","",Stock!H48)</f>
        <v/>
      </c>
      <c r="L52" s="13" t="str">
        <f ca="1">IF(Stock!I48="","",Stock!I48)</f>
        <v/>
      </c>
      <c r="M52" s="13" t="str">
        <f ca="1">IF(Stock!J48="","",Stock!J48)</f>
        <v/>
      </c>
      <c r="N52" s="13" t="str">
        <f ca="1">IF(Stock!K48="","",Stock!K48)</f>
        <v/>
      </c>
      <c r="O52" s="13" t="str">
        <f ca="1">IF(Stock!L48="","",Stock!L48)</f>
        <v/>
      </c>
      <c r="P52" s="13" t="str">
        <f ca="1">IF(Stock!M48="","",Stock!M48)</f>
        <v/>
      </c>
      <c r="Q52" s="13" t="str">
        <f ca="1">IF(Stock!N48="","",Stock!N48)</f>
        <v/>
      </c>
      <c r="R52" s="13" t="str">
        <f ca="1">IF(Stock!O48="","",Stock!O48)</f>
        <v/>
      </c>
      <c r="S52" s="13" t="str">
        <f ca="1">IF(Stock!P48="","",Stock!P48)</f>
        <v/>
      </c>
      <c r="T52" s="13" t="str">
        <f ca="1">IF(Stock!Q48="","",Stock!Q48)</f>
        <v/>
      </c>
      <c r="U52" s="13" t="str">
        <f ca="1">IF(Stock!R48="","",Stock!R48)</f>
        <v/>
      </c>
      <c r="V52" s="13" t="str">
        <f ca="1">IF(Stock!S48="","",Stock!S48)</f>
        <v/>
      </c>
      <c r="W52" s="13" t="str">
        <f ca="1">IF(Stock!T48="","",Stock!T48)</f>
        <v/>
      </c>
      <c r="X52" s="13" t="str">
        <f ca="1">IF(Stock!U48="","",Stock!U48)</f>
        <v/>
      </c>
      <c r="Y52" s="13" t="str">
        <f ca="1">IF(Stock!V48="","",Stock!V48)</f>
        <v/>
      </c>
      <c r="Z52" s="13" t="str">
        <f ca="1">IF(Stock!W48="","",Stock!W48)</f>
        <v/>
      </c>
      <c r="AA52" s="13" t="str">
        <f ca="1">IF(Stock!X48="","",Stock!X48)</f>
        <v/>
      </c>
      <c r="AB52" s="13" t="str">
        <f ca="1">IF(Stock!Y48="","",Stock!Y48)</f>
        <v/>
      </c>
      <c r="AC52" s="13" t="str">
        <f ca="1">IF(Stock!Z48="","",Stock!Z48)</f>
        <v/>
      </c>
      <c r="AD52" s="13" t="str">
        <f ca="1">IF(Stock!AA48="","",Stock!AA48)</f>
        <v/>
      </c>
      <c r="AE52" s="13" t="str">
        <f ca="1">IF(Stock!AB48="","",Stock!AB48)</f>
        <v/>
      </c>
      <c r="AF52" s="13" t="str">
        <f ca="1">IF(Stock!AC48="","",Stock!AC48)</f>
        <v/>
      </c>
      <c r="AG52" s="13" t="str">
        <f ca="1">IF(Stock!AD48="","",Stock!AD48)</f>
        <v/>
      </c>
      <c r="AH52" s="13" t="str">
        <f ca="1">IF(Stock!AE48="","",Stock!AE48)</f>
        <v/>
      </c>
      <c r="AI52" s="13" t="str">
        <f ca="1">IF(Stock!AF48="","",Stock!AF48)</f>
        <v/>
      </c>
      <c r="AJ52" s="13" t="str">
        <f ca="1">IF(Stock!AG48="","",Stock!AG48)</f>
        <v/>
      </c>
      <c r="AK52" s="13" t="str">
        <f ca="1">IF(Stock!AH48="","",Stock!AH48)</f>
        <v/>
      </c>
      <c r="AL52" s="13" t="str">
        <f ca="1">IF(Stock!AI48="","",Stock!AI48)</f>
        <v/>
      </c>
      <c r="AM52" s="13" t="str">
        <f ca="1">IF(Stock!AJ48="","",Stock!AJ48)</f>
        <v/>
      </c>
      <c r="AN52" s="13" t="str">
        <f ca="1">IF(Stock!AK48="","",Stock!AK48)</f>
        <v/>
      </c>
      <c r="AO52" s="13" t="str">
        <f ca="1">IF(Stock!AL48="","",Stock!AL48)</f>
        <v/>
      </c>
      <c r="AP52" s="13" t="str">
        <f ca="1">IF(Stock!AM48="","",Stock!AM48)</f>
        <v/>
      </c>
      <c r="AQ52" s="13" t="str">
        <f ca="1">IF(Stock!AN48="","",Stock!AN48)</f>
        <v/>
      </c>
      <c r="AR52" s="13" t="str">
        <f ca="1">IF(Stock!AO48="","",Stock!AO48)</f>
        <v/>
      </c>
      <c r="AS52" s="13" t="str">
        <f ca="1">IF(Stock!AP48="","",Stock!AP48)</f>
        <v/>
      </c>
      <c r="AT52" s="13" t="str">
        <f ca="1">IF(Stock!AQ48="","",Stock!AQ48)</f>
        <v/>
      </c>
      <c r="AU52" s="13" t="str">
        <f ca="1">IF(Stock!AR48="","",Stock!AR48)</f>
        <v/>
      </c>
      <c r="AV52" s="13" t="str">
        <f ca="1">IF(Stock!AS48="","",Stock!AS48)</f>
        <v/>
      </c>
      <c r="AW52" s="13" t="str">
        <f ca="1">IF(Stock!AT48="","",Stock!AT48)</f>
        <v/>
      </c>
      <c r="AX52" s="13" t="str">
        <f ca="1">IF(Stock!AU48="","",Stock!AU48)</f>
        <v/>
      </c>
      <c r="AY52" s="13" t="str">
        <f ca="1">IF(Stock!AV48="","",Stock!AV48)</f>
        <v/>
      </c>
      <c r="AZ52" s="13" t="str">
        <f ca="1">IF(Stock!AW48="","",Stock!AW48)</f>
        <v/>
      </c>
      <c r="BA52" s="13" t="str">
        <f ca="1">IF(Stock!AX48="","",Stock!AX48)</f>
        <v/>
      </c>
      <c r="BB52" s="13" t="str">
        <f>IF(Stock!AY48="","",Stock!AY48)</f>
        <v/>
      </c>
      <c r="BC52" s="13" t="str">
        <f>IF(Stock!AZ48="","",Stock!AZ48)</f>
        <v/>
      </c>
      <c r="BD52" s="13" t="str">
        <f>IF(Stock!BA48="","",Stock!BA48)</f>
        <v/>
      </c>
      <c r="BE52" s="13" t="str">
        <f>IF(Stock!BB48="","",Stock!BB48)</f>
        <v/>
      </c>
      <c r="BF52" s="13" t="str">
        <f>IF(Stock!BC48="","",Stock!BC48)</f>
        <v/>
      </c>
    </row>
    <row r="53" spans="1:58" ht="14.25" customHeight="1" x14ac:dyDescent="0.3">
      <c r="A53" s="15" t="str">
        <f>IF('MV Repo'!A49="","",IF(E53="",A52,A52+1))</f>
        <v/>
      </c>
      <c r="B53" s="31" t="str">
        <f>IF(A53="","",IF('MV Repo'!A49=0,"B " &amp; TEXT('MV Repo'!B49,"mm/jj/aa"),"T " &amp; 'MV Repo'!A49 &amp; " " &amp; TEXT('MV Repo'!B49,"mm/aa")))</f>
        <v/>
      </c>
      <c r="C53" s="30" t="str">
        <f>IF('Stock UST'!C49="","",'Stock UST'!C49)</f>
        <v/>
      </c>
      <c r="D53" s="30" t="str">
        <f>IF('Stock UST'!D49="","",'Stock UST'!D49)</f>
        <v/>
      </c>
      <c r="E53" s="13" t="str">
        <f>IF(Stock!B49="","",Stock!B49)</f>
        <v/>
      </c>
      <c r="F53" s="13" t="str">
        <f ca="1">IF(Stock!C49="","",Stock!C49)</f>
        <v/>
      </c>
      <c r="G53" s="13" t="str">
        <f ca="1">IF(Stock!D49="","",Stock!D49)</f>
        <v/>
      </c>
      <c r="H53" s="13" t="str">
        <f ca="1">IF(Stock!E49="","",Stock!E49)</f>
        <v/>
      </c>
      <c r="I53" s="13" t="str">
        <f ca="1">IF(Stock!F49="","",Stock!F49)</f>
        <v/>
      </c>
      <c r="J53" s="13" t="str">
        <f ca="1">IF(Stock!G49="","",Stock!G49)</f>
        <v/>
      </c>
      <c r="K53" s="13" t="str">
        <f ca="1">IF(Stock!H49="","",Stock!H49)</f>
        <v/>
      </c>
      <c r="L53" s="13" t="str">
        <f ca="1">IF(Stock!I49="","",Stock!I49)</f>
        <v/>
      </c>
      <c r="M53" s="13" t="str">
        <f ca="1">IF(Stock!J49="","",Stock!J49)</f>
        <v/>
      </c>
      <c r="N53" s="13" t="str">
        <f ca="1">IF(Stock!K49="","",Stock!K49)</f>
        <v/>
      </c>
      <c r="O53" s="13" t="str">
        <f ca="1">IF(Stock!L49="","",Stock!L49)</f>
        <v/>
      </c>
      <c r="P53" s="13" t="str">
        <f ca="1">IF(Stock!M49="","",Stock!M49)</f>
        <v/>
      </c>
      <c r="Q53" s="13" t="str">
        <f ca="1">IF(Stock!N49="","",Stock!N49)</f>
        <v/>
      </c>
      <c r="R53" s="13" t="str">
        <f ca="1">IF(Stock!O49="","",Stock!O49)</f>
        <v/>
      </c>
      <c r="S53" s="13" t="str">
        <f ca="1">IF(Stock!P49="","",Stock!P49)</f>
        <v/>
      </c>
      <c r="T53" s="13" t="str">
        <f ca="1">IF(Stock!Q49="","",Stock!Q49)</f>
        <v/>
      </c>
      <c r="U53" s="13" t="str">
        <f ca="1">IF(Stock!R49="","",Stock!R49)</f>
        <v/>
      </c>
      <c r="V53" s="13" t="str">
        <f ca="1">IF(Stock!S49="","",Stock!S49)</f>
        <v/>
      </c>
      <c r="W53" s="13" t="str">
        <f ca="1">IF(Stock!T49="","",Stock!T49)</f>
        <v/>
      </c>
      <c r="X53" s="13" t="str">
        <f ca="1">IF(Stock!U49="","",Stock!U49)</f>
        <v/>
      </c>
      <c r="Y53" s="13" t="str">
        <f ca="1">IF(Stock!V49="","",Stock!V49)</f>
        <v/>
      </c>
      <c r="Z53" s="13" t="str">
        <f ca="1">IF(Stock!W49="","",Stock!W49)</f>
        <v/>
      </c>
      <c r="AA53" s="13" t="str">
        <f ca="1">IF(Stock!X49="","",Stock!X49)</f>
        <v/>
      </c>
      <c r="AB53" s="13" t="str">
        <f ca="1">IF(Stock!Y49="","",Stock!Y49)</f>
        <v/>
      </c>
      <c r="AC53" s="13" t="str">
        <f ca="1">IF(Stock!Z49="","",Stock!Z49)</f>
        <v/>
      </c>
      <c r="AD53" s="13" t="str">
        <f ca="1">IF(Stock!AA49="","",Stock!AA49)</f>
        <v/>
      </c>
      <c r="AE53" s="13" t="str">
        <f ca="1">IF(Stock!AB49="","",Stock!AB49)</f>
        <v/>
      </c>
      <c r="AF53" s="13" t="str">
        <f ca="1">IF(Stock!AC49="","",Stock!AC49)</f>
        <v/>
      </c>
      <c r="AG53" s="13" t="str">
        <f ca="1">IF(Stock!AD49="","",Stock!AD49)</f>
        <v/>
      </c>
      <c r="AH53" s="13" t="str">
        <f ca="1">IF(Stock!AE49="","",Stock!AE49)</f>
        <v/>
      </c>
      <c r="AI53" s="13" t="str">
        <f ca="1">IF(Stock!AF49="","",Stock!AF49)</f>
        <v/>
      </c>
      <c r="AJ53" s="13" t="str">
        <f ca="1">IF(Stock!AG49="","",Stock!AG49)</f>
        <v/>
      </c>
      <c r="AK53" s="13" t="str">
        <f ca="1">IF(Stock!AH49="","",Stock!AH49)</f>
        <v/>
      </c>
      <c r="AL53" s="13" t="str">
        <f ca="1">IF(Stock!AI49="","",Stock!AI49)</f>
        <v/>
      </c>
      <c r="AM53" s="13" t="str">
        <f ca="1">IF(Stock!AJ49="","",Stock!AJ49)</f>
        <v/>
      </c>
      <c r="AN53" s="13" t="str">
        <f ca="1">IF(Stock!AK49="","",Stock!AK49)</f>
        <v/>
      </c>
      <c r="AO53" s="13" t="str">
        <f ca="1">IF(Stock!AL49="","",Stock!AL49)</f>
        <v/>
      </c>
      <c r="AP53" s="13" t="str">
        <f ca="1">IF(Stock!AM49="","",Stock!AM49)</f>
        <v/>
      </c>
      <c r="AQ53" s="13" t="str">
        <f ca="1">IF(Stock!AN49="","",Stock!AN49)</f>
        <v/>
      </c>
      <c r="AR53" s="13" t="str">
        <f ca="1">IF(Stock!AO49="","",Stock!AO49)</f>
        <v/>
      </c>
      <c r="AS53" s="13" t="str">
        <f ca="1">IF(Stock!AP49="","",Stock!AP49)</f>
        <v/>
      </c>
      <c r="AT53" s="13" t="str">
        <f ca="1">IF(Stock!AQ49="","",Stock!AQ49)</f>
        <v/>
      </c>
      <c r="AU53" s="13" t="str">
        <f ca="1">IF(Stock!AR49="","",Stock!AR49)</f>
        <v/>
      </c>
      <c r="AV53" s="13" t="str">
        <f ca="1">IF(Stock!AS49="","",Stock!AS49)</f>
        <v/>
      </c>
      <c r="AW53" s="13" t="str">
        <f ca="1">IF(Stock!AT49="","",Stock!AT49)</f>
        <v/>
      </c>
      <c r="AX53" s="13" t="str">
        <f ca="1">IF(Stock!AU49="","",Stock!AU49)</f>
        <v/>
      </c>
      <c r="AY53" s="13" t="str">
        <f ca="1">IF(Stock!AV49="","",Stock!AV49)</f>
        <v/>
      </c>
      <c r="AZ53" s="13" t="str">
        <f ca="1">IF(Stock!AW49="","",Stock!AW49)</f>
        <v/>
      </c>
      <c r="BA53" s="13" t="str">
        <f ca="1">IF(Stock!AX49="","",Stock!AX49)</f>
        <v/>
      </c>
      <c r="BB53" s="13" t="str">
        <f>IF(Stock!AY49="","",Stock!AY49)</f>
        <v/>
      </c>
      <c r="BC53" s="13" t="str">
        <f>IF(Stock!AZ49="","",Stock!AZ49)</f>
        <v/>
      </c>
      <c r="BD53" s="13" t="str">
        <f>IF(Stock!BA49="","",Stock!BA49)</f>
        <v/>
      </c>
      <c r="BE53" s="13" t="str">
        <f>IF(Stock!BB49="","",Stock!BB49)</f>
        <v/>
      </c>
      <c r="BF53" s="13" t="str">
        <f>IF(Stock!BC49="","",Stock!BC49)</f>
        <v/>
      </c>
    </row>
    <row r="54" spans="1:58" ht="14.25" customHeight="1" x14ac:dyDescent="0.3">
      <c r="A54" s="15" t="str">
        <f>IF('MV Repo'!A50="","",IF(E54="",A53,A53+1))</f>
        <v/>
      </c>
      <c r="B54" s="31" t="str">
        <f>IF(A54="","",IF('MV Repo'!A50=0,"B " &amp; TEXT('MV Repo'!B50,"mm/jj/aa"),"T " &amp; 'MV Repo'!A50 &amp; " " &amp; TEXT('MV Repo'!B50,"mm/aa")))</f>
        <v/>
      </c>
      <c r="C54" s="30" t="str">
        <f>IF('Stock UST'!C50="","",'Stock UST'!C50)</f>
        <v/>
      </c>
      <c r="D54" s="30" t="str">
        <f>IF('Stock UST'!D50="","",'Stock UST'!D50)</f>
        <v/>
      </c>
      <c r="E54" s="13" t="str">
        <f>IF(Stock!B50="","",Stock!B50)</f>
        <v/>
      </c>
      <c r="F54" s="13" t="str">
        <f ca="1">IF(Stock!C50="","",Stock!C50)</f>
        <v/>
      </c>
      <c r="G54" s="13" t="str">
        <f ca="1">IF(Stock!D50="","",Stock!D50)</f>
        <v/>
      </c>
      <c r="H54" s="13" t="str">
        <f ca="1">IF(Stock!E50="","",Stock!E50)</f>
        <v/>
      </c>
      <c r="I54" s="13" t="str">
        <f ca="1">IF(Stock!F50="","",Stock!F50)</f>
        <v/>
      </c>
      <c r="J54" s="13" t="str">
        <f ca="1">IF(Stock!G50="","",Stock!G50)</f>
        <v/>
      </c>
      <c r="K54" s="13" t="str">
        <f ca="1">IF(Stock!H50="","",Stock!H50)</f>
        <v/>
      </c>
      <c r="L54" s="13" t="str">
        <f ca="1">IF(Stock!I50="","",Stock!I50)</f>
        <v/>
      </c>
      <c r="M54" s="13" t="str">
        <f ca="1">IF(Stock!J50="","",Stock!J50)</f>
        <v/>
      </c>
      <c r="N54" s="13" t="str">
        <f ca="1">IF(Stock!K50="","",Stock!K50)</f>
        <v/>
      </c>
      <c r="O54" s="13" t="str">
        <f ca="1">IF(Stock!L50="","",Stock!L50)</f>
        <v/>
      </c>
      <c r="P54" s="13" t="str">
        <f ca="1">IF(Stock!M50="","",Stock!M50)</f>
        <v/>
      </c>
      <c r="Q54" s="13" t="str">
        <f ca="1">IF(Stock!N50="","",Stock!N50)</f>
        <v/>
      </c>
      <c r="R54" s="13" t="str">
        <f ca="1">IF(Stock!O50="","",Stock!O50)</f>
        <v/>
      </c>
      <c r="S54" s="13" t="str">
        <f ca="1">IF(Stock!P50="","",Stock!P50)</f>
        <v/>
      </c>
      <c r="T54" s="13" t="str">
        <f ca="1">IF(Stock!Q50="","",Stock!Q50)</f>
        <v/>
      </c>
      <c r="U54" s="13" t="str">
        <f ca="1">IF(Stock!R50="","",Stock!R50)</f>
        <v/>
      </c>
      <c r="V54" s="13" t="str">
        <f ca="1">IF(Stock!S50="","",Stock!S50)</f>
        <v/>
      </c>
      <c r="W54" s="13" t="str">
        <f ca="1">IF(Stock!T50="","",Stock!T50)</f>
        <v/>
      </c>
      <c r="X54" s="13" t="str">
        <f ca="1">IF(Stock!U50="","",Stock!U50)</f>
        <v/>
      </c>
      <c r="Y54" s="13" t="str">
        <f ca="1">IF(Stock!V50="","",Stock!V50)</f>
        <v/>
      </c>
      <c r="Z54" s="13" t="str">
        <f ca="1">IF(Stock!W50="","",Stock!W50)</f>
        <v/>
      </c>
      <c r="AA54" s="13" t="str">
        <f ca="1">IF(Stock!X50="","",Stock!X50)</f>
        <v/>
      </c>
      <c r="AB54" s="13" t="str">
        <f ca="1">IF(Stock!Y50="","",Stock!Y50)</f>
        <v/>
      </c>
      <c r="AC54" s="13" t="str">
        <f ca="1">IF(Stock!Z50="","",Stock!Z50)</f>
        <v/>
      </c>
      <c r="AD54" s="13" t="str">
        <f ca="1">IF(Stock!AA50="","",Stock!AA50)</f>
        <v/>
      </c>
      <c r="AE54" s="13" t="str">
        <f ca="1">IF(Stock!AB50="","",Stock!AB50)</f>
        <v/>
      </c>
      <c r="AF54" s="13" t="str">
        <f ca="1">IF(Stock!AC50="","",Stock!AC50)</f>
        <v/>
      </c>
      <c r="AG54" s="13" t="str">
        <f ca="1">IF(Stock!AD50="","",Stock!AD50)</f>
        <v/>
      </c>
      <c r="AH54" s="13" t="str">
        <f ca="1">IF(Stock!AE50="","",Stock!AE50)</f>
        <v/>
      </c>
      <c r="AI54" s="13" t="str">
        <f ca="1">IF(Stock!AF50="","",Stock!AF50)</f>
        <v/>
      </c>
      <c r="AJ54" s="13" t="str">
        <f ca="1">IF(Stock!AG50="","",Stock!AG50)</f>
        <v/>
      </c>
      <c r="AK54" s="13" t="str">
        <f ca="1">IF(Stock!AH50="","",Stock!AH50)</f>
        <v/>
      </c>
      <c r="AL54" s="13" t="str">
        <f ca="1">IF(Stock!AI50="","",Stock!AI50)</f>
        <v/>
      </c>
      <c r="AM54" s="13" t="str">
        <f ca="1">IF(Stock!AJ50="","",Stock!AJ50)</f>
        <v/>
      </c>
      <c r="AN54" s="13" t="str">
        <f ca="1">IF(Stock!AK50="","",Stock!AK50)</f>
        <v/>
      </c>
      <c r="AO54" s="13" t="str">
        <f ca="1">IF(Stock!AL50="","",Stock!AL50)</f>
        <v/>
      </c>
      <c r="AP54" s="13" t="str">
        <f ca="1">IF(Stock!AM50="","",Stock!AM50)</f>
        <v/>
      </c>
      <c r="AQ54" s="13" t="str">
        <f ca="1">IF(Stock!AN50="","",Stock!AN50)</f>
        <v/>
      </c>
      <c r="AR54" s="13" t="str">
        <f ca="1">IF(Stock!AO50="","",Stock!AO50)</f>
        <v/>
      </c>
      <c r="AS54" s="13" t="str">
        <f ca="1">IF(Stock!AP50="","",Stock!AP50)</f>
        <v/>
      </c>
      <c r="AT54" s="13" t="str">
        <f ca="1">IF(Stock!AQ50="","",Stock!AQ50)</f>
        <v/>
      </c>
      <c r="AU54" s="13" t="str">
        <f ca="1">IF(Stock!AR50="","",Stock!AR50)</f>
        <v/>
      </c>
      <c r="AV54" s="13" t="str">
        <f ca="1">IF(Stock!AS50="","",Stock!AS50)</f>
        <v/>
      </c>
      <c r="AW54" s="13" t="str">
        <f ca="1">IF(Stock!AT50="","",Stock!AT50)</f>
        <v/>
      </c>
      <c r="AX54" s="13" t="str">
        <f ca="1">IF(Stock!AU50="","",Stock!AU50)</f>
        <v/>
      </c>
      <c r="AY54" s="13" t="str">
        <f ca="1">IF(Stock!AV50="","",Stock!AV50)</f>
        <v/>
      </c>
      <c r="AZ54" s="13" t="str">
        <f ca="1">IF(Stock!AW50="","",Stock!AW50)</f>
        <v/>
      </c>
      <c r="BA54" s="13" t="str">
        <f ca="1">IF(Stock!AX50="","",Stock!AX50)</f>
        <v/>
      </c>
      <c r="BB54" s="13" t="str">
        <f>IF(Stock!AY50="","",Stock!AY50)</f>
        <v/>
      </c>
      <c r="BC54" s="13" t="str">
        <f>IF(Stock!AZ50="","",Stock!AZ50)</f>
        <v/>
      </c>
      <c r="BD54" s="13" t="str">
        <f>IF(Stock!BA50="","",Stock!BA50)</f>
        <v/>
      </c>
      <c r="BE54" s="13" t="str">
        <f>IF(Stock!BB50="","",Stock!BB50)</f>
        <v/>
      </c>
      <c r="BF54" s="13" t="str">
        <f>IF(Stock!BC50="","",Stock!BC50)</f>
        <v/>
      </c>
    </row>
    <row r="55" spans="1:58" ht="14.25" customHeight="1" x14ac:dyDescent="0.3">
      <c r="A55" s="15" t="str">
        <f>IF('MV Repo'!A51="","",IF(E55="",A54,A54+1))</f>
        <v/>
      </c>
      <c r="B55" s="31" t="str">
        <f>IF(A55="","",IF('MV Repo'!A51=0,"B " &amp; TEXT('MV Repo'!B51,"mm/jj/aa"),"T " &amp; 'MV Repo'!A51 &amp; " " &amp; TEXT('MV Repo'!B51,"mm/aa")))</f>
        <v/>
      </c>
      <c r="C55" s="30" t="str">
        <f>IF('Stock UST'!C51="","",'Stock UST'!C51)</f>
        <v/>
      </c>
      <c r="D55" s="30" t="str">
        <f>IF('Stock UST'!D51="","",'Stock UST'!D51)</f>
        <v/>
      </c>
      <c r="E55" s="13" t="str">
        <f>IF(Stock!B51="","",Stock!B51)</f>
        <v/>
      </c>
      <c r="F55" s="13" t="str">
        <f ca="1">IF(Stock!C51="","",Stock!C51)</f>
        <v/>
      </c>
      <c r="G55" s="13" t="str">
        <f ca="1">IF(Stock!D51="","",Stock!D51)</f>
        <v/>
      </c>
      <c r="H55" s="13" t="str">
        <f ca="1">IF(Stock!E51="","",Stock!E51)</f>
        <v/>
      </c>
      <c r="I55" s="13" t="str">
        <f ca="1">IF(Stock!F51="","",Stock!F51)</f>
        <v/>
      </c>
      <c r="J55" s="13" t="str">
        <f ca="1">IF(Stock!G51="","",Stock!G51)</f>
        <v/>
      </c>
      <c r="K55" s="13" t="str">
        <f ca="1">IF(Stock!H51="","",Stock!H51)</f>
        <v/>
      </c>
      <c r="L55" s="13" t="str">
        <f ca="1">IF(Stock!I51="","",Stock!I51)</f>
        <v/>
      </c>
      <c r="M55" s="13" t="str">
        <f ca="1">IF(Stock!J51="","",Stock!J51)</f>
        <v/>
      </c>
      <c r="N55" s="13" t="str">
        <f ca="1">IF(Stock!K51="","",Stock!K51)</f>
        <v/>
      </c>
      <c r="O55" s="13" t="str">
        <f ca="1">IF(Stock!L51="","",Stock!L51)</f>
        <v/>
      </c>
      <c r="P55" s="13" t="str">
        <f ca="1">IF(Stock!M51="","",Stock!M51)</f>
        <v/>
      </c>
      <c r="Q55" s="13" t="str">
        <f ca="1">IF(Stock!N51="","",Stock!N51)</f>
        <v/>
      </c>
      <c r="R55" s="13" t="str">
        <f ca="1">IF(Stock!O51="","",Stock!O51)</f>
        <v/>
      </c>
      <c r="S55" s="13" t="str">
        <f ca="1">IF(Stock!P51="","",Stock!P51)</f>
        <v/>
      </c>
      <c r="T55" s="13" t="str">
        <f ca="1">IF(Stock!Q51="","",Stock!Q51)</f>
        <v/>
      </c>
      <c r="U55" s="13" t="str">
        <f ca="1">IF(Stock!R51="","",Stock!R51)</f>
        <v/>
      </c>
      <c r="V55" s="13" t="str">
        <f ca="1">IF(Stock!S51="","",Stock!S51)</f>
        <v/>
      </c>
      <c r="W55" s="13" t="str">
        <f ca="1">IF(Stock!T51="","",Stock!T51)</f>
        <v/>
      </c>
      <c r="X55" s="13" t="str">
        <f ca="1">IF(Stock!U51="","",Stock!U51)</f>
        <v/>
      </c>
      <c r="Y55" s="13" t="str">
        <f ca="1">IF(Stock!V51="","",Stock!V51)</f>
        <v/>
      </c>
      <c r="Z55" s="13" t="str">
        <f ca="1">IF(Stock!W51="","",Stock!W51)</f>
        <v/>
      </c>
      <c r="AA55" s="13" t="str">
        <f ca="1">IF(Stock!X51="","",Stock!X51)</f>
        <v/>
      </c>
      <c r="AB55" s="13" t="str">
        <f ca="1">IF(Stock!Y51="","",Stock!Y51)</f>
        <v/>
      </c>
      <c r="AC55" s="13" t="str">
        <f ca="1">IF(Stock!Z51="","",Stock!Z51)</f>
        <v/>
      </c>
      <c r="AD55" s="13" t="str">
        <f ca="1">IF(Stock!AA51="","",Stock!AA51)</f>
        <v/>
      </c>
      <c r="AE55" s="13" t="str">
        <f ca="1">IF(Stock!AB51="","",Stock!AB51)</f>
        <v/>
      </c>
      <c r="AF55" s="13" t="str">
        <f ca="1">IF(Stock!AC51="","",Stock!AC51)</f>
        <v/>
      </c>
      <c r="AG55" s="13" t="str">
        <f ca="1">IF(Stock!AD51="","",Stock!AD51)</f>
        <v/>
      </c>
      <c r="AH55" s="13" t="str">
        <f ca="1">IF(Stock!AE51="","",Stock!AE51)</f>
        <v/>
      </c>
      <c r="AI55" s="13" t="str">
        <f ca="1">IF(Stock!AF51="","",Stock!AF51)</f>
        <v/>
      </c>
      <c r="AJ55" s="13" t="str">
        <f ca="1">IF(Stock!AG51="","",Stock!AG51)</f>
        <v/>
      </c>
      <c r="AK55" s="13" t="str">
        <f ca="1">IF(Stock!AH51="","",Stock!AH51)</f>
        <v/>
      </c>
      <c r="AL55" s="13" t="str">
        <f ca="1">IF(Stock!AI51="","",Stock!AI51)</f>
        <v/>
      </c>
      <c r="AM55" s="13" t="str">
        <f ca="1">IF(Stock!AJ51="","",Stock!AJ51)</f>
        <v/>
      </c>
      <c r="AN55" s="13" t="str">
        <f ca="1">IF(Stock!AK51="","",Stock!AK51)</f>
        <v/>
      </c>
      <c r="AO55" s="13" t="str">
        <f ca="1">IF(Stock!AL51="","",Stock!AL51)</f>
        <v/>
      </c>
      <c r="AP55" s="13" t="str">
        <f ca="1">IF(Stock!AM51="","",Stock!AM51)</f>
        <v/>
      </c>
      <c r="AQ55" s="13" t="str">
        <f ca="1">IF(Stock!AN51="","",Stock!AN51)</f>
        <v/>
      </c>
      <c r="AR55" s="13" t="str">
        <f ca="1">IF(Stock!AO51="","",Stock!AO51)</f>
        <v/>
      </c>
      <c r="AS55" s="13" t="str">
        <f ca="1">IF(Stock!AP51="","",Stock!AP51)</f>
        <v/>
      </c>
      <c r="AT55" s="13" t="str">
        <f ca="1">IF(Stock!AQ51="","",Stock!AQ51)</f>
        <v/>
      </c>
      <c r="AU55" s="13" t="str">
        <f ca="1">IF(Stock!AR51="","",Stock!AR51)</f>
        <v/>
      </c>
      <c r="AV55" s="13" t="str">
        <f ca="1">IF(Stock!AS51="","",Stock!AS51)</f>
        <v/>
      </c>
      <c r="AW55" s="13" t="str">
        <f ca="1">IF(Stock!AT51="","",Stock!AT51)</f>
        <v/>
      </c>
      <c r="AX55" s="13" t="str">
        <f ca="1">IF(Stock!AU51="","",Stock!AU51)</f>
        <v/>
      </c>
      <c r="AY55" s="13" t="str">
        <f ca="1">IF(Stock!AV51="","",Stock!AV51)</f>
        <v/>
      </c>
      <c r="AZ55" s="13" t="str">
        <f ca="1">IF(Stock!AW51="","",Stock!AW51)</f>
        <v/>
      </c>
      <c r="BA55" s="13" t="str">
        <f ca="1">IF(Stock!AX51="","",Stock!AX51)</f>
        <v/>
      </c>
      <c r="BB55" s="13" t="str">
        <f>IF(Stock!AY51="","",Stock!AY51)</f>
        <v/>
      </c>
      <c r="BC55" s="13" t="str">
        <f>IF(Stock!AZ51="","",Stock!AZ51)</f>
        <v/>
      </c>
      <c r="BD55" s="13" t="str">
        <f>IF(Stock!BA51="","",Stock!BA51)</f>
        <v/>
      </c>
      <c r="BE55" s="13" t="str">
        <f>IF(Stock!BB51="","",Stock!BB51)</f>
        <v/>
      </c>
      <c r="BF55" s="13" t="str">
        <f>IF(Stock!BC51="","",Stock!BC51)</f>
        <v/>
      </c>
    </row>
    <row r="56" spans="1:58" ht="14.25" customHeight="1" x14ac:dyDescent="0.3">
      <c r="A56" s="15" t="str">
        <f>IF('MV Repo'!A52="","",IF(E56="",A55,A55+1))</f>
        <v/>
      </c>
      <c r="B56" s="31" t="str">
        <f>IF(A56="","",IF('MV Repo'!A52=0,"B " &amp; TEXT('MV Repo'!B52,"mm/jj/aa"),"T " &amp; 'MV Repo'!A52 &amp; " " &amp; TEXT('MV Repo'!B52,"mm/aa")))</f>
        <v/>
      </c>
      <c r="C56" s="30" t="str">
        <f>IF('Stock UST'!C52="","",'Stock UST'!C52)</f>
        <v/>
      </c>
      <c r="D56" s="30" t="str">
        <f>IF('Stock UST'!D52="","",'Stock UST'!D52)</f>
        <v/>
      </c>
      <c r="E56" s="13" t="str">
        <f>IF(Stock!B52="","",Stock!B52)</f>
        <v/>
      </c>
      <c r="F56" s="13" t="str">
        <f ca="1">IF(Stock!C52="","",Stock!C52)</f>
        <v/>
      </c>
      <c r="G56" s="13" t="str">
        <f ca="1">IF(Stock!D52="","",Stock!D52)</f>
        <v/>
      </c>
      <c r="H56" s="13" t="str">
        <f ca="1">IF(Stock!E52="","",Stock!E52)</f>
        <v/>
      </c>
      <c r="I56" s="13" t="str">
        <f ca="1">IF(Stock!F52="","",Stock!F52)</f>
        <v/>
      </c>
      <c r="J56" s="13" t="str">
        <f ca="1">IF(Stock!G52="","",Stock!G52)</f>
        <v/>
      </c>
      <c r="K56" s="13" t="str">
        <f ca="1">IF(Stock!H52="","",Stock!H52)</f>
        <v/>
      </c>
      <c r="L56" s="13" t="str">
        <f ca="1">IF(Stock!I52="","",Stock!I52)</f>
        <v/>
      </c>
      <c r="M56" s="13" t="str">
        <f ca="1">IF(Stock!J52="","",Stock!J52)</f>
        <v/>
      </c>
      <c r="N56" s="13" t="str">
        <f ca="1">IF(Stock!K52="","",Stock!K52)</f>
        <v/>
      </c>
      <c r="O56" s="13" t="str">
        <f ca="1">IF(Stock!L52="","",Stock!L52)</f>
        <v/>
      </c>
      <c r="P56" s="13" t="str">
        <f ca="1">IF(Stock!M52="","",Stock!M52)</f>
        <v/>
      </c>
      <c r="Q56" s="13" t="str">
        <f ca="1">IF(Stock!N52="","",Stock!N52)</f>
        <v/>
      </c>
      <c r="R56" s="13" t="str">
        <f ca="1">IF(Stock!O52="","",Stock!O52)</f>
        <v/>
      </c>
      <c r="S56" s="13" t="str">
        <f ca="1">IF(Stock!P52="","",Stock!P52)</f>
        <v/>
      </c>
      <c r="T56" s="13" t="str">
        <f ca="1">IF(Stock!Q52="","",Stock!Q52)</f>
        <v/>
      </c>
      <c r="U56" s="13" t="str">
        <f ca="1">IF(Stock!R52="","",Stock!R52)</f>
        <v/>
      </c>
      <c r="V56" s="13" t="str">
        <f ca="1">IF(Stock!S52="","",Stock!S52)</f>
        <v/>
      </c>
      <c r="W56" s="13" t="str">
        <f ca="1">IF(Stock!T52="","",Stock!T52)</f>
        <v/>
      </c>
      <c r="X56" s="13" t="str">
        <f ca="1">IF(Stock!U52="","",Stock!U52)</f>
        <v/>
      </c>
      <c r="Y56" s="13" t="str">
        <f ca="1">IF(Stock!V52="","",Stock!V52)</f>
        <v/>
      </c>
      <c r="Z56" s="13" t="str">
        <f ca="1">IF(Stock!W52="","",Stock!W52)</f>
        <v/>
      </c>
      <c r="AA56" s="13" t="str">
        <f ca="1">IF(Stock!X52="","",Stock!X52)</f>
        <v/>
      </c>
      <c r="AB56" s="13" t="str">
        <f ca="1">IF(Stock!Y52="","",Stock!Y52)</f>
        <v/>
      </c>
      <c r="AC56" s="13" t="str">
        <f ca="1">IF(Stock!Z52="","",Stock!Z52)</f>
        <v/>
      </c>
      <c r="AD56" s="13" t="str">
        <f ca="1">IF(Stock!AA52="","",Stock!AA52)</f>
        <v/>
      </c>
      <c r="AE56" s="13" t="str">
        <f ca="1">IF(Stock!AB52="","",Stock!AB52)</f>
        <v/>
      </c>
      <c r="AF56" s="13" t="str">
        <f ca="1">IF(Stock!AC52="","",Stock!AC52)</f>
        <v/>
      </c>
      <c r="AG56" s="13" t="str">
        <f ca="1">IF(Stock!AD52="","",Stock!AD52)</f>
        <v/>
      </c>
      <c r="AH56" s="13" t="str">
        <f ca="1">IF(Stock!AE52="","",Stock!AE52)</f>
        <v/>
      </c>
      <c r="AI56" s="13" t="str">
        <f ca="1">IF(Stock!AF52="","",Stock!AF52)</f>
        <v/>
      </c>
      <c r="AJ56" s="13" t="str">
        <f ca="1">IF(Stock!AG52="","",Stock!AG52)</f>
        <v/>
      </c>
      <c r="AK56" s="13" t="str">
        <f ca="1">IF(Stock!AH52="","",Stock!AH52)</f>
        <v/>
      </c>
      <c r="AL56" s="13" t="str">
        <f ca="1">IF(Stock!AI52="","",Stock!AI52)</f>
        <v/>
      </c>
      <c r="AM56" s="13" t="str">
        <f ca="1">IF(Stock!AJ52="","",Stock!AJ52)</f>
        <v/>
      </c>
      <c r="AN56" s="13" t="str">
        <f ca="1">IF(Stock!AK52="","",Stock!AK52)</f>
        <v/>
      </c>
      <c r="AO56" s="13" t="str">
        <f ca="1">IF(Stock!AL52="","",Stock!AL52)</f>
        <v/>
      </c>
      <c r="AP56" s="13" t="str">
        <f ca="1">IF(Stock!AM52="","",Stock!AM52)</f>
        <v/>
      </c>
      <c r="AQ56" s="13" t="str">
        <f ca="1">IF(Stock!AN52="","",Stock!AN52)</f>
        <v/>
      </c>
      <c r="AR56" s="13" t="str">
        <f ca="1">IF(Stock!AO52="","",Stock!AO52)</f>
        <v/>
      </c>
      <c r="AS56" s="13" t="str">
        <f ca="1">IF(Stock!AP52="","",Stock!AP52)</f>
        <v/>
      </c>
      <c r="AT56" s="13" t="str">
        <f ca="1">IF(Stock!AQ52="","",Stock!AQ52)</f>
        <v/>
      </c>
      <c r="AU56" s="13" t="str">
        <f ca="1">IF(Stock!AR52="","",Stock!AR52)</f>
        <v/>
      </c>
      <c r="AV56" s="13" t="str">
        <f ca="1">IF(Stock!AS52="","",Stock!AS52)</f>
        <v/>
      </c>
      <c r="AW56" s="13" t="str">
        <f ca="1">IF(Stock!AT52="","",Stock!AT52)</f>
        <v/>
      </c>
      <c r="AX56" s="13" t="str">
        <f ca="1">IF(Stock!AU52="","",Stock!AU52)</f>
        <v/>
      </c>
      <c r="AY56" s="13" t="str">
        <f ca="1">IF(Stock!AV52="","",Stock!AV52)</f>
        <v/>
      </c>
      <c r="AZ56" s="13" t="str">
        <f ca="1">IF(Stock!AW52="","",Stock!AW52)</f>
        <v/>
      </c>
      <c r="BA56" s="13" t="str">
        <f ca="1">IF(Stock!AX52="","",Stock!AX52)</f>
        <v/>
      </c>
      <c r="BB56" s="13" t="str">
        <f>IF(Stock!AY52="","",Stock!AY52)</f>
        <v/>
      </c>
      <c r="BC56" s="13" t="str">
        <f>IF(Stock!AZ52="","",Stock!AZ52)</f>
        <v/>
      </c>
      <c r="BD56" s="13" t="str">
        <f>IF(Stock!BA52="","",Stock!BA52)</f>
        <v/>
      </c>
      <c r="BE56" s="13" t="str">
        <f>IF(Stock!BB52="","",Stock!BB52)</f>
        <v/>
      </c>
      <c r="BF56" s="13" t="str">
        <f>IF(Stock!BC52="","",Stock!BC52)</f>
        <v/>
      </c>
    </row>
    <row r="57" spans="1:58" ht="14.25" customHeight="1" x14ac:dyDescent="0.3">
      <c r="A57" s="15" t="str">
        <f>IF('MV Repo'!A53="","",IF(E57="",A56,A56+1))</f>
        <v/>
      </c>
      <c r="B57" s="31" t="str">
        <f>IF(A57="","",IF('MV Repo'!A53=0,"B " &amp; TEXT('MV Repo'!B53,"mm/jj/aa"),"T " &amp; 'MV Repo'!A53 &amp; " " &amp; TEXT('MV Repo'!B53,"mm/aa")))</f>
        <v/>
      </c>
      <c r="C57" s="30" t="str">
        <f>IF('Stock UST'!C53="","",'Stock UST'!C53)</f>
        <v/>
      </c>
      <c r="D57" s="30" t="str">
        <f>IF('Stock UST'!D53="","",'Stock UST'!D53)</f>
        <v/>
      </c>
      <c r="E57" s="13" t="str">
        <f>IF(Stock!B53="","",Stock!B53)</f>
        <v/>
      </c>
      <c r="F57" s="13" t="str">
        <f ca="1">IF(Stock!C53="","",Stock!C53)</f>
        <v/>
      </c>
      <c r="G57" s="13" t="str">
        <f ca="1">IF(Stock!D53="","",Stock!D53)</f>
        <v/>
      </c>
      <c r="H57" s="13" t="str">
        <f ca="1">IF(Stock!E53="","",Stock!E53)</f>
        <v/>
      </c>
      <c r="I57" s="13" t="str">
        <f ca="1">IF(Stock!F53="","",Stock!F53)</f>
        <v/>
      </c>
      <c r="J57" s="13" t="str">
        <f ca="1">IF(Stock!G53="","",Stock!G53)</f>
        <v/>
      </c>
      <c r="K57" s="13" t="str">
        <f ca="1">IF(Stock!H53="","",Stock!H53)</f>
        <v/>
      </c>
      <c r="L57" s="13" t="str">
        <f ca="1">IF(Stock!I53="","",Stock!I53)</f>
        <v/>
      </c>
      <c r="M57" s="13" t="str">
        <f ca="1">IF(Stock!J53="","",Stock!J53)</f>
        <v/>
      </c>
      <c r="N57" s="13" t="str">
        <f ca="1">IF(Stock!K53="","",Stock!K53)</f>
        <v/>
      </c>
      <c r="O57" s="13" t="str">
        <f ca="1">IF(Stock!L53="","",Stock!L53)</f>
        <v/>
      </c>
      <c r="P57" s="13" t="str">
        <f ca="1">IF(Stock!M53="","",Stock!M53)</f>
        <v/>
      </c>
      <c r="Q57" s="13" t="str">
        <f ca="1">IF(Stock!N53="","",Stock!N53)</f>
        <v/>
      </c>
      <c r="R57" s="13" t="str">
        <f ca="1">IF(Stock!O53="","",Stock!O53)</f>
        <v/>
      </c>
      <c r="S57" s="13" t="str">
        <f ca="1">IF(Stock!P53="","",Stock!P53)</f>
        <v/>
      </c>
      <c r="T57" s="13" t="str">
        <f ca="1">IF(Stock!Q53="","",Stock!Q53)</f>
        <v/>
      </c>
      <c r="U57" s="13" t="str">
        <f ca="1">IF(Stock!R53="","",Stock!R53)</f>
        <v/>
      </c>
      <c r="V57" s="13" t="str">
        <f ca="1">IF(Stock!S53="","",Stock!S53)</f>
        <v/>
      </c>
      <c r="W57" s="13" t="str">
        <f ca="1">IF(Stock!T53="","",Stock!T53)</f>
        <v/>
      </c>
      <c r="X57" s="13" t="str">
        <f ca="1">IF(Stock!U53="","",Stock!U53)</f>
        <v/>
      </c>
      <c r="Y57" s="13" t="str">
        <f ca="1">IF(Stock!V53="","",Stock!V53)</f>
        <v/>
      </c>
      <c r="Z57" s="13" t="str">
        <f ca="1">IF(Stock!W53="","",Stock!W53)</f>
        <v/>
      </c>
      <c r="AA57" s="13" t="str">
        <f ca="1">IF(Stock!X53="","",Stock!X53)</f>
        <v/>
      </c>
      <c r="AB57" s="13" t="str">
        <f ca="1">IF(Stock!Y53="","",Stock!Y53)</f>
        <v/>
      </c>
      <c r="AC57" s="13" t="str">
        <f ca="1">IF(Stock!Z53="","",Stock!Z53)</f>
        <v/>
      </c>
      <c r="AD57" s="13" t="str">
        <f ca="1">IF(Stock!AA53="","",Stock!AA53)</f>
        <v/>
      </c>
      <c r="AE57" s="13" t="str">
        <f ca="1">IF(Stock!AB53="","",Stock!AB53)</f>
        <v/>
      </c>
      <c r="AF57" s="13" t="str">
        <f ca="1">IF(Stock!AC53="","",Stock!AC53)</f>
        <v/>
      </c>
      <c r="AG57" s="13" t="str">
        <f ca="1">IF(Stock!AD53="","",Stock!AD53)</f>
        <v/>
      </c>
      <c r="AH57" s="13" t="str">
        <f ca="1">IF(Stock!AE53="","",Stock!AE53)</f>
        <v/>
      </c>
      <c r="AI57" s="13" t="str">
        <f ca="1">IF(Stock!AF53="","",Stock!AF53)</f>
        <v/>
      </c>
      <c r="AJ57" s="13" t="str">
        <f ca="1">IF(Stock!AG53="","",Stock!AG53)</f>
        <v/>
      </c>
      <c r="AK57" s="13" t="str">
        <f ca="1">IF(Stock!AH53="","",Stock!AH53)</f>
        <v/>
      </c>
      <c r="AL57" s="13" t="str">
        <f ca="1">IF(Stock!AI53="","",Stock!AI53)</f>
        <v/>
      </c>
      <c r="AM57" s="13" t="str">
        <f ca="1">IF(Stock!AJ53="","",Stock!AJ53)</f>
        <v/>
      </c>
      <c r="AN57" s="13" t="str">
        <f ca="1">IF(Stock!AK53="","",Stock!AK53)</f>
        <v/>
      </c>
      <c r="AO57" s="13" t="str">
        <f ca="1">IF(Stock!AL53="","",Stock!AL53)</f>
        <v/>
      </c>
      <c r="AP57" s="13" t="str">
        <f ca="1">IF(Stock!AM53="","",Stock!AM53)</f>
        <v/>
      </c>
      <c r="AQ57" s="13" t="str">
        <f ca="1">IF(Stock!AN53="","",Stock!AN53)</f>
        <v/>
      </c>
      <c r="AR57" s="13" t="str">
        <f ca="1">IF(Stock!AO53="","",Stock!AO53)</f>
        <v/>
      </c>
      <c r="AS57" s="13" t="str">
        <f ca="1">IF(Stock!AP53="","",Stock!AP53)</f>
        <v/>
      </c>
      <c r="AT57" s="13" t="str">
        <f ca="1">IF(Stock!AQ53="","",Stock!AQ53)</f>
        <v/>
      </c>
      <c r="AU57" s="13" t="str">
        <f ca="1">IF(Stock!AR53="","",Stock!AR53)</f>
        <v/>
      </c>
      <c r="AV57" s="13" t="str">
        <f ca="1">IF(Stock!AS53="","",Stock!AS53)</f>
        <v/>
      </c>
      <c r="AW57" s="13" t="str">
        <f ca="1">IF(Stock!AT53="","",Stock!AT53)</f>
        <v/>
      </c>
      <c r="AX57" s="13" t="str">
        <f ca="1">IF(Stock!AU53="","",Stock!AU53)</f>
        <v/>
      </c>
      <c r="AY57" s="13" t="str">
        <f ca="1">IF(Stock!AV53="","",Stock!AV53)</f>
        <v/>
      </c>
      <c r="AZ57" s="13" t="str">
        <f ca="1">IF(Stock!AW53="","",Stock!AW53)</f>
        <v/>
      </c>
      <c r="BA57" s="13" t="str">
        <f ca="1">IF(Stock!AX53="","",Stock!AX53)</f>
        <v/>
      </c>
      <c r="BB57" s="13" t="str">
        <f>IF(Stock!AY53="","",Stock!AY53)</f>
        <v/>
      </c>
      <c r="BC57" s="13" t="str">
        <f>IF(Stock!AZ53="","",Stock!AZ53)</f>
        <v/>
      </c>
      <c r="BD57" s="13" t="str">
        <f>IF(Stock!BA53="","",Stock!BA53)</f>
        <v/>
      </c>
      <c r="BE57" s="13" t="str">
        <f>IF(Stock!BB53="","",Stock!BB53)</f>
        <v/>
      </c>
      <c r="BF57" s="13" t="str">
        <f>IF(Stock!BC53="","",Stock!BC53)</f>
        <v/>
      </c>
    </row>
    <row r="58" spans="1:58" ht="14.25" customHeight="1" x14ac:dyDescent="0.3">
      <c r="A58" s="15" t="str">
        <f>IF('MV Repo'!A54="","",IF(E58="",A57,A57+1))</f>
        <v/>
      </c>
      <c r="B58" s="31" t="str">
        <f>IF(A58="","",IF('MV Repo'!A54=0,"B " &amp; TEXT('MV Repo'!B54,"mm/jj/aa"),"T " &amp; 'MV Repo'!A54 &amp; " " &amp; TEXT('MV Repo'!B54,"mm/aa")))</f>
        <v/>
      </c>
      <c r="C58" s="30" t="str">
        <f>IF('Stock UST'!C54="","",'Stock UST'!C54)</f>
        <v/>
      </c>
      <c r="D58" s="30" t="str">
        <f>IF('Stock UST'!D54="","",'Stock UST'!D54)</f>
        <v/>
      </c>
      <c r="E58" s="13" t="str">
        <f>IF(Stock!B54="","",Stock!B54)</f>
        <v/>
      </c>
      <c r="F58" s="13" t="str">
        <f ca="1">IF(Stock!C54="","",Stock!C54)</f>
        <v/>
      </c>
      <c r="G58" s="13" t="str">
        <f ca="1">IF(Stock!D54="","",Stock!D54)</f>
        <v/>
      </c>
      <c r="H58" s="13" t="str">
        <f ca="1">IF(Stock!E54="","",Stock!E54)</f>
        <v/>
      </c>
      <c r="I58" s="13" t="str">
        <f ca="1">IF(Stock!F54="","",Stock!F54)</f>
        <v/>
      </c>
      <c r="J58" s="13" t="str">
        <f ca="1">IF(Stock!G54="","",Stock!G54)</f>
        <v/>
      </c>
      <c r="K58" s="13" t="str">
        <f ca="1">IF(Stock!H54="","",Stock!H54)</f>
        <v/>
      </c>
      <c r="L58" s="13" t="str">
        <f ca="1">IF(Stock!I54="","",Stock!I54)</f>
        <v/>
      </c>
      <c r="M58" s="13" t="str">
        <f ca="1">IF(Stock!J54="","",Stock!J54)</f>
        <v/>
      </c>
      <c r="N58" s="13" t="str">
        <f ca="1">IF(Stock!K54="","",Stock!K54)</f>
        <v/>
      </c>
      <c r="O58" s="13" t="str">
        <f ca="1">IF(Stock!L54="","",Stock!L54)</f>
        <v/>
      </c>
      <c r="P58" s="13" t="str">
        <f ca="1">IF(Stock!M54="","",Stock!M54)</f>
        <v/>
      </c>
      <c r="Q58" s="13" t="str">
        <f ca="1">IF(Stock!N54="","",Stock!N54)</f>
        <v/>
      </c>
      <c r="R58" s="13" t="str">
        <f ca="1">IF(Stock!O54="","",Stock!O54)</f>
        <v/>
      </c>
      <c r="S58" s="13" t="str">
        <f ca="1">IF(Stock!P54="","",Stock!P54)</f>
        <v/>
      </c>
      <c r="T58" s="13" t="str">
        <f ca="1">IF(Stock!Q54="","",Stock!Q54)</f>
        <v/>
      </c>
      <c r="U58" s="13" t="str">
        <f ca="1">IF(Stock!R54="","",Stock!R54)</f>
        <v/>
      </c>
      <c r="V58" s="13" t="str">
        <f ca="1">IF(Stock!S54="","",Stock!S54)</f>
        <v/>
      </c>
      <c r="W58" s="13" t="str">
        <f ca="1">IF(Stock!T54="","",Stock!T54)</f>
        <v/>
      </c>
      <c r="X58" s="13" t="str">
        <f ca="1">IF(Stock!U54="","",Stock!U54)</f>
        <v/>
      </c>
      <c r="Y58" s="13" t="str">
        <f ca="1">IF(Stock!V54="","",Stock!V54)</f>
        <v/>
      </c>
      <c r="Z58" s="13" t="str">
        <f ca="1">IF(Stock!W54="","",Stock!W54)</f>
        <v/>
      </c>
      <c r="AA58" s="13" t="str">
        <f ca="1">IF(Stock!X54="","",Stock!X54)</f>
        <v/>
      </c>
      <c r="AB58" s="13" t="str">
        <f ca="1">IF(Stock!Y54="","",Stock!Y54)</f>
        <v/>
      </c>
      <c r="AC58" s="13" t="str">
        <f ca="1">IF(Stock!Z54="","",Stock!Z54)</f>
        <v/>
      </c>
      <c r="AD58" s="13" t="str">
        <f ca="1">IF(Stock!AA54="","",Stock!AA54)</f>
        <v/>
      </c>
      <c r="AE58" s="13" t="str">
        <f ca="1">IF(Stock!AB54="","",Stock!AB54)</f>
        <v/>
      </c>
      <c r="AF58" s="13" t="str">
        <f ca="1">IF(Stock!AC54="","",Stock!AC54)</f>
        <v/>
      </c>
      <c r="AG58" s="13" t="str">
        <f ca="1">IF(Stock!AD54="","",Stock!AD54)</f>
        <v/>
      </c>
      <c r="AH58" s="13" t="str">
        <f ca="1">IF(Stock!AE54="","",Stock!AE54)</f>
        <v/>
      </c>
      <c r="AI58" s="13" t="str">
        <f ca="1">IF(Stock!AF54="","",Stock!AF54)</f>
        <v/>
      </c>
      <c r="AJ58" s="13" t="str">
        <f ca="1">IF(Stock!AG54="","",Stock!AG54)</f>
        <v/>
      </c>
      <c r="AK58" s="13" t="str">
        <f ca="1">IF(Stock!AH54="","",Stock!AH54)</f>
        <v/>
      </c>
      <c r="AL58" s="13" t="str">
        <f ca="1">IF(Stock!AI54="","",Stock!AI54)</f>
        <v/>
      </c>
      <c r="AM58" s="13" t="str">
        <f ca="1">IF(Stock!AJ54="","",Stock!AJ54)</f>
        <v/>
      </c>
      <c r="AN58" s="13" t="str">
        <f ca="1">IF(Stock!AK54="","",Stock!AK54)</f>
        <v/>
      </c>
      <c r="AO58" s="13" t="str">
        <f ca="1">IF(Stock!AL54="","",Stock!AL54)</f>
        <v/>
      </c>
      <c r="AP58" s="13" t="str">
        <f ca="1">IF(Stock!AM54="","",Stock!AM54)</f>
        <v/>
      </c>
      <c r="AQ58" s="13" t="str">
        <f ca="1">IF(Stock!AN54="","",Stock!AN54)</f>
        <v/>
      </c>
      <c r="AR58" s="13" t="str">
        <f ca="1">IF(Stock!AO54="","",Stock!AO54)</f>
        <v/>
      </c>
      <c r="AS58" s="13" t="str">
        <f ca="1">IF(Stock!AP54="","",Stock!AP54)</f>
        <v/>
      </c>
      <c r="AT58" s="13" t="str">
        <f ca="1">IF(Stock!AQ54="","",Stock!AQ54)</f>
        <v/>
      </c>
      <c r="AU58" s="13" t="str">
        <f ca="1">IF(Stock!AR54="","",Stock!AR54)</f>
        <v/>
      </c>
      <c r="AV58" s="13" t="str">
        <f ca="1">IF(Stock!AS54="","",Stock!AS54)</f>
        <v/>
      </c>
      <c r="AW58" s="13" t="str">
        <f ca="1">IF(Stock!AT54="","",Stock!AT54)</f>
        <v/>
      </c>
      <c r="AX58" s="13" t="str">
        <f ca="1">IF(Stock!AU54="","",Stock!AU54)</f>
        <v/>
      </c>
      <c r="AY58" s="13" t="str">
        <f ca="1">IF(Stock!AV54="","",Stock!AV54)</f>
        <v/>
      </c>
      <c r="AZ58" s="13" t="str">
        <f ca="1">IF(Stock!AW54="","",Stock!AW54)</f>
        <v/>
      </c>
      <c r="BA58" s="13" t="str">
        <f ca="1">IF(Stock!AX54="","",Stock!AX54)</f>
        <v/>
      </c>
      <c r="BB58" s="13" t="str">
        <f>IF(Stock!AY54="","",Stock!AY54)</f>
        <v/>
      </c>
      <c r="BC58" s="13" t="str">
        <f>IF(Stock!AZ54="","",Stock!AZ54)</f>
        <v/>
      </c>
      <c r="BD58" s="13" t="str">
        <f>IF(Stock!BA54="","",Stock!BA54)</f>
        <v/>
      </c>
      <c r="BE58" s="13" t="str">
        <f>IF(Stock!BB54="","",Stock!BB54)</f>
        <v/>
      </c>
      <c r="BF58" s="13" t="str">
        <f>IF(Stock!BC54="","",Stock!BC54)</f>
        <v/>
      </c>
    </row>
    <row r="59" spans="1:58" ht="14.25" customHeight="1" x14ac:dyDescent="0.3">
      <c r="A59" s="15" t="str">
        <f>IF('MV Repo'!A55="","",IF(E59="",A58,A58+1))</f>
        <v/>
      </c>
      <c r="B59" s="31" t="str">
        <f>IF(A59="","",IF('MV Repo'!A55=0,"B " &amp; TEXT('MV Repo'!B55,"mm/jj/aa"),"T " &amp; 'MV Repo'!A55 &amp; " " &amp; TEXT('MV Repo'!B55,"mm/aa")))</f>
        <v/>
      </c>
      <c r="C59" s="30" t="str">
        <f>IF('Stock UST'!C55="","",'Stock UST'!C55)</f>
        <v/>
      </c>
      <c r="D59" s="30" t="str">
        <f>IF('Stock UST'!D55="","",'Stock UST'!D55)</f>
        <v/>
      </c>
      <c r="E59" s="13" t="str">
        <f>IF(Stock!B55="","",Stock!B55)</f>
        <v/>
      </c>
      <c r="F59" s="13" t="str">
        <f ca="1">IF(Stock!C55="","",Stock!C55)</f>
        <v/>
      </c>
      <c r="G59" s="13" t="str">
        <f ca="1">IF(Stock!D55="","",Stock!D55)</f>
        <v/>
      </c>
      <c r="H59" s="13" t="str">
        <f ca="1">IF(Stock!E55="","",Stock!E55)</f>
        <v/>
      </c>
      <c r="I59" s="13" t="str">
        <f ca="1">IF(Stock!F55="","",Stock!F55)</f>
        <v/>
      </c>
      <c r="J59" s="13" t="str">
        <f ca="1">IF(Stock!G55="","",Stock!G55)</f>
        <v/>
      </c>
      <c r="K59" s="13" t="str">
        <f ca="1">IF(Stock!H55="","",Stock!H55)</f>
        <v/>
      </c>
      <c r="L59" s="13" t="str">
        <f ca="1">IF(Stock!I55="","",Stock!I55)</f>
        <v/>
      </c>
      <c r="M59" s="13" t="str">
        <f ca="1">IF(Stock!J55="","",Stock!J55)</f>
        <v/>
      </c>
      <c r="N59" s="13" t="str">
        <f ca="1">IF(Stock!K55="","",Stock!K55)</f>
        <v/>
      </c>
      <c r="O59" s="13" t="str">
        <f ca="1">IF(Stock!L55="","",Stock!L55)</f>
        <v/>
      </c>
      <c r="P59" s="13" t="str">
        <f ca="1">IF(Stock!M55="","",Stock!M55)</f>
        <v/>
      </c>
      <c r="Q59" s="13" t="str">
        <f ca="1">IF(Stock!N55="","",Stock!N55)</f>
        <v/>
      </c>
      <c r="R59" s="13" t="str">
        <f ca="1">IF(Stock!O55="","",Stock!O55)</f>
        <v/>
      </c>
      <c r="S59" s="13" t="str">
        <f ca="1">IF(Stock!P55="","",Stock!P55)</f>
        <v/>
      </c>
      <c r="T59" s="13" t="str">
        <f ca="1">IF(Stock!Q55="","",Stock!Q55)</f>
        <v/>
      </c>
      <c r="U59" s="13" t="str">
        <f ca="1">IF(Stock!R55="","",Stock!R55)</f>
        <v/>
      </c>
      <c r="V59" s="13" t="str">
        <f ca="1">IF(Stock!S55="","",Stock!S55)</f>
        <v/>
      </c>
      <c r="W59" s="13" t="str">
        <f ca="1">IF(Stock!T55="","",Stock!T55)</f>
        <v/>
      </c>
      <c r="X59" s="13" t="str">
        <f ca="1">IF(Stock!U55="","",Stock!U55)</f>
        <v/>
      </c>
      <c r="Y59" s="13" t="str">
        <f ca="1">IF(Stock!V55="","",Stock!V55)</f>
        <v/>
      </c>
      <c r="Z59" s="13" t="str">
        <f ca="1">IF(Stock!W55="","",Stock!W55)</f>
        <v/>
      </c>
      <c r="AA59" s="13" t="str">
        <f ca="1">IF(Stock!X55="","",Stock!X55)</f>
        <v/>
      </c>
      <c r="AB59" s="13" t="str">
        <f ca="1">IF(Stock!Y55="","",Stock!Y55)</f>
        <v/>
      </c>
      <c r="AC59" s="13" t="str">
        <f ca="1">IF(Stock!Z55="","",Stock!Z55)</f>
        <v/>
      </c>
      <c r="AD59" s="13" t="str">
        <f ca="1">IF(Stock!AA55="","",Stock!AA55)</f>
        <v/>
      </c>
      <c r="AE59" s="13" t="str">
        <f ca="1">IF(Stock!AB55="","",Stock!AB55)</f>
        <v/>
      </c>
      <c r="AF59" s="13" t="str">
        <f ca="1">IF(Stock!AC55="","",Stock!AC55)</f>
        <v/>
      </c>
      <c r="AG59" s="13" t="str">
        <f ca="1">IF(Stock!AD55="","",Stock!AD55)</f>
        <v/>
      </c>
      <c r="AH59" s="13" t="str">
        <f ca="1">IF(Stock!AE55="","",Stock!AE55)</f>
        <v/>
      </c>
      <c r="AI59" s="13" t="str">
        <f ca="1">IF(Stock!AF55="","",Stock!AF55)</f>
        <v/>
      </c>
      <c r="AJ59" s="13" t="str">
        <f ca="1">IF(Stock!AG55="","",Stock!AG55)</f>
        <v/>
      </c>
      <c r="AK59" s="13" t="str">
        <f ca="1">IF(Stock!AH55="","",Stock!AH55)</f>
        <v/>
      </c>
      <c r="AL59" s="13" t="str">
        <f ca="1">IF(Stock!AI55="","",Stock!AI55)</f>
        <v/>
      </c>
      <c r="AM59" s="13" t="str">
        <f ca="1">IF(Stock!AJ55="","",Stock!AJ55)</f>
        <v/>
      </c>
      <c r="AN59" s="13" t="str">
        <f ca="1">IF(Stock!AK55="","",Stock!AK55)</f>
        <v/>
      </c>
      <c r="AO59" s="13" t="str">
        <f ca="1">IF(Stock!AL55="","",Stock!AL55)</f>
        <v/>
      </c>
      <c r="AP59" s="13" t="str">
        <f ca="1">IF(Stock!AM55="","",Stock!AM55)</f>
        <v/>
      </c>
      <c r="AQ59" s="13" t="str">
        <f ca="1">IF(Stock!AN55="","",Stock!AN55)</f>
        <v/>
      </c>
      <c r="AR59" s="13" t="str">
        <f ca="1">IF(Stock!AO55="","",Stock!AO55)</f>
        <v/>
      </c>
      <c r="AS59" s="13" t="str">
        <f ca="1">IF(Stock!AP55="","",Stock!AP55)</f>
        <v/>
      </c>
      <c r="AT59" s="13" t="str">
        <f ca="1">IF(Stock!AQ55="","",Stock!AQ55)</f>
        <v/>
      </c>
      <c r="AU59" s="13" t="str">
        <f ca="1">IF(Stock!AR55="","",Stock!AR55)</f>
        <v/>
      </c>
      <c r="AV59" s="13" t="str">
        <f ca="1">IF(Stock!AS55="","",Stock!AS55)</f>
        <v/>
      </c>
      <c r="AW59" s="13" t="str">
        <f ca="1">IF(Stock!AT55="","",Stock!AT55)</f>
        <v/>
      </c>
      <c r="AX59" s="13" t="str">
        <f ca="1">IF(Stock!AU55="","",Stock!AU55)</f>
        <v/>
      </c>
      <c r="AY59" s="13" t="str">
        <f ca="1">IF(Stock!AV55="","",Stock!AV55)</f>
        <v/>
      </c>
      <c r="AZ59" s="13" t="str">
        <f ca="1">IF(Stock!AW55="","",Stock!AW55)</f>
        <v/>
      </c>
      <c r="BA59" s="13" t="str">
        <f ca="1">IF(Stock!AX55="","",Stock!AX55)</f>
        <v/>
      </c>
      <c r="BB59" s="13" t="str">
        <f>IF(Stock!AY55="","",Stock!AY55)</f>
        <v/>
      </c>
      <c r="BC59" s="13" t="str">
        <f>IF(Stock!AZ55="","",Stock!AZ55)</f>
        <v/>
      </c>
      <c r="BD59" s="13" t="str">
        <f>IF(Stock!BA55="","",Stock!BA55)</f>
        <v/>
      </c>
      <c r="BE59" s="13" t="str">
        <f>IF(Stock!BB55="","",Stock!BB55)</f>
        <v/>
      </c>
      <c r="BF59" s="13" t="str">
        <f>IF(Stock!BC55="","",Stock!BC55)</f>
        <v/>
      </c>
    </row>
    <row r="60" spans="1:58" ht="14.25" customHeight="1" x14ac:dyDescent="0.3">
      <c r="A60" s="15" t="str">
        <f>IF('MV Repo'!A56="","",IF(E60="",A59,A59+1))</f>
        <v/>
      </c>
      <c r="B60" s="31" t="str">
        <f>IF(A60="","",IF('MV Repo'!A56=0,"B " &amp; TEXT('MV Repo'!B56,"mm/jj/aa"),"T " &amp; 'MV Repo'!A56 &amp; " " &amp; TEXT('MV Repo'!B56,"mm/aa")))</f>
        <v/>
      </c>
      <c r="C60" s="30" t="str">
        <f>IF('Stock UST'!C56="","",'Stock UST'!C56)</f>
        <v/>
      </c>
      <c r="D60" s="30" t="str">
        <f>IF('Stock UST'!D56="","",'Stock UST'!D56)</f>
        <v/>
      </c>
      <c r="E60" s="13" t="str">
        <f>IF(Stock!B56="","",Stock!B56)</f>
        <v/>
      </c>
      <c r="F60" s="13" t="str">
        <f ca="1">IF(Stock!C56="","",Stock!C56)</f>
        <v/>
      </c>
      <c r="G60" s="13" t="str">
        <f ca="1">IF(Stock!D56="","",Stock!D56)</f>
        <v/>
      </c>
      <c r="H60" s="13" t="str">
        <f ca="1">IF(Stock!E56="","",Stock!E56)</f>
        <v/>
      </c>
      <c r="I60" s="13" t="str">
        <f ca="1">IF(Stock!F56="","",Stock!F56)</f>
        <v/>
      </c>
      <c r="J60" s="13" t="str">
        <f ca="1">IF(Stock!G56="","",Stock!G56)</f>
        <v/>
      </c>
      <c r="K60" s="13" t="str">
        <f ca="1">IF(Stock!H56="","",Stock!H56)</f>
        <v/>
      </c>
      <c r="L60" s="13" t="str">
        <f ca="1">IF(Stock!I56="","",Stock!I56)</f>
        <v/>
      </c>
      <c r="M60" s="13" t="str">
        <f ca="1">IF(Stock!J56="","",Stock!J56)</f>
        <v/>
      </c>
      <c r="N60" s="13" t="str">
        <f ca="1">IF(Stock!K56="","",Stock!K56)</f>
        <v/>
      </c>
      <c r="O60" s="13" t="str">
        <f ca="1">IF(Stock!L56="","",Stock!L56)</f>
        <v/>
      </c>
      <c r="P60" s="13" t="str">
        <f ca="1">IF(Stock!M56="","",Stock!M56)</f>
        <v/>
      </c>
      <c r="Q60" s="13" t="str">
        <f ca="1">IF(Stock!N56="","",Stock!N56)</f>
        <v/>
      </c>
      <c r="R60" s="13" t="str">
        <f ca="1">IF(Stock!O56="","",Stock!O56)</f>
        <v/>
      </c>
      <c r="S60" s="13" t="str">
        <f ca="1">IF(Stock!P56="","",Stock!P56)</f>
        <v/>
      </c>
      <c r="T60" s="13" t="str">
        <f ca="1">IF(Stock!Q56="","",Stock!Q56)</f>
        <v/>
      </c>
      <c r="U60" s="13" t="str">
        <f ca="1">IF(Stock!R56="","",Stock!R56)</f>
        <v/>
      </c>
      <c r="V60" s="13" t="str">
        <f ca="1">IF(Stock!S56="","",Stock!S56)</f>
        <v/>
      </c>
      <c r="W60" s="13" t="str">
        <f ca="1">IF(Stock!T56="","",Stock!T56)</f>
        <v/>
      </c>
      <c r="X60" s="13" t="str">
        <f ca="1">IF(Stock!U56="","",Stock!U56)</f>
        <v/>
      </c>
      <c r="Y60" s="13" t="str">
        <f ca="1">IF(Stock!V56="","",Stock!V56)</f>
        <v/>
      </c>
      <c r="Z60" s="13" t="str">
        <f ca="1">IF(Stock!W56="","",Stock!W56)</f>
        <v/>
      </c>
      <c r="AA60" s="13" t="str">
        <f ca="1">IF(Stock!X56="","",Stock!X56)</f>
        <v/>
      </c>
      <c r="AB60" s="13" t="str">
        <f ca="1">IF(Stock!Y56="","",Stock!Y56)</f>
        <v/>
      </c>
      <c r="AC60" s="13" t="str">
        <f ca="1">IF(Stock!Z56="","",Stock!Z56)</f>
        <v/>
      </c>
      <c r="AD60" s="13" t="str">
        <f ca="1">IF(Stock!AA56="","",Stock!AA56)</f>
        <v/>
      </c>
      <c r="AE60" s="13" t="str">
        <f ca="1">IF(Stock!AB56="","",Stock!AB56)</f>
        <v/>
      </c>
      <c r="AF60" s="13" t="str">
        <f ca="1">IF(Stock!AC56="","",Stock!AC56)</f>
        <v/>
      </c>
      <c r="AG60" s="13" t="str">
        <f ca="1">IF(Stock!AD56="","",Stock!AD56)</f>
        <v/>
      </c>
      <c r="AH60" s="13" t="str">
        <f ca="1">IF(Stock!AE56="","",Stock!AE56)</f>
        <v/>
      </c>
      <c r="AI60" s="13" t="str">
        <f ca="1">IF(Stock!AF56="","",Stock!AF56)</f>
        <v/>
      </c>
      <c r="AJ60" s="13" t="str">
        <f ca="1">IF(Stock!AG56="","",Stock!AG56)</f>
        <v/>
      </c>
      <c r="AK60" s="13" t="str">
        <f ca="1">IF(Stock!AH56="","",Stock!AH56)</f>
        <v/>
      </c>
      <c r="AL60" s="13" t="str">
        <f ca="1">IF(Stock!AI56="","",Stock!AI56)</f>
        <v/>
      </c>
      <c r="AM60" s="13" t="str">
        <f ca="1">IF(Stock!AJ56="","",Stock!AJ56)</f>
        <v/>
      </c>
      <c r="AN60" s="13" t="str">
        <f ca="1">IF(Stock!AK56="","",Stock!AK56)</f>
        <v/>
      </c>
      <c r="AO60" s="13" t="str">
        <f ca="1">IF(Stock!AL56="","",Stock!AL56)</f>
        <v/>
      </c>
      <c r="AP60" s="13" t="str">
        <f ca="1">IF(Stock!AM56="","",Stock!AM56)</f>
        <v/>
      </c>
      <c r="AQ60" s="13" t="str">
        <f ca="1">IF(Stock!AN56="","",Stock!AN56)</f>
        <v/>
      </c>
      <c r="AR60" s="13" t="str">
        <f ca="1">IF(Stock!AO56="","",Stock!AO56)</f>
        <v/>
      </c>
      <c r="AS60" s="13" t="str">
        <f ca="1">IF(Stock!AP56="","",Stock!AP56)</f>
        <v/>
      </c>
      <c r="AT60" s="13" t="str">
        <f ca="1">IF(Stock!AQ56="","",Stock!AQ56)</f>
        <v/>
      </c>
      <c r="AU60" s="13" t="str">
        <f ca="1">IF(Stock!AR56="","",Stock!AR56)</f>
        <v/>
      </c>
      <c r="AV60" s="13" t="str">
        <f ca="1">IF(Stock!AS56="","",Stock!AS56)</f>
        <v/>
      </c>
      <c r="AW60" s="13" t="str">
        <f ca="1">IF(Stock!AT56="","",Stock!AT56)</f>
        <v/>
      </c>
      <c r="AX60" s="13" t="str">
        <f ca="1">IF(Stock!AU56="","",Stock!AU56)</f>
        <v/>
      </c>
      <c r="AY60" s="13" t="str">
        <f ca="1">IF(Stock!AV56="","",Stock!AV56)</f>
        <v/>
      </c>
      <c r="AZ60" s="13" t="str">
        <f ca="1">IF(Stock!AW56="","",Stock!AW56)</f>
        <v/>
      </c>
      <c r="BA60" s="13" t="str">
        <f ca="1">IF(Stock!AX56="","",Stock!AX56)</f>
        <v/>
      </c>
      <c r="BB60" s="13" t="str">
        <f>IF(Stock!AY56="","",Stock!AY56)</f>
        <v/>
      </c>
      <c r="BC60" s="13" t="str">
        <f>IF(Stock!AZ56="","",Stock!AZ56)</f>
        <v/>
      </c>
      <c r="BD60" s="13" t="str">
        <f>IF(Stock!BA56="","",Stock!BA56)</f>
        <v/>
      </c>
      <c r="BE60" s="13" t="str">
        <f>IF(Stock!BB56="","",Stock!BB56)</f>
        <v/>
      </c>
      <c r="BF60" s="13" t="str">
        <f>IF(Stock!BC56="","",Stock!BC56)</f>
        <v/>
      </c>
    </row>
    <row r="61" spans="1:58" ht="14.25" customHeight="1" x14ac:dyDescent="0.3">
      <c r="A61" s="15" t="str">
        <f>IF('MV Repo'!A57="","",IF(E61="",A60,A60+1))</f>
        <v/>
      </c>
      <c r="B61" s="31" t="str">
        <f>IF(A61="","",IF('MV Repo'!A57=0,"B " &amp; TEXT('MV Repo'!B57,"mm/jj/aa"),"T " &amp; 'MV Repo'!A57 &amp; " " &amp; TEXT('MV Repo'!B57,"mm/aa")))</f>
        <v/>
      </c>
      <c r="C61" s="30" t="str">
        <f>IF('Stock UST'!C57="","",'Stock UST'!C57)</f>
        <v/>
      </c>
      <c r="D61" s="30" t="str">
        <f>IF('Stock UST'!D57="","",'Stock UST'!D57)</f>
        <v/>
      </c>
      <c r="E61" s="13" t="str">
        <f>IF(Stock!B57="","",Stock!B57)</f>
        <v/>
      </c>
      <c r="F61" s="13" t="str">
        <f ca="1">IF(Stock!C57="","",Stock!C57)</f>
        <v/>
      </c>
      <c r="G61" s="13" t="str">
        <f ca="1">IF(Stock!D57="","",Stock!D57)</f>
        <v/>
      </c>
      <c r="H61" s="13" t="str">
        <f ca="1">IF(Stock!E57="","",Stock!E57)</f>
        <v/>
      </c>
      <c r="I61" s="13" t="str">
        <f ca="1">IF(Stock!F57="","",Stock!F57)</f>
        <v/>
      </c>
      <c r="J61" s="13" t="str">
        <f ca="1">IF(Stock!G57="","",Stock!G57)</f>
        <v/>
      </c>
      <c r="K61" s="13" t="str">
        <f ca="1">IF(Stock!H57="","",Stock!H57)</f>
        <v/>
      </c>
      <c r="L61" s="13" t="str">
        <f ca="1">IF(Stock!I57="","",Stock!I57)</f>
        <v/>
      </c>
      <c r="M61" s="13" t="str">
        <f ca="1">IF(Stock!J57="","",Stock!J57)</f>
        <v/>
      </c>
      <c r="N61" s="13" t="str">
        <f ca="1">IF(Stock!K57="","",Stock!K57)</f>
        <v/>
      </c>
      <c r="O61" s="13" t="str">
        <f ca="1">IF(Stock!L57="","",Stock!L57)</f>
        <v/>
      </c>
      <c r="P61" s="13" t="str">
        <f ca="1">IF(Stock!M57="","",Stock!M57)</f>
        <v/>
      </c>
      <c r="Q61" s="13" t="str">
        <f ca="1">IF(Stock!N57="","",Stock!N57)</f>
        <v/>
      </c>
      <c r="R61" s="13" t="str">
        <f ca="1">IF(Stock!O57="","",Stock!O57)</f>
        <v/>
      </c>
      <c r="S61" s="13" t="str">
        <f ca="1">IF(Stock!P57="","",Stock!P57)</f>
        <v/>
      </c>
      <c r="T61" s="13" t="str">
        <f ca="1">IF(Stock!Q57="","",Stock!Q57)</f>
        <v/>
      </c>
      <c r="U61" s="13" t="str">
        <f ca="1">IF(Stock!R57="","",Stock!R57)</f>
        <v/>
      </c>
      <c r="V61" s="13" t="str">
        <f ca="1">IF(Stock!S57="","",Stock!S57)</f>
        <v/>
      </c>
      <c r="W61" s="13" t="str">
        <f ca="1">IF(Stock!T57="","",Stock!T57)</f>
        <v/>
      </c>
      <c r="X61" s="13" t="str">
        <f ca="1">IF(Stock!U57="","",Stock!U57)</f>
        <v/>
      </c>
      <c r="Y61" s="13" t="str">
        <f ca="1">IF(Stock!V57="","",Stock!V57)</f>
        <v/>
      </c>
      <c r="Z61" s="13" t="str">
        <f ca="1">IF(Stock!W57="","",Stock!W57)</f>
        <v/>
      </c>
      <c r="AA61" s="13" t="str">
        <f ca="1">IF(Stock!X57="","",Stock!X57)</f>
        <v/>
      </c>
      <c r="AB61" s="13" t="str">
        <f ca="1">IF(Stock!Y57="","",Stock!Y57)</f>
        <v/>
      </c>
      <c r="AC61" s="13" t="str">
        <f ca="1">IF(Stock!Z57="","",Stock!Z57)</f>
        <v/>
      </c>
      <c r="AD61" s="13" t="str">
        <f ca="1">IF(Stock!AA57="","",Stock!AA57)</f>
        <v/>
      </c>
      <c r="AE61" s="13" t="str">
        <f ca="1">IF(Stock!AB57="","",Stock!AB57)</f>
        <v/>
      </c>
      <c r="AF61" s="13" t="str">
        <f ca="1">IF(Stock!AC57="","",Stock!AC57)</f>
        <v/>
      </c>
      <c r="AG61" s="13" t="str">
        <f ca="1">IF(Stock!AD57="","",Stock!AD57)</f>
        <v/>
      </c>
      <c r="AH61" s="13" t="str">
        <f ca="1">IF(Stock!AE57="","",Stock!AE57)</f>
        <v/>
      </c>
      <c r="AI61" s="13" t="str">
        <f ca="1">IF(Stock!AF57="","",Stock!AF57)</f>
        <v/>
      </c>
      <c r="AJ61" s="13" t="str">
        <f ca="1">IF(Stock!AG57="","",Stock!AG57)</f>
        <v/>
      </c>
      <c r="AK61" s="13" t="str">
        <f ca="1">IF(Stock!AH57="","",Stock!AH57)</f>
        <v/>
      </c>
      <c r="AL61" s="13" t="str">
        <f ca="1">IF(Stock!AI57="","",Stock!AI57)</f>
        <v/>
      </c>
      <c r="AM61" s="13" t="str">
        <f ca="1">IF(Stock!AJ57="","",Stock!AJ57)</f>
        <v/>
      </c>
      <c r="AN61" s="13" t="str">
        <f ca="1">IF(Stock!AK57="","",Stock!AK57)</f>
        <v/>
      </c>
      <c r="AO61" s="13" t="str">
        <f ca="1">IF(Stock!AL57="","",Stock!AL57)</f>
        <v/>
      </c>
      <c r="AP61" s="13" t="str">
        <f ca="1">IF(Stock!AM57="","",Stock!AM57)</f>
        <v/>
      </c>
      <c r="AQ61" s="13" t="str">
        <f ca="1">IF(Stock!AN57="","",Stock!AN57)</f>
        <v/>
      </c>
      <c r="AR61" s="13" t="str">
        <f ca="1">IF(Stock!AO57="","",Stock!AO57)</f>
        <v/>
      </c>
      <c r="AS61" s="13" t="str">
        <f ca="1">IF(Stock!AP57="","",Stock!AP57)</f>
        <v/>
      </c>
      <c r="AT61" s="13" t="str">
        <f ca="1">IF(Stock!AQ57="","",Stock!AQ57)</f>
        <v/>
      </c>
      <c r="AU61" s="13" t="str">
        <f ca="1">IF(Stock!AR57="","",Stock!AR57)</f>
        <v/>
      </c>
      <c r="AV61" s="13" t="str">
        <f ca="1">IF(Stock!AS57="","",Stock!AS57)</f>
        <v/>
      </c>
      <c r="AW61" s="13" t="str">
        <f ca="1">IF(Stock!AT57="","",Stock!AT57)</f>
        <v/>
      </c>
      <c r="AX61" s="13" t="str">
        <f ca="1">IF(Stock!AU57="","",Stock!AU57)</f>
        <v/>
      </c>
      <c r="AY61" s="13" t="str">
        <f ca="1">IF(Stock!AV57="","",Stock!AV57)</f>
        <v/>
      </c>
      <c r="AZ61" s="13" t="str">
        <f ca="1">IF(Stock!AW57="","",Stock!AW57)</f>
        <v/>
      </c>
      <c r="BA61" s="13" t="str">
        <f ca="1">IF(Stock!AX57="","",Stock!AX57)</f>
        <v/>
      </c>
      <c r="BB61" s="13" t="str">
        <f>IF(Stock!AY57="","",Stock!AY57)</f>
        <v/>
      </c>
      <c r="BC61" s="13" t="str">
        <f>IF(Stock!AZ57="","",Stock!AZ57)</f>
        <v/>
      </c>
      <c r="BD61" s="13" t="str">
        <f>IF(Stock!BA57="","",Stock!BA57)</f>
        <v/>
      </c>
      <c r="BE61" s="13" t="str">
        <f>IF(Stock!BB57="","",Stock!BB57)</f>
        <v/>
      </c>
      <c r="BF61" s="13" t="str">
        <f>IF(Stock!BC57="","",Stock!BC57)</f>
        <v/>
      </c>
    </row>
    <row r="62" spans="1:58" ht="14.25" customHeight="1" x14ac:dyDescent="0.3">
      <c r="A62" s="15" t="str">
        <f>IF('MV Repo'!A58="","",IF(E62="",A61,A61+1))</f>
        <v/>
      </c>
      <c r="B62" s="31" t="str">
        <f>IF(A62="","",IF('MV Repo'!A58=0,"B " &amp; TEXT('MV Repo'!B58,"mm/jj/aa"),"T " &amp; 'MV Repo'!A58 &amp; " " &amp; TEXT('MV Repo'!B58,"mm/aa")))</f>
        <v/>
      </c>
      <c r="C62" s="30" t="str">
        <f>IF('Stock UST'!C58="","",'Stock UST'!C58)</f>
        <v/>
      </c>
      <c r="D62" s="30" t="str">
        <f>IF('Stock UST'!D58="","",'Stock UST'!D58)</f>
        <v/>
      </c>
      <c r="E62" s="13" t="str">
        <f>IF(Stock!B58="","",Stock!B58)</f>
        <v/>
      </c>
      <c r="F62" s="13" t="str">
        <f ca="1">IF(Stock!C58="","",Stock!C58)</f>
        <v/>
      </c>
      <c r="G62" s="13" t="str">
        <f ca="1">IF(Stock!D58="","",Stock!D58)</f>
        <v/>
      </c>
      <c r="H62" s="13" t="str">
        <f ca="1">IF(Stock!E58="","",Stock!E58)</f>
        <v/>
      </c>
      <c r="I62" s="13" t="str">
        <f ca="1">IF(Stock!F58="","",Stock!F58)</f>
        <v/>
      </c>
      <c r="J62" s="13" t="str">
        <f ca="1">IF(Stock!G58="","",Stock!G58)</f>
        <v/>
      </c>
      <c r="K62" s="13" t="str">
        <f ca="1">IF(Stock!H58="","",Stock!H58)</f>
        <v/>
      </c>
      <c r="L62" s="13" t="str">
        <f ca="1">IF(Stock!I58="","",Stock!I58)</f>
        <v/>
      </c>
      <c r="M62" s="13" t="str">
        <f ca="1">IF(Stock!J58="","",Stock!J58)</f>
        <v/>
      </c>
      <c r="N62" s="13" t="str">
        <f ca="1">IF(Stock!K58="","",Stock!K58)</f>
        <v/>
      </c>
      <c r="O62" s="13" t="str">
        <f ca="1">IF(Stock!L58="","",Stock!L58)</f>
        <v/>
      </c>
      <c r="P62" s="13" t="str">
        <f ca="1">IF(Stock!M58="","",Stock!M58)</f>
        <v/>
      </c>
      <c r="Q62" s="13" t="str">
        <f ca="1">IF(Stock!N58="","",Stock!N58)</f>
        <v/>
      </c>
      <c r="R62" s="13" t="str">
        <f ca="1">IF(Stock!O58="","",Stock!O58)</f>
        <v/>
      </c>
      <c r="S62" s="13" t="str">
        <f ca="1">IF(Stock!P58="","",Stock!P58)</f>
        <v/>
      </c>
      <c r="T62" s="13" t="str">
        <f ca="1">IF(Stock!Q58="","",Stock!Q58)</f>
        <v/>
      </c>
      <c r="U62" s="13" t="str">
        <f ca="1">IF(Stock!R58="","",Stock!R58)</f>
        <v/>
      </c>
      <c r="V62" s="13" t="str">
        <f ca="1">IF(Stock!S58="","",Stock!S58)</f>
        <v/>
      </c>
      <c r="W62" s="13" t="str">
        <f ca="1">IF(Stock!T58="","",Stock!T58)</f>
        <v/>
      </c>
      <c r="X62" s="13" t="str">
        <f ca="1">IF(Stock!U58="","",Stock!U58)</f>
        <v/>
      </c>
      <c r="Y62" s="13" t="str">
        <f ca="1">IF(Stock!V58="","",Stock!V58)</f>
        <v/>
      </c>
      <c r="Z62" s="13" t="str">
        <f ca="1">IF(Stock!W58="","",Stock!W58)</f>
        <v/>
      </c>
      <c r="AA62" s="13" t="str">
        <f ca="1">IF(Stock!X58="","",Stock!X58)</f>
        <v/>
      </c>
      <c r="AB62" s="13" t="str">
        <f ca="1">IF(Stock!Y58="","",Stock!Y58)</f>
        <v/>
      </c>
      <c r="AC62" s="13" t="str">
        <f ca="1">IF(Stock!Z58="","",Stock!Z58)</f>
        <v/>
      </c>
      <c r="AD62" s="13" t="str">
        <f ca="1">IF(Stock!AA58="","",Stock!AA58)</f>
        <v/>
      </c>
      <c r="AE62" s="13" t="str">
        <f ca="1">IF(Stock!AB58="","",Stock!AB58)</f>
        <v/>
      </c>
      <c r="AF62" s="13" t="str">
        <f ca="1">IF(Stock!AC58="","",Stock!AC58)</f>
        <v/>
      </c>
      <c r="AG62" s="13" t="str">
        <f ca="1">IF(Stock!AD58="","",Stock!AD58)</f>
        <v/>
      </c>
      <c r="AH62" s="13" t="str">
        <f ca="1">IF(Stock!AE58="","",Stock!AE58)</f>
        <v/>
      </c>
      <c r="AI62" s="13" t="str">
        <f ca="1">IF(Stock!AF58="","",Stock!AF58)</f>
        <v/>
      </c>
      <c r="AJ62" s="13" t="str">
        <f ca="1">IF(Stock!AG58="","",Stock!AG58)</f>
        <v/>
      </c>
      <c r="AK62" s="13" t="str">
        <f ca="1">IF(Stock!AH58="","",Stock!AH58)</f>
        <v/>
      </c>
      <c r="AL62" s="13" t="str">
        <f ca="1">IF(Stock!AI58="","",Stock!AI58)</f>
        <v/>
      </c>
      <c r="AM62" s="13" t="str">
        <f ca="1">IF(Stock!AJ58="","",Stock!AJ58)</f>
        <v/>
      </c>
      <c r="AN62" s="13" t="str">
        <f ca="1">IF(Stock!AK58="","",Stock!AK58)</f>
        <v/>
      </c>
      <c r="AO62" s="13" t="str">
        <f ca="1">IF(Stock!AL58="","",Stock!AL58)</f>
        <v/>
      </c>
      <c r="AP62" s="13" t="str">
        <f ca="1">IF(Stock!AM58="","",Stock!AM58)</f>
        <v/>
      </c>
      <c r="AQ62" s="13" t="str">
        <f ca="1">IF(Stock!AN58="","",Stock!AN58)</f>
        <v/>
      </c>
      <c r="AR62" s="13" t="str">
        <f ca="1">IF(Stock!AO58="","",Stock!AO58)</f>
        <v/>
      </c>
      <c r="AS62" s="13" t="str">
        <f ca="1">IF(Stock!AP58="","",Stock!AP58)</f>
        <v/>
      </c>
      <c r="AT62" s="13" t="str">
        <f ca="1">IF(Stock!AQ58="","",Stock!AQ58)</f>
        <v/>
      </c>
      <c r="AU62" s="13" t="str">
        <f ca="1">IF(Stock!AR58="","",Stock!AR58)</f>
        <v/>
      </c>
      <c r="AV62" s="13" t="str">
        <f ca="1">IF(Stock!AS58="","",Stock!AS58)</f>
        <v/>
      </c>
      <c r="AW62" s="13" t="str">
        <f ca="1">IF(Stock!AT58="","",Stock!AT58)</f>
        <v/>
      </c>
      <c r="AX62" s="13" t="str">
        <f ca="1">IF(Stock!AU58="","",Stock!AU58)</f>
        <v/>
      </c>
      <c r="AY62" s="13" t="str">
        <f ca="1">IF(Stock!AV58="","",Stock!AV58)</f>
        <v/>
      </c>
      <c r="AZ62" s="13" t="str">
        <f ca="1">IF(Stock!AW58="","",Stock!AW58)</f>
        <v/>
      </c>
      <c r="BA62" s="13" t="str">
        <f ca="1">IF(Stock!AX58="","",Stock!AX58)</f>
        <v/>
      </c>
      <c r="BB62" s="13" t="str">
        <f>IF(Stock!AY58="","",Stock!AY58)</f>
        <v/>
      </c>
      <c r="BC62" s="13" t="str">
        <f>IF(Stock!AZ58="","",Stock!AZ58)</f>
        <v/>
      </c>
      <c r="BD62" s="13" t="str">
        <f>IF(Stock!BA58="","",Stock!BA58)</f>
        <v/>
      </c>
      <c r="BE62" s="13" t="str">
        <f>IF(Stock!BB58="","",Stock!BB58)</f>
        <v/>
      </c>
      <c r="BF62" s="13" t="str">
        <f>IF(Stock!BC58="","",Stock!BC58)</f>
        <v/>
      </c>
    </row>
    <row r="63" spans="1:58" ht="14.25" customHeight="1" x14ac:dyDescent="0.3">
      <c r="A63" s="15" t="str">
        <f>IF('MV Repo'!A59="","",IF(E63="",A62,A62+1))</f>
        <v/>
      </c>
      <c r="B63" s="31" t="str">
        <f>IF(A63="","",IF('MV Repo'!A59=0,"B " &amp; TEXT('MV Repo'!B59,"mm/jj/aa"),"T " &amp; 'MV Repo'!A59 &amp; " " &amp; TEXT('MV Repo'!B59,"mm/aa")))</f>
        <v/>
      </c>
      <c r="C63" s="30" t="str">
        <f>IF('Stock UST'!C59="","",'Stock UST'!C59)</f>
        <v/>
      </c>
      <c r="D63" s="30" t="str">
        <f>IF('Stock UST'!D59="","",'Stock UST'!D59)</f>
        <v/>
      </c>
      <c r="E63" s="13" t="str">
        <f>IF(Stock!B59="","",Stock!B59)</f>
        <v/>
      </c>
      <c r="F63" s="13" t="str">
        <f ca="1">IF(Stock!C59="","",Stock!C59)</f>
        <v/>
      </c>
      <c r="G63" s="13" t="str">
        <f ca="1">IF(Stock!D59="","",Stock!D59)</f>
        <v/>
      </c>
      <c r="H63" s="13" t="str">
        <f ca="1">IF(Stock!E59="","",Stock!E59)</f>
        <v/>
      </c>
      <c r="I63" s="13" t="str">
        <f ca="1">IF(Stock!F59="","",Stock!F59)</f>
        <v/>
      </c>
      <c r="J63" s="13" t="str">
        <f ca="1">IF(Stock!G59="","",Stock!G59)</f>
        <v/>
      </c>
      <c r="K63" s="13" t="str">
        <f ca="1">IF(Stock!H59="","",Stock!H59)</f>
        <v/>
      </c>
      <c r="L63" s="13" t="str">
        <f ca="1">IF(Stock!I59="","",Stock!I59)</f>
        <v/>
      </c>
      <c r="M63" s="13" t="str">
        <f ca="1">IF(Stock!J59="","",Stock!J59)</f>
        <v/>
      </c>
      <c r="N63" s="13" t="str">
        <f ca="1">IF(Stock!K59="","",Stock!K59)</f>
        <v/>
      </c>
      <c r="O63" s="13" t="str">
        <f ca="1">IF(Stock!L59="","",Stock!L59)</f>
        <v/>
      </c>
      <c r="P63" s="13" t="str">
        <f ca="1">IF(Stock!M59="","",Stock!M59)</f>
        <v/>
      </c>
      <c r="Q63" s="13" t="str">
        <f ca="1">IF(Stock!N59="","",Stock!N59)</f>
        <v/>
      </c>
      <c r="R63" s="13" t="str">
        <f ca="1">IF(Stock!O59="","",Stock!O59)</f>
        <v/>
      </c>
      <c r="S63" s="13" t="str">
        <f ca="1">IF(Stock!P59="","",Stock!P59)</f>
        <v/>
      </c>
      <c r="T63" s="13" t="str">
        <f ca="1">IF(Stock!Q59="","",Stock!Q59)</f>
        <v/>
      </c>
      <c r="U63" s="13" t="str">
        <f ca="1">IF(Stock!R59="","",Stock!R59)</f>
        <v/>
      </c>
      <c r="V63" s="13" t="str">
        <f ca="1">IF(Stock!S59="","",Stock!S59)</f>
        <v/>
      </c>
      <c r="W63" s="13" t="str">
        <f ca="1">IF(Stock!T59="","",Stock!T59)</f>
        <v/>
      </c>
      <c r="X63" s="13" t="str">
        <f ca="1">IF(Stock!U59="","",Stock!U59)</f>
        <v/>
      </c>
      <c r="Y63" s="13" t="str">
        <f ca="1">IF(Stock!V59="","",Stock!V59)</f>
        <v/>
      </c>
      <c r="Z63" s="13" t="str">
        <f ca="1">IF(Stock!W59="","",Stock!W59)</f>
        <v/>
      </c>
      <c r="AA63" s="13" t="str">
        <f ca="1">IF(Stock!X59="","",Stock!X59)</f>
        <v/>
      </c>
      <c r="AB63" s="13" t="str">
        <f ca="1">IF(Stock!Y59="","",Stock!Y59)</f>
        <v/>
      </c>
      <c r="AC63" s="13" t="str">
        <f ca="1">IF(Stock!Z59="","",Stock!Z59)</f>
        <v/>
      </c>
      <c r="AD63" s="13" t="str">
        <f ca="1">IF(Stock!AA59="","",Stock!AA59)</f>
        <v/>
      </c>
      <c r="AE63" s="13" t="str">
        <f ca="1">IF(Stock!AB59="","",Stock!AB59)</f>
        <v/>
      </c>
      <c r="AF63" s="13" t="str">
        <f ca="1">IF(Stock!AC59="","",Stock!AC59)</f>
        <v/>
      </c>
      <c r="AG63" s="13" t="str">
        <f ca="1">IF(Stock!AD59="","",Stock!AD59)</f>
        <v/>
      </c>
      <c r="AH63" s="13" t="str">
        <f ca="1">IF(Stock!AE59="","",Stock!AE59)</f>
        <v/>
      </c>
      <c r="AI63" s="13" t="str">
        <f ca="1">IF(Stock!AF59="","",Stock!AF59)</f>
        <v/>
      </c>
      <c r="AJ63" s="13" t="str">
        <f ca="1">IF(Stock!AG59="","",Stock!AG59)</f>
        <v/>
      </c>
      <c r="AK63" s="13" t="str">
        <f ca="1">IF(Stock!AH59="","",Stock!AH59)</f>
        <v/>
      </c>
      <c r="AL63" s="13" t="str">
        <f ca="1">IF(Stock!AI59="","",Stock!AI59)</f>
        <v/>
      </c>
      <c r="AM63" s="13" t="str">
        <f ca="1">IF(Stock!AJ59="","",Stock!AJ59)</f>
        <v/>
      </c>
      <c r="AN63" s="13" t="str">
        <f ca="1">IF(Stock!AK59="","",Stock!AK59)</f>
        <v/>
      </c>
      <c r="AO63" s="13" t="str">
        <f ca="1">IF(Stock!AL59="","",Stock!AL59)</f>
        <v/>
      </c>
      <c r="AP63" s="13" t="str">
        <f ca="1">IF(Stock!AM59="","",Stock!AM59)</f>
        <v/>
      </c>
      <c r="AQ63" s="13" t="str">
        <f ca="1">IF(Stock!AN59="","",Stock!AN59)</f>
        <v/>
      </c>
      <c r="AR63" s="13" t="str">
        <f ca="1">IF(Stock!AO59="","",Stock!AO59)</f>
        <v/>
      </c>
      <c r="AS63" s="13" t="str">
        <f ca="1">IF(Stock!AP59="","",Stock!AP59)</f>
        <v/>
      </c>
      <c r="AT63" s="13" t="str">
        <f ca="1">IF(Stock!AQ59="","",Stock!AQ59)</f>
        <v/>
      </c>
      <c r="AU63" s="13" t="str">
        <f ca="1">IF(Stock!AR59="","",Stock!AR59)</f>
        <v/>
      </c>
      <c r="AV63" s="13" t="str">
        <f ca="1">IF(Stock!AS59="","",Stock!AS59)</f>
        <v/>
      </c>
      <c r="AW63" s="13" t="str">
        <f ca="1">IF(Stock!AT59="","",Stock!AT59)</f>
        <v/>
      </c>
      <c r="AX63" s="13" t="str">
        <f ca="1">IF(Stock!AU59="","",Stock!AU59)</f>
        <v/>
      </c>
      <c r="AY63" s="13" t="str">
        <f ca="1">IF(Stock!AV59="","",Stock!AV59)</f>
        <v/>
      </c>
      <c r="AZ63" s="13" t="str">
        <f ca="1">IF(Stock!AW59="","",Stock!AW59)</f>
        <v/>
      </c>
      <c r="BA63" s="13" t="str">
        <f ca="1">IF(Stock!AX59="","",Stock!AX59)</f>
        <v/>
      </c>
      <c r="BB63" s="13" t="str">
        <f>IF(Stock!AY59="","",Stock!AY59)</f>
        <v/>
      </c>
      <c r="BC63" s="13" t="str">
        <f>IF(Stock!AZ59="","",Stock!AZ59)</f>
        <v/>
      </c>
      <c r="BD63" s="13" t="str">
        <f>IF(Stock!BA59="","",Stock!BA59)</f>
        <v/>
      </c>
      <c r="BE63" s="13" t="str">
        <f>IF(Stock!BB59="","",Stock!BB59)</f>
        <v/>
      </c>
      <c r="BF63" s="13" t="str">
        <f>IF(Stock!BC59="","",Stock!BC59)</f>
        <v/>
      </c>
    </row>
    <row r="64" spans="1:58" ht="14.25" customHeight="1" x14ac:dyDescent="0.3">
      <c r="A64" s="15" t="str">
        <f>IF('MV Repo'!A60="","",IF(E64="",A63,A63+1))</f>
        <v/>
      </c>
      <c r="B64" s="31" t="str">
        <f>IF(A64="","",IF('MV Repo'!A60=0,"B " &amp; TEXT('MV Repo'!B60,"mm/jj/aa"),"T " &amp; 'MV Repo'!A60 &amp; " " &amp; TEXT('MV Repo'!B60,"mm/aa")))</f>
        <v/>
      </c>
      <c r="C64" s="30" t="str">
        <f>IF('Stock UST'!C60="","",'Stock UST'!C60)</f>
        <v/>
      </c>
      <c r="D64" s="30" t="str">
        <f>IF('Stock UST'!D60="","",'Stock UST'!D60)</f>
        <v/>
      </c>
      <c r="E64" s="13" t="str">
        <f>IF(Stock!B60="","",Stock!B60)</f>
        <v/>
      </c>
      <c r="F64" s="13" t="str">
        <f ca="1">IF(Stock!C60="","",Stock!C60)</f>
        <v/>
      </c>
      <c r="G64" s="13" t="str">
        <f ca="1">IF(Stock!D60="","",Stock!D60)</f>
        <v/>
      </c>
      <c r="H64" s="13" t="str">
        <f ca="1">IF(Stock!E60="","",Stock!E60)</f>
        <v/>
      </c>
      <c r="I64" s="13" t="str">
        <f ca="1">IF(Stock!F60="","",Stock!F60)</f>
        <v/>
      </c>
      <c r="J64" s="13" t="str">
        <f ca="1">IF(Stock!G60="","",Stock!G60)</f>
        <v/>
      </c>
      <c r="K64" s="13" t="str">
        <f ca="1">IF(Stock!H60="","",Stock!H60)</f>
        <v/>
      </c>
      <c r="L64" s="13" t="str">
        <f ca="1">IF(Stock!I60="","",Stock!I60)</f>
        <v/>
      </c>
      <c r="M64" s="13" t="str">
        <f ca="1">IF(Stock!J60="","",Stock!J60)</f>
        <v/>
      </c>
      <c r="N64" s="13" t="str">
        <f ca="1">IF(Stock!K60="","",Stock!K60)</f>
        <v/>
      </c>
      <c r="O64" s="13" t="str">
        <f ca="1">IF(Stock!L60="","",Stock!L60)</f>
        <v/>
      </c>
      <c r="P64" s="13" t="str">
        <f ca="1">IF(Stock!M60="","",Stock!M60)</f>
        <v/>
      </c>
      <c r="Q64" s="13" t="str">
        <f ca="1">IF(Stock!N60="","",Stock!N60)</f>
        <v/>
      </c>
      <c r="R64" s="13" t="str">
        <f ca="1">IF(Stock!O60="","",Stock!O60)</f>
        <v/>
      </c>
      <c r="S64" s="13" t="str">
        <f ca="1">IF(Stock!P60="","",Stock!P60)</f>
        <v/>
      </c>
      <c r="T64" s="13" t="str">
        <f ca="1">IF(Stock!Q60="","",Stock!Q60)</f>
        <v/>
      </c>
      <c r="U64" s="13" t="str">
        <f ca="1">IF(Stock!R60="","",Stock!R60)</f>
        <v/>
      </c>
      <c r="V64" s="13" t="str">
        <f ca="1">IF(Stock!S60="","",Stock!S60)</f>
        <v/>
      </c>
      <c r="W64" s="13" t="str">
        <f ca="1">IF(Stock!T60="","",Stock!T60)</f>
        <v/>
      </c>
      <c r="X64" s="13" t="str">
        <f ca="1">IF(Stock!U60="","",Stock!U60)</f>
        <v/>
      </c>
      <c r="Y64" s="13" t="str">
        <f ca="1">IF(Stock!V60="","",Stock!V60)</f>
        <v/>
      </c>
      <c r="Z64" s="13" t="str">
        <f ca="1">IF(Stock!W60="","",Stock!W60)</f>
        <v/>
      </c>
      <c r="AA64" s="13" t="str">
        <f ca="1">IF(Stock!X60="","",Stock!X60)</f>
        <v/>
      </c>
      <c r="AB64" s="13" t="str">
        <f ca="1">IF(Stock!Y60="","",Stock!Y60)</f>
        <v/>
      </c>
      <c r="AC64" s="13" t="str">
        <f ca="1">IF(Stock!Z60="","",Stock!Z60)</f>
        <v/>
      </c>
      <c r="AD64" s="13" t="str">
        <f ca="1">IF(Stock!AA60="","",Stock!AA60)</f>
        <v/>
      </c>
      <c r="AE64" s="13" t="str">
        <f ca="1">IF(Stock!AB60="","",Stock!AB60)</f>
        <v/>
      </c>
      <c r="AF64" s="13" t="str">
        <f ca="1">IF(Stock!AC60="","",Stock!AC60)</f>
        <v/>
      </c>
      <c r="AG64" s="13" t="str">
        <f ca="1">IF(Stock!AD60="","",Stock!AD60)</f>
        <v/>
      </c>
      <c r="AH64" s="13" t="str">
        <f ca="1">IF(Stock!AE60="","",Stock!AE60)</f>
        <v/>
      </c>
      <c r="AI64" s="13" t="str">
        <f ca="1">IF(Stock!AF60="","",Stock!AF60)</f>
        <v/>
      </c>
      <c r="AJ64" s="13" t="str">
        <f ca="1">IF(Stock!AG60="","",Stock!AG60)</f>
        <v/>
      </c>
      <c r="AK64" s="13" t="str">
        <f ca="1">IF(Stock!AH60="","",Stock!AH60)</f>
        <v/>
      </c>
      <c r="AL64" s="13" t="str">
        <f ca="1">IF(Stock!AI60="","",Stock!AI60)</f>
        <v/>
      </c>
      <c r="AM64" s="13" t="str">
        <f ca="1">IF(Stock!AJ60="","",Stock!AJ60)</f>
        <v/>
      </c>
      <c r="AN64" s="13" t="str">
        <f ca="1">IF(Stock!AK60="","",Stock!AK60)</f>
        <v/>
      </c>
      <c r="AO64" s="13" t="str">
        <f ca="1">IF(Stock!AL60="","",Stock!AL60)</f>
        <v/>
      </c>
      <c r="AP64" s="13" t="str">
        <f ca="1">IF(Stock!AM60="","",Stock!AM60)</f>
        <v/>
      </c>
      <c r="AQ64" s="13" t="str">
        <f ca="1">IF(Stock!AN60="","",Stock!AN60)</f>
        <v/>
      </c>
      <c r="AR64" s="13" t="str">
        <f ca="1">IF(Stock!AO60="","",Stock!AO60)</f>
        <v/>
      </c>
      <c r="AS64" s="13" t="str">
        <f ca="1">IF(Stock!AP60="","",Stock!AP60)</f>
        <v/>
      </c>
      <c r="AT64" s="13" t="str">
        <f ca="1">IF(Stock!AQ60="","",Stock!AQ60)</f>
        <v/>
      </c>
      <c r="AU64" s="13" t="str">
        <f ca="1">IF(Stock!AR60="","",Stock!AR60)</f>
        <v/>
      </c>
      <c r="AV64" s="13" t="str">
        <f ca="1">IF(Stock!AS60="","",Stock!AS60)</f>
        <v/>
      </c>
      <c r="AW64" s="13" t="str">
        <f ca="1">IF(Stock!AT60="","",Stock!AT60)</f>
        <v/>
      </c>
      <c r="AX64" s="13" t="str">
        <f ca="1">IF(Stock!AU60="","",Stock!AU60)</f>
        <v/>
      </c>
      <c r="AY64" s="13" t="str">
        <f ca="1">IF(Stock!AV60="","",Stock!AV60)</f>
        <v/>
      </c>
      <c r="AZ64" s="13" t="str">
        <f ca="1">IF(Stock!AW60="","",Stock!AW60)</f>
        <v/>
      </c>
      <c r="BA64" s="13" t="str">
        <f ca="1">IF(Stock!AX60="","",Stock!AX60)</f>
        <v/>
      </c>
      <c r="BB64" s="13" t="str">
        <f>IF(Stock!AY60="","",Stock!AY60)</f>
        <v/>
      </c>
      <c r="BC64" s="13" t="str">
        <f>IF(Stock!AZ60="","",Stock!AZ60)</f>
        <v/>
      </c>
      <c r="BD64" s="13" t="str">
        <f>IF(Stock!BA60="","",Stock!BA60)</f>
        <v/>
      </c>
      <c r="BE64" s="13" t="str">
        <f>IF(Stock!BB60="","",Stock!BB60)</f>
        <v/>
      </c>
      <c r="BF64" s="13" t="str">
        <f>IF(Stock!BC60="","",Stock!BC60)</f>
        <v/>
      </c>
    </row>
    <row r="65" spans="1:58" ht="14.25" customHeight="1" x14ac:dyDescent="0.3">
      <c r="A65" s="15" t="str">
        <f>IF('MV Repo'!A61="","",IF(E65="",A64,A64+1))</f>
        <v/>
      </c>
      <c r="B65" s="31" t="str">
        <f>IF(A65="","",IF('MV Repo'!A61=0,"B " &amp; TEXT('MV Repo'!B61,"mm/jj/aa"),"T " &amp; 'MV Repo'!A61 &amp; " " &amp; TEXT('MV Repo'!B61,"mm/aa")))</f>
        <v/>
      </c>
      <c r="C65" s="30" t="str">
        <f>IF('Stock UST'!C61="","",'Stock UST'!C61)</f>
        <v/>
      </c>
      <c r="D65" s="30" t="str">
        <f>IF('Stock UST'!D61="","",'Stock UST'!D61)</f>
        <v/>
      </c>
      <c r="E65" s="13" t="str">
        <f>IF(Stock!B61="","",Stock!B61)</f>
        <v/>
      </c>
      <c r="F65" s="13" t="str">
        <f ca="1">IF(Stock!C61="","",Stock!C61)</f>
        <v/>
      </c>
      <c r="G65" s="13" t="str">
        <f ca="1">IF(Stock!D61="","",Stock!D61)</f>
        <v/>
      </c>
      <c r="H65" s="13" t="str">
        <f ca="1">IF(Stock!E61="","",Stock!E61)</f>
        <v/>
      </c>
      <c r="I65" s="13" t="str">
        <f ca="1">IF(Stock!F61="","",Stock!F61)</f>
        <v/>
      </c>
      <c r="J65" s="13" t="str">
        <f ca="1">IF(Stock!G61="","",Stock!G61)</f>
        <v/>
      </c>
      <c r="K65" s="13" t="str">
        <f ca="1">IF(Stock!H61="","",Stock!H61)</f>
        <v/>
      </c>
      <c r="L65" s="13" t="str">
        <f ca="1">IF(Stock!I61="","",Stock!I61)</f>
        <v/>
      </c>
      <c r="M65" s="13" t="str">
        <f ca="1">IF(Stock!J61="","",Stock!J61)</f>
        <v/>
      </c>
      <c r="N65" s="13" t="str">
        <f ca="1">IF(Stock!K61="","",Stock!K61)</f>
        <v/>
      </c>
      <c r="O65" s="13" t="str">
        <f ca="1">IF(Stock!L61="","",Stock!L61)</f>
        <v/>
      </c>
      <c r="P65" s="13" t="str">
        <f ca="1">IF(Stock!M61="","",Stock!M61)</f>
        <v/>
      </c>
      <c r="Q65" s="13" t="str">
        <f ca="1">IF(Stock!N61="","",Stock!N61)</f>
        <v/>
      </c>
      <c r="R65" s="13" t="str">
        <f ca="1">IF(Stock!O61="","",Stock!O61)</f>
        <v/>
      </c>
      <c r="S65" s="13" t="str">
        <f ca="1">IF(Stock!P61="","",Stock!P61)</f>
        <v/>
      </c>
      <c r="T65" s="13" t="str">
        <f ca="1">IF(Stock!Q61="","",Stock!Q61)</f>
        <v/>
      </c>
      <c r="U65" s="13" t="str">
        <f ca="1">IF(Stock!R61="","",Stock!R61)</f>
        <v/>
      </c>
      <c r="V65" s="13" t="str">
        <f ca="1">IF(Stock!S61="","",Stock!S61)</f>
        <v/>
      </c>
      <c r="W65" s="13" t="str">
        <f ca="1">IF(Stock!T61="","",Stock!T61)</f>
        <v/>
      </c>
      <c r="X65" s="13" t="str">
        <f ca="1">IF(Stock!U61="","",Stock!U61)</f>
        <v/>
      </c>
      <c r="Y65" s="13" t="str">
        <f ca="1">IF(Stock!V61="","",Stock!V61)</f>
        <v/>
      </c>
      <c r="Z65" s="13" t="str">
        <f ca="1">IF(Stock!W61="","",Stock!W61)</f>
        <v/>
      </c>
      <c r="AA65" s="13" t="str">
        <f ca="1">IF(Stock!X61="","",Stock!X61)</f>
        <v/>
      </c>
      <c r="AB65" s="13" t="str">
        <f ca="1">IF(Stock!Y61="","",Stock!Y61)</f>
        <v/>
      </c>
      <c r="AC65" s="13" t="str">
        <f ca="1">IF(Stock!Z61="","",Stock!Z61)</f>
        <v/>
      </c>
      <c r="AD65" s="13" t="str">
        <f ca="1">IF(Stock!AA61="","",Stock!AA61)</f>
        <v/>
      </c>
      <c r="AE65" s="13" t="str">
        <f ca="1">IF(Stock!AB61="","",Stock!AB61)</f>
        <v/>
      </c>
      <c r="AF65" s="13" t="str">
        <f ca="1">IF(Stock!AC61="","",Stock!AC61)</f>
        <v/>
      </c>
      <c r="AG65" s="13" t="str">
        <f ca="1">IF(Stock!AD61="","",Stock!AD61)</f>
        <v/>
      </c>
      <c r="AH65" s="13" t="str">
        <f ca="1">IF(Stock!AE61="","",Stock!AE61)</f>
        <v/>
      </c>
      <c r="AI65" s="13" t="str">
        <f ca="1">IF(Stock!AF61="","",Stock!AF61)</f>
        <v/>
      </c>
      <c r="AJ65" s="13" t="str">
        <f ca="1">IF(Stock!AG61="","",Stock!AG61)</f>
        <v/>
      </c>
      <c r="AK65" s="13" t="str">
        <f ca="1">IF(Stock!AH61="","",Stock!AH61)</f>
        <v/>
      </c>
      <c r="AL65" s="13" t="str">
        <f ca="1">IF(Stock!AI61="","",Stock!AI61)</f>
        <v/>
      </c>
      <c r="AM65" s="13" t="str">
        <f ca="1">IF(Stock!AJ61="","",Stock!AJ61)</f>
        <v/>
      </c>
      <c r="AN65" s="13" t="str">
        <f ca="1">IF(Stock!AK61="","",Stock!AK61)</f>
        <v/>
      </c>
      <c r="AO65" s="13" t="str">
        <f ca="1">IF(Stock!AL61="","",Stock!AL61)</f>
        <v/>
      </c>
      <c r="AP65" s="13" t="str">
        <f ca="1">IF(Stock!AM61="","",Stock!AM61)</f>
        <v/>
      </c>
      <c r="AQ65" s="13" t="str">
        <f ca="1">IF(Stock!AN61="","",Stock!AN61)</f>
        <v/>
      </c>
      <c r="AR65" s="13" t="str">
        <f ca="1">IF(Stock!AO61="","",Stock!AO61)</f>
        <v/>
      </c>
      <c r="AS65" s="13" t="str">
        <f ca="1">IF(Stock!AP61="","",Stock!AP61)</f>
        <v/>
      </c>
      <c r="AT65" s="13" t="str">
        <f ca="1">IF(Stock!AQ61="","",Stock!AQ61)</f>
        <v/>
      </c>
      <c r="AU65" s="13" t="str">
        <f ca="1">IF(Stock!AR61="","",Stock!AR61)</f>
        <v/>
      </c>
      <c r="AV65" s="13" t="str">
        <f ca="1">IF(Stock!AS61="","",Stock!AS61)</f>
        <v/>
      </c>
      <c r="AW65" s="13" t="str">
        <f ca="1">IF(Stock!AT61="","",Stock!AT61)</f>
        <v/>
      </c>
      <c r="AX65" s="13" t="str">
        <f ca="1">IF(Stock!AU61="","",Stock!AU61)</f>
        <v/>
      </c>
      <c r="AY65" s="13" t="str">
        <f ca="1">IF(Stock!AV61="","",Stock!AV61)</f>
        <v/>
      </c>
      <c r="AZ65" s="13" t="str">
        <f ca="1">IF(Stock!AW61="","",Stock!AW61)</f>
        <v/>
      </c>
      <c r="BA65" s="13" t="str">
        <f ca="1">IF(Stock!AX61="","",Stock!AX61)</f>
        <v/>
      </c>
      <c r="BB65" s="13" t="str">
        <f>IF(Stock!AY61="","",Stock!AY61)</f>
        <v/>
      </c>
      <c r="BC65" s="13" t="str">
        <f>IF(Stock!AZ61="","",Stock!AZ61)</f>
        <v/>
      </c>
      <c r="BD65" s="13" t="str">
        <f>IF(Stock!BA61="","",Stock!BA61)</f>
        <v/>
      </c>
      <c r="BE65" s="13" t="str">
        <f>IF(Stock!BB61="","",Stock!BB61)</f>
        <v/>
      </c>
      <c r="BF65" s="13" t="str">
        <f>IF(Stock!BC61="","",Stock!BC61)</f>
        <v/>
      </c>
    </row>
    <row r="66" spans="1:58" ht="14.25" customHeight="1" x14ac:dyDescent="0.3">
      <c r="A66" s="15" t="str">
        <f>IF('MV Repo'!A62="","",IF(E66="",A65,A65+1))</f>
        <v/>
      </c>
      <c r="B66" s="31" t="str">
        <f>IF(A66="","",IF('MV Repo'!A62=0,"B " &amp; TEXT('MV Repo'!B62,"mm/jj/aa"),"T " &amp; 'MV Repo'!A62 &amp; " " &amp; TEXT('MV Repo'!B62,"mm/aa")))</f>
        <v/>
      </c>
      <c r="C66" s="30" t="str">
        <f>IF('Stock UST'!C62="","",'Stock UST'!C62)</f>
        <v/>
      </c>
      <c r="D66" s="30" t="str">
        <f>IF('Stock UST'!D62="","",'Stock UST'!D62)</f>
        <v/>
      </c>
      <c r="E66" s="13" t="str">
        <f>IF(Stock!B62="","",Stock!B62)</f>
        <v/>
      </c>
      <c r="F66" s="13" t="str">
        <f ca="1">IF(Stock!C62="","",Stock!C62)</f>
        <v/>
      </c>
      <c r="G66" s="13" t="str">
        <f ca="1">IF(Stock!D62="","",Stock!D62)</f>
        <v/>
      </c>
      <c r="H66" s="13" t="str">
        <f ca="1">IF(Stock!E62="","",Stock!E62)</f>
        <v/>
      </c>
      <c r="I66" s="13" t="str">
        <f ca="1">IF(Stock!F62="","",Stock!F62)</f>
        <v/>
      </c>
      <c r="J66" s="13" t="str">
        <f ca="1">IF(Stock!G62="","",Stock!G62)</f>
        <v/>
      </c>
      <c r="K66" s="13" t="str">
        <f ca="1">IF(Stock!H62="","",Stock!H62)</f>
        <v/>
      </c>
      <c r="L66" s="13" t="str">
        <f ca="1">IF(Stock!I62="","",Stock!I62)</f>
        <v/>
      </c>
      <c r="M66" s="13" t="str">
        <f ca="1">IF(Stock!J62="","",Stock!J62)</f>
        <v/>
      </c>
      <c r="N66" s="13" t="str">
        <f ca="1">IF(Stock!K62="","",Stock!K62)</f>
        <v/>
      </c>
      <c r="O66" s="13" t="str">
        <f ca="1">IF(Stock!L62="","",Stock!L62)</f>
        <v/>
      </c>
      <c r="P66" s="13" t="str">
        <f ca="1">IF(Stock!M62="","",Stock!M62)</f>
        <v/>
      </c>
      <c r="Q66" s="13" t="str">
        <f ca="1">IF(Stock!N62="","",Stock!N62)</f>
        <v/>
      </c>
      <c r="R66" s="13" t="str">
        <f ca="1">IF(Stock!O62="","",Stock!O62)</f>
        <v/>
      </c>
      <c r="S66" s="13" t="str">
        <f ca="1">IF(Stock!P62="","",Stock!P62)</f>
        <v/>
      </c>
      <c r="T66" s="13" t="str">
        <f ca="1">IF(Stock!Q62="","",Stock!Q62)</f>
        <v/>
      </c>
      <c r="U66" s="13" t="str">
        <f ca="1">IF(Stock!R62="","",Stock!R62)</f>
        <v/>
      </c>
      <c r="V66" s="13" t="str">
        <f ca="1">IF(Stock!S62="","",Stock!S62)</f>
        <v/>
      </c>
      <c r="W66" s="13" t="str">
        <f ca="1">IF(Stock!T62="","",Stock!T62)</f>
        <v/>
      </c>
      <c r="X66" s="13" t="str">
        <f ca="1">IF(Stock!U62="","",Stock!U62)</f>
        <v/>
      </c>
      <c r="Y66" s="13" t="str">
        <f ca="1">IF(Stock!V62="","",Stock!V62)</f>
        <v/>
      </c>
      <c r="Z66" s="13" t="str">
        <f ca="1">IF(Stock!W62="","",Stock!W62)</f>
        <v/>
      </c>
      <c r="AA66" s="13" t="str">
        <f ca="1">IF(Stock!X62="","",Stock!X62)</f>
        <v/>
      </c>
      <c r="AB66" s="13" t="str">
        <f ca="1">IF(Stock!Y62="","",Stock!Y62)</f>
        <v/>
      </c>
      <c r="AC66" s="13" t="str">
        <f ca="1">IF(Stock!Z62="","",Stock!Z62)</f>
        <v/>
      </c>
      <c r="AD66" s="13" t="str">
        <f ca="1">IF(Stock!AA62="","",Stock!AA62)</f>
        <v/>
      </c>
      <c r="AE66" s="13" t="str">
        <f ca="1">IF(Stock!AB62="","",Stock!AB62)</f>
        <v/>
      </c>
      <c r="AF66" s="13" t="str">
        <f ca="1">IF(Stock!AC62="","",Stock!AC62)</f>
        <v/>
      </c>
      <c r="AG66" s="13" t="str">
        <f ca="1">IF(Stock!AD62="","",Stock!AD62)</f>
        <v/>
      </c>
      <c r="AH66" s="13" t="str">
        <f ca="1">IF(Stock!AE62="","",Stock!AE62)</f>
        <v/>
      </c>
      <c r="AI66" s="13" t="str">
        <f ca="1">IF(Stock!AF62="","",Stock!AF62)</f>
        <v/>
      </c>
      <c r="AJ66" s="13" t="str">
        <f ca="1">IF(Stock!AG62="","",Stock!AG62)</f>
        <v/>
      </c>
      <c r="AK66" s="13" t="str">
        <f ca="1">IF(Stock!AH62="","",Stock!AH62)</f>
        <v/>
      </c>
      <c r="AL66" s="13" t="str">
        <f ca="1">IF(Stock!AI62="","",Stock!AI62)</f>
        <v/>
      </c>
      <c r="AM66" s="13" t="str">
        <f ca="1">IF(Stock!AJ62="","",Stock!AJ62)</f>
        <v/>
      </c>
      <c r="AN66" s="13" t="str">
        <f ca="1">IF(Stock!AK62="","",Stock!AK62)</f>
        <v/>
      </c>
      <c r="AO66" s="13" t="str">
        <f ca="1">IF(Stock!AL62="","",Stock!AL62)</f>
        <v/>
      </c>
      <c r="AP66" s="13" t="str">
        <f ca="1">IF(Stock!AM62="","",Stock!AM62)</f>
        <v/>
      </c>
      <c r="AQ66" s="13" t="str">
        <f ca="1">IF(Stock!AN62="","",Stock!AN62)</f>
        <v/>
      </c>
      <c r="AR66" s="13" t="str">
        <f ca="1">IF(Stock!AO62="","",Stock!AO62)</f>
        <v/>
      </c>
      <c r="AS66" s="13" t="str">
        <f ca="1">IF(Stock!AP62="","",Stock!AP62)</f>
        <v/>
      </c>
      <c r="AT66" s="13" t="str">
        <f ca="1">IF(Stock!AQ62="","",Stock!AQ62)</f>
        <v/>
      </c>
      <c r="AU66" s="13" t="str">
        <f ca="1">IF(Stock!AR62="","",Stock!AR62)</f>
        <v/>
      </c>
      <c r="AV66" s="13" t="str">
        <f ca="1">IF(Stock!AS62="","",Stock!AS62)</f>
        <v/>
      </c>
      <c r="AW66" s="13" t="str">
        <f ca="1">IF(Stock!AT62="","",Stock!AT62)</f>
        <v/>
      </c>
      <c r="AX66" s="13" t="str">
        <f ca="1">IF(Stock!AU62="","",Stock!AU62)</f>
        <v/>
      </c>
      <c r="AY66" s="13" t="str">
        <f ca="1">IF(Stock!AV62="","",Stock!AV62)</f>
        <v/>
      </c>
      <c r="AZ66" s="13" t="str">
        <f ca="1">IF(Stock!AW62="","",Stock!AW62)</f>
        <v/>
      </c>
      <c r="BA66" s="13" t="str">
        <f ca="1">IF(Stock!AX62="","",Stock!AX62)</f>
        <v/>
      </c>
      <c r="BB66" s="13" t="str">
        <f>IF(Stock!AY62="","",Stock!AY62)</f>
        <v/>
      </c>
      <c r="BC66" s="13" t="str">
        <f>IF(Stock!AZ62="","",Stock!AZ62)</f>
        <v/>
      </c>
      <c r="BD66" s="13" t="str">
        <f>IF(Stock!BA62="","",Stock!BA62)</f>
        <v/>
      </c>
      <c r="BE66" s="13" t="str">
        <f>IF(Stock!BB62="","",Stock!BB62)</f>
        <v/>
      </c>
      <c r="BF66" s="13" t="str">
        <f>IF(Stock!BC62="","",Stock!BC62)</f>
        <v/>
      </c>
    </row>
    <row r="67" spans="1:58" ht="14.25" customHeight="1" x14ac:dyDescent="0.3">
      <c r="A67" s="15" t="str">
        <f>IF('MV Repo'!A63="","",IF(E67="",A66,A66+1))</f>
        <v/>
      </c>
      <c r="B67" s="31" t="str">
        <f>IF(A67="","",IF('MV Repo'!A63=0,"B " &amp; TEXT('MV Repo'!B63,"mm/jj/aa"),"T " &amp; 'MV Repo'!A63 &amp; " " &amp; TEXT('MV Repo'!B63,"mm/aa")))</f>
        <v/>
      </c>
      <c r="C67" s="30" t="str">
        <f>IF('Stock UST'!C63="","",'Stock UST'!C63)</f>
        <v/>
      </c>
      <c r="D67" s="30" t="str">
        <f>IF('Stock UST'!D63="","",'Stock UST'!D63)</f>
        <v/>
      </c>
      <c r="E67" s="13" t="str">
        <f>IF(Stock!B63="","",Stock!B63)</f>
        <v/>
      </c>
      <c r="F67" s="13" t="str">
        <f ca="1">IF(Stock!C63="","",Stock!C63)</f>
        <v/>
      </c>
      <c r="G67" s="13" t="str">
        <f ca="1">IF(Stock!D63="","",Stock!D63)</f>
        <v/>
      </c>
      <c r="H67" s="13" t="str">
        <f ca="1">IF(Stock!E63="","",Stock!E63)</f>
        <v/>
      </c>
      <c r="I67" s="13" t="str">
        <f ca="1">IF(Stock!F63="","",Stock!F63)</f>
        <v/>
      </c>
      <c r="J67" s="13" t="str">
        <f ca="1">IF(Stock!G63="","",Stock!G63)</f>
        <v/>
      </c>
      <c r="K67" s="13" t="str">
        <f ca="1">IF(Stock!H63="","",Stock!H63)</f>
        <v/>
      </c>
      <c r="L67" s="13" t="str">
        <f ca="1">IF(Stock!I63="","",Stock!I63)</f>
        <v/>
      </c>
      <c r="M67" s="13" t="str">
        <f ca="1">IF(Stock!J63="","",Stock!J63)</f>
        <v/>
      </c>
      <c r="N67" s="13" t="str">
        <f ca="1">IF(Stock!K63="","",Stock!K63)</f>
        <v/>
      </c>
      <c r="O67" s="13" t="str">
        <f ca="1">IF(Stock!L63="","",Stock!L63)</f>
        <v/>
      </c>
      <c r="P67" s="13" t="str">
        <f ca="1">IF(Stock!M63="","",Stock!M63)</f>
        <v/>
      </c>
      <c r="Q67" s="13" t="str">
        <f ca="1">IF(Stock!N63="","",Stock!N63)</f>
        <v/>
      </c>
      <c r="R67" s="13" t="str">
        <f ca="1">IF(Stock!O63="","",Stock!O63)</f>
        <v/>
      </c>
      <c r="S67" s="13" t="str">
        <f ca="1">IF(Stock!P63="","",Stock!P63)</f>
        <v/>
      </c>
      <c r="T67" s="13" t="str">
        <f ca="1">IF(Stock!Q63="","",Stock!Q63)</f>
        <v/>
      </c>
      <c r="U67" s="13" t="str">
        <f ca="1">IF(Stock!R63="","",Stock!R63)</f>
        <v/>
      </c>
      <c r="V67" s="13" t="str">
        <f ca="1">IF(Stock!S63="","",Stock!S63)</f>
        <v/>
      </c>
      <c r="W67" s="13" t="str">
        <f ca="1">IF(Stock!T63="","",Stock!T63)</f>
        <v/>
      </c>
      <c r="X67" s="13" t="str">
        <f ca="1">IF(Stock!U63="","",Stock!U63)</f>
        <v/>
      </c>
      <c r="Y67" s="13" t="str">
        <f ca="1">IF(Stock!V63="","",Stock!V63)</f>
        <v/>
      </c>
      <c r="Z67" s="13" t="str">
        <f ca="1">IF(Stock!W63="","",Stock!W63)</f>
        <v/>
      </c>
      <c r="AA67" s="13" t="str">
        <f ca="1">IF(Stock!X63="","",Stock!X63)</f>
        <v/>
      </c>
      <c r="AB67" s="13" t="str">
        <f ca="1">IF(Stock!Y63="","",Stock!Y63)</f>
        <v/>
      </c>
      <c r="AC67" s="13" t="str">
        <f ca="1">IF(Stock!Z63="","",Stock!Z63)</f>
        <v/>
      </c>
      <c r="AD67" s="13" t="str">
        <f ca="1">IF(Stock!AA63="","",Stock!AA63)</f>
        <v/>
      </c>
      <c r="AE67" s="13" t="str">
        <f ca="1">IF(Stock!AB63="","",Stock!AB63)</f>
        <v/>
      </c>
      <c r="AF67" s="13" t="str">
        <f ca="1">IF(Stock!AC63="","",Stock!AC63)</f>
        <v/>
      </c>
      <c r="AG67" s="13" t="str">
        <f ca="1">IF(Stock!AD63="","",Stock!AD63)</f>
        <v/>
      </c>
      <c r="AH67" s="13" t="str">
        <f ca="1">IF(Stock!AE63="","",Stock!AE63)</f>
        <v/>
      </c>
      <c r="AI67" s="13" t="str">
        <f ca="1">IF(Stock!AF63="","",Stock!AF63)</f>
        <v/>
      </c>
      <c r="AJ67" s="13" t="str">
        <f ca="1">IF(Stock!AG63="","",Stock!AG63)</f>
        <v/>
      </c>
      <c r="AK67" s="13" t="str">
        <f ca="1">IF(Stock!AH63="","",Stock!AH63)</f>
        <v/>
      </c>
      <c r="AL67" s="13" t="str">
        <f ca="1">IF(Stock!AI63="","",Stock!AI63)</f>
        <v/>
      </c>
      <c r="AM67" s="13" t="str">
        <f ca="1">IF(Stock!AJ63="","",Stock!AJ63)</f>
        <v/>
      </c>
      <c r="AN67" s="13" t="str">
        <f ca="1">IF(Stock!AK63="","",Stock!AK63)</f>
        <v/>
      </c>
      <c r="AO67" s="13" t="str">
        <f ca="1">IF(Stock!AL63="","",Stock!AL63)</f>
        <v/>
      </c>
      <c r="AP67" s="13" t="str">
        <f ca="1">IF(Stock!AM63="","",Stock!AM63)</f>
        <v/>
      </c>
      <c r="AQ67" s="13" t="str">
        <f ca="1">IF(Stock!AN63="","",Stock!AN63)</f>
        <v/>
      </c>
      <c r="AR67" s="13" t="str">
        <f ca="1">IF(Stock!AO63="","",Stock!AO63)</f>
        <v/>
      </c>
      <c r="AS67" s="13" t="str">
        <f ca="1">IF(Stock!AP63="","",Stock!AP63)</f>
        <v/>
      </c>
      <c r="AT67" s="13" t="str">
        <f ca="1">IF(Stock!AQ63="","",Stock!AQ63)</f>
        <v/>
      </c>
      <c r="AU67" s="13" t="str">
        <f ca="1">IF(Stock!AR63="","",Stock!AR63)</f>
        <v/>
      </c>
      <c r="AV67" s="13" t="str">
        <f ca="1">IF(Stock!AS63="","",Stock!AS63)</f>
        <v/>
      </c>
      <c r="AW67" s="13" t="str">
        <f ca="1">IF(Stock!AT63="","",Stock!AT63)</f>
        <v/>
      </c>
      <c r="AX67" s="13" t="str">
        <f ca="1">IF(Stock!AU63="","",Stock!AU63)</f>
        <v/>
      </c>
      <c r="AY67" s="13" t="str">
        <f ca="1">IF(Stock!AV63="","",Stock!AV63)</f>
        <v/>
      </c>
      <c r="AZ67" s="13" t="str">
        <f ca="1">IF(Stock!AW63="","",Stock!AW63)</f>
        <v/>
      </c>
      <c r="BA67" s="13" t="str">
        <f ca="1">IF(Stock!AX63="","",Stock!AX63)</f>
        <v/>
      </c>
      <c r="BB67" s="13" t="str">
        <f>IF(Stock!AY63="","",Stock!AY63)</f>
        <v/>
      </c>
      <c r="BC67" s="13" t="str">
        <f>IF(Stock!AZ63="","",Stock!AZ63)</f>
        <v/>
      </c>
      <c r="BD67" s="13" t="str">
        <f>IF(Stock!BA63="","",Stock!BA63)</f>
        <v/>
      </c>
      <c r="BE67" s="13" t="str">
        <f>IF(Stock!BB63="","",Stock!BB63)</f>
        <v/>
      </c>
      <c r="BF67" s="13" t="str">
        <f>IF(Stock!BC63="","",Stock!BC63)</f>
        <v/>
      </c>
    </row>
    <row r="68" spans="1:58" ht="14.25" customHeight="1" x14ac:dyDescent="0.3">
      <c r="A68" s="15" t="str">
        <f>IF('MV Repo'!A64="","",IF(E68="",A67,A67+1))</f>
        <v/>
      </c>
      <c r="B68" s="31" t="str">
        <f>IF(A68="","",IF('MV Repo'!A64=0,"B " &amp; TEXT('MV Repo'!B64,"mm/jj/aa"),"T " &amp; 'MV Repo'!A64 &amp; " " &amp; TEXT('MV Repo'!B64,"mm/aa")))</f>
        <v/>
      </c>
      <c r="C68" s="30" t="str">
        <f>IF('Stock UST'!C64="","",'Stock UST'!C64)</f>
        <v/>
      </c>
      <c r="D68" s="30" t="str">
        <f>IF('Stock UST'!D64="","",'Stock UST'!D64)</f>
        <v/>
      </c>
      <c r="E68" s="13" t="str">
        <f>IF(Stock!B64="","",Stock!B64)</f>
        <v/>
      </c>
      <c r="F68" s="13" t="str">
        <f ca="1">IF(Stock!C64="","",Stock!C64)</f>
        <v/>
      </c>
      <c r="G68" s="13" t="str">
        <f ca="1">IF(Stock!D64="","",Stock!D64)</f>
        <v/>
      </c>
      <c r="H68" s="13" t="str">
        <f ca="1">IF(Stock!E64="","",Stock!E64)</f>
        <v/>
      </c>
      <c r="I68" s="13" t="str">
        <f ca="1">IF(Stock!F64="","",Stock!F64)</f>
        <v/>
      </c>
      <c r="J68" s="13" t="str">
        <f ca="1">IF(Stock!G64="","",Stock!G64)</f>
        <v/>
      </c>
      <c r="K68" s="13" t="str">
        <f ca="1">IF(Stock!H64="","",Stock!H64)</f>
        <v/>
      </c>
      <c r="L68" s="13" t="str">
        <f ca="1">IF(Stock!I64="","",Stock!I64)</f>
        <v/>
      </c>
      <c r="M68" s="13" t="str">
        <f ca="1">IF(Stock!J64="","",Stock!J64)</f>
        <v/>
      </c>
      <c r="N68" s="13" t="str">
        <f ca="1">IF(Stock!K64="","",Stock!K64)</f>
        <v/>
      </c>
      <c r="O68" s="13" t="str">
        <f ca="1">IF(Stock!L64="","",Stock!L64)</f>
        <v/>
      </c>
      <c r="P68" s="13" t="str">
        <f ca="1">IF(Stock!M64="","",Stock!M64)</f>
        <v/>
      </c>
      <c r="Q68" s="13" t="str">
        <f ca="1">IF(Stock!N64="","",Stock!N64)</f>
        <v/>
      </c>
      <c r="R68" s="13" t="str">
        <f ca="1">IF(Stock!O64="","",Stock!O64)</f>
        <v/>
      </c>
      <c r="S68" s="13" t="str">
        <f ca="1">IF(Stock!P64="","",Stock!P64)</f>
        <v/>
      </c>
      <c r="T68" s="13" t="str">
        <f ca="1">IF(Stock!Q64="","",Stock!Q64)</f>
        <v/>
      </c>
      <c r="U68" s="13" t="str">
        <f ca="1">IF(Stock!R64="","",Stock!R64)</f>
        <v/>
      </c>
      <c r="V68" s="13" t="str">
        <f ca="1">IF(Stock!S64="","",Stock!S64)</f>
        <v/>
      </c>
      <c r="W68" s="13" t="str">
        <f ca="1">IF(Stock!T64="","",Stock!T64)</f>
        <v/>
      </c>
      <c r="X68" s="13" t="str">
        <f ca="1">IF(Stock!U64="","",Stock!U64)</f>
        <v/>
      </c>
      <c r="Y68" s="13" t="str">
        <f ca="1">IF(Stock!V64="","",Stock!V64)</f>
        <v/>
      </c>
      <c r="Z68" s="13" t="str">
        <f ca="1">IF(Stock!W64="","",Stock!W64)</f>
        <v/>
      </c>
      <c r="AA68" s="13" t="str">
        <f ca="1">IF(Stock!X64="","",Stock!X64)</f>
        <v/>
      </c>
      <c r="AB68" s="13" t="str">
        <f ca="1">IF(Stock!Y64="","",Stock!Y64)</f>
        <v/>
      </c>
      <c r="AC68" s="13" t="str">
        <f ca="1">IF(Stock!Z64="","",Stock!Z64)</f>
        <v/>
      </c>
      <c r="AD68" s="13" t="str">
        <f ca="1">IF(Stock!AA64="","",Stock!AA64)</f>
        <v/>
      </c>
      <c r="AE68" s="13" t="str">
        <f ca="1">IF(Stock!AB64="","",Stock!AB64)</f>
        <v/>
      </c>
      <c r="AF68" s="13" t="str">
        <f ca="1">IF(Stock!AC64="","",Stock!AC64)</f>
        <v/>
      </c>
      <c r="AG68" s="13" t="str">
        <f ca="1">IF(Stock!AD64="","",Stock!AD64)</f>
        <v/>
      </c>
      <c r="AH68" s="13" t="str">
        <f ca="1">IF(Stock!AE64="","",Stock!AE64)</f>
        <v/>
      </c>
      <c r="AI68" s="13" t="str">
        <f ca="1">IF(Stock!AF64="","",Stock!AF64)</f>
        <v/>
      </c>
      <c r="AJ68" s="13" t="str">
        <f ca="1">IF(Stock!AG64="","",Stock!AG64)</f>
        <v/>
      </c>
      <c r="AK68" s="13" t="str">
        <f ca="1">IF(Stock!AH64="","",Stock!AH64)</f>
        <v/>
      </c>
      <c r="AL68" s="13" t="str">
        <f ca="1">IF(Stock!AI64="","",Stock!AI64)</f>
        <v/>
      </c>
      <c r="AM68" s="13" t="str">
        <f ca="1">IF(Stock!AJ64="","",Stock!AJ64)</f>
        <v/>
      </c>
      <c r="AN68" s="13" t="str">
        <f ca="1">IF(Stock!AK64="","",Stock!AK64)</f>
        <v/>
      </c>
      <c r="AO68" s="13" t="str">
        <f ca="1">IF(Stock!AL64="","",Stock!AL64)</f>
        <v/>
      </c>
      <c r="AP68" s="13" t="str">
        <f ca="1">IF(Stock!AM64="","",Stock!AM64)</f>
        <v/>
      </c>
      <c r="AQ68" s="13" t="str">
        <f ca="1">IF(Stock!AN64="","",Stock!AN64)</f>
        <v/>
      </c>
      <c r="AR68" s="13" t="str">
        <f ca="1">IF(Stock!AO64="","",Stock!AO64)</f>
        <v/>
      </c>
      <c r="AS68" s="13" t="str">
        <f ca="1">IF(Stock!AP64="","",Stock!AP64)</f>
        <v/>
      </c>
      <c r="AT68" s="13" t="str">
        <f ca="1">IF(Stock!AQ64="","",Stock!AQ64)</f>
        <v/>
      </c>
      <c r="AU68" s="13" t="str">
        <f ca="1">IF(Stock!AR64="","",Stock!AR64)</f>
        <v/>
      </c>
      <c r="AV68" s="13" t="str">
        <f ca="1">IF(Stock!AS64="","",Stock!AS64)</f>
        <v/>
      </c>
      <c r="AW68" s="13" t="str">
        <f ca="1">IF(Stock!AT64="","",Stock!AT64)</f>
        <v/>
      </c>
      <c r="AX68" s="13" t="str">
        <f ca="1">IF(Stock!AU64="","",Stock!AU64)</f>
        <v/>
      </c>
      <c r="AY68" s="13" t="str">
        <f ca="1">IF(Stock!AV64="","",Stock!AV64)</f>
        <v/>
      </c>
      <c r="AZ68" s="13" t="str">
        <f ca="1">IF(Stock!AW64="","",Stock!AW64)</f>
        <v/>
      </c>
      <c r="BA68" s="13" t="str">
        <f ca="1">IF(Stock!AX64="","",Stock!AX64)</f>
        <v/>
      </c>
      <c r="BB68" s="13" t="str">
        <f>IF(Stock!AY64="","",Stock!AY64)</f>
        <v/>
      </c>
      <c r="BC68" s="13" t="str">
        <f>IF(Stock!AZ64="","",Stock!AZ64)</f>
        <v/>
      </c>
      <c r="BD68" s="13" t="str">
        <f>IF(Stock!BA64="","",Stock!BA64)</f>
        <v/>
      </c>
      <c r="BE68" s="13" t="str">
        <f>IF(Stock!BB64="","",Stock!BB64)</f>
        <v/>
      </c>
      <c r="BF68" s="13" t="str">
        <f>IF(Stock!BC64="","",Stock!BC64)</f>
        <v/>
      </c>
    </row>
    <row r="69" spans="1:58" ht="14.25" customHeight="1" x14ac:dyDescent="0.3">
      <c r="B69" s="31"/>
      <c r="E69" s="13" t="str">
        <f>IF(Stock!B65="","",Stock!B65)</f>
        <v/>
      </c>
      <c r="F69" s="13" t="str">
        <f ca="1">IF(Stock!C65="","",Stock!C65)</f>
        <v/>
      </c>
      <c r="G69" s="13" t="str">
        <f ca="1">IF(Stock!D65="","",Stock!D65)</f>
        <v/>
      </c>
      <c r="H69" s="13" t="str">
        <f ca="1">IF(Stock!E65="","",Stock!E65)</f>
        <v/>
      </c>
      <c r="I69" s="13" t="str">
        <f ca="1">IF(Stock!F65="","",Stock!F65)</f>
        <v/>
      </c>
      <c r="J69" s="13" t="str">
        <f ca="1">IF(Stock!G65="","",Stock!G65)</f>
        <v/>
      </c>
      <c r="K69" s="13" t="str">
        <f ca="1">IF(Stock!H65="","",Stock!H65)</f>
        <v/>
      </c>
      <c r="L69" s="13" t="str">
        <f ca="1">IF(Stock!I65="","",Stock!I65)</f>
        <v/>
      </c>
      <c r="M69" s="13" t="str">
        <f ca="1">IF(Stock!J65="","",Stock!J65)</f>
        <v/>
      </c>
      <c r="N69" s="13" t="str">
        <f ca="1">IF(Stock!K65="","",Stock!K65)</f>
        <v/>
      </c>
      <c r="O69" s="13" t="str">
        <f ca="1">IF(Stock!L65="","",Stock!L65)</f>
        <v/>
      </c>
      <c r="P69" s="13" t="str">
        <f ca="1">IF(Stock!M65="","",Stock!M65)</f>
        <v/>
      </c>
      <c r="Q69" s="13" t="str">
        <f ca="1">IF(Stock!N65="","",Stock!N65)</f>
        <v/>
      </c>
      <c r="R69" s="13" t="str">
        <f ca="1">IF(Stock!O65="","",Stock!O65)</f>
        <v/>
      </c>
      <c r="S69" s="13" t="str">
        <f ca="1">IF(Stock!P65="","",Stock!P65)</f>
        <v/>
      </c>
      <c r="T69" s="13" t="str">
        <f ca="1">IF(Stock!Q65="","",Stock!Q65)</f>
        <v/>
      </c>
      <c r="U69" s="13" t="str">
        <f ca="1">IF(Stock!R65="","",Stock!R65)</f>
        <v/>
      </c>
      <c r="V69" s="13" t="str">
        <f ca="1">IF(Stock!S65="","",Stock!S65)</f>
        <v/>
      </c>
      <c r="W69" s="13" t="str">
        <f ca="1">IF(Stock!T65="","",Stock!T65)</f>
        <v/>
      </c>
      <c r="X69" s="13" t="str">
        <f ca="1">IF(Stock!U65="","",Stock!U65)</f>
        <v/>
      </c>
      <c r="Y69" s="13" t="str">
        <f ca="1">IF(Stock!V65="","",Stock!V65)</f>
        <v/>
      </c>
      <c r="Z69" s="13" t="str">
        <f ca="1">IF(Stock!W65="","",Stock!W65)</f>
        <v/>
      </c>
      <c r="AA69" s="13" t="str">
        <f ca="1">IF(Stock!X65="","",Stock!X65)</f>
        <v/>
      </c>
      <c r="AB69" s="13" t="str">
        <f ca="1">IF(Stock!Y65="","",Stock!Y65)</f>
        <v/>
      </c>
      <c r="AC69" s="13" t="str">
        <f ca="1">IF(Stock!Z65="","",Stock!Z65)</f>
        <v/>
      </c>
      <c r="AD69" s="13" t="str">
        <f ca="1">IF(Stock!AA65="","",Stock!AA65)</f>
        <v/>
      </c>
      <c r="AE69" s="13" t="str">
        <f ca="1">IF(Stock!AB65="","",Stock!AB65)</f>
        <v/>
      </c>
      <c r="AF69" s="13" t="str">
        <f ca="1">IF(Stock!AC65="","",Stock!AC65)</f>
        <v/>
      </c>
      <c r="AG69" s="13" t="str">
        <f ca="1">IF(Stock!AD65="","",Stock!AD65)</f>
        <v/>
      </c>
      <c r="AH69" s="13" t="str">
        <f ca="1">IF(Stock!AE65="","",Stock!AE65)</f>
        <v/>
      </c>
      <c r="AI69" s="13" t="str">
        <f ca="1">IF(Stock!AF65="","",Stock!AF65)</f>
        <v/>
      </c>
      <c r="AJ69" s="13" t="str">
        <f ca="1">IF(Stock!AG65="","",Stock!AG65)</f>
        <v/>
      </c>
      <c r="AK69" s="13" t="str">
        <f ca="1">IF(Stock!AH65="","",Stock!AH65)</f>
        <v/>
      </c>
      <c r="AL69" s="13" t="str">
        <f ca="1">IF(Stock!AI65="","",Stock!AI65)</f>
        <v/>
      </c>
      <c r="AM69" s="13" t="str">
        <f ca="1">IF(Stock!AJ65="","",Stock!AJ65)</f>
        <v/>
      </c>
      <c r="AN69" s="13" t="str">
        <f ca="1">IF(Stock!AK65="","",Stock!AK65)</f>
        <v/>
      </c>
      <c r="AO69" s="13" t="str">
        <f ca="1">IF(Stock!AL65="","",Stock!AL65)</f>
        <v/>
      </c>
      <c r="AP69" s="13" t="str">
        <f ca="1">IF(Stock!AM65="","",Stock!AM65)</f>
        <v/>
      </c>
      <c r="AQ69" s="13" t="str">
        <f ca="1">IF(Stock!AN65="","",Stock!AN65)</f>
        <v/>
      </c>
      <c r="AR69" s="13" t="str">
        <f ca="1">IF(Stock!AO65="","",Stock!AO65)</f>
        <v/>
      </c>
      <c r="AS69" s="13" t="str">
        <f ca="1">IF(Stock!AP65="","",Stock!AP65)</f>
        <v/>
      </c>
      <c r="AT69" s="13" t="str">
        <f ca="1">IF(Stock!AQ65="","",Stock!AQ65)</f>
        <v/>
      </c>
      <c r="AU69" s="13" t="str">
        <f ca="1">IF(Stock!AR65="","",Stock!AR65)</f>
        <v/>
      </c>
      <c r="AV69" s="13" t="str">
        <f ca="1">IF(Stock!AS65="","",Stock!AS65)</f>
        <v/>
      </c>
      <c r="AW69" s="13" t="str">
        <f ca="1">IF(Stock!AT65="","",Stock!AT65)</f>
        <v/>
      </c>
      <c r="AX69" s="13" t="str">
        <f ca="1">IF(Stock!AU65="","",Stock!AU65)</f>
        <v/>
      </c>
      <c r="AY69" s="13" t="str">
        <f ca="1">IF(Stock!AV65="","",Stock!AV65)</f>
        <v/>
      </c>
      <c r="AZ69" s="13" t="str">
        <f ca="1">IF(Stock!AW65="","",Stock!AW65)</f>
        <v/>
      </c>
      <c r="BA69" s="13" t="str">
        <f ca="1">IF(Stock!AX65="","",Stock!AX65)</f>
        <v/>
      </c>
      <c r="BB69" s="13" t="str">
        <f>IF(Stock!AY65="","",Stock!AY65)</f>
        <v/>
      </c>
      <c r="BC69" s="13" t="str">
        <f>IF(Stock!AZ65="","",Stock!AZ65)</f>
        <v/>
      </c>
      <c r="BD69" s="13" t="str">
        <f>IF(Stock!BA65="","",Stock!BA65)</f>
        <v/>
      </c>
      <c r="BE69" s="13" t="str">
        <f>IF(Stock!BB65="","",Stock!BB65)</f>
        <v/>
      </c>
      <c r="BF69" s="13" t="str">
        <f>IF(Stock!BC65="","",Stock!BC65)</f>
        <v/>
      </c>
    </row>
    <row r="70" spans="1:58" ht="14.25" customHeight="1" x14ac:dyDescent="0.3">
      <c r="B70" s="31"/>
      <c r="E70" s="13" t="str">
        <f>IF(Stock!B66="","",Stock!B66)</f>
        <v/>
      </c>
      <c r="F70" s="13" t="str">
        <f ca="1">IF(Stock!C66="","",Stock!C66)</f>
        <v/>
      </c>
      <c r="G70" s="13" t="str">
        <f ca="1">IF(Stock!D66="","",Stock!D66)</f>
        <v/>
      </c>
      <c r="H70" s="13" t="str">
        <f ca="1">IF(Stock!E66="","",Stock!E66)</f>
        <v/>
      </c>
      <c r="I70" s="13" t="str">
        <f ca="1">IF(Stock!F66="","",Stock!F66)</f>
        <v/>
      </c>
      <c r="J70" s="13" t="str">
        <f ca="1">IF(Stock!G66="","",Stock!G66)</f>
        <v/>
      </c>
      <c r="K70" s="13" t="str">
        <f ca="1">IF(Stock!H66="","",Stock!H66)</f>
        <v/>
      </c>
      <c r="L70" s="13" t="str">
        <f ca="1">IF(Stock!I66="","",Stock!I66)</f>
        <v/>
      </c>
      <c r="M70" s="13" t="str">
        <f ca="1">IF(Stock!J66="","",Stock!J66)</f>
        <v/>
      </c>
      <c r="N70" s="13" t="str">
        <f ca="1">IF(Stock!K66="","",Stock!K66)</f>
        <v/>
      </c>
      <c r="O70" s="13" t="str">
        <f ca="1">IF(Stock!L66="","",Stock!L66)</f>
        <v/>
      </c>
      <c r="P70" s="13" t="str">
        <f ca="1">IF(Stock!M66="","",Stock!M66)</f>
        <v/>
      </c>
      <c r="Q70" s="13" t="str">
        <f ca="1">IF(Stock!N66="","",Stock!N66)</f>
        <v/>
      </c>
      <c r="R70" s="13" t="str">
        <f ca="1">IF(Stock!O66="","",Stock!O66)</f>
        <v/>
      </c>
      <c r="S70" s="13" t="str">
        <f ca="1">IF(Stock!P66="","",Stock!P66)</f>
        <v/>
      </c>
      <c r="T70" s="13" t="str">
        <f ca="1">IF(Stock!Q66="","",Stock!Q66)</f>
        <v/>
      </c>
      <c r="U70" s="13" t="str">
        <f ca="1">IF(Stock!R66="","",Stock!R66)</f>
        <v/>
      </c>
      <c r="V70" s="13" t="str">
        <f ca="1">IF(Stock!S66="","",Stock!S66)</f>
        <v/>
      </c>
      <c r="W70" s="13" t="str">
        <f ca="1">IF(Stock!T66="","",Stock!T66)</f>
        <v/>
      </c>
      <c r="X70" s="13" t="str">
        <f ca="1">IF(Stock!U66="","",Stock!U66)</f>
        <v/>
      </c>
      <c r="Y70" s="13" t="str">
        <f ca="1">IF(Stock!V66="","",Stock!V66)</f>
        <v/>
      </c>
      <c r="Z70" s="13" t="str">
        <f ca="1">IF(Stock!W66="","",Stock!W66)</f>
        <v/>
      </c>
      <c r="AA70" s="13" t="str">
        <f ca="1">IF(Stock!X66="","",Stock!X66)</f>
        <v/>
      </c>
      <c r="AB70" s="13" t="str">
        <f ca="1">IF(Stock!Y66="","",Stock!Y66)</f>
        <v/>
      </c>
      <c r="AC70" s="13" t="str">
        <f ca="1">IF(Stock!Z66="","",Stock!Z66)</f>
        <v/>
      </c>
      <c r="AD70" s="13" t="str">
        <f ca="1">IF(Stock!AA66="","",Stock!AA66)</f>
        <v/>
      </c>
      <c r="AE70" s="13" t="str">
        <f ca="1">IF(Stock!AB66="","",Stock!AB66)</f>
        <v/>
      </c>
      <c r="AF70" s="13" t="str">
        <f ca="1">IF(Stock!AC66="","",Stock!AC66)</f>
        <v/>
      </c>
      <c r="AG70" s="13" t="str">
        <f ca="1">IF(Stock!AD66="","",Stock!AD66)</f>
        <v/>
      </c>
      <c r="AH70" s="13" t="str">
        <f ca="1">IF(Stock!AE66="","",Stock!AE66)</f>
        <v/>
      </c>
      <c r="AI70" s="13" t="str">
        <f ca="1">IF(Stock!AF66="","",Stock!AF66)</f>
        <v/>
      </c>
      <c r="AJ70" s="13" t="str">
        <f ca="1">IF(Stock!AG66="","",Stock!AG66)</f>
        <v/>
      </c>
      <c r="AK70" s="13" t="str">
        <f ca="1">IF(Stock!AH66="","",Stock!AH66)</f>
        <v/>
      </c>
      <c r="AL70" s="13" t="str">
        <f ca="1">IF(Stock!AI66="","",Stock!AI66)</f>
        <v/>
      </c>
      <c r="AM70" s="13" t="str">
        <f ca="1">IF(Stock!AJ66="","",Stock!AJ66)</f>
        <v/>
      </c>
      <c r="AN70" s="13" t="str">
        <f ca="1">IF(Stock!AK66="","",Stock!AK66)</f>
        <v/>
      </c>
      <c r="AO70" s="13" t="str">
        <f ca="1">IF(Stock!AL66="","",Stock!AL66)</f>
        <v/>
      </c>
      <c r="AP70" s="13" t="str">
        <f ca="1">IF(Stock!AM66="","",Stock!AM66)</f>
        <v/>
      </c>
      <c r="AQ70" s="13" t="str">
        <f ca="1">IF(Stock!AN66="","",Stock!AN66)</f>
        <v/>
      </c>
      <c r="AR70" s="13" t="str">
        <f ca="1">IF(Stock!AO66="","",Stock!AO66)</f>
        <v/>
      </c>
      <c r="AS70" s="13" t="str">
        <f ca="1">IF(Stock!AP66="","",Stock!AP66)</f>
        <v/>
      </c>
      <c r="AT70" s="13" t="str">
        <f ca="1">IF(Stock!AQ66="","",Stock!AQ66)</f>
        <v/>
      </c>
      <c r="AU70" s="13" t="str">
        <f ca="1">IF(Stock!AR66="","",Stock!AR66)</f>
        <v/>
      </c>
      <c r="AV70" s="13" t="str">
        <f ca="1">IF(Stock!AS66="","",Stock!AS66)</f>
        <v/>
      </c>
      <c r="AW70" s="13" t="str">
        <f ca="1">IF(Stock!AT66="","",Stock!AT66)</f>
        <v/>
      </c>
      <c r="AX70" s="13" t="str">
        <f ca="1">IF(Stock!AU66="","",Stock!AU66)</f>
        <v/>
      </c>
      <c r="AY70" s="13" t="str">
        <f ca="1">IF(Stock!AV66="","",Stock!AV66)</f>
        <v/>
      </c>
      <c r="AZ70" s="13" t="str">
        <f ca="1">IF(Stock!AW66="","",Stock!AW66)</f>
        <v/>
      </c>
      <c r="BA70" s="13" t="str">
        <f ca="1">IF(Stock!AX66="","",Stock!AX66)</f>
        <v/>
      </c>
      <c r="BB70" s="13" t="str">
        <f>IF(Stock!AY66="","",Stock!AY66)</f>
        <v/>
      </c>
      <c r="BC70" s="13" t="str">
        <f>IF(Stock!AZ66="","",Stock!AZ66)</f>
        <v/>
      </c>
      <c r="BD70" s="13" t="str">
        <f>IF(Stock!BA66="","",Stock!BA66)</f>
        <v/>
      </c>
      <c r="BE70" s="13" t="str">
        <f>IF(Stock!BB66="","",Stock!BB66)</f>
        <v/>
      </c>
      <c r="BF70" s="13" t="str">
        <f>IF(Stock!BC66="","",Stock!BC66)</f>
        <v/>
      </c>
    </row>
    <row r="71" spans="1:58" ht="14.25" customHeight="1" x14ac:dyDescent="0.3">
      <c r="B71" s="31"/>
      <c r="E71" s="13" t="str">
        <f>IF(Stock!B67="","",Stock!B67)</f>
        <v/>
      </c>
      <c r="F71" s="13" t="str">
        <f ca="1">IF(Stock!C67="","",Stock!C67)</f>
        <v/>
      </c>
      <c r="G71" s="13" t="str">
        <f ca="1">IF(Stock!D67="","",Stock!D67)</f>
        <v/>
      </c>
      <c r="H71" s="13" t="str">
        <f ca="1">IF(Stock!E67="","",Stock!E67)</f>
        <v/>
      </c>
      <c r="I71" s="13" t="str">
        <f ca="1">IF(Stock!F67="","",Stock!F67)</f>
        <v/>
      </c>
      <c r="J71" s="13" t="str">
        <f ca="1">IF(Stock!G67="","",Stock!G67)</f>
        <v/>
      </c>
      <c r="K71" s="13" t="str">
        <f ca="1">IF(Stock!H67="","",Stock!H67)</f>
        <v/>
      </c>
      <c r="L71" s="13" t="str">
        <f ca="1">IF(Stock!I67="","",Stock!I67)</f>
        <v/>
      </c>
      <c r="M71" s="13" t="str">
        <f ca="1">IF(Stock!J67="","",Stock!J67)</f>
        <v/>
      </c>
      <c r="N71" s="13" t="str">
        <f ca="1">IF(Stock!K67="","",Stock!K67)</f>
        <v/>
      </c>
      <c r="O71" s="13" t="str">
        <f ca="1">IF(Stock!L67="","",Stock!L67)</f>
        <v/>
      </c>
      <c r="P71" s="13" t="str">
        <f ca="1">IF(Stock!M67="","",Stock!M67)</f>
        <v/>
      </c>
      <c r="Q71" s="13" t="str">
        <f ca="1">IF(Stock!N67="","",Stock!N67)</f>
        <v/>
      </c>
      <c r="R71" s="13" t="str">
        <f ca="1">IF(Stock!O67="","",Stock!O67)</f>
        <v/>
      </c>
      <c r="S71" s="13" t="str">
        <f ca="1">IF(Stock!P67="","",Stock!P67)</f>
        <v/>
      </c>
      <c r="T71" s="13" t="str">
        <f ca="1">IF(Stock!Q67="","",Stock!Q67)</f>
        <v/>
      </c>
      <c r="U71" s="13" t="str">
        <f ca="1">IF(Stock!R67="","",Stock!R67)</f>
        <v/>
      </c>
      <c r="V71" s="13" t="str">
        <f ca="1">IF(Stock!S67="","",Stock!S67)</f>
        <v/>
      </c>
      <c r="W71" s="13" t="str">
        <f ca="1">IF(Stock!T67="","",Stock!T67)</f>
        <v/>
      </c>
      <c r="X71" s="13" t="str">
        <f ca="1">IF(Stock!U67="","",Stock!U67)</f>
        <v/>
      </c>
      <c r="Y71" s="13" t="str">
        <f ca="1">IF(Stock!V67="","",Stock!V67)</f>
        <v/>
      </c>
      <c r="Z71" s="13" t="str">
        <f ca="1">IF(Stock!W67="","",Stock!W67)</f>
        <v/>
      </c>
      <c r="AA71" s="13" t="str">
        <f ca="1">IF(Stock!X67="","",Stock!X67)</f>
        <v/>
      </c>
      <c r="AB71" s="13" t="str">
        <f ca="1">IF(Stock!Y67="","",Stock!Y67)</f>
        <v/>
      </c>
      <c r="AC71" s="13" t="str">
        <f ca="1">IF(Stock!Z67="","",Stock!Z67)</f>
        <v/>
      </c>
      <c r="AD71" s="13" t="str">
        <f ca="1">IF(Stock!AA67="","",Stock!AA67)</f>
        <v/>
      </c>
      <c r="AE71" s="13" t="str">
        <f ca="1">IF(Stock!AB67="","",Stock!AB67)</f>
        <v/>
      </c>
      <c r="AF71" s="13" t="str">
        <f ca="1">IF(Stock!AC67="","",Stock!AC67)</f>
        <v/>
      </c>
      <c r="AG71" s="13" t="str">
        <f ca="1">IF(Stock!AD67="","",Stock!AD67)</f>
        <v/>
      </c>
      <c r="AH71" s="13" t="str">
        <f ca="1">IF(Stock!AE67="","",Stock!AE67)</f>
        <v/>
      </c>
      <c r="AI71" s="13" t="str">
        <f ca="1">IF(Stock!AF67="","",Stock!AF67)</f>
        <v/>
      </c>
      <c r="AJ71" s="13" t="str">
        <f ca="1">IF(Stock!AG67="","",Stock!AG67)</f>
        <v/>
      </c>
      <c r="AK71" s="13" t="str">
        <f ca="1">IF(Stock!AH67="","",Stock!AH67)</f>
        <v/>
      </c>
      <c r="AL71" s="13" t="str">
        <f ca="1">IF(Stock!AI67="","",Stock!AI67)</f>
        <v/>
      </c>
      <c r="AM71" s="13" t="str">
        <f ca="1">IF(Stock!AJ67="","",Stock!AJ67)</f>
        <v/>
      </c>
      <c r="AN71" s="13" t="str">
        <f ca="1">IF(Stock!AK67="","",Stock!AK67)</f>
        <v/>
      </c>
      <c r="AO71" s="13" t="str">
        <f ca="1">IF(Stock!AL67="","",Stock!AL67)</f>
        <v/>
      </c>
      <c r="AP71" s="13" t="str">
        <f ca="1">IF(Stock!AM67="","",Stock!AM67)</f>
        <v/>
      </c>
      <c r="AQ71" s="13" t="str">
        <f ca="1">IF(Stock!AN67="","",Stock!AN67)</f>
        <v/>
      </c>
      <c r="AR71" s="13" t="str">
        <f ca="1">IF(Stock!AO67="","",Stock!AO67)</f>
        <v/>
      </c>
      <c r="AS71" s="13" t="str">
        <f ca="1">IF(Stock!AP67="","",Stock!AP67)</f>
        <v/>
      </c>
      <c r="AT71" s="13" t="str">
        <f ca="1">IF(Stock!AQ67="","",Stock!AQ67)</f>
        <v/>
      </c>
      <c r="AU71" s="13" t="str">
        <f ca="1">IF(Stock!AR67="","",Stock!AR67)</f>
        <v/>
      </c>
      <c r="AV71" s="13" t="str">
        <f ca="1">IF(Stock!AS67="","",Stock!AS67)</f>
        <v/>
      </c>
      <c r="AW71" s="13" t="str">
        <f ca="1">IF(Stock!AT67="","",Stock!AT67)</f>
        <v/>
      </c>
      <c r="AX71" s="13" t="str">
        <f ca="1">IF(Stock!AU67="","",Stock!AU67)</f>
        <v/>
      </c>
      <c r="AY71" s="13" t="str">
        <f ca="1">IF(Stock!AV67="","",Stock!AV67)</f>
        <v/>
      </c>
      <c r="AZ71" s="13" t="str">
        <f ca="1">IF(Stock!AW67="","",Stock!AW67)</f>
        <v/>
      </c>
      <c r="BA71" s="13" t="str">
        <f ca="1">IF(Stock!AX67="","",Stock!AX67)</f>
        <v/>
      </c>
      <c r="BB71" s="13" t="str">
        <f>IF(Stock!AY67="","",Stock!AY67)</f>
        <v/>
      </c>
      <c r="BC71" s="13" t="str">
        <f>IF(Stock!AZ67="","",Stock!AZ67)</f>
        <v/>
      </c>
      <c r="BD71" s="13" t="str">
        <f>IF(Stock!BA67="","",Stock!BA67)</f>
        <v/>
      </c>
      <c r="BE71" s="13" t="str">
        <f>IF(Stock!BB67="","",Stock!BB67)</f>
        <v/>
      </c>
      <c r="BF71" s="13" t="str">
        <f>IF(Stock!BC67="","",Stock!BC67)</f>
        <v/>
      </c>
    </row>
    <row r="72" spans="1:58" ht="14.25" customHeight="1" x14ac:dyDescent="0.3">
      <c r="B72" s="31"/>
      <c r="E72" s="13" t="str">
        <f>IF(Stock!B68="","",Stock!B68)</f>
        <v/>
      </c>
      <c r="F72" s="13" t="str">
        <f ca="1">IF(Stock!C68="","",Stock!C68)</f>
        <v/>
      </c>
      <c r="G72" s="13" t="str">
        <f ca="1">IF(Stock!D68="","",Stock!D68)</f>
        <v/>
      </c>
      <c r="H72" s="13" t="str">
        <f ca="1">IF(Stock!E68="","",Stock!E68)</f>
        <v/>
      </c>
      <c r="I72" s="13" t="str">
        <f ca="1">IF(Stock!F68="","",Stock!F68)</f>
        <v/>
      </c>
      <c r="J72" s="13" t="str">
        <f ca="1">IF(Stock!G68="","",Stock!G68)</f>
        <v/>
      </c>
      <c r="K72" s="13" t="str">
        <f ca="1">IF(Stock!H68="","",Stock!H68)</f>
        <v/>
      </c>
      <c r="L72" s="13" t="str">
        <f ca="1">IF(Stock!I68="","",Stock!I68)</f>
        <v/>
      </c>
      <c r="M72" s="13" t="str">
        <f ca="1">IF(Stock!J68="","",Stock!J68)</f>
        <v/>
      </c>
      <c r="N72" s="13" t="str">
        <f ca="1">IF(Stock!K68="","",Stock!K68)</f>
        <v/>
      </c>
      <c r="O72" s="13" t="str">
        <f ca="1">IF(Stock!L68="","",Stock!L68)</f>
        <v/>
      </c>
      <c r="P72" s="13" t="str">
        <f ca="1">IF(Stock!M68="","",Stock!M68)</f>
        <v/>
      </c>
      <c r="Q72" s="13" t="str">
        <f ca="1">IF(Stock!N68="","",Stock!N68)</f>
        <v/>
      </c>
      <c r="R72" s="13" t="str">
        <f ca="1">IF(Stock!O68="","",Stock!O68)</f>
        <v/>
      </c>
      <c r="S72" s="13" t="str">
        <f ca="1">IF(Stock!P68="","",Stock!P68)</f>
        <v/>
      </c>
      <c r="T72" s="13" t="str">
        <f ca="1">IF(Stock!Q68="","",Stock!Q68)</f>
        <v/>
      </c>
      <c r="U72" s="13" t="str">
        <f ca="1">IF(Stock!R68="","",Stock!R68)</f>
        <v/>
      </c>
      <c r="V72" s="13" t="str">
        <f ca="1">IF(Stock!S68="","",Stock!S68)</f>
        <v/>
      </c>
      <c r="W72" s="13" t="str">
        <f ca="1">IF(Stock!T68="","",Stock!T68)</f>
        <v/>
      </c>
      <c r="X72" s="13" t="str">
        <f ca="1">IF(Stock!U68="","",Stock!U68)</f>
        <v/>
      </c>
      <c r="Y72" s="13" t="str">
        <f ca="1">IF(Stock!V68="","",Stock!V68)</f>
        <v/>
      </c>
      <c r="Z72" s="13" t="str">
        <f ca="1">IF(Stock!W68="","",Stock!W68)</f>
        <v/>
      </c>
      <c r="AA72" s="13" t="str">
        <f ca="1">IF(Stock!X68="","",Stock!X68)</f>
        <v/>
      </c>
      <c r="AB72" s="13" t="str">
        <f ca="1">IF(Stock!Y68="","",Stock!Y68)</f>
        <v/>
      </c>
      <c r="AC72" s="13" t="str">
        <f ca="1">IF(Stock!Z68="","",Stock!Z68)</f>
        <v/>
      </c>
      <c r="AD72" s="13" t="str">
        <f ca="1">IF(Stock!AA68="","",Stock!AA68)</f>
        <v/>
      </c>
      <c r="AE72" s="13" t="str">
        <f ca="1">IF(Stock!AB68="","",Stock!AB68)</f>
        <v/>
      </c>
      <c r="AF72" s="13" t="str">
        <f ca="1">IF(Stock!AC68="","",Stock!AC68)</f>
        <v/>
      </c>
      <c r="AG72" s="13" t="str">
        <f ca="1">IF(Stock!AD68="","",Stock!AD68)</f>
        <v/>
      </c>
      <c r="AH72" s="13" t="str">
        <f ca="1">IF(Stock!AE68="","",Stock!AE68)</f>
        <v/>
      </c>
      <c r="AI72" s="13" t="str">
        <f ca="1">IF(Stock!AF68="","",Stock!AF68)</f>
        <v/>
      </c>
      <c r="AJ72" s="13" t="str">
        <f ca="1">IF(Stock!AG68="","",Stock!AG68)</f>
        <v/>
      </c>
      <c r="AK72" s="13" t="str">
        <f ca="1">IF(Stock!AH68="","",Stock!AH68)</f>
        <v/>
      </c>
      <c r="AL72" s="13" t="str">
        <f ca="1">IF(Stock!AI68="","",Stock!AI68)</f>
        <v/>
      </c>
      <c r="AM72" s="13" t="str">
        <f ca="1">IF(Stock!AJ68="","",Stock!AJ68)</f>
        <v/>
      </c>
      <c r="AN72" s="13" t="str">
        <f ca="1">IF(Stock!AK68="","",Stock!AK68)</f>
        <v/>
      </c>
      <c r="AO72" s="13" t="str">
        <f ca="1">IF(Stock!AL68="","",Stock!AL68)</f>
        <v/>
      </c>
      <c r="AP72" s="13" t="str">
        <f ca="1">IF(Stock!AM68="","",Stock!AM68)</f>
        <v/>
      </c>
      <c r="AQ72" s="13" t="str">
        <f ca="1">IF(Stock!AN68="","",Stock!AN68)</f>
        <v/>
      </c>
      <c r="AR72" s="13" t="str">
        <f ca="1">IF(Stock!AO68="","",Stock!AO68)</f>
        <v/>
      </c>
      <c r="AS72" s="13" t="str">
        <f ca="1">IF(Stock!AP68="","",Stock!AP68)</f>
        <v/>
      </c>
      <c r="AT72" s="13" t="str">
        <f ca="1">IF(Stock!AQ68="","",Stock!AQ68)</f>
        <v/>
      </c>
      <c r="AU72" s="13" t="str">
        <f ca="1">IF(Stock!AR68="","",Stock!AR68)</f>
        <v/>
      </c>
      <c r="AV72" s="13" t="str">
        <f ca="1">IF(Stock!AS68="","",Stock!AS68)</f>
        <v/>
      </c>
      <c r="AW72" s="13" t="str">
        <f ca="1">IF(Stock!AT68="","",Stock!AT68)</f>
        <v/>
      </c>
      <c r="AX72" s="13" t="str">
        <f ca="1">IF(Stock!AU68="","",Stock!AU68)</f>
        <v/>
      </c>
      <c r="AY72" s="13" t="str">
        <f ca="1">IF(Stock!AV68="","",Stock!AV68)</f>
        <v/>
      </c>
      <c r="AZ72" s="13" t="str">
        <f ca="1">IF(Stock!AW68="","",Stock!AW68)</f>
        <v/>
      </c>
      <c r="BA72" s="13" t="str">
        <f ca="1">IF(Stock!AX68="","",Stock!AX68)</f>
        <v/>
      </c>
      <c r="BB72" s="13" t="str">
        <f>IF(Stock!AY68="","",Stock!AY68)</f>
        <v/>
      </c>
      <c r="BC72" s="13" t="str">
        <f>IF(Stock!AZ68="","",Stock!AZ68)</f>
        <v/>
      </c>
      <c r="BD72" s="13" t="str">
        <f>IF(Stock!BA68="","",Stock!BA68)</f>
        <v/>
      </c>
      <c r="BE72" s="13" t="str">
        <f>IF(Stock!BB68="","",Stock!BB68)</f>
        <v/>
      </c>
      <c r="BF72" s="13" t="str">
        <f>IF(Stock!BC68="","",Stock!BC68)</f>
        <v/>
      </c>
    </row>
    <row r="73" spans="1:58" ht="14.25" customHeight="1" x14ac:dyDescent="0.3">
      <c r="B73" s="31"/>
      <c r="E73" s="13" t="str">
        <f>IF(Stock!B69="","",Stock!B69)</f>
        <v/>
      </c>
      <c r="F73" s="13" t="str">
        <f ca="1">IF(Stock!C69="","",Stock!C69)</f>
        <v/>
      </c>
      <c r="G73" s="13" t="str">
        <f ca="1">IF(Stock!D69="","",Stock!D69)</f>
        <v/>
      </c>
      <c r="H73" s="13" t="str">
        <f ca="1">IF(Stock!E69="","",Stock!E69)</f>
        <v/>
      </c>
      <c r="I73" s="13" t="str">
        <f ca="1">IF(Stock!F69="","",Stock!F69)</f>
        <v/>
      </c>
      <c r="J73" s="13" t="str">
        <f ca="1">IF(Stock!G69="","",Stock!G69)</f>
        <v/>
      </c>
      <c r="K73" s="13" t="str">
        <f ca="1">IF(Stock!H69="","",Stock!H69)</f>
        <v/>
      </c>
      <c r="L73" s="13" t="str">
        <f ca="1">IF(Stock!I69="","",Stock!I69)</f>
        <v/>
      </c>
      <c r="M73" s="13" t="str">
        <f ca="1">IF(Stock!J69="","",Stock!J69)</f>
        <v/>
      </c>
      <c r="N73" s="13" t="str">
        <f ca="1">IF(Stock!K69="","",Stock!K69)</f>
        <v/>
      </c>
      <c r="O73" s="13" t="str">
        <f ca="1">IF(Stock!L69="","",Stock!L69)</f>
        <v/>
      </c>
      <c r="P73" s="13" t="str">
        <f ca="1">IF(Stock!M69="","",Stock!M69)</f>
        <v/>
      </c>
      <c r="Q73" s="13" t="str">
        <f ca="1">IF(Stock!N69="","",Stock!N69)</f>
        <v/>
      </c>
      <c r="R73" s="13" t="str">
        <f ca="1">IF(Stock!O69="","",Stock!O69)</f>
        <v/>
      </c>
      <c r="S73" s="13" t="str">
        <f ca="1">IF(Stock!P69="","",Stock!P69)</f>
        <v/>
      </c>
      <c r="T73" s="13" t="str">
        <f ca="1">IF(Stock!Q69="","",Stock!Q69)</f>
        <v/>
      </c>
      <c r="U73" s="13" t="str">
        <f ca="1">IF(Stock!R69="","",Stock!R69)</f>
        <v/>
      </c>
      <c r="V73" s="13" t="str">
        <f ca="1">IF(Stock!S69="","",Stock!S69)</f>
        <v/>
      </c>
      <c r="W73" s="13" t="str">
        <f ca="1">IF(Stock!T69="","",Stock!T69)</f>
        <v/>
      </c>
      <c r="X73" s="13" t="str">
        <f ca="1">IF(Stock!U69="","",Stock!U69)</f>
        <v/>
      </c>
      <c r="Y73" s="13" t="str">
        <f ca="1">IF(Stock!V69="","",Stock!V69)</f>
        <v/>
      </c>
      <c r="Z73" s="13" t="str">
        <f ca="1">IF(Stock!W69="","",Stock!W69)</f>
        <v/>
      </c>
      <c r="AA73" s="13" t="str">
        <f ca="1">IF(Stock!X69="","",Stock!X69)</f>
        <v/>
      </c>
      <c r="AB73" s="13" t="str">
        <f ca="1">IF(Stock!Y69="","",Stock!Y69)</f>
        <v/>
      </c>
      <c r="AC73" s="13" t="str">
        <f ca="1">IF(Stock!Z69="","",Stock!Z69)</f>
        <v/>
      </c>
      <c r="AD73" s="13" t="str">
        <f ca="1">IF(Stock!AA69="","",Stock!AA69)</f>
        <v/>
      </c>
      <c r="AE73" s="13" t="str">
        <f ca="1">IF(Stock!AB69="","",Stock!AB69)</f>
        <v/>
      </c>
      <c r="AF73" s="13" t="str">
        <f ca="1">IF(Stock!AC69="","",Stock!AC69)</f>
        <v/>
      </c>
      <c r="AG73" s="13" t="str">
        <f ca="1">IF(Stock!AD69="","",Stock!AD69)</f>
        <v/>
      </c>
      <c r="AH73" s="13" t="str">
        <f ca="1">IF(Stock!AE69="","",Stock!AE69)</f>
        <v/>
      </c>
      <c r="AI73" s="13" t="str">
        <f ca="1">IF(Stock!AF69="","",Stock!AF69)</f>
        <v/>
      </c>
      <c r="AJ73" s="13" t="str">
        <f ca="1">IF(Stock!AG69="","",Stock!AG69)</f>
        <v/>
      </c>
      <c r="AK73" s="13" t="str">
        <f ca="1">IF(Stock!AH69="","",Stock!AH69)</f>
        <v/>
      </c>
      <c r="AL73" s="13" t="str">
        <f ca="1">IF(Stock!AI69="","",Stock!AI69)</f>
        <v/>
      </c>
      <c r="AM73" s="13" t="str">
        <f ca="1">IF(Stock!AJ69="","",Stock!AJ69)</f>
        <v/>
      </c>
      <c r="AN73" s="13" t="str">
        <f ca="1">IF(Stock!AK69="","",Stock!AK69)</f>
        <v/>
      </c>
      <c r="AO73" s="13" t="str">
        <f ca="1">IF(Stock!AL69="","",Stock!AL69)</f>
        <v/>
      </c>
      <c r="AP73" s="13" t="str">
        <f ca="1">IF(Stock!AM69="","",Stock!AM69)</f>
        <v/>
      </c>
      <c r="AQ73" s="13" t="str">
        <f ca="1">IF(Stock!AN69="","",Stock!AN69)</f>
        <v/>
      </c>
      <c r="AR73" s="13" t="str">
        <f ca="1">IF(Stock!AO69="","",Stock!AO69)</f>
        <v/>
      </c>
      <c r="AS73" s="13" t="str">
        <f ca="1">IF(Stock!AP69="","",Stock!AP69)</f>
        <v/>
      </c>
      <c r="AT73" s="13" t="str">
        <f ca="1">IF(Stock!AQ69="","",Stock!AQ69)</f>
        <v/>
      </c>
      <c r="AU73" s="13" t="str">
        <f ca="1">IF(Stock!AR69="","",Stock!AR69)</f>
        <v/>
      </c>
      <c r="AV73" s="13" t="str">
        <f ca="1">IF(Stock!AS69="","",Stock!AS69)</f>
        <v/>
      </c>
      <c r="AW73" s="13" t="str">
        <f ca="1">IF(Stock!AT69="","",Stock!AT69)</f>
        <v/>
      </c>
      <c r="AX73" s="13" t="str">
        <f ca="1">IF(Stock!AU69="","",Stock!AU69)</f>
        <v/>
      </c>
      <c r="AY73" s="13" t="str">
        <f ca="1">IF(Stock!AV69="","",Stock!AV69)</f>
        <v/>
      </c>
      <c r="AZ73" s="13" t="str">
        <f ca="1">IF(Stock!AW69="","",Stock!AW69)</f>
        <v/>
      </c>
      <c r="BA73" s="13" t="str">
        <f ca="1">IF(Stock!AX69="","",Stock!AX69)</f>
        <v/>
      </c>
      <c r="BB73" s="13" t="str">
        <f>IF(Stock!AY69="","",Stock!AY69)</f>
        <v/>
      </c>
      <c r="BC73" s="13" t="str">
        <f>IF(Stock!AZ69="","",Stock!AZ69)</f>
        <v/>
      </c>
      <c r="BD73" s="13" t="str">
        <f>IF(Stock!BA69="","",Stock!BA69)</f>
        <v/>
      </c>
      <c r="BE73" s="13" t="str">
        <f>IF(Stock!BB69="","",Stock!BB69)</f>
        <v/>
      </c>
      <c r="BF73" s="13" t="str">
        <f>IF(Stock!BC69="","",Stock!BC69)</f>
        <v/>
      </c>
    </row>
    <row r="74" spans="1:58" ht="14.25" customHeight="1" x14ac:dyDescent="0.3">
      <c r="B74" s="31"/>
      <c r="E74" s="13" t="str">
        <f>IF(Stock!B70="","",Stock!B70)</f>
        <v/>
      </c>
      <c r="F74" s="13" t="str">
        <f ca="1">IF(Stock!C70="","",Stock!C70)</f>
        <v/>
      </c>
      <c r="G74" s="13" t="str">
        <f ca="1">IF(Stock!D70="","",Stock!D70)</f>
        <v/>
      </c>
      <c r="H74" s="13" t="str">
        <f ca="1">IF(Stock!E70="","",Stock!E70)</f>
        <v/>
      </c>
      <c r="I74" s="13" t="str">
        <f ca="1">IF(Stock!F70="","",Stock!F70)</f>
        <v/>
      </c>
      <c r="J74" s="13" t="str">
        <f ca="1">IF(Stock!G70="","",Stock!G70)</f>
        <v/>
      </c>
      <c r="K74" s="13" t="str">
        <f ca="1">IF(Stock!H70="","",Stock!H70)</f>
        <v/>
      </c>
      <c r="L74" s="13" t="str">
        <f ca="1">IF(Stock!I70="","",Stock!I70)</f>
        <v/>
      </c>
      <c r="M74" s="13" t="str">
        <f ca="1">IF(Stock!J70="","",Stock!J70)</f>
        <v/>
      </c>
      <c r="N74" s="13" t="str">
        <f ca="1">IF(Stock!K70="","",Stock!K70)</f>
        <v/>
      </c>
      <c r="O74" s="13" t="str">
        <f ca="1">IF(Stock!L70="","",Stock!L70)</f>
        <v/>
      </c>
      <c r="P74" s="13" t="str">
        <f ca="1">IF(Stock!M70="","",Stock!M70)</f>
        <v/>
      </c>
      <c r="Q74" s="13" t="str">
        <f ca="1">IF(Stock!N70="","",Stock!N70)</f>
        <v/>
      </c>
      <c r="R74" s="13" t="str">
        <f ca="1">IF(Stock!O70="","",Stock!O70)</f>
        <v/>
      </c>
      <c r="S74" s="13" t="str">
        <f ca="1">IF(Stock!P70="","",Stock!P70)</f>
        <v/>
      </c>
      <c r="T74" s="13" t="str">
        <f ca="1">IF(Stock!Q70="","",Stock!Q70)</f>
        <v/>
      </c>
      <c r="U74" s="13" t="str">
        <f ca="1">IF(Stock!R70="","",Stock!R70)</f>
        <v/>
      </c>
      <c r="V74" s="13" t="str">
        <f ca="1">IF(Stock!S70="","",Stock!S70)</f>
        <v/>
      </c>
      <c r="W74" s="13" t="str">
        <f ca="1">IF(Stock!T70="","",Stock!T70)</f>
        <v/>
      </c>
      <c r="X74" s="13" t="str">
        <f ca="1">IF(Stock!U70="","",Stock!U70)</f>
        <v/>
      </c>
      <c r="Y74" s="13" t="str">
        <f ca="1">IF(Stock!V70="","",Stock!V70)</f>
        <v/>
      </c>
      <c r="Z74" s="13" t="str">
        <f ca="1">IF(Stock!W70="","",Stock!W70)</f>
        <v/>
      </c>
      <c r="AA74" s="13" t="str">
        <f ca="1">IF(Stock!X70="","",Stock!X70)</f>
        <v/>
      </c>
      <c r="AB74" s="13" t="str">
        <f ca="1">IF(Stock!Y70="","",Stock!Y70)</f>
        <v/>
      </c>
      <c r="AC74" s="13" t="str">
        <f ca="1">IF(Stock!Z70="","",Stock!Z70)</f>
        <v/>
      </c>
      <c r="AD74" s="13" t="str">
        <f ca="1">IF(Stock!AA70="","",Stock!AA70)</f>
        <v/>
      </c>
      <c r="AE74" s="13" t="str">
        <f ca="1">IF(Stock!AB70="","",Stock!AB70)</f>
        <v/>
      </c>
      <c r="AF74" s="13" t="str">
        <f ca="1">IF(Stock!AC70="","",Stock!AC70)</f>
        <v/>
      </c>
      <c r="AG74" s="13" t="str">
        <f ca="1">IF(Stock!AD70="","",Stock!AD70)</f>
        <v/>
      </c>
      <c r="AH74" s="13" t="str">
        <f ca="1">IF(Stock!AE70="","",Stock!AE70)</f>
        <v/>
      </c>
      <c r="AI74" s="13" t="str">
        <f ca="1">IF(Stock!AF70="","",Stock!AF70)</f>
        <v/>
      </c>
      <c r="AJ74" s="13" t="str">
        <f ca="1">IF(Stock!AG70="","",Stock!AG70)</f>
        <v/>
      </c>
      <c r="AK74" s="13" t="str">
        <f ca="1">IF(Stock!AH70="","",Stock!AH70)</f>
        <v/>
      </c>
      <c r="AL74" s="13" t="str">
        <f ca="1">IF(Stock!AI70="","",Stock!AI70)</f>
        <v/>
      </c>
      <c r="AM74" s="13" t="str">
        <f ca="1">IF(Stock!AJ70="","",Stock!AJ70)</f>
        <v/>
      </c>
      <c r="AN74" s="13" t="str">
        <f ca="1">IF(Stock!AK70="","",Stock!AK70)</f>
        <v/>
      </c>
      <c r="AO74" s="13" t="str">
        <f ca="1">IF(Stock!AL70="","",Stock!AL70)</f>
        <v/>
      </c>
      <c r="AP74" s="13" t="str">
        <f ca="1">IF(Stock!AM70="","",Stock!AM70)</f>
        <v/>
      </c>
      <c r="AQ74" s="13" t="str">
        <f ca="1">IF(Stock!AN70="","",Stock!AN70)</f>
        <v/>
      </c>
      <c r="AR74" s="13" t="str">
        <f ca="1">IF(Stock!AO70="","",Stock!AO70)</f>
        <v/>
      </c>
      <c r="AS74" s="13" t="str">
        <f ca="1">IF(Stock!AP70="","",Stock!AP70)</f>
        <v/>
      </c>
      <c r="AT74" s="13" t="str">
        <f ca="1">IF(Stock!AQ70="","",Stock!AQ70)</f>
        <v/>
      </c>
      <c r="AU74" s="13" t="str">
        <f ca="1">IF(Stock!AR70="","",Stock!AR70)</f>
        <v/>
      </c>
      <c r="AV74" s="13" t="str">
        <f ca="1">IF(Stock!AS70="","",Stock!AS70)</f>
        <v/>
      </c>
      <c r="AW74" s="13" t="str">
        <f ca="1">IF(Stock!AT70="","",Stock!AT70)</f>
        <v/>
      </c>
      <c r="AX74" s="13" t="str">
        <f ca="1">IF(Stock!AU70="","",Stock!AU70)</f>
        <v/>
      </c>
      <c r="AY74" s="13" t="str">
        <f ca="1">IF(Stock!AV70="","",Stock!AV70)</f>
        <v/>
      </c>
      <c r="AZ74" s="13" t="str">
        <f ca="1">IF(Stock!AW70="","",Stock!AW70)</f>
        <v/>
      </c>
      <c r="BA74" s="13" t="str">
        <f ca="1">IF(Stock!AX70="","",Stock!AX70)</f>
        <v/>
      </c>
      <c r="BB74" s="13" t="str">
        <f>IF(Stock!AY70="","",Stock!AY70)</f>
        <v/>
      </c>
      <c r="BC74" s="13" t="str">
        <f>IF(Stock!AZ70="","",Stock!AZ70)</f>
        <v/>
      </c>
      <c r="BD74" s="13" t="str">
        <f>IF(Stock!BA70="","",Stock!BA70)</f>
        <v/>
      </c>
      <c r="BE74" s="13" t="str">
        <f>IF(Stock!BB70="","",Stock!BB70)</f>
        <v/>
      </c>
      <c r="BF74" s="13" t="str">
        <f>IF(Stock!BC70="","",Stock!BC70)</f>
        <v/>
      </c>
    </row>
    <row r="75" spans="1:58" ht="14.25" customHeight="1" x14ac:dyDescent="0.3">
      <c r="B75" s="31"/>
      <c r="E75" s="13" t="str">
        <f>IF(Stock!B71="","",Stock!B71)</f>
        <v/>
      </c>
      <c r="F75" s="13" t="str">
        <f ca="1">IF(Stock!C71="","",Stock!C71)</f>
        <v/>
      </c>
      <c r="G75" s="13" t="str">
        <f ca="1">IF(Stock!D71="","",Stock!D71)</f>
        <v/>
      </c>
      <c r="H75" s="13" t="str">
        <f ca="1">IF(Stock!E71="","",Stock!E71)</f>
        <v/>
      </c>
      <c r="I75" s="13" t="str">
        <f ca="1">IF(Stock!F71="","",Stock!F71)</f>
        <v/>
      </c>
      <c r="J75" s="13" t="str">
        <f ca="1">IF(Stock!G71="","",Stock!G71)</f>
        <v/>
      </c>
      <c r="K75" s="13" t="str">
        <f ca="1">IF(Stock!H71="","",Stock!H71)</f>
        <v/>
      </c>
      <c r="L75" s="13" t="str">
        <f ca="1">IF(Stock!I71="","",Stock!I71)</f>
        <v/>
      </c>
      <c r="M75" s="13" t="str">
        <f ca="1">IF(Stock!J71="","",Stock!J71)</f>
        <v/>
      </c>
      <c r="N75" s="13" t="str">
        <f ca="1">IF(Stock!K71="","",Stock!K71)</f>
        <v/>
      </c>
      <c r="O75" s="13" t="str">
        <f ca="1">IF(Stock!L71="","",Stock!L71)</f>
        <v/>
      </c>
      <c r="P75" s="13" t="str">
        <f ca="1">IF(Stock!M71="","",Stock!M71)</f>
        <v/>
      </c>
      <c r="Q75" s="13" t="str">
        <f ca="1">IF(Stock!N71="","",Stock!N71)</f>
        <v/>
      </c>
      <c r="R75" s="13" t="str">
        <f ca="1">IF(Stock!O71="","",Stock!O71)</f>
        <v/>
      </c>
      <c r="S75" s="13" t="str">
        <f ca="1">IF(Stock!P71="","",Stock!P71)</f>
        <v/>
      </c>
      <c r="T75" s="13" t="str">
        <f ca="1">IF(Stock!Q71="","",Stock!Q71)</f>
        <v/>
      </c>
      <c r="U75" s="13" t="str">
        <f ca="1">IF(Stock!R71="","",Stock!R71)</f>
        <v/>
      </c>
      <c r="V75" s="13" t="str">
        <f ca="1">IF(Stock!S71="","",Stock!S71)</f>
        <v/>
      </c>
      <c r="W75" s="13" t="str">
        <f ca="1">IF(Stock!T71="","",Stock!T71)</f>
        <v/>
      </c>
      <c r="X75" s="13" t="str">
        <f ca="1">IF(Stock!U71="","",Stock!U71)</f>
        <v/>
      </c>
      <c r="Y75" s="13" t="str">
        <f ca="1">IF(Stock!V71="","",Stock!V71)</f>
        <v/>
      </c>
      <c r="Z75" s="13" t="str">
        <f ca="1">IF(Stock!W71="","",Stock!W71)</f>
        <v/>
      </c>
      <c r="AA75" s="13" t="str">
        <f ca="1">IF(Stock!X71="","",Stock!X71)</f>
        <v/>
      </c>
      <c r="AB75" s="13" t="str">
        <f ca="1">IF(Stock!Y71="","",Stock!Y71)</f>
        <v/>
      </c>
      <c r="AC75" s="13" t="str">
        <f ca="1">IF(Stock!Z71="","",Stock!Z71)</f>
        <v/>
      </c>
      <c r="AD75" s="13" t="str">
        <f ca="1">IF(Stock!AA71="","",Stock!AA71)</f>
        <v/>
      </c>
      <c r="AE75" s="13" t="str">
        <f ca="1">IF(Stock!AB71="","",Stock!AB71)</f>
        <v/>
      </c>
      <c r="AF75" s="13" t="str">
        <f ca="1">IF(Stock!AC71="","",Stock!AC71)</f>
        <v/>
      </c>
      <c r="AG75" s="13" t="str">
        <f ca="1">IF(Stock!AD71="","",Stock!AD71)</f>
        <v/>
      </c>
      <c r="AH75" s="13" t="str">
        <f ca="1">IF(Stock!AE71="","",Stock!AE71)</f>
        <v/>
      </c>
      <c r="AI75" s="13" t="str">
        <f ca="1">IF(Stock!AF71="","",Stock!AF71)</f>
        <v/>
      </c>
      <c r="AJ75" s="13" t="str">
        <f ca="1">IF(Stock!AG71="","",Stock!AG71)</f>
        <v/>
      </c>
      <c r="AK75" s="13" t="str">
        <f ca="1">IF(Stock!AH71="","",Stock!AH71)</f>
        <v/>
      </c>
      <c r="AL75" s="13" t="str">
        <f ca="1">IF(Stock!AI71="","",Stock!AI71)</f>
        <v/>
      </c>
      <c r="AM75" s="13" t="str">
        <f ca="1">IF(Stock!AJ71="","",Stock!AJ71)</f>
        <v/>
      </c>
      <c r="AN75" s="13" t="str">
        <f ca="1">IF(Stock!AK71="","",Stock!AK71)</f>
        <v/>
      </c>
      <c r="AO75" s="13" t="str">
        <f ca="1">IF(Stock!AL71="","",Stock!AL71)</f>
        <v/>
      </c>
      <c r="AP75" s="13" t="str">
        <f ca="1">IF(Stock!AM71="","",Stock!AM71)</f>
        <v/>
      </c>
      <c r="AQ75" s="13" t="str">
        <f ca="1">IF(Stock!AN71="","",Stock!AN71)</f>
        <v/>
      </c>
      <c r="AR75" s="13" t="str">
        <f ca="1">IF(Stock!AO71="","",Stock!AO71)</f>
        <v/>
      </c>
      <c r="AS75" s="13" t="str">
        <f ca="1">IF(Stock!AP71="","",Stock!AP71)</f>
        <v/>
      </c>
      <c r="AT75" s="13" t="str">
        <f ca="1">IF(Stock!AQ71="","",Stock!AQ71)</f>
        <v/>
      </c>
      <c r="AU75" s="13" t="str">
        <f ca="1">IF(Stock!AR71="","",Stock!AR71)</f>
        <v/>
      </c>
      <c r="AV75" s="13" t="str">
        <f ca="1">IF(Stock!AS71="","",Stock!AS71)</f>
        <v/>
      </c>
      <c r="AW75" s="13" t="str">
        <f ca="1">IF(Stock!AT71="","",Stock!AT71)</f>
        <v/>
      </c>
      <c r="AX75" s="13" t="str">
        <f ca="1">IF(Stock!AU71="","",Stock!AU71)</f>
        <v/>
      </c>
      <c r="AY75" s="13" t="str">
        <f ca="1">IF(Stock!AV71="","",Stock!AV71)</f>
        <v/>
      </c>
      <c r="AZ75" s="13" t="str">
        <f ca="1">IF(Stock!AW71="","",Stock!AW71)</f>
        <v/>
      </c>
      <c r="BA75" s="13" t="str">
        <f ca="1">IF(Stock!AX71="","",Stock!AX71)</f>
        <v/>
      </c>
      <c r="BB75" s="13" t="str">
        <f>IF(Stock!AY71="","",Stock!AY71)</f>
        <v/>
      </c>
      <c r="BC75" s="13" t="str">
        <f>IF(Stock!AZ71="","",Stock!AZ71)</f>
        <v/>
      </c>
      <c r="BD75" s="13" t="str">
        <f>IF(Stock!BA71="","",Stock!BA71)</f>
        <v/>
      </c>
      <c r="BE75" s="13" t="str">
        <f>IF(Stock!BB71="","",Stock!BB71)</f>
        <v/>
      </c>
      <c r="BF75" s="13" t="str">
        <f>IF(Stock!BC71="","",Stock!BC71)</f>
        <v/>
      </c>
    </row>
    <row r="76" spans="1:58" ht="14.25" customHeight="1" x14ac:dyDescent="0.3">
      <c r="B76" s="31"/>
      <c r="E76" s="13" t="str">
        <f>IF(Stock!B72="","",Stock!B72)</f>
        <v/>
      </c>
      <c r="F76" s="13" t="str">
        <f ca="1">IF(Stock!C72="","",Stock!C72)</f>
        <v/>
      </c>
      <c r="G76" s="13" t="str">
        <f ca="1">IF(Stock!D72="","",Stock!D72)</f>
        <v/>
      </c>
      <c r="H76" s="13" t="str">
        <f ca="1">IF(Stock!E72="","",Stock!E72)</f>
        <v/>
      </c>
      <c r="I76" s="13" t="str">
        <f ca="1">IF(Stock!F72="","",Stock!F72)</f>
        <v/>
      </c>
      <c r="J76" s="13" t="str">
        <f ca="1">IF(Stock!G72="","",Stock!G72)</f>
        <v/>
      </c>
      <c r="K76" s="13" t="str">
        <f ca="1">IF(Stock!H72="","",Stock!H72)</f>
        <v/>
      </c>
      <c r="L76" s="13" t="str">
        <f ca="1">IF(Stock!I72="","",Stock!I72)</f>
        <v/>
      </c>
      <c r="M76" s="13" t="str">
        <f ca="1">IF(Stock!J72="","",Stock!J72)</f>
        <v/>
      </c>
      <c r="N76" s="13" t="str">
        <f ca="1">IF(Stock!K72="","",Stock!K72)</f>
        <v/>
      </c>
      <c r="O76" s="13" t="str">
        <f ca="1">IF(Stock!L72="","",Stock!L72)</f>
        <v/>
      </c>
      <c r="P76" s="13" t="str">
        <f ca="1">IF(Stock!M72="","",Stock!M72)</f>
        <v/>
      </c>
      <c r="Q76" s="13" t="str">
        <f ca="1">IF(Stock!N72="","",Stock!N72)</f>
        <v/>
      </c>
      <c r="R76" s="13" t="str">
        <f ca="1">IF(Stock!O72="","",Stock!O72)</f>
        <v/>
      </c>
      <c r="S76" s="13" t="str">
        <f ca="1">IF(Stock!P72="","",Stock!P72)</f>
        <v/>
      </c>
      <c r="T76" s="13" t="str">
        <f ca="1">IF(Stock!Q72="","",Stock!Q72)</f>
        <v/>
      </c>
      <c r="U76" s="13" t="str">
        <f ca="1">IF(Stock!R72="","",Stock!R72)</f>
        <v/>
      </c>
      <c r="V76" s="13" t="str">
        <f ca="1">IF(Stock!S72="","",Stock!S72)</f>
        <v/>
      </c>
      <c r="W76" s="13" t="str">
        <f ca="1">IF(Stock!T72="","",Stock!T72)</f>
        <v/>
      </c>
      <c r="X76" s="13" t="str">
        <f ca="1">IF(Stock!U72="","",Stock!U72)</f>
        <v/>
      </c>
      <c r="Y76" s="13" t="str">
        <f ca="1">IF(Stock!V72="","",Stock!V72)</f>
        <v/>
      </c>
      <c r="Z76" s="13" t="str">
        <f ca="1">IF(Stock!W72="","",Stock!W72)</f>
        <v/>
      </c>
      <c r="AA76" s="13" t="str">
        <f ca="1">IF(Stock!X72="","",Stock!X72)</f>
        <v/>
      </c>
      <c r="AB76" s="13" t="str">
        <f ca="1">IF(Stock!Y72="","",Stock!Y72)</f>
        <v/>
      </c>
      <c r="AC76" s="13" t="str">
        <f ca="1">IF(Stock!Z72="","",Stock!Z72)</f>
        <v/>
      </c>
      <c r="AD76" s="13" t="str">
        <f ca="1">IF(Stock!AA72="","",Stock!AA72)</f>
        <v/>
      </c>
      <c r="AE76" s="13" t="str">
        <f ca="1">IF(Stock!AB72="","",Stock!AB72)</f>
        <v/>
      </c>
      <c r="AF76" s="13" t="str">
        <f ca="1">IF(Stock!AC72="","",Stock!AC72)</f>
        <v/>
      </c>
      <c r="AG76" s="13" t="str">
        <f ca="1">IF(Stock!AD72="","",Stock!AD72)</f>
        <v/>
      </c>
      <c r="AH76" s="13" t="str">
        <f ca="1">IF(Stock!AE72="","",Stock!AE72)</f>
        <v/>
      </c>
      <c r="AI76" s="13" t="str">
        <f ca="1">IF(Stock!AF72="","",Stock!AF72)</f>
        <v/>
      </c>
      <c r="AJ76" s="13" t="str">
        <f ca="1">IF(Stock!AG72="","",Stock!AG72)</f>
        <v/>
      </c>
      <c r="AK76" s="13" t="str">
        <f ca="1">IF(Stock!AH72="","",Stock!AH72)</f>
        <v/>
      </c>
      <c r="AL76" s="13" t="str">
        <f ca="1">IF(Stock!AI72="","",Stock!AI72)</f>
        <v/>
      </c>
      <c r="AM76" s="13" t="str">
        <f ca="1">IF(Stock!AJ72="","",Stock!AJ72)</f>
        <v/>
      </c>
      <c r="AN76" s="13" t="str">
        <f ca="1">IF(Stock!AK72="","",Stock!AK72)</f>
        <v/>
      </c>
      <c r="AO76" s="13" t="str">
        <f ca="1">IF(Stock!AL72="","",Stock!AL72)</f>
        <v/>
      </c>
      <c r="AP76" s="13" t="str">
        <f ca="1">IF(Stock!AM72="","",Stock!AM72)</f>
        <v/>
      </c>
      <c r="AQ76" s="13" t="str">
        <f ca="1">IF(Stock!AN72="","",Stock!AN72)</f>
        <v/>
      </c>
      <c r="AR76" s="13" t="str">
        <f ca="1">IF(Stock!AO72="","",Stock!AO72)</f>
        <v/>
      </c>
      <c r="AS76" s="13" t="str">
        <f ca="1">IF(Stock!AP72="","",Stock!AP72)</f>
        <v/>
      </c>
      <c r="AT76" s="13" t="str">
        <f ca="1">IF(Stock!AQ72="","",Stock!AQ72)</f>
        <v/>
      </c>
      <c r="AU76" s="13" t="str">
        <f ca="1">IF(Stock!AR72="","",Stock!AR72)</f>
        <v/>
      </c>
      <c r="AV76" s="13" t="str">
        <f ca="1">IF(Stock!AS72="","",Stock!AS72)</f>
        <v/>
      </c>
      <c r="AW76" s="13" t="str">
        <f ca="1">IF(Stock!AT72="","",Stock!AT72)</f>
        <v/>
      </c>
      <c r="AX76" s="13" t="str">
        <f ca="1">IF(Stock!AU72="","",Stock!AU72)</f>
        <v/>
      </c>
      <c r="AY76" s="13" t="str">
        <f ca="1">IF(Stock!AV72="","",Stock!AV72)</f>
        <v/>
      </c>
      <c r="AZ76" s="13" t="str">
        <f ca="1">IF(Stock!AW72="","",Stock!AW72)</f>
        <v/>
      </c>
      <c r="BA76" s="13" t="str">
        <f ca="1">IF(Stock!AX72="","",Stock!AX72)</f>
        <v/>
      </c>
      <c r="BB76" s="13" t="str">
        <f>IF(Stock!AY72="","",Stock!AY72)</f>
        <v/>
      </c>
      <c r="BC76" s="13" t="str">
        <f>IF(Stock!AZ72="","",Stock!AZ72)</f>
        <v/>
      </c>
      <c r="BD76" s="13" t="str">
        <f>IF(Stock!BA72="","",Stock!BA72)</f>
        <v/>
      </c>
      <c r="BE76" s="13" t="str">
        <f>IF(Stock!BB72="","",Stock!BB72)</f>
        <v/>
      </c>
      <c r="BF76" s="13" t="str">
        <f>IF(Stock!BC72="","",Stock!BC72)</f>
        <v/>
      </c>
    </row>
    <row r="77" spans="1:58" ht="14.25" customHeight="1" x14ac:dyDescent="0.3">
      <c r="B77" s="31"/>
      <c r="E77" s="13" t="str">
        <f>IF(Stock!B73="","",Stock!B73)</f>
        <v/>
      </c>
      <c r="F77" s="13" t="str">
        <f ca="1">IF(Stock!C73="","",Stock!C73)</f>
        <v/>
      </c>
      <c r="G77" s="13" t="str">
        <f ca="1">IF(Stock!D73="","",Stock!D73)</f>
        <v/>
      </c>
      <c r="H77" s="13" t="str">
        <f ca="1">IF(Stock!E73="","",Stock!E73)</f>
        <v/>
      </c>
      <c r="I77" s="13" t="str">
        <f ca="1">IF(Stock!F73="","",Stock!F73)</f>
        <v/>
      </c>
      <c r="J77" s="13" t="str">
        <f ca="1">IF(Stock!G73="","",Stock!G73)</f>
        <v/>
      </c>
      <c r="K77" s="13" t="str">
        <f ca="1">IF(Stock!H73="","",Stock!H73)</f>
        <v/>
      </c>
      <c r="L77" s="13" t="str">
        <f ca="1">IF(Stock!I73="","",Stock!I73)</f>
        <v/>
      </c>
      <c r="M77" s="13" t="str">
        <f ca="1">IF(Stock!J73="","",Stock!J73)</f>
        <v/>
      </c>
      <c r="N77" s="13" t="str">
        <f ca="1">IF(Stock!K73="","",Stock!K73)</f>
        <v/>
      </c>
      <c r="O77" s="13" t="str">
        <f ca="1">IF(Stock!L73="","",Stock!L73)</f>
        <v/>
      </c>
      <c r="P77" s="13" t="str">
        <f ca="1">IF(Stock!M73="","",Stock!M73)</f>
        <v/>
      </c>
      <c r="Q77" s="13" t="str">
        <f ca="1">IF(Stock!N73="","",Stock!N73)</f>
        <v/>
      </c>
      <c r="R77" s="13" t="str">
        <f ca="1">IF(Stock!O73="","",Stock!O73)</f>
        <v/>
      </c>
      <c r="S77" s="13" t="str">
        <f ca="1">IF(Stock!P73="","",Stock!P73)</f>
        <v/>
      </c>
      <c r="T77" s="13" t="str">
        <f ca="1">IF(Stock!Q73="","",Stock!Q73)</f>
        <v/>
      </c>
      <c r="U77" s="13" t="str">
        <f ca="1">IF(Stock!R73="","",Stock!R73)</f>
        <v/>
      </c>
      <c r="V77" s="13" t="str">
        <f ca="1">IF(Stock!S73="","",Stock!S73)</f>
        <v/>
      </c>
      <c r="W77" s="13" t="str">
        <f ca="1">IF(Stock!T73="","",Stock!T73)</f>
        <v/>
      </c>
      <c r="X77" s="13" t="str">
        <f ca="1">IF(Stock!U73="","",Stock!U73)</f>
        <v/>
      </c>
      <c r="Y77" s="13" t="str">
        <f ca="1">IF(Stock!V73="","",Stock!V73)</f>
        <v/>
      </c>
      <c r="Z77" s="13" t="str">
        <f ca="1">IF(Stock!W73="","",Stock!W73)</f>
        <v/>
      </c>
      <c r="AA77" s="13" t="str">
        <f ca="1">IF(Stock!X73="","",Stock!X73)</f>
        <v/>
      </c>
      <c r="AB77" s="13" t="str">
        <f ca="1">IF(Stock!Y73="","",Stock!Y73)</f>
        <v/>
      </c>
      <c r="AC77" s="13" t="str">
        <f ca="1">IF(Stock!Z73="","",Stock!Z73)</f>
        <v/>
      </c>
      <c r="AD77" s="13" t="str">
        <f ca="1">IF(Stock!AA73="","",Stock!AA73)</f>
        <v/>
      </c>
      <c r="AE77" s="13" t="str">
        <f ca="1">IF(Stock!AB73="","",Stock!AB73)</f>
        <v/>
      </c>
      <c r="AF77" s="13" t="str">
        <f ca="1">IF(Stock!AC73="","",Stock!AC73)</f>
        <v/>
      </c>
      <c r="AG77" s="13" t="str">
        <f ca="1">IF(Stock!AD73="","",Stock!AD73)</f>
        <v/>
      </c>
      <c r="AH77" s="13" t="str">
        <f ca="1">IF(Stock!AE73="","",Stock!AE73)</f>
        <v/>
      </c>
      <c r="AI77" s="13" t="str">
        <f ca="1">IF(Stock!AF73="","",Stock!AF73)</f>
        <v/>
      </c>
      <c r="AJ77" s="13" t="str">
        <f ca="1">IF(Stock!AG73="","",Stock!AG73)</f>
        <v/>
      </c>
      <c r="AK77" s="13" t="str">
        <f ca="1">IF(Stock!AH73="","",Stock!AH73)</f>
        <v/>
      </c>
      <c r="AL77" s="13" t="str">
        <f ca="1">IF(Stock!AI73="","",Stock!AI73)</f>
        <v/>
      </c>
      <c r="AM77" s="13" t="str">
        <f ca="1">IF(Stock!AJ73="","",Stock!AJ73)</f>
        <v/>
      </c>
      <c r="AN77" s="13" t="str">
        <f ca="1">IF(Stock!AK73="","",Stock!AK73)</f>
        <v/>
      </c>
      <c r="AO77" s="13" t="str">
        <f ca="1">IF(Stock!AL73="","",Stock!AL73)</f>
        <v/>
      </c>
      <c r="AP77" s="13" t="str">
        <f ca="1">IF(Stock!AM73="","",Stock!AM73)</f>
        <v/>
      </c>
      <c r="AQ77" s="13" t="str">
        <f ca="1">IF(Stock!AN73="","",Stock!AN73)</f>
        <v/>
      </c>
      <c r="AR77" s="13" t="str">
        <f ca="1">IF(Stock!AO73="","",Stock!AO73)</f>
        <v/>
      </c>
      <c r="AS77" s="13" t="str">
        <f ca="1">IF(Stock!AP73="","",Stock!AP73)</f>
        <v/>
      </c>
      <c r="AT77" s="13" t="str">
        <f ca="1">IF(Stock!AQ73="","",Stock!AQ73)</f>
        <v/>
      </c>
      <c r="AU77" s="13" t="str">
        <f ca="1">IF(Stock!AR73="","",Stock!AR73)</f>
        <v/>
      </c>
      <c r="AV77" s="13" t="str">
        <f ca="1">IF(Stock!AS73="","",Stock!AS73)</f>
        <v/>
      </c>
      <c r="AW77" s="13" t="str">
        <f ca="1">IF(Stock!AT73="","",Stock!AT73)</f>
        <v/>
      </c>
      <c r="AX77" s="13" t="str">
        <f ca="1">IF(Stock!AU73="","",Stock!AU73)</f>
        <v/>
      </c>
      <c r="AY77" s="13" t="str">
        <f ca="1">IF(Stock!AV73="","",Stock!AV73)</f>
        <v/>
      </c>
      <c r="AZ77" s="13" t="str">
        <f ca="1">IF(Stock!AW73="","",Stock!AW73)</f>
        <v/>
      </c>
      <c r="BA77" s="13" t="str">
        <f ca="1">IF(Stock!AX73="","",Stock!AX73)</f>
        <v/>
      </c>
      <c r="BB77" s="13" t="str">
        <f>IF(Stock!AY73="","",Stock!AY73)</f>
        <v/>
      </c>
      <c r="BC77" s="13" t="str">
        <f>IF(Stock!AZ73="","",Stock!AZ73)</f>
        <v/>
      </c>
      <c r="BD77" s="13" t="str">
        <f>IF(Stock!BA73="","",Stock!BA73)</f>
        <v/>
      </c>
      <c r="BE77" s="13" t="str">
        <f>IF(Stock!BB73="","",Stock!BB73)</f>
        <v/>
      </c>
      <c r="BF77" s="13" t="str">
        <f>IF(Stock!BC73="","",Stock!BC73)</f>
        <v/>
      </c>
    </row>
    <row r="78" spans="1:58" ht="14.25" customHeight="1" x14ac:dyDescent="0.3">
      <c r="B78" s="31"/>
      <c r="E78" s="13" t="str">
        <f>IF(Stock!B74="","",Stock!B74)</f>
        <v/>
      </c>
      <c r="F78" s="13" t="str">
        <f ca="1">IF(Stock!C74="","",Stock!C74)</f>
        <v/>
      </c>
      <c r="G78" s="13" t="str">
        <f ca="1">IF(Stock!D74="","",Stock!D74)</f>
        <v/>
      </c>
      <c r="H78" s="13" t="str">
        <f ca="1">IF(Stock!E74="","",Stock!E74)</f>
        <v/>
      </c>
      <c r="I78" s="13" t="str">
        <f ca="1">IF(Stock!F74="","",Stock!F74)</f>
        <v/>
      </c>
      <c r="J78" s="13" t="str">
        <f ca="1">IF(Stock!G74="","",Stock!G74)</f>
        <v/>
      </c>
      <c r="K78" s="13" t="str">
        <f ca="1">IF(Stock!H74="","",Stock!H74)</f>
        <v/>
      </c>
      <c r="L78" s="13" t="str">
        <f ca="1">IF(Stock!I74="","",Stock!I74)</f>
        <v/>
      </c>
      <c r="M78" s="13" t="str">
        <f ca="1">IF(Stock!J74="","",Stock!J74)</f>
        <v/>
      </c>
      <c r="N78" s="13" t="str">
        <f ca="1">IF(Stock!K74="","",Stock!K74)</f>
        <v/>
      </c>
      <c r="O78" s="13" t="str">
        <f ca="1">IF(Stock!L74="","",Stock!L74)</f>
        <v/>
      </c>
      <c r="P78" s="13" t="str">
        <f ca="1">IF(Stock!M74="","",Stock!M74)</f>
        <v/>
      </c>
      <c r="Q78" s="13" t="str">
        <f ca="1">IF(Stock!N74="","",Stock!N74)</f>
        <v/>
      </c>
      <c r="R78" s="13" t="str">
        <f ca="1">IF(Stock!O74="","",Stock!O74)</f>
        <v/>
      </c>
      <c r="S78" s="13" t="str">
        <f ca="1">IF(Stock!P74="","",Stock!P74)</f>
        <v/>
      </c>
      <c r="T78" s="13" t="str">
        <f ca="1">IF(Stock!Q74="","",Stock!Q74)</f>
        <v/>
      </c>
      <c r="U78" s="13" t="str">
        <f ca="1">IF(Stock!R74="","",Stock!R74)</f>
        <v/>
      </c>
      <c r="V78" s="13" t="str">
        <f ca="1">IF(Stock!S74="","",Stock!S74)</f>
        <v/>
      </c>
      <c r="W78" s="13" t="str">
        <f ca="1">IF(Stock!T74="","",Stock!T74)</f>
        <v/>
      </c>
      <c r="X78" s="13" t="str">
        <f ca="1">IF(Stock!U74="","",Stock!U74)</f>
        <v/>
      </c>
      <c r="Y78" s="13" t="str">
        <f ca="1">IF(Stock!V74="","",Stock!V74)</f>
        <v/>
      </c>
      <c r="Z78" s="13" t="str">
        <f ca="1">IF(Stock!W74="","",Stock!W74)</f>
        <v/>
      </c>
      <c r="AA78" s="13" t="str">
        <f ca="1">IF(Stock!X74="","",Stock!X74)</f>
        <v/>
      </c>
      <c r="AB78" s="13" t="str">
        <f ca="1">IF(Stock!Y74="","",Stock!Y74)</f>
        <v/>
      </c>
      <c r="AC78" s="13" t="str">
        <f ca="1">IF(Stock!Z74="","",Stock!Z74)</f>
        <v/>
      </c>
      <c r="AD78" s="13" t="str">
        <f ca="1">IF(Stock!AA74="","",Stock!AA74)</f>
        <v/>
      </c>
      <c r="AE78" s="13" t="str">
        <f ca="1">IF(Stock!AB74="","",Stock!AB74)</f>
        <v/>
      </c>
      <c r="AF78" s="13" t="str">
        <f ca="1">IF(Stock!AC74="","",Stock!AC74)</f>
        <v/>
      </c>
      <c r="AG78" s="13" t="str">
        <f ca="1">IF(Stock!AD74="","",Stock!AD74)</f>
        <v/>
      </c>
      <c r="AH78" s="13" t="str">
        <f ca="1">IF(Stock!AE74="","",Stock!AE74)</f>
        <v/>
      </c>
      <c r="AI78" s="13" t="str">
        <f ca="1">IF(Stock!AF74="","",Stock!AF74)</f>
        <v/>
      </c>
      <c r="AJ78" s="13" t="str">
        <f ca="1">IF(Stock!AG74="","",Stock!AG74)</f>
        <v/>
      </c>
      <c r="AK78" s="13" t="str">
        <f ca="1">IF(Stock!AH74="","",Stock!AH74)</f>
        <v/>
      </c>
      <c r="AL78" s="13" t="str">
        <f ca="1">IF(Stock!AI74="","",Stock!AI74)</f>
        <v/>
      </c>
      <c r="AM78" s="13" t="str">
        <f ca="1">IF(Stock!AJ74="","",Stock!AJ74)</f>
        <v/>
      </c>
      <c r="AN78" s="13" t="str">
        <f ca="1">IF(Stock!AK74="","",Stock!AK74)</f>
        <v/>
      </c>
      <c r="AO78" s="13" t="str">
        <f ca="1">IF(Stock!AL74="","",Stock!AL74)</f>
        <v/>
      </c>
      <c r="AP78" s="13" t="str">
        <f ca="1">IF(Stock!AM74="","",Stock!AM74)</f>
        <v/>
      </c>
      <c r="AQ78" s="13" t="str">
        <f ca="1">IF(Stock!AN74="","",Stock!AN74)</f>
        <v/>
      </c>
      <c r="AR78" s="13" t="str">
        <f ca="1">IF(Stock!AO74="","",Stock!AO74)</f>
        <v/>
      </c>
      <c r="AS78" s="13" t="str">
        <f ca="1">IF(Stock!AP74="","",Stock!AP74)</f>
        <v/>
      </c>
      <c r="AT78" s="13" t="str">
        <f ca="1">IF(Stock!AQ74="","",Stock!AQ74)</f>
        <v/>
      </c>
      <c r="AU78" s="13" t="str">
        <f ca="1">IF(Stock!AR74="","",Stock!AR74)</f>
        <v/>
      </c>
      <c r="AV78" s="13" t="str">
        <f ca="1">IF(Stock!AS74="","",Stock!AS74)</f>
        <v/>
      </c>
      <c r="AW78" s="13" t="str">
        <f ca="1">IF(Stock!AT74="","",Stock!AT74)</f>
        <v/>
      </c>
      <c r="AX78" s="13" t="str">
        <f ca="1">IF(Stock!AU74="","",Stock!AU74)</f>
        <v/>
      </c>
      <c r="AY78" s="13" t="str">
        <f ca="1">IF(Stock!AV74="","",Stock!AV74)</f>
        <v/>
      </c>
      <c r="AZ78" s="13" t="str">
        <f ca="1">IF(Stock!AW74="","",Stock!AW74)</f>
        <v/>
      </c>
      <c r="BA78" s="13" t="str">
        <f ca="1">IF(Stock!AX74="","",Stock!AX74)</f>
        <v/>
      </c>
      <c r="BB78" s="13" t="str">
        <f>IF(Stock!AY74="","",Stock!AY74)</f>
        <v/>
      </c>
      <c r="BC78" s="13" t="str">
        <f>IF(Stock!AZ74="","",Stock!AZ74)</f>
        <v/>
      </c>
      <c r="BD78" s="13" t="str">
        <f>IF(Stock!BA74="","",Stock!BA74)</f>
        <v/>
      </c>
      <c r="BE78" s="13" t="str">
        <f>IF(Stock!BB74="","",Stock!BB74)</f>
        <v/>
      </c>
      <c r="BF78" s="13" t="str">
        <f>IF(Stock!BC74="","",Stock!BC74)</f>
        <v/>
      </c>
    </row>
    <row r="79" spans="1:58" ht="14.25" customHeight="1" x14ac:dyDescent="0.3">
      <c r="B79" s="31"/>
      <c r="E79" s="13" t="str">
        <f>IF(Stock!B75="","",Stock!B75)</f>
        <v/>
      </c>
      <c r="F79" s="13" t="str">
        <f ca="1">IF(Stock!C75="","",Stock!C75)</f>
        <v/>
      </c>
      <c r="G79" s="13" t="str">
        <f ca="1">IF(Stock!D75="","",Stock!D75)</f>
        <v/>
      </c>
      <c r="H79" s="13" t="str">
        <f ca="1">IF(Stock!E75="","",Stock!E75)</f>
        <v/>
      </c>
      <c r="I79" s="13" t="str">
        <f ca="1">IF(Stock!F75="","",Stock!F75)</f>
        <v/>
      </c>
      <c r="J79" s="13" t="str">
        <f ca="1">IF(Stock!G75="","",Stock!G75)</f>
        <v/>
      </c>
      <c r="K79" s="13" t="str">
        <f ca="1">IF(Stock!H75="","",Stock!H75)</f>
        <v/>
      </c>
      <c r="L79" s="13" t="str">
        <f ca="1">IF(Stock!I75="","",Stock!I75)</f>
        <v/>
      </c>
      <c r="M79" s="13" t="str">
        <f ca="1">IF(Stock!J75="","",Stock!J75)</f>
        <v/>
      </c>
      <c r="N79" s="13" t="str">
        <f ca="1">IF(Stock!K75="","",Stock!K75)</f>
        <v/>
      </c>
      <c r="O79" s="13" t="str">
        <f ca="1">IF(Stock!L75="","",Stock!L75)</f>
        <v/>
      </c>
      <c r="P79" s="13" t="str">
        <f ca="1">IF(Stock!M75="","",Stock!M75)</f>
        <v/>
      </c>
      <c r="Q79" s="13" t="str">
        <f ca="1">IF(Stock!N75="","",Stock!N75)</f>
        <v/>
      </c>
      <c r="R79" s="13" t="str">
        <f ca="1">IF(Stock!O75="","",Stock!O75)</f>
        <v/>
      </c>
      <c r="S79" s="13" t="str">
        <f ca="1">IF(Stock!P75="","",Stock!P75)</f>
        <v/>
      </c>
      <c r="T79" s="13" t="str">
        <f ca="1">IF(Stock!Q75="","",Stock!Q75)</f>
        <v/>
      </c>
      <c r="U79" s="13" t="str">
        <f ca="1">IF(Stock!R75="","",Stock!R75)</f>
        <v/>
      </c>
      <c r="V79" s="13" t="str">
        <f ca="1">IF(Stock!S75="","",Stock!S75)</f>
        <v/>
      </c>
      <c r="W79" s="13" t="str">
        <f ca="1">IF(Stock!T75="","",Stock!T75)</f>
        <v/>
      </c>
      <c r="X79" s="13" t="str">
        <f ca="1">IF(Stock!U75="","",Stock!U75)</f>
        <v/>
      </c>
      <c r="Y79" s="13" t="str">
        <f ca="1">IF(Stock!V75="","",Stock!V75)</f>
        <v/>
      </c>
      <c r="Z79" s="13" t="str">
        <f ca="1">IF(Stock!W75="","",Stock!W75)</f>
        <v/>
      </c>
      <c r="AA79" s="13" t="str">
        <f ca="1">IF(Stock!X75="","",Stock!X75)</f>
        <v/>
      </c>
      <c r="AB79" s="13" t="str">
        <f ca="1">IF(Stock!Y75="","",Stock!Y75)</f>
        <v/>
      </c>
      <c r="AC79" s="13" t="str">
        <f ca="1">IF(Stock!Z75="","",Stock!Z75)</f>
        <v/>
      </c>
      <c r="AD79" s="13" t="str">
        <f ca="1">IF(Stock!AA75="","",Stock!AA75)</f>
        <v/>
      </c>
      <c r="AE79" s="13" t="str">
        <f ca="1">IF(Stock!AB75="","",Stock!AB75)</f>
        <v/>
      </c>
      <c r="AF79" s="13" t="str">
        <f ca="1">IF(Stock!AC75="","",Stock!AC75)</f>
        <v/>
      </c>
      <c r="AG79" s="13" t="str">
        <f ca="1">IF(Stock!AD75="","",Stock!AD75)</f>
        <v/>
      </c>
      <c r="AH79" s="13" t="str">
        <f ca="1">IF(Stock!AE75="","",Stock!AE75)</f>
        <v/>
      </c>
      <c r="AI79" s="13" t="str">
        <f ca="1">IF(Stock!AF75="","",Stock!AF75)</f>
        <v/>
      </c>
      <c r="AJ79" s="13" t="str">
        <f ca="1">IF(Stock!AG75="","",Stock!AG75)</f>
        <v/>
      </c>
      <c r="AK79" s="13" t="str">
        <f ca="1">IF(Stock!AH75="","",Stock!AH75)</f>
        <v/>
      </c>
      <c r="AL79" s="13" t="str">
        <f ca="1">IF(Stock!AI75="","",Stock!AI75)</f>
        <v/>
      </c>
      <c r="AM79" s="13" t="str">
        <f ca="1">IF(Stock!AJ75="","",Stock!AJ75)</f>
        <v/>
      </c>
      <c r="AN79" s="13" t="str">
        <f ca="1">IF(Stock!AK75="","",Stock!AK75)</f>
        <v/>
      </c>
      <c r="AO79" s="13" t="str">
        <f ca="1">IF(Stock!AL75="","",Stock!AL75)</f>
        <v/>
      </c>
      <c r="AP79" s="13" t="str">
        <f ca="1">IF(Stock!AM75="","",Stock!AM75)</f>
        <v/>
      </c>
      <c r="AQ79" s="13" t="str">
        <f ca="1">IF(Stock!AN75="","",Stock!AN75)</f>
        <v/>
      </c>
      <c r="AR79" s="13" t="str">
        <f ca="1">IF(Stock!AO75="","",Stock!AO75)</f>
        <v/>
      </c>
      <c r="AS79" s="13" t="str">
        <f ca="1">IF(Stock!AP75="","",Stock!AP75)</f>
        <v/>
      </c>
      <c r="AT79" s="13" t="str">
        <f ca="1">IF(Stock!AQ75="","",Stock!AQ75)</f>
        <v/>
      </c>
      <c r="AU79" s="13" t="str">
        <f ca="1">IF(Stock!AR75="","",Stock!AR75)</f>
        <v/>
      </c>
      <c r="AV79" s="13" t="str">
        <f ca="1">IF(Stock!AS75="","",Stock!AS75)</f>
        <v/>
      </c>
      <c r="AW79" s="13" t="str">
        <f ca="1">IF(Stock!AT75="","",Stock!AT75)</f>
        <v/>
      </c>
      <c r="AX79" s="13" t="str">
        <f ca="1">IF(Stock!AU75="","",Stock!AU75)</f>
        <v/>
      </c>
      <c r="AY79" s="13" t="str">
        <f ca="1">IF(Stock!AV75="","",Stock!AV75)</f>
        <v/>
      </c>
      <c r="AZ79" s="13" t="str">
        <f ca="1">IF(Stock!AW75="","",Stock!AW75)</f>
        <v/>
      </c>
      <c r="BA79" s="13" t="str">
        <f ca="1">IF(Stock!AX75="","",Stock!AX75)</f>
        <v/>
      </c>
      <c r="BB79" s="13" t="str">
        <f>IF(Stock!AY75="","",Stock!AY75)</f>
        <v/>
      </c>
      <c r="BC79" s="13" t="str">
        <f>IF(Stock!AZ75="","",Stock!AZ75)</f>
        <v/>
      </c>
      <c r="BD79" s="13" t="str">
        <f>IF(Stock!BA75="","",Stock!BA75)</f>
        <v/>
      </c>
      <c r="BE79" s="13" t="str">
        <f>IF(Stock!BB75="","",Stock!BB75)</f>
        <v/>
      </c>
      <c r="BF79" s="13" t="str">
        <f>IF(Stock!BC75="","",Stock!BC75)</f>
        <v/>
      </c>
    </row>
    <row r="80" spans="1:58" ht="14.25" customHeight="1" x14ac:dyDescent="0.3">
      <c r="B80" s="31"/>
      <c r="E80" s="13" t="str">
        <f>IF(Stock!B76="","",Stock!B76)</f>
        <v/>
      </c>
      <c r="F80" s="13" t="str">
        <f ca="1">IF(Stock!C76="","",Stock!C76)</f>
        <v/>
      </c>
      <c r="G80" s="13" t="str">
        <f ca="1">IF(Stock!D76="","",Stock!D76)</f>
        <v/>
      </c>
      <c r="H80" s="13" t="str">
        <f ca="1">IF(Stock!E76="","",Stock!E76)</f>
        <v/>
      </c>
      <c r="I80" s="13" t="str">
        <f ca="1">IF(Stock!F76="","",Stock!F76)</f>
        <v/>
      </c>
      <c r="J80" s="13" t="str">
        <f ca="1">IF(Stock!G76="","",Stock!G76)</f>
        <v/>
      </c>
      <c r="K80" s="13" t="str">
        <f ca="1">IF(Stock!H76="","",Stock!H76)</f>
        <v/>
      </c>
      <c r="L80" s="13" t="str">
        <f ca="1">IF(Stock!I76="","",Stock!I76)</f>
        <v/>
      </c>
      <c r="M80" s="13" t="str">
        <f ca="1">IF(Stock!J76="","",Stock!J76)</f>
        <v/>
      </c>
      <c r="N80" s="13" t="str">
        <f ca="1">IF(Stock!K76="","",Stock!K76)</f>
        <v/>
      </c>
      <c r="O80" s="13" t="str">
        <f ca="1">IF(Stock!L76="","",Stock!L76)</f>
        <v/>
      </c>
      <c r="P80" s="13" t="str">
        <f ca="1">IF(Stock!M76="","",Stock!M76)</f>
        <v/>
      </c>
      <c r="Q80" s="13" t="str">
        <f ca="1">IF(Stock!N76="","",Stock!N76)</f>
        <v/>
      </c>
      <c r="R80" s="13" t="str">
        <f ca="1">IF(Stock!O76="","",Stock!O76)</f>
        <v/>
      </c>
      <c r="S80" s="13" t="str">
        <f ca="1">IF(Stock!P76="","",Stock!P76)</f>
        <v/>
      </c>
      <c r="T80" s="13" t="str">
        <f ca="1">IF(Stock!Q76="","",Stock!Q76)</f>
        <v/>
      </c>
      <c r="U80" s="13" t="str">
        <f ca="1">IF(Stock!R76="","",Stock!R76)</f>
        <v/>
      </c>
      <c r="V80" s="13" t="str">
        <f ca="1">IF(Stock!S76="","",Stock!S76)</f>
        <v/>
      </c>
      <c r="W80" s="13" t="str">
        <f ca="1">IF(Stock!T76="","",Stock!T76)</f>
        <v/>
      </c>
      <c r="X80" s="13" t="str">
        <f ca="1">IF(Stock!U76="","",Stock!U76)</f>
        <v/>
      </c>
      <c r="Y80" s="13" t="str">
        <f ca="1">IF(Stock!V76="","",Stock!V76)</f>
        <v/>
      </c>
      <c r="Z80" s="13" t="str">
        <f ca="1">IF(Stock!W76="","",Stock!W76)</f>
        <v/>
      </c>
      <c r="AA80" s="13" t="str">
        <f ca="1">IF(Stock!X76="","",Stock!X76)</f>
        <v/>
      </c>
      <c r="AB80" s="13" t="str">
        <f ca="1">IF(Stock!Y76="","",Stock!Y76)</f>
        <v/>
      </c>
      <c r="AC80" s="13" t="str">
        <f ca="1">IF(Stock!Z76="","",Stock!Z76)</f>
        <v/>
      </c>
      <c r="AD80" s="13" t="str">
        <f ca="1">IF(Stock!AA76="","",Stock!AA76)</f>
        <v/>
      </c>
      <c r="AE80" s="13" t="str">
        <f ca="1">IF(Stock!AB76="","",Stock!AB76)</f>
        <v/>
      </c>
      <c r="AF80" s="13" t="str">
        <f ca="1">IF(Stock!AC76="","",Stock!AC76)</f>
        <v/>
      </c>
      <c r="AG80" s="13" t="str">
        <f ca="1">IF(Stock!AD76="","",Stock!AD76)</f>
        <v/>
      </c>
      <c r="AH80" s="13" t="str">
        <f ca="1">IF(Stock!AE76="","",Stock!AE76)</f>
        <v/>
      </c>
      <c r="AI80" s="13" t="str">
        <f ca="1">IF(Stock!AF76="","",Stock!AF76)</f>
        <v/>
      </c>
      <c r="AJ80" s="13" t="str">
        <f ca="1">IF(Stock!AG76="","",Stock!AG76)</f>
        <v/>
      </c>
      <c r="AK80" s="13" t="str">
        <f ca="1">IF(Stock!AH76="","",Stock!AH76)</f>
        <v/>
      </c>
      <c r="AL80" s="13" t="str">
        <f ca="1">IF(Stock!AI76="","",Stock!AI76)</f>
        <v/>
      </c>
      <c r="AM80" s="13" t="str">
        <f ca="1">IF(Stock!AJ76="","",Stock!AJ76)</f>
        <v/>
      </c>
      <c r="AN80" s="13" t="str">
        <f ca="1">IF(Stock!AK76="","",Stock!AK76)</f>
        <v/>
      </c>
      <c r="AO80" s="13" t="str">
        <f ca="1">IF(Stock!AL76="","",Stock!AL76)</f>
        <v/>
      </c>
      <c r="AP80" s="13" t="str">
        <f ca="1">IF(Stock!AM76="","",Stock!AM76)</f>
        <v/>
      </c>
      <c r="AQ80" s="13" t="str">
        <f ca="1">IF(Stock!AN76="","",Stock!AN76)</f>
        <v/>
      </c>
      <c r="AR80" s="13" t="str">
        <f ca="1">IF(Stock!AO76="","",Stock!AO76)</f>
        <v/>
      </c>
      <c r="AS80" s="13" t="str">
        <f ca="1">IF(Stock!AP76="","",Stock!AP76)</f>
        <v/>
      </c>
      <c r="AT80" s="13" t="str">
        <f ca="1">IF(Stock!AQ76="","",Stock!AQ76)</f>
        <v/>
      </c>
      <c r="AU80" s="13" t="str">
        <f ca="1">IF(Stock!AR76="","",Stock!AR76)</f>
        <v/>
      </c>
      <c r="AV80" s="13" t="str">
        <f ca="1">IF(Stock!AS76="","",Stock!AS76)</f>
        <v/>
      </c>
      <c r="AW80" s="13" t="str">
        <f ca="1">IF(Stock!AT76="","",Stock!AT76)</f>
        <v/>
      </c>
      <c r="AX80" s="13" t="str">
        <f ca="1">IF(Stock!AU76="","",Stock!AU76)</f>
        <v/>
      </c>
      <c r="AY80" s="13" t="str">
        <f ca="1">IF(Stock!AV76="","",Stock!AV76)</f>
        <v/>
      </c>
      <c r="AZ80" s="13" t="str">
        <f ca="1">IF(Stock!AW76="","",Stock!AW76)</f>
        <v/>
      </c>
      <c r="BA80" s="13" t="str">
        <f ca="1">IF(Stock!AX76="","",Stock!AX76)</f>
        <v/>
      </c>
      <c r="BB80" s="13" t="str">
        <f>IF(Stock!AY76="","",Stock!AY76)</f>
        <v/>
      </c>
      <c r="BC80" s="13" t="str">
        <f>IF(Stock!AZ76="","",Stock!AZ76)</f>
        <v/>
      </c>
      <c r="BD80" s="13" t="str">
        <f>IF(Stock!BA76="","",Stock!BA76)</f>
        <v/>
      </c>
      <c r="BE80" s="13" t="str">
        <f>IF(Stock!BB76="","",Stock!BB76)</f>
        <v/>
      </c>
      <c r="BF80" s="13" t="str">
        <f>IF(Stock!BC76="","",Stock!BC76)</f>
        <v/>
      </c>
    </row>
    <row r="81" spans="2:58" ht="14.25" customHeight="1" x14ac:dyDescent="0.3">
      <c r="B81" s="31"/>
      <c r="E81" s="13" t="str">
        <f>IF(Stock!B77="","",Stock!B77)</f>
        <v/>
      </c>
      <c r="F81" s="13" t="str">
        <f ca="1">IF(Stock!C77="","",Stock!C77)</f>
        <v/>
      </c>
      <c r="G81" s="13" t="str">
        <f ca="1">IF(Stock!D77="","",Stock!D77)</f>
        <v/>
      </c>
      <c r="H81" s="13" t="str">
        <f ca="1">IF(Stock!E77="","",Stock!E77)</f>
        <v/>
      </c>
      <c r="I81" s="13" t="str">
        <f ca="1">IF(Stock!F77="","",Stock!F77)</f>
        <v/>
      </c>
      <c r="J81" s="13" t="str">
        <f ca="1">IF(Stock!G77="","",Stock!G77)</f>
        <v/>
      </c>
      <c r="K81" s="13" t="str">
        <f ca="1">IF(Stock!H77="","",Stock!H77)</f>
        <v/>
      </c>
      <c r="L81" s="13" t="str">
        <f ca="1">IF(Stock!I77="","",Stock!I77)</f>
        <v/>
      </c>
      <c r="M81" s="13" t="str">
        <f ca="1">IF(Stock!J77="","",Stock!J77)</f>
        <v/>
      </c>
      <c r="N81" s="13" t="str">
        <f ca="1">IF(Stock!K77="","",Stock!K77)</f>
        <v/>
      </c>
      <c r="O81" s="13" t="str">
        <f ca="1">IF(Stock!L77="","",Stock!L77)</f>
        <v/>
      </c>
      <c r="P81" s="13" t="str">
        <f ca="1">IF(Stock!M77="","",Stock!M77)</f>
        <v/>
      </c>
      <c r="Q81" s="13" t="str">
        <f ca="1">IF(Stock!N77="","",Stock!N77)</f>
        <v/>
      </c>
      <c r="R81" s="13" t="str">
        <f ca="1">IF(Stock!O77="","",Stock!O77)</f>
        <v/>
      </c>
      <c r="S81" s="13" t="str">
        <f ca="1">IF(Stock!P77="","",Stock!P77)</f>
        <v/>
      </c>
      <c r="T81" s="13" t="str">
        <f ca="1">IF(Stock!Q77="","",Stock!Q77)</f>
        <v/>
      </c>
      <c r="U81" s="13" t="str">
        <f ca="1">IF(Stock!R77="","",Stock!R77)</f>
        <v/>
      </c>
      <c r="V81" s="13" t="str">
        <f ca="1">IF(Stock!S77="","",Stock!S77)</f>
        <v/>
      </c>
      <c r="W81" s="13" t="str">
        <f ca="1">IF(Stock!T77="","",Stock!T77)</f>
        <v/>
      </c>
      <c r="X81" s="13" t="str">
        <f ca="1">IF(Stock!U77="","",Stock!U77)</f>
        <v/>
      </c>
      <c r="Y81" s="13" t="str">
        <f ca="1">IF(Stock!V77="","",Stock!V77)</f>
        <v/>
      </c>
      <c r="Z81" s="13" t="str">
        <f ca="1">IF(Stock!W77="","",Stock!W77)</f>
        <v/>
      </c>
      <c r="AA81" s="13" t="str">
        <f ca="1">IF(Stock!X77="","",Stock!X77)</f>
        <v/>
      </c>
      <c r="AB81" s="13" t="str">
        <f ca="1">IF(Stock!Y77="","",Stock!Y77)</f>
        <v/>
      </c>
      <c r="AC81" s="13" t="str">
        <f ca="1">IF(Stock!Z77="","",Stock!Z77)</f>
        <v/>
      </c>
      <c r="AD81" s="13" t="str">
        <f ca="1">IF(Stock!AA77="","",Stock!AA77)</f>
        <v/>
      </c>
      <c r="AE81" s="13" t="str">
        <f ca="1">IF(Stock!AB77="","",Stock!AB77)</f>
        <v/>
      </c>
      <c r="AF81" s="13" t="str">
        <f ca="1">IF(Stock!AC77="","",Stock!AC77)</f>
        <v/>
      </c>
      <c r="AG81" s="13" t="str">
        <f ca="1">IF(Stock!AD77="","",Stock!AD77)</f>
        <v/>
      </c>
      <c r="AH81" s="13" t="str">
        <f ca="1">IF(Stock!AE77="","",Stock!AE77)</f>
        <v/>
      </c>
      <c r="AI81" s="13" t="str">
        <f ca="1">IF(Stock!AF77="","",Stock!AF77)</f>
        <v/>
      </c>
      <c r="AJ81" s="13" t="str">
        <f ca="1">IF(Stock!AG77="","",Stock!AG77)</f>
        <v/>
      </c>
      <c r="AK81" s="13" t="str">
        <f ca="1">IF(Stock!AH77="","",Stock!AH77)</f>
        <v/>
      </c>
      <c r="AL81" s="13" t="str">
        <f ca="1">IF(Stock!AI77="","",Stock!AI77)</f>
        <v/>
      </c>
      <c r="AM81" s="13" t="str">
        <f ca="1">IF(Stock!AJ77="","",Stock!AJ77)</f>
        <v/>
      </c>
      <c r="AN81" s="13" t="str">
        <f ca="1">IF(Stock!AK77="","",Stock!AK77)</f>
        <v/>
      </c>
      <c r="AO81" s="13" t="str">
        <f ca="1">IF(Stock!AL77="","",Stock!AL77)</f>
        <v/>
      </c>
      <c r="AP81" s="13" t="str">
        <f ca="1">IF(Stock!AM77="","",Stock!AM77)</f>
        <v/>
      </c>
      <c r="AQ81" s="13" t="str">
        <f ca="1">IF(Stock!AN77="","",Stock!AN77)</f>
        <v/>
      </c>
      <c r="AR81" s="13" t="str">
        <f ca="1">IF(Stock!AO77="","",Stock!AO77)</f>
        <v/>
      </c>
      <c r="AS81" s="13" t="str">
        <f ca="1">IF(Stock!AP77="","",Stock!AP77)</f>
        <v/>
      </c>
      <c r="AT81" s="13" t="str">
        <f ca="1">IF(Stock!AQ77="","",Stock!AQ77)</f>
        <v/>
      </c>
      <c r="AU81" s="13" t="str">
        <f ca="1">IF(Stock!AR77="","",Stock!AR77)</f>
        <v/>
      </c>
      <c r="AV81" s="13" t="str">
        <f ca="1">IF(Stock!AS77="","",Stock!AS77)</f>
        <v/>
      </c>
      <c r="AW81" s="13" t="str">
        <f ca="1">IF(Stock!AT77="","",Stock!AT77)</f>
        <v/>
      </c>
      <c r="AX81" s="13" t="str">
        <f ca="1">IF(Stock!AU77="","",Stock!AU77)</f>
        <v/>
      </c>
      <c r="AY81" s="13" t="str">
        <f ca="1">IF(Stock!AV77="","",Stock!AV77)</f>
        <v/>
      </c>
      <c r="AZ81" s="13" t="str">
        <f ca="1">IF(Stock!AW77="","",Stock!AW77)</f>
        <v/>
      </c>
      <c r="BA81" s="13" t="str">
        <f ca="1">IF(Stock!AX77="","",Stock!AX77)</f>
        <v/>
      </c>
      <c r="BB81" s="13" t="str">
        <f>IF(Stock!AY77="","",Stock!AY77)</f>
        <v/>
      </c>
      <c r="BC81" s="13" t="str">
        <f>IF(Stock!AZ77="","",Stock!AZ77)</f>
        <v/>
      </c>
      <c r="BD81" s="13" t="str">
        <f>IF(Stock!BA77="","",Stock!BA77)</f>
        <v/>
      </c>
      <c r="BE81" s="13" t="str">
        <f>IF(Stock!BB77="","",Stock!BB77)</f>
        <v/>
      </c>
      <c r="BF81" s="13" t="str">
        <f>IF(Stock!BC77="","",Stock!BC77)</f>
        <v/>
      </c>
    </row>
    <row r="82" spans="2:58" ht="14.25" customHeight="1" x14ac:dyDescent="0.3">
      <c r="B82" s="31"/>
      <c r="E82" s="13" t="str">
        <f>IF(Stock!B78="","",Stock!B78)</f>
        <v/>
      </c>
      <c r="F82" s="13" t="str">
        <f ca="1">IF(Stock!C78="","",Stock!C78)</f>
        <v/>
      </c>
      <c r="G82" s="13" t="str">
        <f ca="1">IF(Stock!D78="","",Stock!D78)</f>
        <v/>
      </c>
      <c r="H82" s="13" t="str">
        <f ca="1">IF(Stock!E78="","",Stock!E78)</f>
        <v/>
      </c>
      <c r="I82" s="13" t="str">
        <f ca="1">IF(Stock!F78="","",Stock!F78)</f>
        <v/>
      </c>
      <c r="J82" s="13" t="str">
        <f ca="1">IF(Stock!G78="","",Stock!G78)</f>
        <v/>
      </c>
      <c r="K82" s="13" t="str">
        <f ca="1">IF(Stock!H78="","",Stock!H78)</f>
        <v/>
      </c>
      <c r="L82" s="13" t="str">
        <f ca="1">IF(Stock!I78="","",Stock!I78)</f>
        <v/>
      </c>
      <c r="M82" s="13" t="str">
        <f ca="1">IF(Stock!J78="","",Stock!J78)</f>
        <v/>
      </c>
      <c r="N82" s="13" t="str">
        <f ca="1">IF(Stock!K78="","",Stock!K78)</f>
        <v/>
      </c>
      <c r="O82" s="13" t="str">
        <f ca="1">IF(Stock!L78="","",Stock!L78)</f>
        <v/>
      </c>
      <c r="P82" s="13" t="str">
        <f ca="1">IF(Stock!M78="","",Stock!M78)</f>
        <v/>
      </c>
      <c r="Q82" s="13" t="str">
        <f ca="1">IF(Stock!N78="","",Stock!N78)</f>
        <v/>
      </c>
      <c r="R82" s="13" t="str">
        <f ca="1">IF(Stock!O78="","",Stock!O78)</f>
        <v/>
      </c>
      <c r="S82" s="13" t="str">
        <f ca="1">IF(Stock!P78="","",Stock!P78)</f>
        <v/>
      </c>
      <c r="T82" s="13" t="str">
        <f ca="1">IF(Stock!Q78="","",Stock!Q78)</f>
        <v/>
      </c>
      <c r="U82" s="13" t="str">
        <f ca="1">IF(Stock!R78="","",Stock!R78)</f>
        <v/>
      </c>
      <c r="V82" s="13" t="str">
        <f ca="1">IF(Stock!S78="","",Stock!S78)</f>
        <v/>
      </c>
      <c r="W82" s="13" t="str">
        <f ca="1">IF(Stock!T78="","",Stock!T78)</f>
        <v/>
      </c>
      <c r="X82" s="13" t="str">
        <f ca="1">IF(Stock!U78="","",Stock!U78)</f>
        <v/>
      </c>
      <c r="Y82" s="13" t="str">
        <f ca="1">IF(Stock!V78="","",Stock!V78)</f>
        <v/>
      </c>
      <c r="Z82" s="13" t="str">
        <f ca="1">IF(Stock!W78="","",Stock!W78)</f>
        <v/>
      </c>
      <c r="AA82" s="13" t="str">
        <f ca="1">IF(Stock!X78="","",Stock!X78)</f>
        <v/>
      </c>
      <c r="AB82" s="13" t="str">
        <f ca="1">IF(Stock!Y78="","",Stock!Y78)</f>
        <v/>
      </c>
      <c r="AC82" s="13" t="str">
        <f ca="1">IF(Stock!Z78="","",Stock!Z78)</f>
        <v/>
      </c>
      <c r="AD82" s="13" t="str">
        <f ca="1">IF(Stock!AA78="","",Stock!AA78)</f>
        <v/>
      </c>
      <c r="AE82" s="13" t="str">
        <f ca="1">IF(Stock!AB78="","",Stock!AB78)</f>
        <v/>
      </c>
      <c r="AF82" s="13" t="str">
        <f ca="1">IF(Stock!AC78="","",Stock!AC78)</f>
        <v/>
      </c>
      <c r="AG82" s="13" t="str">
        <f ca="1">IF(Stock!AD78="","",Stock!AD78)</f>
        <v/>
      </c>
      <c r="AH82" s="13" t="str">
        <f ca="1">IF(Stock!AE78="","",Stock!AE78)</f>
        <v/>
      </c>
      <c r="AI82" s="13" t="str">
        <f ca="1">IF(Stock!AF78="","",Stock!AF78)</f>
        <v/>
      </c>
      <c r="AJ82" s="13" t="str">
        <f ca="1">IF(Stock!AG78="","",Stock!AG78)</f>
        <v/>
      </c>
      <c r="AK82" s="13" t="str">
        <f ca="1">IF(Stock!AH78="","",Stock!AH78)</f>
        <v/>
      </c>
      <c r="AL82" s="13" t="str">
        <f ca="1">IF(Stock!AI78="","",Stock!AI78)</f>
        <v/>
      </c>
      <c r="AM82" s="13" t="str">
        <f ca="1">IF(Stock!AJ78="","",Stock!AJ78)</f>
        <v/>
      </c>
      <c r="AN82" s="13" t="str">
        <f ca="1">IF(Stock!AK78="","",Stock!AK78)</f>
        <v/>
      </c>
      <c r="AO82" s="13" t="str">
        <f ca="1">IF(Stock!AL78="","",Stock!AL78)</f>
        <v/>
      </c>
      <c r="AP82" s="13" t="str">
        <f ca="1">IF(Stock!AM78="","",Stock!AM78)</f>
        <v/>
      </c>
      <c r="AQ82" s="13" t="str">
        <f ca="1">IF(Stock!AN78="","",Stock!AN78)</f>
        <v/>
      </c>
      <c r="AR82" s="13" t="str">
        <f ca="1">IF(Stock!AO78="","",Stock!AO78)</f>
        <v/>
      </c>
      <c r="AS82" s="13" t="str">
        <f ca="1">IF(Stock!AP78="","",Stock!AP78)</f>
        <v/>
      </c>
      <c r="AT82" s="13" t="str">
        <f ca="1">IF(Stock!AQ78="","",Stock!AQ78)</f>
        <v/>
      </c>
      <c r="AU82" s="13" t="str">
        <f ca="1">IF(Stock!AR78="","",Stock!AR78)</f>
        <v/>
      </c>
      <c r="AV82" s="13" t="str">
        <f ca="1">IF(Stock!AS78="","",Stock!AS78)</f>
        <v/>
      </c>
      <c r="AW82" s="13" t="str">
        <f ca="1">IF(Stock!AT78="","",Stock!AT78)</f>
        <v/>
      </c>
      <c r="AX82" s="13" t="str">
        <f ca="1">IF(Stock!AU78="","",Stock!AU78)</f>
        <v/>
      </c>
      <c r="AY82" s="13" t="str">
        <f ca="1">IF(Stock!AV78="","",Stock!AV78)</f>
        <v/>
      </c>
      <c r="AZ82" s="13" t="str">
        <f ca="1">IF(Stock!AW78="","",Stock!AW78)</f>
        <v/>
      </c>
      <c r="BA82" s="13" t="str">
        <f ca="1">IF(Stock!AX78="","",Stock!AX78)</f>
        <v/>
      </c>
      <c r="BB82" s="13" t="str">
        <f>IF(Stock!AY78="","",Stock!AY78)</f>
        <v/>
      </c>
      <c r="BC82" s="13" t="str">
        <f>IF(Stock!AZ78="","",Stock!AZ78)</f>
        <v/>
      </c>
      <c r="BD82" s="13" t="str">
        <f>IF(Stock!BA78="","",Stock!BA78)</f>
        <v/>
      </c>
      <c r="BE82" s="13" t="str">
        <f>IF(Stock!BB78="","",Stock!BB78)</f>
        <v/>
      </c>
      <c r="BF82" s="13" t="str">
        <f>IF(Stock!BC78="","",Stock!BC78)</f>
        <v/>
      </c>
    </row>
    <row r="83" spans="2:58" ht="14.25" customHeight="1" x14ac:dyDescent="0.3">
      <c r="B83" s="31"/>
      <c r="E83" s="13" t="str">
        <f>IF(Stock!B79="","",Stock!B79)</f>
        <v/>
      </c>
      <c r="F83" s="13" t="str">
        <f ca="1">IF(Stock!C79="","",Stock!C79)</f>
        <v/>
      </c>
      <c r="G83" s="13" t="str">
        <f ca="1">IF(Stock!D79="","",Stock!D79)</f>
        <v/>
      </c>
      <c r="H83" s="13" t="str">
        <f ca="1">IF(Stock!E79="","",Stock!E79)</f>
        <v/>
      </c>
      <c r="I83" s="13" t="str">
        <f ca="1">IF(Stock!F79="","",Stock!F79)</f>
        <v/>
      </c>
      <c r="J83" s="13" t="str">
        <f ca="1">IF(Stock!G79="","",Stock!G79)</f>
        <v/>
      </c>
      <c r="K83" s="13" t="str">
        <f ca="1">IF(Stock!H79="","",Stock!H79)</f>
        <v/>
      </c>
      <c r="L83" s="13" t="str">
        <f ca="1">IF(Stock!I79="","",Stock!I79)</f>
        <v/>
      </c>
      <c r="M83" s="13" t="str">
        <f ca="1">IF(Stock!J79="","",Stock!J79)</f>
        <v/>
      </c>
      <c r="N83" s="13" t="str">
        <f ca="1">IF(Stock!K79="","",Stock!K79)</f>
        <v/>
      </c>
      <c r="O83" s="13" t="str">
        <f ca="1">IF(Stock!L79="","",Stock!L79)</f>
        <v/>
      </c>
      <c r="P83" s="13" t="str">
        <f ca="1">IF(Stock!M79="","",Stock!M79)</f>
        <v/>
      </c>
      <c r="Q83" s="13" t="str">
        <f ca="1">IF(Stock!N79="","",Stock!N79)</f>
        <v/>
      </c>
      <c r="R83" s="13" t="str">
        <f ca="1">IF(Stock!O79="","",Stock!O79)</f>
        <v/>
      </c>
      <c r="S83" s="13" t="str">
        <f ca="1">IF(Stock!P79="","",Stock!P79)</f>
        <v/>
      </c>
      <c r="T83" s="13" t="str">
        <f ca="1">IF(Stock!Q79="","",Stock!Q79)</f>
        <v/>
      </c>
      <c r="U83" s="13" t="str">
        <f ca="1">IF(Stock!R79="","",Stock!R79)</f>
        <v/>
      </c>
      <c r="V83" s="13" t="str">
        <f ca="1">IF(Stock!S79="","",Stock!S79)</f>
        <v/>
      </c>
      <c r="W83" s="13" t="str">
        <f ca="1">IF(Stock!T79="","",Stock!T79)</f>
        <v/>
      </c>
      <c r="X83" s="13" t="str">
        <f ca="1">IF(Stock!U79="","",Stock!U79)</f>
        <v/>
      </c>
      <c r="Y83" s="13" t="str">
        <f ca="1">IF(Stock!V79="","",Stock!V79)</f>
        <v/>
      </c>
      <c r="Z83" s="13" t="str">
        <f ca="1">IF(Stock!W79="","",Stock!W79)</f>
        <v/>
      </c>
      <c r="AA83" s="13" t="str">
        <f ca="1">IF(Stock!X79="","",Stock!X79)</f>
        <v/>
      </c>
      <c r="AB83" s="13" t="str">
        <f ca="1">IF(Stock!Y79="","",Stock!Y79)</f>
        <v/>
      </c>
      <c r="AC83" s="13" t="str">
        <f ca="1">IF(Stock!Z79="","",Stock!Z79)</f>
        <v/>
      </c>
      <c r="AD83" s="13" t="str">
        <f ca="1">IF(Stock!AA79="","",Stock!AA79)</f>
        <v/>
      </c>
      <c r="AE83" s="13" t="str">
        <f ca="1">IF(Stock!AB79="","",Stock!AB79)</f>
        <v/>
      </c>
      <c r="AF83" s="13" t="str">
        <f ca="1">IF(Stock!AC79="","",Stock!AC79)</f>
        <v/>
      </c>
      <c r="AG83" s="13" t="str">
        <f ca="1">IF(Stock!AD79="","",Stock!AD79)</f>
        <v/>
      </c>
      <c r="AH83" s="13" t="str">
        <f ca="1">IF(Stock!AE79="","",Stock!AE79)</f>
        <v/>
      </c>
      <c r="AI83" s="13" t="str">
        <f ca="1">IF(Stock!AF79="","",Stock!AF79)</f>
        <v/>
      </c>
      <c r="AJ83" s="13" t="str">
        <f ca="1">IF(Stock!AG79="","",Stock!AG79)</f>
        <v/>
      </c>
      <c r="AK83" s="13" t="str">
        <f ca="1">IF(Stock!AH79="","",Stock!AH79)</f>
        <v/>
      </c>
      <c r="AL83" s="13" t="str">
        <f ca="1">IF(Stock!AI79="","",Stock!AI79)</f>
        <v/>
      </c>
      <c r="AM83" s="13" t="str">
        <f ca="1">IF(Stock!AJ79="","",Stock!AJ79)</f>
        <v/>
      </c>
      <c r="AN83" s="13" t="str">
        <f ca="1">IF(Stock!AK79="","",Stock!AK79)</f>
        <v/>
      </c>
      <c r="AO83" s="13" t="str">
        <f ca="1">IF(Stock!AL79="","",Stock!AL79)</f>
        <v/>
      </c>
      <c r="AP83" s="13" t="str">
        <f ca="1">IF(Stock!AM79="","",Stock!AM79)</f>
        <v/>
      </c>
      <c r="AQ83" s="13" t="str">
        <f ca="1">IF(Stock!AN79="","",Stock!AN79)</f>
        <v/>
      </c>
      <c r="AR83" s="13" t="str">
        <f ca="1">IF(Stock!AO79="","",Stock!AO79)</f>
        <v/>
      </c>
      <c r="AS83" s="13" t="str">
        <f ca="1">IF(Stock!AP79="","",Stock!AP79)</f>
        <v/>
      </c>
      <c r="AT83" s="13" t="str">
        <f ca="1">IF(Stock!AQ79="","",Stock!AQ79)</f>
        <v/>
      </c>
      <c r="AU83" s="13" t="str">
        <f ca="1">IF(Stock!AR79="","",Stock!AR79)</f>
        <v/>
      </c>
      <c r="AV83" s="13" t="str">
        <f ca="1">IF(Stock!AS79="","",Stock!AS79)</f>
        <v/>
      </c>
      <c r="AW83" s="13" t="str">
        <f ca="1">IF(Stock!AT79="","",Stock!AT79)</f>
        <v/>
      </c>
      <c r="AX83" s="13" t="str">
        <f ca="1">IF(Stock!AU79="","",Stock!AU79)</f>
        <v/>
      </c>
      <c r="AY83" s="13" t="str">
        <f ca="1">IF(Stock!AV79="","",Stock!AV79)</f>
        <v/>
      </c>
      <c r="AZ83" s="13" t="str">
        <f ca="1">IF(Stock!AW79="","",Stock!AW79)</f>
        <v/>
      </c>
      <c r="BA83" s="13" t="str">
        <f ca="1">IF(Stock!AX79="","",Stock!AX79)</f>
        <v/>
      </c>
      <c r="BB83" s="13" t="str">
        <f>IF(Stock!AY79="","",Stock!AY79)</f>
        <v/>
      </c>
      <c r="BC83" s="13" t="str">
        <f>IF(Stock!AZ79="","",Stock!AZ79)</f>
        <v/>
      </c>
      <c r="BD83" s="13" t="str">
        <f>IF(Stock!BA79="","",Stock!BA79)</f>
        <v/>
      </c>
      <c r="BE83" s="13" t="str">
        <f>IF(Stock!BB79="","",Stock!BB79)</f>
        <v/>
      </c>
      <c r="BF83" s="13" t="str">
        <f>IF(Stock!BC79="","",Stock!BC79)</f>
        <v/>
      </c>
    </row>
    <row r="84" spans="2:58" ht="14.25" customHeight="1" x14ac:dyDescent="0.3">
      <c r="B84" s="31"/>
      <c r="E84" s="13" t="str">
        <f>IF(Stock!B80="","",Stock!B80)</f>
        <v/>
      </c>
      <c r="F84" s="13" t="str">
        <f ca="1">IF(Stock!C80="","",Stock!C80)</f>
        <v/>
      </c>
      <c r="G84" s="13" t="str">
        <f ca="1">IF(Stock!D80="","",Stock!D80)</f>
        <v/>
      </c>
      <c r="H84" s="13" t="str">
        <f ca="1">IF(Stock!E80="","",Stock!E80)</f>
        <v/>
      </c>
      <c r="I84" s="13" t="str">
        <f ca="1">IF(Stock!F80="","",Stock!F80)</f>
        <v/>
      </c>
      <c r="J84" s="13" t="str">
        <f ca="1">IF(Stock!G80="","",Stock!G80)</f>
        <v/>
      </c>
      <c r="K84" s="13" t="str">
        <f ca="1">IF(Stock!H80="","",Stock!H80)</f>
        <v/>
      </c>
      <c r="L84" s="13" t="str">
        <f ca="1">IF(Stock!I80="","",Stock!I80)</f>
        <v/>
      </c>
      <c r="M84" s="13" t="str">
        <f ca="1">IF(Stock!J80="","",Stock!J80)</f>
        <v/>
      </c>
      <c r="N84" s="13" t="str">
        <f ca="1">IF(Stock!K80="","",Stock!K80)</f>
        <v/>
      </c>
      <c r="O84" s="13" t="str">
        <f ca="1">IF(Stock!L80="","",Stock!L80)</f>
        <v/>
      </c>
      <c r="P84" s="13" t="str">
        <f ca="1">IF(Stock!M80="","",Stock!M80)</f>
        <v/>
      </c>
      <c r="Q84" s="13" t="str">
        <f ca="1">IF(Stock!N80="","",Stock!N80)</f>
        <v/>
      </c>
      <c r="R84" s="13" t="str">
        <f ca="1">IF(Stock!O80="","",Stock!O80)</f>
        <v/>
      </c>
      <c r="S84" s="13" t="str">
        <f ca="1">IF(Stock!P80="","",Stock!P80)</f>
        <v/>
      </c>
      <c r="T84" s="13" t="str">
        <f ca="1">IF(Stock!Q80="","",Stock!Q80)</f>
        <v/>
      </c>
      <c r="U84" s="13" t="str">
        <f ca="1">IF(Stock!R80="","",Stock!R80)</f>
        <v/>
      </c>
      <c r="V84" s="13" t="str">
        <f ca="1">IF(Stock!S80="","",Stock!S80)</f>
        <v/>
      </c>
      <c r="W84" s="13" t="str">
        <f ca="1">IF(Stock!T80="","",Stock!T80)</f>
        <v/>
      </c>
      <c r="X84" s="13" t="str">
        <f ca="1">IF(Stock!U80="","",Stock!U80)</f>
        <v/>
      </c>
      <c r="Y84" s="13" t="str">
        <f ca="1">IF(Stock!V80="","",Stock!V80)</f>
        <v/>
      </c>
      <c r="Z84" s="13" t="str">
        <f ca="1">IF(Stock!W80="","",Stock!W80)</f>
        <v/>
      </c>
      <c r="AA84" s="13" t="str">
        <f ca="1">IF(Stock!X80="","",Stock!X80)</f>
        <v/>
      </c>
      <c r="AB84" s="13" t="str">
        <f ca="1">IF(Stock!Y80="","",Stock!Y80)</f>
        <v/>
      </c>
      <c r="AC84" s="13" t="str">
        <f ca="1">IF(Stock!Z80="","",Stock!Z80)</f>
        <v/>
      </c>
      <c r="AD84" s="13" t="str">
        <f ca="1">IF(Stock!AA80="","",Stock!AA80)</f>
        <v/>
      </c>
      <c r="AE84" s="13" t="str">
        <f ca="1">IF(Stock!AB80="","",Stock!AB80)</f>
        <v/>
      </c>
      <c r="AF84" s="13" t="str">
        <f ca="1">IF(Stock!AC80="","",Stock!AC80)</f>
        <v/>
      </c>
      <c r="AG84" s="13" t="str">
        <f ca="1">IF(Stock!AD80="","",Stock!AD80)</f>
        <v/>
      </c>
      <c r="AH84" s="13" t="str">
        <f ca="1">IF(Stock!AE80="","",Stock!AE80)</f>
        <v/>
      </c>
      <c r="AI84" s="13" t="str">
        <f ca="1">IF(Stock!AF80="","",Stock!AF80)</f>
        <v/>
      </c>
      <c r="AJ84" s="13" t="str">
        <f ca="1">IF(Stock!AG80="","",Stock!AG80)</f>
        <v/>
      </c>
      <c r="AK84" s="13" t="str">
        <f ca="1">IF(Stock!AH80="","",Stock!AH80)</f>
        <v/>
      </c>
      <c r="AL84" s="13" t="str">
        <f ca="1">IF(Stock!AI80="","",Stock!AI80)</f>
        <v/>
      </c>
      <c r="AM84" s="13" t="str">
        <f ca="1">IF(Stock!AJ80="","",Stock!AJ80)</f>
        <v/>
      </c>
      <c r="AN84" s="13" t="str">
        <f ca="1">IF(Stock!AK80="","",Stock!AK80)</f>
        <v/>
      </c>
      <c r="AO84" s="13" t="str">
        <f ca="1">IF(Stock!AL80="","",Stock!AL80)</f>
        <v/>
      </c>
      <c r="AP84" s="13" t="str">
        <f ca="1">IF(Stock!AM80="","",Stock!AM80)</f>
        <v/>
      </c>
      <c r="AQ84" s="13" t="str">
        <f ca="1">IF(Stock!AN80="","",Stock!AN80)</f>
        <v/>
      </c>
      <c r="AR84" s="13" t="str">
        <f ca="1">IF(Stock!AO80="","",Stock!AO80)</f>
        <v/>
      </c>
      <c r="AS84" s="13" t="str">
        <f ca="1">IF(Stock!AP80="","",Stock!AP80)</f>
        <v/>
      </c>
      <c r="AT84" s="13" t="str">
        <f ca="1">IF(Stock!AQ80="","",Stock!AQ80)</f>
        <v/>
      </c>
      <c r="AU84" s="13" t="str">
        <f ca="1">IF(Stock!AR80="","",Stock!AR80)</f>
        <v/>
      </c>
      <c r="AV84" s="13" t="str">
        <f ca="1">IF(Stock!AS80="","",Stock!AS80)</f>
        <v/>
      </c>
      <c r="AW84" s="13" t="str">
        <f ca="1">IF(Stock!AT80="","",Stock!AT80)</f>
        <v/>
      </c>
      <c r="AX84" s="13" t="str">
        <f ca="1">IF(Stock!AU80="","",Stock!AU80)</f>
        <v/>
      </c>
      <c r="AY84" s="13" t="str">
        <f ca="1">IF(Stock!AV80="","",Stock!AV80)</f>
        <v/>
      </c>
      <c r="AZ84" s="13" t="str">
        <f ca="1">IF(Stock!AW80="","",Stock!AW80)</f>
        <v/>
      </c>
      <c r="BA84" s="13" t="str">
        <f ca="1">IF(Stock!AX80="","",Stock!AX80)</f>
        <v/>
      </c>
      <c r="BB84" s="13" t="str">
        <f>IF(Stock!AY80="","",Stock!AY80)</f>
        <v/>
      </c>
      <c r="BC84" s="13" t="str">
        <f>IF(Stock!AZ80="","",Stock!AZ80)</f>
        <v/>
      </c>
      <c r="BD84" s="13" t="str">
        <f>IF(Stock!BA80="","",Stock!BA80)</f>
        <v/>
      </c>
      <c r="BE84" s="13" t="str">
        <f>IF(Stock!BB80="","",Stock!BB80)</f>
        <v/>
      </c>
      <c r="BF84" s="13" t="str">
        <f>IF(Stock!BC80="","",Stock!BC80)</f>
        <v/>
      </c>
    </row>
    <row r="85" spans="2:58" ht="14.25" customHeight="1" x14ac:dyDescent="0.3">
      <c r="B85" s="31"/>
      <c r="E85" s="13" t="str">
        <f>IF(Stock!B81="","",Stock!B81)</f>
        <v/>
      </c>
      <c r="F85" s="13" t="str">
        <f ca="1">IF(Stock!C81="","",Stock!C81)</f>
        <v/>
      </c>
      <c r="G85" s="13" t="str">
        <f ca="1">IF(Stock!D81="","",Stock!D81)</f>
        <v/>
      </c>
      <c r="H85" s="13" t="str">
        <f ca="1">IF(Stock!E81="","",Stock!E81)</f>
        <v/>
      </c>
      <c r="I85" s="13" t="str">
        <f ca="1">IF(Stock!F81="","",Stock!F81)</f>
        <v/>
      </c>
      <c r="J85" s="13" t="str">
        <f ca="1">IF(Stock!G81="","",Stock!G81)</f>
        <v/>
      </c>
      <c r="K85" s="13" t="str">
        <f ca="1">IF(Stock!H81="","",Stock!H81)</f>
        <v/>
      </c>
      <c r="L85" s="13" t="str">
        <f ca="1">IF(Stock!I81="","",Stock!I81)</f>
        <v/>
      </c>
      <c r="M85" s="13" t="str">
        <f ca="1">IF(Stock!J81="","",Stock!J81)</f>
        <v/>
      </c>
      <c r="N85" s="13" t="str">
        <f ca="1">IF(Stock!K81="","",Stock!K81)</f>
        <v/>
      </c>
      <c r="O85" s="13" t="str">
        <f ca="1">IF(Stock!L81="","",Stock!L81)</f>
        <v/>
      </c>
      <c r="P85" s="13" t="str">
        <f ca="1">IF(Stock!M81="","",Stock!M81)</f>
        <v/>
      </c>
      <c r="Q85" s="13" t="str">
        <f ca="1">IF(Stock!N81="","",Stock!N81)</f>
        <v/>
      </c>
      <c r="R85" s="13" t="str">
        <f ca="1">IF(Stock!O81="","",Stock!O81)</f>
        <v/>
      </c>
      <c r="S85" s="13" t="str">
        <f ca="1">IF(Stock!P81="","",Stock!P81)</f>
        <v/>
      </c>
      <c r="T85" s="13" t="str">
        <f ca="1">IF(Stock!Q81="","",Stock!Q81)</f>
        <v/>
      </c>
      <c r="U85" s="13" t="str">
        <f ca="1">IF(Stock!R81="","",Stock!R81)</f>
        <v/>
      </c>
      <c r="V85" s="13" t="str">
        <f ca="1">IF(Stock!S81="","",Stock!S81)</f>
        <v/>
      </c>
      <c r="W85" s="13" t="str">
        <f ca="1">IF(Stock!T81="","",Stock!T81)</f>
        <v/>
      </c>
      <c r="X85" s="13" t="str">
        <f ca="1">IF(Stock!U81="","",Stock!U81)</f>
        <v/>
      </c>
      <c r="Y85" s="13" t="str">
        <f ca="1">IF(Stock!V81="","",Stock!V81)</f>
        <v/>
      </c>
      <c r="Z85" s="13" t="str">
        <f ca="1">IF(Stock!W81="","",Stock!W81)</f>
        <v/>
      </c>
      <c r="AA85" s="13" t="str">
        <f ca="1">IF(Stock!X81="","",Stock!X81)</f>
        <v/>
      </c>
      <c r="AB85" s="13" t="str">
        <f ca="1">IF(Stock!Y81="","",Stock!Y81)</f>
        <v/>
      </c>
      <c r="AC85" s="13" t="str">
        <f ca="1">IF(Stock!Z81="","",Stock!Z81)</f>
        <v/>
      </c>
      <c r="AD85" s="13" t="str">
        <f ca="1">IF(Stock!AA81="","",Stock!AA81)</f>
        <v/>
      </c>
      <c r="AE85" s="13" t="str">
        <f ca="1">IF(Stock!AB81="","",Stock!AB81)</f>
        <v/>
      </c>
      <c r="AF85" s="13" t="str">
        <f ca="1">IF(Stock!AC81="","",Stock!AC81)</f>
        <v/>
      </c>
      <c r="AG85" s="13" t="str">
        <f ca="1">IF(Stock!AD81="","",Stock!AD81)</f>
        <v/>
      </c>
      <c r="AH85" s="13" t="str">
        <f ca="1">IF(Stock!AE81="","",Stock!AE81)</f>
        <v/>
      </c>
      <c r="AI85" s="13" t="str">
        <f ca="1">IF(Stock!AF81="","",Stock!AF81)</f>
        <v/>
      </c>
      <c r="AJ85" s="13" t="str">
        <f ca="1">IF(Stock!AG81="","",Stock!AG81)</f>
        <v/>
      </c>
      <c r="AK85" s="13" t="str">
        <f ca="1">IF(Stock!AH81="","",Stock!AH81)</f>
        <v/>
      </c>
      <c r="AL85" s="13" t="str">
        <f ca="1">IF(Stock!AI81="","",Stock!AI81)</f>
        <v/>
      </c>
      <c r="AM85" s="13" t="str">
        <f ca="1">IF(Stock!AJ81="","",Stock!AJ81)</f>
        <v/>
      </c>
      <c r="AN85" s="13" t="str">
        <f ca="1">IF(Stock!AK81="","",Stock!AK81)</f>
        <v/>
      </c>
      <c r="AO85" s="13" t="str">
        <f ca="1">IF(Stock!AL81="","",Stock!AL81)</f>
        <v/>
      </c>
      <c r="AP85" s="13" t="str">
        <f ca="1">IF(Stock!AM81="","",Stock!AM81)</f>
        <v/>
      </c>
      <c r="AQ85" s="13" t="str">
        <f ca="1">IF(Stock!AN81="","",Stock!AN81)</f>
        <v/>
      </c>
      <c r="AR85" s="13" t="str">
        <f ca="1">IF(Stock!AO81="","",Stock!AO81)</f>
        <v/>
      </c>
      <c r="AS85" s="13" t="str">
        <f ca="1">IF(Stock!AP81="","",Stock!AP81)</f>
        <v/>
      </c>
      <c r="AT85" s="13" t="str">
        <f ca="1">IF(Stock!AQ81="","",Stock!AQ81)</f>
        <v/>
      </c>
      <c r="AU85" s="13" t="str">
        <f ca="1">IF(Stock!AR81="","",Stock!AR81)</f>
        <v/>
      </c>
      <c r="AV85" s="13" t="str">
        <f ca="1">IF(Stock!AS81="","",Stock!AS81)</f>
        <v/>
      </c>
      <c r="AW85" s="13" t="str">
        <f ca="1">IF(Stock!AT81="","",Stock!AT81)</f>
        <v/>
      </c>
      <c r="AX85" s="13" t="str">
        <f ca="1">IF(Stock!AU81="","",Stock!AU81)</f>
        <v/>
      </c>
      <c r="AY85" s="13" t="str">
        <f ca="1">IF(Stock!AV81="","",Stock!AV81)</f>
        <v/>
      </c>
      <c r="AZ85" s="13" t="str">
        <f ca="1">IF(Stock!AW81="","",Stock!AW81)</f>
        <v/>
      </c>
      <c r="BA85" s="13" t="str">
        <f ca="1">IF(Stock!AX81="","",Stock!AX81)</f>
        <v/>
      </c>
      <c r="BB85" s="13" t="str">
        <f>IF(Stock!AY81="","",Stock!AY81)</f>
        <v/>
      </c>
      <c r="BC85" s="13" t="str">
        <f>IF(Stock!AZ81="","",Stock!AZ81)</f>
        <v/>
      </c>
      <c r="BD85" s="13" t="str">
        <f>IF(Stock!BA81="","",Stock!BA81)</f>
        <v/>
      </c>
      <c r="BE85" s="13" t="str">
        <f>IF(Stock!BB81="","",Stock!BB81)</f>
        <v/>
      </c>
      <c r="BF85" s="13" t="str">
        <f>IF(Stock!BC81="","",Stock!BC81)</f>
        <v/>
      </c>
    </row>
    <row r="86" spans="2:58" ht="14.25" customHeight="1" x14ac:dyDescent="0.3">
      <c r="B86" s="31"/>
      <c r="E86" s="13" t="str">
        <f>IF(Stock!B82="","",Stock!B82)</f>
        <v/>
      </c>
      <c r="F86" s="13" t="str">
        <f ca="1">IF(Stock!C82="","",Stock!C82)</f>
        <v/>
      </c>
      <c r="G86" s="13" t="str">
        <f ca="1">IF(Stock!D82="","",Stock!D82)</f>
        <v/>
      </c>
      <c r="H86" s="13" t="str">
        <f ca="1">IF(Stock!E82="","",Stock!E82)</f>
        <v/>
      </c>
      <c r="I86" s="13" t="str">
        <f ca="1">IF(Stock!F82="","",Stock!F82)</f>
        <v/>
      </c>
      <c r="J86" s="13" t="str">
        <f ca="1">IF(Stock!G82="","",Stock!G82)</f>
        <v/>
      </c>
      <c r="K86" s="13" t="str">
        <f ca="1">IF(Stock!H82="","",Stock!H82)</f>
        <v/>
      </c>
      <c r="L86" s="13" t="str">
        <f ca="1">IF(Stock!I82="","",Stock!I82)</f>
        <v/>
      </c>
      <c r="M86" s="13" t="str">
        <f ca="1">IF(Stock!J82="","",Stock!J82)</f>
        <v/>
      </c>
      <c r="N86" s="13" t="str">
        <f ca="1">IF(Stock!K82="","",Stock!K82)</f>
        <v/>
      </c>
      <c r="O86" s="13" t="str">
        <f ca="1">IF(Stock!L82="","",Stock!L82)</f>
        <v/>
      </c>
      <c r="P86" s="13" t="str">
        <f ca="1">IF(Stock!M82="","",Stock!M82)</f>
        <v/>
      </c>
      <c r="Q86" s="13" t="str">
        <f ca="1">IF(Stock!N82="","",Stock!N82)</f>
        <v/>
      </c>
      <c r="R86" s="13" t="str">
        <f ca="1">IF(Stock!O82="","",Stock!O82)</f>
        <v/>
      </c>
      <c r="S86" s="13" t="str">
        <f ca="1">IF(Stock!P82="","",Stock!P82)</f>
        <v/>
      </c>
      <c r="T86" s="13" t="str">
        <f ca="1">IF(Stock!Q82="","",Stock!Q82)</f>
        <v/>
      </c>
      <c r="U86" s="13" t="str">
        <f ca="1">IF(Stock!R82="","",Stock!R82)</f>
        <v/>
      </c>
      <c r="V86" s="13" t="str">
        <f ca="1">IF(Stock!S82="","",Stock!S82)</f>
        <v/>
      </c>
      <c r="W86" s="13" t="str">
        <f ca="1">IF(Stock!T82="","",Stock!T82)</f>
        <v/>
      </c>
      <c r="X86" s="13" t="str">
        <f ca="1">IF(Stock!U82="","",Stock!U82)</f>
        <v/>
      </c>
      <c r="Y86" s="13" t="str">
        <f ca="1">IF(Stock!V82="","",Stock!V82)</f>
        <v/>
      </c>
      <c r="Z86" s="13" t="str">
        <f ca="1">IF(Stock!W82="","",Stock!W82)</f>
        <v/>
      </c>
      <c r="AA86" s="13" t="str">
        <f ca="1">IF(Stock!X82="","",Stock!X82)</f>
        <v/>
      </c>
      <c r="AB86" s="13" t="str">
        <f ca="1">IF(Stock!Y82="","",Stock!Y82)</f>
        <v/>
      </c>
      <c r="AC86" s="13" t="str">
        <f ca="1">IF(Stock!Z82="","",Stock!Z82)</f>
        <v/>
      </c>
      <c r="AD86" s="13" t="str">
        <f ca="1">IF(Stock!AA82="","",Stock!AA82)</f>
        <v/>
      </c>
      <c r="AE86" s="13" t="str">
        <f ca="1">IF(Stock!AB82="","",Stock!AB82)</f>
        <v/>
      </c>
      <c r="AF86" s="13" t="str">
        <f ca="1">IF(Stock!AC82="","",Stock!AC82)</f>
        <v/>
      </c>
      <c r="AG86" s="13" t="str">
        <f ca="1">IF(Stock!AD82="","",Stock!AD82)</f>
        <v/>
      </c>
      <c r="AH86" s="13" t="str">
        <f ca="1">IF(Stock!AE82="","",Stock!AE82)</f>
        <v/>
      </c>
      <c r="AI86" s="13" t="str">
        <f ca="1">IF(Stock!AF82="","",Stock!AF82)</f>
        <v/>
      </c>
      <c r="AJ86" s="13" t="str">
        <f ca="1">IF(Stock!AG82="","",Stock!AG82)</f>
        <v/>
      </c>
      <c r="AK86" s="13" t="str">
        <f ca="1">IF(Stock!AH82="","",Stock!AH82)</f>
        <v/>
      </c>
      <c r="AL86" s="13" t="str">
        <f ca="1">IF(Stock!AI82="","",Stock!AI82)</f>
        <v/>
      </c>
      <c r="AM86" s="13" t="str">
        <f ca="1">IF(Stock!AJ82="","",Stock!AJ82)</f>
        <v/>
      </c>
      <c r="AN86" s="13" t="str">
        <f ca="1">IF(Stock!AK82="","",Stock!AK82)</f>
        <v/>
      </c>
      <c r="AO86" s="13" t="str">
        <f ca="1">IF(Stock!AL82="","",Stock!AL82)</f>
        <v/>
      </c>
      <c r="AP86" s="13" t="str">
        <f ca="1">IF(Stock!AM82="","",Stock!AM82)</f>
        <v/>
      </c>
      <c r="AQ86" s="13" t="str">
        <f ca="1">IF(Stock!AN82="","",Stock!AN82)</f>
        <v/>
      </c>
      <c r="AR86" s="13" t="str">
        <f ca="1">IF(Stock!AO82="","",Stock!AO82)</f>
        <v/>
      </c>
      <c r="AS86" s="13" t="str">
        <f ca="1">IF(Stock!AP82="","",Stock!AP82)</f>
        <v/>
      </c>
      <c r="AT86" s="13" t="str">
        <f ca="1">IF(Stock!AQ82="","",Stock!AQ82)</f>
        <v/>
      </c>
      <c r="AU86" s="13" t="str">
        <f ca="1">IF(Stock!AR82="","",Stock!AR82)</f>
        <v/>
      </c>
      <c r="AV86" s="13" t="str">
        <f ca="1">IF(Stock!AS82="","",Stock!AS82)</f>
        <v/>
      </c>
      <c r="AW86" s="13" t="str">
        <f ca="1">IF(Stock!AT82="","",Stock!AT82)</f>
        <v/>
      </c>
      <c r="AX86" s="13" t="str">
        <f ca="1">IF(Stock!AU82="","",Stock!AU82)</f>
        <v/>
      </c>
      <c r="AY86" s="13" t="str">
        <f ca="1">IF(Stock!AV82="","",Stock!AV82)</f>
        <v/>
      </c>
      <c r="AZ86" s="13" t="str">
        <f ca="1">IF(Stock!AW82="","",Stock!AW82)</f>
        <v/>
      </c>
      <c r="BA86" s="13" t="str">
        <f ca="1">IF(Stock!AX82="","",Stock!AX82)</f>
        <v/>
      </c>
      <c r="BB86" s="13" t="str">
        <f>IF(Stock!AY82="","",Stock!AY82)</f>
        <v/>
      </c>
      <c r="BC86" s="13" t="str">
        <f>IF(Stock!AZ82="","",Stock!AZ82)</f>
        <v/>
      </c>
      <c r="BD86" s="13" t="str">
        <f>IF(Stock!BA82="","",Stock!BA82)</f>
        <v/>
      </c>
      <c r="BE86" s="13" t="str">
        <f>IF(Stock!BB82="","",Stock!BB82)</f>
        <v/>
      </c>
      <c r="BF86" s="13" t="str">
        <f>IF(Stock!BC82="","",Stock!BC82)</f>
        <v/>
      </c>
    </row>
    <row r="87" spans="2:58" ht="14.25" customHeight="1" x14ac:dyDescent="0.3">
      <c r="B87" s="31"/>
      <c r="E87" s="13" t="str">
        <f>IF(Stock!B83="","",Stock!B83)</f>
        <v/>
      </c>
      <c r="F87" s="13" t="str">
        <f ca="1">IF(Stock!C83="","",Stock!C83)</f>
        <v/>
      </c>
      <c r="G87" s="13" t="str">
        <f ca="1">IF(Stock!D83="","",Stock!D83)</f>
        <v/>
      </c>
      <c r="H87" s="13" t="str">
        <f ca="1">IF(Stock!E83="","",Stock!E83)</f>
        <v/>
      </c>
      <c r="I87" s="13" t="str">
        <f ca="1">IF(Stock!F83="","",Stock!F83)</f>
        <v/>
      </c>
      <c r="J87" s="13" t="str">
        <f ca="1">IF(Stock!G83="","",Stock!G83)</f>
        <v/>
      </c>
      <c r="K87" s="13" t="str">
        <f ca="1">IF(Stock!H83="","",Stock!H83)</f>
        <v/>
      </c>
      <c r="L87" s="13" t="str">
        <f ca="1">IF(Stock!I83="","",Stock!I83)</f>
        <v/>
      </c>
      <c r="M87" s="13" t="str">
        <f ca="1">IF(Stock!J83="","",Stock!J83)</f>
        <v/>
      </c>
      <c r="N87" s="13" t="str">
        <f ca="1">IF(Stock!K83="","",Stock!K83)</f>
        <v/>
      </c>
      <c r="O87" s="13" t="str">
        <f ca="1">IF(Stock!L83="","",Stock!L83)</f>
        <v/>
      </c>
      <c r="P87" s="13" t="str">
        <f ca="1">IF(Stock!M83="","",Stock!M83)</f>
        <v/>
      </c>
      <c r="Q87" s="13" t="str">
        <f ca="1">IF(Stock!N83="","",Stock!N83)</f>
        <v/>
      </c>
      <c r="R87" s="13" t="str">
        <f ca="1">IF(Stock!O83="","",Stock!O83)</f>
        <v/>
      </c>
      <c r="S87" s="13" t="str">
        <f ca="1">IF(Stock!P83="","",Stock!P83)</f>
        <v/>
      </c>
      <c r="T87" s="13" t="str">
        <f ca="1">IF(Stock!Q83="","",Stock!Q83)</f>
        <v/>
      </c>
      <c r="U87" s="13" t="str">
        <f ca="1">IF(Stock!R83="","",Stock!R83)</f>
        <v/>
      </c>
      <c r="V87" s="13" t="str">
        <f ca="1">IF(Stock!S83="","",Stock!S83)</f>
        <v/>
      </c>
      <c r="W87" s="13" t="str">
        <f ca="1">IF(Stock!T83="","",Stock!T83)</f>
        <v/>
      </c>
      <c r="X87" s="13" t="str">
        <f ca="1">IF(Stock!U83="","",Stock!U83)</f>
        <v/>
      </c>
      <c r="Y87" s="13" t="str">
        <f ca="1">IF(Stock!V83="","",Stock!V83)</f>
        <v/>
      </c>
      <c r="Z87" s="13" t="str">
        <f ca="1">IF(Stock!W83="","",Stock!W83)</f>
        <v/>
      </c>
      <c r="AA87" s="13" t="str">
        <f ca="1">IF(Stock!X83="","",Stock!X83)</f>
        <v/>
      </c>
      <c r="AB87" s="13" t="str">
        <f ca="1">IF(Stock!Y83="","",Stock!Y83)</f>
        <v/>
      </c>
      <c r="AC87" s="13" t="str">
        <f ca="1">IF(Stock!Z83="","",Stock!Z83)</f>
        <v/>
      </c>
      <c r="AD87" s="13" t="str">
        <f ca="1">IF(Stock!AA83="","",Stock!AA83)</f>
        <v/>
      </c>
      <c r="AE87" s="13" t="str">
        <f ca="1">IF(Stock!AB83="","",Stock!AB83)</f>
        <v/>
      </c>
      <c r="AF87" s="13" t="str">
        <f ca="1">IF(Stock!AC83="","",Stock!AC83)</f>
        <v/>
      </c>
      <c r="AG87" s="13" t="str">
        <f ca="1">IF(Stock!AD83="","",Stock!AD83)</f>
        <v/>
      </c>
      <c r="AH87" s="13" t="str">
        <f ca="1">IF(Stock!AE83="","",Stock!AE83)</f>
        <v/>
      </c>
      <c r="AI87" s="13" t="str">
        <f ca="1">IF(Stock!AF83="","",Stock!AF83)</f>
        <v/>
      </c>
      <c r="AJ87" s="13" t="str">
        <f ca="1">IF(Stock!AG83="","",Stock!AG83)</f>
        <v/>
      </c>
      <c r="AK87" s="13" t="str">
        <f ca="1">IF(Stock!AH83="","",Stock!AH83)</f>
        <v/>
      </c>
      <c r="AL87" s="13" t="str">
        <f ca="1">IF(Stock!AI83="","",Stock!AI83)</f>
        <v/>
      </c>
      <c r="AM87" s="13" t="str">
        <f ca="1">IF(Stock!AJ83="","",Stock!AJ83)</f>
        <v/>
      </c>
      <c r="AN87" s="13" t="str">
        <f ca="1">IF(Stock!AK83="","",Stock!AK83)</f>
        <v/>
      </c>
      <c r="AO87" s="13" t="str">
        <f ca="1">IF(Stock!AL83="","",Stock!AL83)</f>
        <v/>
      </c>
      <c r="AP87" s="13" t="str">
        <f ca="1">IF(Stock!AM83="","",Stock!AM83)</f>
        <v/>
      </c>
      <c r="AQ87" s="13" t="str">
        <f ca="1">IF(Stock!AN83="","",Stock!AN83)</f>
        <v/>
      </c>
      <c r="AR87" s="13" t="str">
        <f ca="1">IF(Stock!AO83="","",Stock!AO83)</f>
        <v/>
      </c>
      <c r="AS87" s="13" t="str">
        <f ca="1">IF(Stock!AP83="","",Stock!AP83)</f>
        <v/>
      </c>
      <c r="AT87" s="13" t="str">
        <f ca="1">IF(Stock!AQ83="","",Stock!AQ83)</f>
        <v/>
      </c>
      <c r="AU87" s="13" t="str">
        <f ca="1">IF(Stock!AR83="","",Stock!AR83)</f>
        <v/>
      </c>
      <c r="AV87" s="13" t="str">
        <f ca="1">IF(Stock!AS83="","",Stock!AS83)</f>
        <v/>
      </c>
      <c r="AW87" s="13" t="str">
        <f ca="1">IF(Stock!AT83="","",Stock!AT83)</f>
        <v/>
      </c>
      <c r="AX87" s="13" t="str">
        <f ca="1">IF(Stock!AU83="","",Stock!AU83)</f>
        <v/>
      </c>
      <c r="AY87" s="13" t="str">
        <f ca="1">IF(Stock!AV83="","",Stock!AV83)</f>
        <v/>
      </c>
      <c r="AZ87" s="13" t="str">
        <f ca="1">IF(Stock!AW83="","",Stock!AW83)</f>
        <v/>
      </c>
      <c r="BA87" s="13" t="str">
        <f ca="1">IF(Stock!AX83="","",Stock!AX83)</f>
        <v/>
      </c>
      <c r="BB87" s="13" t="str">
        <f>IF(Stock!AY83="","",Stock!AY83)</f>
        <v/>
      </c>
      <c r="BC87" s="13" t="str">
        <f>IF(Stock!AZ83="","",Stock!AZ83)</f>
        <v/>
      </c>
      <c r="BD87" s="13" t="str">
        <f>IF(Stock!BA83="","",Stock!BA83)</f>
        <v/>
      </c>
      <c r="BE87" s="13" t="str">
        <f>IF(Stock!BB83="","",Stock!BB83)</f>
        <v/>
      </c>
      <c r="BF87" s="13" t="str">
        <f>IF(Stock!BC83="","",Stock!BC83)</f>
        <v/>
      </c>
    </row>
    <row r="88" spans="2:58" ht="14.25" customHeight="1" x14ac:dyDescent="0.3">
      <c r="B88" s="31"/>
      <c r="E88" s="13" t="str">
        <f>IF(Stock!B84="","",Stock!B84)</f>
        <v/>
      </c>
      <c r="F88" s="13" t="str">
        <f ca="1">IF(Stock!C84="","",Stock!C84)</f>
        <v/>
      </c>
      <c r="G88" s="13" t="str">
        <f ca="1">IF(Stock!D84="","",Stock!D84)</f>
        <v/>
      </c>
      <c r="H88" s="13" t="str">
        <f ca="1">IF(Stock!E84="","",Stock!E84)</f>
        <v/>
      </c>
      <c r="I88" s="13" t="str">
        <f ca="1">IF(Stock!F84="","",Stock!F84)</f>
        <v/>
      </c>
      <c r="J88" s="13" t="str">
        <f ca="1">IF(Stock!G84="","",Stock!G84)</f>
        <v/>
      </c>
      <c r="K88" s="13" t="str">
        <f ca="1">IF(Stock!H84="","",Stock!H84)</f>
        <v/>
      </c>
      <c r="L88" s="13" t="str">
        <f ca="1">IF(Stock!I84="","",Stock!I84)</f>
        <v/>
      </c>
      <c r="M88" s="13" t="str">
        <f ca="1">IF(Stock!J84="","",Stock!J84)</f>
        <v/>
      </c>
      <c r="N88" s="13" t="str">
        <f ca="1">IF(Stock!K84="","",Stock!K84)</f>
        <v/>
      </c>
      <c r="O88" s="13" t="str">
        <f ca="1">IF(Stock!L84="","",Stock!L84)</f>
        <v/>
      </c>
      <c r="P88" s="13" t="str">
        <f ca="1">IF(Stock!M84="","",Stock!M84)</f>
        <v/>
      </c>
      <c r="Q88" s="13" t="str">
        <f ca="1">IF(Stock!N84="","",Stock!N84)</f>
        <v/>
      </c>
      <c r="R88" s="13" t="str">
        <f ca="1">IF(Stock!O84="","",Stock!O84)</f>
        <v/>
      </c>
      <c r="S88" s="13" t="str">
        <f ca="1">IF(Stock!P84="","",Stock!P84)</f>
        <v/>
      </c>
      <c r="T88" s="13" t="str">
        <f ca="1">IF(Stock!Q84="","",Stock!Q84)</f>
        <v/>
      </c>
      <c r="U88" s="13" t="str">
        <f ca="1">IF(Stock!R84="","",Stock!R84)</f>
        <v/>
      </c>
      <c r="V88" s="13" t="str">
        <f ca="1">IF(Stock!S84="","",Stock!S84)</f>
        <v/>
      </c>
      <c r="W88" s="13" t="str">
        <f ca="1">IF(Stock!T84="","",Stock!T84)</f>
        <v/>
      </c>
      <c r="X88" s="13" t="str">
        <f ca="1">IF(Stock!U84="","",Stock!U84)</f>
        <v/>
      </c>
      <c r="Y88" s="13" t="str">
        <f ca="1">IF(Stock!V84="","",Stock!V84)</f>
        <v/>
      </c>
      <c r="Z88" s="13" t="str">
        <f ca="1">IF(Stock!W84="","",Stock!W84)</f>
        <v/>
      </c>
      <c r="AA88" s="13" t="str">
        <f ca="1">IF(Stock!X84="","",Stock!X84)</f>
        <v/>
      </c>
      <c r="AB88" s="13" t="str">
        <f ca="1">IF(Stock!Y84="","",Stock!Y84)</f>
        <v/>
      </c>
      <c r="AC88" s="13" t="str">
        <f ca="1">IF(Stock!Z84="","",Stock!Z84)</f>
        <v/>
      </c>
      <c r="AD88" s="13" t="str">
        <f ca="1">IF(Stock!AA84="","",Stock!AA84)</f>
        <v/>
      </c>
      <c r="AE88" s="13" t="str">
        <f ca="1">IF(Stock!AB84="","",Stock!AB84)</f>
        <v/>
      </c>
      <c r="AF88" s="13" t="str">
        <f ca="1">IF(Stock!AC84="","",Stock!AC84)</f>
        <v/>
      </c>
      <c r="AG88" s="13" t="str">
        <f ca="1">IF(Stock!AD84="","",Stock!AD84)</f>
        <v/>
      </c>
      <c r="AH88" s="13" t="str">
        <f ca="1">IF(Stock!AE84="","",Stock!AE84)</f>
        <v/>
      </c>
      <c r="AI88" s="13" t="str">
        <f ca="1">IF(Stock!AF84="","",Stock!AF84)</f>
        <v/>
      </c>
      <c r="AJ88" s="13" t="str">
        <f ca="1">IF(Stock!AG84="","",Stock!AG84)</f>
        <v/>
      </c>
      <c r="AK88" s="13" t="str">
        <f ca="1">IF(Stock!AH84="","",Stock!AH84)</f>
        <v/>
      </c>
      <c r="AL88" s="13" t="str">
        <f ca="1">IF(Stock!AI84="","",Stock!AI84)</f>
        <v/>
      </c>
      <c r="AM88" s="13" t="str">
        <f ca="1">IF(Stock!AJ84="","",Stock!AJ84)</f>
        <v/>
      </c>
      <c r="AN88" s="13" t="str">
        <f ca="1">IF(Stock!AK84="","",Stock!AK84)</f>
        <v/>
      </c>
      <c r="AO88" s="13" t="str">
        <f ca="1">IF(Stock!AL84="","",Stock!AL84)</f>
        <v/>
      </c>
      <c r="AP88" s="13" t="str">
        <f ca="1">IF(Stock!AM84="","",Stock!AM84)</f>
        <v/>
      </c>
      <c r="AQ88" s="13" t="str">
        <f ca="1">IF(Stock!AN84="","",Stock!AN84)</f>
        <v/>
      </c>
      <c r="AR88" s="13" t="str">
        <f ca="1">IF(Stock!AO84="","",Stock!AO84)</f>
        <v/>
      </c>
      <c r="AS88" s="13" t="str">
        <f ca="1">IF(Stock!AP84="","",Stock!AP84)</f>
        <v/>
      </c>
      <c r="AT88" s="13" t="str">
        <f ca="1">IF(Stock!AQ84="","",Stock!AQ84)</f>
        <v/>
      </c>
      <c r="AU88" s="13" t="str">
        <f ca="1">IF(Stock!AR84="","",Stock!AR84)</f>
        <v/>
      </c>
      <c r="AV88" s="13" t="str">
        <f ca="1">IF(Stock!AS84="","",Stock!AS84)</f>
        <v/>
      </c>
      <c r="AW88" s="13" t="str">
        <f ca="1">IF(Stock!AT84="","",Stock!AT84)</f>
        <v/>
      </c>
      <c r="AX88" s="13" t="str">
        <f ca="1">IF(Stock!AU84="","",Stock!AU84)</f>
        <v/>
      </c>
      <c r="AY88" s="13" t="str">
        <f ca="1">IF(Stock!AV84="","",Stock!AV84)</f>
        <v/>
      </c>
      <c r="AZ88" s="13" t="str">
        <f ca="1">IF(Stock!AW84="","",Stock!AW84)</f>
        <v/>
      </c>
      <c r="BA88" s="13" t="str">
        <f ca="1">IF(Stock!AX84="","",Stock!AX84)</f>
        <v/>
      </c>
      <c r="BB88" s="13" t="str">
        <f>IF(Stock!AY84="","",Stock!AY84)</f>
        <v/>
      </c>
      <c r="BC88" s="13" t="str">
        <f>IF(Stock!AZ84="","",Stock!AZ84)</f>
        <v/>
      </c>
      <c r="BD88" s="13" t="str">
        <f>IF(Stock!BA84="","",Stock!BA84)</f>
        <v/>
      </c>
      <c r="BE88" s="13" t="str">
        <f>IF(Stock!BB84="","",Stock!BB84)</f>
        <v/>
      </c>
      <c r="BF88" s="13" t="str">
        <f>IF(Stock!BC84="","",Stock!BC84)</f>
        <v/>
      </c>
    </row>
    <row r="89" spans="2:58" ht="14.25" customHeight="1" x14ac:dyDescent="0.3">
      <c r="B89" s="31"/>
      <c r="E89" s="13" t="str">
        <f>IF(Stock!B85="","",Stock!B85)</f>
        <v/>
      </c>
      <c r="F89" s="13" t="str">
        <f ca="1">IF(Stock!C85="","",Stock!C85)</f>
        <v/>
      </c>
      <c r="G89" s="13" t="str">
        <f ca="1">IF(Stock!D85="","",Stock!D85)</f>
        <v/>
      </c>
      <c r="H89" s="13" t="str">
        <f ca="1">IF(Stock!E85="","",Stock!E85)</f>
        <v/>
      </c>
      <c r="I89" s="13" t="str">
        <f ca="1">IF(Stock!F85="","",Stock!F85)</f>
        <v/>
      </c>
      <c r="J89" s="13" t="str">
        <f ca="1">IF(Stock!G85="","",Stock!G85)</f>
        <v/>
      </c>
      <c r="K89" s="13" t="str">
        <f ca="1">IF(Stock!H85="","",Stock!H85)</f>
        <v/>
      </c>
      <c r="L89" s="13" t="str">
        <f ca="1">IF(Stock!I85="","",Stock!I85)</f>
        <v/>
      </c>
      <c r="M89" s="13" t="str">
        <f ca="1">IF(Stock!J85="","",Stock!J85)</f>
        <v/>
      </c>
      <c r="N89" s="13" t="str">
        <f ca="1">IF(Stock!K85="","",Stock!K85)</f>
        <v/>
      </c>
      <c r="O89" s="13" t="str">
        <f ca="1">IF(Stock!L85="","",Stock!L85)</f>
        <v/>
      </c>
      <c r="P89" s="13" t="str">
        <f ca="1">IF(Stock!M85="","",Stock!M85)</f>
        <v/>
      </c>
      <c r="Q89" s="13" t="str">
        <f ca="1">IF(Stock!N85="","",Stock!N85)</f>
        <v/>
      </c>
      <c r="R89" s="13" t="str">
        <f ca="1">IF(Stock!O85="","",Stock!O85)</f>
        <v/>
      </c>
      <c r="S89" s="13" t="str">
        <f ca="1">IF(Stock!P85="","",Stock!P85)</f>
        <v/>
      </c>
      <c r="T89" s="13" t="str">
        <f ca="1">IF(Stock!Q85="","",Stock!Q85)</f>
        <v/>
      </c>
      <c r="U89" s="13" t="str">
        <f ca="1">IF(Stock!R85="","",Stock!R85)</f>
        <v/>
      </c>
      <c r="V89" s="13" t="str">
        <f ca="1">IF(Stock!S85="","",Stock!S85)</f>
        <v/>
      </c>
      <c r="W89" s="13" t="str">
        <f ca="1">IF(Stock!T85="","",Stock!T85)</f>
        <v/>
      </c>
      <c r="X89" s="13" t="str">
        <f ca="1">IF(Stock!U85="","",Stock!U85)</f>
        <v/>
      </c>
      <c r="Y89" s="13" t="str">
        <f ca="1">IF(Stock!V85="","",Stock!V85)</f>
        <v/>
      </c>
      <c r="Z89" s="13" t="str">
        <f ca="1">IF(Stock!W85="","",Stock!W85)</f>
        <v/>
      </c>
      <c r="AA89" s="13" t="str">
        <f ca="1">IF(Stock!X85="","",Stock!X85)</f>
        <v/>
      </c>
      <c r="AB89" s="13" t="str">
        <f ca="1">IF(Stock!Y85="","",Stock!Y85)</f>
        <v/>
      </c>
      <c r="AC89" s="13" t="str">
        <f ca="1">IF(Stock!Z85="","",Stock!Z85)</f>
        <v/>
      </c>
      <c r="AD89" s="13" t="str">
        <f ca="1">IF(Stock!AA85="","",Stock!AA85)</f>
        <v/>
      </c>
      <c r="AE89" s="13" t="str">
        <f ca="1">IF(Stock!AB85="","",Stock!AB85)</f>
        <v/>
      </c>
      <c r="AF89" s="13" t="str">
        <f ca="1">IF(Stock!AC85="","",Stock!AC85)</f>
        <v/>
      </c>
      <c r="AG89" s="13" t="str">
        <f ca="1">IF(Stock!AD85="","",Stock!AD85)</f>
        <v/>
      </c>
      <c r="AH89" s="13" t="str">
        <f ca="1">IF(Stock!AE85="","",Stock!AE85)</f>
        <v/>
      </c>
      <c r="AI89" s="13" t="str">
        <f ca="1">IF(Stock!AF85="","",Stock!AF85)</f>
        <v/>
      </c>
      <c r="AJ89" s="13" t="str">
        <f ca="1">IF(Stock!AG85="","",Stock!AG85)</f>
        <v/>
      </c>
      <c r="AK89" s="13" t="str">
        <f ca="1">IF(Stock!AH85="","",Stock!AH85)</f>
        <v/>
      </c>
      <c r="AL89" s="13" t="str">
        <f ca="1">IF(Stock!AI85="","",Stock!AI85)</f>
        <v/>
      </c>
      <c r="AM89" s="13" t="str">
        <f ca="1">IF(Stock!AJ85="","",Stock!AJ85)</f>
        <v/>
      </c>
      <c r="AN89" s="13" t="str">
        <f ca="1">IF(Stock!AK85="","",Stock!AK85)</f>
        <v/>
      </c>
      <c r="AO89" s="13" t="str">
        <f ca="1">IF(Stock!AL85="","",Stock!AL85)</f>
        <v/>
      </c>
      <c r="AP89" s="13" t="str">
        <f ca="1">IF(Stock!AM85="","",Stock!AM85)</f>
        <v/>
      </c>
      <c r="AQ89" s="13" t="str">
        <f ca="1">IF(Stock!AN85="","",Stock!AN85)</f>
        <v/>
      </c>
      <c r="AR89" s="13" t="str">
        <f ca="1">IF(Stock!AO85="","",Stock!AO85)</f>
        <v/>
      </c>
      <c r="AS89" s="13" t="str">
        <f ca="1">IF(Stock!AP85="","",Stock!AP85)</f>
        <v/>
      </c>
      <c r="AT89" s="13" t="str">
        <f ca="1">IF(Stock!AQ85="","",Stock!AQ85)</f>
        <v/>
      </c>
      <c r="AU89" s="13" t="str">
        <f ca="1">IF(Stock!AR85="","",Stock!AR85)</f>
        <v/>
      </c>
      <c r="AV89" s="13" t="str">
        <f ca="1">IF(Stock!AS85="","",Stock!AS85)</f>
        <v/>
      </c>
      <c r="AW89" s="13" t="str">
        <f ca="1">IF(Stock!AT85="","",Stock!AT85)</f>
        <v/>
      </c>
      <c r="AX89" s="13" t="str">
        <f ca="1">IF(Stock!AU85="","",Stock!AU85)</f>
        <v/>
      </c>
      <c r="AY89" s="13" t="str">
        <f ca="1">IF(Stock!AV85="","",Stock!AV85)</f>
        <v/>
      </c>
      <c r="AZ89" s="13" t="str">
        <f ca="1">IF(Stock!AW85="","",Stock!AW85)</f>
        <v/>
      </c>
      <c r="BA89" s="13" t="str">
        <f ca="1">IF(Stock!AX85="","",Stock!AX85)</f>
        <v/>
      </c>
      <c r="BB89" s="13" t="str">
        <f>IF(Stock!AY85="","",Stock!AY85)</f>
        <v/>
      </c>
      <c r="BC89" s="13" t="str">
        <f>IF(Stock!AZ85="","",Stock!AZ85)</f>
        <v/>
      </c>
      <c r="BD89" s="13" t="str">
        <f>IF(Stock!BA85="","",Stock!BA85)</f>
        <v/>
      </c>
      <c r="BE89" s="13" t="str">
        <f>IF(Stock!BB85="","",Stock!BB85)</f>
        <v/>
      </c>
      <c r="BF89" s="13" t="str">
        <f>IF(Stock!BC85="","",Stock!BC85)</f>
        <v/>
      </c>
    </row>
    <row r="90" spans="2:58" ht="14.25" customHeight="1" x14ac:dyDescent="0.3">
      <c r="B90" s="31"/>
      <c r="E90" s="13" t="str">
        <f>IF(Stock!B86="","",Stock!B86)</f>
        <v/>
      </c>
      <c r="F90" s="13" t="str">
        <f ca="1">IF(Stock!C86="","",Stock!C86)</f>
        <v/>
      </c>
      <c r="G90" s="13" t="str">
        <f ca="1">IF(Stock!D86="","",Stock!D86)</f>
        <v/>
      </c>
      <c r="H90" s="13" t="str">
        <f ca="1">IF(Stock!E86="","",Stock!E86)</f>
        <v/>
      </c>
      <c r="I90" s="13" t="str">
        <f ca="1">IF(Stock!F86="","",Stock!F86)</f>
        <v/>
      </c>
      <c r="J90" s="13" t="str">
        <f ca="1">IF(Stock!G86="","",Stock!G86)</f>
        <v/>
      </c>
      <c r="K90" s="13" t="str">
        <f ca="1">IF(Stock!H86="","",Stock!H86)</f>
        <v/>
      </c>
      <c r="L90" s="13" t="str">
        <f ca="1">IF(Stock!I86="","",Stock!I86)</f>
        <v/>
      </c>
      <c r="M90" s="13" t="str">
        <f ca="1">IF(Stock!J86="","",Stock!J86)</f>
        <v/>
      </c>
      <c r="N90" s="13" t="str">
        <f ca="1">IF(Stock!K86="","",Stock!K86)</f>
        <v/>
      </c>
      <c r="O90" s="13" t="str">
        <f ca="1">IF(Stock!L86="","",Stock!L86)</f>
        <v/>
      </c>
      <c r="P90" s="13" t="str">
        <f ca="1">IF(Stock!M86="","",Stock!M86)</f>
        <v/>
      </c>
      <c r="Q90" s="13" t="str">
        <f ca="1">IF(Stock!N86="","",Stock!N86)</f>
        <v/>
      </c>
      <c r="R90" s="13" t="str">
        <f ca="1">IF(Stock!O86="","",Stock!O86)</f>
        <v/>
      </c>
      <c r="S90" s="13" t="str">
        <f ca="1">IF(Stock!P86="","",Stock!P86)</f>
        <v/>
      </c>
      <c r="T90" s="13" t="str">
        <f ca="1">IF(Stock!Q86="","",Stock!Q86)</f>
        <v/>
      </c>
      <c r="U90" s="13" t="str">
        <f ca="1">IF(Stock!R86="","",Stock!R86)</f>
        <v/>
      </c>
      <c r="V90" s="13" t="str">
        <f ca="1">IF(Stock!S86="","",Stock!S86)</f>
        <v/>
      </c>
      <c r="W90" s="13" t="str">
        <f ca="1">IF(Stock!T86="","",Stock!T86)</f>
        <v/>
      </c>
      <c r="X90" s="13" t="str">
        <f ca="1">IF(Stock!U86="","",Stock!U86)</f>
        <v/>
      </c>
      <c r="Y90" s="13" t="str">
        <f ca="1">IF(Stock!V86="","",Stock!V86)</f>
        <v/>
      </c>
      <c r="Z90" s="13" t="str">
        <f ca="1">IF(Stock!W86="","",Stock!W86)</f>
        <v/>
      </c>
      <c r="AA90" s="13" t="str">
        <f ca="1">IF(Stock!X86="","",Stock!X86)</f>
        <v/>
      </c>
      <c r="AB90" s="13" t="str">
        <f ca="1">IF(Stock!Y86="","",Stock!Y86)</f>
        <v/>
      </c>
      <c r="AC90" s="13" t="str">
        <f ca="1">IF(Stock!Z86="","",Stock!Z86)</f>
        <v/>
      </c>
      <c r="AD90" s="13" t="str">
        <f ca="1">IF(Stock!AA86="","",Stock!AA86)</f>
        <v/>
      </c>
      <c r="AE90" s="13" t="str">
        <f ca="1">IF(Stock!AB86="","",Stock!AB86)</f>
        <v/>
      </c>
      <c r="AF90" s="13" t="str">
        <f ca="1">IF(Stock!AC86="","",Stock!AC86)</f>
        <v/>
      </c>
      <c r="AG90" s="13" t="str">
        <f ca="1">IF(Stock!AD86="","",Stock!AD86)</f>
        <v/>
      </c>
      <c r="AH90" s="13" t="str">
        <f ca="1">IF(Stock!AE86="","",Stock!AE86)</f>
        <v/>
      </c>
      <c r="AI90" s="13" t="str">
        <f ca="1">IF(Stock!AF86="","",Stock!AF86)</f>
        <v/>
      </c>
      <c r="AJ90" s="13" t="str">
        <f ca="1">IF(Stock!AG86="","",Stock!AG86)</f>
        <v/>
      </c>
      <c r="AK90" s="13" t="str">
        <f ca="1">IF(Stock!AH86="","",Stock!AH86)</f>
        <v/>
      </c>
      <c r="AL90" s="13" t="str">
        <f ca="1">IF(Stock!AI86="","",Stock!AI86)</f>
        <v/>
      </c>
      <c r="AM90" s="13" t="str">
        <f ca="1">IF(Stock!AJ86="","",Stock!AJ86)</f>
        <v/>
      </c>
      <c r="AN90" s="13" t="str">
        <f ca="1">IF(Stock!AK86="","",Stock!AK86)</f>
        <v/>
      </c>
      <c r="AO90" s="13" t="str">
        <f ca="1">IF(Stock!AL86="","",Stock!AL86)</f>
        <v/>
      </c>
      <c r="AP90" s="13" t="str">
        <f ca="1">IF(Stock!AM86="","",Stock!AM86)</f>
        <v/>
      </c>
      <c r="AQ90" s="13" t="str">
        <f ca="1">IF(Stock!AN86="","",Stock!AN86)</f>
        <v/>
      </c>
      <c r="AR90" s="13" t="str">
        <f ca="1">IF(Stock!AO86="","",Stock!AO86)</f>
        <v/>
      </c>
      <c r="AS90" s="13" t="str">
        <f ca="1">IF(Stock!AP86="","",Stock!AP86)</f>
        <v/>
      </c>
      <c r="AT90" s="13" t="str">
        <f ca="1">IF(Stock!AQ86="","",Stock!AQ86)</f>
        <v/>
      </c>
      <c r="AU90" s="13" t="str">
        <f ca="1">IF(Stock!AR86="","",Stock!AR86)</f>
        <v/>
      </c>
      <c r="AV90" s="13" t="str">
        <f ca="1">IF(Stock!AS86="","",Stock!AS86)</f>
        <v/>
      </c>
      <c r="AW90" s="13" t="str">
        <f ca="1">IF(Stock!AT86="","",Stock!AT86)</f>
        <v/>
      </c>
      <c r="AX90" s="13" t="str">
        <f ca="1">IF(Stock!AU86="","",Stock!AU86)</f>
        <v/>
      </c>
      <c r="AY90" s="13" t="str">
        <f ca="1">IF(Stock!AV86="","",Stock!AV86)</f>
        <v/>
      </c>
      <c r="AZ90" s="13" t="str">
        <f ca="1">IF(Stock!AW86="","",Stock!AW86)</f>
        <v/>
      </c>
      <c r="BA90" s="13" t="str">
        <f ca="1">IF(Stock!AX86="","",Stock!AX86)</f>
        <v/>
      </c>
      <c r="BB90" s="13" t="str">
        <f>IF(Stock!AY86="","",Stock!AY86)</f>
        <v/>
      </c>
      <c r="BC90" s="13" t="str">
        <f>IF(Stock!AZ86="","",Stock!AZ86)</f>
        <v/>
      </c>
      <c r="BD90" s="13" t="str">
        <f>IF(Stock!BA86="","",Stock!BA86)</f>
        <v/>
      </c>
      <c r="BE90" s="13" t="str">
        <f>IF(Stock!BB86="","",Stock!BB86)</f>
        <v/>
      </c>
      <c r="BF90" s="13" t="str">
        <f>IF(Stock!BC86="","",Stock!BC86)</f>
        <v/>
      </c>
    </row>
    <row r="91" spans="2:58" ht="14.25" customHeight="1" x14ac:dyDescent="0.3">
      <c r="B91" s="31"/>
      <c r="E91" s="13" t="str">
        <f>IF(Stock!B87="","",Stock!B87)</f>
        <v/>
      </c>
      <c r="F91" s="13" t="str">
        <f ca="1">IF(Stock!C87="","",Stock!C87)</f>
        <v/>
      </c>
      <c r="G91" s="13" t="str">
        <f ca="1">IF(Stock!D87="","",Stock!D87)</f>
        <v/>
      </c>
      <c r="H91" s="13" t="str">
        <f ca="1">IF(Stock!E87="","",Stock!E87)</f>
        <v/>
      </c>
      <c r="I91" s="13" t="str">
        <f ca="1">IF(Stock!F87="","",Stock!F87)</f>
        <v/>
      </c>
      <c r="J91" s="13" t="str">
        <f ca="1">IF(Stock!G87="","",Stock!G87)</f>
        <v/>
      </c>
      <c r="K91" s="13" t="str">
        <f ca="1">IF(Stock!H87="","",Stock!H87)</f>
        <v/>
      </c>
      <c r="L91" s="13" t="str">
        <f ca="1">IF(Stock!I87="","",Stock!I87)</f>
        <v/>
      </c>
      <c r="M91" s="13" t="str">
        <f ca="1">IF(Stock!J87="","",Stock!J87)</f>
        <v/>
      </c>
      <c r="N91" s="13" t="str">
        <f ca="1">IF(Stock!K87="","",Stock!K87)</f>
        <v/>
      </c>
      <c r="O91" s="13" t="str">
        <f ca="1">IF(Stock!L87="","",Stock!L87)</f>
        <v/>
      </c>
      <c r="P91" s="13" t="str">
        <f ca="1">IF(Stock!M87="","",Stock!M87)</f>
        <v/>
      </c>
      <c r="Q91" s="13" t="str">
        <f ca="1">IF(Stock!N87="","",Stock!N87)</f>
        <v/>
      </c>
      <c r="R91" s="13" t="str">
        <f ca="1">IF(Stock!O87="","",Stock!O87)</f>
        <v/>
      </c>
      <c r="S91" s="13" t="str">
        <f ca="1">IF(Stock!P87="","",Stock!P87)</f>
        <v/>
      </c>
      <c r="T91" s="13" t="str">
        <f ca="1">IF(Stock!Q87="","",Stock!Q87)</f>
        <v/>
      </c>
      <c r="U91" s="13" t="str">
        <f ca="1">IF(Stock!R87="","",Stock!R87)</f>
        <v/>
      </c>
      <c r="V91" s="13" t="str">
        <f ca="1">IF(Stock!S87="","",Stock!S87)</f>
        <v/>
      </c>
      <c r="W91" s="13" t="str">
        <f ca="1">IF(Stock!T87="","",Stock!T87)</f>
        <v/>
      </c>
      <c r="X91" s="13" t="str">
        <f ca="1">IF(Stock!U87="","",Stock!U87)</f>
        <v/>
      </c>
      <c r="Y91" s="13" t="str">
        <f ca="1">IF(Stock!V87="","",Stock!V87)</f>
        <v/>
      </c>
      <c r="Z91" s="13" t="str">
        <f ca="1">IF(Stock!W87="","",Stock!W87)</f>
        <v/>
      </c>
      <c r="AA91" s="13" t="str">
        <f ca="1">IF(Stock!X87="","",Stock!X87)</f>
        <v/>
      </c>
      <c r="AB91" s="13" t="str">
        <f ca="1">IF(Stock!Y87="","",Stock!Y87)</f>
        <v/>
      </c>
      <c r="AC91" s="13" t="str">
        <f ca="1">IF(Stock!Z87="","",Stock!Z87)</f>
        <v/>
      </c>
      <c r="AD91" s="13" t="str">
        <f ca="1">IF(Stock!AA87="","",Stock!AA87)</f>
        <v/>
      </c>
      <c r="AE91" s="13" t="str">
        <f ca="1">IF(Stock!AB87="","",Stock!AB87)</f>
        <v/>
      </c>
      <c r="AF91" s="13" t="str">
        <f ca="1">IF(Stock!AC87="","",Stock!AC87)</f>
        <v/>
      </c>
      <c r="AG91" s="13" t="str">
        <f ca="1">IF(Stock!AD87="","",Stock!AD87)</f>
        <v/>
      </c>
      <c r="AH91" s="13" t="str">
        <f ca="1">IF(Stock!AE87="","",Stock!AE87)</f>
        <v/>
      </c>
      <c r="AI91" s="13" t="str">
        <f ca="1">IF(Stock!AF87="","",Stock!AF87)</f>
        <v/>
      </c>
      <c r="AJ91" s="13" t="str">
        <f ca="1">IF(Stock!AG87="","",Stock!AG87)</f>
        <v/>
      </c>
      <c r="AK91" s="13" t="str">
        <f ca="1">IF(Stock!AH87="","",Stock!AH87)</f>
        <v/>
      </c>
      <c r="AL91" s="13" t="str">
        <f ca="1">IF(Stock!AI87="","",Stock!AI87)</f>
        <v/>
      </c>
      <c r="AM91" s="13" t="str">
        <f ca="1">IF(Stock!AJ87="","",Stock!AJ87)</f>
        <v/>
      </c>
      <c r="AN91" s="13" t="str">
        <f ca="1">IF(Stock!AK87="","",Stock!AK87)</f>
        <v/>
      </c>
      <c r="AO91" s="13" t="str">
        <f ca="1">IF(Stock!AL87="","",Stock!AL87)</f>
        <v/>
      </c>
      <c r="AP91" s="13" t="str">
        <f ca="1">IF(Stock!AM87="","",Stock!AM87)</f>
        <v/>
      </c>
      <c r="AQ91" s="13" t="str">
        <f ca="1">IF(Stock!AN87="","",Stock!AN87)</f>
        <v/>
      </c>
      <c r="AR91" s="13" t="str">
        <f ca="1">IF(Stock!AO87="","",Stock!AO87)</f>
        <v/>
      </c>
      <c r="AS91" s="13" t="str">
        <f ca="1">IF(Stock!AP87="","",Stock!AP87)</f>
        <v/>
      </c>
      <c r="AT91" s="13" t="str">
        <f ca="1">IF(Stock!AQ87="","",Stock!AQ87)</f>
        <v/>
      </c>
      <c r="AU91" s="13" t="str">
        <f ca="1">IF(Stock!AR87="","",Stock!AR87)</f>
        <v/>
      </c>
      <c r="AV91" s="13" t="str">
        <f ca="1">IF(Stock!AS87="","",Stock!AS87)</f>
        <v/>
      </c>
      <c r="AW91" s="13" t="str">
        <f ca="1">IF(Stock!AT87="","",Stock!AT87)</f>
        <v/>
      </c>
      <c r="AX91" s="13" t="str">
        <f ca="1">IF(Stock!AU87="","",Stock!AU87)</f>
        <v/>
      </c>
      <c r="AY91" s="13" t="str">
        <f ca="1">IF(Stock!AV87="","",Stock!AV87)</f>
        <v/>
      </c>
      <c r="AZ91" s="13" t="str">
        <f ca="1">IF(Stock!AW87="","",Stock!AW87)</f>
        <v/>
      </c>
      <c r="BA91" s="13" t="str">
        <f ca="1">IF(Stock!AX87="","",Stock!AX87)</f>
        <v/>
      </c>
      <c r="BB91" s="13" t="str">
        <f>IF(Stock!AY87="","",Stock!AY87)</f>
        <v/>
      </c>
      <c r="BC91" s="13" t="str">
        <f>IF(Stock!AZ87="","",Stock!AZ87)</f>
        <v/>
      </c>
      <c r="BD91" s="13" t="str">
        <f>IF(Stock!BA87="","",Stock!BA87)</f>
        <v/>
      </c>
      <c r="BE91" s="13" t="str">
        <f>IF(Stock!BB87="","",Stock!BB87)</f>
        <v/>
      </c>
      <c r="BF91" s="13" t="str">
        <f>IF(Stock!BC87="","",Stock!BC87)</f>
        <v/>
      </c>
    </row>
    <row r="92" spans="2:58" ht="14.25" customHeight="1" x14ac:dyDescent="0.3">
      <c r="B92" s="31"/>
      <c r="E92" s="13" t="str">
        <f>IF(Stock!B88="","",Stock!B88)</f>
        <v/>
      </c>
      <c r="F92" s="13" t="str">
        <f ca="1">IF(Stock!C88="","",Stock!C88)</f>
        <v/>
      </c>
      <c r="G92" s="13" t="str">
        <f ca="1">IF(Stock!D88="","",Stock!D88)</f>
        <v/>
      </c>
      <c r="H92" s="13" t="str">
        <f ca="1">IF(Stock!E88="","",Stock!E88)</f>
        <v/>
      </c>
      <c r="I92" s="13" t="str">
        <f ca="1">IF(Stock!F88="","",Stock!F88)</f>
        <v/>
      </c>
      <c r="J92" s="13" t="str">
        <f ca="1">IF(Stock!G88="","",Stock!G88)</f>
        <v/>
      </c>
      <c r="K92" s="13" t="str">
        <f ca="1">IF(Stock!H88="","",Stock!H88)</f>
        <v/>
      </c>
      <c r="L92" s="13" t="str">
        <f ca="1">IF(Stock!I88="","",Stock!I88)</f>
        <v/>
      </c>
      <c r="M92" s="13" t="str">
        <f ca="1">IF(Stock!J88="","",Stock!J88)</f>
        <v/>
      </c>
      <c r="N92" s="13" t="str">
        <f ca="1">IF(Stock!K88="","",Stock!K88)</f>
        <v/>
      </c>
      <c r="O92" s="13" t="str">
        <f ca="1">IF(Stock!L88="","",Stock!L88)</f>
        <v/>
      </c>
      <c r="P92" s="13" t="str">
        <f ca="1">IF(Stock!M88="","",Stock!M88)</f>
        <v/>
      </c>
      <c r="Q92" s="13" t="str">
        <f ca="1">IF(Stock!N88="","",Stock!N88)</f>
        <v/>
      </c>
      <c r="R92" s="13" t="str">
        <f ca="1">IF(Stock!O88="","",Stock!O88)</f>
        <v/>
      </c>
      <c r="S92" s="13" t="str">
        <f ca="1">IF(Stock!P88="","",Stock!P88)</f>
        <v/>
      </c>
      <c r="T92" s="13" t="str">
        <f ca="1">IF(Stock!Q88="","",Stock!Q88)</f>
        <v/>
      </c>
      <c r="U92" s="13" t="str">
        <f ca="1">IF(Stock!R88="","",Stock!R88)</f>
        <v/>
      </c>
      <c r="V92" s="13" t="str">
        <f ca="1">IF(Stock!S88="","",Stock!S88)</f>
        <v/>
      </c>
      <c r="W92" s="13" t="str">
        <f ca="1">IF(Stock!T88="","",Stock!T88)</f>
        <v/>
      </c>
      <c r="X92" s="13" t="str">
        <f ca="1">IF(Stock!U88="","",Stock!U88)</f>
        <v/>
      </c>
      <c r="Y92" s="13" t="str">
        <f ca="1">IF(Stock!V88="","",Stock!V88)</f>
        <v/>
      </c>
      <c r="Z92" s="13" t="str">
        <f ca="1">IF(Stock!W88="","",Stock!W88)</f>
        <v/>
      </c>
      <c r="AA92" s="13" t="str">
        <f ca="1">IF(Stock!X88="","",Stock!X88)</f>
        <v/>
      </c>
      <c r="AB92" s="13" t="str">
        <f ca="1">IF(Stock!Y88="","",Stock!Y88)</f>
        <v/>
      </c>
      <c r="AC92" s="13" t="str">
        <f ca="1">IF(Stock!Z88="","",Stock!Z88)</f>
        <v/>
      </c>
      <c r="AD92" s="13" t="str">
        <f ca="1">IF(Stock!AA88="","",Stock!AA88)</f>
        <v/>
      </c>
      <c r="AE92" s="13" t="str">
        <f ca="1">IF(Stock!AB88="","",Stock!AB88)</f>
        <v/>
      </c>
      <c r="AF92" s="13" t="str">
        <f ca="1">IF(Stock!AC88="","",Stock!AC88)</f>
        <v/>
      </c>
      <c r="AG92" s="13" t="str">
        <f ca="1">IF(Stock!AD88="","",Stock!AD88)</f>
        <v/>
      </c>
      <c r="AH92" s="13" t="str">
        <f ca="1">IF(Stock!AE88="","",Stock!AE88)</f>
        <v/>
      </c>
      <c r="AI92" s="13" t="str">
        <f ca="1">IF(Stock!AF88="","",Stock!AF88)</f>
        <v/>
      </c>
      <c r="AJ92" s="13" t="str">
        <f ca="1">IF(Stock!AG88="","",Stock!AG88)</f>
        <v/>
      </c>
      <c r="AK92" s="13" t="str">
        <f ca="1">IF(Stock!AH88="","",Stock!AH88)</f>
        <v/>
      </c>
      <c r="AL92" s="13" t="str">
        <f ca="1">IF(Stock!AI88="","",Stock!AI88)</f>
        <v/>
      </c>
      <c r="AM92" s="13" t="str">
        <f ca="1">IF(Stock!AJ88="","",Stock!AJ88)</f>
        <v/>
      </c>
      <c r="AN92" s="13" t="str">
        <f ca="1">IF(Stock!AK88="","",Stock!AK88)</f>
        <v/>
      </c>
      <c r="AO92" s="13" t="str">
        <f ca="1">IF(Stock!AL88="","",Stock!AL88)</f>
        <v/>
      </c>
      <c r="AP92" s="13" t="str">
        <f ca="1">IF(Stock!AM88="","",Stock!AM88)</f>
        <v/>
      </c>
      <c r="AQ92" s="13" t="str">
        <f ca="1">IF(Stock!AN88="","",Stock!AN88)</f>
        <v/>
      </c>
      <c r="AR92" s="13" t="str">
        <f ca="1">IF(Stock!AO88="","",Stock!AO88)</f>
        <v/>
      </c>
      <c r="AS92" s="13" t="str">
        <f ca="1">IF(Stock!AP88="","",Stock!AP88)</f>
        <v/>
      </c>
      <c r="AT92" s="13" t="str">
        <f ca="1">IF(Stock!AQ88="","",Stock!AQ88)</f>
        <v/>
      </c>
      <c r="AU92" s="13" t="str">
        <f ca="1">IF(Stock!AR88="","",Stock!AR88)</f>
        <v/>
      </c>
      <c r="AV92" s="13" t="str">
        <f ca="1">IF(Stock!AS88="","",Stock!AS88)</f>
        <v/>
      </c>
      <c r="AW92" s="13" t="str">
        <f ca="1">IF(Stock!AT88="","",Stock!AT88)</f>
        <v/>
      </c>
      <c r="AX92" s="13" t="str">
        <f ca="1">IF(Stock!AU88="","",Stock!AU88)</f>
        <v/>
      </c>
      <c r="AY92" s="13" t="str">
        <f ca="1">IF(Stock!AV88="","",Stock!AV88)</f>
        <v/>
      </c>
      <c r="AZ92" s="13" t="str">
        <f ca="1">IF(Stock!AW88="","",Stock!AW88)</f>
        <v/>
      </c>
      <c r="BA92" s="13" t="str">
        <f ca="1">IF(Stock!AX88="","",Stock!AX88)</f>
        <v/>
      </c>
      <c r="BB92" s="13" t="str">
        <f>IF(Stock!AY88="","",Stock!AY88)</f>
        <v/>
      </c>
      <c r="BC92" s="13" t="str">
        <f>IF(Stock!AZ88="","",Stock!AZ88)</f>
        <v/>
      </c>
      <c r="BD92" s="13" t="str">
        <f>IF(Stock!BA88="","",Stock!BA88)</f>
        <v/>
      </c>
      <c r="BE92" s="13" t="str">
        <f>IF(Stock!BB88="","",Stock!BB88)</f>
        <v/>
      </c>
      <c r="BF92" s="13" t="str">
        <f>IF(Stock!BC88="","",Stock!BC88)</f>
        <v/>
      </c>
    </row>
    <row r="93" spans="2:58" ht="14.25" customHeight="1" x14ac:dyDescent="0.3">
      <c r="B93" s="31"/>
      <c r="E93" s="13" t="str">
        <f>IF(Stock!B89="","",Stock!B89)</f>
        <v/>
      </c>
      <c r="F93" s="13" t="str">
        <f ca="1">IF(Stock!C89="","",Stock!C89)</f>
        <v/>
      </c>
      <c r="G93" s="13" t="str">
        <f ca="1">IF(Stock!D89="","",Stock!D89)</f>
        <v/>
      </c>
      <c r="H93" s="13" t="str">
        <f ca="1">IF(Stock!E89="","",Stock!E89)</f>
        <v/>
      </c>
      <c r="I93" s="13" t="str">
        <f ca="1">IF(Stock!F89="","",Stock!F89)</f>
        <v/>
      </c>
      <c r="J93" s="13" t="str">
        <f ca="1">IF(Stock!G89="","",Stock!G89)</f>
        <v/>
      </c>
      <c r="K93" s="13" t="str">
        <f ca="1">IF(Stock!H89="","",Stock!H89)</f>
        <v/>
      </c>
      <c r="L93" s="13" t="str">
        <f ca="1">IF(Stock!I89="","",Stock!I89)</f>
        <v/>
      </c>
      <c r="M93" s="13" t="str">
        <f ca="1">IF(Stock!J89="","",Stock!J89)</f>
        <v/>
      </c>
      <c r="N93" s="13" t="str">
        <f ca="1">IF(Stock!K89="","",Stock!K89)</f>
        <v/>
      </c>
      <c r="O93" s="13" t="str">
        <f ca="1">IF(Stock!L89="","",Stock!L89)</f>
        <v/>
      </c>
      <c r="P93" s="13" t="str">
        <f ca="1">IF(Stock!M89="","",Stock!M89)</f>
        <v/>
      </c>
      <c r="Q93" s="13" t="str">
        <f ca="1">IF(Stock!N89="","",Stock!N89)</f>
        <v/>
      </c>
      <c r="R93" s="13" t="str">
        <f ca="1">IF(Stock!O89="","",Stock!O89)</f>
        <v/>
      </c>
      <c r="S93" s="13" t="str">
        <f ca="1">IF(Stock!P89="","",Stock!P89)</f>
        <v/>
      </c>
      <c r="T93" s="13" t="str">
        <f ca="1">IF(Stock!Q89="","",Stock!Q89)</f>
        <v/>
      </c>
      <c r="U93" s="13" t="str">
        <f ca="1">IF(Stock!R89="","",Stock!R89)</f>
        <v/>
      </c>
      <c r="V93" s="13" t="str">
        <f ca="1">IF(Stock!S89="","",Stock!S89)</f>
        <v/>
      </c>
      <c r="W93" s="13" t="str">
        <f ca="1">IF(Stock!T89="","",Stock!T89)</f>
        <v/>
      </c>
      <c r="X93" s="13" t="str">
        <f ca="1">IF(Stock!U89="","",Stock!U89)</f>
        <v/>
      </c>
      <c r="Y93" s="13" t="str">
        <f ca="1">IF(Stock!V89="","",Stock!V89)</f>
        <v/>
      </c>
      <c r="Z93" s="13" t="str">
        <f ca="1">IF(Stock!W89="","",Stock!W89)</f>
        <v/>
      </c>
      <c r="AA93" s="13" t="str">
        <f ca="1">IF(Stock!X89="","",Stock!X89)</f>
        <v/>
      </c>
      <c r="AB93" s="13" t="str">
        <f ca="1">IF(Stock!Y89="","",Stock!Y89)</f>
        <v/>
      </c>
      <c r="AC93" s="13" t="str">
        <f ca="1">IF(Stock!Z89="","",Stock!Z89)</f>
        <v/>
      </c>
      <c r="AD93" s="13" t="str">
        <f ca="1">IF(Stock!AA89="","",Stock!AA89)</f>
        <v/>
      </c>
      <c r="AE93" s="13" t="str">
        <f ca="1">IF(Stock!AB89="","",Stock!AB89)</f>
        <v/>
      </c>
      <c r="AF93" s="13" t="str">
        <f ca="1">IF(Stock!AC89="","",Stock!AC89)</f>
        <v/>
      </c>
      <c r="AG93" s="13" t="str">
        <f ca="1">IF(Stock!AD89="","",Stock!AD89)</f>
        <v/>
      </c>
      <c r="AH93" s="13" t="str">
        <f ca="1">IF(Stock!AE89="","",Stock!AE89)</f>
        <v/>
      </c>
      <c r="AI93" s="13" t="str">
        <f ca="1">IF(Stock!AF89="","",Stock!AF89)</f>
        <v/>
      </c>
      <c r="AJ93" s="13" t="str">
        <f ca="1">IF(Stock!AG89="","",Stock!AG89)</f>
        <v/>
      </c>
      <c r="AK93" s="13" t="str">
        <f ca="1">IF(Stock!AH89="","",Stock!AH89)</f>
        <v/>
      </c>
      <c r="AL93" s="13" t="str">
        <f ca="1">IF(Stock!AI89="","",Stock!AI89)</f>
        <v/>
      </c>
      <c r="AM93" s="13" t="str">
        <f ca="1">IF(Stock!AJ89="","",Stock!AJ89)</f>
        <v/>
      </c>
      <c r="AN93" s="13" t="str">
        <f ca="1">IF(Stock!AK89="","",Stock!AK89)</f>
        <v/>
      </c>
      <c r="AO93" s="13" t="str">
        <f ca="1">IF(Stock!AL89="","",Stock!AL89)</f>
        <v/>
      </c>
      <c r="AP93" s="13" t="str">
        <f ca="1">IF(Stock!AM89="","",Stock!AM89)</f>
        <v/>
      </c>
      <c r="AQ93" s="13" t="str">
        <f ca="1">IF(Stock!AN89="","",Stock!AN89)</f>
        <v/>
      </c>
      <c r="AR93" s="13" t="str">
        <f ca="1">IF(Stock!AO89="","",Stock!AO89)</f>
        <v/>
      </c>
      <c r="AS93" s="13" t="str">
        <f ca="1">IF(Stock!AP89="","",Stock!AP89)</f>
        <v/>
      </c>
      <c r="AT93" s="13" t="str">
        <f ca="1">IF(Stock!AQ89="","",Stock!AQ89)</f>
        <v/>
      </c>
      <c r="AU93" s="13" t="str">
        <f ca="1">IF(Stock!AR89="","",Stock!AR89)</f>
        <v/>
      </c>
      <c r="AV93" s="13" t="str">
        <f ca="1">IF(Stock!AS89="","",Stock!AS89)</f>
        <v/>
      </c>
      <c r="AW93" s="13" t="str">
        <f ca="1">IF(Stock!AT89="","",Stock!AT89)</f>
        <v/>
      </c>
      <c r="AX93" s="13" t="str">
        <f ca="1">IF(Stock!AU89="","",Stock!AU89)</f>
        <v/>
      </c>
      <c r="AY93" s="13" t="str">
        <f ca="1">IF(Stock!AV89="","",Stock!AV89)</f>
        <v/>
      </c>
      <c r="AZ93" s="13" t="str">
        <f ca="1">IF(Stock!AW89="","",Stock!AW89)</f>
        <v/>
      </c>
      <c r="BA93" s="13" t="str">
        <f ca="1">IF(Stock!AX89="","",Stock!AX89)</f>
        <v/>
      </c>
      <c r="BB93" s="13" t="str">
        <f>IF(Stock!AY89="","",Stock!AY89)</f>
        <v/>
      </c>
      <c r="BC93" s="13" t="str">
        <f>IF(Stock!AZ89="","",Stock!AZ89)</f>
        <v/>
      </c>
      <c r="BD93" s="13" t="str">
        <f>IF(Stock!BA89="","",Stock!BA89)</f>
        <v/>
      </c>
      <c r="BE93" s="13" t="str">
        <f>IF(Stock!BB89="","",Stock!BB89)</f>
        <v/>
      </c>
      <c r="BF93" s="13" t="str">
        <f>IF(Stock!BC89="","",Stock!BC89)</f>
        <v/>
      </c>
    </row>
    <row r="94" spans="2:58" ht="14.25" customHeight="1" x14ac:dyDescent="0.3">
      <c r="B94" s="31"/>
      <c r="E94" s="13" t="str">
        <f>IF(Stock!B90="","",Stock!B90)</f>
        <v/>
      </c>
      <c r="F94" s="13" t="str">
        <f ca="1">IF(Stock!C90="","",Stock!C90)</f>
        <v/>
      </c>
      <c r="G94" s="13" t="str">
        <f ca="1">IF(Stock!D90="","",Stock!D90)</f>
        <v/>
      </c>
      <c r="H94" s="13" t="str">
        <f ca="1">IF(Stock!E90="","",Stock!E90)</f>
        <v/>
      </c>
      <c r="I94" s="13" t="str">
        <f ca="1">IF(Stock!F90="","",Stock!F90)</f>
        <v/>
      </c>
      <c r="J94" s="13" t="str">
        <f ca="1">IF(Stock!G90="","",Stock!G90)</f>
        <v/>
      </c>
      <c r="K94" s="13" t="str">
        <f ca="1">IF(Stock!H90="","",Stock!H90)</f>
        <v/>
      </c>
      <c r="L94" s="13" t="str">
        <f ca="1">IF(Stock!I90="","",Stock!I90)</f>
        <v/>
      </c>
      <c r="M94" s="13" t="str">
        <f ca="1">IF(Stock!J90="","",Stock!J90)</f>
        <v/>
      </c>
      <c r="N94" s="13" t="str">
        <f ca="1">IF(Stock!K90="","",Stock!K90)</f>
        <v/>
      </c>
      <c r="O94" s="13" t="str">
        <f ca="1">IF(Stock!L90="","",Stock!L90)</f>
        <v/>
      </c>
      <c r="P94" s="13" t="str">
        <f ca="1">IF(Stock!M90="","",Stock!M90)</f>
        <v/>
      </c>
      <c r="Q94" s="13" t="str">
        <f ca="1">IF(Stock!N90="","",Stock!N90)</f>
        <v/>
      </c>
      <c r="R94" s="13" t="str">
        <f ca="1">IF(Stock!O90="","",Stock!O90)</f>
        <v/>
      </c>
      <c r="S94" s="13" t="str">
        <f ca="1">IF(Stock!P90="","",Stock!P90)</f>
        <v/>
      </c>
      <c r="T94" s="13" t="str">
        <f ca="1">IF(Stock!Q90="","",Stock!Q90)</f>
        <v/>
      </c>
      <c r="U94" s="13" t="str">
        <f ca="1">IF(Stock!R90="","",Stock!R90)</f>
        <v/>
      </c>
      <c r="V94" s="13" t="str">
        <f ca="1">IF(Stock!S90="","",Stock!S90)</f>
        <v/>
      </c>
      <c r="W94" s="13" t="str">
        <f ca="1">IF(Stock!T90="","",Stock!T90)</f>
        <v/>
      </c>
      <c r="X94" s="13" t="str">
        <f ca="1">IF(Stock!U90="","",Stock!U90)</f>
        <v/>
      </c>
      <c r="Y94" s="13" t="str">
        <f ca="1">IF(Stock!V90="","",Stock!V90)</f>
        <v/>
      </c>
      <c r="Z94" s="13" t="str">
        <f ca="1">IF(Stock!W90="","",Stock!W90)</f>
        <v/>
      </c>
      <c r="AA94" s="13" t="str">
        <f ca="1">IF(Stock!X90="","",Stock!X90)</f>
        <v/>
      </c>
      <c r="AB94" s="13" t="str">
        <f ca="1">IF(Stock!Y90="","",Stock!Y90)</f>
        <v/>
      </c>
      <c r="AC94" s="13" t="str">
        <f ca="1">IF(Stock!Z90="","",Stock!Z90)</f>
        <v/>
      </c>
      <c r="AD94" s="13" t="str">
        <f ca="1">IF(Stock!AA90="","",Stock!AA90)</f>
        <v/>
      </c>
      <c r="AE94" s="13" t="str">
        <f ca="1">IF(Stock!AB90="","",Stock!AB90)</f>
        <v/>
      </c>
      <c r="AF94" s="13" t="str">
        <f ca="1">IF(Stock!AC90="","",Stock!AC90)</f>
        <v/>
      </c>
      <c r="AG94" s="13" t="str">
        <f ca="1">IF(Stock!AD90="","",Stock!AD90)</f>
        <v/>
      </c>
      <c r="AH94" s="13" t="str">
        <f ca="1">IF(Stock!AE90="","",Stock!AE90)</f>
        <v/>
      </c>
      <c r="AI94" s="13" t="str">
        <f ca="1">IF(Stock!AF90="","",Stock!AF90)</f>
        <v/>
      </c>
      <c r="AJ94" s="13" t="str">
        <f ca="1">IF(Stock!AG90="","",Stock!AG90)</f>
        <v/>
      </c>
      <c r="AK94" s="13" t="str">
        <f ca="1">IF(Stock!AH90="","",Stock!AH90)</f>
        <v/>
      </c>
      <c r="AL94" s="13" t="str">
        <f ca="1">IF(Stock!AI90="","",Stock!AI90)</f>
        <v/>
      </c>
      <c r="AM94" s="13" t="str">
        <f ca="1">IF(Stock!AJ90="","",Stock!AJ90)</f>
        <v/>
      </c>
      <c r="AN94" s="13" t="str">
        <f ca="1">IF(Stock!AK90="","",Stock!AK90)</f>
        <v/>
      </c>
      <c r="AO94" s="13" t="str">
        <f ca="1">IF(Stock!AL90="","",Stock!AL90)</f>
        <v/>
      </c>
      <c r="AP94" s="13" t="str">
        <f ca="1">IF(Stock!AM90="","",Stock!AM90)</f>
        <v/>
      </c>
      <c r="AQ94" s="13" t="str">
        <f ca="1">IF(Stock!AN90="","",Stock!AN90)</f>
        <v/>
      </c>
      <c r="AR94" s="13" t="str">
        <f ca="1">IF(Stock!AO90="","",Stock!AO90)</f>
        <v/>
      </c>
      <c r="AS94" s="13" t="str">
        <f ca="1">IF(Stock!AP90="","",Stock!AP90)</f>
        <v/>
      </c>
      <c r="AT94" s="13" t="str">
        <f ca="1">IF(Stock!AQ90="","",Stock!AQ90)</f>
        <v/>
      </c>
      <c r="AU94" s="13" t="str">
        <f ca="1">IF(Stock!AR90="","",Stock!AR90)</f>
        <v/>
      </c>
      <c r="AV94" s="13" t="str">
        <f ca="1">IF(Stock!AS90="","",Stock!AS90)</f>
        <v/>
      </c>
      <c r="AW94" s="13" t="str">
        <f ca="1">IF(Stock!AT90="","",Stock!AT90)</f>
        <v/>
      </c>
      <c r="AX94" s="13" t="str">
        <f ca="1">IF(Stock!AU90="","",Stock!AU90)</f>
        <v/>
      </c>
      <c r="AY94" s="13" t="str">
        <f ca="1">IF(Stock!AV90="","",Stock!AV90)</f>
        <v/>
      </c>
      <c r="AZ94" s="13" t="str">
        <f ca="1">IF(Stock!AW90="","",Stock!AW90)</f>
        <v/>
      </c>
      <c r="BA94" s="13" t="str">
        <f ca="1">IF(Stock!AX90="","",Stock!AX90)</f>
        <v/>
      </c>
      <c r="BB94" s="13" t="str">
        <f>IF(Stock!AY90="","",Stock!AY90)</f>
        <v/>
      </c>
      <c r="BC94" s="13" t="str">
        <f>IF(Stock!AZ90="","",Stock!AZ90)</f>
        <v/>
      </c>
      <c r="BD94" s="13" t="str">
        <f>IF(Stock!BA90="","",Stock!BA90)</f>
        <v/>
      </c>
      <c r="BE94" s="13" t="str">
        <f>IF(Stock!BB90="","",Stock!BB90)</f>
        <v/>
      </c>
      <c r="BF94" s="13" t="str">
        <f>IF(Stock!BC90="","",Stock!BC90)</f>
        <v/>
      </c>
    </row>
    <row r="95" spans="2:58" ht="14.25" customHeight="1" x14ac:dyDescent="0.3">
      <c r="B95" s="31"/>
      <c r="E95" s="13" t="str">
        <f>IF(Stock!B91="","",Stock!B91)</f>
        <v/>
      </c>
      <c r="F95" s="13" t="str">
        <f ca="1">IF(Stock!C91="","",Stock!C91)</f>
        <v/>
      </c>
      <c r="G95" s="13" t="str">
        <f ca="1">IF(Stock!D91="","",Stock!D91)</f>
        <v/>
      </c>
      <c r="H95" s="13" t="str">
        <f ca="1">IF(Stock!E91="","",Stock!E91)</f>
        <v/>
      </c>
      <c r="I95" s="13" t="str">
        <f ca="1">IF(Stock!F91="","",Stock!F91)</f>
        <v/>
      </c>
      <c r="J95" s="13" t="str">
        <f ca="1">IF(Stock!G91="","",Stock!G91)</f>
        <v/>
      </c>
      <c r="K95" s="13" t="str">
        <f ca="1">IF(Stock!H91="","",Stock!H91)</f>
        <v/>
      </c>
      <c r="L95" s="13" t="str">
        <f ca="1">IF(Stock!I91="","",Stock!I91)</f>
        <v/>
      </c>
      <c r="M95" s="13" t="str">
        <f ca="1">IF(Stock!J91="","",Stock!J91)</f>
        <v/>
      </c>
      <c r="N95" s="13" t="str">
        <f ca="1">IF(Stock!K91="","",Stock!K91)</f>
        <v/>
      </c>
      <c r="O95" s="13" t="str">
        <f ca="1">IF(Stock!L91="","",Stock!L91)</f>
        <v/>
      </c>
      <c r="P95" s="13" t="str">
        <f ca="1">IF(Stock!M91="","",Stock!M91)</f>
        <v/>
      </c>
      <c r="Q95" s="13" t="str">
        <f ca="1">IF(Stock!N91="","",Stock!N91)</f>
        <v/>
      </c>
      <c r="R95" s="13" t="str">
        <f ca="1">IF(Stock!O91="","",Stock!O91)</f>
        <v/>
      </c>
      <c r="S95" s="13" t="str">
        <f ca="1">IF(Stock!P91="","",Stock!P91)</f>
        <v/>
      </c>
      <c r="T95" s="13" t="str">
        <f ca="1">IF(Stock!Q91="","",Stock!Q91)</f>
        <v/>
      </c>
      <c r="U95" s="13" t="str">
        <f ca="1">IF(Stock!R91="","",Stock!R91)</f>
        <v/>
      </c>
      <c r="V95" s="13" t="str">
        <f ca="1">IF(Stock!S91="","",Stock!S91)</f>
        <v/>
      </c>
      <c r="W95" s="13" t="str">
        <f ca="1">IF(Stock!T91="","",Stock!T91)</f>
        <v/>
      </c>
      <c r="X95" s="13" t="str">
        <f ca="1">IF(Stock!U91="","",Stock!U91)</f>
        <v/>
      </c>
      <c r="Y95" s="13" t="str">
        <f ca="1">IF(Stock!V91="","",Stock!V91)</f>
        <v/>
      </c>
      <c r="Z95" s="13" t="str">
        <f ca="1">IF(Stock!W91="","",Stock!W91)</f>
        <v/>
      </c>
      <c r="AA95" s="13" t="str">
        <f ca="1">IF(Stock!X91="","",Stock!X91)</f>
        <v/>
      </c>
      <c r="AB95" s="13" t="str">
        <f ca="1">IF(Stock!Y91="","",Stock!Y91)</f>
        <v/>
      </c>
      <c r="AC95" s="13" t="str">
        <f ca="1">IF(Stock!Z91="","",Stock!Z91)</f>
        <v/>
      </c>
      <c r="AD95" s="13" t="str">
        <f ca="1">IF(Stock!AA91="","",Stock!AA91)</f>
        <v/>
      </c>
      <c r="AE95" s="13" t="str">
        <f ca="1">IF(Stock!AB91="","",Stock!AB91)</f>
        <v/>
      </c>
      <c r="AF95" s="13" t="str">
        <f ca="1">IF(Stock!AC91="","",Stock!AC91)</f>
        <v/>
      </c>
      <c r="AG95" s="13" t="str">
        <f ca="1">IF(Stock!AD91="","",Stock!AD91)</f>
        <v/>
      </c>
      <c r="AH95" s="13" t="str">
        <f ca="1">IF(Stock!AE91="","",Stock!AE91)</f>
        <v/>
      </c>
      <c r="AI95" s="13" t="str">
        <f ca="1">IF(Stock!AF91="","",Stock!AF91)</f>
        <v/>
      </c>
      <c r="AJ95" s="13" t="str">
        <f ca="1">IF(Stock!AG91="","",Stock!AG91)</f>
        <v/>
      </c>
      <c r="AK95" s="13" t="str">
        <f ca="1">IF(Stock!AH91="","",Stock!AH91)</f>
        <v/>
      </c>
      <c r="AL95" s="13" t="str">
        <f ca="1">IF(Stock!AI91="","",Stock!AI91)</f>
        <v/>
      </c>
      <c r="AM95" s="13" t="str">
        <f ca="1">IF(Stock!AJ91="","",Stock!AJ91)</f>
        <v/>
      </c>
      <c r="AN95" s="13" t="str">
        <f ca="1">IF(Stock!AK91="","",Stock!AK91)</f>
        <v/>
      </c>
      <c r="AO95" s="13" t="str">
        <f ca="1">IF(Stock!AL91="","",Stock!AL91)</f>
        <v/>
      </c>
      <c r="AP95" s="13" t="str">
        <f ca="1">IF(Stock!AM91="","",Stock!AM91)</f>
        <v/>
      </c>
      <c r="AQ95" s="13" t="str">
        <f ca="1">IF(Stock!AN91="","",Stock!AN91)</f>
        <v/>
      </c>
      <c r="AR95" s="13" t="str">
        <f ca="1">IF(Stock!AO91="","",Stock!AO91)</f>
        <v/>
      </c>
      <c r="AS95" s="13" t="str">
        <f ca="1">IF(Stock!AP91="","",Stock!AP91)</f>
        <v/>
      </c>
      <c r="AT95" s="13" t="str">
        <f ca="1">IF(Stock!AQ91="","",Stock!AQ91)</f>
        <v/>
      </c>
      <c r="AU95" s="13" t="str">
        <f ca="1">IF(Stock!AR91="","",Stock!AR91)</f>
        <v/>
      </c>
      <c r="AV95" s="13" t="str">
        <f ca="1">IF(Stock!AS91="","",Stock!AS91)</f>
        <v/>
      </c>
      <c r="AW95" s="13" t="str">
        <f ca="1">IF(Stock!AT91="","",Stock!AT91)</f>
        <v/>
      </c>
      <c r="AX95" s="13" t="str">
        <f ca="1">IF(Stock!AU91="","",Stock!AU91)</f>
        <v/>
      </c>
      <c r="AY95" s="13" t="str">
        <f ca="1">IF(Stock!AV91="","",Stock!AV91)</f>
        <v/>
      </c>
      <c r="AZ95" s="13" t="str">
        <f ca="1">IF(Stock!AW91="","",Stock!AW91)</f>
        <v/>
      </c>
      <c r="BA95" s="13" t="str">
        <f ca="1">IF(Stock!AX91="","",Stock!AX91)</f>
        <v/>
      </c>
      <c r="BB95" s="13" t="str">
        <f>IF(Stock!AY91="","",Stock!AY91)</f>
        <v/>
      </c>
      <c r="BC95" s="13" t="str">
        <f>IF(Stock!AZ91="","",Stock!AZ91)</f>
        <v/>
      </c>
      <c r="BD95" s="13" t="str">
        <f>IF(Stock!BA91="","",Stock!BA91)</f>
        <v/>
      </c>
      <c r="BE95" s="13" t="str">
        <f>IF(Stock!BB91="","",Stock!BB91)</f>
        <v/>
      </c>
      <c r="BF95" s="13" t="str">
        <f>IF(Stock!BC91="","",Stock!BC91)</f>
        <v/>
      </c>
    </row>
    <row r="96" spans="2:58" ht="14.25" customHeight="1" x14ac:dyDescent="0.3">
      <c r="B96" s="31"/>
      <c r="E96" s="13" t="str">
        <f>IF(Stock!B92="","",Stock!B92)</f>
        <v/>
      </c>
      <c r="F96" s="13" t="str">
        <f ca="1">IF(Stock!C92="","",Stock!C92)</f>
        <v/>
      </c>
      <c r="G96" s="13" t="str">
        <f ca="1">IF(Stock!D92="","",Stock!D92)</f>
        <v/>
      </c>
      <c r="H96" s="13" t="str">
        <f ca="1">IF(Stock!E92="","",Stock!E92)</f>
        <v/>
      </c>
      <c r="I96" s="13" t="str">
        <f ca="1">IF(Stock!F92="","",Stock!F92)</f>
        <v/>
      </c>
      <c r="J96" s="13" t="str">
        <f ca="1">IF(Stock!G92="","",Stock!G92)</f>
        <v/>
      </c>
      <c r="K96" s="13" t="str">
        <f ca="1">IF(Stock!H92="","",Stock!H92)</f>
        <v/>
      </c>
      <c r="L96" s="13" t="str">
        <f ca="1">IF(Stock!I92="","",Stock!I92)</f>
        <v/>
      </c>
      <c r="M96" s="13" t="str">
        <f ca="1">IF(Stock!J92="","",Stock!J92)</f>
        <v/>
      </c>
      <c r="N96" s="13" t="str">
        <f ca="1">IF(Stock!K92="","",Stock!K92)</f>
        <v/>
      </c>
      <c r="O96" s="13" t="str">
        <f ca="1">IF(Stock!L92="","",Stock!L92)</f>
        <v/>
      </c>
      <c r="P96" s="13" t="str">
        <f ca="1">IF(Stock!M92="","",Stock!M92)</f>
        <v/>
      </c>
      <c r="Q96" s="13" t="str">
        <f ca="1">IF(Stock!N92="","",Stock!N92)</f>
        <v/>
      </c>
      <c r="R96" s="13" t="str">
        <f ca="1">IF(Stock!O92="","",Stock!O92)</f>
        <v/>
      </c>
      <c r="S96" s="13" t="str">
        <f ca="1">IF(Stock!P92="","",Stock!P92)</f>
        <v/>
      </c>
      <c r="T96" s="13" t="str">
        <f ca="1">IF(Stock!Q92="","",Stock!Q92)</f>
        <v/>
      </c>
      <c r="U96" s="13" t="str">
        <f ca="1">IF(Stock!R92="","",Stock!R92)</f>
        <v/>
      </c>
      <c r="V96" s="13" t="str">
        <f ca="1">IF(Stock!S92="","",Stock!S92)</f>
        <v/>
      </c>
      <c r="W96" s="13" t="str">
        <f ca="1">IF(Stock!T92="","",Stock!T92)</f>
        <v/>
      </c>
      <c r="X96" s="13" t="str">
        <f ca="1">IF(Stock!U92="","",Stock!U92)</f>
        <v/>
      </c>
      <c r="Y96" s="13" t="str">
        <f ca="1">IF(Stock!V92="","",Stock!V92)</f>
        <v/>
      </c>
      <c r="Z96" s="13" t="str">
        <f ca="1">IF(Stock!W92="","",Stock!W92)</f>
        <v/>
      </c>
      <c r="AA96" s="13" t="str">
        <f ca="1">IF(Stock!X92="","",Stock!X92)</f>
        <v/>
      </c>
      <c r="AB96" s="13" t="str">
        <f ca="1">IF(Stock!Y92="","",Stock!Y92)</f>
        <v/>
      </c>
      <c r="AC96" s="13" t="str">
        <f ca="1">IF(Stock!Z92="","",Stock!Z92)</f>
        <v/>
      </c>
      <c r="AD96" s="13" t="str">
        <f ca="1">IF(Stock!AA92="","",Stock!AA92)</f>
        <v/>
      </c>
      <c r="AE96" s="13" t="str">
        <f ca="1">IF(Stock!AB92="","",Stock!AB92)</f>
        <v/>
      </c>
      <c r="AF96" s="13" t="str">
        <f ca="1">IF(Stock!AC92="","",Stock!AC92)</f>
        <v/>
      </c>
      <c r="AG96" s="13" t="str">
        <f ca="1">IF(Stock!AD92="","",Stock!AD92)</f>
        <v/>
      </c>
      <c r="AH96" s="13" t="str">
        <f ca="1">IF(Stock!AE92="","",Stock!AE92)</f>
        <v/>
      </c>
      <c r="AI96" s="13" t="str">
        <f ca="1">IF(Stock!AF92="","",Stock!AF92)</f>
        <v/>
      </c>
      <c r="AJ96" s="13" t="str">
        <f ca="1">IF(Stock!AG92="","",Stock!AG92)</f>
        <v/>
      </c>
      <c r="AK96" s="13" t="str">
        <f ca="1">IF(Stock!AH92="","",Stock!AH92)</f>
        <v/>
      </c>
      <c r="AL96" s="13" t="str">
        <f ca="1">IF(Stock!AI92="","",Stock!AI92)</f>
        <v/>
      </c>
      <c r="AM96" s="13" t="str">
        <f ca="1">IF(Stock!AJ92="","",Stock!AJ92)</f>
        <v/>
      </c>
      <c r="AN96" s="13" t="str">
        <f ca="1">IF(Stock!AK92="","",Stock!AK92)</f>
        <v/>
      </c>
      <c r="AO96" s="13" t="str">
        <f ca="1">IF(Stock!AL92="","",Stock!AL92)</f>
        <v/>
      </c>
      <c r="AP96" s="13" t="str">
        <f ca="1">IF(Stock!AM92="","",Stock!AM92)</f>
        <v/>
      </c>
      <c r="AQ96" s="13" t="str">
        <f ca="1">IF(Stock!AN92="","",Stock!AN92)</f>
        <v/>
      </c>
      <c r="AR96" s="13" t="str">
        <f ca="1">IF(Stock!AO92="","",Stock!AO92)</f>
        <v/>
      </c>
      <c r="AS96" s="13" t="str">
        <f ca="1">IF(Stock!AP92="","",Stock!AP92)</f>
        <v/>
      </c>
      <c r="AT96" s="13" t="str">
        <f ca="1">IF(Stock!AQ92="","",Stock!AQ92)</f>
        <v/>
      </c>
      <c r="AU96" s="13" t="str">
        <f ca="1">IF(Stock!AR92="","",Stock!AR92)</f>
        <v/>
      </c>
      <c r="AV96" s="13" t="str">
        <f ca="1">IF(Stock!AS92="","",Stock!AS92)</f>
        <v/>
      </c>
      <c r="AW96" s="13" t="str">
        <f ca="1">IF(Stock!AT92="","",Stock!AT92)</f>
        <v/>
      </c>
      <c r="AX96" s="13" t="str">
        <f ca="1">IF(Stock!AU92="","",Stock!AU92)</f>
        <v/>
      </c>
      <c r="AY96" s="13" t="str">
        <f ca="1">IF(Stock!AV92="","",Stock!AV92)</f>
        <v/>
      </c>
      <c r="AZ96" s="13" t="str">
        <f ca="1">IF(Stock!AW92="","",Stock!AW92)</f>
        <v/>
      </c>
      <c r="BA96" s="13" t="str">
        <f ca="1">IF(Stock!AX92="","",Stock!AX92)</f>
        <v/>
      </c>
      <c r="BB96" s="13" t="str">
        <f>IF(Stock!AY92="","",Stock!AY92)</f>
        <v/>
      </c>
      <c r="BC96" s="13" t="str">
        <f>IF(Stock!AZ92="","",Stock!AZ92)</f>
        <v/>
      </c>
      <c r="BD96" s="13" t="str">
        <f>IF(Stock!BA92="","",Stock!BA92)</f>
        <v/>
      </c>
      <c r="BE96" s="13" t="str">
        <f>IF(Stock!BB92="","",Stock!BB92)</f>
        <v/>
      </c>
      <c r="BF96" s="13" t="str">
        <f>IF(Stock!BC92="","",Stock!BC92)</f>
        <v/>
      </c>
    </row>
    <row r="97" spans="2:58" ht="14.25" customHeight="1" x14ac:dyDescent="0.3">
      <c r="B97" s="31"/>
      <c r="E97" s="13" t="str">
        <f>IF(Stock!B93="","",Stock!B93)</f>
        <v/>
      </c>
      <c r="F97" s="13" t="str">
        <f ca="1">IF(Stock!C93="","",Stock!C93)</f>
        <v/>
      </c>
      <c r="G97" s="13" t="str">
        <f ca="1">IF(Stock!D93="","",Stock!D93)</f>
        <v/>
      </c>
      <c r="H97" s="13" t="str">
        <f ca="1">IF(Stock!E93="","",Stock!E93)</f>
        <v/>
      </c>
      <c r="I97" s="13" t="str">
        <f ca="1">IF(Stock!F93="","",Stock!F93)</f>
        <v/>
      </c>
      <c r="J97" s="13" t="str">
        <f ca="1">IF(Stock!G93="","",Stock!G93)</f>
        <v/>
      </c>
      <c r="K97" s="13" t="str">
        <f ca="1">IF(Stock!H93="","",Stock!H93)</f>
        <v/>
      </c>
      <c r="L97" s="13" t="str">
        <f ca="1">IF(Stock!I93="","",Stock!I93)</f>
        <v/>
      </c>
      <c r="M97" s="13" t="str">
        <f ca="1">IF(Stock!J93="","",Stock!J93)</f>
        <v/>
      </c>
      <c r="N97" s="13" t="str">
        <f ca="1">IF(Stock!K93="","",Stock!K93)</f>
        <v/>
      </c>
      <c r="O97" s="13" t="str">
        <f ca="1">IF(Stock!L93="","",Stock!L93)</f>
        <v/>
      </c>
      <c r="P97" s="13" t="str">
        <f ca="1">IF(Stock!M93="","",Stock!M93)</f>
        <v/>
      </c>
      <c r="Q97" s="13" t="str">
        <f ca="1">IF(Stock!N93="","",Stock!N93)</f>
        <v/>
      </c>
      <c r="R97" s="13" t="str">
        <f ca="1">IF(Stock!O93="","",Stock!O93)</f>
        <v/>
      </c>
      <c r="S97" s="13" t="str">
        <f ca="1">IF(Stock!P93="","",Stock!P93)</f>
        <v/>
      </c>
      <c r="T97" s="13" t="str">
        <f ca="1">IF(Stock!Q93="","",Stock!Q93)</f>
        <v/>
      </c>
      <c r="U97" s="13" t="str">
        <f ca="1">IF(Stock!R93="","",Stock!R93)</f>
        <v/>
      </c>
      <c r="V97" s="13" t="str">
        <f ca="1">IF(Stock!S93="","",Stock!S93)</f>
        <v/>
      </c>
      <c r="W97" s="13" t="str">
        <f ca="1">IF(Stock!T93="","",Stock!T93)</f>
        <v/>
      </c>
      <c r="X97" s="13" t="str">
        <f ca="1">IF(Stock!U93="","",Stock!U93)</f>
        <v/>
      </c>
      <c r="Y97" s="13" t="str">
        <f ca="1">IF(Stock!V93="","",Stock!V93)</f>
        <v/>
      </c>
      <c r="Z97" s="13" t="str">
        <f ca="1">IF(Stock!W93="","",Stock!W93)</f>
        <v/>
      </c>
      <c r="AA97" s="13" t="str">
        <f ca="1">IF(Stock!X93="","",Stock!X93)</f>
        <v/>
      </c>
      <c r="AB97" s="13" t="str">
        <f ca="1">IF(Stock!Y93="","",Stock!Y93)</f>
        <v/>
      </c>
      <c r="AC97" s="13" t="str">
        <f ca="1">IF(Stock!Z93="","",Stock!Z93)</f>
        <v/>
      </c>
      <c r="AD97" s="13" t="str">
        <f ca="1">IF(Stock!AA93="","",Stock!AA93)</f>
        <v/>
      </c>
      <c r="AE97" s="13" t="str">
        <f ca="1">IF(Stock!AB93="","",Stock!AB93)</f>
        <v/>
      </c>
      <c r="AF97" s="13" t="str">
        <f ca="1">IF(Stock!AC93="","",Stock!AC93)</f>
        <v/>
      </c>
      <c r="AG97" s="13" t="str">
        <f ca="1">IF(Stock!AD93="","",Stock!AD93)</f>
        <v/>
      </c>
      <c r="AH97" s="13" t="str">
        <f ca="1">IF(Stock!AE93="","",Stock!AE93)</f>
        <v/>
      </c>
      <c r="AI97" s="13" t="str">
        <f ca="1">IF(Stock!AF93="","",Stock!AF93)</f>
        <v/>
      </c>
      <c r="AJ97" s="13" t="str">
        <f ca="1">IF(Stock!AG93="","",Stock!AG93)</f>
        <v/>
      </c>
      <c r="AK97" s="13" t="str">
        <f ca="1">IF(Stock!AH93="","",Stock!AH93)</f>
        <v/>
      </c>
      <c r="AL97" s="13" t="str">
        <f ca="1">IF(Stock!AI93="","",Stock!AI93)</f>
        <v/>
      </c>
      <c r="AM97" s="13" t="str">
        <f ca="1">IF(Stock!AJ93="","",Stock!AJ93)</f>
        <v/>
      </c>
      <c r="AN97" s="13" t="str">
        <f ca="1">IF(Stock!AK93="","",Stock!AK93)</f>
        <v/>
      </c>
      <c r="AO97" s="13" t="str">
        <f ca="1">IF(Stock!AL93="","",Stock!AL93)</f>
        <v/>
      </c>
      <c r="AP97" s="13" t="str">
        <f ca="1">IF(Stock!AM93="","",Stock!AM93)</f>
        <v/>
      </c>
      <c r="AQ97" s="13" t="str">
        <f ca="1">IF(Stock!AN93="","",Stock!AN93)</f>
        <v/>
      </c>
      <c r="AR97" s="13" t="str">
        <f ca="1">IF(Stock!AO93="","",Stock!AO93)</f>
        <v/>
      </c>
      <c r="AS97" s="13" t="str">
        <f ca="1">IF(Stock!AP93="","",Stock!AP93)</f>
        <v/>
      </c>
      <c r="AT97" s="13" t="str">
        <f ca="1">IF(Stock!AQ93="","",Stock!AQ93)</f>
        <v/>
      </c>
      <c r="AU97" s="13" t="str">
        <f ca="1">IF(Stock!AR93="","",Stock!AR93)</f>
        <v/>
      </c>
      <c r="AV97" s="13" t="str">
        <f ca="1">IF(Stock!AS93="","",Stock!AS93)</f>
        <v/>
      </c>
      <c r="AW97" s="13" t="str">
        <f ca="1">IF(Stock!AT93="","",Stock!AT93)</f>
        <v/>
      </c>
      <c r="AX97" s="13" t="str">
        <f ca="1">IF(Stock!AU93="","",Stock!AU93)</f>
        <v/>
      </c>
      <c r="AY97" s="13" t="str">
        <f ca="1">IF(Stock!AV93="","",Stock!AV93)</f>
        <v/>
      </c>
      <c r="AZ97" s="13" t="str">
        <f ca="1">IF(Stock!AW93="","",Stock!AW93)</f>
        <v/>
      </c>
      <c r="BA97" s="13" t="str">
        <f ca="1">IF(Stock!AX93="","",Stock!AX93)</f>
        <v/>
      </c>
      <c r="BB97" s="13" t="str">
        <f>IF(Stock!AY93="","",Stock!AY93)</f>
        <v/>
      </c>
      <c r="BC97" s="13" t="str">
        <f>IF(Stock!AZ93="","",Stock!AZ93)</f>
        <v/>
      </c>
      <c r="BD97" s="13" t="str">
        <f>IF(Stock!BA93="","",Stock!BA93)</f>
        <v/>
      </c>
      <c r="BE97" s="13" t="str">
        <f>IF(Stock!BB93="","",Stock!BB93)</f>
        <v/>
      </c>
      <c r="BF97" s="13" t="str">
        <f>IF(Stock!BC93="","",Stock!BC93)</f>
        <v/>
      </c>
    </row>
    <row r="98" spans="2:58" ht="14.25" customHeight="1" x14ac:dyDescent="0.3">
      <c r="B98" s="31"/>
      <c r="E98" s="13" t="str">
        <f>IF(Stock!B94="","",Stock!B94)</f>
        <v/>
      </c>
      <c r="F98" s="13" t="str">
        <f ca="1">IF(Stock!C94="","",Stock!C94)</f>
        <v/>
      </c>
      <c r="G98" s="13" t="str">
        <f ca="1">IF(Stock!D94="","",Stock!D94)</f>
        <v/>
      </c>
      <c r="H98" s="13" t="str">
        <f ca="1">IF(Stock!E94="","",Stock!E94)</f>
        <v/>
      </c>
      <c r="I98" s="13" t="str">
        <f ca="1">IF(Stock!F94="","",Stock!F94)</f>
        <v/>
      </c>
      <c r="J98" s="13" t="str">
        <f ca="1">IF(Stock!G94="","",Stock!G94)</f>
        <v/>
      </c>
      <c r="K98" s="13" t="str">
        <f ca="1">IF(Stock!H94="","",Stock!H94)</f>
        <v/>
      </c>
      <c r="L98" s="13" t="str">
        <f ca="1">IF(Stock!I94="","",Stock!I94)</f>
        <v/>
      </c>
      <c r="M98" s="13" t="str">
        <f ca="1">IF(Stock!J94="","",Stock!J94)</f>
        <v/>
      </c>
      <c r="N98" s="13" t="str">
        <f ca="1">IF(Stock!K94="","",Stock!K94)</f>
        <v/>
      </c>
      <c r="O98" s="13" t="str">
        <f ca="1">IF(Stock!L94="","",Stock!L94)</f>
        <v/>
      </c>
      <c r="P98" s="13" t="str">
        <f ca="1">IF(Stock!M94="","",Stock!M94)</f>
        <v/>
      </c>
      <c r="Q98" s="13" t="str">
        <f ca="1">IF(Stock!N94="","",Stock!N94)</f>
        <v/>
      </c>
      <c r="R98" s="13" t="str">
        <f ca="1">IF(Stock!O94="","",Stock!O94)</f>
        <v/>
      </c>
      <c r="S98" s="13" t="str">
        <f ca="1">IF(Stock!P94="","",Stock!P94)</f>
        <v/>
      </c>
      <c r="T98" s="13" t="str">
        <f ca="1">IF(Stock!Q94="","",Stock!Q94)</f>
        <v/>
      </c>
      <c r="U98" s="13" t="str">
        <f ca="1">IF(Stock!R94="","",Stock!R94)</f>
        <v/>
      </c>
      <c r="V98" s="13" t="str">
        <f ca="1">IF(Stock!S94="","",Stock!S94)</f>
        <v/>
      </c>
      <c r="W98" s="13" t="str">
        <f ca="1">IF(Stock!T94="","",Stock!T94)</f>
        <v/>
      </c>
      <c r="X98" s="13" t="str">
        <f ca="1">IF(Stock!U94="","",Stock!U94)</f>
        <v/>
      </c>
      <c r="Y98" s="13" t="str">
        <f ca="1">IF(Stock!V94="","",Stock!V94)</f>
        <v/>
      </c>
      <c r="Z98" s="13" t="str">
        <f ca="1">IF(Stock!W94="","",Stock!W94)</f>
        <v/>
      </c>
      <c r="AA98" s="13" t="str">
        <f ca="1">IF(Stock!X94="","",Stock!X94)</f>
        <v/>
      </c>
      <c r="AB98" s="13" t="str">
        <f ca="1">IF(Stock!Y94="","",Stock!Y94)</f>
        <v/>
      </c>
      <c r="AC98" s="13" t="str">
        <f ca="1">IF(Stock!Z94="","",Stock!Z94)</f>
        <v/>
      </c>
      <c r="AD98" s="13" t="str">
        <f ca="1">IF(Stock!AA94="","",Stock!AA94)</f>
        <v/>
      </c>
      <c r="AE98" s="13" t="str">
        <f ca="1">IF(Stock!AB94="","",Stock!AB94)</f>
        <v/>
      </c>
      <c r="AF98" s="13" t="str">
        <f ca="1">IF(Stock!AC94="","",Stock!AC94)</f>
        <v/>
      </c>
      <c r="AG98" s="13" t="str">
        <f ca="1">IF(Stock!AD94="","",Stock!AD94)</f>
        <v/>
      </c>
      <c r="AH98" s="13" t="str">
        <f ca="1">IF(Stock!AE94="","",Stock!AE94)</f>
        <v/>
      </c>
      <c r="AI98" s="13" t="str">
        <f ca="1">IF(Stock!AF94="","",Stock!AF94)</f>
        <v/>
      </c>
      <c r="AJ98" s="13" t="str">
        <f ca="1">IF(Stock!AG94="","",Stock!AG94)</f>
        <v/>
      </c>
      <c r="AK98" s="13" t="str">
        <f ca="1">IF(Stock!AH94="","",Stock!AH94)</f>
        <v/>
      </c>
      <c r="AL98" s="13" t="str">
        <f ca="1">IF(Stock!AI94="","",Stock!AI94)</f>
        <v/>
      </c>
      <c r="AM98" s="13" t="str">
        <f ca="1">IF(Stock!AJ94="","",Stock!AJ94)</f>
        <v/>
      </c>
      <c r="AN98" s="13" t="str">
        <f ca="1">IF(Stock!AK94="","",Stock!AK94)</f>
        <v/>
      </c>
      <c r="AO98" s="13" t="str">
        <f ca="1">IF(Stock!AL94="","",Stock!AL94)</f>
        <v/>
      </c>
      <c r="AP98" s="13" t="str">
        <f ca="1">IF(Stock!AM94="","",Stock!AM94)</f>
        <v/>
      </c>
      <c r="AQ98" s="13" t="str">
        <f ca="1">IF(Stock!AN94="","",Stock!AN94)</f>
        <v/>
      </c>
      <c r="AR98" s="13" t="str">
        <f ca="1">IF(Stock!AO94="","",Stock!AO94)</f>
        <v/>
      </c>
      <c r="AS98" s="13" t="str">
        <f ca="1">IF(Stock!AP94="","",Stock!AP94)</f>
        <v/>
      </c>
      <c r="AT98" s="13" t="str">
        <f ca="1">IF(Stock!AQ94="","",Stock!AQ94)</f>
        <v/>
      </c>
      <c r="AU98" s="13" t="str">
        <f ca="1">IF(Stock!AR94="","",Stock!AR94)</f>
        <v/>
      </c>
      <c r="AV98" s="13" t="str">
        <f ca="1">IF(Stock!AS94="","",Stock!AS94)</f>
        <v/>
      </c>
      <c r="AW98" s="13" t="str">
        <f ca="1">IF(Stock!AT94="","",Stock!AT94)</f>
        <v/>
      </c>
      <c r="AX98" s="13" t="str">
        <f ca="1">IF(Stock!AU94="","",Stock!AU94)</f>
        <v/>
      </c>
      <c r="AY98" s="13" t="str">
        <f ca="1">IF(Stock!AV94="","",Stock!AV94)</f>
        <v/>
      </c>
      <c r="AZ98" s="13" t="str">
        <f ca="1">IF(Stock!AW94="","",Stock!AW94)</f>
        <v/>
      </c>
      <c r="BA98" s="13" t="str">
        <f ca="1">IF(Stock!AX94="","",Stock!AX94)</f>
        <v/>
      </c>
      <c r="BB98" s="13" t="str">
        <f>IF(Stock!AY94="","",Stock!AY94)</f>
        <v/>
      </c>
      <c r="BC98" s="13" t="str">
        <f>IF(Stock!AZ94="","",Stock!AZ94)</f>
        <v/>
      </c>
      <c r="BD98" s="13" t="str">
        <f>IF(Stock!BA94="","",Stock!BA94)</f>
        <v/>
      </c>
      <c r="BE98" s="13" t="str">
        <f>IF(Stock!BB94="","",Stock!BB94)</f>
        <v/>
      </c>
      <c r="BF98" s="13" t="str">
        <f>IF(Stock!BC94="","",Stock!BC94)</f>
        <v/>
      </c>
    </row>
    <row r="99" spans="2:58" ht="14.25" customHeight="1" x14ac:dyDescent="0.3">
      <c r="B99" s="31"/>
      <c r="E99" s="13" t="str">
        <f>IF(Stock!B95="","",Stock!B95)</f>
        <v/>
      </c>
      <c r="F99" s="13" t="str">
        <f ca="1">IF(Stock!C95="","",Stock!C95)</f>
        <v/>
      </c>
      <c r="G99" s="13" t="str">
        <f ca="1">IF(Stock!D95="","",Stock!D95)</f>
        <v/>
      </c>
      <c r="H99" s="13" t="str">
        <f ca="1">IF(Stock!E95="","",Stock!E95)</f>
        <v/>
      </c>
      <c r="I99" s="13" t="str">
        <f ca="1">IF(Stock!F95="","",Stock!F95)</f>
        <v/>
      </c>
      <c r="J99" s="13" t="str">
        <f ca="1">IF(Stock!G95="","",Stock!G95)</f>
        <v/>
      </c>
      <c r="K99" s="13" t="str">
        <f ca="1">IF(Stock!H95="","",Stock!H95)</f>
        <v/>
      </c>
      <c r="L99" s="13" t="str">
        <f ca="1">IF(Stock!I95="","",Stock!I95)</f>
        <v/>
      </c>
      <c r="M99" s="13" t="str">
        <f ca="1">IF(Stock!J95="","",Stock!J95)</f>
        <v/>
      </c>
      <c r="N99" s="13" t="str">
        <f ca="1">IF(Stock!K95="","",Stock!K95)</f>
        <v/>
      </c>
      <c r="O99" s="13" t="str">
        <f ca="1">IF(Stock!L95="","",Stock!L95)</f>
        <v/>
      </c>
      <c r="P99" s="13" t="str">
        <f ca="1">IF(Stock!M95="","",Stock!M95)</f>
        <v/>
      </c>
      <c r="Q99" s="13" t="str">
        <f ca="1">IF(Stock!N95="","",Stock!N95)</f>
        <v/>
      </c>
      <c r="R99" s="13" t="str">
        <f ca="1">IF(Stock!O95="","",Stock!O95)</f>
        <v/>
      </c>
      <c r="S99" s="13" t="str">
        <f ca="1">IF(Stock!P95="","",Stock!P95)</f>
        <v/>
      </c>
      <c r="T99" s="13" t="str">
        <f ca="1">IF(Stock!Q95="","",Stock!Q95)</f>
        <v/>
      </c>
      <c r="U99" s="13" t="str">
        <f ca="1">IF(Stock!R95="","",Stock!R95)</f>
        <v/>
      </c>
      <c r="V99" s="13" t="str">
        <f ca="1">IF(Stock!S95="","",Stock!S95)</f>
        <v/>
      </c>
      <c r="W99" s="13" t="str">
        <f ca="1">IF(Stock!T95="","",Stock!T95)</f>
        <v/>
      </c>
      <c r="X99" s="13" t="str">
        <f ca="1">IF(Stock!U95="","",Stock!U95)</f>
        <v/>
      </c>
      <c r="Y99" s="13" t="str">
        <f ca="1">IF(Stock!V95="","",Stock!V95)</f>
        <v/>
      </c>
      <c r="Z99" s="13" t="str">
        <f ca="1">IF(Stock!W95="","",Stock!W95)</f>
        <v/>
      </c>
      <c r="AA99" s="13" t="str">
        <f ca="1">IF(Stock!X95="","",Stock!X95)</f>
        <v/>
      </c>
      <c r="AB99" s="13" t="str">
        <f ca="1">IF(Stock!Y95="","",Stock!Y95)</f>
        <v/>
      </c>
      <c r="AC99" s="13" t="str">
        <f ca="1">IF(Stock!Z95="","",Stock!Z95)</f>
        <v/>
      </c>
      <c r="AD99" s="13" t="str">
        <f ca="1">IF(Stock!AA95="","",Stock!AA95)</f>
        <v/>
      </c>
      <c r="AE99" s="13" t="str">
        <f ca="1">IF(Stock!AB95="","",Stock!AB95)</f>
        <v/>
      </c>
      <c r="AF99" s="13" t="str">
        <f ca="1">IF(Stock!AC95="","",Stock!AC95)</f>
        <v/>
      </c>
      <c r="AG99" s="13" t="str">
        <f ca="1">IF(Stock!AD95="","",Stock!AD95)</f>
        <v/>
      </c>
      <c r="AH99" s="13" t="str">
        <f ca="1">IF(Stock!AE95="","",Stock!AE95)</f>
        <v/>
      </c>
      <c r="AI99" s="13" t="str">
        <f ca="1">IF(Stock!AF95="","",Stock!AF95)</f>
        <v/>
      </c>
      <c r="AJ99" s="13" t="str">
        <f ca="1">IF(Stock!AG95="","",Stock!AG95)</f>
        <v/>
      </c>
      <c r="AK99" s="13" t="str">
        <f ca="1">IF(Stock!AH95="","",Stock!AH95)</f>
        <v/>
      </c>
      <c r="AL99" s="13" t="str">
        <f ca="1">IF(Stock!AI95="","",Stock!AI95)</f>
        <v/>
      </c>
      <c r="AM99" s="13" t="str">
        <f ca="1">IF(Stock!AJ95="","",Stock!AJ95)</f>
        <v/>
      </c>
      <c r="AN99" s="13" t="str">
        <f ca="1">IF(Stock!AK95="","",Stock!AK95)</f>
        <v/>
      </c>
      <c r="AO99" s="13" t="str">
        <f ca="1">IF(Stock!AL95="","",Stock!AL95)</f>
        <v/>
      </c>
      <c r="AP99" s="13" t="str">
        <f ca="1">IF(Stock!AM95="","",Stock!AM95)</f>
        <v/>
      </c>
      <c r="AQ99" s="13" t="str">
        <f ca="1">IF(Stock!AN95="","",Stock!AN95)</f>
        <v/>
      </c>
      <c r="AR99" s="13" t="str">
        <f ca="1">IF(Stock!AO95="","",Stock!AO95)</f>
        <v/>
      </c>
      <c r="AS99" s="13" t="str">
        <f ca="1">IF(Stock!AP95="","",Stock!AP95)</f>
        <v/>
      </c>
      <c r="AT99" s="13" t="str">
        <f ca="1">IF(Stock!AQ95="","",Stock!AQ95)</f>
        <v/>
      </c>
      <c r="AU99" s="13" t="str">
        <f ca="1">IF(Stock!AR95="","",Stock!AR95)</f>
        <v/>
      </c>
      <c r="AV99" s="13" t="str">
        <f ca="1">IF(Stock!AS95="","",Stock!AS95)</f>
        <v/>
      </c>
      <c r="AW99" s="13" t="str">
        <f ca="1">IF(Stock!AT95="","",Stock!AT95)</f>
        <v/>
      </c>
      <c r="AX99" s="13" t="str">
        <f ca="1">IF(Stock!AU95="","",Stock!AU95)</f>
        <v/>
      </c>
      <c r="AY99" s="13" t="str">
        <f ca="1">IF(Stock!AV95="","",Stock!AV95)</f>
        <v/>
      </c>
      <c r="AZ99" s="13" t="str">
        <f ca="1">IF(Stock!AW95="","",Stock!AW95)</f>
        <v/>
      </c>
      <c r="BA99" s="13" t="str">
        <f ca="1">IF(Stock!AX95="","",Stock!AX95)</f>
        <v/>
      </c>
      <c r="BB99" s="13" t="str">
        <f>IF(Stock!AY95="","",Stock!AY95)</f>
        <v/>
      </c>
      <c r="BC99" s="13" t="str">
        <f>IF(Stock!AZ95="","",Stock!AZ95)</f>
        <v/>
      </c>
      <c r="BD99" s="13" t="str">
        <f>IF(Stock!BA95="","",Stock!BA95)</f>
        <v/>
      </c>
      <c r="BE99" s="13" t="str">
        <f>IF(Stock!BB95="","",Stock!BB95)</f>
        <v/>
      </c>
      <c r="BF99" s="13" t="str">
        <f>IF(Stock!BC95="","",Stock!BC95)</f>
        <v/>
      </c>
    </row>
    <row r="100" spans="2:58" ht="14.25" customHeight="1" x14ac:dyDescent="0.3">
      <c r="B100" s="31"/>
      <c r="E100" s="13" t="str">
        <f>IF(Stock!B96="","",Stock!B96)</f>
        <v/>
      </c>
      <c r="F100" s="13" t="str">
        <f ca="1">IF(Stock!C96="","",Stock!C96)</f>
        <v/>
      </c>
      <c r="G100" s="13" t="str">
        <f ca="1">IF(Stock!D96="","",Stock!D96)</f>
        <v/>
      </c>
      <c r="H100" s="13" t="str">
        <f ca="1">IF(Stock!E96="","",Stock!E96)</f>
        <v/>
      </c>
      <c r="I100" s="13" t="str">
        <f ca="1">IF(Stock!F96="","",Stock!F96)</f>
        <v/>
      </c>
      <c r="J100" s="13" t="str">
        <f ca="1">IF(Stock!G96="","",Stock!G96)</f>
        <v/>
      </c>
      <c r="K100" s="13" t="str">
        <f ca="1">IF(Stock!H96="","",Stock!H96)</f>
        <v/>
      </c>
      <c r="L100" s="13" t="str">
        <f ca="1">IF(Stock!I96="","",Stock!I96)</f>
        <v/>
      </c>
      <c r="M100" s="13" t="str">
        <f ca="1">IF(Stock!J96="","",Stock!J96)</f>
        <v/>
      </c>
      <c r="N100" s="13" t="str">
        <f ca="1">IF(Stock!K96="","",Stock!K96)</f>
        <v/>
      </c>
      <c r="O100" s="13" t="str">
        <f ca="1">IF(Stock!L96="","",Stock!L96)</f>
        <v/>
      </c>
      <c r="P100" s="13" t="str">
        <f ca="1">IF(Stock!M96="","",Stock!M96)</f>
        <v/>
      </c>
      <c r="Q100" s="13" t="str">
        <f ca="1">IF(Stock!N96="","",Stock!N96)</f>
        <v/>
      </c>
      <c r="R100" s="13" t="str">
        <f ca="1">IF(Stock!O96="","",Stock!O96)</f>
        <v/>
      </c>
      <c r="S100" s="13" t="str">
        <f ca="1">IF(Stock!P96="","",Stock!P96)</f>
        <v/>
      </c>
      <c r="T100" s="13" t="str">
        <f ca="1">IF(Stock!Q96="","",Stock!Q96)</f>
        <v/>
      </c>
      <c r="U100" s="13" t="str">
        <f ca="1">IF(Stock!R96="","",Stock!R96)</f>
        <v/>
      </c>
      <c r="V100" s="13" t="str">
        <f ca="1">IF(Stock!S96="","",Stock!S96)</f>
        <v/>
      </c>
      <c r="W100" s="13" t="str">
        <f ca="1">IF(Stock!T96="","",Stock!T96)</f>
        <v/>
      </c>
      <c r="X100" s="13" t="str">
        <f ca="1">IF(Stock!U96="","",Stock!U96)</f>
        <v/>
      </c>
      <c r="Y100" s="13" t="str">
        <f ca="1">IF(Stock!V96="","",Stock!V96)</f>
        <v/>
      </c>
      <c r="Z100" s="13" t="str">
        <f ca="1">IF(Stock!W96="","",Stock!W96)</f>
        <v/>
      </c>
      <c r="AA100" s="13" t="str">
        <f ca="1">IF(Stock!X96="","",Stock!X96)</f>
        <v/>
      </c>
      <c r="AB100" s="13" t="str">
        <f ca="1">IF(Stock!Y96="","",Stock!Y96)</f>
        <v/>
      </c>
      <c r="AC100" s="13" t="str">
        <f ca="1">IF(Stock!Z96="","",Stock!Z96)</f>
        <v/>
      </c>
      <c r="AD100" s="13" t="str">
        <f ca="1">IF(Stock!AA96="","",Stock!AA96)</f>
        <v/>
      </c>
      <c r="AE100" s="13" t="str">
        <f ca="1">IF(Stock!AB96="","",Stock!AB96)</f>
        <v/>
      </c>
      <c r="AF100" s="13" t="str">
        <f ca="1">IF(Stock!AC96="","",Stock!AC96)</f>
        <v/>
      </c>
      <c r="AG100" s="13" t="str">
        <f ca="1">IF(Stock!AD96="","",Stock!AD96)</f>
        <v/>
      </c>
      <c r="AH100" s="13" t="str">
        <f ca="1">IF(Stock!AE96="","",Stock!AE96)</f>
        <v/>
      </c>
      <c r="AI100" s="13" t="str">
        <f ca="1">IF(Stock!AF96="","",Stock!AF96)</f>
        <v/>
      </c>
      <c r="AJ100" s="13" t="str">
        <f ca="1">IF(Stock!AG96="","",Stock!AG96)</f>
        <v/>
      </c>
      <c r="AK100" s="13" t="str">
        <f ca="1">IF(Stock!AH96="","",Stock!AH96)</f>
        <v/>
      </c>
      <c r="AL100" s="13" t="str">
        <f ca="1">IF(Stock!AI96="","",Stock!AI96)</f>
        <v/>
      </c>
      <c r="AM100" s="13" t="str">
        <f ca="1">IF(Stock!AJ96="","",Stock!AJ96)</f>
        <v/>
      </c>
      <c r="AN100" s="13" t="str">
        <f ca="1">IF(Stock!AK96="","",Stock!AK96)</f>
        <v/>
      </c>
      <c r="AO100" s="13" t="str">
        <f ca="1">IF(Stock!AL96="","",Stock!AL96)</f>
        <v/>
      </c>
      <c r="AP100" s="13" t="str">
        <f ca="1">IF(Stock!AM96="","",Stock!AM96)</f>
        <v/>
      </c>
      <c r="AQ100" s="13" t="str">
        <f ca="1">IF(Stock!AN96="","",Stock!AN96)</f>
        <v/>
      </c>
      <c r="AR100" s="13" t="str">
        <f ca="1">IF(Stock!AO96="","",Stock!AO96)</f>
        <v/>
      </c>
      <c r="AS100" s="13" t="str">
        <f ca="1">IF(Stock!AP96="","",Stock!AP96)</f>
        <v/>
      </c>
      <c r="AT100" s="13" t="str">
        <f ca="1">IF(Stock!AQ96="","",Stock!AQ96)</f>
        <v/>
      </c>
      <c r="AU100" s="13" t="str">
        <f ca="1">IF(Stock!AR96="","",Stock!AR96)</f>
        <v/>
      </c>
      <c r="AV100" s="13" t="str">
        <f ca="1">IF(Stock!AS96="","",Stock!AS96)</f>
        <v/>
      </c>
      <c r="AW100" s="13" t="str">
        <f ca="1">IF(Stock!AT96="","",Stock!AT96)</f>
        <v/>
      </c>
      <c r="AX100" s="13" t="str">
        <f ca="1">IF(Stock!AU96="","",Stock!AU96)</f>
        <v/>
      </c>
      <c r="AY100" s="13" t="str">
        <f ca="1">IF(Stock!AV96="","",Stock!AV96)</f>
        <v/>
      </c>
      <c r="AZ100" s="13" t="str">
        <f ca="1">IF(Stock!AW96="","",Stock!AW96)</f>
        <v/>
      </c>
      <c r="BA100" s="13" t="str">
        <f ca="1">IF(Stock!AX96="","",Stock!AX96)</f>
        <v/>
      </c>
      <c r="BB100" s="13" t="str">
        <f>IF(Stock!AY96="","",Stock!AY96)</f>
        <v/>
      </c>
      <c r="BC100" s="13" t="str">
        <f>IF(Stock!AZ96="","",Stock!AZ96)</f>
        <v/>
      </c>
      <c r="BD100" s="13" t="str">
        <f>IF(Stock!BA96="","",Stock!BA96)</f>
        <v/>
      </c>
      <c r="BE100" s="13" t="str">
        <f>IF(Stock!BB96="","",Stock!BB96)</f>
        <v/>
      </c>
      <c r="BF100" s="13" t="str">
        <f>IF(Stock!BC96="","",Stock!BC96)</f>
        <v/>
      </c>
    </row>
    <row r="101" spans="2:58" ht="14.25" customHeight="1" x14ac:dyDescent="0.3">
      <c r="B101" s="31"/>
      <c r="E101" s="13" t="str">
        <f>IF(Stock!B97="","",Stock!B97)</f>
        <v/>
      </c>
      <c r="F101" s="13" t="str">
        <f ca="1">IF(Stock!C97="","",Stock!C97)</f>
        <v/>
      </c>
      <c r="G101" s="13" t="str">
        <f ca="1">IF(Stock!D97="","",Stock!D97)</f>
        <v/>
      </c>
      <c r="H101" s="13" t="str">
        <f ca="1">IF(Stock!E97="","",Stock!E97)</f>
        <v/>
      </c>
      <c r="I101" s="13" t="str">
        <f ca="1">IF(Stock!F97="","",Stock!F97)</f>
        <v/>
      </c>
      <c r="J101" s="13" t="str">
        <f ca="1">IF(Stock!G97="","",Stock!G97)</f>
        <v/>
      </c>
      <c r="K101" s="13" t="str">
        <f ca="1">IF(Stock!H97="","",Stock!H97)</f>
        <v/>
      </c>
      <c r="L101" s="13" t="str">
        <f ca="1">IF(Stock!I97="","",Stock!I97)</f>
        <v/>
      </c>
      <c r="M101" s="13" t="str">
        <f ca="1">IF(Stock!J97="","",Stock!J97)</f>
        <v/>
      </c>
      <c r="N101" s="13" t="str">
        <f ca="1">IF(Stock!K97="","",Stock!K97)</f>
        <v/>
      </c>
      <c r="O101" s="13" t="str">
        <f ca="1">IF(Stock!L97="","",Stock!L97)</f>
        <v/>
      </c>
      <c r="P101" s="13" t="str">
        <f ca="1">IF(Stock!M97="","",Stock!M97)</f>
        <v/>
      </c>
      <c r="Q101" s="13" t="str">
        <f ca="1">IF(Stock!N97="","",Stock!N97)</f>
        <v/>
      </c>
      <c r="R101" s="13" t="str">
        <f ca="1">IF(Stock!O97="","",Stock!O97)</f>
        <v/>
      </c>
      <c r="S101" s="13" t="str">
        <f ca="1">IF(Stock!P97="","",Stock!P97)</f>
        <v/>
      </c>
      <c r="T101" s="13" t="str">
        <f ca="1">IF(Stock!Q97="","",Stock!Q97)</f>
        <v/>
      </c>
      <c r="U101" s="13" t="str">
        <f ca="1">IF(Stock!R97="","",Stock!R97)</f>
        <v/>
      </c>
      <c r="V101" s="13" t="str">
        <f ca="1">IF(Stock!S97="","",Stock!S97)</f>
        <v/>
      </c>
      <c r="W101" s="13" t="str">
        <f ca="1">IF(Stock!T97="","",Stock!T97)</f>
        <v/>
      </c>
      <c r="X101" s="13" t="str">
        <f ca="1">IF(Stock!U97="","",Stock!U97)</f>
        <v/>
      </c>
      <c r="Y101" s="13" t="str">
        <f ca="1">IF(Stock!V97="","",Stock!V97)</f>
        <v/>
      </c>
      <c r="Z101" s="13" t="str">
        <f ca="1">IF(Stock!W97="","",Stock!W97)</f>
        <v/>
      </c>
      <c r="AA101" s="13" t="str">
        <f ca="1">IF(Stock!X97="","",Stock!X97)</f>
        <v/>
      </c>
      <c r="AB101" s="13" t="str">
        <f ca="1">IF(Stock!Y97="","",Stock!Y97)</f>
        <v/>
      </c>
      <c r="AC101" s="13" t="str">
        <f ca="1">IF(Stock!Z97="","",Stock!Z97)</f>
        <v/>
      </c>
      <c r="AD101" s="13" t="str">
        <f ca="1">IF(Stock!AA97="","",Stock!AA97)</f>
        <v/>
      </c>
      <c r="AE101" s="13" t="str">
        <f ca="1">IF(Stock!AB97="","",Stock!AB97)</f>
        <v/>
      </c>
      <c r="AF101" s="13" t="str">
        <f ca="1">IF(Stock!AC97="","",Stock!AC97)</f>
        <v/>
      </c>
      <c r="AG101" s="13" t="str">
        <f ca="1">IF(Stock!AD97="","",Stock!AD97)</f>
        <v/>
      </c>
      <c r="AH101" s="13" t="str">
        <f ca="1">IF(Stock!AE97="","",Stock!AE97)</f>
        <v/>
      </c>
      <c r="AI101" s="13" t="str">
        <f ca="1">IF(Stock!AF97="","",Stock!AF97)</f>
        <v/>
      </c>
      <c r="AJ101" s="13" t="str">
        <f ca="1">IF(Stock!AG97="","",Stock!AG97)</f>
        <v/>
      </c>
      <c r="AK101" s="13" t="str">
        <f ca="1">IF(Stock!AH97="","",Stock!AH97)</f>
        <v/>
      </c>
      <c r="AL101" s="13" t="str">
        <f ca="1">IF(Stock!AI97="","",Stock!AI97)</f>
        <v/>
      </c>
      <c r="AM101" s="13" t="str">
        <f ca="1">IF(Stock!AJ97="","",Stock!AJ97)</f>
        <v/>
      </c>
      <c r="AN101" s="13" t="str">
        <f ca="1">IF(Stock!AK97="","",Stock!AK97)</f>
        <v/>
      </c>
      <c r="AO101" s="13" t="str">
        <f ca="1">IF(Stock!AL97="","",Stock!AL97)</f>
        <v/>
      </c>
      <c r="AP101" s="13" t="str">
        <f ca="1">IF(Stock!AM97="","",Stock!AM97)</f>
        <v/>
      </c>
      <c r="AQ101" s="13" t="str">
        <f ca="1">IF(Stock!AN97="","",Stock!AN97)</f>
        <v/>
      </c>
      <c r="AR101" s="13" t="str">
        <f ca="1">IF(Stock!AO97="","",Stock!AO97)</f>
        <v/>
      </c>
      <c r="AS101" s="13" t="str">
        <f ca="1">IF(Stock!AP97="","",Stock!AP97)</f>
        <v/>
      </c>
      <c r="AT101" s="13" t="str">
        <f ca="1">IF(Stock!AQ97="","",Stock!AQ97)</f>
        <v/>
      </c>
      <c r="AU101" s="13" t="str">
        <f ca="1">IF(Stock!AR97="","",Stock!AR97)</f>
        <v/>
      </c>
      <c r="AV101" s="13" t="str">
        <f ca="1">IF(Stock!AS97="","",Stock!AS97)</f>
        <v/>
      </c>
      <c r="AW101" s="13" t="str">
        <f ca="1">IF(Stock!AT97="","",Stock!AT97)</f>
        <v/>
      </c>
      <c r="AX101" s="13" t="str">
        <f ca="1">IF(Stock!AU97="","",Stock!AU97)</f>
        <v/>
      </c>
      <c r="AY101" s="13" t="str">
        <f ca="1">IF(Stock!AV97="","",Stock!AV97)</f>
        <v/>
      </c>
      <c r="AZ101" s="13" t="str">
        <f ca="1">IF(Stock!AW97="","",Stock!AW97)</f>
        <v/>
      </c>
      <c r="BA101" s="13" t="str">
        <f ca="1">IF(Stock!AX97="","",Stock!AX97)</f>
        <v/>
      </c>
      <c r="BB101" s="13" t="str">
        <f>IF(Stock!AY97="","",Stock!AY97)</f>
        <v/>
      </c>
      <c r="BC101" s="13" t="str">
        <f>IF(Stock!AZ97="","",Stock!AZ97)</f>
        <v/>
      </c>
      <c r="BD101" s="13" t="str">
        <f>IF(Stock!BA97="","",Stock!BA97)</f>
        <v/>
      </c>
      <c r="BE101" s="13" t="str">
        <f>IF(Stock!BB97="","",Stock!BB97)</f>
        <v/>
      </c>
      <c r="BF101" s="13" t="str">
        <f>IF(Stock!BC97="","",Stock!BC97)</f>
        <v/>
      </c>
    </row>
    <row r="102" spans="2:58" ht="14.25" customHeight="1" x14ac:dyDescent="0.3">
      <c r="B102" s="31"/>
      <c r="E102" s="13" t="str">
        <f>IF(Stock!B98="","",Stock!B98)</f>
        <v/>
      </c>
      <c r="F102" s="13" t="str">
        <f ca="1">IF(Stock!C98="","",Stock!C98)</f>
        <v/>
      </c>
      <c r="G102" s="13" t="str">
        <f ca="1">IF(Stock!D98="","",Stock!D98)</f>
        <v/>
      </c>
      <c r="H102" s="13" t="str">
        <f ca="1">IF(Stock!E98="","",Stock!E98)</f>
        <v/>
      </c>
      <c r="I102" s="13" t="str">
        <f ca="1">IF(Stock!F98="","",Stock!F98)</f>
        <v/>
      </c>
      <c r="J102" s="13" t="str">
        <f ca="1">IF(Stock!G98="","",Stock!G98)</f>
        <v/>
      </c>
      <c r="K102" s="13" t="str">
        <f ca="1">IF(Stock!H98="","",Stock!H98)</f>
        <v/>
      </c>
      <c r="L102" s="13" t="str">
        <f ca="1">IF(Stock!I98="","",Stock!I98)</f>
        <v/>
      </c>
      <c r="M102" s="13" t="str">
        <f ca="1">IF(Stock!J98="","",Stock!J98)</f>
        <v/>
      </c>
      <c r="N102" s="13" t="str">
        <f ca="1">IF(Stock!K98="","",Stock!K98)</f>
        <v/>
      </c>
      <c r="O102" s="13" t="str">
        <f ca="1">IF(Stock!L98="","",Stock!L98)</f>
        <v/>
      </c>
      <c r="P102" s="13" t="str">
        <f ca="1">IF(Stock!M98="","",Stock!M98)</f>
        <v/>
      </c>
      <c r="Q102" s="13" t="str">
        <f ca="1">IF(Stock!N98="","",Stock!N98)</f>
        <v/>
      </c>
      <c r="R102" s="13" t="str">
        <f ca="1">IF(Stock!O98="","",Stock!O98)</f>
        <v/>
      </c>
      <c r="S102" s="13" t="str">
        <f ca="1">IF(Stock!P98="","",Stock!P98)</f>
        <v/>
      </c>
      <c r="T102" s="13" t="str">
        <f ca="1">IF(Stock!Q98="","",Stock!Q98)</f>
        <v/>
      </c>
      <c r="U102" s="13" t="str">
        <f ca="1">IF(Stock!R98="","",Stock!R98)</f>
        <v/>
      </c>
      <c r="V102" s="13" t="str">
        <f ca="1">IF(Stock!S98="","",Stock!S98)</f>
        <v/>
      </c>
      <c r="W102" s="13" t="str">
        <f ca="1">IF(Stock!T98="","",Stock!T98)</f>
        <v/>
      </c>
      <c r="X102" s="13" t="str">
        <f ca="1">IF(Stock!U98="","",Stock!U98)</f>
        <v/>
      </c>
      <c r="Y102" s="13" t="str">
        <f ca="1">IF(Stock!V98="","",Stock!V98)</f>
        <v/>
      </c>
      <c r="Z102" s="13" t="str">
        <f ca="1">IF(Stock!W98="","",Stock!W98)</f>
        <v/>
      </c>
      <c r="AA102" s="13" t="str">
        <f ca="1">IF(Stock!X98="","",Stock!X98)</f>
        <v/>
      </c>
      <c r="AB102" s="13" t="str">
        <f ca="1">IF(Stock!Y98="","",Stock!Y98)</f>
        <v/>
      </c>
      <c r="AC102" s="13" t="str">
        <f ca="1">IF(Stock!Z98="","",Stock!Z98)</f>
        <v/>
      </c>
      <c r="AD102" s="13" t="str">
        <f ca="1">IF(Stock!AA98="","",Stock!AA98)</f>
        <v/>
      </c>
      <c r="AE102" s="13" t="str">
        <f ca="1">IF(Stock!AB98="","",Stock!AB98)</f>
        <v/>
      </c>
      <c r="AF102" s="13" t="str">
        <f ca="1">IF(Stock!AC98="","",Stock!AC98)</f>
        <v/>
      </c>
      <c r="AG102" s="13" t="str">
        <f ca="1">IF(Stock!AD98="","",Stock!AD98)</f>
        <v/>
      </c>
      <c r="AH102" s="13" t="str">
        <f ca="1">IF(Stock!AE98="","",Stock!AE98)</f>
        <v/>
      </c>
      <c r="AI102" s="13" t="str">
        <f ca="1">IF(Stock!AF98="","",Stock!AF98)</f>
        <v/>
      </c>
      <c r="AJ102" s="13" t="str">
        <f ca="1">IF(Stock!AG98="","",Stock!AG98)</f>
        <v/>
      </c>
      <c r="AK102" s="13" t="str">
        <f ca="1">IF(Stock!AH98="","",Stock!AH98)</f>
        <v/>
      </c>
      <c r="AL102" s="13" t="str">
        <f ca="1">IF(Stock!AI98="","",Stock!AI98)</f>
        <v/>
      </c>
      <c r="AM102" s="13" t="str">
        <f ca="1">IF(Stock!AJ98="","",Stock!AJ98)</f>
        <v/>
      </c>
      <c r="AN102" s="13" t="str">
        <f ca="1">IF(Stock!AK98="","",Stock!AK98)</f>
        <v/>
      </c>
      <c r="AO102" s="13" t="str">
        <f ca="1">IF(Stock!AL98="","",Stock!AL98)</f>
        <v/>
      </c>
      <c r="AP102" s="13" t="str">
        <f ca="1">IF(Stock!AM98="","",Stock!AM98)</f>
        <v/>
      </c>
      <c r="AQ102" s="13" t="str">
        <f ca="1">IF(Stock!AN98="","",Stock!AN98)</f>
        <v/>
      </c>
      <c r="AR102" s="13" t="str">
        <f ca="1">IF(Stock!AO98="","",Stock!AO98)</f>
        <v/>
      </c>
      <c r="AS102" s="13" t="str">
        <f ca="1">IF(Stock!AP98="","",Stock!AP98)</f>
        <v/>
      </c>
      <c r="AT102" s="13" t="str">
        <f ca="1">IF(Stock!AQ98="","",Stock!AQ98)</f>
        <v/>
      </c>
      <c r="AU102" s="13" t="str">
        <f ca="1">IF(Stock!AR98="","",Stock!AR98)</f>
        <v/>
      </c>
      <c r="AV102" s="13" t="str">
        <f ca="1">IF(Stock!AS98="","",Stock!AS98)</f>
        <v/>
      </c>
      <c r="AW102" s="13" t="str">
        <f ca="1">IF(Stock!AT98="","",Stock!AT98)</f>
        <v/>
      </c>
      <c r="AX102" s="13" t="str">
        <f ca="1">IF(Stock!AU98="","",Stock!AU98)</f>
        <v/>
      </c>
      <c r="AY102" s="13" t="str">
        <f ca="1">IF(Stock!AV98="","",Stock!AV98)</f>
        <v/>
      </c>
      <c r="AZ102" s="13" t="str">
        <f ca="1">IF(Stock!AW98="","",Stock!AW98)</f>
        <v/>
      </c>
      <c r="BA102" s="13" t="str">
        <f ca="1">IF(Stock!AX98="","",Stock!AX98)</f>
        <v/>
      </c>
      <c r="BB102" s="13" t="str">
        <f>IF(Stock!AY98="","",Stock!AY98)</f>
        <v/>
      </c>
      <c r="BC102" s="13" t="str">
        <f>IF(Stock!AZ98="","",Stock!AZ98)</f>
        <v/>
      </c>
      <c r="BD102" s="13" t="str">
        <f>IF(Stock!BA98="","",Stock!BA98)</f>
        <v/>
      </c>
      <c r="BE102" s="13" t="str">
        <f>IF(Stock!BB98="","",Stock!BB98)</f>
        <v/>
      </c>
      <c r="BF102" s="13" t="str">
        <f>IF(Stock!BC98="","",Stock!BC98)</f>
        <v/>
      </c>
    </row>
    <row r="103" spans="2:58" ht="14.25" customHeight="1" x14ac:dyDescent="0.3">
      <c r="B103" s="31"/>
      <c r="E103" s="13" t="str">
        <f>IF(Stock!B99="","",Stock!B99)</f>
        <v/>
      </c>
      <c r="F103" s="13" t="str">
        <f ca="1">IF(Stock!C99="","",Stock!C99)</f>
        <v/>
      </c>
      <c r="G103" s="13" t="str">
        <f ca="1">IF(Stock!D99="","",Stock!D99)</f>
        <v/>
      </c>
      <c r="H103" s="13" t="str">
        <f ca="1">IF(Stock!E99="","",Stock!E99)</f>
        <v/>
      </c>
      <c r="I103" s="13" t="str">
        <f ca="1">IF(Stock!F99="","",Stock!F99)</f>
        <v/>
      </c>
      <c r="J103" s="13" t="str">
        <f ca="1">IF(Stock!G99="","",Stock!G99)</f>
        <v/>
      </c>
      <c r="K103" s="13" t="str">
        <f ca="1">IF(Stock!H99="","",Stock!H99)</f>
        <v/>
      </c>
      <c r="L103" s="13" t="str">
        <f ca="1">IF(Stock!I99="","",Stock!I99)</f>
        <v/>
      </c>
      <c r="M103" s="13" t="str">
        <f ca="1">IF(Stock!J99="","",Stock!J99)</f>
        <v/>
      </c>
      <c r="N103" s="13" t="str">
        <f ca="1">IF(Stock!K99="","",Stock!K99)</f>
        <v/>
      </c>
      <c r="O103" s="13" t="str">
        <f ca="1">IF(Stock!L99="","",Stock!L99)</f>
        <v/>
      </c>
      <c r="P103" s="13" t="str">
        <f ca="1">IF(Stock!M99="","",Stock!M99)</f>
        <v/>
      </c>
      <c r="Q103" s="13" t="str">
        <f ca="1">IF(Stock!N99="","",Stock!N99)</f>
        <v/>
      </c>
      <c r="R103" s="13" t="str">
        <f ca="1">IF(Stock!O99="","",Stock!O99)</f>
        <v/>
      </c>
      <c r="S103" s="13" t="str">
        <f ca="1">IF(Stock!P99="","",Stock!P99)</f>
        <v/>
      </c>
      <c r="T103" s="13" t="str">
        <f ca="1">IF(Stock!Q99="","",Stock!Q99)</f>
        <v/>
      </c>
      <c r="U103" s="13" t="str">
        <f ca="1">IF(Stock!R99="","",Stock!R99)</f>
        <v/>
      </c>
      <c r="V103" s="13" t="str">
        <f ca="1">IF(Stock!S99="","",Stock!S99)</f>
        <v/>
      </c>
      <c r="W103" s="13" t="str">
        <f ca="1">IF(Stock!T99="","",Stock!T99)</f>
        <v/>
      </c>
      <c r="X103" s="13" t="str">
        <f ca="1">IF(Stock!U99="","",Stock!U99)</f>
        <v/>
      </c>
      <c r="Y103" s="13" t="str">
        <f ca="1">IF(Stock!V99="","",Stock!V99)</f>
        <v/>
      </c>
      <c r="Z103" s="13" t="str">
        <f ca="1">IF(Stock!W99="","",Stock!W99)</f>
        <v/>
      </c>
      <c r="AA103" s="13" t="str">
        <f ca="1">IF(Stock!X99="","",Stock!X99)</f>
        <v/>
      </c>
      <c r="AB103" s="13" t="str">
        <f ca="1">IF(Stock!Y99="","",Stock!Y99)</f>
        <v/>
      </c>
      <c r="AC103" s="13" t="str">
        <f ca="1">IF(Stock!Z99="","",Stock!Z99)</f>
        <v/>
      </c>
      <c r="AD103" s="13" t="str">
        <f ca="1">IF(Stock!AA99="","",Stock!AA99)</f>
        <v/>
      </c>
      <c r="AE103" s="13" t="str">
        <f ca="1">IF(Stock!AB99="","",Stock!AB99)</f>
        <v/>
      </c>
      <c r="AF103" s="13" t="str">
        <f ca="1">IF(Stock!AC99="","",Stock!AC99)</f>
        <v/>
      </c>
      <c r="AG103" s="13" t="str">
        <f ca="1">IF(Stock!AD99="","",Stock!AD99)</f>
        <v/>
      </c>
      <c r="AH103" s="13" t="str">
        <f ca="1">IF(Stock!AE99="","",Stock!AE99)</f>
        <v/>
      </c>
      <c r="AI103" s="13" t="str">
        <f ca="1">IF(Stock!AF99="","",Stock!AF99)</f>
        <v/>
      </c>
      <c r="AJ103" s="13" t="str">
        <f ca="1">IF(Stock!AG99="","",Stock!AG99)</f>
        <v/>
      </c>
      <c r="AK103" s="13" t="str">
        <f ca="1">IF(Stock!AH99="","",Stock!AH99)</f>
        <v/>
      </c>
      <c r="AL103" s="13" t="str">
        <f ca="1">IF(Stock!AI99="","",Stock!AI99)</f>
        <v/>
      </c>
      <c r="AM103" s="13" t="str">
        <f ca="1">IF(Stock!AJ99="","",Stock!AJ99)</f>
        <v/>
      </c>
      <c r="AN103" s="13" t="str">
        <f ca="1">IF(Stock!AK99="","",Stock!AK99)</f>
        <v/>
      </c>
      <c r="AO103" s="13" t="str">
        <f ca="1">IF(Stock!AL99="","",Stock!AL99)</f>
        <v/>
      </c>
      <c r="AP103" s="13" t="str">
        <f ca="1">IF(Stock!AM99="","",Stock!AM99)</f>
        <v/>
      </c>
      <c r="AQ103" s="13" t="str">
        <f ca="1">IF(Stock!AN99="","",Stock!AN99)</f>
        <v/>
      </c>
      <c r="AR103" s="13" t="str">
        <f ca="1">IF(Stock!AO99="","",Stock!AO99)</f>
        <v/>
      </c>
      <c r="AS103" s="13" t="str">
        <f ca="1">IF(Stock!AP99="","",Stock!AP99)</f>
        <v/>
      </c>
      <c r="AT103" s="13" t="str">
        <f ca="1">IF(Stock!AQ99="","",Stock!AQ99)</f>
        <v/>
      </c>
      <c r="AU103" s="13" t="str">
        <f ca="1">IF(Stock!AR99="","",Stock!AR99)</f>
        <v/>
      </c>
      <c r="AV103" s="13" t="str">
        <f ca="1">IF(Stock!AS99="","",Stock!AS99)</f>
        <v/>
      </c>
      <c r="AW103" s="13" t="str">
        <f ca="1">IF(Stock!AT99="","",Stock!AT99)</f>
        <v/>
      </c>
      <c r="AX103" s="13" t="str">
        <f ca="1">IF(Stock!AU99="","",Stock!AU99)</f>
        <v/>
      </c>
      <c r="AY103" s="13" t="str">
        <f ca="1">IF(Stock!AV99="","",Stock!AV99)</f>
        <v/>
      </c>
      <c r="AZ103" s="13" t="str">
        <f ca="1">IF(Stock!AW99="","",Stock!AW99)</f>
        <v/>
      </c>
      <c r="BA103" s="13" t="str">
        <f ca="1">IF(Stock!AX99="","",Stock!AX99)</f>
        <v/>
      </c>
      <c r="BB103" s="13" t="str">
        <f>IF(Stock!AY99="","",Stock!AY99)</f>
        <v/>
      </c>
      <c r="BC103" s="13" t="str">
        <f>IF(Stock!AZ99="","",Stock!AZ99)</f>
        <v/>
      </c>
      <c r="BD103" s="13" t="str">
        <f>IF(Stock!BA99="","",Stock!BA99)</f>
        <v/>
      </c>
      <c r="BE103" s="13" t="str">
        <f>IF(Stock!BB99="","",Stock!BB99)</f>
        <v/>
      </c>
      <c r="BF103" s="13" t="str">
        <f>IF(Stock!BC99="","",Stock!BC99)</f>
        <v/>
      </c>
    </row>
    <row r="104" spans="2:58" ht="14.25" customHeight="1" x14ac:dyDescent="0.3">
      <c r="B104" s="31"/>
      <c r="E104" s="13" t="str">
        <f>IF(Stock!B100="","",Stock!B100)</f>
        <v/>
      </c>
      <c r="F104" s="13" t="str">
        <f>IF(Stock!C100="","",Stock!C100)</f>
        <v/>
      </c>
      <c r="G104" s="13" t="str">
        <f>IF(Stock!D100="","",Stock!D100)</f>
        <v/>
      </c>
      <c r="H104" s="13" t="str">
        <f>IF(Stock!E100="","",Stock!E100)</f>
        <v/>
      </c>
      <c r="I104" s="13" t="str">
        <f>IF(Stock!F100="","",Stock!F100)</f>
        <v/>
      </c>
      <c r="J104" s="13" t="str">
        <f>IF(Stock!G100="","",Stock!G100)</f>
        <v/>
      </c>
      <c r="K104" s="13" t="str">
        <f>IF(Stock!H100="","",Stock!H100)</f>
        <v/>
      </c>
      <c r="L104" s="13" t="str">
        <f>IF(Stock!I100="","",Stock!I100)</f>
        <v/>
      </c>
      <c r="M104" s="13" t="str">
        <f>IF(Stock!J100="","",Stock!J100)</f>
        <v/>
      </c>
      <c r="N104" s="13" t="str">
        <f>IF(Stock!K100="","",Stock!K100)</f>
        <v/>
      </c>
      <c r="O104" s="13" t="str">
        <f>IF(Stock!L100="","",Stock!L100)</f>
        <v/>
      </c>
      <c r="P104" s="13" t="str">
        <f>IF(Stock!M100="","",Stock!M100)</f>
        <v/>
      </c>
      <c r="Q104" s="13" t="str">
        <f>IF(Stock!N100="","",Stock!N100)</f>
        <v/>
      </c>
      <c r="R104" s="13" t="str">
        <f>IF(Stock!O100="","",Stock!O100)</f>
        <v/>
      </c>
      <c r="S104" s="13" t="str">
        <f>IF(Stock!P100="","",Stock!P100)</f>
        <v/>
      </c>
      <c r="T104" s="13" t="str">
        <f>IF(Stock!Q100="","",Stock!Q100)</f>
        <v/>
      </c>
      <c r="U104" s="13" t="str">
        <f>IF(Stock!R100="","",Stock!R100)</f>
        <v/>
      </c>
      <c r="V104" s="13" t="str">
        <f>IF(Stock!S100="","",Stock!S100)</f>
        <v/>
      </c>
      <c r="W104" s="13" t="str">
        <f>IF(Stock!T100="","",Stock!T100)</f>
        <v/>
      </c>
      <c r="X104" s="13" t="str">
        <f>IF(Stock!U100="","",Stock!U100)</f>
        <v/>
      </c>
      <c r="Y104" s="13" t="str">
        <f>IF(Stock!V100="","",Stock!V100)</f>
        <v/>
      </c>
      <c r="Z104" s="13" t="str">
        <f>IF(Stock!W100="","",Stock!W100)</f>
        <v/>
      </c>
      <c r="AA104" s="13" t="str">
        <f>IF(Stock!X100="","",Stock!X100)</f>
        <v/>
      </c>
      <c r="AB104" s="13" t="str">
        <f>IF(Stock!Y100="","",Stock!Y100)</f>
        <v/>
      </c>
      <c r="AC104" s="13" t="str">
        <f>IF(Stock!Z100="","",Stock!Z100)</f>
        <v/>
      </c>
      <c r="AD104" s="13" t="str">
        <f>IF(Stock!AA100="","",Stock!AA100)</f>
        <v/>
      </c>
      <c r="AE104" s="13" t="str">
        <f>IF(Stock!AB100="","",Stock!AB100)</f>
        <v/>
      </c>
      <c r="AF104" s="13" t="str">
        <f>IF(Stock!AC100="","",Stock!AC100)</f>
        <v/>
      </c>
      <c r="AG104" s="13" t="str">
        <f>IF(Stock!AD100="","",Stock!AD100)</f>
        <v/>
      </c>
      <c r="AH104" s="13" t="str">
        <f>IF(Stock!AE100="","",Stock!AE100)</f>
        <v/>
      </c>
      <c r="AI104" s="13" t="str">
        <f>IF(Stock!AF100="","",Stock!AF100)</f>
        <v/>
      </c>
      <c r="AJ104" s="13" t="str">
        <f>IF(Stock!AG100="","",Stock!AG100)</f>
        <v/>
      </c>
      <c r="AK104" s="13" t="str">
        <f>IF(Stock!AH100="","",Stock!AH100)</f>
        <v/>
      </c>
      <c r="AL104" s="13" t="str">
        <f>IF(Stock!AI100="","",Stock!AI100)</f>
        <v/>
      </c>
      <c r="AM104" s="13" t="str">
        <f>IF(Stock!AJ100="","",Stock!AJ100)</f>
        <v/>
      </c>
      <c r="AN104" s="13" t="str">
        <f>IF(Stock!AK100="","",Stock!AK100)</f>
        <v/>
      </c>
      <c r="AO104" s="13" t="str">
        <f>IF(Stock!AL100="","",Stock!AL100)</f>
        <v/>
      </c>
      <c r="AP104" s="13" t="str">
        <f>IF(Stock!AM100="","",Stock!AM100)</f>
        <v/>
      </c>
      <c r="AQ104" s="13" t="str">
        <f>IF(Stock!AN100="","",Stock!AN100)</f>
        <v/>
      </c>
      <c r="AR104" s="13" t="str">
        <f>IF(Stock!AO100="","",Stock!AO100)</f>
        <v/>
      </c>
      <c r="AS104" s="13" t="str">
        <f>IF(Stock!AP100="","",Stock!AP100)</f>
        <v/>
      </c>
      <c r="AT104" s="13" t="str">
        <f>IF(Stock!AQ100="","",Stock!AQ100)</f>
        <v/>
      </c>
      <c r="AU104" s="13" t="str">
        <f>IF(Stock!AR100="","",Stock!AR100)</f>
        <v/>
      </c>
      <c r="AV104" s="13" t="str">
        <f>IF(Stock!AS100="","",Stock!AS100)</f>
        <v/>
      </c>
      <c r="AW104" s="13" t="str">
        <f>IF(Stock!AT100="","",Stock!AT100)</f>
        <v/>
      </c>
      <c r="AX104" s="13" t="str">
        <f>IF(Stock!AU100="","",Stock!AU100)</f>
        <v/>
      </c>
      <c r="AY104" s="13" t="str">
        <f>IF(Stock!AV100="","",Stock!AV100)</f>
        <v/>
      </c>
      <c r="AZ104" s="13" t="str">
        <f>IF(Stock!AW100="","",Stock!AW100)</f>
        <v/>
      </c>
      <c r="BA104" s="13" t="str">
        <f>IF(Stock!AX100="","",Stock!AX100)</f>
        <v/>
      </c>
      <c r="BB104" s="13" t="str">
        <f>IF(Stock!AY100="","",Stock!AY100)</f>
        <v/>
      </c>
      <c r="BC104" s="13" t="str">
        <f>IF(Stock!AZ100="","",Stock!AZ100)</f>
        <v/>
      </c>
      <c r="BD104" s="13" t="str">
        <f>IF(Stock!BA100="","",Stock!BA100)</f>
        <v/>
      </c>
      <c r="BE104" s="13" t="str">
        <f>IF(Stock!BB100="","",Stock!BB100)</f>
        <v/>
      </c>
      <c r="BF104" s="13" t="str">
        <f>IF(Stock!BC100="","",Stock!BC100)</f>
        <v/>
      </c>
    </row>
    <row r="105" spans="2:58" ht="14.25" customHeight="1" x14ac:dyDescent="0.3">
      <c r="B105" s="31"/>
      <c r="E105" s="13" t="str">
        <f>IF(Stock!B101="","",Stock!B101)</f>
        <v/>
      </c>
      <c r="F105" s="13" t="str">
        <f>IF(Stock!C101="","",Stock!C101)</f>
        <v/>
      </c>
      <c r="G105" s="13" t="str">
        <f>IF(Stock!D101="","",Stock!D101)</f>
        <v/>
      </c>
      <c r="H105" s="13" t="str">
        <f>IF(Stock!E101="","",Stock!E101)</f>
        <v/>
      </c>
      <c r="I105" s="13" t="str">
        <f>IF(Stock!F101="","",Stock!F101)</f>
        <v/>
      </c>
      <c r="J105" s="13" t="str">
        <f>IF(Stock!G101="","",Stock!G101)</f>
        <v/>
      </c>
      <c r="K105" s="13" t="str">
        <f>IF(Stock!H101="","",Stock!H101)</f>
        <v/>
      </c>
      <c r="L105" s="13" t="str">
        <f>IF(Stock!I101="","",Stock!I101)</f>
        <v/>
      </c>
      <c r="M105" s="13" t="str">
        <f>IF(Stock!J101="","",Stock!J101)</f>
        <v/>
      </c>
      <c r="N105" s="13" t="str">
        <f>IF(Stock!K101="","",Stock!K101)</f>
        <v/>
      </c>
      <c r="O105" s="13" t="str">
        <f>IF(Stock!L101="","",Stock!L101)</f>
        <v/>
      </c>
      <c r="P105" s="13" t="str">
        <f>IF(Stock!M101="","",Stock!M101)</f>
        <v/>
      </c>
      <c r="Q105" s="13" t="str">
        <f>IF(Stock!N101="","",Stock!N101)</f>
        <v/>
      </c>
      <c r="R105" s="13" t="str">
        <f>IF(Stock!O101="","",Stock!O101)</f>
        <v/>
      </c>
      <c r="S105" s="13" t="str">
        <f>IF(Stock!P101="","",Stock!P101)</f>
        <v/>
      </c>
      <c r="T105" s="13" t="str">
        <f>IF(Stock!Q101="","",Stock!Q101)</f>
        <v/>
      </c>
      <c r="U105" s="13" t="str">
        <f>IF(Stock!R101="","",Stock!R101)</f>
        <v/>
      </c>
      <c r="V105" s="13" t="str">
        <f>IF(Stock!S101="","",Stock!S101)</f>
        <v/>
      </c>
      <c r="W105" s="13" t="str">
        <f>IF(Stock!T101="","",Stock!T101)</f>
        <v/>
      </c>
      <c r="X105" s="13" t="str">
        <f>IF(Stock!U101="","",Stock!U101)</f>
        <v/>
      </c>
      <c r="Y105" s="13" t="str">
        <f>IF(Stock!V101="","",Stock!V101)</f>
        <v/>
      </c>
      <c r="Z105" s="13" t="str">
        <f>IF(Stock!W101="","",Stock!W101)</f>
        <v/>
      </c>
      <c r="AA105" s="13" t="str">
        <f>IF(Stock!X101="","",Stock!X101)</f>
        <v/>
      </c>
      <c r="AB105" s="13" t="str">
        <f>IF(Stock!Y101="","",Stock!Y101)</f>
        <v/>
      </c>
      <c r="AC105" s="13" t="str">
        <f>IF(Stock!Z101="","",Stock!Z101)</f>
        <v/>
      </c>
      <c r="AD105" s="13" t="str">
        <f>IF(Stock!AA101="","",Stock!AA101)</f>
        <v/>
      </c>
      <c r="AE105" s="13" t="str">
        <f>IF(Stock!AB101="","",Stock!AB101)</f>
        <v/>
      </c>
      <c r="AF105" s="13" t="str">
        <f>IF(Stock!AC101="","",Stock!AC101)</f>
        <v/>
      </c>
      <c r="AG105" s="13" t="str">
        <f>IF(Stock!AD101="","",Stock!AD101)</f>
        <v/>
      </c>
      <c r="AH105" s="13" t="str">
        <f>IF(Stock!AE101="","",Stock!AE101)</f>
        <v/>
      </c>
      <c r="AI105" s="13" t="str">
        <f>IF(Stock!AF101="","",Stock!AF101)</f>
        <v/>
      </c>
      <c r="AJ105" s="13" t="str">
        <f>IF(Stock!AG101="","",Stock!AG101)</f>
        <v/>
      </c>
      <c r="AK105" s="13" t="str">
        <f>IF(Stock!AH101="","",Stock!AH101)</f>
        <v/>
      </c>
      <c r="AL105" s="13" t="str">
        <f>IF(Stock!AI101="","",Stock!AI101)</f>
        <v/>
      </c>
      <c r="AM105" s="13" t="str">
        <f>IF(Stock!AJ101="","",Stock!AJ101)</f>
        <v/>
      </c>
      <c r="AN105" s="13" t="str">
        <f>IF(Stock!AK101="","",Stock!AK101)</f>
        <v/>
      </c>
      <c r="AO105" s="13" t="str">
        <f>IF(Stock!AL101="","",Stock!AL101)</f>
        <v/>
      </c>
      <c r="AP105" s="13" t="str">
        <f>IF(Stock!AM101="","",Stock!AM101)</f>
        <v/>
      </c>
      <c r="AQ105" s="13" t="str">
        <f>IF(Stock!AN101="","",Stock!AN101)</f>
        <v/>
      </c>
      <c r="AR105" s="13" t="str">
        <f>IF(Stock!AO101="","",Stock!AO101)</f>
        <v/>
      </c>
      <c r="AS105" s="13" t="str">
        <f>IF(Stock!AP101="","",Stock!AP101)</f>
        <v/>
      </c>
      <c r="AT105" s="13" t="str">
        <f>IF(Stock!AQ101="","",Stock!AQ101)</f>
        <v/>
      </c>
      <c r="AU105" s="13" t="str">
        <f>IF(Stock!AR101="","",Stock!AR101)</f>
        <v/>
      </c>
      <c r="AV105" s="13" t="str">
        <f>IF(Stock!AS101="","",Stock!AS101)</f>
        <v/>
      </c>
      <c r="AW105" s="13" t="str">
        <f>IF(Stock!AT101="","",Stock!AT101)</f>
        <v/>
      </c>
      <c r="AX105" s="13" t="str">
        <f>IF(Stock!AU101="","",Stock!AU101)</f>
        <v/>
      </c>
      <c r="AY105" s="13" t="str">
        <f>IF(Stock!AV101="","",Stock!AV101)</f>
        <v/>
      </c>
      <c r="AZ105" s="13" t="str">
        <f>IF(Stock!AW101="","",Stock!AW101)</f>
        <v/>
      </c>
      <c r="BA105" s="13" t="str">
        <f>IF(Stock!AX101="","",Stock!AX101)</f>
        <v/>
      </c>
      <c r="BB105" s="13" t="str">
        <f>IF(Stock!AY101="","",Stock!AY101)</f>
        <v/>
      </c>
      <c r="BC105" s="13" t="str">
        <f>IF(Stock!AZ101="","",Stock!AZ101)</f>
        <v/>
      </c>
      <c r="BD105" s="13" t="str">
        <f>IF(Stock!BA101="","",Stock!BA101)</f>
        <v/>
      </c>
      <c r="BE105" s="13" t="str">
        <f>IF(Stock!BB101="","",Stock!BB101)</f>
        <v/>
      </c>
      <c r="BF105" s="13" t="str">
        <f>IF(Stock!BC101="","",Stock!BC101)</f>
        <v/>
      </c>
    </row>
    <row r="106" spans="2:58" ht="14.25" customHeight="1" x14ac:dyDescent="0.3">
      <c r="B106" s="31"/>
      <c r="E106" s="13" t="str">
        <f>IF(Stock!B102="","",Stock!B102)</f>
        <v/>
      </c>
      <c r="F106" s="13" t="str">
        <f>IF(Stock!C102="","",Stock!C102)</f>
        <v/>
      </c>
      <c r="G106" s="13" t="str">
        <f>IF(Stock!D102="","",Stock!D102)</f>
        <v/>
      </c>
      <c r="H106" s="13" t="str">
        <f>IF(Stock!E102="","",Stock!E102)</f>
        <v/>
      </c>
      <c r="I106" s="13" t="str">
        <f>IF(Stock!F102="","",Stock!F102)</f>
        <v/>
      </c>
      <c r="J106" s="13" t="str">
        <f>IF(Stock!G102="","",Stock!G102)</f>
        <v/>
      </c>
      <c r="K106" s="13" t="str">
        <f>IF(Stock!H102="","",Stock!H102)</f>
        <v/>
      </c>
      <c r="L106" s="13" t="str">
        <f>IF(Stock!I102="","",Stock!I102)</f>
        <v/>
      </c>
      <c r="M106" s="13" t="str">
        <f>IF(Stock!J102="","",Stock!J102)</f>
        <v/>
      </c>
      <c r="N106" s="13" t="str">
        <f>IF(Stock!K102="","",Stock!K102)</f>
        <v/>
      </c>
      <c r="O106" s="13" t="str">
        <f>IF(Stock!L102="","",Stock!L102)</f>
        <v/>
      </c>
      <c r="P106" s="13" t="str">
        <f>IF(Stock!M102="","",Stock!M102)</f>
        <v/>
      </c>
      <c r="Q106" s="13" t="str">
        <f>IF(Stock!N102="","",Stock!N102)</f>
        <v/>
      </c>
      <c r="R106" s="13" t="str">
        <f>IF(Stock!O102="","",Stock!O102)</f>
        <v/>
      </c>
      <c r="S106" s="13" t="str">
        <f>IF(Stock!P102="","",Stock!P102)</f>
        <v/>
      </c>
      <c r="T106" s="13" t="str">
        <f>IF(Stock!Q102="","",Stock!Q102)</f>
        <v/>
      </c>
      <c r="U106" s="13" t="str">
        <f>IF(Stock!R102="","",Stock!R102)</f>
        <v/>
      </c>
      <c r="V106" s="13" t="str">
        <f>IF(Stock!S102="","",Stock!S102)</f>
        <v/>
      </c>
      <c r="W106" s="13" t="str">
        <f>IF(Stock!T102="","",Stock!T102)</f>
        <v/>
      </c>
      <c r="X106" s="13" t="str">
        <f>IF(Stock!U102="","",Stock!U102)</f>
        <v/>
      </c>
      <c r="Y106" s="13" t="str">
        <f>IF(Stock!V102="","",Stock!V102)</f>
        <v/>
      </c>
      <c r="Z106" s="13" t="str">
        <f>IF(Stock!W102="","",Stock!W102)</f>
        <v/>
      </c>
      <c r="AA106" s="13" t="str">
        <f>IF(Stock!X102="","",Stock!X102)</f>
        <v/>
      </c>
      <c r="AB106" s="13" t="str">
        <f>IF(Stock!Y102="","",Stock!Y102)</f>
        <v/>
      </c>
      <c r="AC106" s="13" t="str">
        <f>IF(Stock!Z102="","",Stock!Z102)</f>
        <v/>
      </c>
      <c r="AD106" s="13" t="str">
        <f>IF(Stock!AA102="","",Stock!AA102)</f>
        <v/>
      </c>
      <c r="AE106" s="13" t="str">
        <f>IF(Stock!AB102="","",Stock!AB102)</f>
        <v/>
      </c>
      <c r="AF106" s="13" t="str">
        <f>IF(Stock!AC102="","",Stock!AC102)</f>
        <v/>
      </c>
      <c r="AG106" s="13" t="str">
        <f>IF(Stock!AD102="","",Stock!AD102)</f>
        <v/>
      </c>
      <c r="AH106" s="13" t="str">
        <f>IF(Stock!AE102="","",Stock!AE102)</f>
        <v/>
      </c>
      <c r="AI106" s="13" t="str">
        <f>IF(Stock!AF102="","",Stock!AF102)</f>
        <v/>
      </c>
      <c r="AJ106" s="13" t="str">
        <f>IF(Stock!AG102="","",Stock!AG102)</f>
        <v/>
      </c>
      <c r="AK106" s="13" t="str">
        <f>IF(Stock!AH102="","",Stock!AH102)</f>
        <v/>
      </c>
      <c r="AL106" s="13" t="str">
        <f>IF(Stock!AI102="","",Stock!AI102)</f>
        <v/>
      </c>
      <c r="AM106" s="13" t="str">
        <f>IF(Stock!AJ102="","",Stock!AJ102)</f>
        <v/>
      </c>
      <c r="AN106" s="13" t="str">
        <f>IF(Stock!AK102="","",Stock!AK102)</f>
        <v/>
      </c>
      <c r="AO106" s="13" t="str">
        <f>IF(Stock!AL102="","",Stock!AL102)</f>
        <v/>
      </c>
      <c r="AP106" s="13" t="str">
        <f>IF(Stock!AM102="","",Stock!AM102)</f>
        <v/>
      </c>
      <c r="AQ106" s="13" t="str">
        <f>IF(Stock!AN102="","",Stock!AN102)</f>
        <v/>
      </c>
      <c r="AR106" s="13" t="str">
        <f>IF(Stock!AO102="","",Stock!AO102)</f>
        <v/>
      </c>
      <c r="AS106" s="13" t="str">
        <f>IF(Stock!AP102="","",Stock!AP102)</f>
        <v/>
      </c>
      <c r="AT106" s="13" t="str">
        <f>IF(Stock!AQ102="","",Stock!AQ102)</f>
        <v/>
      </c>
      <c r="AU106" s="13" t="str">
        <f>IF(Stock!AR102="","",Stock!AR102)</f>
        <v/>
      </c>
      <c r="AV106" s="13" t="str">
        <f>IF(Stock!AS102="","",Stock!AS102)</f>
        <v/>
      </c>
      <c r="AW106" s="13" t="str">
        <f>IF(Stock!AT102="","",Stock!AT102)</f>
        <v/>
      </c>
      <c r="AX106" s="13" t="str">
        <f>IF(Stock!AU102="","",Stock!AU102)</f>
        <v/>
      </c>
      <c r="AY106" s="13" t="str">
        <f>IF(Stock!AV102="","",Stock!AV102)</f>
        <v/>
      </c>
      <c r="AZ106" s="13" t="str">
        <f>IF(Stock!AW102="","",Stock!AW102)</f>
        <v/>
      </c>
      <c r="BA106" s="13" t="str">
        <f>IF(Stock!AX102="","",Stock!AX102)</f>
        <v/>
      </c>
      <c r="BB106" s="13" t="str">
        <f>IF(Stock!AY102="","",Stock!AY102)</f>
        <v/>
      </c>
      <c r="BC106" s="13" t="str">
        <f>IF(Stock!AZ102="","",Stock!AZ102)</f>
        <v/>
      </c>
      <c r="BD106" s="13" t="str">
        <f>IF(Stock!BA102="","",Stock!BA102)</f>
        <v/>
      </c>
      <c r="BE106" s="13" t="str">
        <f>IF(Stock!BB102="","",Stock!BB102)</f>
        <v/>
      </c>
      <c r="BF106" s="13" t="str">
        <f>IF(Stock!BC102="","",Stock!BC102)</f>
        <v/>
      </c>
    </row>
    <row r="107" spans="2:58" ht="14.25" customHeight="1" x14ac:dyDescent="0.3">
      <c r="B107" s="31"/>
      <c r="E107" s="13" t="str">
        <f>IF(Stock!B103="","",Stock!B103)</f>
        <v/>
      </c>
      <c r="F107" s="13" t="str">
        <f>IF(Stock!C103="","",Stock!C103)</f>
        <v/>
      </c>
      <c r="G107" s="13" t="str">
        <f>IF(Stock!D103="","",Stock!D103)</f>
        <v/>
      </c>
      <c r="H107" s="13" t="str">
        <f>IF(Stock!E103="","",Stock!E103)</f>
        <v/>
      </c>
      <c r="I107" s="13" t="str">
        <f>IF(Stock!F103="","",Stock!F103)</f>
        <v/>
      </c>
      <c r="J107" s="13" t="str">
        <f>IF(Stock!G103="","",Stock!G103)</f>
        <v/>
      </c>
      <c r="K107" s="13" t="str">
        <f>IF(Stock!H103="","",Stock!H103)</f>
        <v/>
      </c>
      <c r="L107" s="13" t="str">
        <f>IF(Stock!I103="","",Stock!I103)</f>
        <v/>
      </c>
      <c r="M107" s="13" t="str">
        <f>IF(Stock!J103="","",Stock!J103)</f>
        <v/>
      </c>
      <c r="N107" s="13" t="str">
        <f>IF(Stock!K103="","",Stock!K103)</f>
        <v/>
      </c>
      <c r="O107" s="13" t="str">
        <f>IF(Stock!L103="","",Stock!L103)</f>
        <v/>
      </c>
      <c r="P107" s="13" t="str">
        <f>IF(Stock!M103="","",Stock!M103)</f>
        <v/>
      </c>
      <c r="Q107" s="13" t="str">
        <f>IF(Stock!N103="","",Stock!N103)</f>
        <v/>
      </c>
      <c r="R107" s="13" t="str">
        <f>IF(Stock!O103="","",Stock!O103)</f>
        <v/>
      </c>
      <c r="S107" s="13" t="str">
        <f>IF(Stock!P103="","",Stock!P103)</f>
        <v/>
      </c>
      <c r="T107" s="13" t="str">
        <f>IF(Stock!Q103="","",Stock!Q103)</f>
        <v/>
      </c>
      <c r="U107" s="13" t="str">
        <f>IF(Stock!R103="","",Stock!R103)</f>
        <v/>
      </c>
      <c r="V107" s="13" t="str">
        <f>IF(Stock!S103="","",Stock!S103)</f>
        <v/>
      </c>
      <c r="W107" s="13" t="str">
        <f>IF(Stock!T103="","",Stock!T103)</f>
        <v/>
      </c>
      <c r="X107" s="13" t="str">
        <f>IF(Stock!U103="","",Stock!U103)</f>
        <v/>
      </c>
      <c r="Y107" s="13" t="str">
        <f>IF(Stock!V103="","",Stock!V103)</f>
        <v/>
      </c>
      <c r="Z107" s="13" t="str">
        <f>IF(Stock!W103="","",Stock!W103)</f>
        <v/>
      </c>
      <c r="AA107" s="13" t="str">
        <f>IF(Stock!X103="","",Stock!X103)</f>
        <v/>
      </c>
      <c r="AB107" s="13" t="str">
        <f>IF(Stock!Y103="","",Stock!Y103)</f>
        <v/>
      </c>
      <c r="AC107" s="13" t="str">
        <f>IF(Stock!Z103="","",Stock!Z103)</f>
        <v/>
      </c>
      <c r="AD107" s="13" t="str">
        <f>IF(Stock!AA103="","",Stock!AA103)</f>
        <v/>
      </c>
      <c r="AE107" s="13" t="str">
        <f>IF(Stock!AB103="","",Stock!AB103)</f>
        <v/>
      </c>
      <c r="AF107" s="13" t="str">
        <f>IF(Stock!AC103="","",Stock!AC103)</f>
        <v/>
      </c>
      <c r="AG107" s="13" t="str">
        <f>IF(Stock!AD103="","",Stock!AD103)</f>
        <v/>
      </c>
      <c r="AH107" s="13" t="str">
        <f>IF(Stock!AE103="","",Stock!AE103)</f>
        <v/>
      </c>
      <c r="AI107" s="13" t="str">
        <f>IF(Stock!AF103="","",Stock!AF103)</f>
        <v/>
      </c>
      <c r="AJ107" s="13" t="str">
        <f>IF(Stock!AG103="","",Stock!AG103)</f>
        <v/>
      </c>
      <c r="AK107" s="13" t="str">
        <f>IF(Stock!AH103="","",Stock!AH103)</f>
        <v/>
      </c>
      <c r="AL107" s="13" t="str">
        <f>IF(Stock!AI103="","",Stock!AI103)</f>
        <v/>
      </c>
      <c r="AM107" s="13" t="str">
        <f>IF(Stock!AJ103="","",Stock!AJ103)</f>
        <v/>
      </c>
      <c r="AN107" s="13" t="str">
        <f>IF(Stock!AK103="","",Stock!AK103)</f>
        <v/>
      </c>
      <c r="AO107" s="13" t="str">
        <f>IF(Stock!AL103="","",Stock!AL103)</f>
        <v/>
      </c>
      <c r="AP107" s="13" t="str">
        <f>IF(Stock!AM103="","",Stock!AM103)</f>
        <v/>
      </c>
      <c r="AQ107" s="13" t="str">
        <f>IF(Stock!AN103="","",Stock!AN103)</f>
        <v/>
      </c>
      <c r="AR107" s="13" t="str">
        <f>IF(Stock!AO103="","",Stock!AO103)</f>
        <v/>
      </c>
      <c r="AS107" s="13" t="str">
        <f>IF(Stock!AP103="","",Stock!AP103)</f>
        <v/>
      </c>
      <c r="AT107" s="13" t="str">
        <f>IF(Stock!AQ103="","",Stock!AQ103)</f>
        <v/>
      </c>
      <c r="AU107" s="13" t="str">
        <f>IF(Stock!AR103="","",Stock!AR103)</f>
        <v/>
      </c>
      <c r="AV107" s="13" t="str">
        <f>IF(Stock!AS103="","",Stock!AS103)</f>
        <v/>
      </c>
      <c r="AW107" s="13" t="str">
        <f>IF(Stock!AT103="","",Stock!AT103)</f>
        <v/>
      </c>
      <c r="AX107" s="13" t="str">
        <f>IF(Stock!AU103="","",Stock!AU103)</f>
        <v/>
      </c>
      <c r="AY107" s="13" t="str">
        <f>IF(Stock!AV103="","",Stock!AV103)</f>
        <v/>
      </c>
      <c r="AZ107" s="13" t="str">
        <f>IF(Stock!AW103="","",Stock!AW103)</f>
        <v/>
      </c>
      <c r="BA107" s="13" t="str">
        <f>IF(Stock!AX103="","",Stock!AX103)</f>
        <v/>
      </c>
      <c r="BB107" s="13" t="str">
        <f>IF(Stock!AY103="","",Stock!AY103)</f>
        <v/>
      </c>
      <c r="BC107" s="13" t="str">
        <f>IF(Stock!AZ103="","",Stock!AZ103)</f>
        <v/>
      </c>
      <c r="BD107" s="13" t="str">
        <f>IF(Stock!BA103="","",Stock!BA103)</f>
        <v/>
      </c>
      <c r="BE107" s="13" t="str">
        <f>IF(Stock!BB103="","",Stock!BB103)</f>
        <v/>
      </c>
      <c r="BF107" s="13" t="str">
        <f>IF(Stock!BC103="","",Stock!BC103)</f>
        <v/>
      </c>
    </row>
    <row r="108" spans="2:58" ht="14.25" customHeight="1" x14ac:dyDescent="0.3">
      <c r="B108" s="31"/>
      <c r="E108" s="13" t="str">
        <f>IF(Stock!B104="","",Stock!B104)</f>
        <v/>
      </c>
      <c r="F108" s="13" t="str">
        <f>IF(Stock!C104="","",Stock!C104)</f>
        <v/>
      </c>
      <c r="G108" s="13" t="str">
        <f>IF(Stock!D104="","",Stock!D104)</f>
        <v/>
      </c>
      <c r="H108" s="13" t="str">
        <f>IF(Stock!E104="","",Stock!E104)</f>
        <v/>
      </c>
      <c r="I108" s="13" t="str">
        <f>IF(Stock!F104="","",Stock!F104)</f>
        <v/>
      </c>
      <c r="J108" s="13" t="str">
        <f>IF(Stock!G104="","",Stock!G104)</f>
        <v/>
      </c>
      <c r="K108" s="13" t="str">
        <f>IF(Stock!H104="","",Stock!H104)</f>
        <v/>
      </c>
      <c r="L108" s="13" t="str">
        <f>IF(Stock!I104="","",Stock!I104)</f>
        <v/>
      </c>
      <c r="M108" s="13" t="str">
        <f>IF(Stock!J104="","",Stock!J104)</f>
        <v/>
      </c>
      <c r="N108" s="13" t="str">
        <f>IF(Stock!K104="","",Stock!K104)</f>
        <v/>
      </c>
      <c r="O108" s="13" t="str">
        <f>IF(Stock!L104="","",Stock!L104)</f>
        <v/>
      </c>
      <c r="P108" s="13" t="str">
        <f>IF(Stock!M104="","",Stock!M104)</f>
        <v/>
      </c>
      <c r="Q108" s="13" t="str">
        <f>IF(Stock!N104="","",Stock!N104)</f>
        <v/>
      </c>
      <c r="R108" s="13" t="str">
        <f>IF(Stock!O104="","",Stock!O104)</f>
        <v/>
      </c>
      <c r="S108" s="13" t="str">
        <f>IF(Stock!P104="","",Stock!P104)</f>
        <v/>
      </c>
      <c r="T108" s="13" t="str">
        <f>IF(Stock!Q104="","",Stock!Q104)</f>
        <v/>
      </c>
      <c r="U108" s="13" t="str">
        <f>IF(Stock!R104="","",Stock!R104)</f>
        <v/>
      </c>
      <c r="V108" s="13" t="str">
        <f>IF(Stock!S104="","",Stock!S104)</f>
        <v/>
      </c>
      <c r="W108" s="13" t="str">
        <f>IF(Stock!T104="","",Stock!T104)</f>
        <v/>
      </c>
      <c r="X108" s="13" t="str">
        <f>IF(Stock!U104="","",Stock!U104)</f>
        <v/>
      </c>
      <c r="Y108" s="13" t="str">
        <f>IF(Stock!V104="","",Stock!V104)</f>
        <v/>
      </c>
      <c r="Z108" s="13" t="str">
        <f>IF(Stock!W104="","",Stock!W104)</f>
        <v/>
      </c>
      <c r="AA108" s="13" t="str">
        <f>IF(Stock!X104="","",Stock!X104)</f>
        <v/>
      </c>
      <c r="AB108" s="13" t="str">
        <f>IF(Stock!Y104="","",Stock!Y104)</f>
        <v/>
      </c>
      <c r="AC108" s="13" t="str">
        <f>IF(Stock!Z104="","",Stock!Z104)</f>
        <v/>
      </c>
      <c r="AD108" s="13" t="str">
        <f>IF(Stock!AA104="","",Stock!AA104)</f>
        <v/>
      </c>
      <c r="AE108" s="13" t="str">
        <f>IF(Stock!AB104="","",Stock!AB104)</f>
        <v/>
      </c>
      <c r="AF108" s="13" t="str">
        <f>IF(Stock!AC104="","",Stock!AC104)</f>
        <v/>
      </c>
      <c r="AG108" s="13" t="str">
        <f>IF(Stock!AD104="","",Stock!AD104)</f>
        <v/>
      </c>
      <c r="AH108" s="13" t="str">
        <f>IF(Stock!AE104="","",Stock!AE104)</f>
        <v/>
      </c>
      <c r="AI108" s="13" t="str">
        <f>IF(Stock!AF104="","",Stock!AF104)</f>
        <v/>
      </c>
      <c r="AJ108" s="13" t="str">
        <f>IF(Stock!AG104="","",Stock!AG104)</f>
        <v/>
      </c>
      <c r="AK108" s="13" t="str">
        <f>IF(Stock!AH104="","",Stock!AH104)</f>
        <v/>
      </c>
      <c r="AL108" s="13" t="str">
        <f>IF(Stock!AI104="","",Stock!AI104)</f>
        <v/>
      </c>
      <c r="AM108" s="13" t="str">
        <f>IF(Stock!AJ104="","",Stock!AJ104)</f>
        <v/>
      </c>
      <c r="AN108" s="13" t="str">
        <f>IF(Stock!AK104="","",Stock!AK104)</f>
        <v/>
      </c>
      <c r="AO108" s="13" t="str">
        <f>IF(Stock!AL104="","",Stock!AL104)</f>
        <v/>
      </c>
      <c r="AP108" s="13" t="str">
        <f>IF(Stock!AM104="","",Stock!AM104)</f>
        <v/>
      </c>
      <c r="AQ108" s="13" t="str">
        <f>IF(Stock!AN104="","",Stock!AN104)</f>
        <v/>
      </c>
      <c r="AR108" s="13" t="str">
        <f>IF(Stock!AO104="","",Stock!AO104)</f>
        <v/>
      </c>
      <c r="AS108" s="13" t="str">
        <f>IF(Stock!AP104="","",Stock!AP104)</f>
        <v/>
      </c>
      <c r="AT108" s="13" t="str">
        <f>IF(Stock!AQ104="","",Stock!AQ104)</f>
        <v/>
      </c>
      <c r="AU108" s="13" t="str">
        <f>IF(Stock!AR104="","",Stock!AR104)</f>
        <v/>
      </c>
      <c r="AV108" s="13" t="str">
        <f>IF(Stock!AS104="","",Stock!AS104)</f>
        <v/>
      </c>
      <c r="AW108" s="13" t="str">
        <f>IF(Stock!AT104="","",Stock!AT104)</f>
        <v/>
      </c>
      <c r="AX108" s="13" t="str">
        <f>IF(Stock!AU104="","",Stock!AU104)</f>
        <v/>
      </c>
      <c r="AY108" s="13" t="str">
        <f>IF(Stock!AV104="","",Stock!AV104)</f>
        <v/>
      </c>
      <c r="AZ108" s="13" t="str">
        <f>IF(Stock!AW104="","",Stock!AW104)</f>
        <v/>
      </c>
      <c r="BA108" s="13" t="str">
        <f>IF(Stock!AX104="","",Stock!AX104)</f>
        <v/>
      </c>
      <c r="BB108" s="13" t="str">
        <f>IF(Stock!AY104="","",Stock!AY104)</f>
        <v/>
      </c>
      <c r="BC108" s="13" t="str">
        <f>IF(Stock!AZ104="","",Stock!AZ104)</f>
        <v/>
      </c>
      <c r="BD108" s="13" t="str">
        <f>IF(Stock!BA104="","",Stock!BA104)</f>
        <v/>
      </c>
      <c r="BE108" s="13" t="str">
        <f>IF(Stock!BB104="","",Stock!BB104)</f>
        <v/>
      </c>
      <c r="BF108" s="13" t="str">
        <f>IF(Stock!BC104="","",Stock!BC104)</f>
        <v/>
      </c>
    </row>
    <row r="109" spans="2:58" ht="14.25" customHeight="1" x14ac:dyDescent="0.3">
      <c r="B109" s="31"/>
      <c r="E109" s="13" t="str">
        <f>IF(Stock!B105="","",Stock!B105)</f>
        <v/>
      </c>
      <c r="F109" s="13" t="str">
        <f>IF(Stock!C105="","",Stock!C105)</f>
        <v/>
      </c>
      <c r="G109" s="13" t="str">
        <f>IF(Stock!D105="","",Stock!D105)</f>
        <v/>
      </c>
      <c r="H109" s="13" t="str">
        <f>IF(Stock!E105="","",Stock!E105)</f>
        <v/>
      </c>
      <c r="I109" s="13" t="str">
        <f>IF(Stock!F105="","",Stock!F105)</f>
        <v/>
      </c>
      <c r="J109" s="13" t="str">
        <f>IF(Stock!G105="","",Stock!G105)</f>
        <v/>
      </c>
      <c r="K109" s="13" t="str">
        <f>IF(Stock!H105="","",Stock!H105)</f>
        <v/>
      </c>
      <c r="L109" s="13" t="str">
        <f>IF(Stock!I105="","",Stock!I105)</f>
        <v/>
      </c>
      <c r="M109" s="13" t="str">
        <f>IF(Stock!J105="","",Stock!J105)</f>
        <v/>
      </c>
      <c r="N109" s="13" t="str">
        <f>IF(Stock!K105="","",Stock!K105)</f>
        <v/>
      </c>
      <c r="O109" s="13" t="str">
        <f>IF(Stock!L105="","",Stock!L105)</f>
        <v/>
      </c>
      <c r="P109" s="13" t="str">
        <f>IF(Stock!M105="","",Stock!M105)</f>
        <v/>
      </c>
      <c r="Q109" s="13" t="str">
        <f>IF(Stock!N105="","",Stock!N105)</f>
        <v/>
      </c>
      <c r="R109" s="13" t="str">
        <f>IF(Stock!O105="","",Stock!O105)</f>
        <v/>
      </c>
      <c r="S109" s="13" t="str">
        <f>IF(Stock!P105="","",Stock!P105)</f>
        <v/>
      </c>
      <c r="T109" s="13" t="str">
        <f>IF(Stock!Q105="","",Stock!Q105)</f>
        <v/>
      </c>
      <c r="U109" s="13" t="str">
        <f>IF(Stock!R105="","",Stock!R105)</f>
        <v/>
      </c>
      <c r="V109" s="13" t="str">
        <f>IF(Stock!S105="","",Stock!S105)</f>
        <v/>
      </c>
      <c r="W109" s="13" t="str">
        <f>IF(Stock!T105="","",Stock!T105)</f>
        <v/>
      </c>
      <c r="X109" s="13" t="str">
        <f>IF(Stock!U105="","",Stock!U105)</f>
        <v/>
      </c>
      <c r="Y109" s="13" t="str">
        <f>IF(Stock!V105="","",Stock!V105)</f>
        <v/>
      </c>
      <c r="Z109" s="13" t="str">
        <f>IF(Stock!W105="","",Stock!W105)</f>
        <v/>
      </c>
      <c r="AA109" s="13" t="str">
        <f>IF(Stock!X105="","",Stock!X105)</f>
        <v/>
      </c>
      <c r="AB109" s="13" t="str">
        <f>IF(Stock!Y105="","",Stock!Y105)</f>
        <v/>
      </c>
      <c r="AC109" s="13" t="str">
        <f>IF(Stock!Z105="","",Stock!Z105)</f>
        <v/>
      </c>
      <c r="AD109" s="13" t="str">
        <f>IF(Stock!AA105="","",Stock!AA105)</f>
        <v/>
      </c>
      <c r="AE109" s="13" t="str">
        <f>IF(Stock!AB105="","",Stock!AB105)</f>
        <v/>
      </c>
      <c r="AF109" s="13" t="str">
        <f>IF(Stock!AC105="","",Stock!AC105)</f>
        <v/>
      </c>
      <c r="AG109" s="13" t="str">
        <f>IF(Stock!AD105="","",Stock!AD105)</f>
        <v/>
      </c>
      <c r="AH109" s="13" t="str">
        <f>IF(Stock!AE105="","",Stock!AE105)</f>
        <v/>
      </c>
      <c r="AI109" s="13" t="str">
        <f>IF(Stock!AF105="","",Stock!AF105)</f>
        <v/>
      </c>
      <c r="AJ109" s="13" t="str">
        <f>IF(Stock!AG105="","",Stock!AG105)</f>
        <v/>
      </c>
      <c r="AK109" s="13" t="str">
        <f>IF(Stock!AH105="","",Stock!AH105)</f>
        <v/>
      </c>
      <c r="AL109" s="13" t="str">
        <f>IF(Stock!AI105="","",Stock!AI105)</f>
        <v/>
      </c>
      <c r="AM109" s="13" t="str">
        <f>IF(Stock!AJ105="","",Stock!AJ105)</f>
        <v/>
      </c>
      <c r="AN109" s="13" t="str">
        <f>IF(Stock!AK105="","",Stock!AK105)</f>
        <v/>
      </c>
      <c r="AO109" s="13" t="str">
        <f>IF(Stock!AL105="","",Stock!AL105)</f>
        <v/>
      </c>
      <c r="AP109" s="13" t="str">
        <f>IF(Stock!AM105="","",Stock!AM105)</f>
        <v/>
      </c>
      <c r="AQ109" s="13" t="str">
        <f>IF(Stock!AN105="","",Stock!AN105)</f>
        <v/>
      </c>
      <c r="AR109" s="13" t="str">
        <f>IF(Stock!AO105="","",Stock!AO105)</f>
        <v/>
      </c>
      <c r="AS109" s="13" t="str">
        <f>IF(Stock!AP105="","",Stock!AP105)</f>
        <v/>
      </c>
      <c r="AT109" s="13" t="str">
        <f>IF(Stock!AQ105="","",Stock!AQ105)</f>
        <v/>
      </c>
      <c r="AU109" s="13" t="str">
        <f>IF(Stock!AR105="","",Stock!AR105)</f>
        <v/>
      </c>
      <c r="AV109" s="13" t="str">
        <f>IF(Stock!AS105="","",Stock!AS105)</f>
        <v/>
      </c>
      <c r="AW109" s="13" t="str">
        <f>IF(Stock!AT105="","",Stock!AT105)</f>
        <v/>
      </c>
      <c r="AX109" s="13" t="str">
        <f>IF(Stock!AU105="","",Stock!AU105)</f>
        <v/>
      </c>
      <c r="AY109" s="13" t="str">
        <f>IF(Stock!AV105="","",Stock!AV105)</f>
        <v/>
      </c>
      <c r="AZ109" s="13" t="str">
        <f>IF(Stock!AW105="","",Stock!AW105)</f>
        <v/>
      </c>
      <c r="BA109" s="13" t="str">
        <f>IF(Stock!AX105="","",Stock!AX105)</f>
        <v/>
      </c>
      <c r="BB109" s="13" t="str">
        <f>IF(Stock!AY105="","",Stock!AY105)</f>
        <v/>
      </c>
      <c r="BC109" s="13" t="str">
        <f>IF(Stock!AZ105="","",Stock!AZ105)</f>
        <v/>
      </c>
      <c r="BD109" s="13" t="str">
        <f>IF(Stock!BA105="","",Stock!BA105)</f>
        <v/>
      </c>
      <c r="BE109" s="13" t="str">
        <f>IF(Stock!BB105="","",Stock!BB105)</f>
        <v/>
      </c>
      <c r="BF109" s="13" t="str">
        <f>IF(Stock!BC105="","",Stock!BC105)</f>
        <v/>
      </c>
    </row>
    <row r="110" spans="2:58" ht="14.25" customHeight="1" x14ac:dyDescent="0.3">
      <c r="B110" s="31"/>
      <c r="E110" s="13" t="str">
        <f>IF(Stock!B106="","",Stock!B106)</f>
        <v/>
      </c>
      <c r="F110" s="13" t="str">
        <f>IF(Stock!C106="","",Stock!C106)</f>
        <v/>
      </c>
      <c r="G110" s="13" t="str">
        <f>IF(Stock!D106="","",Stock!D106)</f>
        <v/>
      </c>
      <c r="H110" s="13" t="str">
        <f>IF(Stock!E106="","",Stock!E106)</f>
        <v/>
      </c>
      <c r="I110" s="13" t="str">
        <f>IF(Stock!F106="","",Stock!F106)</f>
        <v/>
      </c>
      <c r="J110" s="13" t="str">
        <f>IF(Stock!G106="","",Stock!G106)</f>
        <v/>
      </c>
      <c r="K110" s="13" t="str">
        <f>IF(Stock!H106="","",Stock!H106)</f>
        <v/>
      </c>
      <c r="L110" s="13" t="str">
        <f>IF(Stock!I106="","",Stock!I106)</f>
        <v/>
      </c>
      <c r="M110" s="13" t="str">
        <f>IF(Stock!J106="","",Stock!J106)</f>
        <v/>
      </c>
      <c r="N110" s="13" t="str">
        <f>IF(Stock!K106="","",Stock!K106)</f>
        <v/>
      </c>
      <c r="O110" s="13" t="str">
        <f>IF(Stock!L106="","",Stock!L106)</f>
        <v/>
      </c>
      <c r="P110" s="13" t="str">
        <f>IF(Stock!M106="","",Stock!M106)</f>
        <v/>
      </c>
      <c r="Q110" s="13" t="str">
        <f>IF(Stock!N106="","",Stock!N106)</f>
        <v/>
      </c>
      <c r="R110" s="13" t="str">
        <f>IF(Stock!O106="","",Stock!O106)</f>
        <v/>
      </c>
      <c r="S110" s="13" t="str">
        <f>IF(Stock!P106="","",Stock!P106)</f>
        <v/>
      </c>
      <c r="T110" s="13" t="str">
        <f>IF(Stock!Q106="","",Stock!Q106)</f>
        <v/>
      </c>
      <c r="U110" s="13" t="str">
        <f>IF(Stock!R106="","",Stock!R106)</f>
        <v/>
      </c>
      <c r="V110" s="13" t="str">
        <f>IF(Stock!S106="","",Stock!S106)</f>
        <v/>
      </c>
      <c r="W110" s="13" t="str">
        <f>IF(Stock!T106="","",Stock!T106)</f>
        <v/>
      </c>
      <c r="X110" s="13" t="str">
        <f>IF(Stock!U106="","",Stock!U106)</f>
        <v/>
      </c>
      <c r="Y110" s="13" t="str">
        <f>IF(Stock!V106="","",Stock!V106)</f>
        <v/>
      </c>
      <c r="Z110" s="13" t="str">
        <f>IF(Stock!W106="","",Stock!W106)</f>
        <v/>
      </c>
      <c r="AA110" s="13" t="str">
        <f>IF(Stock!X106="","",Stock!X106)</f>
        <v/>
      </c>
      <c r="AB110" s="13" t="str">
        <f>IF(Stock!Y106="","",Stock!Y106)</f>
        <v/>
      </c>
      <c r="AC110" s="13" t="str">
        <f>IF(Stock!Z106="","",Stock!Z106)</f>
        <v/>
      </c>
      <c r="AD110" s="13" t="str">
        <f>IF(Stock!AA106="","",Stock!AA106)</f>
        <v/>
      </c>
      <c r="AE110" s="13" t="str">
        <f>IF(Stock!AB106="","",Stock!AB106)</f>
        <v/>
      </c>
      <c r="AF110" s="13" t="str">
        <f>IF(Stock!AC106="","",Stock!AC106)</f>
        <v/>
      </c>
      <c r="AG110" s="13" t="str">
        <f>IF(Stock!AD106="","",Stock!AD106)</f>
        <v/>
      </c>
      <c r="AH110" s="13" t="str">
        <f>IF(Stock!AE106="","",Stock!AE106)</f>
        <v/>
      </c>
      <c r="AI110" s="13" t="str">
        <f>IF(Stock!AF106="","",Stock!AF106)</f>
        <v/>
      </c>
      <c r="AJ110" s="13" t="str">
        <f>IF(Stock!AG106="","",Stock!AG106)</f>
        <v/>
      </c>
      <c r="AK110" s="13" t="str">
        <f>IF(Stock!AH106="","",Stock!AH106)</f>
        <v/>
      </c>
      <c r="AL110" s="13" t="str">
        <f>IF(Stock!AI106="","",Stock!AI106)</f>
        <v/>
      </c>
      <c r="AM110" s="13" t="str">
        <f>IF(Stock!AJ106="","",Stock!AJ106)</f>
        <v/>
      </c>
      <c r="AN110" s="13" t="str">
        <f>IF(Stock!AK106="","",Stock!AK106)</f>
        <v/>
      </c>
      <c r="AO110" s="13" t="str">
        <f>IF(Stock!AL106="","",Stock!AL106)</f>
        <v/>
      </c>
      <c r="AP110" s="13" t="str">
        <f>IF(Stock!AM106="","",Stock!AM106)</f>
        <v/>
      </c>
      <c r="AQ110" s="13" t="str">
        <f>IF(Stock!AN106="","",Stock!AN106)</f>
        <v/>
      </c>
      <c r="AR110" s="13" t="str">
        <f>IF(Stock!AO106="","",Stock!AO106)</f>
        <v/>
      </c>
      <c r="AS110" s="13" t="str">
        <f>IF(Stock!AP106="","",Stock!AP106)</f>
        <v/>
      </c>
      <c r="AT110" s="13" t="str">
        <f>IF(Stock!AQ106="","",Stock!AQ106)</f>
        <v/>
      </c>
      <c r="AU110" s="13" t="str">
        <f>IF(Stock!AR106="","",Stock!AR106)</f>
        <v/>
      </c>
      <c r="AV110" s="13" t="str">
        <f>IF(Stock!AS106="","",Stock!AS106)</f>
        <v/>
      </c>
      <c r="AW110" s="13" t="str">
        <f>IF(Stock!AT106="","",Stock!AT106)</f>
        <v/>
      </c>
      <c r="AX110" s="13" t="str">
        <f>IF(Stock!AU106="","",Stock!AU106)</f>
        <v/>
      </c>
      <c r="AY110" s="13" t="str">
        <f>IF(Stock!AV106="","",Stock!AV106)</f>
        <v/>
      </c>
      <c r="AZ110" s="13" t="str">
        <f>IF(Stock!AW106="","",Stock!AW106)</f>
        <v/>
      </c>
      <c r="BA110" s="13" t="str">
        <f>IF(Stock!AX106="","",Stock!AX106)</f>
        <v/>
      </c>
      <c r="BB110" s="13" t="str">
        <f>IF(Stock!AY106="","",Stock!AY106)</f>
        <v/>
      </c>
      <c r="BC110" s="13" t="str">
        <f>IF(Stock!AZ106="","",Stock!AZ106)</f>
        <v/>
      </c>
      <c r="BD110" s="13" t="str">
        <f>IF(Stock!BA106="","",Stock!BA106)</f>
        <v/>
      </c>
      <c r="BE110" s="13" t="str">
        <f>IF(Stock!BB106="","",Stock!BB106)</f>
        <v/>
      </c>
      <c r="BF110" s="13" t="str">
        <f>IF(Stock!BC106="","",Stock!BC106)</f>
        <v/>
      </c>
    </row>
    <row r="111" spans="2:58" ht="14.25" customHeight="1" x14ac:dyDescent="0.3">
      <c r="B111" s="31"/>
      <c r="E111" s="13" t="str">
        <f>IF(Stock!B107="","",Stock!B107)</f>
        <v/>
      </c>
      <c r="F111" s="13" t="str">
        <f>IF(Stock!C107="","",Stock!C107)</f>
        <v/>
      </c>
      <c r="G111" s="13" t="str">
        <f>IF(Stock!D107="","",Stock!D107)</f>
        <v/>
      </c>
      <c r="H111" s="13" t="str">
        <f>IF(Stock!E107="","",Stock!E107)</f>
        <v/>
      </c>
      <c r="I111" s="13" t="str">
        <f>IF(Stock!F107="","",Stock!F107)</f>
        <v/>
      </c>
      <c r="J111" s="13" t="str">
        <f>IF(Stock!G107="","",Stock!G107)</f>
        <v/>
      </c>
      <c r="K111" s="13" t="str">
        <f>IF(Stock!H107="","",Stock!H107)</f>
        <v/>
      </c>
      <c r="L111" s="13" t="str">
        <f>IF(Stock!I107="","",Stock!I107)</f>
        <v/>
      </c>
      <c r="M111" s="13" t="str">
        <f>IF(Stock!J107="","",Stock!J107)</f>
        <v/>
      </c>
      <c r="N111" s="13" t="str">
        <f>IF(Stock!K107="","",Stock!K107)</f>
        <v/>
      </c>
      <c r="O111" s="13" t="str">
        <f>IF(Stock!L107="","",Stock!L107)</f>
        <v/>
      </c>
      <c r="P111" s="13" t="str">
        <f>IF(Stock!M107="","",Stock!M107)</f>
        <v/>
      </c>
      <c r="Q111" s="13" t="str">
        <f>IF(Stock!N107="","",Stock!N107)</f>
        <v/>
      </c>
      <c r="R111" s="13" t="str">
        <f>IF(Stock!O107="","",Stock!O107)</f>
        <v/>
      </c>
      <c r="S111" s="13" t="str">
        <f>IF(Stock!P107="","",Stock!P107)</f>
        <v/>
      </c>
      <c r="T111" s="13" t="str">
        <f>IF(Stock!Q107="","",Stock!Q107)</f>
        <v/>
      </c>
      <c r="U111" s="13" t="str">
        <f>IF(Stock!R107="","",Stock!R107)</f>
        <v/>
      </c>
      <c r="V111" s="13" t="str">
        <f>IF(Stock!S107="","",Stock!S107)</f>
        <v/>
      </c>
      <c r="W111" s="13" t="str">
        <f>IF(Stock!T107="","",Stock!T107)</f>
        <v/>
      </c>
      <c r="X111" s="13" t="str">
        <f>IF(Stock!U107="","",Stock!U107)</f>
        <v/>
      </c>
      <c r="Y111" s="13" t="str">
        <f>IF(Stock!V107="","",Stock!V107)</f>
        <v/>
      </c>
      <c r="Z111" s="13" t="str">
        <f>IF(Stock!W107="","",Stock!W107)</f>
        <v/>
      </c>
      <c r="AA111" s="13" t="str">
        <f>IF(Stock!X107="","",Stock!X107)</f>
        <v/>
      </c>
      <c r="AB111" s="13" t="str">
        <f>IF(Stock!Y107="","",Stock!Y107)</f>
        <v/>
      </c>
      <c r="AC111" s="13" t="str">
        <f>IF(Stock!Z107="","",Stock!Z107)</f>
        <v/>
      </c>
      <c r="AD111" s="13" t="str">
        <f>IF(Stock!AA107="","",Stock!AA107)</f>
        <v/>
      </c>
      <c r="AE111" s="13" t="str">
        <f>IF(Stock!AB107="","",Stock!AB107)</f>
        <v/>
      </c>
      <c r="AF111" s="13" t="str">
        <f>IF(Stock!AC107="","",Stock!AC107)</f>
        <v/>
      </c>
      <c r="AG111" s="13" t="str">
        <f>IF(Stock!AD107="","",Stock!AD107)</f>
        <v/>
      </c>
      <c r="AH111" s="13" t="str">
        <f>IF(Stock!AE107="","",Stock!AE107)</f>
        <v/>
      </c>
      <c r="AI111" s="13" t="str">
        <f>IF(Stock!AF107="","",Stock!AF107)</f>
        <v/>
      </c>
      <c r="AJ111" s="13" t="str">
        <f>IF(Stock!AG107="","",Stock!AG107)</f>
        <v/>
      </c>
      <c r="AK111" s="13" t="str">
        <f>IF(Stock!AH107="","",Stock!AH107)</f>
        <v/>
      </c>
      <c r="AL111" s="13" t="str">
        <f>IF(Stock!AI107="","",Stock!AI107)</f>
        <v/>
      </c>
      <c r="AM111" s="13" t="str">
        <f>IF(Stock!AJ107="","",Stock!AJ107)</f>
        <v/>
      </c>
      <c r="AN111" s="13" t="str">
        <f>IF(Stock!AK107="","",Stock!AK107)</f>
        <v/>
      </c>
      <c r="AO111" s="13" t="str">
        <f>IF(Stock!AL107="","",Stock!AL107)</f>
        <v/>
      </c>
      <c r="AP111" s="13" t="str">
        <f>IF(Stock!AM107="","",Stock!AM107)</f>
        <v/>
      </c>
      <c r="AQ111" s="13" t="str">
        <f>IF(Stock!AN107="","",Stock!AN107)</f>
        <v/>
      </c>
      <c r="AR111" s="13" t="str">
        <f>IF(Stock!AO107="","",Stock!AO107)</f>
        <v/>
      </c>
      <c r="AS111" s="13" t="str">
        <f>IF(Stock!AP107="","",Stock!AP107)</f>
        <v/>
      </c>
      <c r="AT111" s="13" t="str">
        <f>IF(Stock!AQ107="","",Stock!AQ107)</f>
        <v/>
      </c>
      <c r="AU111" s="13" t="str">
        <f>IF(Stock!AR107="","",Stock!AR107)</f>
        <v/>
      </c>
      <c r="AV111" s="13" t="str">
        <f>IF(Stock!AS107="","",Stock!AS107)</f>
        <v/>
      </c>
      <c r="AW111" s="13" t="str">
        <f>IF(Stock!AT107="","",Stock!AT107)</f>
        <v/>
      </c>
      <c r="AX111" s="13" t="str">
        <f>IF(Stock!AU107="","",Stock!AU107)</f>
        <v/>
      </c>
      <c r="AY111" s="13" t="str">
        <f>IF(Stock!AV107="","",Stock!AV107)</f>
        <v/>
      </c>
      <c r="AZ111" s="13" t="str">
        <f>IF(Stock!AW107="","",Stock!AW107)</f>
        <v/>
      </c>
      <c r="BA111" s="13" t="str">
        <f>IF(Stock!AX107="","",Stock!AX107)</f>
        <v/>
      </c>
      <c r="BB111" s="13" t="str">
        <f>IF(Stock!AY107="","",Stock!AY107)</f>
        <v/>
      </c>
      <c r="BC111" s="13" t="str">
        <f>IF(Stock!AZ107="","",Stock!AZ107)</f>
        <v/>
      </c>
      <c r="BD111" s="13" t="str">
        <f>IF(Stock!BA107="","",Stock!BA107)</f>
        <v/>
      </c>
      <c r="BE111" s="13" t="str">
        <f>IF(Stock!BB107="","",Stock!BB107)</f>
        <v/>
      </c>
      <c r="BF111" s="13" t="str">
        <f>IF(Stock!BC107="","",Stock!BC107)</f>
        <v/>
      </c>
    </row>
    <row r="112" spans="2:58" ht="14.25" customHeight="1" x14ac:dyDescent="0.3">
      <c r="B112" s="31"/>
      <c r="E112" s="13" t="str">
        <f>IF(Stock!B108="","",Stock!B108)</f>
        <v/>
      </c>
      <c r="F112" s="13" t="str">
        <f>IF(Stock!C108="","",Stock!C108)</f>
        <v/>
      </c>
      <c r="G112" s="13" t="str">
        <f>IF(Stock!D108="","",Stock!D108)</f>
        <v/>
      </c>
      <c r="H112" s="13" t="str">
        <f>IF(Stock!E108="","",Stock!E108)</f>
        <v/>
      </c>
      <c r="I112" s="13" t="str">
        <f>IF(Stock!F108="","",Stock!F108)</f>
        <v/>
      </c>
      <c r="J112" s="13" t="str">
        <f>IF(Stock!G108="","",Stock!G108)</f>
        <v/>
      </c>
      <c r="K112" s="13" t="str">
        <f>IF(Stock!H108="","",Stock!H108)</f>
        <v/>
      </c>
      <c r="L112" s="13" t="str">
        <f>IF(Stock!I108="","",Stock!I108)</f>
        <v/>
      </c>
      <c r="M112" s="13" t="str">
        <f>IF(Stock!J108="","",Stock!J108)</f>
        <v/>
      </c>
      <c r="N112" s="13" t="str">
        <f>IF(Stock!K108="","",Stock!K108)</f>
        <v/>
      </c>
      <c r="O112" s="13" t="str">
        <f>IF(Stock!L108="","",Stock!L108)</f>
        <v/>
      </c>
      <c r="P112" s="13" t="str">
        <f>IF(Stock!M108="","",Stock!M108)</f>
        <v/>
      </c>
      <c r="Q112" s="13" t="str">
        <f>IF(Stock!N108="","",Stock!N108)</f>
        <v/>
      </c>
      <c r="R112" s="13" t="str">
        <f>IF(Stock!O108="","",Stock!O108)</f>
        <v/>
      </c>
      <c r="S112" s="13" t="str">
        <f>IF(Stock!P108="","",Stock!P108)</f>
        <v/>
      </c>
      <c r="T112" s="13" t="str">
        <f>IF(Stock!Q108="","",Stock!Q108)</f>
        <v/>
      </c>
      <c r="U112" s="13" t="str">
        <f>IF(Stock!R108="","",Stock!R108)</f>
        <v/>
      </c>
      <c r="V112" s="13" t="str">
        <f>IF(Stock!S108="","",Stock!S108)</f>
        <v/>
      </c>
      <c r="W112" s="13" t="str">
        <f>IF(Stock!T108="","",Stock!T108)</f>
        <v/>
      </c>
      <c r="X112" s="13" t="str">
        <f>IF(Stock!U108="","",Stock!U108)</f>
        <v/>
      </c>
      <c r="Y112" s="13" t="str">
        <f>IF(Stock!V108="","",Stock!V108)</f>
        <v/>
      </c>
      <c r="Z112" s="13" t="str">
        <f>IF(Stock!W108="","",Stock!W108)</f>
        <v/>
      </c>
      <c r="AA112" s="13" t="str">
        <f>IF(Stock!X108="","",Stock!X108)</f>
        <v/>
      </c>
      <c r="AB112" s="13" t="str">
        <f>IF(Stock!Y108="","",Stock!Y108)</f>
        <v/>
      </c>
      <c r="AC112" s="13" t="str">
        <f>IF(Stock!Z108="","",Stock!Z108)</f>
        <v/>
      </c>
      <c r="AD112" s="13" t="str">
        <f>IF(Stock!AA108="","",Stock!AA108)</f>
        <v/>
      </c>
      <c r="AE112" s="13" t="str">
        <f>IF(Stock!AB108="","",Stock!AB108)</f>
        <v/>
      </c>
      <c r="AF112" s="13" t="str">
        <f>IF(Stock!AC108="","",Stock!AC108)</f>
        <v/>
      </c>
      <c r="AG112" s="13" t="str">
        <f>IF(Stock!AD108="","",Stock!AD108)</f>
        <v/>
      </c>
      <c r="AH112" s="13" t="str">
        <f>IF(Stock!AE108="","",Stock!AE108)</f>
        <v/>
      </c>
      <c r="AI112" s="13" t="str">
        <f>IF(Stock!AF108="","",Stock!AF108)</f>
        <v/>
      </c>
      <c r="AJ112" s="13" t="str">
        <f>IF(Stock!AG108="","",Stock!AG108)</f>
        <v/>
      </c>
      <c r="AK112" s="13" t="str">
        <f>IF(Stock!AH108="","",Stock!AH108)</f>
        <v/>
      </c>
      <c r="AL112" s="13" t="str">
        <f>IF(Stock!AI108="","",Stock!AI108)</f>
        <v/>
      </c>
      <c r="AM112" s="13" t="str">
        <f>IF(Stock!AJ108="","",Stock!AJ108)</f>
        <v/>
      </c>
      <c r="AN112" s="13" t="str">
        <f>IF(Stock!AK108="","",Stock!AK108)</f>
        <v/>
      </c>
      <c r="AO112" s="13" t="str">
        <f>IF(Stock!AL108="","",Stock!AL108)</f>
        <v/>
      </c>
      <c r="AP112" s="13" t="str">
        <f>IF(Stock!AM108="","",Stock!AM108)</f>
        <v/>
      </c>
      <c r="AQ112" s="13" t="str">
        <f>IF(Stock!AN108="","",Stock!AN108)</f>
        <v/>
      </c>
      <c r="AR112" s="13" t="str">
        <f>IF(Stock!AO108="","",Stock!AO108)</f>
        <v/>
      </c>
      <c r="AS112" s="13" t="str">
        <f>IF(Stock!AP108="","",Stock!AP108)</f>
        <v/>
      </c>
      <c r="AT112" s="13" t="str">
        <f>IF(Stock!AQ108="","",Stock!AQ108)</f>
        <v/>
      </c>
      <c r="AU112" s="13" t="str">
        <f>IF(Stock!AR108="","",Stock!AR108)</f>
        <v/>
      </c>
      <c r="AV112" s="13" t="str">
        <f>IF(Stock!AS108="","",Stock!AS108)</f>
        <v/>
      </c>
      <c r="AW112" s="13" t="str">
        <f>IF(Stock!AT108="","",Stock!AT108)</f>
        <v/>
      </c>
      <c r="AX112" s="13" t="str">
        <f>IF(Stock!AU108="","",Stock!AU108)</f>
        <v/>
      </c>
      <c r="AY112" s="13" t="str">
        <f>IF(Stock!AV108="","",Stock!AV108)</f>
        <v/>
      </c>
      <c r="AZ112" s="13" t="str">
        <f>IF(Stock!AW108="","",Stock!AW108)</f>
        <v/>
      </c>
      <c r="BA112" s="13" t="str">
        <f>IF(Stock!AX108="","",Stock!AX108)</f>
        <v/>
      </c>
      <c r="BB112" s="13" t="str">
        <f>IF(Stock!AY108="","",Stock!AY108)</f>
        <v/>
      </c>
      <c r="BC112" s="13" t="str">
        <f>IF(Stock!AZ108="","",Stock!AZ108)</f>
        <v/>
      </c>
      <c r="BD112" s="13" t="str">
        <f>IF(Stock!BA108="","",Stock!BA108)</f>
        <v/>
      </c>
      <c r="BE112" s="13" t="str">
        <f>IF(Stock!BB108="","",Stock!BB108)</f>
        <v/>
      </c>
      <c r="BF112" s="13" t="str">
        <f>IF(Stock!BC108="","",Stock!BC108)</f>
        <v/>
      </c>
    </row>
    <row r="113" spans="2:58" ht="14.25" customHeight="1" x14ac:dyDescent="0.3">
      <c r="B113" s="31"/>
      <c r="E113" s="13" t="str">
        <f>IF(Stock!B109="","",Stock!B109)</f>
        <v/>
      </c>
      <c r="F113" s="13" t="str">
        <f>IF(Stock!C109="","",Stock!C109)</f>
        <v/>
      </c>
      <c r="G113" s="13" t="str">
        <f>IF(Stock!D109="","",Stock!D109)</f>
        <v/>
      </c>
      <c r="H113" s="13" t="str">
        <f>IF(Stock!E109="","",Stock!E109)</f>
        <v/>
      </c>
      <c r="I113" s="13" t="str">
        <f>IF(Stock!F109="","",Stock!F109)</f>
        <v/>
      </c>
      <c r="J113" s="13" t="str">
        <f>IF(Stock!G109="","",Stock!G109)</f>
        <v/>
      </c>
      <c r="K113" s="13" t="str">
        <f>IF(Stock!H109="","",Stock!H109)</f>
        <v/>
      </c>
      <c r="L113" s="13" t="str">
        <f>IF(Stock!I109="","",Stock!I109)</f>
        <v/>
      </c>
      <c r="M113" s="13" t="str">
        <f>IF(Stock!J109="","",Stock!J109)</f>
        <v/>
      </c>
      <c r="N113" s="13" t="str">
        <f>IF(Stock!K109="","",Stock!K109)</f>
        <v/>
      </c>
      <c r="O113" s="13" t="str">
        <f>IF(Stock!L109="","",Stock!L109)</f>
        <v/>
      </c>
      <c r="P113" s="13" t="str">
        <f>IF(Stock!M109="","",Stock!M109)</f>
        <v/>
      </c>
      <c r="Q113" s="13" t="str">
        <f>IF(Stock!N109="","",Stock!N109)</f>
        <v/>
      </c>
      <c r="R113" s="13" t="str">
        <f>IF(Stock!O109="","",Stock!O109)</f>
        <v/>
      </c>
      <c r="S113" s="13" t="str">
        <f>IF(Stock!P109="","",Stock!P109)</f>
        <v/>
      </c>
      <c r="T113" s="13" t="str">
        <f>IF(Stock!Q109="","",Stock!Q109)</f>
        <v/>
      </c>
      <c r="U113" s="13" t="str">
        <f>IF(Stock!R109="","",Stock!R109)</f>
        <v/>
      </c>
      <c r="V113" s="13" t="str">
        <f>IF(Stock!S109="","",Stock!S109)</f>
        <v/>
      </c>
      <c r="W113" s="13" t="str">
        <f>IF(Stock!T109="","",Stock!T109)</f>
        <v/>
      </c>
      <c r="X113" s="13" t="str">
        <f>IF(Stock!U109="","",Stock!U109)</f>
        <v/>
      </c>
      <c r="Y113" s="13" t="str">
        <f>IF(Stock!V109="","",Stock!V109)</f>
        <v/>
      </c>
      <c r="Z113" s="13" t="str">
        <f>IF(Stock!W109="","",Stock!W109)</f>
        <v/>
      </c>
      <c r="AA113" s="13" t="str">
        <f>IF(Stock!X109="","",Stock!X109)</f>
        <v/>
      </c>
      <c r="AB113" s="13" t="str">
        <f>IF(Stock!Y109="","",Stock!Y109)</f>
        <v/>
      </c>
      <c r="AC113" s="13" t="str">
        <f>IF(Stock!Z109="","",Stock!Z109)</f>
        <v/>
      </c>
      <c r="AD113" s="13" t="str">
        <f>IF(Stock!AA109="","",Stock!AA109)</f>
        <v/>
      </c>
      <c r="AE113" s="13" t="str">
        <f>IF(Stock!AB109="","",Stock!AB109)</f>
        <v/>
      </c>
      <c r="AF113" s="13" t="str">
        <f>IF(Stock!AC109="","",Stock!AC109)</f>
        <v/>
      </c>
      <c r="AG113" s="13" t="str">
        <f>IF(Stock!AD109="","",Stock!AD109)</f>
        <v/>
      </c>
      <c r="AH113" s="13" t="str">
        <f>IF(Stock!AE109="","",Stock!AE109)</f>
        <v/>
      </c>
      <c r="AI113" s="13" t="str">
        <f>IF(Stock!AF109="","",Stock!AF109)</f>
        <v/>
      </c>
      <c r="AJ113" s="13" t="str">
        <f>IF(Stock!AG109="","",Stock!AG109)</f>
        <v/>
      </c>
      <c r="AK113" s="13" t="str">
        <f>IF(Stock!AH109="","",Stock!AH109)</f>
        <v/>
      </c>
      <c r="AL113" s="13" t="str">
        <f>IF(Stock!AI109="","",Stock!AI109)</f>
        <v/>
      </c>
      <c r="AM113" s="13" t="str">
        <f>IF(Stock!AJ109="","",Stock!AJ109)</f>
        <v/>
      </c>
      <c r="AN113" s="13" t="str">
        <f>IF(Stock!AK109="","",Stock!AK109)</f>
        <v/>
      </c>
      <c r="AO113" s="13" t="str">
        <f>IF(Stock!AL109="","",Stock!AL109)</f>
        <v/>
      </c>
      <c r="AP113" s="13" t="str">
        <f>IF(Stock!AM109="","",Stock!AM109)</f>
        <v/>
      </c>
      <c r="AQ113" s="13" t="str">
        <f>IF(Stock!AN109="","",Stock!AN109)</f>
        <v/>
      </c>
      <c r="AR113" s="13" t="str">
        <f>IF(Stock!AO109="","",Stock!AO109)</f>
        <v/>
      </c>
      <c r="AS113" s="13" t="str">
        <f>IF(Stock!AP109="","",Stock!AP109)</f>
        <v/>
      </c>
      <c r="AT113" s="13" t="str">
        <f>IF(Stock!AQ109="","",Stock!AQ109)</f>
        <v/>
      </c>
      <c r="AU113" s="13" t="str">
        <f>IF(Stock!AR109="","",Stock!AR109)</f>
        <v/>
      </c>
      <c r="AV113" s="13" t="str">
        <f>IF(Stock!AS109="","",Stock!AS109)</f>
        <v/>
      </c>
      <c r="AW113" s="13" t="str">
        <f>IF(Stock!AT109="","",Stock!AT109)</f>
        <v/>
      </c>
      <c r="AX113" s="13" t="str">
        <f>IF(Stock!AU109="","",Stock!AU109)</f>
        <v/>
      </c>
      <c r="AY113" s="13" t="str">
        <f>IF(Stock!AV109="","",Stock!AV109)</f>
        <v/>
      </c>
      <c r="AZ113" s="13" t="str">
        <f>IF(Stock!AW109="","",Stock!AW109)</f>
        <v/>
      </c>
      <c r="BA113" s="13" t="str">
        <f>IF(Stock!AX109="","",Stock!AX109)</f>
        <v/>
      </c>
      <c r="BB113" s="13" t="str">
        <f>IF(Stock!AY109="","",Stock!AY109)</f>
        <v/>
      </c>
      <c r="BC113" s="13" t="str">
        <f>IF(Stock!AZ109="","",Stock!AZ109)</f>
        <v/>
      </c>
      <c r="BD113" s="13" t="str">
        <f>IF(Stock!BA109="","",Stock!BA109)</f>
        <v/>
      </c>
      <c r="BE113" s="13" t="str">
        <f>IF(Stock!BB109="","",Stock!BB109)</f>
        <v/>
      </c>
      <c r="BF113" s="13" t="str">
        <f>IF(Stock!BC109="","",Stock!BC109)</f>
        <v/>
      </c>
    </row>
    <row r="114" spans="2:58" ht="14.25" customHeight="1" x14ac:dyDescent="0.3">
      <c r="B114" s="31"/>
      <c r="E114" s="13" t="str">
        <f>IF(Stock!B110="","",Stock!B110)</f>
        <v/>
      </c>
      <c r="F114" s="13" t="str">
        <f>IF(Stock!C110="","",Stock!C110)</f>
        <v/>
      </c>
      <c r="G114" s="13" t="str">
        <f>IF(Stock!D110="","",Stock!D110)</f>
        <v/>
      </c>
      <c r="H114" s="13" t="str">
        <f>IF(Stock!E110="","",Stock!E110)</f>
        <v/>
      </c>
      <c r="I114" s="13" t="str">
        <f>IF(Stock!F110="","",Stock!F110)</f>
        <v/>
      </c>
      <c r="J114" s="13" t="str">
        <f>IF(Stock!G110="","",Stock!G110)</f>
        <v/>
      </c>
      <c r="K114" s="13" t="str">
        <f>IF(Stock!H110="","",Stock!H110)</f>
        <v/>
      </c>
      <c r="L114" s="13" t="str">
        <f>IF(Stock!I110="","",Stock!I110)</f>
        <v/>
      </c>
      <c r="M114" s="13" t="str">
        <f>IF(Stock!J110="","",Stock!J110)</f>
        <v/>
      </c>
      <c r="N114" s="13" t="str">
        <f>IF(Stock!K110="","",Stock!K110)</f>
        <v/>
      </c>
      <c r="O114" s="13" t="str">
        <f>IF(Stock!L110="","",Stock!L110)</f>
        <v/>
      </c>
      <c r="P114" s="13" t="str">
        <f>IF(Stock!M110="","",Stock!M110)</f>
        <v/>
      </c>
      <c r="Q114" s="13" t="str">
        <f>IF(Stock!N110="","",Stock!N110)</f>
        <v/>
      </c>
      <c r="R114" s="13" t="str">
        <f>IF(Stock!O110="","",Stock!O110)</f>
        <v/>
      </c>
      <c r="S114" s="13" t="str">
        <f>IF(Stock!P110="","",Stock!P110)</f>
        <v/>
      </c>
      <c r="T114" s="13" t="str">
        <f>IF(Stock!Q110="","",Stock!Q110)</f>
        <v/>
      </c>
      <c r="U114" s="13" t="str">
        <f>IF(Stock!R110="","",Stock!R110)</f>
        <v/>
      </c>
      <c r="V114" s="13" t="str">
        <f>IF(Stock!S110="","",Stock!S110)</f>
        <v/>
      </c>
      <c r="W114" s="13" t="str">
        <f>IF(Stock!T110="","",Stock!T110)</f>
        <v/>
      </c>
      <c r="X114" s="13" t="str">
        <f>IF(Stock!U110="","",Stock!U110)</f>
        <v/>
      </c>
      <c r="Y114" s="13" t="str">
        <f>IF(Stock!V110="","",Stock!V110)</f>
        <v/>
      </c>
      <c r="Z114" s="13" t="str">
        <f>IF(Stock!W110="","",Stock!W110)</f>
        <v/>
      </c>
      <c r="AA114" s="13" t="str">
        <f>IF(Stock!X110="","",Stock!X110)</f>
        <v/>
      </c>
      <c r="AB114" s="13" t="str">
        <f>IF(Stock!Y110="","",Stock!Y110)</f>
        <v/>
      </c>
      <c r="AC114" s="13" t="str">
        <f>IF(Stock!Z110="","",Stock!Z110)</f>
        <v/>
      </c>
      <c r="AD114" s="13" t="str">
        <f>IF(Stock!AA110="","",Stock!AA110)</f>
        <v/>
      </c>
      <c r="AE114" s="13" t="str">
        <f>IF(Stock!AB110="","",Stock!AB110)</f>
        <v/>
      </c>
      <c r="AF114" s="13" t="str">
        <f>IF(Stock!AC110="","",Stock!AC110)</f>
        <v/>
      </c>
      <c r="AG114" s="13" t="str">
        <f>IF(Stock!AD110="","",Stock!AD110)</f>
        <v/>
      </c>
      <c r="AH114" s="13" t="str">
        <f>IF(Stock!AE110="","",Stock!AE110)</f>
        <v/>
      </c>
      <c r="AI114" s="13" t="str">
        <f>IF(Stock!AF110="","",Stock!AF110)</f>
        <v/>
      </c>
      <c r="AJ114" s="13" t="str">
        <f>IF(Stock!AG110="","",Stock!AG110)</f>
        <v/>
      </c>
      <c r="AK114" s="13" t="str">
        <f>IF(Stock!AH110="","",Stock!AH110)</f>
        <v/>
      </c>
      <c r="AL114" s="13" t="str">
        <f>IF(Stock!AI110="","",Stock!AI110)</f>
        <v/>
      </c>
      <c r="AM114" s="13" t="str">
        <f>IF(Stock!AJ110="","",Stock!AJ110)</f>
        <v/>
      </c>
      <c r="AN114" s="13" t="str">
        <f>IF(Stock!AK110="","",Stock!AK110)</f>
        <v/>
      </c>
      <c r="AO114" s="13" t="str">
        <f>IF(Stock!AL110="","",Stock!AL110)</f>
        <v/>
      </c>
      <c r="AP114" s="13" t="str">
        <f>IF(Stock!AM110="","",Stock!AM110)</f>
        <v/>
      </c>
      <c r="AQ114" s="13" t="str">
        <f>IF(Stock!AN110="","",Stock!AN110)</f>
        <v/>
      </c>
      <c r="AR114" s="13" t="str">
        <f>IF(Stock!AO110="","",Stock!AO110)</f>
        <v/>
      </c>
      <c r="AS114" s="13" t="str">
        <f>IF(Stock!AP110="","",Stock!AP110)</f>
        <v/>
      </c>
      <c r="AT114" s="13" t="str">
        <f>IF(Stock!AQ110="","",Stock!AQ110)</f>
        <v/>
      </c>
      <c r="AU114" s="13" t="str">
        <f>IF(Stock!AR110="","",Stock!AR110)</f>
        <v/>
      </c>
      <c r="AV114" s="13" t="str">
        <f>IF(Stock!AS110="","",Stock!AS110)</f>
        <v/>
      </c>
      <c r="AW114" s="13" t="str">
        <f>IF(Stock!AT110="","",Stock!AT110)</f>
        <v/>
      </c>
      <c r="AX114" s="13" t="str">
        <f>IF(Stock!AU110="","",Stock!AU110)</f>
        <v/>
      </c>
      <c r="AY114" s="13" t="str">
        <f>IF(Stock!AV110="","",Stock!AV110)</f>
        <v/>
      </c>
      <c r="AZ114" s="13" t="str">
        <f>IF(Stock!AW110="","",Stock!AW110)</f>
        <v/>
      </c>
      <c r="BA114" s="13" t="str">
        <f>IF(Stock!AX110="","",Stock!AX110)</f>
        <v/>
      </c>
      <c r="BB114" s="13" t="str">
        <f>IF(Stock!AY110="","",Stock!AY110)</f>
        <v/>
      </c>
      <c r="BC114" s="13" t="str">
        <f>IF(Stock!AZ110="","",Stock!AZ110)</f>
        <v/>
      </c>
      <c r="BD114" s="13" t="str">
        <f>IF(Stock!BA110="","",Stock!BA110)</f>
        <v/>
      </c>
      <c r="BE114" s="13" t="str">
        <f>IF(Stock!BB110="","",Stock!BB110)</f>
        <v/>
      </c>
      <c r="BF114" s="13" t="str">
        <f>IF(Stock!BC110="","",Stock!BC110)</f>
        <v/>
      </c>
    </row>
    <row r="115" spans="2:58" ht="14.25" customHeight="1" x14ac:dyDescent="0.3">
      <c r="B115" s="31"/>
      <c r="E115" s="13" t="str">
        <f>IF(Stock!B111="","",Stock!B111)</f>
        <v/>
      </c>
      <c r="F115" s="13" t="str">
        <f>IF(Stock!C111="","",Stock!C111)</f>
        <v/>
      </c>
      <c r="G115" s="13" t="str">
        <f>IF(Stock!D111="","",Stock!D111)</f>
        <v/>
      </c>
      <c r="H115" s="13" t="str">
        <f>IF(Stock!E111="","",Stock!E111)</f>
        <v/>
      </c>
      <c r="I115" s="13" t="str">
        <f>IF(Stock!F111="","",Stock!F111)</f>
        <v/>
      </c>
      <c r="J115" s="13" t="str">
        <f>IF(Stock!G111="","",Stock!G111)</f>
        <v/>
      </c>
      <c r="K115" s="13" t="str">
        <f>IF(Stock!H111="","",Stock!H111)</f>
        <v/>
      </c>
      <c r="L115" s="13" t="str">
        <f>IF(Stock!I111="","",Stock!I111)</f>
        <v/>
      </c>
      <c r="M115" s="13" t="str">
        <f>IF(Stock!J111="","",Stock!J111)</f>
        <v/>
      </c>
      <c r="N115" s="13" t="str">
        <f>IF(Stock!K111="","",Stock!K111)</f>
        <v/>
      </c>
      <c r="O115" s="13" t="str">
        <f>IF(Stock!L111="","",Stock!L111)</f>
        <v/>
      </c>
      <c r="P115" s="13" t="str">
        <f>IF(Stock!M111="","",Stock!M111)</f>
        <v/>
      </c>
      <c r="Q115" s="13" t="str">
        <f>IF(Stock!N111="","",Stock!N111)</f>
        <v/>
      </c>
      <c r="R115" s="13" t="str">
        <f>IF(Stock!O111="","",Stock!O111)</f>
        <v/>
      </c>
      <c r="S115" s="13" t="str">
        <f>IF(Stock!P111="","",Stock!P111)</f>
        <v/>
      </c>
      <c r="T115" s="13" t="str">
        <f>IF(Stock!Q111="","",Stock!Q111)</f>
        <v/>
      </c>
      <c r="U115" s="13" t="str">
        <f>IF(Stock!R111="","",Stock!R111)</f>
        <v/>
      </c>
      <c r="V115" s="13" t="str">
        <f>IF(Stock!S111="","",Stock!S111)</f>
        <v/>
      </c>
      <c r="W115" s="13" t="str">
        <f>IF(Stock!T111="","",Stock!T111)</f>
        <v/>
      </c>
      <c r="X115" s="13" t="str">
        <f>IF(Stock!U111="","",Stock!U111)</f>
        <v/>
      </c>
      <c r="Y115" s="13" t="str">
        <f>IF(Stock!V111="","",Stock!V111)</f>
        <v/>
      </c>
      <c r="Z115" s="13" t="str">
        <f>IF(Stock!W111="","",Stock!W111)</f>
        <v/>
      </c>
      <c r="AA115" s="13" t="str">
        <f>IF(Stock!X111="","",Stock!X111)</f>
        <v/>
      </c>
      <c r="AB115" s="13" t="str">
        <f>IF(Stock!Y111="","",Stock!Y111)</f>
        <v/>
      </c>
      <c r="AC115" s="13" t="str">
        <f>IF(Stock!Z111="","",Stock!Z111)</f>
        <v/>
      </c>
      <c r="AD115" s="13" t="str">
        <f>IF(Stock!AA111="","",Stock!AA111)</f>
        <v/>
      </c>
      <c r="AE115" s="13" t="str">
        <f>IF(Stock!AB111="","",Stock!AB111)</f>
        <v/>
      </c>
      <c r="AF115" s="13" t="str">
        <f>IF(Stock!AC111="","",Stock!AC111)</f>
        <v/>
      </c>
      <c r="AG115" s="13" t="str">
        <f>IF(Stock!AD111="","",Stock!AD111)</f>
        <v/>
      </c>
      <c r="AH115" s="13" t="str">
        <f>IF(Stock!AE111="","",Stock!AE111)</f>
        <v/>
      </c>
      <c r="AI115" s="13" t="str">
        <f>IF(Stock!AF111="","",Stock!AF111)</f>
        <v/>
      </c>
      <c r="AJ115" s="13" t="str">
        <f>IF(Stock!AG111="","",Stock!AG111)</f>
        <v/>
      </c>
      <c r="AK115" s="13" t="str">
        <f>IF(Stock!AH111="","",Stock!AH111)</f>
        <v/>
      </c>
      <c r="AL115" s="13" t="str">
        <f>IF(Stock!AI111="","",Stock!AI111)</f>
        <v/>
      </c>
      <c r="AM115" s="13" t="str">
        <f>IF(Stock!AJ111="","",Stock!AJ111)</f>
        <v/>
      </c>
      <c r="AN115" s="13" t="str">
        <f>IF(Stock!AK111="","",Stock!AK111)</f>
        <v/>
      </c>
      <c r="AO115" s="13" t="str">
        <f>IF(Stock!AL111="","",Stock!AL111)</f>
        <v/>
      </c>
      <c r="AP115" s="13" t="str">
        <f>IF(Stock!AM111="","",Stock!AM111)</f>
        <v/>
      </c>
      <c r="AQ115" s="13" t="str">
        <f>IF(Stock!AN111="","",Stock!AN111)</f>
        <v/>
      </c>
      <c r="AR115" s="13" t="str">
        <f>IF(Stock!AO111="","",Stock!AO111)</f>
        <v/>
      </c>
      <c r="AS115" s="13" t="str">
        <f>IF(Stock!AP111="","",Stock!AP111)</f>
        <v/>
      </c>
      <c r="AT115" s="13" t="str">
        <f>IF(Stock!AQ111="","",Stock!AQ111)</f>
        <v/>
      </c>
      <c r="AU115" s="13" t="str">
        <f>IF(Stock!AR111="","",Stock!AR111)</f>
        <v/>
      </c>
      <c r="AV115" s="13" t="str">
        <f>IF(Stock!AS111="","",Stock!AS111)</f>
        <v/>
      </c>
      <c r="AW115" s="13" t="str">
        <f>IF(Stock!AT111="","",Stock!AT111)</f>
        <v/>
      </c>
      <c r="AX115" s="13" t="str">
        <f>IF(Stock!AU111="","",Stock!AU111)</f>
        <v/>
      </c>
      <c r="AY115" s="13" t="str">
        <f>IF(Stock!AV111="","",Stock!AV111)</f>
        <v/>
      </c>
      <c r="AZ115" s="13" t="str">
        <f>IF(Stock!AW111="","",Stock!AW111)</f>
        <v/>
      </c>
      <c r="BA115" s="13" t="str">
        <f>IF(Stock!AX111="","",Stock!AX111)</f>
        <v/>
      </c>
      <c r="BB115" s="13" t="str">
        <f>IF(Stock!AY111="","",Stock!AY111)</f>
        <v/>
      </c>
      <c r="BC115" s="13" t="str">
        <f>IF(Stock!AZ111="","",Stock!AZ111)</f>
        <v/>
      </c>
      <c r="BD115" s="13" t="str">
        <f>IF(Stock!BA111="","",Stock!BA111)</f>
        <v/>
      </c>
      <c r="BE115" s="13" t="str">
        <f>IF(Stock!BB111="","",Stock!BB111)</f>
        <v/>
      </c>
      <c r="BF115" s="13" t="str">
        <f>IF(Stock!BC111="","",Stock!BC111)</f>
        <v/>
      </c>
    </row>
    <row r="116" spans="2:58" ht="14.25" customHeight="1" x14ac:dyDescent="0.3">
      <c r="B116" s="31"/>
      <c r="E116" s="13" t="str">
        <f>IF(Stock!B112="","",Stock!B112)</f>
        <v/>
      </c>
      <c r="F116" s="13" t="str">
        <f>IF(Stock!C112="","",Stock!C112)</f>
        <v/>
      </c>
      <c r="G116" s="13" t="str">
        <f>IF(Stock!D112="","",Stock!D112)</f>
        <v/>
      </c>
      <c r="H116" s="13" t="str">
        <f>IF(Stock!E112="","",Stock!E112)</f>
        <v/>
      </c>
      <c r="I116" s="13" t="str">
        <f>IF(Stock!F112="","",Stock!F112)</f>
        <v/>
      </c>
      <c r="J116" s="13" t="str">
        <f>IF(Stock!G112="","",Stock!G112)</f>
        <v/>
      </c>
      <c r="K116" s="13" t="str">
        <f>IF(Stock!H112="","",Stock!H112)</f>
        <v/>
      </c>
      <c r="L116" s="13" t="str">
        <f>IF(Stock!I112="","",Stock!I112)</f>
        <v/>
      </c>
      <c r="M116" s="13" t="str">
        <f>IF(Stock!J112="","",Stock!J112)</f>
        <v/>
      </c>
      <c r="N116" s="13" t="str">
        <f>IF(Stock!K112="","",Stock!K112)</f>
        <v/>
      </c>
      <c r="O116" s="13" t="str">
        <f>IF(Stock!L112="","",Stock!L112)</f>
        <v/>
      </c>
      <c r="P116" s="13" t="str">
        <f>IF(Stock!M112="","",Stock!M112)</f>
        <v/>
      </c>
      <c r="Q116" s="13" t="str">
        <f>IF(Stock!N112="","",Stock!N112)</f>
        <v/>
      </c>
      <c r="R116" s="13" t="str">
        <f>IF(Stock!O112="","",Stock!O112)</f>
        <v/>
      </c>
      <c r="S116" s="13" t="str">
        <f>IF(Stock!P112="","",Stock!P112)</f>
        <v/>
      </c>
      <c r="T116" s="13" t="str">
        <f>IF(Stock!Q112="","",Stock!Q112)</f>
        <v/>
      </c>
      <c r="U116" s="13" t="str">
        <f>IF(Stock!R112="","",Stock!R112)</f>
        <v/>
      </c>
      <c r="V116" s="13" t="str">
        <f>IF(Stock!S112="","",Stock!S112)</f>
        <v/>
      </c>
      <c r="W116" s="13" t="str">
        <f>IF(Stock!T112="","",Stock!T112)</f>
        <v/>
      </c>
      <c r="X116" s="13" t="str">
        <f>IF(Stock!U112="","",Stock!U112)</f>
        <v/>
      </c>
      <c r="Y116" s="13" t="str">
        <f>IF(Stock!V112="","",Stock!V112)</f>
        <v/>
      </c>
      <c r="Z116" s="13" t="str">
        <f>IF(Stock!W112="","",Stock!W112)</f>
        <v/>
      </c>
      <c r="AA116" s="13" t="str">
        <f>IF(Stock!X112="","",Stock!X112)</f>
        <v/>
      </c>
      <c r="AB116" s="13" t="str">
        <f>IF(Stock!Y112="","",Stock!Y112)</f>
        <v/>
      </c>
      <c r="AC116" s="13" t="str">
        <f>IF(Stock!Z112="","",Stock!Z112)</f>
        <v/>
      </c>
      <c r="AD116" s="13" t="str">
        <f>IF(Stock!AA112="","",Stock!AA112)</f>
        <v/>
      </c>
      <c r="AE116" s="13" t="str">
        <f>IF(Stock!AB112="","",Stock!AB112)</f>
        <v/>
      </c>
      <c r="AF116" s="13" t="str">
        <f>IF(Stock!AC112="","",Stock!AC112)</f>
        <v/>
      </c>
      <c r="AG116" s="13" t="str">
        <f>IF(Stock!AD112="","",Stock!AD112)</f>
        <v/>
      </c>
      <c r="AH116" s="13" t="str">
        <f>IF(Stock!AE112="","",Stock!AE112)</f>
        <v/>
      </c>
      <c r="AI116" s="13" t="str">
        <f>IF(Stock!AF112="","",Stock!AF112)</f>
        <v/>
      </c>
      <c r="AJ116" s="13" t="str">
        <f>IF(Stock!AG112="","",Stock!AG112)</f>
        <v/>
      </c>
      <c r="AK116" s="13" t="str">
        <f>IF(Stock!AH112="","",Stock!AH112)</f>
        <v/>
      </c>
      <c r="AL116" s="13" t="str">
        <f>IF(Stock!AI112="","",Stock!AI112)</f>
        <v/>
      </c>
      <c r="AM116" s="13" t="str">
        <f>IF(Stock!AJ112="","",Stock!AJ112)</f>
        <v/>
      </c>
      <c r="AN116" s="13" t="str">
        <f>IF(Stock!AK112="","",Stock!AK112)</f>
        <v/>
      </c>
      <c r="AO116" s="13" t="str">
        <f>IF(Stock!AL112="","",Stock!AL112)</f>
        <v/>
      </c>
      <c r="AP116" s="13" t="str">
        <f>IF(Stock!AM112="","",Stock!AM112)</f>
        <v/>
      </c>
      <c r="AQ116" s="13" t="str">
        <f>IF(Stock!AN112="","",Stock!AN112)</f>
        <v/>
      </c>
      <c r="AR116" s="13" t="str">
        <f>IF(Stock!AO112="","",Stock!AO112)</f>
        <v/>
      </c>
      <c r="AS116" s="13" t="str">
        <f>IF(Stock!AP112="","",Stock!AP112)</f>
        <v/>
      </c>
      <c r="AT116" s="13" t="str">
        <f>IF(Stock!AQ112="","",Stock!AQ112)</f>
        <v/>
      </c>
      <c r="AU116" s="13" t="str">
        <f>IF(Stock!AR112="","",Stock!AR112)</f>
        <v/>
      </c>
      <c r="AV116" s="13" t="str">
        <f>IF(Stock!AS112="","",Stock!AS112)</f>
        <v/>
      </c>
      <c r="AW116" s="13" t="str">
        <f>IF(Stock!AT112="","",Stock!AT112)</f>
        <v/>
      </c>
      <c r="AX116" s="13" t="str">
        <f>IF(Stock!AU112="","",Stock!AU112)</f>
        <v/>
      </c>
      <c r="AY116" s="13" t="str">
        <f>IF(Stock!AV112="","",Stock!AV112)</f>
        <v/>
      </c>
      <c r="AZ116" s="13" t="str">
        <f>IF(Stock!AW112="","",Stock!AW112)</f>
        <v/>
      </c>
      <c r="BA116" s="13" t="str">
        <f>IF(Stock!AX112="","",Stock!AX112)</f>
        <v/>
      </c>
      <c r="BB116" s="13" t="str">
        <f>IF(Stock!AY112="","",Stock!AY112)</f>
        <v/>
      </c>
      <c r="BC116" s="13" t="str">
        <f>IF(Stock!AZ112="","",Stock!AZ112)</f>
        <v/>
      </c>
      <c r="BD116" s="13" t="str">
        <f>IF(Stock!BA112="","",Stock!BA112)</f>
        <v/>
      </c>
      <c r="BE116" s="13" t="str">
        <f>IF(Stock!BB112="","",Stock!BB112)</f>
        <v/>
      </c>
      <c r="BF116" s="13" t="str">
        <f>IF(Stock!BC112="","",Stock!BC112)</f>
        <v/>
      </c>
    </row>
    <row r="117" spans="2:58" ht="14.25" customHeight="1" x14ac:dyDescent="0.3">
      <c r="B117" s="31"/>
      <c r="E117" s="13" t="str">
        <f>IF(Stock!B113="","",Stock!B113)</f>
        <v/>
      </c>
      <c r="F117" s="13" t="str">
        <f>IF(Stock!C113="","",Stock!C113)</f>
        <v/>
      </c>
      <c r="G117" s="13" t="str">
        <f>IF(Stock!D113="","",Stock!D113)</f>
        <v/>
      </c>
      <c r="H117" s="13" t="str">
        <f>IF(Stock!E113="","",Stock!E113)</f>
        <v/>
      </c>
      <c r="I117" s="13" t="str">
        <f>IF(Stock!F113="","",Stock!F113)</f>
        <v/>
      </c>
      <c r="J117" s="13" t="str">
        <f>IF(Stock!G113="","",Stock!G113)</f>
        <v/>
      </c>
      <c r="K117" s="13" t="str">
        <f>IF(Stock!H113="","",Stock!H113)</f>
        <v/>
      </c>
      <c r="L117" s="13" t="str">
        <f>IF(Stock!I113="","",Stock!I113)</f>
        <v/>
      </c>
      <c r="M117" s="13" t="str">
        <f>IF(Stock!J113="","",Stock!J113)</f>
        <v/>
      </c>
      <c r="N117" s="13" t="str">
        <f>IF(Stock!K113="","",Stock!K113)</f>
        <v/>
      </c>
      <c r="O117" s="13" t="str">
        <f>IF(Stock!L113="","",Stock!L113)</f>
        <v/>
      </c>
      <c r="P117" s="13" t="str">
        <f>IF(Stock!M113="","",Stock!M113)</f>
        <v/>
      </c>
      <c r="Q117" s="13" t="str">
        <f>IF(Stock!N113="","",Stock!N113)</f>
        <v/>
      </c>
      <c r="R117" s="13" t="str">
        <f>IF(Stock!O113="","",Stock!O113)</f>
        <v/>
      </c>
      <c r="S117" s="13" t="str">
        <f>IF(Stock!P113="","",Stock!P113)</f>
        <v/>
      </c>
      <c r="T117" s="13" t="str">
        <f>IF(Stock!Q113="","",Stock!Q113)</f>
        <v/>
      </c>
      <c r="U117" s="13" t="str">
        <f>IF(Stock!R113="","",Stock!R113)</f>
        <v/>
      </c>
      <c r="V117" s="13" t="str">
        <f>IF(Stock!S113="","",Stock!S113)</f>
        <v/>
      </c>
      <c r="W117" s="13" t="str">
        <f>IF(Stock!T113="","",Stock!T113)</f>
        <v/>
      </c>
      <c r="X117" s="13" t="str">
        <f>IF(Stock!U113="","",Stock!U113)</f>
        <v/>
      </c>
      <c r="Y117" s="13" t="str">
        <f>IF(Stock!V113="","",Stock!V113)</f>
        <v/>
      </c>
      <c r="Z117" s="13" t="str">
        <f>IF(Stock!W113="","",Stock!W113)</f>
        <v/>
      </c>
      <c r="AA117" s="13" t="str">
        <f>IF(Stock!X113="","",Stock!X113)</f>
        <v/>
      </c>
      <c r="AB117" s="13" t="str">
        <f>IF(Stock!Y113="","",Stock!Y113)</f>
        <v/>
      </c>
      <c r="AC117" s="13" t="str">
        <f>IF(Stock!Z113="","",Stock!Z113)</f>
        <v/>
      </c>
      <c r="AD117" s="13" t="str">
        <f>IF(Stock!AA113="","",Stock!AA113)</f>
        <v/>
      </c>
      <c r="AE117" s="13" t="str">
        <f>IF(Stock!AB113="","",Stock!AB113)</f>
        <v/>
      </c>
      <c r="AF117" s="13" t="str">
        <f>IF(Stock!AC113="","",Stock!AC113)</f>
        <v/>
      </c>
      <c r="AG117" s="13" t="str">
        <f>IF(Stock!AD113="","",Stock!AD113)</f>
        <v/>
      </c>
      <c r="AH117" s="13" t="str">
        <f>IF(Stock!AE113="","",Stock!AE113)</f>
        <v/>
      </c>
      <c r="AI117" s="13" t="str">
        <f>IF(Stock!AF113="","",Stock!AF113)</f>
        <v/>
      </c>
      <c r="AJ117" s="13" t="str">
        <f>IF(Stock!AG113="","",Stock!AG113)</f>
        <v/>
      </c>
      <c r="AK117" s="13" t="str">
        <f>IF(Stock!AH113="","",Stock!AH113)</f>
        <v/>
      </c>
      <c r="AL117" s="13" t="str">
        <f>IF(Stock!AI113="","",Stock!AI113)</f>
        <v/>
      </c>
      <c r="AM117" s="13" t="str">
        <f>IF(Stock!AJ113="","",Stock!AJ113)</f>
        <v/>
      </c>
      <c r="AN117" s="13" t="str">
        <f>IF(Stock!AK113="","",Stock!AK113)</f>
        <v/>
      </c>
      <c r="AO117" s="13" t="str">
        <f>IF(Stock!AL113="","",Stock!AL113)</f>
        <v/>
      </c>
      <c r="AP117" s="13" t="str">
        <f>IF(Stock!AM113="","",Stock!AM113)</f>
        <v/>
      </c>
      <c r="AQ117" s="13" t="str">
        <f>IF(Stock!AN113="","",Stock!AN113)</f>
        <v/>
      </c>
      <c r="AR117" s="13" t="str">
        <f>IF(Stock!AO113="","",Stock!AO113)</f>
        <v/>
      </c>
      <c r="AS117" s="13" t="str">
        <f>IF(Stock!AP113="","",Stock!AP113)</f>
        <v/>
      </c>
      <c r="AT117" s="13" t="str">
        <f>IF(Stock!AQ113="","",Stock!AQ113)</f>
        <v/>
      </c>
      <c r="AU117" s="13" t="str">
        <f>IF(Stock!AR113="","",Stock!AR113)</f>
        <v/>
      </c>
      <c r="AV117" s="13" t="str">
        <f>IF(Stock!AS113="","",Stock!AS113)</f>
        <v/>
      </c>
      <c r="AW117" s="13" t="str">
        <f>IF(Stock!AT113="","",Stock!AT113)</f>
        <v/>
      </c>
      <c r="AX117" s="13" t="str">
        <f>IF(Stock!AU113="","",Stock!AU113)</f>
        <v/>
      </c>
      <c r="AY117" s="13" t="str">
        <f>IF(Stock!AV113="","",Stock!AV113)</f>
        <v/>
      </c>
      <c r="AZ117" s="13" t="str">
        <f>IF(Stock!AW113="","",Stock!AW113)</f>
        <v/>
      </c>
      <c r="BA117" s="13" t="str">
        <f>IF(Stock!AX113="","",Stock!AX113)</f>
        <v/>
      </c>
      <c r="BB117" s="13" t="str">
        <f>IF(Stock!AY113="","",Stock!AY113)</f>
        <v/>
      </c>
      <c r="BC117" s="13" t="str">
        <f>IF(Stock!AZ113="","",Stock!AZ113)</f>
        <v/>
      </c>
      <c r="BD117" s="13" t="str">
        <f>IF(Stock!BA113="","",Stock!BA113)</f>
        <v/>
      </c>
      <c r="BE117" s="13" t="str">
        <f>IF(Stock!BB113="","",Stock!BB113)</f>
        <v/>
      </c>
      <c r="BF117" s="13" t="str">
        <f>IF(Stock!BC113="","",Stock!BC113)</f>
        <v/>
      </c>
    </row>
    <row r="118" spans="2:58" ht="14.25" customHeight="1" x14ac:dyDescent="0.3">
      <c r="B118" s="31"/>
      <c r="E118" s="13" t="str">
        <f>IF(Stock!B114="","",Stock!B114)</f>
        <v/>
      </c>
      <c r="F118" s="13" t="str">
        <f>IF(Stock!C114="","",Stock!C114)</f>
        <v/>
      </c>
      <c r="G118" s="13" t="str">
        <f>IF(Stock!D114="","",Stock!D114)</f>
        <v/>
      </c>
      <c r="H118" s="13" t="str">
        <f>IF(Stock!E114="","",Stock!E114)</f>
        <v/>
      </c>
      <c r="I118" s="13" t="str">
        <f>IF(Stock!F114="","",Stock!F114)</f>
        <v/>
      </c>
      <c r="J118" s="13" t="str">
        <f>IF(Stock!G114="","",Stock!G114)</f>
        <v/>
      </c>
      <c r="K118" s="13" t="str">
        <f>IF(Stock!H114="","",Stock!H114)</f>
        <v/>
      </c>
      <c r="L118" s="13" t="str">
        <f>IF(Stock!I114="","",Stock!I114)</f>
        <v/>
      </c>
      <c r="M118" s="13" t="str">
        <f>IF(Stock!J114="","",Stock!J114)</f>
        <v/>
      </c>
      <c r="N118" s="13" t="str">
        <f>IF(Stock!K114="","",Stock!K114)</f>
        <v/>
      </c>
      <c r="O118" s="13" t="str">
        <f>IF(Stock!L114="","",Stock!L114)</f>
        <v/>
      </c>
      <c r="P118" s="13" t="str">
        <f>IF(Stock!M114="","",Stock!M114)</f>
        <v/>
      </c>
      <c r="Q118" s="13" t="str">
        <f>IF(Stock!N114="","",Stock!N114)</f>
        <v/>
      </c>
      <c r="R118" s="13" t="str">
        <f>IF(Stock!O114="","",Stock!O114)</f>
        <v/>
      </c>
      <c r="S118" s="13" t="str">
        <f>IF(Stock!P114="","",Stock!P114)</f>
        <v/>
      </c>
      <c r="T118" s="13" t="str">
        <f>IF(Stock!Q114="","",Stock!Q114)</f>
        <v/>
      </c>
      <c r="U118" s="13" t="str">
        <f>IF(Stock!R114="","",Stock!R114)</f>
        <v/>
      </c>
      <c r="V118" s="13" t="str">
        <f>IF(Stock!S114="","",Stock!S114)</f>
        <v/>
      </c>
      <c r="W118" s="13" t="str">
        <f>IF(Stock!T114="","",Stock!T114)</f>
        <v/>
      </c>
      <c r="X118" s="13" t="str">
        <f>IF(Stock!U114="","",Stock!U114)</f>
        <v/>
      </c>
      <c r="Y118" s="13" t="str">
        <f>IF(Stock!V114="","",Stock!V114)</f>
        <v/>
      </c>
      <c r="Z118" s="13" t="str">
        <f>IF(Stock!W114="","",Stock!W114)</f>
        <v/>
      </c>
      <c r="AA118" s="13" t="str">
        <f>IF(Stock!X114="","",Stock!X114)</f>
        <v/>
      </c>
      <c r="AB118" s="13" t="str">
        <f>IF(Stock!Y114="","",Stock!Y114)</f>
        <v/>
      </c>
      <c r="AC118" s="13" t="str">
        <f>IF(Stock!Z114="","",Stock!Z114)</f>
        <v/>
      </c>
      <c r="AD118" s="13" t="str">
        <f>IF(Stock!AA114="","",Stock!AA114)</f>
        <v/>
      </c>
      <c r="AE118" s="13" t="str">
        <f>IF(Stock!AB114="","",Stock!AB114)</f>
        <v/>
      </c>
      <c r="AF118" s="13" t="str">
        <f>IF(Stock!AC114="","",Stock!AC114)</f>
        <v/>
      </c>
      <c r="AG118" s="13" t="str">
        <f>IF(Stock!AD114="","",Stock!AD114)</f>
        <v/>
      </c>
      <c r="AH118" s="13" t="str">
        <f>IF(Stock!AE114="","",Stock!AE114)</f>
        <v/>
      </c>
      <c r="AI118" s="13" t="str">
        <f>IF(Stock!AF114="","",Stock!AF114)</f>
        <v/>
      </c>
      <c r="AJ118" s="13" t="str">
        <f>IF(Stock!AG114="","",Stock!AG114)</f>
        <v/>
      </c>
      <c r="AK118" s="13" t="str">
        <f>IF(Stock!AH114="","",Stock!AH114)</f>
        <v/>
      </c>
      <c r="AL118" s="13" t="str">
        <f>IF(Stock!AI114="","",Stock!AI114)</f>
        <v/>
      </c>
      <c r="AM118" s="13" t="str">
        <f>IF(Stock!AJ114="","",Stock!AJ114)</f>
        <v/>
      </c>
      <c r="AN118" s="13" t="str">
        <f>IF(Stock!AK114="","",Stock!AK114)</f>
        <v/>
      </c>
      <c r="AO118" s="13" t="str">
        <f>IF(Stock!AL114="","",Stock!AL114)</f>
        <v/>
      </c>
      <c r="AP118" s="13" t="str">
        <f>IF(Stock!AM114="","",Stock!AM114)</f>
        <v/>
      </c>
      <c r="AQ118" s="13" t="str">
        <f>IF(Stock!AN114="","",Stock!AN114)</f>
        <v/>
      </c>
      <c r="AR118" s="13" t="str">
        <f>IF(Stock!AO114="","",Stock!AO114)</f>
        <v/>
      </c>
      <c r="AS118" s="13" t="str">
        <f>IF(Stock!AP114="","",Stock!AP114)</f>
        <v/>
      </c>
      <c r="AT118" s="13" t="str">
        <f>IF(Stock!AQ114="","",Stock!AQ114)</f>
        <v/>
      </c>
      <c r="AU118" s="13" t="str">
        <f>IF(Stock!AR114="","",Stock!AR114)</f>
        <v/>
      </c>
      <c r="AV118" s="13" t="str">
        <f>IF(Stock!AS114="","",Stock!AS114)</f>
        <v/>
      </c>
      <c r="AW118" s="13" t="str">
        <f>IF(Stock!AT114="","",Stock!AT114)</f>
        <v/>
      </c>
      <c r="AX118" s="13" t="str">
        <f>IF(Stock!AU114="","",Stock!AU114)</f>
        <v/>
      </c>
      <c r="AY118" s="13" t="str">
        <f>IF(Stock!AV114="","",Stock!AV114)</f>
        <v/>
      </c>
      <c r="AZ118" s="13" t="str">
        <f>IF(Stock!AW114="","",Stock!AW114)</f>
        <v/>
      </c>
      <c r="BA118" s="13" t="str">
        <f>IF(Stock!AX114="","",Stock!AX114)</f>
        <v/>
      </c>
      <c r="BB118" s="13" t="str">
        <f>IF(Stock!AY114="","",Stock!AY114)</f>
        <v/>
      </c>
      <c r="BC118" s="13" t="str">
        <f>IF(Stock!AZ114="","",Stock!AZ114)</f>
        <v/>
      </c>
      <c r="BD118" s="13" t="str">
        <f>IF(Stock!BA114="","",Stock!BA114)</f>
        <v/>
      </c>
      <c r="BE118" s="13" t="str">
        <f>IF(Stock!BB114="","",Stock!BB114)</f>
        <v/>
      </c>
      <c r="BF118" s="13" t="str">
        <f>IF(Stock!BC114="","",Stock!BC114)</f>
        <v/>
      </c>
    </row>
    <row r="119" spans="2:58" ht="14.25" customHeight="1" x14ac:dyDescent="0.3">
      <c r="B119" s="31"/>
      <c r="E119" s="13" t="str">
        <f>IF(Stock!B115="","",Stock!B115)</f>
        <v/>
      </c>
      <c r="F119" s="13" t="str">
        <f>IF(Stock!C115="","",Stock!C115)</f>
        <v/>
      </c>
      <c r="G119" s="13" t="str">
        <f>IF(Stock!D115="","",Stock!D115)</f>
        <v/>
      </c>
      <c r="H119" s="13" t="str">
        <f>IF(Stock!E115="","",Stock!E115)</f>
        <v/>
      </c>
      <c r="I119" s="13" t="str">
        <f>IF(Stock!F115="","",Stock!F115)</f>
        <v/>
      </c>
      <c r="J119" s="13" t="str">
        <f>IF(Stock!G115="","",Stock!G115)</f>
        <v/>
      </c>
      <c r="K119" s="13" t="str">
        <f>IF(Stock!H115="","",Stock!H115)</f>
        <v/>
      </c>
      <c r="L119" s="13" t="str">
        <f>IF(Stock!I115="","",Stock!I115)</f>
        <v/>
      </c>
      <c r="M119" s="13" t="str">
        <f>IF(Stock!J115="","",Stock!J115)</f>
        <v/>
      </c>
      <c r="N119" s="13" t="str">
        <f>IF(Stock!K115="","",Stock!K115)</f>
        <v/>
      </c>
      <c r="O119" s="13" t="str">
        <f>IF(Stock!L115="","",Stock!L115)</f>
        <v/>
      </c>
      <c r="P119" s="13" t="str">
        <f>IF(Stock!M115="","",Stock!M115)</f>
        <v/>
      </c>
      <c r="Q119" s="13" t="str">
        <f>IF(Stock!N115="","",Stock!N115)</f>
        <v/>
      </c>
      <c r="R119" s="13" t="str">
        <f>IF(Stock!O115="","",Stock!O115)</f>
        <v/>
      </c>
      <c r="S119" s="13" t="str">
        <f>IF(Stock!P115="","",Stock!P115)</f>
        <v/>
      </c>
      <c r="T119" s="13" t="str">
        <f>IF(Stock!Q115="","",Stock!Q115)</f>
        <v/>
      </c>
      <c r="U119" s="13" t="str">
        <f>IF(Stock!R115="","",Stock!R115)</f>
        <v/>
      </c>
      <c r="V119" s="13" t="str">
        <f>IF(Stock!S115="","",Stock!S115)</f>
        <v/>
      </c>
      <c r="W119" s="13" t="str">
        <f>IF(Stock!T115="","",Stock!T115)</f>
        <v/>
      </c>
      <c r="X119" s="13" t="str">
        <f>IF(Stock!U115="","",Stock!U115)</f>
        <v/>
      </c>
      <c r="Y119" s="13" t="str">
        <f>IF(Stock!V115="","",Stock!V115)</f>
        <v/>
      </c>
      <c r="Z119" s="13" t="str">
        <f>IF(Stock!W115="","",Stock!W115)</f>
        <v/>
      </c>
      <c r="AA119" s="13" t="str">
        <f>IF(Stock!X115="","",Stock!X115)</f>
        <v/>
      </c>
      <c r="AB119" s="13" t="str">
        <f>IF(Stock!Y115="","",Stock!Y115)</f>
        <v/>
      </c>
      <c r="AC119" s="13" t="str">
        <f>IF(Stock!Z115="","",Stock!Z115)</f>
        <v/>
      </c>
      <c r="AD119" s="13" t="str">
        <f>IF(Stock!AA115="","",Stock!AA115)</f>
        <v/>
      </c>
      <c r="AE119" s="13" t="str">
        <f>IF(Stock!AB115="","",Stock!AB115)</f>
        <v/>
      </c>
      <c r="AF119" s="13" t="str">
        <f>IF(Stock!AC115="","",Stock!AC115)</f>
        <v/>
      </c>
      <c r="AG119" s="13" t="str">
        <f>IF(Stock!AD115="","",Stock!AD115)</f>
        <v/>
      </c>
      <c r="AH119" s="13" t="str">
        <f>IF(Stock!AE115="","",Stock!AE115)</f>
        <v/>
      </c>
      <c r="AI119" s="13" t="str">
        <f>IF(Stock!AF115="","",Stock!AF115)</f>
        <v/>
      </c>
      <c r="AJ119" s="13" t="str">
        <f>IF(Stock!AG115="","",Stock!AG115)</f>
        <v/>
      </c>
      <c r="AK119" s="13" t="str">
        <f>IF(Stock!AH115="","",Stock!AH115)</f>
        <v/>
      </c>
      <c r="AL119" s="13" t="str">
        <f>IF(Stock!AI115="","",Stock!AI115)</f>
        <v/>
      </c>
      <c r="AM119" s="13" t="str">
        <f>IF(Stock!AJ115="","",Stock!AJ115)</f>
        <v/>
      </c>
      <c r="AN119" s="13" t="str">
        <f>IF(Stock!AK115="","",Stock!AK115)</f>
        <v/>
      </c>
      <c r="AO119" s="13" t="str">
        <f>IF(Stock!AL115="","",Stock!AL115)</f>
        <v/>
      </c>
      <c r="AP119" s="13" t="str">
        <f>IF(Stock!AM115="","",Stock!AM115)</f>
        <v/>
      </c>
      <c r="AQ119" s="13" t="str">
        <f>IF(Stock!AN115="","",Stock!AN115)</f>
        <v/>
      </c>
      <c r="AR119" s="13" t="str">
        <f>IF(Stock!AO115="","",Stock!AO115)</f>
        <v/>
      </c>
      <c r="AS119" s="13" t="str">
        <f>IF(Stock!AP115="","",Stock!AP115)</f>
        <v/>
      </c>
      <c r="AT119" s="13" t="str">
        <f>IF(Stock!AQ115="","",Stock!AQ115)</f>
        <v/>
      </c>
      <c r="AU119" s="13" t="str">
        <f>IF(Stock!AR115="","",Stock!AR115)</f>
        <v/>
      </c>
      <c r="AV119" s="13" t="str">
        <f>IF(Stock!AS115="","",Stock!AS115)</f>
        <v/>
      </c>
      <c r="AW119" s="13" t="str">
        <f>IF(Stock!AT115="","",Stock!AT115)</f>
        <v/>
      </c>
      <c r="AX119" s="13" t="str">
        <f>IF(Stock!AU115="","",Stock!AU115)</f>
        <v/>
      </c>
      <c r="AY119" s="13" t="str">
        <f>IF(Stock!AV115="","",Stock!AV115)</f>
        <v/>
      </c>
      <c r="AZ119" s="13" t="str">
        <f>IF(Stock!AW115="","",Stock!AW115)</f>
        <v/>
      </c>
      <c r="BA119" s="13" t="str">
        <f>IF(Stock!AX115="","",Stock!AX115)</f>
        <v/>
      </c>
      <c r="BB119" s="13" t="str">
        <f>IF(Stock!AY115="","",Stock!AY115)</f>
        <v/>
      </c>
      <c r="BC119" s="13" t="str">
        <f>IF(Stock!AZ115="","",Stock!AZ115)</f>
        <v/>
      </c>
      <c r="BD119" s="13" t="str">
        <f>IF(Stock!BA115="","",Stock!BA115)</f>
        <v/>
      </c>
      <c r="BE119" s="13" t="str">
        <f>IF(Stock!BB115="","",Stock!BB115)</f>
        <v/>
      </c>
      <c r="BF119" s="13" t="str">
        <f>IF(Stock!BC115="","",Stock!BC115)</f>
        <v/>
      </c>
    </row>
    <row r="120" spans="2:58" ht="14.25" customHeight="1" x14ac:dyDescent="0.3">
      <c r="B120" s="31"/>
      <c r="E120" s="13" t="str">
        <f>IF(Stock!B116="","",Stock!B116)</f>
        <v/>
      </c>
      <c r="F120" s="13" t="str">
        <f>IF(Stock!C116="","",Stock!C116)</f>
        <v/>
      </c>
      <c r="G120" s="13" t="str">
        <f>IF(Stock!D116="","",Stock!D116)</f>
        <v/>
      </c>
      <c r="H120" s="13" t="str">
        <f>IF(Stock!E116="","",Stock!E116)</f>
        <v/>
      </c>
      <c r="I120" s="13" t="str">
        <f>IF(Stock!F116="","",Stock!F116)</f>
        <v/>
      </c>
      <c r="J120" s="13" t="str">
        <f>IF(Stock!G116="","",Stock!G116)</f>
        <v/>
      </c>
      <c r="K120" s="13" t="str">
        <f>IF(Stock!H116="","",Stock!H116)</f>
        <v/>
      </c>
      <c r="L120" s="13" t="str">
        <f>IF(Stock!I116="","",Stock!I116)</f>
        <v/>
      </c>
      <c r="M120" s="13" t="str">
        <f>IF(Stock!J116="","",Stock!J116)</f>
        <v/>
      </c>
      <c r="N120" s="13" t="str">
        <f>IF(Stock!K116="","",Stock!K116)</f>
        <v/>
      </c>
      <c r="O120" s="13" t="str">
        <f>IF(Stock!L116="","",Stock!L116)</f>
        <v/>
      </c>
      <c r="P120" s="13" t="str">
        <f>IF(Stock!M116="","",Stock!M116)</f>
        <v/>
      </c>
      <c r="Q120" s="13" t="str">
        <f>IF(Stock!N116="","",Stock!N116)</f>
        <v/>
      </c>
      <c r="R120" s="13" t="str">
        <f>IF(Stock!O116="","",Stock!O116)</f>
        <v/>
      </c>
      <c r="S120" s="13" t="str">
        <f>IF(Stock!P116="","",Stock!P116)</f>
        <v/>
      </c>
      <c r="T120" s="13" t="str">
        <f>IF(Stock!Q116="","",Stock!Q116)</f>
        <v/>
      </c>
      <c r="U120" s="13" t="str">
        <f>IF(Stock!R116="","",Stock!R116)</f>
        <v/>
      </c>
      <c r="V120" s="13" t="str">
        <f>IF(Stock!S116="","",Stock!S116)</f>
        <v/>
      </c>
      <c r="W120" s="13" t="str">
        <f>IF(Stock!T116="","",Stock!T116)</f>
        <v/>
      </c>
      <c r="X120" s="13" t="str">
        <f>IF(Stock!U116="","",Stock!U116)</f>
        <v/>
      </c>
      <c r="Y120" s="13" t="str">
        <f>IF(Stock!V116="","",Stock!V116)</f>
        <v/>
      </c>
      <c r="Z120" s="13" t="str">
        <f>IF(Stock!W116="","",Stock!W116)</f>
        <v/>
      </c>
      <c r="AA120" s="13" t="str">
        <f>IF(Stock!X116="","",Stock!X116)</f>
        <v/>
      </c>
      <c r="AB120" s="13" t="str">
        <f>IF(Stock!Y116="","",Stock!Y116)</f>
        <v/>
      </c>
      <c r="AC120" s="13" t="str">
        <f>IF(Stock!Z116="","",Stock!Z116)</f>
        <v/>
      </c>
      <c r="AD120" s="13" t="str">
        <f>IF(Stock!AA116="","",Stock!AA116)</f>
        <v/>
      </c>
      <c r="AE120" s="13" t="str">
        <f>IF(Stock!AB116="","",Stock!AB116)</f>
        <v/>
      </c>
      <c r="AF120" s="13" t="str">
        <f>IF(Stock!AC116="","",Stock!AC116)</f>
        <v/>
      </c>
      <c r="AG120" s="13" t="str">
        <f>IF(Stock!AD116="","",Stock!AD116)</f>
        <v/>
      </c>
      <c r="AH120" s="13" t="str">
        <f>IF(Stock!AE116="","",Stock!AE116)</f>
        <v/>
      </c>
      <c r="AI120" s="13" t="str">
        <f>IF(Stock!AF116="","",Stock!AF116)</f>
        <v/>
      </c>
      <c r="AJ120" s="13" t="str">
        <f>IF(Stock!AG116="","",Stock!AG116)</f>
        <v/>
      </c>
      <c r="AK120" s="13" t="str">
        <f>IF(Stock!AH116="","",Stock!AH116)</f>
        <v/>
      </c>
      <c r="AL120" s="13" t="str">
        <f>IF(Stock!AI116="","",Stock!AI116)</f>
        <v/>
      </c>
      <c r="AM120" s="13" t="str">
        <f>IF(Stock!AJ116="","",Stock!AJ116)</f>
        <v/>
      </c>
      <c r="AN120" s="13" t="str">
        <f>IF(Stock!AK116="","",Stock!AK116)</f>
        <v/>
      </c>
      <c r="AO120" s="13" t="str">
        <f>IF(Stock!AL116="","",Stock!AL116)</f>
        <v/>
      </c>
      <c r="AP120" s="13" t="str">
        <f>IF(Stock!AM116="","",Stock!AM116)</f>
        <v/>
      </c>
      <c r="AQ120" s="13" t="str">
        <f>IF(Stock!AN116="","",Stock!AN116)</f>
        <v/>
      </c>
      <c r="AR120" s="13" t="str">
        <f>IF(Stock!AO116="","",Stock!AO116)</f>
        <v/>
      </c>
      <c r="AS120" s="13" t="str">
        <f>IF(Stock!AP116="","",Stock!AP116)</f>
        <v/>
      </c>
      <c r="AT120" s="13" t="str">
        <f>IF(Stock!AQ116="","",Stock!AQ116)</f>
        <v/>
      </c>
      <c r="AU120" s="13" t="str">
        <f>IF(Stock!AR116="","",Stock!AR116)</f>
        <v/>
      </c>
      <c r="AV120" s="13" t="str">
        <f>IF(Stock!AS116="","",Stock!AS116)</f>
        <v/>
      </c>
      <c r="AW120" s="13" t="str">
        <f>IF(Stock!AT116="","",Stock!AT116)</f>
        <v/>
      </c>
      <c r="AX120" s="13" t="str">
        <f>IF(Stock!AU116="","",Stock!AU116)</f>
        <v/>
      </c>
      <c r="AY120" s="13" t="str">
        <f>IF(Stock!AV116="","",Stock!AV116)</f>
        <v/>
      </c>
      <c r="AZ120" s="13" t="str">
        <f>IF(Stock!AW116="","",Stock!AW116)</f>
        <v/>
      </c>
      <c r="BA120" s="13" t="str">
        <f>IF(Stock!AX116="","",Stock!AX116)</f>
        <v/>
      </c>
      <c r="BB120" s="13" t="str">
        <f>IF(Stock!AY116="","",Stock!AY116)</f>
        <v/>
      </c>
      <c r="BC120" s="13" t="str">
        <f>IF(Stock!AZ116="","",Stock!AZ116)</f>
        <v/>
      </c>
      <c r="BD120" s="13" t="str">
        <f>IF(Stock!BA116="","",Stock!BA116)</f>
        <v/>
      </c>
      <c r="BE120" s="13" t="str">
        <f>IF(Stock!BB116="","",Stock!BB116)</f>
        <v/>
      </c>
      <c r="BF120" s="13" t="str">
        <f>IF(Stock!BC116="","",Stock!BC116)</f>
        <v/>
      </c>
    </row>
    <row r="121" spans="2:58" ht="14.25" customHeight="1" x14ac:dyDescent="0.3">
      <c r="B121" s="31"/>
      <c r="E121" s="13" t="str">
        <f>IF(Stock!B117="","",Stock!B117)</f>
        <v/>
      </c>
      <c r="F121" s="13" t="str">
        <f>IF(Stock!C117="","",Stock!C117)</f>
        <v/>
      </c>
      <c r="G121" s="13" t="str">
        <f>IF(Stock!D117="","",Stock!D117)</f>
        <v/>
      </c>
      <c r="H121" s="13" t="str">
        <f>IF(Stock!E117="","",Stock!E117)</f>
        <v/>
      </c>
      <c r="I121" s="13" t="str">
        <f>IF(Stock!F117="","",Stock!F117)</f>
        <v/>
      </c>
      <c r="J121" s="13" t="str">
        <f>IF(Stock!G117="","",Stock!G117)</f>
        <v/>
      </c>
      <c r="K121" s="13" t="str">
        <f>IF(Stock!H117="","",Stock!H117)</f>
        <v/>
      </c>
      <c r="L121" s="13" t="str">
        <f>IF(Stock!I117="","",Stock!I117)</f>
        <v/>
      </c>
      <c r="M121" s="13" t="str">
        <f>IF(Stock!J117="","",Stock!J117)</f>
        <v/>
      </c>
      <c r="N121" s="13" t="str">
        <f>IF(Stock!K117="","",Stock!K117)</f>
        <v/>
      </c>
      <c r="O121" s="13" t="str">
        <f>IF(Stock!L117="","",Stock!L117)</f>
        <v/>
      </c>
      <c r="P121" s="13" t="str">
        <f>IF(Stock!M117="","",Stock!M117)</f>
        <v/>
      </c>
      <c r="Q121" s="13" t="str">
        <f>IF(Stock!N117="","",Stock!N117)</f>
        <v/>
      </c>
      <c r="R121" s="13" t="str">
        <f>IF(Stock!O117="","",Stock!O117)</f>
        <v/>
      </c>
      <c r="S121" s="13" t="str">
        <f>IF(Stock!P117="","",Stock!P117)</f>
        <v/>
      </c>
      <c r="T121" s="13" t="str">
        <f>IF(Stock!Q117="","",Stock!Q117)</f>
        <v/>
      </c>
      <c r="U121" s="13" t="str">
        <f>IF(Stock!R117="","",Stock!R117)</f>
        <v/>
      </c>
      <c r="V121" s="13" t="str">
        <f>IF(Stock!S117="","",Stock!S117)</f>
        <v/>
      </c>
      <c r="W121" s="13" t="str">
        <f>IF(Stock!T117="","",Stock!T117)</f>
        <v/>
      </c>
      <c r="X121" s="13" t="str">
        <f>IF(Stock!U117="","",Stock!U117)</f>
        <v/>
      </c>
      <c r="Y121" s="13" t="str">
        <f>IF(Stock!V117="","",Stock!V117)</f>
        <v/>
      </c>
      <c r="Z121" s="13" t="str">
        <f>IF(Stock!W117="","",Stock!W117)</f>
        <v/>
      </c>
      <c r="AA121" s="13" t="str">
        <f>IF(Stock!X117="","",Stock!X117)</f>
        <v/>
      </c>
      <c r="AB121" s="13" t="str">
        <f>IF(Stock!Y117="","",Stock!Y117)</f>
        <v/>
      </c>
      <c r="AC121" s="13" t="str">
        <f>IF(Stock!Z117="","",Stock!Z117)</f>
        <v/>
      </c>
      <c r="AD121" s="13" t="str">
        <f>IF(Stock!AA117="","",Stock!AA117)</f>
        <v/>
      </c>
      <c r="AE121" s="13" t="str">
        <f>IF(Stock!AB117="","",Stock!AB117)</f>
        <v/>
      </c>
      <c r="AF121" s="13" t="str">
        <f>IF(Stock!AC117="","",Stock!AC117)</f>
        <v/>
      </c>
      <c r="AG121" s="13" t="str">
        <f>IF(Stock!AD117="","",Stock!AD117)</f>
        <v/>
      </c>
      <c r="AH121" s="13" t="str">
        <f>IF(Stock!AE117="","",Stock!AE117)</f>
        <v/>
      </c>
      <c r="AI121" s="13" t="str">
        <f>IF(Stock!AF117="","",Stock!AF117)</f>
        <v/>
      </c>
      <c r="AJ121" s="13" t="str">
        <f>IF(Stock!AG117="","",Stock!AG117)</f>
        <v/>
      </c>
      <c r="AK121" s="13" t="str">
        <f>IF(Stock!AH117="","",Stock!AH117)</f>
        <v/>
      </c>
      <c r="AL121" s="13" t="str">
        <f>IF(Stock!AI117="","",Stock!AI117)</f>
        <v/>
      </c>
      <c r="AM121" s="13" t="str">
        <f>IF(Stock!AJ117="","",Stock!AJ117)</f>
        <v/>
      </c>
      <c r="AN121" s="13" t="str">
        <f>IF(Stock!AK117="","",Stock!AK117)</f>
        <v/>
      </c>
      <c r="AO121" s="13" t="str">
        <f>IF(Stock!AL117="","",Stock!AL117)</f>
        <v/>
      </c>
      <c r="AP121" s="13" t="str">
        <f>IF(Stock!AM117="","",Stock!AM117)</f>
        <v/>
      </c>
      <c r="AQ121" s="13" t="str">
        <f>IF(Stock!AN117="","",Stock!AN117)</f>
        <v/>
      </c>
      <c r="AR121" s="13" t="str">
        <f>IF(Stock!AO117="","",Stock!AO117)</f>
        <v/>
      </c>
      <c r="AS121" s="13" t="str">
        <f>IF(Stock!AP117="","",Stock!AP117)</f>
        <v/>
      </c>
      <c r="AT121" s="13" t="str">
        <f>IF(Stock!AQ117="","",Stock!AQ117)</f>
        <v/>
      </c>
      <c r="AU121" s="13" t="str">
        <f>IF(Stock!AR117="","",Stock!AR117)</f>
        <v/>
      </c>
      <c r="AV121" s="13" t="str">
        <f>IF(Stock!AS117="","",Stock!AS117)</f>
        <v/>
      </c>
      <c r="AW121" s="13" t="str">
        <f>IF(Stock!AT117="","",Stock!AT117)</f>
        <v/>
      </c>
      <c r="AX121" s="13" t="str">
        <f>IF(Stock!AU117="","",Stock!AU117)</f>
        <v/>
      </c>
      <c r="AY121" s="13" t="str">
        <f>IF(Stock!AV117="","",Stock!AV117)</f>
        <v/>
      </c>
      <c r="AZ121" s="13" t="str">
        <f>IF(Stock!AW117="","",Stock!AW117)</f>
        <v/>
      </c>
      <c r="BA121" s="13" t="str">
        <f>IF(Stock!AX117="","",Stock!AX117)</f>
        <v/>
      </c>
      <c r="BB121" s="13" t="str">
        <f>IF(Stock!AY117="","",Stock!AY117)</f>
        <v/>
      </c>
      <c r="BC121" s="13" t="str">
        <f>IF(Stock!AZ117="","",Stock!AZ117)</f>
        <v/>
      </c>
      <c r="BD121" s="13" t="str">
        <f>IF(Stock!BA117="","",Stock!BA117)</f>
        <v/>
      </c>
      <c r="BE121" s="13" t="str">
        <f>IF(Stock!BB117="","",Stock!BB117)</f>
        <v/>
      </c>
      <c r="BF121" s="13" t="str">
        <f>IF(Stock!BC117="","",Stock!BC117)</f>
        <v/>
      </c>
    </row>
    <row r="122" spans="2:58" ht="14.25" customHeight="1" x14ac:dyDescent="0.3">
      <c r="B122" s="31"/>
      <c r="E122" s="13" t="str">
        <f>IF(Stock!B118="","",Stock!B118)</f>
        <v/>
      </c>
      <c r="F122" s="13" t="str">
        <f>IF(Stock!C118="","",Stock!C118)</f>
        <v/>
      </c>
      <c r="G122" s="13" t="str">
        <f>IF(Stock!D118="","",Stock!D118)</f>
        <v/>
      </c>
      <c r="H122" s="13" t="str">
        <f>IF(Stock!E118="","",Stock!E118)</f>
        <v/>
      </c>
      <c r="I122" s="13" t="str">
        <f>IF(Stock!F118="","",Stock!F118)</f>
        <v/>
      </c>
      <c r="J122" s="13" t="str">
        <f>IF(Stock!G118="","",Stock!G118)</f>
        <v/>
      </c>
      <c r="K122" s="13" t="str">
        <f>IF(Stock!H118="","",Stock!H118)</f>
        <v/>
      </c>
      <c r="L122" s="13" t="str">
        <f>IF(Stock!I118="","",Stock!I118)</f>
        <v/>
      </c>
      <c r="M122" s="13" t="str">
        <f>IF(Stock!J118="","",Stock!J118)</f>
        <v/>
      </c>
      <c r="N122" s="13" t="str">
        <f>IF(Stock!K118="","",Stock!K118)</f>
        <v/>
      </c>
      <c r="O122" s="13" t="str">
        <f>IF(Stock!L118="","",Stock!L118)</f>
        <v/>
      </c>
      <c r="P122" s="13" t="str">
        <f>IF(Stock!M118="","",Stock!M118)</f>
        <v/>
      </c>
      <c r="Q122" s="13" t="str">
        <f>IF(Stock!N118="","",Stock!N118)</f>
        <v/>
      </c>
      <c r="R122" s="13" t="str">
        <f>IF(Stock!O118="","",Stock!O118)</f>
        <v/>
      </c>
      <c r="S122" s="13" t="str">
        <f>IF(Stock!P118="","",Stock!P118)</f>
        <v/>
      </c>
      <c r="T122" s="13" t="str">
        <f>IF(Stock!Q118="","",Stock!Q118)</f>
        <v/>
      </c>
      <c r="U122" s="13" t="str">
        <f>IF(Stock!R118="","",Stock!R118)</f>
        <v/>
      </c>
      <c r="V122" s="13" t="str">
        <f>IF(Stock!S118="","",Stock!S118)</f>
        <v/>
      </c>
      <c r="W122" s="13" t="str">
        <f>IF(Stock!T118="","",Stock!T118)</f>
        <v/>
      </c>
      <c r="X122" s="13" t="str">
        <f>IF(Stock!U118="","",Stock!U118)</f>
        <v/>
      </c>
      <c r="Y122" s="13" t="str">
        <f>IF(Stock!V118="","",Stock!V118)</f>
        <v/>
      </c>
      <c r="Z122" s="13" t="str">
        <f>IF(Stock!W118="","",Stock!W118)</f>
        <v/>
      </c>
      <c r="AA122" s="13" t="str">
        <f>IF(Stock!X118="","",Stock!X118)</f>
        <v/>
      </c>
      <c r="AB122" s="13" t="str">
        <f>IF(Stock!Y118="","",Stock!Y118)</f>
        <v/>
      </c>
      <c r="AC122" s="13" t="str">
        <f>IF(Stock!Z118="","",Stock!Z118)</f>
        <v/>
      </c>
      <c r="AD122" s="13" t="str">
        <f>IF(Stock!AA118="","",Stock!AA118)</f>
        <v/>
      </c>
      <c r="AE122" s="13" t="str">
        <f>IF(Stock!AB118="","",Stock!AB118)</f>
        <v/>
      </c>
      <c r="AF122" s="13" t="str">
        <f>IF(Stock!AC118="","",Stock!AC118)</f>
        <v/>
      </c>
      <c r="AG122" s="13" t="str">
        <f>IF(Stock!AD118="","",Stock!AD118)</f>
        <v/>
      </c>
      <c r="AH122" s="13" t="str">
        <f>IF(Stock!AE118="","",Stock!AE118)</f>
        <v/>
      </c>
      <c r="AI122" s="13" t="str">
        <f>IF(Stock!AF118="","",Stock!AF118)</f>
        <v/>
      </c>
      <c r="AJ122" s="13" t="str">
        <f>IF(Stock!AG118="","",Stock!AG118)</f>
        <v/>
      </c>
      <c r="AK122" s="13" t="str">
        <f>IF(Stock!AH118="","",Stock!AH118)</f>
        <v/>
      </c>
      <c r="AL122" s="13" t="str">
        <f>IF(Stock!AI118="","",Stock!AI118)</f>
        <v/>
      </c>
      <c r="AM122" s="13" t="str">
        <f>IF(Stock!AJ118="","",Stock!AJ118)</f>
        <v/>
      </c>
      <c r="AN122" s="13" t="str">
        <f>IF(Stock!AK118="","",Stock!AK118)</f>
        <v/>
      </c>
      <c r="AO122" s="13" t="str">
        <f>IF(Stock!AL118="","",Stock!AL118)</f>
        <v/>
      </c>
      <c r="AP122" s="13" t="str">
        <f>IF(Stock!AM118="","",Stock!AM118)</f>
        <v/>
      </c>
      <c r="AQ122" s="13" t="str">
        <f>IF(Stock!AN118="","",Stock!AN118)</f>
        <v/>
      </c>
      <c r="AR122" s="13" t="str">
        <f>IF(Stock!AO118="","",Stock!AO118)</f>
        <v/>
      </c>
      <c r="AS122" s="13" t="str">
        <f>IF(Stock!AP118="","",Stock!AP118)</f>
        <v/>
      </c>
      <c r="AT122" s="13" t="str">
        <f>IF(Stock!AQ118="","",Stock!AQ118)</f>
        <v/>
      </c>
      <c r="AU122" s="13" t="str">
        <f>IF(Stock!AR118="","",Stock!AR118)</f>
        <v/>
      </c>
      <c r="AV122" s="13" t="str">
        <f>IF(Stock!AS118="","",Stock!AS118)</f>
        <v/>
      </c>
      <c r="AW122" s="13" t="str">
        <f>IF(Stock!AT118="","",Stock!AT118)</f>
        <v/>
      </c>
      <c r="AX122" s="13" t="str">
        <f>IF(Stock!AU118="","",Stock!AU118)</f>
        <v/>
      </c>
      <c r="AY122" s="13" t="str">
        <f>IF(Stock!AV118="","",Stock!AV118)</f>
        <v/>
      </c>
      <c r="AZ122" s="13" t="str">
        <f>IF(Stock!AW118="","",Stock!AW118)</f>
        <v/>
      </c>
      <c r="BA122" s="13" t="str">
        <f>IF(Stock!AX118="","",Stock!AX118)</f>
        <v/>
      </c>
      <c r="BB122" s="13" t="str">
        <f>IF(Stock!AY118="","",Stock!AY118)</f>
        <v/>
      </c>
      <c r="BC122" s="13" t="str">
        <f>IF(Stock!AZ118="","",Stock!AZ118)</f>
        <v/>
      </c>
      <c r="BD122" s="13" t="str">
        <f>IF(Stock!BA118="","",Stock!BA118)</f>
        <v/>
      </c>
      <c r="BE122" s="13" t="str">
        <f>IF(Stock!BB118="","",Stock!BB118)</f>
        <v/>
      </c>
      <c r="BF122" s="13" t="str">
        <f>IF(Stock!BC118="","",Stock!BC118)</f>
        <v/>
      </c>
    </row>
    <row r="123" spans="2:58" ht="14.25" customHeight="1" x14ac:dyDescent="0.3">
      <c r="B123" s="31"/>
      <c r="E123" s="13" t="str">
        <f>IF(Stock!B119="","",Stock!B119)</f>
        <v/>
      </c>
      <c r="F123" s="13" t="str">
        <f>IF(Stock!C119="","",Stock!C119)</f>
        <v/>
      </c>
      <c r="G123" s="13" t="str">
        <f>IF(Stock!D119="","",Stock!D119)</f>
        <v/>
      </c>
      <c r="H123" s="13" t="str">
        <f>IF(Stock!E119="","",Stock!E119)</f>
        <v/>
      </c>
      <c r="I123" s="13" t="str">
        <f>IF(Stock!F119="","",Stock!F119)</f>
        <v/>
      </c>
      <c r="J123" s="13" t="str">
        <f>IF(Stock!G119="","",Stock!G119)</f>
        <v/>
      </c>
      <c r="K123" s="13" t="str">
        <f>IF(Stock!H119="","",Stock!H119)</f>
        <v/>
      </c>
      <c r="L123" s="13" t="str">
        <f>IF(Stock!I119="","",Stock!I119)</f>
        <v/>
      </c>
      <c r="M123" s="13" t="str">
        <f>IF(Stock!J119="","",Stock!J119)</f>
        <v/>
      </c>
      <c r="N123" s="13" t="str">
        <f>IF(Stock!K119="","",Stock!K119)</f>
        <v/>
      </c>
      <c r="O123" s="13" t="str">
        <f>IF(Stock!L119="","",Stock!L119)</f>
        <v/>
      </c>
      <c r="P123" s="13" t="str">
        <f>IF(Stock!M119="","",Stock!M119)</f>
        <v/>
      </c>
      <c r="Q123" s="13" t="str">
        <f>IF(Stock!N119="","",Stock!N119)</f>
        <v/>
      </c>
      <c r="R123" s="13" t="str">
        <f>IF(Stock!O119="","",Stock!O119)</f>
        <v/>
      </c>
      <c r="S123" s="13" t="str">
        <f>IF(Stock!P119="","",Stock!P119)</f>
        <v/>
      </c>
      <c r="T123" s="13" t="str">
        <f>IF(Stock!Q119="","",Stock!Q119)</f>
        <v/>
      </c>
      <c r="U123" s="13" t="str">
        <f>IF(Stock!R119="","",Stock!R119)</f>
        <v/>
      </c>
      <c r="V123" s="13" t="str">
        <f>IF(Stock!S119="","",Stock!S119)</f>
        <v/>
      </c>
      <c r="W123" s="13" t="str">
        <f>IF(Stock!T119="","",Stock!T119)</f>
        <v/>
      </c>
      <c r="X123" s="13" t="str">
        <f>IF(Stock!U119="","",Stock!U119)</f>
        <v/>
      </c>
      <c r="Y123" s="13" t="str">
        <f>IF(Stock!V119="","",Stock!V119)</f>
        <v/>
      </c>
      <c r="Z123" s="13" t="str">
        <f>IF(Stock!W119="","",Stock!W119)</f>
        <v/>
      </c>
      <c r="AA123" s="13" t="str">
        <f>IF(Stock!X119="","",Stock!X119)</f>
        <v/>
      </c>
      <c r="AB123" s="13" t="str">
        <f>IF(Stock!Y119="","",Stock!Y119)</f>
        <v/>
      </c>
      <c r="AC123" s="13" t="str">
        <f>IF(Stock!Z119="","",Stock!Z119)</f>
        <v/>
      </c>
      <c r="AD123" s="13" t="str">
        <f>IF(Stock!AA119="","",Stock!AA119)</f>
        <v/>
      </c>
      <c r="AE123" s="13" t="str">
        <f>IF(Stock!AB119="","",Stock!AB119)</f>
        <v/>
      </c>
      <c r="AF123" s="13" t="str">
        <f>IF(Stock!AC119="","",Stock!AC119)</f>
        <v/>
      </c>
      <c r="AG123" s="13" t="str">
        <f>IF(Stock!AD119="","",Stock!AD119)</f>
        <v/>
      </c>
      <c r="AH123" s="13" t="str">
        <f>IF(Stock!AE119="","",Stock!AE119)</f>
        <v/>
      </c>
      <c r="AI123" s="13" t="str">
        <f>IF(Stock!AF119="","",Stock!AF119)</f>
        <v/>
      </c>
      <c r="AJ123" s="13" t="str">
        <f>IF(Stock!AG119="","",Stock!AG119)</f>
        <v/>
      </c>
      <c r="AK123" s="13" t="str">
        <f>IF(Stock!AH119="","",Stock!AH119)</f>
        <v/>
      </c>
      <c r="AL123" s="13" t="str">
        <f>IF(Stock!AI119="","",Stock!AI119)</f>
        <v/>
      </c>
      <c r="AM123" s="13" t="str">
        <f>IF(Stock!AJ119="","",Stock!AJ119)</f>
        <v/>
      </c>
      <c r="AN123" s="13" t="str">
        <f>IF(Stock!AK119="","",Stock!AK119)</f>
        <v/>
      </c>
      <c r="AO123" s="13" t="str">
        <f>IF(Stock!AL119="","",Stock!AL119)</f>
        <v/>
      </c>
      <c r="AP123" s="13" t="str">
        <f>IF(Stock!AM119="","",Stock!AM119)</f>
        <v/>
      </c>
      <c r="AQ123" s="13" t="str">
        <f>IF(Stock!AN119="","",Stock!AN119)</f>
        <v/>
      </c>
      <c r="AR123" s="13" t="str">
        <f>IF(Stock!AO119="","",Stock!AO119)</f>
        <v/>
      </c>
      <c r="AS123" s="13" t="str">
        <f>IF(Stock!AP119="","",Stock!AP119)</f>
        <v/>
      </c>
      <c r="AT123" s="13" t="str">
        <f>IF(Stock!AQ119="","",Stock!AQ119)</f>
        <v/>
      </c>
      <c r="AU123" s="13" t="str">
        <f>IF(Stock!AR119="","",Stock!AR119)</f>
        <v/>
      </c>
      <c r="AV123" s="13" t="str">
        <f>IF(Stock!AS119="","",Stock!AS119)</f>
        <v/>
      </c>
      <c r="AW123" s="13" t="str">
        <f>IF(Stock!AT119="","",Stock!AT119)</f>
        <v/>
      </c>
      <c r="AX123" s="13" t="str">
        <f>IF(Stock!AU119="","",Stock!AU119)</f>
        <v/>
      </c>
      <c r="AY123" s="13" t="str">
        <f>IF(Stock!AV119="","",Stock!AV119)</f>
        <v/>
      </c>
      <c r="AZ123" s="13" t="str">
        <f>IF(Stock!AW119="","",Stock!AW119)</f>
        <v/>
      </c>
      <c r="BA123" s="13" t="str">
        <f>IF(Stock!AX119="","",Stock!AX119)</f>
        <v/>
      </c>
      <c r="BB123" s="13" t="str">
        <f>IF(Stock!AY119="","",Stock!AY119)</f>
        <v/>
      </c>
      <c r="BC123" s="13" t="str">
        <f>IF(Stock!AZ119="","",Stock!AZ119)</f>
        <v/>
      </c>
      <c r="BD123" s="13" t="str">
        <f>IF(Stock!BA119="","",Stock!BA119)</f>
        <v/>
      </c>
      <c r="BE123" s="13" t="str">
        <f>IF(Stock!BB119="","",Stock!BB119)</f>
        <v/>
      </c>
      <c r="BF123" s="13" t="str">
        <f>IF(Stock!BC119="","",Stock!BC119)</f>
        <v/>
      </c>
    </row>
    <row r="124" spans="2:58" ht="14.25" customHeight="1" x14ac:dyDescent="0.3">
      <c r="B124" s="31"/>
      <c r="E124" s="13" t="str">
        <f>IF(Stock!B120="","",Stock!B120)</f>
        <v/>
      </c>
      <c r="F124" s="13" t="str">
        <f>IF(Stock!C120="","",Stock!C120)</f>
        <v/>
      </c>
      <c r="G124" s="13" t="str">
        <f>IF(Stock!D120="","",Stock!D120)</f>
        <v/>
      </c>
      <c r="H124" s="13" t="str">
        <f>IF(Stock!E120="","",Stock!E120)</f>
        <v/>
      </c>
      <c r="I124" s="13" t="str">
        <f>IF(Stock!F120="","",Stock!F120)</f>
        <v/>
      </c>
      <c r="J124" s="13" t="str">
        <f>IF(Stock!G120="","",Stock!G120)</f>
        <v/>
      </c>
      <c r="K124" s="13" t="str">
        <f>IF(Stock!H120="","",Stock!H120)</f>
        <v/>
      </c>
      <c r="L124" s="13" t="str">
        <f>IF(Stock!I120="","",Stock!I120)</f>
        <v/>
      </c>
      <c r="M124" s="13" t="str">
        <f>IF(Stock!J120="","",Stock!J120)</f>
        <v/>
      </c>
      <c r="N124" s="13" t="str">
        <f>IF(Stock!K120="","",Stock!K120)</f>
        <v/>
      </c>
      <c r="O124" s="13" t="str">
        <f>IF(Stock!L120="","",Stock!L120)</f>
        <v/>
      </c>
      <c r="P124" s="13" t="str">
        <f>IF(Stock!M120="","",Stock!M120)</f>
        <v/>
      </c>
      <c r="Q124" s="13" t="str">
        <f>IF(Stock!N120="","",Stock!N120)</f>
        <v/>
      </c>
      <c r="R124" s="13" t="str">
        <f>IF(Stock!O120="","",Stock!O120)</f>
        <v/>
      </c>
      <c r="S124" s="13" t="str">
        <f>IF(Stock!P120="","",Stock!P120)</f>
        <v/>
      </c>
      <c r="T124" s="13" t="str">
        <f>IF(Stock!Q120="","",Stock!Q120)</f>
        <v/>
      </c>
      <c r="U124" s="13" t="str">
        <f>IF(Stock!R120="","",Stock!R120)</f>
        <v/>
      </c>
      <c r="V124" s="13" t="str">
        <f>IF(Stock!S120="","",Stock!S120)</f>
        <v/>
      </c>
      <c r="W124" s="13" t="str">
        <f>IF(Stock!T120="","",Stock!T120)</f>
        <v/>
      </c>
      <c r="X124" s="13" t="str">
        <f>IF(Stock!U120="","",Stock!U120)</f>
        <v/>
      </c>
      <c r="Y124" s="13" t="str">
        <f>IF(Stock!V120="","",Stock!V120)</f>
        <v/>
      </c>
      <c r="Z124" s="13" t="str">
        <f>IF(Stock!W120="","",Stock!W120)</f>
        <v/>
      </c>
      <c r="AA124" s="13" t="str">
        <f>IF(Stock!X120="","",Stock!X120)</f>
        <v/>
      </c>
      <c r="AB124" s="13" t="str">
        <f>IF(Stock!Y120="","",Stock!Y120)</f>
        <v/>
      </c>
      <c r="AC124" s="13" t="str">
        <f>IF(Stock!Z120="","",Stock!Z120)</f>
        <v/>
      </c>
      <c r="AD124" s="13" t="str">
        <f>IF(Stock!AA120="","",Stock!AA120)</f>
        <v/>
      </c>
      <c r="AE124" s="13" t="str">
        <f>IF(Stock!AB120="","",Stock!AB120)</f>
        <v/>
      </c>
      <c r="AF124" s="13" t="str">
        <f>IF(Stock!AC120="","",Stock!AC120)</f>
        <v/>
      </c>
      <c r="AG124" s="13" t="str">
        <f>IF(Stock!AD120="","",Stock!AD120)</f>
        <v/>
      </c>
      <c r="AH124" s="13" t="str">
        <f>IF(Stock!AE120="","",Stock!AE120)</f>
        <v/>
      </c>
      <c r="AI124" s="13" t="str">
        <f>IF(Stock!AF120="","",Stock!AF120)</f>
        <v/>
      </c>
      <c r="AJ124" s="13" t="str">
        <f>IF(Stock!AG120="","",Stock!AG120)</f>
        <v/>
      </c>
      <c r="AK124" s="13" t="str">
        <f>IF(Stock!AH120="","",Stock!AH120)</f>
        <v/>
      </c>
      <c r="AL124" s="13" t="str">
        <f>IF(Stock!AI120="","",Stock!AI120)</f>
        <v/>
      </c>
      <c r="AM124" s="13" t="str">
        <f>IF(Stock!AJ120="","",Stock!AJ120)</f>
        <v/>
      </c>
      <c r="AN124" s="13" t="str">
        <f>IF(Stock!AK120="","",Stock!AK120)</f>
        <v/>
      </c>
      <c r="AO124" s="13" t="str">
        <f>IF(Stock!AL120="","",Stock!AL120)</f>
        <v/>
      </c>
      <c r="AP124" s="13" t="str">
        <f>IF(Stock!AM120="","",Stock!AM120)</f>
        <v/>
      </c>
      <c r="AQ124" s="13" t="str">
        <f>IF(Stock!AN120="","",Stock!AN120)</f>
        <v/>
      </c>
      <c r="AR124" s="13" t="str">
        <f>IF(Stock!AO120="","",Stock!AO120)</f>
        <v/>
      </c>
      <c r="AS124" s="13" t="str">
        <f>IF(Stock!AP120="","",Stock!AP120)</f>
        <v/>
      </c>
      <c r="AT124" s="13" t="str">
        <f>IF(Stock!AQ120="","",Stock!AQ120)</f>
        <v/>
      </c>
      <c r="AU124" s="13" t="str">
        <f>IF(Stock!AR120="","",Stock!AR120)</f>
        <v/>
      </c>
      <c r="AV124" s="13" t="str">
        <f>IF(Stock!AS120="","",Stock!AS120)</f>
        <v/>
      </c>
      <c r="AW124" s="13" t="str">
        <f>IF(Stock!AT120="","",Stock!AT120)</f>
        <v/>
      </c>
      <c r="AX124" s="13" t="str">
        <f>IF(Stock!AU120="","",Stock!AU120)</f>
        <v/>
      </c>
      <c r="AY124" s="13" t="str">
        <f>IF(Stock!AV120="","",Stock!AV120)</f>
        <v/>
      </c>
      <c r="AZ124" s="13" t="str">
        <f>IF(Stock!AW120="","",Stock!AW120)</f>
        <v/>
      </c>
      <c r="BA124" s="13" t="str">
        <f>IF(Stock!AX120="","",Stock!AX120)</f>
        <v/>
      </c>
      <c r="BB124" s="13" t="str">
        <f>IF(Stock!AY120="","",Stock!AY120)</f>
        <v/>
      </c>
      <c r="BC124" s="13" t="str">
        <f>IF(Stock!AZ120="","",Stock!AZ120)</f>
        <v/>
      </c>
      <c r="BD124" s="13" t="str">
        <f>IF(Stock!BA120="","",Stock!BA120)</f>
        <v/>
      </c>
      <c r="BE124" s="13" t="str">
        <f>IF(Stock!BB120="","",Stock!BB120)</f>
        <v/>
      </c>
      <c r="BF124" s="13" t="str">
        <f>IF(Stock!BC120="","",Stock!BC120)</f>
        <v/>
      </c>
    </row>
    <row r="125" spans="2:58" ht="14.25" customHeight="1" x14ac:dyDescent="0.3">
      <c r="B125" s="31"/>
      <c r="E125" s="13" t="str">
        <f>IF(Stock!B121="","",Stock!B121)</f>
        <v/>
      </c>
      <c r="F125" s="13" t="str">
        <f>IF(Stock!C121="","",Stock!C121)</f>
        <v/>
      </c>
      <c r="G125" s="13" t="str">
        <f>IF(Stock!D121="","",Stock!D121)</f>
        <v/>
      </c>
      <c r="H125" s="13" t="str">
        <f>IF(Stock!E121="","",Stock!E121)</f>
        <v/>
      </c>
      <c r="I125" s="13" t="str">
        <f>IF(Stock!F121="","",Stock!F121)</f>
        <v/>
      </c>
      <c r="J125" s="13" t="str">
        <f>IF(Stock!G121="","",Stock!G121)</f>
        <v/>
      </c>
      <c r="K125" s="13" t="str">
        <f>IF(Stock!H121="","",Stock!H121)</f>
        <v/>
      </c>
      <c r="L125" s="13" t="str">
        <f>IF(Stock!I121="","",Stock!I121)</f>
        <v/>
      </c>
      <c r="M125" s="13" t="str">
        <f>IF(Stock!J121="","",Stock!J121)</f>
        <v/>
      </c>
      <c r="N125" s="13" t="str">
        <f>IF(Stock!K121="","",Stock!K121)</f>
        <v/>
      </c>
      <c r="O125" s="13" t="str">
        <f>IF(Stock!L121="","",Stock!L121)</f>
        <v/>
      </c>
      <c r="P125" s="13" t="str">
        <f>IF(Stock!M121="","",Stock!M121)</f>
        <v/>
      </c>
      <c r="Q125" s="13" t="str">
        <f>IF(Stock!N121="","",Stock!N121)</f>
        <v/>
      </c>
      <c r="R125" s="13" t="str">
        <f>IF(Stock!O121="","",Stock!O121)</f>
        <v/>
      </c>
      <c r="S125" s="13" t="str">
        <f>IF(Stock!P121="","",Stock!P121)</f>
        <v/>
      </c>
      <c r="T125" s="13" t="str">
        <f>IF(Stock!Q121="","",Stock!Q121)</f>
        <v/>
      </c>
      <c r="U125" s="13" t="str">
        <f>IF(Stock!R121="","",Stock!R121)</f>
        <v/>
      </c>
      <c r="V125" s="13" t="str">
        <f>IF(Stock!S121="","",Stock!S121)</f>
        <v/>
      </c>
      <c r="W125" s="13" t="str">
        <f>IF(Stock!T121="","",Stock!T121)</f>
        <v/>
      </c>
      <c r="X125" s="13" t="str">
        <f>IF(Stock!U121="","",Stock!U121)</f>
        <v/>
      </c>
      <c r="Y125" s="13" t="str">
        <f>IF(Stock!V121="","",Stock!V121)</f>
        <v/>
      </c>
      <c r="Z125" s="13" t="str">
        <f>IF(Stock!W121="","",Stock!W121)</f>
        <v/>
      </c>
      <c r="AA125" s="13" t="str">
        <f>IF(Stock!X121="","",Stock!X121)</f>
        <v/>
      </c>
      <c r="AB125" s="13" t="str">
        <f>IF(Stock!Y121="","",Stock!Y121)</f>
        <v/>
      </c>
      <c r="AC125" s="13" t="str">
        <f>IF(Stock!Z121="","",Stock!Z121)</f>
        <v/>
      </c>
      <c r="AD125" s="13" t="str">
        <f>IF(Stock!AA121="","",Stock!AA121)</f>
        <v/>
      </c>
      <c r="AE125" s="13" t="str">
        <f>IF(Stock!AB121="","",Stock!AB121)</f>
        <v/>
      </c>
      <c r="AF125" s="13" t="str">
        <f>IF(Stock!AC121="","",Stock!AC121)</f>
        <v/>
      </c>
      <c r="AG125" s="13" t="str">
        <f>IF(Stock!AD121="","",Stock!AD121)</f>
        <v/>
      </c>
      <c r="AH125" s="13" t="str">
        <f>IF(Stock!AE121="","",Stock!AE121)</f>
        <v/>
      </c>
      <c r="AI125" s="13" t="str">
        <f>IF(Stock!AF121="","",Stock!AF121)</f>
        <v/>
      </c>
      <c r="AJ125" s="13" t="str">
        <f>IF(Stock!AG121="","",Stock!AG121)</f>
        <v/>
      </c>
      <c r="AK125" s="13" t="str">
        <f>IF(Stock!AH121="","",Stock!AH121)</f>
        <v/>
      </c>
      <c r="AL125" s="13" t="str">
        <f>IF(Stock!AI121="","",Stock!AI121)</f>
        <v/>
      </c>
      <c r="AM125" s="13" t="str">
        <f>IF(Stock!AJ121="","",Stock!AJ121)</f>
        <v/>
      </c>
      <c r="AN125" s="13" t="str">
        <f>IF(Stock!AK121="","",Stock!AK121)</f>
        <v/>
      </c>
      <c r="AO125" s="13" t="str">
        <f>IF(Stock!AL121="","",Stock!AL121)</f>
        <v/>
      </c>
      <c r="AP125" s="13" t="str">
        <f>IF(Stock!AM121="","",Stock!AM121)</f>
        <v/>
      </c>
      <c r="AQ125" s="13" t="str">
        <f>IF(Stock!AN121="","",Stock!AN121)</f>
        <v/>
      </c>
      <c r="AR125" s="13" t="str">
        <f>IF(Stock!AO121="","",Stock!AO121)</f>
        <v/>
      </c>
      <c r="AS125" s="13" t="str">
        <f>IF(Stock!AP121="","",Stock!AP121)</f>
        <v/>
      </c>
      <c r="AT125" s="13" t="str">
        <f>IF(Stock!AQ121="","",Stock!AQ121)</f>
        <v/>
      </c>
      <c r="AU125" s="13" t="str">
        <f>IF(Stock!AR121="","",Stock!AR121)</f>
        <v/>
      </c>
      <c r="AV125" s="13" t="str">
        <f>IF(Stock!AS121="","",Stock!AS121)</f>
        <v/>
      </c>
      <c r="AW125" s="13" t="str">
        <f>IF(Stock!AT121="","",Stock!AT121)</f>
        <v/>
      </c>
      <c r="AX125" s="13" t="str">
        <f>IF(Stock!AU121="","",Stock!AU121)</f>
        <v/>
      </c>
      <c r="AY125" s="13" t="str">
        <f>IF(Stock!AV121="","",Stock!AV121)</f>
        <v/>
      </c>
      <c r="AZ125" s="13" t="str">
        <f>IF(Stock!AW121="","",Stock!AW121)</f>
        <v/>
      </c>
      <c r="BA125" s="13" t="str">
        <f>IF(Stock!AX121="","",Stock!AX121)</f>
        <v/>
      </c>
      <c r="BB125" s="13" t="str">
        <f>IF(Stock!AY121="","",Stock!AY121)</f>
        <v/>
      </c>
      <c r="BC125" s="13" t="str">
        <f>IF(Stock!AZ121="","",Stock!AZ121)</f>
        <v/>
      </c>
      <c r="BD125" s="13" t="str">
        <f>IF(Stock!BA121="","",Stock!BA121)</f>
        <v/>
      </c>
      <c r="BE125" s="13" t="str">
        <f>IF(Stock!BB121="","",Stock!BB121)</f>
        <v/>
      </c>
      <c r="BF125" s="13" t="str">
        <f>IF(Stock!BC121="","",Stock!BC121)</f>
        <v/>
      </c>
    </row>
    <row r="126" spans="2:58" ht="14.25" customHeight="1" x14ac:dyDescent="0.3">
      <c r="B126" s="31"/>
      <c r="E126" s="13" t="str">
        <f>IF(Stock!B122="","",Stock!B122)</f>
        <v/>
      </c>
      <c r="F126" s="13" t="str">
        <f>IF(Stock!C122="","",Stock!C122)</f>
        <v/>
      </c>
      <c r="G126" s="13" t="str">
        <f>IF(Stock!D122="","",Stock!D122)</f>
        <v/>
      </c>
      <c r="H126" s="13" t="str">
        <f>IF(Stock!E122="","",Stock!E122)</f>
        <v/>
      </c>
      <c r="I126" s="13" t="str">
        <f>IF(Stock!F122="","",Stock!F122)</f>
        <v/>
      </c>
      <c r="J126" s="13" t="str">
        <f>IF(Stock!G122="","",Stock!G122)</f>
        <v/>
      </c>
      <c r="K126" s="13" t="str">
        <f>IF(Stock!H122="","",Stock!H122)</f>
        <v/>
      </c>
      <c r="L126" s="13" t="str">
        <f>IF(Stock!I122="","",Stock!I122)</f>
        <v/>
      </c>
      <c r="M126" s="13" t="str">
        <f>IF(Stock!J122="","",Stock!J122)</f>
        <v/>
      </c>
      <c r="N126" s="13" t="str">
        <f>IF(Stock!K122="","",Stock!K122)</f>
        <v/>
      </c>
      <c r="O126" s="13" t="str">
        <f>IF(Stock!L122="","",Stock!L122)</f>
        <v/>
      </c>
      <c r="P126" s="13" t="str">
        <f>IF(Stock!M122="","",Stock!M122)</f>
        <v/>
      </c>
      <c r="Q126" s="13" t="str">
        <f>IF(Stock!N122="","",Stock!N122)</f>
        <v/>
      </c>
      <c r="R126" s="13" t="str">
        <f>IF(Stock!O122="","",Stock!O122)</f>
        <v/>
      </c>
      <c r="S126" s="13" t="str">
        <f>IF(Stock!P122="","",Stock!P122)</f>
        <v/>
      </c>
      <c r="T126" s="13" t="str">
        <f>IF(Stock!Q122="","",Stock!Q122)</f>
        <v/>
      </c>
      <c r="U126" s="13" t="str">
        <f>IF(Stock!R122="","",Stock!R122)</f>
        <v/>
      </c>
      <c r="V126" s="13" t="str">
        <f>IF(Stock!S122="","",Stock!S122)</f>
        <v/>
      </c>
      <c r="W126" s="13" t="str">
        <f>IF(Stock!T122="","",Stock!T122)</f>
        <v/>
      </c>
      <c r="X126" s="13" t="str">
        <f>IF(Stock!U122="","",Stock!U122)</f>
        <v/>
      </c>
      <c r="Y126" s="13" t="str">
        <f>IF(Stock!V122="","",Stock!V122)</f>
        <v/>
      </c>
      <c r="Z126" s="13" t="str">
        <f>IF(Stock!W122="","",Stock!W122)</f>
        <v/>
      </c>
      <c r="AA126" s="13" t="str">
        <f>IF(Stock!X122="","",Stock!X122)</f>
        <v/>
      </c>
      <c r="AB126" s="13" t="str">
        <f>IF(Stock!Y122="","",Stock!Y122)</f>
        <v/>
      </c>
      <c r="AC126" s="13" t="str">
        <f>IF(Stock!Z122="","",Stock!Z122)</f>
        <v/>
      </c>
      <c r="AD126" s="13" t="str">
        <f>IF(Stock!AA122="","",Stock!AA122)</f>
        <v/>
      </c>
      <c r="AE126" s="13" t="str">
        <f>IF(Stock!AB122="","",Stock!AB122)</f>
        <v/>
      </c>
      <c r="AF126" s="13" t="str">
        <f>IF(Stock!AC122="","",Stock!AC122)</f>
        <v/>
      </c>
      <c r="AG126" s="13" t="str">
        <f>IF(Stock!AD122="","",Stock!AD122)</f>
        <v/>
      </c>
      <c r="AH126" s="13" t="str">
        <f>IF(Stock!AE122="","",Stock!AE122)</f>
        <v/>
      </c>
      <c r="AI126" s="13" t="str">
        <f>IF(Stock!AF122="","",Stock!AF122)</f>
        <v/>
      </c>
      <c r="AJ126" s="13" t="str">
        <f>IF(Stock!AG122="","",Stock!AG122)</f>
        <v/>
      </c>
      <c r="AK126" s="13" t="str">
        <f>IF(Stock!AH122="","",Stock!AH122)</f>
        <v/>
      </c>
      <c r="AL126" s="13" t="str">
        <f>IF(Stock!AI122="","",Stock!AI122)</f>
        <v/>
      </c>
      <c r="AM126" s="13" t="str">
        <f>IF(Stock!AJ122="","",Stock!AJ122)</f>
        <v/>
      </c>
      <c r="AN126" s="13" t="str">
        <f>IF(Stock!AK122="","",Stock!AK122)</f>
        <v/>
      </c>
      <c r="AO126" s="13" t="str">
        <f>IF(Stock!AL122="","",Stock!AL122)</f>
        <v/>
      </c>
      <c r="AP126" s="13" t="str">
        <f>IF(Stock!AM122="","",Stock!AM122)</f>
        <v/>
      </c>
      <c r="AQ126" s="13" t="str">
        <f>IF(Stock!AN122="","",Stock!AN122)</f>
        <v/>
      </c>
      <c r="AR126" s="13" t="str">
        <f>IF(Stock!AO122="","",Stock!AO122)</f>
        <v/>
      </c>
      <c r="AS126" s="13" t="str">
        <f>IF(Stock!AP122="","",Stock!AP122)</f>
        <v/>
      </c>
      <c r="AT126" s="13" t="str">
        <f>IF(Stock!AQ122="","",Stock!AQ122)</f>
        <v/>
      </c>
      <c r="AU126" s="13" t="str">
        <f>IF(Stock!AR122="","",Stock!AR122)</f>
        <v/>
      </c>
      <c r="AV126" s="13" t="str">
        <f>IF(Stock!AS122="","",Stock!AS122)</f>
        <v/>
      </c>
      <c r="AW126" s="13" t="str">
        <f>IF(Stock!AT122="","",Stock!AT122)</f>
        <v/>
      </c>
      <c r="AX126" s="13" t="str">
        <f>IF(Stock!AU122="","",Stock!AU122)</f>
        <v/>
      </c>
      <c r="AY126" s="13" t="str">
        <f>IF(Stock!AV122="","",Stock!AV122)</f>
        <v/>
      </c>
      <c r="AZ126" s="13" t="str">
        <f>IF(Stock!AW122="","",Stock!AW122)</f>
        <v/>
      </c>
      <c r="BA126" s="13" t="str">
        <f>IF(Stock!AX122="","",Stock!AX122)</f>
        <v/>
      </c>
      <c r="BB126" s="13" t="str">
        <f>IF(Stock!AY122="","",Stock!AY122)</f>
        <v/>
      </c>
      <c r="BC126" s="13" t="str">
        <f>IF(Stock!AZ122="","",Stock!AZ122)</f>
        <v/>
      </c>
      <c r="BD126" s="13" t="str">
        <f>IF(Stock!BA122="","",Stock!BA122)</f>
        <v/>
      </c>
      <c r="BE126" s="13" t="str">
        <f>IF(Stock!BB122="","",Stock!BB122)</f>
        <v/>
      </c>
      <c r="BF126" s="13" t="str">
        <f>IF(Stock!BC122="","",Stock!BC122)</f>
        <v/>
      </c>
    </row>
    <row r="127" spans="2:58" ht="14.25" customHeight="1" x14ac:dyDescent="0.3">
      <c r="B127" s="31"/>
      <c r="E127" s="13" t="str">
        <f>IF(Stock!B123="","",Stock!B123)</f>
        <v/>
      </c>
      <c r="F127" s="13" t="str">
        <f>IF(Stock!C123="","",Stock!C123)</f>
        <v/>
      </c>
      <c r="G127" s="13" t="str">
        <f>IF(Stock!D123="","",Stock!D123)</f>
        <v/>
      </c>
      <c r="H127" s="13" t="str">
        <f>IF(Stock!E123="","",Stock!E123)</f>
        <v/>
      </c>
      <c r="I127" s="13" t="str">
        <f>IF(Stock!F123="","",Stock!F123)</f>
        <v/>
      </c>
      <c r="J127" s="13" t="str">
        <f>IF(Stock!G123="","",Stock!G123)</f>
        <v/>
      </c>
      <c r="K127" s="13" t="str">
        <f>IF(Stock!H123="","",Stock!H123)</f>
        <v/>
      </c>
      <c r="L127" s="13" t="str">
        <f>IF(Stock!I123="","",Stock!I123)</f>
        <v/>
      </c>
      <c r="M127" s="13" t="str">
        <f>IF(Stock!J123="","",Stock!J123)</f>
        <v/>
      </c>
      <c r="N127" s="13" t="str">
        <f>IF(Stock!K123="","",Stock!K123)</f>
        <v/>
      </c>
      <c r="O127" s="13" t="str">
        <f>IF(Stock!L123="","",Stock!L123)</f>
        <v/>
      </c>
      <c r="P127" s="13" t="str">
        <f>IF(Stock!M123="","",Stock!M123)</f>
        <v/>
      </c>
      <c r="Q127" s="13" t="str">
        <f>IF(Stock!N123="","",Stock!N123)</f>
        <v/>
      </c>
      <c r="R127" s="13" t="str">
        <f>IF(Stock!O123="","",Stock!O123)</f>
        <v/>
      </c>
      <c r="S127" s="13" t="str">
        <f>IF(Stock!P123="","",Stock!P123)</f>
        <v/>
      </c>
      <c r="T127" s="13" t="str">
        <f>IF(Stock!Q123="","",Stock!Q123)</f>
        <v/>
      </c>
      <c r="U127" s="13" t="str">
        <f>IF(Stock!R123="","",Stock!R123)</f>
        <v/>
      </c>
      <c r="V127" s="13" t="str">
        <f>IF(Stock!S123="","",Stock!S123)</f>
        <v/>
      </c>
      <c r="W127" s="13" t="str">
        <f>IF(Stock!T123="","",Stock!T123)</f>
        <v/>
      </c>
      <c r="X127" s="13" t="str">
        <f>IF(Stock!U123="","",Stock!U123)</f>
        <v/>
      </c>
      <c r="Y127" s="13" t="str">
        <f>IF(Stock!V123="","",Stock!V123)</f>
        <v/>
      </c>
      <c r="Z127" s="13" t="str">
        <f>IF(Stock!W123="","",Stock!W123)</f>
        <v/>
      </c>
      <c r="AA127" s="13" t="str">
        <f>IF(Stock!X123="","",Stock!X123)</f>
        <v/>
      </c>
      <c r="AB127" s="13" t="str">
        <f>IF(Stock!Y123="","",Stock!Y123)</f>
        <v/>
      </c>
      <c r="AC127" s="13" t="str">
        <f>IF(Stock!Z123="","",Stock!Z123)</f>
        <v/>
      </c>
      <c r="AD127" s="13" t="str">
        <f>IF(Stock!AA123="","",Stock!AA123)</f>
        <v/>
      </c>
      <c r="AE127" s="13" t="str">
        <f>IF(Stock!AB123="","",Stock!AB123)</f>
        <v/>
      </c>
      <c r="AF127" s="13" t="str">
        <f>IF(Stock!AC123="","",Stock!AC123)</f>
        <v/>
      </c>
      <c r="AG127" s="13" t="str">
        <f>IF(Stock!AD123="","",Stock!AD123)</f>
        <v/>
      </c>
      <c r="AH127" s="13" t="str">
        <f>IF(Stock!AE123="","",Stock!AE123)</f>
        <v/>
      </c>
      <c r="AI127" s="13" t="str">
        <f>IF(Stock!AF123="","",Stock!AF123)</f>
        <v/>
      </c>
      <c r="AJ127" s="13" t="str">
        <f>IF(Stock!AG123="","",Stock!AG123)</f>
        <v/>
      </c>
      <c r="AK127" s="13" t="str">
        <f>IF(Stock!AH123="","",Stock!AH123)</f>
        <v/>
      </c>
      <c r="AL127" s="13" t="str">
        <f>IF(Stock!AI123="","",Stock!AI123)</f>
        <v/>
      </c>
      <c r="AM127" s="13" t="str">
        <f>IF(Stock!AJ123="","",Stock!AJ123)</f>
        <v/>
      </c>
      <c r="AN127" s="13" t="str">
        <f>IF(Stock!AK123="","",Stock!AK123)</f>
        <v/>
      </c>
      <c r="AO127" s="13" t="str">
        <f>IF(Stock!AL123="","",Stock!AL123)</f>
        <v/>
      </c>
      <c r="AP127" s="13" t="str">
        <f>IF(Stock!AM123="","",Stock!AM123)</f>
        <v/>
      </c>
      <c r="AQ127" s="13" t="str">
        <f>IF(Stock!AN123="","",Stock!AN123)</f>
        <v/>
      </c>
      <c r="AR127" s="13" t="str">
        <f>IF(Stock!AO123="","",Stock!AO123)</f>
        <v/>
      </c>
      <c r="AS127" s="13" t="str">
        <f>IF(Stock!AP123="","",Stock!AP123)</f>
        <v/>
      </c>
      <c r="AT127" s="13" t="str">
        <f>IF(Stock!AQ123="","",Stock!AQ123)</f>
        <v/>
      </c>
      <c r="AU127" s="13" t="str">
        <f>IF(Stock!AR123="","",Stock!AR123)</f>
        <v/>
      </c>
      <c r="AV127" s="13" t="str">
        <f>IF(Stock!AS123="","",Stock!AS123)</f>
        <v/>
      </c>
      <c r="AW127" s="13" t="str">
        <f>IF(Stock!AT123="","",Stock!AT123)</f>
        <v/>
      </c>
      <c r="AX127" s="13" t="str">
        <f>IF(Stock!AU123="","",Stock!AU123)</f>
        <v/>
      </c>
      <c r="AY127" s="13" t="str">
        <f>IF(Stock!AV123="","",Stock!AV123)</f>
        <v/>
      </c>
      <c r="AZ127" s="13" t="str">
        <f>IF(Stock!AW123="","",Stock!AW123)</f>
        <v/>
      </c>
      <c r="BA127" s="13" t="str">
        <f>IF(Stock!AX123="","",Stock!AX123)</f>
        <v/>
      </c>
      <c r="BB127" s="13" t="str">
        <f>IF(Stock!AY123="","",Stock!AY123)</f>
        <v/>
      </c>
      <c r="BC127" s="13" t="str">
        <f>IF(Stock!AZ123="","",Stock!AZ123)</f>
        <v/>
      </c>
      <c r="BD127" s="13" t="str">
        <f>IF(Stock!BA123="","",Stock!BA123)</f>
        <v/>
      </c>
      <c r="BE127" s="13" t="str">
        <f>IF(Stock!BB123="","",Stock!BB123)</f>
        <v/>
      </c>
      <c r="BF127" s="13" t="str">
        <f>IF(Stock!BC123="","",Stock!BC123)</f>
        <v/>
      </c>
    </row>
    <row r="128" spans="2:58" ht="14.25" customHeight="1" x14ac:dyDescent="0.3">
      <c r="B128" s="31"/>
      <c r="E128" s="13" t="str">
        <f>IF(Stock!B124="","",Stock!B124)</f>
        <v/>
      </c>
      <c r="F128" s="13" t="str">
        <f>IF(Stock!C124="","",Stock!C124)</f>
        <v/>
      </c>
      <c r="G128" s="13" t="str">
        <f>IF(Stock!D124="","",Stock!D124)</f>
        <v/>
      </c>
      <c r="H128" s="13" t="str">
        <f>IF(Stock!E124="","",Stock!E124)</f>
        <v/>
      </c>
      <c r="I128" s="13" t="str">
        <f>IF(Stock!F124="","",Stock!F124)</f>
        <v/>
      </c>
      <c r="J128" s="13" t="str">
        <f>IF(Stock!G124="","",Stock!G124)</f>
        <v/>
      </c>
      <c r="K128" s="13" t="str">
        <f>IF(Stock!H124="","",Stock!H124)</f>
        <v/>
      </c>
      <c r="L128" s="13" t="str">
        <f>IF(Stock!I124="","",Stock!I124)</f>
        <v/>
      </c>
      <c r="M128" s="13" t="str">
        <f>IF(Stock!J124="","",Stock!J124)</f>
        <v/>
      </c>
      <c r="N128" s="13" t="str">
        <f>IF(Stock!K124="","",Stock!K124)</f>
        <v/>
      </c>
      <c r="O128" s="13" t="str">
        <f>IF(Stock!L124="","",Stock!L124)</f>
        <v/>
      </c>
      <c r="P128" s="13" t="str">
        <f>IF(Stock!M124="","",Stock!M124)</f>
        <v/>
      </c>
      <c r="Q128" s="13" t="str">
        <f>IF(Stock!N124="","",Stock!N124)</f>
        <v/>
      </c>
      <c r="R128" s="13" t="str">
        <f>IF(Stock!O124="","",Stock!O124)</f>
        <v/>
      </c>
      <c r="S128" s="13" t="str">
        <f>IF(Stock!P124="","",Stock!P124)</f>
        <v/>
      </c>
      <c r="T128" s="13" t="str">
        <f>IF(Stock!Q124="","",Stock!Q124)</f>
        <v/>
      </c>
      <c r="U128" s="13" t="str">
        <f>IF(Stock!R124="","",Stock!R124)</f>
        <v/>
      </c>
      <c r="V128" s="13" t="str">
        <f>IF(Stock!S124="","",Stock!S124)</f>
        <v/>
      </c>
      <c r="W128" s="13" t="str">
        <f>IF(Stock!T124="","",Stock!T124)</f>
        <v/>
      </c>
      <c r="X128" s="13" t="str">
        <f>IF(Stock!U124="","",Stock!U124)</f>
        <v/>
      </c>
      <c r="Y128" s="13" t="str">
        <f>IF(Stock!V124="","",Stock!V124)</f>
        <v/>
      </c>
      <c r="Z128" s="13" t="str">
        <f>IF(Stock!W124="","",Stock!W124)</f>
        <v/>
      </c>
      <c r="AA128" s="13" t="str">
        <f>IF(Stock!X124="","",Stock!X124)</f>
        <v/>
      </c>
      <c r="AB128" s="13" t="str">
        <f>IF(Stock!Y124="","",Stock!Y124)</f>
        <v/>
      </c>
      <c r="AC128" s="13" t="str">
        <f>IF(Stock!Z124="","",Stock!Z124)</f>
        <v/>
      </c>
      <c r="AD128" s="13" t="str">
        <f>IF(Stock!AA124="","",Stock!AA124)</f>
        <v/>
      </c>
      <c r="AE128" s="13" t="str">
        <f>IF(Stock!AB124="","",Stock!AB124)</f>
        <v/>
      </c>
      <c r="AF128" s="13" t="str">
        <f>IF(Stock!AC124="","",Stock!AC124)</f>
        <v/>
      </c>
      <c r="AG128" s="13" t="str">
        <f>IF(Stock!AD124="","",Stock!AD124)</f>
        <v/>
      </c>
      <c r="AH128" s="13" t="str">
        <f>IF(Stock!AE124="","",Stock!AE124)</f>
        <v/>
      </c>
      <c r="AI128" s="13" t="str">
        <f>IF(Stock!AF124="","",Stock!AF124)</f>
        <v/>
      </c>
      <c r="AJ128" s="13" t="str">
        <f>IF(Stock!AG124="","",Stock!AG124)</f>
        <v/>
      </c>
      <c r="AK128" s="13" t="str">
        <f>IF(Stock!AH124="","",Stock!AH124)</f>
        <v/>
      </c>
      <c r="AL128" s="13" t="str">
        <f>IF(Stock!AI124="","",Stock!AI124)</f>
        <v/>
      </c>
      <c r="AM128" s="13" t="str">
        <f>IF(Stock!AJ124="","",Stock!AJ124)</f>
        <v/>
      </c>
      <c r="AN128" s="13" t="str">
        <f>IF(Stock!AK124="","",Stock!AK124)</f>
        <v/>
      </c>
      <c r="AO128" s="13" t="str">
        <f>IF(Stock!AL124="","",Stock!AL124)</f>
        <v/>
      </c>
      <c r="AP128" s="13" t="str">
        <f>IF(Stock!AM124="","",Stock!AM124)</f>
        <v/>
      </c>
      <c r="AQ128" s="13" t="str">
        <f>IF(Stock!AN124="","",Stock!AN124)</f>
        <v/>
      </c>
      <c r="AR128" s="13" t="str">
        <f>IF(Stock!AO124="","",Stock!AO124)</f>
        <v/>
      </c>
      <c r="AS128" s="13" t="str">
        <f>IF(Stock!AP124="","",Stock!AP124)</f>
        <v/>
      </c>
      <c r="AT128" s="13" t="str">
        <f>IF(Stock!AQ124="","",Stock!AQ124)</f>
        <v/>
      </c>
      <c r="AU128" s="13" t="str">
        <f>IF(Stock!AR124="","",Stock!AR124)</f>
        <v/>
      </c>
      <c r="AV128" s="13" t="str">
        <f>IF(Stock!AS124="","",Stock!AS124)</f>
        <v/>
      </c>
      <c r="AW128" s="13" t="str">
        <f>IF(Stock!AT124="","",Stock!AT124)</f>
        <v/>
      </c>
      <c r="AX128" s="13" t="str">
        <f>IF(Stock!AU124="","",Stock!AU124)</f>
        <v/>
      </c>
      <c r="AY128" s="13" t="str">
        <f>IF(Stock!AV124="","",Stock!AV124)</f>
        <v/>
      </c>
      <c r="AZ128" s="13" t="str">
        <f>IF(Stock!AW124="","",Stock!AW124)</f>
        <v/>
      </c>
      <c r="BA128" s="13" t="str">
        <f>IF(Stock!AX124="","",Stock!AX124)</f>
        <v/>
      </c>
      <c r="BB128" s="13" t="str">
        <f>IF(Stock!AY124="","",Stock!AY124)</f>
        <v/>
      </c>
      <c r="BC128" s="13" t="str">
        <f>IF(Stock!AZ124="","",Stock!AZ124)</f>
        <v/>
      </c>
      <c r="BD128" s="13" t="str">
        <f>IF(Stock!BA124="","",Stock!BA124)</f>
        <v/>
      </c>
      <c r="BE128" s="13" t="str">
        <f>IF(Stock!BB124="","",Stock!BB124)</f>
        <v/>
      </c>
      <c r="BF128" s="13" t="str">
        <f>IF(Stock!BC124="","",Stock!BC124)</f>
        <v/>
      </c>
    </row>
    <row r="129" spans="2:58" ht="14.25" customHeight="1" x14ac:dyDescent="0.3">
      <c r="B129" s="31"/>
      <c r="E129" s="13" t="str">
        <f>IF(Stock!B125="","",Stock!B125)</f>
        <v/>
      </c>
      <c r="F129" s="13" t="str">
        <f>IF(Stock!C125="","",Stock!C125)</f>
        <v/>
      </c>
      <c r="G129" s="13" t="str">
        <f>IF(Stock!D125="","",Stock!D125)</f>
        <v/>
      </c>
      <c r="H129" s="13" t="str">
        <f>IF(Stock!E125="","",Stock!E125)</f>
        <v/>
      </c>
      <c r="I129" s="13" t="str">
        <f>IF(Stock!F125="","",Stock!F125)</f>
        <v/>
      </c>
      <c r="J129" s="13" t="str">
        <f>IF(Stock!G125="","",Stock!G125)</f>
        <v/>
      </c>
      <c r="K129" s="13" t="str">
        <f>IF(Stock!H125="","",Stock!H125)</f>
        <v/>
      </c>
      <c r="L129" s="13" t="str">
        <f>IF(Stock!I125="","",Stock!I125)</f>
        <v/>
      </c>
      <c r="M129" s="13" t="str">
        <f>IF(Stock!J125="","",Stock!J125)</f>
        <v/>
      </c>
      <c r="N129" s="13" t="str">
        <f>IF(Stock!K125="","",Stock!K125)</f>
        <v/>
      </c>
      <c r="O129" s="13" t="str">
        <f>IF(Stock!L125="","",Stock!L125)</f>
        <v/>
      </c>
      <c r="P129" s="13" t="str">
        <f>IF(Stock!M125="","",Stock!M125)</f>
        <v/>
      </c>
      <c r="Q129" s="13" t="str">
        <f>IF(Stock!N125="","",Stock!N125)</f>
        <v/>
      </c>
      <c r="R129" s="13" t="str">
        <f>IF(Stock!O125="","",Stock!O125)</f>
        <v/>
      </c>
      <c r="S129" s="13" t="str">
        <f>IF(Stock!P125="","",Stock!P125)</f>
        <v/>
      </c>
      <c r="T129" s="13" t="str">
        <f>IF(Stock!Q125="","",Stock!Q125)</f>
        <v/>
      </c>
      <c r="U129" s="13" t="str">
        <f>IF(Stock!R125="","",Stock!R125)</f>
        <v/>
      </c>
      <c r="V129" s="13" t="str">
        <f>IF(Stock!S125="","",Stock!S125)</f>
        <v/>
      </c>
      <c r="W129" s="13" t="str">
        <f>IF(Stock!T125="","",Stock!T125)</f>
        <v/>
      </c>
      <c r="X129" s="13" t="str">
        <f>IF(Stock!U125="","",Stock!U125)</f>
        <v/>
      </c>
      <c r="Y129" s="13" t="str">
        <f>IF(Stock!V125="","",Stock!V125)</f>
        <v/>
      </c>
      <c r="Z129" s="13" t="str">
        <f>IF(Stock!W125="","",Stock!W125)</f>
        <v/>
      </c>
      <c r="AA129" s="13" t="str">
        <f>IF(Stock!X125="","",Stock!X125)</f>
        <v/>
      </c>
      <c r="AB129" s="13" t="str">
        <f>IF(Stock!Y125="","",Stock!Y125)</f>
        <v/>
      </c>
      <c r="AC129" s="13" t="str">
        <f>IF(Stock!Z125="","",Stock!Z125)</f>
        <v/>
      </c>
      <c r="AD129" s="13" t="str">
        <f>IF(Stock!AA125="","",Stock!AA125)</f>
        <v/>
      </c>
      <c r="AE129" s="13" t="str">
        <f>IF(Stock!AB125="","",Stock!AB125)</f>
        <v/>
      </c>
      <c r="AF129" s="13" t="str">
        <f>IF(Stock!AC125="","",Stock!AC125)</f>
        <v/>
      </c>
      <c r="AG129" s="13" t="str">
        <f>IF(Stock!AD125="","",Stock!AD125)</f>
        <v/>
      </c>
      <c r="AH129" s="13" t="str">
        <f>IF(Stock!AE125="","",Stock!AE125)</f>
        <v/>
      </c>
      <c r="AI129" s="13" t="str">
        <f>IF(Stock!AF125="","",Stock!AF125)</f>
        <v/>
      </c>
      <c r="AJ129" s="13" t="str">
        <f>IF(Stock!AG125="","",Stock!AG125)</f>
        <v/>
      </c>
      <c r="AK129" s="13" t="str">
        <f>IF(Stock!AH125="","",Stock!AH125)</f>
        <v/>
      </c>
      <c r="AL129" s="13" t="str">
        <f>IF(Stock!AI125="","",Stock!AI125)</f>
        <v/>
      </c>
      <c r="AM129" s="13" t="str">
        <f>IF(Stock!AJ125="","",Stock!AJ125)</f>
        <v/>
      </c>
      <c r="AN129" s="13" t="str">
        <f>IF(Stock!AK125="","",Stock!AK125)</f>
        <v/>
      </c>
      <c r="AO129" s="13" t="str">
        <f>IF(Stock!AL125="","",Stock!AL125)</f>
        <v/>
      </c>
      <c r="AP129" s="13" t="str">
        <f>IF(Stock!AM125="","",Stock!AM125)</f>
        <v/>
      </c>
      <c r="AQ129" s="13" t="str">
        <f>IF(Stock!AN125="","",Stock!AN125)</f>
        <v/>
      </c>
      <c r="AR129" s="13" t="str">
        <f>IF(Stock!AO125="","",Stock!AO125)</f>
        <v/>
      </c>
      <c r="AS129" s="13" t="str">
        <f>IF(Stock!AP125="","",Stock!AP125)</f>
        <v/>
      </c>
      <c r="AT129" s="13" t="str">
        <f>IF(Stock!AQ125="","",Stock!AQ125)</f>
        <v/>
      </c>
      <c r="AU129" s="13" t="str">
        <f>IF(Stock!AR125="","",Stock!AR125)</f>
        <v/>
      </c>
      <c r="AV129" s="13" t="str">
        <f>IF(Stock!AS125="","",Stock!AS125)</f>
        <v/>
      </c>
      <c r="AW129" s="13" t="str">
        <f>IF(Stock!AT125="","",Stock!AT125)</f>
        <v/>
      </c>
      <c r="AX129" s="13" t="str">
        <f>IF(Stock!AU125="","",Stock!AU125)</f>
        <v/>
      </c>
      <c r="AY129" s="13" t="str">
        <f>IF(Stock!AV125="","",Stock!AV125)</f>
        <v/>
      </c>
      <c r="AZ129" s="13" t="str">
        <f>IF(Stock!AW125="","",Stock!AW125)</f>
        <v/>
      </c>
      <c r="BA129" s="13" t="str">
        <f>IF(Stock!AX125="","",Stock!AX125)</f>
        <v/>
      </c>
      <c r="BB129" s="13" t="str">
        <f>IF(Stock!AY125="","",Stock!AY125)</f>
        <v/>
      </c>
      <c r="BC129" s="13" t="str">
        <f>IF(Stock!AZ125="","",Stock!AZ125)</f>
        <v/>
      </c>
      <c r="BD129" s="13" t="str">
        <f>IF(Stock!BA125="","",Stock!BA125)</f>
        <v/>
      </c>
      <c r="BE129" s="13" t="str">
        <f>IF(Stock!BB125="","",Stock!BB125)</f>
        <v/>
      </c>
      <c r="BF129" s="13" t="str">
        <f>IF(Stock!BC125="","",Stock!BC125)</f>
        <v/>
      </c>
    </row>
    <row r="130" spans="2:58" ht="14.25" customHeight="1" x14ac:dyDescent="0.3">
      <c r="B130" s="31"/>
      <c r="E130" s="13" t="str">
        <f>IF(Stock!B126="","",Stock!B126)</f>
        <v/>
      </c>
      <c r="F130" s="13" t="str">
        <f>IF(Stock!C126="","",Stock!C126)</f>
        <v/>
      </c>
      <c r="G130" s="13" t="str">
        <f>IF(Stock!D126="","",Stock!D126)</f>
        <v/>
      </c>
      <c r="H130" s="13" t="str">
        <f>IF(Stock!E126="","",Stock!E126)</f>
        <v/>
      </c>
      <c r="I130" s="13" t="str">
        <f>IF(Stock!F126="","",Stock!F126)</f>
        <v/>
      </c>
      <c r="J130" s="13" t="str">
        <f>IF(Stock!G126="","",Stock!G126)</f>
        <v/>
      </c>
      <c r="K130" s="13" t="str">
        <f>IF(Stock!H126="","",Stock!H126)</f>
        <v/>
      </c>
      <c r="L130" s="13" t="str">
        <f>IF(Stock!I126="","",Stock!I126)</f>
        <v/>
      </c>
      <c r="M130" s="13" t="str">
        <f>IF(Stock!J126="","",Stock!J126)</f>
        <v/>
      </c>
      <c r="N130" s="13" t="str">
        <f>IF(Stock!K126="","",Stock!K126)</f>
        <v/>
      </c>
      <c r="O130" s="13" t="str">
        <f>IF(Stock!L126="","",Stock!L126)</f>
        <v/>
      </c>
      <c r="P130" s="13" t="str">
        <f>IF(Stock!M126="","",Stock!M126)</f>
        <v/>
      </c>
      <c r="Q130" s="13" t="str">
        <f>IF(Stock!N126="","",Stock!N126)</f>
        <v/>
      </c>
      <c r="R130" s="13" t="str">
        <f>IF(Stock!O126="","",Stock!O126)</f>
        <v/>
      </c>
      <c r="S130" s="13" t="str">
        <f>IF(Stock!P126="","",Stock!P126)</f>
        <v/>
      </c>
      <c r="T130" s="13" t="str">
        <f>IF(Stock!Q126="","",Stock!Q126)</f>
        <v/>
      </c>
      <c r="U130" s="13" t="str">
        <f>IF(Stock!R126="","",Stock!R126)</f>
        <v/>
      </c>
      <c r="V130" s="13" t="str">
        <f>IF(Stock!S126="","",Stock!S126)</f>
        <v/>
      </c>
      <c r="W130" s="13" t="str">
        <f>IF(Stock!T126="","",Stock!T126)</f>
        <v/>
      </c>
      <c r="X130" s="13" t="str">
        <f>IF(Stock!U126="","",Stock!U126)</f>
        <v/>
      </c>
      <c r="Y130" s="13" t="str">
        <f>IF(Stock!V126="","",Stock!V126)</f>
        <v/>
      </c>
      <c r="Z130" s="13" t="str">
        <f>IF(Stock!W126="","",Stock!W126)</f>
        <v/>
      </c>
      <c r="AA130" s="13" t="str">
        <f>IF(Stock!X126="","",Stock!X126)</f>
        <v/>
      </c>
      <c r="AB130" s="13" t="str">
        <f>IF(Stock!Y126="","",Stock!Y126)</f>
        <v/>
      </c>
      <c r="AC130" s="13" t="str">
        <f>IF(Stock!Z126="","",Stock!Z126)</f>
        <v/>
      </c>
      <c r="AD130" s="13" t="str">
        <f>IF(Stock!AA126="","",Stock!AA126)</f>
        <v/>
      </c>
      <c r="AE130" s="13" t="str">
        <f>IF(Stock!AB126="","",Stock!AB126)</f>
        <v/>
      </c>
      <c r="AF130" s="13" t="str">
        <f>IF(Stock!AC126="","",Stock!AC126)</f>
        <v/>
      </c>
      <c r="AG130" s="13" t="str">
        <f>IF(Stock!AD126="","",Stock!AD126)</f>
        <v/>
      </c>
      <c r="AH130" s="13" t="str">
        <f>IF(Stock!AE126="","",Stock!AE126)</f>
        <v/>
      </c>
      <c r="AI130" s="13" t="str">
        <f>IF(Stock!AF126="","",Stock!AF126)</f>
        <v/>
      </c>
      <c r="AJ130" s="13" t="str">
        <f>IF(Stock!AG126="","",Stock!AG126)</f>
        <v/>
      </c>
      <c r="AK130" s="13" t="str">
        <f>IF(Stock!AH126="","",Stock!AH126)</f>
        <v/>
      </c>
      <c r="AL130" s="13" t="str">
        <f>IF(Stock!AI126="","",Stock!AI126)</f>
        <v/>
      </c>
      <c r="AM130" s="13" t="str">
        <f>IF(Stock!AJ126="","",Stock!AJ126)</f>
        <v/>
      </c>
      <c r="AN130" s="13" t="str">
        <f>IF(Stock!AK126="","",Stock!AK126)</f>
        <v/>
      </c>
      <c r="AO130" s="13" t="str">
        <f>IF(Stock!AL126="","",Stock!AL126)</f>
        <v/>
      </c>
      <c r="AP130" s="13" t="str">
        <f>IF(Stock!AM126="","",Stock!AM126)</f>
        <v/>
      </c>
      <c r="AQ130" s="13" t="str">
        <f>IF(Stock!AN126="","",Stock!AN126)</f>
        <v/>
      </c>
      <c r="AR130" s="13" t="str">
        <f>IF(Stock!AO126="","",Stock!AO126)</f>
        <v/>
      </c>
      <c r="AS130" s="13" t="str">
        <f>IF(Stock!AP126="","",Stock!AP126)</f>
        <v/>
      </c>
      <c r="AT130" s="13" t="str">
        <f>IF(Stock!AQ126="","",Stock!AQ126)</f>
        <v/>
      </c>
      <c r="AU130" s="13" t="str">
        <f>IF(Stock!AR126="","",Stock!AR126)</f>
        <v/>
      </c>
      <c r="AV130" s="13" t="str">
        <f>IF(Stock!AS126="","",Stock!AS126)</f>
        <v/>
      </c>
      <c r="AW130" s="13" t="str">
        <f>IF(Stock!AT126="","",Stock!AT126)</f>
        <v/>
      </c>
      <c r="AX130" s="13" t="str">
        <f>IF(Stock!AU126="","",Stock!AU126)</f>
        <v/>
      </c>
      <c r="AY130" s="13" t="str">
        <f>IF(Stock!AV126="","",Stock!AV126)</f>
        <v/>
      </c>
      <c r="AZ130" s="13" t="str">
        <f>IF(Stock!AW126="","",Stock!AW126)</f>
        <v/>
      </c>
      <c r="BA130" s="13" t="str">
        <f>IF(Stock!AX126="","",Stock!AX126)</f>
        <v/>
      </c>
      <c r="BB130" s="13" t="str">
        <f>IF(Stock!AY126="","",Stock!AY126)</f>
        <v/>
      </c>
      <c r="BC130" s="13" t="str">
        <f>IF(Stock!AZ126="","",Stock!AZ126)</f>
        <v/>
      </c>
      <c r="BD130" s="13" t="str">
        <f>IF(Stock!BA126="","",Stock!BA126)</f>
        <v/>
      </c>
      <c r="BE130" s="13" t="str">
        <f>IF(Stock!BB126="","",Stock!BB126)</f>
        <v/>
      </c>
      <c r="BF130" s="13" t="str">
        <f>IF(Stock!BC126="","",Stock!BC126)</f>
        <v/>
      </c>
    </row>
    <row r="131" spans="2:58" ht="14.25" customHeight="1" x14ac:dyDescent="0.3">
      <c r="B131" s="31"/>
      <c r="E131" s="13" t="str">
        <f>IF(Stock!B127="","",Stock!B127)</f>
        <v/>
      </c>
      <c r="F131" s="13" t="str">
        <f>IF(Stock!C127="","",Stock!C127)</f>
        <v/>
      </c>
      <c r="G131" s="13" t="str">
        <f>IF(Stock!D127="","",Stock!D127)</f>
        <v/>
      </c>
      <c r="H131" s="13" t="str">
        <f>IF(Stock!E127="","",Stock!E127)</f>
        <v/>
      </c>
      <c r="I131" s="13" t="str">
        <f>IF(Stock!F127="","",Stock!F127)</f>
        <v/>
      </c>
      <c r="J131" s="13" t="str">
        <f>IF(Stock!G127="","",Stock!G127)</f>
        <v/>
      </c>
      <c r="K131" s="13" t="str">
        <f>IF(Stock!H127="","",Stock!H127)</f>
        <v/>
      </c>
      <c r="L131" s="13" t="str">
        <f>IF(Stock!I127="","",Stock!I127)</f>
        <v/>
      </c>
      <c r="M131" s="13" t="str">
        <f>IF(Stock!J127="","",Stock!J127)</f>
        <v/>
      </c>
      <c r="N131" s="13" t="str">
        <f>IF(Stock!K127="","",Stock!K127)</f>
        <v/>
      </c>
      <c r="O131" s="13" t="str">
        <f>IF(Stock!L127="","",Stock!L127)</f>
        <v/>
      </c>
      <c r="P131" s="13" t="str">
        <f>IF(Stock!M127="","",Stock!M127)</f>
        <v/>
      </c>
      <c r="Q131" s="13" t="str">
        <f>IF(Stock!N127="","",Stock!N127)</f>
        <v/>
      </c>
      <c r="R131" s="13" t="str">
        <f>IF(Stock!O127="","",Stock!O127)</f>
        <v/>
      </c>
      <c r="S131" s="13" t="str">
        <f>IF(Stock!P127="","",Stock!P127)</f>
        <v/>
      </c>
      <c r="T131" s="13" t="str">
        <f>IF(Stock!Q127="","",Stock!Q127)</f>
        <v/>
      </c>
      <c r="U131" s="13" t="str">
        <f>IF(Stock!R127="","",Stock!R127)</f>
        <v/>
      </c>
      <c r="V131" s="13" t="str">
        <f>IF(Stock!S127="","",Stock!S127)</f>
        <v/>
      </c>
      <c r="W131" s="13" t="str">
        <f>IF(Stock!T127="","",Stock!T127)</f>
        <v/>
      </c>
      <c r="X131" s="13" t="str">
        <f>IF(Stock!U127="","",Stock!U127)</f>
        <v/>
      </c>
      <c r="Y131" s="13" t="str">
        <f>IF(Stock!V127="","",Stock!V127)</f>
        <v/>
      </c>
      <c r="Z131" s="13" t="str">
        <f>IF(Stock!W127="","",Stock!W127)</f>
        <v/>
      </c>
      <c r="AA131" s="13" t="str">
        <f>IF(Stock!X127="","",Stock!X127)</f>
        <v/>
      </c>
      <c r="AB131" s="13" t="str">
        <f>IF(Stock!Y127="","",Stock!Y127)</f>
        <v/>
      </c>
      <c r="AC131" s="13" t="str">
        <f>IF(Stock!Z127="","",Stock!Z127)</f>
        <v/>
      </c>
      <c r="AD131" s="13" t="str">
        <f>IF(Stock!AA127="","",Stock!AA127)</f>
        <v/>
      </c>
      <c r="AE131" s="13" t="str">
        <f>IF(Stock!AB127="","",Stock!AB127)</f>
        <v/>
      </c>
      <c r="AF131" s="13" t="str">
        <f>IF(Stock!AC127="","",Stock!AC127)</f>
        <v/>
      </c>
      <c r="AG131" s="13" t="str">
        <f>IF(Stock!AD127="","",Stock!AD127)</f>
        <v/>
      </c>
      <c r="AH131" s="13" t="str">
        <f>IF(Stock!AE127="","",Stock!AE127)</f>
        <v/>
      </c>
      <c r="AI131" s="13" t="str">
        <f>IF(Stock!AF127="","",Stock!AF127)</f>
        <v/>
      </c>
      <c r="AJ131" s="13" t="str">
        <f>IF(Stock!AG127="","",Stock!AG127)</f>
        <v/>
      </c>
      <c r="AK131" s="13" t="str">
        <f>IF(Stock!AH127="","",Stock!AH127)</f>
        <v/>
      </c>
      <c r="AL131" s="13" t="str">
        <f>IF(Stock!AI127="","",Stock!AI127)</f>
        <v/>
      </c>
      <c r="AM131" s="13" t="str">
        <f>IF(Stock!AJ127="","",Stock!AJ127)</f>
        <v/>
      </c>
      <c r="AN131" s="13" t="str">
        <f>IF(Stock!AK127="","",Stock!AK127)</f>
        <v/>
      </c>
      <c r="AO131" s="13" t="str">
        <f>IF(Stock!AL127="","",Stock!AL127)</f>
        <v/>
      </c>
      <c r="AP131" s="13" t="str">
        <f>IF(Stock!AM127="","",Stock!AM127)</f>
        <v/>
      </c>
      <c r="AQ131" s="13" t="str">
        <f>IF(Stock!AN127="","",Stock!AN127)</f>
        <v/>
      </c>
      <c r="AR131" s="13" t="str">
        <f>IF(Stock!AO127="","",Stock!AO127)</f>
        <v/>
      </c>
      <c r="AS131" s="13" t="str">
        <f>IF(Stock!AP127="","",Stock!AP127)</f>
        <v/>
      </c>
      <c r="AT131" s="13" t="str">
        <f>IF(Stock!AQ127="","",Stock!AQ127)</f>
        <v/>
      </c>
      <c r="AU131" s="13" t="str">
        <f>IF(Stock!AR127="","",Stock!AR127)</f>
        <v/>
      </c>
      <c r="AV131" s="13" t="str">
        <f>IF(Stock!AS127="","",Stock!AS127)</f>
        <v/>
      </c>
      <c r="AW131" s="13" t="str">
        <f>IF(Stock!AT127="","",Stock!AT127)</f>
        <v/>
      </c>
      <c r="AX131" s="13" t="str">
        <f>IF(Stock!AU127="","",Stock!AU127)</f>
        <v/>
      </c>
      <c r="AY131" s="13" t="str">
        <f>IF(Stock!AV127="","",Stock!AV127)</f>
        <v/>
      </c>
      <c r="AZ131" s="13" t="str">
        <f>IF(Stock!AW127="","",Stock!AW127)</f>
        <v/>
      </c>
      <c r="BA131" s="13" t="str">
        <f>IF(Stock!AX127="","",Stock!AX127)</f>
        <v/>
      </c>
      <c r="BB131" s="13" t="str">
        <f>IF(Stock!AY127="","",Stock!AY127)</f>
        <v/>
      </c>
      <c r="BC131" s="13" t="str">
        <f>IF(Stock!AZ127="","",Stock!AZ127)</f>
        <v/>
      </c>
      <c r="BD131" s="13" t="str">
        <f>IF(Stock!BA127="","",Stock!BA127)</f>
        <v/>
      </c>
      <c r="BE131" s="13" t="str">
        <f>IF(Stock!BB127="","",Stock!BB127)</f>
        <v/>
      </c>
      <c r="BF131" s="13" t="str">
        <f>IF(Stock!BC127="","",Stock!BC127)</f>
        <v/>
      </c>
    </row>
    <row r="132" spans="2:58" ht="14.25" customHeight="1" x14ac:dyDescent="0.3">
      <c r="B132" s="31"/>
      <c r="E132" s="13" t="str">
        <f>IF(Stock!B128="","",Stock!B128)</f>
        <v/>
      </c>
      <c r="F132" s="13" t="str">
        <f>IF(Stock!C128="","",Stock!C128)</f>
        <v/>
      </c>
      <c r="G132" s="13" t="str">
        <f>IF(Stock!D128="","",Stock!D128)</f>
        <v/>
      </c>
      <c r="H132" s="13" t="str">
        <f>IF(Stock!E128="","",Stock!E128)</f>
        <v/>
      </c>
      <c r="I132" s="13" t="str">
        <f>IF(Stock!F128="","",Stock!F128)</f>
        <v/>
      </c>
      <c r="J132" s="13" t="str">
        <f>IF(Stock!G128="","",Stock!G128)</f>
        <v/>
      </c>
      <c r="K132" s="13" t="str">
        <f>IF(Stock!H128="","",Stock!H128)</f>
        <v/>
      </c>
      <c r="L132" s="13" t="str">
        <f>IF(Stock!I128="","",Stock!I128)</f>
        <v/>
      </c>
      <c r="M132" s="13" t="str">
        <f>IF(Stock!J128="","",Stock!J128)</f>
        <v/>
      </c>
      <c r="N132" s="13" t="str">
        <f>IF(Stock!K128="","",Stock!K128)</f>
        <v/>
      </c>
      <c r="O132" s="13" t="str">
        <f>IF(Stock!L128="","",Stock!L128)</f>
        <v/>
      </c>
      <c r="P132" s="13" t="str">
        <f>IF(Stock!M128="","",Stock!M128)</f>
        <v/>
      </c>
      <c r="Q132" s="13" t="str">
        <f>IF(Stock!N128="","",Stock!N128)</f>
        <v/>
      </c>
      <c r="R132" s="13" t="str">
        <f>IF(Stock!O128="","",Stock!O128)</f>
        <v/>
      </c>
      <c r="S132" s="13" t="str">
        <f>IF(Stock!P128="","",Stock!P128)</f>
        <v/>
      </c>
      <c r="T132" s="13" t="str">
        <f>IF(Stock!Q128="","",Stock!Q128)</f>
        <v/>
      </c>
      <c r="U132" s="13" t="str">
        <f>IF(Stock!R128="","",Stock!R128)</f>
        <v/>
      </c>
      <c r="V132" s="13" t="str">
        <f>IF(Stock!S128="","",Stock!S128)</f>
        <v/>
      </c>
      <c r="W132" s="13" t="str">
        <f>IF(Stock!T128="","",Stock!T128)</f>
        <v/>
      </c>
      <c r="X132" s="13" t="str">
        <f>IF(Stock!U128="","",Stock!U128)</f>
        <v/>
      </c>
      <c r="Y132" s="13" t="str">
        <f>IF(Stock!V128="","",Stock!V128)</f>
        <v/>
      </c>
      <c r="Z132" s="13" t="str">
        <f>IF(Stock!W128="","",Stock!W128)</f>
        <v/>
      </c>
      <c r="AA132" s="13" t="str">
        <f>IF(Stock!X128="","",Stock!X128)</f>
        <v/>
      </c>
      <c r="AB132" s="13" t="str">
        <f>IF(Stock!Y128="","",Stock!Y128)</f>
        <v/>
      </c>
      <c r="AC132" s="13" t="str">
        <f>IF(Stock!Z128="","",Stock!Z128)</f>
        <v/>
      </c>
      <c r="AD132" s="13" t="str">
        <f>IF(Stock!AA128="","",Stock!AA128)</f>
        <v/>
      </c>
      <c r="AE132" s="13" t="str">
        <f>IF(Stock!AB128="","",Stock!AB128)</f>
        <v/>
      </c>
      <c r="AF132" s="13" t="str">
        <f>IF(Stock!AC128="","",Stock!AC128)</f>
        <v/>
      </c>
      <c r="AG132" s="13" t="str">
        <f>IF(Stock!AD128="","",Stock!AD128)</f>
        <v/>
      </c>
      <c r="AH132" s="13" t="str">
        <f>IF(Stock!AE128="","",Stock!AE128)</f>
        <v/>
      </c>
      <c r="AI132" s="13" t="str">
        <f>IF(Stock!AF128="","",Stock!AF128)</f>
        <v/>
      </c>
      <c r="AJ132" s="13" t="str">
        <f>IF(Stock!AG128="","",Stock!AG128)</f>
        <v/>
      </c>
      <c r="AK132" s="13" t="str">
        <f>IF(Stock!AH128="","",Stock!AH128)</f>
        <v/>
      </c>
      <c r="AL132" s="13" t="str">
        <f>IF(Stock!AI128="","",Stock!AI128)</f>
        <v/>
      </c>
      <c r="AM132" s="13" t="str">
        <f>IF(Stock!AJ128="","",Stock!AJ128)</f>
        <v/>
      </c>
      <c r="AN132" s="13" t="str">
        <f>IF(Stock!AK128="","",Stock!AK128)</f>
        <v/>
      </c>
      <c r="AO132" s="13" t="str">
        <f>IF(Stock!AL128="","",Stock!AL128)</f>
        <v/>
      </c>
      <c r="AP132" s="13" t="str">
        <f>IF(Stock!AM128="","",Stock!AM128)</f>
        <v/>
      </c>
      <c r="AQ132" s="13" t="str">
        <f>IF(Stock!AN128="","",Stock!AN128)</f>
        <v/>
      </c>
      <c r="AR132" s="13" t="str">
        <f>IF(Stock!AO128="","",Stock!AO128)</f>
        <v/>
      </c>
      <c r="AS132" s="13" t="str">
        <f>IF(Stock!AP128="","",Stock!AP128)</f>
        <v/>
      </c>
      <c r="AT132" s="13" t="str">
        <f>IF(Stock!AQ128="","",Stock!AQ128)</f>
        <v/>
      </c>
      <c r="AU132" s="13" t="str">
        <f>IF(Stock!AR128="","",Stock!AR128)</f>
        <v/>
      </c>
      <c r="AV132" s="13" t="str">
        <f>IF(Stock!AS128="","",Stock!AS128)</f>
        <v/>
      </c>
      <c r="AW132" s="13" t="str">
        <f>IF(Stock!AT128="","",Stock!AT128)</f>
        <v/>
      </c>
      <c r="AX132" s="13" t="str">
        <f>IF(Stock!AU128="","",Stock!AU128)</f>
        <v/>
      </c>
      <c r="AY132" s="13" t="str">
        <f>IF(Stock!AV128="","",Stock!AV128)</f>
        <v/>
      </c>
      <c r="AZ132" s="13" t="str">
        <f>IF(Stock!AW128="","",Stock!AW128)</f>
        <v/>
      </c>
      <c r="BA132" s="13" t="str">
        <f>IF(Stock!AX128="","",Stock!AX128)</f>
        <v/>
      </c>
      <c r="BB132" s="13" t="str">
        <f>IF(Stock!AY128="","",Stock!AY128)</f>
        <v/>
      </c>
      <c r="BC132" s="13" t="str">
        <f>IF(Stock!AZ128="","",Stock!AZ128)</f>
        <v/>
      </c>
      <c r="BD132" s="13" t="str">
        <f>IF(Stock!BA128="","",Stock!BA128)</f>
        <v/>
      </c>
      <c r="BE132" s="13" t="str">
        <f>IF(Stock!BB128="","",Stock!BB128)</f>
        <v/>
      </c>
      <c r="BF132" s="13" t="str">
        <f>IF(Stock!BC128="","",Stock!BC128)</f>
        <v/>
      </c>
    </row>
    <row r="133" spans="2:58" ht="14.25" customHeight="1" x14ac:dyDescent="0.3">
      <c r="B133" s="31"/>
      <c r="E133" s="13" t="str">
        <f>IF(Stock!B129="","",Stock!B129)</f>
        <v/>
      </c>
      <c r="F133" s="13" t="str">
        <f>IF(Stock!C129="","",Stock!C129)</f>
        <v/>
      </c>
      <c r="G133" s="13" t="str">
        <f>IF(Stock!D129="","",Stock!D129)</f>
        <v/>
      </c>
      <c r="H133" s="13" t="str">
        <f>IF(Stock!E129="","",Stock!E129)</f>
        <v/>
      </c>
      <c r="I133" s="13" t="str">
        <f>IF(Stock!F129="","",Stock!F129)</f>
        <v/>
      </c>
      <c r="J133" s="13" t="str">
        <f>IF(Stock!G129="","",Stock!G129)</f>
        <v/>
      </c>
      <c r="K133" s="13" t="str">
        <f>IF(Stock!H129="","",Stock!H129)</f>
        <v/>
      </c>
      <c r="L133" s="13" t="str">
        <f>IF(Stock!I129="","",Stock!I129)</f>
        <v/>
      </c>
      <c r="M133" s="13" t="str">
        <f>IF(Stock!J129="","",Stock!J129)</f>
        <v/>
      </c>
      <c r="N133" s="13" t="str">
        <f>IF(Stock!K129="","",Stock!K129)</f>
        <v/>
      </c>
      <c r="O133" s="13" t="str">
        <f>IF(Stock!L129="","",Stock!L129)</f>
        <v/>
      </c>
      <c r="P133" s="13" t="str">
        <f>IF(Stock!M129="","",Stock!M129)</f>
        <v/>
      </c>
      <c r="Q133" s="13" t="str">
        <f>IF(Stock!N129="","",Stock!N129)</f>
        <v/>
      </c>
      <c r="R133" s="13" t="str">
        <f>IF(Stock!O129="","",Stock!O129)</f>
        <v/>
      </c>
      <c r="S133" s="13" t="str">
        <f>IF(Stock!P129="","",Stock!P129)</f>
        <v/>
      </c>
      <c r="T133" s="13" t="str">
        <f>IF(Stock!Q129="","",Stock!Q129)</f>
        <v/>
      </c>
      <c r="U133" s="13" t="str">
        <f>IF(Stock!R129="","",Stock!R129)</f>
        <v/>
      </c>
      <c r="V133" s="13" t="str">
        <f>IF(Stock!S129="","",Stock!S129)</f>
        <v/>
      </c>
      <c r="W133" s="13" t="str">
        <f>IF(Stock!T129="","",Stock!T129)</f>
        <v/>
      </c>
      <c r="X133" s="13" t="str">
        <f>IF(Stock!U129="","",Stock!U129)</f>
        <v/>
      </c>
      <c r="Y133" s="13" t="str">
        <f>IF(Stock!V129="","",Stock!V129)</f>
        <v/>
      </c>
      <c r="Z133" s="13" t="str">
        <f>IF(Stock!W129="","",Stock!W129)</f>
        <v/>
      </c>
      <c r="AA133" s="13" t="str">
        <f>IF(Stock!X129="","",Stock!X129)</f>
        <v/>
      </c>
      <c r="AB133" s="13" t="str">
        <f>IF(Stock!Y129="","",Stock!Y129)</f>
        <v/>
      </c>
      <c r="AC133" s="13" t="str">
        <f>IF(Stock!Z129="","",Stock!Z129)</f>
        <v/>
      </c>
      <c r="AD133" s="13" t="str">
        <f>IF(Stock!AA129="","",Stock!AA129)</f>
        <v/>
      </c>
      <c r="AE133" s="13" t="str">
        <f>IF(Stock!AB129="","",Stock!AB129)</f>
        <v/>
      </c>
      <c r="AF133" s="13" t="str">
        <f>IF(Stock!AC129="","",Stock!AC129)</f>
        <v/>
      </c>
      <c r="AG133" s="13" t="str">
        <f>IF(Stock!AD129="","",Stock!AD129)</f>
        <v/>
      </c>
      <c r="AH133" s="13" t="str">
        <f>IF(Stock!AE129="","",Stock!AE129)</f>
        <v/>
      </c>
      <c r="AI133" s="13" t="str">
        <f>IF(Stock!AF129="","",Stock!AF129)</f>
        <v/>
      </c>
      <c r="AJ133" s="13" t="str">
        <f>IF(Stock!AG129="","",Stock!AG129)</f>
        <v/>
      </c>
      <c r="AK133" s="13" t="str">
        <f>IF(Stock!AH129="","",Stock!AH129)</f>
        <v/>
      </c>
      <c r="AL133" s="13" t="str">
        <f>IF(Stock!AI129="","",Stock!AI129)</f>
        <v/>
      </c>
      <c r="AM133" s="13" t="str">
        <f>IF(Stock!AJ129="","",Stock!AJ129)</f>
        <v/>
      </c>
      <c r="AN133" s="13" t="str">
        <f>IF(Stock!AK129="","",Stock!AK129)</f>
        <v/>
      </c>
      <c r="AO133" s="13" t="str">
        <f>IF(Stock!AL129="","",Stock!AL129)</f>
        <v/>
      </c>
      <c r="AP133" s="13" t="str">
        <f>IF(Stock!AM129="","",Stock!AM129)</f>
        <v/>
      </c>
      <c r="AQ133" s="13" t="str">
        <f>IF(Stock!AN129="","",Stock!AN129)</f>
        <v/>
      </c>
      <c r="AR133" s="13" t="str">
        <f>IF(Stock!AO129="","",Stock!AO129)</f>
        <v/>
      </c>
      <c r="AS133" s="13" t="str">
        <f>IF(Stock!AP129="","",Stock!AP129)</f>
        <v/>
      </c>
      <c r="AT133" s="13" t="str">
        <f>IF(Stock!AQ129="","",Stock!AQ129)</f>
        <v/>
      </c>
      <c r="AU133" s="13" t="str">
        <f>IF(Stock!AR129="","",Stock!AR129)</f>
        <v/>
      </c>
      <c r="AV133" s="13" t="str">
        <f>IF(Stock!AS129="","",Stock!AS129)</f>
        <v/>
      </c>
      <c r="AW133" s="13" t="str">
        <f>IF(Stock!AT129="","",Stock!AT129)</f>
        <v/>
      </c>
      <c r="AX133" s="13" t="str">
        <f>IF(Stock!AU129="","",Stock!AU129)</f>
        <v/>
      </c>
      <c r="AY133" s="13" t="str">
        <f>IF(Stock!AV129="","",Stock!AV129)</f>
        <v/>
      </c>
      <c r="AZ133" s="13" t="str">
        <f>IF(Stock!AW129="","",Stock!AW129)</f>
        <v/>
      </c>
      <c r="BA133" s="13" t="str">
        <f>IF(Stock!AX129="","",Stock!AX129)</f>
        <v/>
      </c>
      <c r="BB133" s="13" t="str">
        <f>IF(Stock!AY129="","",Stock!AY129)</f>
        <v/>
      </c>
      <c r="BC133" s="13" t="str">
        <f>IF(Stock!AZ129="","",Stock!AZ129)</f>
        <v/>
      </c>
      <c r="BD133" s="13" t="str">
        <f>IF(Stock!BA129="","",Stock!BA129)</f>
        <v/>
      </c>
      <c r="BE133" s="13" t="str">
        <f>IF(Stock!BB129="","",Stock!BB129)</f>
        <v/>
      </c>
      <c r="BF133" s="13" t="str">
        <f>IF(Stock!BC129="","",Stock!BC129)</f>
        <v/>
      </c>
    </row>
    <row r="134" spans="2:58" ht="14.25" customHeight="1" x14ac:dyDescent="0.3">
      <c r="B134" s="31"/>
      <c r="E134" s="13" t="str">
        <f>IF(Stock!B130="","",Stock!B130)</f>
        <v/>
      </c>
      <c r="F134" s="13" t="str">
        <f>IF(Stock!C130="","",Stock!C130)</f>
        <v/>
      </c>
      <c r="G134" s="13" t="str">
        <f>IF(Stock!D130="","",Stock!D130)</f>
        <v/>
      </c>
      <c r="H134" s="13" t="str">
        <f>IF(Stock!E130="","",Stock!E130)</f>
        <v/>
      </c>
      <c r="I134" s="13" t="str">
        <f>IF(Stock!F130="","",Stock!F130)</f>
        <v/>
      </c>
      <c r="J134" s="13" t="str">
        <f>IF(Stock!G130="","",Stock!G130)</f>
        <v/>
      </c>
      <c r="K134" s="13" t="str">
        <f>IF(Stock!H130="","",Stock!H130)</f>
        <v/>
      </c>
      <c r="L134" s="13" t="str">
        <f>IF(Stock!I130="","",Stock!I130)</f>
        <v/>
      </c>
      <c r="M134" s="13" t="str">
        <f>IF(Stock!J130="","",Stock!J130)</f>
        <v/>
      </c>
      <c r="N134" s="13" t="str">
        <f>IF(Stock!K130="","",Stock!K130)</f>
        <v/>
      </c>
      <c r="O134" s="13" t="str">
        <f>IF(Stock!L130="","",Stock!L130)</f>
        <v/>
      </c>
      <c r="P134" s="13" t="str">
        <f>IF(Stock!M130="","",Stock!M130)</f>
        <v/>
      </c>
      <c r="Q134" s="13" t="str">
        <f>IF(Stock!N130="","",Stock!N130)</f>
        <v/>
      </c>
      <c r="R134" s="13" t="str">
        <f>IF(Stock!O130="","",Stock!O130)</f>
        <v/>
      </c>
      <c r="S134" s="13" t="str">
        <f>IF(Stock!P130="","",Stock!P130)</f>
        <v/>
      </c>
      <c r="T134" s="13" t="str">
        <f>IF(Stock!Q130="","",Stock!Q130)</f>
        <v/>
      </c>
      <c r="U134" s="13" t="str">
        <f>IF(Stock!R130="","",Stock!R130)</f>
        <v/>
      </c>
      <c r="V134" s="13" t="str">
        <f>IF(Stock!S130="","",Stock!S130)</f>
        <v/>
      </c>
      <c r="W134" s="13" t="str">
        <f>IF(Stock!T130="","",Stock!T130)</f>
        <v/>
      </c>
      <c r="X134" s="13" t="str">
        <f>IF(Stock!U130="","",Stock!U130)</f>
        <v/>
      </c>
      <c r="Y134" s="13" t="str">
        <f>IF(Stock!V130="","",Stock!V130)</f>
        <v/>
      </c>
      <c r="Z134" s="13" t="str">
        <f>IF(Stock!W130="","",Stock!W130)</f>
        <v/>
      </c>
      <c r="AA134" s="13" t="str">
        <f>IF(Stock!X130="","",Stock!X130)</f>
        <v/>
      </c>
      <c r="AB134" s="13" t="str">
        <f>IF(Stock!Y130="","",Stock!Y130)</f>
        <v/>
      </c>
      <c r="AC134" s="13" t="str">
        <f>IF(Stock!Z130="","",Stock!Z130)</f>
        <v/>
      </c>
      <c r="AD134" s="13" t="str">
        <f>IF(Stock!AA130="","",Stock!AA130)</f>
        <v/>
      </c>
      <c r="AE134" s="13" t="str">
        <f>IF(Stock!AB130="","",Stock!AB130)</f>
        <v/>
      </c>
      <c r="AF134" s="13" t="str">
        <f>IF(Stock!AC130="","",Stock!AC130)</f>
        <v/>
      </c>
      <c r="AG134" s="13" t="str">
        <f>IF(Stock!AD130="","",Stock!AD130)</f>
        <v/>
      </c>
      <c r="AH134" s="13" t="str">
        <f>IF(Stock!AE130="","",Stock!AE130)</f>
        <v/>
      </c>
      <c r="AI134" s="13" t="str">
        <f>IF(Stock!AF130="","",Stock!AF130)</f>
        <v/>
      </c>
      <c r="AJ134" s="13" t="str">
        <f>IF(Stock!AG130="","",Stock!AG130)</f>
        <v/>
      </c>
      <c r="AK134" s="13" t="str">
        <f>IF(Stock!AH130="","",Stock!AH130)</f>
        <v/>
      </c>
      <c r="AL134" s="13" t="str">
        <f>IF(Stock!AI130="","",Stock!AI130)</f>
        <v/>
      </c>
      <c r="AM134" s="13" t="str">
        <f>IF(Stock!AJ130="","",Stock!AJ130)</f>
        <v/>
      </c>
      <c r="AN134" s="13" t="str">
        <f>IF(Stock!AK130="","",Stock!AK130)</f>
        <v/>
      </c>
      <c r="AO134" s="13" t="str">
        <f>IF(Stock!AL130="","",Stock!AL130)</f>
        <v/>
      </c>
      <c r="AP134" s="13" t="str">
        <f>IF(Stock!AM130="","",Stock!AM130)</f>
        <v/>
      </c>
      <c r="AQ134" s="13" t="str">
        <f>IF(Stock!AN130="","",Stock!AN130)</f>
        <v/>
      </c>
      <c r="AR134" s="13" t="str">
        <f>IF(Stock!AO130="","",Stock!AO130)</f>
        <v/>
      </c>
      <c r="AS134" s="13" t="str">
        <f>IF(Stock!AP130="","",Stock!AP130)</f>
        <v/>
      </c>
      <c r="AT134" s="13" t="str">
        <f>IF(Stock!AQ130="","",Stock!AQ130)</f>
        <v/>
      </c>
      <c r="AU134" s="13" t="str">
        <f>IF(Stock!AR130="","",Stock!AR130)</f>
        <v/>
      </c>
      <c r="AV134" s="13" t="str">
        <f>IF(Stock!AS130="","",Stock!AS130)</f>
        <v/>
      </c>
      <c r="AW134" s="13" t="str">
        <f>IF(Stock!AT130="","",Stock!AT130)</f>
        <v/>
      </c>
      <c r="AX134" s="13" t="str">
        <f>IF(Stock!AU130="","",Stock!AU130)</f>
        <v/>
      </c>
      <c r="AY134" s="13" t="str">
        <f>IF(Stock!AV130="","",Stock!AV130)</f>
        <v/>
      </c>
      <c r="AZ134" s="13" t="str">
        <f>IF(Stock!AW130="","",Stock!AW130)</f>
        <v/>
      </c>
      <c r="BA134" s="13" t="str">
        <f>IF(Stock!AX130="","",Stock!AX130)</f>
        <v/>
      </c>
      <c r="BB134" s="13" t="str">
        <f>IF(Stock!AY130="","",Stock!AY130)</f>
        <v/>
      </c>
      <c r="BC134" s="13" t="str">
        <f>IF(Stock!AZ130="","",Stock!AZ130)</f>
        <v/>
      </c>
      <c r="BD134" s="13" t="str">
        <f>IF(Stock!BA130="","",Stock!BA130)</f>
        <v/>
      </c>
      <c r="BE134" s="13" t="str">
        <f>IF(Stock!BB130="","",Stock!BB130)</f>
        <v/>
      </c>
      <c r="BF134" s="13" t="str">
        <f>IF(Stock!BC130="","",Stock!BC130)</f>
        <v/>
      </c>
    </row>
    <row r="135" spans="2:58" ht="14.25" customHeight="1" x14ac:dyDescent="0.3">
      <c r="B135" s="31"/>
      <c r="E135" s="13" t="str">
        <f>IF(Stock!B131="","",Stock!B131)</f>
        <v/>
      </c>
      <c r="F135" s="13" t="str">
        <f>IF(Stock!C131="","",Stock!C131)</f>
        <v/>
      </c>
      <c r="G135" s="13" t="str">
        <f>IF(Stock!D131="","",Stock!D131)</f>
        <v/>
      </c>
      <c r="H135" s="13" t="str">
        <f>IF(Stock!E131="","",Stock!E131)</f>
        <v/>
      </c>
      <c r="I135" s="13" t="str">
        <f>IF(Stock!F131="","",Stock!F131)</f>
        <v/>
      </c>
      <c r="J135" s="13" t="str">
        <f>IF(Stock!G131="","",Stock!G131)</f>
        <v/>
      </c>
      <c r="K135" s="13" t="str">
        <f>IF(Stock!H131="","",Stock!H131)</f>
        <v/>
      </c>
      <c r="L135" s="13" t="str">
        <f>IF(Stock!I131="","",Stock!I131)</f>
        <v/>
      </c>
      <c r="M135" s="13" t="str">
        <f>IF(Stock!J131="","",Stock!J131)</f>
        <v/>
      </c>
      <c r="N135" s="13" t="str">
        <f>IF(Stock!K131="","",Stock!K131)</f>
        <v/>
      </c>
      <c r="O135" s="13" t="str">
        <f>IF(Stock!L131="","",Stock!L131)</f>
        <v/>
      </c>
      <c r="P135" s="13" t="str">
        <f>IF(Stock!M131="","",Stock!M131)</f>
        <v/>
      </c>
      <c r="Q135" s="13" t="str">
        <f>IF(Stock!N131="","",Stock!N131)</f>
        <v/>
      </c>
      <c r="R135" s="13" t="str">
        <f>IF(Stock!O131="","",Stock!O131)</f>
        <v/>
      </c>
      <c r="S135" s="13" t="str">
        <f>IF(Stock!P131="","",Stock!P131)</f>
        <v/>
      </c>
      <c r="T135" s="13" t="str">
        <f>IF(Stock!Q131="","",Stock!Q131)</f>
        <v/>
      </c>
      <c r="U135" s="13" t="str">
        <f>IF(Stock!R131="","",Stock!R131)</f>
        <v/>
      </c>
      <c r="V135" s="13" t="str">
        <f>IF(Stock!S131="","",Stock!S131)</f>
        <v/>
      </c>
      <c r="W135" s="13" t="str">
        <f>IF(Stock!T131="","",Stock!T131)</f>
        <v/>
      </c>
      <c r="X135" s="13" t="str">
        <f>IF(Stock!U131="","",Stock!U131)</f>
        <v/>
      </c>
      <c r="Y135" s="13" t="str">
        <f>IF(Stock!V131="","",Stock!V131)</f>
        <v/>
      </c>
      <c r="Z135" s="13" t="str">
        <f>IF(Stock!W131="","",Stock!W131)</f>
        <v/>
      </c>
      <c r="AA135" s="13" t="str">
        <f>IF(Stock!X131="","",Stock!X131)</f>
        <v/>
      </c>
      <c r="AB135" s="13" t="str">
        <f>IF(Stock!Y131="","",Stock!Y131)</f>
        <v/>
      </c>
      <c r="AC135" s="13" t="str">
        <f>IF(Stock!Z131="","",Stock!Z131)</f>
        <v/>
      </c>
      <c r="AD135" s="13" t="str">
        <f>IF(Stock!AA131="","",Stock!AA131)</f>
        <v/>
      </c>
      <c r="AE135" s="13" t="str">
        <f>IF(Stock!AB131="","",Stock!AB131)</f>
        <v/>
      </c>
      <c r="AF135" s="13" t="str">
        <f>IF(Stock!AC131="","",Stock!AC131)</f>
        <v/>
      </c>
      <c r="AG135" s="13" t="str">
        <f>IF(Stock!AD131="","",Stock!AD131)</f>
        <v/>
      </c>
      <c r="AH135" s="13" t="str">
        <f>IF(Stock!AE131="","",Stock!AE131)</f>
        <v/>
      </c>
      <c r="AI135" s="13" t="str">
        <f>IF(Stock!AF131="","",Stock!AF131)</f>
        <v/>
      </c>
      <c r="AJ135" s="13" t="str">
        <f>IF(Stock!AG131="","",Stock!AG131)</f>
        <v/>
      </c>
      <c r="AK135" s="13" t="str">
        <f>IF(Stock!AH131="","",Stock!AH131)</f>
        <v/>
      </c>
      <c r="AL135" s="13" t="str">
        <f>IF(Stock!AI131="","",Stock!AI131)</f>
        <v/>
      </c>
      <c r="AM135" s="13" t="str">
        <f>IF(Stock!AJ131="","",Stock!AJ131)</f>
        <v/>
      </c>
      <c r="AN135" s="13" t="str">
        <f>IF(Stock!AK131="","",Stock!AK131)</f>
        <v/>
      </c>
      <c r="AO135" s="13" t="str">
        <f>IF(Stock!AL131="","",Stock!AL131)</f>
        <v/>
      </c>
      <c r="AP135" s="13" t="str">
        <f>IF(Stock!AM131="","",Stock!AM131)</f>
        <v/>
      </c>
      <c r="AQ135" s="13" t="str">
        <f>IF(Stock!AN131="","",Stock!AN131)</f>
        <v/>
      </c>
      <c r="AR135" s="13" t="str">
        <f>IF(Stock!AO131="","",Stock!AO131)</f>
        <v/>
      </c>
      <c r="AS135" s="13" t="str">
        <f>IF(Stock!AP131="","",Stock!AP131)</f>
        <v/>
      </c>
      <c r="AT135" s="13" t="str">
        <f>IF(Stock!AQ131="","",Stock!AQ131)</f>
        <v/>
      </c>
      <c r="AU135" s="13" t="str">
        <f>IF(Stock!AR131="","",Stock!AR131)</f>
        <v/>
      </c>
      <c r="AV135" s="13" t="str">
        <f>IF(Stock!AS131="","",Stock!AS131)</f>
        <v/>
      </c>
      <c r="AW135" s="13" t="str">
        <f>IF(Stock!AT131="","",Stock!AT131)</f>
        <v/>
      </c>
      <c r="AX135" s="13" t="str">
        <f>IF(Stock!AU131="","",Stock!AU131)</f>
        <v/>
      </c>
      <c r="AY135" s="13" t="str">
        <f>IF(Stock!AV131="","",Stock!AV131)</f>
        <v/>
      </c>
      <c r="AZ135" s="13" t="str">
        <f>IF(Stock!AW131="","",Stock!AW131)</f>
        <v/>
      </c>
      <c r="BA135" s="13" t="str">
        <f>IF(Stock!AX131="","",Stock!AX131)</f>
        <v/>
      </c>
      <c r="BB135" s="13" t="str">
        <f>IF(Stock!AY131="","",Stock!AY131)</f>
        <v/>
      </c>
      <c r="BC135" s="13" t="str">
        <f>IF(Stock!AZ131="","",Stock!AZ131)</f>
        <v/>
      </c>
      <c r="BD135" s="13" t="str">
        <f>IF(Stock!BA131="","",Stock!BA131)</f>
        <v/>
      </c>
      <c r="BE135" s="13" t="str">
        <f>IF(Stock!BB131="","",Stock!BB131)</f>
        <v/>
      </c>
      <c r="BF135" s="13" t="str">
        <f>IF(Stock!BC131="","",Stock!BC131)</f>
        <v/>
      </c>
    </row>
    <row r="136" spans="2:58" ht="14.25" customHeight="1" x14ac:dyDescent="0.3">
      <c r="B136" s="31"/>
      <c r="E136" s="13" t="str">
        <f>IF(Stock!B132="","",Stock!B132)</f>
        <v/>
      </c>
      <c r="F136" s="13" t="str">
        <f>IF(Stock!C132="","",Stock!C132)</f>
        <v/>
      </c>
      <c r="G136" s="13" t="str">
        <f>IF(Stock!D132="","",Stock!D132)</f>
        <v/>
      </c>
      <c r="H136" s="13" t="str">
        <f>IF(Stock!E132="","",Stock!E132)</f>
        <v/>
      </c>
      <c r="I136" s="13" t="str">
        <f>IF(Stock!F132="","",Stock!F132)</f>
        <v/>
      </c>
      <c r="J136" s="13" t="str">
        <f>IF(Stock!G132="","",Stock!G132)</f>
        <v/>
      </c>
      <c r="K136" s="13" t="str">
        <f>IF(Stock!H132="","",Stock!H132)</f>
        <v/>
      </c>
      <c r="L136" s="13" t="str">
        <f>IF(Stock!I132="","",Stock!I132)</f>
        <v/>
      </c>
      <c r="M136" s="13" t="str">
        <f>IF(Stock!J132="","",Stock!J132)</f>
        <v/>
      </c>
      <c r="N136" s="13" t="str">
        <f>IF(Stock!K132="","",Stock!K132)</f>
        <v/>
      </c>
      <c r="O136" s="13" t="str">
        <f>IF(Stock!L132="","",Stock!L132)</f>
        <v/>
      </c>
      <c r="P136" s="13" t="str">
        <f>IF(Stock!M132="","",Stock!M132)</f>
        <v/>
      </c>
      <c r="Q136" s="13" t="str">
        <f>IF(Stock!N132="","",Stock!N132)</f>
        <v/>
      </c>
      <c r="R136" s="13" t="str">
        <f>IF(Stock!O132="","",Stock!O132)</f>
        <v/>
      </c>
      <c r="S136" s="13" t="str">
        <f>IF(Stock!P132="","",Stock!P132)</f>
        <v/>
      </c>
      <c r="T136" s="13" t="str">
        <f>IF(Stock!Q132="","",Stock!Q132)</f>
        <v/>
      </c>
      <c r="U136" s="13" t="str">
        <f>IF(Stock!R132="","",Stock!R132)</f>
        <v/>
      </c>
      <c r="V136" s="13" t="str">
        <f>IF(Stock!S132="","",Stock!S132)</f>
        <v/>
      </c>
      <c r="W136" s="13" t="str">
        <f>IF(Stock!T132="","",Stock!T132)</f>
        <v/>
      </c>
      <c r="X136" s="13" t="str">
        <f>IF(Stock!U132="","",Stock!U132)</f>
        <v/>
      </c>
      <c r="Y136" s="13" t="str">
        <f>IF(Stock!V132="","",Stock!V132)</f>
        <v/>
      </c>
      <c r="Z136" s="13" t="str">
        <f>IF(Stock!W132="","",Stock!W132)</f>
        <v/>
      </c>
      <c r="AA136" s="13" t="str">
        <f>IF(Stock!X132="","",Stock!X132)</f>
        <v/>
      </c>
      <c r="AB136" s="13" t="str">
        <f>IF(Stock!Y132="","",Stock!Y132)</f>
        <v/>
      </c>
      <c r="AC136" s="13" t="str">
        <f>IF(Stock!Z132="","",Stock!Z132)</f>
        <v/>
      </c>
      <c r="AD136" s="13" t="str">
        <f>IF(Stock!AA132="","",Stock!AA132)</f>
        <v/>
      </c>
      <c r="AE136" s="13" t="str">
        <f>IF(Stock!AB132="","",Stock!AB132)</f>
        <v/>
      </c>
      <c r="AF136" s="13" t="str">
        <f>IF(Stock!AC132="","",Stock!AC132)</f>
        <v/>
      </c>
      <c r="AG136" s="13" t="str">
        <f>IF(Stock!AD132="","",Stock!AD132)</f>
        <v/>
      </c>
      <c r="AH136" s="13" t="str">
        <f>IF(Stock!AE132="","",Stock!AE132)</f>
        <v/>
      </c>
      <c r="AI136" s="13" t="str">
        <f>IF(Stock!AF132="","",Stock!AF132)</f>
        <v/>
      </c>
      <c r="AJ136" s="13" t="str">
        <f>IF(Stock!AG132="","",Stock!AG132)</f>
        <v/>
      </c>
      <c r="AK136" s="13" t="str">
        <f>IF(Stock!AH132="","",Stock!AH132)</f>
        <v/>
      </c>
      <c r="AL136" s="13" t="str">
        <f>IF(Stock!AI132="","",Stock!AI132)</f>
        <v/>
      </c>
      <c r="AM136" s="13" t="str">
        <f>IF(Stock!AJ132="","",Stock!AJ132)</f>
        <v/>
      </c>
      <c r="AN136" s="13" t="str">
        <f>IF(Stock!AK132="","",Stock!AK132)</f>
        <v/>
      </c>
      <c r="AO136" s="13" t="str">
        <f>IF(Stock!AL132="","",Stock!AL132)</f>
        <v/>
      </c>
      <c r="AP136" s="13" t="str">
        <f>IF(Stock!AM132="","",Stock!AM132)</f>
        <v/>
      </c>
      <c r="AQ136" s="13" t="str">
        <f>IF(Stock!AN132="","",Stock!AN132)</f>
        <v/>
      </c>
      <c r="AR136" s="13" t="str">
        <f>IF(Stock!AO132="","",Stock!AO132)</f>
        <v/>
      </c>
      <c r="AS136" s="13" t="str">
        <f>IF(Stock!AP132="","",Stock!AP132)</f>
        <v/>
      </c>
      <c r="AT136" s="13" t="str">
        <f>IF(Stock!AQ132="","",Stock!AQ132)</f>
        <v/>
      </c>
      <c r="AU136" s="13" t="str">
        <f>IF(Stock!AR132="","",Stock!AR132)</f>
        <v/>
      </c>
      <c r="AV136" s="13" t="str">
        <f>IF(Stock!AS132="","",Stock!AS132)</f>
        <v/>
      </c>
      <c r="AW136" s="13" t="str">
        <f>IF(Stock!AT132="","",Stock!AT132)</f>
        <v/>
      </c>
      <c r="AX136" s="13" t="str">
        <f>IF(Stock!AU132="","",Stock!AU132)</f>
        <v/>
      </c>
      <c r="AY136" s="13" t="str">
        <f>IF(Stock!AV132="","",Stock!AV132)</f>
        <v/>
      </c>
      <c r="AZ136" s="13" t="str">
        <f>IF(Stock!AW132="","",Stock!AW132)</f>
        <v/>
      </c>
      <c r="BA136" s="13" t="str">
        <f>IF(Stock!AX132="","",Stock!AX132)</f>
        <v/>
      </c>
      <c r="BB136" s="13" t="str">
        <f>IF(Stock!AY132="","",Stock!AY132)</f>
        <v/>
      </c>
      <c r="BC136" s="13" t="str">
        <f>IF(Stock!AZ132="","",Stock!AZ132)</f>
        <v/>
      </c>
      <c r="BD136" s="13" t="str">
        <f>IF(Stock!BA132="","",Stock!BA132)</f>
        <v/>
      </c>
      <c r="BE136" s="13" t="str">
        <f>IF(Stock!BB132="","",Stock!BB132)</f>
        <v/>
      </c>
      <c r="BF136" s="13" t="str">
        <f>IF(Stock!BC132="","",Stock!BC132)</f>
        <v/>
      </c>
    </row>
    <row r="137" spans="2:58" ht="14.25" customHeight="1" x14ac:dyDescent="0.3">
      <c r="B137" s="31"/>
      <c r="E137" s="13" t="str">
        <f>IF(Stock!B133="","",Stock!B133)</f>
        <v/>
      </c>
      <c r="F137" s="13" t="str">
        <f>IF(Stock!C133="","",Stock!C133)</f>
        <v/>
      </c>
      <c r="G137" s="13" t="str">
        <f>IF(Stock!D133="","",Stock!D133)</f>
        <v/>
      </c>
      <c r="H137" s="13" t="str">
        <f>IF(Stock!E133="","",Stock!E133)</f>
        <v/>
      </c>
      <c r="I137" s="13" t="str">
        <f>IF(Stock!F133="","",Stock!F133)</f>
        <v/>
      </c>
      <c r="J137" s="13" t="str">
        <f>IF(Stock!G133="","",Stock!G133)</f>
        <v/>
      </c>
      <c r="K137" s="13" t="str">
        <f>IF(Stock!H133="","",Stock!H133)</f>
        <v/>
      </c>
      <c r="L137" s="13" t="str">
        <f>IF(Stock!I133="","",Stock!I133)</f>
        <v/>
      </c>
      <c r="M137" s="13" t="str">
        <f>IF(Stock!J133="","",Stock!J133)</f>
        <v/>
      </c>
      <c r="N137" s="13" t="str">
        <f>IF(Stock!K133="","",Stock!K133)</f>
        <v/>
      </c>
      <c r="O137" s="13" t="str">
        <f>IF(Stock!L133="","",Stock!L133)</f>
        <v/>
      </c>
      <c r="P137" s="13" t="str">
        <f>IF(Stock!M133="","",Stock!M133)</f>
        <v/>
      </c>
      <c r="Q137" s="13" t="str">
        <f>IF(Stock!N133="","",Stock!N133)</f>
        <v/>
      </c>
      <c r="R137" s="13" t="str">
        <f>IF(Stock!O133="","",Stock!O133)</f>
        <v/>
      </c>
      <c r="S137" s="13" t="str">
        <f>IF(Stock!P133="","",Stock!P133)</f>
        <v/>
      </c>
      <c r="T137" s="13" t="str">
        <f>IF(Stock!Q133="","",Stock!Q133)</f>
        <v/>
      </c>
      <c r="U137" s="13" t="str">
        <f>IF(Stock!R133="","",Stock!R133)</f>
        <v/>
      </c>
      <c r="V137" s="13" t="str">
        <f>IF(Stock!S133="","",Stock!S133)</f>
        <v/>
      </c>
      <c r="W137" s="13" t="str">
        <f>IF(Stock!T133="","",Stock!T133)</f>
        <v/>
      </c>
      <c r="X137" s="13" t="str">
        <f>IF(Stock!U133="","",Stock!U133)</f>
        <v/>
      </c>
      <c r="Y137" s="13" t="str">
        <f>IF(Stock!V133="","",Stock!V133)</f>
        <v/>
      </c>
      <c r="Z137" s="13" t="str">
        <f>IF(Stock!W133="","",Stock!W133)</f>
        <v/>
      </c>
      <c r="AA137" s="13" t="str">
        <f>IF(Stock!X133="","",Stock!X133)</f>
        <v/>
      </c>
      <c r="AB137" s="13" t="str">
        <f>IF(Stock!Y133="","",Stock!Y133)</f>
        <v/>
      </c>
      <c r="AC137" s="13" t="str">
        <f>IF(Stock!Z133="","",Stock!Z133)</f>
        <v/>
      </c>
      <c r="AD137" s="13" t="str">
        <f>IF(Stock!AA133="","",Stock!AA133)</f>
        <v/>
      </c>
      <c r="AE137" s="13" t="str">
        <f>IF(Stock!AB133="","",Stock!AB133)</f>
        <v/>
      </c>
      <c r="AF137" s="13" t="str">
        <f>IF(Stock!AC133="","",Stock!AC133)</f>
        <v/>
      </c>
      <c r="AG137" s="13" t="str">
        <f>IF(Stock!AD133="","",Stock!AD133)</f>
        <v/>
      </c>
      <c r="AH137" s="13" t="str">
        <f>IF(Stock!AE133="","",Stock!AE133)</f>
        <v/>
      </c>
      <c r="AI137" s="13" t="str">
        <f>IF(Stock!AF133="","",Stock!AF133)</f>
        <v/>
      </c>
      <c r="AJ137" s="13" t="str">
        <f>IF(Stock!AG133="","",Stock!AG133)</f>
        <v/>
      </c>
      <c r="AK137" s="13" t="str">
        <f>IF(Stock!AH133="","",Stock!AH133)</f>
        <v/>
      </c>
      <c r="AL137" s="13" t="str">
        <f>IF(Stock!AI133="","",Stock!AI133)</f>
        <v/>
      </c>
      <c r="AM137" s="13" t="str">
        <f>IF(Stock!AJ133="","",Stock!AJ133)</f>
        <v/>
      </c>
      <c r="AN137" s="13" t="str">
        <f>IF(Stock!AK133="","",Stock!AK133)</f>
        <v/>
      </c>
      <c r="AO137" s="13" t="str">
        <f>IF(Stock!AL133="","",Stock!AL133)</f>
        <v/>
      </c>
      <c r="AP137" s="13" t="str">
        <f>IF(Stock!AM133="","",Stock!AM133)</f>
        <v/>
      </c>
      <c r="AQ137" s="13" t="str">
        <f>IF(Stock!AN133="","",Stock!AN133)</f>
        <v/>
      </c>
      <c r="AR137" s="13" t="str">
        <f>IF(Stock!AO133="","",Stock!AO133)</f>
        <v/>
      </c>
      <c r="AS137" s="13" t="str">
        <f>IF(Stock!AP133="","",Stock!AP133)</f>
        <v/>
      </c>
      <c r="AT137" s="13" t="str">
        <f>IF(Stock!AQ133="","",Stock!AQ133)</f>
        <v/>
      </c>
      <c r="AU137" s="13" t="str">
        <f>IF(Stock!AR133="","",Stock!AR133)</f>
        <v/>
      </c>
      <c r="AV137" s="13" t="str">
        <f>IF(Stock!AS133="","",Stock!AS133)</f>
        <v/>
      </c>
      <c r="AW137" s="13" t="str">
        <f>IF(Stock!AT133="","",Stock!AT133)</f>
        <v/>
      </c>
      <c r="AX137" s="13" t="str">
        <f>IF(Stock!AU133="","",Stock!AU133)</f>
        <v/>
      </c>
      <c r="AY137" s="13" t="str">
        <f>IF(Stock!AV133="","",Stock!AV133)</f>
        <v/>
      </c>
      <c r="AZ137" s="13" t="str">
        <f>IF(Stock!AW133="","",Stock!AW133)</f>
        <v/>
      </c>
      <c r="BA137" s="13" t="str">
        <f>IF(Stock!AX133="","",Stock!AX133)</f>
        <v/>
      </c>
      <c r="BB137" s="13" t="str">
        <f>IF(Stock!AY133="","",Stock!AY133)</f>
        <v/>
      </c>
      <c r="BC137" s="13" t="str">
        <f>IF(Stock!AZ133="","",Stock!AZ133)</f>
        <v/>
      </c>
      <c r="BD137" s="13" t="str">
        <f>IF(Stock!BA133="","",Stock!BA133)</f>
        <v/>
      </c>
      <c r="BE137" s="13" t="str">
        <f>IF(Stock!BB133="","",Stock!BB133)</f>
        <v/>
      </c>
      <c r="BF137" s="13" t="str">
        <f>IF(Stock!BC133="","",Stock!BC133)</f>
        <v/>
      </c>
    </row>
    <row r="138" spans="2:58" ht="14.25" customHeight="1" x14ac:dyDescent="0.3">
      <c r="B138" s="31"/>
      <c r="E138" s="13" t="str">
        <f>IF(Stock!B134="","",Stock!B134)</f>
        <v/>
      </c>
      <c r="F138" s="13" t="str">
        <f>IF(Stock!C134="","",Stock!C134)</f>
        <v/>
      </c>
      <c r="G138" s="13" t="str">
        <f>IF(Stock!D134="","",Stock!D134)</f>
        <v/>
      </c>
      <c r="H138" s="13" t="str">
        <f>IF(Stock!E134="","",Stock!E134)</f>
        <v/>
      </c>
      <c r="I138" s="13" t="str">
        <f>IF(Stock!F134="","",Stock!F134)</f>
        <v/>
      </c>
      <c r="J138" s="13" t="str">
        <f>IF(Stock!G134="","",Stock!G134)</f>
        <v/>
      </c>
      <c r="K138" s="13" t="str">
        <f>IF(Stock!H134="","",Stock!H134)</f>
        <v/>
      </c>
      <c r="L138" s="13" t="str">
        <f>IF(Stock!I134="","",Stock!I134)</f>
        <v/>
      </c>
      <c r="M138" s="13" t="str">
        <f>IF(Stock!J134="","",Stock!J134)</f>
        <v/>
      </c>
      <c r="N138" s="13" t="str">
        <f>IF(Stock!K134="","",Stock!K134)</f>
        <v/>
      </c>
      <c r="O138" s="13" t="str">
        <f>IF(Stock!L134="","",Stock!L134)</f>
        <v/>
      </c>
      <c r="P138" s="13" t="str">
        <f>IF(Stock!M134="","",Stock!M134)</f>
        <v/>
      </c>
      <c r="Q138" s="13" t="str">
        <f>IF(Stock!N134="","",Stock!N134)</f>
        <v/>
      </c>
      <c r="R138" s="13" t="str">
        <f>IF(Stock!O134="","",Stock!O134)</f>
        <v/>
      </c>
      <c r="S138" s="13" t="str">
        <f>IF(Stock!P134="","",Stock!P134)</f>
        <v/>
      </c>
      <c r="T138" s="13" t="str">
        <f>IF(Stock!Q134="","",Stock!Q134)</f>
        <v/>
      </c>
      <c r="U138" s="13" t="str">
        <f>IF(Stock!R134="","",Stock!R134)</f>
        <v/>
      </c>
      <c r="V138" s="13" t="str">
        <f>IF(Stock!S134="","",Stock!S134)</f>
        <v/>
      </c>
      <c r="W138" s="13" t="str">
        <f>IF(Stock!T134="","",Stock!T134)</f>
        <v/>
      </c>
      <c r="X138" s="13" t="str">
        <f>IF(Stock!U134="","",Stock!U134)</f>
        <v/>
      </c>
      <c r="Y138" s="13" t="str">
        <f>IF(Stock!V134="","",Stock!V134)</f>
        <v/>
      </c>
      <c r="Z138" s="13" t="str">
        <f>IF(Stock!W134="","",Stock!W134)</f>
        <v/>
      </c>
      <c r="AA138" s="13" t="str">
        <f>IF(Stock!X134="","",Stock!X134)</f>
        <v/>
      </c>
      <c r="AB138" s="13" t="str">
        <f>IF(Stock!Y134="","",Stock!Y134)</f>
        <v/>
      </c>
      <c r="AC138" s="13" t="str">
        <f>IF(Stock!Z134="","",Stock!Z134)</f>
        <v/>
      </c>
      <c r="AD138" s="13" t="str">
        <f>IF(Stock!AA134="","",Stock!AA134)</f>
        <v/>
      </c>
      <c r="AE138" s="13" t="str">
        <f>IF(Stock!AB134="","",Stock!AB134)</f>
        <v/>
      </c>
      <c r="AF138" s="13" t="str">
        <f>IF(Stock!AC134="","",Stock!AC134)</f>
        <v/>
      </c>
      <c r="AG138" s="13" t="str">
        <f>IF(Stock!AD134="","",Stock!AD134)</f>
        <v/>
      </c>
      <c r="AH138" s="13" t="str">
        <f>IF(Stock!AE134="","",Stock!AE134)</f>
        <v/>
      </c>
      <c r="AI138" s="13" t="str">
        <f>IF(Stock!AF134="","",Stock!AF134)</f>
        <v/>
      </c>
      <c r="AJ138" s="13" t="str">
        <f>IF(Stock!AG134="","",Stock!AG134)</f>
        <v/>
      </c>
      <c r="AK138" s="13" t="str">
        <f>IF(Stock!AH134="","",Stock!AH134)</f>
        <v/>
      </c>
      <c r="AL138" s="13" t="str">
        <f>IF(Stock!AI134="","",Stock!AI134)</f>
        <v/>
      </c>
      <c r="AM138" s="13" t="str">
        <f>IF(Stock!AJ134="","",Stock!AJ134)</f>
        <v/>
      </c>
      <c r="AN138" s="13" t="str">
        <f>IF(Stock!AK134="","",Stock!AK134)</f>
        <v/>
      </c>
      <c r="AO138" s="13" t="str">
        <f>IF(Stock!AL134="","",Stock!AL134)</f>
        <v/>
      </c>
      <c r="AP138" s="13" t="str">
        <f>IF(Stock!AM134="","",Stock!AM134)</f>
        <v/>
      </c>
      <c r="AQ138" s="13" t="str">
        <f>IF(Stock!AN134="","",Stock!AN134)</f>
        <v/>
      </c>
      <c r="AR138" s="13" t="str">
        <f>IF(Stock!AO134="","",Stock!AO134)</f>
        <v/>
      </c>
      <c r="AS138" s="13" t="str">
        <f>IF(Stock!AP134="","",Stock!AP134)</f>
        <v/>
      </c>
      <c r="AT138" s="13" t="str">
        <f>IF(Stock!AQ134="","",Stock!AQ134)</f>
        <v/>
      </c>
      <c r="AU138" s="13" t="str">
        <f>IF(Stock!AR134="","",Stock!AR134)</f>
        <v/>
      </c>
      <c r="AV138" s="13" t="str">
        <f>IF(Stock!AS134="","",Stock!AS134)</f>
        <v/>
      </c>
      <c r="AW138" s="13" t="str">
        <f>IF(Stock!AT134="","",Stock!AT134)</f>
        <v/>
      </c>
      <c r="AX138" s="13" t="str">
        <f>IF(Stock!AU134="","",Stock!AU134)</f>
        <v/>
      </c>
      <c r="AY138" s="13" t="str">
        <f>IF(Stock!AV134="","",Stock!AV134)</f>
        <v/>
      </c>
      <c r="AZ138" s="13" t="str">
        <f>IF(Stock!AW134="","",Stock!AW134)</f>
        <v/>
      </c>
      <c r="BA138" s="13" t="str">
        <f>IF(Stock!AX134="","",Stock!AX134)</f>
        <v/>
      </c>
      <c r="BB138" s="13" t="str">
        <f>IF(Stock!AY134="","",Stock!AY134)</f>
        <v/>
      </c>
      <c r="BC138" s="13" t="str">
        <f>IF(Stock!AZ134="","",Stock!AZ134)</f>
        <v/>
      </c>
      <c r="BD138" s="13" t="str">
        <f>IF(Stock!BA134="","",Stock!BA134)</f>
        <v/>
      </c>
      <c r="BE138" s="13" t="str">
        <f>IF(Stock!BB134="","",Stock!BB134)</f>
        <v/>
      </c>
      <c r="BF138" s="13" t="str">
        <f>IF(Stock!BC134="","",Stock!BC134)</f>
        <v/>
      </c>
    </row>
    <row r="139" spans="2:58" ht="14.25" customHeight="1" x14ac:dyDescent="0.3">
      <c r="B139" s="31"/>
      <c r="E139" s="13" t="str">
        <f>IF(Stock!B135="","",Stock!B135)</f>
        <v/>
      </c>
      <c r="F139" s="13" t="str">
        <f>IF(Stock!C135="","",Stock!C135)</f>
        <v/>
      </c>
      <c r="G139" s="13" t="str">
        <f>IF(Stock!D135="","",Stock!D135)</f>
        <v/>
      </c>
      <c r="H139" s="13" t="str">
        <f>IF(Stock!E135="","",Stock!E135)</f>
        <v/>
      </c>
      <c r="I139" s="13" t="str">
        <f>IF(Stock!F135="","",Stock!F135)</f>
        <v/>
      </c>
      <c r="J139" s="13" t="str">
        <f>IF(Stock!G135="","",Stock!G135)</f>
        <v/>
      </c>
      <c r="K139" s="13" t="str">
        <f>IF(Stock!H135="","",Stock!H135)</f>
        <v/>
      </c>
      <c r="L139" s="13" t="str">
        <f>IF(Stock!I135="","",Stock!I135)</f>
        <v/>
      </c>
      <c r="M139" s="13" t="str">
        <f>IF(Stock!J135="","",Stock!J135)</f>
        <v/>
      </c>
      <c r="N139" s="13" t="str">
        <f>IF(Stock!K135="","",Stock!K135)</f>
        <v/>
      </c>
      <c r="O139" s="13" t="str">
        <f>IF(Stock!L135="","",Stock!L135)</f>
        <v/>
      </c>
      <c r="P139" s="13" t="str">
        <f>IF(Stock!M135="","",Stock!M135)</f>
        <v/>
      </c>
      <c r="Q139" s="13" t="str">
        <f>IF(Stock!N135="","",Stock!N135)</f>
        <v/>
      </c>
      <c r="R139" s="13" t="str">
        <f>IF(Stock!O135="","",Stock!O135)</f>
        <v/>
      </c>
      <c r="S139" s="13" t="str">
        <f>IF(Stock!P135="","",Stock!P135)</f>
        <v/>
      </c>
      <c r="T139" s="13" t="str">
        <f>IF(Stock!Q135="","",Stock!Q135)</f>
        <v/>
      </c>
      <c r="U139" s="13" t="str">
        <f>IF(Stock!R135="","",Stock!R135)</f>
        <v/>
      </c>
      <c r="V139" s="13" t="str">
        <f>IF(Stock!S135="","",Stock!S135)</f>
        <v/>
      </c>
      <c r="W139" s="13" t="str">
        <f>IF(Stock!T135="","",Stock!T135)</f>
        <v/>
      </c>
      <c r="X139" s="13" t="str">
        <f>IF(Stock!U135="","",Stock!U135)</f>
        <v/>
      </c>
      <c r="Y139" s="13" t="str">
        <f>IF(Stock!V135="","",Stock!V135)</f>
        <v/>
      </c>
      <c r="Z139" s="13" t="str">
        <f>IF(Stock!W135="","",Stock!W135)</f>
        <v/>
      </c>
      <c r="AA139" s="13" t="str">
        <f>IF(Stock!X135="","",Stock!X135)</f>
        <v/>
      </c>
      <c r="AB139" s="13" t="str">
        <f>IF(Stock!Y135="","",Stock!Y135)</f>
        <v/>
      </c>
      <c r="AC139" s="13" t="str">
        <f>IF(Stock!Z135="","",Stock!Z135)</f>
        <v/>
      </c>
      <c r="AD139" s="13" t="str">
        <f>IF(Stock!AA135="","",Stock!AA135)</f>
        <v/>
      </c>
      <c r="AE139" s="13" t="str">
        <f>IF(Stock!AB135="","",Stock!AB135)</f>
        <v/>
      </c>
      <c r="AF139" s="13" t="str">
        <f>IF(Stock!AC135="","",Stock!AC135)</f>
        <v/>
      </c>
      <c r="AG139" s="13" t="str">
        <f>IF(Stock!AD135="","",Stock!AD135)</f>
        <v/>
      </c>
      <c r="AH139" s="13" t="str">
        <f>IF(Stock!AE135="","",Stock!AE135)</f>
        <v/>
      </c>
      <c r="AI139" s="13" t="str">
        <f>IF(Stock!AF135="","",Stock!AF135)</f>
        <v/>
      </c>
      <c r="AJ139" s="13" t="str">
        <f>IF(Stock!AG135="","",Stock!AG135)</f>
        <v/>
      </c>
      <c r="AK139" s="13" t="str">
        <f>IF(Stock!AH135="","",Stock!AH135)</f>
        <v/>
      </c>
      <c r="AL139" s="13" t="str">
        <f>IF(Stock!AI135="","",Stock!AI135)</f>
        <v/>
      </c>
      <c r="AM139" s="13" t="str">
        <f>IF(Stock!AJ135="","",Stock!AJ135)</f>
        <v/>
      </c>
      <c r="AN139" s="13" t="str">
        <f>IF(Stock!AK135="","",Stock!AK135)</f>
        <v/>
      </c>
      <c r="AO139" s="13" t="str">
        <f>IF(Stock!AL135="","",Stock!AL135)</f>
        <v/>
      </c>
      <c r="AP139" s="13" t="str">
        <f>IF(Stock!AM135="","",Stock!AM135)</f>
        <v/>
      </c>
      <c r="AQ139" s="13" t="str">
        <f>IF(Stock!AN135="","",Stock!AN135)</f>
        <v/>
      </c>
      <c r="AR139" s="13" t="str">
        <f>IF(Stock!AO135="","",Stock!AO135)</f>
        <v/>
      </c>
      <c r="AS139" s="13" t="str">
        <f>IF(Stock!AP135="","",Stock!AP135)</f>
        <v/>
      </c>
      <c r="AT139" s="13" t="str">
        <f>IF(Stock!AQ135="","",Stock!AQ135)</f>
        <v/>
      </c>
      <c r="AU139" s="13" t="str">
        <f>IF(Stock!AR135="","",Stock!AR135)</f>
        <v/>
      </c>
      <c r="AV139" s="13" t="str">
        <f>IF(Stock!AS135="","",Stock!AS135)</f>
        <v/>
      </c>
      <c r="AW139" s="13" t="str">
        <f>IF(Stock!AT135="","",Stock!AT135)</f>
        <v/>
      </c>
      <c r="AX139" s="13" t="str">
        <f>IF(Stock!AU135="","",Stock!AU135)</f>
        <v/>
      </c>
      <c r="AY139" s="13" t="str">
        <f>IF(Stock!AV135="","",Stock!AV135)</f>
        <v/>
      </c>
      <c r="AZ139" s="13" t="str">
        <f>IF(Stock!AW135="","",Stock!AW135)</f>
        <v/>
      </c>
      <c r="BA139" s="13" t="str">
        <f>IF(Stock!AX135="","",Stock!AX135)</f>
        <v/>
      </c>
      <c r="BB139" s="13" t="str">
        <f>IF(Stock!AY135="","",Stock!AY135)</f>
        <v/>
      </c>
      <c r="BC139" s="13" t="str">
        <f>IF(Stock!AZ135="","",Stock!AZ135)</f>
        <v/>
      </c>
      <c r="BD139" s="13" t="str">
        <f>IF(Stock!BA135="","",Stock!BA135)</f>
        <v/>
      </c>
      <c r="BE139" s="13" t="str">
        <f>IF(Stock!BB135="","",Stock!BB135)</f>
        <v/>
      </c>
      <c r="BF139" s="13" t="str">
        <f>IF(Stock!BC135="","",Stock!BC135)</f>
        <v/>
      </c>
    </row>
    <row r="140" spans="2:58" ht="14.25" customHeight="1" x14ac:dyDescent="0.3">
      <c r="B140" s="31"/>
      <c r="E140" s="13" t="str">
        <f>IF(Stock!B136="","",Stock!B136)</f>
        <v/>
      </c>
      <c r="F140" s="13" t="str">
        <f>IF(Stock!C136="","",Stock!C136)</f>
        <v/>
      </c>
      <c r="G140" s="13" t="str">
        <f>IF(Stock!D136="","",Stock!D136)</f>
        <v/>
      </c>
      <c r="H140" s="13" t="str">
        <f>IF(Stock!E136="","",Stock!E136)</f>
        <v/>
      </c>
      <c r="I140" s="13" t="str">
        <f>IF(Stock!F136="","",Stock!F136)</f>
        <v/>
      </c>
      <c r="J140" s="13" t="str">
        <f>IF(Stock!G136="","",Stock!G136)</f>
        <v/>
      </c>
      <c r="K140" s="13" t="str">
        <f>IF(Stock!H136="","",Stock!H136)</f>
        <v/>
      </c>
      <c r="L140" s="13" t="str">
        <f>IF(Stock!I136="","",Stock!I136)</f>
        <v/>
      </c>
      <c r="M140" s="13" t="str">
        <f>IF(Stock!J136="","",Stock!J136)</f>
        <v/>
      </c>
      <c r="N140" s="13" t="str">
        <f>IF(Stock!K136="","",Stock!K136)</f>
        <v/>
      </c>
      <c r="O140" s="13" t="str">
        <f>IF(Stock!L136="","",Stock!L136)</f>
        <v/>
      </c>
      <c r="P140" s="13" t="str">
        <f>IF(Stock!M136="","",Stock!M136)</f>
        <v/>
      </c>
      <c r="Q140" s="13" t="str">
        <f>IF(Stock!N136="","",Stock!N136)</f>
        <v/>
      </c>
      <c r="R140" s="13" t="str">
        <f>IF(Stock!O136="","",Stock!O136)</f>
        <v/>
      </c>
      <c r="S140" s="13" t="str">
        <f>IF(Stock!P136="","",Stock!P136)</f>
        <v/>
      </c>
      <c r="T140" s="13" t="str">
        <f>IF(Stock!Q136="","",Stock!Q136)</f>
        <v/>
      </c>
      <c r="U140" s="13" t="str">
        <f>IF(Stock!R136="","",Stock!R136)</f>
        <v/>
      </c>
      <c r="V140" s="13" t="str">
        <f>IF(Stock!S136="","",Stock!S136)</f>
        <v/>
      </c>
      <c r="W140" s="13" t="str">
        <f>IF(Stock!T136="","",Stock!T136)</f>
        <v/>
      </c>
      <c r="X140" s="13" t="str">
        <f>IF(Stock!U136="","",Stock!U136)</f>
        <v/>
      </c>
      <c r="Y140" s="13" t="str">
        <f>IF(Stock!V136="","",Stock!V136)</f>
        <v/>
      </c>
      <c r="Z140" s="13" t="str">
        <f>IF(Stock!W136="","",Stock!W136)</f>
        <v/>
      </c>
      <c r="AA140" s="13" t="str">
        <f>IF(Stock!X136="","",Stock!X136)</f>
        <v/>
      </c>
      <c r="AB140" s="13" t="str">
        <f>IF(Stock!Y136="","",Stock!Y136)</f>
        <v/>
      </c>
      <c r="AC140" s="13" t="str">
        <f>IF(Stock!Z136="","",Stock!Z136)</f>
        <v/>
      </c>
      <c r="AD140" s="13" t="str">
        <f>IF(Stock!AA136="","",Stock!AA136)</f>
        <v/>
      </c>
      <c r="AE140" s="13" t="str">
        <f>IF(Stock!AB136="","",Stock!AB136)</f>
        <v/>
      </c>
      <c r="AF140" s="13" t="str">
        <f>IF(Stock!AC136="","",Stock!AC136)</f>
        <v/>
      </c>
      <c r="AG140" s="13" t="str">
        <f>IF(Stock!AD136="","",Stock!AD136)</f>
        <v/>
      </c>
      <c r="AH140" s="13" t="str">
        <f>IF(Stock!AE136="","",Stock!AE136)</f>
        <v/>
      </c>
      <c r="AI140" s="13" t="str">
        <f>IF(Stock!AF136="","",Stock!AF136)</f>
        <v/>
      </c>
      <c r="AJ140" s="13" t="str">
        <f>IF(Stock!AG136="","",Stock!AG136)</f>
        <v/>
      </c>
      <c r="AK140" s="13" t="str">
        <f>IF(Stock!AH136="","",Stock!AH136)</f>
        <v/>
      </c>
      <c r="AL140" s="13" t="str">
        <f>IF(Stock!AI136="","",Stock!AI136)</f>
        <v/>
      </c>
      <c r="AM140" s="13" t="str">
        <f>IF(Stock!AJ136="","",Stock!AJ136)</f>
        <v/>
      </c>
      <c r="AN140" s="13" t="str">
        <f>IF(Stock!AK136="","",Stock!AK136)</f>
        <v/>
      </c>
      <c r="AO140" s="13" t="str">
        <f>IF(Stock!AL136="","",Stock!AL136)</f>
        <v/>
      </c>
      <c r="AP140" s="13" t="str">
        <f>IF(Stock!AM136="","",Stock!AM136)</f>
        <v/>
      </c>
      <c r="AQ140" s="13" t="str">
        <f>IF(Stock!AN136="","",Stock!AN136)</f>
        <v/>
      </c>
      <c r="AR140" s="13" t="str">
        <f>IF(Stock!AO136="","",Stock!AO136)</f>
        <v/>
      </c>
      <c r="AS140" s="13" t="str">
        <f>IF(Stock!AP136="","",Stock!AP136)</f>
        <v/>
      </c>
      <c r="AT140" s="13" t="str">
        <f>IF(Stock!AQ136="","",Stock!AQ136)</f>
        <v/>
      </c>
      <c r="AU140" s="13" t="str">
        <f>IF(Stock!AR136="","",Stock!AR136)</f>
        <v/>
      </c>
      <c r="AV140" s="13" t="str">
        <f>IF(Stock!AS136="","",Stock!AS136)</f>
        <v/>
      </c>
      <c r="AW140" s="13" t="str">
        <f>IF(Stock!AT136="","",Stock!AT136)</f>
        <v/>
      </c>
      <c r="AX140" s="13" t="str">
        <f>IF(Stock!AU136="","",Stock!AU136)</f>
        <v/>
      </c>
      <c r="AY140" s="13" t="str">
        <f>IF(Stock!AV136="","",Stock!AV136)</f>
        <v/>
      </c>
      <c r="AZ140" s="13" t="str">
        <f>IF(Stock!AW136="","",Stock!AW136)</f>
        <v/>
      </c>
      <c r="BA140" s="13" t="str">
        <f>IF(Stock!AX136="","",Stock!AX136)</f>
        <v/>
      </c>
      <c r="BB140" s="13" t="str">
        <f>IF(Stock!AY136="","",Stock!AY136)</f>
        <v/>
      </c>
      <c r="BC140" s="13" t="str">
        <f>IF(Stock!AZ136="","",Stock!AZ136)</f>
        <v/>
      </c>
      <c r="BD140" s="13" t="str">
        <f>IF(Stock!BA136="","",Stock!BA136)</f>
        <v/>
      </c>
      <c r="BE140" s="13" t="str">
        <f>IF(Stock!BB136="","",Stock!BB136)</f>
        <v/>
      </c>
      <c r="BF140" s="13" t="str">
        <f>IF(Stock!BC136="","",Stock!BC136)</f>
        <v/>
      </c>
    </row>
    <row r="141" spans="2:58" ht="14.25" customHeight="1" x14ac:dyDescent="0.3">
      <c r="B141" s="31"/>
      <c r="E141" s="13" t="str">
        <f>IF(Stock!B137="","",Stock!B137)</f>
        <v/>
      </c>
      <c r="F141" s="13" t="str">
        <f>IF(Stock!C137="","",Stock!C137)</f>
        <v/>
      </c>
      <c r="G141" s="13" t="str">
        <f>IF(Stock!D137="","",Stock!D137)</f>
        <v/>
      </c>
      <c r="H141" s="13" t="str">
        <f>IF(Stock!E137="","",Stock!E137)</f>
        <v/>
      </c>
      <c r="I141" s="13" t="str">
        <f>IF(Stock!F137="","",Stock!F137)</f>
        <v/>
      </c>
      <c r="J141" s="13" t="str">
        <f>IF(Stock!G137="","",Stock!G137)</f>
        <v/>
      </c>
      <c r="K141" s="13" t="str">
        <f>IF(Stock!H137="","",Stock!H137)</f>
        <v/>
      </c>
      <c r="L141" s="13" t="str">
        <f>IF(Stock!I137="","",Stock!I137)</f>
        <v/>
      </c>
      <c r="M141" s="13" t="str">
        <f>IF(Stock!J137="","",Stock!J137)</f>
        <v/>
      </c>
      <c r="N141" s="13" t="str">
        <f>IF(Stock!K137="","",Stock!K137)</f>
        <v/>
      </c>
      <c r="O141" s="13" t="str">
        <f>IF(Stock!L137="","",Stock!L137)</f>
        <v/>
      </c>
      <c r="P141" s="13" t="str">
        <f>IF(Stock!M137="","",Stock!M137)</f>
        <v/>
      </c>
      <c r="Q141" s="13" t="str">
        <f>IF(Stock!N137="","",Stock!N137)</f>
        <v/>
      </c>
      <c r="R141" s="13" t="str">
        <f>IF(Stock!O137="","",Stock!O137)</f>
        <v/>
      </c>
      <c r="S141" s="13" t="str">
        <f>IF(Stock!P137="","",Stock!P137)</f>
        <v/>
      </c>
      <c r="T141" s="13" t="str">
        <f>IF(Stock!Q137="","",Stock!Q137)</f>
        <v/>
      </c>
      <c r="U141" s="13" t="str">
        <f>IF(Stock!R137="","",Stock!R137)</f>
        <v/>
      </c>
      <c r="V141" s="13" t="str">
        <f>IF(Stock!S137="","",Stock!S137)</f>
        <v/>
      </c>
      <c r="W141" s="13" t="str">
        <f>IF(Stock!T137="","",Stock!T137)</f>
        <v/>
      </c>
      <c r="X141" s="13" t="str">
        <f>IF(Stock!U137="","",Stock!U137)</f>
        <v/>
      </c>
      <c r="Y141" s="13" t="str">
        <f>IF(Stock!V137="","",Stock!V137)</f>
        <v/>
      </c>
      <c r="Z141" s="13" t="str">
        <f>IF(Stock!W137="","",Stock!W137)</f>
        <v/>
      </c>
      <c r="AA141" s="13" t="str">
        <f>IF(Stock!X137="","",Stock!X137)</f>
        <v/>
      </c>
      <c r="AB141" s="13" t="str">
        <f>IF(Stock!Y137="","",Stock!Y137)</f>
        <v/>
      </c>
      <c r="AC141" s="13" t="str">
        <f>IF(Stock!Z137="","",Stock!Z137)</f>
        <v/>
      </c>
      <c r="AD141" s="13" t="str">
        <f>IF(Stock!AA137="","",Stock!AA137)</f>
        <v/>
      </c>
      <c r="AE141" s="13" t="str">
        <f>IF(Stock!AB137="","",Stock!AB137)</f>
        <v/>
      </c>
      <c r="AF141" s="13" t="str">
        <f>IF(Stock!AC137="","",Stock!AC137)</f>
        <v/>
      </c>
      <c r="AG141" s="13" t="str">
        <f>IF(Stock!AD137="","",Stock!AD137)</f>
        <v/>
      </c>
      <c r="AH141" s="13" t="str">
        <f>IF(Stock!AE137="","",Stock!AE137)</f>
        <v/>
      </c>
      <c r="AI141" s="13" t="str">
        <f>IF(Stock!AF137="","",Stock!AF137)</f>
        <v/>
      </c>
      <c r="AJ141" s="13" t="str">
        <f>IF(Stock!AG137="","",Stock!AG137)</f>
        <v/>
      </c>
      <c r="AK141" s="13" t="str">
        <f>IF(Stock!AH137="","",Stock!AH137)</f>
        <v/>
      </c>
      <c r="AL141" s="13" t="str">
        <f>IF(Stock!AI137="","",Stock!AI137)</f>
        <v/>
      </c>
      <c r="AM141" s="13" t="str">
        <f>IF(Stock!AJ137="","",Stock!AJ137)</f>
        <v/>
      </c>
      <c r="AN141" s="13" t="str">
        <f>IF(Stock!AK137="","",Stock!AK137)</f>
        <v/>
      </c>
      <c r="AO141" s="13" t="str">
        <f>IF(Stock!AL137="","",Stock!AL137)</f>
        <v/>
      </c>
      <c r="AP141" s="13" t="str">
        <f>IF(Stock!AM137="","",Stock!AM137)</f>
        <v/>
      </c>
      <c r="AQ141" s="13" t="str">
        <f>IF(Stock!AN137="","",Stock!AN137)</f>
        <v/>
      </c>
      <c r="AR141" s="13" t="str">
        <f>IF(Stock!AO137="","",Stock!AO137)</f>
        <v/>
      </c>
      <c r="AS141" s="13" t="str">
        <f>IF(Stock!AP137="","",Stock!AP137)</f>
        <v/>
      </c>
      <c r="AT141" s="13" t="str">
        <f>IF(Stock!AQ137="","",Stock!AQ137)</f>
        <v/>
      </c>
      <c r="AU141" s="13" t="str">
        <f>IF(Stock!AR137="","",Stock!AR137)</f>
        <v/>
      </c>
      <c r="AV141" s="13" t="str">
        <f>IF(Stock!AS137="","",Stock!AS137)</f>
        <v/>
      </c>
      <c r="AW141" s="13" t="str">
        <f>IF(Stock!AT137="","",Stock!AT137)</f>
        <v/>
      </c>
      <c r="AX141" s="13" t="str">
        <f>IF(Stock!AU137="","",Stock!AU137)</f>
        <v/>
      </c>
      <c r="AY141" s="13" t="str">
        <f>IF(Stock!AV137="","",Stock!AV137)</f>
        <v/>
      </c>
      <c r="AZ141" s="13" t="str">
        <f>IF(Stock!AW137="","",Stock!AW137)</f>
        <v/>
      </c>
      <c r="BA141" s="13" t="str">
        <f>IF(Stock!AX137="","",Stock!AX137)</f>
        <v/>
      </c>
      <c r="BB141" s="13" t="str">
        <f>IF(Stock!AY137="","",Stock!AY137)</f>
        <v/>
      </c>
      <c r="BC141" s="13" t="str">
        <f>IF(Stock!AZ137="","",Stock!AZ137)</f>
        <v/>
      </c>
      <c r="BD141" s="13" t="str">
        <f>IF(Stock!BA137="","",Stock!BA137)</f>
        <v/>
      </c>
      <c r="BE141" s="13" t="str">
        <f>IF(Stock!BB137="","",Stock!BB137)</f>
        <v/>
      </c>
      <c r="BF141" s="13" t="str">
        <f>IF(Stock!BC137="","",Stock!BC137)</f>
        <v/>
      </c>
    </row>
    <row r="142" spans="2:58" ht="14.25" customHeight="1" x14ac:dyDescent="0.3">
      <c r="B142" s="31"/>
      <c r="E142" s="13" t="str">
        <f>IF(Stock!B138="","",Stock!B138)</f>
        <v/>
      </c>
      <c r="F142" s="13" t="str">
        <f>IF(Stock!C138="","",Stock!C138)</f>
        <v/>
      </c>
      <c r="G142" s="13" t="str">
        <f>IF(Stock!D138="","",Stock!D138)</f>
        <v/>
      </c>
      <c r="H142" s="13" t="str">
        <f>IF(Stock!E138="","",Stock!E138)</f>
        <v/>
      </c>
      <c r="I142" s="13" t="str">
        <f>IF(Stock!F138="","",Stock!F138)</f>
        <v/>
      </c>
      <c r="J142" s="13" t="str">
        <f>IF(Stock!G138="","",Stock!G138)</f>
        <v/>
      </c>
      <c r="K142" s="13" t="str">
        <f>IF(Stock!H138="","",Stock!H138)</f>
        <v/>
      </c>
      <c r="L142" s="13" t="str">
        <f>IF(Stock!I138="","",Stock!I138)</f>
        <v/>
      </c>
      <c r="M142" s="13" t="str">
        <f>IF(Stock!J138="","",Stock!J138)</f>
        <v/>
      </c>
      <c r="N142" s="13" t="str">
        <f>IF(Stock!K138="","",Stock!K138)</f>
        <v/>
      </c>
      <c r="O142" s="13" t="str">
        <f>IF(Stock!L138="","",Stock!L138)</f>
        <v/>
      </c>
      <c r="P142" s="13" t="str">
        <f>IF(Stock!M138="","",Stock!M138)</f>
        <v/>
      </c>
      <c r="Q142" s="13" t="str">
        <f>IF(Stock!N138="","",Stock!N138)</f>
        <v/>
      </c>
      <c r="R142" s="13" t="str">
        <f>IF(Stock!O138="","",Stock!O138)</f>
        <v/>
      </c>
      <c r="S142" s="13" t="str">
        <f>IF(Stock!P138="","",Stock!P138)</f>
        <v/>
      </c>
      <c r="T142" s="13" t="str">
        <f>IF(Stock!Q138="","",Stock!Q138)</f>
        <v/>
      </c>
      <c r="U142" s="13" t="str">
        <f>IF(Stock!R138="","",Stock!R138)</f>
        <v/>
      </c>
      <c r="V142" s="13" t="str">
        <f>IF(Stock!S138="","",Stock!S138)</f>
        <v/>
      </c>
      <c r="W142" s="13" t="str">
        <f>IF(Stock!T138="","",Stock!T138)</f>
        <v/>
      </c>
      <c r="X142" s="13" t="str">
        <f>IF(Stock!U138="","",Stock!U138)</f>
        <v/>
      </c>
      <c r="Y142" s="13" t="str">
        <f>IF(Stock!V138="","",Stock!V138)</f>
        <v/>
      </c>
      <c r="Z142" s="13" t="str">
        <f>IF(Stock!W138="","",Stock!W138)</f>
        <v/>
      </c>
      <c r="AA142" s="13" t="str">
        <f>IF(Stock!X138="","",Stock!X138)</f>
        <v/>
      </c>
      <c r="AB142" s="13" t="str">
        <f>IF(Stock!Y138="","",Stock!Y138)</f>
        <v/>
      </c>
      <c r="AC142" s="13" t="str">
        <f>IF(Stock!Z138="","",Stock!Z138)</f>
        <v/>
      </c>
      <c r="AD142" s="13" t="str">
        <f>IF(Stock!AA138="","",Stock!AA138)</f>
        <v/>
      </c>
      <c r="AE142" s="13" t="str">
        <f>IF(Stock!AB138="","",Stock!AB138)</f>
        <v/>
      </c>
      <c r="AF142" s="13" t="str">
        <f>IF(Stock!AC138="","",Stock!AC138)</f>
        <v/>
      </c>
      <c r="AG142" s="13" t="str">
        <f>IF(Stock!AD138="","",Stock!AD138)</f>
        <v/>
      </c>
      <c r="AH142" s="13" t="str">
        <f>IF(Stock!AE138="","",Stock!AE138)</f>
        <v/>
      </c>
      <c r="AI142" s="13" t="str">
        <f>IF(Stock!AF138="","",Stock!AF138)</f>
        <v/>
      </c>
      <c r="AJ142" s="13" t="str">
        <f>IF(Stock!AG138="","",Stock!AG138)</f>
        <v/>
      </c>
      <c r="AK142" s="13" t="str">
        <f>IF(Stock!AH138="","",Stock!AH138)</f>
        <v/>
      </c>
      <c r="AL142" s="13" t="str">
        <f>IF(Stock!AI138="","",Stock!AI138)</f>
        <v/>
      </c>
      <c r="AM142" s="13" t="str">
        <f>IF(Stock!AJ138="","",Stock!AJ138)</f>
        <v/>
      </c>
      <c r="AN142" s="13" t="str">
        <f>IF(Stock!AK138="","",Stock!AK138)</f>
        <v/>
      </c>
      <c r="AO142" s="13" t="str">
        <f>IF(Stock!AL138="","",Stock!AL138)</f>
        <v/>
      </c>
      <c r="AP142" s="13" t="str">
        <f>IF(Stock!AM138="","",Stock!AM138)</f>
        <v/>
      </c>
      <c r="AQ142" s="13" t="str">
        <f>IF(Stock!AN138="","",Stock!AN138)</f>
        <v/>
      </c>
      <c r="AR142" s="13" t="str">
        <f>IF(Stock!AO138="","",Stock!AO138)</f>
        <v/>
      </c>
      <c r="AS142" s="13" t="str">
        <f>IF(Stock!AP138="","",Stock!AP138)</f>
        <v/>
      </c>
      <c r="AT142" s="13" t="str">
        <f>IF(Stock!AQ138="","",Stock!AQ138)</f>
        <v/>
      </c>
      <c r="AU142" s="13" t="str">
        <f>IF(Stock!AR138="","",Stock!AR138)</f>
        <v/>
      </c>
      <c r="AV142" s="13" t="str">
        <f>IF(Stock!AS138="","",Stock!AS138)</f>
        <v/>
      </c>
      <c r="AW142" s="13" t="str">
        <f>IF(Stock!AT138="","",Stock!AT138)</f>
        <v/>
      </c>
      <c r="AX142" s="13" t="str">
        <f>IF(Stock!AU138="","",Stock!AU138)</f>
        <v/>
      </c>
      <c r="AY142" s="13" t="str">
        <f>IF(Stock!AV138="","",Stock!AV138)</f>
        <v/>
      </c>
      <c r="AZ142" s="13" t="str">
        <f>IF(Stock!AW138="","",Stock!AW138)</f>
        <v/>
      </c>
      <c r="BA142" s="13" t="str">
        <f>IF(Stock!AX138="","",Stock!AX138)</f>
        <v/>
      </c>
      <c r="BB142" s="13" t="str">
        <f>IF(Stock!AY138="","",Stock!AY138)</f>
        <v/>
      </c>
      <c r="BC142" s="13" t="str">
        <f>IF(Stock!AZ138="","",Stock!AZ138)</f>
        <v/>
      </c>
      <c r="BD142" s="13" t="str">
        <f>IF(Stock!BA138="","",Stock!BA138)</f>
        <v/>
      </c>
      <c r="BE142" s="13" t="str">
        <f>IF(Stock!BB138="","",Stock!BB138)</f>
        <v/>
      </c>
      <c r="BF142" s="13" t="str">
        <f>IF(Stock!BC138="","",Stock!BC138)</f>
        <v/>
      </c>
    </row>
    <row r="143" spans="2:58" ht="14.25" customHeight="1" x14ac:dyDescent="0.3">
      <c r="B143" s="31"/>
      <c r="E143" s="13" t="str">
        <f>IF(Stock!B139="","",Stock!B139)</f>
        <v/>
      </c>
      <c r="F143" s="13" t="str">
        <f>IF(Stock!C139="","",Stock!C139)</f>
        <v/>
      </c>
      <c r="G143" s="13" t="str">
        <f>IF(Stock!D139="","",Stock!D139)</f>
        <v/>
      </c>
      <c r="H143" s="13" t="str">
        <f>IF(Stock!E139="","",Stock!E139)</f>
        <v/>
      </c>
      <c r="I143" s="13" t="str">
        <f>IF(Stock!F139="","",Stock!F139)</f>
        <v/>
      </c>
      <c r="J143" s="13" t="str">
        <f>IF(Stock!G139="","",Stock!G139)</f>
        <v/>
      </c>
      <c r="K143" s="13" t="str">
        <f>IF(Stock!H139="","",Stock!H139)</f>
        <v/>
      </c>
      <c r="L143" s="13" t="str">
        <f>IF(Stock!I139="","",Stock!I139)</f>
        <v/>
      </c>
      <c r="M143" s="13" t="str">
        <f>IF(Stock!J139="","",Stock!J139)</f>
        <v/>
      </c>
      <c r="N143" s="13" t="str">
        <f>IF(Stock!K139="","",Stock!K139)</f>
        <v/>
      </c>
      <c r="O143" s="13" t="str">
        <f>IF(Stock!L139="","",Stock!L139)</f>
        <v/>
      </c>
      <c r="P143" s="13" t="str">
        <f>IF(Stock!M139="","",Stock!M139)</f>
        <v/>
      </c>
      <c r="Q143" s="13" t="str">
        <f>IF(Stock!N139="","",Stock!N139)</f>
        <v/>
      </c>
      <c r="R143" s="13" t="str">
        <f>IF(Stock!O139="","",Stock!O139)</f>
        <v/>
      </c>
      <c r="S143" s="13" t="str">
        <f>IF(Stock!P139="","",Stock!P139)</f>
        <v/>
      </c>
      <c r="T143" s="13" t="str">
        <f>IF(Stock!Q139="","",Stock!Q139)</f>
        <v/>
      </c>
      <c r="U143" s="13" t="str">
        <f>IF(Stock!R139="","",Stock!R139)</f>
        <v/>
      </c>
      <c r="V143" s="13" t="str">
        <f>IF(Stock!S139="","",Stock!S139)</f>
        <v/>
      </c>
      <c r="W143" s="13" t="str">
        <f>IF(Stock!T139="","",Stock!T139)</f>
        <v/>
      </c>
      <c r="X143" s="13" t="str">
        <f>IF(Stock!U139="","",Stock!U139)</f>
        <v/>
      </c>
      <c r="Y143" s="13" t="str">
        <f>IF(Stock!V139="","",Stock!V139)</f>
        <v/>
      </c>
      <c r="Z143" s="13" t="str">
        <f>IF(Stock!W139="","",Stock!W139)</f>
        <v/>
      </c>
      <c r="AA143" s="13" t="str">
        <f>IF(Stock!X139="","",Stock!X139)</f>
        <v/>
      </c>
      <c r="AB143" s="13" t="str">
        <f>IF(Stock!Y139="","",Stock!Y139)</f>
        <v/>
      </c>
      <c r="AC143" s="13" t="str">
        <f>IF(Stock!Z139="","",Stock!Z139)</f>
        <v/>
      </c>
      <c r="AD143" s="13" t="str">
        <f>IF(Stock!AA139="","",Stock!AA139)</f>
        <v/>
      </c>
      <c r="AE143" s="13" t="str">
        <f>IF(Stock!AB139="","",Stock!AB139)</f>
        <v/>
      </c>
      <c r="AF143" s="13" t="str">
        <f>IF(Stock!AC139="","",Stock!AC139)</f>
        <v/>
      </c>
      <c r="AG143" s="13" t="str">
        <f>IF(Stock!AD139="","",Stock!AD139)</f>
        <v/>
      </c>
      <c r="AH143" s="13" t="str">
        <f>IF(Stock!AE139="","",Stock!AE139)</f>
        <v/>
      </c>
      <c r="AI143" s="13" t="str">
        <f>IF(Stock!AF139="","",Stock!AF139)</f>
        <v/>
      </c>
      <c r="AJ143" s="13" t="str">
        <f>IF(Stock!AG139="","",Stock!AG139)</f>
        <v/>
      </c>
      <c r="AK143" s="13" t="str">
        <f>IF(Stock!AH139="","",Stock!AH139)</f>
        <v/>
      </c>
      <c r="AL143" s="13" t="str">
        <f>IF(Stock!AI139="","",Stock!AI139)</f>
        <v/>
      </c>
      <c r="AM143" s="13" t="str">
        <f>IF(Stock!AJ139="","",Stock!AJ139)</f>
        <v/>
      </c>
      <c r="AN143" s="13" t="str">
        <f>IF(Stock!AK139="","",Stock!AK139)</f>
        <v/>
      </c>
      <c r="AO143" s="13" t="str">
        <f>IF(Stock!AL139="","",Stock!AL139)</f>
        <v/>
      </c>
      <c r="AP143" s="13" t="str">
        <f>IF(Stock!AM139="","",Stock!AM139)</f>
        <v/>
      </c>
      <c r="AQ143" s="13" t="str">
        <f>IF(Stock!AN139="","",Stock!AN139)</f>
        <v/>
      </c>
      <c r="AR143" s="13" t="str">
        <f>IF(Stock!AO139="","",Stock!AO139)</f>
        <v/>
      </c>
      <c r="AS143" s="13" t="str">
        <f>IF(Stock!AP139="","",Stock!AP139)</f>
        <v/>
      </c>
      <c r="AT143" s="13" t="str">
        <f>IF(Stock!AQ139="","",Stock!AQ139)</f>
        <v/>
      </c>
      <c r="AU143" s="13" t="str">
        <f>IF(Stock!AR139="","",Stock!AR139)</f>
        <v/>
      </c>
      <c r="AV143" s="13" t="str">
        <f>IF(Stock!AS139="","",Stock!AS139)</f>
        <v/>
      </c>
      <c r="AW143" s="13" t="str">
        <f>IF(Stock!AT139="","",Stock!AT139)</f>
        <v/>
      </c>
      <c r="AX143" s="13" t="str">
        <f>IF(Stock!AU139="","",Stock!AU139)</f>
        <v/>
      </c>
      <c r="AY143" s="13" t="str">
        <f>IF(Stock!AV139="","",Stock!AV139)</f>
        <v/>
      </c>
      <c r="AZ143" s="13" t="str">
        <f>IF(Stock!AW139="","",Stock!AW139)</f>
        <v/>
      </c>
      <c r="BA143" s="13" t="str">
        <f>IF(Stock!AX139="","",Stock!AX139)</f>
        <v/>
      </c>
      <c r="BB143" s="13" t="str">
        <f>IF(Stock!AY139="","",Stock!AY139)</f>
        <v/>
      </c>
      <c r="BC143" s="13" t="str">
        <f>IF(Stock!AZ139="","",Stock!AZ139)</f>
        <v/>
      </c>
      <c r="BD143" s="13" t="str">
        <f>IF(Stock!BA139="","",Stock!BA139)</f>
        <v/>
      </c>
      <c r="BE143" s="13" t="str">
        <f>IF(Stock!BB139="","",Stock!BB139)</f>
        <v/>
      </c>
      <c r="BF143" s="13" t="str">
        <f>IF(Stock!BC139="","",Stock!BC139)</f>
        <v/>
      </c>
    </row>
    <row r="144" spans="2:58" ht="14.25" customHeight="1" x14ac:dyDescent="0.3">
      <c r="B144" s="31"/>
      <c r="E144" s="13" t="str">
        <f>IF(Stock!B140="","",Stock!B140)</f>
        <v/>
      </c>
      <c r="F144" s="13" t="str">
        <f>IF(Stock!C140="","",Stock!C140)</f>
        <v/>
      </c>
      <c r="G144" s="13" t="str">
        <f>IF(Stock!D140="","",Stock!D140)</f>
        <v/>
      </c>
      <c r="H144" s="13" t="str">
        <f>IF(Stock!E140="","",Stock!E140)</f>
        <v/>
      </c>
      <c r="I144" s="13" t="str">
        <f>IF(Stock!F140="","",Stock!F140)</f>
        <v/>
      </c>
      <c r="J144" s="13" t="str">
        <f>IF(Stock!G140="","",Stock!G140)</f>
        <v/>
      </c>
      <c r="K144" s="13" t="str">
        <f>IF(Stock!H140="","",Stock!H140)</f>
        <v/>
      </c>
      <c r="L144" s="13" t="str">
        <f>IF(Stock!I140="","",Stock!I140)</f>
        <v/>
      </c>
      <c r="M144" s="13" t="str">
        <f>IF(Stock!J140="","",Stock!J140)</f>
        <v/>
      </c>
      <c r="N144" s="13" t="str">
        <f>IF(Stock!K140="","",Stock!K140)</f>
        <v/>
      </c>
      <c r="O144" s="13" t="str">
        <f>IF(Stock!L140="","",Stock!L140)</f>
        <v/>
      </c>
      <c r="P144" s="13" t="str">
        <f>IF(Stock!M140="","",Stock!M140)</f>
        <v/>
      </c>
      <c r="Q144" s="13" t="str">
        <f>IF(Stock!N140="","",Stock!N140)</f>
        <v/>
      </c>
      <c r="R144" s="13" t="str">
        <f>IF(Stock!O140="","",Stock!O140)</f>
        <v/>
      </c>
      <c r="S144" s="13" t="str">
        <f>IF(Stock!P140="","",Stock!P140)</f>
        <v/>
      </c>
      <c r="T144" s="13" t="str">
        <f>IF(Stock!Q140="","",Stock!Q140)</f>
        <v/>
      </c>
      <c r="U144" s="13" t="str">
        <f>IF(Stock!R140="","",Stock!R140)</f>
        <v/>
      </c>
      <c r="V144" s="13" t="str">
        <f>IF(Stock!S140="","",Stock!S140)</f>
        <v/>
      </c>
      <c r="W144" s="13" t="str">
        <f>IF(Stock!T140="","",Stock!T140)</f>
        <v/>
      </c>
      <c r="X144" s="13" t="str">
        <f>IF(Stock!U140="","",Stock!U140)</f>
        <v/>
      </c>
      <c r="Y144" s="13" t="str">
        <f>IF(Stock!V140="","",Stock!V140)</f>
        <v/>
      </c>
      <c r="Z144" s="13" t="str">
        <f>IF(Stock!W140="","",Stock!W140)</f>
        <v/>
      </c>
      <c r="AA144" s="13" t="str">
        <f>IF(Stock!X140="","",Stock!X140)</f>
        <v/>
      </c>
      <c r="AB144" s="13" t="str">
        <f>IF(Stock!Y140="","",Stock!Y140)</f>
        <v/>
      </c>
      <c r="AC144" s="13" t="str">
        <f>IF(Stock!Z140="","",Stock!Z140)</f>
        <v/>
      </c>
      <c r="AD144" s="13" t="str">
        <f>IF(Stock!AA140="","",Stock!AA140)</f>
        <v/>
      </c>
      <c r="AE144" s="13" t="str">
        <f>IF(Stock!AB140="","",Stock!AB140)</f>
        <v/>
      </c>
      <c r="AF144" s="13" t="str">
        <f>IF(Stock!AC140="","",Stock!AC140)</f>
        <v/>
      </c>
      <c r="AG144" s="13" t="str">
        <f>IF(Stock!AD140="","",Stock!AD140)</f>
        <v/>
      </c>
      <c r="AH144" s="13" t="str">
        <f>IF(Stock!AE140="","",Stock!AE140)</f>
        <v/>
      </c>
      <c r="AI144" s="13" t="str">
        <f>IF(Stock!AF140="","",Stock!AF140)</f>
        <v/>
      </c>
      <c r="AJ144" s="13" t="str">
        <f>IF(Stock!AG140="","",Stock!AG140)</f>
        <v/>
      </c>
      <c r="AK144" s="13" t="str">
        <f>IF(Stock!AH140="","",Stock!AH140)</f>
        <v/>
      </c>
      <c r="AL144" s="13" t="str">
        <f>IF(Stock!AI140="","",Stock!AI140)</f>
        <v/>
      </c>
      <c r="AM144" s="13" t="str">
        <f>IF(Stock!AJ140="","",Stock!AJ140)</f>
        <v/>
      </c>
      <c r="AN144" s="13" t="str">
        <f>IF(Stock!AK140="","",Stock!AK140)</f>
        <v/>
      </c>
      <c r="AO144" s="13" t="str">
        <f>IF(Stock!AL140="","",Stock!AL140)</f>
        <v/>
      </c>
      <c r="AP144" s="13" t="str">
        <f>IF(Stock!AM140="","",Stock!AM140)</f>
        <v/>
      </c>
      <c r="AQ144" s="13" t="str">
        <f>IF(Stock!AN140="","",Stock!AN140)</f>
        <v/>
      </c>
      <c r="AR144" s="13" t="str">
        <f>IF(Stock!AO140="","",Stock!AO140)</f>
        <v/>
      </c>
      <c r="AS144" s="13" t="str">
        <f>IF(Stock!AP140="","",Stock!AP140)</f>
        <v/>
      </c>
      <c r="AT144" s="13" t="str">
        <f>IF(Stock!AQ140="","",Stock!AQ140)</f>
        <v/>
      </c>
      <c r="AU144" s="13" t="str">
        <f>IF(Stock!AR140="","",Stock!AR140)</f>
        <v/>
      </c>
      <c r="AV144" s="13" t="str">
        <f>IF(Stock!AS140="","",Stock!AS140)</f>
        <v/>
      </c>
      <c r="AW144" s="13" t="str">
        <f>IF(Stock!AT140="","",Stock!AT140)</f>
        <v/>
      </c>
      <c r="AX144" s="13" t="str">
        <f>IF(Stock!AU140="","",Stock!AU140)</f>
        <v/>
      </c>
      <c r="AY144" s="13" t="str">
        <f>IF(Stock!AV140="","",Stock!AV140)</f>
        <v/>
      </c>
      <c r="AZ144" s="13" t="str">
        <f>IF(Stock!AW140="","",Stock!AW140)</f>
        <v/>
      </c>
      <c r="BA144" s="13" t="str">
        <f>IF(Stock!AX140="","",Stock!AX140)</f>
        <v/>
      </c>
      <c r="BB144" s="13" t="str">
        <f>IF(Stock!AY140="","",Stock!AY140)</f>
        <v/>
      </c>
      <c r="BC144" s="13" t="str">
        <f>IF(Stock!AZ140="","",Stock!AZ140)</f>
        <v/>
      </c>
      <c r="BD144" s="13" t="str">
        <f>IF(Stock!BA140="","",Stock!BA140)</f>
        <v/>
      </c>
      <c r="BE144" s="13" t="str">
        <f>IF(Stock!BB140="","",Stock!BB140)</f>
        <v/>
      </c>
      <c r="BF144" s="13" t="str">
        <f>IF(Stock!BC140="","",Stock!BC140)</f>
        <v/>
      </c>
    </row>
    <row r="145" spans="2:58" ht="14.25" customHeight="1" x14ac:dyDescent="0.3">
      <c r="B145" s="31"/>
      <c r="E145" s="13" t="str">
        <f>IF(Stock!B141="","",Stock!B141)</f>
        <v/>
      </c>
      <c r="F145" s="13" t="str">
        <f>IF(Stock!C141="","",Stock!C141)</f>
        <v/>
      </c>
      <c r="G145" s="13" t="str">
        <f>IF(Stock!D141="","",Stock!D141)</f>
        <v/>
      </c>
      <c r="H145" s="13" t="str">
        <f>IF(Stock!E141="","",Stock!E141)</f>
        <v/>
      </c>
      <c r="I145" s="13" t="str">
        <f>IF(Stock!F141="","",Stock!F141)</f>
        <v/>
      </c>
      <c r="J145" s="13" t="str">
        <f>IF(Stock!G141="","",Stock!G141)</f>
        <v/>
      </c>
      <c r="K145" s="13" t="str">
        <f>IF(Stock!H141="","",Stock!H141)</f>
        <v/>
      </c>
      <c r="L145" s="13" t="str">
        <f>IF(Stock!I141="","",Stock!I141)</f>
        <v/>
      </c>
      <c r="M145" s="13" t="str">
        <f>IF(Stock!J141="","",Stock!J141)</f>
        <v/>
      </c>
      <c r="N145" s="13" t="str">
        <f>IF(Stock!K141="","",Stock!K141)</f>
        <v/>
      </c>
      <c r="O145" s="13" t="str">
        <f>IF(Stock!L141="","",Stock!L141)</f>
        <v/>
      </c>
      <c r="P145" s="13" t="str">
        <f>IF(Stock!M141="","",Stock!M141)</f>
        <v/>
      </c>
      <c r="Q145" s="13" t="str">
        <f>IF(Stock!N141="","",Stock!N141)</f>
        <v/>
      </c>
      <c r="R145" s="13" t="str">
        <f>IF(Stock!O141="","",Stock!O141)</f>
        <v/>
      </c>
      <c r="S145" s="13" t="str">
        <f>IF(Stock!P141="","",Stock!P141)</f>
        <v/>
      </c>
      <c r="T145" s="13" t="str">
        <f>IF(Stock!Q141="","",Stock!Q141)</f>
        <v/>
      </c>
      <c r="U145" s="13" t="str">
        <f>IF(Stock!R141="","",Stock!R141)</f>
        <v/>
      </c>
      <c r="V145" s="13" t="str">
        <f>IF(Stock!S141="","",Stock!S141)</f>
        <v/>
      </c>
      <c r="W145" s="13" t="str">
        <f>IF(Stock!T141="","",Stock!T141)</f>
        <v/>
      </c>
      <c r="X145" s="13" t="str">
        <f>IF(Stock!U141="","",Stock!U141)</f>
        <v/>
      </c>
      <c r="Y145" s="13" t="str">
        <f>IF(Stock!V141="","",Stock!V141)</f>
        <v/>
      </c>
      <c r="Z145" s="13" t="str">
        <f>IF(Stock!W141="","",Stock!W141)</f>
        <v/>
      </c>
      <c r="AA145" s="13" t="str">
        <f>IF(Stock!X141="","",Stock!X141)</f>
        <v/>
      </c>
      <c r="AB145" s="13" t="str">
        <f>IF(Stock!Y141="","",Stock!Y141)</f>
        <v/>
      </c>
      <c r="AC145" s="13" t="str">
        <f>IF(Stock!Z141="","",Stock!Z141)</f>
        <v/>
      </c>
      <c r="AD145" s="13" t="str">
        <f>IF(Stock!AA141="","",Stock!AA141)</f>
        <v/>
      </c>
      <c r="AE145" s="13" t="str">
        <f>IF(Stock!AB141="","",Stock!AB141)</f>
        <v/>
      </c>
      <c r="AF145" s="13" t="str">
        <f>IF(Stock!AC141="","",Stock!AC141)</f>
        <v/>
      </c>
      <c r="AG145" s="13" t="str">
        <f>IF(Stock!AD141="","",Stock!AD141)</f>
        <v/>
      </c>
      <c r="AH145" s="13" t="str">
        <f>IF(Stock!AE141="","",Stock!AE141)</f>
        <v/>
      </c>
      <c r="AI145" s="13" t="str">
        <f>IF(Stock!AF141="","",Stock!AF141)</f>
        <v/>
      </c>
      <c r="AJ145" s="13" t="str">
        <f>IF(Stock!AG141="","",Stock!AG141)</f>
        <v/>
      </c>
      <c r="AK145" s="13" t="str">
        <f>IF(Stock!AH141="","",Stock!AH141)</f>
        <v/>
      </c>
      <c r="AL145" s="13" t="str">
        <f>IF(Stock!AI141="","",Stock!AI141)</f>
        <v/>
      </c>
      <c r="AM145" s="13" t="str">
        <f>IF(Stock!AJ141="","",Stock!AJ141)</f>
        <v/>
      </c>
      <c r="AN145" s="13" t="str">
        <f>IF(Stock!AK141="","",Stock!AK141)</f>
        <v/>
      </c>
      <c r="AO145" s="13" t="str">
        <f>IF(Stock!AL141="","",Stock!AL141)</f>
        <v/>
      </c>
      <c r="AP145" s="13" t="str">
        <f>IF(Stock!AM141="","",Stock!AM141)</f>
        <v/>
      </c>
      <c r="AQ145" s="13" t="str">
        <f>IF(Stock!AN141="","",Stock!AN141)</f>
        <v/>
      </c>
      <c r="AR145" s="13" t="str">
        <f>IF(Stock!AO141="","",Stock!AO141)</f>
        <v/>
      </c>
      <c r="AS145" s="13" t="str">
        <f>IF(Stock!AP141="","",Stock!AP141)</f>
        <v/>
      </c>
      <c r="AT145" s="13" t="str">
        <f>IF(Stock!AQ141="","",Stock!AQ141)</f>
        <v/>
      </c>
      <c r="AU145" s="13" t="str">
        <f>IF(Stock!AR141="","",Stock!AR141)</f>
        <v/>
      </c>
      <c r="AV145" s="13" t="str">
        <f>IF(Stock!AS141="","",Stock!AS141)</f>
        <v/>
      </c>
      <c r="AW145" s="13" t="str">
        <f>IF(Stock!AT141="","",Stock!AT141)</f>
        <v/>
      </c>
      <c r="AX145" s="13" t="str">
        <f>IF(Stock!AU141="","",Stock!AU141)</f>
        <v/>
      </c>
      <c r="AY145" s="13" t="str">
        <f>IF(Stock!AV141="","",Stock!AV141)</f>
        <v/>
      </c>
      <c r="AZ145" s="13" t="str">
        <f>IF(Stock!AW141="","",Stock!AW141)</f>
        <v/>
      </c>
      <c r="BA145" s="13" t="str">
        <f>IF(Stock!AX141="","",Stock!AX141)</f>
        <v/>
      </c>
      <c r="BB145" s="13" t="str">
        <f>IF(Stock!AY141="","",Stock!AY141)</f>
        <v/>
      </c>
      <c r="BC145" s="13" t="str">
        <f>IF(Stock!AZ141="","",Stock!AZ141)</f>
        <v/>
      </c>
      <c r="BD145" s="13" t="str">
        <f>IF(Stock!BA141="","",Stock!BA141)</f>
        <v/>
      </c>
      <c r="BE145" s="13" t="str">
        <f>IF(Stock!BB141="","",Stock!BB141)</f>
        <v/>
      </c>
      <c r="BF145" s="13" t="str">
        <f>IF(Stock!BC141="","",Stock!BC141)</f>
        <v/>
      </c>
    </row>
    <row r="146" spans="2:58" ht="14.25" customHeight="1" x14ac:dyDescent="0.3">
      <c r="B146" s="31"/>
      <c r="E146" s="13" t="str">
        <f>IF(Stock!B142="","",Stock!B142)</f>
        <v/>
      </c>
      <c r="F146" s="13" t="str">
        <f>IF(Stock!C142="","",Stock!C142)</f>
        <v/>
      </c>
      <c r="G146" s="13" t="str">
        <f>IF(Stock!D142="","",Stock!D142)</f>
        <v/>
      </c>
      <c r="H146" s="13" t="str">
        <f>IF(Stock!E142="","",Stock!E142)</f>
        <v/>
      </c>
      <c r="I146" s="13" t="str">
        <f>IF(Stock!F142="","",Stock!F142)</f>
        <v/>
      </c>
      <c r="J146" s="13" t="str">
        <f>IF(Stock!G142="","",Stock!G142)</f>
        <v/>
      </c>
      <c r="K146" s="13" t="str">
        <f>IF(Stock!H142="","",Stock!H142)</f>
        <v/>
      </c>
      <c r="L146" s="13" t="str">
        <f>IF(Stock!I142="","",Stock!I142)</f>
        <v/>
      </c>
      <c r="M146" s="13" t="str">
        <f>IF(Stock!J142="","",Stock!J142)</f>
        <v/>
      </c>
      <c r="N146" s="13" t="str">
        <f>IF(Stock!K142="","",Stock!K142)</f>
        <v/>
      </c>
      <c r="O146" s="13" t="str">
        <f>IF(Stock!L142="","",Stock!L142)</f>
        <v/>
      </c>
      <c r="P146" s="13" t="str">
        <f>IF(Stock!M142="","",Stock!M142)</f>
        <v/>
      </c>
      <c r="Q146" s="13" t="str">
        <f>IF(Stock!N142="","",Stock!N142)</f>
        <v/>
      </c>
      <c r="R146" s="13" t="str">
        <f>IF(Stock!O142="","",Stock!O142)</f>
        <v/>
      </c>
      <c r="S146" s="13" t="str">
        <f>IF(Stock!P142="","",Stock!P142)</f>
        <v/>
      </c>
      <c r="T146" s="13" t="str">
        <f>IF(Stock!Q142="","",Stock!Q142)</f>
        <v/>
      </c>
      <c r="U146" s="13" t="str">
        <f>IF(Stock!R142="","",Stock!R142)</f>
        <v/>
      </c>
      <c r="V146" s="13" t="str">
        <f>IF(Stock!S142="","",Stock!S142)</f>
        <v/>
      </c>
      <c r="W146" s="13" t="str">
        <f>IF(Stock!T142="","",Stock!T142)</f>
        <v/>
      </c>
      <c r="X146" s="13" t="str">
        <f>IF(Stock!U142="","",Stock!U142)</f>
        <v/>
      </c>
      <c r="Y146" s="13" t="str">
        <f>IF(Stock!V142="","",Stock!V142)</f>
        <v/>
      </c>
      <c r="Z146" s="13" t="str">
        <f>IF(Stock!W142="","",Stock!W142)</f>
        <v/>
      </c>
      <c r="AA146" s="13" t="str">
        <f>IF(Stock!X142="","",Stock!X142)</f>
        <v/>
      </c>
      <c r="AB146" s="13" t="str">
        <f>IF(Stock!Y142="","",Stock!Y142)</f>
        <v/>
      </c>
      <c r="AC146" s="13" t="str">
        <f>IF(Stock!Z142="","",Stock!Z142)</f>
        <v/>
      </c>
      <c r="AD146" s="13" t="str">
        <f>IF(Stock!AA142="","",Stock!AA142)</f>
        <v/>
      </c>
      <c r="AE146" s="13" t="str">
        <f>IF(Stock!AB142="","",Stock!AB142)</f>
        <v/>
      </c>
      <c r="AF146" s="13" t="str">
        <f>IF(Stock!AC142="","",Stock!AC142)</f>
        <v/>
      </c>
      <c r="AG146" s="13" t="str">
        <f>IF(Stock!AD142="","",Stock!AD142)</f>
        <v/>
      </c>
      <c r="AH146" s="13" t="str">
        <f>IF(Stock!AE142="","",Stock!AE142)</f>
        <v/>
      </c>
      <c r="AI146" s="13" t="str">
        <f>IF(Stock!AF142="","",Stock!AF142)</f>
        <v/>
      </c>
      <c r="AJ146" s="13" t="str">
        <f>IF(Stock!AG142="","",Stock!AG142)</f>
        <v/>
      </c>
      <c r="AK146" s="13" t="str">
        <f>IF(Stock!AH142="","",Stock!AH142)</f>
        <v/>
      </c>
      <c r="AL146" s="13" t="str">
        <f>IF(Stock!AI142="","",Stock!AI142)</f>
        <v/>
      </c>
      <c r="AM146" s="13" t="str">
        <f>IF(Stock!AJ142="","",Stock!AJ142)</f>
        <v/>
      </c>
      <c r="AN146" s="13" t="str">
        <f>IF(Stock!AK142="","",Stock!AK142)</f>
        <v/>
      </c>
      <c r="AO146" s="13" t="str">
        <f>IF(Stock!AL142="","",Stock!AL142)</f>
        <v/>
      </c>
      <c r="AP146" s="13" t="str">
        <f>IF(Stock!AM142="","",Stock!AM142)</f>
        <v/>
      </c>
      <c r="AQ146" s="13" t="str">
        <f>IF(Stock!AN142="","",Stock!AN142)</f>
        <v/>
      </c>
      <c r="AR146" s="13" t="str">
        <f>IF(Stock!AO142="","",Stock!AO142)</f>
        <v/>
      </c>
      <c r="AS146" s="13" t="str">
        <f>IF(Stock!AP142="","",Stock!AP142)</f>
        <v/>
      </c>
      <c r="AT146" s="13" t="str">
        <f>IF(Stock!AQ142="","",Stock!AQ142)</f>
        <v/>
      </c>
      <c r="AU146" s="13" t="str">
        <f>IF(Stock!AR142="","",Stock!AR142)</f>
        <v/>
      </c>
      <c r="AV146" s="13" t="str">
        <f>IF(Stock!AS142="","",Stock!AS142)</f>
        <v/>
      </c>
      <c r="AW146" s="13" t="str">
        <f>IF(Stock!AT142="","",Stock!AT142)</f>
        <v/>
      </c>
      <c r="AX146" s="13" t="str">
        <f>IF(Stock!AU142="","",Stock!AU142)</f>
        <v/>
      </c>
      <c r="AY146" s="13" t="str">
        <f>IF(Stock!AV142="","",Stock!AV142)</f>
        <v/>
      </c>
      <c r="AZ146" s="13" t="str">
        <f>IF(Stock!AW142="","",Stock!AW142)</f>
        <v/>
      </c>
      <c r="BA146" s="13" t="str">
        <f>IF(Stock!AX142="","",Stock!AX142)</f>
        <v/>
      </c>
      <c r="BB146" s="13" t="str">
        <f>IF(Stock!AY142="","",Stock!AY142)</f>
        <v/>
      </c>
      <c r="BC146" s="13" t="str">
        <f>IF(Stock!AZ142="","",Stock!AZ142)</f>
        <v/>
      </c>
      <c r="BD146" s="13" t="str">
        <f>IF(Stock!BA142="","",Stock!BA142)</f>
        <v/>
      </c>
      <c r="BE146" s="13" t="str">
        <f>IF(Stock!BB142="","",Stock!BB142)</f>
        <v/>
      </c>
      <c r="BF146" s="13" t="str">
        <f>IF(Stock!BC142="","",Stock!BC142)</f>
        <v/>
      </c>
    </row>
    <row r="147" spans="2:58" ht="14.25" customHeight="1" x14ac:dyDescent="0.3">
      <c r="B147" s="31"/>
      <c r="E147" s="13" t="str">
        <f>IF(Stock!B143="","",Stock!B143)</f>
        <v/>
      </c>
      <c r="F147" s="13" t="str">
        <f>IF(Stock!C143="","",Stock!C143)</f>
        <v/>
      </c>
      <c r="G147" s="13" t="str">
        <f>IF(Stock!D143="","",Stock!D143)</f>
        <v/>
      </c>
      <c r="H147" s="13" t="str">
        <f>IF(Stock!E143="","",Stock!E143)</f>
        <v/>
      </c>
      <c r="I147" s="13" t="str">
        <f>IF(Stock!F143="","",Stock!F143)</f>
        <v/>
      </c>
      <c r="J147" s="13" t="str">
        <f>IF(Stock!G143="","",Stock!G143)</f>
        <v/>
      </c>
      <c r="K147" s="13" t="str">
        <f>IF(Stock!H143="","",Stock!H143)</f>
        <v/>
      </c>
      <c r="L147" s="13" t="str">
        <f>IF(Stock!I143="","",Stock!I143)</f>
        <v/>
      </c>
      <c r="M147" s="13" t="str">
        <f>IF(Stock!J143="","",Stock!J143)</f>
        <v/>
      </c>
      <c r="N147" s="13" t="str">
        <f>IF(Stock!K143="","",Stock!K143)</f>
        <v/>
      </c>
      <c r="O147" s="13" t="str">
        <f>IF(Stock!L143="","",Stock!L143)</f>
        <v/>
      </c>
      <c r="P147" s="13" t="str">
        <f>IF(Stock!M143="","",Stock!M143)</f>
        <v/>
      </c>
      <c r="Q147" s="13" t="str">
        <f>IF(Stock!N143="","",Stock!N143)</f>
        <v/>
      </c>
      <c r="R147" s="13" t="str">
        <f>IF(Stock!O143="","",Stock!O143)</f>
        <v/>
      </c>
      <c r="S147" s="13" t="str">
        <f>IF(Stock!P143="","",Stock!P143)</f>
        <v/>
      </c>
      <c r="T147" s="13" t="str">
        <f>IF(Stock!Q143="","",Stock!Q143)</f>
        <v/>
      </c>
      <c r="U147" s="13" t="str">
        <f>IF(Stock!R143="","",Stock!R143)</f>
        <v/>
      </c>
      <c r="V147" s="13" t="str">
        <f>IF(Stock!S143="","",Stock!S143)</f>
        <v/>
      </c>
      <c r="W147" s="13" t="str">
        <f>IF(Stock!T143="","",Stock!T143)</f>
        <v/>
      </c>
      <c r="X147" s="13" t="str">
        <f>IF(Stock!U143="","",Stock!U143)</f>
        <v/>
      </c>
      <c r="Y147" s="13" t="str">
        <f>IF(Stock!V143="","",Stock!V143)</f>
        <v/>
      </c>
      <c r="Z147" s="13" t="str">
        <f>IF(Stock!W143="","",Stock!W143)</f>
        <v/>
      </c>
      <c r="AA147" s="13" t="str">
        <f>IF(Stock!X143="","",Stock!X143)</f>
        <v/>
      </c>
      <c r="AB147" s="13" t="str">
        <f>IF(Stock!Y143="","",Stock!Y143)</f>
        <v/>
      </c>
      <c r="AC147" s="13" t="str">
        <f>IF(Stock!Z143="","",Stock!Z143)</f>
        <v/>
      </c>
      <c r="AD147" s="13" t="str">
        <f>IF(Stock!AA143="","",Stock!AA143)</f>
        <v/>
      </c>
      <c r="AE147" s="13" t="str">
        <f>IF(Stock!AB143="","",Stock!AB143)</f>
        <v/>
      </c>
      <c r="AF147" s="13" t="str">
        <f>IF(Stock!AC143="","",Stock!AC143)</f>
        <v/>
      </c>
      <c r="AG147" s="13" t="str">
        <f>IF(Stock!AD143="","",Stock!AD143)</f>
        <v/>
      </c>
      <c r="AH147" s="13" t="str">
        <f>IF(Stock!AE143="","",Stock!AE143)</f>
        <v/>
      </c>
      <c r="AI147" s="13" t="str">
        <f>IF(Stock!AF143="","",Stock!AF143)</f>
        <v/>
      </c>
      <c r="AJ147" s="13" t="str">
        <f>IF(Stock!AG143="","",Stock!AG143)</f>
        <v/>
      </c>
      <c r="AK147" s="13" t="str">
        <f>IF(Stock!AH143="","",Stock!AH143)</f>
        <v/>
      </c>
      <c r="AL147" s="13" t="str">
        <f>IF(Stock!AI143="","",Stock!AI143)</f>
        <v/>
      </c>
      <c r="AM147" s="13" t="str">
        <f>IF(Stock!AJ143="","",Stock!AJ143)</f>
        <v/>
      </c>
      <c r="AN147" s="13" t="str">
        <f>IF(Stock!AK143="","",Stock!AK143)</f>
        <v/>
      </c>
      <c r="AO147" s="13" t="str">
        <f>IF(Stock!AL143="","",Stock!AL143)</f>
        <v/>
      </c>
      <c r="AP147" s="13" t="str">
        <f>IF(Stock!AM143="","",Stock!AM143)</f>
        <v/>
      </c>
      <c r="AQ147" s="13" t="str">
        <f>IF(Stock!AN143="","",Stock!AN143)</f>
        <v/>
      </c>
      <c r="AR147" s="13" t="str">
        <f>IF(Stock!AO143="","",Stock!AO143)</f>
        <v/>
      </c>
      <c r="AS147" s="13" t="str">
        <f>IF(Stock!AP143="","",Stock!AP143)</f>
        <v/>
      </c>
      <c r="AT147" s="13" t="str">
        <f>IF(Stock!AQ143="","",Stock!AQ143)</f>
        <v/>
      </c>
      <c r="AU147" s="13" t="str">
        <f>IF(Stock!AR143="","",Stock!AR143)</f>
        <v/>
      </c>
      <c r="AV147" s="13" t="str">
        <f>IF(Stock!AS143="","",Stock!AS143)</f>
        <v/>
      </c>
      <c r="AW147" s="13" t="str">
        <f>IF(Stock!AT143="","",Stock!AT143)</f>
        <v/>
      </c>
      <c r="AX147" s="13" t="str">
        <f>IF(Stock!AU143="","",Stock!AU143)</f>
        <v/>
      </c>
      <c r="AY147" s="13" t="str">
        <f>IF(Stock!AV143="","",Stock!AV143)</f>
        <v/>
      </c>
      <c r="AZ147" s="13" t="str">
        <f>IF(Stock!AW143="","",Stock!AW143)</f>
        <v/>
      </c>
      <c r="BA147" s="13" t="str">
        <f>IF(Stock!AX143="","",Stock!AX143)</f>
        <v/>
      </c>
      <c r="BB147" s="13" t="str">
        <f>IF(Stock!AY143="","",Stock!AY143)</f>
        <v/>
      </c>
      <c r="BC147" s="13" t="str">
        <f>IF(Stock!AZ143="","",Stock!AZ143)</f>
        <v/>
      </c>
      <c r="BD147" s="13" t="str">
        <f>IF(Stock!BA143="","",Stock!BA143)</f>
        <v/>
      </c>
      <c r="BE147" s="13" t="str">
        <f>IF(Stock!BB143="","",Stock!BB143)</f>
        <v/>
      </c>
      <c r="BF147" s="13" t="str">
        <f>IF(Stock!BC143="","",Stock!BC143)</f>
        <v/>
      </c>
    </row>
    <row r="148" spans="2:58" ht="14.25" customHeight="1" x14ac:dyDescent="0.3">
      <c r="B148" s="31"/>
      <c r="E148" s="13" t="str">
        <f>IF(Stock!B144="","",Stock!B144)</f>
        <v/>
      </c>
      <c r="F148" s="13" t="str">
        <f>IF(Stock!C144="","",Stock!C144)</f>
        <v/>
      </c>
      <c r="G148" s="13" t="str">
        <f>IF(Stock!D144="","",Stock!D144)</f>
        <v/>
      </c>
      <c r="H148" s="13" t="str">
        <f>IF(Stock!E144="","",Stock!E144)</f>
        <v/>
      </c>
      <c r="I148" s="13" t="str">
        <f>IF(Stock!F144="","",Stock!F144)</f>
        <v/>
      </c>
      <c r="J148" s="13" t="str">
        <f>IF(Stock!G144="","",Stock!G144)</f>
        <v/>
      </c>
      <c r="K148" s="13" t="str">
        <f>IF(Stock!H144="","",Stock!H144)</f>
        <v/>
      </c>
      <c r="L148" s="13" t="str">
        <f>IF(Stock!I144="","",Stock!I144)</f>
        <v/>
      </c>
      <c r="M148" s="13" t="str">
        <f>IF(Stock!J144="","",Stock!J144)</f>
        <v/>
      </c>
      <c r="N148" s="13" t="str">
        <f>IF(Stock!K144="","",Stock!K144)</f>
        <v/>
      </c>
      <c r="O148" s="13" t="str">
        <f>IF(Stock!L144="","",Stock!L144)</f>
        <v/>
      </c>
      <c r="P148" s="13" t="str">
        <f>IF(Stock!M144="","",Stock!M144)</f>
        <v/>
      </c>
      <c r="Q148" s="13" t="str">
        <f>IF(Stock!N144="","",Stock!N144)</f>
        <v/>
      </c>
      <c r="R148" s="13" t="str">
        <f>IF(Stock!O144="","",Stock!O144)</f>
        <v/>
      </c>
      <c r="S148" s="13" t="str">
        <f>IF(Stock!P144="","",Stock!P144)</f>
        <v/>
      </c>
      <c r="T148" s="13" t="str">
        <f>IF(Stock!Q144="","",Stock!Q144)</f>
        <v/>
      </c>
      <c r="U148" s="13" t="str">
        <f>IF(Stock!R144="","",Stock!R144)</f>
        <v/>
      </c>
      <c r="V148" s="13" t="str">
        <f>IF(Stock!S144="","",Stock!S144)</f>
        <v/>
      </c>
      <c r="W148" s="13" t="str">
        <f>IF(Stock!T144="","",Stock!T144)</f>
        <v/>
      </c>
      <c r="X148" s="13" t="str">
        <f>IF(Stock!U144="","",Stock!U144)</f>
        <v/>
      </c>
      <c r="Y148" s="13" t="str">
        <f>IF(Stock!V144="","",Stock!V144)</f>
        <v/>
      </c>
      <c r="Z148" s="13" t="str">
        <f>IF(Stock!W144="","",Stock!W144)</f>
        <v/>
      </c>
      <c r="AA148" s="13" t="str">
        <f>IF(Stock!X144="","",Stock!X144)</f>
        <v/>
      </c>
      <c r="AB148" s="13" t="str">
        <f>IF(Stock!Y144="","",Stock!Y144)</f>
        <v/>
      </c>
      <c r="AC148" s="13" t="str">
        <f>IF(Stock!Z144="","",Stock!Z144)</f>
        <v/>
      </c>
      <c r="AD148" s="13" t="str">
        <f>IF(Stock!AA144="","",Stock!AA144)</f>
        <v/>
      </c>
      <c r="AE148" s="13" t="str">
        <f>IF(Stock!AB144="","",Stock!AB144)</f>
        <v/>
      </c>
      <c r="AF148" s="13" t="str">
        <f>IF(Stock!AC144="","",Stock!AC144)</f>
        <v/>
      </c>
      <c r="AG148" s="13" t="str">
        <f>IF(Stock!AD144="","",Stock!AD144)</f>
        <v/>
      </c>
      <c r="AH148" s="13" t="str">
        <f>IF(Stock!AE144="","",Stock!AE144)</f>
        <v/>
      </c>
      <c r="AI148" s="13" t="str">
        <f>IF(Stock!AF144="","",Stock!AF144)</f>
        <v/>
      </c>
      <c r="AJ148" s="13" t="str">
        <f>IF(Stock!AG144="","",Stock!AG144)</f>
        <v/>
      </c>
      <c r="AK148" s="13" t="str">
        <f>IF(Stock!AH144="","",Stock!AH144)</f>
        <v/>
      </c>
      <c r="AL148" s="13" t="str">
        <f>IF(Stock!AI144="","",Stock!AI144)</f>
        <v/>
      </c>
      <c r="AM148" s="13" t="str">
        <f>IF(Stock!AJ144="","",Stock!AJ144)</f>
        <v/>
      </c>
      <c r="AN148" s="13" t="str">
        <f>IF(Stock!AK144="","",Stock!AK144)</f>
        <v/>
      </c>
      <c r="AO148" s="13" t="str">
        <f>IF(Stock!AL144="","",Stock!AL144)</f>
        <v/>
      </c>
      <c r="AP148" s="13" t="str">
        <f>IF(Stock!AM144="","",Stock!AM144)</f>
        <v/>
      </c>
      <c r="AQ148" s="13" t="str">
        <f>IF(Stock!AN144="","",Stock!AN144)</f>
        <v/>
      </c>
      <c r="AR148" s="13" t="str">
        <f>IF(Stock!AO144="","",Stock!AO144)</f>
        <v/>
      </c>
      <c r="AS148" s="13" t="str">
        <f>IF(Stock!AP144="","",Stock!AP144)</f>
        <v/>
      </c>
      <c r="AT148" s="13" t="str">
        <f>IF(Stock!AQ144="","",Stock!AQ144)</f>
        <v/>
      </c>
      <c r="AU148" s="13" t="str">
        <f>IF(Stock!AR144="","",Stock!AR144)</f>
        <v/>
      </c>
      <c r="AV148" s="13" t="str">
        <f>IF(Stock!AS144="","",Stock!AS144)</f>
        <v/>
      </c>
      <c r="AW148" s="13" t="str">
        <f>IF(Stock!AT144="","",Stock!AT144)</f>
        <v/>
      </c>
      <c r="AX148" s="13" t="str">
        <f>IF(Stock!AU144="","",Stock!AU144)</f>
        <v/>
      </c>
      <c r="AY148" s="13" t="str">
        <f>IF(Stock!AV144="","",Stock!AV144)</f>
        <v/>
      </c>
      <c r="AZ148" s="13" t="str">
        <f>IF(Stock!AW144="","",Stock!AW144)</f>
        <v/>
      </c>
      <c r="BA148" s="13" t="str">
        <f>IF(Stock!AX144="","",Stock!AX144)</f>
        <v/>
      </c>
      <c r="BB148" s="13" t="str">
        <f>IF(Stock!AY144="","",Stock!AY144)</f>
        <v/>
      </c>
      <c r="BC148" s="13" t="str">
        <f>IF(Stock!AZ144="","",Stock!AZ144)</f>
        <v/>
      </c>
      <c r="BD148" s="13" t="str">
        <f>IF(Stock!BA144="","",Stock!BA144)</f>
        <v/>
      </c>
      <c r="BE148" s="13" t="str">
        <f>IF(Stock!BB144="","",Stock!BB144)</f>
        <v/>
      </c>
      <c r="BF148" s="13" t="str">
        <f>IF(Stock!BC144="","",Stock!BC144)</f>
        <v/>
      </c>
    </row>
    <row r="149" spans="2:58" ht="14.25" customHeight="1" x14ac:dyDescent="0.3">
      <c r="B149" s="31"/>
      <c r="E149" s="13" t="str">
        <f>IF(Stock!B145="","",Stock!B145)</f>
        <v/>
      </c>
      <c r="F149" s="13" t="str">
        <f>IF(Stock!C145="","",Stock!C145)</f>
        <v/>
      </c>
      <c r="G149" s="13" t="str">
        <f>IF(Stock!D145="","",Stock!D145)</f>
        <v/>
      </c>
      <c r="H149" s="13" t="str">
        <f>IF(Stock!E145="","",Stock!E145)</f>
        <v/>
      </c>
      <c r="I149" s="13" t="str">
        <f>IF(Stock!F145="","",Stock!F145)</f>
        <v/>
      </c>
      <c r="J149" s="13" t="str">
        <f>IF(Stock!G145="","",Stock!G145)</f>
        <v/>
      </c>
      <c r="K149" s="13" t="str">
        <f>IF(Stock!H145="","",Stock!H145)</f>
        <v/>
      </c>
      <c r="L149" s="13" t="str">
        <f>IF(Stock!I145="","",Stock!I145)</f>
        <v/>
      </c>
      <c r="M149" s="13" t="str">
        <f>IF(Stock!J145="","",Stock!J145)</f>
        <v/>
      </c>
      <c r="N149" s="13" t="str">
        <f>IF(Stock!K145="","",Stock!K145)</f>
        <v/>
      </c>
      <c r="O149" s="13" t="str">
        <f>IF(Stock!L145="","",Stock!L145)</f>
        <v/>
      </c>
      <c r="P149" s="13" t="str">
        <f>IF(Stock!M145="","",Stock!M145)</f>
        <v/>
      </c>
      <c r="Q149" s="13" t="str">
        <f>IF(Stock!N145="","",Stock!N145)</f>
        <v/>
      </c>
      <c r="R149" s="13" t="str">
        <f>IF(Stock!O145="","",Stock!O145)</f>
        <v/>
      </c>
      <c r="S149" s="13" t="str">
        <f>IF(Stock!P145="","",Stock!P145)</f>
        <v/>
      </c>
      <c r="T149" s="13" t="str">
        <f>IF(Stock!Q145="","",Stock!Q145)</f>
        <v/>
      </c>
      <c r="U149" s="13" t="str">
        <f>IF(Stock!R145="","",Stock!R145)</f>
        <v/>
      </c>
      <c r="V149" s="13" t="str">
        <f>IF(Stock!S145="","",Stock!S145)</f>
        <v/>
      </c>
      <c r="W149" s="13" t="str">
        <f>IF(Stock!T145="","",Stock!T145)</f>
        <v/>
      </c>
      <c r="X149" s="13" t="str">
        <f>IF(Stock!U145="","",Stock!U145)</f>
        <v/>
      </c>
      <c r="Y149" s="13" t="str">
        <f>IF(Stock!V145="","",Stock!V145)</f>
        <v/>
      </c>
      <c r="Z149" s="13" t="str">
        <f>IF(Stock!W145="","",Stock!W145)</f>
        <v/>
      </c>
      <c r="AA149" s="13" t="str">
        <f>IF(Stock!X145="","",Stock!X145)</f>
        <v/>
      </c>
      <c r="AB149" s="13" t="str">
        <f>IF(Stock!Y145="","",Stock!Y145)</f>
        <v/>
      </c>
      <c r="AC149" s="13" t="str">
        <f>IF(Stock!Z145="","",Stock!Z145)</f>
        <v/>
      </c>
      <c r="AD149" s="13" t="str">
        <f>IF(Stock!AA145="","",Stock!AA145)</f>
        <v/>
      </c>
      <c r="AE149" s="13" t="str">
        <f>IF(Stock!AB145="","",Stock!AB145)</f>
        <v/>
      </c>
      <c r="AF149" s="13" t="str">
        <f>IF(Stock!AC145="","",Stock!AC145)</f>
        <v/>
      </c>
      <c r="AG149" s="13" t="str">
        <f>IF(Stock!AD145="","",Stock!AD145)</f>
        <v/>
      </c>
      <c r="AH149" s="13" t="str">
        <f>IF(Stock!AE145="","",Stock!AE145)</f>
        <v/>
      </c>
      <c r="AI149" s="13" t="str">
        <f>IF(Stock!AF145="","",Stock!AF145)</f>
        <v/>
      </c>
      <c r="AJ149" s="13" t="str">
        <f>IF(Stock!AG145="","",Stock!AG145)</f>
        <v/>
      </c>
      <c r="AK149" s="13" t="str">
        <f>IF(Stock!AH145="","",Stock!AH145)</f>
        <v/>
      </c>
      <c r="AL149" s="13" t="str">
        <f>IF(Stock!AI145="","",Stock!AI145)</f>
        <v/>
      </c>
      <c r="AM149" s="13" t="str">
        <f>IF(Stock!AJ145="","",Stock!AJ145)</f>
        <v/>
      </c>
      <c r="AN149" s="13" t="str">
        <f>IF(Stock!AK145="","",Stock!AK145)</f>
        <v/>
      </c>
      <c r="AO149" s="13" t="str">
        <f>IF(Stock!AL145="","",Stock!AL145)</f>
        <v/>
      </c>
      <c r="AP149" s="13" t="str">
        <f>IF(Stock!AM145="","",Stock!AM145)</f>
        <v/>
      </c>
      <c r="AQ149" s="13" t="str">
        <f>IF(Stock!AN145="","",Stock!AN145)</f>
        <v/>
      </c>
      <c r="AR149" s="13" t="str">
        <f>IF(Stock!AO145="","",Stock!AO145)</f>
        <v/>
      </c>
      <c r="AS149" s="13" t="str">
        <f>IF(Stock!AP145="","",Stock!AP145)</f>
        <v/>
      </c>
      <c r="AT149" s="13" t="str">
        <f>IF(Stock!AQ145="","",Stock!AQ145)</f>
        <v/>
      </c>
      <c r="AU149" s="13" t="str">
        <f>IF(Stock!AR145="","",Stock!AR145)</f>
        <v/>
      </c>
      <c r="AV149" s="13" t="str">
        <f>IF(Stock!AS145="","",Stock!AS145)</f>
        <v/>
      </c>
      <c r="AW149" s="13" t="str">
        <f>IF(Stock!AT145="","",Stock!AT145)</f>
        <v/>
      </c>
      <c r="AX149" s="13" t="str">
        <f>IF(Stock!AU145="","",Stock!AU145)</f>
        <v/>
      </c>
      <c r="AY149" s="13" t="str">
        <f>IF(Stock!AV145="","",Stock!AV145)</f>
        <v/>
      </c>
      <c r="AZ149" s="13" t="str">
        <f>IF(Stock!AW145="","",Stock!AW145)</f>
        <v/>
      </c>
      <c r="BA149" s="13" t="str">
        <f>IF(Stock!AX145="","",Stock!AX145)</f>
        <v/>
      </c>
      <c r="BB149" s="13" t="str">
        <f>IF(Stock!AY145="","",Stock!AY145)</f>
        <v/>
      </c>
      <c r="BC149" s="13" t="str">
        <f>IF(Stock!AZ145="","",Stock!AZ145)</f>
        <v/>
      </c>
      <c r="BD149" s="13" t="str">
        <f>IF(Stock!BA145="","",Stock!BA145)</f>
        <v/>
      </c>
      <c r="BE149" s="13" t="str">
        <f>IF(Stock!BB145="","",Stock!BB145)</f>
        <v/>
      </c>
      <c r="BF149" s="13" t="str">
        <f>IF(Stock!BC145="","",Stock!BC145)</f>
        <v/>
      </c>
    </row>
    <row r="150" spans="2:58" ht="14.25" customHeight="1" x14ac:dyDescent="0.3">
      <c r="B150" s="31"/>
      <c r="E150" s="13" t="str">
        <f>IF(Stock!B146="","",Stock!B146)</f>
        <v/>
      </c>
      <c r="F150" s="13" t="str">
        <f>IF(Stock!C146="","",Stock!C146)</f>
        <v/>
      </c>
      <c r="G150" s="13" t="str">
        <f>IF(Stock!D146="","",Stock!D146)</f>
        <v/>
      </c>
      <c r="H150" s="13" t="str">
        <f>IF(Stock!E146="","",Stock!E146)</f>
        <v/>
      </c>
      <c r="I150" s="13" t="str">
        <f>IF(Stock!F146="","",Stock!F146)</f>
        <v/>
      </c>
      <c r="J150" s="13" t="str">
        <f>IF(Stock!G146="","",Stock!G146)</f>
        <v/>
      </c>
      <c r="K150" s="13" t="str">
        <f>IF(Stock!H146="","",Stock!H146)</f>
        <v/>
      </c>
      <c r="L150" s="13" t="str">
        <f>IF(Stock!I146="","",Stock!I146)</f>
        <v/>
      </c>
      <c r="M150" s="13" t="str">
        <f>IF(Stock!J146="","",Stock!J146)</f>
        <v/>
      </c>
      <c r="N150" s="13" t="str">
        <f>IF(Stock!K146="","",Stock!K146)</f>
        <v/>
      </c>
      <c r="O150" s="13" t="str">
        <f>IF(Stock!L146="","",Stock!L146)</f>
        <v/>
      </c>
      <c r="P150" s="13" t="str">
        <f>IF(Stock!M146="","",Stock!M146)</f>
        <v/>
      </c>
      <c r="Q150" s="13" t="str">
        <f>IF(Stock!N146="","",Stock!N146)</f>
        <v/>
      </c>
      <c r="R150" s="13" t="str">
        <f>IF(Stock!O146="","",Stock!O146)</f>
        <v/>
      </c>
      <c r="S150" s="13" t="str">
        <f>IF(Stock!P146="","",Stock!P146)</f>
        <v/>
      </c>
      <c r="T150" s="13" t="str">
        <f>IF(Stock!Q146="","",Stock!Q146)</f>
        <v/>
      </c>
      <c r="U150" s="13" t="str">
        <f>IF(Stock!R146="","",Stock!R146)</f>
        <v/>
      </c>
      <c r="V150" s="13" t="str">
        <f>IF(Stock!S146="","",Stock!S146)</f>
        <v/>
      </c>
      <c r="W150" s="13" t="str">
        <f>IF(Stock!T146="","",Stock!T146)</f>
        <v/>
      </c>
      <c r="X150" s="13" t="str">
        <f>IF(Stock!U146="","",Stock!U146)</f>
        <v/>
      </c>
      <c r="Y150" s="13" t="str">
        <f>IF(Stock!V146="","",Stock!V146)</f>
        <v/>
      </c>
      <c r="Z150" s="13" t="str">
        <f>IF(Stock!W146="","",Stock!W146)</f>
        <v/>
      </c>
      <c r="AA150" s="13" t="str">
        <f>IF(Stock!X146="","",Stock!X146)</f>
        <v/>
      </c>
      <c r="AB150" s="13" t="str">
        <f>IF(Stock!Y146="","",Stock!Y146)</f>
        <v/>
      </c>
      <c r="AC150" s="13" t="str">
        <f>IF(Stock!Z146="","",Stock!Z146)</f>
        <v/>
      </c>
      <c r="AD150" s="13" t="str">
        <f>IF(Stock!AA146="","",Stock!AA146)</f>
        <v/>
      </c>
      <c r="AE150" s="13" t="str">
        <f>IF(Stock!AB146="","",Stock!AB146)</f>
        <v/>
      </c>
      <c r="AF150" s="13" t="str">
        <f>IF(Stock!AC146="","",Stock!AC146)</f>
        <v/>
      </c>
      <c r="AG150" s="13" t="str">
        <f>IF(Stock!AD146="","",Stock!AD146)</f>
        <v/>
      </c>
      <c r="AH150" s="13" t="str">
        <f>IF(Stock!AE146="","",Stock!AE146)</f>
        <v/>
      </c>
      <c r="AI150" s="13" t="str">
        <f>IF(Stock!AF146="","",Stock!AF146)</f>
        <v/>
      </c>
      <c r="AJ150" s="13" t="str">
        <f>IF(Stock!AG146="","",Stock!AG146)</f>
        <v/>
      </c>
      <c r="AK150" s="13" t="str">
        <f>IF(Stock!AH146="","",Stock!AH146)</f>
        <v/>
      </c>
      <c r="AL150" s="13" t="str">
        <f>IF(Stock!AI146="","",Stock!AI146)</f>
        <v/>
      </c>
      <c r="AM150" s="13" t="str">
        <f>IF(Stock!AJ146="","",Stock!AJ146)</f>
        <v/>
      </c>
      <c r="AN150" s="13" t="str">
        <f>IF(Stock!AK146="","",Stock!AK146)</f>
        <v/>
      </c>
      <c r="AO150" s="13" t="str">
        <f>IF(Stock!AL146="","",Stock!AL146)</f>
        <v/>
      </c>
      <c r="AP150" s="13" t="str">
        <f>IF(Stock!AM146="","",Stock!AM146)</f>
        <v/>
      </c>
      <c r="AQ150" s="13" t="str">
        <f>IF(Stock!AN146="","",Stock!AN146)</f>
        <v/>
      </c>
      <c r="AR150" s="13" t="str">
        <f>IF(Stock!AO146="","",Stock!AO146)</f>
        <v/>
      </c>
      <c r="AS150" s="13" t="str">
        <f>IF(Stock!AP146="","",Stock!AP146)</f>
        <v/>
      </c>
      <c r="AT150" s="13" t="str">
        <f>IF(Stock!AQ146="","",Stock!AQ146)</f>
        <v/>
      </c>
      <c r="AU150" s="13" t="str">
        <f>IF(Stock!AR146="","",Stock!AR146)</f>
        <v/>
      </c>
      <c r="AV150" s="13" t="str">
        <f>IF(Stock!AS146="","",Stock!AS146)</f>
        <v/>
      </c>
      <c r="AW150" s="13" t="str">
        <f>IF(Stock!AT146="","",Stock!AT146)</f>
        <v/>
      </c>
      <c r="AX150" s="13" t="str">
        <f>IF(Stock!AU146="","",Stock!AU146)</f>
        <v/>
      </c>
      <c r="AY150" s="13" t="str">
        <f>IF(Stock!AV146="","",Stock!AV146)</f>
        <v/>
      </c>
      <c r="AZ150" s="13" t="str">
        <f>IF(Stock!AW146="","",Stock!AW146)</f>
        <v/>
      </c>
      <c r="BA150" s="13" t="str">
        <f>IF(Stock!AX146="","",Stock!AX146)</f>
        <v/>
      </c>
      <c r="BB150" s="13" t="str">
        <f>IF(Stock!AY146="","",Stock!AY146)</f>
        <v/>
      </c>
      <c r="BC150" s="13" t="str">
        <f>IF(Stock!AZ146="","",Stock!AZ146)</f>
        <v/>
      </c>
      <c r="BD150" s="13" t="str">
        <f>IF(Stock!BA146="","",Stock!BA146)</f>
        <v/>
      </c>
      <c r="BE150" s="13" t="str">
        <f>IF(Stock!BB146="","",Stock!BB146)</f>
        <v/>
      </c>
      <c r="BF150" s="13" t="str">
        <f>IF(Stock!BC146="","",Stock!BC146)</f>
        <v/>
      </c>
    </row>
    <row r="151" spans="2:58" ht="14.25" customHeight="1" x14ac:dyDescent="0.3">
      <c r="B151" s="31"/>
      <c r="E151" s="13" t="str">
        <f>IF(Stock!B147="","",Stock!B147)</f>
        <v/>
      </c>
      <c r="F151" s="13" t="str">
        <f>IF(Stock!C147="","",Stock!C147)</f>
        <v/>
      </c>
      <c r="G151" s="13" t="str">
        <f>IF(Stock!D147="","",Stock!D147)</f>
        <v/>
      </c>
      <c r="H151" s="13" t="str">
        <f>IF(Stock!E147="","",Stock!E147)</f>
        <v/>
      </c>
      <c r="I151" s="13" t="str">
        <f>IF(Stock!F147="","",Stock!F147)</f>
        <v/>
      </c>
      <c r="J151" s="13" t="str">
        <f>IF(Stock!G147="","",Stock!G147)</f>
        <v/>
      </c>
      <c r="K151" s="13" t="str">
        <f>IF(Stock!H147="","",Stock!H147)</f>
        <v/>
      </c>
      <c r="L151" s="13" t="str">
        <f>IF(Stock!I147="","",Stock!I147)</f>
        <v/>
      </c>
      <c r="M151" s="13" t="str">
        <f>IF(Stock!J147="","",Stock!J147)</f>
        <v/>
      </c>
      <c r="N151" s="13" t="str">
        <f>IF(Stock!K147="","",Stock!K147)</f>
        <v/>
      </c>
      <c r="O151" s="13" t="str">
        <f>IF(Stock!L147="","",Stock!L147)</f>
        <v/>
      </c>
      <c r="P151" s="13" t="str">
        <f>IF(Stock!M147="","",Stock!M147)</f>
        <v/>
      </c>
      <c r="Q151" s="13" t="str">
        <f>IF(Stock!N147="","",Stock!N147)</f>
        <v/>
      </c>
      <c r="R151" s="13" t="str">
        <f>IF(Stock!O147="","",Stock!O147)</f>
        <v/>
      </c>
      <c r="S151" s="13" t="str">
        <f>IF(Stock!P147="","",Stock!P147)</f>
        <v/>
      </c>
      <c r="T151" s="13" t="str">
        <f>IF(Stock!Q147="","",Stock!Q147)</f>
        <v/>
      </c>
      <c r="U151" s="13" t="str">
        <f>IF(Stock!R147="","",Stock!R147)</f>
        <v/>
      </c>
      <c r="V151" s="13" t="str">
        <f>IF(Stock!S147="","",Stock!S147)</f>
        <v/>
      </c>
      <c r="W151" s="13" t="str">
        <f>IF(Stock!T147="","",Stock!T147)</f>
        <v/>
      </c>
      <c r="X151" s="13" t="str">
        <f>IF(Stock!U147="","",Stock!U147)</f>
        <v/>
      </c>
      <c r="Y151" s="13" t="str">
        <f>IF(Stock!V147="","",Stock!V147)</f>
        <v/>
      </c>
      <c r="Z151" s="13" t="str">
        <f>IF(Stock!W147="","",Stock!W147)</f>
        <v/>
      </c>
      <c r="AA151" s="13" t="str">
        <f>IF(Stock!X147="","",Stock!X147)</f>
        <v/>
      </c>
      <c r="AB151" s="13" t="str">
        <f>IF(Stock!Y147="","",Stock!Y147)</f>
        <v/>
      </c>
      <c r="AC151" s="13" t="str">
        <f>IF(Stock!Z147="","",Stock!Z147)</f>
        <v/>
      </c>
      <c r="AD151" s="13" t="str">
        <f>IF(Stock!AA147="","",Stock!AA147)</f>
        <v/>
      </c>
      <c r="AE151" s="13" t="str">
        <f>IF(Stock!AB147="","",Stock!AB147)</f>
        <v/>
      </c>
      <c r="AF151" s="13" t="str">
        <f>IF(Stock!AC147="","",Stock!AC147)</f>
        <v/>
      </c>
      <c r="AG151" s="13" t="str">
        <f>IF(Stock!AD147="","",Stock!AD147)</f>
        <v/>
      </c>
      <c r="AH151" s="13" t="str">
        <f>IF(Stock!AE147="","",Stock!AE147)</f>
        <v/>
      </c>
      <c r="AI151" s="13" t="str">
        <f>IF(Stock!AF147="","",Stock!AF147)</f>
        <v/>
      </c>
      <c r="AJ151" s="13" t="str">
        <f>IF(Stock!AG147="","",Stock!AG147)</f>
        <v/>
      </c>
      <c r="AK151" s="13" t="str">
        <f>IF(Stock!AH147="","",Stock!AH147)</f>
        <v/>
      </c>
      <c r="AL151" s="13" t="str">
        <f>IF(Stock!AI147="","",Stock!AI147)</f>
        <v/>
      </c>
      <c r="AM151" s="13" t="str">
        <f>IF(Stock!AJ147="","",Stock!AJ147)</f>
        <v/>
      </c>
      <c r="AN151" s="13" t="str">
        <f>IF(Stock!AK147="","",Stock!AK147)</f>
        <v/>
      </c>
      <c r="AO151" s="13" t="str">
        <f>IF(Stock!AL147="","",Stock!AL147)</f>
        <v/>
      </c>
      <c r="AP151" s="13" t="str">
        <f>IF(Stock!AM147="","",Stock!AM147)</f>
        <v/>
      </c>
      <c r="AQ151" s="13" t="str">
        <f>IF(Stock!AN147="","",Stock!AN147)</f>
        <v/>
      </c>
      <c r="AR151" s="13" t="str">
        <f>IF(Stock!AO147="","",Stock!AO147)</f>
        <v/>
      </c>
      <c r="AS151" s="13" t="str">
        <f>IF(Stock!AP147="","",Stock!AP147)</f>
        <v/>
      </c>
      <c r="AT151" s="13" t="str">
        <f>IF(Stock!AQ147="","",Stock!AQ147)</f>
        <v/>
      </c>
      <c r="AU151" s="13" t="str">
        <f>IF(Stock!AR147="","",Stock!AR147)</f>
        <v/>
      </c>
      <c r="AV151" s="13" t="str">
        <f>IF(Stock!AS147="","",Stock!AS147)</f>
        <v/>
      </c>
      <c r="AW151" s="13" t="str">
        <f>IF(Stock!AT147="","",Stock!AT147)</f>
        <v/>
      </c>
      <c r="AX151" s="13" t="str">
        <f>IF(Stock!AU147="","",Stock!AU147)</f>
        <v/>
      </c>
      <c r="AY151" s="13" t="str">
        <f>IF(Stock!AV147="","",Stock!AV147)</f>
        <v/>
      </c>
      <c r="AZ151" s="13" t="str">
        <f>IF(Stock!AW147="","",Stock!AW147)</f>
        <v/>
      </c>
      <c r="BA151" s="13" t="str">
        <f>IF(Stock!AX147="","",Stock!AX147)</f>
        <v/>
      </c>
      <c r="BB151" s="13" t="str">
        <f>IF(Stock!AY147="","",Stock!AY147)</f>
        <v/>
      </c>
      <c r="BC151" s="13" t="str">
        <f>IF(Stock!AZ147="","",Stock!AZ147)</f>
        <v/>
      </c>
      <c r="BD151" s="13" t="str">
        <f>IF(Stock!BA147="","",Stock!BA147)</f>
        <v/>
      </c>
      <c r="BE151" s="13" t="str">
        <f>IF(Stock!BB147="","",Stock!BB147)</f>
        <v/>
      </c>
      <c r="BF151" s="13" t="str">
        <f>IF(Stock!BC147="","",Stock!BC147)</f>
        <v/>
      </c>
    </row>
    <row r="152" spans="2:58" ht="14.25" customHeight="1" x14ac:dyDescent="0.3">
      <c r="B152" s="31"/>
      <c r="E152" s="13" t="str">
        <f>IF(Stock!B148="","",Stock!B148)</f>
        <v/>
      </c>
      <c r="F152" s="13" t="str">
        <f>IF(Stock!C148="","",Stock!C148)</f>
        <v/>
      </c>
      <c r="G152" s="13" t="str">
        <f>IF(Stock!D148="","",Stock!D148)</f>
        <v/>
      </c>
      <c r="H152" s="13" t="str">
        <f>IF(Stock!E148="","",Stock!E148)</f>
        <v/>
      </c>
      <c r="I152" s="13" t="str">
        <f>IF(Stock!F148="","",Stock!F148)</f>
        <v/>
      </c>
      <c r="J152" s="13" t="str">
        <f>IF(Stock!G148="","",Stock!G148)</f>
        <v/>
      </c>
      <c r="K152" s="13" t="str">
        <f>IF(Stock!H148="","",Stock!H148)</f>
        <v/>
      </c>
      <c r="L152" s="13" t="str">
        <f>IF(Stock!I148="","",Stock!I148)</f>
        <v/>
      </c>
      <c r="M152" s="13" t="str">
        <f>IF(Stock!J148="","",Stock!J148)</f>
        <v/>
      </c>
      <c r="N152" s="13" t="str">
        <f>IF(Stock!K148="","",Stock!K148)</f>
        <v/>
      </c>
      <c r="O152" s="13" t="str">
        <f>IF(Stock!L148="","",Stock!L148)</f>
        <v/>
      </c>
      <c r="P152" s="13" t="str">
        <f>IF(Stock!M148="","",Stock!M148)</f>
        <v/>
      </c>
      <c r="Q152" s="13" t="str">
        <f>IF(Stock!N148="","",Stock!N148)</f>
        <v/>
      </c>
      <c r="R152" s="13" t="str">
        <f>IF(Stock!O148="","",Stock!O148)</f>
        <v/>
      </c>
      <c r="S152" s="13" t="str">
        <f>IF(Stock!P148="","",Stock!P148)</f>
        <v/>
      </c>
      <c r="T152" s="13" t="str">
        <f>IF(Stock!Q148="","",Stock!Q148)</f>
        <v/>
      </c>
      <c r="U152" s="13" t="str">
        <f>IF(Stock!R148="","",Stock!R148)</f>
        <v/>
      </c>
      <c r="V152" s="13" t="str">
        <f>IF(Stock!S148="","",Stock!S148)</f>
        <v/>
      </c>
      <c r="W152" s="13" t="str">
        <f>IF(Stock!T148="","",Stock!T148)</f>
        <v/>
      </c>
      <c r="X152" s="13" t="str">
        <f>IF(Stock!U148="","",Stock!U148)</f>
        <v/>
      </c>
      <c r="Y152" s="13" t="str">
        <f>IF(Stock!V148="","",Stock!V148)</f>
        <v/>
      </c>
      <c r="Z152" s="13" t="str">
        <f>IF(Stock!W148="","",Stock!W148)</f>
        <v/>
      </c>
      <c r="AA152" s="13" t="str">
        <f>IF(Stock!X148="","",Stock!X148)</f>
        <v/>
      </c>
      <c r="AB152" s="13" t="str">
        <f>IF(Stock!Y148="","",Stock!Y148)</f>
        <v/>
      </c>
      <c r="AC152" s="13" t="str">
        <f>IF(Stock!Z148="","",Stock!Z148)</f>
        <v/>
      </c>
      <c r="AD152" s="13" t="str">
        <f>IF(Stock!AA148="","",Stock!AA148)</f>
        <v/>
      </c>
      <c r="AE152" s="13" t="str">
        <f>IF(Stock!AB148="","",Stock!AB148)</f>
        <v/>
      </c>
      <c r="AF152" s="13" t="str">
        <f>IF(Stock!AC148="","",Stock!AC148)</f>
        <v/>
      </c>
      <c r="AG152" s="13" t="str">
        <f>IF(Stock!AD148="","",Stock!AD148)</f>
        <v/>
      </c>
      <c r="AH152" s="13" t="str">
        <f>IF(Stock!AE148="","",Stock!AE148)</f>
        <v/>
      </c>
      <c r="AI152" s="13" t="str">
        <f>IF(Stock!AF148="","",Stock!AF148)</f>
        <v/>
      </c>
      <c r="AJ152" s="13" t="str">
        <f>IF(Stock!AG148="","",Stock!AG148)</f>
        <v/>
      </c>
      <c r="AK152" s="13" t="str">
        <f>IF(Stock!AH148="","",Stock!AH148)</f>
        <v/>
      </c>
      <c r="AL152" s="13" t="str">
        <f>IF(Stock!AI148="","",Stock!AI148)</f>
        <v/>
      </c>
      <c r="AM152" s="13" t="str">
        <f>IF(Stock!AJ148="","",Stock!AJ148)</f>
        <v/>
      </c>
      <c r="AN152" s="13" t="str">
        <f>IF(Stock!AK148="","",Stock!AK148)</f>
        <v/>
      </c>
      <c r="AO152" s="13" t="str">
        <f>IF(Stock!AL148="","",Stock!AL148)</f>
        <v/>
      </c>
      <c r="AP152" s="13" t="str">
        <f>IF(Stock!AM148="","",Stock!AM148)</f>
        <v/>
      </c>
      <c r="AQ152" s="13" t="str">
        <f>IF(Stock!AN148="","",Stock!AN148)</f>
        <v/>
      </c>
      <c r="AR152" s="13" t="str">
        <f>IF(Stock!AO148="","",Stock!AO148)</f>
        <v/>
      </c>
      <c r="AS152" s="13" t="str">
        <f>IF(Stock!AP148="","",Stock!AP148)</f>
        <v/>
      </c>
      <c r="AT152" s="13" t="str">
        <f>IF(Stock!AQ148="","",Stock!AQ148)</f>
        <v/>
      </c>
      <c r="AU152" s="13" t="str">
        <f>IF(Stock!AR148="","",Stock!AR148)</f>
        <v/>
      </c>
      <c r="AV152" s="13" t="str">
        <f>IF(Stock!AS148="","",Stock!AS148)</f>
        <v/>
      </c>
      <c r="AW152" s="13" t="str">
        <f>IF(Stock!AT148="","",Stock!AT148)</f>
        <v/>
      </c>
      <c r="AX152" s="13" t="str">
        <f>IF(Stock!AU148="","",Stock!AU148)</f>
        <v/>
      </c>
      <c r="AY152" s="13" t="str">
        <f>IF(Stock!AV148="","",Stock!AV148)</f>
        <v/>
      </c>
      <c r="AZ152" s="13" t="str">
        <f>IF(Stock!AW148="","",Stock!AW148)</f>
        <v/>
      </c>
      <c r="BA152" s="13" t="str">
        <f>IF(Stock!AX148="","",Stock!AX148)</f>
        <v/>
      </c>
      <c r="BB152" s="13" t="str">
        <f>IF(Stock!AY148="","",Stock!AY148)</f>
        <v/>
      </c>
      <c r="BC152" s="13" t="str">
        <f>IF(Stock!AZ148="","",Stock!AZ148)</f>
        <v/>
      </c>
      <c r="BD152" s="13" t="str">
        <f>IF(Stock!BA148="","",Stock!BA148)</f>
        <v/>
      </c>
      <c r="BE152" s="13" t="str">
        <f>IF(Stock!BB148="","",Stock!BB148)</f>
        <v/>
      </c>
      <c r="BF152" s="13" t="str">
        <f>IF(Stock!BC148="","",Stock!BC148)</f>
        <v/>
      </c>
    </row>
    <row r="153" spans="2:58" ht="14.25" customHeight="1" x14ac:dyDescent="0.3">
      <c r="B153" s="31"/>
      <c r="E153" s="13" t="str">
        <f>IF(Stock!B149="","",Stock!B149)</f>
        <v/>
      </c>
      <c r="F153" s="13" t="str">
        <f>IF(Stock!C149="","",Stock!C149)</f>
        <v/>
      </c>
      <c r="G153" s="13" t="str">
        <f>IF(Stock!D149="","",Stock!D149)</f>
        <v/>
      </c>
      <c r="H153" s="13" t="str">
        <f>IF(Stock!E149="","",Stock!E149)</f>
        <v/>
      </c>
      <c r="I153" s="13" t="str">
        <f>IF(Stock!F149="","",Stock!F149)</f>
        <v/>
      </c>
      <c r="J153" s="13" t="str">
        <f>IF(Stock!G149="","",Stock!G149)</f>
        <v/>
      </c>
      <c r="K153" s="13" t="str">
        <f>IF(Stock!H149="","",Stock!H149)</f>
        <v/>
      </c>
      <c r="L153" s="13" t="str">
        <f>IF(Stock!I149="","",Stock!I149)</f>
        <v/>
      </c>
      <c r="M153" s="13" t="str">
        <f>IF(Stock!J149="","",Stock!J149)</f>
        <v/>
      </c>
      <c r="N153" s="13" t="str">
        <f>IF(Stock!K149="","",Stock!K149)</f>
        <v/>
      </c>
      <c r="O153" s="13" t="str">
        <f>IF(Stock!L149="","",Stock!L149)</f>
        <v/>
      </c>
      <c r="P153" s="13" t="str">
        <f>IF(Stock!M149="","",Stock!M149)</f>
        <v/>
      </c>
      <c r="Q153" s="13" t="str">
        <f>IF(Stock!N149="","",Stock!N149)</f>
        <v/>
      </c>
      <c r="R153" s="13" t="str">
        <f>IF(Stock!O149="","",Stock!O149)</f>
        <v/>
      </c>
      <c r="S153" s="13" t="str">
        <f>IF(Stock!P149="","",Stock!P149)</f>
        <v/>
      </c>
      <c r="T153" s="13" t="str">
        <f>IF(Stock!Q149="","",Stock!Q149)</f>
        <v/>
      </c>
      <c r="U153" s="13" t="str">
        <f>IF(Stock!R149="","",Stock!R149)</f>
        <v/>
      </c>
      <c r="V153" s="13" t="str">
        <f>IF(Stock!S149="","",Stock!S149)</f>
        <v/>
      </c>
      <c r="W153" s="13" t="str">
        <f>IF(Stock!T149="","",Stock!T149)</f>
        <v/>
      </c>
      <c r="X153" s="13" t="str">
        <f>IF(Stock!U149="","",Stock!U149)</f>
        <v/>
      </c>
      <c r="Y153" s="13" t="str">
        <f>IF(Stock!V149="","",Stock!V149)</f>
        <v/>
      </c>
      <c r="Z153" s="13" t="str">
        <f>IF(Stock!W149="","",Stock!W149)</f>
        <v/>
      </c>
      <c r="AA153" s="13" t="str">
        <f>IF(Stock!X149="","",Stock!X149)</f>
        <v/>
      </c>
      <c r="AB153" s="13" t="str">
        <f>IF(Stock!Y149="","",Stock!Y149)</f>
        <v/>
      </c>
      <c r="AC153" s="13" t="str">
        <f>IF(Stock!Z149="","",Stock!Z149)</f>
        <v/>
      </c>
      <c r="AD153" s="13" t="str">
        <f>IF(Stock!AA149="","",Stock!AA149)</f>
        <v/>
      </c>
      <c r="AE153" s="13" t="str">
        <f>IF(Stock!AB149="","",Stock!AB149)</f>
        <v/>
      </c>
      <c r="AF153" s="13" t="str">
        <f>IF(Stock!AC149="","",Stock!AC149)</f>
        <v/>
      </c>
      <c r="AG153" s="13" t="str">
        <f>IF(Stock!AD149="","",Stock!AD149)</f>
        <v/>
      </c>
      <c r="AH153" s="13" t="str">
        <f>IF(Stock!AE149="","",Stock!AE149)</f>
        <v/>
      </c>
      <c r="AI153" s="13" t="str">
        <f>IF(Stock!AF149="","",Stock!AF149)</f>
        <v/>
      </c>
      <c r="AJ153" s="13" t="str">
        <f>IF(Stock!AG149="","",Stock!AG149)</f>
        <v/>
      </c>
      <c r="AK153" s="13" t="str">
        <f>IF(Stock!AH149="","",Stock!AH149)</f>
        <v/>
      </c>
      <c r="AL153" s="13" t="str">
        <f>IF(Stock!AI149="","",Stock!AI149)</f>
        <v/>
      </c>
      <c r="AM153" s="13" t="str">
        <f>IF(Stock!AJ149="","",Stock!AJ149)</f>
        <v/>
      </c>
      <c r="AN153" s="13" t="str">
        <f>IF(Stock!AK149="","",Stock!AK149)</f>
        <v/>
      </c>
      <c r="AO153" s="13" t="str">
        <f>IF(Stock!AL149="","",Stock!AL149)</f>
        <v/>
      </c>
      <c r="AP153" s="13" t="str">
        <f>IF(Stock!AM149="","",Stock!AM149)</f>
        <v/>
      </c>
      <c r="AQ153" s="13" t="str">
        <f>IF(Stock!AN149="","",Stock!AN149)</f>
        <v/>
      </c>
      <c r="AR153" s="13" t="str">
        <f>IF(Stock!AO149="","",Stock!AO149)</f>
        <v/>
      </c>
      <c r="AS153" s="13" t="str">
        <f>IF(Stock!AP149="","",Stock!AP149)</f>
        <v/>
      </c>
      <c r="AT153" s="13" t="str">
        <f>IF(Stock!AQ149="","",Stock!AQ149)</f>
        <v/>
      </c>
      <c r="AU153" s="13" t="str">
        <f>IF(Stock!AR149="","",Stock!AR149)</f>
        <v/>
      </c>
      <c r="AV153" s="13" t="str">
        <f>IF(Stock!AS149="","",Stock!AS149)</f>
        <v/>
      </c>
      <c r="AW153" s="13" t="str">
        <f>IF(Stock!AT149="","",Stock!AT149)</f>
        <v/>
      </c>
      <c r="AX153" s="13" t="str">
        <f>IF(Stock!AU149="","",Stock!AU149)</f>
        <v/>
      </c>
      <c r="AY153" s="13" t="str">
        <f>IF(Stock!AV149="","",Stock!AV149)</f>
        <v/>
      </c>
      <c r="AZ153" s="13" t="str">
        <f>IF(Stock!AW149="","",Stock!AW149)</f>
        <v/>
      </c>
      <c r="BA153" s="13" t="str">
        <f>IF(Stock!AX149="","",Stock!AX149)</f>
        <v/>
      </c>
      <c r="BB153" s="13" t="str">
        <f>IF(Stock!AY149="","",Stock!AY149)</f>
        <v/>
      </c>
      <c r="BC153" s="13" t="str">
        <f>IF(Stock!AZ149="","",Stock!AZ149)</f>
        <v/>
      </c>
      <c r="BD153" s="13" t="str">
        <f>IF(Stock!BA149="","",Stock!BA149)</f>
        <v/>
      </c>
      <c r="BE153" s="13" t="str">
        <f>IF(Stock!BB149="","",Stock!BB149)</f>
        <v/>
      </c>
      <c r="BF153" s="13" t="str">
        <f>IF(Stock!BC149="","",Stock!BC149)</f>
        <v/>
      </c>
    </row>
    <row r="154" spans="2:58" ht="14.25" customHeight="1" x14ac:dyDescent="0.3">
      <c r="B154" s="31"/>
      <c r="E154" s="13" t="str">
        <f>IF(Stock!B150="","",Stock!B150)</f>
        <v/>
      </c>
      <c r="F154" s="13" t="str">
        <f>IF(Stock!C150="","",Stock!C150)</f>
        <v/>
      </c>
      <c r="G154" s="13" t="str">
        <f>IF(Stock!D150="","",Stock!D150)</f>
        <v/>
      </c>
      <c r="H154" s="13" t="str">
        <f>IF(Stock!E150="","",Stock!E150)</f>
        <v/>
      </c>
      <c r="I154" s="13" t="str">
        <f>IF(Stock!F150="","",Stock!F150)</f>
        <v/>
      </c>
      <c r="J154" s="13" t="str">
        <f>IF(Stock!G150="","",Stock!G150)</f>
        <v/>
      </c>
      <c r="K154" s="13" t="str">
        <f>IF(Stock!H150="","",Stock!H150)</f>
        <v/>
      </c>
      <c r="L154" s="13" t="str">
        <f>IF(Stock!I150="","",Stock!I150)</f>
        <v/>
      </c>
      <c r="M154" s="13" t="str">
        <f>IF(Stock!J150="","",Stock!J150)</f>
        <v/>
      </c>
      <c r="N154" s="13" t="str">
        <f>IF(Stock!K150="","",Stock!K150)</f>
        <v/>
      </c>
      <c r="O154" s="13" t="str">
        <f>IF(Stock!L150="","",Stock!L150)</f>
        <v/>
      </c>
      <c r="P154" s="13" t="str">
        <f>IF(Stock!M150="","",Stock!M150)</f>
        <v/>
      </c>
      <c r="Q154" s="13" t="str">
        <f>IF(Stock!N150="","",Stock!N150)</f>
        <v/>
      </c>
      <c r="R154" s="13" t="str">
        <f>IF(Stock!O150="","",Stock!O150)</f>
        <v/>
      </c>
      <c r="S154" s="13" t="str">
        <f>IF(Stock!P150="","",Stock!P150)</f>
        <v/>
      </c>
      <c r="T154" s="13" t="str">
        <f>IF(Stock!Q150="","",Stock!Q150)</f>
        <v/>
      </c>
      <c r="U154" s="13" t="str">
        <f>IF(Stock!R150="","",Stock!R150)</f>
        <v/>
      </c>
      <c r="V154" s="13" t="str">
        <f>IF(Stock!S150="","",Stock!S150)</f>
        <v/>
      </c>
      <c r="W154" s="13" t="str">
        <f>IF(Stock!T150="","",Stock!T150)</f>
        <v/>
      </c>
      <c r="X154" s="13" t="str">
        <f>IF(Stock!U150="","",Stock!U150)</f>
        <v/>
      </c>
      <c r="Y154" s="13" t="str">
        <f>IF(Stock!V150="","",Stock!V150)</f>
        <v/>
      </c>
      <c r="Z154" s="13" t="str">
        <f>IF(Stock!W150="","",Stock!W150)</f>
        <v/>
      </c>
      <c r="AA154" s="13" t="str">
        <f>IF(Stock!X150="","",Stock!X150)</f>
        <v/>
      </c>
      <c r="AB154" s="13" t="str">
        <f>IF(Stock!Y150="","",Stock!Y150)</f>
        <v/>
      </c>
      <c r="AC154" s="13" t="str">
        <f>IF(Stock!Z150="","",Stock!Z150)</f>
        <v/>
      </c>
      <c r="AD154" s="13" t="str">
        <f>IF(Stock!AA150="","",Stock!AA150)</f>
        <v/>
      </c>
      <c r="AE154" s="13" t="str">
        <f>IF(Stock!AB150="","",Stock!AB150)</f>
        <v/>
      </c>
      <c r="AF154" s="13" t="str">
        <f>IF(Stock!AC150="","",Stock!AC150)</f>
        <v/>
      </c>
      <c r="AG154" s="13" t="str">
        <f>IF(Stock!AD150="","",Stock!AD150)</f>
        <v/>
      </c>
      <c r="AH154" s="13" t="str">
        <f>IF(Stock!AE150="","",Stock!AE150)</f>
        <v/>
      </c>
      <c r="AI154" s="13" t="str">
        <f>IF(Stock!AF150="","",Stock!AF150)</f>
        <v/>
      </c>
      <c r="AJ154" s="13" t="str">
        <f>IF(Stock!AG150="","",Stock!AG150)</f>
        <v/>
      </c>
      <c r="AK154" s="13" t="str">
        <f>IF(Stock!AH150="","",Stock!AH150)</f>
        <v/>
      </c>
      <c r="AL154" s="13" t="str">
        <f>IF(Stock!AI150="","",Stock!AI150)</f>
        <v/>
      </c>
      <c r="AM154" s="13" t="str">
        <f>IF(Stock!AJ150="","",Stock!AJ150)</f>
        <v/>
      </c>
      <c r="AN154" s="13" t="str">
        <f>IF(Stock!AK150="","",Stock!AK150)</f>
        <v/>
      </c>
      <c r="AO154" s="13" t="str">
        <f>IF(Stock!AL150="","",Stock!AL150)</f>
        <v/>
      </c>
      <c r="AP154" s="13" t="str">
        <f>IF(Stock!AM150="","",Stock!AM150)</f>
        <v/>
      </c>
      <c r="AQ154" s="13" t="str">
        <f>IF(Stock!AN150="","",Stock!AN150)</f>
        <v/>
      </c>
      <c r="AR154" s="13" t="str">
        <f>IF(Stock!AO150="","",Stock!AO150)</f>
        <v/>
      </c>
      <c r="AS154" s="13" t="str">
        <f>IF(Stock!AP150="","",Stock!AP150)</f>
        <v/>
      </c>
      <c r="AT154" s="13" t="str">
        <f>IF(Stock!AQ150="","",Stock!AQ150)</f>
        <v/>
      </c>
      <c r="AU154" s="13" t="str">
        <f>IF(Stock!AR150="","",Stock!AR150)</f>
        <v/>
      </c>
      <c r="AV154" s="13" t="str">
        <f>IF(Stock!AS150="","",Stock!AS150)</f>
        <v/>
      </c>
      <c r="AW154" s="13" t="str">
        <f>IF(Stock!AT150="","",Stock!AT150)</f>
        <v/>
      </c>
      <c r="AX154" s="13" t="str">
        <f>IF(Stock!AU150="","",Stock!AU150)</f>
        <v/>
      </c>
      <c r="AY154" s="13" t="str">
        <f>IF(Stock!AV150="","",Stock!AV150)</f>
        <v/>
      </c>
      <c r="AZ154" s="13" t="str">
        <f>IF(Stock!AW150="","",Stock!AW150)</f>
        <v/>
      </c>
      <c r="BA154" s="13" t="str">
        <f>IF(Stock!AX150="","",Stock!AX150)</f>
        <v/>
      </c>
      <c r="BB154" s="13" t="str">
        <f>IF(Stock!AY150="","",Stock!AY150)</f>
        <v/>
      </c>
      <c r="BC154" s="13" t="str">
        <f>IF(Stock!AZ150="","",Stock!AZ150)</f>
        <v/>
      </c>
      <c r="BD154" s="13" t="str">
        <f>IF(Stock!BA150="","",Stock!BA150)</f>
        <v/>
      </c>
      <c r="BE154" s="13" t="str">
        <f>IF(Stock!BB150="","",Stock!BB150)</f>
        <v/>
      </c>
      <c r="BF154" s="13" t="str">
        <f>IF(Stock!BC150="","",Stock!BC150)</f>
        <v/>
      </c>
    </row>
    <row r="155" spans="2:58" ht="14.25" customHeight="1" x14ac:dyDescent="0.3">
      <c r="B155" s="31"/>
      <c r="E155" s="13" t="str">
        <f>IF(Stock!B151="","",Stock!B151)</f>
        <v/>
      </c>
      <c r="F155" s="13" t="str">
        <f>IF(Stock!C151="","",Stock!C151)</f>
        <v/>
      </c>
      <c r="G155" s="13" t="str">
        <f>IF(Stock!D151="","",Stock!D151)</f>
        <v/>
      </c>
      <c r="H155" s="13" t="str">
        <f>IF(Stock!E151="","",Stock!E151)</f>
        <v/>
      </c>
      <c r="I155" s="13" t="str">
        <f>IF(Stock!F151="","",Stock!F151)</f>
        <v/>
      </c>
      <c r="J155" s="13" t="str">
        <f>IF(Stock!G151="","",Stock!G151)</f>
        <v/>
      </c>
      <c r="K155" s="13" t="str">
        <f>IF(Stock!H151="","",Stock!H151)</f>
        <v/>
      </c>
      <c r="L155" s="13" t="str">
        <f>IF(Stock!I151="","",Stock!I151)</f>
        <v/>
      </c>
      <c r="M155" s="13" t="str">
        <f>IF(Stock!J151="","",Stock!J151)</f>
        <v/>
      </c>
      <c r="N155" s="13" t="str">
        <f>IF(Stock!K151="","",Stock!K151)</f>
        <v/>
      </c>
      <c r="O155" s="13" t="str">
        <f>IF(Stock!L151="","",Stock!L151)</f>
        <v/>
      </c>
      <c r="P155" s="13" t="str">
        <f>IF(Stock!M151="","",Stock!M151)</f>
        <v/>
      </c>
      <c r="Q155" s="13" t="str">
        <f>IF(Stock!N151="","",Stock!N151)</f>
        <v/>
      </c>
      <c r="R155" s="13" t="str">
        <f>IF(Stock!O151="","",Stock!O151)</f>
        <v/>
      </c>
      <c r="S155" s="13" t="str">
        <f>IF(Stock!P151="","",Stock!P151)</f>
        <v/>
      </c>
      <c r="T155" s="13" t="str">
        <f>IF(Stock!Q151="","",Stock!Q151)</f>
        <v/>
      </c>
      <c r="U155" s="13" t="str">
        <f>IF(Stock!R151="","",Stock!R151)</f>
        <v/>
      </c>
      <c r="V155" s="13" t="str">
        <f>IF(Stock!S151="","",Stock!S151)</f>
        <v/>
      </c>
      <c r="W155" s="13" t="str">
        <f>IF(Stock!T151="","",Stock!T151)</f>
        <v/>
      </c>
      <c r="X155" s="13" t="str">
        <f>IF(Stock!U151="","",Stock!U151)</f>
        <v/>
      </c>
      <c r="Y155" s="13" t="str">
        <f>IF(Stock!V151="","",Stock!V151)</f>
        <v/>
      </c>
      <c r="Z155" s="13" t="str">
        <f>IF(Stock!W151="","",Stock!W151)</f>
        <v/>
      </c>
      <c r="AA155" s="13" t="str">
        <f>IF(Stock!X151="","",Stock!X151)</f>
        <v/>
      </c>
      <c r="AB155" s="13" t="str">
        <f>IF(Stock!Y151="","",Stock!Y151)</f>
        <v/>
      </c>
      <c r="AC155" s="13" t="str">
        <f>IF(Stock!Z151="","",Stock!Z151)</f>
        <v/>
      </c>
      <c r="AD155" s="13" t="str">
        <f>IF(Stock!AA151="","",Stock!AA151)</f>
        <v/>
      </c>
      <c r="AE155" s="13" t="str">
        <f>IF(Stock!AB151="","",Stock!AB151)</f>
        <v/>
      </c>
      <c r="AF155" s="13" t="str">
        <f>IF(Stock!AC151="","",Stock!AC151)</f>
        <v/>
      </c>
      <c r="AG155" s="13" t="str">
        <f>IF(Stock!AD151="","",Stock!AD151)</f>
        <v/>
      </c>
      <c r="AH155" s="13" t="str">
        <f>IF(Stock!AE151="","",Stock!AE151)</f>
        <v/>
      </c>
      <c r="AI155" s="13" t="str">
        <f>IF(Stock!AF151="","",Stock!AF151)</f>
        <v/>
      </c>
      <c r="AJ155" s="13" t="str">
        <f>IF(Stock!AG151="","",Stock!AG151)</f>
        <v/>
      </c>
      <c r="AK155" s="13" t="str">
        <f>IF(Stock!AH151="","",Stock!AH151)</f>
        <v/>
      </c>
      <c r="AL155" s="13" t="str">
        <f>IF(Stock!AI151="","",Stock!AI151)</f>
        <v/>
      </c>
      <c r="AM155" s="13" t="str">
        <f>IF(Stock!AJ151="","",Stock!AJ151)</f>
        <v/>
      </c>
      <c r="AN155" s="13" t="str">
        <f>IF(Stock!AK151="","",Stock!AK151)</f>
        <v/>
      </c>
      <c r="AO155" s="13" t="str">
        <f>IF(Stock!AL151="","",Stock!AL151)</f>
        <v/>
      </c>
      <c r="AP155" s="13" t="str">
        <f>IF(Stock!AM151="","",Stock!AM151)</f>
        <v/>
      </c>
      <c r="AQ155" s="13" t="str">
        <f>IF(Stock!AN151="","",Stock!AN151)</f>
        <v/>
      </c>
      <c r="AR155" s="13" t="str">
        <f>IF(Stock!AO151="","",Stock!AO151)</f>
        <v/>
      </c>
      <c r="AS155" s="13" t="str">
        <f>IF(Stock!AP151="","",Stock!AP151)</f>
        <v/>
      </c>
      <c r="AT155" s="13" t="str">
        <f>IF(Stock!AQ151="","",Stock!AQ151)</f>
        <v/>
      </c>
      <c r="AU155" s="13" t="str">
        <f>IF(Stock!AR151="","",Stock!AR151)</f>
        <v/>
      </c>
      <c r="AV155" s="13" t="str">
        <f>IF(Stock!AS151="","",Stock!AS151)</f>
        <v/>
      </c>
      <c r="AW155" s="13" t="str">
        <f>IF(Stock!AT151="","",Stock!AT151)</f>
        <v/>
      </c>
      <c r="AX155" s="13" t="str">
        <f>IF(Stock!AU151="","",Stock!AU151)</f>
        <v/>
      </c>
      <c r="AY155" s="13" t="str">
        <f>IF(Stock!AV151="","",Stock!AV151)</f>
        <v/>
      </c>
      <c r="AZ155" s="13" t="str">
        <f>IF(Stock!AW151="","",Stock!AW151)</f>
        <v/>
      </c>
      <c r="BA155" s="13" t="str">
        <f>IF(Stock!AX151="","",Stock!AX151)</f>
        <v/>
      </c>
      <c r="BB155" s="13" t="str">
        <f>IF(Stock!AY151="","",Stock!AY151)</f>
        <v/>
      </c>
      <c r="BC155" s="13" t="str">
        <f>IF(Stock!AZ151="","",Stock!AZ151)</f>
        <v/>
      </c>
      <c r="BD155" s="13" t="str">
        <f>IF(Stock!BA151="","",Stock!BA151)</f>
        <v/>
      </c>
      <c r="BE155" s="13" t="str">
        <f>IF(Stock!BB151="","",Stock!BB151)</f>
        <v/>
      </c>
      <c r="BF155" s="13" t="str">
        <f>IF(Stock!BC151="","",Stock!BC151)</f>
        <v/>
      </c>
    </row>
    <row r="156" spans="2:58" ht="14.25" customHeight="1" x14ac:dyDescent="0.3">
      <c r="B156" s="31"/>
      <c r="E156" s="13" t="str">
        <f>IF(Stock!B152="","",Stock!B152)</f>
        <v/>
      </c>
      <c r="F156" s="13" t="str">
        <f>IF(Stock!C152="","",Stock!C152)</f>
        <v/>
      </c>
      <c r="G156" s="13" t="str">
        <f>IF(Stock!D152="","",Stock!D152)</f>
        <v/>
      </c>
      <c r="H156" s="13" t="str">
        <f>IF(Stock!E152="","",Stock!E152)</f>
        <v/>
      </c>
      <c r="I156" s="13" t="str">
        <f>IF(Stock!F152="","",Stock!F152)</f>
        <v/>
      </c>
      <c r="J156" s="13" t="str">
        <f>IF(Stock!G152="","",Stock!G152)</f>
        <v/>
      </c>
      <c r="K156" s="13" t="str">
        <f>IF(Stock!H152="","",Stock!H152)</f>
        <v/>
      </c>
      <c r="L156" s="13" t="str">
        <f>IF(Stock!I152="","",Stock!I152)</f>
        <v/>
      </c>
      <c r="M156" s="13" t="str">
        <f>IF(Stock!J152="","",Stock!J152)</f>
        <v/>
      </c>
      <c r="N156" s="13" t="str">
        <f>IF(Stock!K152="","",Stock!K152)</f>
        <v/>
      </c>
      <c r="O156" s="13" t="str">
        <f>IF(Stock!L152="","",Stock!L152)</f>
        <v/>
      </c>
      <c r="P156" s="13" t="str">
        <f>IF(Stock!M152="","",Stock!M152)</f>
        <v/>
      </c>
      <c r="Q156" s="13" t="str">
        <f>IF(Stock!N152="","",Stock!N152)</f>
        <v/>
      </c>
      <c r="R156" s="13" t="str">
        <f>IF(Stock!O152="","",Stock!O152)</f>
        <v/>
      </c>
      <c r="S156" s="13" t="str">
        <f>IF(Stock!P152="","",Stock!P152)</f>
        <v/>
      </c>
      <c r="T156" s="13" t="str">
        <f>IF(Stock!Q152="","",Stock!Q152)</f>
        <v/>
      </c>
      <c r="U156" s="13" t="str">
        <f>IF(Stock!R152="","",Stock!R152)</f>
        <v/>
      </c>
      <c r="V156" s="13" t="str">
        <f>IF(Stock!S152="","",Stock!S152)</f>
        <v/>
      </c>
      <c r="W156" s="13" t="str">
        <f>IF(Stock!T152="","",Stock!T152)</f>
        <v/>
      </c>
      <c r="X156" s="13" t="str">
        <f>IF(Stock!U152="","",Stock!U152)</f>
        <v/>
      </c>
      <c r="Y156" s="13" t="str">
        <f>IF(Stock!V152="","",Stock!V152)</f>
        <v/>
      </c>
      <c r="Z156" s="13" t="str">
        <f>IF(Stock!W152="","",Stock!W152)</f>
        <v/>
      </c>
      <c r="AA156" s="13" t="str">
        <f>IF(Stock!X152="","",Stock!X152)</f>
        <v/>
      </c>
      <c r="AB156" s="13" t="str">
        <f>IF(Stock!Y152="","",Stock!Y152)</f>
        <v/>
      </c>
      <c r="AC156" s="13" t="str">
        <f>IF(Stock!Z152="","",Stock!Z152)</f>
        <v/>
      </c>
      <c r="AD156" s="13" t="str">
        <f>IF(Stock!AA152="","",Stock!AA152)</f>
        <v/>
      </c>
      <c r="AE156" s="13" t="str">
        <f>IF(Stock!AB152="","",Stock!AB152)</f>
        <v/>
      </c>
      <c r="AF156" s="13" t="str">
        <f>IF(Stock!AC152="","",Stock!AC152)</f>
        <v/>
      </c>
      <c r="AG156" s="13" t="str">
        <f>IF(Stock!AD152="","",Stock!AD152)</f>
        <v/>
      </c>
      <c r="AH156" s="13" t="str">
        <f>IF(Stock!AE152="","",Stock!AE152)</f>
        <v/>
      </c>
      <c r="AI156" s="13" t="str">
        <f>IF(Stock!AF152="","",Stock!AF152)</f>
        <v/>
      </c>
      <c r="AJ156" s="13" t="str">
        <f>IF(Stock!AG152="","",Stock!AG152)</f>
        <v/>
      </c>
      <c r="AK156" s="13" t="str">
        <f>IF(Stock!AH152="","",Stock!AH152)</f>
        <v/>
      </c>
      <c r="AL156" s="13" t="str">
        <f>IF(Stock!AI152="","",Stock!AI152)</f>
        <v/>
      </c>
      <c r="AM156" s="13" t="str">
        <f>IF(Stock!AJ152="","",Stock!AJ152)</f>
        <v/>
      </c>
      <c r="AN156" s="13" t="str">
        <f>IF(Stock!AK152="","",Stock!AK152)</f>
        <v/>
      </c>
      <c r="AO156" s="13" t="str">
        <f>IF(Stock!AL152="","",Stock!AL152)</f>
        <v/>
      </c>
      <c r="AP156" s="13" t="str">
        <f>IF(Stock!AM152="","",Stock!AM152)</f>
        <v/>
      </c>
      <c r="AQ156" s="13" t="str">
        <f>IF(Stock!AN152="","",Stock!AN152)</f>
        <v/>
      </c>
      <c r="AR156" s="13" t="str">
        <f>IF(Stock!AO152="","",Stock!AO152)</f>
        <v/>
      </c>
      <c r="AS156" s="13" t="str">
        <f>IF(Stock!AP152="","",Stock!AP152)</f>
        <v/>
      </c>
      <c r="AT156" s="13" t="str">
        <f>IF(Stock!AQ152="","",Stock!AQ152)</f>
        <v/>
      </c>
      <c r="AU156" s="13" t="str">
        <f>IF(Stock!AR152="","",Stock!AR152)</f>
        <v/>
      </c>
      <c r="AV156" s="13" t="str">
        <f>IF(Stock!AS152="","",Stock!AS152)</f>
        <v/>
      </c>
      <c r="AW156" s="13" t="str">
        <f>IF(Stock!AT152="","",Stock!AT152)</f>
        <v/>
      </c>
      <c r="AX156" s="13" t="str">
        <f>IF(Stock!AU152="","",Stock!AU152)</f>
        <v/>
      </c>
      <c r="AY156" s="13" t="str">
        <f>IF(Stock!AV152="","",Stock!AV152)</f>
        <v/>
      </c>
      <c r="AZ156" s="13" t="str">
        <f>IF(Stock!AW152="","",Stock!AW152)</f>
        <v/>
      </c>
      <c r="BA156" s="13" t="str">
        <f>IF(Stock!AX152="","",Stock!AX152)</f>
        <v/>
      </c>
      <c r="BB156" s="13" t="str">
        <f>IF(Stock!AY152="","",Stock!AY152)</f>
        <v/>
      </c>
      <c r="BC156" s="13" t="str">
        <f>IF(Stock!AZ152="","",Stock!AZ152)</f>
        <v/>
      </c>
      <c r="BD156" s="13" t="str">
        <f>IF(Stock!BA152="","",Stock!BA152)</f>
        <v/>
      </c>
      <c r="BE156" s="13" t="str">
        <f>IF(Stock!BB152="","",Stock!BB152)</f>
        <v/>
      </c>
      <c r="BF156" s="13" t="str">
        <f>IF(Stock!BC152="","",Stock!BC152)</f>
        <v/>
      </c>
    </row>
    <row r="157" spans="2:58" ht="14.25" customHeight="1" x14ac:dyDescent="0.3">
      <c r="B157" s="31"/>
      <c r="E157" s="13" t="str">
        <f>IF(Stock!B153="","",Stock!B153)</f>
        <v/>
      </c>
      <c r="F157" s="13" t="str">
        <f>IF(Stock!C153="","",Stock!C153)</f>
        <v/>
      </c>
      <c r="G157" s="13" t="str">
        <f>IF(Stock!D153="","",Stock!D153)</f>
        <v/>
      </c>
      <c r="H157" s="13" t="str">
        <f>IF(Stock!E153="","",Stock!E153)</f>
        <v/>
      </c>
      <c r="I157" s="13" t="str">
        <f>IF(Stock!F153="","",Stock!F153)</f>
        <v/>
      </c>
      <c r="J157" s="13" t="str">
        <f>IF(Stock!G153="","",Stock!G153)</f>
        <v/>
      </c>
      <c r="K157" s="13" t="str">
        <f>IF(Stock!H153="","",Stock!H153)</f>
        <v/>
      </c>
      <c r="L157" s="13" t="str">
        <f>IF(Stock!I153="","",Stock!I153)</f>
        <v/>
      </c>
      <c r="M157" s="13" t="str">
        <f>IF(Stock!J153="","",Stock!J153)</f>
        <v/>
      </c>
      <c r="N157" s="13" t="str">
        <f>IF(Stock!K153="","",Stock!K153)</f>
        <v/>
      </c>
      <c r="O157" s="13" t="str">
        <f>IF(Stock!L153="","",Stock!L153)</f>
        <v/>
      </c>
      <c r="P157" s="13" t="str">
        <f>IF(Stock!M153="","",Stock!M153)</f>
        <v/>
      </c>
      <c r="Q157" s="13" t="str">
        <f>IF(Stock!N153="","",Stock!N153)</f>
        <v/>
      </c>
      <c r="R157" s="13" t="str">
        <f>IF(Stock!O153="","",Stock!O153)</f>
        <v/>
      </c>
      <c r="S157" s="13" t="str">
        <f>IF(Stock!P153="","",Stock!P153)</f>
        <v/>
      </c>
      <c r="T157" s="13" t="str">
        <f>IF(Stock!Q153="","",Stock!Q153)</f>
        <v/>
      </c>
      <c r="U157" s="13" t="str">
        <f>IF(Stock!R153="","",Stock!R153)</f>
        <v/>
      </c>
      <c r="V157" s="13" t="str">
        <f>IF(Stock!S153="","",Stock!S153)</f>
        <v/>
      </c>
      <c r="W157" s="13" t="str">
        <f>IF(Stock!T153="","",Stock!T153)</f>
        <v/>
      </c>
      <c r="X157" s="13" t="str">
        <f>IF(Stock!U153="","",Stock!U153)</f>
        <v/>
      </c>
      <c r="Y157" s="13" t="str">
        <f>IF(Stock!V153="","",Stock!V153)</f>
        <v/>
      </c>
      <c r="Z157" s="13" t="str">
        <f>IF(Stock!W153="","",Stock!W153)</f>
        <v/>
      </c>
      <c r="AA157" s="13" t="str">
        <f>IF(Stock!X153="","",Stock!X153)</f>
        <v/>
      </c>
      <c r="AB157" s="13" t="str">
        <f>IF(Stock!Y153="","",Stock!Y153)</f>
        <v/>
      </c>
      <c r="AC157" s="13" t="str">
        <f>IF(Stock!Z153="","",Stock!Z153)</f>
        <v/>
      </c>
      <c r="AD157" s="13" t="str">
        <f>IF(Stock!AA153="","",Stock!AA153)</f>
        <v/>
      </c>
      <c r="AE157" s="13" t="str">
        <f>IF(Stock!AB153="","",Stock!AB153)</f>
        <v/>
      </c>
      <c r="AF157" s="13" t="str">
        <f>IF(Stock!AC153="","",Stock!AC153)</f>
        <v/>
      </c>
      <c r="AG157" s="13" t="str">
        <f>IF(Stock!AD153="","",Stock!AD153)</f>
        <v/>
      </c>
      <c r="AH157" s="13" t="str">
        <f>IF(Stock!AE153="","",Stock!AE153)</f>
        <v/>
      </c>
      <c r="AI157" s="13" t="str">
        <f>IF(Stock!AF153="","",Stock!AF153)</f>
        <v/>
      </c>
      <c r="AJ157" s="13" t="str">
        <f>IF(Stock!AG153="","",Stock!AG153)</f>
        <v/>
      </c>
      <c r="AK157" s="13" t="str">
        <f>IF(Stock!AH153="","",Stock!AH153)</f>
        <v/>
      </c>
      <c r="AL157" s="13" t="str">
        <f>IF(Stock!AI153="","",Stock!AI153)</f>
        <v/>
      </c>
      <c r="AM157" s="13" t="str">
        <f>IF(Stock!AJ153="","",Stock!AJ153)</f>
        <v/>
      </c>
      <c r="AN157" s="13" t="str">
        <f>IF(Stock!AK153="","",Stock!AK153)</f>
        <v/>
      </c>
      <c r="AO157" s="13" t="str">
        <f>IF(Stock!AL153="","",Stock!AL153)</f>
        <v/>
      </c>
      <c r="AP157" s="13" t="str">
        <f>IF(Stock!AM153="","",Stock!AM153)</f>
        <v/>
      </c>
      <c r="AQ157" s="13" t="str">
        <f>IF(Stock!AN153="","",Stock!AN153)</f>
        <v/>
      </c>
      <c r="AR157" s="13" t="str">
        <f>IF(Stock!AO153="","",Stock!AO153)</f>
        <v/>
      </c>
      <c r="AS157" s="13" t="str">
        <f>IF(Stock!AP153="","",Stock!AP153)</f>
        <v/>
      </c>
      <c r="AT157" s="13" t="str">
        <f>IF(Stock!AQ153="","",Stock!AQ153)</f>
        <v/>
      </c>
      <c r="AU157" s="13" t="str">
        <f>IF(Stock!AR153="","",Stock!AR153)</f>
        <v/>
      </c>
      <c r="AV157" s="13" t="str">
        <f>IF(Stock!AS153="","",Stock!AS153)</f>
        <v/>
      </c>
      <c r="AW157" s="13" t="str">
        <f>IF(Stock!AT153="","",Stock!AT153)</f>
        <v/>
      </c>
      <c r="AX157" s="13" t="str">
        <f>IF(Stock!AU153="","",Stock!AU153)</f>
        <v/>
      </c>
      <c r="AY157" s="13" t="str">
        <f>IF(Stock!AV153="","",Stock!AV153)</f>
        <v/>
      </c>
      <c r="AZ157" s="13" t="str">
        <f>IF(Stock!AW153="","",Stock!AW153)</f>
        <v/>
      </c>
      <c r="BA157" s="13" t="str">
        <f>IF(Stock!AX153="","",Stock!AX153)</f>
        <v/>
      </c>
      <c r="BB157" s="13" t="str">
        <f>IF(Stock!AY153="","",Stock!AY153)</f>
        <v/>
      </c>
      <c r="BC157" s="13" t="str">
        <f>IF(Stock!AZ153="","",Stock!AZ153)</f>
        <v/>
      </c>
      <c r="BD157" s="13" t="str">
        <f>IF(Stock!BA153="","",Stock!BA153)</f>
        <v/>
      </c>
      <c r="BE157" s="13" t="str">
        <f>IF(Stock!BB153="","",Stock!BB153)</f>
        <v/>
      </c>
      <c r="BF157" s="13" t="str">
        <f>IF(Stock!BC153="","",Stock!BC153)</f>
        <v/>
      </c>
    </row>
    <row r="158" spans="2:58" ht="14.25" customHeight="1" x14ac:dyDescent="0.3">
      <c r="B158" s="31"/>
      <c r="E158" s="13" t="str">
        <f>IF(Stock!B154="","",Stock!B154)</f>
        <v/>
      </c>
      <c r="F158" s="13" t="str">
        <f>IF(Stock!C154="","",Stock!C154)</f>
        <v/>
      </c>
      <c r="G158" s="13" t="str">
        <f>IF(Stock!D154="","",Stock!D154)</f>
        <v/>
      </c>
      <c r="H158" s="13" t="str">
        <f>IF(Stock!E154="","",Stock!E154)</f>
        <v/>
      </c>
      <c r="I158" s="13" t="str">
        <f>IF(Stock!F154="","",Stock!F154)</f>
        <v/>
      </c>
      <c r="J158" s="13" t="str">
        <f>IF(Stock!G154="","",Stock!G154)</f>
        <v/>
      </c>
      <c r="K158" s="13" t="str">
        <f>IF(Stock!H154="","",Stock!H154)</f>
        <v/>
      </c>
      <c r="L158" s="13" t="str">
        <f>IF(Stock!I154="","",Stock!I154)</f>
        <v/>
      </c>
      <c r="M158" s="13" t="str">
        <f>IF(Stock!J154="","",Stock!J154)</f>
        <v/>
      </c>
      <c r="N158" s="13" t="str">
        <f>IF(Stock!K154="","",Stock!K154)</f>
        <v/>
      </c>
      <c r="O158" s="13" t="str">
        <f>IF(Stock!L154="","",Stock!L154)</f>
        <v/>
      </c>
      <c r="P158" s="13" t="str">
        <f>IF(Stock!M154="","",Stock!M154)</f>
        <v/>
      </c>
      <c r="Q158" s="13" t="str">
        <f>IF(Stock!N154="","",Stock!N154)</f>
        <v/>
      </c>
      <c r="R158" s="13" t="str">
        <f>IF(Stock!O154="","",Stock!O154)</f>
        <v/>
      </c>
      <c r="S158" s="13" t="str">
        <f>IF(Stock!P154="","",Stock!P154)</f>
        <v/>
      </c>
      <c r="T158" s="13" t="str">
        <f>IF(Stock!Q154="","",Stock!Q154)</f>
        <v/>
      </c>
      <c r="U158" s="13" t="str">
        <f>IF(Stock!R154="","",Stock!R154)</f>
        <v/>
      </c>
      <c r="V158" s="13" t="str">
        <f>IF(Stock!S154="","",Stock!S154)</f>
        <v/>
      </c>
      <c r="W158" s="13" t="str">
        <f>IF(Stock!T154="","",Stock!T154)</f>
        <v/>
      </c>
      <c r="X158" s="13" t="str">
        <f>IF(Stock!U154="","",Stock!U154)</f>
        <v/>
      </c>
      <c r="Y158" s="13" t="str">
        <f>IF(Stock!V154="","",Stock!V154)</f>
        <v/>
      </c>
      <c r="Z158" s="13" t="str">
        <f>IF(Stock!W154="","",Stock!W154)</f>
        <v/>
      </c>
      <c r="AA158" s="13" t="str">
        <f>IF(Stock!X154="","",Stock!X154)</f>
        <v/>
      </c>
      <c r="AB158" s="13" t="str">
        <f>IF(Stock!Y154="","",Stock!Y154)</f>
        <v/>
      </c>
      <c r="AC158" s="13" t="str">
        <f>IF(Stock!Z154="","",Stock!Z154)</f>
        <v/>
      </c>
      <c r="AD158" s="13" t="str">
        <f>IF(Stock!AA154="","",Stock!AA154)</f>
        <v/>
      </c>
      <c r="AE158" s="13" t="str">
        <f>IF(Stock!AB154="","",Stock!AB154)</f>
        <v/>
      </c>
      <c r="AF158" s="13" t="str">
        <f>IF(Stock!AC154="","",Stock!AC154)</f>
        <v/>
      </c>
      <c r="AG158" s="13" t="str">
        <f>IF(Stock!AD154="","",Stock!AD154)</f>
        <v/>
      </c>
      <c r="AH158" s="13" t="str">
        <f>IF(Stock!AE154="","",Stock!AE154)</f>
        <v/>
      </c>
      <c r="AI158" s="13" t="str">
        <f>IF(Stock!AF154="","",Stock!AF154)</f>
        <v/>
      </c>
      <c r="AJ158" s="13" t="str">
        <f>IF(Stock!AG154="","",Stock!AG154)</f>
        <v/>
      </c>
      <c r="AK158" s="13" t="str">
        <f>IF(Stock!AH154="","",Stock!AH154)</f>
        <v/>
      </c>
      <c r="AL158" s="13" t="str">
        <f>IF(Stock!AI154="","",Stock!AI154)</f>
        <v/>
      </c>
      <c r="AM158" s="13" t="str">
        <f>IF(Stock!AJ154="","",Stock!AJ154)</f>
        <v/>
      </c>
      <c r="AN158" s="13" t="str">
        <f>IF(Stock!AK154="","",Stock!AK154)</f>
        <v/>
      </c>
      <c r="AO158" s="13" t="str">
        <f>IF(Stock!AL154="","",Stock!AL154)</f>
        <v/>
      </c>
      <c r="AP158" s="13" t="str">
        <f>IF(Stock!AM154="","",Stock!AM154)</f>
        <v/>
      </c>
      <c r="AQ158" s="13" t="str">
        <f>IF(Stock!AN154="","",Stock!AN154)</f>
        <v/>
      </c>
      <c r="AR158" s="13" t="str">
        <f>IF(Stock!AO154="","",Stock!AO154)</f>
        <v/>
      </c>
      <c r="AS158" s="13" t="str">
        <f>IF(Stock!AP154="","",Stock!AP154)</f>
        <v/>
      </c>
      <c r="AT158" s="13" t="str">
        <f>IF(Stock!AQ154="","",Stock!AQ154)</f>
        <v/>
      </c>
      <c r="AU158" s="13" t="str">
        <f>IF(Stock!AR154="","",Stock!AR154)</f>
        <v/>
      </c>
      <c r="AV158" s="13" t="str">
        <f>IF(Stock!AS154="","",Stock!AS154)</f>
        <v/>
      </c>
      <c r="AW158" s="13" t="str">
        <f>IF(Stock!AT154="","",Stock!AT154)</f>
        <v/>
      </c>
      <c r="AX158" s="13" t="str">
        <f>IF(Stock!AU154="","",Stock!AU154)</f>
        <v/>
      </c>
      <c r="AY158" s="13" t="str">
        <f>IF(Stock!AV154="","",Stock!AV154)</f>
        <v/>
      </c>
      <c r="AZ158" s="13" t="str">
        <f>IF(Stock!AW154="","",Stock!AW154)</f>
        <v/>
      </c>
      <c r="BA158" s="13" t="str">
        <f>IF(Stock!AX154="","",Stock!AX154)</f>
        <v/>
      </c>
      <c r="BB158" s="13" t="str">
        <f>IF(Stock!AY154="","",Stock!AY154)</f>
        <v/>
      </c>
      <c r="BC158" s="13" t="str">
        <f>IF(Stock!AZ154="","",Stock!AZ154)</f>
        <v/>
      </c>
      <c r="BD158" s="13" t="str">
        <f>IF(Stock!BA154="","",Stock!BA154)</f>
        <v/>
      </c>
      <c r="BE158" s="13" t="str">
        <f>IF(Stock!BB154="","",Stock!BB154)</f>
        <v/>
      </c>
      <c r="BF158" s="13" t="str">
        <f>IF(Stock!BC154="","",Stock!BC154)</f>
        <v/>
      </c>
    </row>
    <row r="159" spans="2:58" ht="14.25" customHeight="1" x14ac:dyDescent="0.3">
      <c r="B159" s="31"/>
      <c r="E159" s="13" t="str">
        <f>IF(Stock!B155="","",Stock!B155)</f>
        <v/>
      </c>
      <c r="F159" s="13" t="str">
        <f>IF(Stock!C155="","",Stock!C155)</f>
        <v/>
      </c>
      <c r="G159" s="13" t="str">
        <f>IF(Stock!D155="","",Stock!D155)</f>
        <v/>
      </c>
      <c r="H159" s="13" t="str">
        <f>IF(Stock!E155="","",Stock!E155)</f>
        <v/>
      </c>
      <c r="I159" s="13" t="str">
        <f>IF(Stock!F155="","",Stock!F155)</f>
        <v/>
      </c>
      <c r="J159" s="13" t="str">
        <f>IF(Stock!G155="","",Stock!G155)</f>
        <v/>
      </c>
      <c r="K159" s="13" t="str">
        <f>IF(Stock!H155="","",Stock!H155)</f>
        <v/>
      </c>
      <c r="L159" s="13" t="str">
        <f>IF(Stock!I155="","",Stock!I155)</f>
        <v/>
      </c>
      <c r="M159" s="13" t="str">
        <f>IF(Stock!J155="","",Stock!J155)</f>
        <v/>
      </c>
      <c r="N159" s="13" t="str">
        <f>IF(Stock!K155="","",Stock!K155)</f>
        <v/>
      </c>
      <c r="O159" s="13" t="str">
        <f>IF(Stock!L155="","",Stock!L155)</f>
        <v/>
      </c>
      <c r="P159" s="13" t="str">
        <f>IF(Stock!M155="","",Stock!M155)</f>
        <v/>
      </c>
      <c r="Q159" s="13" t="str">
        <f>IF(Stock!N155="","",Stock!N155)</f>
        <v/>
      </c>
      <c r="R159" s="13" t="str">
        <f>IF(Stock!O155="","",Stock!O155)</f>
        <v/>
      </c>
      <c r="S159" s="13" t="str">
        <f>IF(Stock!P155="","",Stock!P155)</f>
        <v/>
      </c>
      <c r="T159" s="13" t="str">
        <f>IF(Stock!Q155="","",Stock!Q155)</f>
        <v/>
      </c>
      <c r="U159" s="13" t="str">
        <f>IF(Stock!R155="","",Stock!R155)</f>
        <v/>
      </c>
      <c r="V159" s="13" t="str">
        <f>IF(Stock!S155="","",Stock!S155)</f>
        <v/>
      </c>
      <c r="W159" s="13" t="str">
        <f>IF(Stock!T155="","",Stock!T155)</f>
        <v/>
      </c>
      <c r="X159" s="13" t="str">
        <f>IF(Stock!U155="","",Stock!U155)</f>
        <v/>
      </c>
      <c r="Y159" s="13" t="str">
        <f>IF(Stock!V155="","",Stock!V155)</f>
        <v/>
      </c>
      <c r="Z159" s="13" t="str">
        <f>IF(Stock!W155="","",Stock!W155)</f>
        <v/>
      </c>
      <c r="AA159" s="13" t="str">
        <f>IF(Stock!X155="","",Stock!X155)</f>
        <v/>
      </c>
      <c r="AB159" s="13" t="str">
        <f>IF(Stock!Y155="","",Stock!Y155)</f>
        <v/>
      </c>
      <c r="AC159" s="13" t="str">
        <f>IF(Stock!Z155="","",Stock!Z155)</f>
        <v/>
      </c>
      <c r="AD159" s="13" t="str">
        <f>IF(Stock!AA155="","",Stock!AA155)</f>
        <v/>
      </c>
      <c r="AE159" s="13" t="str">
        <f>IF(Stock!AB155="","",Stock!AB155)</f>
        <v/>
      </c>
      <c r="AF159" s="13" t="str">
        <f>IF(Stock!AC155="","",Stock!AC155)</f>
        <v/>
      </c>
      <c r="AG159" s="13" t="str">
        <f>IF(Stock!AD155="","",Stock!AD155)</f>
        <v/>
      </c>
      <c r="AH159" s="13" t="str">
        <f>IF(Stock!AE155="","",Stock!AE155)</f>
        <v/>
      </c>
      <c r="AI159" s="13" t="str">
        <f>IF(Stock!AF155="","",Stock!AF155)</f>
        <v/>
      </c>
      <c r="AJ159" s="13" t="str">
        <f>IF(Stock!AG155="","",Stock!AG155)</f>
        <v/>
      </c>
      <c r="AK159" s="13" t="str">
        <f>IF(Stock!AH155="","",Stock!AH155)</f>
        <v/>
      </c>
      <c r="AL159" s="13" t="str">
        <f>IF(Stock!AI155="","",Stock!AI155)</f>
        <v/>
      </c>
      <c r="AM159" s="13" t="str">
        <f>IF(Stock!AJ155="","",Stock!AJ155)</f>
        <v/>
      </c>
      <c r="AN159" s="13" t="str">
        <f>IF(Stock!AK155="","",Stock!AK155)</f>
        <v/>
      </c>
      <c r="AO159" s="13" t="str">
        <f>IF(Stock!AL155="","",Stock!AL155)</f>
        <v/>
      </c>
      <c r="AP159" s="13" t="str">
        <f>IF(Stock!AM155="","",Stock!AM155)</f>
        <v/>
      </c>
      <c r="AQ159" s="13" t="str">
        <f>IF(Stock!AN155="","",Stock!AN155)</f>
        <v/>
      </c>
      <c r="AR159" s="13" t="str">
        <f>IF(Stock!AO155="","",Stock!AO155)</f>
        <v/>
      </c>
      <c r="AS159" s="13" t="str">
        <f>IF(Stock!AP155="","",Stock!AP155)</f>
        <v/>
      </c>
      <c r="AT159" s="13" t="str">
        <f>IF(Stock!AQ155="","",Stock!AQ155)</f>
        <v/>
      </c>
      <c r="AU159" s="13" t="str">
        <f>IF(Stock!AR155="","",Stock!AR155)</f>
        <v/>
      </c>
      <c r="AV159" s="13" t="str">
        <f>IF(Stock!AS155="","",Stock!AS155)</f>
        <v/>
      </c>
      <c r="AW159" s="13" t="str">
        <f>IF(Stock!AT155="","",Stock!AT155)</f>
        <v/>
      </c>
      <c r="AX159" s="13" t="str">
        <f>IF(Stock!AU155="","",Stock!AU155)</f>
        <v/>
      </c>
      <c r="AY159" s="13" t="str">
        <f>IF(Stock!AV155="","",Stock!AV155)</f>
        <v/>
      </c>
      <c r="AZ159" s="13" t="str">
        <f>IF(Stock!AW155="","",Stock!AW155)</f>
        <v/>
      </c>
      <c r="BA159" s="13" t="str">
        <f>IF(Stock!AX155="","",Stock!AX155)</f>
        <v/>
      </c>
      <c r="BB159" s="13" t="str">
        <f>IF(Stock!AY155="","",Stock!AY155)</f>
        <v/>
      </c>
      <c r="BC159" s="13" t="str">
        <f>IF(Stock!AZ155="","",Stock!AZ155)</f>
        <v/>
      </c>
      <c r="BD159" s="13" t="str">
        <f>IF(Stock!BA155="","",Stock!BA155)</f>
        <v/>
      </c>
      <c r="BE159" s="13" t="str">
        <f>IF(Stock!BB155="","",Stock!BB155)</f>
        <v/>
      </c>
      <c r="BF159" s="13" t="str">
        <f>IF(Stock!BC155="","",Stock!BC155)</f>
        <v/>
      </c>
    </row>
    <row r="160" spans="2:58" ht="14.25" customHeight="1" x14ac:dyDescent="0.3">
      <c r="B160" s="31"/>
      <c r="E160" s="13" t="str">
        <f>IF(Stock!B156="","",Stock!B156)</f>
        <v/>
      </c>
      <c r="F160" s="13" t="str">
        <f>IF(Stock!C156="","",Stock!C156)</f>
        <v/>
      </c>
      <c r="G160" s="13" t="str">
        <f>IF(Stock!D156="","",Stock!D156)</f>
        <v/>
      </c>
      <c r="H160" s="13" t="str">
        <f>IF(Stock!E156="","",Stock!E156)</f>
        <v/>
      </c>
      <c r="I160" s="13" t="str">
        <f>IF(Stock!F156="","",Stock!F156)</f>
        <v/>
      </c>
      <c r="J160" s="13" t="str">
        <f>IF(Stock!G156="","",Stock!G156)</f>
        <v/>
      </c>
      <c r="K160" s="13" t="str">
        <f>IF(Stock!H156="","",Stock!H156)</f>
        <v/>
      </c>
      <c r="L160" s="13" t="str">
        <f>IF(Stock!I156="","",Stock!I156)</f>
        <v/>
      </c>
      <c r="M160" s="13" t="str">
        <f>IF(Stock!J156="","",Stock!J156)</f>
        <v/>
      </c>
      <c r="N160" s="13" t="str">
        <f>IF(Stock!K156="","",Stock!K156)</f>
        <v/>
      </c>
      <c r="O160" s="13" t="str">
        <f>IF(Stock!L156="","",Stock!L156)</f>
        <v/>
      </c>
      <c r="P160" s="13" t="str">
        <f>IF(Stock!M156="","",Stock!M156)</f>
        <v/>
      </c>
      <c r="Q160" s="13" t="str">
        <f>IF(Stock!N156="","",Stock!N156)</f>
        <v/>
      </c>
      <c r="R160" s="13" t="str">
        <f>IF(Stock!O156="","",Stock!O156)</f>
        <v/>
      </c>
      <c r="S160" s="13" t="str">
        <f>IF(Stock!P156="","",Stock!P156)</f>
        <v/>
      </c>
      <c r="T160" s="13" t="str">
        <f>IF(Stock!Q156="","",Stock!Q156)</f>
        <v/>
      </c>
      <c r="U160" s="13" t="str">
        <f>IF(Stock!R156="","",Stock!R156)</f>
        <v/>
      </c>
      <c r="V160" s="13" t="str">
        <f>IF(Stock!S156="","",Stock!S156)</f>
        <v/>
      </c>
      <c r="W160" s="13" t="str">
        <f>IF(Stock!T156="","",Stock!T156)</f>
        <v/>
      </c>
      <c r="X160" s="13" t="str">
        <f>IF(Stock!U156="","",Stock!U156)</f>
        <v/>
      </c>
      <c r="Y160" s="13" t="str">
        <f>IF(Stock!V156="","",Stock!V156)</f>
        <v/>
      </c>
      <c r="Z160" s="13" t="str">
        <f>IF(Stock!W156="","",Stock!W156)</f>
        <v/>
      </c>
      <c r="AA160" s="13" t="str">
        <f>IF(Stock!X156="","",Stock!X156)</f>
        <v/>
      </c>
      <c r="AB160" s="13" t="str">
        <f>IF(Stock!Y156="","",Stock!Y156)</f>
        <v/>
      </c>
      <c r="AC160" s="13" t="str">
        <f>IF(Stock!Z156="","",Stock!Z156)</f>
        <v/>
      </c>
      <c r="AD160" s="13" t="str">
        <f>IF(Stock!AA156="","",Stock!AA156)</f>
        <v/>
      </c>
      <c r="AE160" s="13" t="str">
        <f>IF(Stock!AB156="","",Stock!AB156)</f>
        <v/>
      </c>
      <c r="AF160" s="13" t="str">
        <f>IF(Stock!AC156="","",Stock!AC156)</f>
        <v/>
      </c>
      <c r="AG160" s="13" t="str">
        <f>IF(Stock!AD156="","",Stock!AD156)</f>
        <v/>
      </c>
      <c r="AH160" s="13" t="str">
        <f>IF(Stock!AE156="","",Stock!AE156)</f>
        <v/>
      </c>
      <c r="AI160" s="13" t="str">
        <f>IF(Stock!AF156="","",Stock!AF156)</f>
        <v/>
      </c>
      <c r="AJ160" s="13" t="str">
        <f>IF(Stock!AG156="","",Stock!AG156)</f>
        <v/>
      </c>
      <c r="AK160" s="13" t="str">
        <f>IF(Stock!AH156="","",Stock!AH156)</f>
        <v/>
      </c>
      <c r="AL160" s="13" t="str">
        <f>IF(Stock!AI156="","",Stock!AI156)</f>
        <v/>
      </c>
      <c r="AM160" s="13" t="str">
        <f>IF(Stock!AJ156="","",Stock!AJ156)</f>
        <v/>
      </c>
      <c r="AN160" s="13" t="str">
        <f>IF(Stock!AK156="","",Stock!AK156)</f>
        <v/>
      </c>
      <c r="AO160" s="13" t="str">
        <f>IF(Stock!AL156="","",Stock!AL156)</f>
        <v/>
      </c>
      <c r="AP160" s="13" t="str">
        <f>IF(Stock!AM156="","",Stock!AM156)</f>
        <v/>
      </c>
      <c r="AQ160" s="13" t="str">
        <f>IF(Stock!AN156="","",Stock!AN156)</f>
        <v/>
      </c>
      <c r="AR160" s="13" t="str">
        <f>IF(Stock!AO156="","",Stock!AO156)</f>
        <v/>
      </c>
      <c r="AS160" s="13" t="str">
        <f>IF(Stock!AP156="","",Stock!AP156)</f>
        <v/>
      </c>
      <c r="AT160" s="13" t="str">
        <f>IF(Stock!AQ156="","",Stock!AQ156)</f>
        <v/>
      </c>
      <c r="AU160" s="13" t="str">
        <f>IF(Stock!AR156="","",Stock!AR156)</f>
        <v/>
      </c>
      <c r="AV160" s="13" t="str">
        <f>IF(Stock!AS156="","",Stock!AS156)</f>
        <v/>
      </c>
      <c r="AW160" s="13" t="str">
        <f>IF(Stock!AT156="","",Stock!AT156)</f>
        <v/>
      </c>
      <c r="AX160" s="13" t="str">
        <f>IF(Stock!AU156="","",Stock!AU156)</f>
        <v/>
      </c>
      <c r="AY160" s="13" t="str">
        <f>IF(Stock!AV156="","",Stock!AV156)</f>
        <v/>
      </c>
      <c r="AZ160" s="13" t="str">
        <f>IF(Stock!AW156="","",Stock!AW156)</f>
        <v/>
      </c>
      <c r="BA160" s="13" t="str">
        <f>IF(Stock!AX156="","",Stock!AX156)</f>
        <v/>
      </c>
      <c r="BB160" s="13" t="str">
        <f>IF(Stock!AY156="","",Stock!AY156)</f>
        <v/>
      </c>
      <c r="BC160" s="13" t="str">
        <f>IF(Stock!AZ156="","",Stock!AZ156)</f>
        <v/>
      </c>
      <c r="BD160" s="13" t="str">
        <f>IF(Stock!BA156="","",Stock!BA156)</f>
        <v/>
      </c>
      <c r="BE160" s="13" t="str">
        <f>IF(Stock!BB156="","",Stock!BB156)</f>
        <v/>
      </c>
      <c r="BF160" s="13" t="str">
        <f>IF(Stock!BC156="","",Stock!BC156)</f>
        <v/>
      </c>
    </row>
    <row r="161" spans="2:58" ht="14.25" customHeight="1" x14ac:dyDescent="0.3">
      <c r="B161" s="31"/>
      <c r="E161" s="13" t="str">
        <f>IF(Stock!B157="","",Stock!B157)</f>
        <v/>
      </c>
      <c r="F161" s="13" t="str">
        <f>IF(Stock!C157="","",Stock!C157)</f>
        <v/>
      </c>
      <c r="G161" s="13" t="str">
        <f>IF(Stock!D157="","",Stock!D157)</f>
        <v/>
      </c>
      <c r="H161" s="13" t="str">
        <f>IF(Stock!E157="","",Stock!E157)</f>
        <v/>
      </c>
      <c r="I161" s="13" t="str">
        <f>IF(Stock!F157="","",Stock!F157)</f>
        <v/>
      </c>
      <c r="J161" s="13" t="str">
        <f>IF(Stock!G157="","",Stock!G157)</f>
        <v/>
      </c>
      <c r="K161" s="13" t="str">
        <f>IF(Stock!H157="","",Stock!H157)</f>
        <v/>
      </c>
      <c r="L161" s="13" t="str">
        <f>IF(Stock!I157="","",Stock!I157)</f>
        <v/>
      </c>
      <c r="M161" s="13" t="str">
        <f>IF(Stock!J157="","",Stock!J157)</f>
        <v/>
      </c>
      <c r="N161" s="13" t="str">
        <f>IF(Stock!K157="","",Stock!K157)</f>
        <v/>
      </c>
      <c r="O161" s="13" t="str">
        <f>IF(Stock!L157="","",Stock!L157)</f>
        <v/>
      </c>
      <c r="P161" s="13" t="str">
        <f>IF(Stock!M157="","",Stock!M157)</f>
        <v/>
      </c>
      <c r="Q161" s="13" t="str">
        <f>IF(Stock!N157="","",Stock!N157)</f>
        <v/>
      </c>
      <c r="R161" s="13" t="str">
        <f>IF(Stock!O157="","",Stock!O157)</f>
        <v/>
      </c>
      <c r="S161" s="13" t="str">
        <f>IF(Stock!P157="","",Stock!P157)</f>
        <v/>
      </c>
      <c r="T161" s="13" t="str">
        <f>IF(Stock!Q157="","",Stock!Q157)</f>
        <v/>
      </c>
      <c r="U161" s="13" t="str">
        <f>IF(Stock!R157="","",Stock!R157)</f>
        <v/>
      </c>
      <c r="V161" s="13" t="str">
        <f>IF(Stock!S157="","",Stock!S157)</f>
        <v/>
      </c>
      <c r="W161" s="13" t="str">
        <f>IF(Stock!T157="","",Stock!T157)</f>
        <v/>
      </c>
      <c r="X161" s="13" t="str">
        <f>IF(Stock!U157="","",Stock!U157)</f>
        <v/>
      </c>
      <c r="Y161" s="13" t="str">
        <f>IF(Stock!V157="","",Stock!V157)</f>
        <v/>
      </c>
      <c r="Z161" s="13" t="str">
        <f>IF(Stock!W157="","",Stock!W157)</f>
        <v/>
      </c>
      <c r="AA161" s="13" t="str">
        <f>IF(Stock!X157="","",Stock!X157)</f>
        <v/>
      </c>
      <c r="AB161" s="13" t="str">
        <f>IF(Stock!Y157="","",Stock!Y157)</f>
        <v/>
      </c>
      <c r="AC161" s="13" t="str">
        <f>IF(Stock!Z157="","",Stock!Z157)</f>
        <v/>
      </c>
      <c r="AD161" s="13" t="str">
        <f>IF(Stock!AA157="","",Stock!AA157)</f>
        <v/>
      </c>
      <c r="AE161" s="13" t="str">
        <f>IF(Stock!AB157="","",Stock!AB157)</f>
        <v/>
      </c>
      <c r="AF161" s="13" t="str">
        <f>IF(Stock!AC157="","",Stock!AC157)</f>
        <v/>
      </c>
      <c r="AG161" s="13" t="str">
        <f>IF(Stock!AD157="","",Stock!AD157)</f>
        <v/>
      </c>
      <c r="AH161" s="13" t="str">
        <f>IF(Stock!AE157="","",Stock!AE157)</f>
        <v/>
      </c>
      <c r="AI161" s="13" t="str">
        <f>IF(Stock!AF157="","",Stock!AF157)</f>
        <v/>
      </c>
      <c r="AJ161" s="13" t="str">
        <f>IF(Stock!AG157="","",Stock!AG157)</f>
        <v/>
      </c>
      <c r="AK161" s="13" t="str">
        <f>IF(Stock!AH157="","",Stock!AH157)</f>
        <v/>
      </c>
      <c r="AL161" s="13" t="str">
        <f>IF(Stock!AI157="","",Stock!AI157)</f>
        <v/>
      </c>
      <c r="AM161" s="13" t="str">
        <f>IF(Stock!AJ157="","",Stock!AJ157)</f>
        <v/>
      </c>
      <c r="AN161" s="13" t="str">
        <f>IF(Stock!AK157="","",Stock!AK157)</f>
        <v/>
      </c>
      <c r="AO161" s="13" t="str">
        <f>IF(Stock!AL157="","",Stock!AL157)</f>
        <v/>
      </c>
      <c r="AP161" s="13" t="str">
        <f>IF(Stock!AM157="","",Stock!AM157)</f>
        <v/>
      </c>
      <c r="AQ161" s="13" t="str">
        <f>IF(Stock!AN157="","",Stock!AN157)</f>
        <v/>
      </c>
      <c r="AR161" s="13" t="str">
        <f>IF(Stock!AO157="","",Stock!AO157)</f>
        <v/>
      </c>
      <c r="AS161" s="13" t="str">
        <f>IF(Stock!AP157="","",Stock!AP157)</f>
        <v/>
      </c>
      <c r="AT161" s="13" t="str">
        <f>IF(Stock!AQ157="","",Stock!AQ157)</f>
        <v/>
      </c>
      <c r="AU161" s="13" t="str">
        <f>IF(Stock!AR157="","",Stock!AR157)</f>
        <v/>
      </c>
      <c r="AV161" s="13" t="str">
        <f>IF(Stock!AS157="","",Stock!AS157)</f>
        <v/>
      </c>
      <c r="AW161" s="13" t="str">
        <f>IF(Stock!AT157="","",Stock!AT157)</f>
        <v/>
      </c>
      <c r="AX161" s="13" t="str">
        <f>IF(Stock!AU157="","",Stock!AU157)</f>
        <v/>
      </c>
      <c r="AY161" s="13" t="str">
        <f>IF(Stock!AV157="","",Stock!AV157)</f>
        <v/>
      </c>
      <c r="AZ161" s="13" t="str">
        <f>IF(Stock!AW157="","",Stock!AW157)</f>
        <v/>
      </c>
      <c r="BA161" s="13" t="str">
        <f>IF(Stock!AX157="","",Stock!AX157)</f>
        <v/>
      </c>
      <c r="BB161" s="13" t="str">
        <f>IF(Stock!AY157="","",Stock!AY157)</f>
        <v/>
      </c>
      <c r="BC161" s="13" t="str">
        <f>IF(Stock!AZ157="","",Stock!AZ157)</f>
        <v/>
      </c>
      <c r="BD161" s="13" t="str">
        <f>IF(Stock!BA157="","",Stock!BA157)</f>
        <v/>
      </c>
      <c r="BE161" s="13" t="str">
        <f>IF(Stock!BB157="","",Stock!BB157)</f>
        <v/>
      </c>
      <c r="BF161" s="13" t="str">
        <f>IF(Stock!BC157="","",Stock!BC157)</f>
        <v/>
      </c>
    </row>
    <row r="162" spans="2:58" ht="14.25" customHeight="1" x14ac:dyDescent="0.3">
      <c r="B162" s="31"/>
      <c r="E162" s="13" t="str">
        <f>IF(Stock!B158="","",Stock!B158)</f>
        <v/>
      </c>
      <c r="F162" s="13" t="str">
        <f>IF(Stock!C158="","",Stock!C158)</f>
        <v/>
      </c>
      <c r="G162" s="13" t="str">
        <f>IF(Stock!D158="","",Stock!D158)</f>
        <v/>
      </c>
      <c r="H162" s="13" t="str">
        <f>IF(Stock!E158="","",Stock!E158)</f>
        <v/>
      </c>
      <c r="I162" s="13" t="str">
        <f>IF(Stock!F158="","",Stock!F158)</f>
        <v/>
      </c>
      <c r="J162" s="13" t="str">
        <f>IF(Stock!G158="","",Stock!G158)</f>
        <v/>
      </c>
      <c r="K162" s="13" t="str">
        <f>IF(Stock!H158="","",Stock!H158)</f>
        <v/>
      </c>
      <c r="L162" s="13" t="str">
        <f>IF(Stock!I158="","",Stock!I158)</f>
        <v/>
      </c>
      <c r="M162" s="13" t="str">
        <f>IF(Stock!J158="","",Stock!J158)</f>
        <v/>
      </c>
      <c r="N162" s="13" t="str">
        <f>IF(Stock!K158="","",Stock!K158)</f>
        <v/>
      </c>
      <c r="O162" s="13" t="str">
        <f>IF(Stock!L158="","",Stock!L158)</f>
        <v/>
      </c>
      <c r="P162" s="13" t="str">
        <f>IF(Stock!M158="","",Stock!M158)</f>
        <v/>
      </c>
      <c r="Q162" s="13" t="str">
        <f>IF(Stock!N158="","",Stock!N158)</f>
        <v/>
      </c>
      <c r="R162" s="13" t="str">
        <f>IF(Stock!O158="","",Stock!O158)</f>
        <v/>
      </c>
      <c r="S162" s="13" t="str">
        <f>IF(Stock!P158="","",Stock!P158)</f>
        <v/>
      </c>
      <c r="T162" s="13" t="str">
        <f>IF(Stock!Q158="","",Stock!Q158)</f>
        <v/>
      </c>
      <c r="U162" s="13" t="str">
        <f>IF(Stock!R158="","",Stock!R158)</f>
        <v/>
      </c>
      <c r="V162" s="13" t="str">
        <f>IF(Stock!S158="","",Stock!S158)</f>
        <v/>
      </c>
      <c r="W162" s="13" t="str">
        <f>IF(Stock!T158="","",Stock!T158)</f>
        <v/>
      </c>
      <c r="X162" s="13" t="str">
        <f>IF(Stock!U158="","",Stock!U158)</f>
        <v/>
      </c>
      <c r="Y162" s="13" t="str">
        <f>IF(Stock!V158="","",Stock!V158)</f>
        <v/>
      </c>
      <c r="Z162" s="13" t="str">
        <f>IF(Stock!W158="","",Stock!W158)</f>
        <v/>
      </c>
      <c r="AA162" s="13" t="str">
        <f>IF(Stock!X158="","",Stock!X158)</f>
        <v/>
      </c>
      <c r="AB162" s="13" t="str">
        <f>IF(Stock!Y158="","",Stock!Y158)</f>
        <v/>
      </c>
      <c r="AC162" s="13" t="str">
        <f>IF(Stock!Z158="","",Stock!Z158)</f>
        <v/>
      </c>
      <c r="AD162" s="13" t="str">
        <f>IF(Stock!AA158="","",Stock!AA158)</f>
        <v/>
      </c>
      <c r="AE162" s="13" t="str">
        <f>IF(Stock!AB158="","",Stock!AB158)</f>
        <v/>
      </c>
      <c r="AF162" s="13" t="str">
        <f>IF(Stock!AC158="","",Stock!AC158)</f>
        <v/>
      </c>
      <c r="AG162" s="13" t="str">
        <f>IF(Stock!AD158="","",Stock!AD158)</f>
        <v/>
      </c>
      <c r="AH162" s="13" t="str">
        <f>IF(Stock!AE158="","",Stock!AE158)</f>
        <v/>
      </c>
      <c r="AI162" s="13" t="str">
        <f>IF(Stock!AF158="","",Stock!AF158)</f>
        <v/>
      </c>
      <c r="AJ162" s="13" t="str">
        <f>IF(Stock!AG158="","",Stock!AG158)</f>
        <v/>
      </c>
      <c r="AK162" s="13" t="str">
        <f>IF(Stock!AH158="","",Stock!AH158)</f>
        <v/>
      </c>
      <c r="AL162" s="13" t="str">
        <f>IF(Stock!AI158="","",Stock!AI158)</f>
        <v/>
      </c>
      <c r="AM162" s="13" t="str">
        <f>IF(Stock!AJ158="","",Stock!AJ158)</f>
        <v/>
      </c>
      <c r="AN162" s="13" t="str">
        <f>IF(Stock!AK158="","",Stock!AK158)</f>
        <v/>
      </c>
      <c r="AO162" s="13" t="str">
        <f>IF(Stock!AL158="","",Stock!AL158)</f>
        <v/>
      </c>
      <c r="AP162" s="13" t="str">
        <f>IF(Stock!AM158="","",Stock!AM158)</f>
        <v/>
      </c>
      <c r="AQ162" s="13" t="str">
        <f>IF(Stock!AN158="","",Stock!AN158)</f>
        <v/>
      </c>
      <c r="AR162" s="13" t="str">
        <f>IF(Stock!AO158="","",Stock!AO158)</f>
        <v/>
      </c>
      <c r="AS162" s="13" t="str">
        <f>IF(Stock!AP158="","",Stock!AP158)</f>
        <v/>
      </c>
      <c r="AT162" s="13" t="str">
        <f>IF(Stock!AQ158="","",Stock!AQ158)</f>
        <v/>
      </c>
      <c r="AU162" s="13" t="str">
        <f>IF(Stock!AR158="","",Stock!AR158)</f>
        <v/>
      </c>
      <c r="AV162" s="13" t="str">
        <f>IF(Stock!AS158="","",Stock!AS158)</f>
        <v/>
      </c>
      <c r="AW162" s="13" t="str">
        <f>IF(Stock!AT158="","",Stock!AT158)</f>
        <v/>
      </c>
      <c r="AX162" s="13" t="str">
        <f>IF(Stock!AU158="","",Stock!AU158)</f>
        <v/>
      </c>
      <c r="AY162" s="13" t="str">
        <f>IF(Stock!AV158="","",Stock!AV158)</f>
        <v/>
      </c>
      <c r="AZ162" s="13" t="str">
        <f>IF(Stock!AW158="","",Stock!AW158)</f>
        <v/>
      </c>
      <c r="BA162" s="13" t="str">
        <f>IF(Stock!AX158="","",Stock!AX158)</f>
        <v/>
      </c>
      <c r="BB162" s="13" t="str">
        <f>IF(Stock!AY158="","",Stock!AY158)</f>
        <v/>
      </c>
      <c r="BC162" s="13" t="str">
        <f>IF(Stock!AZ158="","",Stock!AZ158)</f>
        <v/>
      </c>
      <c r="BD162" s="13" t="str">
        <f>IF(Stock!BA158="","",Stock!BA158)</f>
        <v/>
      </c>
      <c r="BE162" s="13" t="str">
        <f>IF(Stock!BB158="","",Stock!BB158)</f>
        <v/>
      </c>
      <c r="BF162" s="13" t="str">
        <f>IF(Stock!BC158="","",Stock!BC158)</f>
        <v/>
      </c>
    </row>
    <row r="163" spans="2:58" ht="14.25" customHeight="1" x14ac:dyDescent="0.3">
      <c r="B163" s="31"/>
      <c r="E163" s="13" t="str">
        <f>IF(Stock!B159="","",Stock!B159)</f>
        <v/>
      </c>
      <c r="F163" s="13" t="str">
        <f>IF(Stock!C159="","",Stock!C159)</f>
        <v/>
      </c>
      <c r="G163" s="13" t="str">
        <f>IF(Stock!D159="","",Stock!D159)</f>
        <v/>
      </c>
      <c r="H163" s="13" t="str">
        <f>IF(Stock!E159="","",Stock!E159)</f>
        <v/>
      </c>
      <c r="I163" s="13" t="str">
        <f>IF(Stock!F159="","",Stock!F159)</f>
        <v/>
      </c>
      <c r="J163" s="13" t="str">
        <f>IF(Stock!G159="","",Stock!G159)</f>
        <v/>
      </c>
      <c r="K163" s="13" t="str">
        <f>IF(Stock!H159="","",Stock!H159)</f>
        <v/>
      </c>
      <c r="L163" s="13" t="str">
        <f>IF(Stock!I159="","",Stock!I159)</f>
        <v/>
      </c>
      <c r="M163" s="13" t="str">
        <f>IF(Stock!J159="","",Stock!J159)</f>
        <v/>
      </c>
      <c r="N163" s="13" t="str">
        <f>IF(Stock!K159="","",Stock!K159)</f>
        <v/>
      </c>
      <c r="O163" s="13" t="str">
        <f>IF(Stock!L159="","",Stock!L159)</f>
        <v/>
      </c>
      <c r="P163" s="13" t="str">
        <f>IF(Stock!M159="","",Stock!M159)</f>
        <v/>
      </c>
      <c r="Q163" s="13" t="str">
        <f>IF(Stock!N159="","",Stock!N159)</f>
        <v/>
      </c>
      <c r="R163" s="13" t="str">
        <f>IF(Stock!O159="","",Stock!O159)</f>
        <v/>
      </c>
      <c r="S163" s="13" t="str">
        <f>IF(Stock!P159="","",Stock!P159)</f>
        <v/>
      </c>
      <c r="T163" s="13" t="str">
        <f>IF(Stock!Q159="","",Stock!Q159)</f>
        <v/>
      </c>
      <c r="U163" s="13" t="str">
        <f>IF(Stock!R159="","",Stock!R159)</f>
        <v/>
      </c>
      <c r="V163" s="13" t="str">
        <f>IF(Stock!S159="","",Stock!S159)</f>
        <v/>
      </c>
      <c r="W163" s="13" t="str">
        <f>IF(Stock!T159="","",Stock!T159)</f>
        <v/>
      </c>
      <c r="X163" s="13" t="str">
        <f>IF(Stock!U159="","",Stock!U159)</f>
        <v/>
      </c>
      <c r="Y163" s="13" t="str">
        <f>IF(Stock!V159="","",Stock!V159)</f>
        <v/>
      </c>
      <c r="Z163" s="13" t="str">
        <f>IF(Stock!W159="","",Stock!W159)</f>
        <v/>
      </c>
      <c r="AA163" s="13" t="str">
        <f>IF(Stock!X159="","",Stock!X159)</f>
        <v/>
      </c>
      <c r="AB163" s="13" t="str">
        <f>IF(Stock!Y159="","",Stock!Y159)</f>
        <v/>
      </c>
      <c r="AC163" s="13" t="str">
        <f>IF(Stock!Z159="","",Stock!Z159)</f>
        <v/>
      </c>
      <c r="AD163" s="13" t="str">
        <f>IF(Stock!AA159="","",Stock!AA159)</f>
        <v/>
      </c>
      <c r="AE163" s="13" t="str">
        <f>IF(Stock!AB159="","",Stock!AB159)</f>
        <v/>
      </c>
      <c r="AF163" s="13" t="str">
        <f>IF(Stock!AC159="","",Stock!AC159)</f>
        <v/>
      </c>
      <c r="AG163" s="13" t="str">
        <f>IF(Stock!AD159="","",Stock!AD159)</f>
        <v/>
      </c>
      <c r="AH163" s="13" t="str">
        <f>IF(Stock!AE159="","",Stock!AE159)</f>
        <v/>
      </c>
      <c r="AI163" s="13" t="str">
        <f>IF(Stock!AF159="","",Stock!AF159)</f>
        <v/>
      </c>
      <c r="AJ163" s="13" t="str">
        <f>IF(Stock!AG159="","",Stock!AG159)</f>
        <v/>
      </c>
      <c r="AK163" s="13" t="str">
        <f>IF(Stock!AH159="","",Stock!AH159)</f>
        <v/>
      </c>
      <c r="AL163" s="13" t="str">
        <f>IF(Stock!AI159="","",Stock!AI159)</f>
        <v/>
      </c>
      <c r="AM163" s="13" t="str">
        <f>IF(Stock!AJ159="","",Stock!AJ159)</f>
        <v/>
      </c>
      <c r="AN163" s="13" t="str">
        <f>IF(Stock!AK159="","",Stock!AK159)</f>
        <v/>
      </c>
      <c r="AO163" s="13" t="str">
        <f>IF(Stock!AL159="","",Stock!AL159)</f>
        <v/>
      </c>
      <c r="AP163" s="13" t="str">
        <f>IF(Stock!AM159="","",Stock!AM159)</f>
        <v/>
      </c>
      <c r="AQ163" s="13" t="str">
        <f>IF(Stock!AN159="","",Stock!AN159)</f>
        <v/>
      </c>
      <c r="AR163" s="13" t="str">
        <f>IF(Stock!AO159="","",Stock!AO159)</f>
        <v/>
      </c>
      <c r="AS163" s="13" t="str">
        <f>IF(Stock!AP159="","",Stock!AP159)</f>
        <v/>
      </c>
      <c r="AT163" s="13" t="str">
        <f>IF(Stock!AQ159="","",Stock!AQ159)</f>
        <v/>
      </c>
      <c r="AU163" s="13" t="str">
        <f>IF(Stock!AR159="","",Stock!AR159)</f>
        <v/>
      </c>
      <c r="AV163" s="13" t="str">
        <f>IF(Stock!AS159="","",Stock!AS159)</f>
        <v/>
      </c>
      <c r="AW163" s="13" t="str">
        <f>IF(Stock!AT159="","",Stock!AT159)</f>
        <v/>
      </c>
      <c r="AX163" s="13" t="str">
        <f>IF(Stock!AU159="","",Stock!AU159)</f>
        <v/>
      </c>
      <c r="AY163" s="13" t="str">
        <f>IF(Stock!AV159="","",Stock!AV159)</f>
        <v/>
      </c>
      <c r="AZ163" s="13" t="str">
        <f>IF(Stock!AW159="","",Stock!AW159)</f>
        <v/>
      </c>
      <c r="BA163" s="13" t="str">
        <f>IF(Stock!AX159="","",Stock!AX159)</f>
        <v/>
      </c>
      <c r="BB163" s="13" t="str">
        <f>IF(Stock!AY159="","",Stock!AY159)</f>
        <v/>
      </c>
      <c r="BC163" s="13" t="str">
        <f>IF(Stock!AZ159="","",Stock!AZ159)</f>
        <v/>
      </c>
      <c r="BD163" s="13" t="str">
        <f>IF(Stock!BA159="","",Stock!BA159)</f>
        <v/>
      </c>
      <c r="BE163" s="13" t="str">
        <f>IF(Stock!BB159="","",Stock!BB159)</f>
        <v/>
      </c>
      <c r="BF163" s="13" t="str">
        <f>IF(Stock!BC159="","",Stock!BC159)</f>
        <v/>
      </c>
    </row>
    <row r="164" spans="2:58" ht="14.25" customHeight="1" x14ac:dyDescent="0.3">
      <c r="B164" s="31"/>
      <c r="E164" s="13" t="str">
        <f>IF(Stock!B160="","",Stock!B160)</f>
        <v/>
      </c>
      <c r="F164" s="13" t="str">
        <f>IF(Stock!C160="","",Stock!C160)</f>
        <v/>
      </c>
      <c r="G164" s="13" t="str">
        <f>IF(Stock!D160="","",Stock!D160)</f>
        <v/>
      </c>
      <c r="H164" s="13" t="str">
        <f>IF(Stock!E160="","",Stock!E160)</f>
        <v/>
      </c>
      <c r="I164" s="13" t="str">
        <f>IF(Stock!F160="","",Stock!F160)</f>
        <v/>
      </c>
      <c r="J164" s="13" t="str">
        <f>IF(Stock!G160="","",Stock!G160)</f>
        <v/>
      </c>
      <c r="K164" s="13" t="str">
        <f>IF(Stock!H160="","",Stock!H160)</f>
        <v/>
      </c>
      <c r="L164" s="13" t="str">
        <f>IF(Stock!I160="","",Stock!I160)</f>
        <v/>
      </c>
      <c r="M164" s="13" t="str">
        <f>IF(Stock!J160="","",Stock!J160)</f>
        <v/>
      </c>
      <c r="N164" s="13" t="str">
        <f>IF(Stock!K160="","",Stock!K160)</f>
        <v/>
      </c>
      <c r="O164" s="13" t="str">
        <f>IF(Stock!L160="","",Stock!L160)</f>
        <v/>
      </c>
      <c r="P164" s="13" t="str">
        <f>IF(Stock!M160="","",Stock!M160)</f>
        <v/>
      </c>
      <c r="Q164" s="13" t="str">
        <f>IF(Stock!N160="","",Stock!N160)</f>
        <v/>
      </c>
      <c r="R164" s="13" t="str">
        <f>IF(Stock!O160="","",Stock!O160)</f>
        <v/>
      </c>
      <c r="S164" s="13" t="str">
        <f>IF(Stock!P160="","",Stock!P160)</f>
        <v/>
      </c>
      <c r="T164" s="13" t="str">
        <f>IF(Stock!Q160="","",Stock!Q160)</f>
        <v/>
      </c>
      <c r="U164" s="13" t="str">
        <f>IF(Stock!R160="","",Stock!R160)</f>
        <v/>
      </c>
      <c r="V164" s="13" t="str">
        <f>IF(Stock!S160="","",Stock!S160)</f>
        <v/>
      </c>
      <c r="W164" s="13" t="str">
        <f>IF(Stock!T160="","",Stock!T160)</f>
        <v/>
      </c>
      <c r="X164" s="13" t="str">
        <f>IF(Stock!U160="","",Stock!U160)</f>
        <v/>
      </c>
      <c r="Y164" s="13" t="str">
        <f>IF(Stock!V160="","",Stock!V160)</f>
        <v/>
      </c>
      <c r="Z164" s="13" t="str">
        <f>IF(Stock!W160="","",Stock!W160)</f>
        <v/>
      </c>
      <c r="AA164" s="13" t="str">
        <f>IF(Stock!X160="","",Stock!X160)</f>
        <v/>
      </c>
      <c r="AB164" s="13" t="str">
        <f>IF(Stock!Y160="","",Stock!Y160)</f>
        <v/>
      </c>
      <c r="AC164" s="13" t="str">
        <f>IF(Stock!Z160="","",Stock!Z160)</f>
        <v/>
      </c>
      <c r="AD164" s="13" t="str">
        <f>IF(Stock!AA160="","",Stock!AA160)</f>
        <v/>
      </c>
      <c r="AE164" s="13" t="str">
        <f>IF(Stock!AB160="","",Stock!AB160)</f>
        <v/>
      </c>
      <c r="AF164" s="13" t="str">
        <f>IF(Stock!AC160="","",Stock!AC160)</f>
        <v/>
      </c>
      <c r="AG164" s="13" t="str">
        <f>IF(Stock!AD160="","",Stock!AD160)</f>
        <v/>
      </c>
      <c r="AH164" s="13" t="str">
        <f>IF(Stock!AE160="","",Stock!AE160)</f>
        <v/>
      </c>
      <c r="AI164" s="13" t="str">
        <f>IF(Stock!AF160="","",Stock!AF160)</f>
        <v/>
      </c>
      <c r="AJ164" s="13" t="str">
        <f>IF(Stock!AG160="","",Stock!AG160)</f>
        <v/>
      </c>
      <c r="AK164" s="13" t="str">
        <f>IF(Stock!AH160="","",Stock!AH160)</f>
        <v/>
      </c>
      <c r="AL164" s="13" t="str">
        <f>IF(Stock!AI160="","",Stock!AI160)</f>
        <v/>
      </c>
      <c r="AM164" s="13" t="str">
        <f>IF(Stock!AJ160="","",Stock!AJ160)</f>
        <v/>
      </c>
      <c r="AN164" s="13" t="str">
        <f>IF(Stock!AK160="","",Stock!AK160)</f>
        <v/>
      </c>
      <c r="AO164" s="13" t="str">
        <f>IF(Stock!AL160="","",Stock!AL160)</f>
        <v/>
      </c>
      <c r="AP164" s="13" t="str">
        <f>IF(Stock!AM160="","",Stock!AM160)</f>
        <v/>
      </c>
      <c r="AQ164" s="13" t="str">
        <f>IF(Stock!AN160="","",Stock!AN160)</f>
        <v/>
      </c>
      <c r="AR164" s="13" t="str">
        <f>IF(Stock!AO160="","",Stock!AO160)</f>
        <v/>
      </c>
      <c r="AS164" s="13" t="str">
        <f>IF(Stock!AP160="","",Stock!AP160)</f>
        <v/>
      </c>
      <c r="AT164" s="13" t="str">
        <f>IF(Stock!AQ160="","",Stock!AQ160)</f>
        <v/>
      </c>
      <c r="AU164" s="13" t="str">
        <f>IF(Stock!AR160="","",Stock!AR160)</f>
        <v/>
      </c>
      <c r="AV164" s="13" t="str">
        <f>IF(Stock!AS160="","",Stock!AS160)</f>
        <v/>
      </c>
      <c r="AW164" s="13" t="str">
        <f>IF(Stock!AT160="","",Stock!AT160)</f>
        <v/>
      </c>
      <c r="AX164" s="13" t="str">
        <f>IF(Stock!AU160="","",Stock!AU160)</f>
        <v/>
      </c>
      <c r="AY164" s="13" t="str">
        <f>IF(Stock!AV160="","",Stock!AV160)</f>
        <v/>
      </c>
      <c r="AZ164" s="13" t="str">
        <f>IF(Stock!AW160="","",Stock!AW160)</f>
        <v/>
      </c>
      <c r="BA164" s="13" t="str">
        <f>IF(Stock!AX160="","",Stock!AX160)</f>
        <v/>
      </c>
      <c r="BB164" s="13" t="str">
        <f>IF(Stock!AY160="","",Stock!AY160)</f>
        <v/>
      </c>
      <c r="BC164" s="13" t="str">
        <f>IF(Stock!AZ160="","",Stock!AZ160)</f>
        <v/>
      </c>
      <c r="BD164" s="13" t="str">
        <f>IF(Stock!BA160="","",Stock!BA160)</f>
        <v/>
      </c>
      <c r="BE164" s="13" t="str">
        <f>IF(Stock!BB160="","",Stock!BB160)</f>
        <v/>
      </c>
      <c r="BF164" s="13" t="str">
        <f>IF(Stock!BC160="","",Stock!BC160)</f>
        <v/>
      </c>
    </row>
    <row r="165" spans="2:58" ht="14.25" customHeight="1" x14ac:dyDescent="0.3">
      <c r="B165" s="31"/>
      <c r="E165" s="13" t="str">
        <f>IF(Stock!B161="","",Stock!B161)</f>
        <v/>
      </c>
      <c r="F165" s="13" t="str">
        <f>IF(Stock!C161="","",Stock!C161)</f>
        <v/>
      </c>
      <c r="G165" s="13" t="str">
        <f>IF(Stock!D161="","",Stock!D161)</f>
        <v/>
      </c>
      <c r="H165" s="13" t="str">
        <f>IF(Stock!E161="","",Stock!E161)</f>
        <v/>
      </c>
      <c r="I165" s="13" t="str">
        <f>IF(Stock!F161="","",Stock!F161)</f>
        <v/>
      </c>
      <c r="J165" s="13" t="str">
        <f>IF(Stock!G161="","",Stock!G161)</f>
        <v/>
      </c>
      <c r="K165" s="13" t="str">
        <f>IF(Stock!H161="","",Stock!H161)</f>
        <v/>
      </c>
      <c r="L165" s="13" t="str">
        <f>IF(Stock!I161="","",Stock!I161)</f>
        <v/>
      </c>
      <c r="M165" s="13" t="str">
        <f>IF(Stock!J161="","",Stock!J161)</f>
        <v/>
      </c>
      <c r="N165" s="13" t="str">
        <f>IF(Stock!K161="","",Stock!K161)</f>
        <v/>
      </c>
      <c r="O165" s="13" t="str">
        <f>IF(Stock!L161="","",Stock!L161)</f>
        <v/>
      </c>
      <c r="P165" s="13" t="str">
        <f>IF(Stock!M161="","",Stock!M161)</f>
        <v/>
      </c>
      <c r="Q165" s="13" t="str">
        <f>IF(Stock!N161="","",Stock!N161)</f>
        <v/>
      </c>
      <c r="R165" s="13" t="str">
        <f>IF(Stock!O161="","",Stock!O161)</f>
        <v/>
      </c>
      <c r="S165" s="13" t="str">
        <f>IF(Stock!P161="","",Stock!P161)</f>
        <v/>
      </c>
      <c r="T165" s="13" t="str">
        <f>IF(Stock!Q161="","",Stock!Q161)</f>
        <v/>
      </c>
      <c r="U165" s="13" t="str">
        <f>IF(Stock!R161="","",Stock!R161)</f>
        <v/>
      </c>
      <c r="V165" s="13" t="str">
        <f>IF(Stock!S161="","",Stock!S161)</f>
        <v/>
      </c>
      <c r="W165" s="13" t="str">
        <f>IF(Stock!T161="","",Stock!T161)</f>
        <v/>
      </c>
      <c r="X165" s="13" t="str">
        <f>IF(Stock!U161="","",Stock!U161)</f>
        <v/>
      </c>
      <c r="Y165" s="13" t="str">
        <f>IF(Stock!V161="","",Stock!V161)</f>
        <v/>
      </c>
      <c r="Z165" s="13" t="str">
        <f>IF(Stock!W161="","",Stock!W161)</f>
        <v/>
      </c>
      <c r="AA165" s="13" t="str">
        <f>IF(Stock!X161="","",Stock!X161)</f>
        <v/>
      </c>
      <c r="AB165" s="13" t="str">
        <f>IF(Stock!Y161="","",Stock!Y161)</f>
        <v/>
      </c>
      <c r="AC165" s="13" t="str">
        <f>IF(Stock!Z161="","",Stock!Z161)</f>
        <v/>
      </c>
      <c r="AD165" s="13" t="str">
        <f>IF(Stock!AA161="","",Stock!AA161)</f>
        <v/>
      </c>
      <c r="AE165" s="13" t="str">
        <f>IF(Stock!AB161="","",Stock!AB161)</f>
        <v/>
      </c>
      <c r="AF165" s="13" t="str">
        <f>IF(Stock!AC161="","",Stock!AC161)</f>
        <v/>
      </c>
      <c r="AG165" s="13" t="str">
        <f>IF(Stock!AD161="","",Stock!AD161)</f>
        <v/>
      </c>
      <c r="AH165" s="13" t="str">
        <f>IF(Stock!AE161="","",Stock!AE161)</f>
        <v/>
      </c>
      <c r="AI165" s="13" t="str">
        <f>IF(Stock!AF161="","",Stock!AF161)</f>
        <v/>
      </c>
      <c r="AJ165" s="13" t="str">
        <f>IF(Stock!AG161="","",Stock!AG161)</f>
        <v/>
      </c>
      <c r="AK165" s="13" t="str">
        <f>IF(Stock!AH161="","",Stock!AH161)</f>
        <v/>
      </c>
      <c r="AL165" s="13" t="str">
        <f>IF(Stock!AI161="","",Stock!AI161)</f>
        <v/>
      </c>
      <c r="AM165" s="13" t="str">
        <f>IF(Stock!AJ161="","",Stock!AJ161)</f>
        <v/>
      </c>
      <c r="AN165" s="13" t="str">
        <f>IF(Stock!AK161="","",Stock!AK161)</f>
        <v/>
      </c>
      <c r="AO165" s="13" t="str">
        <f>IF(Stock!AL161="","",Stock!AL161)</f>
        <v/>
      </c>
      <c r="AP165" s="13" t="str">
        <f>IF(Stock!AM161="","",Stock!AM161)</f>
        <v/>
      </c>
      <c r="AQ165" s="13" t="str">
        <f>IF(Stock!AN161="","",Stock!AN161)</f>
        <v/>
      </c>
      <c r="AR165" s="13" t="str">
        <f>IF(Stock!AO161="","",Stock!AO161)</f>
        <v/>
      </c>
      <c r="AS165" s="13" t="str">
        <f>IF(Stock!AP161="","",Stock!AP161)</f>
        <v/>
      </c>
      <c r="AT165" s="13" t="str">
        <f>IF(Stock!AQ161="","",Stock!AQ161)</f>
        <v/>
      </c>
      <c r="AU165" s="13" t="str">
        <f>IF(Stock!AR161="","",Stock!AR161)</f>
        <v/>
      </c>
      <c r="AV165" s="13" t="str">
        <f>IF(Stock!AS161="","",Stock!AS161)</f>
        <v/>
      </c>
      <c r="AW165" s="13" t="str">
        <f>IF(Stock!AT161="","",Stock!AT161)</f>
        <v/>
      </c>
      <c r="AX165" s="13" t="str">
        <f>IF(Stock!AU161="","",Stock!AU161)</f>
        <v/>
      </c>
      <c r="AY165" s="13" t="str">
        <f>IF(Stock!AV161="","",Stock!AV161)</f>
        <v/>
      </c>
      <c r="AZ165" s="13" t="str">
        <f>IF(Stock!AW161="","",Stock!AW161)</f>
        <v/>
      </c>
      <c r="BA165" s="13" t="str">
        <f>IF(Stock!AX161="","",Stock!AX161)</f>
        <v/>
      </c>
      <c r="BB165" s="13" t="str">
        <f>IF(Stock!AY161="","",Stock!AY161)</f>
        <v/>
      </c>
      <c r="BC165" s="13" t="str">
        <f>IF(Stock!AZ161="","",Stock!AZ161)</f>
        <v/>
      </c>
      <c r="BD165" s="13" t="str">
        <f>IF(Stock!BA161="","",Stock!BA161)</f>
        <v/>
      </c>
      <c r="BE165" s="13" t="str">
        <f>IF(Stock!BB161="","",Stock!BB161)</f>
        <v/>
      </c>
      <c r="BF165" s="13" t="str">
        <f>IF(Stock!BC161="","",Stock!BC161)</f>
        <v/>
      </c>
    </row>
    <row r="166" spans="2:58" ht="14.25" customHeight="1" x14ac:dyDescent="0.3">
      <c r="B166" s="31"/>
      <c r="E166" s="13" t="str">
        <f>IF(Stock!B162="","",Stock!B162)</f>
        <v/>
      </c>
      <c r="F166" s="13" t="str">
        <f>IF(Stock!C162="","",Stock!C162)</f>
        <v/>
      </c>
      <c r="G166" s="13" t="str">
        <f>IF(Stock!D162="","",Stock!D162)</f>
        <v/>
      </c>
      <c r="H166" s="13" t="str">
        <f>IF(Stock!E162="","",Stock!E162)</f>
        <v/>
      </c>
      <c r="I166" s="13" t="str">
        <f>IF(Stock!F162="","",Stock!F162)</f>
        <v/>
      </c>
      <c r="J166" s="13" t="str">
        <f>IF(Stock!G162="","",Stock!G162)</f>
        <v/>
      </c>
      <c r="K166" s="13" t="str">
        <f>IF(Stock!H162="","",Stock!H162)</f>
        <v/>
      </c>
      <c r="L166" s="13" t="str">
        <f>IF(Stock!I162="","",Stock!I162)</f>
        <v/>
      </c>
      <c r="M166" s="13" t="str">
        <f>IF(Stock!J162="","",Stock!J162)</f>
        <v/>
      </c>
      <c r="N166" s="13" t="str">
        <f>IF(Stock!K162="","",Stock!K162)</f>
        <v/>
      </c>
      <c r="O166" s="13" t="str">
        <f>IF(Stock!L162="","",Stock!L162)</f>
        <v/>
      </c>
      <c r="P166" s="13" t="str">
        <f>IF(Stock!M162="","",Stock!M162)</f>
        <v/>
      </c>
      <c r="Q166" s="13" t="str">
        <f>IF(Stock!N162="","",Stock!N162)</f>
        <v/>
      </c>
      <c r="R166" s="13" t="str">
        <f>IF(Stock!O162="","",Stock!O162)</f>
        <v/>
      </c>
      <c r="S166" s="13" t="str">
        <f>IF(Stock!P162="","",Stock!P162)</f>
        <v/>
      </c>
      <c r="T166" s="13" t="str">
        <f>IF(Stock!Q162="","",Stock!Q162)</f>
        <v/>
      </c>
      <c r="U166" s="13" t="str">
        <f>IF(Stock!R162="","",Stock!R162)</f>
        <v/>
      </c>
      <c r="V166" s="13" t="str">
        <f>IF(Stock!S162="","",Stock!S162)</f>
        <v/>
      </c>
      <c r="W166" s="13" t="str">
        <f>IF(Stock!T162="","",Stock!T162)</f>
        <v/>
      </c>
      <c r="X166" s="13" t="str">
        <f>IF(Stock!U162="","",Stock!U162)</f>
        <v/>
      </c>
      <c r="Y166" s="13" t="str">
        <f>IF(Stock!V162="","",Stock!V162)</f>
        <v/>
      </c>
      <c r="Z166" s="13" t="str">
        <f>IF(Stock!W162="","",Stock!W162)</f>
        <v/>
      </c>
      <c r="AA166" s="13" t="str">
        <f>IF(Stock!X162="","",Stock!X162)</f>
        <v/>
      </c>
      <c r="AB166" s="13" t="str">
        <f>IF(Stock!Y162="","",Stock!Y162)</f>
        <v/>
      </c>
      <c r="AC166" s="13" t="str">
        <f>IF(Stock!Z162="","",Stock!Z162)</f>
        <v/>
      </c>
      <c r="AD166" s="13" t="str">
        <f>IF(Stock!AA162="","",Stock!AA162)</f>
        <v/>
      </c>
      <c r="AE166" s="13" t="str">
        <f>IF(Stock!AB162="","",Stock!AB162)</f>
        <v/>
      </c>
      <c r="AF166" s="13" t="str">
        <f>IF(Stock!AC162="","",Stock!AC162)</f>
        <v/>
      </c>
      <c r="AG166" s="13" t="str">
        <f>IF(Stock!AD162="","",Stock!AD162)</f>
        <v/>
      </c>
      <c r="AH166" s="13" t="str">
        <f>IF(Stock!AE162="","",Stock!AE162)</f>
        <v/>
      </c>
      <c r="AI166" s="13" t="str">
        <f>IF(Stock!AF162="","",Stock!AF162)</f>
        <v/>
      </c>
      <c r="AJ166" s="13" t="str">
        <f>IF(Stock!AG162="","",Stock!AG162)</f>
        <v/>
      </c>
      <c r="AK166" s="13" t="str">
        <f>IF(Stock!AH162="","",Stock!AH162)</f>
        <v/>
      </c>
      <c r="AL166" s="13" t="str">
        <f>IF(Stock!AI162="","",Stock!AI162)</f>
        <v/>
      </c>
      <c r="AM166" s="13" t="str">
        <f>IF(Stock!AJ162="","",Stock!AJ162)</f>
        <v/>
      </c>
      <c r="AN166" s="13" t="str">
        <f>IF(Stock!AK162="","",Stock!AK162)</f>
        <v/>
      </c>
      <c r="AO166" s="13" t="str">
        <f>IF(Stock!AL162="","",Stock!AL162)</f>
        <v/>
      </c>
      <c r="AP166" s="13" t="str">
        <f>IF(Stock!AM162="","",Stock!AM162)</f>
        <v/>
      </c>
      <c r="AQ166" s="13" t="str">
        <f>IF(Stock!AN162="","",Stock!AN162)</f>
        <v/>
      </c>
      <c r="AR166" s="13" t="str">
        <f>IF(Stock!AO162="","",Stock!AO162)</f>
        <v/>
      </c>
      <c r="AS166" s="13" t="str">
        <f>IF(Stock!AP162="","",Stock!AP162)</f>
        <v/>
      </c>
      <c r="AT166" s="13" t="str">
        <f>IF(Stock!AQ162="","",Stock!AQ162)</f>
        <v/>
      </c>
      <c r="AU166" s="13" t="str">
        <f>IF(Stock!AR162="","",Stock!AR162)</f>
        <v/>
      </c>
      <c r="AV166" s="13" t="str">
        <f>IF(Stock!AS162="","",Stock!AS162)</f>
        <v/>
      </c>
      <c r="AW166" s="13" t="str">
        <f>IF(Stock!AT162="","",Stock!AT162)</f>
        <v/>
      </c>
      <c r="AX166" s="13" t="str">
        <f>IF(Stock!AU162="","",Stock!AU162)</f>
        <v/>
      </c>
      <c r="AY166" s="13" t="str">
        <f>IF(Stock!AV162="","",Stock!AV162)</f>
        <v/>
      </c>
      <c r="AZ166" s="13" t="str">
        <f>IF(Stock!AW162="","",Stock!AW162)</f>
        <v/>
      </c>
      <c r="BA166" s="13" t="str">
        <f>IF(Stock!AX162="","",Stock!AX162)</f>
        <v/>
      </c>
      <c r="BB166" s="13" t="str">
        <f>IF(Stock!AY162="","",Stock!AY162)</f>
        <v/>
      </c>
      <c r="BC166" s="13" t="str">
        <f>IF(Stock!AZ162="","",Stock!AZ162)</f>
        <v/>
      </c>
      <c r="BD166" s="13" t="str">
        <f>IF(Stock!BA162="","",Stock!BA162)</f>
        <v/>
      </c>
      <c r="BE166" s="13" t="str">
        <f>IF(Stock!BB162="","",Stock!BB162)</f>
        <v/>
      </c>
      <c r="BF166" s="13" t="str">
        <f>IF(Stock!BC162="","",Stock!BC162)</f>
        <v/>
      </c>
    </row>
    <row r="167" spans="2:58" ht="14.25" customHeight="1" x14ac:dyDescent="0.3">
      <c r="B167" s="31"/>
      <c r="E167" s="13" t="str">
        <f>IF(Stock!B163="","",Stock!B163)</f>
        <v/>
      </c>
      <c r="F167" s="13" t="str">
        <f>IF(Stock!C163="","",Stock!C163)</f>
        <v/>
      </c>
      <c r="G167" s="13" t="str">
        <f>IF(Stock!D163="","",Stock!D163)</f>
        <v/>
      </c>
      <c r="H167" s="13" t="str">
        <f>IF(Stock!E163="","",Stock!E163)</f>
        <v/>
      </c>
      <c r="I167" s="13" t="str">
        <f>IF(Stock!F163="","",Stock!F163)</f>
        <v/>
      </c>
      <c r="J167" s="13" t="str">
        <f>IF(Stock!G163="","",Stock!G163)</f>
        <v/>
      </c>
      <c r="K167" s="13" t="str">
        <f>IF(Stock!H163="","",Stock!H163)</f>
        <v/>
      </c>
      <c r="L167" s="13" t="str">
        <f>IF(Stock!I163="","",Stock!I163)</f>
        <v/>
      </c>
      <c r="M167" s="13" t="str">
        <f>IF(Stock!J163="","",Stock!J163)</f>
        <v/>
      </c>
      <c r="N167" s="13" t="str">
        <f>IF(Stock!K163="","",Stock!K163)</f>
        <v/>
      </c>
      <c r="O167" s="13" t="str">
        <f>IF(Stock!L163="","",Stock!L163)</f>
        <v/>
      </c>
      <c r="P167" s="13" t="str">
        <f>IF(Stock!M163="","",Stock!M163)</f>
        <v/>
      </c>
      <c r="Q167" s="13" t="str">
        <f>IF(Stock!N163="","",Stock!N163)</f>
        <v/>
      </c>
      <c r="R167" s="13" t="str">
        <f>IF(Stock!O163="","",Stock!O163)</f>
        <v/>
      </c>
      <c r="S167" s="13" t="str">
        <f>IF(Stock!P163="","",Stock!P163)</f>
        <v/>
      </c>
      <c r="T167" s="13" t="str">
        <f>IF(Stock!Q163="","",Stock!Q163)</f>
        <v/>
      </c>
      <c r="U167" s="13" t="str">
        <f>IF(Stock!R163="","",Stock!R163)</f>
        <v/>
      </c>
      <c r="V167" s="13" t="str">
        <f>IF(Stock!S163="","",Stock!S163)</f>
        <v/>
      </c>
      <c r="W167" s="13" t="str">
        <f>IF(Stock!T163="","",Stock!T163)</f>
        <v/>
      </c>
      <c r="X167" s="13" t="str">
        <f>IF(Stock!U163="","",Stock!U163)</f>
        <v/>
      </c>
      <c r="Y167" s="13" t="str">
        <f>IF(Stock!V163="","",Stock!V163)</f>
        <v/>
      </c>
      <c r="Z167" s="13" t="str">
        <f>IF(Stock!W163="","",Stock!W163)</f>
        <v/>
      </c>
      <c r="AA167" s="13" t="str">
        <f>IF(Stock!X163="","",Stock!X163)</f>
        <v/>
      </c>
      <c r="AB167" s="13" t="str">
        <f>IF(Stock!Y163="","",Stock!Y163)</f>
        <v/>
      </c>
      <c r="AC167" s="13" t="str">
        <f>IF(Stock!Z163="","",Stock!Z163)</f>
        <v/>
      </c>
      <c r="AD167" s="13" t="str">
        <f>IF(Stock!AA163="","",Stock!AA163)</f>
        <v/>
      </c>
      <c r="AE167" s="13" t="str">
        <f>IF(Stock!AB163="","",Stock!AB163)</f>
        <v/>
      </c>
      <c r="AF167" s="13" t="str">
        <f>IF(Stock!AC163="","",Stock!AC163)</f>
        <v/>
      </c>
      <c r="AG167" s="13" t="str">
        <f>IF(Stock!AD163="","",Stock!AD163)</f>
        <v/>
      </c>
      <c r="AH167" s="13" t="str">
        <f>IF(Stock!AE163="","",Stock!AE163)</f>
        <v/>
      </c>
      <c r="AI167" s="13" t="str">
        <f>IF(Stock!AF163="","",Stock!AF163)</f>
        <v/>
      </c>
      <c r="AJ167" s="13" t="str">
        <f>IF(Stock!AG163="","",Stock!AG163)</f>
        <v/>
      </c>
      <c r="AK167" s="13" t="str">
        <f>IF(Stock!AH163="","",Stock!AH163)</f>
        <v/>
      </c>
      <c r="AL167" s="13" t="str">
        <f>IF(Stock!AI163="","",Stock!AI163)</f>
        <v/>
      </c>
      <c r="AM167" s="13" t="str">
        <f>IF(Stock!AJ163="","",Stock!AJ163)</f>
        <v/>
      </c>
      <c r="AN167" s="13" t="str">
        <f>IF(Stock!AK163="","",Stock!AK163)</f>
        <v/>
      </c>
      <c r="AO167" s="13" t="str">
        <f>IF(Stock!AL163="","",Stock!AL163)</f>
        <v/>
      </c>
      <c r="AP167" s="13" t="str">
        <f>IF(Stock!AM163="","",Stock!AM163)</f>
        <v/>
      </c>
      <c r="AQ167" s="13" t="str">
        <f>IF(Stock!AN163="","",Stock!AN163)</f>
        <v/>
      </c>
      <c r="AR167" s="13" t="str">
        <f>IF(Stock!AO163="","",Stock!AO163)</f>
        <v/>
      </c>
      <c r="AS167" s="13" t="str">
        <f>IF(Stock!AP163="","",Stock!AP163)</f>
        <v/>
      </c>
      <c r="AT167" s="13" t="str">
        <f>IF(Stock!AQ163="","",Stock!AQ163)</f>
        <v/>
      </c>
      <c r="AU167" s="13" t="str">
        <f>IF(Stock!AR163="","",Stock!AR163)</f>
        <v/>
      </c>
      <c r="AV167" s="13" t="str">
        <f>IF(Stock!AS163="","",Stock!AS163)</f>
        <v/>
      </c>
      <c r="AW167" s="13" t="str">
        <f>IF(Stock!AT163="","",Stock!AT163)</f>
        <v/>
      </c>
      <c r="AX167" s="13" t="str">
        <f>IF(Stock!AU163="","",Stock!AU163)</f>
        <v/>
      </c>
      <c r="AY167" s="13" t="str">
        <f>IF(Stock!AV163="","",Stock!AV163)</f>
        <v/>
      </c>
      <c r="AZ167" s="13" t="str">
        <f>IF(Stock!AW163="","",Stock!AW163)</f>
        <v/>
      </c>
      <c r="BA167" s="13" t="str">
        <f>IF(Stock!AX163="","",Stock!AX163)</f>
        <v/>
      </c>
      <c r="BB167" s="13" t="str">
        <f>IF(Stock!AY163="","",Stock!AY163)</f>
        <v/>
      </c>
      <c r="BC167" s="13" t="str">
        <f>IF(Stock!AZ163="","",Stock!AZ163)</f>
        <v/>
      </c>
      <c r="BD167" s="13" t="str">
        <f>IF(Stock!BA163="","",Stock!BA163)</f>
        <v/>
      </c>
      <c r="BE167" s="13" t="str">
        <f>IF(Stock!BB163="","",Stock!BB163)</f>
        <v/>
      </c>
      <c r="BF167" s="13" t="str">
        <f>IF(Stock!BC163="","",Stock!BC163)</f>
        <v/>
      </c>
    </row>
    <row r="168" spans="2:58" ht="14.25" customHeight="1" x14ac:dyDescent="0.3">
      <c r="B168" s="31"/>
      <c r="E168" s="13" t="str">
        <f>IF(Stock!B164="","",Stock!B164)</f>
        <v/>
      </c>
      <c r="F168" s="13" t="str">
        <f>IF(Stock!C164="","",Stock!C164)</f>
        <v/>
      </c>
      <c r="G168" s="13" t="str">
        <f>IF(Stock!D164="","",Stock!D164)</f>
        <v/>
      </c>
      <c r="H168" s="13" t="str">
        <f>IF(Stock!E164="","",Stock!E164)</f>
        <v/>
      </c>
      <c r="I168" s="13" t="str">
        <f>IF(Stock!F164="","",Stock!F164)</f>
        <v/>
      </c>
      <c r="J168" s="13" t="str">
        <f>IF(Stock!G164="","",Stock!G164)</f>
        <v/>
      </c>
      <c r="K168" s="13" t="str">
        <f>IF(Stock!H164="","",Stock!H164)</f>
        <v/>
      </c>
      <c r="L168" s="13" t="str">
        <f>IF(Stock!I164="","",Stock!I164)</f>
        <v/>
      </c>
      <c r="M168" s="13" t="str">
        <f>IF(Stock!J164="","",Stock!J164)</f>
        <v/>
      </c>
      <c r="N168" s="13" t="str">
        <f>IF(Stock!K164="","",Stock!K164)</f>
        <v/>
      </c>
      <c r="O168" s="13" t="str">
        <f>IF(Stock!L164="","",Stock!L164)</f>
        <v/>
      </c>
      <c r="P168" s="13" t="str">
        <f>IF(Stock!M164="","",Stock!M164)</f>
        <v/>
      </c>
      <c r="Q168" s="13" t="str">
        <f>IF(Stock!N164="","",Stock!N164)</f>
        <v/>
      </c>
      <c r="R168" s="13" t="str">
        <f>IF(Stock!O164="","",Stock!O164)</f>
        <v/>
      </c>
      <c r="S168" s="13" t="str">
        <f>IF(Stock!P164="","",Stock!P164)</f>
        <v/>
      </c>
      <c r="T168" s="13" t="str">
        <f>IF(Stock!Q164="","",Stock!Q164)</f>
        <v/>
      </c>
      <c r="U168" s="13" t="str">
        <f>IF(Stock!R164="","",Stock!R164)</f>
        <v/>
      </c>
      <c r="V168" s="13" t="str">
        <f>IF(Stock!S164="","",Stock!S164)</f>
        <v/>
      </c>
      <c r="W168" s="13" t="str">
        <f>IF(Stock!T164="","",Stock!T164)</f>
        <v/>
      </c>
      <c r="X168" s="13" t="str">
        <f>IF(Stock!U164="","",Stock!U164)</f>
        <v/>
      </c>
      <c r="Y168" s="13" t="str">
        <f>IF(Stock!V164="","",Stock!V164)</f>
        <v/>
      </c>
      <c r="Z168" s="13" t="str">
        <f>IF(Stock!W164="","",Stock!W164)</f>
        <v/>
      </c>
      <c r="AA168" s="13" t="str">
        <f>IF(Stock!X164="","",Stock!X164)</f>
        <v/>
      </c>
      <c r="AB168" s="13" t="str">
        <f>IF(Stock!Y164="","",Stock!Y164)</f>
        <v/>
      </c>
      <c r="AC168" s="13" t="str">
        <f>IF(Stock!Z164="","",Stock!Z164)</f>
        <v/>
      </c>
      <c r="AD168" s="13" t="str">
        <f>IF(Stock!AA164="","",Stock!AA164)</f>
        <v/>
      </c>
      <c r="AE168" s="13" t="str">
        <f>IF(Stock!AB164="","",Stock!AB164)</f>
        <v/>
      </c>
      <c r="AF168" s="13" t="str">
        <f>IF(Stock!AC164="","",Stock!AC164)</f>
        <v/>
      </c>
      <c r="AG168" s="13" t="str">
        <f>IF(Stock!AD164="","",Stock!AD164)</f>
        <v/>
      </c>
      <c r="AH168" s="13" t="str">
        <f>IF(Stock!AE164="","",Stock!AE164)</f>
        <v/>
      </c>
      <c r="AI168" s="13" t="str">
        <f>IF(Stock!AF164="","",Stock!AF164)</f>
        <v/>
      </c>
      <c r="AJ168" s="13" t="str">
        <f>IF(Stock!AG164="","",Stock!AG164)</f>
        <v/>
      </c>
      <c r="AK168" s="13" t="str">
        <f>IF(Stock!AH164="","",Stock!AH164)</f>
        <v/>
      </c>
      <c r="AL168" s="13" t="str">
        <f>IF(Stock!AI164="","",Stock!AI164)</f>
        <v/>
      </c>
      <c r="AM168" s="13" t="str">
        <f>IF(Stock!AJ164="","",Stock!AJ164)</f>
        <v/>
      </c>
      <c r="AN168" s="13" t="str">
        <f>IF(Stock!AK164="","",Stock!AK164)</f>
        <v/>
      </c>
      <c r="AO168" s="13" t="str">
        <f>IF(Stock!AL164="","",Stock!AL164)</f>
        <v/>
      </c>
      <c r="AP168" s="13" t="str">
        <f>IF(Stock!AM164="","",Stock!AM164)</f>
        <v/>
      </c>
      <c r="AQ168" s="13" t="str">
        <f>IF(Stock!AN164="","",Stock!AN164)</f>
        <v/>
      </c>
      <c r="AR168" s="13" t="str">
        <f>IF(Stock!AO164="","",Stock!AO164)</f>
        <v/>
      </c>
      <c r="AS168" s="13" t="str">
        <f>IF(Stock!AP164="","",Stock!AP164)</f>
        <v/>
      </c>
      <c r="AT168" s="13" t="str">
        <f>IF(Stock!AQ164="","",Stock!AQ164)</f>
        <v/>
      </c>
      <c r="AU168" s="13" t="str">
        <f>IF(Stock!AR164="","",Stock!AR164)</f>
        <v/>
      </c>
      <c r="AV168" s="13" t="str">
        <f>IF(Stock!AS164="","",Stock!AS164)</f>
        <v/>
      </c>
      <c r="AW168" s="13" t="str">
        <f>IF(Stock!AT164="","",Stock!AT164)</f>
        <v/>
      </c>
      <c r="AX168" s="13" t="str">
        <f>IF(Stock!AU164="","",Stock!AU164)</f>
        <v/>
      </c>
      <c r="AY168" s="13" t="str">
        <f>IF(Stock!AV164="","",Stock!AV164)</f>
        <v/>
      </c>
      <c r="AZ168" s="13" t="str">
        <f>IF(Stock!AW164="","",Stock!AW164)</f>
        <v/>
      </c>
      <c r="BA168" s="13" t="str">
        <f>IF(Stock!AX164="","",Stock!AX164)</f>
        <v/>
      </c>
      <c r="BB168" s="13" t="str">
        <f>IF(Stock!AY164="","",Stock!AY164)</f>
        <v/>
      </c>
      <c r="BC168" s="13" t="str">
        <f>IF(Stock!AZ164="","",Stock!AZ164)</f>
        <v/>
      </c>
      <c r="BD168" s="13" t="str">
        <f>IF(Stock!BA164="","",Stock!BA164)</f>
        <v/>
      </c>
      <c r="BE168" s="13" t="str">
        <f>IF(Stock!BB164="","",Stock!BB164)</f>
        <v/>
      </c>
      <c r="BF168" s="13" t="str">
        <f>IF(Stock!BC164="","",Stock!BC164)</f>
        <v/>
      </c>
    </row>
    <row r="169" spans="2:58" ht="14.25" customHeight="1" x14ac:dyDescent="0.3">
      <c r="B169" s="31"/>
      <c r="E169" s="13" t="str">
        <f>IF(Stock!B165="","",Stock!B165)</f>
        <v/>
      </c>
      <c r="F169" s="13" t="str">
        <f>IF(Stock!C165="","",Stock!C165)</f>
        <v/>
      </c>
      <c r="G169" s="13" t="str">
        <f>IF(Stock!D165="","",Stock!D165)</f>
        <v/>
      </c>
      <c r="H169" s="13" t="str">
        <f>IF(Stock!E165="","",Stock!E165)</f>
        <v/>
      </c>
      <c r="I169" s="13" t="str">
        <f>IF(Stock!F165="","",Stock!F165)</f>
        <v/>
      </c>
      <c r="J169" s="13" t="str">
        <f>IF(Stock!G165="","",Stock!G165)</f>
        <v/>
      </c>
      <c r="K169" s="13" t="str">
        <f>IF(Stock!H165="","",Stock!H165)</f>
        <v/>
      </c>
      <c r="L169" s="13" t="str">
        <f>IF(Stock!I165="","",Stock!I165)</f>
        <v/>
      </c>
      <c r="M169" s="13" t="str">
        <f>IF(Stock!J165="","",Stock!J165)</f>
        <v/>
      </c>
      <c r="N169" s="13" t="str">
        <f>IF(Stock!K165="","",Stock!K165)</f>
        <v/>
      </c>
      <c r="O169" s="13" t="str">
        <f>IF(Stock!L165="","",Stock!L165)</f>
        <v/>
      </c>
      <c r="P169" s="13" t="str">
        <f>IF(Stock!M165="","",Stock!M165)</f>
        <v/>
      </c>
      <c r="Q169" s="13" t="str">
        <f>IF(Stock!N165="","",Stock!N165)</f>
        <v/>
      </c>
      <c r="R169" s="13" t="str">
        <f>IF(Stock!O165="","",Stock!O165)</f>
        <v/>
      </c>
      <c r="S169" s="13" t="str">
        <f>IF(Stock!P165="","",Stock!P165)</f>
        <v/>
      </c>
      <c r="T169" s="13" t="str">
        <f>IF(Stock!Q165="","",Stock!Q165)</f>
        <v/>
      </c>
      <c r="U169" s="13" t="str">
        <f>IF(Stock!R165="","",Stock!R165)</f>
        <v/>
      </c>
      <c r="V169" s="13" t="str">
        <f>IF(Stock!S165="","",Stock!S165)</f>
        <v/>
      </c>
      <c r="W169" s="13" t="str">
        <f>IF(Stock!T165="","",Stock!T165)</f>
        <v/>
      </c>
      <c r="X169" s="13" t="str">
        <f>IF(Stock!U165="","",Stock!U165)</f>
        <v/>
      </c>
      <c r="Y169" s="13" t="str">
        <f>IF(Stock!V165="","",Stock!V165)</f>
        <v/>
      </c>
      <c r="Z169" s="13" t="str">
        <f>IF(Stock!W165="","",Stock!W165)</f>
        <v/>
      </c>
      <c r="AA169" s="13" t="str">
        <f>IF(Stock!X165="","",Stock!X165)</f>
        <v/>
      </c>
      <c r="AB169" s="13" t="str">
        <f>IF(Stock!Y165="","",Stock!Y165)</f>
        <v/>
      </c>
      <c r="AC169" s="13" t="str">
        <f>IF(Stock!Z165="","",Stock!Z165)</f>
        <v/>
      </c>
      <c r="AD169" s="13" t="str">
        <f>IF(Stock!AA165="","",Stock!AA165)</f>
        <v/>
      </c>
      <c r="AE169" s="13" t="str">
        <f>IF(Stock!AB165="","",Stock!AB165)</f>
        <v/>
      </c>
      <c r="AF169" s="13" t="str">
        <f>IF(Stock!AC165="","",Stock!AC165)</f>
        <v/>
      </c>
      <c r="AG169" s="13" t="str">
        <f>IF(Stock!AD165="","",Stock!AD165)</f>
        <v/>
      </c>
      <c r="AH169" s="13" t="str">
        <f>IF(Stock!AE165="","",Stock!AE165)</f>
        <v/>
      </c>
      <c r="AI169" s="13" t="str">
        <f>IF(Stock!AF165="","",Stock!AF165)</f>
        <v/>
      </c>
      <c r="AJ169" s="13" t="str">
        <f>IF(Stock!AG165="","",Stock!AG165)</f>
        <v/>
      </c>
      <c r="AK169" s="13" t="str">
        <f>IF(Stock!AH165="","",Stock!AH165)</f>
        <v/>
      </c>
      <c r="AL169" s="13" t="str">
        <f>IF(Stock!AI165="","",Stock!AI165)</f>
        <v/>
      </c>
      <c r="AM169" s="13" t="str">
        <f>IF(Stock!AJ165="","",Stock!AJ165)</f>
        <v/>
      </c>
      <c r="AN169" s="13" t="str">
        <f>IF(Stock!AK165="","",Stock!AK165)</f>
        <v/>
      </c>
      <c r="AO169" s="13" t="str">
        <f>IF(Stock!AL165="","",Stock!AL165)</f>
        <v/>
      </c>
      <c r="AP169" s="13" t="str">
        <f>IF(Stock!AM165="","",Stock!AM165)</f>
        <v/>
      </c>
      <c r="AQ169" s="13" t="str">
        <f>IF(Stock!AN165="","",Stock!AN165)</f>
        <v/>
      </c>
      <c r="AR169" s="13" t="str">
        <f>IF(Stock!AO165="","",Stock!AO165)</f>
        <v/>
      </c>
      <c r="AS169" s="13" t="str">
        <f>IF(Stock!AP165="","",Stock!AP165)</f>
        <v/>
      </c>
      <c r="AT169" s="13" t="str">
        <f>IF(Stock!AQ165="","",Stock!AQ165)</f>
        <v/>
      </c>
      <c r="AU169" s="13" t="str">
        <f>IF(Stock!AR165="","",Stock!AR165)</f>
        <v/>
      </c>
      <c r="AV169" s="13" t="str">
        <f>IF(Stock!AS165="","",Stock!AS165)</f>
        <v/>
      </c>
      <c r="AW169" s="13" t="str">
        <f>IF(Stock!AT165="","",Stock!AT165)</f>
        <v/>
      </c>
      <c r="AX169" s="13" t="str">
        <f>IF(Stock!AU165="","",Stock!AU165)</f>
        <v/>
      </c>
      <c r="AY169" s="13" t="str">
        <f>IF(Stock!AV165="","",Stock!AV165)</f>
        <v/>
      </c>
      <c r="AZ169" s="13" t="str">
        <f>IF(Stock!AW165="","",Stock!AW165)</f>
        <v/>
      </c>
      <c r="BA169" s="13" t="str">
        <f>IF(Stock!AX165="","",Stock!AX165)</f>
        <v/>
      </c>
      <c r="BB169" s="13" t="str">
        <f>IF(Stock!AY165="","",Stock!AY165)</f>
        <v/>
      </c>
      <c r="BC169" s="13" t="str">
        <f>IF(Stock!AZ165="","",Stock!AZ165)</f>
        <v/>
      </c>
      <c r="BD169" s="13" t="str">
        <f>IF(Stock!BA165="","",Stock!BA165)</f>
        <v/>
      </c>
      <c r="BE169" s="13" t="str">
        <f>IF(Stock!BB165="","",Stock!BB165)</f>
        <v/>
      </c>
      <c r="BF169" s="13" t="str">
        <f>IF(Stock!BC165="","",Stock!BC165)</f>
        <v/>
      </c>
    </row>
    <row r="170" spans="2:58" ht="14.25" customHeight="1" x14ac:dyDescent="0.3">
      <c r="B170" s="31"/>
      <c r="E170" s="13" t="str">
        <f>IF(Stock!B166="","",Stock!B166)</f>
        <v/>
      </c>
      <c r="F170" s="13" t="str">
        <f>IF(Stock!C166="","",Stock!C166)</f>
        <v/>
      </c>
      <c r="G170" s="13" t="str">
        <f>IF(Stock!D166="","",Stock!D166)</f>
        <v/>
      </c>
      <c r="H170" s="13" t="str">
        <f>IF(Stock!E166="","",Stock!E166)</f>
        <v/>
      </c>
      <c r="I170" s="13" t="str">
        <f>IF(Stock!F166="","",Stock!F166)</f>
        <v/>
      </c>
      <c r="J170" s="13" t="str">
        <f>IF(Stock!G166="","",Stock!G166)</f>
        <v/>
      </c>
      <c r="K170" s="13" t="str">
        <f>IF(Stock!H166="","",Stock!H166)</f>
        <v/>
      </c>
      <c r="L170" s="13" t="str">
        <f>IF(Stock!I166="","",Stock!I166)</f>
        <v/>
      </c>
      <c r="M170" s="13" t="str">
        <f>IF(Stock!J166="","",Stock!J166)</f>
        <v/>
      </c>
      <c r="N170" s="13" t="str">
        <f>IF(Stock!K166="","",Stock!K166)</f>
        <v/>
      </c>
      <c r="O170" s="13" t="str">
        <f>IF(Stock!L166="","",Stock!L166)</f>
        <v/>
      </c>
      <c r="P170" s="13" t="str">
        <f>IF(Stock!M166="","",Stock!M166)</f>
        <v/>
      </c>
      <c r="Q170" s="13" t="str">
        <f>IF(Stock!N166="","",Stock!N166)</f>
        <v/>
      </c>
      <c r="R170" s="13" t="str">
        <f>IF(Stock!O166="","",Stock!O166)</f>
        <v/>
      </c>
      <c r="S170" s="13" t="str">
        <f>IF(Stock!P166="","",Stock!P166)</f>
        <v/>
      </c>
      <c r="T170" s="13" t="str">
        <f>IF(Stock!Q166="","",Stock!Q166)</f>
        <v/>
      </c>
      <c r="U170" s="13" t="str">
        <f>IF(Stock!R166="","",Stock!R166)</f>
        <v/>
      </c>
      <c r="V170" s="13" t="str">
        <f>IF(Stock!S166="","",Stock!S166)</f>
        <v/>
      </c>
      <c r="W170" s="13" t="str">
        <f>IF(Stock!T166="","",Stock!T166)</f>
        <v/>
      </c>
      <c r="X170" s="13" t="str">
        <f>IF(Stock!U166="","",Stock!U166)</f>
        <v/>
      </c>
      <c r="Y170" s="13" t="str">
        <f>IF(Stock!V166="","",Stock!V166)</f>
        <v/>
      </c>
      <c r="Z170" s="13" t="str">
        <f>IF(Stock!W166="","",Stock!W166)</f>
        <v/>
      </c>
      <c r="AA170" s="13" t="str">
        <f>IF(Stock!X166="","",Stock!X166)</f>
        <v/>
      </c>
      <c r="AB170" s="13" t="str">
        <f>IF(Stock!Y166="","",Stock!Y166)</f>
        <v/>
      </c>
      <c r="AC170" s="13" t="str">
        <f>IF(Stock!Z166="","",Stock!Z166)</f>
        <v/>
      </c>
      <c r="AD170" s="13" t="str">
        <f>IF(Stock!AA166="","",Stock!AA166)</f>
        <v/>
      </c>
      <c r="AE170" s="13" t="str">
        <f>IF(Stock!AB166="","",Stock!AB166)</f>
        <v/>
      </c>
      <c r="AF170" s="13" t="str">
        <f>IF(Stock!AC166="","",Stock!AC166)</f>
        <v/>
      </c>
      <c r="AG170" s="13" t="str">
        <f>IF(Stock!AD166="","",Stock!AD166)</f>
        <v/>
      </c>
      <c r="AH170" s="13" t="str">
        <f>IF(Stock!AE166="","",Stock!AE166)</f>
        <v/>
      </c>
      <c r="AI170" s="13" t="str">
        <f>IF(Stock!AF166="","",Stock!AF166)</f>
        <v/>
      </c>
      <c r="AJ170" s="13" t="str">
        <f>IF(Stock!AG166="","",Stock!AG166)</f>
        <v/>
      </c>
      <c r="AK170" s="13" t="str">
        <f>IF(Stock!AH166="","",Stock!AH166)</f>
        <v/>
      </c>
      <c r="AL170" s="13" t="str">
        <f>IF(Stock!AI166="","",Stock!AI166)</f>
        <v/>
      </c>
      <c r="AM170" s="13" t="str">
        <f>IF(Stock!AJ166="","",Stock!AJ166)</f>
        <v/>
      </c>
      <c r="AN170" s="13" t="str">
        <f>IF(Stock!AK166="","",Stock!AK166)</f>
        <v/>
      </c>
      <c r="AO170" s="13" t="str">
        <f>IF(Stock!AL166="","",Stock!AL166)</f>
        <v/>
      </c>
      <c r="AP170" s="13" t="str">
        <f>IF(Stock!AM166="","",Stock!AM166)</f>
        <v/>
      </c>
      <c r="AQ170" s="13" t="str">
        <f>IF(Stock!AN166="","",Stock!AN166)</f>
        <v/>
      </c>
      <c r="AR170" s="13" t="str">
        <f>IF(Stock!AO166="","",Stock!AO166)</f>
        <v/>
      </c>
      <c r="AS170" s="13" t="str">
        <f>IF(Stock!AP166="","",Stock!AP166)</f>
        <v/>
      </c>
      <c r="AT170" s="13" t="str">
        <f>IF(Stock!AQ166="","",Stock!AQ166)</f>
        <v/>
      </c>
      <c r="AU170" s="13" t="str">
        <f>IF(Stock!AR166="","",Stock!AR166)</f>
        <v/>
      </c>
      <c r="AV170" s="13" t="str">
        <f>IF(Stock!AS166="","",Stock!AS166)</f>
        <v/>
      </c>
      <c r="AW170" s="13" t="str">
        <f>IF(Stock!AT166="","",Stock!AT166)</f>
        <v/>
      </c>
      <c r="AX170" s="13" t="str">
        <f>IF(Stock!AU166="","",Stock!AU166)</f>
        <v/>
      </c>
      <c r="AY170" s="13" t="str">
        <f>IF(Stock!AV166="","",Stock!AV166)</f>
        <v/>
      </c>
      <c r="AZ170" s="13" t="str">
        <f>IF(Stock!AW166="","",Stock!AW166)</f>
        <v/>
      </c>
      <c r="BA170" s="13" t="str">
        <f>IF(Stock!AX166="","",Stock!AX166)</f>
        <v/>
      </c>
      <c r="BB170" s="13" t="str">
        <f>IF(Stock!AY166="","",Stock!AY166)</f>
        <v/>
      </c>
      <c r="BC170" s="13" t="str">
        <f>IF(Stock!AZ166="","",Stock!AZ166)</f>
        <v/>
      </c>
      <c r="BD170" s="13" t="str">
        <f>IF(Stock!BA166="","",Stock!BA166)</f>
        <v/>
      </c>
      <c r="BE170" s="13" t="str">
        <f>IF(Stock!BB166="","",Stock!BB166)</f>
        <v/>
      </c>
      <c r="BF170" s="13" t="str">
        <f>IF(Stock!BC166="","",Stock!BC166)</f>
        <v/>
      </c>
    </row>
    <row r="171" spans="2:58" ht="14.25" customHeight="1" x14ac:dyDescent="0.3">
      <c r="B171" s="31"/>
      <c r="E171" s="13" t="str">
        <f>IF(Stock!B167="","",Stock!B167)</f>
        <v/>
      </c>
      <c r="F171" s="13" t="str">
        <f>IF(Stock!C167="","",Stock!C167)</f>
        <v/>
      </c>
      <c r="G171" s="13" t="str">
        <f>IF(Stock!D167="","",Stock!D167)</f>
        <v/>
      </c>
      <c r="H171" s="13" t="str">
        <f>IF(Stock!E167="","",Stock!E167)</f>
        <v/>
      </c>
      <c r="I171" s="13" t="str">
        <f>IF(Stock!F167="","",Stock!F167)</f>
        <v/>
      </c>
      <c r="J171" s="13" t="str">
        <f>IF(Stock!G167="","",Stock!G167)</f>
        <v/>
      </c>
      <c r="K171" s="13" t="str">
        <f>IF(Stock!H167="","",Stock!H167)</f>
        <v/>
      </c>
      <c r="L171" s="13" t="str">
        <f>IF(Stock!I167="","",Stock!I167)</f>
        <v/>
      </c>
      <c r="M171" s="13" t="str">
        <f>IF(Stock!J167="","",Stock!J167)</f>
        <v/>
      </c>
      <c r="N171" s="13" t="str">
        <f>IF(Stock!K167="","",Stock!K167)</f>
        <v/>
      </c>
      <c r="O171" s="13" t="str">
        <f>IF(Stock!L167="","",Stock!L167)</f>
        <v/>
      </c>
      <c r="P171" s="13" t="str">
        <f>IF(Stock!M167="","",Stock!M167)</f>
        <v/>
      </c>
      <c r="Q171" s="13" t="str">
        <f>IF(Stock!N167="","",Stock!N167)</f>
        <v/>
      </c>
      <c r="R171" s="13" t="str">
        <f>IF(Stock!O167="","",Stock!O167)</f>
        <v/>
      </c>
      <c r="S171" s="13" t="str">
        <f>IF(Stock!P167="","",Stock!P167)</f>
        <v/>
      </c>
      <c r="T171" s="13" t="str">
        <f>IF(Stock!Q167="","",Stock!Q167)</f>
        <v/>
      </c>
      <c r="U171" s="13" t="str">
        <f>IF(Stock!R167="","",Stock!R167)</f>
        <v/>
      </c>
      <c r="V171" s="13" t="str">
        <f>IF(Stock!S167="","",Stock!S167)</f>
        <v/>
      </c>
      <c r="W171" s="13" t="str">
        <f>IF(Stock!T167="","",Stock!T167)</f>
        <v/>
      </c>
      <c r="X171" s="13" t="str">
        <f>IF(Stock!U167="","",Stock!U167)</f>
        <v/>
      </c>
      <c r="Y171" s="13" t="str">
        <f>IF(Stock!V167="","",Stock!V167)</f>
        <v/>
      </c>
      <c r="Z171" s="13" t="str">
        <f>IF(Stock!W167="","",Stock!W167)</f>
        <v/>
      </c>
      <c r="AA171" s="13" t="str">
        <f>IF(Stock!X167="","",Stock!X167)</f>
        <v/>
      </c>
      <c r="AB171" s="13" t="str">
        <f>IF(Stock!Y167="","",Stock!Y167)</f>
        <v/>
      </c>
      <c r="AC171" s="13" t="str">
        <f>IF(Stock!Z167="","",Stock!Z167)</f>
        <v/>
      </c>
      <c r="AD171" s="13" t="str">
        <f>IF(Stock!AA167="","",Stock!AA167)</f>
        <v/>
      </c>
      <c r="AE171" s="13" t="str">
        <f>IF(Stock!AB167="","",Stock!AB167)</f>
        <v/>
      </c>
      <c r="AF171" s="13" t="str">
        <f>IF(Stock!AC167="","",Stock!AC167)</f>
        <v/>
      </c>
      <c r="AG171" s="13" t="str">
        <f>IF(Stock!AD167="","",Stock!AD167)</f>
        <v/>
      </c>
      <c r="AH171" s="13" t="str">
        <f>IF(Stock!AE167="","",Stock!AE167)</f>
        <v/>
      </c>
      <c r="AI171" s="13" t="str">
        <f>IF(Stock!AF167="","",Stock!AF167)</f>
        <v/>
      </c>
      <c r="AJ171" s="13" t="str">
        <f>IF(Stock!AG167="","",Stock!AG167)</f>
        <v/>
      </c>
      <c r="AK171" s="13" t="str">
        <f>IF(Stock!AH167="","",Stock!AH167)</f>
        <v/>
      </c>
      <c r="AL171" s="13" t="str">
        <f>IF(Stock!AI167="","",Stock!AI167)</f>
        <v/>
      </c>
      <c r="AM171" s="13" t="str">
        <f>IF(Stock!AJ167="","",Stock!AJ167)</f>
        <v/>
      </c>
      <c r="AN171" s="13" t="str">
        <f>IF(Stock!AK167="","",Stock!AK167)</f>
        <v/>
      </c>
      <c r="AO171" s="13" t="str">
        <f>IF(Stock!AL167="","",Stock!AL167)</f>
        <v/>
      </c>
      <c r="AP171" s="13" t="str">
        <f>IF(Stock!AM167="","",Stock!AM167)</f>
        <v/>
      </c>
      <c r="AQ171" s="13" t="str">
        <f>IF(Stock!AN167="","",Stock!AN167)</f>
        <v/>
      </c>
      <c r="AR171" s="13" t="str">
        <f>IF(Stock!AO167="","",Stock!AO167)</f>
        <v/>
      </c>
      <c r="AS171" s="13" t="str">
        <f>IF(Stock!AP167="","",Stock!AP167)</f>
        <v/>
      </c>
      <c r="AT171" s="13" t="str">
        <f>IF(Stock!AQ167="","",Stock!AQ167)</f>
        <v/>
      </c>
      <c r="AU171" s="13" t="str">
        <f>IF(Stock!AR167="","",Stock!AR167)</f>
        <v/>
      </c>
      <c r="AV171" s="13" t="str">
        <f>IF(Stock!AS167="","",Stock!AS167)</f>
        <v/>
      </c>
      <c r="AW171" s="13" t="str">
        <f>IF(Stock!AT167="","",Stock!AT167)</f>
        <v/>
      </c>
      <c r="AX171" s="13" t="str">
        <f>IF(Stock!AU167="","",Stock!AU167)</f>
        <v/>
      </c>
      <c r="AY171" s="13" t="str">
        <f>IF(Stock!AV167="","",Stock!AV167)</f>
        <v/>
      </c>
      <c r="AZ171" s="13" t="str">
        <f>IF(Stock!AW167="","",Stock!AW167)</f>
        <v/>
      </c>
      <c r="BA171" s="13" t="str">
        <f>IF(Stock!AX167="","",Stock!AX167)</f>
        <v/>
      </c>
      <c r="BB171" s="13" t="str">
        <f>IF(Stock!AY167="","",Stock!AY167)</f>
        <v/>
      </c>
      <c r="BC171" s="13" t="str">
        <f>IF(Stock!AZ167="","",Stock!AZ167)</f>
        <v/>
      </c>
      <c r="BD171" s="13" t="str">
        <f>IF(Stock!BA167="","",Stock!BA167)</f>
        <v/>
      </c>
      <c r="BE171" s="13" t="str">
        <f>IF(Stock!BB167="","",Stock!BB167)</f>
        <v/>
      </c>
      <c r="BF171" s="13" t="str">
        <f>IF(Stock!BC167="","",Stock!BC167)</f>
        <v/>
      </c>
    </row>
    <row r="172" spans="2:58" ht="14.25" customHeight="1" x14ac:dyDescent="0.3">
      <c r="B172" s="31"/>
      <c r="E172" s="13" t="str">
        <f>IF(Stock!B168="","",Stock!B168)</f>
        <v/>
      </c>
      <c r="F172" s="13" t="str">
        <f>IF(Stock!C168="","",Stock!C168)</f>
        <v/>
      </c>
      <c r="G172" s="13" t="str">
        <f>IF(Stock!D168="","",Stock!D168)</f>
        <v/>
      </c>
      <c r="H172" s="13" t="str">
        <f>IF(Stock!E168="","",Stock!E168)</f>
        <v/>
      </c>
      <c r="I172" s="13" t="str">
        <f>IF(Stock!F168="","",Stock!F168)</f>
        <v/>
      </c>
      <c r="J172" s="13" t="str">
        <f>IF(Stock!G168="","",Stock!G168)</f>
        <v/>
      </c>
      <c r="K172" s="13" t="str">
        <f>IF(Stock!H168="","",Stock!H168)</f>
        <v/>
      </c>
      <c r="L172" s="13" t="str">
        <f>IF(Stock!I168="","",Stock!I168)</f>
        <v/>
      </c>
      <c r="M172" s="13" t="str">
        <f>IF(Stock!J168="","",Stock!J168)</f>
        <v/>
      </c>
      <c r="N172" s="13" t="str">
        <f>IF(Stock!K168="","",Stock!K168)</f>
        <v/>
      </c>
      <c r="O172" s="13" t="str">
        <f>IF(Stock!L168="","",Stock!L168)</f>
        <v/>
      </c>
      <c r="P172" s="13" t="str">
        <f>IF(Stock!M168="","",Stock!M168)</f>
        <v/>
      </c>
      <c r="Q172" s="13" t="str">
        <f>IF(Stock!N168="","",Stock!N168)</f>
        <v/>
      </c>
      <c r="R172" s="13" t="str">
        <f>IF(Stock!O168="","",Stock!O168)</f>
        <v/>
      </c>
      <c r="S172" s="13" t="str">
        <f>IF(Stock!P168="","",Stock!P168)</f>
        <v/>
      </c>
      <c r="T172" s="13" t="str">
        <f>IF(Stock!Q168="","",Stock!Q168)</f>
        <v/>
      </c>
      <c r="U172" s="13" t="str">
        <f>IF(Stock!R168="","",Stock!R168)</f>
        <v/>
      </c>
      <c r="V172" s="13" t="str">
        <f>IF(Stock!S168="","",Stock!S168)</f>
        <v/>
      </c>
      <c r="W172" s="13" t="str">
        <f>IF(Stock!T168="","",Stock!T168)</f>
        <v/>
      </c>
      <c r="X172" s="13" t="str">
        <f>IF(Stock!U168="","",Stock!U168)</f>
        <v/>
      </c>
      <c r="Y172" s="13" t="str">
        <f>IF(Stock!V168="","",Stock!V168)</f>
        <v/>
      </c>
      <c r="Z172" s="13" t="str">
        <f>IF(Stock!W168="","",Stock!W168)</f>
        <v/>
      </c>
      <c r="AA172" s="13" t="str">
        <f>IF(Stock!X168="","",Stock!X168)</f>
        <v/>
      </c>
      <c r="AB172" s="13" t="str">
        <f>IF(Stock!Y168="","",Stock!Y168)</f>
        <v/>
      </c>
      <c r="AC172" s="13" t="str">
        <f>IF(Stock!Z168="","",Stock!Z168)</f>
        <v/>
      </c>
      <c r="AD172" s="13" t="str">
        <f>IF(Stock!AA168="","",Stock!AA168)</f>
        <v/>
      </c>
      <c r="AE172" s="13" t="str">
        <f>IF(Stock!AB168="","",Stock!AB168)</f>
        <v/>
      </c>
      <c r="AF172" s="13" t="str">
        <f>IF(Stock!AC168="","",Stock!AC168)</f>
        <v/>
      </c>
      <c r="AG172" s="13" t="str">
        <f>IF(Stock!AD168="","",Stock!AD168)</f>
        <v/>
      </c>
      <c r="AH172" s="13" t="str">
        <f>IF(Stock!AE168="","",Stock!AE168)</f>
        <v/>
      </c>
      <c r="AI172" s="13" t="str">
        <f>IF(Stock!AF168="","",Stock!AF168)</f>
        <v/>
      </c>
      <c r="AJ172" s="13" t="str">
        <f>IF(Stock!AG168="","",Stock!AG168)</f>
        <v/>
      </c>
      <c r="AK172" s="13" t="str">
        <f>IF(Stock!AH168="","",Stock!AH168)</f>
        <v/>
      </c>
      <c r="AL172" s="13" t="str">
        <f>IF(Stock!AI168="","",Stock!AI168)</f>
        <v/>
      </c>
      <c r="AM172" s="13" t="str">
        <f>IF(Stock!AJ168="","",Stock!AJ168)</f>
        <v/>
      </c>
      <c r="AN172" s="13" t="str">
        <f>IF(Stock!AK168="","",Stock!AK168)</f>
        <v/>
      </c>
      <c r="AO172" s="13" t="str">
        <f>IF(Stock!AL168="","",Stock!AL168)</f>
        <v/>
      </c>
      <c r="AP172" s="13" t="str">
        <f>IF(Stock!AM168="","",Stock!AM168)</f>
        <v/>
      </c>
      <c r="AQ172" s="13" t="str">
        <f>IF(Stock!AN168="","",Stock!AN168)</f>
        <v/>
      </c>
      <c r="AR172" s="13" t="str">
        <f>IF(Stock!AO168="","",Stock!AO168)</f>
        <v/>
      </c>
      <c r="AS172" s="13" t="str">
        <f>IF(Stock!AP168="","",Stock!AP168)</f>
        <v/>
      </c>
      <c r="AT172" s="13" t="str">
        <f>IF(Stock!AQ168="","",Stock!AQ168)</f>
        <v/>
      </c>
      <c r="AU172" s="13" t="str">
        <f>IF(Stock!AR168="","",Stock!AR168)</f>
        <v/>
      </c>
      <c r="AV172" s="13" t="str">
        <f>IF(Stock!AS168="","",Stock!AS168)</f>
        <v/>
      </c>
      <c r="AW172" s="13" t="str">
        <f>IF(Stock!AT168="","",Stock!AT168)</f>
        <v/>
      </c>
      <c r="AX172" s="13" t="str">
        <f>IF(Stock!AU168="","",Stock!AU168)</f>
        <v/>
      </c>
      <c r="AY172" s="13" t="str">
        <f>IF(Stock!AV168="","",Stock!AV168)</f>
        <v/>
      </c>
      <c r="AZ172" s="13" t="str">
        <f>IF(Stock!AW168="","",Stock!AW168)</f>
        <v/>
      </c>
      <c r="BA172" s="13" t="str">
        <f>IF(Stock!AX168="","",Stock!AX168)</f>
        <v/>
      </c>
      <c r="BB172" s="13" t="str">
        <f>IF(Stock!AY168="","",Stock!AY168)</f>
        <v/>
      </c>
      <c r="BC172" s="13" t="str">
        <f>IF(Stock!AZ168="","",Stock!AZ168)</f>
        <v/>
      </c>
      <c r="BD172" s="13" t="str">
        <f>IF(Stock!BA168="","",Stock!BA168)</f>
        <v/>
      </c>
      <c r="BE172" s="13" t="str">
        <f>IF(Stock!BB168="","",Stock!BB168)</f>
        <v/>
      </c>
      <c r="BF172" s="13" t="str">
        <f>IF(Stock!BC168="","",Stock!BC168)</f>
        <v/>
      </c>
    </row>
    <row r="173" spans="2:58" ht="14.25" customHeight="1" x14ac:dyDescent="0.3">
      <c r="B173" s="31"/>
      <c r="E173" s="13" t="str">
        <f>IF(Stock!B169="","",Stock!B169)</f>
        <v/>
      </c>
      <c r="F173" s="13" t="str">
        <f>IF(Stock!C169="","",Stock!C169)</f>
        <v/>
      </c>
      <c r="G173" s="13" t="str">
        <f>IF(Stock!D169="","",Stock!D169)</f>
        <v/>
      </c>
      <c r="H173" s="13" t="str">
        <f>IF(Stock!E169="","",Stock!E169)</f>
        <v/>
      </c>
      <c r="I173" s="13" t="str">
        <f>IF(Stock!F169="","",Stock!F169)</f>
        <v/>
      </c>
      <c r="J173" s="13" t="str">
        <f>IF(Stock!G169="","",Stock!G169)</f>
        <v/>
      </c>
      <c r="K173" s="13" t="str">
        <f>IF(Stock!H169="","",Stock!H169)</f>
        <v/>
      </c>
      <c r="L173" s="13" t="str">
        <f>IF(Stock!I169="","",Stock!I169)</f>
        <v/>
      </c>
      <c r="M173" s="13" t="str">
        <f>IF(Stock!J169="","",Stock!J169)</f>
        <v/>
      </c>
      <c r="N173" s="13" t="str">
        <f>IF(Stock!K169="","",Stock!K169)</f>
        <v/>
      </c>
      <c r="O173" s="13" t="str">
        <f>IF(Stock!L169="","",Stock!L169)</f>
        <v/>
      </c>
      <c r="P173" s="13" t="str">
        <f>IF(Stock!M169="","",Stock!M169)</f>
        <v/>
      </c>
      <c r="Q173" s="13" t="str">
        <f>IF(Stock!N169="","",Stock!N169)</f>
        <v/>
      </c>
      <c r="R173" s="13" t="str">
        <f>IF(Stock!O169="","",Stock!O169)</f>
        <v/>
      </c>
      <c r="S173" s="13" t="str">
        <f>IF(Stock!P169="","",Stock!P169)</f>
        <v/>
      </c>
      <c r="T173" s="13" t="str">
        <f>IF(Stock!Q169="","",Stock!Q169)</f>
        <v/>
      </c>
      <c r="U173" s="13" t="str">
        <f>IF(Stock!R169="","",Stock!R169)</f>
        <v/>
      </c>
      <c r="V173" s="13" t="str">
        <f>IF(Stock!S169="","",Stock!S169)</f>
        <v/>
      </c>
      <c r="W173" s="13" t="str">
        <f>IF(Stock!T169="","",Stock!T169)</f>
        <v/>
      </c>
      <c r="X173" s="13" t="str">
        <f>IF(Stock!U169="","",Stock!U169)</f>
        <v/>
      </c>
      <c r="Y173" s="13" t="str">
        <f>IF(Stock!V169="","",Stock!V169)</f>
        <v/>
      </c>
      <c r="Z173" s="13" t="str">
        <f>IF(Stock!W169="","",Stock!W169)</f>
        <v/>
      </c>
      <c r="AA173" s="13" t="str">
        <f>IF(Stock!X169="","",Stock!X169)</f>
        <v/>
      </c>
      <c r="AB173" s="13" t="str">
        <f>IF(Stock!Y169="","",Stock!Y169)</f>
        <v/>
      </c>
      <c r="AC173" s="13" t="str">
        <f>IF(Stock!Z169="","",Stock!Z169)</f>
        <v/>
      </c>
      <c r="AD173" s="13" t="str">
        <f>IF(Stock!AA169="","",Stock!AA169)</f>
        <v/>
      </c>
      <c r="AE173" s="13" t="str">
        <f>IF(Stock!AB169="","",Stock!AB169)</f>
        <v/>
      </c>
      <c r="AF173" s="13" t="str">
        <f>IF(Stock!AC169="","",Stock!AC169)</f>
        <v/>
      </c>
      <c r="AG173" s="13" t="str">
        <f>IF(Stock!AD169="","",Stock!AD169)</f>
        <v/>
      </c>
      <c r="AH173" s="13" t="str">
        <f>IF(Stock!AE169="","",Stock!AE169)</f>
        <v/>
      </c>
      <c r="AI173" s="13" t="str">
        <f>IF(Stock!AF169="","",Stock!AF169)</f>
        <v/>
      </c>
      <c r="AJ173" s="13" t="str">
        <f>IF(Stock!AG169="","",Stock!AG169)</f>
        <v/>
      </c>
      <c r="AK173" s="13" t="str">
        <f>IF(Stock!AH169="","",Stock!AH169)</f>
        <v/>
      </c>
      <c r="AL173" s="13" t="str">
        <f>IF(Stock!AI169="","",Stock!AI169)</f>
        <v/>
      </c>
      <c r="AM173" s="13" t="str">
        <f>IF(Stock!AJ169="","",Stock!AJ169)</f>
        <v/>
      </c>
      <c r="AN173" s="13" t="str">
        <f>IF(Stock!AK169="","",Stock!AK169)</f>
        <v/>
      </c>
      <c r="AO173" s="13" t="str">
        <f>IF(Stock!AL169="","",Stock!AL169)</f>
        <v/>
      </c>
      <c r="AP173" s="13" t="str">
        <f>IF(Stock!AM169="","",Stock!AM169)</f>
        <v/>
      </c>
      <c r="AQ173" s="13" t="str">
        <f>IF(Stock!AN169="","",Stock!AN169)</f>
        <v/>
      </c>
      <c r="AR173" s="13" t="str">
        <f>IF(Stock!AO169="","",Stock!AO169)</f>
        <v/>
      </c>
      <c r="AS173" s="13" t="str">
        <f>IF(Stock!AP169="","",Stock!AP169)</f>
        <v/>
      </c>
      <c r="AT173" s="13" t="str">
        <f>IF(Stock!AQ169="","",Stock!AQ169)</f>
        <v/>
      </c>
      <c r="AU173" s="13" t="str">
        <f>IF(Stock!AR169="","",Stock!AR169)</f>
        <v/>
      </c>
      <c r="AV173" s="13" t="str">
        <f>IF(Stock!AS169="","",Stock!AS169)</f>
        <v/>
      </c>
      <c r="AW173" s="13" t="str">
        <f>IF(Stock!AT169="","",Stock!AT169)</f>
        <v/>
      </c>
      <c r="AX173" s="13" t="str">
        <f>IF(Stock!AU169="","",Stock!AU169)</f>
        <v/>
      </c>
      <c r="AY173" s="13" t="str">
        <f>IF(Stock!AV169="","",Stock!AV169)</f>
        <v/>
      </c>
      <c r="AZ173" s="13" t="str">
        <f>IF(Stock!AW169="","",Stock!AW169)</f>
        <v/>
      </c>
      <c r="BA173" s="13" t="str">
        <f>IF(Stock!AX169="","",Stock!AX169)</f>
        <v/>
      </c>
      <c r="BB173" s="13" t="str">
        <f>IF(Stock!AY169="","",Stock!AY169)</f>
        <v/>
      </c>
      <c r="BC173" s="13" t="str">
        <f>IF(Stock!AZ169="","",Stock!AZ169)</f>
        <v/>
      </c>
      <c r="BD173" s="13" t="str">
        <f>IF(Stock!BA169="","",Stock!BA169)</f>
        <v/>
      </c>
      <c r="BE173" s="13" t="str">
        <f>IF(Stock!BB169="","",Stock!BB169)</f>
        <v/>
      </c>
      <c r="BF173" s="13" t="str">
        <f>IF(Stock!BC169="","",Stock!BC169)</f>
        <v/>
      </c>
    </row>
    <row r="174" spans="2:58" ht="14.25" customHeight="1" x14ac:dyDescent="0.3">
      <c r="B174" s="31"/>
      <c r="E174" s="13" t="str">
        <f>IF(Stock!B170="","",Stock!B170)</f>
        <v/>
      </c>
      <c r="F174" s="13" t="str">
        <f>IF(Stock!C170="","",Stock!C170)</f>
        <v/>
      </c>
      <c r="G174" s="13" t="str">
        <f>IF(Stock!D170="","",Stock!D170)</f>
        <v/>
      </c>
      <c r="H174" s="13" t="str">
        <f>IF(Stock!E170="","",Stock!E170)</f>
        <v/>
      </c>
      <c r="I174" s="13" t="str">
        <f>IF(Stock!F170="","",Stock!F170)</f>
        <v/>
      </c>
      <c r="J174" s="13" t="str">
        <f>IF(Stock!G170="","",Stock!G170)</f>
        <v/>
      </c>
      <c r="K174" s="13" t="str">
        <f>IF(Stock!H170="","",Stock!H170)</f>
        <v/>
      </c>
      <c r="L174" s="13" t="str">
        <f>IF(Stock!I170="","",Stock!I170)</f>
        <v/>
      </c>
      <c r="M174" s="13" t="str">
        <f>IF(Stock!J170="","",Stock!J170)</f>
        <v/>
      </c>
      <c r="N174" s="13" t="str">
        <f>IF(Stock!K170="","",Stock!K170)</f>
        <v/>
      </c>
      <c r="O174" s="13" t="str">
        <f>IF(Stock!L170="","",Stock!L170)</f>
        <v/>
      </c>
      <c r="P174" s="13" t="str">
        <f>IF(Stock!M170="","",Stock!M170)</f>
        <v/>
      </c>
      <c r="Q174" s="13" t="str">
        <f>IF(Stock!N170="","",Stock!N170)</f>
        <v/>
      </c>
      <c r="R174" s="13" t="str">
        <f>IF(Stock!O170="","",Stock!O170)</f>
        <v/>
      </c>
      <c r="S174" s="13" t="str">
        <f>IF(Stock!P170="","",Stock!P170)</f>
        <v/>
      </c>
      <c r="T174" s="13" t="str">
        <f>IF(Stock!Q170="","",Stock!Q170)</f>
        <v/>
      </c>
      <c r="U174" s="13" t="str">
        <f>IF(Stock!R170="","",Stock!R170)</f>
        <v/>
      </c>
      <c r="V174" s="13" t="str">
        <f>IF(Stock!S170="","",Stock!S170)</f>
        <v/>
      </c>
      <c r="W174" s="13" t="str">
        <f>IF(Stock!T170="","",Stock!T170)</f>
        <v/>
      </c>
      <c r="X174" s="13" t="str">
        <f>IF(Stock!U170="","",Stock!U170)</f>
        <v/>
      </c>
      <c r="Y174" s="13" t="str">
        <f>IF(Stock!V170="","",Stock!V170)</f>
        <v/>
      </c>
      <c r="Z174" s="13" t="str">
        <f>IF(Stock!W170="","",Stock!W170)</f>
        <v/>
      </c>
      <c r="AA174" s="13" t="str">
        <f>IF(Stock!X170="","",Stock!X170)</f>
        <v/>
      </c>
      <c r="AB174" s="13" t="str">
        <f>IF(Stock!Y170="","",Stock!Y170)</f>
        <v/>
      </c>
      <c r="AC174" s="13" t="str">
        <f>IF(Stock!Z170="","",Stock!Z170)</f>
        <v/>
      </c>
      <c r="AD174" s="13" t="str">
        <f>IF(Stock!AA170="","",Stock!AA170)</f>
        <v/>
      </c>
      <c r="AE174" s="13" t="str">
        <f>IF(Stock!AB170="","",Stock!AB170)</f>
        <v/>
      </c>
      <c r="AF174" s="13" t="str">
        <f>IF(Stock!AC170="","",Stock!AC170)</f>
        <v/>
      </c>
      <c r="AG174" s="13" t="str">
        <f>IF(Stock!AD170="","",Stock!AD170)</f>
        <v/>
      </c>
      <c r="AH174" s="13" t="str">
        <f>IF(Stock!AE170="","",Stock!AE170)</f>
        <v/>
      </c>
      <c r="AI174" s="13" t="str">
        <f>IF(Stock!AF170="","",Stock!AF170)</f>
        <v/>
      </c>
      <c r="AJ174" s="13" t="str">
        <f>IF(Stock!AG170="","",Stock!AG170)</f>
        <v/>
      </c>
      <c r="AK174" s="13" t="str">
        <f>IF(Stock!AH170="","",Stock!AH170)</f>
        <v/>
      </c>
      <c r="AL174" s="13" t="str">
        <f>IF(Stock!AI170="","",Stock!AI170)</f>
        <v/>
      </c>
      <c r="AM174" s="13" t="str">
        <f>IF(Stock!AJ170="","",Stock!AJ170)</f>
        <v/>
      </c>
      <c r="AN174" s="13" t="str">
        <f>IF(Stock!AK170="","",Stock!AK170)</f>
        <v/>
      </c>
      <c r="AO174" s="13" t="str">
        <f>IF(Stock!AL170="","",Stock!AL170)</f>
        <v/>
      </c>
      <c r="AP174" s="13" t="str">
        <f>IF(Stock!AM170="","",Stock!AM170)</f>
        <v/>
      </c>
      <c r="AQ174" s="13" t="str">
        <f>IF(Stock!AN170="","",Stock!AN170)</f>
        <v/>
      </c>
      <c r="AR174" s="13" t="str">
        <f>IF(Stock!AO170="","",Stock!AO170)</f>
        <v/>
      </c>
      <c r="AS174" s="13" t="str">
        <f>IF(Stock!AP170="","",Stock!AP170)</f>
        <v/>
      </c>
      <c r="AT174" s="13" t="str">
        <f>IF(Stock!AQ170="","",Stock!AQ170)</f>
        <v/>
      </c>
      <c r="AU174" s="13" t="str">
        <f>IF(Stock!AR170="","",Stock!AR170)</f>
        <v/>
      </c>
      <c r="AV174" s="13" t="str">
        <f>IF(Stock!AS170="","",Stock!AS170)</f>
        <v/>
      </c>
      <c r="AW174" s="13" t="str">
        <f>IF(Stock!AT170="","",Stock!AT170)</f>
        <v/>
      </c>
      <c r="AX174" s="13" t="str">
        <f>IF(Stock!AU170="","",Stock!AU170)</f>
        <v/>
      </c>
      <c r="AY174" s="13" t="str">
        <f>IF(Stock!AV170="","",Stock!AV170)</f>
        <v/>
      </c>
      <c r="AZ174" s="13" t="str">
        <f>IF(Stock!AW170="","",Stock!AW170)</f>
        <v/>
      </c>
      <c r="BA174" s="13" t="str">
        <f>IF(Stock!AX170="","",Stock!AX170)</f>
        <v/>
      </c>
      <c r="BB174" s="13" t="str">
        <f>IF(Stock!AY170="","",Stock!AY170)</f>
        <v/>
      </c>
      <c r="BC174" s="13" t="str">
        <f>IF(Stock!AZ170="","",Stock!AZ170)</f>
        <v/>
      </c>
      <c r="BD174" s="13" t="str">
        <f>IF(Stock!BA170="","",Stock!BA170)</f>
        <v/>
      </c>
      <c r="BE174" s="13" t="str">
        <f>IF(Stock!BB170="","",Stock!BB170)</f>
        <v/>
      </c>
      <c r="BF174" s="13" t="str">
        <f>IF(Stock!BC170="","",Stock!BC170)</f>
        <v/>
      </c>
    </row>
    <row r="175" spans="2:58" ht="14.25" customHeight="1" x14ac:dyDescent="0.3">
      <c r="B175" s="31"/>
      <c r="E175" s="13" t="str">
        <f>IF(Stock!B171="","",Stock!B171)</f>
        <v/>
      </c>
      <c r="F175" s="13" t="str">
        <f>IF(Stock!C171="","",Stock!C171)</f>
        <v/>
      </c>
      <c r="G175" s="13" t="str">
        <f>IF(Stock!D171="","",Stock!D171)</f>
        <v/>
      </c>
      <c r="H175" s="13" t="str">
        <f>IF(Stock!E171="","",Stock!E171)</f>
        <v/>
      </c>
      <c r="I175" s="13" t="str">
        <f>IF(Stock!F171="","",Stock!F171)</f>
        <v/>
      </c>
      <c r="J175" s="13" t="str">
        <f>IF(Stock!G171="","",Stock!G171)</f>
        <v/>
      </c>
      <c r="K175" s="13" t="str">
        <f>IF(Stock!H171="","",Stock!H171)</f>
        <v/>
      </c>
      <c r="L175" s="13" t="str">
        <f>IF(Stock!I171="","",Stock!I171)</f>
        <v/>
      </c>
      <c r="M175" s="13" t="str">
        <f>IF(Stock!J171="","",Stock!J171)</f>
        <v/>
      </c>
      <c r="N175" s="13" t="str">
        <f>IF(Stock!K171="","",Stock!K171)</f>
        <v/>
      </c>
      <c r="O175" s="13" t="str">
        <f>IF(Stock!L171="","",Stock!L171)</f>
        <v/>
      </c>
      <c r="P175" s="13" t="str">
        <f>IF(Stock!M171="","",Stock!M171)</f>
        <v/>
      </c>
      <c r="Q175" s="13" t="str">
        <f>IF(Stock!N171="","",Stock!N171)</f>
        <v/>
      </c>
      <c r="R175" s="13" t="str">
        <f>IF(Stock!O171="","",Stock!O171)</f>
        <v/>
      </c>
      <c r="S175" s="13" t="str">
        <f>IF(Stock!P171="","",Stock!P171)</f>
        <v/>
      </c>
      <c r="T175" s="13" t="str">
        <f>IF(Stock!Q171="","",Stock!Q171)</f>
        <v/>
      </c>
      <c r="U175" s="13" t="str">
        <f>IF(Stock!R171="","",Stock!R171)</f>
        <v/>
      </c>
      <c r="V175" s="13" t="str">
        <f>IF(Stock!S171="","",Stock!S171)</f>
        <v/>
      </c>
      <c r="W175" s="13" t="str">
        <f>IF(Stock!T171="","",Stock!T171)</f>
        <v/>
      </c>
      <c r="X175" s="13" t="str">
        <f>IF(Stock!U171="","",Stock!U171)</f>
        <v/>
      </c>
      <c r="Y175" s="13" t="str">
        <f>IF(Stock!V171="","",Stock!V171)</f>
        <v/>
      </c>
      <c r="Z175" s="13" t="str">
        <f>IF(Stock!W171="","",Stock!W171)</f>
        <v/>
      </c>
      <c r="AA175" s="13" t="str">
        <f>IF(Stock!X171="","",Stock!X171)</f>
        <v/>
      </c>
      <c r="AB175" s="13" t="str">
        <f>IF(Stock!Y171="","",Stock!Y171)</f>
        <v/>
      </c>
      <c r="AC175" s="13" t="str">
        <f>IF(Stock!Z171="","",Stock!Z171)</f>
        <v/>
      </c>
      <c r="AD175" s="13" t="str">
        <f>IF(Stock!AA171="","",Stock!AA171)</f>
        <v/>
      </c>
      <c r="AE175" s="13" t="str">
        <f>IF(Stock!AB171="","",Stock!AB171)</f>
        <v/>
      </c>
      <c r="AF175" s="13" t="str">
        <f>IF(Stock!AC171="","",Stock!AC171)</f>
        <v/>
      </c>
      <c r="AG175" s="13" t="str">
        <f>IF(Stock!AD171="","",Stock!AD171)</f>
        <v/>
      </c>
      <c r="AH175" s="13" t="str">
        <f>IF(Stock!AE171="","",Stock!AE171)</f>
        <v/>
      </c>
      <c r="AI175" s="13" t="str">
        <f>IF(Stock!AF171="","",Stock!AF171)</f>
        <v/>
      </c>
      <c r="AJ175" s="13" t="str">
        <f>IF(Stock!AG171="","",Stock!AG171)</f>
        <v/>
      </c>
      <c r="AK175" s="13" t="str">
        <f>IF(Stock!AH171="","",Stock!AH171)</f>
        <v/>
      </c>
      <c r="AL175" s="13" t="str">
        <f>IF(Stock!AI171="","",Stock!AI171)</f>
        <v/>
      </c>
      <c r="AM175" s="13" t="str">
        <f>IF(Stock!AJ171="","",Stock!AJ171)</f>
        <v/>
      </c>
      <c r="AN175" s="13" t="str">
        <f>IF(Stock!AK171="","",Stock!AK171)</f>
        <v/>
      </c>
      <c r="AO175" s="13" t="str">
        <f>IF(Stock!AL171="","",Stock!AL171)</f>
        <v/>
      </c>
      <c r="AP175" s="13" t="str">
        <f>IF(Stock!AM171="","",Stock!AM171)</f>
        <v/>
      </c>
      <c r="AQ175" s="13" t="str">
        <f>IF(Stock!AN171="","",Stock!AN171)</f>
        <v/>
      </c>
      <c r="AR175" s="13" t="str">
        <f>IF(Stock!AO171="","",Stock!AO171)</f>
        <v/>
      </c>
      <c r="AS175" s="13" t="str">
        <f>IF(Stock!AP171="","",Stock!AP171)</f>
        <v/>
      </c>
      <c r="AT175" s="13" t="str">
        <f>IF(Stock!AQ171="","",Stock!AQ171)</f>
        <v/>
      </c>
      <c r="AU175" s="13" t="str">
        <f>IF(Stock!AR171="","",Stock!AR171)</f>
        <v/>
      </c>
      <c r="AV175" s="13" t="str">
        <f>IF(Stock!AS171="","",Stock!AS171)</f>
        <v/>
      </c>
      <c r="AW175" s="13" t="str">
        <f>IF(Stock!AT171="","",Stock!AT171)</f>
        <v/>
      </c>
      <c r="AX175" s="13" t="str">
        <f>IF(Stock!AU171="","",Stock!AU171)</f>
        <v/>
      </c>
      <c r="AY175" s="13" t="str">
        <f>IF(Stock!AV171="","",Stock!AV171)</f>
        <v/>
      </c>
      <c r="AZ175" s="13" t="str">
        <f>IF(Stock!AW171="","",Stock!AW171)</f>
        <v/>
      </c>
      <c r="BA175" s="13" t="str">
        <f>IF(Stock!AX171="","",Stock!AX171)</f>
        <v/>
      </c>
      <c r="BB175" s="13" t="str">
        <f>IF(Stock!AY171="","",Stock!AY171)</f>
        <v/>
      </c>
      <c r="BC175" s="13" t="str">
        <f>IF(Stock!AZ171="","",Stock!AZ171)</f>
        <v/>
      </c>
      <c r="BD175" s="13" t="str">
        <f>IF(Stock!BA171="","",Stock!BA171)</f>
        <v/>
      </c>
      <c r="BE175" s="13" t="str">
        <f>IF(Stock!BB171="","",Stock!BB171)</f>
        <v/>
      </c>
      <c r="BF175" s="13" t="str">
        <f>IF(Stock!BC171="","",Stock!BC171)</f>
        <v/>
      </c>
    </row>
    <row r="176" spans="2:58" ht="14.25" customHeight="1" x14ac:dyDescent="0.3">
      <c r="B176" s="31"/>
      <c r="E176" s="13" t="str">
        <f>IF(Stock!B172="","",Stock!B172)</f>
        <v/>
      </c>
      <c r="F176" s="13" t="str">
        <f>IF(Stock!C172="","",Stock!C172)</f>
        <v/>
      </c>
      <c r="G176" s="13" t="str">
        <f>IF(Stock!D172="","",Stock!D172)</f>
        <v/>
      </c>
      <c r="H176" s="13" t="str">
        <f>IF(Stock!E172="","",Stock!E172)</f>
        <v/>
      </c>
      <c r="I176" s="13" t="str">
        <f>IF(Stock!F172="","",Stock!F172)</f>
        <v/>
      </c>
      <c r="J176" s="13" t="str">
        <f>IF(Stock!G172="","",Stock!G172)</f>
        <v/>
      </c>
      <c r="K176" s="13" t="str">
        <f>IF(Stock!H172="","",Stock!H172)</f>
        <v/>
      </c>
      <c r="L176" s="13" t="str">
        <f>IF(Stock!I172="","",Stock!I172)</f>
        <v/>
      </c>
      <c r="M176" s="13" t="str">
        <f>IF(Stock!J172="","",Stock!J172)</f>
        <v/>
      </c>
      <c r="N176" s="13" t="str">
        <f>IF(Stock!K172="","",Stock!K172)</f>
        <v/>
      </c>
      <c r="O176" s="13" t="str">
        <f>IF(Stock!L172="","",Stock!L172)</f>
        <v/>
      </c>
      <c r="P176" s="13" t="str">
        <f>IF(Stock!M172="","",Stock!M172)</f>
        <v/>
      </c>
      <c r="Q176" s="13" t="str">
        <f>IF(Stock!N172="","",Stock!N172)</f>
        <v/>
      </c>
      <c r="R176" s="13" t="str">
        <f>IF(Stock!O172="","",Stock!O172)</f>
        <v/>
      </c>
      <c r="S176" s="13" t="str">
        <f>IF(Stock!P172="","",Stock!P172)</f>
        <v/>
      </c>
      <c r="T176" s="13" t="str">
        <f>IF(Stock!Q172="","",Stock!Q172)</f>
        <v/>
      </c>
      <c r="U176" s="13" t="str">
        <f>IF(Stock!R172="","",Stock!R172)</f>
        <v/>
      </c>
      <c r="V176" s="13" t="str">
        <f>IF(Stock!S172="","",Stock!S172)</f>
        <v/>
      </c>
      <c r="W176" s="13" t="str">
        <f>IF(Stock!T172="","",Stock!T172)</f>
        <v/>
      </c>
      <c r="X176" s="13" t="str">
        <f>IF(Stock!U172="","",Stock!U172)</f>
        <v/>
      </c>
      <c r="Y176" s="13" t="str">
        <f>IF(Stock!V172="","",Stock!V172)</f>
        <v/>
      </c>
      <c r="Z176" s="13" t="str">
        <f>IF(Stock!W172="","",Stock!W172)</f>
        <v/>
      </c>
      <c r="AA176" s="13" t="str">
        <f>IF(Stock!X172="","",Stock!X172)</f>
        <v/>
      </c>
      <c r="AB176" s="13" t="str">
        <f>IF(Stock!Y172="","",Stock!Y172)</f>
        <v/>
      </c>
      <c r="AC176" s="13" t="str">
        <f>IF(Stock!Z172="","",Stock!Z172)</f>
        <v/>
      </c>
      <c r="AD176" s="13" t="str">
        <f>IF(Stock!AA172="","",Stock!AA172)</f>
        <v/>
      </c>
      <c r="AE176" s="13" t="str">
        <f>IF(Stock!AB172="","",Stock!AB172)</f>
        <v/>
      </c>
      <c r="AF176" s="13" t="str">
        <f>IF(Stock!AC172="","",Stock!AC172)</f>
        <v/>
      </c>
      <c r="AG176" s="13" t="str">
        <f>IF(Stock!AD172="","",Stock!AD172)</f>
        <v/>
      </c>
      <c r="AH176" s="13" t="str">
        <f>IF(Stock!AE172="","",Stock!AE172)</f>
        <v/>
      </c>
      <c r="AI176" s="13" t="str">
        <f>IF(Stock!AF172="","",Stock!AF172)</f>
        <v/>
      </c>
      <c r="AJ176" s="13" t="str">
        <f>IF(Stock!AG172="","",Stock!AG172)</f>
        <v/>
      </c>
      <c r="AK176" s="13" t="str">
        <f>IF(Stock!AH172="","",Stock!AH172)</f>
        <v/>
      </c>
      <c r="AL176" s="13" t="str">
        <f>IF(Stock!AI172="","",Stock!AI172)</f>
        <v/>
      </c>
      <c r="AM176" s="13" t="str">
        <f>IF(Stock!AJ172="","",Stock!AJ172)</f>
        <v/>
      </c>
      <c r="AN176" s="13" t="str">
        <f>IF(Stock!AK172="","",Stock!AK172)</f>
        <v/>
      </c>
      <c r="AO176" s="13" t="str">
        <f>IF(Stock!AL172="","",Stock!AL172)</f>
        <v/>
      </c>
      <c r="AP176" s="13" t="str">
        <f>IF(Stock!AM172="","",Stock!AM172)</f>
        <v/>
      </c>
      <c r="AQ176" s="13" t="str">
        <f>IF(Stock!AN172="","",Stock!AN172)</f>
        <v/>
      </c>
      <c r="AR176" s="13" t="str">
        <f>IF(Stock!AO172="","",Stock!AO172)</f>
        <v/>
      </c>
      <c r="AS176" s="13" t="str">
        <f>IF(Stock!AP172="","",Stock!AP172)</f>
        <v/>
      </c>
      <c r="AT176" s="13" t="str">
        <f>IF(Stock!AQ172="","",Stock!AQ172)</f>
        <v/>
      </c>
      <c r="AU176" s="13" t="str">
        <f>IF(Stock!AR172="","",Stock!AR172)</f>
        <v/>
      </c>
      <c r="AV176" s="13" t="str">
        <f>IF(Stock!AS172="","",Stock!AS172)</f>
        <v/>
      </c>
      <c r="AW176" s="13" t="str">
        <f>IF(Stock!AT172="","",Stock!AT172)</f>
        <v/>
      </c>
      <c r="AX176" s="13" t="str">
        <f>IF(Stock!AU172="","",Stock!AU172)</f>
        <v/>
      </c>
      <c r="AY176" s="13" t="str">
        <f>IF(Stock!AV172="","",Stock!AV172)</f>
        <v/>
      </c>
      <c r="AZ176" s="13" t="str">
        <f>IF(Stock!AW172="","",Stock!AW172)</f>
        <v/>
      </c>
      <c r="BA176" s="13" t="str">
        <f>IF(Stock!AX172="","",Stock!AX172)</f>
        <v/>
      </c>
      <c r="BB176" s="13" t="str">
        <f>IF(Stock!AY172="","",Stock!AY172)</f>
        <v/>
      </c>
      <c r="BC176" s="13" t="str">
        <f>IF(Stock!AZ172="","",Stock!AZ172)</f>
        <v/>
      </c>
      <c r="BD176" s="13" t="str">
        <f>IF(Stock!BA172="","",Stock!BA172)</f>
        <v/>
      </c>
      <c r="BE176" s="13" t="str">
        <f>IF(Stock!BB172="","",Stock!BB172)</f>
        <v/>
      </c>
      <c r="BF176" s="13" t="str">
        <f>IF(Stock!BC172="","",Stock!BC172)</f>
        <v/>
      </c>
    </row>
    <row r="177" spans="2:58" ht="14.25" customHeight="1" x14ac:dyDescent="0.3">
      <c r="B177" s="31"/>
      <c r="E177" s="13" t="str">
        <f>IF(Stock!B173="","",Stock!B173)</f>
        <v/>
      </c>
      <c r="F177" s="13" t="str">
        <f>IF(Stock!C173="","",Stock!C173)</f>
        <v/>
      </c>
      <c r="G177" s="13" t="str">
        <f>IF(Stock!D173="","",Stock!D173)</f>
        <v/>
      </c>
      <c r="H177" s="13" t="str">
        <f>IF(Stock!E173="","",Stock!E173)</f>
        <v/>
      </c>
      <c r="I177" s="13" t="str">
        <f>IF(Stock!F173="","",Stock!F173)</f>
        <v/>
      </c>
      <c r="J177" s="13" t="str">
        <f>IF(Stock!G173="","",Stock!G173)</f>
        <v/>
      </c>
      <c r="K177" s="13" t="str">
        <f>IF(Stock!H173="","",Stock!H173)</f>
        <v/>
      </c>
      <c r="L177" s="13" t="str">
        <f>IF(Stock!I173="","",Stock!I173)</f>
        <v/>
      </c>
      <c r="M177" s="13" t="str">
        <f>IF(Stock!J173="","",Stock!J173)</f>
        <v/>
      </c>
      <c r="N177" s="13" t="str">
        <f>IF(Stock!K173="","",Stock!K173)</f>
        <v/>
      </c>
      <c r="O177" s="13" t="str">
        <f>IF(Stock!L173="","",Stock!L173)</f>
        <v/>
      </c>
      <c r="P177" s="13" t="str">
        <f>IF(Stock!M173="","",Stock!M173)</f>
        <v/>
      </c>
      <c r="Q177" s="13" t="str">
        <f>IF(Stock!N173="","",Stock!N173)</f>
        <v/>
      </c>
      <c r="R177" s="13" t="str">
        <f>IF(Stock!O173="","",Stock!O173)</f>
        <v/>
      </c>
      <c r="S177" s="13" t="str">
        <f>IF(Stock!P173="","",Stock!P173)</f>
        <v/>
      </c>
      <c r="T177" s="13" t="str">
        <f>IF(Stock!Q173="","",Stock!Q173)</f>
        <v/>
      </c>
      <c r="U177" s="13" t="str">
        <f>IF(Stock!R173="","",Stock!R173)</f>
        <v/>
      </c>
      <c r="V177" s="13" t="str">
        <f>IF(Stock!S173="","",Stock!S173)</f>
        <v/>
      </c>
      <c r="W177" s="13" t="str">
        <f>IF(Stock!T173="","",Stock!T173)</f>
        <v/>
      </c>
      <c r="X177" s="13" t="str">
        <f>IF(Stock!U173="","",Stock!U173)</f>
        <v/>
      </c>
      <c r="Y177" s="13" t="str">
        <f>IF(Stock!V173="","",Stock!V173)</f>
        <v/>
      </c>
      <c r="Z177" s="13" t="str">
        <f>IF(Stock!W173="","",Stock!W173)</f>
        <v/>
      </c>
      <c r="AA177" s="13" t="str">
        <f>IF(Stock!X173="","",Stock!X173)</f>
        <v/>
      </c>
      <c r="AB177" s="13" t="str">
        <f>IF(Stock!Y173="","",Stock!Y173)</f>
        <v/>
      </c>
      <c r="AC177" s="13" t="str">
        <f>IF(Stock!Z173="","",Stock!Z173)</f>
        <v/>
      </c>
      <c r="AD177" s="13" t="str">
        <f>IF(Stock!AA173="","",Stock!AA173)</f>
        <v/>
      </c>
      <c r="AE177" s="13" t="str">
        <f>IF(Stock!AB173="","",Stock!AB173)</f>
        <v/>
      </c>
      <c r="AF177" s="13" t="str">
        <f>IF(Stock!AC173="","",Stock!AC173)</f>
        <v/>
      </c>
      <c r="AG177" s="13" t="str">
        <f>IF(Stock!AD173="","",Stock!AD173)</f>
        <v/>
      </c>
      <c r="AH177" s="13" t="str">
        <f>IF(Stock!AE173="","",Stock!AE173)</f>
        <v/>
      </c>
      <c r="AI177" s="13" t="str">
        <f>IF(Stock!AF173="","",Stock!AF173)</f>
        <v/>
      </c>
      <c r="AJ177" s="13" t="str">
        <f>IF(Stock!AG173="","",Stock!AG173)</f>
        <v/>
      </c>
      <c r="AK177" s="13" t="str">
        <f>IF(Stock!AH173="","",Stock!AH173)</f>
        <v/>
      </c>
      <c r="AL177" s="13" t="str">
        <f>IF(Stock!AI173="","",Stock!AI173)</f>
        <v/>
      </c>
      <c r="AM177" s="13" t="str">
        <f>IF(Stock!AJ173="","",Stock!AJ173)</f>
        <v/>
      </c>
      <c r="AN177" s="13" t="str">
        <f>IF(Stock!AK173="","",Stock!AK173)</f>
        <v/>
      </c>
      <c r="AO177" s="13" t="str">
        <f>IF(Stock!AL173="","",Stock!AL173)</f>
        <v/>
      </c>
      <c r="AP177" s="13" t="str">
        <f>IF(Stock!AM173="","",Stock!AM173)</f>
        <v/>
      </c>
      <c r="AQ177" s="13" t="str">
        <f>IF(Stock!AN173="","",Stock!AN173)</f>
        <v/>
      </c>
      <c r="AR177" s="13" t="str">
        <f>IF(Stock!AO173="","",Stock!AO173)</f>
        <v/>
      </c>
      <c r="AS177" s="13" t="str">
        <f>IF(Stock!AP173="","",Stock!AP173)</f>
        <v/>
      </c>
      <c r="AT177" s="13" t="str">
        <f>IF(Stock!AQ173="","",Stock!AQ173)</f>
        <v/>
      </c>
      <c r="AU177" s="13" t="str">
        <f>IF(Stock!AR173="","",Stock!AR173)</f>
        <v/>
      </c>
      <c r="AV177" s="13" t="str">
        <f>IF(Stock!AS173="","",Stock!AS173)</f>
        <v/>
      </c>
      <c r="AW177" s="13" t="str">
        <f>IF(Stock!AT173="","",Stock!AT173)</f>
        <v/>
      </c>
      <c r="AX177" s="13" t="str">
        <f>IF(Stock!AU173="","",Stock!AU173)</f>
        <v/>
      </c>
      <c r="AY177" s="13" t="str">
        <f>IF(Stock!AV173="","",Stock!AV173)</f>
        <v/>
      </c>
      <c r="AZ177" s="13" t="str">
        <f>IF(Stock!AW173="","",Stock!AW173)</f>
        <v/>
      </c>
      <c r="BA177" s="13" t="str">
        <f>IF(Stock!AX173="","",Stock!AX173)</f>
        <v/>
      </c>
      <c r="BB177" s="13" t="str">
        <f>IF(Stock!AY173="","",Stock!AY173)</f>
        <v/>
      </c>
      <c r="BC177" s="13" t="str">
        <f>IF(Stock!AZ173="","",Stock!AZ173)</f>
        <v/>
      </c>
      <c r="BD177" s="13" t="str">
        <f>IF(Stock!BA173="","",Stock!BA173)</f>
        <v/>
      </c>
      <c r="BE177" s="13" t="str">
        <f>IF(Stock!BB173="","",Stock!BB173)</f>
        <v/>
      </c>
      <c r="BF177" s="13" t="str">
        <f>IF(Stock!BC173="","",Stock!BC173)</f>
        <v/>
      </c>
    </row>
    <row r="178" spans="2:58" ht="14.25" customHeight="1" x14ac:dyDescent="0.3">
      <c r="B178" s="31"/>
      <c r="E178" s="13" t="str">
        <f>IF(Stock!B174="","",Stock!B174)</f>
        <v/>
      </c>
      <c r="F178" s="13" t="str">
        <f>IF(Stock!C174="","",Stock!C174)</f>
        <v/>
      </c>
      <c r="G178" s="13" t="str">
        <f>IF(Stock!D174="","",Stock!D174)</f>
        <v/>
      </c>
      <c r="H178" s="13" t="str">
        <f>IF(Stock!E174="","",Stock!E174)</f>
        <v/>
      </c>
      <c r="I178" s="13" t="str">
        <f>IF(Stock!F174="","",Stock!F174)</f>
        <v/>
      </c>
      <c r="J178" s="13" t="str">
        <f>IF(Stock!G174="","",Stock!G174)</f>
        <v/>
      </c>
      <c r="K178" s="13" t="str">
        <f>IF(Stock!H174="","",Stock!H174)</f>
        <v/>
      </c>
      <c r="L178" s="13" t="str">
        <f>IF(Stock!I174="","",Stock!I174)</f>
        <v/>
      </c>
      <c r="M178" s="13" t="str">
        <f>IF(Stock!J174="","",Stock!J174)</f>
        <v/>
      </c>
      <c r="N178" s="13" t="str">
        <f>IF(Stock!K174="","",Stock!K174)</f>
        <v/>
      </c>
      <c r="O178" s="13" t="str">
        <f>IF(Stock!L174="","",Stock!L174)</f>
        <v/>
      </c>
      <c r="P178" s="13" t="str">
        <f>IF(Stock!M174="","",Stock!M174)</f>
        <v/>
      </c>
      <c r="Q178" s="13" t="str">
        <f>IF(Stock!N174="","",Stock!N174)</f>
        <v/>
      </c>
      <c r="R178" s="13" t="str">
        <f>IF(Stock!O174="","",Stock!O174)</f>
        <v/>
      </c>
      <c r="S178" s="13" t="str">
        <f>IF(Stock!P174="","",Stock!P174)</f>
        <v/>
      </c>
      <c r="T178" s="13" t="str">
        <f>IF(Stock!Q174="","",Stock!Q174)</f>
        <v/>
      </c>
      <c r="U178" s="13" t="str">
        <f>IF(Stock!R174="","",Stock!R174)</f>
        <v/>
      </c>
      <c r="V178" s="13" t="str">
        <f>IF(Stock!S174="","",Stock!S174)</f>
        <v/>
      </c>
      <c r="W178" s="13" t="str">
        <f>IF(Stock!T174="","",Stock!T174)</f>
        <v/>
      </c>
      <c r="X178" s="13" t="str">
        <f>IF(Stock!U174="","",Stock!U174)</f>
        <v/>
      </c>
      <c r="Y178" s="13" t="str">
        <f>IF(Stock!V174="","",Stock!V174)</f>
        <v/>
      </c>
      <c r="Z178" s="13" t="str">
        <f>IF(Stock!W174="","",Stock!W174)</f>
        <v/>
      </c>
      <c r="AA178" s="13" t="str">
        <f>IF(Stock!X174="","",Stock!X174)</f>
        <v/>
      </c>
      <c r="AB178" s="13" t="str">
        <f>IF(Stock!Y174="","",Stock!Y174)</f>
        <v/>
      </c>
      <c r="AC178" s="13" t="str">
        <f>IF(Stock!Z174="","",Stock!Z174)</f>
        <v/>
      </c>
      <c r="AD178" s="13" t="str">
        <f>IF(Stock!AA174="","",Stock!AA174)</f>
        <v/>
      </c>
      <c r="AE178" s="13" t="str">
        <f>IF(Stock!AB174="","",Stock!AB174)</f>
        <v/>
      </c>
      <c r="AF178" s="13" t="str">
        <f>IF(Stock!AC174="","",Stock!AC174)</f>
        <v/>
      </c>
      <c r="AG178" s="13" t="str">
        <f>IF(Stock!AD174="","",Stock!AD174)</f>
        <v/>
      </c>
      <c r="AH178" s="13" t="str">
        <f>IF(Stock!AE174="","",Stock!AE174)</f>
        <v/>
      </c>
      <c r="AI178" s="13" t="str">
        <f>IF(Stock!AF174="","",Stock!AF174)</f>
        <v/>
      </c>
      <c r="AJ178" s="13" t="str">
        <f>IF(Stock!AG174="","",Stock!AG174)</f>
        <v/>
      </c>
      <c r="AK178" s="13" t="str">
        <f>IF(Stock!AH174="","",Stock!AH174)</f>
        <v/>
      </c>
      <c r="AL178" s="13" t="str">
        <f>IF(Stock!AI174="","",Stock!AI174)</f>
        <v/>
      </c>
      <c r="AM178" s="13" t="str">
        <f>IF(Stock!AJ174="","",Stock!AJ174)</f>
        <v/>
      </c>
      <c r="AN178" s="13" t="str">
        <f>IF(Stock!AK174="","",Stock!AK174)</f>
        <v/>
      </c>
      <c r="AO178" s="13" t="str">
        <f>IF(Stock!AL174="","",Stock!AL174)</f>
        <v/>
      </c>
      <c r="AP178" s="13" t="str">
        <f>IF(Stock!AM174="","",Stock!AM174)</f>
        <v/>
      </c>
      <c r="AQ178" s="13" t="str">
        <f>IF(Stock!AN174="","",Stock!AN174)</f>
        <v/>
      </c>
      <c r="AR178" s="13" t="str">
        <f>IF(Stock!AO174="","",Stock!AO174)</f>
        <v/>
      </c>
      <c r="AS178" s="13" t="str">
        <f>IF(Stock!AP174="","",Stock!AP174)</f>
        <v/>
      </c>
      <c r="AT178" s="13" t="str">
        <f>IF(Stock!AQ174="","",Stock!AQ174)</f>
        <v/>
      </c>
      <c r="AU178" s="13" t="str">
        <f>IF(Stock!AR174="","",Stock!AR174)</f>
        <v/>
      </c>
      <c r="AV178" s="13" t="str">
        <f>IF(Stock!AS174="","",Stock!AS174)</f>
        <v/>
      </c>
      <c r="AW178" s="13" t="str">
        <f>IF(Stock!AT174="","",Stock!AT174)</f>
        <v/>
      </c>
      <c r="AX178" s="13" t="str">
        <f>IF(Stock!AU174="","",Stock!AU174)</f>
        <v/>
      </c>
      <c r="AY178" s="13" t="str">
        <f>IF(Stock!AV174="","",Stock!AV174)</f>
        <v/>
      </c>
      <c r="AZ178" s="13" t="str">
        <f>IF(Stock!AW174="","",Stock!AW174)</f>
        <v/>
      </c>
      <c r="BA178" s="13" t="str">
        <f>IF(Stock!AX174="","",Stock!AX174)</f>
        <v/>
      </c>
      <c r="BB178" s="13" t="str">
        <f>IF(Stock!AY174="","",Stock!AY174)</f>
        <v/>
      </c>
      <c r="BC178" s="13" t="str">
        <f>IF(Stock!AZ174="","",Stock!AZ174)</f>
        <v/>
      </c>
      <c r="BD178" s="13" t="str">
        <f>IF(Stock!BA174="","",Stock!BA174)</f>
        <v/>
      </c>
      <c r="BE178" s="13" t="str">
        <f>IF(Stock!BB174="","",Stock!BB174)</f>
        <v/>
      </c>
      <c r="BF178" s="13" t="str">
        <f>IF(Stock!BC174="","",Stock!BC174)</f>
        <v/>
      </c>
    </row>
    <row r="179" spans="2:58" ht="14.25" customHeight="1" x14ac:dyDescent="0.3">
      <c r="B179" s="31"/>
      <c r="E179" s="13" t="str">
        <f>IF(Stock!B175="","",Stock!B175)</f>
        <v/>
      </c>
      <c r="F179" s="13" t="str">
        <f>IF(Stock!C175="","",Stock!C175)</f>
        <v/>
      </c>
      <c r="G179" s="13" t="str">
        <f>IF(Stock!D175="","",Stock!D175)</f>
        <v/>
      </c>
      <c r="H179" s="13" t="str">
        <f>IF(Stock!E175="","",Stock!E175)</f>
        <v/>
      </c>
      <c r="I179" s="13" t="str">
        <f>IF(Stock!F175="","",Stock!F175)</f>
        <v/>
      </c>
      <c r="J179" s="13" t="str">
        <f>IF(Stock!G175="","",Stock!G175)</f>
        <v/>
      </c>
      <c r="K179" s="13" t="str">
        <f>IF(Stock!H175="","",Stock!H175)</f>
        <v/>
      </c>
      <c r="L179" s="13" t="str">
        <f>IF(Stock!I175="","",Stock!I175)</f>
        <v/>
      </c>
      <c r="M179" s="13" t="str">
        <f>IF(Stock!J175="","",Stock!J175)</f>
        <v/>
      </c>
      <c r="N179" s="13" t="str">
        <f>IF(Stock!K175="","",Stock!K175)</f>
        <v/>
      </c>
      <c r="O179" s="13" t="str">
        <f>IF(Stock!L175="","",Stock!L175)</f>
        <v/>
      </c>
      <c r="P179" s="13" t="str">
        <f>IF(Stock!M175="","",Stock!M175)</f>
        <v/>
      </c>
      <c r="Q179" s="13" t="str">
        <f>IF(Stock!N175="","",Stock!N175)</f>
        <v/>
      </c>
      <c r="R179" s="13" t="str">
        <f>IF(Stock!O175="","",Stock!O175)</f>
        <v/>
      </c>
      <c r="S179" s="13" t="str">
        <f>IF(Stock!P175="","",Stock!P175)</f>
        <v/>
      </c>
      <c r="T179" s="13" t="str">
        <f>IF(Stock!Q175="","",Stock!Q175)</f>
        <v/>
      </c>
      <c r="U179" s="13" t="str">
        <f>IF(Stock!R175="","",Stock!R175)</f>
        <v/>
      </c>
      <c r="V179" s="13" t="str">
        <f>IF(Stock!S175="","",Stock!S175)</f>
        <v/>
      </c>
      <c r="W179" s="13" t="str">
        <f>IF(Stock!T175="","",Stock!T175)</f>
        <v/>
      </c>
      <c r="X179" s="13" t="str">
        <f>IF(Stock!U175="","",Stock!U175)</f>
        <v/>
      </c>
      <c r="Y179" s="13" t="str">
        <f>IF(Stock!V175="","",Stock!V175)</f>
        <v/>
      </c>
      <c r="Z179" s="13" t="str">
        <f>IF(Stock!W175="","",Stock!W175)</f>
        <v/>
      </c>
      <c r="AA179" s="13" t="str">
        <f>IF(Stock!X175="","",Stock!X175)</f>
        <v/>
      </c>
      <c r="AB179" s="13" t="str">
        <f>IF(Stock!Y175="","",Stock!Y175)</f>
        <v/>
      </c>
      <c r="AC179" s="13" t="str">
        <f>IF(Stock!Z175="","",Stock!Z175)</f>
        <v/>
      </c>
      <c r="AD179" s="13" t="str">
        <f>IF(Stock!AA175="","",Stock!AA175)</f>
        <v/>
      </c>
      <c r="AE179" s="13" t="str">
        <f>IF(Stock!AB175="","",Stock!AB175)</f>
        <v/>
      </c>
      <c r="AF179" s="13" t="str">
        <f>IF(Stock!AC175="","",Stock!AC175)</f>
        <v/>
      </c>
      <c r="AG179" s="13" t="str">
        <f>IF(Stock!AD175="","",Stock!AD175)</f>
        <v/>
      </c>
      <c r="AH179" s="13" t="str">
        <f>IF(Stock!AE175="","",Stock!AE175)</f>
        <v/>
      </c>
      <c r="AI179" s="13" t="str">
        <f>IF(Stock!AF175="","",Stock!AF175)</f>
        <v/>
      </c>
      <c r="AJ179" s="13" t="str">
        <f>IF(Stock!AG175="","",Stock!AG175)</f>
        <v/>
      </c>
      <c r="AK179" s="13" t="str">
        <f>IF(Stock!AH175="","",Stock!AH175)</f>
        <v/>
      </c>
      <c r="AL179" s="13" t="str">
        <f>IF(Stock!AI175="","",Stock!AI175)</f>
        <v/>
      </c>
      <c r="AM179" s="13" t="str">
        <f>IF(Stock!AJ175="","",Stock!AJ175)</f>
        <v/>
      </c>
      <c r="AN179" s="13" t="str">
        <f>IF(Stock!AK175="","",Stock!AK175)</f>
        <v/>
      </c>
      <c r="AO179" s="13" t="str">
        <f>IF(Stock!AL175="","",Stock!AL175)</f>
        <v/>
      </c>
      <c r="AP179" s="13" t="str">
        <f>IF(Stock!AM175="","",Stock!AM175)</f>
        <v/>
      </c>
      <c r="AQ179" s="13" t="str">
        <f>IF(Stock!AN175="","",Stock!AN175)</f>
        <v/>
      </c>
      <c r="AR179" s="13" t="str">
        <f>IF(Stock!AO175="","",Stock!AO175)</f>
        <v/>
      </c>
      <c r="AS179" s="13" t="str">
        <f>IF(Stock!AP175="","",Stock!AP175)</f>
        <v/>
      </c>
      <c r="AT179" s="13" t="str">
        <f>IF(Stock!AQ175="","",Stock!AQ175)</f>
        <v/>
      </c>
      <c r="AU179" s="13" t="str">
        <f>IF(Stock!AR175="","",Stock!AR175)</f>
        <v/>
      </c>
      <c r="AV179" s="13" t="str">
        <f>IF(Stock!AS175="","",Stock!AS175)</f>
        <v/>
      </c>
      <c r="AW179" s="13" t="str">
        <f>IF(Stock!AT175="","",Stock!AT175)</f>
        <v/>
      </c>
      <c r="AX179" s="13" t="str">
        <f>IF(Stock!AU175="","",Stock!AU175)</f>
        <v/>
      </c>
      <c r="AY179" s="13" t="str">
        <f>IF(Stock!AV175="","",Stock!AV175)</f>
        <v/>
      </c>
      <c r="AZ179" s="13" t="str">
        <f>IF(Stock!AW175="","",Stock!AW175)</f>
        <v/>
      </c>
      <c r="BA179" s="13" t="str">
        <f>IF(Stock!AX175="","",Stock!AX175)</f>
        <v/>
      </c>
      <c r="BB179" s="13" t="str">
        <f>IF(Stock!AY175="","",Stock!AY175)</f>
        <v/>
      </c>
      <c r="BC179" s="13" t="str">
        <f>IF(Stock!AZ175="","",Stock!AZ175)</f>
        <v/>
      </c>
      <c r="BD179" s="13" t="str">
        <f>IF(Stock!BA175="","",Stock!BA175)</f>
        <v/>
      </c>
      <c r="BE179" s="13" t="str">
        <f>IF(Stock!BB175="","",Stock!BB175)</f>
        <v/>
      </c>
      <c r="BF179" s="13" t="str">
        <f>IF(Stock!BC175="","",Stock!BC175)</f>
        <v/>
      </c>
    </row>
    <row r="180" spans="2:58" ht="14.25" customHeight="1" x14ac:dyDescent="0.3">
      <c r="B180" s="31"/>
      <c r="E180" s="13" t="str">
        <f>IF(Stock!B176="","",Stock!B176)</f>
        <v/>
      </c>
      <c r="F180" s="13" t="str">
        <f>IF(Stock!C176="","",Stock!C176)</f>
        <v/>
      </c>
      <c r="G180" s="13" t="str">
        <f>IF(Stock!D176="","",Stock!D176)</f>
        <v/>
      </c>
      <c r="H180" s="13" t="str">
        <f>IF(Stock!E176="","",Stock!E176)</f>
        <v/>
      </c>
      <c r="I180" s="13" t="str">
        <f>IF(Stock!F176="","",Stock!F176)</f>
        <v/>
      </c>
      <c r="J180" s="13" t="str">
        <f>IF(Stock!G176="","",Stock!G176)</f>
        <v/>
      </c>
      <c r="K180" s="13" t="str">
        <f>IF(Stock!H176="","",Stock!H176)</f>
        <v/>
      </c>
      <c r="L180" s="13" t="str">
        <f>IF(Stock!I176="","",Stock!I176)</f>
        <v/>
      </c>
      <c r="M180" s="13" t="str">
        <f>IF(Stock!J176="","",Stock!J176)</f>
        <v/>
      </c>
      <c r="N180" s="13" t="str">
        <f>IF(Stock!K176="","",Stock!K176)</f>
        <v/>
      </c>
      <c r="O180" s="13" t="str">
        <f>IF(Stock!L176="","",Stock!L176)</f>
        <v/>
      </c>
      <c r="P180" s="13" t="str">
        <f>IF(Stock!M176="","",Stock!M176)</f>
        <v/>
      </c>
      <c r="Q180" s="13" t="str">
        <f>IF(Stock!N176="","",Stock!N176)</f>
        <v/>
      </c>
      <c r="R180" s="13" t="str">
        <f>IF(Stock!O176="","",Stock!O176)</f>
        <v/>
      </c>
      <c r="S180" s="13" t="str">
        <f>IF(Stock!P176="","",Stock!P176)</f>
        <v/>
      </c>
      <c r="T180" s="13" t="str">
        <f>IF(Stock!Q176="","",Stock!Q176)</f>
        <v/>
      </c>
      <c r="U180" s="13" t="str">
        <f>IF(Stock!R176="","",Stock!R176)</f>
        <v/>
      </c>
      <c r="V180" s="13" t="str">
        <f>IF(Stock!S176="","",Stock!S176)</f>
        <v/>
      </c>
      <c r="W180" s="13" t="str">
        <f>IF(Stock!T176="","",Stock!T176)</f>
        <v/>
      </c>
      <c r="X180" s="13" t="str">
        <f>IF(Stock!U176="","",Stock!U176)</f>
        <v/>
      </c>
      <c r="Y180" s="13" t="str">
        <f>IF(Stock!V176="","",Stock!V176)</f>
        <v/>
      </c>
      <c r="Z180" s="13" t="str">
        <f>IF(Stock!W176="","",Stock!W176)</f>
        <v/>
      </c>
      <c r="AA180" s="13" t="str">
        <f>IF(Stock!X176="","",Stock!X176)</f>
        <v/>
      </c>
      <c r="AB180" s="13" t="str">
        <f>IF(Stock!Y176="","",Stock!Y176)</f>
        <v/>
      </c>
      <c r="AC180" s="13" t="str">
        <f>IF(Stock!Z176="","",Stock!Z176)</f>
        <v/>
      </c>
      <c r="AD180" s="13" t="str">
        <f>IF(Stock!AA176="","",Stock!AA176)</f>
        <v/>
      </c>
      <c r="AE180" s="13" t="str">
        <f>IF(Stock!AB176="","",Stock!AB176)</f>
        <v/>
      </c>
      <c r="AF180" s="13" t="str">
        <f>IF(Stock!AC176="","",Stock!AC176)</f>
        <v/>
      </c>
      <c r="AG180" s="13" t="str">
        <f>IF(Stock!AD176="","",Stock!AD176)</f>
        <v/>
      </c>
      <c r="AH180" s="13" t="str">
        <f>IF(Stock!AE176="","",Stock!AE176)</f>
        <v/>
      </c>
      <c r="AI180" s="13" t="str">
        <f>IF(Stock!AF176="","",Stock!AF176)</f>
        <v/>
      </c>
      <c r="AJ180" s="13" t="str">
        <f>IF(Stock!AG176="","",Stock!AG176)</f>
        <v/>
      </c>
      <c r="AK180" s="13" t="str">
        <f>IF(Stock!AH176="","",Stock!AH176)</f>
        <v/>
      </c>
      <c r="AL180" s="13" t="str">
        <f>IF(Stock!AI176="","",Stock!AI176)</f>
        <v/>
      </c>
      <c r="AM180" s="13" t="str">
        <f>IF(Stock!AJ176="","",Stock!AJ176)</f>
        <v/>
      </c>
      <c r="AN180" s="13" t="str">
        <f>IF(Stock!AK176="","",Stock!AK176)</f>
        <v/>
      </c>
      <c r="AO180" s="13" t="str">
        <f>IF(Stock!AL176="","",Stock!AL176)</f>
        <v/>
      </c>
      <c r="AP180" s="13" t="str">
        <f>IF(Stock!AM176="","",Stock!AM176)</f>
        <v/>
      </c>
      <c r="AQ180" s="13" t="str">
        <f>IF(Stock!AN176="","",Stock!AN176)</f>
        <v/>
      </c>
      <c r="AR180" s="13" t="str">
        <f>IF(Stock!AO176="","",Stock!AO176)</f>
        <v/>
      </c>
      <c r="AS180" s="13" t="str">
        <f>IF(Stock!AP176="","",Stock!AP176)</f>
        <v/>
      </c>
      <c r="AT180" s="13" t="str">
        <f>IF(Stock!AQ176="","",Stock!AQ176)</f>
        <v/>
      </c>
      <c r="AU180" s="13" t="str">
        <f>IF(Stock!AR176="","",Stock!AR176)</f>
        <v/>
      </c>
      <c r="AV180" s="13" t="str">
        <f>IF(Stock!AS176="","",Stock!AS176)</f>
        <v/>
      </c>
      <c r="AW180" s="13" t="str">
        <f>IF(Stock!AT176="","",Stock!AT176)</f>
        <v/>
      </c>
      <c r="AX180" s="13" t="str">
        <f>IF(Stock!AU176="","",Stock!AU176)</f>
        <v/>
      </c>
      <c r="AY180" s="13" t="str">
        <f>IF(Stock!AV176="","",Stock!AV176)</f>
        <v/>
      </c>
      <c r="AZ180" s="13" t="str">
        <f>IF(Stock!AW176="","",Stock!AW176)</f>
        <v/>
      </c>
      <c r="BA180" s="13" t="str">
        <f>IF(Stock!AX176="","",Stock!AX176)</f>
        <v/>
      </c>
      <c r="BB180" s="13" t="str">
        <f>IF(Stock!AY176="","",Stock!AY176)</f>
        <v/>
      </c>
      <c r="BC180" s="13" t="str">
        <f>IF(Stock!AZ176="","",Stock!AZ176)</f>
        <v/>
      </c>
      <c r="BD180" s="13" t="str">
        <f>IF(Stock!BA176="","",Stock!BA176)</f>
        <v/>
      </c>
      <c r="BE180" s="13" t="str">
        <f>IF(Stock!BB176="","",Stock!BB176)</f>
        <v/>
      </c>
      <c r="BF180" s="13" t="str">
        <f>IF(Stock!BC176="","",Stock!BC176)</f>
        <v/>
      </c>
    </row>
    <row r="181" spans="2:58" ht="14.25" customHeight="1" x14ac:dyDescent="0.3">
      <c r="B181" s="31"/>
      <c r="E181" s="13" t="str">
        <f>IF(Stock!B177="","",Stock!B177)</f>
        <v/>
      </c>
      <c r="F181" s="13" t="str">
        <f>IF(Stock!C177="","",Stock!C177)</f>
        <v/>
      </c>
      <c r="G181" s="13" t="str">
        <f>IF(Stock!D177="","",Stock!D177)</f>
        <v/>
      </c>
      <c r="H181" s="13" t="str">
        <f>IF(Stock!E177="","",Stock!E177)</f>
        <v/>
      </c>
      <c r="I181" s="13" t="str">
        <f>IF(Stock!F177="","",Stock!F177)</f>
        <v/>
      </c>
      <c r="J181" s="13" t="str">
        <f>IF(Stock!G177="","",Stock!G177)</f>
        <v/>
      </c>
      <c r="K181" s="13" t="str">
        <f>IF(Stock!H177="","",Stock!H177)</f>
        <v/>
      </c>
      <c r="L181" s="13" t="str">
        <f>IF(Stock!I177="","",Stock!I177)</f>
        <v/>
      </c>
      <c r="M181" s="13" t="str">
        <f>IF(Stock!J177="","",Stock!J177)</f>
        <v/>
      </c>
      <c r="N181" s="13" t="str">
        <f>IF(Stock!K177="","",Stock!K177)</f>
        <v/>
      </c>
      <c r="O181" s="13" t="str">
        <f>IF(Stock!L177="","",Stock!L177)</f>
        <v/>
      </c>
      <c r="P181" s="13" t="str">
        <f>IF(Stock!M177="","",Stock!M177)</f>
        <v/>
      </c>
      <c r="Q181" s="13" t="str">
        <f>IF(Stock!N177="","",Stock!N177)</f>
        <v/>
      </c>
      <c r="R181" s="13" t="str">
        <f>IF(Stock!O177="","",Stock!O177)</f>
        <v/>
      </c>
      <c r="S181" s="13" t="str">
        <f>IF(Stock!P177="","",Stock!P177)</f>
        <v/>
      </c>
      <c r="T181" s="13" t="str">
        <f>IF(Stock!Q177="","",Stock!Q177)</f>
        <v/>
      </c>
      <c r="U181" s="13" t="str">
        <f>IF(Stock!R177="","",Stock!R177)</f>
        <v/>
      </c>
      <c r="V181" s="13" t="str">
        <f>IF(Stock!S177="","",Stock!S177)</f>
        <v/>
      </c>
      <c r="W181" s="13" t="str">
        <f>IF(Stock!T177="","",Stock!T177)</f>
        <v/>
      </c>
      <c r="X181" s="13" t="str">
        <f>IF(Stock!U177="","",Stock!U177)</f>
        <v/>
      </c>
      <c r="Y181" s="13" t="str">
        <f>IF(Stock!V177="","",Stock!V177)</f>
        <v/>
      </c>
      <c r="Z181" s="13" t="str">
        <f>IF(Stock!W177="","",Stock!W177)</f>
        <v/>
      </c>
      <c r="AA181" s="13" t="str">
        <f>IF(Stock!X177="","",Stock!X177)</f>
        <v/>
      </c>
      <c r="AB181" s="13" t="str">
        <f>IF(Stock!Y177="","",Stock!Y177)</f>
        <v/>
      </c>
      <c r="AC181" s="13" t="str">
        <f>IF(Stock!Z177="","",Stock!Z177)</f>
        <v/>
      </c>
      <c r="AD181" s="13" t="str">
        <f>IF(Stock!AA177="","",Stock!AA177)</f>
        <v/>
      </c>
      <c r="AE181" s="13" t="str">
        <f>IF(Stock!AB177="","",Stock!AB177)</f>
        <v/>
      </c>
      <c r="AF181" s="13" t="str">
        <f>IF(Stock!AC177="","",Stock!AC177)</f>
        <v/>
      </c>
      <c r="AG181" s="13" t="str">
        <f>IF(Stock!AD177="","",Stock!AD177)</f>
        <v/>
      </c>
      <c r="AH181" s="13" t="str">
        <f>IF(Stock!AE177="","",Stock!AE177)</f>
        <v/>
      </c>
      <c r="AI181" s="13" t="str">
        <f>IF(Stock!AF177="","",Stock!AF177)</f>
        <v/>
      </c>
      <c r="AJ181" s="13" t="str">
        <f>IF(Stock!AG177="","",Stock!AG177)</f>
        <v/>
      </c>
      <c r="AK181" s="13" t="str">
        <f>IF(Stock!AH177="","",Stock!AH177)</f>
        <v/>
      </c>
      <c r="AL181" s="13" t="str">
        <f>IF(Stock!AI177="","",Stock!AI177)</f>
        <v/>
      </c>
      <c r="AM181" s="13" t="str">
        <f>IF(Stock!AJ177="","",Stock!AJ177)</f>
        <v/>
      </c>
      <c r="AN181" s="13" t="str">
        <f>IF(Stock!AK177="","",Stock!AK177)</f>
        <v/>
      </c>
      <c r="AO181" s="13" t="str">
        <f>IF(Stock!AL177="","",Stock!AL177)</f>
        <v/>
      </c>
      <c r="AP181" s="13" t="str">
        <f>IF(Stock!AM177="","",Stock!AM177)</f>
        <v/>
      </c>
      <c r="AQ181" s="13" t="str">
        <f>IF(Stock!AN177="","",Stock!AN177)</f>
        <v/>
      </c>
      <c r="AR181" s="13" t="str">
        <f>IF(Stock!AO177="","",Stock!AO177)</f>
        <v/>
      </c>
      <c r="AS181" s="13" t="str">
        <f>IF(Stock!AP177="","",Stock!AP177)</f>
        <v/>
      </c>
      <c r="AT181" s="13" t="str">
        <f>IF(Stock!AQ177="","",Stock!AQ177)</f>
        <v/>
      </c>
      <c r="AU181" s="13" t="str">
        <f>IF(Stock!AR177="","",Stock!AR177)</f>
        <v/>
      </c>
      <c r="AV181" s="13" t="str">
        <f>IF(Stock!AS177="","",Stock!AS177)</f>
        <v/>
      </c>
      <c r="AW181" s="13" t="str">
        <f>IF(Stock!AT177="","",Stock!AT177)</f>
        <v/>
      </c>
      <c r="AX181" s="13" t="str">
        <f>IF(Stock!AU177="","",Stock!AU177)</f>
        <v/>
      </c>
      <c r="AY181" s="13" t="str">
        <f>IF(Stock!AV177="","",Stock!AV177)</f>
        <v/>
      </c>
      <c r="AZ181" s="13" t="str">
        <f>IF(Stock!AW177="","",Stock!AW177)</f>
        <v/>
      </c>
      <c r="BA181" s="13" t="str">
        <f>IF(Stock!AX177="","",Stock!AX177)</f>
        <v/>
      </c>
      <c r="BB181" s="13" t="str">
        <f>IF(Stock!AY177="","",Stock!AY177)</f>
        <v/>
      </c>
      <c r="BC181" s="13" t="str">
        <f>IF(Stock!AZ177="","",Stock!AZ177)</f>
        <v/>
      </c>
      <c r="BD181" s="13" t="str">
        <f>IF(Stock!BA177="","",Stock!BA177)</f>
        <v/>
      </c>
      <c r="BE181" s="13" t="str">
        <f>IF(Stock!BB177="","",Stock!BB177)</f>
        <v/>
      </c>
      <c r="BF181" s="13" t="str">
        <f>IF(Stock!BC177="","",Stock!BC177)</f>
        <v/>
      </c>
    </row>
    <row r="182" spans="2:58" ht="14.25" customHeight="1" x14ac:dyDescent="0.3">
      <c r="B182" s="31"/>
      <c r="E182" s="13" t="str">
        <f>IF(Stock!B178="","",Stock!B178)</f>
        <v/>
      </c>
      <c r="F182" s="13" t="str">
        <f>IF(Stock!C178="","",Stock!C178)</f>
        <v/>
      </c>
      <c r="G182" s="13" t="str">
        <f>IF(Stock!D178="","",Stock!D178)</f>
        <v/>
      </c>
      <c r="H182" s="13" t="str">
        <f>IF(Stock!E178="","",Stock!E178)</f>
        <v/>
      </c>
      <c r="I182" s="13" t="str">
        <f>IF(Stock!F178="","",Stock!F178)</f>
        <v/>
      </c>
      <c r="J182" s="13" t="str">
        <f>IF(Stock!G178="","",Stock!G178)</f>
        <v/>
      </c>
      <c r="K182" s="13" t="str">
        <f>IF(Stock!H178="","",Stock!H178)</f>
        <v/>
      </c>
      <c r="L182" s="13" t="str">
        <f>IF(Stock!I178="","",Stock!I178)</f>
        <v/>
      </c>
      <c r="M182" s="13" t="str">
        <f>IF(Stock!J178="","",Stock!J178)</f>
        <v/>
      </c>
      <c r="N182" s="13" t="str">
        <f>IF(Stock!K178="","",Stock!K178)</f>
        <v/>
      </c>
      <c r="O182" s="13" t="str">
        <f>IF(Stock!L178="","",Stock!L178)</f>
        <v/>
      </c>
      <c r="P182" s="13" t="str">
        <f>IF(Stock!M178="","",Stock!M178)</f>
        <v/>
      </c>
      <c r="Q182" s="13" t="str">
        <f>IF(Stock!N178="","",Stock!N178)</f>
        <v/>
      </c>
      <c r="R182" s="13" t="str">
        <f>IF(Stock!O178="","",Stock!O178)</f>
        <v/>
      </c>
      <c r="S182" s="13" t="str">
        <f>IF(Stock!P178="","",Stock!P178)</f>
        <v/>
      </c>
      <c r="T182" s="13" t="str">
        <f>IF(Stock!Q178="","",Stock!Q178)</f>
        <v/>
      </c>
      <c r="U182" s="13" t="str">
        <f>IF(Stock!R178="","",Stock!R178)</f>
        <v/>
      </c>
      <c r="V182" s="13" t="str">
        <f>IF(Stock!S178="","",Stock!S178)</f>
        <v/>
      </c>
      <c r="W182" s="13" t="str">
        <f>IF(Stock!T178="","",Stock!T178)</f>
        <v/>
      </c>
      <c r="X182" s="13" t="str">
        <f>IF(Stock!U178="","",Stock!U178)</f>
        <v/>
      </c>
      <c r="Y182" s="13" t="str">
        <f>IF(Stock!V178="","",Stock!V178)</f>
        <v/>
      </c>
      <c r="Z182" s="13" t="str">
        <f>IF(Stock!W178="","",Stock!W178)</f>
        <v/>
      </c>
      <c r="AA182" s="13" t="str">
        <f>IF(Stock!X178="","",Stock!X178)</f>
        <v/>
      </c>
      <c r="AB182" s="13" t="str">
        <f>IF(Stock!Y178="","",Stock!Y178)</f>
        <v/>
      </c>
      <c r="AC182" s="13" t="str">
        <f>IF(Stock!Z178="","",Stock!Z178)</f>
        <v/>
      </c>
      <c r="AD182" s="13" t="str">
        <f>IF(Stock!AA178="","",Stock!AA178)</f>
        <v/>
      </c>
      <c r="AE182" s="13" t="str">
        <f>IF(Stock!AB178="","",Stock!AB178)</f>
        <v/>
      </c>
      <c r="AF182" s="13" t="str">
        <f>IF(Stock!AC178="","",Stock!AC178)</f>
        <v/>
      </c>
      <c r="AG182" s="13" t="str">
        <f>IF(Stock!AD178="","",Stock!AD178)</f>
        <v/>
      </c>
      <c r="AH182" s="13" t="str">
        <f>IF(Stock!AE178="","",Stock!AE178)</f>
        <v/>
      </c>
      <c r="AI182" s="13" t="str">
        <f>IF(Stock!AF178="","",Stock!AF178)</f>
        <v/>
      </c>
      <c r="AJ182" s="13" t="str">
        <f>IF(Stock!AG178="","",Stock!AG178)</f>
        <v/>
      </c>
      <c r="AK182" s="13" t="str">
        <f>IF(Stock!AH178="","",Stock!AH178)</f>
        <v/>
      </c>
      <c r="AL182" s="13" t="str">
        <f>IF(Stock!AI178="","",Stock!AI178)</f>
        <v/>
      </c>
      <c r="AM182" s="13" t="str">
        <f>IF(Stock!AJ178="","",Stock!AJ178)</f>
        <v/>
      </c>
      <c r="AN182" s="13" t="str">
        <f>IF(Stock!AK178="","",Stock!AK178)</f>
        <v/>
      </c>
      <c r="AO182" s="13" t="str">
        <f>IF(Stock!AL178="","",Stock!AL178)</f>
        <v/>
      </c>
      <c r="AP182" s="13" t="str">
        <f>IF(Stock!AM178="","",Stock!AM178)</f>
        <v/>
      </c>
      <c r="AQ182" s="13" t="str">
        <f>IF(Stock!AN178="","",Stock!AN178)</f>
        <v/>
      </c>
      <c r="AR182" s="13" t="str">
        <f>IF(Stock!AO178="","",Stock!AO178)</f>
        <v/>
      </c>
      <c r="AS182" s="13" t="str">
        <f>IF(Stock!AP178="","",Stock!AP178)</f>
        <v/>
      </c>
      <c r="AT182" s="13" t="str">
        <f>IF(Stock!AQ178="","",Stock!AQ178)</f>
        <v/>
      </c>
      <c r="AU182" s="13" t="str">
        <f>IF(Stock!AR178="","",Stock!AR178)</f>
        <v/>
      </c>
      <c r="AV182" s="13" t="str">
        <f>IF(Stock!AS178="","",Stock!AS178)</f>
        <v/>
      </c>
      <c r="AW182" s="13" t="str">
        <f>IF(Stock!AT178="","",Stock!AT178)</f>
        <v/>
      </c>
      <c r="AX182" s="13" t="str">
        <f>IF(Stock!AU178="","",Stock!AU178)</f>
        <v/>
      </c>
      <c r="AY182" s="13" t="str">
        <f>IF(Stock!AV178="","",Stock!AV178)</f>
        <v/>
      </c>
      <c r="AZ182" s="13" t="str">
        <f>IF(Stock!AW178="","",Stock!AW178)</f>
        <v/>
      </c>
      <c r="BA182" s="13" t="str">
        <f>IF(Stock!AX178="","",Stock!AX178)</f>
        <v/>
      </c>
      <c r="BB182" s="13" t="str">
        <f>IF(Stock!AY178="","",Stock!AY178)</f>
        <v/>
      </c>
      <c r="BC182" s="13" t="str">
        <f>IF(Stock!AZ178="","",Stock!AZ178)</f>
        <v/>
      </c>
      <c r="BD182" s="13" t="str">
        <f>IF(Stock!BA178="","",Stock!BA178)</f>
        <v/>
      </c>
      <c r="BE182" s="13" t="str">
        <f>IF(Stock!BB178="","",Stock!BB178)</f>
        <v/>
      </c>
      <c r="BF182" s="13" t="str">
        <f>IF(Stock!BC178="","",Stock!BC178)</f>
        <v/>
      </c>
    </row>
    <row r="183" spans="2:58" ht="14.25" customHeight="1" x14ac:dyDescent="0.3">
      <c r="B183" s="31"/>
      <c r="E183" s="13" t="str">
        <f>IF(Stock!B179="","",Stock!B179)</f>
        <v/>
      </c>
      <c r="F183" s="13" t="str">
        <f>IF(Stock!C179="","",Stock!C179)</f>
        <v/>
      </c>
      <c r="G183" s="13" t="str">
        <f>IF(Stock!D179="","",Stock!D179)</f>
        <v/>
      </c>
      <c r="H183" s="13" t="str">
        <f>IF(Stock!E179="","",Stock!E179)</f>
        <v/>
      </c>
      <c r="I183" s="13" t="str">
        <f>IF(Stock!F179="","",Stock!F179)</f>
        <v/>
      </c>
      <c r="J183" s="13" t="str">
        <f>IF(Stock!G179="","",Stock!G179)</f>
        <v/>
      </c>
      <c r="K183" s="13" t="str">
        <f>IF(Stock!H179="","",Stock!H179)</f>
        <v/>
      </c>
      <c r="L183" s="13" t="str">
        <f>IF(Stock!I179="","",Stock!I179)</f>
        <v/>
      </c>
      <c r="M183" s="13" t="str">
        <f>IF(Stock!J179="","",Stock!J179)</f>
        <v/>
      </c>
      <c r="N183" s="13" t="str">
        <f>IF(Stock!K179="","",Stock!K179)</f>
        <v/>
      </c>
      <c r="O183" s="13" t="str">
        <f>IF(Stock!L179="","",Stock!L179)</f>
        <v/>
      </c>
      <c r="P183" s="13" t="str">
        <f>IF(Stock!M179="","",Stock!M179)</f>
        <v/>
      </c>
      <c r="Q183" s="13" t="str">
        <f>IF(Stock!N179="","",Stock!N179)</f>
        <v/>
      </c>
      <c r="R183" s="13" t="str">
        <f>IF(Stock!O179="","",Stock!O179)</f>
        <v/>
      </c>
      <c r="S183" s="13" t="str">
        <f>IF(Stock!P179="","",Stock!P179)</f>
        <v/>
      </c>
      <c r="T183" s="13" t="str">
        <f>IF(Stock!Q179="","",Stock!Q179)</f>
        <v/>
      </c>
      <c r="U183" s="13" t="str">
        <f>IF(Stock!R179="","",Stock!R179)</f>
        <v/>
      </c>
      <c r="V183" s="13" t="str">
        <f>IF(Stock!S179="","",Stock!S179)</f>
        <v/>
      </c>
      <c r="W183" s="13" t="str">
        <f>IF(Stock!T179="","",Stock!T179)</f>
        <v/>
      </c>
      <c r="X183" s="13" t="str">
        <f>IF(Stock!U179="","",Stock!U179)</f>
        <v/>
      </c>
      <c r="Y183" s="13" t="str">
        <f>IF(Stock!V179="","",Stock!V179)</f>
        <v/>
      </c>
      <c r="Z183" s="13" t="str">
        <f>IF(Stock!W179="","",Stock!W179)</f>
        <v/>
      </c>
      <c r="AA183" s="13" t="str">
        <f>IF(Stock!X179="","",Stock!X179)</f>
        <v/>
      </c>
      <c r="AB183" s="13" t="str">
        <f>IF(Stock!Y179="","",Stock!Y179)</f>
        <v/>
      </c>
      <c r="AC183" s="13" t="str">
        <f>IF(Stock!Z179="","",Stock!Z179)</f>
        <v/>
      </c>
      <c r="AD183" s="13" t="str">
        <f>IF(Stock!AA179="","",Stock!AA179)</f>
        <v/>
      </c>
      <c r="AE183" s="13" t="str">
        <f>IF(Stock!AB179="","",Stock!AB179)</f>
        <v/>
      </c>
      <c r="AF183" s="13" t="str">
        <f>IF(Stock!AC179="","",Stock!AC179)</f>
        <v/>
      </c>
      <c r="AG183" s="13" t="str">
        <f>IF(Stock!AD179="","",Stock!AD179)</f>
        <v/>
      </c>
      <c r="AH183" s="13" t="str">
        <f>IF(Stock!AE179="","",Stock!AE179)</f>
        <v/>
      </c>
      <c r="AI183" s="13" t="str">
        <f>IF(Stock!AF179="","",Stock!AF179)</f>
        <v/>
      </c>
      <c r="AJ183" s="13" t="str">
        <f>IF(Stock!AG179="","",Stock!AG179)</f>
        <v/>
      </c>
      <c r="AK183" s="13" t="str">
        <f>IF(Stock!AH179="","",Stock!AH179)</f>
        <v/>
      </c>
      <c r="AL183" s="13" t="str">
        <f>IF(Stock!AI179="","",Stock!AI179)</f>
        <v/>
      </c>
      <c r="AM183" s="13" t="str">
        <f>IF(Stock!AJ179="","",Stock!AJ179)</f>
        <v/>
      </c>
      <c r="AN183" s="13" t="str">
        <f>IF(Stock!AK179="","",Stock!AK179)</f>
        <v/>
      </c>
      <c r="AO183" s="13" t="str">
        <f>IF(Stock!AL179="","",Stock!AL179)</f>
        <v/>
      </c>
      <c r="AP183" s="13" t="str">
        <f>IF(Stock!AM179="","",Stock!AM179)</f>
        <v/>
      </c>
      <c r="AQ183" s="13" t="str">
        <f>IF(Stock!AN179="","",Stock!AN179)</f>
        <v/>
      </c>
      <c r="AR183" s="13" t="str">
        <f>IF(Stock!AO179="","",Stock!AO179)</f>
        <v/>
      </c>
      <c r="AS183" s="13" t="str">
        <f>IF(Stock!AP179="","",Stock!AP179)</f>
        <v/>
      </c>
      <c r="AT183" s="13" t="str">
        <f>IF(Stock!AQ179="","",Stock!AQ179)</f>
        <v/>
      </c>
      <c r="AU183" s="13" t="str">
        <f>IF(Stock!AR179="","",Stock!AR179)</f>
        <v/>
      </c>
      <c r="AV183" s="13" t="str">
        <f>IF(Stock!AS179="","",Stock!AS179)</f>
        <v/>
      </c>
      <c r="AW183" s="13" t="str">
        <f>IF(Stock!AT179="","",Stock!AT179)</f>
        <v/>
      </c>
      <c r="AX183" s="13" t="str">
        <f>IF(Stock!AU179="","",Stock!AU179)</f>
        <v/>
      </c>
      <c r="AY183" s="13" t="str">
        <f>IF(Stock!AV179="","",Stock!AV179)</f>
        <v/>
      </c>
      <c r="AZ183" s="13" t="str">
        <f>IF(Stock!AW179="","",Stock!AW179)</f>
        <v/>
      </c>
      <c r="BA183" s="13" t="str">
        <f>IF(Stock!AX179="","",Stock!AX179)</f>
        <v/>
      </c>
      <c r="BB183" s="13" t="str">
        <f>IF(Stock!AY179="","",Stock!AY179)</f>
        <v/>
      </c>
      <c r="BC183" s="13" t="str">
        <f>IF(Stock!AZ179="","",Stock!AZ179)</f>
        <v/>
      </c>
      <c r="BD183" s="13" t="str">
        <f>IF(Stock!BA179="","",Stock!BA179)</f>
        <v/>
      </c>
      <c r="BE183" s="13" t="str">
        <f>IF(Stock!BB179="","",Stock!BB179)</f>
        <v/>
      </c>
      <c r="BF183" s="13" t="str">
        <f>IF(Stock!BC179="","",Stock!BC179)</f>
        <v/>
      </c>
    </row>
    <row r="184" spans="2:58" ht="14.25" customHeight="1" x14ac:dyDescent="0.3">
      <c r="B184" s="31"/>
      <c r="E184" s="13" t="str">
        <f>IF(Stock!B180="","",Stock!B180)</f>
        <v/>
      </c>
      <c r="F184" s="13" t="str">
        <f>IF(Stock!C180="","",Stock!C180)</f>
        <v/>
      </c>
      <c r="G184" s="13" t="str">
        <f>IF(Stock!D180="","",Stock!D180)</f>
        <v/>
      </c>
      <c r="H184" s="13" t="str">
        <f>IF(Stock!E180="","",Stock!E180)</f>
        <v/>
      </c>
      <c r="I184" s="13" t="str">
        <f>IF(Stock!F180="","",Stock!F180)</f>
        <v/>
      </c>
      <c r="J184" s="13" t="str">
        <f>IF(Stock!G180="","",Stock!G180)</f>
        <v/>
      </c>
      <c r="K184" s="13" t="str">
        <f>IF(Stock!H180="","",Stock!H180)</f>
        <v/>
      </c>
      <c r="L184" s="13" t="str">
        <f>IF(Stock!I180="","",Stock!I180)</f>
        <v/>
      </c>
      <c r="M184" s="13" t="str">
        <f>IF(Stock!J180="","",Stock!J180)</f>
        <v/>
      </c>
      <c r="N184" s="13" t="str">
        <f>IF(Stock!K180="","",Stock!K180)</f>
        <v/>
      </c>
      <c r="O184" s="13" t="str">
        <f>IF(Stock!L180="","",Stock!L180)</f>
        <v/>
      </c>
      <c r="P184" s="13" t="str">
        <f>IF(Stock!M180="","",Stock!M180)</f>
        <v/>
      </c>
      <c r="Q184" s="13" t="str">
        <f>IF(Stock!N180="","",Stock!N180)</f>
        <v/>
      </c>
      <c r="R184" s="13" t="str">
        <f>IF(Stock!O180="","",Stock!O180)</f>
        <v/>
      </c>
      <c r="S184" s="13" t="str">
        <f>IF(Stock!P180="","",Stock!P180)</f>
        <v/>
      </c>
      <c r="T184" s="13" t="str">
        <f>IF(Stock!Q180="","",Stock!Q180)</f>
        <v/>
      </c>
      <c r="U184" s="13" t="str">
        <f>IF(Stock!R180="","",Stock!R180)</f>
        <v/>
      </c>
      <c r="V184" s="13" t="str">
        <f>IF(Stock!S180="","",Stock!S180)</f>
        <v/>
      </c>
      <c r="W184" s="13" t="str">
        <f>IF(Stock!T180="","",Stock!T180)</f>
        <v/>
      </c>
      <c r="X184" s="13" t="str">
        <f>IF(Stock!U180="","",Stock!U180)</f>
        <v/>
      </c>
      <c r="Y184" s="13" t="str">
        <f>IF(Stock!V180="","",Stock!V180)</f>
        <v/>
      </c>
      <c r="Z184" s="13" t="str">
        <f>IF(Stock!W180="","",Stock!W180)</f>
        <v/>
      </c>
      <c r="AA184" s="13" t="str">
        <f>IF(Stock!X180="","",Stock!X180)</f>
        <v/>
      </c>
      <c r="AB184" s="13" t="str">
        <f>IF(Stock!Y180="","",Stock!Y180)</f>
        <v/>
      </c>
      <c r="AC184" s="13" t="str">
        <f>IF(Stock!Z180="","",Stock!Z180)</f>
        <v/>
      </c>
      <c r="AD184" s="13" t="str">
        <f>IF(Stock!AA180="","",Stock!AA180)</f>
        <v/>
      </c>
      <c r="AE184" s="13" t="str">
        <f>IF(Stock!AB180="","",Stock!AB180)</f>
        <v/>
      </c>
      <c r="AF184" s="13" t="str">
        <f>IF(Stock!AC180="","",Stock!AC180)</f>
        <v/>
      </c>
      <c r="AG184" s="13" t="str">
        <f>IF(Stock!AD180="","",Stock!AD180)</f>
        <v/>
      </c>
      <c r="AH184" s="13" t="str">
        <f>IF(Stock!AE180="","",Stock!AE180)</f>
        <v/>
      </c>
      <c r="AI184" s="13" t="str">
        <f>IF(Stock!AF180="","",Stock!AF180)</f>
        <v/>
      </c>
      <c r="AJ184" s="13" t="str">
        <f>IF(Stock!AG180="","",Stock!AG180)</f>
        <v/>
      </c>
      <c r="AK184" s="13" t="str">
        <f>IF(Stock!AH180="","",Stock!AH180)</f>
        <v/>
      </c>
      <c r="AL184" s="13" t="str">
        <f>IF(Stock!AI180="","",Stock!AI180)</f>
        <v/>
      </c>
      <c r="AM184" s="13" t="str">
        <f>IF(Stock!AJ180="","",Stock!AJ180)</f>
        <v/>
      </c>
      <c r="AN184" s="13" t="str">
        <f>IF(Stock!AK180="","",Stock!AK180)</f>
        <v/>
      </c>
      <c r="AO184" s="13" t="str">
        <f>IF(Stock!AL180="","",Stock!AL180)</f>
        <v/>
      </c>
      <c r="AP184" s="13" t="str">
        <f>IF(Stock!AM180="","",Stock!AM180)</f>
        <v/>
      </c>
      <c r="AQ184" s="13" t="str">
        <f>IF(Stock!AN180="","",Stock!AN180)</f>
        <v/>
      </c>
      <c r="AR184" s="13" t="str">
        <f>IF(Stock!AO180="","",Stock!AO180)</f>
        <v/>
      </c>
      <c r="AS184" s="13" t="str">
        <f>IF(Stock!AP180="","",Stock!AP180)</f>
        <v/>
      </c>
      <c r="AT184" s="13" t="str">
        <f>IF(Stock!AQ180="","",Stock!AQ180)</f>
        <v/>
      </c>
      <c r="AU184" s="13" t="str">
        <f>IF(Stock!AR180="","",Stock!AR180)</f>
        <v/>
      </c>
      <c r="AV184" s="13" t="str">
        <f>IF(Stock!AS180="","",Stock!AS180)</f>
        <v/>
      </c>
      <c r="AW184" s="13" t="str">
        <f>IF(Stock!AT180="","",Stock!AT180)</f>
        <v/>
      </c>
      <c r="AX184" s="13" t="str">
        <f>IF(Stock!AU180="","",Stock!AU180)</f>
        <v/>
      </c>
      <c r="AY184" s="13" t="str">
        <f>IF(Stock!AV180="","",Stock!AV180)</f>
        <v/>
      </c>
      <c r="AZ184" s="13" t="str">
        <f>IF(Stock!AW180="","",Stock!AW180)</f>
        <v/>
      </c>
      <c r="BA184" s="13" t="str">
        <f>IF(Stock!AX180="","",Stock!AX180)</f>
        <v/>
      </c>
      <c r="BB184" s="13" t="str">
        <f>IF(Stock!AY180="","",Stock!AY180)</f>
        <v/>
      </c>
      <c r="BC184" s="13" t="str">
        <f>IF(Stock!AZ180="","",Stock!AZ180)</f>
        <v/>
      </c>
      <c r="BD184" s="13" t="str">
        <f>IF(Stock!BA180="","",Stock!BA180)</f>
        <v/>
      </c>
      <c r="BE184" s="13" t="str">
        <f>IF(Stock!BB180="","",Stock!BB180)</f>
        <v/>
      </c>
      <c r="BF184" s="13" t="str">
        <f>IF(Stock!BC180="","",Stock!BC180)</f>
        <v/>
      </c>
    </row>
    <row r="185" spans="2:58" ht="14.25" customHeight="1" x14ac:dyDescent="0.3">
      <c r="B185" s="31"/>
      <c r="E185" s="13" t="str">
        <f>IF(Stock!B181="","",Stock!B181)</f>
        <v/>
      </c>
      <c r="F185" s="13" t="str">
        <f>IF(Stock!C181="","",Stock!C181)</f>
        <v/>
      </c>
      <c r="G185" s="13" t="str">
        <f>IF(Stock!D181="","",Stock!D181)</f>
        <v/>
      </c>
      <c r="H185" s="13" t="str">
        <f>IF(Stock!E181="","",Stock!E181)</f>
        <v/>
      </c>
      <c r="I185" s="13" t="str">
        <f>IF(Stock!F181="","",Stock!F181)</f>
        <v/>
      </c>
      <c r="J185" s="13" t="str">
        <f>IF(Stock!G181="","",Stock!G181)</f>
        <v/>
      </c>
      <c r="K185" s="13" t="str">
        <f>IF(Stock!H181="","",Stock!H181)</f>
        <v/>
      </c>
      <c r="L185" s="13" t="str">
        <f>IF(Stock!I181="","",Stock!I181)</f>
        <v/>
      </c>
      <c r="M185" s="13" t="str">
        <f>IF(Stock!J181="","",Stock!J181)</f>
        <v/>
      </c>
      <c r="N185" s="13" t="str">
        <f>IF(Stock!K181="","",Stock!K181)</f>
        <v/>
      </c>
      <c r="O185" s="13" t="str">
        <f>IF(Stock!L181="","",Stock!L181)</f>
        <v/>
      </c>
      <c r="P185" s="13" t="str">
        <f>IF(Stock!M181="","",Stock!M181)</f>
        <v/>
      </c>
      <c r="Q185" s="13" t="str">
        <f>IF(Stock!N181="","",Stock!N181)</f>
        <v/>
      </c>
      <c r="R185" s="13" t="str">
        <f>IF(Stock!O181="","",Stock!O181)</f>
        <v/>
      </c>
      <c r="S185" s="13" t="str">
        <f>IF(Stock!P181="","",Stock!P181)</f>
        <v/>
      </c>
      <c r="T185" s="13" t="str">
        <f>IF(Stock!Q181="","",Stock!Q181)</f>
        <v/>
      </c>
      <c r="U185" s="13" t="str">
        <f>IF(Stock!R181="","",Stock!R181)</f>
        <v/>
      </c>
      <c r="V185" s="13" t="str">
        <f>IF(Stock!S181="","",Stock!S181)</f>
        <v/>
      </c>
      <c r="W185" s="13" t="str">
        <f>IF(Stock!T181="","",Stock!T181)</f>
        <v/>
      </c>
      <c r="X185" s="13" t="str">
        <f>IF(Stock!U181="","",Stock!U181)</f>
        <v/>
      </c>
      <c r="Y185" s="13" t="str">
        <f>IF(Stock!V181="","",Stock!V181)</f>
        <v/>
      </c>
      <c r="Z185" s="13" t="str">
        <f>IF(Stock!W181="","",Stock!W181)</f>
        <v/>
      </c>
      <c r="AA185" s="13" t="str">
        <f>IF(Stock!X181="","",Stock!X181)</f>
        <v/>
      </c>
      <c r="AB185" s="13" t="str">
        <f>IF(Stock!Y181="","",Stock!Y181)</f>
        <v/>
      </c>
      <c r="AC185" s="13" t="str">
        <f>IF(Stock!Z181="","",Stock!Z181)</f>
        <v/>
      </c>
      <c r="AD185" s="13" t="str">
        <f>IF(Stock!AA181="","",Stock!AA181)</f>
        <v/>
      </c>
      <c r="AE185" s="13" t="str">
        <f>IF(Stock!AB181="","",Stock!AB181)</f>
        <v/>
      </c>
      <c r="AF185" s="13" t="str">
        <f>IF(Stock!AC181="","",Stock!AC181)</f>
        <v/>
      </c>
      <c r="AG185" s="13" t="str">
        <f>IF(Stock!AD181="","",Stock!AD181)</f>
        <v/>
      </c>
      <c r="AH185" s="13" t="str">
        <f>IF(Stock!AE181="","",Stock!AE181)</f>
        <v/>
      </c>
      <c r="AI185" s="13" t="str">
        <f>IF(Stock!AF181="","",Stock!AF181)</f>
        <v/>
      </c>
      <c r="AJ185" s="13" t="str">
        <f>IF(Stock!AG181="","",Stock!AG181)</f>
        <v/>
      </c>
      <c r="AK185" s="13" t="str">
        <f>IF(Stock!AH181="","",Stock!AH181)</f>
        <v/>
      </c>
      <c r="AL185" s="13" t="str">
        <f>IF(Stock!AI181="","",Stock!AI181)</f>
        <v/>
      </c>
      <c r="AM185" s="13" t="str">
        <f>IF(Stock!AJ181="","",Stock!AJ181)</f>
        <v/>
      </c>
      <c r="AN185" s="13" t="str">
        <f>IF(Stock!AK181="","",Stock!AK181)</f>
        <v/>
      </c>
      <c r="AO185" s="13" t="str">
        <f>IF(Stock!AL181="","",Stock!AL181)</f>
        <v/>
      </c>
      <c r="AP185" s="13" t="str">
        <f>IF(Stock!AM181="","",Stock!AM181)</f>
        <v/>
      </c>
      <c r="AQ185" s="13" t="str">
        <f>IF(Stock!AN181="","",Stock!AN181)</f>
        <v/>
      </c>
      <c r="AR185" s="13" t="str">
        <f>IF(Stock!AO181="","",Stock!AO181)</f>
        <v/>
      </c>
      <c r="AS185" s="13" t="str">
        <f>IF(Stock!AP181="","",Stock!AP181)</f>
        <v/>
      </c>
      <c r="AT185" s="13" t="str">
        <f>IF(Stock!AQ181="","",Stock!AQ181)</f>
        <v/>
      </c>
      <c r="AU185" s="13" t="str">
        <f>IF(Stock!AR181="","",Stock!AR181)</f>
        <v/>
      </c>
      <c r="AV185" s="13" t="str">
        <f>IF(Stock!AS181="","",Stock!AS181)</f>
        <v/>
      </c>
      <c r="AW185" s="13" t="str">
        <f>IF(Stock!AT181="","",Stock!AT181)</f>
        <v/>
      </c>
      <c r="AX185" s="13" t="str">
        <f>IF(Stock!AU181="","",Stock!AU181)</f>
        <v/>
      </c>
      <c r="AY185" s="13" t="str">
        <f>IF(Stock!AV181="","",Stock!AV181)</f>
        <v/>
      </c>
      <c r="AZ185" s="13" t="str">
        <f>IF(Stock!AW181="","",Stock!AW181)</f>
        <v/>
      </c>
      <c r="BA185" s="13" t="str">
        <f>IF(Stock!AX181="","",Stock!AX181)</f>
        <v/>
      </c>
      <c r="BB185" s="13" t="str">
        <f>IF(Stock!AY181="","",Stock!AY181)</f>
        <v/>
      </c>
      <c r="BC185" s="13" t="str">
        <f>IF(Stock!AZ181="","",Stock!AZ181)</f>
        <v/>
      </c>
      <c r="BD185" s="13" t="str">
        <f>IF(Stock!BA181="","",Stock!BA181)</f>
        <v/>
      </c>
      <c r="BE185" s="13" t="str">
        <f>IF(Stock!BB181="","",Stock!BB181)</f>
        <v/>
      </c>
      <c r="BF185" s="13" t="str">
        <f>IF(Stock!BC181="","",Stock!BC181)</f>
        <v/>
      </c>
    </row>
    <row r="186" spans="2:58" ht="14.25" customHeight="1" x14ac:dyDescent="0.3">
      <c r="B186" s="31"/>
      <c r="E186" s="13" t="str">
        <f>IF(Stock!B182="","",Stock!B182)</f>
        <v/>
      </c>
      <c r="F186" s="13" t="str">
        <f>IF(Stock!C182="","",Stock!C182)</f>
        <v/>
      </c>
      <c r="G186" s="13" t="str">
        <f>IF(Stock!D182="","",Stock!D182)</f>
        <v/>
      </c>
      <c r="H186" s="13" t="str">
        <f>IF(Stock!E182="","",Stock!E182)</f>
        <v/>
      </c>
      <c r="I186" s="13" t="str">
        <f>IF(Stock!F182="","",Stock!F182)</f>
        <v/>
      </c>
      <c r="J186" s="13" t="str">
        <f>IF(Stock!G182="","",Stock!G182)</f>
        <v/>
      </c>
      <c r="K186" s="13" t="str">
        <f>IF(Stock!H182="","",Stock!H182)</f>
        <v/>
      </c>
      <c r="L186" s="13" t="str">
        <f>IF(Stock!I182="","",Stock!I182)</f>
        <v/>
      </c>
      <c r="M186" s="13" t="str">
        <f>IF(Stock!J182="","",Stock!J182)</f>
        <v/>
      </c>
      <c r="N186" s="13" t="str">
        <f>IF(Stock!K182="","",Stock!K182)</f>
        <v/>
      </c>
      <c r="O186" s="13" t="str">
        <f>IF(Stock!L182="","",Stock!L182)</f>
        <v/>
      </c>
      <c r="P186" s="13" t="str">
        <f>IF(Stock!M182="","",Stock!M182)</f>
        <v/>
      </c>
      <c r="Q186" s="13" t="str">
        <f>IF(Stock!N182="","",Stock!N182)</f>
        <v/>
      </c>
      <c r="R186" s="13" t="str">
        <f>IF(Stock!O182="","",Stock!O182)</f>
        <v/>
      </c>
      <c r="S186" s="13" t="str">
        <f>IF(Stock!P182="","",Stock!P182)</f>
        <v/>
      </c>
      <c r="T186" s="13" t="str">
        <f>IF(Stock!Q182="","",Stock!Q182)</f>
        <v/>
      </c>
      <c r="U186" s="13" t="str">
        <f>IF(Stock!R182="","",Stock!R182)</f>
        <v/>
      </c>
      <c r="V186" s="13" t="str">
        <f>IF(Stock!S182="","",Stock!S182)</f>
        <v/>
      </c>
      <c r="W186" s="13" t="str">
        <f>IF(Stock!T182="","",Stock!T182)</f>
        <v/>
      </c>
      <c r="X186" s="13" t="str">
        <f>IF(Stock!U182="","",Stock!U182)</f>
        <v/>
      </c>
      <c r="Y186" s="13" t="str">
        <f>IF(Stock!V182="","",Stock!V182)</f>
        <v/>
      </c>
      <c r="Z186" s="13" t="str">
        <f>IF(Stock!W182="","",Stock!W182)</f>
        <v/>
      </c>
      <c r="AA186" s="13" t="str">
        <f>IF(Stock!X182="","",Stock!X182)</f>
        <v/>
      </c>
      <c r="AB186" s="13" t="str">
        <f>IF(Stock!Y182="","",Stock!Y182)</f>
        <v/>
      </c>
      <c r="AC186" s="13" t="str">
        <f>IF(Stock!Z182="","",Stock!Z182)</f>
        <v/>
      </c>
      <c r="AD186" s="13" t="str">
        <f>IF(Stock!AA182="","",Stock!AA182)</f>
        <v/>
      </c>
      <c r="AE186" s="13" t="str">
        <f>IF(Stock!AB182="","",Stock!AB182)</f>
        <v/>
      </c>
      <c r="AF186" s="13" t="str">
        <f>IF(Stock!AC182="","",Stock!AC182)</f>
        <v/>
      </c>
      <c r="AG186" s="13" t="str">
        <f>IF(Stock!AD182="","",Stock!AD182)</f>
        <v/>
      </c>
      <c r="AH186" s="13" t="str">
        <f>IF(Stock!AE182="","",Stock!AE182)</f>
        <v/>
      </c>
      <c r="AI186" s="13" t="str">
        <f>IF(Stock!AF182="","",Stock!AF182)</f>
        <v/>
      </c>
      <c r="AJ186" s="13" t="str">
        <f>IF(Stock!AG182="","",Stock!AG182)</f>
        <v/>
      </c>
      <c r="AK186" s="13" t="str">
        <f>IF(Stock!AH182="","",Stock!AH182)</f>
        <v/>
      </c>
      <c r="AL186" s="13" t="str">
        <f>IF(Stock!AI182="","",Stock!AI182)</f>
        <v/>
      </c>
      <c r="AM186" s="13" t="str">
        <f>IF(Stock!AJ182="","",Stock!AJ182)</f>
        <v/>
      </c>
      <c r="AN186" s="13" t="str">
        <f>IF(Stock!AK182="","",Stock!AK182)</f>
        <v/>
      </c>
      <c r="AO186" s="13" t="str">
        <f>IF(Stock!AL182="","",Stock!AL182)</f>
        <v/>
      </c>
      <c r="AP186" s="13" t="str">
        <f>IF(Stock!AM182="","",Stock!AM182)</f>
        <v/>
      </c>
      <c r="AQ186" s="13" t="str">
        <f>IF(Stock!AN182="","",Stock!AN182)</f>
        <v/>
      </c>
      <c r="AR186" s="13" t="str">
        <f>IF(Stock!AO182="","",Stock!AO182)</f>
        <v/>
      </c>
      <c r="AS186" s="13" t="str">
        <f>IF(Stock!AP182="","",Stock!AP182)</f>
        <v/>
      </c>
      <c r="AT186" s="13" t="str">
        <f>IF(Stock!AQ182="","",Stock!AQ182)</f>
        <v/>
      </c>
      <c r="AU186" s="13" t="str">
        <f>IF(Stock!AR182="","",Stock!AR182)</f>
        <v/>
      </c>
      <c r="AV186" s="13" t="str">
        <f>IF(Stock!AS182="","",Stock!AS182)</f>
        <v/>
      </c>
      <c r="AW186" s="13" t="str">
        <f>IF(Stock!AT182="","",Stock!AT182)</f>
        <v/>
      </c>
      <c r="AX186" s="13" t="str">
        <f>IF(Stock!AU182="","",Stock!AU182)</f>
        <v/>
      </c>
      <c r="AY186" s="13" t="str">
        <f>IF(Stock!AV182="","",Stock!AV182)</f>
        <v/>
      </c>
      <c r="AZ186" s="13" t="str">
        <f>IF(Stock!AW182="","",Stock!AW182)</f>
        <v/>
      </c>
      <c r="BA186" s="13" t="str">
        <f>IF(Stock!AX182="","",Stock!AX182)</f>
        <v/>
      </c>
      <c r="BB186" s="13" t="str">
        <f>IF(Stock!AY182="","",Stock!AY182)</f>
        <v/>
      </c>
      <c r="BC186" s="13" t="str">
        <f>IF(Stock!AZ182="","",Stock!AZ182)</f>
        <v/>
      </c>
      <c r="BD186" s="13" t="str">
        <f>IF(Stock!BA182="","",Stock!BA182)</f>
        <v/>
      </c>
      <c r="BE186" s="13" t="str">
        <f>IF(Stock!BB182="","",Stock!BB182)</f>
        <v/>
      </c>
      <c r="BF186" s="13" t="str">
        <f>IF(Stock!BC182="","",Stock!BC182)</f>
        <v/>
      </c>
    </row>
    <row r="187" spans="2:58" ht="14.25" customHeight="1" x14ac:dyDescent="0.3">
      <c r="B187" s="31"/>
      <c r="E187" s="13" t="str">
        <f>IF(Stock!B183="","",Stock!B183)</f>
        <v/>
      </c>
      <c r="F187" s="13" t="str">
        <f>IF(Stock!C183="","",Stock!C183)</f>
        <v/>
      </c>
      <c r="G187" s="13" t="str">
        <f>IF(Stock!D183="","",Stock!D183)</f>
        <v/>
      </c>
      <c r="H187" s="13" t="str">
        <f>IF(Stock!E183="","",Stock!E183)</f>
        <v/>
      </c>
      <c r="I187" s="13" t="str">
        <f>IF(Stock!F183="","",Stock!F183)</f>
        <v/>
      </c>
      <c r="J187" s="13" t="str">
        <f>IF(Stock!G183="","",Stock!G183)</f>
        <v/>
      </c>
      <c r="K187" s="13" t="str">
        <f>IF(Stock!H183="","",Stock!H183)</f>
        <v/>
      </c>
      <c r="L187" s="13" t="str">
        <f>IF(Stock!I183="","",Stock!I183)</f>
        <v/>
      </c>
      <c r="M187" s="13" t="str">
        <f>IF(Stock!J183="","",Stock!J183)</f>
        <v/>
      </c>
      <c r="N187" s="13" t="str">
        <f>IF(Stock!K183="","",Stock!K183)</f>
        <v/>
      </c>
      <c r="O187" s="13" t="str">
        <f>IF(Stock!L183="","",Stock!L183)</f>
        <v/>
      </c>
      <c r="P187" s="13" t="str">
        <f>IF(Stock!M183="","",Stock!M183)</f>
        <v/>
      </c>
      <c r="Q187" s="13" t="str">
        <f>IF(Stock!N183="","",Stock!N183)</f>
        <v/>
      </c>
      <c r="R187" s="13" t="str">
        <f>IF(Stock!O183="","",Stock!O183)</f>
        <v/>
      </c>
      <c r="S187" s="13" t="str">
        <f>IF(Stock!P183="","",Stock!P183)</f>
        <v/>
      </c>
      <c r="T187" s="13" t="str">
        <f>IF(Stock!Q183="","",Stock!Q183)</f>
        <v/>
      </c>
      <c r="U187" s="13" t="str">
        <f>IF(Stock!R183="","",Stock!R183)</f>
        <v/>
      </c>
      <c r="V187" s="13" t="str">
        <f>IF(Stock!S183="","",Stock!S183)</f>
        <v/>
      </c>
      <c r="W187" s="13" t="str">
        <f>IF(Stock!T183="","",Stock!T183)</f>
        <v/>
      </c>
      <c r="X187" s="13" t="str">
        <f>IF(Stock!U183="","",Stock!U183)</f>
        <v/>
      </c>
      <c r="Y187" s="13" t="str">
        <f>IF(Stock!V183="","",Stock!V183)</f>
        <v/>
      </c>
      <c r="Z187" s="13" t="str">
        <f>IF(Stock!W183="","",Stock!W183)</f>
        <v/>
      </c>
      <c r="AA187" s="13" t="str">
        <f>IF(Stock!X183="","",Stock!X183)</f>
        <v/>
      </c>
      <c r="AB187" s="13" t="str">
        <f>IF(Stock!Y183="","",Stock!Y183)</f>
        <v/>
      </c>
      <c r="AC187" s="13" t="str">
        <f>IF(Stock!Z183="","",Stock!Z183)</f>
        <v/>
      </c>
      <c r="AD187" s="13" t="str">
        <f>IF(Stock!AA183="","",Stock!AA183)</f>
        <v/>
      </c>
      <c r="AE187" s="13" t="str">
        <f>IF(Stock!AB183="","",Stock!AB183)</f>
        <v/>
      </c>
      <c r="AF187" s="13" t="str">
        <f>IF(Stock!AC183="","",Stock!AC183)</f>
        <v/>
      </c>
      <c r="AG187" s="13" t="str">
        <f>IF(Stock!AD183="","",Stock!AD183)</f>
        <v/>
      </c>
      <c r="AH187" s="13" t="str">
        <f>IF(Stock!AE183="","",Stock!AE183)</f>
        <v/>
      </c>
      <c r="AI187" s="13" t="str">
        <f>IF(Stock!AF183="","",Stock!AF183)</f>
        <v/>
      </c>
      <c r="AJ187" s="13" t="str">
        <f>IF(Stock!AG183="","",Stock!AG183)</f>
        <v/>
      </c>
      <c r="AK187" s="13" t="str">
        <f>IF(Stock!AH183="","",Stock!AH183)</f>
        <v/>
      </c>
      <c r="AL187" s="13" t="str">
        <f>IF(Stock!AI183="","",Stock!AI183)</f>
        <v/>
      </c>
      <c r="AM187" s="13" t="str">
        <f>IF(Stock!AJ183="","",Stock!AJ183)</f>
        <v/>
      </c>
      <c r="AN187" s="13" t="str">
        <f>IF(Stock!AK183="","",Stock!AK183)</f>
        <v/>
      </c>
      <c r="AO187" s="13" t="str">
        <f>IF(Stock!AL183="","",Stock!AL183)</f>
        <v/>
      </c>
      <c r="AP187" s="13" t="str">
        <f>IF(Stock!AM183="","",Stock!AM183)</f>
        <v/>
      </c>
      <c r="AQ187" s="13" t="str">
        <f>IF(Stock!AN183="","",Stock!AN183)</f>
        <v/>
      </c>
      <c r="AR187" s="13" t="str">
        <f>IF(Stock!AO183="","",Stock!AO183)</f>
        <v/>
      </c>
      <c r="AS187" s="13" t="str">
        <f>IF(Stock!AP183="","",Stock!AP183)</f>
        <v/>
      </c>
      <c r="AT187" s="13" t="str">
        <f>IF(Stock!AQ183="","",Stock!AQ183)</f>
        <v/>
      </c>
      <c r="AU187" s="13" t="str">
        <f>IF(Stock!AR183="","",Stock!AR183)</f>
        <v/>
      </c>
      <c r="AV187" s="13" t="str">
        <f>IF(Stock!AS183="","",Stock!AS183)</f>
        <v/>
      </c>
      <c r="AW187" s="13" t="str">
        <f>IF(Stock!AT183="","",Stock!AT183)</f>
        <v/>
      </c>
      <c r="AX187" s="13" t="str">
        <f>IF(Stock!AU183="","",Stock!AU183)</f>
        <v/>
      </c>
      <c r="AY187" s="13" t="str">
        <f>IF(Stock!AV183="","",Stock!AV183)</f>
        <v/>
      </c>
      <c r="AZ187" s="13" t="str">
        <f>IF(Stock!AW183="","",Stock!AW183)</f>
        <v/>
      </c>
      <c r="BA187" s="13" t="str">
        <f>IF(Stock!AX183="","",Stock!AX183)</f>
        <v/>
      </c>
      <c r="BB187" s="13" t="str">
        <f>IF(Stock!AY183="","",Stock!AY183)</f>
        <v/>
      </c>
      <c r="BC187" s="13" t="str">
        <f>IF(Stock!AZ183="","",Stock!AZ183)</f>
        <v/>
      </c>
      <c r="BD187" s="13" t="str">
        <f>IF(Stock!BA183="","",Stock!BA183)</f>
        <v/>
      </c>
      <c r="BE187" s="13" t="str">
        <f>IF(Stock!BB183="","",Stock!BB183)</f>
        <v/>
      </c>
      <c r="BF187" s="13" t="str">
        <f>IF(Stock!BC183="","",Stock!BC183)</f>
        <v/>
      </c>
    </row>
    <row r="188" spans="2:58" ht="14.25" customHeight="1" x14ac:dyDescent="0.3">
      <c r="B188" s="31"/>
      <c r="E188" s="13" t="str">
        <f>IF(Stock!B184="","",Stock!B184)</f>
        <v/>
      </c>
      <c r="F188" s="13" t="str">
        <f>IF(Stock!C184="","",Stock!C184)</f>
        <v/>
      </c>
      <c r="G188" s="13" t="str">
        <f>IF(Stock!D184="","",Stock!D184)</f>
        <v/>
      </c>
      <c r="H188" s="13" t="str">
        <f>IF(Stock!E184="","",Stock!E184)</f>
        <v/>
      </c>
      <c r="I188" s="13" t="str">
        <f>IF(Stock!F184="","",Stock!F184)</f>
        <v/>
      </c>
      <c r="J188" s="13" t="str">
        <f>IF(Stock!G184="","",Stock!G184)</f>
        <v/>
      </c>
      <c r="K188" s="13" t="str">
        <f>IF(Stock!H184="","",Stock!H184)</f>
        <v/>
      </c>
      <c r="L188" s="13" t="str">
        <f>IF(Stock!I184="","",Stock!I184)</f>
        <v/>
      </c>
      <c r="M188" s="13" t="str">
        <f>IF(Stock!J184="","",Stock!J184)</f>
        <v/>
      </c>
      <c r="N188" s="13" t="str">
        <f>IF(Stock!K184="","",Stock!K184)</f>
        <v/>
      </c>
      <c r="O188" s="13" t="str">
        <f>IF(Stock!L184="","",Stock!L184)</f>
        <v/>
      </c>
      <c r="P188" s="13" t="str">
        <f>IF(Stock!M184="","",Stock!M184)</f>
        <v/>
      </c>
      <c r="Q188" s="13" t="str">
        <f>IF(Stock!N184="","",Stock!N184)</f>
        <v/>
      </c>
      <c r="R188" s="13" t="str">
        <f>IF(Stock!O184="","",Stock!O184)</f>
        <v/>
      </c>
      <c r="S188" s="13" t="str">
        <f>IF(Stock!P184="","",Stock!P184)</f>
        <v/>
      </c>
      <c r="T188" s="13" t="str">
        <f>IF(Stock!Q184="","",Stock!Q184)</f>
        <v/>
      </c>
      <c r="U188" s="13" t="str">
        <f>IF(Stock!R184="","",Stock!R184)</f>
        <v/>
      </c>
      <c r="V188" s="13" t="str">
        <f>IF(Stock!S184="","",Stock!S184)</f>
        <v/>
      </c>
      <c r="W188" s="13" t="str">
        <f>IF(Stock!T184="","",Stock!T184)</f>
        <v/>
      </c>
      <c r="X188" s="13" t="str">
        <f>IF(Stock!U184="","",Stock!U184)</f>
        <v/>
      </c>
      <c r="Y188" s="13" t="str">
        <f>IF(Stock!V184="","",Stock!V184)</f>
        <v/>
      </c>
      <c r="Z188" s="13" t="str">
        <f>IF(Stock!W184="","",Stock!W184)</f>
        <v/>
      </c>
      <c r="AA188" s="13" t="str">
        <f>IF(Stock!X184="","",Stock!X184)</f>
        <v/>
      </c>
      <c r="AB188" s="13" t="str">
        <f>IF(Stock!Y184="","",Stock!Y184)</f>
        <v/>
      </c>
      <c r="AC188" s="13" t="str">
        <f>IF(Stock!Z184="","",Stock!Z184)</f>
        <v/>
      </c>
      <c r="AD188" s="13" t="str">
        <f>IF(Stock!AA184="","",Stock!AA184)</f>
        <v/>
      </c>
      <c r="AE188" s="13" t="str">
        <f>IF(Stock!AB184="","",Stock!AB184)</f>
        <v/>
      </c>
      <c r="AF188" s="13" t="str">
        <f>IF(Stock!AC184="","",Stock!AC184)</f>
        <v/>
      </c>
      <c r="AG188" s="13" t="str">
        <f>IF(Stock!AD184="","",Stock!AD184)</f>
        <v/>
      </c>
      <c r="AH188" s="13" t="str">
        <f>IF(Stock!AE184="","",Stock!AE184)</f>
        <v/>
      </c>
      <c r="AI188" s="13" t="str">
        <f>IF(Stock!AF184="","",Stock!AF184)</f>
        <v/>
      </c>
      <c r="AJ188" s="13" t="str">
        <f>IF(Stock!AG184="","",Stock!AG184)</f>
        <v/>
      </c>
      <c r="AK188" s="13" t="str">
        <f>IF(Stock!AH184="","",Stock!AH184)</f>
        <v/>
      </c>
      <c r="AL188" s="13" t="str">
        <f>IF(Stock!AI184="","",Stock!AI184)</f>
        <v/>
      </c>
      <c r="AM188" s="13" t="str">
        <f>IF(Stock!AJ184="","",Stock!AJ184)</f>
        <v/>
      </c>
      <c r="AN188" s="13" t="str">
        <f>IF(Stock!AK184="","",Stock!AK184)</f>
        <v/>
      </c>
      <c r="AO188" s="13" t="str">
        <f>IF(Stock!AL184="","",Stock!AL184)</f>
        <v/>
      </c>
      <c r="AP188" s="13" t="str">
        <f>IF(Stock!AM184="","",Stock!AM184)</f>
        <v/>
      </c>
      <c r="AQ188" s="13" t="str">
        <f>IF(Stock!AN184="","",Stock!AN184)</f>
        <v/>
      </c>
      <c r="AR188" s="13" t="str">
        <f>IF(Stock!AO184="","",Stock!AO184)</f>
        <v/>
      </c>
      <c r="AS188" s="13" t="str">
        <f>IF(Stock!AP184="","",Stock!AP184)</f>
        <v/>
      </c>
      <c r="AT188" s="13" t="str">
        <f>IF(Stock!AQ184="","",Stock!AQ184)</f>
        <v/>
      </c>
      <c r="AU188" s="13" t="str">
        <f>IF(Stock!AR184="","",Stock!AR184)</f>
        <v/>
      </c>
      <c r="AV188" s="13" t="str">
        <f>IF(Stock!AS184="","",Stock!AS184)</f>
        <v/>
      </c>
      <c r="AW188" s="13" t="str">
        <f>IF(Stock!AT184="","",Stock!AT184)</f>
        <v/>
      </c>
      <c r="AX188" s="13" t="str">
        <f>IF(Stock!AU184="","",Stock!AU184)</f>
        <v/>
      </c>
      <c r="AY188" s="13" t="str">
        <f>IF(Stock!AV184="","",Stock!AV184)</f>
        <v/>
      </c>
      <c r="AZ188" s="13" t="str">
        <f>IF(Stock!AW184="","",Stock!AW184)</f>
        <v/>
      </c>
      <c r="BA188" s="13" t="str">
        <f>IF(Stock!AX184="","",Stock!AX184)</f>
        <v/>
      </c>
      <c r="BB188" s="13" t="str">
        <f>IF(Stock!AY184="","",Stock!AY184)</f>
        <v/>
      </c>
      <c r="BC188" s="13" t="str">
        <f>IF(Stock!AZ184="","",Stock!AZ184)</f>
        <v/>
      </c>
      <c r="BD188" s="13" t="str">
        <f>IF(Stock!BA184="","",Stock!BA184)</f>
        <v/>
      </c>
      <c r="BE188" s="13" t="str">
        <f>IF(Stock!BB184="","",Stock!BB184)</f>
        <v/>
      </c>
      <c r="BF188" s="13" t="str">
        <f>IF(Stock!BC184="","",Stock!BC184)</f>
        <v/>
      </c>
    </row>
    <row r="189" spans="2:58" ht="14.25" customHeight="1" x14ac:dyDescent="0.3">
      <c r="B189" s="31"/>
      <c r="E189" s="13" t="str">
        <f>IF(Stock!B185="","",Stock!B185)</f>
        <v/>
      </c>
      <c r="F189" s="13" t="str">
        <f>IF(Stock!C185="","",Stock!C185)</f>
        <v/>
      </c>
      <c r="G189" s="13" t="str">
        <f>IF(Stock!D185="","",Stock!D185)</f>
        <v/>
      </c>
      <c r="H189" s="13" t="str">
        <f>IF(Stock!E185="","",Stock!E185)</f>
        <v/>
      </c>
      <c r="I189" s="13" t="str">
        <f>IF(Stock!F185="","",Stock!F185)</f>
        <v/>
      </c>
      <c r="J189" s="13" t="str">
        <f>IF(Stock!G185="","",Stock!G185)</f>
        <v/>
      </c>
      <c r="K189" s="13" t="str">
        <f>IF(Stock!H185="","",Stock!H185)</f>
        <v/>
      </c>
      <c r="L189" s="13" t="str">
        <f>IF(Stock!I185="","",Stock!I185)</f>
        <v/>
      </c>
      <c r="M189" s="13" t="str">
        <f>IF(Stock!J185="","",Stock!J185)</f>
        <v/>
      </c>
      <c r="N189" s="13" t="str">
        <f>IF(Stock!K185="","",Stock!K185)</f>
        <v/>
      </c>
      <c r="O189" s="13" t="str">
        <f>IF(Stock!L185="","",Stock!L185)</f>
        <v/>
      </c>
      <c r="P189" s="13" t="str">
        <f>IF(Stock!M185="","",Stock!M185)</f>
        <v/>
      </c>
      <c r="Q189" s="13" t="str">
        <f>IF(Stock!N185="","",Stock!N185)</f>
        <v/>
      </c>
      <c r="R189" s="13" t="str">
        <f>IF(Stock!O185="","",Stock!O185)</f>
        <v/>
      </c>
      <c r="S189" s="13" t="str">
        <f>IF(Stock!P185="","",Stock!P185)</f>
        <v/>
      </c>
      <c r="T189" s="13" t="str">
        <f>IF(Stock!Q185="","",Stock!Q185)</f>
        <v/>
      </c>
      <c r="U189" s="13" t="str">
        <f>IF(Stock!R185="","",Stock!R185)</f>
        <v/>
      </c>
      <c r="V189" s="13" t="str">
        <f>IF(Stock!S185="","",Stock!S185)</f>
        <v/>
      </c>
      <c r="W189" s="13" t="str">
        <f>IF(Stock!T185="","",Stock!T185)</f>
        <v/>
      </c>
      <c r="X189" s="13" t="str">
        <f>IF(Stock!U185="","",Stock!U185)</f>
        <v/>
      </c>
      <c r="Y189" s="13" t="str">
        <f>IF(Stock!V185="","",Stock!V185)</f>
        <v/>
      </c>
      <c r="Z189" s="13" t="str">
        <f>IF(Stock!W185="","",Stock!W185)</f>
        <v/>
      </c>
      <c r="AA189" s="13" t="str">
        <f>IF(Stock!X185="","",Stock!X185)</f>
        <v/>
      </c>
      <c r="AB189" s="13" t="str">
        <f>IF(Stock!Y185="","",Stock!Y185)</f>
        <v/>
      </c>
      <c r="AC189" s="13" t="str">
        <f>IF(Stock!Z185="","",Stock!Z185)</f>
        <v/>
      </c>
      <c r="AD189" s="13" t="str">
        <f>IF(Stock!AA185="","",Stock!AA185)</f>
        <v/>
      </c>
      <c r="AE189" s="13" t="str">
        <f>IF(Stock!AB185="","",Stock!AB185)</f>
        <v/>
      </c>
      <c r="AF189" s="13" t="str">
        <f>IF(Stock!AC185="","",Stock!AC185)</f>
        <v/>
      </c>
      <c r="AG189" s="13" t="str">
        <f>IF(Stock!AD185="","",Stock!AD185)</f>
        <v/>
      </c>
      <c r="AH189" s="13" t="str">
        <f>IF(Stock!AE185="","",Stock!AE185)</f>
        <v/>
      </c>
      <c r="AI189" s="13" t="str">
        <f>IF(Stock!AF185="","",Stock!AF185)</f>
        <v/>
      </c>
      <c r="AJ189" s="13" t="str">
        <f>IF(Stock!AG185="","",Stock!AG185)</f>
        <v/>
      </c>
      <c r="AK189" s="13" t="str">
        <f>IF(Stock!AH185="","",Stock!AH185)</f>
        <v/>
      </c>
      <c r="AL189" s="13" t="str">
        <f>IF(Stock!AI185="","",Stock!AI185)</f>
        <v/>
      </c>
      <c r="AM189" s="13" t="str">
        <f>IF(Stock!AJ185="","",Stock!AJ185)</f>
        <v/>
      </c>
      <c r="AN189" s="13" t="str">
        <f>IF(Stock!AK185="","",Stock!AK185)</f>
        <v/>
      </c>
      <c r="AO189" s="13" t="str">
        <f>IF(Stock!AL185="","",Stock!AL185)</f>
        <v/>
      </c>
      <c r="AP189" s="13" t="str">
        <f>IF(Stock!AM185="","",Stock!AM185)</f>
        <v/>
      </c>
      <c r="AQ189" s="13" t="str">
        <f>IF(Stock!AN185="","",Stock!AN185)</f>
        <v/>
      </c>
      <c r="AR189" s="13" t="str">
        <f>IF(Stock!AO185="","",Stock!AO185)</f>
        <v/>
      </c>
      <c r="AS189" s="13" t="str">
        <f>IF(Stock!AP185="","",Stock!AP185)</f>
        <v/>
      </c>
      <c r="AT189" s="13" t="str">
        <f>IF(Stock!AQ185="","",Stock!AQ185)</f>
        <v/>
      </c>
      <c r="AU189" s="13" t="str">
        <f>IF(Stock!AR185="","",Stock!AR185)</f>
        <v/>
      </c>
      <c r="AV189" s="13" t="str">
        <f>IF(Stock!AS185="","",Stock!AS185)</f>
        <v/>
      </c>
      <c r="AW189" s="13" t="str">
        <f>IF(Stock!AT185="","",Stock!AT185)</f>
        <v/>
      </c>
      <c r="AX189" s="13" t="str">
        <f>IF(Stock!AU185="","",Stock!AU185)</f>
        <v/>
      </c>
      <c r="AY189" s="13" t="str">
        <f>IF(Stock!AV185="","",Stock!AV185)</f>
        <v/>
      </c>
      <c r="AZ189" s="13" t="str">
        <f>IF(Stock!AW185="","",Stock!AW185)</f>
        <v/>
      </c>
      <c r="BA189" s="13" t="str">
        <f>IF(Stock!AX185="","",Stock!AX185)</f>
        <v/>
      </c>
      <c r="BB189" s="13" t="str">
        <f>IF(Stock!AY185="","",Stock!AY185)</f>
        <v/>
      </c>
      <c r="BC189" s="13" t="str">
        <f>IF(Stock!AZ185="","",Stock!AZ185)</f>
        <v/>
      </c>
      <c r="BD189" s="13" t="str">
        <f>IF(Stock!BA185="","",Stock!BA185)</f>
        <v/>
      </c>
      <c r="BE189" s="13" t="str">
        <f>IF(Stock!BB185="","",Stock!BB185)</f>
        <v/>
      </c>
      <c r="BF189" s="13" t="str">
        <f>IF(Stock!BC185="","",Stock!BC185)</f>
        <v/>
      </c>
    </row>
    <row r="190" spans="2:58" ht="14.25" customHeight="1" x14ac:dyDescent="0.3">
      <c r="B190" s="31"/>
      <c r="E190" s="13" t="str">
        <f>IF(Stock!B186="","",Stock!B186)</f>
        <v/>
      </c>
      <c r="F190" s="13" t="str">
        <f>IF(Stock!C186="","",Stock!C186)</f>
        <v/>
      </c>
      <c r="G190" s="13" t="str">
        <f>IF(Stock!D186="","",Stock!D186)</f>
        <v/>
      </c>
      <c r="H190" s="13" t="str">
        <f>IF(Stock!E186="","",Stock!E186)</f>
        <v/>
      </c>
      <c r="I190" s="13" t="str">
        <f>IF(Stock!F186="","",Stock!F186)</f>
        <v/>
      </c>
      <c r="J190" s="13" t="str">
        <f>IF(Stock!G186="","",Stock!G186)</f>
        <v/>
      </c>
      <c r="K190" s="13" t="str">
        <f>IF(Stock!H186="","",Stock!H186)</f>
        <v/>
      </c>
      <c r="L190" s="13" t="str">
        <f>IF(Stock!I186="","",Stock!I186)</f>
        <v/>
      </c>
      <c r="M190" s="13" t="str">
        <f>IF(Stock!J186="","",Stock!J186)</f>
        <v/>
      </c>
      <c r="N190" s="13" t="str">
        <f>IF(Stock!K186="","",Stock!K186)</f>
        <v/>
      </c>
      <c r="O190" s="13" t="str">
        <f>IF(Stock!L186="","",Stock!L186)</f>
        <v/>
      </c>
      <c r="P190" s="13" t="str">
        <f>IF(Stock!M186="","",Stock!M186)</f>
        <v/>
      </c>
      <c r="Q190" s="13" t="str">
        <f>IF(Stock!N186="","",Stock!N186)</f>
        <v/>
      </c>
      <c r="R190" s="13" t="str">
        <f>IF(Stock!O186="","",Stock!O186)</f>
        <v/>
      </c>
      <c r="S190" s="13" t="str">
        <f>IF(Stock!P186="","",Stock!P186)</f>
        <v/>
      </c>
      <c r="T190" s="13" t="str">
        <f>IF(Stock!Q186="","",Stock!Q186)</f>
        <v/>
      </c>
      <c r="U190" s="13" t="str">
        <f>IF(Stock!R186="","",Stock!R186)</f>
        <v/>
      </c>
      <c r="V190" s="13" t="str">
        <f>IF(Stock!S186="","",Stock!S186)</f>
        <v/>
      </c>
      <c r="W190" s="13" t="str">
        <f>IF(Stock!T186="","",Stock!T186)</f>
        <v/>
      </c>
      <c r="X190" s="13" t="str">
        <f>IF(Stock!U186="","",Stock!U186)</f>
        <v/>
      </c>
      <c r="Y190" s="13" t="str">
        <f>IF(Stock!V186="","",Stock!V186)</f>
        <v/>
      </c>
      <c r="Z190" s="13" t="str">
        <f>IF(Stock!W186="","",Stock!W186)</f>
        <v/>
      </c>
      <c r="AA190" s="13" t="str">
        <f>IF(Stock!X186="","",Stock!X186)</f>
        <v/>
      </c>
      <c r="AB190" s="13" t="str">
        <f>IF(Stock!Y186="","",Stock!Y186)</f>
        <v/>
      </c>
      <c r="AC190" s="13" t="str">
        <f>IF(Stock!Z186="","",Stock!Z186)</f>
        <v/>
      </c>
      <c r="AD190" s="13" t="str">
        <f>IF(Stock!AA186="","",Stock!AA186)</f>
        <v/>
      </c>
      <c r="AE190" s="13" t="str">
        <f>IF(Stock!AB186="","",Stock!AB186)</f>
        <v/>
      </c>
      <c r="AF190" s="13" t="str">
        <f>IF(Stock!AC186="","",Stock!AC186)</f>
        <v/>
      </c>
      <c r="AG190" s="13" t="str">
        <f>IF(Stock!AD186="","",Stock!AD186)</f>
        <v/>
      </c>
      <c r="AH190" s="13" t="str">
        <f>IF(Stock!AE186="","",Stock!AE186)</f>
        <v/>
      </c>
      <c r="AI190" s="13" t="str">
        <f>IF(Stock!AF186="","",Stock!AF186)</f>
        <v/>
      </c>
      <c r="AJ190" s="13" t="str">
        <f>IF(Stock!AG186="","",Stock!AG186)</f>
        <v/>
      </c>
      <c r="AK190" s="13" t="str">
        <f>IF(Stock!AH186="","",Stock!AH186)</f>
        <v/>
      </c>
      <c r="AL190" s="13" t="str">
        <f>IF(Stock!AI186="","",Stock!AI186)</f>
        <v/>
      </c>
      <c r="AM190" s="13" t="str">
        <f>IF(Stock!AJ186="","",Stock!AJ186)</f>
        <v/>
      </c>
      <c r="AN190" s="13" t="str">
        <f>IF(Stock!AK186="","",Stock!AK186)</f>
        <v/>
      </c>
      <c r="AO190" s="13" t="str">
        <f>IF(Stock!AL186="","",Stock!AL186)</f>
        <v/>
      </c>
      <c r="AP190" s="13" t="str">
        <f>IF(Stock!AM186="","",Stock!AM186)</f>
        <v/>
      </c>
      <c r="AQ190" s="13" t="str">
        <f>IF(Stock!AN186="","",Stock!AN186)</f>
        <v/>
      </c>
      <c r="AR190" s="13" t="str">
        <f>IF(Stock!AO186="","",Stock!AO186)</f>
        <v/>
      </c>
      <c r="AS190" s="13" t="str">
        <f>IF(Stock!AP186="","",Stock!AP186)</f>
        <v/>
      </c>
      <c r="AT190" s="13" t="str">
        <f>IF(Stock!AQ186="","",Stock!AQ186)</f>
        <v/>
      </c>
      <c r="AU190" s="13" t="str">
        <f>IF(Stock!AR186="","",Stock!AR186)</f>
        <v/>
      </c>
      <c r="AV190" s="13" t="str">
        <f>IF(Stock!AS186="","",Stock!AS186)</f>
        <v/>
      </c>
      <c r="AW190" s="13" t="str">
        <f>IF(Stock!AT186="","",Stock!AT186)</f>
        <v/>
      </c>
      <c r="AX190" s="13" t="str">
        <f>IF(Stock!AU186="","",Stock!AU186)</f>
        <v/>
      </c>
      <c r="AY190" s="13" t="str">
        <f>IF(Stock!AV186="","",Stock!AV186)</f>
        <v/>
      </c>
      <c r="AZ190" s="13" t="str">
        <f>IF(Stock!AW186="","",Stock!AW186)</f>
        <v/>
      </c>
      <c r="BA190" s="13" t="str">
        <f>IF(Stock!AX186="","",Stock!AX186)</f>
        <v/>
      </c>
      <c r="BB190" s="13" t="str">
        <f>IF(Stock!AY186="","",Stock!AY186)</f>
        <v/>
      </c>
      <c r="BC190" s="13" t="str">
        <f>IF(Stock!AZ186="","",Stock!AZ186)</f>
        <v/>
      </c>
      <c r="BD190" s="13" t="str">
        <f>IF(Stock!BA186="","",Stock!BA186)</f>
        <v/>
      </c>
      <c r="BE190" s="13" t="str">
        <f>IF(Stock!BB186="","",Stock!BB186)</f>
        <v/>
      </c>
      <c r="BF190" s="13" t="str">
        <f>IF(Stock!BC186="","",Stock!BC186)</f>
        <v/>
      </c>
    </row>
    <row r="191" spans="2:58" ht="14.25" customHeight="1" x14ac:dyDescent="0.3">
      <c r="B191" s="31"/>
      <c r="E191" s="13" t="str">
        <f>IF(Stock!B187="","",Stock!B187)</f>
        <v/>
      </c>
      <c r="F191" s="13" t="str">
        <f>IF(Stock!C187="","",Stock!C187)</f>
        <v/>
      </c>
      <c r="G191" s="13" t="str">
        <f>IF(Stock!D187="","",Stock!D187)</f>
        <v/>
      </c>
      <c r="H191" s="13" t="str">
        <f>IF(Stock!E187="","",Stock!E187)</f>
        <v/>
      </c>
      <c r="I191" s="13" t="str">
        <f>IF(Stock!F187="","",Stock!F187)</f>
        <v/>
      </c>
      <c r="J191" s="13" t="str">
        <f>IF(Stock!G187="","",Stock!G187)</f>
        <v/>
      </c>
      <c r="K191" s="13" t="str">
        <f>IF(Stock!H187="","",Stock!H187)</f>
        <v/>
      </c>
      <c r="L191" s="13" t="str">
        <f>IF(Stock!I187="","",Stock!I187)</f>
        <v/>
      </c>
      <c r="M191" s="13" t="str">
        <f>IF(Stock!J187="","",Stock!J187)</f>
        <v/>
      </c>
      <c r="N191" s="13" t="str">
        <f>IF(Stock!K187="","",Stock!K187)</f>
        <v/>
      </c>
      <c r="O191" s="13" t="str">
        <f>IF(Stock!L187="","",Stock!L187)</f>
        <v/>
      </c>
      <c r="P191" s="13" t="str">
        <f>IF(Stock!M187="","",Stock!M187)</f>
        <v/>
      </c>
      <c r="Q191" s="13" t="str">
        <f>IF(Stock!N187="","",Stock!N187)</f>
        <v/>
      </c>
      <c r="R191" s="13" t="str">
        <f>IF(Stock!O187="","",Stock!O187)</f>
        <v/>
      </c>
      <c r="S191" s="13" t="str">
        <f>IF(Stock!P187="","",Stock!P187)</f>
        <v/>
      </c>
      <c r="T191" s="13" t="str">
        <f>IF(Stock!Q187="","",Stock!Q187)</f>
        <v/>
      </c>
      <c r="U191" s="13" t="str">
        <f>IF(Stock!R187="","",Stock!R187)</f>
        <v/>
      </c>
      <c r="V191" s="13" t="str">
        <f>IF(Stock!S187="","",Stock!S187)</f>
        <v/>
      </c>
      <c r="W191" s="13" t="str">
        <f>IF(Stock!T187="","",Stock!T187)</f>
        <v/>
      </c>
      <c r="X191" s="13" t="str">
        <f>IF(Stock!U187="","",Stock!U187)</f>
        <v/>
      </c>
      <c r="Y191" s="13" t="str">
        <f>IF(Stock!V187="","",Stock!V187)</f>
        <v/>
      </c>
      <c r="Z191" s="13" t="str">
        <f>IF(Stock!W187="","",Stock!W187)</f>
        <v/>
      </c>
      <c r="AA191" s="13" t="str">
        <f>IF(Stock!X187="","",Stock!X187)</f>
        <v/>
      </c>
      <c r="AB191" s="13" t="str">
        <f>IF(Stock!Y187="","",Stock!Y187)</f>
        <v/>
      </c>
      <c r="AC191" s="13" t="str">
        <f>IF(Stock!Z187="","",Stock!Z187)</f>
        <v/>
      </c>
      <c r="AD191" s="13" t="str">
        <f>IF(Stock!AA187="","",Stock!AA187)</f>
        <v/>
      </c>
      <c r="AE191" s="13" t="str">
        <f>IF(Stock!AB187="","",Stock!AB187)</f>
        <v/>
      </c>
      <c r="AF191" s="13" t="str">
        <f>IF(Stock!AC187="","",Stock!AC187)</f>
        <v/>
      </c>
      <c r="AG191" s="13" t="str">
        <f>IF(Stock!AD187="","",Stock!AD187)</f>
        <v/>
      </c>
      <c r="AH191" s="13" t="str">
        <f>IF(Stock!AE187="","",Stock!AE187)</f>
        <v/>
      </c>
      <c r="AI191" s="13" t="str">
        <f>IF(Stock!AF187="","",Stock!AF187)</f>
        <v/>
      </c>
      <c r="AJ191" s="13" t="str">
        <f>IF(Stock!AG187="","",Stock!AG187)</f>
        <v/>
      </c>
      <c r="AK191" s="13" t="str">
        <f>IF(Stock!AH187="","",Stock!AH187)</f>
        <v/>
      </c>
      <c r="AL191" s="13" t="str">
        <f>IF(Stock!AI187="","",Stock!AI187)</f>
        <v/>
      </c>
      <c r="AM191" s="13" t="str">
        <f>IF(Stock!AJ187="","",Stock!AJ187)</f>
        <v/>
      </c>
      <c r="AN191" s="13" t="str">
        <f>IF(Stock!AK187="","",Stock!AK187)</f>
        <v/>
      </c>
      <c r="AO191" s="13" t="str">
        <f>IF(Stock!AL187="","",Stock!AL187)</f>
        <v/>
      </c>
      <c r="AP191" s="13" t="str">
        <f>IF(Stock!AM187="","",Stock!AM187)</f>
        <v/>
      </c>
      <c r="AQ191" s="13" t="str">
        <f>IF(Stock!AN187="","",Stock!AN187)</f>
        <v/>
      </c>
      <c r="AR191" s="13" t="str">
        <f>IF(Stock!AO187="","",Stock!AO187)</f>
        <v/>
      </c>
      <c r="AS191" s="13" t="str">
        <f>IF(Stock!AP187="","",Stock!AP187)</f>
        <v/>
      </c>
      <c r="AT191" s="13" t="str">
        <f>IF(Stock!AQ187="","",Stock!AQ187)</f>
        <v/>
      </c>
      <c r="AU191" s="13" t="str">
        <f>IF(Stock!AR187="","",Stock!AR187)</f>
        <v/>
      </c>
      <c r="AV191" s="13" t="str">
        <f>IF(Stock!AS187="","",Stock!AS187)</f>
        <v/>
      </c>
      <c r="AW191" s="13" t="str">
        <f>IF(Stock!AT187="","",Stock!AT187)</f>
        <v/>
      </c>
      <c r="AX191" s="13" t="str">
        <f>IF(Stock!AU187="","",Stock!AU187)</f>
        <v/>
      </c>
      <c r="AY191" s="13" t="str">
        <f>IF(Stock!AV187="","",Stock!AV187)</f>
        <v/>
      </c>
      <c r="AZ191" s="13" t="str">
        <f>IF(Stock!AW187="","",Stock!AW187)</f>
        <v/>
      </c>
      <c r="BA191" s="13" t="str">
        <f>IF(Stock!AX187="","",Stock!AX187)</f>
        <v/>
      </c>
      <c r="BB191" s="13" t="str">
        <f>IF(Stock!AY187="","",Stock!AY187)</f>
        <v/>
      </c>
      <c r="BC191" s="13" t="str">
        <f>IF(Stock!AZ187="","",Stock!AZ187)</f>
        <v/>
      </c>
      <c r="BD191" s="13" t="str">
        <f>IF(Stock!BA187="","",Stock!BA187)</f>
        <v/>
      </c>
      <c r="BE191" s="13" t="str">
        <f>IF(Stock!BB187="","",Stock!BB187)</f>
        <v/>
      </c>
      <c r="BF191" s="13" t="str">
        <f>IF(Stock!BC187="","",Stock!BC187)</f>
        <v/>
      </c>
    </row>
    <row r="192" spans="2:58" ht="14.25" customHeight="1" x14ac:dyDescent="0.3">
      <c r="B192" s="31"/>
      <c r="E192" s="13" t="str">
        <f>IF(Stock!B188="","",Stock!B188)</f>
        <v/>
      </c>
      <c r="F192" s="13" t="str">
        <f>IF(Stock!C188="","",Stock!C188)</f>
        <v/>
      </c>
      <c r="G192" s="13" t="str">
        <f>IF(Stock!D188="","",Stock!D188)</f>
        <v/>
      </c>
      <c r="H192" s="13" t="str">
        <f>IF(Stock!E188="","",Stock!E188)</f>
        <v/>
      </c>
      <c r="I192" s="13" t="str">
        <f>IF(Stock!F188="","",Stock!F188)</f>
        <v/>
      </c>
      <c r="J192" s="13" t="str">
        <f>IF(Stock!G188="","",Stock!G188)</f>
        <v/>
      </c>
      <c r="K192" s="13" t="str">
        <f>IF(Stock!H188="","",Stock!H188)</f>
        <v/>
      </c>
      <c r="L192" s="13" t="str">
        <f>IF(Stock!I188="","",Stock!I188)</f>
        <v/>
      </c>
      <c r="M192" s="13" t="str">
        <f>IF(Stock!J188="","",Stock!J188)</f>
        <v/>
      </c>
      <c r="N192" s="13" t="str">
        <f>IF(Stock!K188="","",Stock!K188)</f>
        <v/>
      </c>
      <c r="O192" s="13" t="str">
        <f>IF(Stock!L188="","",Stock!L188)</f>
        <v/>
      </c>
      <c r="P192" s="13" t="str">
        <f>IF(Stock!M188="","",Stock!M188)</f>
        <v/>
      </c>
      <c r="Q192" s="13" t="str">
        <f>IF(Stock!N188="","",Stock!N188)</f>
        <v/>
      </c>
      <c r="R192" s="13" t="str">
        <f>IF(Stock!O188="","",Stock!O188)</f>
        <v/>
      </c>
      <c r="S192" s="13" t="str">
        <f>IF(Stock!P188="","",Stock!P188)</f>
        <v/>
      </c>
      <c r="T192" s="13" t="str">
        <f>IF(Stock!Q188="","",Stock!Q188)</f>
        <v/>
      </c>
      <c r="U192" s="13" t="str">
        <f>IF(Stock!R188="","",Stock!R188)</f>
        <v/>
      </c>
      <c r="V192" s="13" t="str">
        <f>IF(Stock!S188="","",Stock!S188)</f>
        <v/>
      </c>
      <c r="W192" s="13" t="str">
        <f>IF(Stock!T188="","",Stock!T188)</f>
        <v/>
      </c>
      <c r="X192" s="13" t="str">
        <f>IF(Stock!U188="","",Stock!U188)</f>
        <v/>
      </c>
      <c r="Y192" s="13" t="str">
        <f>IF(Stock!V188="","",Stock!V188)</f>
        <v/>
      </c>
      <c r="Z192" s="13" t="str">
        <f>IF(Stock!W188="","",Stock!W188)</f>
        <v/>
      </c>
      <c r="AA192" s="13" t="str">
        <f>IF(Stock!X188="","",Stock!X188)</f>
        <v/>
      </c>
      <c r="AB192" s="13" t="str">
        <f>IF(Stock!Y188="","",Stock!Y188)</f>
        <v/>
      </c>
      <c r="AC192" s="13" t="str">
        <f>IF(Stock!Z188="","",Stock!Z188)</f>
        <v/>
      </c>
      <c r="AD192" s="13" t="str">
        <f>IF(Stock!AA188="","",Stock!AA188)</f>
        <v/>
      </c>
      <c r="AE192" s="13" t="str">
        <f>IF(Stock!AB188="","",Stock!AB188)</f>
        <v/>
      </c>
      <c r="AF192" s="13" t="str">
        <f>IF(Stock!AC188="","",Stock!AC188)</f>
        <v/>
      </c>
      <c r="AG192" s="13" t="str">
        <f>IF(Stock!AD188="","",Stock!AD188)</f>
        <v/>
      </c>
      <c r="AH192" s="13" t="str">
        <f>IF(Stock!AE188="","",Stock!AE188)</f>
        <v/>
      </c>
      <c r="AI192" s="13" t="str">
        <f>IF(Stock!AF188="","",Stock!AF188)</f>
        <v/>
      </c>
      <c r="AJ192" s="13" t="str">
        <f>IF(Stock!AG188="","",Stock!AG188)</f>
        <v/>
      </c>
      <c r="AK192" s="13" t="str">
        <f>IF(Stock!AH188="","",Stock!AH188)</f>
        <v/>
      </c>
      <c r="AL192" s="13" t="str">
        <f>IF(Stock!AI188="","",Stock!AI188)</f>
        <v/>
      </c>
      <c r="AM192" s="13" t="str">
        <f>IF(Stock!AJ188="","",Stock!AJ188)</f>
        <v/>
      </c>
      <c r="AN192" s="13" t="str">
        <f>IF(Stock!AK188="","",Stock!AK188)</f>
        <v/>
      </c>
      <c r="AO192" s="13" t="str">
        <f>IF(Stock!AL188="","",Stock!AL188)</f>
        <v/>
      </c>
      <c r="AP192" s="13" t="str">
        <f>IF(Stock!AM188="","",Stock!AM188)</f>
        <v/>
      </c>
      <c r="AQ192" s="13" t="str">
        <f>IF(Stock!AN188="","",Stock!AN188)</f>
        <v/>
      </c>
      <c r="AR192" s="13" t="str">
        <f>IF(Stock!AO188="","",Stock!AO188)</f>
        <v/>
      </c>
      <c r="AS192" s="13" t="str">
        <f>IF(Stock!AP188="","",Stock!AP188)</f>
        <v/>
      </c>
      <c r="AT192" s="13" t="str">
        <f>IF(Stock!AQ188="","",Stock!AQ188)</f>
        <v/>
      </c>
      <c r="AU192" s="13" t="str">
        <f>IF(Stock!AR188="","",Stock!AR188)</f>
        <v/>
      </c>
      <c r="AV192" s="13" t="str">
        <f>IF(Stock!AS188="","",Stock!AS188)</f>
        <v/>
      </c>
      <c r="AW192" s="13" t="str">
        <f>IF(Stock!AT188="","",Stock!AT188)</f>
        <v/>
      </c>
      <c r="AX192" s="13" t="str">
        <f>IF(Stock!AU188="","",Stock!AU188)</f>
        <v/>
      </c>
      <c r="AY192" s="13" t="str">
        <f>IF(Stock!AV188="","",Stock!AV188)</f>
        <v/>
      </c>
      <c r="AZ192" s="13" t="str">
        <f>IF(Stock!AW188="","",Stock!AW188)</f>
        <v/>
      </c>
      <c r="BA192" s="13" t="str">
        <f>IF(Stock!AX188="","",Stock!AX188)</f>
        <v/>
      </c>
      <c r="BB192" s="13" t="str">
        <f>IF(Stock!AY188="","",Stock!AY188)</f>
        <v/>
      </c>
      <c r="BC192" s="13" t="str">
        <f>IF(Stock!AZ188="","",Stock!AZ188)</f>
        <v/>
      </c>
      <c r="BD192" s="13" t="str">
        <f>IF(Stock!BA188="","",Stock!BA188)</f>
        <v/>
      </c>
      <c r="BE192" s="13" t="str">
        <f>IF(Stock!BB188="","",Stock!BB188)</f>
        <v/>
      </c>
      <c r="BF192" s="13" t="str">
        <f>IF(Stock!BC188="","",Stock!BC188)</f>
        <v/>
      </c>
    </row>
    <row r="193" spans="2:58" ht="14.25" customHeight="1" x14ac:dyDescent="0.3">
      <c r="B193" s="31"/>
      <c r="E193" s="13" t="str">
        <f>IF(Stock!B189="","",Stock!B189)</f>
        <v/>
      </c>
      <c r="F193" s="13" t="str">
        <f>IF(Stock!C189="","",Stock!C189)</f>
        <v/>
      </c>
      <c r="G193" s="13" t="str">
        <f>IF(Stock!D189="","",Stock!D189)</f>
        <v/>
      </c>
      <c r="H193" s="13" t="str">
        <f>IF(Stock!E189="","",Stock!E189)</f>
        <v/>
      </c>
      <c r="I193" s="13" t="str">
        <f>IF(Stock!F189="","",Stock!F189)</f>
        <v/>
      </c>
      <c r="J193" s="13" t="str">
        <f>IF(Stock!G189="","",Stock!G189)</f>
        <v/>
      </c>
      <c r="K193" s="13" t="str">
        <f>IF(Stock!H189="","",Stock!H189)</f>
        <v/>
      </c>
      <c r="L193" s="13" t="str">
        <f>IF(Stock!I189="","",Stock!I189)</f>
        <v/>
      </c>
      <c r="M193" s="13" t="str">
        <f>IF(Stock!J189="","",Stock!J189)</f>
        <v/>
      </c>
      <c r="N193" s="13" t="str">
        <f>IF(Stock!K189="","",Stock!K189)</f>
        <v/>
      </c>
      <c r="O193" s="13" t="str">
        <f>IF(Stock!L189="","",Stock!L189)</f>
        <v/>
      </c>
      <c r="P193" s="13" t="str">
        <f>IF(Stock!M189="","",Stock!M189)</f>
        <v/>
      </c>
      <c r="Q193" s="13" t="str">
        <f>IF(Stock!N189="","",Stock!N189)</f>
        <v/>
      </c>
      <c r="R193" s="13" t="str">
        <f>IF(Stock!O189="","",Stock!O189)</f>
        <v/>
      </c>
      <c r="S193" s="13" t="str">
        <f>IF(Stock!P189="","",Stock!P189)</f>
        <v/>
      </c>
      <c r="T193" s="13" t="str">
        <f>IF(Stock!Q189="","",Stock!Q189)</f>
        <v/>
      </c>
      <c r="U193" s="13" t="str">
        <f>IF(Stock!R189="","",Stock!R189)</f>
        <v/>
      </c>
      <c r="V193" s="13" t="str">
        <f>IF(Stock!S189="","",Stock!S189)</f>
        <v/>
      </c>
      <c r="W193" s="13" t="str">
        <f>IF(Stock!T189="","",Stock!T189)</f>
        <v/>
      </c>
      <c r="X193" s="13" t="str">
        <f>IF(Stock!U189="","",Stock!U189)</f>
        <v/>
      </c>
      <c r="Y193" s="13" t="str">
        <f>IF(Stock!V189="","",Stock!V189)</f>
        <v/>
      </c>
      <c r="Z193" s="13" t="str">
        <f>IF(Stock!W189="","",Stock!W189)</f>
        <v/>
      </c>
      <c r="AA193" s="13" t="str">
        <f>IF(Stock!X189="","",Stock!X189)</f>
        <v/>
      </c>
      <c r="AB193" s="13" t="str">
        <f>IF(Stock!Y189="","",Stock!Y189)</f>
        <v/>
      </c>
      <c r="AC193" s="13" t="str">
        <f>IF(Stock!Z189="","",Stock!Z189)</f>
        <v/>
      </c>
      <c r="AD193" s="13" t="str">
        <f>IF(Stock!AA189="","",Stock!AA189)</f>
        <v/>
      </c>
      <c r="AE193" s="13" t="str">
        <f>IF(Stock!AB189="","",Stock!AB189)</f>
        <v/>
      </c>
      <c r="AF193" s="13" t="str">
        <f>IF(Stock!AC189="","",Stock!AC189)</f>
        <v/>
      </c>
      <c r="AG193" s="13" t="str">
        <f>IF(Stock!AD189="","",Stock!AD189)</f>
        <v/>
      </c>
      <c r="AH193" s="13" t="str">
        <f>IF(Stock!AE189="","",Stock!AE189)</f>
        <v/>
      </c>
      <c r="AI193" s="13" t="str">
        <f>IF(Stock!AF189="","",Stock!AF189)</f>
        <v/>
      </c>
      <c r="AJ193" s="13" t="str">
        <f>IF(Stock!AG189="","",Stock!AG189)</f>
        <v/>
      </c>
      <c r="AK193" s="13" t="str">
        <f>IF(Stock!AH189="","",Stock!AH189)</f>
        <v/>
      </c>
      <c r="AL193" s="13" t="str">
        <f>IF(Stock!AI189="","",Stock!AI189)</f>
        <v/>
      </c>
      <c r="AM193" s="13" t="str">
        <f>IF(Stock!AJ189="","",Stock!AJ189)</f>
        <v/>
      </c>
      <c r="AN193" s="13" t="str">
        <f>IF(Stock!AK189="","",Stock!AK189)</f>
        <v/>
      </c>
      <c r="AO193" s="13" t="str">
        <f>IF(Stock!AL189="","",Stock!AL189)</f>
        <v/>
      </c>
      <c r="AP193" s="13" t="str">
        <f>IF(Stock!AM189="","",Stock!AM189)</f>
        <v/>
      </c>
      <c r="AQ193" s="13" t="str">
        <f>IF(Stock!AN189="","",Stock!AN189)</f>
        <v/>
      </c>
      <c r="AR193" s="13" t="str">
        <f>IF(Stock!AO189="","",Stock!AO189)</f>
        <v/>
      </c>
      <c r="AS193" s="13" t="str">
        <f>IF(Stock!AP189="","",Stock!AP189)</f>
        <v/>
      </c>
      <c r="AT193" s="13" t="str">
        <f>IF(Stock!AQ189="","",Stock!AQ189)</f>
        <v/>
      </c>
      <c r="AU193" s="13" t="str">
        <f>IF(Stock!AR189="","",Stock!AR189)</f>
        <v/>
      </c>
      <c r="AV193" s="13" t="str">
        <f>IF(Stock!AS189="","",Stock!AS189)</f>
        <v/>
      </c>
      <c r="AW193" s="13" t="str">
        <f>IF(Stock!AT189="","",Stock!AT189)</f>
        <v/>
      </c>
      <c r="AX193" s="13" t="str">
        <f>IF(Stock!AU189="","",Stock!AU189)</f>
        <v/>
      </c>
      <c r="AY193" s="13" t="str">
        <f>IF(Stock!AV189="","",Stock!AV189)</f>
        <v/>
      </c>
      <c r="AZ193" s="13" t="str">
        <f>IF(Stock!AW189="","",Stock!AW189)</f>
        <v/>
      </c>
      <c r="BA193" s="13" t="str">
        <f>IF(Stock!AX189="","",Stock!AX189)</f>
        <v/>
      </c>
      <c r="BB193" s="13" t="str">
        <f>IF(Stock!AY189="","",Stock!AY189)</f>
        <v/>
      </c>
      <c r="BC193" s="13" t="str">
        <f>IF(Stock!AZ189="","",Stock!AZ189)</f>
        <v/>
      </c>
      <c r="BD193" s="13" t="str">
        <f>IF(Stock!BA189="","",Stock!BA189)</f>
        <v/>
      </c>
      <c r="BE193" s="13" t="str">
        <f>IF(Stock!BB189="","",Stock!BB189)</f>
        <v/>
      </c>
      <c r="BF193" s="13" t="str">
        <f>IF(Stock!BC189="","",Stock!BC189)</f>
        <v/>
      </c>
    </row>
    <row r="194" spans="2:58" ht="14.25" customHeight="1" x14ac:dyDescent="0.3">
      <c r="B194" s="31"/>
      <c r="E194" s="13" t="str">
        <f>IF(Stock!B190="","",Stock!B190)</f>
        <v/>
      </c>
      <c r="F194" s="13" t="str">
        <f>IF(Stock!C190="","",Stock!C190)</f>
        <v/>
      </c>
      <c r="G194" s="13" t="str">
        <f>IF(Stock!D190="","",Stock!D190)</f>
        <v/>
      </c>
      <c r="H194" s="13" t="str">
        <f>IF(Stock!E190="","",Stock!E190)</f>
        <v/>
      </c>
      <c r="I194" s="13" t="str">
        <f>IF(Stock!F190="","",Stock!F190)</f>
        <v/>
      </c>
      <c r="J194" s="13" t="str">
        <f>IF(Stock!G190="","",Stock!G190)</f>
        <v/>
      </c>
      <c r="K194" s="13" t="str">
        <f>IF(Stock!H190="","",Stock!H190)</f>
        <v/>
      </c>
      <c r="L194" s="13" t="str">
        <f>IF(Stock!I190="","",Stock!I190)</f>
        <v/>
      </c>
      <c r="M194" s="13" t="str">
        <f>IF(Stock!J190="","",Stock!J190)</f>
        <v/>
      </c>
      <c r="N194" s="13" t="str">
        <f>IF(Stock!K190="","",Stock!K190)</f>
        <v/>
      </c>
      <c r="O194" s="13" t="str">
        <f>IF(Stock!L190="","",Stock!L190)</f>
        <v/>
      </c>
      <c r="P194" s="13" t="str">
        <f>IF(Stock!M190="","",Stock!M190)</f>
        <v/>
      </c>
      <c r="Q194" s="13" t="str">
        <f>IF(Stock!N190="","",Stock!N190)</f>
        <v/>
      </c>
      <c r="R194" s="13" t="str">
        <f>IF(Stock!O190="","",Stock!O190)</f>
        <v/>
      </c>
      <c r="S194" s="13" t="str">
        <f>IF(Stock!P190="","",Stock!P190)</f>
        <v/>
      </c>
      <c r="T194" s="13" t="str">
        <f>IF(Stock!Q190="","",Stock!Q190)</f>
        <v/>
      </c>
      <c r="U194" s="13" t="str">
        <f>IF(Stock!R190="","",Stock!R190)</f>
        <v/>
      </c>
      <c r="V194" s="13" t="str">
        <f>IF(Stock!S190="","",Stock!S190)</f>
        <v/>
      </c>
      <c r="W194" s="13" t="str">
        <f>IF(Stock!T190="","",Stock!T190)</f>
        <v/>
      </c>
      <c r="X194" s="13" t="str">
        <f>IF(Stock!U190="","",Stock!U190)</f>
        <v/>
      </c>
      <c r="Y194" s="13" t="str">
        <f>IF(Stock!V190="","",Stock!V190)</f>
        <v/>
      </c>
      <c r="Z194" s="13" t="str">
        <f>IF(Stock!W190="","",Stock!W190)</f>
        <v/>
      </c>
      <c r="AA194" s="13" t="str">
        <f>IF(Stock!X190="","",Stock!X190)</f>
        <v/>
      </c>
      <c r="AB194" s="13" t="str">
        <f>IF(Stock!Y190="","",Stock!Y190)</f>
        <v/>
      </c>
      <c r="AC194" s="13" t="str">
        <f>IF(Stock!Z190="","",Stock!Z190)</f>
        <v/>
      </c>
      <c r="AD194" s="13" t="str">
        <f>IF(Stock!AA190="","",Stock!AA190)</f>
        <v/>
      </c>
      <c r="AE194" s="13" t="str">
        <f>IF(Stock!AB190="","",Stock!AB190)</f>
        <v/>
      </c>
      <c r="AF194" s="13" t="str">
        <f>IF(Stock!AC190="","",Stock!AC190)</f>
        <v/>
      </c>
      <c r="AG194" s="13" t="str">
        <f>IF(Stock!AD190="","",Stock!AD190)</f>
        <v/>
      </c>
      <c r="AH194" s="13" t="str">
        <f>IF(Stock!AE190="","",Stock!AE190)</f>
        <v/>
      </c>
      <c r="AI194" s="13" t="str">
        <f>IF(Stock!AF190="","",Stock!AF190)</f>
        <v/>
      </c>
      <c r="AJ194" s="13" t="str">
        <f>IF(Stock!AG190="","",Stock!AG190)</f>
        <v/>
      </c>
      <c r="AK194" s="13" t="str">
        <f>IF(Stock!AH190="","",Stock!AH190)</f>
        <v/>
      </c>
      <c r="AL194" s="13" t="str">
        <f>IF(Stock!AI190="","",Stock!AI190)</f>
        <v/>
      </c>
      <c r="AM194" s="13" t="str">
        <f>IF(Stock!AJ190="","",Stock!AJ190)</f>
        <v/>
      </c>
      <c r="AN194" s="13" t="str">
        <f>IF(Stock!AK190="","",Stock!AK190)</f>
        <v/>
      </c>
      <c r="AO194" s="13" t="str">
        <f>IF(Stock!AL190="","",Stock!AL190)</f>
        <v/>
      </c>
      <c r="AP194" s="13" t="str">
        <f>IF(Stock!AM190="","",Stock!AM190)</f>
        <v/>
      </c>
      <c r="AQ194" s="13" t="str">
        <f>IF(Stock!AN190="","",Stock!AN190)</f>
        <v/>
      </c>
      <c r="AR194" s="13" t="str">
        <f>IF(Stock!AO190="","",Stock!AO190)</f>
        <v/>
      </c>
      <c r="AS194" s="13" t="str">
        <f>IF(Stock!AP190="","",Stock!AP190)</f>
        <v/>
      </c>
      <c r="AT194" s="13" t="str">
        <f>IF(Stock!AQ190="","",Stock!AQ190)</f>
        <v/>
      </c>
      <c r="AU194" s="13" t="str">
        <f>IF(Stock!AR190="","",Stock!AR190)</f>
        <v/>
      </c>
      <c r="AV194" s="13" t="str">
        <f>IF(Stock!AS190="","",Stock!AS190)</f>
        <v/>
      </c>
      <c r="AW194" s="13" t="str">
        <f>IF(Stock!AT190="","",Stock!AT190)</f>
        <v/>
      </c>
      <c r="AX194" s="13" t="str">
        <f>IF(Stock!AU190="","",Stock!AU190)</f>
        <v/>
      </c>
      <c r="AY194" s="13" t="str">
        <f>IF(Stock!AV190="","",Stock!AV190)</f>
        <v/>
      </c>
      <c r="AZ194" s="13" t="str">
        <f>IF(Stock!AW190="","",Stock!AW190)</f>
        <v/>
      </c>
      <c r="BA194" s="13" t="str">
        <f>IF(Stock!AX190="","",Stock!AX190)</f>
        <v/>
      </c>
      <c r="BB194" s="13" t="str">
        <f>IF(Stock!AY190="","",Stock!AY190)</f>
        <v/>
      </c>
      <c r="BC194" s="13" t="str">
        <f>IF(Stock!AZ190="","",Stock!AZ190)</f>
        <v/>
      </c>
      <c r="BD194" s="13" t="str">
        <f>IF(Stock!BA190="","",Stock!BA190)</f>
        <v/>
      </c>
      <c r="BE194" s="13" t="str">
        <f>IF(Stock!BB190="","",Stock!BB190)</f>
        <v/>
      </c>
      <c r="BF194" s="13" t="str">
        <f>IF(Stock!BC190="","",Stock!BC190)</f>
        <v/>
      </c>
    </row>
    <row r="195" spans="2:58" ht="14.25" customHeight="1" x14ac:dyDescent="0.3">
      <c r="B195" s="31"/>
      <c r="E195" s="13" t="str">
        <f>IF(Stock!B191="","",Stock!B191)</f>
        <v/>
      </c>
      <c r="F195" s="13" t="str">
        <f>IF(Stock!C191="","",Stock!C191)</f>
        <v/>
      </c>
      <c r="G195" s="13" t="str">
        <f>IF(Stock!D191="","",Stock!D191)</f>
        <v/>
      </c>
      <c r="H195" s="13" t="str">
        <f>IF(Stock!E191="","",Stock!E191)</f>
        <v/>
      </c>
      <c r="I195" s="13" t="str">
        <f>IF(Stock!F191="","",Stock!F191)</f>
        <v/>
      </c>
      <c r="J195" s="13" t="str">
        <f>IF(Stock!G191="","",Stock!G191)</f>
        <v/>
      </c>
      <c r="K195" s="13" t="str">
        <f>IF(Stock!H191="","",Stock!H191)</f>
        <v/>
      </c>
      <c r="L195" s="13" t="str">
        <f>IF(Stock!I191="","",Stock!I191)</f>
        <v/>
      </c>
      <c r="M195" s="13" t="str">
        <f>IF(Stock!J191="","",Stock!J191)</f>
        <v/>
      </c>
      <c r="N195" s="13" t="str">
        <f>IF(Stock!K191="","",Stock!K191)</f>
        <v/>
      </c>
      <c r="O195" s="13" t="str">
        <f>IF(Stock!L191="","",Stock!L191)</f>
        <v/>
      </c>
      <c r="P195" s="13" t="str">
        <f>IF(Stock!M191="","",Stock!M191)</f>
        <v/>
      </c>
      <c r="Q195" s="13" t="str">
        <f>IF(Stock!N191="","",Stock!N191)</f>
        <v/>
      </c>
      <c r="R195" s="13" t="str">
        <f>IF(Stock!O191="","",Stock!O191)</f>
        <v/>
      </c>
      <c r="S195" s="13" t="str">
        <f>IF(Stock!P191="","",Stock!P191)</f>
        <v/>
      </c>
      <c r="T195" s="13" t="str">
        <f>IF(Stock!Q191="","",Stock!Q191)</f>
        <v/>
      </c>
      <c r="U195" s="13" t="str">
        <f>IF(Stock!R191="","",Stock!R191)</f>
        <v/>
      </c>
      <c r="V195" s="13" t="str">
        <f>IF(Stock!S191="","",Stock!S191)</f>
        <v/>
      </c>
      <c r="W195" s="13" t="str">
        <f>IF(Stock!T191="","",Stock!T191)</f>
        <v/>
      </c>
      <c r="X195" s="13" t="str">
        <f>IF(Stock!U191="","",Stock!U191)</f>
        <v/>
      </c>
      <c r="Y195" s="13" t="str">
        <f>IF(Stock!V191="","",Stock!V191)</f>
        <v/>
      </c>
      <c r="Z195" s="13" t="str">
        <f>IF(Stock!W191="","",Stock!W191)</f>
        <v/>
      </c>
      <c r="AA195" s="13" t="str">
        <f>IF(Stock!X191="","",Stock!X191)</f>
        <v/>
      </c>
      <c r="AB195" s="13" t="str">
        <f>IF(Stock!Y191="","",Stock!Y191)</f>
        <v/>
      </c>
      <c r="AC195" s="13" t="str">
        <f>IF(Stock!Z191="","",Stock!Z191)</f>
        <v/>
      </c>
      <c r="AD195" s="13" t="str">
        <f>IF(Stock!AA191="","",Stock!AA191)</f>
        <v/>
      </c>
      <c r="AE195" s="13" t="str">
        <f>IF(Stock!AB191="","",Stock!AB191)</f>
        <v/>
      </c>
      <c r="AF195" s="13" t="str">
        <f>IF(Stock!AC191="","",Stock!AC191)</f>
        <v/>
      </c>
      <c r="AG195" s="13" t="str">
        <f>IF(Stock!AD191="","",Stock!AD191)</f>
        <v/>
      </c>
      <c r="AH195" s="13" t="str">
        <f>IF(Stock!AE191="","",Stock!AE191)</f>
        <v/>
      </c>
      <c r="AI195" s="13" t="str">
        <f>IF(Stock!AF191="","",Stock!AF191)</f>
        <v/>
      </c>
      <c r="AJ195" s="13" t="str">
        <f>IF(Stock!AG191="","",Stock!AG191)</f>
        <v/>
      </c>
      <c r="AK195" s="13" t="str">
        <f>IF(Stock!AH191="","",Stock!AH191)</f>
        <v/>
      </c>
      <c r="AL195" s="13" t="str">
        <f>IF(Stock!AI191="","",Stock!AI191)</f>
        <v/>
      </c>
      <c r="AM195" s="13" t="str">
        <f>IF(Stock!AJ191="","",Stock!AJ191)</f>
        <v/>
      </c>
      <c r="AN195" s="13" t="str">
        <f>IF(Stock!AK191="","",Stock!AK191)</f>
        <v/>
      </c>
      <c r="AO195" s="13" t="str">
        <f>IF(Stock!AL191="","",Stock!AL191)</f>
        <v/>
      </c>
      <c r="AP195" s="13" t="str">
        <f>IF(Stock!AM191="","",Stock!AM191)</f>
        <v/>
      </c>
      <c r="AQ195" s="13" t="str">
        <f>IF(Stock!AN191="","",Stock!AN191)</f>
        <v/>
      </c>
      <c r="AR195" s="13" t="str">
        <f>IF(Stock!AO191="","",Stock!AO191)</f>
        <v/>
      </c>
      <c r="AS195" s="13" t="str">
        <f>IF(Stock!AP191="","",Stock!AP191)</f>
        <v/>
      </c>
      <c r="AT195" s="13" t="str">
        <f>IF(Stock!AQ191="","",Stock!AQ191)</f>
        <v/>
      </c>
      <c r="AU195" s="13" t="str">
        <f>IF(Stock!AR191="","",Stock!AR191)</f>
        <v/>
      </c>
      <c r="AV195" s="13" t="str">
        <f>IF(Stock!AS191="","",Stock!AS191)</f>
        <v/>
      </c>
      <c r="AW195" s="13" t="str">
        <f>IF(Stock!AT191="","",Stock!AT191)</f>
        <v/>
      </c>
      <c r="AX195" s="13" t="str">
        <f>IF(Stock!AU191="","",Stock!AU191)</f>
        <v/>
      </c>
      <c r="AY195" s="13" t="str">
        <f>IF(Stock!AV191="","",Stock!AV191)</f>
        <v/>
      </c>
      <c r="AZ195" s="13" t="str">
        <f>IF(Stock!AW191="","",Stock!AW191)</f>
        <v/>
      </c>
      <c r="BA195" s="13" t="str">
        <f>IF(Stock!AX191="","",Stock!AX191)</f>
        <v/>
      </c>
      <c r="BB195" s="13" t="str">
        <f>IF(Stock!AY191="","",Stock!AY191)</f>
        <v/>
      </c>
      <c r="BC195" s="13" t="str">
        <f>IF(Stock!AZ191="","",Stock!AZ191)</f>
        <v/>
      </c>
      <c r="BD195" s="13" t="str">
        <f>IF(Stock!BA191="","",Stock!BA191)</f>
        <v/>
      </c>
      <c r="BE195" s="13" t="str">
        <f>IF(Stock!BB191="","",Stock!BB191)</f>
        <v/>
      </c>
      <c r="BF195" s="13" t="str">
        <f>IF(Stock!BC191="","",Stock!BC191)</f>
        <v/>
      </c>
    </row>
    <row r="196" spans="2:58" ht="14.25" customHeight="1" x14ac:dyDescent="0.3">
      <c r="B196" s="31"/>
      <c r="E196" s="13" t="str">
        <f>IF(Stock!B192="","",Stock!B192)</f>
        <v/>
      </c>
      <c r="F196" s="13" t="str">
        <f>IF(Stock!C192="","",Stock!C192)</f>
        <v/>
      </c>
      <c r="G196" s="13" t="str">
        <f>IF(Stock!D192="","",Stock!D192)</f>
        <v/>
      </c>
      <c r="H196" s="13" t="str">
        <f>IF(Stock!E192="","",Stock!E192)</f>
        <v/>
      </c>
      <c r="I196" s="13" t="str">
        <f>IF(Stock!F192="","",Stock!F192)</f>
        <v/>
      </c>
      <c r="J196" s="13" t="str">
        <f>IF(Stock!G192="","",Stock!G192)</f>
        <v/>
      </c>
      <c r="K196" s="13" t="str">
        <f>IF(Stock!H192="","",Stock!H192)</f>
        <v/>
      </c>
      <c r="L196" s="13" t="str">
        <f>IF(Stock!I192="","",Stock!I192)</f>
        <v/>
      </c>
      <c r="M196" s="13" t="str">
        <f>IF(Stock!J192="","",Stock!J192)</f>
        <v/>
      </c>
      <c r="N196" s="13" t="str">
        <f>IF(Stock!K192="","",Stock!K192)</f>
        <v/>
      </c>
      <c r="O196" s="13" t="str">
        <f>IF(Stock!L192="","",Stock!L192)</f>
        <v/>
      </c>
      <c r="P196" s="13" t="str">
        <f>IF(Stock!M192="","",Stock!M192)</f>
        <v/>
      </c>
      <c r="Q196" s="13" t="str">
        <f>IF(Stock!N192="","",Stock!N192)</f>
        <v/>
      </c>
      <c r="R196" s="13" t="str">
        <f>IF(Stock!O192="","",Stock!O192)</f>
        <v/>
      </c>
      <c r="S196" s="13" t="str">
        <f>IF(Stock!P192="","",Stock!P192)</f>
        <v/>
      </c>
      <c r="T196" s="13" t="str">
        <f>IF(Stock!Q192="","",Stock!Q192)</f>
        <v/>
      </c>
      <c r="U196" s="13" t="str">
        <f>IF(Stock!R192="","",Stock!R192)</f>
        <v/>
      </c>
      <c r="V196" s="13" t="str">
        <f>IF(Stock!S192="","",Stock!S192)</f>
        <v/>
      </c>
      <c r="W196" s="13" t="str">
        <f>IF(Stock!T192="","",Stock!T192)</f>
        <v/>
      </c>
      <c r="X196" s="13" t="str">
        <f>IF(Stock!U192="","",Stock!U192)</f>
        <v/>
      </c>
      <c r="Y196" s="13" t="str">
        <f>IF(Stock!V192="","",Stock!V192)</f>
        <v/>
      </c>
      <c r="Z196" s="13" t="str">
        <f>IF(Stock!W192="","",Stock!W192)</f>
        <v/>
      </c>
      <c r="AA196" s="13" t="str">
        <f>IF(Stock!X192="","",Stock!X192)</f>
        <v/>
      </c>
      <c r="AB196" s="13" t="str">
        <f>IF(Stock!Y192="","",Stock!Y192)</f>
        <v/>
      </c>
      <c r="AC196" s="13" t="str">
        <f>IF(Stock!Z192="","",Stock!Z192)</f>
        <v/>
      </c>
      <c r="AD196" s="13" t="str">
        <f>IF(Stock!AA192="","",Stock!AA192)</f>
        <v/>
      </c>
      <c r="AE196" s="13" t="str">
        <f>IF(Stock!AB192="","",Stock!AB192)</f>
        <v/>
      </c>
      <c r="AF196" s="13" t="str">
        <f>IF(Stock!AC192="","",Stock!AC192)</f>
        <v/>
      </c>
      <c r="AG196" s="13" t="str">
        <f>IF(Stock!AD192="","",Stock!AD192)</f>
        <v/>
      </c>
      <c r="AH196" s="13" t="str">
        <f>IF(Stock!AE192="","",Stock!AE192)</f>
        <v/>
      </c>
      <c r="AI196" s="13" t="str">
        <f>IF(Stock!AF192="","",Stock!AF192)</f>
        <v/>
      </c>
      <c r="AJ196" s="13" t="str">
        <f>IF(Stock!AG192="","",Stock!AG192)</f>
        <v/>
      </c>
      <c r="AK196" s="13" t="str">
        <f>IF(Stock!AH192="","",Stock!AH192)</f>
        <v/>
      </c>
      <c r="AL196" s="13" t="str">
        <f>IF(Stock!AI192="","",Stock!AI192)</f>
        <v/>
      </c>
      <c r="AM196" s="13" t="str">
        <f>IF(Stock!AJ192="","",Stock!AJ192)</f>
        <v/>
      </c>
      <c r="AN196" s="13" t="str">
        <f>IF(Stock!AK192="","",Stock!AK192)</f>
        <v/>
      </c>
      <c r="AO196" s="13" t="str">
        <f>IF(Stock!AL192="","",Stock!AL192)</f>
        <v/>
      </c>
      <c r="AP196" s="13" t="str">
        <f>IF(Stock!AM192="","",Stock!AM192)</f>
        <v/>
      </c>
      <c r="AQ196" s="13" t="str">
        <f>IF(Stock!AN192="","",Stock!AN192)</f>
        <v/>
      </c>
      <c r="AR196" s="13" t="str">
        <f>IF(Stock!AO192="","",Stock!AO192)</f>
        <v/>
      </c>
      <c r="AS196" s="13" t="str">
        <f>IF(Stock!AP192="","",Stock!AP192)</f>
        <v/>
      </c>
      <c r="AT196" s="13" t="str">
        <f>IF(Stock!AQ192="","",Stock!AQ192)</f>
        <v/>
      </c>
      <c r="AU196" s="13" t="str">
        <f>IF(Stock!AR192="","",Stock!AR192)</f>
        <v/>
      </c>
      <c r="AV196" s="13" t="str">
        <f>IF(Stock!AS192="","",Stock!AS192)</f>
        <v/>
      </c>
      <c r="AW196" s="13" t="str">
        <f>IF(Stock!AT192="","",Stock!AT192)</f>
        <v/>
      </c>
      <c r="AX196" s="13" t="str">
        <f>IF(Stock!AU192="","",Stock!AU192)</f>
        <v/>
      </c>
      <c r="AY196" s="13" t="str">
        <f>IF(Stock!AV192="","",Stock!AV192)</f>
        <v/>
      </c>
      <c r="AZ196" s="13" t="str">
        <f>IF(Stock!AW192="","",Stock!AW192)</f>
        <v/>
      </c>
      <c r="BA196" s="13" t="str">
        <f>IF(Stock!AX192="","",Stock!AX192)</f>
        <v/>
      </c>
      <c r="BB196" s="13" t="str">
        <f>IF(Stock!AY192="","",Stock!AY192)</f>
        <v/>
      </c>
      <c r="BC196" s="13" t="str">
        <f>IF(Stock!AZ192="","",Stock!AZ192)</f>
        <v/>
      </c>
      <c r="BD196" s="13" t="str">
        <f>IF(Stock!BA192="","",Stock!BA192)</f>
        <v/>
      </c>
      <c r="BE196" s="13" t="str">
        <f>IF(Stock!BB192="","",Stock!BB192)</f>
        <v/>
      </c>
      <c r="BF196" s="13" t="str">
        <f>IF(Stock!BC192="","",Stock!BC192)</f>
        <v/>
      </c>
    </row>
    <row r="197" spans="2:58" ht="14.25" customHeight="1" x14ac:dyDescent="0.3">
      <c r="B197" s="31"/>
      <c r="E197" s="13" t="str">
        <f>IF(Stock!B193="","",Stock!B193)</f>
        <v/>
      </c>
      <c r="F197" s="13" t="str">
        <f>IF(Stock!C193="","",Stock!C193)</f>
        <v/>
      </c>
      <c r="G197" s="13" t="str">
        <f>IF(Stock!D193="","",Stock!D193)</f>
        <v/>
      </c>
      <c r="H197" s="13" t="str">
        <f>IF(Stock!E193="","",Stock!E193)</f>
        <v/>
      </c>
      <c r="I197" s="13" t="str">
        <f>IF(Stock!F193="","",Stock!F193)</f>
        <v/>
      </c>
      <c r="J197" s="13" t="str">
        <f>IF(Stock!G193="","",Stock!G193)</f>
        <v/>
      </c>
      <c r="K197" s="13" t="str">
        <f>IF(Stock!H193="","",Stock!H193)</f>
        <v/>
      </c>
      <c r="L197" s="13" t="str">
        <f>IF(Stock!I193="","",Stock!I193)</f>
        <v/>
      </c>
      <c r="M197" s="13" t="str">
        <f>IF(Stock!J193="","",Stock!J193)</f>
        <v/>
      </c>
      <c r="N197" s="13" t="str">
        <f>IF(Stock!K193="","",Stock!K193)</f>
        <v/>
      </c>
      <c r="O197" s="13" t="str">
        <f>IF(Stock!L193="","",Stock!L193)</f>
        <v/>
      </c>
      <c r="P197" s="13" t="str">
        <f>IF(Stock!M193="","",Stock!M193)</f>
        <v/>
      </c>
      <c r="Q197" s="13" t="str">
        <f>IF(Stock!N193="","",Stock!N193)</f>
        <v/>
      </c>
      <c r="R197" s="13" t="str">
        <f>IF(Stock!O193="","",Stock!O193)</f>
        <v/>
      </c>
      <c r="S197" s="13" t="str">
        <f>IF(Stock!P193="","",Stock!P193)</f>
        <v/>
      </c>
      <c r="T197" s="13" t="str">
        <f>IF(Stock!Q193="","",Stock!Q193)</f>
        <v/>
      </c>
      <c r="U197" s="13" t="str">
        <f>IF(Stock!R193="","",Stock!R193)</f>
        <v/>
      </c>
      <c r="V197" s="13" t="str">
        <f>IF(Stock!S193="","",Stock!S193)</f>
        <v/>
      </c>
      <c r="W197" s="13" t="str">
        <f>IF(Stock!T193="","",Stock!T193)</f>
        <v/>
      </c>
      <c r="X197" s="13" t="str">
        <f>IF(Stock!U193="","",Stock!U193)</f>
        <v/>
      </c>
      <c r="Y197" s="13" t="str">
        <f>IF(Stock!V193="","",Stock!V193)</f>
        <v/>
      </c>
      <c r="Z197" s="13" t="str">
        <f>IF(Stock!W193="","",Stock!W193)</f>
        <v/>
      </c>
      <c r="AA197" s="13" t="str">
        <f>IF(Stock!X193="","",Stock!X193)</f>
        <v/>
      </c>
      <c r="AB197" s="13" t="str">
        <f>IF(Stock!Y193="","",Stock!Y193)</f>
        <v/>
      </c>
      <c r="AC197" s="13" t="str">
        <f>IF(Stock!Z193="","",Stock!Z193)</f>
        <v/>
      </c>
      <c r="AD197" s="13" t="str">
        <f>IF(Stock!AA193="","",Stock!AA193)</f>
        <v/>
      </c>
      <c r="AE197" s="13" t="str">
        <f>IF(Stock!AB193="","",Stock!AB193)</f>
        <v/>
      </c>
      <c r="AF197" s="13" t="str">
        <f>IF(Stock!AC193="","",Stock!AC193)</f>
        <v/>
      </c>
      <c r="AG197" s="13" t="str">
        <f>IF(Stock!AD193="","",Stock!AD193)</f>
        <v/>
      </c>
      <c r="AH197" s="13" t="str">
        <f>IF(Stock!AE193="","",Stock!AE193)</f>
        <v/>
      </c>
      <c r="AI197" s="13" t="str">
        <f>IF(Stock!AF193="","",Stock!AF193)</f>
        <v/>
      </c>
      <c r="AJ197" s="13" t="str">
        <f>IF(Stock!AG193="","",Stock!AG193)</f>
        <v/>
      </c>
      <c r="AK197" s="13" t="str">
        <f>IF(Stock!AH193="","",Stock!AH193)</f>
        <v/>
      </c>
      <c r="AL197" s="13" t="str">
        <f>IF(Stock!AI193="","",Stock!AI193)</f>
        <v/>
      </c>
      <c r="AM197" s="13" t="str">
        <f>IF(Stock!AJ193="","",Stock!AJ193)</f>
        <v/>
      </c>
      <c r="AN197" s="13" t="str">
        <f>IF(Stock!AK193="","",Stock!AK193)</f>
        <v/>
      </c>
      <c r="AO197" s="13" t="str">
        <f>IF(Stock!AL193="","",Stock!AL193)</f>
        <v/>
      </c>
      <c r="AP197" s="13" t="str">
        <f>IF(Stock!AM193="","",Stock!AM193)</f>
        <v/>
      </c>
      <c r="AQ197" s="13" t="str">
        <f>IF(Stock!AN193="","",Stock!AN193)</f>
        <v/>
      </c>
      <c r="AR197" s="13" t="str">
        <f>IF(Stock!AO193="","",Stock!AO193)</f>
        <v/>
      </c>
      <c r="AS197" s="13" t="str">
        <f>IF(Stock!AP193="","",Stock!AP193)</f>
        <v/>
      </c>
      <c r="AT197" s="13" t="str">
        <f>IF(Stock!AQ193="","",Stock!AQ193)</f>
        <v/>
      </c>
      <c r="AU197" s="13" t="str">
        <f>IF(Stock!AR193="","",Stock!AR193)</f>
        <v/>
      </c>
      <c r="AV197" s="13" t="str">
        <f>IF(Stock!AS193="","",Stock!AS193)</f>
        <v/>
      </c>
      <c r="AW197" s="13" t="str">
        <f>IF(Stock!AT193="","",Stock!AT193)</f>
        <v/>
      </c>
      <c r="AX197" s="13" t="str">
        <f>IF(Stock!AU193="","",Stock!AU193)</f>
        <v/>
      </c>
      <c r="AY197" s="13" t="str">
        <f>IF(Stock!AV193="","",Stock!AV193)</f>
        <v/>
      </c>
      <c r="AZ197" s="13" t="str">
        <f>IF(Stock!AW193="","",Stock!AW193)</f>
        <v/>
      </c>
      <c r="BA197" s="13" t="str">
        <f>IF(Stock!AX193="","",Stock!AX193)</f>
        <v/>
      </c>
      <c r="BB197" s="13" t="str">
        <f>IF(Stock!AY193="","",Stock!AY193)</f>
        <v/>
      </c>
      <c r="BC197" s="13" t="str">
        <f>IF(Stock!AZ193="","",Stock!AZ193)</f>
        <v/>
      </c>
      <c r="BD197" s="13" t="str">
        <f>IF(Stock!BA193="","",Stock!BA193)</f>
        <v/>
      </c>
      <c r="BE197" s="13" t="str">
        <f>IF(Stock!BB193="","",Stock!BB193)</f>
        <v/>
      </c>
      <c r="BF197" s="13" t="str">
        <f>IF(Stock!BC193="","",Stock!BC193)</f>
        <v/>
      </c>
    </row>
    <row r="198" spans="2:58" ht="14.25" customHeight="1" x14ac:dyDescent="0.3">
      <c r="B198" s="31"/>
      <c r="E198" s="13" t="str">
        <f>IF(Stock!B194="","",Stock!B194)</f>
        <v/>
      </c>
      <c r="F198" s="13" t="str">
        <f>IF(Stock!C194="","",Stock!C194)</f>
        <v/>
      </c>
      <c r="G198" s="13" t="str">
        <f>IF(Stock!D194="","",Stock!D194)</f>
        <v/>
      </c>
      <c r="H198" s="13" t="str">
        <f>IF(Stock!E194="","",Stock!E194)</f>
        <v/>
      </c>
      <c r="I198" s="13" t="str">
        <f>IF(Stock!F194="","",Stock!F194)</f>
        <v/>
      </c>
      <c r="J198" s="13" t="str">
        <f>IF(Stock!G194="","",Stock!G194)</f>
        <v/>
      </c>
      <c r="K198" s="13" t="str">
        <f>IF(Stock!H194="","",Stock!H194)</f>
        <v/>
      </c>
      <c r="L198" s="13" t="str">
        <f>IF(Stock!I194="","",Stock!I194)</f>
        <v/>
      </c>
      <c r="M198" s="13" t="str">
        <f>IF(Stock!J194="","",Stock!J194)</f>
        <v/>
      </c>
      <c r="N198" s="13" t="str">
        <f>IF(Stock!K194="","",Stock!K194)</f>
        <v/>
      </c>
      <c r="O198" s="13" t="str">
        <f>IF(Stock!L194="","",Stock!L194)</f>
        <v/>
      </c>
      <c r="P198" s="13" t="str">
        <f>IF(Stock!M194="","",Stock!M194)</f>
        <v/>
      </c>
      <c r="Q198" s="13" t="str">
        <f>IF(Stock!N194="","",Stock!N194)</f>
        <v/>
      </c>
      <c r="R198" s="13" t="str">
        <f>IF(Stock!O194="","",Stock!O194)</f>
        <v/>
      </c>
      <c r="S198" s="13" t="str">
        <f>IF(Stock!P194="","",Stock!P194)</f>
        <v/>
      </c>
      <c r="T198" s="13" t="str">
        <f>IF(Stock!Q194="","",Stock!Q194)</f>
        <v/>
      </c>
      <c r="U198" s="13" t="str">
        <f>IF(Stock!R194="","",Stock!R194)</f>
        <v/>
      </c>
      <c r="V198" s="13" t="str">
        <f>IF(Stock!S194="","",Stock!S194)</f>
        <v/>
      </c>
      <c r="W198" s="13" t="str">
        <f>IF(Stock!T194="","",Stock!T194)</f>
        <v/>
      </c>
      <c r="X198" s="13" t="str">
        <f>IF(Stock!U194="","",Stock!U194)</f>
        <v/>
      </c>
      <c r="Y198" s="13" t="str">
        <f>IF(Stock!V194="","",Stock!V194)</f>
        <v/>
      </c>
      <c r="Z198" s="13" t="str">
        <f>IF(Stock!W194="","",Stock!W194)</f>
        <v/>
      </c>
      <c r="AA198" s="13" t="str">
        <f>IF(Stock!X194="","",Stock!X194)</f>
        <v/>
      </c>
      <c r="AB198" s="13" t="str">
        <f>IF(Stock!Y194="","",Stock!Y194)</f>
        <v/>
      </c>
      <c r="AC198" s="13" t="str">
        <f>IF(Stock!Z194="","",Stock!Z194)</f>
        <v/>
      </c>
      <c r="AD198" s="13" t="str">
        <f>IF(Stock!AA194="","",Stock!AA194)</f>
        <v/>
      </c>
      <c r="AE198" s="13" t="str">
        <f>IF(Stock!AB194="","",Stock!AB194)</f>
        <v/>
      </c>
      <c r="AF198" s="13" t="str">
        <f>IF(Stock!AC194="","",Stock!AC194)</f>
        <v/>
      </c>
      <c r="AG198" s="13" t="str">
        <f>IF(Stock!AD194="","",Stock!AD194)</f>
        <v/>
      </c>
      <c r="AH198" s="13" t="str">
        <f>IF(Stock!AE194="","",Stock!AE194)</f>
        <v/>
      </c>
      <c r="AI198" s="13" t="str">
        <f>IF(Stock!AF194="","",Stock!AF194)</f>
        <v/>
      </c>
      <c r="AJ198" s="13" t="str">
        <f>IF(Stock!AG194="","",Stock!AG194)</f>
        <v/>
      </c>
      <c r="AK198" s="13" t="str">
        <f>IF(Stock!AH194="","",Stock!AH194)</f>
        <v/>
      </c>
      <c r="AL198" s="13" t="str">
        <f>IF(Stock!AI194="","",Stock!AI194)</f>
        <v/>
      </c>
      <c r="AM198" s="13" t="str">
        <f>IF(Stock!AJ194="","",Stock!AJ194)</f>
        <v/>
      </c>
      <c r="AN198" s="13" t="str">
        <f>IF(Stock!AK194="","",Stock!AK194)</f>
        <v/>
      </c>
      <c r="AO198" s="13" t="str">
        <f>IF(Stock!AL194="","",Stock!AL194)</f>
        <v/>
      </c>
      <c r="AP198" s="13" t="str">
        <f>IF(Stock!AM194="","",Stock!AM194)</f>
        <v/>
      </c>
      <c r="AQ198" s="13" t="str">
        <f>IF(Stock!AN194="","",Stock!AN194)</f>
        <v/>
      </c>
      <c r="AR198" s="13" t="str">
        <f>IF(Stock!AO194="","",Stock!AO194)</f>
        <v/>
      </c>
      <c r="AS198" s="13" t="str">
        <f>IF(Stock!AP194="","",Stock!AP194)</f>
        <v/>
      </c>
      <c r="AT198" s="13" t="str">
        <f>IF(Stock!AQ194="","",Stock!AQ194)</f>
        <v/>
      </c>
      <c r="AU198" s="13" t="str">
        <f>IF(Stock!AR194="","",Stock!AR194)</f>
        <v/>
      </c>
      <c r="AV198" s="13" t="str">
        <f>IF(Stock!AS194="","",Stock!AS194)</f>
        <v/>
      </c>
      <c r="AW198" s="13" t="str">
        <f>IF(Stock!AT194="","",Stock!AT194)</f>
        <v/>
      </c>
      <c r="AX198" s="13" t="str">
        <f>IF(Stock!AU194="","",Stock!AU194)</f>
        <v/>
      </c>
      <c r="AY198" s="13" t="str">
        <f>IF(Stock!AV194="","",Stock!AV194)</f>
        <v/>
      </c>
      <c r="AZ198" s="13" t="str">
        <f>IF(Stock!AW194="","",Stock!AW194)</f>
        <v/>
      </c>
      <c r="BA198" s="13" t="str">
        <f>IF(Stock!AX194="","",Stock!AX194)</f>
        <v/>
      </c>
      <c r="BB198" s="13" t="str">
        <f>IF(Stock!AY194="","",Stock!AY194)</f>
        <v/>
      </c>
      <c r="BC198" s="13" t="str">
        <f>IF(Stock!AZ194="","",Stock!AZ194)</f>
        <v/>
      </c>
      <c r="BD198" s="13" t="str">
        <f>IF(Stock!BA194="","",Stock!BA194)</f>
        <v/>
      </c>
      <c r="BE198" s="13" t="str">
        <f>IF(Stock!BB194="","",Stock!BB194)</f>
        <v/>
      </c>
      <c r="BF198" s="13" t="str">
        <f>IF(Stock!BC194="","",Stock!BC194)</f>
        <v/>
      </c>
    </row>
    <row r="199" spans="2:58" ht="14.25" customHeight="1" x14ac:dyDescent="0.3">
      <c r="B199" s="31"/>
      <c r="E199" s="13" t="str">
        <f>IF(Stock!B195="","",Stock!B195)</f>
        <v/>
      </c>
      <c r="F199" s="13" t="str">
        <f>IF(Stock!C195="","",Stock!C195)</f>
        <v/>
      </c>
      <c r="G199" s="13" t="str">
        <f>IF(Stock!D195="","",Stock!D195)</f>
        <v/>
      </c>
      <c r="H199" s="13" t="str">
        <f>IF(Stock!E195="","",Stock!E195)</f>
        <v/>
      </c>
      <c r="I199" s="13" t="str">
        <f>IF(Stock!F195="","",Stock!F195)</f>
        <v/>
      </c>
      <c r="J199" s="13" t="str">
        <f>IF(Stock!G195="","",Stock!G195)</f>
        <v/>
      </c>
      <c r="K199" s="13" t="str">
        <f>IF(Stock!H195="","",Stock!H195)</f>
        <v/>
      </c>
      <c r="L199" s="13" t="str">
        <f>IF(Stock!I195="","",Stock!I195)</f>
        <v/>
      </c>
      <c r="M199" s="13" t="str">
        <f>IF(Stock!J195="","",Stock!J195)</f>
        <v/>
      </c>
      <c r="N199" s="13" t="str">
        <f>IF(Stock!K195="","",Stock!K195)</f>
        <v/>
      </c>
      <c r="O199" s="13" t="str">
        <f>IF(Stock!L195="","",Stock!L195)</f>
        <v/>
      </c>
      <c r="P199" s="13" t="str">
        <f>IF(Stock!M195="","",Stock!M195)</f>
        <v/>
      </c>
      <c r="Q199" s="13" t="str">
        <f>IF(Stock!N195="","",Stock!N195)</f>
        <v/>
      </c>
      <c r="R199" s="13" t="str">
        <f>IF(Stock!O195="","",Stock!O195)</f>
        <v/>
      </c>
      <c r="S199" s="13" t="str">
        <f>IF(Stock!P195="","",Stock!P195)</f>
        <v/>
      </c>
      <c r="T199" s="13" t="str">
        <f>IF(Stock!Q195="","",Stock!Q195)</f>
        <v/>
      </c>
      <c r="U199" s="13" t="str">
        <f>IF(Stock!R195="","",Stock!R195)</f>
        <v/>
      </c>
      <c r="V199" s="13" t="str">
        <f>IF(Stock!S195="","",Stock!S195)</f>
        <v/>
      </c>
      <c r="W199" s="13" t="str">
        <f>IF(Stock!T195="","",Stock!T195)</f>
        <v/>
      </c>
      <c r="X199" s="13" t="str">
        <f>IF(Stock!U195="","",Stock!U195)</f>
        <v/>
      </c>
      <c r="Y199" s="13" t="str">
        <f>IF(Stock!V195="","",Stock!V195)</f>
        <v/>
      </c>
      <c r="Z199" s="13" t="str">
        <f>IF(Stock!W195="","",Stock!W195)</f>
        <v/>
      </c>
      <c r="AA199" s="13" t="str">
        <f>IF(Stock!X195="","",Stock!X195)</f>
        <v/>
      </c>
      <c r="AB199" s="13" t="str">
        <f>IF(Stock!Y195="","",Stock!Y195)</f>
        <v/>
      </c>
      <c r="AC199" s="13" t="str">
        <f>IF(Stock!Z195="","",Stock!Z195)</f>
        <v/>
      </c>
      <c r="AD199" s="13" t="str">
        <f>IF(Stock!AA195="","",Stock!AA195)</f>
        <v/>
      </c>
      <c r="AE199" s="13" t="str">
        <f>IF(Stock!AB195="","",Stock!AB195)</f>
        <v/>
      </c>
      <c r="AF199" s="13" t="str">
        <f>IF(Stock!AC195="","",Stock!AC195)</f>
        <v/>
      </c>
      <c r="AG199" s="13" t="str">
        <f>IF(Stock!AD195="","",Stock!AD195)</f>
        <v/>
      </c>
      <c r="AH199" s="13" t="str">
        <f>IF(Stock!AE195="","",Stock!AE195)</f>
        <v/>
      </c>
      <c r="AI199" s="13" t="str">
        <f>IF(Stock!AF195="","",Stock!AF195)</f>
        <v/>
      </c>
      <c r="AJ199" s="13" t="str">
        <f>IF(Stock!AG195="","",Stock!AG195)</f>
        <v/>
      </c>
      <c r="AK199" s="13" t="str">
        <f>IF(Stock!AH195="","",Stock!AH195)</f>
        <v/>
      </c>
      <c r="AL199" s="13" t="str">
        <f>IF(Stock!AI195="","",Stock!AI195)</f>
        <v/>
      </c>
      <c r="AM199" s="13" t="str">
        <f>IF(Stock!AJ195="","",Stock!AJ195)</f>
        <v/>
      </c>
      <c r="AN199" s="13" t="str">
        <f>IF(Stock!AK195="","",Stock!AK195)</f>
        <v/>
      </c>
      <c r="AO199" s="13" t="str">
        <f>IF(Stock!AL195="","",Stock!AL195)</f>
        <v/>
      </c>
      <c r="AP199" s="13" t="str">
        <f>IF(Stock!AM195="","",Stock!AM195)</f>
        <v/>
      </c>
      <c r="AQ199" s="13" t="str">
        <f>IF(Stock!AN195="","",Stock!AN195)</f>
        <v/>
      </c>
      <c r="AR199" s="13" t="str">
        <f>IF(Stock!AO195="","",Stock!AO195)</f>
        <v/>
      </c>
      <c r="AS199" s="13" t="str">
        <f>IF(Stock!AP195="","",Stock!AP195)</f>
        <v/>
      </c>
      <c r="AT199" s="13" t="str">
        <f>IF(Stock!AQ195="","",Stock!AQ195)</f>
        <v/>
      </c>
      <c r="AU199" s="13" t="str">
        <f>IF(Stock!AR195="","",Stock!AR195)</f>
        <v/>
      </c>
      <c r="AV199" s="13" t="str">
        <f>IF(Stock!AS195="","",Stock!AS195)</f>
        <v/>
      </c>
      <c r="AW199" s="13" t="str">
        <f>IF(Stock!AT195="","",Stock!AT195)</f>
        <v/>
      </c>
      <c r="AX199" s="13" t="str">
        <f>IF(Stock!AU195="","",Stock!AU195)</f>
        <v/>
      </c>
      <c r="AY199" s="13" t="str">
        <f>IF(Stock!AV195="","",Stock!AV195)</f>
        <v/>
      </c>
      <c r="AZ199" s="13" t="str">
        <f>IF(Stock!AW195="","",Stock!AW195)</f>
        <v/>
      </c>
      <c r="BA199" s="13" t="str">
        <f>IF(Stock!AX195="","",Stock!AX195)</f>
        <v/>
      </c>
      <c r="BB199" s="13" t="str">
        <f>IF(Stock!AY195="","",Stock!AY195)</f>
        <v/>
      </c>
      <c r="BC199" s="13" t="str">
        <f>IF(Stock!AZ195="","",Stock!AZ195)</f>
        <v/>
      </c>
      <c r="BD199" s="13" t="str">
        <f>IF(Stock!BA195="","",Stock!BA195)</f>
        <v/>
      </c>
      <c r="BE199" s="13" t="str">
        <f>IF(Stock!BB195="","",Stock!BB195)</f>
        <v/>
      </c>
      <c r="BF199" s="13" t="str">
        <f>IF(Stock!BC195="","",Stock!BC195)</f>
        <v/>
      </c>
    </row>
    <row r="200" spans="2:58" ht="14.25" customHeight="1" x14ac:dyDescent="0.3">
      <c r="B200" s="31"/>
      <c r="E200" s="13" t="str">
        <f>IF(Stock!B196="","",Stock!B196)</f>
        <v/>
      </c>
      <c r="F200" s="13" t="str">
        <f>IF(Stock!C196="","",Stock!C196)</f>
        <v/>
      </c>
      <c r="G200" s="13" t="str">
        <f>IF(Stock!D196="","",Stock!D196)</f>
        <v/>
      </c>
      <c r="H200" s="13" t="str">
        <f>IF(Stock!E196="","",Stock!E196)</f>
        <v/>
      </c>
      <c r="I200" s="13" t="str">
        <f>IF(Stock!F196="","",Stock!F196)</f>
        <v/>
      </c>
      <c r="J200" s="13" t="str">
        <f>IF(Stock!G196="","",Stock!G196)</f>
        <v/>
      </c>
      <c r="K200" s="13" t="str">
        <f>IF(Stock!H196="","",Stock!H196)</f>
        <v/>
      </c>
      <c r="L200" s="13" t="str">
        <f>IF(Stock!I196="","",Stock!I196)</f>
        <v/>
      </c>
      <c r="M200" s="13" t="str">
        <f>IF(Stock!J196="","",Stock!J196)</f>
        <v/>
      </c>
      <c r="N200" s="13" t="str">
        <f>IF(Stock!K196="","",Stock!K196)</f>
        <v/>
      </c>
      <c r="O200" s="13" t="str">
        <f>IF(Stock!L196="","",Stock!L196)</f>
        <v/>
      </c>
      <c r="P200" s="13" t="str">
        <f>IF(Stock!M196="","",Stock!M196)</f>
        <v/>
      </c>
      <c r="Q200" s="13" t="str">
        <f>IF(Stock!N196="","",Stock!N196)</f>
        <v/>
      </c>
      <c r="R200" s="13" t="str">
        <f>IF(Stock!O196="","",Stock!O196)</f>
        <v/>
      </c>
      <c r="S200" s="13" t="str">
        <f>IF(Stock!P196="","",Stock!P196)</f>
        <v/>
      </c>
      <c r="T200" s="13" t="str">
        <f>IF(Stock!Q196="","",Stock!Q196)</f>
        <v/>
      </c>
      <c r="U200" s="13" t="str">
        <f>IF(Stock!R196="","",Stock!R196)</f>
        <v/>
      </c>
      <c r="V200" s="13" t="str">
        <f>IF(Stock!S196="","",Stock!S196)</f>
        <v/>
      </c>
      <c r="W200" s="13" t="str">
        <f>IF(Stock!T196="","",Stock!T196)</f>
        <v/>
      </c>
      <c r="X200" s="13" t="str">
        <f>IF(Stock!U196="","",Stock!U196)</f>
        <v/>
      </c>
      <c r="Y200" s="13" t="str">
        <f>IF(Stock!V196="","",Stock!V196)</f>
        <v/>
      </c>
      <c r="Z200" s="13" t="str">
        <f>IF(Stock!W196="","",Stock!W196)</f>
        <v/>
      </c>
      <c r="AA200" s="13" t="str">
        <f>IF(Stock!X196="","",Stock!X196)</f>
        <v/>
      </c>
      <c r="AB200" s="13" t="str">
        <f>IF(Stock!Y196="","",Stock!Y196)</f>
        <v/>
      </c>
      <c r="AC200" s="13" t="str">
        <f>IF(Stock!Z196="","",Stock!Z196)</f>
        <v/>
      </c>
      <c r="AD200" s="13" t="str">
        <f>IF(Stock!AA196="","",Stock!AA196)</f>
        <v/>
      </c>
      <c r="AE200" s="13" t="str">
        <f>IF(Stock!AB196="","",Stock!AB196)</f>
        <v/>
      </c>
      <c r="AF200" s="13" t="str">
        <f>IF(Stock!AC196="","",Stock!AC196)</f>
        <v/>
      </c>
      <c r="AG200" s="13" t="str">
        <f>IF(Stock!AD196="","",Stock!AD196)</f>
        <v/>
      </c>
      <c r="AH200" s="13" t="str">
        <f>IF(Stock!AE196="","",Stock!AE196)</f>
        <v/>
      </c>
      <c r="AI200" s="13" t="str">
        <f>IF(Stock!AF196="","",Stock!AF196)</f>
        <v/>
      </c>
      <c r="AJ200" s="13" t="str">
        <f>IF(Stock!AG196="","",Stock!AG196)</f>
        <v/>
      </c>
      <c r="AK200" s="13" t="str">
        <f>IF(Stock!AH196="","",Stock!AH196)</f>
        <v/>
      </c>
      <c r="AL200" s="13" t="str">
        <f>IF(Stock!AI196="","",Stock!AI196)</f>
        <v/>
      </c>
      <c r="AM200" s="13" t="str">
        <f>IF(Stock!AJ196="","",Stock!AJ196)</f>
        <v/>
      </c>
      <c r="AN200" s="13" t="str">
        <f>IF(Stock!AK196="","",Stock!AK196)</f>
        <v/>
      </c>
      <c r="AO200" s="13" t="str">
        <f>IF(Stock!AL196="","",Stock!AL196)</f>
        <v/>
      </c>
      <c r="AP200" s="13" t="str">
        <f>IF(Stock!AM196="","",Stock!AM196)</f>
        <v/>
      </c>
      <c r="AQ200" s="13" t="str">
        <f>IF(Stock!AN196="","",Stock!AN196)</f>
        <v/>
      </c>
      <c r="AR200" s="13" t="str">
        <f>IF(Stock!AO196="","",Stock!AO196)</f>
        <v/>
      </c>
      <c r="AS200" s="13" t="str">
        <f>IF(Stock!AP196="","",Stock!AP196)</f>
        <v/>
      </c>
      <c r="AT200" s="13" t="str">
        <f>IF(Stock!AQ196="","",Stock!AQ196)</f>
        <v/>
      </c>
      <c r="AU200" s="13" t="str">
        <f>IF(Stock!AR196="","",Stock!AR196)</f>
        <v/>
      </c>
      <c r="AV200" s="13" t="str">
        <f>IF(Stock!AS196="","",Stock!AS196)</f>
        <v/>
      </c>
      <c r="AW200" s="13" t="str">
        <f>IF(Stock!AT196="","",Stock!AT196)</f>
        <v/>
      </c>
      <c r="AX200" s="13" t="str">
        <f>IF(Stock!AU196="","",Stock!AU196)</f>
        <v/>
      </c>
      <c r="AY200" s="13" t="str">
        <f>IF(Stock!AV196="","",Stock!AV196)</f>
        <v/>
      </c>
      <c r="AZ200" s="13" t="str">
        <f>IF(Stock!AW196="","",Stock!AW196)</f>
        <v/>
      </c>
      <c r="BA200" s="13" t="str">
        <f>IF(Stock!AX196="","",Stock!AX196)</f>
        <v/>
      </c>
      <c r="BB200" s="13" t="str">
        <f>IF(Stock!AY196="","",Stock!AY196)</f>
        <v/>
      </c>
      <c r="BC200" s="13" t="str">
        <f>IF(Stock!AZ196="","",Stock!AZ196)</f>
        <v/>
      </c>
      <c r="BD200" s="13" t="str">
        <f>IF(Stock!BA196="","",Stock!BA196)</f>
        <v/>
      </c>
      <c r="BE200" s="13" t="str">
        <f>IF(Stock!BB196="","",Stock!BB196)</f>
        <v/>
      </c>
      <c r="BF200" s="13" t="str">
        <f>IF(Stock!BC196="","",Stock!BC196)</f>
        <v/>
      </c>
    </row>
    <row r="201" spans="2:58" ht="14.25" customHeight="1" x14ac:dyDescent="0.3">
      <c r="B201" s="31"/>
      <c r="E201" s="13" t="str">
        <f>IF(Stock!B197="","",Stock!B197)</f>
        <v/>
      </c>
      <c r="F201" s="13" t="str">
        <f>IF(Stock!C197="","",Stock!C197)</f>
        <v/>
      </c>
      <c r="G201" s="13" t="str">
        <f>IF(Stock!D197="","",Stock!D197)</f>
        <v/>
      </c>
      <c r="H201" s="13" t="str">
        <f>IF(Stock!E197="","",Stock!E197)</f>
        <v/>
      </c>
      <c r="I201" s="13" t="str">
        <f>IF(Stock!F197="","",Stock!F197)</f>
        <v/>
      </c>
      <c r="J201" s="13" t="str">
        <f>IF(Stock!G197="","",Stock!G197)</f>
        <v/>
      </c>
      <c r="K201" s="13" t="str">
        <f>IF(Stock!H197="","",Stock!H197)</f>
        <v/>
      </c>
      <c r="L201" s="13" t="str">
        <f>IF(Stock!I197="","",Stock!I197)</f>
        <v/>
      </c>
      <c r="M201" s="13" t="str">
        <f>IF(Stock!J197="","",Stock!J197)</f>
        <v/>
      </c>
      <c r="N201" s="13" t="str">
        <f>IF(Stock!K197="","",Stock!K197)</f>
        <v/>
      </c>
      <c r="O201" s="13" t="str">
        <f>IF(Stock!L197="","",Stock!L197)</f>
        <v/>
      </c>
      <c r="P201" s="13" t="str">
        <f>IF(Stock!M197="","",Stock!M197)</f>
        <v/>
      </c>
      <c r="Q201" s="13" t="str">
        <f>IF(Stock!N197="","",Stock!N197)</f>
        <v/>
      </c>
      <c r="R201" s="13" t="str">
        <f>IF(Stock!O197="","",Stock!O197)</f>
        <v/>
      </c>
      <c r="S201" s="13" t="str">
        <f>IF(Stock!P197="","",Stock!P197)</f>
        <v/>
      </c>
      <c r="T201" s="13" t="str">
        <f>IF(Stock!Q197="","",Stock!Q197)</f>
        <v/>
      </c>
      <c r="U201" s="13" t="str">
        <f>IF(Stock!R197="","",Stock!R197)</f>
        <v/>
      </c>
      <c r="V201" s="13" t="str">
        <f>IF(Stock!S197="","",Stock!S197)</f>
        <v/>
      </c>
      <c r="W201" s="13" t="str">
        <f>IF(Stock!T197="","",Stock!T197)</f>
        <v/>
      </c>
      <c r="X201" s="13" t="str">
        <f>IF(Stock!U197="","",Stock!U197)</f>
        <v/>
      </c>
      <c r="Y201" s="13" t="str">
        <f>IF(Stock!V197="","",Stock!V197)</f>
        <v/>
      </c>
      <c r="Z201" s="13" t="str">
        <f>IF(Stock!W197="","",Stock!W197)</f>
        <v/>
      </c>
      <c r="AA201" s="13" t="str">
        <f>IF(Stock!X197="","",Stock!X197)</f>
        <v/>
      </c>
      <c r="AB201" s="13" t="str">
        <f>IF(Stock!Y197="","",Stock!Y197)</f>
        <v/>
      </c>
      <c r="AC201" s="13" t="str">
        <f>IF(Stock!Z197="","",Stock!Z197)</f>
        <v/>
      </c>
      <c r="AD201" s="13" t="str">
        <f>IF(Stock!AA197="","",Stock!AA197)</f>
        <v/>
      </c>
      <c r="AE201" s="13" t="str">
        <f>IF(Stock!AB197="","",Stock!AB197)</f>
        <v/>
      </c>
      <c r="AF201" s="13" t="str">
        <f>IF(Stock!AC197="","",Stock!AC197)</f>
        <v/>
      </c>
      <c r="AG201" s="13" t="str">
        <f>IF(Stock!AD197="","",Stock!AD197)</f>
        <v/>
      </c>
      <c r="AH201" s="13" t="str">
        <f>IF(Stock!AE197="","",Stock!AE197)</f>
        <v/>
      </c>
      <c r="AI201" s="13" t="str">
        <f>IF(Stock!AF197="","",Stock!AF197)</f>
        <v/>
      </c>
      <c r="AJ201" s="13" t="str">
        <f>IF(Stock!AG197="","",Stock!AG197)</f>
        <v/>
      </c>
      <c r="AK201" s="13" t="str">
        <f>IF(Stock!AH197="","",Stock!AH197)</f>
        <v/>
      </c>
      <c r="AL201" s="13" t="str">
        <f>IF(Stock!AI197="","",Stock!AI197)</f>
        <v/>
      </c>
      <c r="AM201" s="13" t="str">
        <f>IF(Stock!AJ197="","",Stock!AJ197)</f>
        <v/>
      </c>
      <c r="AN201" s="13" t="str">
        <f>IF(Stock!AK197="","",Stock!AK197)</f>
        <v/>
      </c>
      <c r="AO201" s="13" t="str">
        <f>IF(Stock!AL197="","",Stock!AL197)</f>
        <v/>
      </c>
      <c r="AP201" s="13" t="str">
        <f>IF(Stock!AM197="","",Stock!AM197)</f>
        <v/>
      </c>
      <c r="AQ201" s="13" t="str">
        <f>IF(Stock!AN197="","",Stock!AN197)</f>
        <v/>
      </c>
      <c r="AR201" s="13" t="str">
        <f>IF(Stock!AO197="","",Stock!AO197)</f>
        <v/>
      </c>
      <c r="AS201" s="13" t="str">
        <f>IF(Stock!AP197="","",Stock!AP197)</f>
        <v/>
      </c>
      <c r="AT201" s="13" t="str">
        <f>IF(Stock!AQ197="","",Stock!AQ197)</f>
        <v/>
      </c>
      <c r="AU201" s="13" t="str">
        <f>IF(Stock!AR197="","",Stock!AR197)</f>
        <v/>
      </c>
      <c r="AV201" s="13" t="str">
        <f>IF(Stock!AS197="","",Stock!AS197)</f>
        <v/>
      </c>
      <c r="AW201" s="13" t="str">
        <f>IF(Stock!AT197="","",Stock!AT197)</f>
        <v/>
      </c>
      <c r="AX201" s="13" t="str">
        <f>IF(Stock!AU197="","",Stock!AU197)</f>
        <v/>
      </c>
      <c r="AY201" s="13" t="str">
        <f>IF(Stock!AV197="","",Stock!AV197)</f>
        <v/>
      </c>
      <c r="AZ201" s="13" t="str">
        <f>IF(Stock!AW197="","",Stock!AW197)</f>
        <v/>
      </c>
      <c r="BA201" s="13" t="str">
        <f>IF(Stock!AX197="","",Stock!AX197)</f>
        <v/>
      </c>
      <c r="BB201" s="13" t="str">
        <f>IF(Stock!AY197="","",Stock!AY197)</f>
        <v/>
      </c>
      <c r="BC201" s="13" t="str">
        <f>IF(Stock!AZ197="","",Stock!AZ197)</f>
        <v/>
      </c>
      <c r="BD201" s="13" t="str">
        <f>IF(Stock!BA197="","",Stock!BA197)</f>
        <v/>
      </c>
      <c r="BE201" s="13" t="str">
        <f>IF(Stock!BB197="","",Stock!BB197)</f>
        <v/>
      </c>
      <c r="BF201" s="13" t="str">
        <f>IF(Stock!BC197="","",Stock!BC197)</f>
        <v/>
      </c>
    </row>
    <row r="202" spans="2:58" ht="14.25" customHeight="1" x14ac:dyDescent="0.3">
      <c r="E202" s="13" t="str">
        <f>IF(Stock!B198="","",Stock!B198)</f>
        <v/>
      </c>
      <c r="F202" s="13" t="str">
        <f>IF(Stock!C198="","",Stock!C198)</f>
        <v/>
      </c>
      <c r="G202" s="13" t="str">
        <f>IF(Stock!D198="","",Stock!D198)</f>
        <v/>
      </c>
      <c r="H202" s="13" t="str">
        <f>IF(Stock!E198="","",Stock!E198)</f>
        <v/>
      </c>
      <c r="I202" s="13" t="str">
        <f>IF(Stock!F198="","",Stock!F198)</f>
        <v/>
      </c>
      <c r="J202" s="13" t="str">
        <f>IF(Stock!G198="","",Stock!G198)</f>
        <v/>
      </c>
      <c r="K202" s="13" t="str">
        <f>IF(Stock!H198="","",Stock!H198)</f>
        <v/>
      </c>
      <c r="L202" s="13" t="str">
        <f>IF(Stock!I198="","",Stock!I198)</f>
        <v/>
      </c>
      <c r="M202" s="13" t="str">
        <f>IF(Stock!J198="","",Stock!J198)</f>
        <v/>
      </c>
      <c r="N202" s="13" t="str">
        <f>IF(Stock!K198="","",Stock!K198)</f>
        <v/>
      </c>
      <c r="O202" s="13" t="str">
        <f>IF(Stock!L198="","",Stock!L198)</f>
        <v/>
      </c>
      <c r="P202" s="13" t="str">
        <f>IF(Stock!M198="","",Stock!M198)</f>
        <v/>
      </c>
      <c r="Q202" s="13" t="str">
        <f>IF(Stock!N198="","",Stock!N198)</f>
        <v/>
      </c>
      <c r="R202" s="13" t="str">
        <f>IF(Stock!O198="","",Stock!O198)</f>
        <v/>
      </c>
      <c r="S202" s="13" t="str">
        <f>IF(Stock!P198="","",Stock!P198)</f>
        <v/>
      </c>
      <c r="T202" s="13" t="str">
        <f>IF(Stock!Q198="","",Stock!Q198)</f>
        <v/>
      </c>
      <c r="U202" s="13" t="str">
        <f>IF(Stock!R198="","",Stock!R198)</f>
        <v/>
      </c>
      <c r="V202" s="13" t="str">
        <f>IF(Stock!S198="","",Stock!S198)</f>
        <v/>
      </c>
      <c r="W202" s="13" t="str">
        <f>IF(Stock!T198="","",Stock!T198)</f>
        <v/>
      </c>
      <c r="X202" s="13" t="str">
        <f>IF(Stock!U198="","",Stock!U198)</f>
        <v/>
      </c>
      <c r="Y202" s="13" t="str">
        <f>IF(Stock!V198="","",Stock!V198)</f>
        <v/>
      </c>
      <c r="Z202" s="13" t="str">
        <f>IF(Stock!W198="","",Stock!W198)</f>
        <v/>
      </c>
      <c r="AA202" s="13" t="str">
        <f>IF(Stock!X198="","",Stock!X198)</f>
        <v/>
      </c>
      <c r="AB202" s="13" t="str">
        <f>IF(Stock!Y198="","",Stock!Y198)</f>
        <v/>
      </c>
      <c r="AC202" s="13" t="str">
        <f>IF(Stock!Z198="","",Stock!Z198)</f>
        <v/>
      </c>
      <c r="AD202" s="13" t="str">
        <f>IF(Stock!AA198="","",Stock!AA198)</f>
        <v/>
      </c>
      <c r="AE202" s="13" t="str">
        <f>IF(Stock!AB198="","",Stock!AB198)</f>
        <v/>
      </c>
      <c r="AF202" s="13" t="str">
        <f>IF(Stock!AC198="","",Stock!AC198)</f>
        <v/>
      </c>
      <c r="AG202" s="13" t="str">
        <f>IF(Stock!AD198="","",Stock!AD198)</f>
        <v/>
      </c>
      <c r="AH202" s="13" t="str">
        <f>IF(Stock!AE198="","",Stock!AE198)</f>
        <v/>
      </c>
      <c r="AI202" s="13" t="str">
        <f>IF(Stock!AF198="","",Stock!AF198)</f>
        <v/>
      </c>
      <c r="AJ202" s="13" t="str">
        <f>IF(Stock!AG198="","",Stock!AG198)</f>
        <v/>
      </c>
      <c r="AK202" s="13" t="str">
        <f>IF(Stock!AH198="","",Stock!AH198)</f>
        <v/>
      </c>
      <c r="AL202" s="13" t="str">
        <f>IF(Stock!AI198="","",Stock!AI198)</f>
        <v/>
      </c>
      <c r="AM202" s="13" t="str">
        <f>IF(Stock!AJ198="","",Stock!AJ198)</f>
        <v/>
      </c>
      <c r="AN202" s="13" t="str">
        <f>IF(Stock!AK198="","",Stock!AK198)</f>
        <v/>
      </c>
      <c r="AO202" s="13" t="str">
        <f>IF(Stock!AL198="","",Stock!AL198)</f>
        <v/>
      </c>
      <c r="AP202" s="13" t="str">
        <f>IF(Stock!AM198="","",Stock!AM198)</f>
        <v/>
      </c>
      <c r="AQ202" s="13" t="str">
        <f>IF(Stock!AN198="","",Stock!AN198)</f>
        <v/>
      </c>
      <c r="AR202" s="13" t="str">
        <f>IF(Stock!AO198="","",Stock!AO198)</f>
        <v/>
      </c>
      <c r="AS202" s="13" t="str">
        <f>IF(Stock!AP198="","",Stock!AP198)</f>
        <v/>
      </c>
      <c r="AT202" s="13" t="str">
        <f>IF(Stock!AQ198="","",Stock!AQ198)</f>
        <v/>
      </c>
      <c r="AU202" s="13" t="str">
        <f>IF(Stock!AR198="","",Stock!AR198)</f>
        <v/>
      </c>
      <c r="AV202" s="13" t="str">
        <f>IF(Stock!AS198="","",Stock!AS198)</f>
        <v/>
      </c>
      <c r="AW202" s="13" t="str">
        <f>IF(Stock!AT198="","",Stock!AT198)</f>
        <v/>
      </c>
      <c r="AX202" s="13" t="str">
        <f>IF(Stock!AU198="","",Stock!AU198)</f>
        <v/>
      </c>
      <c r="AY202" s="13" t="str">
        <f>IF(Stock!AV198="","",Stock!AV198)</f>
        <v/>
      </c>
      <c r="AZ202" s="13" t="str">
        <f>IF(Stock!AW198="","",Stock!AW198)</f>
        <v/>
      </c>
      <c r="BA202" s="13" t="str">
        <f>IF(Stock!AX198="","",Stock!AX198)</f>
        <v/>
      </c>
      <c r="BB202" s="13" t="str">
        <f>IF(Stock!AY198="","",Stock!AY198)</f>
        <v/>
      </c>
      <c r="BC202" s="13" t="str">
        <f>IF(Stock!AZ198="","",Stock!AZ198)</f>
        <v/>
      </c>
      <c r="BD202" s="13" t="str">
        <f>IF(Stock!BA198="","",Stock!BA198)</f>
        <v/>
      </c>
      <c r="BE202" s="13" t="str">
        <f>IF(Stock!BB198="","",Stock!BB198)</f>
        <v/>
      </c>
      <c r="BF202" s="13" t="str">
        <f>IF(Stock!BC198="","",Stock!BC198)</f>
        <v/>
      </c>
    </row>
    <row r="203" spans="2:58" ht="14.25" customHeight="1" x14ac:dyDescent="0.3">
      <c r="E203" s="13" t="str">
        <f>IF(Stock!B199="","",Stock!B199)</f>
        <v/>
      </c>
      <c r="F203" s="13" t="str">
        <f>IF(Stock!C199="","",Stock!C199)</f>
        <v/>
      </c>
      <c r="G203" s="13" t="str">
        <f>IF(Stock!D199="","",Stock!D199)</f>
        <v/>
      </c>
      <c r="H203" s="13" t="str">
        <f>IF(Stock!E199="","",Stock!E199)</f>
        <v/>
      </c>
      <c r="I203" s="13" t="str">
        <f>IF(Stock!F199="","",Stock!F199)</f>
        <v/>
      </c>
      <c r="J203" s="13" t="str">
        <f>IF(Stock!G199="","",Stock!G199)</f>
        <v/>
      </c>
      <c r="K203" s="13" t="str">
        <f>IF(Stock!H199="","",Stock!H199)</f>
        <v/>
      </c>
      <c r="L203" s="13" t="str">
        <f>IF(Stock!I199="","",Stock!I199)</f>
        <v/>
      </c>
      <c r="M203" s="13" t="str">
        <f>IF(Stock!J199="","",Stock!J199)</f>
        <v/>
      </c>
      <c r="N203" s="13" t="str">
        <f>IF(Stock!K199="","",Stock!K199)</f>
        <v/>
      </c>
      <c r="O203" s="13" t="str">
        <f>IF(Stock!L199="","",Stock!L199)</f>
        <v/>
      </c>
      <c r="P203" s="13" t="str">
        <f>IF(Stock!M199="","",Stock!M199)</f>
        <v/>
      </c>
      <c r="Q203" s="13" t="str">
        <f>IF(Stock!N199="","",Stock!N199)</f>
        <v/>
      </c>
      <c r="R203" s="13" t="str">
        <f>IF(Stock!O199="","",Stock!O199)</f>
        <v/>
      </c>
      <c r="S203" s="13" t="str">
        <f>IF(Stock!P199="","",Stock!P199)</f>
        <v/>
      </c>
      <c r="T203" s="13" t="str">
        <f>IF(Stock!Q199="","",Stock!Q199)</f>
        <v/>
      </c>
      <c r="U203" s="13" t="str">
        <f>IF(Stock!R199="","",Stock!R199)</f>
        <v/>
      </c>
      <c r="V203" s="13" t="str">
        <f>IF(Stock!S199="","",Stock!S199)</f>
        <v/>
      </c>
      <c r="W203" s="13" t="str">
        <f>IF(Stock!T199="","",Stock!T199)</f>
        <v/>
      </c>
      <c r="X203" s="13" t="str">
        <f>IF(Stock!U199="","",Stock!U199)</f>
        <v/>
      </c>
      <c r="Y203" s="13" t="str">
        <f>IF(Stock!V199="","",Stock!V199)</f>
        <v/>
      </c>
      <c r="Z203" s="13" t="str">
        <f>IF(Stock!W199="","",Stock!W199)</f>
        <v/>
      </c>
      <c r="AA203" s="13" t="str">
        <f>IF(Stock!X199="","",Stock!X199)</f>
        <v/>
      </c>
      <c r="AB203" s="13" t="str">
        <f>IF(Stock!Y199="","",Stock!Y199)</f>
        <v/>
      </c>
      <c r="AC203" s="13" t="str">
        <f>IF(Stock!Z199="","",Stock!Z199)</f>
        <v/>
      </c>
      <c r="AD203" s="13" t="str">
        <f>IF(Stock!AA199="","",Stock!AA199)</f>
        <v/>
      </c>
      <c r="AE203" s="13" t="str">
        <f>IF(Stock!AB199="","",Stock!AB199)</f>
        <v/>
      </c>
      <c r="AF203" s="13" t="str">
        <f>IF(Stock!AC199="","",Stock!AC199)</f>
        <v/>
      </c>
      <c r="AG203" s="13" t="str">
        <f>IF(Stock!AD199="","",Stock!AD199)</f>
        <v/>
      </c>
      <c r="AH203" s="13" t="str">
        <f>IF(Stock!AE199="","",Stock!AE199)</f>
        <v/>
      </c>
      <c r="AI203" s="13" t="str">
        <f>IF(Stock!AF199="","",Stock!AF199)</f>
        <v/>
      </c>
      <c r="AJ203" s="13" t="str">
        <f>IF(Stock!AG199="","",Stock!AG199)</f>
        <v/>
      </c>
      <c r="AK203" s="13" t="str">
        <f>IF(Stock!AH199="","",Stock!AH199)</f>
        <v/>
      </c>
      <c r="AL203" s="13" t="str">
        <f>IF(Stock!AI199="","",Stock!AI199)</f>
        <v/>
      </c>
      <c r="AM203" s="13" t="str">
        <f>IF(Stock!AJ199="","",Stock!AJ199)</f>
        <v/>
      </c>
      <c r="AN203" s="13" t="str">
        <f>IF(Stock!AK199="","",Stock!AK199)</f>
        <v/>
      </c>
      <c r="AO203" s="13" t="str">
        <f>IF(Stock!AL199="","",Stock!AL199)</f>
        <v/>
      </c>
      <c r="AP203" s="13" t="str">
        <f>IF(Stock!AM199="","",Stock!AM199)</f>
        <v/>
      </c>
      <c r="AQ203" s="13" t="str">
        <f>IF(Stock!AN199="","",Stock!AN199)</f>
        <v/>
      </c>
      <c r="AR203" s="13" t="str">
        <f>IF(Stock!AO199="","",Stock!AO199)</f>
        <v/>
      </c>
      <c r="AS203" s="13" t="str">
        <f>IF(Stock!AP199="","",Stock!AP199)</f>
        <v/>
      </c>
      <c r="AT203" s="13" t="str">
        <f>IF(Stock!AQ199="","",Stock!AQ199)</f>
        <v/>
      </c>
      <c r="AU203" s="13" t="str">
        <f>IF(Stock!AR199="","",Stock!AR199)</f>
        <v/>
      </c>
      <c r="AV203" s="13" t="str">
        <f>IF(Stock!AS199="","",Stock!AS199)</f>
        <v/>
      </c>
      <c r="AW203" s="13" t="str">
        <f>IF(Stock!AT199="","",Stock!AT199)</f>
        <v/>
      </c>
      <c r="AX203" s="13" t="str">
        <f>IF(Stock!AU199="","",Stock!AU199)</f>
        <v/>
      </c>
      <c r="AY203" s="13" t="str">
        <f>IF(Stock!AV199="","",Stock!AV199)</f>
        <v/>
      </c>
      <c r="AZ203" s="13" t="str">
        <f>IF(Stock!AW199="","",Stock!AW199)</f>
        <v/>
      </c>
      <c r="BA203" s="13" t="str">
        <f>IF(Stock!AX199="","",Stock!AX199)</f>
        <v/>
      </c>
      <c r="BB203" s="13" t="str">
        <f>IF(Stock!AY199="","",Stock!AY199)</f>
        <v/>
      </c>
      <c r="BC203" s="13" t="str">
        <f>IF(Stock!AZ199="","",Stock!AZ199)</f>
        <v/>
      </c>
      <c r="BD203" s="13" t="str">
        <f>IF(Stock!BA199="","",Stock!BA199)</f>
        <v/>
      </c>
      <c r="BE203" s="13" t="str">
        <f>IF(Stock!BB199="","",Stock!BB199)</f>
        <v/>
      </c>
      <c r="BF203" s="13" t="str">
        <f>IF(Stock!BC199="","",Stock!BC199)</f>
        <v/>
      </c>
    </row>
    <row r="204" spans="2:58" ht="14.25" customHeight="1" x14ac:dyDescent="0.3">
      <c r="E204" s="13" t="str">
        <f>IF(Stock!B200="","",Stock!B200)</f>
        <v/>
      </c>
      <c r="F204" s="13" t="str">
        <f>IF(Stock!C200="","",Stock!C200)</f>
        <v/>
      </c>
      <c r="G204" s="13" t="str">
        <f>IF(Stock!D200="","",Stock!D200)</f>
        <v/>
      </c>
      <c r="H204" s="13" t="str">
        <f>IF(Stock!E200="","",Stock!E200)</f>
        <v/>
      </c>
      <c r="I204" s="13" t="str">
        <f>IF(Stock!F200="","",Stock!F200)</f>
        <v/>
      </c>
      <c r="J204" s="13" t="str">
        <f>IF(Stock!G200="","",Stock!G200)</f>
        <v/>
      </c>
      <c r="K204" s="13" t="str">
        <f>IF(Stock!H200="","",Stock!H200)</f>
        <v/>
      </c>
      <c r="L204" s="13" t="str">
        <f>IF(Stock!I200="","",Stock!I200)</f>
        <v/>
      </c>
      <c r="M204" s="13" t="str">
        <f>IF(Stock!J200="","",Stock!J200)</f>
        <v/>
      </c>
      <c r="N204" s="13" t="str">
        <f>IF(Stock!K200="","",Stock!K200)</f>
        <v/>
      </c>
      <c r="O204" s="13" t="str">
        <f>IF(Stock!L200="","",Stock!L200)</f>
        <v/>
      </c>
      <c r="P204" s="13" t="str">
        <f>IF(Stock!M200="","",Stock!M200)</f>
        <v/>
      </c>
      <c r="Q204" s="13" t="str">
        <f>IF(Stock!N200="","",Stock!N200)</f>
        <v/>
      </c>
      <c r="R204" s="13" t="str">
        <f>IF(Stock!O200="","",Stock!O200)</f>
        <v/>
      </c>
      <c r="S204" s="13" t="str">
        <f>IF(Stock!P200="","",Stock!P200)</f>
        <v/>
      </c>
      <c r="T204" s="13" t="str">
        <f>IF(Stock!Q200="","",Stock!Q200)</f>
        <v/>
      </c>
      <c r="U204" s="13" t="str">
        <f>IF(Stock!R200="","",Stock!R200)</f>
        <v/>
      </c>
      <c r="V204" s="13" t="str">
        <f>IF(Stock!S200="","",Stock!S200)</f>
        <v/>
      </c>
      <c r="W204" s="13" t="str">
        <f>IF(Stock!T200="","",Stock!T200)</f>
        <v/>
      </c>
      <c r="X204" s="13" t="str">
        <f>IF(Stock!U200="","",Stock!U200)</f>
        <v/>
      </c>
      <c r="Y204" s="13" t="str">
        <f>IF(Stock!V200="","",Stock!V200)</f>
        <v/>
      </c>
      <c r="Z204" s="13" t="str">
        <f>IF(Stock!W200="","",Stock!W200)</f>
        <v/>
      </c>
      <c r="AA204" s="13" t="str">
        <f>IF(Stock!X200="","",Stock!X200)</f>
        <v/>
      </c>
      <c r="AB204" s="13" t="str">
        <f>IF(Stock!Y200="","",Stock!Y200)</f>
        <v/>
      </c>
      <c r="AC204" s="13" t="str">
        <f>IF(Stock!Z200="","",Stock!Z200)</f>
        <v/>
      </c>
      <c r="AD204" s="13" t="str">
        <f>IF(Stock!AA200="","",Stock!AA200)</f>
        <v/>
      </c>
      <c r="AE204" s="13" t="str">
        <f>IF(Stock!AB200="","",Stock!AB200)</f>
        <v/>
      </c>
      <c r="AF204" s="13" t="str">
        <f>IF(Stock!AC200="","",Stock!AC200)</f>
        <v/>
      </c>
      <c r="AG204" s="13" t="str">
        <f>IF(Stock!AD200="","",Stock!AD200)</f>
        <v/>
      </c>
      <c r="AH204" s="13" t="str">
        <f>IF(Stock!AE200="","",Stock!AE200)</f>
        <v/>
      </c>
      <c r="AI204" s="13" t="str">
        <f>IF(Stock!AF200="","",Stock!AF200)</f>
        <v/>
      </c>
      <c r="AJ204" s="13" t="str">
        <f>IF(Stock!AG200="","",Stock!AG200)</f>
        <v/>
      </c>
      <c r="AK204" s="13" t="str">
        <f>IF(Stock!AH200="","",Stock!AH200)</f>
        <v/>
      </c>
      <c r="AL204" s="13" t="str">
        <f>IF(Stock!AI200="","",Stock!AI200)</f>
        <v/>
      </c>
      <c r="AM204" s="13" t="str">
        <f>IF(Stock!AJ200="","",Stock!AJ200)</f>
        <v/>
      </c>
      <c r="AN204" s="13" t="str">
        <f>IF(Stock!AK200="","",Stock!AK200)</f>
        <v/>
      </c>
      <c r="AO204" s="13" t="str">
        <f>IF(Stock!AL200="","",Stock!AL200)</f>
        <v/>
      </c>
      <c r="AP204" s="13" t="str">
        <f>IF(Stock!AM200="","",Stock!AM200)</f>
        <v/>
      </c>
      <c r="AQ204" s="13" t="str">
        <f>IF(Stock!AN200="","",Stock!AN200)</f>
        <v/>
      </c>
      <c r="AR204" s="13" t="str">
        <f>IF(Stock!AO200="","",Stock!AO200)</f>
        <v/>
      </c>
      <c r="AS204" s="13" t="str">
        <f>IF(Stock!AP200="","",Stock!AP200)</f>
        <v/>
      </c>
      <c r="AT204" s="13" t="str">
        <f>IF(Stock!AQ200="","",Stock!AQ200)</f>
        <v/>
      </c>
      <c r="AU204" s="13" t="str">
        <f>IF(Stock!AR200="","",Stock!AR200)</f>
        <v/>
      </c>
      <c r="AV204" s="13" t="str">
        <f>IF(Stock!AS200="","",Stock!AS200)</f>
        <v/>
      </c>
      <c r="AW204" s="13" t="str">
        <f>IF(Stock!AT200="","",Stock!AT200)</f>
        <v/>
      </c>
      <c r="AX204" s="13" t="str">
        <f>IF(Stock!AU200="","",Stock!AU200)</f>
        <v/>
      </c>
      <c r="AY204" s="13" t="str">
        <f>IF(Stock!AV200="","",Stock!AV200)</f>
        <v/>
      </c>
      <c r="AZ204" s="13" t="str">
        <f>IF(Stock!AW200="","",Stock!AW200)</f>
        <v/>
      </c>
      <c r="BA204" s="13" t="str">
        <f>IF(Stock!AX200="","",Stock!AX200)</f>
        <v/>
      </c>
      <c r="BB204" s="13" t="str">
        <f>IF(Stock!AY200="","",Stock!AY200)</f>
        <v/>
      </c>
      <c r="BC204" s="13" t="str">
        <f>IF(Stock!AZ200="","",Stock!AZ200)</f>
        <v/>
      </c>
      <c r="BD204" s="13" t="str">
        <f>IF(Stock!BA200="","",Stock!BA200)</f>
        <v/>
      </c>
      <c r="BE204" s="13" t="str">
        <f>IF(Stock!BB200="","",Stock!BB200)</f>
        <v/>
      </c>
      <c r="BF204" s="13" t="str">
        <f>IF(Stock!BC200="","",Stock!BC200)</f>
        <v/>
      </c>
    </row>
    <row r="205" spans="2:58" ht="14.25" customHeight="1" x14ac:dyDescent="0.3">
      <c r="E205" s="13" t="str">
        <f>IF(Stock!B201="","",Stock!B201)</f>
        <v/>
      </c>
      <c r="F205" s="13" t="str">
        <f>IF(Stock!C201="","",Stock!C201)</f>
        <v/>
      </c>
      <c r="G205" s="13" t="str">
        <f>IF(Stock!D201="","",Stock!D201)</f>
        <v/>
      </c>
      <c r="H205" s="13" t="str">
        <f>IF(Stock!E201="","",Stock!E201)</f>
        <v/>
      </c>
      <c r="I205" s="13" t="str">
        <f>IF(Stock!F201="","",Stock!F201)</f>
        <v/>
      </c>
      <c r="J205" s="13" t="str">
        <f>IF(Stock!G201="","",Stock!G201)</f>
        <v/>
      </c>
      <c r="K205" s="13" t="str">
        <f>IF(Stock!H201="","",Stock!H201)</f>
        <v/>
      </c>
      <c r="L205" s="13" t="str">
        <f>IF(Stock!I201="","",Stock!I201)</f>
        <v/>
      </c>
      <c r="M205" s="13" t="str">
        <f>IF(Stock!J201="","",Stock!J201)</f>
        <v/>
      </c>
      <c r="N205" s="13" t="str">
        <f>IF(Stock!K201="","",Stock!K201)</f>
        <v/>
      </c>
      <c r="O205" s="13" t="str">
        <f>IF(Stock!L201="","",Stock!L201)</f>
        <v/>
      </c>
      <c r="P205" s="13" t="str">
        <f>IF(Stock!M201="","",Stock!M201)</f>
        <v/>
      </c>
      <c r="Q205" s="13" t="str">
        <f>IF(Stock!N201="","",Stock!N201)</f>
        <v/>
      </c>
      <c r="R205" s="13" t="str">
        <f>IF(Stock!O201="","",Stock!O201)</f>
        <v/>
      </c>
      <c r="S205" s="13" t="str">
        <f>IF(Stock!P201="","",Stock!P201)</f>
        <v/>
      </c>
      <c r="T205" s="13" t="str">
        <f>IF(Stock!Q201="","",Stock!Q201)</f>
        <v/>
      </c>
      <c r="U205" s="13" t="str">
        <f>IF(Stock!R201="","",Stock!R201)</f>
        <v/>
      </c>
      <c r="V205" s="13" t="str">
        <f>IF(Stock!S201="","",Stock!S201)</f>
        <v/>
      </c>
      <c r="W205" s="13" t="str">
        <f>IF(Stock!T201="","",Stock!T201)</f>
        <v/>
      </c>
      <c r="X205" s="13" t="str">
        <f>IF(Stock!U201="","",Stock!U201)</f>
        <v/>
      </c>
      <c r="Y205" s="13" t="str">
        <f>IF(Stock!V201="","",Stock!V201)</f>
        <v/>
      </c>
      <c r="Z205" s="13" t="str">
        <f>IF(Stock!W201="","",Stock!W201)</f>
        <v/>
      </c>
      <c r="AA205" s="13" t="str">
        <f>IF(Stock!X201="","",Stock!X201)</f>
        <v/>
      </c>
      <c r="AB205" s="13" t="str">
        <f>IF(Stock!Y201="","",Stock!Y201)</f>
        <v/>
      </c>
      <c r="AC205" s="13" t="str">
        <f>IF(Stock!Z201="","",Stock!Z201)</f>
        <v/>
      </c>
      <c r="AD205" s="13" t="str">
        <f>IF(Stock!AA201="","",Stock!AA201)</f>
        <v/>
      </c>
      <c r="AE205" s="13" t="str">
        <f>IF(Stock!AB201="","",Stock!AB201)</f>
        <v/>
      </c>
      <c r="AF205" s="13" t="str">
        <f>IF(Stock!AC201="","",Stock!AC201)</f>
        <v/>
      </c>
      <c r="AG205" s="13" t="str">
        <f>IF(Stock!AD201="","",Stock!AD201)</f>
        <v/>
      </c>
      <c r="AH205" s="13" t="str">
        <f>IF(Stock!AE201="","",Stock!AE201)</f>
        <v/>
      </c>
      <c r="AI205" s="13" t="str">
        <f>IF(Stock!AF201="","",Stock!AF201)</f>
        <v/>
      </c>
      <c r="AJ205" s="13" t="str">
        <f>IF(Stock!AG201="","",Stock!AG201)</f>
        <v/>
      </c>
      <c r="AK205" s="13" t="str">
        <f>IF(Stock!AH201="","",Stock!AH201)</f>
        <v/>
      </c>
      <c r="AL205" s="13" t="str">
        <f>IF(Stock!AI201="","",Stock!AI201)</f>
        <v/>
      </c>
      <c r="AM205" s="13" t="str">
        <f>IF(Stock!AJ201="","",Stock!AJ201)</f>
        <v/>
      </c>
      <c r="AN205" s="13" t="str">
        <f>IF(Stock!AK201="","",Stock!AK201)</f>
        <v/>
      </c>
      <c r="AO205" s="13" t="str">
        <f>IF(Stock!AL201="","",Stock!AL201)</f>
        <v/>
      </c>
      <c r="AP205" s="13" t="str">
        <f>IF(Stock!AM201="","",Stock!AM201)</f>
        <v/>
      </c>
      <c r="AQ205" s="13" t="str">
        <f>IF(Stock!AN201="","",Stock!AN201)</f>
        <v/>
      </c>
      <c r="AR205" s="13" t="str">
        <f>IF(Stock!AO201="","",Stock!AO201)</f>
        <v/>
      </c>
      <c r="AS205" s="13" t="str">
        <f>IF(Stock!AP201="","",Stock!AP201)</f>
        <v/>
      </c>
      <c r="AT205" s="13" t="str">
        <f>IF(Stock!AQ201="","",Stock!AQ201)</f>
        <v/>
      </c>
      <c r="AU205" s="13" t="str">
        <f>IF(Stock!AR201="","",Stock!AR201)</f>
        <v/>
      </c>
      <c r="AV205" s="13" t="str">
        <f>IF(Stock!AS201="","",Stock!AS201)</f>
        <v/>
      </c>
      <c r="AW205" s="13" t="str">
        <f>IF(Stock!AT201="","",Stock!AT201)</f>
        <v/>
      </c>
      <c r="AX205" s="13" t="str">
        <f>IF(Stock!AU201="","",Stock!AU201)</f>
        <v/>
      </c>
      <c r="AY205" s="13" t="str">
        <f>IF(Stock!AV201="","",Stock!AV201)</f>
        <v/>
      </c>
      <c r="AZ205" s="13" t="str">
        <f>IF(Stock!AW201="","",Stock!AW201)</f>
        <v/>
      </c>
      <c r="BA205" s="13" t="str">
        <f>IF(Stock!AX201="","",Stock!AX201)</f>
        <v/>
      </c>
      <c r="BB205" s="13" t="str">
        <f>IF(Stock!AY201="","",Stock!AY201)</f>
        <v/>
      </c>
      <c r="BC205" s="13" t="str">
        <f>IF(Stock!AZ201="","",Stock!AZ201)</f>
        <v/>
      </c>
      <c r="BD205" s="13" t="str">
        <f>IF(Stock!BA201="","",Stock!BA201)</f>
        <v/>
      </c>
      <c r="BE205" s="13" t="str">
        <f>IF(Stock!BB201="","",Stock!BB201)</f>
        <v/>
      </c>
      <c r="BF205" s="13" t="str">
        <f>IF(Stock!BC201="","",Stock!BC201)</f>
        <v/>
      </c>
    </row>
    <row r="206" spans="2:58" ht="14.25" customHeight="1" x14ac:dyDescent="0.3">
      <c r="E206" s="13" t="str">
        <f>IF(Stock!B202="","",Stock!B202)</f>
        <v/>
      </c>
      <c r="F206" s="13" t="str">
        <f>IF(Stock!C202="","",Stock!C202)</f>
        <v/>
      </c>
      <c r="G206" s="13" t="str">
        <f>IF(Stock!D202="","",Stock!D202)</f>
        <v/>
      </c>
      <c r="H206" s="13" t="str">
        <f>IF(Stock!E202="","",Stock!E202)</f>
        <v/>
      </c>
      <c r="I206" s="13" t="str">
        <f>IF(Stock!F202="","",Stock!F202)</f>
        <v/>
      </c>
      <c r="J206" s="13" t="str">
        <f>IF(Stock!G202="","",Stock!G202)</f>
        <v/>
      </c>
      <c r="K206" s="13" t="str">
        <f>IF(Stock!H202="","",Stock!H202)</f>
        <v/>
      </c>
      <c r="L206" s="13" t="str">
        <f>IF(Stock!I202="","",Stock!I202)</f>
        <v/>
      </c>
      <c r="M206" s="13" t="str">
        <f>IF(Stock!J202="","",Stock!J202)</f>
        <v/>
      </c>
      <c r="N206" s="13" t="str">
        <f>IF(Stock!K202="","",Stock!K202)</f>
        <v/>
      </c>
      <c r="O206" s="13" t="str">
        <f>IF(Stock!L202="","",Stock!L202)</f>
        <v/>
      </c>
      <c r="P206" s="13" t="str">
        <f>IF(Stock!M202="","",Stock!M202)</f>
        <v/>
      </c>
      <c r="Q206" s="13" t="str">
        <f>IF(Stock!N202="","",Stock!N202)</f>
        <v/>
      </c>
      <c r="R206" s="13" t="str">
        <f>IF(Stock!O202="","",Stock!O202)</f>
        <v/>
      </c>
      <c r="S206" s="13" t="str">
        <f>IF(Stock!P202="","",Stock!P202)</f>
        <v/>
      </c>
      <c r="T206" s="13" t="str">
        <f>IF(Stock!Q202="","",Stock!Q202)</f>
        <v/>
      </c>
      <c r="U206" s="13" t="str">
        <f>IF(Stock!R202="","",Stock!R202)</f>
        <v/>
      </c>
      <c r="V206" s="13" t="str">
        <f>IF(Stock!S202="","",Stock!S202)</f>
        <v/>
      </c>
      <c r="W206" s="13" t="str">
        <f>IF(Stock!T202="","",Stock!T202)</f>
        <v/>
      </c>
      <c r="X206" s="13" t="str">
        <f>IF(Stock!U202="","",Stock!U202)</f>
        <v/>
      </c>
      <c r="Y206" s="13" t="str">
        <f>IF(Stock!V202="","",Stock!V202)</f>
        <v/>
      </c>
      <c r="Z206" s="13" t="str">
        <f>IF(Stock!W202="","",Stock!W202)</f>
        <v/>
      </c>
      <c r="AA206" s="13" t="str">
        <f>IF(Stock!X202="","",Stock!X202)</f>
        <v/>
      </c>
      <c r="AB206" s="13" t="str">
        <f>IF(Stock!Y202="","",Stock!Y202)</f>
        <v/>
      </c>
      <c r="AC206" s="13" t="str">
        <f>IF(Stock!Z202="","",Stock!Z202)</f>
        <v/>
      </c>
      <c r="AD206" s="13" t="str">
        <f>IF(Stock!AA202="","",Stock!AA202)</f>
        <v/>
      </c>
      <c r="AE206" s="13" t="str">
        <f>IF(Stock!AB202="","",Stock!AB202)</f>
        <v/>
      </c>
      <c r="AF206" s="13" t="str">
        <f>IF(Stock!AC202="","",Stock!AC202)</f>
        <v/>
      </c>
      <c r="AG206" s="13" t="str">
        <f>IF(Stock!AD202="","",Stock!AD202)</f>
        <v/>
      </c>
      <c r="AH206" s="13" t="str">
        <f>IF(Stock!AE202="","",Stock!AE202)</f>
        <v/>
      </c>
      <c r="AI206" s="13" t="str">
        <f>IF(Stock!AF202="","",Stock!AF202)</f>
        <v/>
      </c>
      <c r="AJ206" s="13" t="str">
        <f>IF(Stock!AG202="","",Stock!AG202)</f>
        <v/>
      </c>
      <c r="AK206" s="13" t="str">
        <f>IF(Stock!AH202="","",Stock!AH202)</f>
        <v/>
      </c>
      <c r="AL206" s="13" t="str">
        <f>IF(Stock!AI202="","",Stock!AI202)</f>
        <v/>
      </c>
      <c r="AM206" s="13" t="str">
        <f>IF(Stock!AJ202="","",Stock!AJ202)</f>
        <v/>
      </c>
      <c r="AN206" s="13" t="str">
        <f>IF(Stock!AK202="","",Stock!AK202)</f>
        <v/>
      </c>
      <c r="AO206" s="13" t="str">
        <f>IF(Stock!AL202="","",Stock!AL202)</f>
        <v/>
      </c>
      <c r="AP206" s="13" t="str">
        <f>IF(Stock!AM202="","",Stock!AM202)</f>
        <v/>
      </c>
      <c r="AQ206" s="13" t="str">
        <f>IF(Stock!AN202="","",Stock!AN202)</f>
        <v/>
      </c>
      <c r="AR206" s="13" t="str">
        <f>IF(Stock!AO202="","",Stock!AO202)</f>
        <v/>
      </c>
      <c r="AS206" s="13" t="str">
        <f>IF(Stock!AP202="","",Stock!AP202)</f>
        <v/>
      </c>
      <c r="AT206" s="13" t="str">
        <f>IF(Stock!AQ202="","",Stock!AQ202)</f>
        <v/>
      </c>
      <c r="AU206" s="13" t="str">
        <f>IF(Stock!AR202="","",Stock!AR202)</f>
        <v/>
      </c>
      <c r="AV206" s="13" t="str">
        <f>IF(Stock!AS202="","",Stock!AS202)</f>
        <v/>
      </c>
      <c r="AW206" s="13" t="str">
        <f>IF(Stock!AT202="","",Stock!AT202)</f>
        <v/>
      </c>
      <c r="AX206" s="13" t="str">
        <f>IF(Stock!AU202="","",Stock!AU202)</f>
        <v/>
      </c>
      <c r="AY206" s="13" t="str">
        <f>IF(Stock!AV202="","",Stock!AV202)</f>
        <v/>
      </c>
      <c r="AZ206" s="13" t="str">
        <f>IF(Stock!AW202="","",Stock!AW202)</f>
        <v/>
      </c>
      <c r="BA206" s="13" t="str">
        <f>IF(Stock!AX202="","",Stock!AX202)</f>
        <v/>
      </c>
      <c r="BB206" s="13" t="str">
        <f>IF(Stock!AY202="","",Stock!AY202)</f>
        <v/>
      </c>
      <c r="BC206" s="13" t="str">
        <f>IF(Stock!AZ202="","",Stock!AZ202)</f>
        <v/>
      </c>
      <c r="BD206" s="13" t="str">
        <f>IF(Stock!BA202="","",Stock!BA202)</f>
        <v/>
      </c>
      <c r="BE206" s="13" t="str">
        <f>IF(Stock!BB202="","",Stock!BB202)</f>
        <v/>
      </c>
      <c r="BF206" s="13" t="str">
        <f>IF(Stock!BC202="","",Stock!BC202)</f>
        <v/>
      </c>
    </row>
    <row r="207" spans="2:58" ht="14.25" customHeight="1" x14ac:dyDescent="0.3">
      <c r="E207" s="13" t="str">
        <f>IF(Stock!B203="","",Stock!B203)</f>
        <v/>
      </c>
      <c r="F207" s="13" t="str">
        <f>IF(Stock!C203="","",Stock!C203)</f>
        <v/>
      </c>
      <c r="G207" s="13" t="str">
        <f>IF(Stock!D203="","",Stock!D203)</f>
        <v/>
      </c>
      <c r="H207" s="13" t="str">
        <f>IF(Stock!E203="","",Stock!E203)</f>
        <v/>
      </c>
      <c r="I207" s="13" t="str">
        <f>IF(Stock!F203="","",Stock!F203)</f>
        <v/>
      </c>
      <c r="J207" s="13" t="str">
        <f>IF(Stock!G203="","",Stock!G203)</f>
        <v/>
      </c>
      <c r="K207" s="13" t="str">
        <f>IF(Stock!H203="","",Stock!H203)</f>
        <v/>
      </c>
      <c r="L207" s="13" t="str">
        <f>IF(Stock!I203="","",Stock!I203)</f>
        <v/>
      </c>
      <c r="M207" s="13" t="str">
        <f>IF(Stock!J203="","",Stock!J203)</f>
        <v/>
      </c>
      <c r="N207" s="13" t="str">
        <f>IF(Stock!K203="","",Stock!K203)</f>
        <v/>
      </c>
      <c r="O207" s="13" t="str">
        <f>IF(Stock!L203="","",Stock!L203)</f>
        <v/>
      </c>
      <c r="P207" s="13" t="str">
        <f>IF(Stock!M203="","",Stock!M203)</f>
        <v/>
      </c>
      <c r="Q207" s="13" t="str">
        <f>IF(Stock!N203="","",Stock!N203)</f>
        <v/>
      </c>
      <c r="R207" s="13" t="str">
        <f>IF(Stock!O203="","",Stock!O203)</f>
        <v/>
      </c>
      <c r="S207" s="13" t="str">
        <f>IF(Stock!P203="","",Stock!P203)</f>
        <v/>
      </c>
      <c r="T207" s="13" t="str">
        <f>IF(Stock!Q203="","",Stock!Q203)</f>
        <v/>
      </c>
      <c r="U207" s="13" t="str">
        <f>IF(Stock!R203="","",Stock!R203)</f>
        <v/>
      </c>
      <c r="V207" s="13" t="str">
        <f>IF(Stock!S203="","",Stock!S203)</f>
        <v/>
      </c>
      <c r="W207" s="13" t="str">
        <f>IF(Stock!T203="","",Stock!T203)</f>
        <v/>
      </c>
      <c r="X207" s="13" t="str">
        <f>IF(Stock!U203="","",Stock!U203)</f>
        <v/>
      </c>
      <c r="Y207" s="13" t="str">
        <f>IF(Stock!V203="","",Stock!V203)</f>
        <v/>
      </c>
      <c r="Z207" s="13" t="str">
        <f>IF(Stock!W203="","",Stock!W203)</f>
        <v/>
      </c>
      <c r="AA207" s="13" t="str">
        <f>IF(Stock!X203="","",Stock!X203)</f>
        <v/>
      </c>
      <c r="AB207" s="13" t="str">
        <f>IF(Stock!Y203="","",Stock!Y203)</f>
        <v/>
      </c>
      <c r="AC207" s="13" t="str">
        <f>IF(Stock!Z203="","",Stock!Z203)</f>
        <v/>
      </c>
      <c r="AD207" s="13" t="str">
        <f>IF(Stock!AA203="","",Stock!AA203)</f>
        <v/>
      </c>
      <c r="AE207" s="13" t="str">
        <f>IF(Stock!AB203="","",Stock!AB203)</f>
        <v/>
      </c>
      <c r="AF207" s="13" t="str">
        <f>IF(Stock!AC203="","",Stock!AC203)</f>
        <v/>
      </c>
      <c r="AG207" s="13" t="str">
        <f>IF(Stock!AD203="","",Stock!AD203)</f>
        <v/>
      </c>
      <c r="AH207" s="13" t="str">
        <f>IF(Stock!AE203="","",Stock!AE203)</f>
        <v/>
      </c>
      <c r="AI207" s="13" t="str">
        <f>IF(Stock!AF203="","",Stock!AF203)</f>
        <v/>
      </c>
      <c r="AJ207" s="13" t="str">
        <f>IF(Stock!AG203="","",Stock!AG203)</f>
        <v/>
      </c>
      <c r="AK207" s="13" t="str">
        <f>IF(Stock!AH203="","",Stock!AH203)</f>
        <v/>
      </c>
      <c r="AL207" s="13" t="str">
        <f>IF(Stock!AI203="","",Stock!AI203)</f>
        <v/>
      </c>
      <c r="AM207" s="13" t="str">
        <f>IF(Stock!AJ203="","",Stock!AJ203)</f>
        <v/>
      </c>
      <c r="AN207" s="13" t="str">
        <f>IF(Stock!AK203="","",Stock!AK203)</f>
        <v/>
      </c>
      <c r="AO207" s="13" t="str">
        <f>IF(Stock!AL203="","",Stock!AL203)</f>
        <v/>
      </c>
      <c r="AP207" s="13" t="str">
        <f>IF(Stock!AM203="","",Stock!AM203)</f>
        <v/>
      </c>
      <c r="AQ207" s="13" t="str">
        <f>IF(Stock!AN203="","",Stock!AN203)</f>
        <v/>
      </c>
      <c r="AR207" s="13" t="str">
        <f>IF(Stock!AO203="","",Stock!AO203)</f>
        <v/>
      </c>
      <c r="AS207" s="13" t="str">
        <f>IF(Stock!AP203="","",Stock!AP203)</f>
        <v/>
      </c>
      <c r="AT207" s="13" t="str">
        <f>IF(Stock!AQ203="","",Stock!AQ203)</f>
        <v/>
      </c>
      <c r="AU207" s="13" t="str">
        <f>IF(Stock!AR203="","",Stock!AR203)</f>
        <v/>
      </c>
      <c r="AV207" s="13" t="str">
        <f>IF(Stock!AS203="","",Stock!AS203)</f>
        <v/>
      </c>
      <c r="AW207" s="13" t="str">
        <f>IF(Stock!AT203="","",Stock!AT203)</f>
        <v/>
      </c>
      <c r="AX207" s="13" t="str">
        <f>IF(Stock!AU203="","",Stock!AU203)</f>
        <v/>
      </c>
      <c r="AY207" s="13" t="str">
        <f>IF(Stock!AV203="","",Stock!AV203)</f>
        <v/>
      </c>
      <c r="AZ207" s="13" t="str">
        <f>IF(Stock!AW203="","",Stock!AW203)</f>
        <v/>
      </c>
      <c r="BA207" s="13" t="str">
        <f>IF(Stock!AX203="","",Stock!AX203)</f>
        <v/>
      </c>
      <c r="BB207" s="13" t="str">
        <f>IF(Stock!AY203="","",Stock!AY203)</f>
        <v/>
      </c>
      <c r="BC207" s="13" t="str">
        <f>IF(Stock!AZ203="","",Stock!AZ203)</f>
        <v/>
      </c>
      <c r="BD207" s="13" t="str">
        <f>IF(Stock!BA203="","",Stock!BA203)</f>
        <v/>
      </c>
      <c r="BE207" s="13" t="str">
        <f>IF(Stock!BB203="","",Stock!BB203)</f>
        <v/>
      </c>
      <c r="BF207" s="13" t="str">
        <f>IF(Stock!BC203="","",Stock!BC203)</f>
        <v/>
      </c>
    </row>
  </sheetData>
  <customSheetViews>
    <customSheetView guid="{00EB2128-6FEB-46D9-8228-9DEE2E0F997A}">
      <pane ySplit="8" topLeftCell="A18" activePane="bottomLeft" state="frozen"/>
      <selection pane="bottomLeft" activeCell="G25" sqref="G2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pane ySplit="8" topLeftCell="A9" activePane="bottomLeft" state="frozen"/>
      <selection pane="bottomLeft" activeCell="E22" sqref="E22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conditionalFormatting sqref="A6:B201">
    <cfRule type="expression" dxfId="12" priority="3" stopIfTrue="1">
      <formula>IF($E6="",FALSE,TRUE)</formula>
    </cfRule>
  </conditionalFormatting>
  <conditionalFormatting sqref="E4:BF4">
    <cfRule type="cellIs" dxfId="11" priority="4" stopIfTrue="1" operator="lessThan">
      <formula>0</formula>
    </cfRule>
  </conditionalFormatting>
  <pageMargins left="0.78740157499999996" right="0.78740157499999996" top="0.984251969" bottom="0.984251969" header="0.4921259845" footer="0.4921259845"/>
  <pageSetup paperSize="9" orientation="landscape" r:id="rId3"/>
  <headerFooter alignWithMargins="0"/>
  <ignoredErrors>
    <ignoredError sqref="E6:BA6 E144:G207 AF35:BA35 AF31:BA31 I144:BA207 AF32:BA34 AF7:BA30 AF53:BA143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tabColor theme="7"/>
  </sheetPr>
  <dimension ref="B1:X319"/>
  <sheetViews>
    <sheetView workbookViewId="0">
      <pane xSplit="12" topLeftCell="M1" activePane="topRight" state="frozen"/>
      <selection pane="topRight" activeCell="K12" sqref="K12"/>
    </sheetView>
  </sheetViews>
  <sheetFormatPr baseColWidth="10" defaultColWidth="7.3984375" defaultRowHeight="10.55" x14ac:dyDescent="0.35"/>
  <cols>
    <col min="1" max="1" width="1.3984375" style="1" customWidth="1"/>
    <col min="2" max="2" width="9.33203125" style="1" customWidth="1"/>
    <col min="3" max="7" width="6.59765625" style="1" customWidth="1"/>
    <col min="8" max="8" width="1.265625" style="1" customWidth="1"/>
    <col min="9" max="9" width="13.73046875" style="88" customWidth="1"/>
    <col min="10" max="11" width="13.1328125" style="88" bestFit="1" customWidth="1"/>
    <col min="12" max="12" width="7.265625" style="88" customWidth="1"/>
    <col min="13" max="13" width="9.73046875" style="405" customWidth="1"/>
    <col min="14" max="14" width="10" style="406" customWidth="1"/>
    <col min="15" max="15" width="8.265625" style="379" customWidth="1"/>
    <col min="16" max="16" width="8.1328125" style="378" customWidth="1"/>
    <col min="17" max="17" width="10" style="409" customWidth="1"/>
    <col min="18" max="18" width="10" style="412" customWidth="1"/>
    <col min="19" max="19" width="8.265625" style="397" customWidth="1"/>
    <col min="20" max="20" width="9" style="400" customWidth="1"/>
    <col min="21" max="21" width="11.3984375" style="388" customWidth="1"/>
    <col min="22" max="22" width="10.73046875" style="88" customWidth="1"/>
    <col min="23" max="23" width="10.73046875" style="394" customWidth="1"/>
    <col min="24" max="24" width="8.86328125" style="1" customWidth="1"/>
    <col min="25" max="16384" width="7.3984375" style="1"/>
  </cols>
  <sheetData>
    <row r="1" spans="2:24" ht="42.8" customHeight="1" thickBot="1" x14ac:dyDescent="0.35">
      <c r="I1" s="99" t="s">
        <v>946</v>
      </c>
      <c r="J1" s="100" t="s">
        <v>744</v>
      </c>
      <c r="K1" s="100" t="s">
        <v>2</v>
      </c>
      <c r="L1" s="100" t="s">
        <v>935</v>
      </c>
      <c r="M1" s="401" t="s">
        <v>936</v>
      </c>
      <c r="N1" s="402" t="s">
        <v>941</v>
      </c>
      <c r="O1" s="382" t="s">
        <v>938</v>
      </c>
      <c r="P1" s="381" t="s">
        <v>939</v>
      </c>
      <c r="Q1" s="407" t="s">
        <v>940</v>
      </c>
      <c r="R1" s="410" t="s">
        <v>947</v>
      </c>
      <c r="S1" s="395" t="s">
        <v>937</v>
      </c>
      <c r="T1" s="398" t="s">
        <v>950</v>
      </c>
      <c r="U1" s="386" t="s">
        <v>948</v>
      </c>
      <c r="V1" s="200" t="s">
        <v>945</v>
      </c>
      <c r="W1" s="391" t="s">
        <v>771</v>
      </c>
    </row>
    <row r="2" spans="2:24" thickBot="1" x14ac:dyDescent="0.35">
      <c r="B2" s="7" t="s">
        <v>609</v>
      </c>
      <c r="C2" s="7"/>
      <c r="D2" s="7"/>
      <c r="E2" s="7"/>
      <c r="F2" s="7"/>
      <c r="G2" s="7"/>
      <c r="I2" s="131" t="s">
        <v>949</v>
      </c>
      <c r="J2" s="380" t="s">
        <v>933</v>
      </c>
      <c r="K2" s="380" t="str">
        <f>VLOOKUP(J2,treasuries!A:B,2,FALSE)</f>
        <v>T 0 1/4 06/30/14</v>
      </c>
      <c r="L2" s="380">
        <v>-200</v>
      </c>
      <c r="M2" s="403">
        <f>99.874829</f>
        <v>99.874829000000005</v>
      </c>
      <c r="N2" s="404">
        <f>M2+_xll.INSTRUMENT.COUPON.COURU(J2,O2)</f>
        <v>99.876187695652163</v>
      </c>
      <c r="O2" s="384">
        <v>41092</v>
      </c>
      <c r="P2" s="383">
        <f ca="1">_xll.INSTRUMENT.TAUX(J2,M2,O2,cTrueYield)</f>
        <v>3.1322046743312987E-3</v>
      </c>
      <c r="Q2" s="408" t="e">
        <f ca="1">_xll.BDP(J2 &amp; " Govt",IF(L2&lt;0,"ask","bid"))</f>
        <v>#NAME?</v>
      </c>
      <c r="R2" s="411" t="e">
        <f ca="1">Q2+5000*VLOOKUP(J2,treasuries!A:AA,27,FALSE)*_xll.CALENDRIER.FRAC.ANNEE(O2,S2,"ACT/ACT")</f>
        <v>#NAME?</v>
      </c>
      <c r="S2" s="396">
        <f>_xll.INSTRUMENT.DATE.REGLEMENT(J2)</f>
        <v>41092</v>
      </c>
      <c r="T2" s="399" t="e">
        <f ca="1">_xll.INSTRUMENT.TAUX(J2,Q2,S2,cTrueYield)</f>
        <v>#VALUE!</v>
      </c>
      <c r="U2" s="387">
        <v>1.6999999999999999E-3</v>
      </c>
      <c r="V2" s="389" t="e">
        <f ca="1">-L2*N2*10000*U2*_xll.CALENDRIER.FRAC.ANNEE(O2,S2,"ACT/360")</f>
        <v>#NAME?</v>
      </c>
      <c r="W2" s="392" t="e">
        <f ca="1">L2*10000*(R2-N2)+V2</f>
        <v>#NAME?</v>
      </c>
      <c r="X2" s="9"/>
    </row>
    <row r="3" spans="2:24" thickBot="1" x14ac:dyDescent="0.35">
      <c r="B3" s="177"/>
      <c r="C3" s="177" t="s">
        <v>595</v>
      </c>
      <c r="D3" s="178" t="s">
        <v>901</v>
      </c>
      <c r="E3" s="178" t="s">
        <v>601</v>
      </c>
      <c r="F3" s="178" t="s">
        <v>602</v>
      </c>
      <c r="G3" s="178" t="s">
        <v>603</v>
      </c>
      <c r="I3" s="413" t="e">
        <f ca="1">SUM(W2:W3)</f>
        <v>#NAME?</v>
      </c>
      <c r="J3" s="380" t="s">
        <v>858</v>
      </c>
      <c r="K3" s="380" t="str">
        <f>VLOOKUP(J3,treasuries!A:B,2,FALSE)</f>
        <v>T 1 3/4 05/15/22</v>
      </c>
      <c r="L3" s="380">
        <v>43</v>
      </c>
      <c r="M3" s="403">
        <v>101.0234375</v>
      </c>
      <c r="N3" s="404">
        <f>M3+_xll.INSTRUMENT.COUPON.COURU(J3,O3)</f>
        <v>101.23267663043478</v>
      </c>
      <c r="O3" s="384">
        <v>41088</v>
      </c>
      <c r="P3" s="383">
        <f ca="1">_xll.INSTRUMENT.TAUX(J3,M3,O3,cTrueYield)</f>
        <v>1.6375922175805333E-2</v>
      </c>
      <c r="Q3" s="408" t="e">
        <f ca="1">_xll.BDP(J3 &amp; " Govt",IF(L3&lt;0,"ask","bid"))</f>
        <v>#NAME?</v>
      </c>
      <c r="R3" s="411" t="e">
        <f ca="1">Q3+5000*VLOOKUP(J3,treasuries!A:AA,27,FALSE)*_xll.CALENDRIER.FRAC.ANNEE(O3,S3,"ACT/ACT")</f>
        <v>#NAME?</v>
      </c>
      <c r="S3" s="396">
        <f>_xll.INSTRUMENT.DATE.REGLEMENT(J3)</f>
        <v>41089</v>
      </c>
      <c r="T3" s="399" t="e">
        <f ca="1">_xll.INSTRUMENT.TAUX(J3,Q3,S3,cTrueYield)</f>
        <v>#VALUE!</v>
      </c>
      <c r="U3" s="387">
        <v>1.6999999999999999E-3</v>
      </c>
      <c r="V3" s="389" t="e">
        <f ca="1">-L3*N3*10000*U3*_xll.CALENDRIER.FRAC.ANNEE(O3,S3,"ACT/360")</f>
        <v>#NAME?</v>
      </c>
      <c r="W3" s="392" t="e">
        <f ca="1">L3*10000*(R3-N3)+V3</f>
        <v>#NAME?</v>
      </c>
      <c r="X3" s="9"/>
    </row>
    <row r="4" spans="2:24" ht="10.199999999999999" x14ac:dyDescent="0.3">
      <c r="B4" s="179" t="s">
        <v>78</v>
      </c>
      <c r="C4" s="180">
        <f>'pivot table'!C43-'pivot table'!M43</f>
        <v>-0.84539015061681966</v>
      </c>
      <c r="D4" s="181">
        <f>'pivot table'!D43-'pivot table'!N43</f>
        <v>1.3775466797989973</v>
      </c>
      <c r="E4" s="180">
        <f>'pivot table'!E43-'pivot table'!O43</f>
        <v>0</v>
      </c>
      <c r="F4" s="180">
        <f>'pivot table'!F43-'pivot table'!P43</f>
        <v>0.9553032688207308</v>
      </c>
      <c r="G4" s="180">
        <f>SUM(C4:F4)</f>
        <v>1.4874597980029085</v>
      </c>
      <c r="I4" s="131"/>
      <c r="J4" s="380"/>
      <c r="K4" s="380"/>
      <c r="L4" s="380"/>
      <c r="M4" s="403"/>
      <c r="N4" s="404"/>
      <c r="O4" s="384"/>
      <c r="P4" s="383"/>
      <c r="Q4" s="408"/>
      <c r="R4" s="411"/>
      <c r="S4" s="396"/>
      <c r="T4" s="399"/>
      <c r="U4" s="387"/>
      <c r="V4" s="389"/>
      <c r="W4" s="392"/>
      <c r="X4" s="9"/>
    </row>
    <row r="5" spans="2:24" ht="10.199999999999999" x14ac:dyDescent="0.3">
      <c r="B5" s="182" t="s">
        <v>18</v>
      </c>
      <c r="C5" s="183">
        <f>'pivot table'!C44-'pivot table'!M44</f>
        <v>-10.355493086269625</v>
      </c>
      <c r="D5" s="184">
        <f>'pivot table'!D44-'pivot table'!N44</f>
        <v>0.70356295149243275</v>
      </c>
      <c r="E5" s="183">
        <f>'pivot table'!E44-'pivot table'!O44</f>
        <v>0</v>
      </c>
      <c r="F5" s="183">
        <f>'pivot table'!F44-'pivot table'!P44</f>
        <v>20.269904161904833</v>
      </c>
      <c r="G5" s="183">
        <f>SUM(C5:F5)</f>
        <v>10.617974027127641</v>
      </c>
      <c r="I5" s="131" t="s">
        <v>951</v>
      </c>
      <c r="J5" s="380" t="s">
        <v>858</v>
      </c>
      <c r="K5" s="380" t="str">
        <f>VLOOKUP(J5,treasuries!A:B,2,FALSE)</f>
        <v>T 1 3/4 05/15/22</v>
      </c>
      <c r="L5" s="380">
        <v>43</v>
      </c>
      <c r="M5" s="403">
        <v>101.0234375</v>
      </c>
      <c r="N5" s="404">
        <f>M5+_xll.INSTRUMENT.COUPON.COURU(J5,O5)</f>
        <v>101.2421875</v>
      </c>
      <c r="O5" s="384">
        <v>41090</v>
      </c>
      <c r="P5" s="383">
        <f ca="1">_xll.INSTRUMENT.TAUX(J5,M5,O5,cTrueYield)</f>
        <v>1.6375366524093708E-2</v>
      </c>
      <c r="Q5" s="408" t="e">
        <f ca="1">_xll.BDP(J5 &amp; " Govt",IF(L5&lt;0,"ask","bid"))</f>
        <v>#NAME?</v>
      </c>
      <c r="R5" s="411" t="e">
        <f ca="1">Q5+100*VLOOKUP(J5,treasuries!A:AA,27,FALSE)*_xll.CALENDRIER.FRAC.ANNEE(O5,S5,"ACT/ACT")</f>
        <v>#NAME?</v>
      </c>
      <c r="S5" s="396">
        <f>_xll.INSTRUMENT.DATE.REGLEMENT(J5)</f>
        <v>41089</v>
      </c>
      <c r="T5" s="399" t="e">
        <f ca="1">_xll.INSTRUMENT.TAUX(J5,Q5,S5,cTrueYield)</f>
        <v>#VALUE!</v>
      </c>
      <c r="U5" s="387">
        <v>1.0017</v>
      </c>
      <c r="V5" s="389" t="e">
        <f ca="1">-L5*N5*10000*U5*_xll.CALENDRIER.FRAC.ANNEE(O5,S5,"ACT/360")</f>
        <v>#NAME?</v>
      </c>
      <c r="W5" s="392" t="e">
        <f t="shared" ref="W5" ca="1" si="0">L5*10000*(R5-N5)+V5</f>
        <v>#NAME?</v>
      </c>
    </row>
    <row r="6" spans="2:24" ht="10.199999999999999" x14ac:dyDescent="0.3">
      <c r="B6" s="179" t="s">
        <v>19</v>
      </c>
      <c r="C6" s="180">
        <f>'pivot table'!C45-'pivot table'!M45</f>
        <v>-27.913676795986653</v>
      </c>
      <c r="D6" s="181">
        <f>'pivot table'!D45-'pivot table'!N45</f>
        <v>1.7687797434507315</v>
      </c>
      <c r="E6" s="180">
        <f>'pivot table'!E45-'pivot table'!O45</f>
        <v>-6.2313497071258359</v>
      </c>
      <c r="F6" s="180">
        <f>'pivot table'!F45-'pivot table'!P45</f>
        <v>1.0414278412357023</v>
      </c>
      <c r="G6" s="180">
        <f t="shared" ref="G6:G14" si="1">SUM(C6:F6)</f>
        <v>-31.334818918426052</v>
      </c>
      <c r="I6" s="131"/>
      <c r="J6" s="380"/>
      <c r="K6" s="380"/>
      <c r="L6" s="380"/>
      <c r="M6" s="403"/>
      <c r="N6" s="404"/>
      <c r="O6" s="384"/>
      <c r="P6" s="383"/>
      <c r="Q6" s="408"/>
      <c r="R6" s="411"/>
      <c r="S6" s="396"/>
      <c r="T6" s="399"/>
      <c r="U6" s="387"/>
      <c r="V6" s="389"/>
      <c r="W6" s="392"/>
    </row>
    <row r="7" spans="2:24" ht="10.199999999999999" x14ac:dyDescent="0.3">
      <c r="B7" s="182" t="s">
        <v>175</v>
      </c>
      <c r="C7" s="183">
        <f>'pivot table'!C46-'pivot table'!M46</f>
        <v>-15.220425858506353</v>
      </c>
      <c r="D7" s="184">
        <f>'pivot table'!D46-'pivot table'!N46</f>
        <v>4.8131614935829132</v>
      </c>
      <c r="E7" s="183">
        <f>'pivot table'!E46-'pivot table'!O46</f>
        <v>-5.7126668665906264</v>
      </c>
      <c r="F7" s="183">
        <f>'pivot table'!F46-'pivot table'!P46</f>
        <v>0</v>
      </c>
      <c r="G7" s="183">
        <f t="shared" si="1"/>
        <v>-16.119931231514066</v>
      </c>
      <c r="I7" s="131"/>
      <c r="J7" s="380"/>
      <c r="K7" s="380"/>
      <c r="L7" s="380"/>
      <c r="M7" s="403"/>
      <c r="N7" s="404"/>
      <c r="O7" s="384"/>
      <c r="P7" s="383"/>
      <c r="Q7" s="408"/>
      <c r="R7" s="411"/>
      <c r="S7" s="396"/>
      <c r="T7" s="399"/>
      <c r="U7" s="387"/>
      <c r="V7" s="389"/>
      <c r="W7" s="392"/>
    </row>
    <row r="8" spans="2:24" ht="10.199999999999999" x14ac:dyDescent="0.3">
      <c r="B8" s="179" t="s">
        <v>182</v>
      </c>
      <c r="C8" s="180">
        <f>'pivot table'!C47-'pivot table'!M47</f>
        <v>18.425190681874565</v>
      </c>
      <c r="D8" s="181">
        <f>'pivot table'!D47-'pivot table'!N47</f>
        <v>3.6928982456459001</v>
      </c>
      <c r="E8" s="180">
        <f>'pivot table'!E47-'pivot table'!O47</f>
        <v>-6.1044779608841324</v>
      </c>
      <c r="F8" s="180">
        <f>'pivot table'!F47-'pivot table'!P47</f>
        <v>0</v>
      </c>
      <c r="G8" s="180">
        <f t="shared" si="1"/>
        <v>16.013610966636332</v>
      </c>
      <c r="I8" s="131"/>
      <c r="J8" s="380"/>
      <c r="K8" s="380"/>
      <c r="L8" s="380"/>
      <c r="M8" s="403"/>
      <c r="N8" s="404"/>
      <c r="O8" s="384"/>
      <c r="P8" s="383"/>
      <c r="Q8" s="408"/>
      <c r="R8" s="411"/>
      <c r="S8" s="396"/>
      <c r="T8" s="399"/>
      <c r="U8" s="387"/>
      <c r="V8" s="389"/>
      <c r="W8" s="392"/>
    </row>
    <row r="9" spans="2:24" ht="10.199999999999999" x14ac:dyDescent="0.3">
      <c r="B9" s="182" t="s">
        <v>81</v>
      </c>
      <c r="C9" s="183">
        <f>'pivot table'!C48-'pivot table'!M48</f>
        <v>14.558534542886889</v>
      </c>
      <c r="D9" s="184">
        <f>'pivot table'!D48-'pivot table'!N48</f>
        <v>20.506472171491161</v>
      </c>
      <c r="E9" s="183">
        <f>'pivot table'!E48-'pivot table'!O48</f>
        <v>-22.362458799903354</v>
      </c>
      <c r="F9" s="183">
        <f>'pivot table'!F48-'pivot table'!P48</f>
        <v>0</v>
      </c>
      <c r="G9" s="183">
        <f t="shared" si="1"/>
        <v>12.702547914474696</v>
      </c>
      <c r="I9" s="131"/>
      <c r="J9" s="380"/>
      <c r="K9" s="380"/>
      <c r="L9" s="380"/>
      <c r="M9" s="403"/>
      <c r="N9" s="404"/>
      <c r="O9" s="384"/>
      <c r="P9" s="383"/>
      <c r="Q9" s="408"/>
      <c r="R9" s="411"/>
      <c r="S9" s="396"/>
      <c r="T9" s="399"/>
      <c r="U9" s="387"/>
      <c r="V9" s="389"/>
      <c r="W9" s="392"/>
    </row>
    <row r="10" spans="2:24" ht="10.199999999999999" x14ac:dyDescent="0.3">
      <c r="B10" s="179" t="s">
        <v>82</v>
      </c>
      <c r="C10" s="180">
        <f>'pivot table'!C49-'pivot table'!M49</f>
        <v>-9.6917610466362234</v>
      </c>
      <c r="D10" s="181">
        <f>'pivot table'!D49-'pivot table'!N49</f>
        <v>16.652715971076454</v>
      </c>
      <c r="E10" s="180">
        <f>'pivot table'!E49-'pivot table'!O49</f>
        <v>-5.4715942044166921</v>
      </c>
      <c r="F10" s="180">
        <f>'pivot table'!F49-'pivot table'!P49</f>
        <v>0</v>
      </c>
      <c r="G10" s="180">
        <f t="shared" si="1"/>
        <v>1.4893607200235381</v>
      </c>
      <c r="I10" s="131"/>
      <c r="J10" s="380"/>
      <c r="K10" s="380"/>
      <c r="L10" s="380"/>
      <c r="M10" s="403"/>
      <c r="N10" s="404"/>
      <c r="O10" s="384"/>
      <c r="P10" s="383"/>
      <c r="Q10" s="408"/>
      <c r="R10" s="411"/>
      <c r="S10" s="396"/>
      <c r="T10" s="399"/>
      <c r="U10" s="387"/>
      <c r="V10" s="389"/>
      <c r="W10" s="392"/>
    </row>
    <row r="11" spans="2:24" ht="10.199999999999999" x14ac:dyDescent="0.3">
      <c r="B11" s="182" t="s">
        <v>84</v>
      </c>
      <c r="C11" s="183">
        <f>'pivot table'!C50-'pivot table'!M50</f>
        <v>6.5460217396510529</v>
      </c>
      <c r="D11" s="184">
        <f>'pivot table'!D50-'pivot table'!N50</f>
        <v>12.313457882173378</v>
      </c>
      <c r="E11" s="183">
        <f>'pivot table'!E50-'pivot table'!O50</f>
        <v>-27.995146157763788</v>
      </c>
      <c r="F11" s="183">
        <f>'pivot table'!F50-'pivot table'!P50</f>
        <v>0</v>
      </c>
      <c r="G11" s="183">
        <f t="shared" si="1"/>
        <v>-9.1356665359393574</v>
      </c>
      <c r="I11" s="131"/>
      <c r="J11" s="380"/>
      <c r="K11" s="380"/>
      <c r="L11" s="380"/>
      <c r="M11" s="403"/>
      <c r="N11" s="404"/>
      <c r="O11" s="384"/>
      <c r="P11" s="383"/>
      <c r="Q11" s="408"/>
      <c r="R11" s="411"/>
      <c r="S11" s="396"/>
      <c r="T11" s="399"/>
      <c r="U11" s="387"/>
      <c r="V11" s="390"/>
      <c r="W11" s="393"/>
    </row>
    <row r="12" spans="2:24" ht="10.199999999999999" x14ac:dyDescent="0.3">
      <c r="B12" s="179" t="s">
        <v>86</v>
      </c>
      <c r="C12" s="180">
        <f>'pivot table'!C51-'pivot table'!M51</f>
        <v>12.248901982863792</v>
      </c>
      <c r="D12" s="181">
        <f>'pivot table'!D51-'pivot table'!N51</f>
        <v>0</v>
      </c>
      <c r="E12" s="180">
        <f>'pivot table'!E51-'pivot table'!O51</f>
        <v>0</v>
      </c>
      <c r="F12" s="180">
        <f>'pivot table'!F51-'pivot table'!P51</f>
        <v>0</v>
      </c>
      <c r="G12" s="180">
        <f t="shared" si="1"/>
        <v>12.248901982863792</v>
      </c>
      <c r="I12" s="131"/>
      <c r="J12" s="380"/>
      <c r="K12" s="380"/>
      <c r="L12" s="380"/>
      <c r="M12" s="403"/>
      <c r="N12" s="404"/>
      <c r="O12" s="384"/>
      <c r="P12" s="383"/>
      <c r="Q12" s="408"/>
      <c r="R12" s="411"/>
      <c r="S12" s="396"/>
      <c r="T12" s="399"/>
      <c r="U12" s="387"/>
      <c r="V12" s="390"/>
      <c r="W12" s="393"/>
    </row>
    <row r="13" spans="2:24" ht="10.199999999999999" x14ac:dyDescent="0.3">
      <c r="B13" s="182" t="s">
        <v>89</v>
      </c>
      <c r="C13" s="183">
        <f>'pivot table'!C52-'pivot table'!M52</f>
        <v>22.192938334954576</v>
      </c>
      <c r="D13" s="184">
        <f>'pivot table'!D52-'pivot table'!N52</f>
        <v>0</v>
      </c>
      <c r="E13" s="183">
        <f>'pivot table'!E52-'pivot table'!O52</f>
        <v>0</v>
      </c>
      <c r="F13" s="183">
        <f>'pivot table'!F52-'pivot table'!P52</f>
        <v>0</v>
      </c>
      <c r="G13" s="183">
        <f t="shared" si="1"/>
        <v>22.192938334954576</v>
      </c>
      <c r="I13" s="131"/>
      <c r="J13" s="380"/>
      <c r="K13" s="380"/>
      <c r="L13" s="380"/>
      <c r="M13" s="403"/>
      <c r="N13" s="404"/>
      <c r="O13" s="384"/>
      <c r="P13" s="383"/>
      <c r="Q13" s="408"/>
      <c r="R13" s="411"/>
      <c r="S13" s="396"/>
      <c r="T13" s="399"/>
      <c r="U13" s="387"/>
      <c r="V13" s="390"/>
      <c r="W13" s="393"/>
    </row>
    <row r="14" spans="2:24" ht="10.199999999999999" x14ac:dyDescent="0.3">
      <c r="B14" s="185" t="s">
        <v>600</v>
      </c>
      <c r="C14" s="186">
        <f>'pivot table'!C53-'pivot table'!M53</f>
        <v>0</v>
      </c>
      <c r="D14" s="187">
        <f>'pivot table'!D53-'pivot table'!N53</f>
        <v>0</v>
      </c>
      <c r="E14" s="186">
        <f>'pivot table'!E53-'pivot table'!O53</f>
        <v>0</v>
      </c>
      <c r="F14" s="186">
        <f>'pivot table'!F53-'pivot table'!P53</f>
        <v>0</v>
      </c>
      <c r="G14" s="186">
        <f t="shared" si="1"/>
        <v>0</v>
      </c>
      <c r="I14" s="131"/>
      <c r="J14" s="380"/>
      <c r="K14" s="380"/>
      <c r="L14" s="380"/>
      <c r="M14" s="403"/>
      <c r="N14" s="404"/>
      <c r="O14" s="384"/>
      <c r="P14" s="383"/>
      <c r="Q14" s="408"/>
      <c r="R14" s="411"/>
      <c r="S14" s="396"/>
      <c r="T14" s="399"/>
      <c r="U14" s="387"/>
      <c r="V14" s="390"/>
      <c r="W14" s="393"/>
    </row>
    <row r="15" spans="2:24" ht="10.199999999999999" x14ac:dyDescent="0.3">
      <c r="B15" s="182" t="s">
        <v>603</v>
      </c>
      <c r="C15" s="183">
        <f>SUM(C4:C14)</f>
        <v>9.9448403442151942</v>
      </c>
      <c r="D15" s="184">
        <f t="shared" ref="D15:F15" si="2">SUM(D4:D14)</f>
        <v>61.828595138711961</v>
      </c>
      <c r="E15" s="183">
        <f t="shared" si="2"/>
        <v>-73.877693696684418</v>
      </c>
      <c r="F15" s="183">
        <f t="shared" si="2"/>
        <v>22.266635271961267</v>
      </c>
      <c r="G15" s="183">
        <f>SUM(G4:G14)</f>
        <v>20.162377058204012</v>
      </c>
      <c r="I15" s="131"/>
      <c r="J15" s="380"/>
      <c r="K15" s="380"/>
      <c r="L15" s="380"/>
      <c r="M15" s="403"/>
      <c r="N15" s="404"/>
      <c r="O15" s="384"/>
      <c r="P15" s="383"/>
      <c r="Q15" s="408"/>
      <c r="R15" s="411"/>
      <c r="S15" s="396"/>
      <c r="T15" s="399"/>
      <c r="U15" s="387"/>
      <c r="V15" s="390"/>
      <c r="W15" s="393"/>
    </row>
    <row r="16" spans="2:24" ht="10.199999999999999" x14ac:dyDescent="0.3">
      <c r="I16" s="131"/>
      <c r="J16" s="380"/>
      <c r="K16" s="380"/>
      <c r="L16" s="380"/>
      <c r="M16" s="403"/>
      <c r="N16" s="404"/>
      <c r="O16" s="384"/>
      <c r="P16" s="383"/>
      <c r="Q16" s="408"/>
      <c r="R16" s="411"/>
      <c r="S16" s="396"/>
      <c r="T16" s="399"/>
      <c r="U16" s="387"/>
      <c r="V16" s="390"/>
      <c r="W16" s="393"/>
    </row>
    <row r="17" spans="9:23" ht="10.199999999999999" x14ac:dyDescent="0.3">
      <c r="I17" s="131"/>
      <c r="J17" s="380"/>
      <c r="K17" s="380"/>
      <c r="L17" s="380"/>
      <c r="M17" s="403"/>
      <c r="N17" s="404"/>
      <c r="O17" s="384"/>
      <c r="P17" s="383"/>
      <c r="Q17" s="408"/>
      <c r="R17" s="411"/>
      <c r="S17" s="396"/>
      <c r="T17" s="399"/>
      <c r="U17" s="387"/>
      <c r="V17" s="390"/>
      <c r="W17" s="393"/>
    </row>
    <row r="18" spans="9:23" ht="10.199999999999999" x14ac:dyDescent="0.3">
      <c r="I18" s="131"/>
      <c r="J18" s="380"/>
      <c r="K18" s="380"/>
      <c r="L18" s="380"/>
      <c r="M18" s="403"/>
      <c r="N18" s="404"/>
      <c r="O18" s="384"/>
      <c r="P18" s="383"/>
      <c r="Q18" s="408"/>
      <c r="R18" s="411"/>
      <c r="S18" s="396"/>
      <c r="T18" s="399"/>
      <c r="U18" s="387"/>
      <c r="V18" s="390"/>
      <c r="W18" s="393"/>
    </row>
    <row r="19" spans="9:23" ht="10.199999999999999" x14ac:dyDescent="0.3">
      <c r="I19" s="131"/>
      <c r="J19" s="380"/>
      <c r="K19" s="380"/>
      <c r="L19" s="380"/>
      <c r="M19" s="403"/>
      <c r="N19" s="404"/>
      <c r="O19" s="384"/>
      <c r="P19" s="383"/>
      <c r="Q19" s="408"/>
      <c r="R19" s="411"/>
      <c r="S19" s="396"/>
      <c r="T19" s="399"/>
      <c r="U19" s="387"/>
      <c r="V19" s="390"/>
      <c r="W19" s="393"/>
    </row>
    <row r="20" spans="9:23" ht="10.199999999999999" x14ac:dyDescent="0.3">
      <c r="I20" s="131"/>
      <c r="J20" s="380"/>
      <c r="K20" s="380"/>
      <c r="L20" s="380"/>
      <c r="M20" s="403"/>
      <c r="N20" s="404"/>
      <c r="O20" s="384"/>
      <c r="P20" s="383"/>
      <c r="Q20" s="408"/>
      <c r="R20" s="411"/>
      <c r="S20" s="396"/>
      <c r="T20" s="399"/>
      <c r="U20" s="387"/>
      <c r="V20" s="390"/>
      <c r="W20" s="393"/>
    </row>
    <row r="21" spans="9:23" ht="10.199999999999999" x14ac:dyDescent="0.3">
      <c r="I21" s="131"/>
      <c r="J21" s="380"/>
      <c r="K21" s="380"/>
      <c r="L21" s="380"/>
      <c r="M21" s="403"/>
      <c r="N21" s="404"/>
      <c r="O21" s="384"/>
      <c r="P21" s="383"/>
      <c r="Q21" s="408"/>
      <c r="R21" s="411"/>
      <c r="S21" s="396"/>
      <c r="T21" s="399"/>
      <c r="U21" s="387"/>
      <c r="V21" s="390"/>
      <c r="W21" s="393"/>
    </row>
    <row r="22" spans="9:23" ht="10.199999999999999" x14ac:dyDescent="0.3">
      <c r="I22" s="131"/>
      <c r="J22" s="380"/>
      <c r="K22" s="380"/>
      <c r="L22" s="380"/>
      <c r="M22" s="403"/>
      <c r="N22" s="404"/>
      <c r="O22" s="384"/>
      <c r="P22" s="383"/>
      <c r="Q22" s="408"/>
      <c r="R22" s="411"/>
      <c r="S22" s="396"/>
      <c r="T22" s="399"/>
      <c r="U22" s="387"/>
      <c r="V22" s="390"/>
      <c r="W22" s="393"/>
    </row>
    <row r="23" spans="9:23" ht="10.199999999999999" x14ac:dyDescent="0.3">
      <c r="I23" s="131"/>
      <c r="J23" s="380"/>
      <c r="K23" s="380"/>
      <c r="L23" s="380"/>
      <c r="M23" s="403"/>
      <c r="N23" s="404"/>
      <c r="O23" s="384"/>
      <c r="P23" s="383"/>
      <c r="Q23" s="408"/>
      <c r="R23" s="411"/>
      <c r="S23" s="396"/>
      <c r="T23" s="399"/>
      <c r="U23" s="387"/>
      <c r="V23" s="390"/>
      <c r="W23" s="393"/>
    </row>
    <row r="24" spans="9:23" ht="10.199999999999999" x14ac:dyDescent="0.3">
      <c r="I24" s="131"/>
      <c r="J24" s="380"/>
      <c r="K24" s="380"/>
      <c r="L24" s="380"/>
      <c r="M24" s="403"/>
      <c r="N24" s="404"/>
      <c r="O24" s="384"/>
      <c r="P24" s="383"/>
      <c r="Q24" s="408"/>
      <c r="R24" s="411"/>
      <c r="S24" s="396"/>
      <c r="T24" s="399"/>
      <c r="U24" s="387"/>
      <c r="V24" s="390"/>
      <c r="W24" s="393"/>
    </row>
    <row r="25" spans="9:23" ht="10.199999999999999" x14ac:dyDescent="0.3">
      <c r="I25" s="131"/>
      <c r="J25" s="380"/>
      <c r="K25" s="380"/>
      <c r="L25" s="380"/>
      <c r="M25" s="403"/>
      <c r="N25" s="404"/>
      <c r="O25" s="384"/>
      <c r="P25" s="383"/>
      <c r="Q25" s="408"/>
      <c r="R25" s="411"/>
      <c r="S25" s="396"/>
      <c r="T25" s="399"/>
      <c r="U25" s="387"/>
      <c r="V25" s="390"/>
      <c r="W25" s="393"/>
    </row>
    <row r="26" spans="9:23" ht="10.199999999999999" x14ac:dyDescent="0.3">
      <c r="I26" s="131"/>
      <c r="J26" s="380"/>
      <c r="K26" s="380"/>
      <c r="L26" s="380"/>
      <c r="M26" s="403"/>
      <c r="N26" s="404"/>
      <c r="O26" s="384"/>
      <c r="P26" s="383"/>
      <c r="Q26" s="408"/>
      <c r="R26" s="411"/>
      <c r="S26" s="396"/>
      <c r="T26" s="399"/>
      <c r="U26" s="387"/>
      <c r="V26" s="390"/>
      <c r="W26" s="393"/>
    </row>
    <row r="27" spans="9:23" ht="10.199999999999999" x14ac:dyDescent="0.3">
      <c r="I27" s="131"/>
      <c r="J27" s="380"/>
      <c r="K27" s="380"/>
      <c r="L27" s="380"/>
      <c r="M27" s="403"/>
      <c r="N27" s="404"/>
      <c r="O27" s="384"/>
      <c r="P27" s="383"/>
      <c r="Q27" s="408"/>
      <c r="R27" s="411"/>
      <c r="S27" s="396"/>
      <c r="T27" s="399"/>
      <c r="U27" s="387"/>
      <c r="V27" s="390"/>
      <c r="W27" s="393"/>
    </row>
    <row r="28" spans="9:23" ht="10.199999999999999" x14ac:dyDescent="0.3">
      <c r="I28" s="131"/>
      <c r="J28" s="380"/>
      <c r="K28" s="380"/>
      <c r="L28" s="380"/>
      <c r="M28" s="403"/>
      <c r="N28" s="404"/>
      <c r="O28" s="384"/>
      <c r="P28" s="383"/>
      <c r="Q28" s="408"/>
      <c r="R28" s="411"/>
      <c r="S28" s="396"/>
      <c r="T28" s="399"/>
      <c r="U28" s="387"/>
      <c r="V28" s="390"/>
      <c r="W28" s="393"/>
    </row>
    <row r="29" spans="9:23" ht="10.199999999999999" x14ac:dyDescent="0.3">
      <c r="I29" s="131"/>
      <c r="J29" s="380"/>
      <c r="K29" s="380"/>
      <c r="L29" s="380"/>
      <c r="M29" s="403"/>
      <c r="N29" s="404"/>
      <c r="O29" s="384"/>
      <c r="P29" s="383"/>
      <c r="Q29" s="408"/>
      <c r="R29" s="411"/>
      <c r="S29" s="396"/>
      <c r="T29" s="399"/>
      <c r="U29" s="387"/>
      <c r="V29" s="390"/>
      <c r="W29" s="393"/>
    </row>
    <row r="30" spans="9:23" ht="10.199999999999999" x14ac:dyDescent="0.3">
      <c r="I30" s="131"/>
      <c r="J30" s="380"/>
      <c r="K30" s="380"/>
      <c r="L30" s="380"/>
      <c r="M30" s="403"/>
      <c r="N30" s="404"/>
      <c r="O30" s="384"/>
      <c r="P30" s="383"/>
      <c r="Q30" s="408"/>
      <c r="R30" s="411"/>
      <c r="S30" s="396"/>
      <c r="T30" s="399"/>
      <c r="U30" s="387"/>
      <c r="V30" s="390"/>
      <c r="W30" s="393"/>
    </row>
    <row r="31" spans="9:23" ht="10.199999999999999" x14ac:dyDescent="0.3">
      <c r="I31" s="131"/>
      <c r="J31" s="380"/>
      <c r="K31" s="380"/>
      <c r="L31" s="380"/>
      <c r="M31" s="403"/>
      <c r="N31" s="404"/>
      <c r="O31" s="384"/>
      <c r="P31" s="383"/>
      <c r="Q31" s="408"/>
      <c r="R31" s="411"/>
      <c r="S31" s="396"/>
      <c r="T31" s="399"/>
      <c r="U31" s="387"/>
      <c r="V31" s="390"/>
      <c r="W31" s="393"/>
    </row>
    <row r="32" spans="9:23" ht="10.199999999999999" x14ac:dyDescent="0.3">
      <c r="I32" s="131"/>
      <c r="J32" s="380"/>
      <c r="K32" s="380"/>
      <c r="L32" s="380"/>
      <c r="M32" s="403"/>
      <c r="N32" s="404"/>
      <c r="O32" s="384"/>
      <c r="P32" s="383"/>
      <c r="Q32" s="408"/>
      <c r="R32" s="411"/>
      <c r="S32" s="396"/>
      <c r="T32" s="399"/>
      <c r="U32" s="387"/>
      <c r="V32" s="390"/>
      <c r="W32" s="393"/>
    </row>
    <row r="33" spans="9:23" ht="10.199999999999999" x14ac:dyDescent="0.3">
      <c r="I33" s="131"/>
      <c r="J33" s="380"/>
      <c r="K33" s="380"/>
      <c r="L33" s="380"/>
      <c r="M33" s="403"/>
      <c r="N33" s="404"/>
      <c r="O33" s="384"/>
      <c r="P33" s="383"/>
      <c r="Q33" s="408"/>
      <c r="R33" s="411"/>
      <c r="S33" s="396"/>
      <c r="T33" s="399"/>
      <c r="U33" s="387"/>
      <c r="V33" s="390"/>
      <c r="W33" s="393"/>
    </row>
    <row r="34" spans="9:23" ht="10.199999999999999" x14ac:dyDescent="0.3">
      <c r="I34" s="131"/>
      <c r="J34" s="380"/>
      <c r="K34" s="380"/>
      <c r="L34" s="380"/>
      <c r="M34" s="403"/>
      <c r="N34" s="404"/>
      <c r="O34" s="384"/>
      <c r="P34" s="383"/>
      <c r="Q34" s="408"/>
      <c r="R34" s="411"/>
      <c r="S34" s="396"/>
      <c r="T34" s="399"/>
      <c r="U34" s="387"/>
      <c r="V34" s="390"/>
      <c r="W34" s="393"/>
    </row>
    <row r="35" spans="9:23" ht="10.199999999999999" x14ac:dyDescent="0.3">
      <c r="I35" s="131"/>
      <c r="J35" s="380"/>
      <c r="K35" s="380"/>
      <c r="L35" s="380"/>
      <c r="M35" s="403"/>
      <c r="N35" s="404"/>
      <c r="O35" s="384"/>
      <c r="P35" s="383"/>
      <c r="Q35" s="408"/>
      <c r="R35" s="411"/>
      <c r="S35" s="396"/>
      <c r="T35" s="399"/>
      <c r="U35" s="387"/>
      <c r="V35" s="390"/>
      <c r="W35" s="393"/>
    </row>
    <row r="36" spans="9:23" ht="10.199999999999999" x14ac:dyDescent="0.3">
      <c r="I36" s="131"/>
      <c r="J36" s="380"/>
      <c r="K36" s="380"/>
      <c r="L36" s="380"/>
      <c r="M36" s="403"/>
      <c r="N36" s="404"/>
      <c r="O36" s="384"/>
      <c r="P36" s="383"/>
      <c r="Q36" s="408"/>
      <c r="R36" s="411"/>
      <c r="S36" s="396"/>
      <c r="T36" s="399"/>
      <c r="U36" s="387"/>
      <c r="V36" s="390"/>
      <c r="W36" s="393"/>
    </row>
    <row r="37" spans="9:23" ht="10.199999999999999" x14ac:dyDescent="0.3">
      <c r="I37" s="131"/>
      <c r="J37" s="380"/>
      <c r="K37" s="380"/>
      <c r="L37" s="380"/>
      <c r="M37" s="403"/>
      <c r="N37" s="404"/>
      <c r="O37" s="384"/>
      <c r="P37" s="383"/>
      <c r="Q37" s="408"/>
      <c r="R37" s="411"/>
      <c r="S37" s="396"/>
      <c r="T37" s="399"/>
      <c r="U37" s="387"/>
      <c r="V37" s="390"/>
      <c r="W37" s="393"/>
    </row>
    <row r="38" spans="9:23" ht="10.199999999999999" x14ac:dyDescent="0.3">
      <c r="I38" s="131"/>
      <c r="J38" s="380"/>
      <c r="K38" s="380"/>
      <c r="L38" s="380"/>
      <c r="M38" s="403"/>
      <c r="N38" s="404"/>
      <c r="O38" s="384"/>
      <c r="P38" s="383"/>
      <c r="Q38" s="408"/>
      <c r="R38" s="411"/>
      <c r="S38" s="396"/>
      <c r="T38" s="399"/>
      <c r="U38" s="387"/>
      <c r="V38" s="390"/>
      <c r="W38" s="393"/>
    </row>
    <row r="39" spans="9:23" ht="10.199999999999999" x14ac:dyDescent="0.3">
      <c r="I39" s="131"/>
      <c r="J39" s="380"/>
      <c r="K39" s="380"/>
      <c r="L39" s="380"/>
      <c r="M39" s="403"/>
      <c r="N39" s="404"/>
      <c r="O39" s="384"/>
      <c r="P39" s="383"/>
      <c r="Q39" s="408"/>
      <c r="R39" s="411"/>
      <c r="S39" s="396"/>
      <c r="T39" s="399"/>
      <c r="U39" s="387"/>
      <c r="V39" s="390"/>
      <c r="W39" s="393"/>
    </row>
    <row r="40" spans="9:23" ht="10.199999999999999" x14ac:dyDescent="0.3">
      <c r="I40" s="131"/>
      <c r="J40" s="380"/>
      <c r="K40" s="380"/>
      <c r="L40" s="380"/>
      <c r="M40" s="403"/>
      <c r="N40" s="404"/>
      <c r="O40" s="384"/>
      <c r="P40" s="383"/>
      <c r="Q40" s="408"/>
      <c r="R40" s="411"/>
      <c r="S40" s="396"/>
      <c r="T40" s="399"/>
      <c r="U40" s="387"/>
      <c r="V40" s="390"/>
      <c r="W40" s="393"/>
    </row>
    <row r="41" spans="9:23" ht="10.199999999999999" x14ac:dyDescent="0.3">
      <c r="I41" s="131"/>
      <c r="J41" s="380"/>
      <c r="K41" s="380"/>
      <c r="L41" s="380"/>
      <c r="M41" s="403"/>
      <c r="N41" s="404"/>
      <c r="O41" s="384"/>
      <c r="P41" s="383"/>
      <c r="Q41" s="408"/>
      <c r="R41" s="411"/>
      <c r="S41" s="396"/>
      <c r="T41" s="399"/>
      <c r="U41" s="387"/>
      <c r="V41" s="390"/>
      <c r="W41" s="393"/>
    </row>
    <row r="42" spans="9:23" ht="10.199999999999999" x14ac:dyDescent="0.3">
      <c r="I42" s="131"/>
      <c r="J42" s="380"/>
      <c r="K42" s="380"/>
      <c r="L42" s="380"/>
      <c r="M42" s="403"/>
      <c r="N42" s="404"/>
      <c r="O42" s="384"/>
      <c r="P42" s="383"/>
      <c r="Q42" s="408"/>
      <c r="R42" s="411"/>
      <c r="S42" s="396"/>
      <c r="T42" s="399"/>
      <c r="U42" s="387"/>
      <c r="V42" s="390"/>
      <c r="W42" s="393"/>
    </row>
    <row r="43" spans="9:23" ht="10.199999999999999" x14ac:dyDescent="0.3">
      <c r="I43" s="131"/>
      <c r="J43" s="380"/>
      <c r="K43" s="380"/>
      <c r="L43" s="380"/>
      <c r="M43" s="403"/>
      <c r="N43" s="404"/>
      <c r="O43" s="384"/>
      <c r="P43" s="383"/>
      <c r="Q43" s="408"/>
      <c r="R43" s="411"/>
      <c r="S43" s="396"/>
      <c r="T43" s="399"/>
      <c r="U43" s="387"/>
      <c r="V43" s="390"/>
      <c r="W43" s="393"/>
    </row>
    <row r="44" spans="9:23" ht="10.199999999999999" x14ac:dyDescent="0.3">
      <c r="I44" s="131"/>
      <c r="J44" s="380"/>
      <c r="K44" s="380"/>
      <c r="L44" s="380"/>
      <c r="M44" s="403"/>
      <c r="N44" s="404"/>
      <c r="O44" s="384"/>
      <c r="P44" s="383"/>
      <c r="Q44" s="408"/>
      <c r="R44" s="411"/>
      <c r="S44" s="396"/>
      <c r="T44" s="399"/>
      <c r="U44" s="387"/>
      <c r="V44" s="390"/>
      <c r="W44" s="393"/>
    </row>
    <row r="45" spans="9:23" ht="10.199999999999999" x14ac:dyDescent="0.3">
      <c r="I45" s="131"/>
      <c r="J45" s="380"/>
      <c r="K45" s="380"/>
      <c r="L45" s="380"/>
      <c r="M45" s="403"/>
      <c r="N45" s="404"/>
      <c r="O45" s="384"/>
      <c r="P45" s="383"/>
      <c r="Q45" s="408"/>
      <c r="R45" s="411"/>
      <c r="S45" s="396"/>
      <c r="T45" s="399"/>
      <c r="U45" s="387"/>
      <c r="V45" s="390"/>
      <c r="W45" s="393"/>
    </row>
    <row r="46" spans="9:23" ht="10.199999999999999" x14ac:dyDescent="0.3">
      <c r="I46" s="131"/>
      <c r="J46" s="380"/>
      <c r="K46" s="380"/>
      <c r="L46" s="380"/>
      <c r="M46" s="403"/>
      <c r="N46" s="404"/>
      <c r="O46" s="384"/>
      <c r="P46" s="383"/>
      <c r="Q46" s="408"/>
      <c r="R46" s="411"/>
      <c r="S46" s="396"/>
      <c r="T46" s="399"/>
      <c r="U46" s="387"/>
      <c r="V46" s="390"/>
      <c r="W46" s="393"/>
    </row>
    <row r="47" spans="9:23" ht="10.199999999999999" x14ac:dyDescent="0.3">
      <c r="I47" s="131"/>
      <c r="J47" s="380"/>
      <c r="K47" s="380"/>
      <c r="L47" s="380"/>
      <c r="M47" s="403"/>
      <c r="N47" s="404"/>
      <c r="O47" s="384"/>
      <c r="P47" s="383"/>
      <c r="Q47" s="408"/>
      <c r="R47" s="411"/>
      <c r="S47" s="396"/>
      <c r="T47" s="399"/>
      <c r="U47" s="387"/>
      <c r="V47" s="390"/>
      <c r="W47" s="393"/>
    </row>
    <row r="48" spans="9:23" ht="10.199999999999999" x14ac:dyDescent="0.3">
      <c r="I48" s="131"/>
      <c r="J48" s="380"/>
      <c r="K48" s="380"/>
      <c r="L48" s="380"/>
      <c r="M48" s="403"/>
      <c r="N48" s="404"/>
      <c r="O48" s="384"/>
      <c r="P48" s="383"/>
      <c r="Q48" s="408"/>
      <c r="R48" s="411"/>
      <c r="S48" s="396"/>
      <c r="T48" s="399"/>
      <c r="U48" s="387"/>
      <c r="V48" s="390"/>
      <c r="W48" s="393"/>
    </row>
    <row r="49" spans="2:23" ht="10.199999999999999" x14ac:dyDescent="0.3">
      <c r="I49" s="131"/>
      <c r="J49" s="380"/>
      <c r="K49" s="380"/>
      <c r="L49" s="380"/>
      <c r="M49" s="403"/>
      <c r="N49" s="404"/>
      <c r="O49" s="384"/>
      <c r="P49" s="383"/>
      <c r="Q49" s="408"/>
      <c r="R49" s="411"/>
      <c r="S49" s="396"/>
      <c r="T49" s="399"/>
      <c r="U49" s="387"/>
      <c r="V49" s="390"/>
      <c r="W49" s="393"/>
    </row>
    <row r="50" spans="2:23" ht="10.199999999999999" x14ac:dyDescent="0.3">
      <c r="I50" s="131"/>
      <c r="J50" s="380"/>
      <c r="K50" s="380"/>
      <c r="L50" s="380"/>
      <c r="M50" s="403"/>
      <c r="N50" s="404"/>
      <c r="O50" s="384"/>
      <c r="P50" s="383"/>
      <c r="Q50" s="408"/>
      <c r="R50" s="411"/>
      <c r="S50" s="396"/>
      <c r="T50" s="399"/>
      <c r="U50" s="387"/>
      <c r="V50" s="390"/>
      <c r="W50" s="393"/>
    </row>
    <row r="51" spans="2:23" ht="10.199999999999999" x14ac:dyDescent="0.3">
      <c r="B51" s="188" t="s">
        <v>680</v>
      </c>
      <c r="C51" s="188" t="s">
        <v>916</v>
      </c>
      <c r="D51" s="188" t="s">
        <v>385</v>
      </c>
      <c r="I51" s="131"/>
      <c r="J51" s="380"/>
      <c r="K51" s="380"/>
      <c r="L51" s="380"/>
      <c r="M51" s="403"/>
      <c r="N51" s="404"/>
      <c r="O51" s="384"/>
      <c r="P51" s="383"/>
      <c r="Q51" s="408"/>
      <c r="R51" s="411"/>
      <c r="S51" s="396"/>
      <c r="T51" s="399"/>
      <c r="U51" s="387"/>
      <c r="V51" s="390"/>
      <c r="W51" s="393"/>
    </row>
    <row r="52" spans="2:23" ht="10.199999999999999" x14ac:dyDescent="0.3">
      <c r="B52" s="376" t="s">
        <v>626</v>
      </c>
      <c r="C52" s="375">
        <f>SUMIF('raw Data'!M:M,B52,'raw Data'!H:H)</f>
        <v>37.570030000000003</v>
      </c>
      <c r="D52" s="189">
        <f>3650000*C52/(SUMIF('raw Data'!$A:$A,"RESINV1USD",'raw Data'!$G:$G)+SUMIF('raw Data'!$A:$A,"RESSWAPORUSD",'raw Data'!$G:$G))</f>
        <v>7.4884926042436524</v>
      </c>
      <c r="I52" s="131"/>
      <c r="J52" s="380"/>
      <c r="K52" s="380"/>
      <c r="L52" s="380"/>
      <c r="M52" s="403"/>
      <c r="N52" s="404"/>
      <c r="O52" s="384"/>
      <c r="P52" s="383"/>
      <c r="Q52" s="408"/>
      <c r="R52" s="411"/>
      <c r="S52" s="396"/>
      <c r="T52" s="399"/>
      <c r="U52" s="387"/>
      <c r="V52" s="390"/>
      <c r="W52" s="393"/>
    </row>
    <row r="53" spans="2:23" ht="10.199999999999999" x14ac:dyDescent="0.3">
      <c r="B53" s="376" t="s">
        <v>614</v>
      </c>
      <c r="C53" s="375">
        <f>SUMIF('raw Data'!M:M,B53,'raw Data'!H:H)</f>
        <v>53.451249999999995</v>
      </c>
      <c r="D53" s="189">
        <f>3650000*C53/(SUMIF('raw Data'!$A:$A,"RESINV1USD",'raw Data'!$G:$G)+SUMIF('raw Data'!$A:$A,"RESSWAPORUSD",'raw Data'!$G:$G))</f>
        <v>10.653951841736045</v>
      </c>
      <c r="I53" s="131"/>
      <c r="J53" s="380"/>
      <c r="K53" s="380"/>
      <c r="L53" s="380"/>
      <c r="M53" s="403"/>
      <c r="N53" s="404"/>
      <c r="O53" s="384"/>
      <c r="P53" s="383"/>
      <c r="Q53" s="408"/>
      <c r="R53" s="411"/>
      <c r="S53" s="396"/>
      <c r="T53" s="399"/>
      <c r="U53" s="387"/>
      <c r="V53" s="390"/>
      <c r="W53" s="393"/>
    </row>
    <row r="54" spans="2:23" ht="10.199999999999999" x14ac:dyDescent="0.3">
      <c r="B54" s="376" t="s">
        <v>612</v>
      </c>
      <c r="C54" s="375">
        <f>SUMIF('raw Data'!M:M,B54,'raw Data'!H:H)</f>
        <v>24.521149999999999</v>
      </c>
      <c r="D54" s="189">
        <f>3650000*C54/(SUMIF('raw Data'!$A:$A,"RESINV1USD",'raw Data'!$G:$G)+SUMIF('raw Data'!$A:$A,"RESSWAPORUSD",'raw Data'!$G:$G))</f>
        <v>4.8875779556883296</v>
      </c>
      <c r="I54" s="131"/>
      <c r="J54" s="380"/>
      <c r="K54" s="380"/>
      <c r="L54" s="380"/>
      <c r="M54" s="403"/>
      <c r="N54" s="404"/>
      <c r="O54" s="384"/>
      <c r="P54" s="383"/>
      <c r="Q54" s="408"/>
      <c r="R54" s="411"/>
      <c r="S54" s="396"/>
      <c r="T54" s="399"/>
      <c r="U54" s="387"/>
      <c r="V54" s="390"/>
      <c r="W54" s="393"/>
    </row>
    <row r="55" spans="2:23" ht="10.199999999999999" x14ac:dyDescent="0.3">
      <c r="B55" s="376" t="s">
        <v>627</v>
      </c>
      <c r="C55" s="375">
        <f>SUMIF('raw Data'!M:M,B55,'raw Data'!H:H)</f>
        <v>5.0804200000000002</v>
      </c>
      <c r="D55" s="189">
        <f>3650000*C55/(SUMIF('raw Data'!$A:$A,"RESINV1USD",'raw Data'!$G:$G)+SUMIF('raw Data'!$A:$A,"RESSWAPORUSD",'raw Data'!$G:$G))</f>
        <v>1.012633942439001</v>
      </c>
      <c r="I55" s="131"/>
      <c r="J55" s="380"/>
      <c r="K55" s="380"/>
      <c r="L55" s="380"/>
      <c r="M55" s="403"/>
      <c r="N55" s="404"/>
      <c r="O55" s="384"/>
      <c r="P55" s="383"/>
      <c r="Q55" s="408"/>
      <c r="R55" s="411"/>
      <c r="S55" s="396"/>
      <c r="T55" s="399"/>
      <c r="U55" s="387"/>
      <c r="V55" s="390"/>
      <c r="W55" s="393"/>
    </row>
    <row r="56" spans="2:23" ht="10.199999999999999" x14ac:dyDescent="0.3">
      <c r="B56" s="376" t="s">
        <v>616</v>
      </c>
      <c r="C56" s="375">
        <f>SUMIF('raw Data'!M:M,B56,'raw Data'!H:H)</f>
        <v>38.399470000000001</v>
      </c>
      <c r="D56" s="189">
        <f>3650000*C56/(SUMIF('raw Data'!$A:$A,"RESINV1USD",'raw Data'!$G:$G)+SUMIF('raw Data'!$A:$A,"RESSWAPORUSD",'raw Data'!$G:$G))</f>
        <v>7.6538173406269836</v>
      </c>
      <c r="I56" s="131"/>
      <c r="J56" s="380"/>
      <c r="K56" s="380"/>
      <c r="L56" s="380"/>
      <c r="M56" s="403"/>
      <c r="N56" s="404"/>
      <c r="O56" s="384"/>
      <c r="P56" s="383"/>
      <c r="Q56" s="408"/>
      <c r="R56" s="411"/>
      <c r="S56" s="396"/>
      <c r="T56" s="399"/>
      <c r="U56" s="387"/>
      <c r="V56" s="390"/>
      <c r="W56" s="393"/>
    </row>
    <row r="57" spans="2:23" ht="10.199999999999999" x14ac:dyDescent="0.3">
      <c r="B57" s="376" t="s">
        <v>618</v>
      </c>
      <c r="C57" s="375">
        <f>SUMIF('raw Data'!M:M,B57,'raw Data'!H:H)</f>
        <v>26.751139999999999</v>
      </c>
      <c r="D57" s="189">
        <f>3650000*C57/(SUMIF('raw Data'!$A:$A,"RESINV1USD",'raw Data'!$G:$G)+SUMIF('raw Data'!$A:$A,"RESSWAPORUSD",'raw Data'!$G:$G))</f>
        <v>5.3320615939110647</v>
      </c>
      <c r="I57" s="131"/>
      <c r="J57" s="380"/>
      <c r="K57" s="380"/>
      <c r="L57" s="380"/>
      <c r="M57" s="403"/>
      <c r="N57" s="404"/>
      <c r="O57" s="384"/>
      <c r="P57" s="383"/>
      <c r="Q57" s="408"/>
      <c r="R57" s="411"/>
      <c r="S57" s="396"/>
      <c r="T57" s="399"/>
      <c r="U57" s="387"/>
      <c r="V57" s="390"/>
      <c r="W57" s="393"/>
    </row>
    <row r="58" spans="2:23" ht="10.199999999999999" x14ac:dyDescent="0.3">
      <c r="B58" s="376" t="s">
        <v>629</v>
      </c>
      <c r="C58" s="375">
        <f>SUMIF('raw Data'!M:M,B58,'raw Data'!H:H)</f>
        <v>7.2561400000000003</v>
      </c>
      <c r="D58" s="189">
        <f>3650000*C58/(SUMIF('raw Data'!$A:$A,"RESINV1USD",'raw Data'!$G:$G)+SUMIF('raw Data'!$A:$A,"RESSWAPORUSD",'raw Data'!$G:$G))</f>
        <v>1.4463004348241546</v>
      </c>
      <c r="I58" s="131"/>
      <c r="J58" s="380"/>
      <c r="K58" s="380"/>
      <c r="L58" s="380"/>
      <c r="M58" s="403"/>
      <c r="N58" s="404"/>
      <c r="O58" s="384"/>
      <c r="P58" s="383"/>
      <c r="Q58" s="408"/>
      <c r="R58" s="411"/>
      <c r="S58" s="396"/>
      <c r="T58" s="399"/>
      <c r="U58" s="387"/>
      <c r="V58" s="390"/>
      <c r="W58" s="393"/>
    </row>
    <row r="59" spans="2:23" ht="10.199999999999999" x14ac:dyDescent="0.3">
      <c r="B59" s="376" t="s">
        <v>620</v>
      </c>
      <c r="C59" s="375">
        <f>SUMIF('raw Data'!M:M,B59,'raw Data'!H:H)</f>
        <v>0.95871000000000006</v>
      </c>
      <c r="D59" s="189">
        <f>3650000*C59/(SUMIF('raw Data'!$A:$A,"RESINV1USD",'raw Data'!$G:$G)+SUMIF('raw Data'!$A:$A,"RESSWAPORUSD",'raw Data'!$G:$G))</f>
        <v>0.19109095054261155</v>
      </c>
      <c r="I59" s="131"/>
      <c r="J59" s="380"/>
      <c r="K59" s="380"/>
      <c r="L59" s="380"/>
      <c r="M59" s="403"/>
      <c r="N59" s="404"/>
      <c r="O59" s="384"/>
      <c r="P59" s="383"/>
      <c r="Q59" s="408"/>
      <c r="R59" s="411"/>
      <c r="S59" s="396"/>
      <c r="T59" s="399"/>
      <c r="U59" s="387"/>
      <c r="V59" s="390"/>
      <c r="W59" s="393"/>
    </row>
    <row r="60" spans="2:23" ht="10.199999999999999" x14ac:dyDescent="0.3">
      <c r="B60" s="376" t="s">
        <v>623</v>
      </c>
      <c r="C60" s="375">
        <f>SUMIF('raw Data'!M:M,B60,'raw Data'!H:H)</f>
        <v>2.1522299999999999</v>
      </c>
      <c r="D60" s="189">
        <f>3650000*C60/(SUMIF('raw Data'!$A:$A,"RESINV1USD",'raw Data'!$G:$G)+SUMIF('raw Data'!$A:$A,"RESSWAPORUSD",'raw Data'!$G:$G))</f>
        <v>0.42898444418679765</v>
      </c>
      <c r="I60" s="131"/>
      <c r="J60" s="380"/>
      <c r="K60" s="380"/>
      <c r="L60" s="380"/>
      <c r="M60" s="403"/>
      <c r="N60" s="404"/>
      <c r="O60" s="384"/>
      <c r="P60" s="383"/>
      <c r="Q60" s="408"/>
      <c r="R60" s="411"/>
      <c r="S60" s="396"/>
      <c r="T60" s="399"/>
      <c r="U60" s="387"/>
      <c r="V60" s="390"/>
      <c r="W60" s="393"/>
    </row>
    <row r="61" spans="2:23" ht="10.199999999999999" x14ac:dyDescent="0.3">
      <c r="B61" s="376" t="s">
        <v>617</v>
      </c>
      <c r="C61" s="375">
        <f>SUMIF('raw Data'!M:M,B61,'raw Data'!H:H)</f>
        <v>1.7241199999999999</v>
      </c>
      <c r="D61" s="189">
        <f>3650000*C61/(SUMIF('raw Data'!$A:$A,"RESINV1USD",'raw Data'!$G:$G)+SUMIF('raw Data'!$A:$A,"RESSWAPORUSD",'raw Data'!$G:$G))</f>
        <v>0.34365316899743137</v>
      </c>
      <c r="I61" s="131"/>
      <c r="J61" s="380"/>
      <c r="K61" s="380"/>
      <c r="L61" s="380"/>
      <c r="M61" s="403"/>
      <c r="N61" s="404"/>
      <c r="O61" s="384"/>
      <c r="P61" s="383"/>
      <c r="Q61" s="408"/>
      <c r="R61" s="411"/>
      <c r="S61" s="396"/>
      <c r="T61" s="399"/>
      <c r="U61" s="387"/>
      <c r="V61" s="390"/>
      <c r="W61" s="393"/>
    </row>
    <row r="62" spans="2:23" ht="10.199999999999999" x14ac:dyDescent="0.3">
      <c r="B62" s="376" t="s">
        <v>615</v>
      </c>
      <c r="C62" s="375">
        <f>SUMIF('raw Data'!M:M,B62,'raw Data'!H:H)</f>
        <v>23.12764</v>
      </c>
      <c r="D62" s="189">
        <f>3650000*C62/(SUMIF('raw Data'!$A:$A,"RESINV1USD",'raw Data'!$G:$G)+SUMIF('raw Data'!$A:$A,"RESSWAPORUSD",'raw Data'!$G:$G))</f>
        <v>4.6098222730620568</v>
      </c>
      <c r="I62" s="131"/>
      <c r="J62" s="380"/>
      <c r="K62" s="380"/>
      <c r="L62" s="380"/>
      <c r="M62" s="403"/>
      <c r="N62" s="404"/>
      <c r="O62" s="384"/>
      <c r="P62" s="383"/>
      <c r="Q62" s="408"/>
      <c r="R62" s="411"/>
      <c r="S62" s="396"/>
      <c r="T62" s="399"/>
      <c r="U62" s="387"/>
      <c r="V62" s="390"/>
      <c r="W62" s="393"/>
    </row>
    <row r="63" spans="2:23" ht="10.199999999999999" x14ac:dyDescent="0.3">
      <c r="B63" s="376" t="s">
        <v>628</v>
      </c>
      <c r="C63" s="375">
        <f>SUMIF('raw Data'!M:M,B63,'raw Data'!H:H)</f>
        <v>6.1105099999999997</v>
      </c>
      <c r="D63" s="189">
        <f>3650000*C63/(SUMIF('raw Data'!$A:$A,"RESINV1USD",'raw Data'!$G:$G)+SUMIF('raw Data'!$A:$A,"RESSWAPORUSD",'raw Data'!$G:$G))</f>
        <v>1.2179524196056506</v>
      </c>
      <c r="I63" s="131"/>
      <c r="J63" s="380"/>
      <c r="K63" s="380"/>
      <c r="L63" s="380"/>
      <c r="M63" s="403"/>
      <c r="N63" s="404"/>
      <c r="O63" s="384"/>
      <c r="P63" s="383"/>
      <c r="Q63" s="408"/>
      <c r="R63" s="411"/>
      <c r="S63" s="396"/>
      <c r="T63" s="399"/>
      <c r="U63" s="387"/>
      <c r="V63" s="390"/>
      <c r="W63" s="393"/>
    </row>
    <row r="64" spans="2:23" ht="10.199999999999999" x14ac:dyDescent="0.3">
      <c r="B64" s="376" t="s">
        <v>631</v>
      </c>
      <c r="C64" s="375">
        <f>SUMIF('raw Data'!M:M,B64,'raw Data'!H:H)</f>
        <v>19.534990000000001</v>
      </c>
      <c r="D64" s="189">
        <f>3650000*C64/(SUMIF('raw Data'!$A:$A,"RESINV1USD",'raw Data'!$G:$G)+SUMIF('raw Data'!$A:$A,"RESSWAPORUSD",'raw Data'!$G:$G))</f>
        <v>3.8937320023160402</v>
      </c>
      <c r="I64" s="131"/>
      <c r="J64" s="380"/>
      <c r="K64" s="380"/>
      <c r="L64" s="380"/>
      <c r="M64" s="403"/>
      <c r="N64" s="404"/>
      <c r="O64" s="384"/>
      <c r="P64" s="383"/>
      <c r="Q64" s="408"/>
      <c r="R64" s="411"/>
      <c r="S64" s="396"/>
      <c r="T64" s="399"/>
      <c r="U64" s="387"/>
      <c r="V64" s="390"/>
      <c r="W64" s="393"/>
    </row>
    <row r="65" spans="2:23" ht="10.199999999999999" x14ac:dyDescent="0.3">
      <c r="B65" s="376" t="s">
        <v>625</v>
      </c>
      <c r="C65" s="375">
        <f>SUMIF('raw Data'!M:M,B65,'raw Data'!H:H)</f>
        <v>2.6040100000000002</v>
      </c>
      <c r="D65" s="189">
        <f>3650000*C65/(SUMIF('raw Data'!$A:$A,"RESINV1USD",'raw Data'!$G:$G)+SUMIF('raw Data'!$A:$A,"RESSWAPORUSD",'raw Data'!$G:$G))</f>
        <v>0.51903364533849217</v>
      </c>
      <c r="I65" s="131"/>
      <c r="J65" s="380"/>
      <c r="K65" s="380"/>
      <c r="L65" s="380"/>
      <c r="M65" s="403"/>
      <c r="N65" s="404"/>
      <c r="O65" s="384"/>
      <c r="P65" s="383"/>
      <c r="Q65" s="408"/>
      <c r="R65" s="411"/>
      <c r="S65" s="396"/>
      <c r="T65" s="399"/>
      <c r="U65" s="387"/>
      <c r="V65" s="390"/>
      <c r="W65" s="393"/>
    </row>
    <row r="66" spans="2:23" ht="10.199999999999999" x14ac:dyDescent="0.3">
      <c r="B66" s="376" t="s">
        <v>613</v>
      </c>
      <c r="C66" s="375">
        <f>SUMIF('raw Data'!M:M,B66,'raw Data'!H:H)</f>
        <v>4.9433400000000001</v>
      </c>
      <c r="D66" s="189">
        <f>3650000*C66/(SUMIF('raw Data'!$A:$A,"RESINV1USD",'raw Data'!$G:$G)+SUMIF('raw Data'!$A:$A,"RESSWAPORUSD",'raw Data'!$G:$G))</f>
        <v>0.98531103196515457</v>
      </c>
      <c r="I66" s="131"/>
      <c r="J66" s="380"/>
      <c r="K66" s="380"/>
      <c r="L66" s="380"/>
      <c r="M66" s="403"/>
      <c r="N66" s="404"/>
      <c r="O66" s="384"/>
      <c r="P66" s="383"/>
      <c r="Q66" s="408"/>
      <c r="R66" s="411"/>
      <c r="S66" s="396"/>
      <c r="T66" s="399"/>
      <c r="U66" s="387"/>
      <c r="V66" s="390"/>
      <c r="W66" s="393"/>
    </row>
    <row r="67" spans="2:23" ht="10.199999999999999" x14ac:dyDescent="0.3">
      <c r="B67" s="376" t="s">
        <v>619</v>
      </c>
      <c r="C67" s="375">
        <f>SUMIF('raw Data'!M:M,B67,'raw Data'!H:H)</f>
        <v>30.24813</v>
      </c>
      <c r="D67" s="189">
        <f>3650000*C67/(SUMIF('raw Data'!$A:$A,"RESINV1USD",'raw Data'!$G:$G)+SUMIF('raw Data'!$A:$A,"RESSWAPORUSD",'raw Data'!$G:$G))</f>
        <v>6.0290848263150316</v>
      </c>
      <c r="I67" s="131"/>
      <c r="J67" s="380"/>
      <c r="K67" s="380"/>
      <c r="L67" s="380"/>
      <c r="M67" s="403"/>
      <c r="N67" s="404"/>
      <c r="O67" s="384"/>
      <c r="P67" s="383"/>
      <c r="Q67" s="408"/>
      <c r="R67" s="411"/>
      <c r="S67" s="396"/>
      <c r="T67" s="399"/>
      <c r="U67" s="387"/>
      <c r="V67" s="390"/>
      <c r="W67" s="393"/>
    </row>
    <row r="68" spans="2:23" ht="10.199999999999999" x14ac:dyDescent="0.3">
      <c r="B68" s="376" t="s">
        <v>621</v>
      </c>
      <c r="C68" s="375">
        <f>SUMIF('raw Data'!M:M,B68,'raw Data'!H:H)</f>
        <v>2.9545599999999999</v>
      </c>
      <c r="D68" s="189">
        <f>3650000*C68/(SUMIF('raw Data'!$A:$A,"RESINV1USD",'raw Data'!$G:$G)+SUMIF('raw Data'!$A:$A,"RESSWAPORUSD",'raw Data'!$G:$G))</f>
        <v>0.58890559067411241</v>
      </c>
      <c r="I68" s="131"/>
      <c r="J68" s="380"/>
      <c r="K68" s="380"/>
      <c r="L68" s="380"/>
      <c r="M68" s="403"/>
      <c r="N68" s="404"/>
      <c r="O68" s="384"/>
      <c r="P68" s="383"/>
      <c r="Q68" s="408"/>
      <c r="R68" s="411"/>
      <c r="S68" s="396"/>
      <c r="T68" s="399"/>
      <c r="U68" s="387"/>
      <c r="V68" s="390"/>
      <c r="W68" s="393"/>
    </row>
    <row r="69" spans="2:23" ht="10.199999999999999" x14ac:dyDescent="0.3">
      <c r="B69" s="376" t="s">
        <v>630</v>
      </c>
      <c r="C69" s="375">
        <f>SUMIF('raw Data'!M:M,B69,'raw Data'!H:H)</f>
        <v>9.3708200000000001</v>
      </c>
      <c r="D69" s="189">
        <f>3650000*C69/(SUMIF('raw Data'!$A:$A,"RESINV1USD",'raw Data'!$G:$G)+SUMIF('raw Data'!$A:$A,"RESSWAPORUSD",'raw Data'!$G:$G))</f>
        <v>1.8678003788045552</v>
      </c>
      <c r="I69" s="131"/>
      <c r="J69" s="380"/>
      <c r="K69" s="380"/>
      <c r="L69" s="380"/>
      <c r="M69" s="403"/>
      <c r="N69" s="404"/>
      <c r="O69" s="384"/>
      <c r="P69" s="383"/>
      <c r="Q69" s="408"/>
      <c r="R69" s="411"/>
      <c r="S69" s="396"/>
      <c r="T69" s="399"/>
      <c r="U69" s="387"/>
      <c r="V69" s="390"/>
      <c r="W69" s="393"/>
    </row>
    <row r="70" spans="2:23" ht="10.199999999999999" x14ac:dyDescent="0.3">
      <c r="B70" s="376" t="s">
        <v>624</v>
      </c>
      <c r="C70" s="375">
        <f>SUMIF('raw Data'!M:M,B70,'raw Data'!H:H)</f>
        <v>1.35432</v>
      </c>
      <c r="D70" s="189">
        <f>3650000*C70/(SUMIF('raw Data'!$A:$A,"RESINV1USD",'raw Data'!$G:$G)+SUMIF('raw Data'!$A:$A,"RESSWAPORUSD",'raw Data'!$G:$G))</f>
        <v>0.26994429612590842</v>
      </c>
      <c r="I70" s="131"/>
      <c r="J70" s="380"/>
      <c r="K70" s="380"/>
      <c r="L70" s="380"/>
      <c r="M70" s="403"/>
      <c r="N70" s="404"/>
      <c r="O70" s="384"/>
      <c r="P70" s="383"/>
      <c r="Q70" s="408"/>
      <c r="R70" s="411"/>
      <c r="S70" s="396"/>
      <c r="T70" s="399"/>
      <c r="U70" s="387"/>
      <c r="V70" s="390"/>
      <c r="W70" s="393"/>
    </row>
    <row r="71" spans="2:23" ht="10.199999999999999" x14ac:dyDescent="0.3">
      <c r="B71" s="376" t="s">
        <v>622</v>
      </c>
      <c r="C71" s="375">
        <f>SUMIF('raw Data'!M:M,B71,'raw Data'!H:H)</f>
        <v>12.08325</v>
      </c>
      <c r="D71" s="189">
        <f>3650000*C71/(SUMIF('raw Data'!$A:$A,"RESINV1USD",'raw Data'!$G:$G)+SUMIF('raw Data'!$A:$A,"RESSWAPORUSD",'raw Data'!$G:$G))</f>
        <v>2.4084443973088949</v>
      </c>
      <c r="I71" s="131"/>
      <c r="J71" s="380"/>
      <c r="K71" s="380"/>
      <c r="L71" s="380"/>
      <c r="M71" s="403"/>
      <c r="N71" s="404"/>
      <c r="O71" s="384"/>
      <c r="P71" s="383"/>
      <c r="Q71" s="408"/>
      <c r="R71" s="411"/>
      <c r="S71" s="396"/>
      <c r="T71" s="399"/>
      <c r="U71" s="387"/>
      <c r="V71" s="390"/>
      <c r="W71" s="393"/>
    </row>
    <row r="72" spans="2:23" ht="10.199999999999999" x14ac:dyDescent="0.3">
      <c r="B72" s="376" t="s">
        <v>633</v>
      </c>
      <c r="C72" s="374"/>
      <c r="D72" s="190">
        <f>SUM(D52:D71)</f>
        <v>61.828595138711968</v>
      </c>
      <c r="I72" s="131"/>
      <c r="J72" s="380"/>
      <c r="K72" s="380"/>
      <c r="L72" s="380"/>
      <c r="M72" s="403"/>
      <c r="N72" s="404"/>
      <c r="O72" s="384"/>
      <c r="P72" s="383"/>
      <c r="Q72" s="408"/>
      <c r="R72" s="411"/>
      <c r="S72" s="396"/>
      <c r="T72" s="399"/>
      <c r="U72" s="387"/>
      <c r="V72" s="390"/>
      <c r="W72" s="393"/>
    </row>
    <row r="73" spans="2:23" ht="10.199999999999999" x14ac:dyDescent="0.3">
      <c r="I73" s="131"/>
      <c r="J73" s="380"/>
      <c r="K73" s="380"/>
      <c r="L73" s="380"/>
      <c r="M73" s="403"/>
      <c r="N73" s="404"/>
      <c r="O73" s="384"/>
      <c r="P73" s="383"/>
      <c r="Q73" s="408"/>
      <c r="R73" s="411"/>
      <c r="S73" s="396"/>
      <c r="T73" s="399"/>
      <c r="U73" s="387"/>
      <c r="V73" s="390"/>
      <c r="W73" s="393"/>
    </row>
    <row r="74" spans="2:23" ht="10.199999999999999" x14ac:dyDescent="0.3">
      <c r="I74" s="131"/>
      <c r="J74" s="380"/>
      <c r="K74" s="380"/>
      <c r="L74" s="380"/>
      <c r="M74" s="403"/>
      <c r="N74" s="404"/>
      <c r="O74" s="384"/>
      <c r="P74" s="383"/>
      <c r="Q74" s="408"/>
      <c r="R74" s="411"/>
      <c r="S74" s="396"/>
      <c r="T74" s="399"/>
      <c r="U74" s="387"/>
      <c r="V74" s="390"/>
      <c r="W74" s="393"/>
    </row>
    <row r="75" spans="2:23" ht="10.199999999999999" x14ac:dyDescent="0.3">
      <c r="I75" s="131"/>
      <c r="J75" s="380"/>
      <c r="K75" s="380"/>
      <c r="L75" s="380"/>
      <c r="M75" s="403"/>
      <c r="N75" s="404"/>
      <c r="O75" s="384"/>
      <c r="P75" s="383"/>
      <c r="Q75" s="408"/>
      <c r="R75" s="411"/>
      <c r="S75" s="396"/>
      <c r="T75" s="399"/>
      <c r="U75" s="387"/>
      <c r="V75" s="390"/>
      <c r="W75" s="393"/>
    </row>
    <row r="76" spans="2:23" ht="10.199999999999999" x14ac:dyDescent="0.3">
      <c r="I76" s="131"/>
      <c r="J76" s="380"/>
      <c r="K76" s="380"/>
      <c r="L76" s="380"/>
      <c r="M76" s="403"/>
      <c r="N76" s="404"/>
      <c r="O76" s="384"/>
      <c r="P76" s="383"/>
      <c r="Q76" s="408"/>
      <c r="R76" s="411"/>
      <c r="S76" s="396"/>
      <c r="T76" s="399"/>
      <c r="U76" s="387"/>
      <c r="V76" s="390"/>
      <c r="W76" s="393"/>
    </row>
    <row r="77" spans="2:23" ht="10.199999999999999" x14ac:dyDescent="0.3">
      <c r="I77" s="131"/>
      <c r="J77" s="380"/>
      <c r="K77" s="380"/>
      <c r="L77" s="380"/>
      <c r="M77" s="403"/>
      <c r="N77" s="404"/>
      <c r="O77" s="384"/>
      <c r="P77" s="383"/>
      <c r="Q77" s="408"/>
      <c r="R77" s="411"/>
      <c r="S77" s="396"/>
      <c r="T77" s="399"/>
      <c r="U77" s="387"/>
      <c r="V77" s="390"/>
      <c r="W77" s="393"/>
    </row>
    <row r="78" spans="2:23" ht="10.199999999999999" x14ac:dyDescent="0.3">
      <c r="I78" s="131"/>
      <c r="J78" s="380"/>
      <c r="K78" s="380"/>
      <c r="L78" s="380"/>
      <c r="M78" s="403"/>
      <c r="N78" s="404"/>
      <c r="O78" s="384"/>
      <c r="P78" s="383"/>
      <c r="Q78" s="408"/>
      <c r="R78" s="411"/>
      <c r="S78" s="396"/>
      <c r="T78" s="399"/>
      <c r="U78" s="387"/>
      <c r="V78" s="390"/>
      <c r="W78" s="393"/>
    </row>
    <row r="79" spans="2:23" ht="10.199999999999999" x14ac:dyDescent="0.3">
      <c r="I79" s="131"/>
      <c r="J79" s="380"/>
      <c r="K79" s="380"/>
      <c r="L79" s="380"/>
      <c r="M79" s="403"/>
      <c r="N79" s="404"/>
      <c r="O79" s="384"/>
      <c r="P79" s="383"/>
      <c r="Q79" s="408"/>
      <c r="R79" s="411"/>
      <c r="S79" s="396"/>
      <c r="T79" s="399"/>
      <c r="U79" s="387"/>
      <c r="V79" s="390"/>
      <c r="W79" s="393"/>
    </row>
    <row r="80" spans="2:23" ht="10.199999999999999" x14ac:dyDescent="0.3">
      <c r="I80" s="131"/>
      <c r="J80" s="380"/>
      <c r="K80" s="380"/>
      <c r="L80" s="380"/>
      <c r="M80" s="403"/>
      <c r="N80" s="404"/>
      <c r="O80" s="384"/>
      <c r="P80" s="383"/>
      <c r="Q80" s="408"/>
      <c r="R80" s="411"/>
      <c r="S80" s="396"/>
      <c r="T80" s="399"/>
      <c r="U80" s="387"/>
      <c r="V80" s="390"/>
      <c r="W80" s="393"/>
    </row>
    <row r="81" spans="9:23" ht="10.199999999999999" x14ac:dyDescent="0.3">
      <c r="I81" s="131"/>
      <c r="J81" s="380"/>
      <c r="K81" s="380"/>
      <c r="L81" s="380"/>
      <c r="M81" s="403"/>
      <c r="N81" s="404"/>
      <c r="O81" s="384"/>
      <c r="P81" s="383"/>
      <c r="Q81" s="408"/>
      <c r="R81" s="411"/>
      <c r="S81" s="396"/>
      <c r="T81" s="399"/>
      <c r="U81" s="387"/>
      <c r="V81" s="390"/>
      <c r="W81" s="393"/>
    </row>
    <row r="82" spans="9:23" ht="10.199999999999999" x14ac:dyDescent="0.3">
      <c r="I82" s="131"/>
      <c r="J82" s="380"/>
      <c r="K82" s="380"/>
      <c r="L82" s="380"/>
      <c r="M82" s="403"/>
      <c r="N82" s="404"/>
      <c r="O82" s="384"/>
      <c r="P82" s="383"/>
      <c r="Q82" s="408"/>
      <c r="R82" s="411"/>
      <c r="S82" s="396"/>
      <c r="T82" s="399"/>
      <c r="U82" s="387"/>
      <c r="V82" s="390"/>
      <c r="W82" s="393"/>
    </row>
    <row r="83" spans="9:23" ht="10.199999999999999" x14ac:dyDescent="0.3">
      <c r="I83" s="131"/>
      <c r="J83" s="380"/>
      <c r="K83" s="380"/>
      <c r="L83" s="380"/>
      <c r="M83" s="403"/>
      <c r="N83" s="404"/>
      <c r="O83" s="384"/>
      <c r="P83" s="383"/>
      <c r="Q83" s="408"/>
      <c r="R83" s="411"/>
      <c r="S83" s="396"/>
      <c r="T83" s="399"/>
      <c r="U83" s="387"/>
      <c r="V83" s="390"/>
      <c r="W83" s="393"/>
    </row>
    <row r="84" spans="9:23" ht="10.199999999999999" x14ac:dyDescent="0.3">
      <c r="I84" s="131"/>
      <c r="J84" s="380"/>
      <c r="K84" s="380"/>
      <c r="L84" s="380"/>
      <c r="M84" s="403"/>
      <c r="N84" s="404"/>
      <c r="O84" s="384"/>
      <c r="P84" s="383"/>
      <c r="Q84" s="408"/>
      <c r="R84" s="411"/>
      <c r="S84" s="396"/>
      <c r="T84" s="399"/>
      <c r="U84" s="387"/>
      <c r="V84" s="390"/>
      <c r="W84" s="393"/>
    </row>
    <row r="85" spans="9:23" ht="10.199999999999999" x14ac:dyDescent="0.3">
      <c r="I85" s="131"/>
      <c r="J85" s="380"/>
      <c r="K85" s="380"/>
      <c r="L85" s="380"/>
      <c r="M85" s="403"/>
      <c r="N85" s="404"/>
      <c r="O85" s="384"/>
      <c r="P85" s="383"/>
      <c r="Q85" s="408"/>
      <c r="R85" s="411"/>
      <c r="S85" s="396"/>
      <c r="T85" s="399"/>
      <c r="U85" s="387"/>
      <c r="V85" s="390"/>
      <c r="W85" s="393"/>
    </row>
    <row r="86" spans="9:23" ht="10.199999999999999" x14ac:dyDescent="0.3">
      <c r="I86" s="131"/>
      <c r="J86" s="380"/>
      <c r="K86" s="380"/>
      <c r="L86" s="380"/>
      <c r="M86" s="403"/>
      <c r="N86" s="404"/>
      <c r="O86" s="384"/>
      <c r="P86" s="383"/>
      <c r="Q86" s="408"/>
      <c r="R86" s="411"/>
      <c r="S86" s="396"/>
      <c r="T86" s="399"/>
      <c r="U86" s="387"/>
      <c r="V86" s="390"/>
      <c r="W86" s="393"/>
    </row>
    <row r="87" spans="9:23" ht="10.199999999999999" x14ac:dyDescent="0.3">
      <c r="I87" s="131"/>
      <c r="J87" s="380"/>
      <c r="K87" s="380"/>
      <c r="L87" s="380"/>
      <c r="M87" s="403"/>
      <c r="N87" s="404"/>
      <c r="O87" s="384"/>
      <c r="P87" s="383"/>
      <c r="Q87" s="408"/>
      <c r="R87" s="411"/>
      <c r="S87" s="396"/>
      <c r="T87" s="399"/>
      <c r="U87" s="387"/>
      <c r="V87" s="390"/>
      <c r="W87" s="393"/>
    </row>
    <row r="88" spans="9:23" ht="10.199999999999999" x14ac:dyDescent="0.3">
      <c r="I88" s="131"/>
      <c r="J88" s="380"/>
      <c r="K88" s="380"/>
      <c r="L88" s="380"/>
      <c r="M88" s="403"/>
      <c r="N88" s="404"/>
      <c r="O88" s="384"/>
      <c r="P88" s="383"/>
      <c r="Q88" s="408"/>
      <c r="R88" s="411"/>
      <c r="S88" s="396"/>
      <c r="T88" s="399"/>
      <c r="U88" s="387"/>
      <c r="V88" s="390"/>
      <c r="W88" s="393"/>
    </row>
    <row r="89" spans="9:23" ht="10.199999999999999" x14ac:dyDescent="0.3">
      <c r="I89" s="131"/>
      <c r="J89" s="380"/>
      <c r="K89" s="380"/>
      <c r="L89" s="380"/>
      <c r="M89" s="403"/>
      <c r="N89" s="404"/>
      <c r="O89" s="384"/>
      <c r="P89" s="383"/>
      <c r="Q89" s="408"/>
      <c r="R89" s="411"/>
      <c r="S89" s="396"/>
      <c r="T89" s="399"/>
      <c r="U89" s="387"/>
      <c r="V89" s="390"/>
      <c r="W89" s="393"/>
    </row>
    <row r="90" spans="9:23" ht="10.199999999999999" x14ac:dyDescent="0.3">
      <c r="I90" s="131"/>
      <c r="J90" s="380"/>
      <c r="K90" s="380"/>
      <c r="L90" s="380"/>
      <c r="M90" s="403"/>
      <c r="N90" s="404"/>
      <c r="O90" s="384"/>
      <c r="P90" s="383"/>
      <c r="Q90" s="408"/>
      <c r="R90" s="411"/>
      <c r="S90" s="396"/>
      <c r="T90" s="399"/>
      <c r="U90" s="387"/>
      <c r="V90" s="390"/>
      <c r="W90" s="393"/>
    </row>
    <row r="91" spans="9:23" ht="10.199999999999999" x14ac:dyDescent="0.3">
      <c r="I91" s="131"/>
      <c r="J91" s="380"/>
      <c r="K91" s="380"/>
      <c r="L91" s="380"/>
      <c r="M91" s="403"/>
      <c r="N91" s="404"/>
      <c r="O91" s="384"/>
      <c r="P91" s="383"/>
      <c r="Q91" s="408"/>
      <c r="R91" s="411"/>
      <c r="S91" s="396"/>
      <c r="T91" s="399"/>
      <c r="U91" s="387"/>
      <c r="V91" s="390"/>
      <c r="W91" s="393"/>
    </row>
    <row r="92" spans="9:23" ht="10.199999999999999" x14ac:dyDescent="0.3">
      <c r="I92" s="131"/>
      <c r="J92" s="380"/>
      <c r="K92" s="380"/>
      <c r="L92" s="380"/>
      <c r="M92" s="403"/>
      <c r="N92" s="404"/>
      <c r="O92" s="384"/>
      <c r="P92" s="383"/>
      <c r="Q92" s="408"/>
      <c r="R92" s="411"/>
      <c r="S92" s="396"/>
      <c r="T92" s="399"/>
      <c r="U92" s="387"/>
      <c r="V92" s="390"/>
      <c r="W92" s="393"/>
    </row>
    <row r="93" spans="9:23" ht="10.199999999999999" x14ac:dyDescent="0.3">
      <c r="I93" s="131"/>
      <c r="J93" s="380"/>
      <c r="K93" s="380"/>
      <c r="L93" s="380"/>
      <c r="M93" s="403"/>
      <c r="N93" s="404"/>
      <c r="O93" s="384"/>
      <c r="P93" s="383"/>
      <c r="Q93" s="408"/>
      <c r="R93" s="411"/>
      <c r="S93" s="396"/>
      <c r="T93" s="399"/>
      <c r="U93" s="387"/>
      <c r="V93" s="390"/>
      <c r="W93" s="393"/>
    </row>
    <row r="94" spans="9:23" ht="10.199999999999999" x14ac:dyDescent="0.3">
      <c r="I94" s="131"/>
      <c r="J94" s="380"/>
      <c r="K94" s="380"/>
      <c r="L94" s="380"/>
      <c r="M94" s="403"/>
      <c r="N94" s="404"/>
      <c r="O94" s="384"/>
      <c r="P94" s="383"/>
      <c r="Q94" s="408"/>
      <c r="R94" s="411"/>
      <c r="S94" s="396"/>
      <c r="T94" s="399"/>
      <c r="U94" s="387"/>
      <c r="V94" s="390"/>
      <c r="W94" s="393"/>
    </row>
    <row r="95" spans="9:23" ht="10.199999999999999" x14ac:dyDescent="0.3">
      <c r="I95" s="131"/>
      <c r="J95" s="380"/>
      <c r="K95" s="380"/>
      <c r="L95" s="380"/>
      <c r="M95" s="403"/>
      <c r="N95" s="404"/>
      <c r="O95" s="384"/>
      <c r="P95" s="383"/>
      <c r="Q95" s="408"/>
      <c r="R95" s="411"/>
      <c r="S95" s="396"/>
      <c r="T95" s="399"/>
      <c r="U95" s="387"/>
      <c r="V95" s="390"/>
      <c r="W95" s="393"/>
    </row>
    <row r="96" spans="9:23" ht="10.199999999999999" x14ac:dyDescent="0.3">
      <c r="I96" s="131"/>
      <c r="J96" s="380"/>
      <c r="K96" s="380"/>
      <c r="L96" s="380"/>
      <c r="M96" s="403"/>
      <c r="N96" s="404"/>
      <c r="O96" s="384"/>
      <c r="P96" s="383"/>
      <c r="Q96" s="408"/>
      <c r="R96" s="411"/>
      <c r="S96" s="396"/>
      <c r="T96" s="399"/>
      <c r="U96" s="387"/>
      <c r="V96" s="390"/>
      <c r="W96" s="393"/>
    </row>
    <row r="97" spans="9:23" ht="10.199999999999999" x14ac:dyDescent="0.3">
      <c r="I97" s="131"/>
      <c r="J97" s="380"/>
      <c r="K97" s="380"/>
      <c r="L97" s="380"/>
      <c r="M97" s="403"/>
      <c r="N97" s="404"/>
      <c r="O97" s="384"/>
      <c r="P97" s="383"/>
      <c r="Q97" s="408"/>
      <c r="R97" s="411"/>
      <c r="S97" s="396"/>
      <c r="T97" s="399"/>
      <c r="U97" s="387"/>
      <c r="V97" s="390"/>
      <c r="W97" s="393"/>
    </row>
    <row r="98" spans="9:23" ht="10.199999999999999" x14ac:dyDescent="0.3">
      <c r="I98" s="131"/>
      <c r="J98" s="380"/>
      <c r="K98" s="380"/>
      <c r="L98" s="380"/>
      <c r="M98" s="403"/>
      <c r="N98" s="404"/>
      <c r="O98" s="384"/>
      <c r="P98" s="383"/>
      <c r="Q98" s="408"/>
      <c r="R98" s="411"/>
      <c r="S98" s="396"/>
      <c r="T98" s="399"/>
      <c r="U98" s="387"/>
      <c r="V98" s="390"/>
      <c r="W98" s="393"/>
    </row>
    <row r="99" spans="9:23" ht="10.199999999999999" x14ac:dyDescent="0.3">
      <c r="I99" s="131"/>
      <c r="J99" s="380"/>
      <c r="K99" s="380"/>
      <c r="L99" s="380"/>
      <c r="M99" s="403"/>
      <c r="N99" s="404"/>
      <c r="O99" s="384"/>
      <c r="P99" s="383"/>
      <c r="Q99" s="408"/>
      <c r="R99" s="411"/>
      <c r="S99" s="396"/>
      <c r="T99" s="399"/>
      <c r="U99" s="387"/>
      <c r="V99" s="390"/>
      <c r="W99" s="393"/>
    </row>
    <row r="100" spans="9:23" ht="10.199999999999999" x14ac:dyDescent="0.3">
      <c r="I100" s="131"/>
      <c r="J100" s="380"/>
      <c r="K100" s="380"/>
      <c r="L100" s="380"/>
      <c r="M100" s="403"/>
      <c r="N100" s="404"/>
      <c r="O100" s="384"/>
      <c r="P100" s="383"/>
      <c r="Q100" s="408"/>
      <c r="R100" s="411"/>
      <c r="S100" s="396"/>
      <c r="T100" s="399"/>
      <c r="U100" s="387"/>
      <c r="V100" s="390"/>
      <c r="W100" s="393"/>
    </row>
    <row r="101" spans="9:23" ht="10.199999999999999" x14ac:dyDescent="0.3">
      <c r="I101" s="131"/>
      <c r="J101" s="380"/>
      <c r="K101" s="380"/>
      <c r="L101" s="380"/>
      <c r="M101" s="403"/>
      <c r="N101" s="404"/>
      <c r="O101" s="384"/>
      <c r="P101" s="383"/>
      <c r="Q101" s="408"/>
      <c r="R101" s="411"/>
      <c r="S101" s="396"/>
      <c r="T101" s="399"/>
      <c r="U101" s="387"/>
      <c r="V101" s="390"/>
      <c r="W101" s="393"/>
    </row>
    <row r="102" spans="9:23" ht="10.199999999999999" x14ac:dyDescent="0.3">
      <c r="I102" s="131"/>
      <c r="J102" s="380"/>
      <c r="K102" s="380"/>
      <c r="L102" s="380"/>
      <c r="M102" s="403"/>
      <c r="N102" s="404"/>
      <c r="O102" s="384"/>
      <c r="P102" s="383"/>
      <c r="Q102" s="408"/>
      <c r="R102" s="411"/>
      <c r="S102" s="396"/>
      <c r="T102" s="399"/>
      <c r="U102" s="387"/>
      <c r="V102" s="390"/>
      <c r="W102" s="393"/>
    </row>
    <row r="103" spans="9:23" ht="10.199999999999999" x14ac:dyDescent="0.3">
      <c r="I103" s="131"/>
      <c r="J103" s="380"/>
      <c r="K103" s="380"/>
      <c r="L103" s="380"/>
      <c r="M103" s="403"/>
      <c r="N103" s="404"/>
      <c r="O103" s="384"/>
      <c r="P103" s="383"/>
      <c r="Q103" s="408"/>
      <c r="R103" s="411"/>
      <c r="S103" s="396"/>
      <c r="T103" s="399"/>
      <c r="U103" s="387"/>
      <c r="V103" s="390"/>
      <c r="W103" s="393"/>
    </row>
    <row r="104" spans="9:23" ht="10.199999999999999" x14ac:dyDescent="0.3">
      <c r="I104" s="131"/>
      <c r="J104" s="380"/>
      <c r="K104" s="380"/>
      <c r="L104" s="380"/>
      <c r="M104" s="403"/>
      <c r="N104" s="404"/>
      <c r="O104" s="384"/>
      <c r="P104" s="383"/>
      <c r="Q104" s="408"/>
      <c r="R104" s="411"/>
      <c r="S104" s="396"/>
      <c r="T104" s="399"/>
      <c r="U104" s="387"/>
      <c r="V104" s="390"/>
      <c r="W104" s="393"/>
    </row>
    <row r="105" spans="9:23" ht="10.199999999999999" x14ac:dyDescent="0.3">
      <c r="I105" s="131"/>
      <c r="J105" s="380"/>
      <c r="K105" s="380"/>
      <c r="L105" s="380"/>
      <c r="M105" s="403"/>
      <c r="N105" s="404"/>
      <c r="O105" s="384"/>
      <c r="P105" s="383"/>
      <c r="Q105" s="408"/>
      <c r="R105" s="411"/>
      <c r="S105" s="396"/>
      <c r="T105" s="399"/>
      <c r="U105" s="387"/>
      <c r="V105" s="390"/>
      <c r="W105" s="393"/>
    </row>
    <row r="106" spans="9:23" ht="10.199999999999999" x14ac:dyDescent="0.3">
      <c r="I106" s="131"/>
      <c r="J106" s="380"/>
      <c r="K106" s="380"/>
      <c r="L106" s="380"/>
      <c r="M106" s="403"/>
      <c r="N106" s="404"/>
      <c r="O106" s="384"/>
      <c r="P106" s="383"/>
      <c r="Q106" s="408"/>
      <c r="R106" s="411"/>
      <c r="S106" s="396"/>
      <c r="T106" s="399"/>
      <c r="U106" s="387"/>
      <c r="V106" s="390"/>
      <c r="W106" s="393"/>
    </row>
    <row r="107" spans="9:23" ht="10.199999999999999" x14ac:dyDescent="0.3">
      <c r="I107" s="131"/>
      <c r="J107" s="380"/>
      <c r="K107" s="380"/>
      <c r="L107" s="380"/>
      <c r="M107" s="403"/>
      <c r="N107" s="404"/>
      <c r="O107" s="384"/>
      <c r="P107" s="383"/>
      <c r="Q107" s="408"/>
      <c r="R107" s="411"/>
      <c r="S107" s="396"/>
      <c r="T107" s="399"/>
      <c r="U107" s="387"/>
      <c r="V107" s="390"/>
      <c r="W107" s="393"/>
    </row>
    <row r="108" spans="9:23" ht="10.199999999999999" x14ac:dyDescent="0.3">
      <c r="I108" s="131"/>
      <c r="J108" s="380"/>
      <c r="K108" s="380"/>
      <c r="L108" s="380"/>
      <c r="M108" s="403"/>
      <c r="N108" s="404"/>
      <c r="O108" s="384"/>
      <c r="P108" s="383"/>
      <c r="Q108" s="408"/>
      <c r="R108" s="411"/>
      <c r="S108" s="396"/>
      <c r="T108" s="399"/>
      <c r="U108" s="387"/>
      <c r="V108" s="390"/>
      <c r="W108" s="393"/>
    </row>
    <row r="109" spans="9:23" ht="10.199999999999999" x14ac:dyDescent="0.3">
      <c r="I109" s="131"/>
      <c r="J109" s="380"/>
      <c r="K109" s="380"/>
      <c r="L109" s="380"/>
      <c r="M109" s="403"/>
      <c r="N109" s="404"/>
      <c r="O109" s="384"/>
      <c r="P109" s="383"/>
      <c r="Q109" s="408"/>
      <c r="R109" s="411"/>
      <c r="S109" s="396"/>
      <c r="T109" s="399"/>
      <c r="U109" s="387"/>
      <c r="V109" s="390"/>
      <c r="W109" s="393"/>
    </row>
    <row r="110" spans="9:23" ht="10.199999999999999" x14ac:dyDescent="0.3">
      <c r="I110" s="131"/>
      <c r="J110" s="380"/>
      <c r="K110" s="380"/>
      <c r="L110" s="380"/>
      <c r="M110" s="403"/>
      <c r="N110" s="404"/>
      <c r="O110" s="384"/>
      <c r="P110" s="383"/>
      <c r="Q110" s="408"/>
      <c r="R110" s="411"/>
      <c r="S110" s="396"/>
      <c r="T110" s="399"/>
      <c r="U110" s="387"/>
      <c r="V110" s="390"/>
      <c r="W110" s="393"/>
    </row>
    <row r="111" spans="9:23" ht="10.199999999999999" x14ac:dyDescent="0.3">
      <c r="I111" s="131"/>
      <c r="J111" s="380"/>
      <c r="K111" s="380"/>
      <c r="L111" s="380"/>
      <c r="M111" s="403"/>
      <c r="N111" s="404"/>
      <c r="O111" s="384"/>
      <c r="P111" s="383"/>
      <c r="Q111" s="408"/>
      <c r="R111" s="411"/>
      <c r="S111" s="396"/>
      <c r="T111" s="399"/>
      <c r="U111" s="387"/>
      <c r="V111" s="390"/>
      <c r="W111" s="393"/>
    </row>
    <row r="112" spans="9:23" ht="10.199999999999999" x14ac:dyDescent="0.3">
      <c r="I112" s="131"/>
      <c r="J112" s="380"/>
      <c r="K112" s="380"/>
      <c r="L112" s="380"/>
      <c r="M112" s="403"/>
      <c r="N112" s="404"/>
      <c r="O112" s="384"/>
      <c r="P112" s="383"/>
      <c r="Q112" s="408"/>
      <c r="R112" s="411"/>
      <c r="S112" s="396"/>
      <c r="T112" s="399"/>
      <c r="U112" s="387"/>
      <c r="V112" s="390"/>
      <c r="W112" s="393"/>
    </row>
    <row r="113" spans="9:23" ht="10.199999999999999" x14ac:dyDescent="0.3">
      <c r="I113" s="131"/>
      <c r="J113" s="380"/>
      <c r="K113" s="380"/>
      <c r="L113" s="380"/>
      <c r="M113" s="403"/>
      <c r="N113" s="404"/>
      <c r="O113" s="384"/>
      <c r="P113" s="383"/>
      <c r="Q113" s="408"/>
      <c r="R113" s="411"/>
      <c r="S113" s="396"/>
      <c r="T113" s="399"/>
      <c r="U113" s="387"/>
      <c r="V113" s="390"/>
      <c r="W113" s="393"/>
    </row>
    <row r="114" spans="9:23" ht="10.199999999999999" x14ac:dyDescent="0.3">
      <c r="I114" s="131"/>
      <c r="J114" s="380"/>
      <c r="K114" s="380"/>
      <c r="L114" s="380"/>
      <c r="M114" s="403"/>
      <c r="N114" s="404"/>
      <c r="O114" s="384"/>
      <c r="P114" s="383"/>
      <c r="Q114" s="408"/>
      <c r="R114" s="411"/>
      <c r="S114" s="396"/>
      <c r="T114" s="399"/>
      <c r="U114" s="387"/>
      <c r="V114" s="390"/>
      <c r="W114" s="393"/>
    </row>
    <row r="115" spans="9:23" ht="10.199999999999999" x14ac:dyDescent="0.3">
      <c r="I115" s="131"/>
      <c r="J115" s="380"/>
      <c r="K115" s="380"/>
      <c r="L115" s="380"/>
      <c r="M115" s="403"/>
      <c r="N115" s="404"/>
      <c r="O115" s="384"/>
      <c r="P115" s="383"/>
      <c r="Q115" s="408"/>
      <c r="R115" s="411"/>
      <c r="S115" s="396"/>
      <c r="T115" s="399"/>
      <c r="U115" s="387"/>
      <c r="V115" s="390"/>
      <c r="W115" s="393"/>
    </row>
    <row r="116" spans="9:23" ht="10.199999999999999" x14ac:dyDescent="0.3">
      <c r="I116" s="131"/>
      <c r="J116" s="380"/>
      <c r="K116" s="380"/>
      <c r="L116" s="380"/>
      <c r="M116" s="403"/>
      <c r="N116" s="404"/>
      <c r="O116" s="384"/>
      <c r="P116" s="383"/>
      <c r="Q116" s="408"/>
      <c r="R116" s="411"/>
      <c r="S116" s="396"/>
      <c r="T116" s="399"/>
      <c r="U116" s="387"/>
      <c r="V116" s="390"/>
      <c r="W116" s="393"/>
    </row>
    <row r="117" spans="9:23" ht="10.199999999999999" x14ac:dyDescent="0.3">
      <c r="I117" s="131"/>
      <c r="J117" s="380"/>
      <c r="K117" s="380"/>
      <c r="L117" s="380"/>
      <c r="M117" s="403"/>
      <c r="N117" s="404"/>
      <c r="O117" s="384"/>
      <c r="P117" s="383"/>
      <c r="Q117" s="408"/>
      <c r="R117" s="411"/>
      <c r="S117" s="396"/>
      <c r="T117" s="399"/>
      <c r="U117" s="387"/>
      <c r="V117" s="390"/>
      <c r="W117" s="393"/>
    </row>
    <row r="118" spans="9:23" ht="10.199999999999999" x14ac:dyDescent="0.3">
      <c r="I118" s="131"/>
      <c r="J118" s="380"/>
      <c r="K118" s="380"/>
      <c r="L118" s="380"/>
      <c r="M118" s="403"/>
      <c r="N118" s="404"/>
      <c r="O118" s="384"/>
      <c r="P118" s="383"/>
      <c r="Q118" s="408"/>
      <c r="R118" s="411"/>
      <c r="S118" s="396"/>
      <c r="T118" s="399"/>
      <c r="U118" s="387"/>
      <c r="V118" s="390"/>
      <c r="W118" s="393"/>
    </row>
    <row r="119" spans="9:23" ht="10.199999999999999" x14ac:dyDescent="0.3">
      <c r="I119" s="131"/>
      <c r="J119" s="380"/>
      <c r="K119" s="380"/>
      <c r="L119" s="380"/>
      <c r="M119" s="403"/>
      <c r="N119" s="404"/>
      <c r="O119" s="384"/>
      <c r="P119" s="383"/>
      <c r="Q119" s="408"/>
      <c r="R119" s="411"/>
      <c r="S119" s="396"/>
      <c r="T119" s="399"/>
      <c r="U119" s="387"/>
      <c r="V119" s="390"/>
      <c r="W119" s="393"/>
    </row>
    <row r="120" spans="9:23" ht="10.199999999999999" x14ac:dyDescent="0.3">
      <c r="I120" s="131"/>
      <c r="J120" s="380"/>
      <c r="K120" s="380"/>
      <c r="L120" s="380"/>
      <c r="M120" s="403"/>
      <c r="N120" s="404"/>
      <c r="O120" s="384"/>
      <c r="P120" s="383"/>
      <c r="Q120" s="408"/>
      <c r="R120" s="411"/>
      <c r="S120" s="396"/>
      <c r="T120" s="399"/>
      <c r="U120" s="387"/>
      <c r="V120" s="390"/>
      <c r="W120" s="393"/>
    </row>
    <row r="121" spans="9:23" ht="10.199999999999999" x14ac:dyDescent="0.3">
      <c r="I121" s="131"/>
      <c r="J121" s="380"/>
      <c r="K121" s="380"/>
      <c r="L121" s="380"/>
      <c r="M121" s="403"/>
      <c r="N121" s="404"/>
      <c r="O121" s="384"/>
      <c r="P121" s="383"/>
      <c r="Q121" s="408"/>
      <c r="R121" s="411"/>
      <c r="S121" s="396"/>
      <c r="T121" s="399"/>
      <c r="U121" s="387"/>
      <c r="V121" s="390"/>
      <c r="W121" s="393"/>
    </row>
    <row r="122" spans="9:23" ht="10.199999999999999" x14ac:dyDescent="0.3">
      <c r="I122" s="131"/>
      <c r="J122" s="380"/>
      <c r="K122" s="380"/>
      <c r="L122" s="380"/>
      <c r="M122" s="403"/>
      <c r="N122" s="404"/>
      <c r="O122" s="384"/>
      <c r="P122" s="383"/>
      <c r="Q122" s="408"/>
      <c r="R122" s="411"/>
      <c r="S122" s="396"/>
      <c r="T122" s="399"/>
      <c r="U122" s="387"/>
      <c r="V122" s="390"/>
      <c r="W122" s="393"/>
    </row>
    <row r="123" spans="9:23" ht="10.199999999999999" x14ac:dyDescent="0.3">
      <c r="I123" s="131"/>
      <c r="J123" s="380"/>
      <c r="K123" s="380"/>
      <c r="L123" s="380"/>
      <c r="M123" s="403"/>
      <c r="N123" s="404"/>
      <c r="O123" s="384"/>
      <c r="P123" s="383"/>
      <c r="Q123" s="408"/>
      <c r="R123" s="411"/>
      <c r="S123" s="396"/>
      <c r="T123" s="399"/>
      <c r="U123" s="387"/>
      <c r="V123" s="390"/>
      <c r="W123" s="393"/>
    </row>
    <row r="124" spans="9:23" ht="10.199999999999999" x14ac:dyDescent="0.3">
      <c r="I124" s="131"/>
      <c r="J124" s="380"/>
      <c r="K124" s="380"/>
      <c r="L124" s="380"/>
      <c r="M124" s="403"/>
      <c r="N124" s="404"/>
      <c r="O124" s="384"/>
      <c r="P124" s="383"/>
      <c r="Q124" s="408"/>
      <c r="R124" s="411"/>
      <c r="S124" s="396"/>
      <c r="T124" s="399"/>
      <c r="U124" s="387"/>
      <c r="V124" s="390"/>
      <c r="W124" s="393"/>
    </row>
    <row r="125" spans="9:23" ht="10.199999999999999" x14ac:dyDescent="0.3">
      <c r="I125" s="131"/>
      <c r="J125" s="380"/>
      <c r="K125" s="380"/>
      <c r="L125" s="380"/>
      <c r="M125" s="403"/>
      <c r="N125" s="404"/>
      <c r="O125" s="384"/>
      <c r="P125" s="383"/>
      <c r="Q125" s="408"/>
      <c r="R125" s="411"/>
      <c r="S125" s="396"/>
      <c r="T125" s="399"/>
      <c r="U125" s="387"/>
      <c r="V125" s="390"/>
      <c r="W125" s="393"/>
    </row>
    <row r="126" spans="9:23" ht="10.199999999999999" x14ac:dyDescent="0.3">
      <c r="I126" s="131"/>
      <c r="J126" s="380"/>
      <c r="K126" s="380"/>
      <c r="L126" s="380"/>
      <c r="M126" s="403"/>
      <c r="N126" s="404"/>
      <c r="O126" s="384"/>
      <c r="P126" s="383"/>
      <c r="Q126" s="408"/>
      <c r="R126" s="411"/>
      <c r="S126" s="396"/>
      <c r="T126" s="399"/>
      <c r="U126" s="387"/>
      <c r="V126" s="390"/>
      <c r="W126" s="393"/>
    </row>
    <row r="127" spans="9:23" ht="10.199999999999999" x14ac:dyDescent="0.3">
      <c r="I127" s="131"/>
      <c r="J127" s="380"/>
      <c r="K127" s="380"/>
      <c r="L127" s="380"/>
      <c r="M127" s="403"/>
      <c r="N127" s="404"/>
      <c r="O127" s="384"/>
      <c r="P127" s="383"/>
      <c r="Q127" s="408"/>
      <c r="R127" s="411"/>
      <c r="S127" s="396"/>
      <c r="T127" s="399"/>
      <c r="U127" s="387"/>
      <c r="V127" s="390"/>
      <c r="W127" s="393"/>
    </row>
    <row r="128" spans="9:23" ht="10.199999999999999" x14ac:dyDescent="0.3">
      <c r="I128" s="131"/>
      <c r="J128" s="380"/>
      <c r="K128" s="380"/>
      <c r="L128" s="380"/>
      <c r="M128" s="403"/>
      <c r="N128" s="404"/>
      <c r="O128" s="384"/>
      <c r="P128" s="383"/>
      <c r="Q128" s="408"/>
      <c r="R128" s="411"/>
      <c r="S128" s="396"/>
      <c r="T128" s="399"/>
      <c r="U128" s="387"/>
      <c r="V128" s="390"/>
      <c r="W128" s="393"/>
    </row>
    <row r="129" spans="9:23" ht="10.199999999999999" x14ac:dyDescent="0.3">
      <c r="I129" s="131"/>
      <c r="J129" s="380"/>
      <c r="K129" s="380"/>
      <c r="L129" s="380"/>
      <c r="M129" s="403"/>
      <c r="N129" s="404"/>
      <c r="O129" s="384"/>
      <c r="P129" s="383"/>
      <c r="Q129" s="408"/>
      <c r="R129" s="411"/>
      <c r="S129" s="396"/>
      <c r="T129" s="399"/>
      <c r="U129" s="387"/>
      <c r="V129" s="390"/>
      <c r="W129" s="393"/>
    </row>
    <row r="130" spans="9:23" ht="10.199999999999999" x14ac:dyDescent="0.3">
      <c r="I130" s="131"/>
      <c r="J130" s="380"/>
      <c r="K130" s="380"/>
      <c r="L130" s="380"/>
      <c r="M130" s="403"/>
      <c r="N130" s="404"/>
      <c r="O130" s="384"/>
      <c r="P130" s="383"/>
      <c r="Q130" s="408"/>
      <c r="R130" s="411"/>
      <c r="S130" s="396"/>
      <c r="T130" s="399"/>
      <c r="U130" s="387"/>
      <c r="V130" s="390"/>
      <c r="W130" s="393"/>
    </row>
    <row r="131" spans="9:23" ht="10.199999999999999" x14ac:dyDescent="0.3">
      <c r="I131" s="131"/>
      <c r="J131" s="380"/>
      <c r="K131" s="380"/>
      <c r="L131" s="380"/>
      <c r="M131" s="403"/>
      <c r="N131" s="404"/>
      <c r="O131" s="384"/>
      <c r="P131" s="383"/>
      <c r="Q131" s="408"/>
      <c r="R131" s="411"/>
      <c r="S131" s="396"/>
      <c r="T131" s="399"/>
      <c r="U131" s="387"/>
      <c r="V131" s="390"/>
      <c r="W131" s="393"/>
    </row>
    <row r="132" spans="9:23" ht="10.199999999999999" x14ac:dyDescent="0.3">
      <c r="I132" s="131"/>
      <c r="J132" s="380"/>
      <c r="K132" s="380"/>
      <c r="L132" s="380"/>
      <c r="M132" s="403"/>
      <c r="N132" s="404"/>
      <c r="O132" s="384"/>
      <c r="P132" s="383"/>
      <c r="Q132" s="408"/>
      <c r="R132" s="411"/>
      <c r="S132" s="396"/>
      <c r="T132" s="399"/>
      <c r="U132" s="387"/>
      <c r="V132" s="390"/>
      <c r="W132" s="393"/>
    </row>
    <row r="133" spans="9:23" ht="10.199999999999999" x14ac:dyDescent="0.3">
      <c r="I133" s="131"/>
      <c r="J133" s="380"/>
      <c r="K133" s="380"/>
      <c r="L133" s="380"/>
      <c r="M133" s="403"/>
      <c r="N133" s="404"/>
      <c r="O133" s="384"/>
      <c r="P133" s="383"/>
      <c r="Q133" s="408"/>
      <c r="R133" s="411"/>
      <c r="S133" s="396"/>
      <c r="T133" s="399"/>
      <c r="U133" s="387"/>
      <c r="V133" s="390"/>
      <c r="W133" s="393"/>
    </row>
    <row r="134" spans="9:23" ht="10.199999999999999" x14ac:dyDescent="0.3">
      <c r="I134" s="131"/>
      <c r="J134" s="380"/>
      <c r="K134" s="380"/>
      <c r="L134" s="380"/>
      <c r="M134" s="403"/>
      <c r="N134" s="404"/>
      <c r="O134" s="384"/>
      <c r="P134" s="383"/>
      <c r="Q134" s="408"/>
      <c r="R134" s="411"/>
      <c r="S134" s="396"/>
      <c r="T134" s="399"/>
      <c r="U134" s="387"/>
      <c r="V134" s="390"/>
      <c r="W134" s="393"/>
    </row>
    <row r="135" spans="9:23" ht="10.199999999999999" x14ac:dyDescent="0.3">
      <c r="I135" s="131"/>
      <c r="J135" s="380"/>
      <c r="K135" s="380"/>
      <c r="L135" s="380"/>
      <c r="M135" s="403"/>
      <c r="N135" s="404"/>
      <c r="O135" s="384"/>
      <c r="P135" s="383"/>
      <c r="Q135" s="408"/>
      <c r="R135" s="411"/>
      <c r="S135" s="396"/>
      <c r="T135" s="399"/>
      <c r="U135" s="387"/>
      <c r="V135" s="390"/>
      <c r="W135" s="393"/>
    </row>
    <row r="136" spans="9:23" ht="10.199999999999999" x14ac:dyDescent="0.3">
      <c r="I136" s="131"/>
      <c r="J136" s="380"/>
      <c r="K136" s="380"/>
      <c r="L136" s="380"/>
      <c r="M136" s="403"/>
      <c r="N136" s="404"/>
      <c r="O136" s="384"/>
      <c r="P136" s="383"/>
      <c r="Q136" s="408"/>
      <c r="R136" s="411"/>
      <c r="S136" s="396"/>
      <c r="T136" s="399"/>
      <c r="U136" s="387"/>
      <c r="V136" s="390"/>
      <c r="W136" s="393"/>
    </row>
    <row r="137" spans="9:23" ht="10.199999999999999" x14ac:dyDescent="0.3">
      <c r="I137" s="131"/>
      <c r="J137" s="380"/>
      <c r="K137" s="380"/>
      <c r="L137" s="380"/>
      <c r="M137" s="403"/>
      <c r="N137" s="404"/>
      <c r="O137" s="384"/>
      <c r="P137" s="383"/>
      <c r="Q137" s="408"/>
      <c r="R137" s="411"/>
      <c r="S137" s="396"/>
      <c r="T137" s="399"/>
      <c r="U137" s="387"/>
      <c r="V137" s="390"/>
      <c r="W137" s="393"/>
    </row>
    <row r="138" spans="9:23" ht="10.199999999999999" x14ac:dyDescent="0.3">
      <c r="I138" s="131"/>
      <c r="J138" s="380"/>
      <c r="K138" s="380"/>
      <c r="L138" s="380"/>
      <c r="M138" s="403"/>
      <c r="N138" s="404"/>
      <c r="O138" s="384"/>
      <c r="P138" s="383"/>
      <c r="Q138" s="408"/>
      <c r="R138" s="411"/>
      <c r="S138" s="396"/>
      <c r="T138" s="399"/>
      <c r="U138" s="387"/>
      <c r="V138" s="390"/>
      <c r="W138" s="393"/>
    </row>
    <row r="139" spans="9:23" ht="10.199999999999999" x14ac:dyDescent="0.3">
      <c r="I139" s="131"/>
      <c r="J139" s="380"/>
      <c r="K139" s="380"/>
      <c r="L139" s="380"/>
      <c r="M139" s="403"/>
      <c r="N139" s="404"/>
      <c r="O139" s="384"/>
      <c r="P139" s="383"/>
      <c r="Q139" s="408"/>
      <c r="R139" s="411"/>
      <c r="S139" s="396"/>
      <c r="T139" s="399"/>
      <c r="U139" s="387"/>
      <c r="V139" s="390"/>
      <c r="W139" s="393"/>
    </row>
    <row r="140" spans="9:23" ht="10.199999999999999" x14ac:dyDescent="0.3">
      <c r="I140" s="131"/>
      <c r="J140" s="380"/>
      <c r="K140" s="380"/>
      <c r="L140" s="380"/>
      <c r="M140" s="403"/>
      <c r="N140" s="404"/>
      <c r="O140" s="384"/>
      <c r="P140" s="383"/>
      <c r="Q140" s="408"/>
      <c r="R140" s="411"/>
      <c r="S140" s="396"/>
      <c r="T140" s="399"/>
      <c r="U140" s="387"/>
      <c r="V140" s="390"/>
      <c r="W140" s="393"/>
    </row>
    <row r="141" spans="9:23" ht="10.199999999999999" x14ac:dyDescent="0.3">
      <c r="I141" s="131"/>
      <c r="J141" s="380"/>
      <c r="K141" s="380"/>
      <c r="L141" s="380"/>
      <c r="M141" s="403"/>
      <c r="N141" s="404"/>
      <c r="O141" s="384"/>
      <c r="P141" s="383"/>
      <c r="Q141" s="408"/>
      <c r="R141" s="411"/>
      <c r="S141" s="396"/>
      <c r="T141" s="399"/>
      <c r="U141" s="387"/>
      <c r="V141" s="390"/>
      <c r="W141" s="393"/>
    </row>
    <row r="142" spans="9:23" ht="10.199999999999999" x14ac:dyDescent="0.3">
      <c r="I142" s="131"/>
      <c r="J142" s="380"/>
      <c r="K142" s="380"/>
      <c r="L142" s="380"/>
      <c r="M142" s="403"/>
      <c r="N142" s="404"/>
      <c r="O142" s="384"/>
      <c r="P142" s="383"/>
      <c r="Q142" s="408"/>
      <c r="R142" s="411"/>
      <c r="S142" s="396"/>
      <c r="T142" s="399"/>
      <c r="U142" s="387"/>
      <c r="V142" s="390"/>
      <c r="W142" s="393"/>
    </row>
    <row r="143" spans="9:23" ht="10.199999999999999" x14ac:dyDescent="0.3">
      <c r="I143" s="131"/>
      <c r="J143" s="380"/>
      <c r="K143" s="380"/>
      <c r="L143" s="380"/>
      <c r="M143" s="403"/>
      <c r="N143" s="404"/>
      <c r="O143" s="384"/>
      <c r="P143" s="383"/>
      <c r="Q143" s="408"/>
      <c r="R143" s="411"/>
      <c r="S143" s="396"/>
      <c r="T143" s="399"/>
      <c r="U143" s="387"/>
      <c r="V143" s="390"/>
      <c r="W143" s="393"/>
    </row>
    <row r="144" spans="9:23" ht="10.199999999999999" x14ac:dyDescent="0.3">
      <c r="I144" s="131"/>
      <c r="J144" s="380"/>
      <c r="K144" s="380"/>
      <c r="L144" s="380"/>
      <c r="M144" s="403"/>
      <c r="N144" s="404"/>
      <c r="O144" s="384"/>
      <c r="P144" s="383"/>
      <c r="Q144" s="408"/>
      <c r="R144" s="411"/>
      <c r="S144" s="396"/>
      <c r="T144" s="399"/>
      <c r="U144" s="387"/>
      <c r="V144" s="390"/>
      <c r="W144" s="393"/>
    </row>
    <row r="145" spans="9:23" ht="10.199999999999999" x14ac:dyDescent="0.3">
      <c r="I145" s="131"/>
      <c r="J145" s="380"/>
      <c r="K145" s="380"/>
      <c r="L145" s="380"/>
      <c r="M145" s="403"/>
      <c r="N145" s="404"/>
      <c r="O145" s="384"/>
      <c r="P145" s="383"/>
      <c r="Q145" s="408"/>
      <c r="R145" s="411"/>
      <c r="S145" s="396"/>
      <c r="T145" s="399"/>
      <c r="U145" s="387"/>
      <c r="V145" s="390"/>
      <c r="W145" s="393"/>
    </row>
    <row r="146" spans="9:23" ht="10.199999999999999" x14ac:dyDescent="0.3">
      <c r="I146" s="131"/>
      <c r="J146" s="380"/>
      <c r="K146" s="380"/>
      <c r="L146" s="380"/>
      <c r="M146" s="403"/>
      <c r="N146" s="404"/>
      <c r="O146" s="384"/>
      <c r="P146" s="383"/>
      <c r="Q146" s="408"/>
      <c r="R146" s="411"/>
      <c r="S146" s="396"/>
      <c r="T146" s="399"/>
      <c r="U146" s="387"/>
      <c r="V146" s="390"/>
      <c r="W146" s="393"/>
    </row>
    <row r="147" spans="9:23" ht="10.199999999999999" x14ac:dyDescent="0.3">
      <c r="I147" s="131"/>
      <c r="J147" s="380"/>
      <c r="K147" s="380"/>
      <c r="L147" s="380"/>
      <c r="M147" s="403"/>
      <c r="N147" s="404"/>
      <c r="O147" s="384"/>
      <c r="P147" s="383"/>
      <c r="Q147" s="408"/>
      <c r="R147" s="411"/>
      <c r="S147" s="396"/>
      <c r="T147" s="399"/>
      <c r="U147" s="387"/>
      <c r="V147" s="390"/>
      <c r="W147" s="393"/>
    </row>
    <row r="148" spans="9:23" ht="10.199999999999999" x14ac:dyDescent="0.3">
      <c r="I148" s="131"/>
      <c r="J148" s="380"/>
      <c r="K148" s="380"/>
      <c r="L148" s="380"/>
      <c r="M148" s="403"/>
      <c r="N148" s="404"/>
      <c r="O148" s="384"/>
      <c r="P148" s="383"/>
      <c r="Q148" s="408"/>
      <c r="R148" s="411"/>
      <c r="S148" s="396"/>
      <c r="T148" s="399"/>
      <c r="U148" s="387"/>
      <c r="V148" s="390"/>
      <c r="W148" s="393"/>
    </row>
    <row r="149" spans="9:23" ht="10.199999999999999" x14ac:dyDescent="0.3">
      <c r="I149" s="131"/>
      <c r="J149" s="380"/>
      <c r="K149" s="380"/>
      <c r="L149" s="380"/>
      <c r="M149" s="403"/>
      <c r="N149" s="404"/>
      <c r="O149" s="384"/>
      <c r="P149" s="383"/>
      <c r="Q149" s="408"/>
      <c r="R149" s="411"/>
      <c r="S149" s="396"/>
      <c r="T149" s="399"/>
      <c r="U149" s="387"/>
      <c r="V149" s="390"/>
      <c r="W149" s="393"/>
    </row>
    <row r="150" spans="9:23" ht="10.199999999999999" x14ac:dyDescent="0.3">
      <c r="I150" s="131"/>
      <c r="J150" s="380"/>
      <c r="K150" s="380"/>
      <c r="L150" s="380"/>
      <c r="M150" s="403"/>
      <c r="N150" s="404"/>
      <c r="O150" s="384"/>
      <c r="P150" s="383"/>
      <c r="Q150" s="408"/>
      <c r="R150" s="411"/>
      <c r="S150" s="396"/>
      <c r="T150" s="399"/>
      <c r="U150" s="387"/>
      <c r="V150" s="390"/>
      <c r="W150" s="393"/>
    </row>
    <row r="151" spans="9:23" ht="10.199999999999999" x14ac:dyDescent="0.3">
      <c r="I151" s="131"/>
      <c r="J151" s="380"/>
      <c r="K151" s="380"/>
      <c r="L151" s="380"/>
      <c r="M151" s="403"/>
      <c r="N151" s="404"/>
      <c r="O151" s="384"/>
      <c r="P151" s="383"/>
      <c r="Q151" s="408"/>
      <c r="R151" s="411"/>
      <c r="S151" s="396"/>
      <c r="T151" s="399"/>
      <c r="U151" s="387"/>
      <c r="V151" s="390"/>
      <c r="W151" s="393"/>
    </row>
    <row r="152" spans="9:23" ht="10.199999999999999" x14ac:dyDescent="0.3">
      <c r="I152" s="131"/>
      <c r="J152" s="380"/>
      <c r="K152" s="380"/>
      <c r="L152" s="380"/>
      <c r="M152" s="403"/>
      <c r="N152" s="404"/>
      <c r="O152" s="384"/>
      <c r="P152" s="383"/>
      <c r="Q152" s="408"/>
      <c r="R152" s="411"/>
      <c r="S152" s="396"/>
      <c r="T152" s="399"/>
      <c r="U152" s="387"/>
      <c r="V152" s="390"/>
      <c r="W152" s="393"/>
    </row>
    <row r="153" spans="9:23" ht="10.199999999999999" x14ac:dyDescent="0.3">
      <c r="I153" s="131"/>
      <c r="J153" s="380"/>
      <c r="K153" s="380"/>
      <c r="L153" s="380"/>
      <c r="M153" s="403"/>
      <c r="N153" s="404"/>
      <c r="O153" s="384"/>
      <c r="P153" s="383"/>
      <c r="Q153" s="408"/>
      <c r="R153" s="411"/>
      <c r="S153" s="396"/>
      <c r="T153" s="399"/>
      <c r="U153" s="387"/>
      <c r="V153" s="390"/>
      <c r="W153" s="393"/>
    </row>
    <row r="154" spans="9:23" ht="10.199999999999999" x14ac:dyDescent="0.3">
      <c r="I154" s="131"/>
      <c r="J154" s="380"/>
      <c r="K154" s="380"/>
      <c r="L154" s="380"/>
      <c r="M154" s="403"/>
      <c r="N154" s="404"/>
      <c r="O154" s="384"/>
      <c r="P154" s="383"/>
      <c r="Q154" s="408"/>
      <c r="R154" s="411"/>
      <c r="S154" s="396"/>
      <c r="T154" s="399"/>
      <c r="U154" s="387"/>
      <c r="V154" s="390"/>
      <c r="W154" s="393"/>
    </row>
    <row r="155" spans="9:23" ht="10.199999999999999" x14ac:dyDescent="0.3">
      <c r="I155" s="131"/>
      <c r="J155" s="380"/>
      <c r="K155" s="380"/>
      <c r="L155" s="380"/>
      <c r="M155" s="403"/>
      <c r="N155" s="404"/>
      <c r="O155" s="384"/>
      <c r="P155" s="383"/>
      <c r="Q155" s="408"/>
      <c r="R155" s="411"/>
      <c r="S155" s="396"/>
      <c r="T155" s="399"/>
      <c r="U155" s="387"/>
      <c r="V155" s="390"/>
      <c r="W155" s="393"/>
    </row>
    <row r="156" spans="9:23" ht="10.199999999999999" x14ac:dyDescent="0.3">
      <c r="I156" s="131"/>
      <c r="J156" s="380"/>
      <c r="K156" s="380"/>
      <c r="L156" s="380"/>
      <c r="M156" s="403"/>
      <c r="N156" s="404"/>
      <c r="O156" s="384"/>
      <c r="P156" s="383"/>
      <c r="Q156" s="408"/>
      <c r="R156" s="411"/>
      <c r="S156" s="396"/>
      <c r="T156" s="399"/>
      <c r="U156" s="387"/>
      <c r="V156" s="390"/>
      <c r="W156" s="393"/>
    </row>
    <row r="157" spans="9:23" ht="10.199999999999999" x14ac:dyDescent="0.3">
      <c r="I157" s="131"/>
      <c r="J157" s="380"/>
      <c r="K157" s="380"/>
      <c r="L157" s="380"/>
      <c r="M157" s="403"/>
      <c r="N157" s="404"/>
      <c r="O157" s="384"/>
      <c r="P157" s="383"/>
      <c r="Q157" s="408"/>
      <c r="R157" s="411"/>
      <c r="S157" s="396"/>
      <c r="T157" s="399"/>
      <c r="U157" s="387"/>
      <c r="V157" s="390"/>
      <c r="W157" s="393"/>
    </row>
    <row r="158" spans="9:23" ht="10.199999999999999" x14ac:dyDescent="0.3">
      <c r="I158" s="131"/>
      <c r="J158" s="380"/>
      <c r="K158" s="380"/>
      <c r="L158" s="380"/>
      <c r="M158" s="403"/>
      <c r="N158" s="404"/>
      <c r="O158" s="384"/>
      <c r="P158" s="383"/>
      <c r="Q158" s="408"/>
      <c r="R158" s="411"/>
      <c r="S158" s="396"/>
      <c r="T158" s="399"/>
      <c r="U158" s="387"/>
      <c r="V158" s="390"/>
      <c r="W158" s="393"/>
    </row>
    <row r="159" spans="9:23" ht="10.199999999999999" x14ac:dyDescent="0.3">
      <c r="I159" s="131"/>
      <c r="J159" s="380"/>
      <c r="K159" s="380"/>
      <c r="L159" s="380"/>
      <c r="M159" s="403"/>
      <c r="N159" s="404"/>
      <c r="O159" s="384"/>
      <c r="P159" s="383"/>
      <c r="Q159" s="408"/>
      <c r="R159" s="411"/>
      <c r="S159" s="396"/>
      <c r="T159" s="399"/>
      <c r="U159" s="387"/>
      <c r="V159" s="390"/>
      <c r="W159" s="393"/>
    </row>
    <row r="160" spans="9:23" ht="10.199999999999999" x14ac:dyDescent="0.3">
      <c r="I160" s="131"/>
      <c r="J160" s="380"/>
      <c r="K160" s="380"/>
      <c r="L160" s="380"/>
      <c r="M160" s="403"/>
      <c r="N160" s="404"/>
      <c r="O160" s="384"/>
      <c r="P160" s="383"/>
      <c r="Q160" s="408"/>
      <c r="R160" s="411"/>
      <c r="S160" s="396"/>
      <c r="T160" s="399"/>
      <c r="U160" s="387"/>
      <c r="V160" s="390"/>
      <c r="W160" s="393"/>
    </row>
    <row r="161" spans="9:23" ht="10.199999999999999" x14ac:dyDescent="0.3">
      <c r="I161" s="131"/>
      <c r="J161" s="380"/>
      <c r="K161" s="380"/>
      <c r="L161" s="380"/>
      <c r="M161" s="403"/>
      <c r="N161" s="404"/>
      <c r="O161" s="384"/>
      <c r="P161" s="383"/>
      <c r="Q161" s="408"/>
      <c r="R161" s="411"/>
      <c r="S161" s="396"/>
      <c r="T161" s="399"/>
      <c r="U161" s="387"/>
      <c r="V161" s="390"/>
      <c r="W161" s="393"/>
    </row>
    <row r="162" spans="9:23" ht="10.199999999999999" x14ac:dyDescent="0.3">
      <c r="I162" s="131"/>
      <c r="J162" s="380"/>
      <c r="K162" s="380"/>
      <c r="L162" s="380"/>
      <c r="M162" s="403"/>
      <c r="N162" s="404"/>
      <c r="O162" s="384"/>
      <c r="P162" s="383"/>
      <c r="Q162" s="408"/>
      <c r="R162" s="411"/>
      <c r="S162" s="396"/>
      <c r="T162" s="399"/>
      <c r="U162" s="387"/>
      <c r="V162" s="390"/>
      <c r="W162" s="393"/>
    </row>
    <row r="163" spans="9:23" ht="10.199999999999999" x14ac:dyDescent="0.3">
      <c r="I163" s="131"/>
      <c r="J163" s="380"/>
      <c r="K163" s="380"/>
      <c r="L163" s="380"/>
      <c r="M163" s="403"/>
      <c r="N163" s="404"/>
      <c r="O163" s="384"/>
      <c r="P163" s="383"/>
      <c r="Q163" s="408"/>
      <c r="R163" s="411"/>
      <c r="S163" s="396"/>
      <c r="T163" s="399"/>
      <c r="U163" s="387"/>
      <c r="V163" s="390"/>
      <c r="W163" s="393"/>
    </row>
    <row r="164" spans="9:23" ht="10.199999999999999" x14ac:dyDescent="0.3">
      <c r="I164" s="131"/>
      <c r="J164" s="380"/>
      <c r="K164" s="380"/>
      <c r="L164" s="380"/>
      <c r="M164" s="403"/>
      <c r="N164" s="404"/>
      <c r="O164" s="384"/>
      <c r="P164" s="383"/>
      <c r="Q164" s="408"/>
      <c r="R164" s="411"/>
      <c r="S164" s="396"/>
      <c r="T164" s="399"/>
      <c r="U164" s="387"/>
      <c r="V164" s="390"/>
      <c r="W164" s="393"/>
    </row>
    <row r="165" spans="9:23" ht="10.199999999999999" x14ac:dyDescent="0.3">
      <c r="I165" s="131"/>
      <c r="J165" s="380"/>
      <c r="K165" s="380"/>
      <c r="L165" s="380"/>
      <c r="M165" s="403"/>
      <c r="N165" s="404"/>
      <c r="O165" s="384"/>
      <c r="P165" s="383"/>
      <c r="Q165" s="408"/>
      <c r="R165" s="411"/>
      <c r="S165" s="396"/>
      <c r="T165" s="399"/>
      <c r="U165" s="387"/>
      <c r="V165" s="390"/>
      <c r="W165" s="393"/>
    </row>
    <row r="166" spans="9:23" ht="10.199999999999999" x14ac:dyDescent="0.3">
      <c r="I166" s="131"/>
      <c r="J166" s="380"/>
      <c r="K166" s="380"/>
      <c r="L166" s="380"/>
      <c r="M166" s="403"/>
      <c r="N166" s="404"/>
      <c r="O166" s="384"/>
      <c r="P166" s="383"/>
      <c r="Q166" s="408"/>
      <c r="R166" s="411"/>
      <c r="S166" s="396"/>
      <c r="T166" s="399"/>
      <c r="U166" s="387"/>
      <c r="V166" s="390"/>
      <c r="W166" s="393"/>
    </row>
    <row r="167" spans="9:23" ht="10.199999999999999" x14ac:dyDescent="0.3">
      <c r="I167" s="131"/>
      <c r="J167" s="380"/>
      <c r="K167" s="380"/>
      <c r="L167" s="380"/>
      <c r="M167" s="403"/>
      <c r="N167" s="404"/>
      <c r="O167" s="384"/>
      <c r="P167" s="383"/>
      <c r="Q167" s="408"/>
      <c r="R167" s="411"/>
      <c r="S167" s="396"/>
      <c r="T167" s="399"/>
      <c r="U167" s="387"/>
      <c r="V167" s="390"/>
      <c r="W167" s="393"/>
    </row>
    <row r="168" spans="9:23" ht="10.199999999999999" x14ac:dyDescent="0.3">
      <c r="I168" s="131"/>
      <c r="J168" s="380"/>
      <c r="K168" s="380"/>
      <c r="L168" s="380"/>
      <c r="M168" s="403"/>
      <c r="N168" s="404"/>
      <c r="O168" s="384"/>
      <c r="P168" s="383"/>
      <c r="Q168" s="408"/>
      <c r="R168" s="411"/>
      <c r="S168" s="396"/>
      <c r="T168" s="399"/>
      <c r="U168" s="387"/>
      <c r="V168" s="390"/>
      <c r="W168" s="393"/>
    </row>
    <row r="169" spans="9:23" ht="10.199999999999999" x14ac:dyDescent="0.3">
      <c r="I169" s="131"/>
      <c r="J169" s="380"/>
      <c r="K169" s="380"/>
      <c r="L169" s="380"/>
      <c r="M169" s="403"/>
      <c r="N169" s="404"/>
      <c r="O169" s="384"/>
      <c r="P169" s="383"/>
      <c r="Q169" s="408"/>
      <c r="R169" s="411"/>
      <c r="S169" s="396"/>
      <c r="T169" s="399"/>
      <c r="U169" s="387"/>
      <c r="V169" s="390"/>
      <c r="W169" s="393"/>
    </row>
    <row r="170" spans="9:23" ht="10.199999999999999" x14ac:dyDescent="0.3">
      <c r="I170" s="131"/>
      <c r="J170" s="380"/>
      <c r="K170" s="380"/>
      <c r="L170" s="380"/>
      <c r="M170" s="403"/>
      <c r="N170" s="404"/>
      <c r="O170" s="384"/>
      <c r="P170" s="383"/>
      <c r="Q170" s="408"/>
      <c r="R170" s="411"/>
      <c r="S170" s="396"/>
      <c r="T170" s="399"/>
      <c r="U170" s="387"/>
      <c r="V170" s="390"/>
      <c r="W170" s="393"/>
    </row>
    <row r="171" spans="9:23" ht="10.199999999999999" x14ac:dyDescent="0.3">
      <c r="I171" s="131"/>
      <c r="J171" s="380"/>
      <c r="K171" s="380"/>
      <c r="L171" s="380"/>
      <c r="M171" s="403"/>
      <c r="N171" s="404"/>
      <c r="O171" s="384"/>
      <c r="P171" s="383"/>
      <c r="Q171" s="408"/>
      <c r="R171" s="411"/>
      <c r="S171" s="396"/>
      <c r="T171" s="399"/>
      <c r="U171" s="387"/>
      <c r="V171" s="390"/>
      <c r="W171" s="393"/>
    </row>
    <row r="172" spans="9:23" ht="10.199999999999999" x14ac:dyDescent="0.3">
      <c r="I172" s="131"/>
      <c r="J172" s="380"/>
      <c r="K172" s="380"/>
      <c r="L172" s="380"/>
      <c r="M172" s="403"/>
      <c r="N172" s="404"/>
      <c r="O172" s="384"/>
      <c r="P172" s="383"/>
      <c r="Q172" s="408"/>
      <c r="R172" s="411"/>
      <c r="S172" s="396"/>
      <c r="T172" s="399"/>
      <c r="U172" s="387"/>
      <c r="V172" s="390"/>
      <c r="W172" s="393"/>
    </row>
    <row r="173" spans="9:23" ht="10.199999999999999" x14ac:dyDescent="0.3">
      <c r="I173" s="131"/>
      <c r="J173" s="380"/>
      <c r="K173" s="380"/>
      <c r="L173" s="380"/>
      <c r="M173" s="403"/>
      <c r="N173" s="404"/>
      <c r="O173" s="384"/>
      <c r="P173" s="383"/>
      <c r="Q173" s="408"/>
      <c r="R173" s="411"/>
      <c r="S173" s="396"/>
      <c r="T173" s="399"/>
      <c r="U173" s="387"/>
      <c r="V173" s="390"/>
      <c r="W173" s="393"/>
    </row>
    <row r="174" spans="9:23" ht="10.199999999999999" x14ac:dyDescent="0.3">
      <c r="I174" s="131"/>
      <c r="J174" s="380"/>
      <c r="K174" s="380"/>
      <c r="L174" s="380"/>
      <c r="M174" s="403"/>
      <c r="N174" s="404"/>
      <c r="O174" s="384"/>
      <c r="P174" s="383"/>
      <c r="Q174" s="408"/>
      <c r="R174" s="411"/>
      <c r="S174" s="396"/>
      <c r="T174" s="399"/>
      <c r="U174" s="387"/>
      <c r="V174" s="390"/>
      <c r="W174" s="393"/>
    </row>
    <row r="175" spans="9:23" ht="10.199999999999999" x14ac:dyDescent="0.3">
      <c r="I175" s="131"/>
      <c r="J175" s="380"/>
      <c r="K175" s="380"/>
      <c r="L175" s="380"/>
      <c r="M175" s="403"/>
      <c r="N175" s="404"/>
      <c r="O175" s="384"/>
      <c r="P175" s="383"/>
      <c r="Q175" s="408"/>
      <c r="R175" s="411"/>
      <c r="S175" s="396"/>
      <c r="T175" s="399"/>
      <c r="U175" s="387"/>
      <c r="V175" s="390"/>
      <c r="W175" s="393"/>
    </row>
    <row r="176" spans="9:23" ht="10.199999999999999" x14ac:dyDescent="0.3">
      <c r="I176" s="131"/>
      <c r="J176" s="380"/>
      <c r="K176" s="380"/>
      <c r="L176" s="380"/>
      <c r="M176" s="403"/>
      <c r="N176" s="404"/>
      <c r="O176" s="384"/>
      <c r="P176" s="383"/>
      <c r="Q176" s="408"/>
      <c r="R176" s="411"/>
      <c r="S176" s="396"/>
      <c r="T176" s="399"/>
      <c r="U176" s="387"/>
      <c r="V176" s="390"/>
      <c r="W176" s="393"/>
    </row>
    <row r="177" spans="9:23" ht="10.199999999999999" x14ac:dyDescent="0.3">
      <c r="I177" s="131"/>
      <c r="J177" s="380"/>
      <c r="K177" s="380"/>
      <c r="L177" s="380"/>
      <c r="M177" s="403"/>
      <c r="N177" s="404"/>
      <c r="O177" s="384"/>
      <c r="P177" s="383"/>
      <c r="Q177" s="408"/>
      <c r="R177" s="411"/>
      <c r="S177" s="396"/>
      <c r="T177" s="399"/>
      <c r="U177" s="387"/>
      <c r="V177" s="390"/>
      <c r="W177" s="393"/>
    </row>
    <row r="178" spans="9:23" ht="10.199999999999999" x14ac:dyDescent="0.3">
      <c r="I178" s="131"/>
      <c r="J178" s="380"/>
      <c r="K178" s="380"/>
      <c r="L178" s="380"/>
      <c r="M178" s="403"/>
      <c r="N178" s="404"/>
      <c r="O178" s="384"/>
      <c r="P178" s="383"/>
      <c r="Q178" s="408"/>
      <c r="R178" s="411"/>
      <c r="S178" s="396"/>
      <c r="T178" s="399"/>
      <c r="U178" s="387"/>
      <c r="V178" s="390"/>
      <c r="W178" s="393"/>
    </row>
    <row r="179" spans="9:23" ht="10.199999999999999" x14ac:dyDescent="0.3">
      <c r="I179" s="131"/>
      <c r="J179" s="380"/>
      <c r="K179" s="380"/>
      <c r="L179" s="380"/>
      <c r="M179" s="403"/>
      <c r="N179" s="404"/>
      <c r="O179" s="384"/>
      <c r="P179" s="383"/>
      <c r="Q179" s="408"/>
      <c r="R179" s="411"/>
      <c r="S179" s="396"/>
      <c r="T179" s="399"/>
      <c r="U179" s="387"/>
      <c r="V179" s="390"/>
      <c r="W179" s="393"/>
    </row>
    <row r="180" spans="9:23" ht="10.199999999999999" x14ac:dyDescent="0.3">
      <c r="I180" s="131"/>
      <c r="J180" s="380"/>
      <c r="K180" s="380"/>
      <c r="L180" s="380"/>
      <c r="M180" s="403"/>
      <c r="N180" s="404"/>
      <c r="O180" s="384"/>
      <c r="P180" s="383"/>
      <c r="Q180" s="408"/>
      <c r="R180" s="411"/>
      <c r="S180" s="396"/>
      <c r="T180" s="399"/>
      <c r="U180" s="387"/>
      <c r="V180" s="390"/>
      <c r="W180" s="393"/>
    </row>
    <row r="181" spans="9:23" ht="10.199999999999999" x14ac:dyDescent="0.3">
      <c r="I181" s="131"/>
      <c r="J181" s="380"/>
      <c r="K181" s="380"/>
      <c r="L181" s="380"/>
      <c r="M181" s="403"/>
      <c r="N181" s="404"/>
      <c r="O181" s="384"/>
      <c r="P181" s="383"/>
      <c r="Q181" s="408"/>
      <c r="R181" s="411"/>
      <c r="S181" s="396"/>
      <c r="T181" s="399"/>
      <c r="U181" s="387"/>
      <c r="V181" s="390"/>
      <c r="W181" s="393"/>
    </row>
    <row r="182" spans="9:23" ht="10.199999999999999" x14ac:dyDescent="0.3">
      <c r="I182" s="131"/>
      <c r="J182" s="380"/>
      <c r="K182" s="380"/>
      <c r="L182" s="380"/>
      <c r="M182" s="403"/>
      <c r="N182" s="404"/>
      <c r="O182" s="384"/>
      <c r="P182" s="383"/>
      <c r="Q182" s="408"/>
      <c r="R182" s="411"/>
      <c r="S182" s="396"/>
      <c r="T182" s="399"/>
      <c r="U182" s="387"/>
      <c r="V182" s="390"/>
      <c r="W182" s="393"/>
    </row>
    <row r="183" spans="9:23" ht="10.199999999999999" x14ac:dyDescent="0.3">
      <c r="I183" s="131"/>
      <c r="J183" s="380"/>
      <c r="K183" s="380"/>
      <c r="L183" s="380"/>
      <c r="M183" s="403"/>
      <c r="N183" s="404"/>
      <c r="O183" s="384"/>
      <c r="P183" s="383"/>
      <c r="Q183" s="408"/>
      <c r="R183" s="411"/>
      <c r="S183" s="396"/>
      <c r="T183" s="399"/>
      <c r="U183" s="387"/>
      <c r="V183" s="390"/>
      <c r="W183" s="393"/>
    </row>
    <row r="184" spans="9:23" ht="10.199999999999999" x14ac:dyDescent="0.3">
      <c r="I184" s="131"/>
      <c r="J184" s="380"/>
      <c r="K184" s="380"/>
      <c r="L184" s="380"/>
      <c r="M184" s="403"/>
      <c r="N184" s="404"/>
      <c r="O184" s="384"/>
      <c r="P184" s="383"/>
      <c r="Q184" s="408"/>
      <c r="R184" s="411"/>
      <c r="S184" s="396"/>
      <c r="T184" s="399"/>
      <c r="U184" s="387"/>
      <c r="V184" s="390"/>
      <c r="W184" s="393"/>
    </row>
    <row r="185" spans="9:23" ht="10.199999999999999" x14ac:dyDescent="0.3">
      <c r="I185" s="131"/>
      <c r="J185" s="380"/>
      <c r="K185" s="380"/>
      <c r="L185" s="380"/>
      <c r="M185" s="403"/>
      <c r="N185" s="404"/>
      <c r="O185" s="384"/>
      <c r="P185" s="383"/>
      <c r="Q185" s="408"/>
      <c r="R185" s="411"/>
      <c r="S185" s="396"/>
      <c r="T185" s="399"/>
      <c r="U185" s="387"/>
      <c r="V185" s="390"/>
      <c r="W185" s="393"/>
    </row>
    <row r="186" spans="9:23" ht="10.199999999999999" x14ac:dyDescent="0.3">
      <c r="I186" s="131"/>
      <c r="J186" s="380"/>
      <c r="K186" s="380"/>
      <c r="L186" s="380"/>
      <c r="M186" s="403"/>
      <c r="N186" s="404"/>
      <c r="O186" s="384"/>
      <c r="P186" s="383"/>
      <c r="Q186" s="408"/>
      <c r="R186" s="411"/>
      <c r="S186" s="396"/>
      <c r="T186" s="399"/>
      <c r="U186" s="387"/>
      <c r="V186" s="390"/>
      <c r="W186" s="393"/>
    </row>
    <row r="187" spans="9:23" ht="10.199999999999999" x14ac:dyDescent="0.3">
      <c r="I187" s="131"/>
      <c r="J187" s="380"/>
      <c r="K187" s="380"/>
      <c r="L187" s="380"/>
      <c r="M187" s="403"/>
      <c r="N187" s="404"/>
      <c r="O187" s="384"/>
      <c r="P187" s="383"/>
      <c r="Q187" s="408"/>
      <c r="R187" s="411"/>
      <c r="S187" s="396"/>
      <c r="T187" s="399"/>
      <c r="U187" s="387"/>
      <c r="V187" s="390"/>
      <c r="W187" s="393"/>
    </row>
    <row r="188" spans="9:23" ht="10.199999999999999" x14ac:dyDescent="0.3">
      <c r="I188" s="131"/>
      <c r="J188" s="380"/>
      <c r="K188" s="380"/>
      <c r="L188" s="380"/>
      <c r="M188" s="403"/>
      <c r="N188" s="404"/>
      <c r="O188" s="384"/>
      <c r="P188" s="383"/>
      <c r="Q188" s="408"/>
      <c r="R188" s="411"/>
      <c r="S188" s="396"/>
      <c r="T188" s="399"/>
      <c r="U188" s="387"/>
      <c r="V188" s="390"/>
      <c r="W188" s="393"/>
    </row>
    <row r="189" spans="9:23" ht="10.199999999999999" x14ac:dyDescent="0.3">
      <c r="I189" s="131"/>
      <c r="J189" s="380"/>
      <c r="K189" s="380"/>
      <c r="L189" s="380"/>
      <c r="M189" s="403"/>
      <c r="N189" s="404"/>
      <c r="O189" s="384"/>
      <c r="P189" s="383"/>
      <c r="Q189" s="408"/>
      <c r="R189" s="411"/>
      <c r="S189" s="396"/>
      <c r="T189" s="399"/>
      <c r="U189" s="387"/>
      <c r="V189" s="390"/>
      <c r="W189" s="393"/>
    </row>
    <row r="190" spans="9:23" ht="10.199999999999999" x14ac:dyDescent="0.3">
      <c r="I190" s="131"/>
      <c r="J190" s="380"/>
      <c r="K190" s="380"/>
      <c r="L190" s="380"/>
      <c r="M190" s="403"/>
      <c r="N190" s="404"/>
      <c r="O190" s="384"/>
      <c r="P190" s="383"/>
      <c r="Q190" s="408"/>
      <c r="R190" s="411"/>
      <c r="S190" s="396"/>
      <c r="T190" s="399"/>
      <c r="U190" s="387"/>
      <c r="V190" s="390"/>
      <c r="W190" s="393"/>
    </row>
    <row r="191" spans="9:23" ht="10.199999999999999" x14ac:dyDescent="0.3">
      <c r="I191" s="131"/>
      <c r="J191" s="380"/>
      <c r="K191" s="380"/>
      <c r="L191" s="380"/>
      <c r="M191" s="403"/>
      <c r="N191" s="404"/>
      <c r="O191" s="384"/>
      <c r="P191" s="383"/>
      <c r="Q191" s="408"/>
      <c r="R191" s="411"/>
      <c r="S191" s="396"/>
      <c r="T191" s="399"/>
      <c r="U191" s="387"/>
      <c r="V191" s="390"/>
      <c r="W191" s="393"/>
    </row>
    <row r="192" spans="9:23" ht="10.199999999999999" x14ac:dyDescent="0.3">
      <c r="I192" s="131"/>
      <c r="J192" s="380"/>
      <c r="K192" s="380"/>
      <c r="L192" s="380"/>
      <c r="M192" s="403"/>
      <c r="N192" s="404"/>
      <c r="O192" s="384"/>
      <c r="P192" s="383"/>
      <c r="Q192" s="408"/>
      <c r="R192" s="411"/>
      <c r="S192" s="396"/>
      <c r="T192" s="399"/>
      <c r="U192" s="387"/>
      <c r="V192" s="390"/>
      <c r="W192" s="393"/>
    </row>
    <row r="193" spans="9:23" ht="10.199999999999999" x14ac:dyDescent="0.3">
      <c r="I193" s="131"/>
      <c r="J193" s="380"/>
      <c r="K193" s="380"/>
      <c r="L193" s="380"/>
      <c r="M193" s="403"/>
      <c r="N193" s="404"/>
      <c r="O193" s="384"/>
      <c r="P193" s="383"/>
      <c r="Q193" s="408"/>
      <c r="R193" s="411"/>
      <c r="S193" s="396"/>
      <c r="T193" s="399"/>
      <c r="U193" s="387"/>
      <c r="V193" s="390"/>
      <c r="W193" s="393"/>
    </row>
    <row r="194" spans="9:23" ht="10.199999999999999" x14ac:dyDescent="0.3">
      <c r="I194" s="131"/>
      <c r="J194" s="380"/>
      <c r="K194" s="380"/>
      <c r="L194" s="380"/>
      <c r="M194" s="403"/>
      <c r="N194" s="404"/>
      <c r="O194" s="384"/>
      <c r="P194" s="383"/>
      <c r="Q194" s="408"/>
      <c r="R194" s="411"/>
      <c r="S194" s="396"/>
      <c r="T194" s="399"/>
      <c r="U194" s="387"/>
      <c r="V194" s="390"/>
      <c r="W194" s="393"/>
    </row>
    <row r="195" spans="9:23" ht="10.199999999999999" x14ac:dyDescent="0.3">
      <c r="I195" s="131"/>
      <c r="J195" s="380"/>
      <c r="K195" s="380"/>
      <c r="L195" s="380"/>
      <c r="M195" s="403"/>
      <c r="N195" s="404"/>
      <c r="O195" s="384"/>
      <c r="P195" s="383"/>
      <c r="Q195" s="408"/>
      <c r="R195" s="411"/>
      <c r="S195" s="396"/>
      <c r="T195" s="399"/>
      <c r="U195" s="387"/>
      <c r="V195" s="390"/>
      <c r="W195" s="393"/>
    </row>
    <row r="196" spans="9:23" ht="10.199999999999999" x14ac:dyDescent="0.3">
      <c r="I196" s="131"/>
      <c r="J196" s="380"/>
      <c r="K196" s="380"/>
      <c r="L196" s="380"/>
      <c r="M196" s="403"/>
      <c r="N196" s="404"/>
      <c r="O196" s="384"/>
      <c r="P196" s="383"/>
      <c r="Q196" s="408"/>
      <c r="R196" s="411"/>
      <c r="S196" s="396"/>
      <c r="T196" s="399"/>
      <c r="U196" s="387"/>
      <c r="V196" s="390"/>
      <c r="W196" s="393"/>
    </row>
    <row r="197" spans="9:23" ht="10.199999999999999" x14ac:dyDescent="0.3">
      <c r="I197" s="131"/>
      <c r="J197" s="380"/>
      <c r="K197" s="380"/>
      <c r="L197" s="380"/>
      <c r="M197" s="403"/>
      <c r="N197" s="404"/>
      <c r="O197" s="384"/>
      <c r="P197" s="383"/>
      <c r="Q197" s="408"/>
      <c r="R197" s="411"/>
      <c r="S197" s="396"/>
      <c r="T197" s="399"/>
      <c r="U197" s="387"/>
      <c r="V197" s="390"/>
      <c r="W197" s="393"/>
    </row>
    <row r="198" spans="9:23" ht="10.199999999999999" x14ac:dyDescent="0.3">
      <c r="I198" s="131"/>
      <c r="J198" s="380"/>
      <c r="K198" s="380"/>
      <c r="L198" s="380"/>
      <c r="M198" s="403"/>
      <c r="N198" s="404"/>
      <c r="O198" s="384"/>
      <c r="P198" s="383"/>
      <c r="Q198" s="408"/>
      <c r="R198" s="411"/>
      <c r="S198" s="396"/>
      <c r="T198" s="399"/>
      <c r="U198" s="387"/>
      <c r="V198" s="390"/>
      <c r="W198" s="393"/>
    </row>
    <row r="199" spans="9:23" ht="10.199999999999999" x14ac:dyDescent="0.3">
      <c r="I199" s="131"/>
      <c r="J199" s="380"/>
      <c r="K199" s="380"/>
      <c r="L199" s="380"/>
      <c r="M199" s="403"/>
      <c r="N199" s="404"/>
      <c r="O199" s="384"/>
      <c r="P199" s="383"/>
      <c r="Q199" s="408"/>
      <c r="R199" s="411"/>
      <c r="S199" s="396"/>
      <c r="T199" s="399"/>
      <c r="U199" s="387"/>
      <c r="V199" s="390"/>
      <c r="W199" s="393"/>
    </row>
    <row r="200" spans="9:23" ht="10.199999999999999" x14ac:dyDescent="0.3">
      <c r="I200" s="131"/>
      <c r="J200" s="380"/>
      <c r="K200" s="380"/>
      <c r="L200" s="380"/>
      <c r="M200" s="403"/>
      <c r="N200" s="404"/>
      <c r="O200" s="384"/>
      <c r="P200" s="383"/>
      <c r="Q200" s="408"/>
      <c r="R200" s="411"/>
      <c r="S200" s="396"/>
      <c r="T200" s="399"/>
      <c r="U200" s="387"/>
      <c r="V200" s="390"/>
      <c r="W200" s="393"/>
    </row>
    <row r="201" spans="9:23" ht="10.199999999999999" x14ac:dyDescent="0.3">
      <c r="I201" s="131"/>
      <c r="J201" s="380"/>
      <c r="K201" s="380"/>
      <c r="L201" s="380"/>
      <c r="M201" s="403"/>
      <c r="N201" s="404"/>
      <c r="O201" s="384"/>
      <c r="P201" s="383"/>
      <c r="Q201" s="408"/>
      <c r="R201" s="411"/>
      <c r="S201" s="396"/>
      <c r="T201" s="399"/>
      <c r="U201" s="387"/>
      <c r="V201" s="390"/>
      <c r="W201" s="393"/>
    </row>
    <row r="202" spans="9:23" ht="10.199999999999999" x14ac:dyDescent="0.3">
      <c r="I202" s="131"/>
      <c r="J202" s="380"/>
      <c r="K202" s="380"/>
      <c r="L202" s="380"/>
      <c r="M202" s="403"/>
      <c r="N202" s="404"/>
      <c r="O202" s="384"/>
      <c r="P202" s="383"/>
      <c r="Q202" s="408"/>
      <c r="R202" s="411"/>
      <c r="S202" s="396"/>
      <c r="T202" s="399"/>
      <c r="U202" s="387"/>
      <c r="V202" s="390"/>
      <c r="W202" s="393"/>
    </row>
    <row r="203" spans="9:23" ht="10.199999999999999" x14ac:dyDescent="0.3">
      <c r="I203" s="131"/>
      <c r="J203" s="380"/>
      <c r="K203" s="380"/>
      <c r="L203" s="380"/>
      <c r="M203" s="403"/>
      <c r="N203" s="404"/>
      <c r="O203" s="384"/>
      <c r="P203" s="383"/>
      <c r="Q203" s="408"/>
      <c r="R203" s="411"/>
      <c r="S203" s="396"/>
      <c r="T203" s="399"/>
      <c r="U203" s="387"/>
      <c r="V203" s="390"/>
      <c r="W203" s="393"/>
    </row>
    <row r="204" spans="9:23" ht="10.199999999999999" x14ac:dyDescent="0.3">
      <c r="I204" s="131"/>
      <c r="J204" s="380"/>
      <c r="K204" s="380"/>
      <c r="L204" s="380"/>
      <c r="M204" s="403"/>
      <c r="N204" s="404"/>
      <c r="O204" s="384"/>
      <c r="P204" s="383"/>
      <c r="Q204" s="408"/>
      <c r="R204" s="411"/>
      <c r="S204" s="396"/>
      <c r="T204" s="399"/>
      <c r="U204" s="387"/>
      <c r="V204" s="390"/>
      <c r="W204" s="393"/>
    </row>
    <row r="205" spans="9:23" ht="10.199999999999999" x14ac:dyDescent="0.3">
      <c r="I205" s="131"/>
      <c r="J205" s="380"/>
      <c r="K205" s="380"/>
      <c r="L205" s="380"/>
      <c r="M205" s="403"/>
      <c r="N205" s="404"/>
      <c r="O205" s="384"/>
      <c r="P205" s="383"/>
      <c r="Q205" s="408"/>
      <c r="R205" s="411"/>
      <c r="S205" s="396"/>
      <c r="T205" s="399"/>
      <c r="U205" s="387"/>
      <c r="V205" s="390"/>
      <c r="W205" s="393"/>
    </row>
    <row r="206" spans="9:23" ht="10.199999999999999" x14ac:dyDescent="0.3">
      <c r="I206" s="131"/>
      <c r="J206" s="380"/>
      <c r="K206" s="380"/>
      <c r="L206" s="380"/>
      <c r="M206" s="403"/>
      <c r="N206" s="404"/>
      <c r="O206" s="384"/>
      <c r="P206" s="383"/>
      <c r="Q206" s="408"/>
      <c r="R206" s="411"/>
      <c r="S206" s="396"/>
      <c r="T206" s="399"/>
      <c r="U206" s="387"/>
      <c r="V206" s="390"/>
      <c r="W206" s="393"/>
    </row>
    <row r="207" spans="9:23" ht="10.199999999999999" x14ac:dyDescent="0.3">
      <c r="I207" s="131"/>
      <c r="J207" s="380"/>
      <c r="K207" s="380"/>
      <c r="L207" s="380"/>
      <c r="M207" s="403"/>
      <c r="N207" s="404"/>
      <c r="O207" s="384"/>
      <c r="P207" s="383"/>
      <c r="Q207" s="408"/>
      <c r="R207" s="411"/>
      <c r="S207" s="396"/>
      <c r="T207" s="399"/>
      <c r="U207" s="387"/>
      <c r="V207" s="390"/>
      <c r="W207" s="393"/>
    </row>
    <row r="208" spans="9:23" ht="10.199999999999999" x14ac:dyDescent="0.3">
      <c r="I208" s="131"/>
      <c r="J208" s="380"/>
      <c r="K208" s="380"/>
      <c r="L208" s="380"/>
      <c r="M208" s="403"/>
      <c r="N208" s="404"/>
      <c r="O208" s="384"/>
      <c r="P208" s="383"/>
      <c r="Q208" s="408"/>
      <c r="R208" s="411"/>
      <c r="S208" s="396"/>
      <c r="T208" s="399"/>
      <c r="U208" s="387"/>
      <c r="V208" s="390"/>
      <c r="W208" s="393"/>
    </row>
    <row r="209" spans="9:23" ht="10.199999999999999" x14ac:dyDescent="0.3">
      <c r="I209" s="131"/>
      <c r="J209" s="380"/>
      <c r="K209" s="380"/>
      <c r="L209" s="380"/>
      <c r="M209" s="403"/>
      <c r="N209" s="404"/>
      <c r="O209" s="384"/>
      <c r="P209" s="383"/>
      <c r="Q209" s="408"/>
      <c r="R209" s="411"/>
      <c r="S209" s="396"/>
      <c r="T209" s="399"/>
      <c r="U209" s="387"/>
      <c r="V209" s="390"/>
      <c r="W209" s="393"/>
    </row>
    <row r="210" spans="9:23" ht="10.199999999999999" x14ac:dyDescent="0.3">
      <c r="I210" s="131"/>
      <c r="J210" s="380"/>
      <c r="K210" s="380"/>
      <c r="L210" s="380"/>
      <c r="M210" s="403"/>
      <c r="N210" s="404"/>
      <c r="O210" s="384"/>
      <c r="P210" s="383"/>
      <c r="Q210" s="408"/>
      <c r="R210" s="411"/>
      <c r="S210" s="396"/>
      <c r="T210" s="399"/>
      <c r="U210" s="387"/>
      <c r="V210" s="390"/>
      <c r="W210" s="393"/>
    </row>
    <row r="211" spans="9:23" ht="10.199999999999999" x14ac:dyDescent="0.3">
      <c r="I211" s="131"/>
      <c r="J211" s="380"/>
      <c r="K211" s="380"/>
      <c r="L211" s="380"/>
      <c r="M211" s="403"/>
      <c r="N211" s="404"/>
      <c r="O211" s="384"/>
      <c r="P211" s="383"/>
      <c r="Q211" s="408"/>
      <c r="R211" s="411"/>
      <c r="S211" s="396"/>
      <c r="T211" s="399"/>
      <c r="U211" s="387"/>
      <c r="V211" s="390"/>
      <c r="W211" s="393"/>
    </row>
    <row r="212" spans="9:23" ht="10.199999999999999" x14ac:dyDescent="0.3">
      <c r="I212" s="131"/>
      <c r="J212" s="380"/>
      <c r="K212" s="380"/>
      <c r="L212" s="380"/>
      <c r="M212" s="403"/>
      <c r="N212" s="404"/>
      <c r="O212" s="384"/>
      <c r="P212" s="383"/>
      <c r="Q212" s="408"/>
      <c r="R212" s="411"/>
      <c r="S212" s="396"/>
      <c r="T212" s="399"/>
      <c r="U212" s="387"/>
      <c r="V212" s="390"/>
      <c r="W212" s="393"/>
    </row>
    <row r="213" spans="9:23" ht="10.199999999999999" x14ac:dyDescent="0.3">
      <c r="I213" s="131"/>
      <c r="J213" s="380"/>
      <c r="K213" s="380"/>
      <c r="L213" s="380"/>
      <c r="M213" s="403"/>
      <c r="N213" s="404"/>
      <c r="O213" s="384"/>
      <c r="P213" s="383"/>
      <c r="Q213" s="408"/>
      <c r="R213" s="411"/>
      <c r="S213" s="396"/>
      <c r="T213" s="399"/>
      <c r="U213" s="387"/>
      <c r="V213" s="390"/>
      <c r="W213" s="393"/>
    </row>
    <row r="214" spans="9:23" ht="10.199999999999999" x14ac:dyDescent="0.3">
      <c r="I214" s="131"/>
      <c r="J214" s="380"/>
      <c r="K214" s="380"/>
      <c r="L214" s="380"/>
      <c r="M214" s="403"/>
      <c r="N214" s="404"/>
      <c r="O214" s="384"/>
      <c r="P214" s="383"/>
      <c r="Q214" s="408"/>
      <c r="R214" s="411"/>
      <c r="S214" s="396"/>
      <c r="T214" s="399"/>
      <c r="U214" s="387"/>
      <c r="V214" s="390"/>
      <c r="W214" s="393"/>
    </row>
    <row r="215" spans="9:23" ht="10.199999999999999" x14ac:dyDescent="0.3">
      <c r="I215" s="131"/>
      <c r="J215" s="380"/>
      <c r="K215" s="380"/>
      <c r="L215" s="380"/>
      <c r="M215" s="403"/>
      <c r="N215" s="404"/>
      <c r="O215" s="384"/>
      <c r="P215" s="383"/>
      <c r="Q215" s="408"/>
      <c r="R215" s="411"/>
      <c r="S215" s="396"/>
      <c r="T215" s="399"/>
      <c r="U215" s="387"/>
      <c r="V215" s="390"/>
      <c r="W215" s="393"/>
    </row>
    <row r="216" spans="9:23" ht="10.199999999999999" x14ac:dyDescent="0.3">
      <c r="I216" s="131"/>
      <c r="J216" s="380"/>
      <c r="K216" s="380"/>
      <c r="L216" s="380"/>
      <c r="M216" s="403"/>
      <c r="N216" s="404"/>
      <c r="O216" s="384"/>
      <c r="P216" s="383"/>
      <c r="Q216" s="408"/>
      <c r="R216" s="411"/>
      <c r="S216" s="396"/>
      <c r="T216" s="399"/>
      <c r="U216" s="387"/>
      <c r="V216" s="390"/>
      <c r="W216" s="393"/>
    </row>
    <row r="217" spans="9:23" ht="10.199999999999999" x14ac:dyDescent="0.3">
      <c r="I217" s="131"/>
      <c r="J217" s="380"/>
      <c r="K217" s="380"/>
      <c r="L217" s="380"/>
      <c r="M217" s="403"/>
      <c r="N217" s="404"/>
      <c r="O217" s="384"/>
      <c r="P217" s="383"/>
      <c r="Q217" s="408"/>
      <c r="R217" s="411"/>
      <c r="S217" s="396"/>
      <c r="T217" s="399"/>
      <c r="U217" s="387"/>
      <c r="V217" s="390"/>
      <c r="W217" s="393"/>
    </row>
    <row r="218" spans="9:23" ht="10.199999999999999" x14ac:dyDescent="0.3">
      <c r="I218" s="131"/>
      <c r="J218" s="380"/>
      <c r="K218" s="380"/>
      <c r="L218" s="380"/>
      <c r="M218" s="403"/>
      <c r="N218" s="404"/>
      <c r="O218" s="384"/>
      <c r="P218" s="383"/>
      <c r="Q218" s="408"/>
      <c r="R218" s="411"/>
      <c r="S218" s="396"/>
      <c r="T218" s="399"/>
      <c r="U218" s="387"/>
      <c r="V218" s="390"/>
      <c r="W218" s="393"/>
    </row>
    <row r="219" spans="9:23" ht="10.199999999999999" x14ac:dyDescent="0.3">
      <c r="I219" s="131"/>
      <c r="J219" s="380"/>
      <c r="K219" s="380"/>
      <c r="L219" s="380"/>
      <c r="M219" s="403"/>
      <c r="N219" s="404"/>
      <c r="O219" s="384"/>
      <c r="P219" s="383"/>
      <c r="Q219" s="408"/>
      <c r="R219" s="411"/>
      <c r="S219" s="396"/>
      <c r="T219" s="399"/>
      <c r="U219" s="387"/>
      <c r="V219" s="390"/>
      <c r="W219" s="393"/>
    </row>
    <row r="220" spans="9:23" ht="10.199999999999999" x14ac:dyDescent="0.3">
      <c r="I220" s="131"/>
      <c r="J220" s="380"/>
      <c r="K220" s="380"/>
      <c r="L220" s="380"/>
      <c r="M220" s="403"/>
      <c r="N220" s="404"/>
      <c r="O220" s="384"/>
      <c r="P220" s="383"/>
      <c r="Q220" s="408"/>
      <c r="R220" s="411"/>
      <c r="S220" s="396"/>
      <c r="T220" s="399"/>
      <c r="U220" s="387"/>
      <c r="V220" s="390"/>
      <c r="W220" s="393"/>
    </row>
    <row r="221" spans="9:23" ht="10.199999999999999" x14ac:dyDescent="0.3">
      <c r="I221" s="131"/>
      <c r="J221" s="380"/>
      <c r="K221" s="380"/>
      <c r="L221" s="380"/>
      <c r="M221" s="403"/>
      <c r="N221" s="404"/>
      <c r="O221" s="384"/>
      <c r="P221" s="383"/>
      <c r="Q221" s="408"/>
      <c r="R221" s="411"/>
      <c r="S221" s="396"/>
      <c r="T221" s="399"/>
      <c r="U221" s="387"/>
      <c r="V221" s="390"/>
      <c r="W221" s="393"/>
    </row>
    <row r="222" spans="9:23" ht="10.199999999999999" x14ac:dyDescent="0.3">
      <c r="I222" s="131"/>
      <c r="J222" s="380"/>
      <c r="K222" s="380"/>
      <c r="L222" s="380"/>
      <c r="M222" s="403"/>
      <c r="N222" s="404"/>
      <c r="O222" s="384"/>
      <c r="P222" s="383"/>
      <c r="Q222" s="408"/>
      <c r="R222" s="411"/>
      <c r="S222" s="396"/>
      <c r="T222" s="399"/>
      <c r="U222" s="387"/>
      <c r="V222" s="390"/>
      <c r="W222" s="393"/>
    </row>
    <row r="223" spans="9:23" ht="10.199999999999999" x14ac:dyDescent="0.3">
      <c r="I223" s="131"/>
      <c r="J223" s="380"/>
      <c r="K223" s="380"/>
      <c r="L223" s="380"/>
      <c r="M223" s="403"/>
      <c r="N223" s="404"/>
      <c r="O223" s="384"/>
      <c r="P223" s="383"/>
      <c r="Q223" s="408"/>
      <c r="R223" s="411"/>
      <c r="S223" s="396"/>
      <c r="T223" s="399"/>
      <c r="U223" s="387"/>
      <c r="V223" s="390"/>
      <c r="W223" s="393"/>
    </row>
    <row r="224" spans="9:23" ht="10.199999999999999" x14ac:dyDescent="0.3">
      <c r="I224" s="131"/>
      <c r="J224" s="380"/>
      <c r="K224" s="380"/>
      <c r="L224" s="380"/>
      <c r="M224" s="403"/>
      <c r="N224" s="404"/>
      <c r="O224" s="384"/>
      <c r="P224" s="383"/>
      <c r="Q224" s="408"/>
      <c r="R224" s="411"/>
      <c r="S224" s="396"/>
      <c r="T224" s="399"/>
      <c r="U224" s="387"/>
      <c r="V224" s="390"/>
      <c r="W224" s="393"/>
    </row>
    <row r="225" spans="9:23" ht="10.199999999999999" x14ac:dyDescent="0.3">
      <c r="I225" s="131"/>
      <c r="J225" s="380"/>
      <c r="K225" s="380"/>
      <c r="L225" s="380"/>
      <c r="M225" s="403"/>
      <c r="N225" s="404"/>
      <c r="O225" s="384"/>
      <c r="P225" s="383"/>
      <c r="Q225" s="408"/>
      <c r="R225" s="411"/>
      <c r="S225" s="396"/>
      <c r="T225" s="399"/>
      <c r="U225" s="387"/>
      <c r="V225" s="390"/>
      <c r="W225" s="393"/>
    </row>
    <row r="226" spans="9:23" ht="10.199999999999999" x14ac:dyDescent="0.3">
      <c r="I226" s="131"/>
      <c r="J226" s="380"/>
      <c r="K226" s="380"/>
      <c r="L226" s="380"/>
      <c r="M226" s="403"/>
      <c r="N226" s="404"/>
      <c r="O226" s="384"/>
      <c r="P226" s="383"/>
      <c r="Q226" s="408"/>
      <c r="R226" s="411"/>
      <c r="S226" s="396"/>
      <c r="T226" s="399"/>
      <c r="U226" s="387"/>
      <c r="V226" s="390"/>
      <c r="W226" s="393"/>
    </row>
    <row r="227" spans="9:23" ht="10.199999999999999" x14ac:dyDescent="0.3">
      <c r="I227" s="131"/>
      <c r="J227" s="380"/>
      <c r="K227" s="380"/>
      <c r="L227" s="380"/>
      <c r="M227" s="403"/>
      <c r="N227" s="404"/>
      <c r="O227" s="384"/>
      <c r="P227" s="383"/>
      <c r="Q227" s="408"/>
      <c r="R227" s="411"/>
      <c r="S227" s="396"/>
      <c r="T227" s="399"/>
      <c r="U227" s="387"/>
      <c r="V227" s="390"/>
      <c r="W227" s="393"/>
    </row>
    <row r="228" spans="9:23" ht="10.199999999999999" x14ac:dyDescent="0.3">
      <c r="I228" s="131"/>
      <c r="J228" s="380"/>
      <c r="K228" s="380"/>
      <c r="L228" s="380"/>
      <c r="M228" s="403"/>
      <c r="N228" s="404"/>
      <c r="O228" s="384"/>
      <c r="P228" s="383"/>
      <c r="Q228" s="408"/>
      <c r="R228" s="411"/>
      <c r="S228" s="396"/>
      <c r="T228" s="399"/>
      <c r="U228" s="387"/>
      <c r="V228" s="390"/>
      <c r="W228" s="393"/>
    </row>
    <row r="229" spans="9:23" ht="10.199999999999999" x14ac:dyDescent="0.3">
      <c r="I229" s="131"/>
      <c r="J229" s="380"/>
      <c r="K229" s="380"/>
      <c r="L229" s="380"/>
      <c r="M229" s="403"/>
      <c r="N229" s="404"/>
      <c r="O229" s="384"/>
      <c r="P229" s="383"/>
      <c r="Q229" s="408"/>
      <c r="R229" s="411"/>
      <c r="S229" s="396"/>
      <c r="T229" s="399"/>
      <c r="U229" s="387"/>
      <c r="V229" s="390"/>
      <c r="W229" s="393"/>
    </row>
    <row r="230" spans="9:23" ht="10.199999999999999" x14ac:dyDescent="0.3">
      <c r="I230" s="131"/>
      <c r="J230" s="380"/>
      <c r="K230" s="380"/>
      <c r="L230" s="380"/>
      <c r="M230" s="403"/>
      <c r="N230" s="404"/>
      <c r="O230" s="384"/>
      <c r="P230" s="383"/>
      <c r="Q230" s="408"/>
      <c r="R230" s="411"/>
      <c r="S230" s="396"/>
      <c r="T230" s="399"/>
      <c r="U230" s="387"/>
      <c r="V230" s="390"/>
      <c r="W230" s="393"/>
    </row>
    <row r="231" spans="9:23" ht="10.199999999999999" x14ac:dyDescent="0.3">
      <c r="I231" s="131"/>
      <c r="J231" s="380"/>
      <c r="K231" s="380"/>
      <c r="L231" s="380"/>
      <c r="M231" s="403"/>
      <c r="N231" s="404"/>
      <c r="O231" s="384"/>
      <c r="P231" s="383"/>
      <c r="Q231" s="408"/>
      <c r="R231" s="411"/>
      <c r="S231" s="396"/>
      <c r="T231" s="399"/>
      <c r="U231" s="387"/>
      <c r="V231" s="390"/>
      <c r="W231" s="393"/>
    </row>
    <row r="232" spans="9:23" ht="10.199999999999999" x14ac:dyDescent="0.3">
      <c r="I232" s="131"/>
      <c r="J232" s="380"/>
      <c r="K232" s="380"/>
      <c r="L232" s="380"/>
      <c r="M232" s="403"/>
      <c r="N232" s="404"/>
      <c r="O232" s="384"/>
      <c r="P232" s="383"/>
      <c r="Q232" s="408"/>
      <c r="R232" s="411"/>
      <c r="S232" s="396"/>
      <c r="T232" s="399"/>
      <c r="U232" s="387"/>
      <c r="V232" s="390"/>
      <c r="W232" s="393"/>
    </row>
    <row r="233" spans="9:23" ht="10.199999999999999" x14ac:dyDescent="0.3">
      <c r="I233" s="131"/>
      <c r="J233" s="380"/>
      <c r="K233" s="380"/>
      <c r="L233" s="380"/>
      <c r="M233" s="403"/>
      <c r="N233" s="404"/>
      <c r="O233" s="384"/>
      <c r="P233" s="383"/>
      <c r="Q233" s="408"/>
      <c r="R233" s="411"/>
      <c r="S233" s="396"/>
      <c r="T233" s="399"/>
      <c r="U233" s="387"/>
      <c r="V233" s="390"/>
      <c r="W233" s="393"/>
    </row>
    <row r="234" spans="9:23" ht="10.199999999999999" x14ac:dyDescent="0.3">
      <c r="I234" s="131"/>
      <c r="J234" s="380"/>
      <c r="K234" s="380"/>
      <c r="L234" s="380"/>
      <c r="M234" s="403"/>
      <c r="N234" s="404"/>
      <c r="O234" s="384"/>
      <c r="P234" s="383"/>
      <c r="Q234" s="408"/>
      <c r="R234" s="411"/>
      <c r="S234" s="396"/>
      <c r="T234" s="399"/>
      <c r="U234" s="387"/>
      <c r="V234" s="390"/>
      <c r="W234" s="393"/>
    </row>
    <row r="235" spans="9:23" ht="10.199999999999999" x14ac:dyDescent="0.3">
      <c r="I235" s="131"/>
      <c r="J235" s="380"/>
      <c r="K235" s="380"/>
      <c r="L235" s="380"/>
      <c r="M235" s="403"/>
      <c r="N235" s="404"/>
      <c r="O235" s="384"/>
      <c r="P235" s="383"/>
      <c r="Q235" s="408"/>
      <c r="R235" s="411"/>
      <c r="S235" s="396"/>
      <c r="T235" s="399"/>
      <c r="U235" s="387"/>
      <c r="V235" s="390"/>
      <c r="W235" s="393"/>
    </row>
    <row r="236" spans="9:23" ht="10.199999999999999" x14ac:dyDescent="0.3">
      <c r="I236" s="131"/>
      <c r="J236" s="380"/>
      <c r="K236" s="380"/>
      <c r="L236" s="380"/>
      <c r="M236" s="403"/>
      <c r="N236" s="404"/>
      <c r="O236" s="384"/>
      <c r="P236" s="383"/>
      <c r="Q236" s="408"/>
      <c r="R236" s="411"/>
      <c r="S236" s="396"/>
      <c r="T236" s="399"/>
      <c r="U236" s="387"/>
      <c r="V236" s="390"/>
      <c r="W236" s="393"/>
    </row>
    <row r="237" spans="9:23" ht="10.199999999999999" x14ac:dyDescent="0.3">
      <c r="I237" s="131"/>
      <c r="J237" s="380"/>
      <c r="K237" s="380"/>
      <c r="L237" s="380"/>
      <c r="M237" s="403"/>
      <c r="N237" s="404"/>
      <c r="O237" s="384"/>
      <c r="P237" s="383"/>
      <c r="Q237" s="408"/>
      <c r="R237" s="411"/>
      <c r="S237" s="396"/>
      <c r="T237" s="399"/>
      <c r="U237" s="387"/>
      <c r="V237" s="390"/>
      <c r="W237" s="393"/>
    </row>
    <row r="238" spans="9:23" ht="10.199999999999999" x14ac:dyDescent="0.3">
      <c r="I238" s="131"/>
      <c r="J238" s="380"/>
      <c r="K238" s="380"/>
      <c r="L238" s="380"/>
      <c r="M238" s="403"/>
      <c r="N238" s="404"/>
      <c r="O238" s="384"/>
      <c r="P238" s="383"/>
      <c r="Q238" s="408"/>
      <c r="R238" s="411"/>
      <c r="S238" s="396"/>
      <c r="T238" s="399"/>
      <c r="U238" s="387"/>
      <c r="V238" s="390"/>
      <c r="W238" s="393"/>
    </row>
    <row r="239" spans="9:23" ht="10.199999999999999" x14ac:dyDescent="0.3">
      <c r="I239" s="131"/>
      <c r="J239" s="380"/>
      <c r="K239" s="380"/>
      <c r="L239" s="380"/>
      <c r="M239" s="403"/>
      <c r="N239" s="404"/>
      <c r="O239" s="384"/>
      <c r="P239" s="383"/>
      <c r="Q239" s="408"/>
      <c r="R239" s="411"/>
      <c r="S239" s="396"/>
      <c r="T239" s="399"/>
      <c r="U239" s="387"/>
      <c r="V239" s="390"/>
      <c r="W239" s="393"/>
    </row>
    <row r="240" spans="9:23" ht="10.199999999999999" x14ac:dyDescent="0.3">
      <c r="I240" s="131"/>
      <c r="J240" s="380"/>
      <c r="K240" s="380"/>
      <c r="L240" s="380"/>
      <c r="M240" s="403"/>
      <c r="N240" s="404"/>
      <c r="O240" s="384"/>
      <c r="P240" s="383"/>
      <c r="Q240" s="408"/>
      <c r="R240" s="411"/>
      <c r="S240" s="396"/>
      <c r="T240" s="399"/>
      <c r="U240" s="387"/>
      <c r="V240" s="390"/>
      <c r="W240" s="393"/>
    </row>
    <row r="241" spans="9:23" ht="10.199999999999999" x14ac:dyDescent="0.3">
      <c r="I241" s="131"/>
      <c r="J241" s="380"/>
      <c r="K241" s="380"/>
      <c r="L241" s="380"/>
      <c r="M241" s="403"/>
      <c r="N241" s="404"/>
      <c r="O241" s="384"/>
      <c r="P241" s="383"/>
      <c r="Q241" s="408"/>
      <c r="R241" s="411"/>
      <c r="S241" s="396"/>
      <c r="T241" s="399"/>
      <c r="U241" s="387"/>
      <c r="V241" s="390"/>
      <c r="W241" s="393"/>
    </row>
    <row r="242" spans="9:23" ht="10.199999999999999" x14ac:dyDescent="0.3">
      <c r="I242" s="131"/>
      <c r="J242" s="380"/>
      <c r="K242" s="380"/>
      <c r="L242" s="380"/>
      <c r="M242" s="403"/>
      <c r="N242" s="404"/>
      <c r="O242" s="384"/>
      <c r="P242" s="383"/>
      <c r="Q242" s="408"/>
      <c r="R242" s="411"/>
      <c r="S242" s="396"/>
      <c r="T242" s="399"/>
      <c r="U242" s="387"/>
      <c r="V242" s="390"/>
      <c r="W242" s="393"/>
    </row>
    <row r="243" spans="9:23" ht="10.199999999999999" x14ac:dyDescent="0.3">
      <c r="I243" s="131"/>
      <c r="J243" s="380"/>
      <c r="K243" s="380"/>
      <c r="L243" s="380"/>
      <c r="M243" s="403"/>
      <c r="N243" s="404"/>
      <c r="O243" s="384"/>
      <c r="P243" s="383"/>
      <c r="Q243" s="408"/>
      <c r="R243" s="411"/>
      <c r="S243" s="396"/>
      <c r="T243" s="399"/>
      <c r="U243" s="387"/>
      <c r="V243" s="390"/>
      <c r="W243" s="393"/>
    </row>
    <row r="244" spans="9:23" ht="10.199999999999999" x14ac:dyDescent="0.3">
      <c r="I244" s="131"/>
      <c r="J244" s="380"/>
      <c r="K244" s="380"/>
      <c r="L244" s="380"/>
      <c r="M244" s="403"/>
      <c r="N244" s="404"/>
      <c r="O244" s="384"/>
      <c r="P244" s="383"/>
      <c r="Q244" s="408"/>
      <c r="R244" s="411"/>
      <c r="S244" s="396"/>
      <c r="T244" s="399"/>
      <c r="U244" s="387"/>
      <c r="V244" s="390"/>
      <c r="W244" s="393"/>
    </row>
    <row r="245" spans="9:23" ht="10.199999999999999" x14ac:dyDescent="0.3">
      <c r="I245" s="131"/>
      <c r="J245" s="380"/>
      <c r="K245" s="380"/>
      <c r="L245" s="380"/>
      <c r="M245" s="403"/>
      <c r="N245" s="404"/>
      <c r="O245" s="384"/>
      <c r="P245" s="383"/>
      <c r="Q245" s="408"/>
      <c r="R245" s="411"/>
      <c r="S245" s="396"/>
      <c r="T245" s="399"/>
      <c r="U245" s="387"/>
      <c r="V245" s="390"/>
      <c r="W245" s="393"/>
    </row>
    <row r="246" spans="9:23" ht="10.199999999999999" x14ac:dyDescent="0.3">
      <c r="I246" s="131"/>
      <c r="J246" s="380"/>
      <c r="K246" s="380"/>
      <c r="L246" s="380"/>
      <c r="M246" s="403"/>
      <c r="N246" s="404"/>
      <c r="O246" s="384"/>
      <c r="P246" s="383"/>
      <c r="Q246" s="408"/>
      <c r="R246" s="411"/>
      <c r="S246" s="396"/>
      <c r="T246" s="399"/>
      <c r="U246" s="387"/>
      <c r="V246" s="390"/>
      <c r="W246" s="393"/>
    </row>
    <row r="247" spans="9:23" ht="10.199999999999999" x14ac:dyDescent="0.3">
      <c r="I247" s="131"/>
      <c r="J247" s="380"/>
      <c r="K247" s="380"/>
      <c r="L247" s="380"/>
      <c r="M247" s="403"/>
      <c r="N247" s="404"/>
      <c r="O247" s="384"/>
      <c r="P247" s="383"/>
      <c r="Q247" s="408"/>
      <c r="R247" s="411"/>
      <c r="S247" s="396"/>
      <c r="T247" s="399"/>
      <c r="U247" s="387"/>
      <c r="V247" s="390"/>
      <c r="W247" s="393"/>
    </row>
    <row r="248" spans="9:23" ht="10.199999999999999" x14ac:dyDescent="0.3">
      <c r="I248" s="131"/>
      <c r="J248" s="380"/>
      <c r="K248" s="380"/>
      <c r="L248" s="380"/>
      <c r="M248" s="403"/>
      <c r="N248" s="404"/>
      <c r="O248" s="384"/>
      <c r="P248" s="383"/>
      <c r="Q248" s="408"/>
      <c r="R248" s="411"/>
      <c r="S248" s="396"/>
      <c r="T248" s="399"/>
      <c r="U248" s="387"/>
      <c r="V248" s="390"/>
      <c r="W248" s="393"/>
    </row>
    <row r="249" spans="9:23" ht="10.199999999999999" x14ac:dyDescent="0.3">
      <c r="I249" s="131"/>
      <c r="J249" s="380"/>
      <c r="K249" s="380"/>
      <c r="L249" s="380"/>
      <c r="M249" s="403"/>
      <c r="N249" s="404"/>
      <c r="O249" s="384"/>
      <c r="P249" s="383"/>
      <c r="Q249" s="408"/>
      <c r="R249" s="411"/>
      <c r="S249" s="396"/>
      <c r="T249" s="399"/>
      <c r="U249" s="387"/>
      <c r="V249" s="390"/>
      <c r="W249" s="393"/>
    </row>
    <row r="250" spans="9:23" ht="10.199999999999999" x14ac:dyDescent="0.3">
      <c r="I250" s="131"/>
      <c r="J250" s="380"/>
      <c r="K250" s="380"/>
      <c r="L250" s="380"/>
      <c r="M250" s="403"/>
      <c r="N250" s="404"/>
      <c r="O250" s="384"/>
      <c r="P250" s="383"/>
      <c r="Q250" s="408"/>
      <c r="R250" s="411"/>
      <c r="S250" s="396"/>
      <c r="T250" s="399"/>
      <c r="U250" s="387"/>
      <c r="V250" s="390"/>
      <c r="W250" s="393"/>
    </row>
    <row r="251" spans="9:23" ht="10.199999999999999" x14ac:dyDescent="0.3">
      <c r="I251" s="131"/>
      <c r="J251" s="380"/>
      <c r="K251" s="380"/>
      <c r="L251" s="380"/>
      <c r="M251" s="403"/>
      <c r="N251" s="404"/>
      <c r="O251" s="384"/>
      <c r="P251" s="383"/>
      <c r="Q251" s="408"/>
      <c r="R251" s="411"/>
      <c r="S251" s="396"/>
      <c r="T251" s="399"/>
      <c r="U251" s="387"/>
      <c r="V251" s="390"/>
      <c r="W251" s="393"/>
    </row>
    <row r="252" spans="9:23" ht="10.199999999999999" x14ac:dyDescent="0.3">
      <c r="I252" s="131"/>
      <c r="J252" s="380"/>
      <c r="K252" s="380"/>
      <c r="L252" s="380"/>
      <c r="M252" s="403"/>
      <c r="N252" s="404"/>
      <c r="O252" s="384"/>
      <c r="P252" s="383"/>
      <c r="Q252" s="408"/>
      <c r="R252" s="411"/>
      <c r="S252" s="396"/>
      <c r="T252" s="399"/>
      <c r="U252" s="387"/>
      <c r="V252" s="390"/>
      <c r="W252" s="393"/>
    </row>
    <row r="253" spans="9:23" ht="10.199999999999999" x14ac:dyDescent="0.3">
      <c r="I253" s="131"/>
      <c r="J253" s="380"/>
      <c r="K253" s="380"/>
      <c r="L253" s="380"/>
      <c r="M253" s="403"/>
      <c r="N253" s="404"/>
      <c r="O253" s="384"/>
      <c r="P253" s="383"/>
      <c r="Q253" s="408"/>
      <c r="R253" s="411"/>
      <c r="S253" s="396"/>
      <c r="T253" s="399"/>
      <c r="U253" s="387"/>
      <c r="V253" s="390"/>
      <c r="W253" s="393"/>
    </row>
    <row r="254" spans="9:23" ht="10.199999999999999" x14ac:dyDescent="0.3">
      <c r="I254" s="131"/>
      <c r="J254" s="380"/>
      <c r="K254" s="380"/>
      <c r="L254" s="380"/>
      <c r="M254" s="403"/>
      <c r="N254" s="404"/>
      <c r="O254" s="384"/>
      <c r="P254" s="383"/>
      <c r="Q254" s="408"/>
      <c r="R254" s="411"/>
      <c r="S254" s="396"/>
      <c r="T254" s="399"/>
      <c r="U254" s="387"/>
      <c r="V254" s="390"/>
      <c r="W254" s="393"/>
    </row>
    <row r="255" spans="9:23" ht="10.199999999999999" x14ac:dyDescent="0.3">
      <c r="I255" s="131"/>
      <c r="J255" s="380"/>
      <c r="K255" s="380"/>
      <c r="L255" s="380"/>
      <c r="M255" s="403"/>
      <c r="N255" s="404"/>
      <c r="O255" s="384"/>
      <c r="P255" s="383"/>
      <c r="Q255" s="408"/>
      <c r="R255" s="411"/>
      <c r="S255" s="396"/>
      <c r="T255" s="399"/>
      <c r="U255" s="387"/>
      <c r="V255" s="390"/>
      <c r="W255" s="393"/>
    </row>
    <row r="256" spans="9:23" ht="10.199999999999999" x14ac:dyDescent="0.3">
      <c r="I256" s="131"/>
      <c r="J256" s="380"/>
      <c r="K256" s="380"/>
      <c r="L256" s="380"/>
      <c r="M256" s="403"/>
      <c r="N256" s="404"/>
      <c r="O256" s="384"/>
      <c r="P256" s="383"/>
      <c r="Q256" s="408"/>
      <c r="R256" s="411"/>
      <c r="S256" s="396"/>
      <c r="T256" s="399"/>
      <c r="U256" s="387"/>
      <c r="V256" s="390"/>
      <c r="W256" s="393"/>
    </row>
    <row r="257" spans="9:23" ht="10.199999999999999" x14ac:dyDescent="0.3">
      <c r="I257" s="131"/>
      <c r="J257" s="380"/>
      <c r="K257" s="380"/>
      <c r="L257" s="380"/>
      <c r="M257" s="403"/>
      <c r="N257" s="404"/>
      <c r="O257" s="384"/>
      <c r="P257" s="383"/>
      <c r="Q257" s="408"/>
      <c r="R257" s="411"/>
      <c r="S257" s="396"/>
      <c r="T257" s="399"/>
      <c r="U257" s="387"/>
      <c r="V257" s="390"/>
      <c r="W257" s="393"/>
    </row>
    <row r="258" spans="9:23" ht="10.199999999999999" x14ac:dyDescent="0.3">
      <c r="I258" s="131"/>
      <c r="J258" s="380"/>
      <c r="K258" s="380"/>
      <c r="L258" s="380"/>
      <c r="M258" s="403"/>
      <c r="N258" s="404"/>
      <c r="O258" s="384"/>
      <c r="P258" s="383"/>
      <c r="Q258" s="408"/>
      <c r="R258" s="411"/>
      <c r="S258" s="396"/>
      <c r="T258" s="399"/>
      <c r="U258" s="387"/>
      <c r="V258" s="390"/>
      <c r="W258" s="393"/>
    </row>
    <row r="259" spans="9:23" ht="10.199999999999999" x14ac:dyDescent="0.3">
      <c r="I259" s="131"/>
      <c r="J259" s="380"/>
      <c r="K259" s="380"/>
      <c r="L259" s="380"/>
      <c r="M259" s="403"/>
      <c r="N259" s="404"/>
      <c r="O259" s="384"/>
      <c r="P259" s="383"/>
      <c r="Q259" s="408"/>
      <c r="R259" s="411"/>
      <c r="S259" s="396"/>
      <c r="T259" s="399"/>
      <c r="U259" s="387"/>
      <c r="V259" s="390"/>
      <c r="W259" s="393"/>
    </row>
    <row r="260" spans="9:23" ht="10.199999999999999" x14ac:dyDescent="0.3">
      <c r="I260" s="131"/>
      <c r="J260" s="380"/>
      <c r="K260" s="380"/>
      <c r="L260" s="380"/>
      <c r="M260" s="403"/>
      <c r="N260" s="404"/>
      <c r="O260" s="384"/>
      <c r="P260" s="383"/>
      <c r="Q260" s="408"/>
      <c r="R260" s="411"/>
      <c r="S260" s="396"/>
      <c r="T260" s="399"/>
      <c r="U260" s="387"/>
      <c r="V260" s="390"/>
      <c r="W260" s="393"/>
    </row>
    <row r="261" spans="9:23" ht="10.199999999999999" x14ac:dyDescent="0.3">
      <c r="I261" s="131"/>
      <c r="J261" s="380"/>
      <c r="K261" s="380"/>
      <c r="L261" s="380"/>
      <c r="M261" s="403"/>
      <c r="N261" s="404"/>
      <c r="O261" s="384"/>
      <c r="P261" s="383"/>
      <c r="Q261" s="408"/>
      <c r="R261" s="411"/>
      <c r="S261" s="396"/>
      <c r="T261" s="399"/>
      <c r="U261" s="387"/>
      <c r="V261" s="390"/>
      <c r="W261" s="393"/>
    </row>
    <row r="262" spans="9:23" ht="10.199999999999999" x14ac:dyDescent="0.3">
      <c r="I262" s="131"/>
      <c r="J262" s="380"/>
      <c r="K262" s="380"/>
      <c r="L262" s="380"/>
      <c r="M262" s="403"/>
      <c r="N262" s="404"/>
      <c r="O262" s="384"/>
      <c r="P262" s="383"/>
      <c r="Q262" s="408"/>
      <c r="R262" s="411"/>
      <c r="S262" s="396"/>
      <c r="T262" s="399"/>
      <c r="U262" s="387"/>
      <c r="V262" s="390"/>
      <c r="W262" s="393"/>
    </row>
    <row r="263" spans="9:23" ht="10.199999999999999" x14ac:dyDescent="0.3">
      <c r="I263" s="131"/>
      <c r="J263" s="380"/>
      <c r="K263" s="380"/>
      <c r="L263" s="380"/>
      <c r="M263" s="403"/>
      <c r="N263" s="404"/>
      <c r="O263" s="384"/>
      <c r="P263" s="383"/>
      <c r="Q263" s="408"/>
      <c r="R263" s="411"/>
      <c r="S263" s="396"/>
      <c r="T263" s="399"/>
      <c r="U263" s="387"/>
      <c r="V263" s="390"/>
      <c r="W263" s="393"/>
    </row>
    <row r="264" spans="9:23" ht="10.199999999999999" x14ac:dyDescent="0.3">
      <c r="I264" s="131"/>
      <c r="J264" s="380"/>
      <c r="K264" s="380"/>
      <c r="L264" s="380"/>
      <c r="M264" s="403"/>
      <c r="N264" s="404"/>
      <c r="O264" s="384"/>
      <c r="P264" s="383"/>
      <c r="Q264" s="408"/>
      <c r="R264" s="411"/>
      <c r="S264" s="396"/>
      <c r="T264" s="399"/>
      <c r="U264" s="387"/>
      <c r="V264" s="390"/>
      <c r="W264" s="393"/>
    </row>
    <row r="265" spans="9:23" ht="10.199999999999999" x14ac:dyDescent="0.3">
      <c r="I265" s="131"/>
      <c r="J265" s="380"/>
      <c r="K265" s="380"/>
      <c r="L265" s="380"/>
      <c r="M265" s="403"/>
      <c r="N265" s="404"/>
      <c r="O265" s="384"/>
      <c r="P265" s="383"/>
      <c r="Q265" s="408"/>
      <c r="R265" s="411"/>
      <c r="S265" s="396"/>
      <c r="T265" s="399"/>
      <c r="U265" s="387"/>
      <c r="V265" s="390"/>
      <c r="W265" s="393"/>
    </row>
    <row r="266" spans="9:23" ht="10.199999999999999" x14ac:dyDescent="0.3">
      <c r="I266" s="131"/>
      <c r="J266" s="380"/>
      <c r="K266" s="380"/>
      <c r="L266" s="380"/>
      <c r="M266" s="403"/>
      <c r="N266" s="404"/>
      <c r="O266" s="384"/>
      <c r="P266" s="383"/>
      <c r="Q266" s="408"/>
      <c r="R266" s="411"/>
      <c r="S266" s="396"/>
      <c r="T266" s="399"/>
      <c r="U266" s="387"/>
      <c r="V266" s="390"/>
      <c r="W266" s="393"/>
    </row>
    <row r="267" spans="9:23" ht="10.199999999999999" x14ac:dyDescent="0.3">
      <c r="I267" s="131"/>
      <c r="J267" s="380"/>
      <c r="K267" s="380"/>
      <c r="L267" s="380"/>
      <c r="M267" s="403"/>
      <c r="N267" s="404"/>
      <c r="O267" s="384"/>
      <c r="P267" s="383"/>
      <c r="Q267" s="408"/>
      <c r="R267" s="411"/>
      <c r="S267" s="396"/>
      <c r="T267" s="399"/>
      <c r="U267" s="387"/>
      <c r="V267" s="390"/>
      <c r="W267" s="393"/>
    </row>
    <row r="268" spans="9:23" ht="10.199999999999999" x14ac:dyDescent="0.3">
      <c r="I268" s="131"/>
      <c r="J268" s="380"/>
      <c r="K268" s="380"/>
      <c r="L268" s="380"/>
      <c r="M268" s="403"/>
      <c r="N268" s="404"/>
      <c r="O268" s="384"/>
      <c r="P268" s="383"/>
      <c r="Q268" s="408"/>
      <c r="R268" s="411"/>
      <c r="S268" s="396"/>
      <c r="T268" s="399"/>
      <c r="U268" s="387"/>
      <c r="V268" s="390"/>
      <c r="W268" s="393"/>
    </row>
    <row r="269" spans="9:23" ht="10.199999999999999" x14ac:dyDescent="0.3">
      <c r="I269" s="131"/>
      <c r="J269" s="380"/>
      <c r="K269" s="380"/>
      <c r="L269" s="380"/>
      <c r="M269" s="403"/>
      <c r="N269" s="404"/>
      <c r="O269" s="384"/>
      <c r="P269" s="383"/>
      <c r="Q269" s="408"/>
      <c r="R269" s="411"/>
      <c r="S269" s="396"/>
      <c r="T269" s="399"/>
      <c r="U269" s="387"/>
      <c r="V269" s="390"/>
      <c r="W269" s="393"/>
    </row>
    <row r="270" spans="9:23" ht="10.199999999999999" x14ac:dyDescent="0.3">
      <c r="I270" s="131"/>
      <c r="J270" s="380"/>
      <c r="K270" s="380"/>
      <c r="L270" s="380"/>
      <c r="M270" s="403"/>
      <c r="N270" s="404"/>
      <c r="O270" s="384"/>
      <c r="P270" s="383"/>
      <c r="Q270" s="408"/>
      <c r="R270" s="411"/>
      <c r="S270" s="396"/>
      <c r="T270" s="399"/>
      <c r="U270" s="387"/>
      <c r="V270" s="390"/>
      <c r="W270" s="393"/>
    </row>
    <row r="271" spans="9:23" ht="10.199999999999999" x14ac:dyDescent="0.3">
      <c r="I271" s="131"/>
      <c r="J271" s="380"/>
      <c r="K271" s="380"/>
      <c r="L271" s="380"/>
      <c r="M271" s="403"/>
      <c r="N271" s="404"/>
      <c r="O271" s="384"/>
      <c r="P271" s="383"/>
      <c r="Q271" s="408"/>
      <c r="R271" s="411"/>
      <c r="S271" s="396"/>
      <c r="T271" s="399"/>
      <c r="U271" s="387"/>
      <c r="V271" s="390"/>
      <c r="W271" s="393"/>
    </row>
    <row r="272" spans="9:23" ht="10.199999999999999" x14ac:dyDescent="0.3">
      <c r="I272" s="131"/>
      <c r="J272" s="380"/>
      <c r="K272" s="380"/>
      <c r="L272" s="380"/>
      <c r="M272" s="403"/>
      <c r="N272" s="404"/>
      <c r="O272" s="384"/>
      <c r="P272" s="383"/>
      <c r="Q272" s="408"/>
      <c r="R272" s="411"/>
      <c r="S272" s="396"/>
      <c r="T272" s="399"/>
      <c r="U272" s="387"/>
      <c r="V272" s="390"/>
      <c r="W272" s="393"/>
    </row>
    <row r="273" spans="9:23" ht="10.199999999999999" x14ac:dyDescent="0.3">
      <c r="I273" s="131"/>
      <c r="J273" s="380"/>
      <c r="K273" s="380"/>
      <c r="L273" s="380"/>
      <c r="M273" s="403"/>
      <c r="N273" s="404"/>
      <c r="O273" s="384"/>
      <c r="P273" s="383"/>
      <c r="Q273" s="408"/>
      <c r="R273" s="411"/>
      <c r="S273" s="396"/>
      <c r="T273" s="399"/>
      <c r="U273" s="387"/>
      <c r="V273" s="390"/>
      <c r="W273" s="393"/>
    </row>
    <row r="274" spans="9:23" ht="10.199999999999999" x14ac:dyDescent="0.3">
      <c r="I274" s="131"/>
      <c r="J274" s="380"/>
      <c r="K274" s="380"/>
      <c r="L274" s="380"/>
      <c r="M274" s="403"/>
      <c r="N274" s="404"/>
      <c r="O274" s="384"/>
      <c r="P274" s="383"/>
      <c r="Q274" s="408"/>
      <c r="R274" s="411"/>
      <c r="S274" s="396"/>
      <c r="T274" s="399"/>
      <c r="U274" s="387"/>
      <c r="V274" s="390"/>
      <c r="W274" s="393"/>
    </row>
    <row r="275" spans="9:23" ht="10.199999999999999" x14ac:dyDescent="0.3">
      <c r="I275" s="131"/>
      <c r="J275" s="380"/>
      <c r="K275" s="380"/>
      <c r="L275" s="380"/>
      <c r="M275" s="403"/>
      <c r="N275" s="404"/>
      <c r="O275" s="384"/>
      <c r="P275" s="383"/>
      <c r="Q275" s="408"/>
      <c r="R275" s="411"/>
      <c r="S275" s="396"/>
      <c r="T275" s="399"/>
      <c r="U275" s="387"/>
      <c r="V275" s="390"/>
      <c r="W275" s="393"/>
    </row>
    <row r="276" spans="9:23" ht="10.199999999999999" x14ac:dyDescent="0.3">
      <c r="I276" s="131"/>
      <c r="J276" s="380"/>
      <c r="K276" s="380"/>
      <c r="L276" s="380"/>
      <c r="M276" s="403"/>
      <c r="N276" s="404"/>
      <c r="O276" s="384"/>
      <c r="P276" s="383"/>
      <c r="Q276" s="408"/>
      <c r="R276" s="411"/>
      <c r="S276" s="396"/>
      <c r="T276" s="399"/>
      <c r="U276" s="387"/>
      <c r="V276" s="390"/>
      <c r="W276" s="393"/>
    </row>
    <row r="277" spans="9:23" ht="10.199999999999999" x14ac:dyDescent="0.3">
      <c r="I277" s="131"/>
      <c r="J277" s="380"/>
      <c r="K277" s="380"/>
      <c r="L277" s="380"/>
      <c r="M277" s="403"/>
      <c r="N277" s="404"/>
      <c r="O277" s="384"/>
      <c r="P277" s="383"/>
      <c r="Q277" s="408"/>
      <c r="R277" s="411"/>
      <c r="S277" s="396"/>
      <c r="T277" s="399"/>
      <c r="U277" s="387"/>
      <c r="V277" s="390"/>
      <c r="W277" s="393"/>
    </row>
    <row r="278" spans="9:23" ht="10.199999999999999" x14ac:dyDescent="0.3">
      <c r="I278" s="131"/>
      <c r="J278" s="380"/>
      <c r="K278" s="380"/>
      <c r="L278" s="380"/>
      <c r="M278" s="403"/>
      <c r="N278" s="404"/>
      <c r="O278" s="384"/>
      <c r="P278" s="383"/>
      <c r="Q278" s="408"/>
      <c r="R278" s="411"/>
      <c r="S278" s="396"/>
      <c r="T278" s="399"/>
      <c r="U278" s="387"/>
      <c r="V278" s="390"/>
      <c r="W278" s="393"/>
    </row>
    <row r="279" spans="9:23" ht="10.199999999999999" x14ac:dyDescent="0.3">
      <c r="I279" s="131"/>
      <c r="J279" s="380"/>
      <c r="K279" s="380"/>
      <c r="L279" s="380"/>
      <c r="M279" s="403"/>
      <c r="N279" s="404"/>
      <c r="O279" s="384"/>
      <c r="P279" s="383"/>
      <c r="Q279" s="408"/>
      <c r="R279" s="411"/>
      <c r="S279" s="396"/>
      <c r="T279" s="399"/>
      <c r="U279" s="387"/>
      <c r="V279" s="390"/>
      <c r="W279" s="393"/>
    </row>
    <row r="280" spans="9:23" ht="10.199999999999999" x14ac:dyDescent="0.3">
      <c r="I280" s="131"/>
      <c r="J280" s="380"/>
      <c r="K280" s="380"/>
      <c r="L280" s="380"/>
      <c r="M280" s="403"/>
      <c r="N280" s="404"/>
      <c r="O280" s="384"/>
      <c r="P280" s="383"/>
      <c r="Q280" s="408"/>
      <c r="R280" s="411"/>
      <c r="S280" s="396"/>
      <c r="T280" s="399"/>
      <c r="U280" s="387"/>
      <c r="V280" s="390"/>
      <c r="W280" s="393"/>
    </row>
    <row r="281" spans="9:23" ht="10.199999999999999" x14ac:dyDescent="0.3">
      <c r="I281" s="131"/>
      <c r="J281" s="380"/>
      <c r="K281" s="380"/>
      <c r="L281" s="380"/>
      <c r="M281" s="403"/>
      <c r="N281" s="404"/>
      <c r="O281" s="384"/>
      <c r="P281" s="383"/>
      <c r="Q281" s="408"/>
      <c r="R281" s="411"/>
      <c r="S281" s="396"/>
      <c r="T281" s="399"/>
      <c r="U281" s="387"/>
      <c r="V281" s="390"/>
      <c r="W281" s="393"/>
    </row>
    <row r="282" spans="9:23" ht="10.199999999999999" x14ac:dyDescent="0.3">
      <c r="I282" s="131"/>
      <c r="J282" s="380"/>
      <c r="K282" s="380"/>
      <c r="L282" s="380"/>
      <c r="M282" s="403"/>
      <c r="N282" s="404"/>
      <c r="O282" s="384"/>
      <c r="P282" s="383"/>
      <c r="Q282" s="408"/>
      <c r="R282" s="411"/>
      <c r="S282" s="396"/>
      <c r="T282" s="399"/>
      <c r="U282" s="387"/>
      <c r="V282" s="390"/>
      <c r="W282" s="393"/>
    </row>
    <row r="283" spans="9:23" ht="10.199999999999999" x14ac:dyDescent="0.3">
      <c r="I283" s="131"/>
      <c r="J283" s="380"/>
      <c r="K283" s="380"/>
      <c r="L283" s="380"/>
      <c r="M283" s="403"/>
      <c r="N283" s="404"/>
      <c r="O283" s="384"/>
      <c r="P283" s="383"/>
      <c r="Q283" s="408"/>
      <c r="R283" s="411"/>
      <c r="S283" s="396"/>
      <c r="T283" s="399"/>
      <c r="U283" s="387"/>
      <c r="V283" s="390"/>
      <c r="W283" s="393"/>
    </row>
    <row r="284" spans="9:23" ht="10.199999999999999" x14ac:dyDescent="0.3">
      <c r="I284" s="131"/>
      <c r="J284" s="380"/>
      <c r="K284" s="380"/>
      <c r="L284" s="380"/>
      <c r="M284" s="403"/>
      <c r="N284" s="404"/>
      <c r="O284" s="384"/>
      <c r="P284" s="383"/>
      <c r="Q284" s="408"/>
      <c r="R284" s="411"/>
      <c r="S284" s="396"/>
      <c r="T284" s="399"/>
      <c r="U284" s="387"/>
      <c r="V284" s="390"/>
      <c r="W284" s="393"/>
    </row>
    <row r="285" spans="9:23" ht="10.199999999999999" x14ac:dyDescent="0.3">
      <c r="I285" s="131"/>
      <c r="J285" s="380"/>
      <c r="K285" s="380"/>
      <c r="L285" s="380"/>
      <c r="M285" s="403"/>
      <c r="N285" s="404"/>
      <c r="O285" s="384"/>
      <c r="P285" s="383"/>
      <c r="Q285" s="408"/>
      <c r="R285" s="411"/>
      <c r="S285" s="396"/>
      <c r="T285" s="399"/>
      <c r="U285" s="387"/>
      <c r="V285" s="390"/>
      <c r="W285" s="393"/>
    </row>
    <row r="286" spans="9:23" ht="10.199999999999999" x14ac:dyDescent="0.3">
      <c r="I286" s="131"/>
      <c r="J286" s="380"/>
      <c r="K286" s="380"/>
      <c r="L286" s="380"/>
      <c r="M286" s="403"/>
      <c r="N286" s="404"/>
      <c r="O286" s="384"/>
      <c r="P286" s="383"/>
      <c r="Q286" s="408"/>
      <c r="R286" s="411"/>
      <c r="S286" s="396"/>
      <c r="T286" s="399"/>
      <c r="U286" s="387"/>
      <c r="V286" s="390"/>
      <c r="W286" s="393"/>
    </row>
    <row r="287" spans="9:23" ht="10.199999999999999" x14ac:dyDescent="0.3">
      <c r="I287" s="131"/>
      <c r="J287" s="380"/>
      <c r="K287" s="380"/>
      <c r="L287" s="380"/>
      <c r="M287" s="403"/>
      <c r="N287" s="404"/>
      <c r="O287" s="384"/>
      <c r="P287" s="383"/>
      <c r="Q287" s="408"/>
      <c r="R287" s="411"/>
      <c r="S287" s="396"/>
      <c r="T287" s="399"/>
      <c r="U287" s="387"/>
      <c r="V287" s="390"/>
      <c r="W287" s="393"/>
    </row>
    <row r="288" spans="9:23" ht="10.199999999999999" x14ac:dyDescent="0.3">
      <c r="I288" s="131"/>
      <c r="J288" s="380"/>
      <c r="K288" s="380"/>
      <c r="L288" s="380"/>
      <c r="M288" s="403"/>
      <c r="N288" s="404"/>
      <c r="O288" s="384"/>
      <c r="P288" s="383"/>
      <c r="Q288" s="408"/>
      <c r="R288" s="411"/>
      <c r="S288" s="396"/>
      <c r="T288" s="399"/>
      <c r="U288" s="387"/>
      <c r="V288" s="390"/>
      <c r="W288" s="393"/>
    </row>
    <row r="289" spans="9:23" ht="10.199999999999999" x14ac:dyDescent="0.3">
      <c r="I289" s="131"/>
      <c r="J289" s="380"/>
      <c r="K289" s="380"/>
      <c r="L289" s="380"/>
      <c r="M289" s="403"/>
      <c r="N289" s="404"/>
      <c r="O289" s="384"/>
      <c r="P289" s="383"/>
      <c r="Q289" s="408"/>
      <c r="R289" s="411"/>
      <c r="S289" s="396"/>
      <c r="T289" s="399"/>
      <c r="U289" s="387"/>
      <c r="V289" s="390"/>
      <c r="W289" s="393"/>
    </row>
    <row r="290" spans="9:23" ht="10.199999999999999" x14ac:dyDescent="0.3">
      <c r="I290" s="131"/>
      <c r="J290" s="380"/>
      <c r="K290" s="380"/>
      <c r="L290" s="380"/>
      <c r="M290" s="403"/>
      <c r="N290" s="404"/>
      <c r="O290" s="384"/>
      <c r="P290" s="383"/>
      <c r="Q290" s="408"/>
      <c r="R290" s="411"/>
      <c r="S290" s="396"/>
      <c r="T290" s="399"/>
      <c r="U290" s="387"/>
      <c r="V290" s="390"/>
      <c r="W290" s="393"/>
    </row>
    <row r="291" spans="9:23" ht="10.199999999999999" x14ac:dyDescent="0.3">
      <c r="I291" s="131"/>
      <c r="J291" s="380"/>
      <c r="K291" s="380"/>
      <c r="L291" s="380"/>
      <c r="M291" s="403"/>
      <c r="N291" s="404"/>
      <c r="O291" s="384"/>
      <c r="P291" s="383"/>
      <c r="Q291" s="408"/>
      <c r="R291" s="411"/>
      <c r="S291" s="396"/>
      <c r="T291" s="399"/>
      <c r="U291" s="387"/>
      <c r="V291" s="390"/>
      <c r="W291" s="393"/>
    </row>
    <row r="292" spans="9:23" ht="10.199999999999999" x14ac:dyDescent="0.3">
      <c r="I292" s="131"/>
      <c r="J292" s="380"/>
      <c r="K292" s="380"/>
      <c r="L292" s="380"/>
      <c r="M292" s="403"/>
      <c r="N292" s="404"/>
      <c r="O292" s="384"/>
      <c r="P292" s="383"/>
      <c r="Q292" s="408"/>
      <c r="R292" s="411"/>
      <c r="S292" s="396"/>
      <c r="T292" s="399"/>
      <c r="U292" s="387"/>
      <c r="V292" s="390"/>
      <c r="W292" s="393"/>
    </row>
    <row r="293" spans="9:23" ht="10.199999999999999" x14ac:dyDescent="0.3">
      <c r="I293" s="131"/>
      <c r="J293" s="380"/>
      <c r="K293" s="380"/>
      <c r="L293" s="380"/>
      <c r="M293" s="403"/>
      <c r="N293" s="404"/>
      <c r="O293" s="384"/>
      <c r="P293" s="383"/>
      <c r="Q293" s="408"/>
      <c r="R293" s="411"/>
      <c r="S293" s="396"/>
      <c r="T293" s="399"/>
      <c r="U293" s="387"/>
      <c r="V293" s="390"/>
      <c r="W293" s="393"/>
    </row>
    <row r="294" spans="9:23" ht="10.199999999999999" x14ac:dyDescent="0.3">
      <c r="I294" s="131"/>
      <c r="J294" s="380"/>
      <c r="K294" s="380"/>
      <c r="L294" s="380"/>
      <c r="M294" s="403"/>
      <c r="N294" s="404"/>
      <c r="O294" s="384"/>
      <c r="P294" s="383"/>
      <c r="Q294" s="408"/>
      <c r="R294" s="411"/>
      <c r="S294" s="396"/>
      <c r="T294" s="399"/>
      <c r="U294" s="387"/>
      <c r="V294" s="390"/>
      <c r="W294" s="393"/>
    </row>
    <row r="295" spans="9:23" ht="10.199999999999999" x14ac:dyDescent="0.3">
      <c r="I295" s="131"/>
      <c r="J295" s="380"/>
      <c r="K295" s="380"/>
      <c r="L295" s="380"/>
      <c r="M295" s="403"/>
      <c r="N295" s="404"/>
      <c r="O295" s="384"/>
      <c r="P295" s="383"/>
      <c r="Q295" s="408"/>
      <c r="R295" s="411"/>
      <c r="S295" s="396"/>
      <c r="T295" s="399"/>
      <c r="U295" s="387"/>
      <c r="V295" s="390"/>
      <c r="W295" s="393"/>
    </row>
    <row r="296" spans="9:23" ht="10.199999999999999" x14ac:dyDescent="0.3">
      <c r="I296" s="131"/>
      <c r="J296" s="380"/>
      <c r="K296" s="380"/>
      <c r="L296" s="380"/>
      <c r="M296" s="403"/>
      <c r="N296" s="404"/>
      <c r="O296" s="384"/>
      <c r="P296" s="383"/>
      <c r="Q296" s="408"/>
      <c r="R296" s="411"/>
      <c r="S296" s="396"/>
      <c r="T296" s="399"/>
      <c r="U296" s="387"/>
      <c r="V296" s="390"/>
      <c r="W296" s="393"/>
    </row>
    <row r="297" spans="9:23" ht="10.199999999999999" x14ac:dyDescent="0.3">
      <c r="I297" s="131"/>
      <c r="J297" s="380"/>
      <c r="K297" s="380"/>
      <c r="L297" s="380"/>
      <c r="M297" s="403"/>
      <c r="N297" s="404"/>
      <c r="O297" s="384"/>
      <c r="P297" s="383"/>
      <c r="Q297" s="408"/>
      <c r="R297" s="411"/>
      <c r="S297" s="396"/>
      <c r="T297" s="399"/>
      <c r="U297" s="387"/>
      <c r="V297" s="390"/>
      <c r="W297" s="393"/>
    </row>
    <row r="298" spans="9:23" ht="10.199999999999999" x14ac:dyDescent="0.3">
      <c r="I298" s="131"/>
      <c r="J298" s="380"/>
      <c r="K298" s="380"/>
      <c r="L298" s="380"/>
      <c r="M298" s="403"/>
      <c r="N298" s="404"/>
      <c r="O298" s="384"/>
      <c r="P298" s="383"/>
      <c r="Q298" s="408"/>
      <c r="R298" s="411"/>
      <c r="S298" s="396"/>
      <c r="T298" s="399"/>
      <c r="U298" s="387"/>
      <c r="V298" s="390"/>
      <c r="W298" s="393"/>
    </row>
    <row r="299" spans="9:23" ht="10.199999999999999" x14ac:dyDescent="0.3">
      <c r="I299" s="131"/>
      <c r="J299" s="380"/>
      <c r="K299" s="380"/>
      <c r="L299" s="380"/>
      <c r="M299" s="403"/>
      <c r="N299" s="404"/>
      <c r="O299" s="384"/>
      <c r="P299" s="383"/>
      <c r="Q299" s="408"/>
      <c r="R299" s="411"/>
      <c r="S299" s="396"/>
      <c r="T299" s="399"/>
      <c r="U299" s="387"/>
      <c r="V299" s="390"/>
      <c r="W299" s="393"/>
    </row>
    <row r="300" spans="9:23" ht="10.199999999999999" x14ac:dyDescent="0.3">
      <c r="I300" s="131"/>
      <c r="J300" s="380"/>
      <c r="K300" s="380"/>
      <c r="L300" s="380"/>
      <c r="M300" s="403"/>
      <c r="N300" s="404"/>
      <c r="O300" s="384"/>
      <c r="P300" s="383"/>
      <c r="Q300" s="408"/>
      <c r="R300" s="411"/>
      <c r="S300" s="396"/>
      <c r="T300" s="399"/>
      <c r="U300" s="387"/>
      <c r="V300" s="390"/>
      <c r="W300" s="393"/>
    </row>
    <row r="301" spans="9:23" ht="10.199999999999999" x14ac:dyDescent="0.3">
      <c r="I301" s="131"/>
      <c r="J301" s="380"/>
      <c r="K301" s="380"/>
      <c r="L301" s="380"/>
      <c r="M301" s="403"/>
      <c r="N301" s="404"/>
      <c r="O301" s="384"/>
      <c r="P301" s="383"/>
      <c r="Q301" s="408"/>
      <c r="R301" s="411"/>
      <c r="S301" s="396"/>
      <c r="T301" s="399"/>
      <c r="U301" s="387"/>
      <c r="V301" s="390"/>
      <c r="W301" s="393"/>
    </row>
    <row r="302" spans="9:23" ht="10.199999999999999" x14ac:dyDescent="0.3">
      <c r="I302" s="131"/>
      <c r="J302" s="380"/>
      <c r="K302" s="380"/>
      <c r="L302" s="380"/>
      <c r="M302" s="403"/>
      <c r="N302" s="404"/>
      <c r="O302" s="384"/>
      <c r="P302" s="383"/>
      <c r="Q302" s="408"/>
      <c r="R302" s="411"/>
      <c r="S302" s="396"/>
      <c r="T302" s="399"/>
      <c r="U302" s="387"/>
      <c r="V302" s="390"/>
      <c r="W302" s="393"/>
    </row>
    <row r="303" spans="9:23" ht="10.199999999999999" x14ac:dyDescent="0.3">
      <c r="I303" s="131"/>
      <c r="J303" s="380"/>
      <c r="K303" s="380"/>
      <c r="L303" s="380"/>
      <c r="M303" s="403"/>
      <c r="N303" s="404"/>
      <c r="O303" s="384"/>
      <c r="P303" s="383"/>
      <c r="Q303" s="408"/>
      <c r="R303" s="411"/>
      <c r="S303" s="396"/>
      <c r="T303" s="399"/>
      <c r="U303" s="387"/>
      <c r="V303" s="390"/>
      <c r="W303" s="393"/>
    </row>
    <row r="304" spans="9:23" ht="10.199999999999999" x14ac:dyDescent="0.3">
      <c r="I304" s="131"/>
      <c r="J304" s="380"/>
      <c r="K304" s="380"/>
      <c r="L304" s="380"/>
      <c r="M304" s="403"/>
      <c r="N304" s="404"/>
      <c r="O304" s="384"/>
      <c r="P304" s="383"/>
      <c r="Q304" s="408"/>
      <c r="R304" s="411"/>
      <c r="S304" s="396"/>
      <c r="T304" s="399"/>
      <c r="U304" s="387"/>
      <c r="V304" s="390"/>
      <c r="W304" s="393"/>
    </row>
    <row r="305" spans="9:23" ht="10.199999999999999" x14ac:dyDescent="0.3">
      <c r="I305" s="131"/>
      <c r="J305" s="380"/>
      <c r="K305" s="380"/>
      <c r="L305" s="380"/>
      <c r="M305" s="403"/>
      <c r="N305" s="404"/>
      <c r="O305" s="384"/>
      <c r="P305" s="383"/>
      <c r="Q305" s="408"/>
      <c r="R305" s="411"/>
      <c r="S305" s="396"/>
      <c r="T305" s="399"/>
      <c r="U305" s="387"/>
      <c r="V305" s="390"/>
      <c r="W305" s="393"/>
    </row>
    <row r="306" spans="9:23" ht="10.199999999999999" x14ac:dyDescent="0.3">
      <c r="I306" s="131"/>
      <c r="J306" s="380"/>
      <c r="K306" s="380"/>
      <c r="L306" s="380"/>
      <c r="M306" s="403"/>
      <c r="N306" s="404"/>
      <c r="O306" s="384"/>
      <c r="P306" s="383"/>
      <c r="Q306" s="408"/>
      <c r="R306" s="411"/>
      <c r="S306" s="396"/>
      <c r="T306" s="399"/>
      <c r="U306" s="387"/>
      <c r="V306" s="390"/>
      <c r="W306" s="393"/>
    </row>
    <row r="307" spans="9:23" ht="10.199999999999999" x14ac:dyDescent="0.3">
      <c r="I307" s="131"/>
      <c r="J307" s="380"/>
      <c r="K307" s="380"/>
      <c r="L307" s="380"/>
      <c r="M307" s="403"/>
      <c r="N307" s="404"/>
      <c r="O307" s="384"/>
      <c r="P307" s="383"/>
      <c r="Q307" s="408"/>
      <c r="R307" s="411"/>
      <c r="S307" s="396"/>
      <c r="T307" s="399"/>
      <c r="U307" s="387"/>
      <c r="V307" s="390"/>
      <c r="W307" s="393"/>
    </row>
    <row r="308" spans="9:23" ht="10.199999999999999" x14ac:dyDescent="0.3">
      <c r="I308" s="131"/>
      <c r="J308" s="380"/>
      <c r="K308" s="380"/>
      <c r="L308" s="380"/>
      <c r="M308" s="403"/>
      <c r="N308" s="404"/>
      <c r="O308" s="384"/>
      <c r="P308" s="383"/>
      <c r="Q308" s="408"/>
      <c r="R308" s="411"/>
      <c r="S308" s="396"/>
      <c r="T308" s="399"/>
      <c r="U308" s="387"/>
      <c r="V308" s="390"/>
      <c r="W308" s="393"/>
    </row>
    <row r="309" spans="9:23" ht="10.199999999999999" x14ac:dyDescent="0.3">
      <c r="I309" s="131"/>
      <c r="J309" s="380"/>
      <c r="K309" s="380"/>
      <c r="L309" s="380"/>
      <c r="M309" s="403"/>
      <c r="N309" s="404"/>
      <c r="O309" s="384"/>
      <c r="P309" s="383"/>
      <c r="Q309" s="408"/>
      <c r="R309" s="411"/>
      <c r="S309" s="396"/>
      <c r="T309" s="399"/>
      <c r="U309" s="387"/>
      <c r="V309" s="390"/>
      <c r="W309" s="393"/>
    </row>
    <row r="310" spans="9:23" ht="10.199999999999999" x14ac:dyDescent="0.3">
      <c r="I310" s="131"/>
      <c r="J310" s="380"/>
      <c r="K310" s="380"/>
      <c r="L310" s="380"/>
      <c r="M310" s="403"/>
      <c r="N310" s="404"/>
      <c r="O310" s="384"/>
      <c r="P310" s="383"/>
      <c r="Q310" s="408"/>
      <c r="R310" s="411"/>
      <c r="S310" s="396"/>
      <c r="T310" s="399"/>
      <c r="U310" s="387"/>
      <c r="V310" s="390"/>
      <c r="W310" s="393"/>
    </row>
    <row r="311" spans="9:23" ht="10.199999999999999" x14ac:dyDescent="0.3">
      <c r="I311" s="131"/>
      <c r="J311" s="380"/>
      <c r="K311" s="380"/>
      <c r="L311" s="380"/>
      <c r="M311" s="403"/>
      <c r="N311" s="404"/>
      <c r="O311" s="384"/>
      <c r="P311" s="383"/>
      <c r="Q311" s="408"/>
      <c r="R311" s="411"/>
      <c r="S311" s="396"/>
      <c r="T311" s="399"/>
      <c r="U311" s="387"/>
      <c r="V311" s="390"/>
      <c r="W311" s="393"/>
    </row>
    <row r="312" spans="9:23" ht="10.199999999999999" x14ac:dyDescent="0.3">
      <c r="I312" s="131"/>
      <c r="J312" s="380"/>
      <c r="K312" s="380"/>
      <c r="L312" s="380"/>
      <c r="M312" s="403"/>
      <c r="N312" s="404"/>
      <c r="O312" s="384"/>
      <c r="P312" s="383"/>
      <c r="Q312" s="408"/>
      <c r="R312" s="411"/>
      <c r="S312" s="396"/>
      <c r="T312" s="399"/>
      <c r="U312" s="387"/>
      <c r="V312" s="390"/>
      <c r="W312" s="393"/>
    </row>
    <row r="313" spans="9:23" ht="10.199999999999999" x14ac:dyDescent="0.3">
      <c r="I313" s="131"/>
      <c r="J313" s="380"/>
      <c r="K313" s="380"/>
      <c r="L313" s="380"/>
      <c r="M313" s="403"/>
      <c r="N313" s="404"/>
      <c r="O313" s="384"/>
      <c r="P313" s="383"/>
      <c r="Q313" s="408"/>
      <c r="R313" s="411"/>
      <c r="S313" s="396"/>
      <c r="T313" s="399"/>
      <c r="U313" s="387"/>
      <c r="V313" s="390"/>
      <c r="W313" s="393"/>
    </row>
    <row r="314" spans="9:23" ht="10.199999999999999" x14ac:dyDescent="0.3">
      <c r="I314" s="131"/>
      <c r="J314" s="380"/>
      <c r="K314" s="380"/>
      <c r="L314" s="380"/>
      <c r="M314" s="403"/>
      <c r="N314" s="404"/>
      <c r="O314" s="384"/>
      <c r="P314" s="383"/>
      <c r="Q314" s="408"/>
      <c r="R314" s="411"/>
      <c r="S314" s="396"/>
      <c r="T314" s="399"/>
      <c r="U314" s="387"/>
      <c r="V314" s="390"/>
      <c r="W314" s="393"/>
    </row>
    <row r="315" spans="9:23" ht="10.199999999999999" x14ac:dyDescent="0.3">
      <c r="I315" s="131"/>
      <c r="J315" s="380"/>
      <c r="K315" s="380"/>
      <c r="L315" s="380"/>
      <c r="M315" s="403"/>
      <c r="N315" s="404"/>
      <c r="O315" s="384"/>
      <c r="P315" s="383"/>
      <c r="Q315" s="408"/>
      <c r="R315" s="411"/>
      <c r="S315" s="396"/>
      <c r="T315" s="399"/>
      <c r="U315" s="387"/>
      <c r="V315" s="390"/>
      <c r="W315" s="393"/>
    </row>
    <row r="316" spans="9:23" ht="10.199999999999999" x14ac:dyDescent="0.3">
      <c r="I316" s="131"/>
      <c r="J316" s="380"/>
      <c r="K316" s="380"/>
      <c r="L316" s="380"/>
      <c r="M316" s="403"/>
      <c r="N316" s="404"/>
      <c r="O316" s="384"/>
      <c r="P316" s="383"/>
      <c r="Q316" s="408"/>
      <c r="R316" s="411"/>
      <c r="S316" s="396"/>
      <c r="T316" s="399"/>
      <c r="U316" s="387"/>
      <c r="V316" s="390"/>
      <c r="W316" s="393"/>
    </row>
    <row r="317" spans="9:23" ht="10.199999999999999" x14ac:dyDescent="0.3">
      <c r="I317" s="131"/>
      <c r="J317" s="380"/>
      <c r="K317" s="380"/>
      <c r="L317" s="380"/>
      <c r="M317" s="403"/>
      <c r="N317" s="404"/>
      <c r="O317" s="384"/>
      <c r="P317" s="383"/>
      <c r="Q317" s="408"/>
      <c r="R317" s="411"/>
      <c r="S317" s="396"/>
      <c r="T317" s="399"/>
      <c r="U317" s="387"/>
      <c r="V317" s="390"/>
      <c r="W317" s="393"/>
    </row>
    <row r="318" spans="9:23" ht="10.199999999999999" x14ac:dyDescent="0.3">
      <c r="I318" s="131"/>
      <c r="J318" s="380"/>
      <c r="K318" s="380"/>
      <c r="L318" s="380"/>
      <c r="M318" s="403"/>
      <c r="N318" s="404"/>
      <c r="O318" s="384"/>
      <c r="P318" s="383"/>
      <c r="Q318" s="408"/>
      <c r="R318" s="411"/>
      <c r="S318" s="396"/>
      <c r="T318" s="399"/>
      <c r="U318" s="387"/>
      <c r="V318" s="390"/>
      <c r="W318" s="393"/>
    </row>
    <row r="319" spans="9:23" ht="10.199999999999999" x14ac:dyDescent="0.3">
      <c r="I319" s="131"/>
      <c r="J319" s="380"/>
      <c r="K319" s="380"/>
      <c r="L319" s="380"/>
      <c r="M319" s="403"/>
      <c r="N319" s="404"/>
      <c r="O319" s="384"/>
      <c r="P319" s="383"/>
      <c r="Q319" s="408"/>
      <c r="R319" s="411"/>
      <c r="S319" s="396"/>
      <c r="T319" s="399"/>
      <c r="U319" s="387"/>
      <c r="V319" s="390"/>
      <c r="W319" s="393"/>
    </row>
  </sheetData>
  <pageMargins left="0.7" right="0.7" top="0.75" bottom="0.75" header="0.3" footer="0.3"/>
  <pageSetup paperSize="9" orientation="portrait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8">
    <tabColor theme="7"/>
  </sheetPr>
  <dimension ref="B1:AK138"/>
  <sheetViews>
    <sheetView zoomScaleNormal="100" workbookViewId="0">
      <selection activeCell="N48" sqref="N48"/>
    </sheetView>
  </sheetViews>
  <sheetFormatPr baseColWidth="10" defaultColWidth="11.1328125" defaultRowHeight="10.199999999999999" x14ac:dyDescent="0.3"/>
  <cols>
    <col min="1" max="1" width="1.1328125" style="206" customWidth="1"/>
    <col min="2" max="2" width="6.1328125" style="206" customWidth="1"/>
    <col min="3" max="3" width="10.59765625" style="206" customWidth="1"/>
    <col min="4" max="4" width="11" style="206" customWidth="1"/>
    <col min="5" max="5" width="9.265625" style="206" customWidth="1"/>
    <col min="6" max="8" width="0.73046875" style="206" customWidth="1"/>
    <col min="9" max="9" width="9.86328125" style="206" customWidth="1"/>
    <col min="10" max="10" width="10.59765625" style="206" customWidth="1"/>
    <col min="11" max="11" width="11" style="206" customWidth="1"/>
    <col min="12" max="12" width="6.1328125" style="206" customWidth="1"/>
    <col min="13" max="13" width="1.1328125" style="206" customWidth="1"/>
    <col min="14" max="15" width="9.265625" style="206" customWidth="1"/>
    <col min="16" max="16" width="9.59765625" style="206" customWidth="1"/>
    <col min="17" max="17" width="9.265625" style="206" customWidth="1"/>
    <col min="18" max="18" width="1.1328125" style="206" customWidth="1"/>
    <col min="19" max="22" width="11.59765625" style="206" customWidth="1"/>
    <col min="23" max="23" width="9.1328125" style="206" customWidth="1"/>
    <col min="24" max="24" width="4.1328125" style="206" customWidth="1"/>
    <col min="25" max="25" width="11.1328125" style="206"/>
    <col min="26" max="28" width="9.86328125" style="206" customWidth="1"/>
    <col min="29" max="16384" width="11.1328125" style="206"/>
  </cols>
  <sheetData>
    <row r="1" spans="2:21" ht="6.05" customHeight="1" thickBot="1" x14ac:dyDescent="0.35"/>
    <row r="2" spans="2:21" ht="6.05" customHeight="1" x14ac:dyDescent="0.3">
      <c r="B2" s="436" t="str">
        <f>"Sell " &amp; titre2</f>
        <v>Sell T1,75 08/12</v>
      </c>
      <c r="C2" s="437"/>
      <c r="D2" s="437"/>
      <c r="E2" s="438"/>
      <c r="I2" s="436" t="str">
        <f>"Buy " &amp; titre1</f>
        <v>Buy T0,75 05/12</v>
      </c>
      <c r="J2" s="437"/>
      <c r="K2" s="437"/>
      <c r="L2" s="438"/>
      <c r="N2" s="430" t="str">
        <f>"Reverse " &amp; titre2</f>
        <v>Reverse T1,75 08/12</v>
      </c>
      <c r="O2" s="431"/>
      <c r="P2" s="431"/>
      <c r="Q2" s="432"/>
    </row>
    <row r="3" spans="2:21" ht="6.05" customHeight="1" x14ac:dyDescent="0.3">
      <c r="B3" s="439"/>
      <c r="C3" s="440"/>
      <c r="D3" s="440"/>
      <c r="E3" s="441"/>
      <c r="I3" s="439"/>
      <c r="J3" s="440"/>
      <c r="K3" s="440"/>
      <c r="L3" s="441"/>
      <c r="N3" s="445"/>
      <c r="O3" s="446"/>
      <c r="P3" s="446"/>
      <c r="Q3" s="447"/>
    </row>
    <row r="4" spans="2:21" ht="6.05" customHeight="1" thickBot="1" x14ac:dyDescent="0.35">
      <c r="B4" s="442"/>
      <c r="C4" s="443"/>
      <c r="D4" s="443"/>
      <c r="E4" s="444"/>
      <c r="I4" s="442"/>
      <c r="J4" s="443"/>
      <c r="K4" s="443"/>
      <c r="L4" s="444"/>
      <c r="N4" s="433"/>
      <c r="O4" s="434"/>
      <c r="P4" s="434"/>
      <c r="Q4" s="435"/>
      <c r="S4" s="207"/>
    </row>
    <row r="5" spans="2:21" ht="8.3000000000000007" customHeight="1" x14ac:dyDescent="0.3">
      <c r="B5" s="339"/>
      <c r="C5" s="340"/>
      <c r="D5" s="340"/>
      <c r="E5" s="341"/>
      <c r="I5" s="208"/>
      <c r="J5" s="209"/>
      <c r="K5" s="209"/>
      <c r="L5" s="210"/>
      <c r="N5" s="275"/>
      <c r="O5" s="276"/>
      <c r="P5" s="276"/>
      <c r="Q5" s="277"/>
    </row>
    <row r="6" spans="2:21" ht="11.25" customHeight="1" x14ac:dyDescent="0.3">
      <c r="B6" s="342"/>
      <c r="C6" s="294" t="s">
        <v>747</v>
      </c>
      <c r="D6" s="326" t="s">
        <v>748</v>
      </c>
      <c r="E6" s="343"/>
      <c r="I6" s="211"/>
      <c r="J6" s="212" t="s">
        <v>747</v>
      </c>
      <c r="K6" s="213" t="s">
        <v>749</v>
      </c>
      <c r="L6" s="214"/>
      <c r="N6" s="278" t="str">
        <f>[1]contrôles!L2</f>
        <v>O/N</v>
      </c>
      <c r="O6" s="295" t="e">
        <f ca="1">_xll.COURBE.TAUX.ZERO(oisCurve,_xll.CALENDRIER.GAP.FINANCE(pricingDate,N6,"USD","Unadjusted",TRUE),cMmkt)+P6/10000</f>
        <v>#NAME?</v>
      </c>
      <c r="P6" s="301"/>
      <c r="Q6" s="293" t="s">
        <v>750</v>
      </c>
      <c r="U6" s="207"/>
    </row>
    <row r="7" spans="2:21" ht="11.25" customHeight="1" x14ac:dyDescent="0.3">
      <c r="B7" s="342"/>
      <c r="C7" s="344" t="s">
        <v>751</v>
      </c>
      <c r="D7" s="345" t="str">
        <f>VLOOKUP(titre2,'[1]Quote TWEB'!$A:$C,3,FALSE)</f>
        <v>US912828LH12</v>
      </c>
      <c r="E7" s="346"/>
      <c r="I7" s="211"/>
      <c r="J7" s="215" t="s">
        <v>751</v>
      </c>
      <c r="K7" s="216" t="str">
        <f>VLOOKUP(titre1,'[1]Quote TWEB'!$A:$C,3,FALSE)</f>
        <v>US912828NE62</v>
      </c>
      <c r="L7" s="217"/>
      <c r="N7" s="278" t="str">
        <f>[1]contrôles!L3</f>
        <v>1W</v>
      </c>
      <c r="O7" s="295" t="e">
        <f ca="1">_xll.COURBE.TAUX.ZERO(oisCurve,_xll.CALENDRIER.GAP.FINANCE(pricingDate,N7,"USD","Unadjusted",TRUE),cMmkt)+P7/10000</f>
        <v>#NAME?</v>
      </c>
      <c r="P7" s="301"/>
      <c r="Q7" s="293" t="s">
        <v>750</v>
      </c>
    </row>
    <row r="8" spans="2:21" ht="11.25" customHeight="1" x14ac:dyDescent="0.3">
      <c r="B8" s="342"/>
      <c r="C8" s="294"/>
      <c r="D8" s="291"/>
      <c r="E8" s="343"/>
      <c r="I8" s="211"/>
      <c r="J8" s="212"/>
      <c r="K8" s="218"/>
      <c r="L8" s="214"/>
      <c r="N8" s="278" t="str">
        <f>[1]contrôles!L4</f>
        <v>2W</v>
      </c>
      <c r="O8" s="295" t="e">
        <f ca="1">_xll.COURBE.TAUX.ZERO(oisCurve,_xll.CALENDRIER.GAP.FINANCE(pricingDate,N8,"USD","Unadjusted",TRUE),cMmkt)+P8/10000</f>
        <v>#NAME?</v>
      </c>
      <c r="P8" s="301"/>
      <c r="Q8" s="293" t="s">
        <v>750</v>
      </c>
    </row>
    <row r="9" spans="2:21" ht="11.25" customHeight="1" x14ac:dyDescent="0.3">
      <c r="B9" s="342"/>
      <c r="C9" s="294" t="s">
        <v>752</v>
      </c>
      <c r="D9" s="289" t="e">
        <f>IF(D10&lt;&gt;"",D10,IF(OR(LEFT(titre2,1)="T",MID(titre2,3,1)="T"),VLOOKUP(cusip2,'[1]Quote TWEB'!$B:$N,12,FALSE),VLOOKUP(cusip2,'[1]Quote TWEB'!$B:$N,10,FALSE)))</f>
        <v>#NAME?</v>
      </c>
      <c r="E9" s="347"/>
      <c r="I9" s="211"/>
      <c r="J9" s="212" t="s">
        <v>753</v>
      </c>
      <c r="K9" s="219" t="e">
        <f>IF(K10&lt;&gt;"",K10,IF(OR(LEFT(titre1,1)="T",MID(titre1,3,1)="T"),VLOOKUP(cusip1,'[1]Quote TWEB'!$B:$N,13,FALSE),VLOOKUP(cusip1,'[1]Quote TWEB'!$B:$N,11,FALSE)))</f>
        <v>#NAME?</v>
      </c>
      <c r="L9" s="220"/>
      <c r="N9" s="278" t="str">
        <f>[1]contrôles!L5</f>
        <v>3W</v>
      </c>
      <c r="O9" s="295" t="e">
        <f ca="1">_xll.COURBE.TAUX.ZERO(oisCurve,_xll.CALENDRIER.GAP.FINANCE(pricingDate,N9,"USD","Unadjusted",TRUE),cMmkt)+P9/10000</f>
        <v>#NAME?</v>
      </c>
      <c r="P9" s="301"/>
      <c r="Q9" s="293" t="s">
        <v>750</v>
      </c>
    </row>
    <row r="10" spans="2:21" ht="11.25" customHeight="1" x14ac:dyDescent="0.3">
      <c r="B10" s="342"/>
      <c r="C10" s="294" t="s">
        <v>754</v>
      </c>
      <c r="D10" s="327"/>
      <c r="E10" s="347"/>
      <c r="I10" s="211"/>
      <c r="J10" s="212" t="s">
        <v>754</v>
      </c>
      <c r="K10" s="221"/>
      <c r="L10" s="220"/>
      <c r="N10" s="278" t="str">
        <f>[1]contrôles!L6</f>
        <v>1M</v>
      </c>
      <c r="O10" s="295" t="e">
        <f ca="1">_xll.COURBE.TAUX.ZERO(oisCurve,_xll.CALENDRIER.GAP.FINANCE(pricingDate,N10,"USD","Unadjusted",TRUE),cMmkt)+P10/10000</f>
        <v>#NAME?</v>
      </c>
      <c r="P10" s="301"/>
      <c r="Q10" s="293" t="s">
        <v>750</v>
      </c>
    </row>
    <row r="11" spans="2:21" ht="11.25" customHeight="1" x14ac:dyDescent="0.3">
      <c r="B11" s="342"/>
      <c r="C11" s="294"/>
      <c r="D11" s="291" t="e">
        <f>_xll.INSTRUMENT.Z.SPREAD(isin2,curve_name,prix_titre2,cTrueYield,settlement2,[1]contrôles!$B$10)</f>
        <v>#VALUE!</v>
      </c>
      <c r="E11" s="343"/>
      <c r="I11" s="211"/>
      <c r="J11" s="212"/>
      <c r="K11" s="218" t="e">
        <f>_xll.INSTRUMENT.Z.SPREAD(isin1,curve_name,prix_titre1,cTrueYield,settlement1,[1]contrôles!$B$10)</f>
        <v>#VALUE!</v>
      </c>
      <c r="L11" s="214"/>
      <c r="N11" s="278" t="str">
        <f>[1]contrôles!L7</f>
        <v>2M</v>
      </c>
      <c r="O11" s="295" t="e">
        <f ca="1">_xll.COURBE.TAUX.ZERO(oisCurve,_xll.CALENDRIER.GAP.FINANCE(pricingDate,N11,"USD","Unadjusted",TRUE),cMmkt)+P11/10000</f>
        <v>#NAME?</v>
      </c>
      <c r="P11" s="301"/>
      <c r="Q11" s="293" t="s">
        <v>750</v>
      </c>
      <c r="S11" s="207"/>
    </row>
    <row r="12" spans="2:21" ht="11.25" customHeight="1" x14ac:dyDescent="0.3">
      <c r="B12" s="342"/>
      <c r="C12" s="294" t="s">
        <v>386</v>
      </c>
      <c r="D12" s="348" t="e">
        <f>IF(LEFT(titre2,1)="T",_xll.INSTRUMENT.PRIX(isin2,settlement2,yld_titre2,cTreasury,yld_titre2),_xll.INSTRUMENT.PRIX(isin2,settlement2,yld_titre2,cdiscount,yld_titre2))</f>
        <v>#VALUE!</v>
      </c>
      <c r="E12" s="343"/>
      <c r="I12" s="211"/>
      <c r="J12" s="212" t="s">
        <v>386</v>
      </c>
      <c r="K12" s="222" t="e">
        <f>IF(LEFT(titre1,1)="T",_xll.INSTRUMENT.PRIX(isin1,settlement1,yld_titre1,cTreasury,yld_titre1),_xll.INSTRUMENT.PRIX(isin1,settlement1,yld_titre1,cdiscount,yld_titre1))</f>
        <v>#VALUE!</v>
      </c>
      <c r="L12" s="214"/>
      <c r="N12" s="278" t="str">
        <f>[1]contrôles!L8</f>
        <v>3M</v>
      </c>
      <c r="O12" s="295" t="e">
        <f ca="1">_xll.COURBE.TAUX.ZERO(oisCurve,_xll.CALENDRIER.GAP.FINANCE(pricingDate,N12,"USD","Unadjusted",TRUE),cMmkt)+P12/10000</f>
        <v>#NAME?</v>
      </c>
      <c r="P12" s="301"/>
      <c r="Q12" s="293" t="s">
        <v>750</v>
      </c>
    </row>
    <row r="13" spans="2:21" ht="10.5" customHeight="1" x14ac:dyDescent="0.3">
      <c r="B13" s="342"/>
      <c r="C13" s="291" t="s">
        <v>756</v>
      </c>
      <c r="D13" s="349" t="e">
        <f>_xll.INSTRUMENT.TAUX(isin2,prix_titre2,settlement2,cTrueYield,prix_titre2)</f>
        <v>#VALUE!</v>
      </c>
      <c r="E13" s="343"/>
      <c r="I13" s="211"/>
      <c r="J13" s="218" t="s">
        <v>756</v>
      </c>
      <c r="K13" s="223" t="e">
        <f>_xll.INSTRUMENT.TAUX(isin1,prix_titre1,settlement1,cTrueYield,prix_titre1)</f>
        <v>#VALUE!</v>
      </c>
      <c r="L13" s="214"/>
      <c r="N13" s="287"/>
      <c r="O13" s="279"/>
      <c r="P13" s="300" t="s">
        <v>755</v>
      </c>
      <c r="Q13" s="281"/>
      <c r="U13" s="207"/>
    </row>
    <row r="14" spans="2:21" ht="10.55" thickBot="1" x14ac:dyDescent="0.35">
      <c r="B14" s="342"/>
      <c r="C14" s="350" t="s">
        <v>757</v>
      </c>
      <c r="D14" s="351" t="e">
        <f>_xll.INSTRUMENT.Z.SPREAD(isin2,curve_name,VLOOKUP(isin2,'[1]Quote TWEB'!$C:$Q,14,FALSE),cTrueYield,settlement2,[1]contrôles!$B$10)-_xll.INSTRUMENT.Z.SPREAD(isin2,curve_name,VLOOKUP(isin2,'[1]Quote TWEB'!$C:$Q,15,FALSE),cTrueYield,settlement2,[1]contrôles!$B$10)</f>
        <v>#VALUE!</v>
      </c>
      <c r="E14" s="352" t="s">
        <v>750</v>
      </c>
      <c r="I14" s="211"/>
      <c r="J14" s="224" t="s">
        <v>757</v>
      </c>
      <c r="K14" s="225" t="e">
        <f>_xll.INSTRUMENT.Z.SPREAD(isin1,curve_name,VLOOKUP(isin1,'[1]Quote TWEB'!$C:$Q,14,FALSE),cTrueYield,settlement1,[1]contrôles!$B$10)-_xll.INSTRUMENT.Z.SPREAD(isin1,curve_name,VLOOKUP(isin1,'[1]Quote TWEB'!$C:$Q,15,FALSE),cTrueYield,settlement1,[1]contrôles!$B$10)</f>
        <v>#VALUE!</v>
      </c>
      <c r="L14" s="226" t="s">
        <v>750</v>
      </c>
      <c r="N14" s="296"/>
      <c r="O14" s="299"/>
      <c r="P14" s="299"/>
      <c r="Q14" s="298"/>
    </row>
    <row r="15" spans="2:21" ht="12.75" customHeight="1" thickBot="1" x14ac:dyDescent="0.35">
      <c r="B15" s="342"/>
      <c r="C15" s="294" t="s">
        <v>758</v>
      </c>
      <c r="D15" s="353" t="e">
        <f>_xll.INSTRUMENT.Z.SPREAD(isin2,swap_curve,prix_titre2,cTrueYield,settlement2,[1]contrôles!$B$32)</f>
        <v>#VALUE!</v>
      </c>
      <c r="E15" s="354" t="s">
        <v>750</v>
      </c>
      <c r="I15" s="211"/>
      <c r="J15" s="212" t="s">
        <v>758</v>
      </c>
      <c r="K15" s="227" t="e">
        <f>_xll.INSTRUMENT.Z.SPREAD(isin1,swap_curve,prix_titre1,cTrueYield,settlement1,[1]contrôles!$B$32)</f>
        <v>#VALUE!</v>
      </c>
      <c r="L15" s="228" t="s">
        <v>750</v>
      </c>
    </row>
    <row r="16" spans="2:21" ht="12.75" customHeight="1" x14ac:dyDescent="0.3">
      <c r="B16" s="342"/>
      <c r="C16" s="294" t="s">
        <v>759</v>
      </c>
      <c r="D16" s="353" t="e">
        <f>IF((maturity2-today)/365&lt;1,_xll.INSTRUMENT.Z.SPREAD(isin2,ois_curve,prix_titre2,cTrueYield,settlement2,[1]contrôles!$B$43),"-")</f>
        <v>#NAME?</v>
      </c>
      <c r="E16" s="354" t="s">
        <v>750</v>
      </c>
      <c r="I16" s="211"/>
      <c r="J16" s="212" t="s">
        <v>759</v>
      </c>
      <c r="K16" s="227" t="e">
        <f>IF((maturity1-today)/365&lt;1,_xll.INSTRUMENT.Z.SPREAD(isin1,ois_curve,prix_titre1,cTrueYield,settlement1,[1]contrôles!$B$43),"-")</f>
        <v>#NAME?</v>
      </c>
      <c r="L16" s="228" t="s">
        <v>750</v>
      </c>
      <c r="N16" s="430" t="str">
        <f>"Repo " &amp; titre1</f>
        <v>Repo T0,75 05/12</v>
      </c>
      <c r="O16" s="431"/>
      <c r="P16" s="431"/>
      <c r="Q16" s="432"/>
    </row>
    <row r="17" spans="2:21" ht="12.75" customHeight="1" thickBot="1" x14ac:dyDescent="0.35">
      <c r="B17" s="342"/>
      <c r="C17" s="294" t="s">
        <v>760</v>
      </c>
      <c r="D17" s="353" t="e">
        <f>_xll.INSTRUMENT.Z.SPREAD(isin2,curve_name,prix_titre2,cTrueYield,settlement2,[1]contrôles!$B$32)</f>
        <v>#VALUE!</v>
      </c>
      <c r="E17" s="354" t="s">
        <v>750</v>
      </c>
      <c r="I17" s="211"/>
      <c r="J17" s="212" t="s">
        <v>760</v>
      </c>
      <c r="K17" s="227" t="e">
        <f>_xll.INSTRUMENT.Z.SPREAD(isin1,curve_name,prix_titre1,cTrueYield,settlement1,[1]contrôles!$B$32)</f>
        <v>#VALUE!</v>
      </c>
      <c r="L17" s="228" t="s">
        <v>750</v>
      </c>
      <c r="N17" s="433"/>
      <c r="O17" s="434"/>
      <c r="P17" s="434"/>
      <c r="Q17" s="435"/>
    </row>
    <row r="18" spans="2:21" ht="12.75" customHeight="1" x14ac:dyDescent="0.3">
      <c r="B18" s="342"/>
      <c r="C18" s="294" t="s">
        <v>761</v>
      </c>
      <c r="D18" s="355" t="e">
        <f>VLOOKUP(cusip2,'[1]Quote TWEB'!$B:$H,7,FALSE)</f>
        <v>#NAME?</v>
      </c>
      <c r="E18" s="356" t="e">
        <f ca="1">IF(_xll.JOURS.OUVRES.FINANCE(maturity2,"USD",0)=maturity2,"","Bad Date !")</f>
        <v>#NAME?</v>
      </c>
      <c r="I18" s="211"/>
      <c r="J18" s="212" t="s">
        <v>761</v>
      </c>
      <c r="K18" s="229" t="e">
        <f>VLOOKUP(cusip1,'[1]Quote TWEB'!$B:$H,7,FALSE)</f>
        <v>#NAME?</v>
      </c>
      <c r="L18" s="230" t="e">
        <f ca="1">IF(_xll.JOURS.OUVRES.FINANCE(maturity1,"USD",0)=maturity1,"","Bad Date !")</f>
        <v>#NAME?</v>
      </c>
      <c r="N18" s="275"/>
      <c r="O18" s="276"/>
      <c r="P18" s="276"/>
      <c r="Q18" s="277"/>
    </row>
    <row r="19" spans="2:21" ht="12.75" customHeight="1" x14ac:dyDescent="0.3">
      <c r="B19" s="342"/>
      <c r="C19" s="294" t="s">
        <v>762</v>
      </c>
      <c r="D19" s="355" t="e">
        <f>IF(D21="",_xll.INSTRUMENT.DATE.REGLEMENT(isin2,today,isin2),D21)</f>
        <v>#VALUE!</v>
      </c>
      <c r="E19" s="357" t="e">
        <f ca="1">IF(E18="","","(" &amp; TEXT(_xll.JOURS.OUVRES.FINANCE(maturity2,"USD",0),"jj/mm/aaaa") &amp; ")")</f>
        <v>#NAME?</v>
      </c>
      <c r="I19" s="211"/>
      <c r="J19" s="212" t="s">
        <v>762</v>
      </c>
      <c r="K19" s="229" t="e">
        <f>IF(K21="",_xll.INSTRUMENT.DATE.REGLEMENT(isin1,today,isin1),K21)</f>
        <v>#VALUE!</v>
      </c>
      <c r="L19" s="231" t="e">
        <f ca="1">IF(L18="","","(" &amp; TEXT(_xll.JOURS.OUVRES.FINANCE(maturity1,"USD",0),"jj/mm/aaaa") &amp; ")")</f>
        <v>#NAME?</v>
      </c>
      <c r="N19" s="278" t="str">
        <f>[1]contrôles!L2</f>
        <v>O/N</v>
      </c>
      <c r="O19" s="295" t="e">
        <f ca="1">_xll.COURBE.TAUX.ZERO(oisCurve,_xll.CALENDRIER.GAP.FINANCE(pricingDate,N19,"USD","Unadjusted",TRUE),cMmkt)+P19/10000</f>
        <v>#NAME?</v>
      </c>
      <c r="P19" s="301">
        <v>5</v>
      </c>
      <c r="Q19" s="293" t="s">
        <v>750</v>
      </c>
    </row>
    <row r="20" spans="2:21" ht="11.25" customHeight="1" x14ac:dyDescent="0.3">
      <c r="B20" s="342"/>
      <c r="C20" s="294" t="s">
        <v>763</v>
      </c>
      <c r="D20" s="358" t="e">
        <f ca="1">_xll.FRAC.ANNEE.FINANCE(settlement2,maturity2,"ACT/ACT ISMA")</f>
        <v>#NAME?</v>
      </c>
      <c r="E20" s="357"/>
      <c r="I20" s="211"/>
      <c r="J20" s="212" t="s">
        <v>764</v>
      </c>
      <c r="K20" s="232" t="e">
        <f ca="1">_xll.FRAC.ANNEE.FINANCE(settlement1,maturity1,"ACT/ACT ISMA")</f>
        <v>#NAME?</v>
      </c>
      <c r="L20" s="231"/>
      <c r="N20" s="278" t="str">
        <f>[1]contrôles!L3</f>
        <v>1W</v>
      </c>
      <c r="O20" s="295" t="e">
        <f ca="1">_xll.COURBE.TAUX.ZERO(oisCurve,_xll.CALENDRIER.GAP.FINANCE(pricingDate,N20,"USD","Unadjusted",TRUE),cMmkt)+P20/10000</f>
        <v>#NAME?</v>
      </c>
      <c r="P20" s="301">
        <v>5</v>
      </c>
      <c r="Q20" s="293" t="s">
        <v>750</v>
      </c>
    </row>
    <row r="21" spans="2:21" ht="11.25" customHeight="1" x14ac:dyDescent="0.3">
      <c r="B21" s="342"/>
      <c r="C21" s="294" t="s">
        <v>754</v>
      </c>
      <c r="D21" s="363"/>
      <c r="E21" s="343"/>
      <c r="I21" s="211"/>
      <c r="J21" s="212" t="s">
        <v>754</v>
      </c>
      <c r="K21" s="233"/>
      <c r="L21" s="214"/>
      <c r="N21" s="278" t="str">
        <f>[1]contrôles!L4</f>
        <v>2W</v>
      </c>
      <c r="O21" s="295" t="e">
        <f ca="1">_xll.COURBE.TAUX.ZERO(oisCurve,_xll.CALENDRIER.GAP.FINANCE(pricingDate,N21,"USD","Unadjusted",TRUE),cMmkt)+P21/10000</f>
        <v>#NAME?</v>
      </c>
      <c r="P21" s="301">
        <v>5</v>
      </c>
      <c r="Q21" s="293" t="s">
        <v>750</v>
      </c>
    </row>
    <row r="22" spans="2:21" ht="11.25" customHeight="1" x14ac:dyDescent="0.3">
      <c r="B22" s="342"/>
      <c r="C22" s="294" t="s">
        <v>765</v>
      </c>
      <c r="D22" s="359" t="e">
        <f>_xll.INSTRUMENT.DURATION(isin2,today,settlement2,prix_titre2,"Modified",cTrueYield,prix_titre2)*(prix_titre2+_xll.INSTRUMENT.COUPON.COURU(isin2,settlement2,isin2))/100</f>
        <v>#VALUE!</v>
      </c>
      <c r="E22" s="352" t="s">
        <v>766</v>
      </c>
      <c r="I22" s="211"/>
      <c r="J22" s="212" t="s">
        <v>765</v>
      </c>
      <c r="K22" s="222" t="e">
        <f>_xll.INSTRUMENT.DURATION(isin1,today,settlement1,prix_titre1,"Modified",cTrueYield,prix_titre1)*(prix_titre1+_xll.INSTRUMENT.COUPON.COURU(isin1,settlement1,isin1))/100</f>
        <v>#VALUE!</v>
      </c>
      <c r="L22" s="226" t="s">
        <v>766</v>
      </c>
      <c r="N22" s="278" t="str">
        <f>[1]contrôles!L5</f>
        <v>3W</v>
      </c>
      <c r="O22" s="295" t="e">
        <f ca="1">_xll.COURBE.TAUX.ZERO(oisCurve,_xll.CALENDRIER.GAP.FINANCE(pricingDate,N22,"USD","Unadjusted",TRUE),cMmkt)+P22/10000</f>
        <v>#NAME?</v>
      </c>
      <c r="P22" s="301">
        <v>5</v>
      </c>
      <c r="Q22" s="293" t="s">
        <v>750</v>
      </c>
      <c r="U22" s="207"/>
    </row>
    <row r="23" spans="2:21" ht="11.25" customHeight="1" thickBot="1" x14ac:dyDescent="0.35">
      <c r="B23" s="360"/>
      <c r="C23" s="361"/>
      <c r="D23" s="361"/>
      <c r="E23" s="362"/>
      <c r="I23" s="234"/>
      <c r="J23" s="235"/>
      <c r="K23" s="235"/>
      <c r="L23" s="236"/>
      <c r="N23" s="278" t="str">
        <f>[1]contrôles!L6</f>
        <v>1M</v>
      </c>
      <c r="O23" s="295" t="e">
        <f ca="1">_xll.COURBE.TAUX.ZERO(oisCurve,_xll.CALENDRIER.GAP.FINANCE(pricingDate,N23,"USD","Unadjusted",TRUE),cMmkt)+P23/10000</f>
        <v>#NAME?</v>
      </c>
      <c r="P23" s="301">
        <v>5</v>
      </c>
      <c r="Q23" s="293" t="s">
        <v>750</v>
      </c>
    </row>
    <row r="24" spans="2:21" ht="11.25" customHeight="1" thickBot="1" x14ac:dyDescent="0.35">
      <c r="N24" s="278" t="str">
        <f>[1]contrôles!L7</f>
        <v>2M</v>
      </c>
      <c r="O24" s="295" t="e">
        <f ca="1">_xll.COURBE.TAUX.ZERO(oisCurve,_xll.CALENDRIER.GAP.FINANCE(pricingDate,N24,"USD","Unadjusted",TRUE),cMmkt)+P24/10000</f>
        <v>#NAME?</v>
      </c>
      <c r="P24" s="301">
        <v>5</v>
      </c>
      <c r="Q24" s="293" t="s">
        <v>750</v>
      </c>
      <c r="S24" s="207"/>
    </row>
    <row r="25" spans="2:21" ht="11.25" customHeight="1" x14ac:dyDescent="0.3">
      <c r="B25" s="430" t="s">
        <v>767</v>
      </c>
      <c r="C25" s="431"/>
      <c r="D25" s="431"/>
      <c r="E25" s="431"/>
      <c r="F25" s="431"/>
      <c r="G25" s="431"/>
      <c r="H25" s="431"/>
      <c r="I25" s="431"/>
      <c r="J25" s="431"/>
      <c r="K25" s="431"/>
      <c r="L25" s="432"/>
      <c r="N25" s="278" t="str">
        <f>[1]contrôles!L8</f>
        <v>3M</v>
      </c>
      <c r="O25" s="295" t="e">
        <f ca="1">_xll.COURBE.TAUX.ZERO(oisCurve,_xll.CALENDRIER.GAP.FINANCE(pricingDate,N25,"USD","Unadjusted",TRUE),cMmkt)+P25/10000</f>
        <v>#NAME?</v>
      </c>
      <c r="P25" s="301">
        <v>5</v>
      </c>
      <c r="Q25" s="293" t="s">
        <v>750</v>
      </c>
    </row>
    <row r="26" spans="2:21" ht="11.25" customHeight="1" thickBot="1" x14ac:dyDescent="0.35">
      <c r="B26" s="433"/>
      <c r="C26" s="434"/>
      <c r="D26" s="434"/>
      <c r="E26" s="434"/>
      <c r="F26" s="434"/>
      <c r="G26" s="434"/>
      <c r="H26" s="434"/>
      <c r="I26" s="434"/>
      <c r="J26" s="434"/>
      <c r="K26" s="434"/>
      <c r="L26" s="435"/>
      <c r="N26" s="287"/>
      <c r="O26" s="282"/>
      <c r="P26" s="300" t="s">
        <v>755</v>
      </c>
      <c r="Q26" s="281"/>
    </row>
    <row r="27" spans="2:21" ht="11.25" customHeight="1" thickBot="1" x14ac:dyDescent="0.35">
      <c r="B27" s="287"/>
      <c r="C27" s="279"/>
      <c r="D27" s="279"/>
      <c r="E27" s="291"/>
      <c r="F27" s="279"/>
      <c r="G27" s="279"/>
      <c r="H27" s="279"/>
      <c r="I27" s="302"/>
      <c r="J27" s="282"/>
      <c r="K27" s="282"/>
      <c r="L27" s="290"/>
      <c r="N27" s="296"/>
      <c r="O27" s="299"/>
      <c r="P27" s="299"/>
      <c r="Q27" s="298"/>
      <c r="U27" s="207"/>
    </row>
    <row r="28" spans="2:21" ht="11.25" customHeight="1" thickBot="1" x14ac:dyDescent="0.35">
      <c r="B28" s="287"/>
      <c r="C28" s="279" t="s">
        <v>768</v>
      </c>
      <c r="D28" s="303" t="s">
        <v>769</v>
      </c>
      <c r="E28" s="304" t="s">
        <v>770</v>
      </c>
      <c r="F28" s="303"/>
      <c r="G28" s="303"/>
      <c r="H28" s="303"/>
      <c r="I28" s="303" t="s">
        <v>771</v>
      </c>
      <c r="J28" s="303" t="s">
        <v>771</v>
      </c>
      <c r="K28" s="304" t="s">
        <v>770</v>
      </c>
      <c r="L28" s="305"/>
    </row>
    <row r="29" spans="2:21" ht="11.25" customHeight="1" x14ac:dyDescent="0.3">
      <c r="B29" s="287"/>
      <c r="C29" s="326">
        <v>90</v>
      </c>
      <c r="D29" s="303" t="s">
        <v>773</v>
      </c>
      <c r="E29" s="306" t="s">
        <v>774</v>
      </c>
      <c r="F29" s="303"/>
      <c r="G29" s="303"/>
      <c r="H29" s="303"/>
      <c r="I29" s="303" t="s">
        <v>775</v>
      </c>
      <c r="J29" s="303" t="s">
        <v>776</v>
      </c>
      <c r="K29" s="306" t="s">
        <v>777</v>
      </c>
      <c r="L29" s="290"/>
      <c r="N29" s="430" t="s">
        <v>772</v>
      </c>
      <c r="O29" s="431"/>
      <c r="P29" s="431"/>
      <c r="Q29" s="432"/>
    </row>
    <row r="30" spans="2:21" ht="11.25" customHeight="1" thickBot="1" x14ac:dyDescent="0.35">
      <c r="B30" s="287"/>
      <c r="C30" s="279" t="s">
        <v>778</v>
      </c>
      <c r="D30" s="307" t="e">
        <f ca="1">_xll.COURBE.TAUX.ZERO(repo_bid,today+terminationDate,cMmkt,titre2)*10000</f>
        <v>#NAME?</v>
      </c>
      <c r="E30" s="308" t="e">
        <f>_xll.INSTRUMENT.TAUX(isin2,prix_titre2-_xll.INSTRUMENT.COUPON.COURU(isin2,settlement2+terminationDate,isin2)+_xll.INSTRUMENT.COUPON.COURU(isin2,settlement2,isin2)-_xll.INSTRUMENT.MONTANT.CASHFLOW.SUIVANT(isin2,settlement2,isin2)*(_xll.INSTRUMENT.FLUX.RESTANT(isin2,settlement2,isin2)-_xll.INSTRUMENT.FLUX.RESTANT(isin2,settlement2+terminationDate,isin2))+_xll.INSTRUMENT.COUT.PORTAGE(isin2,repo_bid,prix_titre2,settlement2,settlement2+terminationDate),settlement2+terminationDate,cTrueYield,prix_titre2)</f>
        <v>#VALUE!</v>
      </c>
      <c r="F30" s="279"/>
      <c r="G30" s="279"/>
      <c r="H30" s="279"/>
      <c r="I30" s="309" t="e">
        <f ca="1">(prix_titre2+_xll.INSTRUMENT.COUPON.COURU(isin2,settlement2,isin2))*D30*terminationDate/360</f>
        <v>#VALUE!</v>
      </c>
      <c r="J30" s="310" t="e">
        <f ca="1">-10000*(_xll.INSTRUMENT.PRIX.ROLL.DOWN(isin2,curve_name,today+terminationDate,prix_titre2,cTrueYield,yld_titre2)-prix_titre2)</f>
        <v>#NAME?</v>
      </c>
      <c r="K30" s="311" t="e">
        <f ca="1">_xll.INSTRUMENT.TAUX(isin2,prix_titre2+(J32+I32)/20000,terminationDate+settlement2,cTrueYield,prix_titre2)</f>
        <v>#VALUE!</v>
      </c>
      <c r="L30" s="312"/>
      <c r="N30" s="433"/>
      <c r="O30" s="434"/>
      <c r="P30" s="434"/>
      <c r="Q30" s="435"/>
    </row>
    <row r="31" spans="2:21" ht="11.25" customHeight="1" x14ac:dyDescent="0.3">
      <c r="B31" s="287"/>
      <c r="C31" s="313" t="s">
        <v>779</v>
      </c>
      <c r="D31" s="314" t="e">
        <f ca="1">_xll.COURBE.TAUX.ZERO(repo_ask,today+terminationDate,cMmkt,titre2)*10000</f>
        <v>#NAME?</v>
      </c>
      <c r="E31" s="315" t="e">
        <f>_xll.INSTRUMENT.TAUX(isin1,prix_titre1-_xll.INSTRUMENT.COUPON.COURU(isin1,settlement1+terminationDate,isin1)+_xll.INSTRUMENT.COUPON.COURU(isin1,settlement1,isin1)-_xll.INSTRUMENT.MONTANT.CASHFLOW.SUIVANT(isin1,settlement1,isin1)*(_xll.INSTRUMENT.FLUX.RESTANT(isin1,settlement1,isin1)-_xll.INSTRUMENT.FLUX.RESTANT(isin1,settlement1+terminationDate,isin1))+_xll.INSTRUMENT.COUT.PORTAGE(isin1,repo_ask,prix_titre1,settlement1,settlement1+terminationDate),settlement1+terminationDate,cTrueYield,prix_titre1)</f>
        <v>#VALUE!</v>
      </c>
      <c r="F31" s="313"/>
      <c r="G31" s="313"/>
      <c r="H31" s="313"/>
      <c r="I31" s="316" t="e">
        <f ca="1">-duration2/duration1*(prix_titre1+_xll.INSTRUMENT.COUPON.COURU(isin1,settlement1,isin1))*D31*terminationDate/360</f>
        <v>#VALUE!</v>
      </c>
      <c r="J31" s="317" t="e">
        <f ca="1">duration2/duration1*10000*(_xll.INSTRUMENT.PRIX.ROLL.DOWN(isin1,curve_name,today+terminationDate,prix_titre1,cTrueYield,yld_titre1)-prix_titre1)</f>
        <v>#VALUE!</v>
      </c>
      <c r="K31" s="318" t="e">
        <f ca="1">_xll.INSTRUMENT.TAUX(isin1,prix_titre1+(J32+I32)/20000,terminationDate+settlement1,cTrueYield,prix_titre1)</f>
        <v>#VALUE!</v>
      </c>
      <c r="L31" s="312"/>
      <c r="N31" s="275"/>
      <c r="O31" s="276"/>
      <c r="P31" s="276"/>
      <c r="Q31" s="277"/>
    </row>
    <row r="32" spans="2:21" ht="11.25" customHeight="1" x14ac:dyDescent="0.3">
      <c r="B32" s="287"/>
      <c r="C32" s="319" t="e">
        <f>settlement2+terminationDate</f>
        <v>#VALUE!</v>
      </c>
      <c r="D32" s="279"/>
      <c r="E32" s="320" t="e">
        <f>10000*(E31-E30)</f>
        <v>#VALUE!</v>
      </c>
      <c r="F32" s="279"/>
      <c r="G32" s="279"/>
      <c r="H32" s="279"/>
      <c r="I32" s="309" t="e">
        <f ca="1">I30+I31</f>
        <v>#VALUE!</v>
      </c>
      <c r="J32" s="310" t="e">
        <f ca="1">J30+J31</f>
        <v>#NAME?</v>
      </c>
      <c r="K32" s="321" t="e">
        <f ca="1">10000*(K31-K30)</f>
        <v>#VALUE!</v>
      </c>
      <c r="L32" s="290" t="s">
        <v>750</v>
      </c>
      <c r="N32" s="278"/>
      <c r="O32" s="279" t="e">
        <f ca="1">IF(P32&gt;0,"Curve Pick-up :","Curve Give-up :")</f>
        <v>#VALUE!</v>
      </c>
      <c r="P32" s="280" t="e">
        <f ca="1">10000*(_xll.INSTRUMENT.TAUX(isin1,_xll.INSTRUMENT.PRIX.THEORIQUE(isin1,curve_name,[1]contrôles!$B$10),settlement1,cTrueYield,prix_titre1)-_xll.INSTRUMENT.TAUX(isin2,_xll.INSTRUMENT.PRIX.THEORIQUE(isin2,curve_name,[1]contrôles!$B$10),settlement2,cTrueYield,prix_titre2))</f>
        <v>#VALUE!</v>
      </c>
      <c r="Q32" s="281" t="s">
        <v>750</v>
      </c>
    </row>
    <row r="33" spans="2:37" ht="11.25" customHeight="1" thickBot="1" x14ac:dyDescent="0.35">
      <c r="B33" s="296"/>
      <c r="C33" s="322"/>
      <c r="D33" s="322"/>
      <c r="E33" s="322"/>
      <c r="F33" s="322"/>
      <c r="G33" s="322"/>
      <c r="H33" s="322"/>
      <c r="I33" s="299"/>
      <c r="J33" s="323"/>
      <c r="K33" s="324"/>
      <c r="L33" s="325"/>
      <c r="N33" s="278"/>
      <c r="O33" s="279" t="str">
        <f>"- Spread 1 :"</f>
        <v>- Spread 1 :</v>
      </c>
      <c r="P33" s="280" t="e">
        <f>-_xll.INSTRUMENT.Z.SPREAD(isin2,curve_name,prix_titre2,cTrueYield,settlement2,prix_titre2)</f>
        <v>#VALUE!</v>
      </c>
      <c r="Q33" s="281" t="s">
        <v>750</v>
      </c>
    </row>
    <row r="34" spans="2:37" ht="4.55" customHeight="1" thickBot="1" x14ac:dyDescent="0.35">
      <c r="N34" s="278"/>
      <c r="O34" s="282"/>
      <c r="P34" s="283"/>
      <c r="Q34" s="281"/>
    </row>
    <row r="35" spans="2:37" ht="12" customHeight="1" x14ac:dyDescent="0.3">
      <c r="B35" s="430" t="s">
        <v>781</v>
      </c>
      <c r="C35" s="431"/>
      <c r="D35" s="431"/>
      <c r="E35" s="432"/>
      <c r="I35" s="430" t="s">
        <v>782</v>
      </c>
      <c r="J35" s="431"/>
      <c r="K35" s="431"/>
      <c r="L35" s="432"/>
      <c r="N35" s="278"/>
      <c r="O35" s="284" t="s">
        <v>780</v>
      </c>
      <c r="P35" s="280" t="e">
        <f>-bidask_1</f>
        <v>#VALUE!</v>
      </c>
      <c r="Q35" s="281" t="s">
        <v>750</v>
      </c>
      <c r="U35" s="207"/>
    </row>
    <row r="36" spans="2:37" ht="12" customHeight="1" thickBot="1" x14ac:dyDescent="0.35">
      <c r="B36" s="433"/>
      <c r="C36" s="434"/>
      <c r="D36" s="434"/>
      <c r="E36" s="435"/>
      <c r="I36" s="433"/>
      <c r="J36" s="434"/>
      <c r="K36" s="434"/>
      <c r="L36" s="435"/>
      <c r="N36" s="278"/>
      <c r="O36" s="279" t="e">
        <f ca="1">IF(P32&gt;0,"Pick-up Yield :","Give-up Yield :")</f>
        <v>#VALUE!</v>
      </c>
      <c r="P36" s="285" t="e">
        <f>10000*(yld_titre1-yld_titre2)</f>
        <v>#NAME?</v>
      </c>
      <c r="Q36" s="286" t="s">
        <v>750</v>
      </c>
      <c r="S36" s="207"/>
      <c r="Z36" s="237"/>
      <c r="AA36" s="238" t="s">
        <v>783</v>
      </c>
      <c r="AB36" s="238" t="s">
        <v>784</v>
      </c>
      <c r="AC36" s="239" t="s">
        <v>785</v>
      </c>
      <c r="AD36" s="239" t="s">
        <v>786</v>
      </c>
      <c r="AE36" s="239" t="s">
        <v>787</v>
      </c>
      <c r="AF36" s="240" t="s">
        <v>788</v>
      </c>
      <c r="AG36" s="240" t="s">
        <v>786</v>
      </c>
      <c r="AH36" s="240" t="s">
        <v>787</v>
      </c>
      <c r="AI36" s="237" t="s">
        <v>789</v>
      </c>
      <c r="AJ36" s="237" t="s">
        <v>786</v>
      </c>
      <c r="AK36" s="237" t="s">
        <v>787</v>
      </c>
    </row>
    <row r="37" spans="2:37" ht="12" customHeight="1" x14ac:dyDescent="0.3">
      <c r="B37" s="244"/>
      <c r="C37" s="245"/>
      <c r="D37" s="245"/>
      <c r="E37" s="246"/>
      <c r="I37" s="328"/>
      <c r="J37" s="282"/>
      <c r="K37" s="282"/>
      <c r="L37" s="290"/>
      <c r="N37" s="278"/>
      <c r="O37" s="282"/>
      <c r="P37" s="283"/>
      <c r="Q37" s="281"/>
      <c r="Z37" s="241" t="e">
        <f>today</f>
        <v>#NAME?</v>
      </c>
      <c r="AA37" s="242" t="e">
        <f>_xll.INSTRUMENT.Z.SPREAD(isin2,curve_name,prix_titre2,cTreasury,settlement2,[1]contrôles!$B$10)</f>
        <v>#VALUE!</v>
      </c>
      <c r="AB37" s="242" t="e">
        <f>_xll.INSTRUMENT.Z.SPREAD(isin1,curve_name,prix_titre1,cTreasury,settlement1,[1]contrôles!$B$10)+bidask_1</f>
        <v>#VALUE!</v>
      </c>
      <c r="AC37" s="242" t="e">
        <f>AA37</f>
        <v>#VALUE!</v>
      </c>
      <c r="AD37" s="243" t="e">
        <f>_xll.MOYENNE.EWMA($AC$137,dfactor,Z37,AC138)-2*_xll.VOLATILITE.EWMA($AC$137,dfactor,Z37,AC138)</f>
        <v>#VALUE!</v>
      </c>
      <c r="AE37" s="243" t="e">
        <f>_xll.MOYENNE.EWMA($AC$137,dfactor,Z37,AC138)+2*_xll.VOLATILITE.EWMA($AC$137,dfactor,Z37,AC138)</f>
        <v>#VALUE!</v>
      </c>
      <c r="AF37" s="242" t="e">
        <f t="shared" ref="AF37:AF68" si="0">AB37-bidask_1</f>
        <v>#VALUE!</v>
      </c>
      <c r="AG37" s="243" t="e">
        <f>_xll.MOYENNE.EWMA($AF$137,dfactor,Z37,AF138)-2*_xll.VOLATILITE.EWMA($AF$137,dfactor,Z37,AF138)</f>
        <v>#VALUE!</v>
      </c>
      <c r="AH37" s="243" t="e">
        <f>_xll.MOYENNE.EWMA($AF$137,dfactor,Z37,AF138)+2*_xll.VOLATILITE.EWMA($AF$137,dfactor,Z37,AF138)</f>
        <v>#VALUE!</v>
      </c>
      <c r="AI37" s="242" t="e">
        <f t="shared" ref="AI37" si="1">IF(OR(AF37=0,AC37=0),0.0001,AF37-AC37)</f>
        <v>#VALUE!</v>
      </c>
      <c r="AJ37" s="243" t="e">
        <f>_xll.MOYENNE.EWMA($AI$137,dfactor,Z37,AI138)-2*_xll.VOLATILITE.EWMA($AI$137,dfactor,Z37,AI138)</f>
        <v>#VALUE!</v>
      </c>
      <c r="AK37" s="243" t="e">
        <f>_xll.MOYENNE.EWMA($AI$137,dfactor,Z37,AI138)+2*_xll.VOLATILITE.EWMA($AI$137,dfactor,Z37,AI138)</f>
        <v>#VALUE!</v>
      </c>
    </row>
    <row r="38" spans="2:37" ht="12" customHeight="1" x14ac:dyDescent="0.3">
      <c r="B38" s="244"/>
      <c r="C38" s="245" t="s">
        <v>792</v>
      </c>
      <c r="D38" s="245"/>
      <c r="E38" s="253"/>
      <c r="I38" s="329"/>
      <c r="J38" s="330" t="s">
        <v>793</v>
      </c>
      <c r="K38" s="331" t="s">
        <v>794</v>
      </c>
      <c r="L38" s="290"/>
      <c r="N38" s="287"/>
      <c r="O38" s="279" t="s">
        <v>790</v>
      </c>
      <c r="P38" s="288" t="e">
        <f>(maturity1-maturity2)/30</f>
        <v>#NAME?</v>
      </c>
      <c r="Q38" s="281" t="s">
        <v>791</v>
      </c>
      <c r="U38" s="207"/>
      <c r="Z38" s="247" t="e">
        <f ca="1">_xll.JOURS.OUVRES.FINANCE($Z37,"USD",-1)</f>
        <v>#NAME?</v>
      </c>
      <c r="AA38" s="248"/>
      <c r="AB38" s="248"/>
      <c r="AC38" s="249">
        <f t="shared" ref="AC38:AC101" si="2">AA38</f>
        <v>0</v>
      </c>
      <c r="AD38" s="250" t="e">
        <f>_xll.MOYENNE.EWMA($AC$137,dfactor,Z38,AC139)-2*_xll.VOLATILITE.EWMA($AC$137,dfactor,Z38,AC139)</f>
        <v>#VALUE!</v>
      </c>
      <c r="AE38" s="250" t="e">
        <f>_xll.MOYENNE.EWMA($AC$137,dfactor,Z38,AC139)+2*_xll.VOLATILITE.EWMA($AC$137,dfactor,Z38,AC139)</f>
        <v>#VALUE!</v>
      </c>
      <c r="AF38" s="240" t="e">
        <f t="shared" si="0"/>
        <v>#VALUE!</v>
      </c>
      <c r="AG38" s="251" t="e">
        <f>_xll.MOYENNE.EWMA($AF$137,dfactor,Z38,AF139)-2*_xll.VOLATILITE.EWMA($AF$137,dfactor,Z38,AF139)</f>
        <v>#VALUE!</v>
      </c>
      <c r="AH38" s="251" t="e">
        <f>_xll.MOYENNE.EWMA($AF$137,dfactor,Z38,AF139)+2*_xll.VOLATILITE.EWMA($AF$137,dfactor,Z38,AF139)</f>
        <v>#VALUE!</v>
      </c>
      <c r="AI38" s="237">
        <f t="shared" ref="AI38:AI81" si="3">IF(OR(AA38=0,AB38=0),0.0001,AF38-AC38)</f>
        <v>1E-4</v>
      </c>
      <c r="AJ38" s="252" t="e">
        <f>_xll.MOYENNE.EWMA($AI$137,dfactor,Z38,AI139)-2*_xll.VOLATILITE.EWMA($AI$137,dfactor,Z38,AI139)</f>
        <v>#VALUE!</v>
      </c>
      <c r="AK38" s="252" t="e">
        <f>_xll.MOYENNE.EWMA($AI$137,dfactor,Z38,AI139)+2*_xll.VOLATILITE.EWMA($AI$137,dfactor,Z38,AI139)</f>
        <v>#VALUE!</v>
      </c>
    </row>
    <row r="39" spans="2:37" ht="12" customHeight="1" x14ac:dyDescent="0.3">
      <c r="B39" s="244"/>
      <c r="C39" s="254" t="e">
        <f>_xll.SWAP.TAUX.FIXE.EQUIVALENT("ASW_" &amp; isin2,"FXD_" &amp; isin2,swap_curve,[1]contrôles!$B$32)</f>
        <v>#VALUE!</v>
      </c>
      <c r="D39" s="245"/>
      <c r="E39" s="253"/>
      <c r="I39" s="329" t="str">
        <f>titre2</f>
        <v>T1,75 08/12</v>
      </c>
      <c r="J39" s="332">
        <f>IF(K39="",100,K39)</f>
        <v>315</v>
      </c>
      <c r="K39" s="301">
        <v>315</v>
      </c>
      <c r="L39" s="293"/>
      <c r="N39" s="287"/>
      <c r="O39" s="278" t="s">
        <v>795</v>
      </c>
      <c r="P39" s="289" t="e">
        <f>IF(P38=0,"-",IF(P38&gt;0,-200*((((1+semi2/200)^D20)/((1+semi1/200)^K20))^(1/_xll.FRAC.ANNEE.FINANCE(maturity2,maturity1,"ACT/ACT"))-1),-200*((((1+semi1/200)^K20)/((1+semi2/200)^D20))^(1/_xll.FRAC.ANNEE.FINANCE(maturity1,maturity2,"ACT/ACT"))-1)))</f>
        <v>#NAME?</v>
      </c>
      <c r="Q39" s="290"/>
      <c r="U39" s="207"/>
      <c r="Z39" s="247" t="e">
        <f ca="1">_xll.JOURS.OUVRES.FINANCE($Z38,"USD",-1)</f>
        <v>#NAME?</v>
      </c>
      <c r="AA39" s="248"/>
      <c r="AB39" s="248"/>
      <c r="AC39" s="249">
        <f t="shared" si="2"/>
        <v>0</v>
      </c>
      <c r="AD39" s="250" t="e">
        <f>_xll.MOYENNE.EWMA($AC$137,dfactor,Z39,AC140)-2*_xll.VOLATILITE.EWMA($AC$137,dfactor,Z39,AC140)</f>
        <v>#VALUE!</v>
      </c>
      <c r="AE39" s="250" t="e">
        <f>_xll.MOYENNE.EWMA($AC$137,dfactor,Z39,AC140)+2*_xll.VOLATILITE.EWMA($AC$137,dfactor,Z39,AC140)</f>
        <v>#VALUE!</v>
      </c>
      <c r="AF39" s="240" t="e">
        <f t="shared" si="0"/>
        <v>#VALUE!</v>
      </c>
      <c r="AG39" s="251" t="e">
        <f>_xll.MOYENNE.EWMA($AF$137,dfactor,Z39,AF140)-2*_xll.VOLATILITE.EWMA($AF$137,dfactor,Z39,AF140)</f>
        <v>#VALUE!</v>
      </c>
      <c r="AH39" s="251" t="e">
        <f>_xll.MOYENNE.EWMA($AF$137,dfactor,Z39,AF140)+2*_xll.VOLATILITE.EWMA($AF$137,dfactor,Z39,AF140)</f>
        <v>#VALUE!</v>
      </c>
      <c r="AI39" s="237">
        <f t="shared" si="3"/>
        <v>1E-4</v>
      </c>
      <c r="AJ39" s="252" t="e">
        <f>_xll.MOYENNE.EWMA($AI$137,dfactor,Z39,AI140)-2*_xll.VOLATILITE.EWMA($AI$137,dfactor,Z39,AI140)</f>
        <v>#VALUE!</v>
      </c>
      <c r="AK39" s="252" t="e">
        <f>_xll.MOYENNE.EWMA($AI$137,dfactor,Z39,AI140)+2*_xll.VOLATILITE.EWMA($AI$137,dfactor,Z39,AI140)</f>
        <v>#VALUE!</v>
      </c>
    </row>
    <row r="40" spans="2:37" ht="12" customHeight="1" x14ac:dyDescent="0.3">
      <c r="B40" s="244"/>
      <c r="C40" s="255" t="e">
        <f>_xll.SWAP.TAUX.FIXE.EQUIVALENT("ASW_" &amp; isin1,"FXD_" &amp; isin1,swap_curve,[1]contrôles!$B$32)</f>
        <v>#VALUE!</v>
      </c>
      <c r="D40" s="245"/>
      <c r="E40" s="253"/>
      <c r="I40" s="333" t="str">
        <f>titre1</f>
        <v>T0,75 05/12</v>
      </c>
      <c r="J40" s="332" t="e">
        <f>IF(K40="",J39*duration2/duration1,K40)</f>
        <v>#VALUE!</v>
      </c>
      <c r="K40" s="327"/>
      <c r="L40" s="290"/>
      <c r="N40" s="287"/>
      <c r="O40" s="291" t="s">
        <v>796</v>
      </c>
      <c r="P40" s="292" t="e">
        <f>IF(maturity2&lt;maturity1,_xll.COURBE.TAUX.FORWARD(curve_name,maturity2,maturity1,cTrueYield,[1]contrôles!B10),_xll.COURBE.TAUX.FORWARD(curve_name,maturity1,maturity2,cTrueYield,[1]contrôles!B10))</f>
        <v>#NAME?</v>
      </c>
      <c r="Q40" s="293"/>
      <c r="Z40" s="247" t="e">
        <f ca="1">_xll.JOURS.OUVRES.FINANCE($Z39,"USD",-1)</f>
        <v>#NAME?</v>
      </c>
      <c r="AA40" s="248"/>
      <c r="AB40" s="248"/>
      <c r="AC40" s="249">
        <f t="shared" si="2"/>
        <v>0</v>
      </c>
      <c r="AD40" s="250" t="e">
        <f>_xll.MOYENNE.EWMA($AC$137,dfactor,Z40,AC141)-2*_xll.VOLATILITE.EWMA($AC$137,dfactor,Z40,AC141)</f>
        <v>#VALUE!</v>
      </c>
      <c r="AE40" s="250" t="e">
        <f>_xll.MOYENNE.EWMA($AC$137,dfactor,Z40,AC141)+2*_xll.VOLATILITE.EWMA($AC$137,dfactor,Z40,AC141)</f>
        <v>#VALUE!</v>
      </c>
      <c r="AF40" s="240" t="e">
        <f t="shared" si="0"/>
        <v>#VALUE!</v>
      </c>
      <c r="AG40" s="251" t="e">
        <f>_xll.MOYENNE.EWMA($AF$137,dfactor,Z40,AF141)-2*_xll.VOLATILITE.EWMA($AF$137,dfactor,Z40,AF141)</f>
        <v>#VALUE!</v>
      </c>
      <c r="AH40" s="251" t="e">
        <f>_xll.MOYENNE.EWMA($AF$137,dfactor,Z40,AF141)+2*_xll.VOLATILITE.EWMA($AF$137,dfactor,Z40,AF141)</f>
        <v>#VALUE!</v>
      </c>
      <c r="AI40" s="237">
        <f t="shared" si="3"/>
        <v>1E-4</v>
      </c>
      <c r="AJ40" s="252" t="e">
        <f>_xll.MOYENNE.EWMA($AI$137,dfactor,Z40,AI141)-2*_xll.VOLATILITE.EWMA($AI$137,dfactor,Z40,AI141)</f>
        <v>#VALUE!</v>
      </c>
      <c r="AK40" s="252" t="e">
        <f>_xll.MOYENNE.EWMA($AI$137,dfactor,Z40,AI141)+2*_xll.VOLATILITE.EWMA($AI$137,dfactor,Z40,AI141)</f>
        <v>#VALUE!</v>
      </c>
    </row>
    <row r="41" spans="2:37" x14ac:dyDescent="0.3">
      <c r="B41" s="244"/>
      <c r="C41" s="245"/>
      <c r="D41" s="245"/>
      <c r="E41" s="257"/>
      <c r="I41" s="334"/>
      <c r="J41" s="335"/>
      <c r="K41" s="336"/>
      <c r="L41" s="290"/>
      <c r="N41" s="287"/>
      <c r="O41" s="291" t="s">
        <v>797</v>
      </c>
      <c r="P41" s="292" t="e">
        <f>IF(maturity2&lt;maturity1,_xll.COURBE.TAUX.FORWARD(swap_curve,maturity2,maturity1,cTrueYield,[1]contrôles!B32),_xll.COURBE.TAUX.FORWARD(swap_curve,maturity1,maturity2,cTrueYield,[1]contrôles!B32))</f>
        <v>#NAME?</v>
      </c>
      <c r="Q41" s="281"/>
      <c r="W41" s="256"/>
      <c r="Z41" s="247" t="e">
        <f ca="1">_xll.JOURS.OUVRES.FINANCE($Z40,"USD",-1)</f>
        <v>#NAME?</v>
      </c>
      <c r="AA41" s="248"/>
      <c r="AB41" s="248"/>
      <c r="AC41" s="249">
        <f t="shared" si="2"/>
        <v>0</v>
      </c>
      <c r="AD41" s="250" t="e">
        <f>_xll.MOYENNE.EWMA($AC$137,dfactor,Z41,AC142)-2*_xll.VOLATILITE.EWMA($AC$137,dfactor,Z41,AC142)</f>
        <v>#VALUE!</v>
      </c>
      <c r="AE41" s="250" t="e">
        <f>_xll.MOYENNE.EWMA($AC$137,dfactor,Z41,AC142)+2*_xll.VOLATILITE.EWMA($AC$137,dfactor,Z41,AC142)</f>
        <v>#VALUE!</v>
      </c>
      <c r="AF41" s="240" t="e">
        <f t="shared" si="0"/>
        <v>#VALUE!</v>
      </c>
      <c r="AG41" s="251" t="e">
        <f>_xll.MOYENNE.EWMA($AF$137,dfactor,Z41,AF142)-2*_xll.VOLATILITE.EWMA($AF$137,dfactor,Z41,AF142)</f>
        <v>#VALUE!</v>
      </c>
      <c r="AH41" s="251" t="e">
        <f>_xll.MOYENNE.EWMA($AF$137,dfactor,Z41,AF142)+2*_xll.VOLATILITE.EWMA($AF$137,dfactor,Z41,AF142)</f>
        <v>#VALUE!</v>
      </c>
      <c r="AI41" s="237">
        <f t="shared" si="3"/>
        <v>1E-4</v>
      </c>
      <c r="AJ41" s="252" t="e">
        <f>_xll.MOYENNE.EWMA($AI$137,dfactor,Z41,AI142)-2*_xll.VOLATILITE.EWMA($AI$137,dfactor,Z41,AI142)</f>
        <v>#VALUE!</v>
      </c>
      <c r="AK41" s="252" t="e">
        <f>_xll.MOYENNE.EWMA($AI$137,dfactor,Z41,AI142)+2*_xll.VOLATILITE.EWMA($AI$137,dfactor,Z41,AI142)</f>
        <v>#VALUE!</v>
      </c>
    </row>
    <row r="42" spans="2:37" x14ac:dyDescent="0.3">
      <c r="B42" s="244"/>
      <c r="C42" s="258" t="s">
        <v>799</v>
      </c>
      <c r="D42" s="245"/>
      <c r="E42" s="253"/>
      <c r="I42" s="329"/>
      <c r="J42" s="337" t="s">
        <v>800</v>
      </c>
      <c r="K42" s="285" t="e">
        <f>(J39+J40)*3/100*eurdol</f>
        <v>#VALUE!</v>
      </c>
      <c r="L42" s="290"/>
      <c r="N42" s="287"/>
      <c r="O42" s="294" t="s">
        <v>798</v>
      </c>
      <c r="P42" s="285" t="e">
        <f>K15-D15</f>
        <v>#VALUE!</v>
      </c>
      <c r="Q42" s="286" t="s">
        <v>750</v>
      </c>
      <c r="Z42" s="247" t="e">
        <f ca="1">_xll.JOURS.OUVRES.FINANCE($Z41,"USD",-1)</f>
        <v>#NAME?</v>
      </c>
      <c r="AA42" s="248"/>
      <c r="AB42" s="248"/>
      <c r="AC42" s="249">
        <f t="shared" si="2"/>
        <v>0</v>
      </c>
      <c r="AD42" s="250" t="e">
        <f>_xll.MOYENNE.EWMA($AC$137,dfactor,Z42,AC143)-2*_xll.VOLATILITE.EWMA($AC$137,dfactor,Z42,AC143)</f>
        <v>#VALUE!</v>
      </c>
      <c r="AE42" s="250" t="e">
        <f>_xll.MOYENNE.EWMA($AC$137,dfactor,Z42,AC143)+2*_xll.VOLATILITE.EWMA($AC$137,dfactor,Z42,AC143)</f>
        <v>#VALUE!</v>
      </c>
      <c r="AF42" s="240" t="e">
        <f t="shared" si="0"/>
        <v>#VALUE!</v>
      </c>
      <c r="AG42" s="251" t="e">
        <f>_xll.MOYENNE.EWMA($AF$137,dfactor,Z42,AF143)-2*_xll.VOLATILITE.EWMA($AF$137,dfactor,Z42,AF143)</f>
        <v>#VALUE!</v>
      </c>
      <c r="AH42" s="251" t="e">
        <f>_xll.MOYENNE.EWMA($AF$137,dfactor,Z42,AF143)+2*_xll.VOLATILITE.EWMA($AF$137,dfactor,Z42,AF143)</f>
        <v>#VALUE!</v>
      </c>
      <c r="AI42" s="237">
        <f t="shared" si="3"/>
        <v>1E-4</v>
      </c>
      <c r="AJ42" s="252" t="e">
        <f>_xll.MOYENNE.EWMA($AI$137,dfactor,Z42,AI143)-2*_xll.VOLATILITE.EWMA($AI$137,dfactor,Z42,AI143)</f>
        <v>#VALUE!</v>
      </c>
      <c r="AK42" s="252" t="e">
        <f>_xll.MOYENNE.EWMA($AI$137,dfactor,Z42,AI143)+2*_xll.VOLATILITE.EWMA($AI$137,dfactor,Z42,AI143)</f>
        <v>#VALUE!</v>
      </c>
    </row>
    <row r="43" spans="2:37" ht="10.55" thickBot="1" x14ac:dyDescent="0.35">
      <c r="B43" s="259"/>
      <c r="C43" s="260"/>
      <c r="D43" s="260"/>
      <c r="E43" s="261"/>
      <c r="I43" s="338"/>
      <c r="J43" s="299"/>
      <c r="K43" s="299"/>
      <c r="L43" s="325"/>
      <c r="N43" s="287"/>
      <c r="O43" s="295" t="s">
        <v>801</v>
      </c>
      <c r="P43" s="285" t="e">
        <f>IF(OR(D16="-",K16="-"),"-",K16-D16)</f>
        <v>#NAME?</v>
      </c>
      <c r="Q43" s="286" t="s">
        <v>750</v>
      </c>
      <c r="Z43" s="247" t="e">
        <f ca="1">_xll.JOURS.OUVRES.FINANCE($Z42,"USD",-1)</f>
        <v>#NAME?</v>
      </c>
      <c r="AA43" s="248"/>
      <c r="AB43" s="248"/>
      <c r="AC43" s="249">
        <f t="shared" si="2"/>
        <v>0</v>
      </c>
      <c r="AD43" s="250" t="e">
        <f>_xll.MOYENNE.EWMA($AC$137,dfactor,Z43,AC144)-2*_xll.VOLATILITE.EWMA($AC$137,dfactor,Z43,AC144)</f>
        <v>#VALUE!</v>
      </c>
      <c r="AE43" s="250" t="e">
        <f>_xll.MOYENNE.EWMA($AC$137,dfactor,Z43,AC144)+2*_xll.VOLATILITE.EWMA($AC$137,dfactor,Z43,AC144)</f>
        <v>#VALUE!</v>
      </c>
      <c r="AF43" s="240" t="e">
        <f t="shared" si="0"/>
        <v>#VALUE!</v>
      </c>
      <c r="AG43" s="251" t="e">
        <f>_xll.MOYENNE.EWMA($AF$137,dfactor,Z43,AF144)-2*_xll.VOLATILITE.EWMA($AF$137,dfactor,Z43,AF144)</f>
        <v>#VALUE!</v>
      </c>
      <c r="AH43" s="251" t="e">
        <f>_xll.MOYENNE.EWMA($AF$137,dfactor,Z43,AF144)+2*_xll.VOLATILITE.EWMA($AF$137,dfactor,Z43,AF144)</f>
        <v>#VALUE!</v>
      </c>
      <c r="AI43" s="237">
        <f t="shared" si="3"/>
        <v>1E-4</v>
      </c>
      <c r="AJ43" s="252" t="e">
        <f>_xll.MOYENNE.EWMA($AI$137,dfactor,Z43,AI144)-2*_xll.VOLATILITE.EWMA($AI$137,dfactor,Z43,AI144)</f>
        <v>#VALUE!</v>
      </c>
      <c r="AK43" s="252" t="e">
        <f>_xll.MOYENNE.EWMA($AI$137,dfactor,Z43,AI144)+2*_xll.VOLATILITE.EWMA($AI$137,dfactor,Z43,AI144)</f>
        <v>#VALUE!</v>
      </c>
    </row>
    <row r="44" spans="2:37" ht="10.55" thickBot="1" x14ac:dyDescent="0.35">
      <c r="N44" s="296"/>
      <c r="O44" s="297"/>
      <c r="P44" s="297"/>
      <c r="Q44" s="298"/>
      <c r="Z44" s="247" t="e">
        <f ca="1">_xll.JOURS.OUVRES.FINANCE($Z43,"USD",-1)</f>
        <v>#NAME?</v>
      </c>
      <c r="AA44" s="248"/>
      <c r="AB44" s="248"/>
      <c r="AC44" s="249">
        <f t="shared" si="2"/>
        <v>0</v>
      </c>
      <c r="AD44" s="250" t="e">
        <f>_xll.MOYENNE.EWMA($AC$137,dfactor,Z44,AC145)-2*_xll.VOLATILITE.EWMA($AC$137,dfactor,Z44,AC145)</f>
        <v>#VALUE!</v>
      </c>
      <c r="AE44" s="250" t="e">
        <f>_xll.MOYENNE.EWMA($AC$137,dfactor,Z44,AC145)+2*_xll.VOLATILITE.EWMA($AC$137,dfactor,Z44,AC145)</f>
        <v>#VALUE!</v>
      </c>
      <c r="AF44" s="240" t="e">
        <f t="shared" si="0"/>
        <v>#VALUE!</v>
      </c>
      <c r="AG44" s="251" t="e">
        <f>_xll.MOYENNE.EWMA($AF$137,dfactor,Z44,AF145)-2*_xll.VOLATILITE.EWMA($AF$137,dfactor,Z44,AF145)</f>
        <v>#VALUE!</v>
      </c>
      <c r="AH44" s="251" t="e">
        <f>_xll.MOYENNE.EWMA($AF$137,dfactor,Z44,AF145)+2*_xll.VOLATILITE.EWMA($AF$137,dfactor,Z44,AF145)</f>
        <v>#VALUE!</v>
      </c>
      <c r="AI44" s="237">
        <f t="shared" si="3"/>
        <v>1E-4</v>
      </c>
      <c r="AJ44" s="252" t="e">
        <f>_xll.MOYENNE.EWMA($AI$137,dfactor,Z44,AI145)-2*_xll.VOLATILITE.EWMA($AI$137,dfactor,Z44,AI145)</f>
        <v>#VALUE!</v>
      </c>
      <c r="AK44" s="252" t="e">
        <f>_xll.MOYENNE.EWMA($AI$137,dfactor,Z44,AI145)+2*_xll.VOLATILITE.EWMA($AI$137,dfactor,Z44,AI145)</f>
        <v>#VALUE!</v>
      </c>
    </row>
    <row r="45" spans="2:37" x14ac:dyDescent="0.3">
      <c r="Z45" s="247" t="e">
        <f ca="1">_xll.JOURS.OUVRES.FINANCE($Z44,"USD",-1)</f>
        <v>#NAME?</v>
      </c>
      <c r="AA45" s="248"/>
      <c r="AB45" s="248"/>
      <c r="AC45" s="249">
        <f t="shared" si="2"/>
        <v>0</v>
      </c>
      <c r="AD45" s="250" t="e">
        <f>_xll.MOYENNE.EWMA($AC$137,dfactor,Z45,AC146)-2*_xll.VOLATILITE.EWMA($AC$137,dfactor,Z45,AC146)</f>
        <v>#VALUE!</v>
      </c>
      <c r="AE45" s="250" t="e">
        <f>_xll.MOYENNE.EWMA($AC$137,dfactor,Z45,AC146)+2*_xll.VOLATILITE.EWMA($AC$137,dfactor,Z45,AC146)</f>
        <v>#VALUE!</v>
      </c>
      <c r="AF45" s="240" t="e">
        <f t="shared" si="0"/>
        <v>#VALUE!</v>
      </c>
      <c r="AG45" s="251" t="e">
        <f>_xll.MOYENNE.EWMA($AF$137,dfactor,Z45,AF146)-2*_xll.VOLATILITE.EWMA($AF$137,dfactor,Z45,AF146)</f>
        <v>#VALUE!</v>
      </c>
      <c r="AH45" s="251" t="e">
        <f>_xll.MOYENNE.EWMA($AF$137,dfactor,Z45,AF146)+2*_xll.VOLATILITE.EWMA($AF$137,dfactor,Z45,AF146)</f>
        <v>#VALUE!</v>
      </c>
      <c r="AI45" s="237">
        <f t="shared" si="3"/>
        <v>1E-4</v>
      </c>
      <c r="AJ45" s="252" t="e">
        <f>_xll.MOYENNE.EWMA($AI$137,dfactor,Z45,AI146)-2*_xll.VOLATILITE.EWMA($AI$137,dfactor,Z45,AI146)</f>
        <v>#VALUE!</v>
      </c>
      <c r="AK45" s="252" t="e">
        <f>_xll.MOYENNE.EWMA($AI$137,dfactor,Z45,AI146)+2*_xll.VOLATILITE.EWMA($AI$137,dfactor,Z45,AI146)</f>
        <v>#VALUE!</v>
      </c>
    </row>
    <row r="46" spans="2:37" x14ac:dyDescent="0.3">
      <c r="Z46" s="247" t="e">
        <f ca="1">_xll.JOURS.OUVRES.FINANCE($Z45,"USD",-1)</f>
        <v>#NAME?</v>
      </c>
      <c r="AA46" s="248"/>
      <c r="AB46" s="248"/>
      <c r="AC46" s="249">
        <f t="shared" si="2"/>
        <v>0</v>
      </c>
      <c r="AD46" s="250" t="e">
        <f>_xll.MOYENNE.EWMA($AC$137,dfactor,Z46,AC147)-2*_xll.VOLATILITE.EWMA($AC$137,dfactor,Z46,AC147)</f>
        <v>#VALUE!</v>
      </c>
      <c r="AE46" s="250" t="e">
        <f>_xll.MOYENNE.EWMA($AC$137,dfactor,Z46,AC147)+2*_xll.VOLATILITE.EWMA($AC$137,dfactor,Z46,AC147)</f>
        <v>#VALUE!</v>
      </c>
      <c r="AF46" s="240" t="e">
        <f t="shared" si="0"/>
        <v>#VALUE!</v>
      </c>
      <c r="AG46" s="251" t="e">
        <f>_xll.MOYENNE.EWMA($AF$137,dfactor,Z46,AF147)-2*_xll.VOLATILITE.EWMA($AF$137,dfactor,Z46,AF147)</f>
        <v>#VALUE!</v>
      </c>
      <c r="AH46" s="251" t="e">
        <f>_xll.MOYENNE.EWMA($AF$137,dfactor,Z46,AF147)+2*_xll.VOLATILITE.EWMA($AF$137,dfactor,Z46,AF147)</f>
        <v>#VALUE!</v>
      </c>
      <c r="AI46" s="237">
        <f t="shared" si="3"/>
        <v>1E-4</v>
      </c>
      <c r="AJ46" s="252" t="e">
        <f>_xll.MOYENNE.EWMA($AI$137,dfactor,Z46,AI147)-2*_xll.VOLATILITE.EWMA($AI$137,dfactor,Z46,AI147)</f>
        <v>#VALUE!</v>
      </c>
      <c r="AK46" s="252" t="e">
        <f>_xll.MOYENNE.EWMA($AI$137,dfactor,Z46,AI147)+2*_xll.VOLATILITE.EWMA($AI$137,dfactor,Z46,AI147)</f>
        <v>#VALUE!</v>
      </c>
    </row>
    <row r="47" spans="2:37" x14ac:dyDescent="0.3">
      <c r="E47" s="262"/>
      <c r="I47" s="263"/>
      <c r="J47" s="264"/>
      <c r="L47" s="263"/>
      <c r="W47" s="256"/>
      <c r="Z47" s="247" t="e">
        <f ca="1">_xll.JOURS.OUVRES.FINANCE($Z46,"USD",-1)</f>
        <v>#NAME?</v>
      </c>
      <c r="AA47" s="248"/>
      <c r="AB47" s="248"/>
      <c r="AC47" s="249">
        <f t="shared" si="2"/>
        <v>0</v>
      </c>
      <c r="AD47" s="250" t="e">
        <f>_xll.MOYENNE.EWMA($AC$137,dfactor,Z47,AC148)-2*_xll.VOLATILITE.EWMA($AC$137,dfactor,Z47,AC148)</f>
        <v>#VALUE!</v>
      </c>
      <c r="AE47" s="250" t="e">
        <f>_xll.MOYENNE.EWMA($AC$137,dfactor,Z47,AC148)+2*_xll.VOLATILITE.EWMA($AC$137,dfactor,Z47,AC148)</f>
        <v>#VALUE!</v>
      </c>
      <c r="AF47" s="240" t="e">
        <f t="shared" si="0"/>
        <v>#VALUE!</v>
      </c>
      <c r="AG47" s="251" t="e">
        <f>_xll.MOYENNE.EWMA($AF$137,dfactor,Z47,AF148)-2*_xll.VOLATILITE.EWMA($AF$137,dfactor,Z47,AF148)</f>
        <v>#VALUE!</v>
      </c>
      <c r="AH47" s="251" t="e">
        <f>_xll.MOYENNE.EWMA($AF$137,dfactor,Z47,AF148)+2*_xll.VOLATILITE.EWMA($AF$137,dfactor,Z47,AF148)</f>
        <v>#VALUE!</v>
      </c>
      <c r="AI47" s="237">
        <f t="shared" si="3"/>
        <v>1E-4</v>
      </c>
      <c r="AJ47" s="252" t="e">
        <f>_xll.MOYENNE.EWMA($AI$137,dfactor,Z47,AI148)-2*_xll.VOLATILITE.EWMA($AI$137,dfactor,Z47,AI148)</f>
        <v>#VALUE!</v>
      </c>
      <c r="AK47" s="252" t="e">
        <f>_xll.MOYENNE.EWMA($AI$137,dfactor,Z47,AI148)+2*_xll.VOLATILITE.EWMA($AI$137,dfactor,Z47,AI148)</f>
        <v>#VALUE!</v>
      </c>
    </row>
    <row r="48" spans="2:37" x14ac:dyDescent="0.3">
      <c r="I48" s="265"/>
      <c r="J48" s="265"/>
      <c r="K48" s="263"/>
      <c r="L48" s="263"/>
      <c r="U48" s="207"/>
      <c r="Z48" s="247" t="e">
        <f ca="1">_xll.JOURS.OUVRES.FINANCE($Z47,"USD",-1)</f>
        <v>#NAME?</v>
      </c>
      <c r="AA48" s="248"/>
      <c r="AB48" s="248"/>
      <c r="AC48" s="249">
        <f t="shared" si="2"/>
        <v>0</v>
      </c>
      <c r="AD48" s="250" t="e">
        <f>_xll.MOYENNE.EWMA($AC$137,dfactor,Z48,AC149)-2*_xll.VOLATILITE.EWMA($AC$137,dfactor,Z48,AC149)</f>
        <v>#VALUE!</v>
      </c>
      <c r="AE48" s="250" t="e">
        <f>_xll.MOYENNE.EWMA($AC$137,dfactor,Z48,AC149)+2*_xll.VOLATILITE.EWMA($AC$137,dfactor,Z48,AC149)</f>
        <v>#VALUE!</v>
      </c>
      <c r="AF48" s="240" t="e">
        <f t="shared" si="0"/>
        <v>#VALUE!</v>
      </c>
      <c r="AG48" s="251" t="e">
        <f>_xll.MOYENNE.EWMA($AF$137,dfactor,Z48,AF149)-2*_xll.VOLATILITE.EWMA($AF$137,dfactor,Z48,AF149)</f>
        <v>#VALUE!</v>
      </c>
      <c r="AH48" s="251" t="e">
        <f>_xll.MOYENNE.EWMA($AF$137,dfactor,Z48,AF149)+2*_xll.VOLATILITE.EWMA($AF$137,dfactor,Z48,AF149)</f>
        <v>#VALUE!</v>
      </c>
      <c r="AI48" s="237">
        <f t="shared" si="3"/>
        <v>1E-4</v>
      </c>
      <c r="AJ48" s="252" t="e">
        <f>_xll.MOYENNE.EWMA($AI$137,dfactor,Z48,AI149)-2*_xll.VOLATILITE.EWMA($AI$137,dfactor,Z48,AI149)</f>
        <v>#VALUE!</v>
      </c>
      <c r="AK48" s="252" t="e">
        <f>_xll.MOYENNE.EWMA($AI$137,dfactor,Z48,AI149)+2*_xll.VOLATILITE.EWMA($AI$137,dfactor,Z48,AI149)</f>
        <v>#VALUE!</v>
      </c>
    </row>
    <row r="49" spans="3:37" x14ac:dyDescent="0.3">
      <c r="I49" s="262"/>
      <c r="J49" s="265"/>
      <c r="K49" s="263"/>
      <c r="N49" s="266"/>
      <c r="Z49" s="247" t="e">
        <f ca="1">_xll.JOURS.OUVRES.FINANCE($Z48,"USD",-1)</f>
        <v>#NAME?</v>
      </c>
      <c r="AA49" s="248"/>
      <c r="AB49" s="248"/>
      <c r="AC49" s="249">
        <f t="shared" si="2"/>
        <v>0</v>
      </c>
      <c r="AD49" s="250" t="e">
        <f>_xll.MOYENNE.EWMA($AC$137,dfactor,Z49,AC150)-2*_xll.VOLATILITE.EWMA($AC$137,dfactor,Z49,AC150)</f>
        <v>#VALUE!</v>
      </c>
      <c r="AE49" s="250" t="e">
        <f>_xll.MOYENNE.EWMA($AC$137,dfactor,Z49,AC150)+2*_xll.VOLATILITE.EWMA($AC$137,dfactor,Z49,AC150)</f>
        <v>#VALUE!</v>
      </c>
      <c r="AF49" s="240" t="e">
        <f t="shared" si="0"/>
        <v>#VALUE!</v>
      </c>
      <c r="AG49" s="251" t="e">
        <f>_xll.MOYENNE.EWMA($AF$137,dfactor,Z49,AF150)-2*_xll.VOLATILITE.EWMA($AF$137,dfactor,Z49,AF150)</f>
        <v>#VALUE!</v>
      </c>
      <c r="AH49" s="251" t="e">
        <f>_xll.MOYENNE.EWMA($AF$137,dfactor,Z49,AF150)+2*_xll.VOLATILITE.EWMA($AF$137,dfactor,Z49,AF150)</f>
        <v>#VALUE!</v>
      </c>
      <c r="AI49" s="237">
        <f t="shared" si="3"/>
        <v>1E-4</v>
      </c>
      <c r="AJ49" s="252" t="e">
        <f>_xll.MOYENNE.EWMA($AI$137,dfactor,Z49,AI150)-2*_xll.VOLATILITE.EWMA($AI$137,dfactor,Z49,AI150)</f>
        <v>#VALUE!</v>
      </c>
      <c r="AK49" s="252" t="e">
        <f>_xll.MOYENNE.EWMA($AI$137,dfactor,Z49,AI150)+2*_xll.VOLATILITE.EWMA($AI$137,dfactor,Z49,AI150)</f>
        <v>#VALUE!</v>
      </c>
    </row>
    <row r="50" spans="3:37" ht="11.25" customHeight="1" x14ac:dyDescent="0.3">
      <c r="J50" s="267"/>
      <c r="Z50" s="247" t="e">
        <f ca="1">_xll.JOURS.OUVRES.FINANCE($Z49,"USD",-1)</f>
        <v>#NAME?</v>
      </c>
      <c r="AA50" s="248"/>
      <c r="AB50" s="248"/>
      <c r="AC50" s="249">
        <f t="shared" si="2"/>
        <v>0</v>
      </c>
      <c r="AD50" s="250" t="e">
        <f>_xll.MOYENNE.EWMA($AC$137,dfactor,Z50,AC151)-2*_xll.VOLATILITE.EWMA($AC$137,dfactor,Z50,AC151)</f>
        <v>#VALUE!</v>
      </c>
      <c r="AE50" s="250" t="e">
        <f>_xll.MOYENNE.EWMA($AC$137,dfactor,Z50,AC151)+2*_xll.VOLATILITE.EWMA($AC$137,dfactor,Z50,AC151)</f>
        <v>#VALUE!</v>
      </c>
      <c r="AF50" s="240" t="e">
        <f t="shared" si="0"/>
        <v>#VALUE!</v>
      </c>
      <c r="AG50" s="251" t="e">
        <f>_xll.MOYENNE.EWMA($AF$137,dfactor,Z50,AF151)-2*_xll.VOLATILITE.EWMA($AF$137,dfactor,Z50,AF151)</f>
        <v>#VALUE!</v>
      </c>
      <c r="AH50" s="251" t="e">
        <f>_xll.MOYENNE.EWMA($AF$137,dfactor,Z50,AF151)+2*_xll.VOLATILITE.EWMA($AF$137,dfactor,Z50,AF151)</f>
        <v>#VALUE!</v>
      </c>
      <c r="AI50" s="237">
        <f t="shared" si="3"/>
        <v>1E-4</v>
      </c>
      <c r="AJ50" s="252" t="e">
        <f>_xll.MOYENNE.EWMA($AI$137,dfactor,Z50,AI151)-2*_xll.VOLATILITE.EWMA($AI$137,dfactor,Z50,AI151)</f>
        <v>#VALUE!</v>
      </c>
      <c r="AK50" s="252" t="e">
        <f>_xll.MOYENNE.EWMA($AI$137,dfactor,Z50,AI151)+2*_xll.VOLATILITE.EWMA($AI$137,dfactor,Z50,AI151)</f>
        <v>#VALUE!</v>
      </c>
    </row>
    <row r="51" spans="3:37" ht="11.25" customHeight="1" x14ac:dyDescent="0.3">
      <c r="J51" s="267"/>
      <c r="Z51" s="247" t="e">
        <f ca="1">_xll.JOURS.OUVRES.FINANCE($Z50,"USD",-1)</f>
        <v>#NAME?</v>
      </c>
      <c r="AA51" s="248"/>
      <c r="AB51" s="248"/>
      <c r="AC51" s="249">
        <f t="shared" si="2"/>
        <v>0</v>
      </c>
      <c r="AD51" s="250" t="e">
        <f>_xll.MOYENNE.EWMA($AC$137,dfactor,Z51,AC152)-2*_xll.VOLATILITE.EWMA($AC$137,dfactor,Z51,AC152)</f>
        <v>#VALUE!</v>
      </c>
      <c r="AE51" s="250" t="e">
        <f>_xll.MOYENNE.EWMA($AC$137,dfactor,Z51,AC152)+2*_xll.VOLATILITE.EWMA($AC$137,dfactor,Z51,AC152)</f>
        <v>#VALUE!</v>
      </c>
      <c r="AF51" s="240" t="e">
        <f t="shared" si="0"/>
        <v>#VALUE!</v>
      </c>
      <c r="AG51" s="251" t="e">
        <f>_xll.MOYENNE.EWMA($AF$137,dfactor,Z51,AF152)-2*_xll.VOLATILITE.EWMA($AF$137,dfactor,Z51,AF152)</f>
        <v>#VALUE!</v>
      </c>
      <c r="AH51" s="251" t="e">
        <f>_xll.MOYENNE.EWMA($AF$137,dfactor,Z51,AF152)+2*_xll.VOLATILITE.EWMA($AF$137,dfactor,Z51,AF152)</f>
        <v>#VALUE!</v>
      </c>
      <c r="AI51" s="237">
        <f t="shared" si="3"/>
        <v>1E-4</v>
      </c>
      <c r="AJ51" s="252" t="e">
        <f>_xll.MOYENNE.EWMA($AI$137,dfactor,Z51,AI152)-2*_xll.VOLATILITE.EWMA($AI$137,dfactor,Z51,AI152)</f>
        <v>#VALUE!</v>
      </c>
      <c r="AK51" s="252" t="e">
        <f>_xll.MOYENNE.EWMA($AI$137,dfactor,Z51,AI152)+2*_xll.VOLATILITE.EWMA($AI$137,dfactor,Z51,AI152)</f>
        <v>#VALUE!</v>
      </c>
    </row>
    <row r="52" spans="3:37" x14ac:dyDescent="0.3">
      <c r="J52" s="267"/>
      <c r="Z52" s="247" t="e">
        <f ca="1">_xll.JOURS.OUVRES.FINANCE($Z51,"USD",-1)</f>
        <v>#NAME?</v>
      </c>
      <c r="AA52" s="248"/>
      <c r="AB52" s="248"/>
      <c r="AC52" s="249">
        <f t="shared" si="2"/>
        <v>0</v>
      </c>
      <c r="AD52" s="250" t="e">
        <f>_xll.MOYENNE.EWMA($AC$137,dfactor,Z52,AC153)-2*_xll.VOLATILITE.EWMA($AC$137,dfactor,Z52,AC153)</f>
        <v>#VALUE!</v>
      </c>
      <c r="AE52" s="250" t="e">
        <f>_xll.MOYENNE.EWMA($AC$137,dfactor,Z52,AC153)+2*_xll.VOLATILITE.EWMA($AC$137,dfactor,Z52,AC153)</f>
        <v>#VALUE!</v>
      </c>
      <c r="AF52" s="240" t="e">
        <f t="shared" si="0"/>
        <v>#VALUE!</v>
      </c>
      <c r="AG52" s="251" t="e">
        <f>_xll.MOYENNE.EWMA($AF$137,dfactor,Z52,AF153)-2*_xll.VOLATILITE.EWMA($AF$137,dfactor,Z52,AF153)</f>
        <v>#VALUE!</v>
      </c>
      <c r="AH52" s="251" t="e">
        <f>_xll.MOYENNE.EWMA($AF$137,dfactor,Z52,AF153)+2*_xll.VOLATILITE.EWMA($AF$137,dfactor,Z52,AF153)</f>
        <v>#VALUE!</v>
      </c>
      <c r="AI52" s="237">
        <f t="shared" si="3"/>
        <v>1E-4</v>
      </c>
      <c r="AJ52" s="252" t="e">
        <f>_xll.MOYENNE.EWMA($AI$137,dfactor,Z52,AI153)-2*_xll.VOLATILITE.EWMA($AI$137,dfactor,Z52,AI153)</f>
        <v>#VALUE!</v>
      </c>
      <c r="AK52" s="252" t="e">
        <f>_xll.MOYENNE.EWMA($AI$137,dfactor,Z52,AI153)+2*_xll.VOLATILITE.EWMA($AI$137,dfactor,Z52,AI153)</f>
        <v>#VALUE!</v>
      </c>
    </row>
    <row r="53" spans="3:37" x14ac:dyDescent="0.3">
      <c r="Z53" s="247" t="e">
        <f ca="1">_xll.JOURS.OUVRES.FINANCE($Z52,"USD",-1)</f>
        <v>#NAME?</v>
      </c>
      <c r="AA53" s="248"/>
      <c r="AB53" s="248"/>
      <c r="AC53" s="249">
        <f t="shared" si="2"/>
        <v>0</v>
      </c>
      <c r="AD53" s="250" t="e">
        <f>_xll.MOYENNE.EWMA($AC$137,dfactor,Z53,AC154)-2*_xll.VOLATILITE.EWMA($AC$137,dfactor,Z53,AC154)</f>
        <v>#VALUE!</v>
      </c>
      <c r="AE53" s="250" t="e">
        <f>_xll.MOYENNE.EWMA($AC$137,dfactor,Z53,AC154)+2*_xll.VOLATILITE.EWMA($AC$137,dfactor,Z53,AC154)</f>
        <v>#VALUE!</v>
      </c>
      <c r="AF53" s="240" t="e">
        <f t="shared" si="0"/>
        <v>#VALUE!</v>
      </c>
      <c r="AG53" s="251" t="e">
        <f>_xll.MOYENNE.EWMA($AF$137,dfactor,Z53,AF154)-2*_xll.VOLATILITE.EWMA($AF$137,dfactor,Z53,AF154)</f>
        <v>#VALUE!</v>
      </c>
      <c r="AH53" s="251" t="e">
        <f>_xll.MOYENNE.EWMA($AF$137,dfactor,Z53,AF154)+2*_xll.VOLATILITE.EWMA($AF$137,dfactor,Z53,AF154)</f>
        <v>#VALUE!</v>
      </c>
      <c r="AI53" s="237">
        <f t="shared" si="3"/>
        <v>1E-4</v>
      </c>
      <c r="AJ53" s="252" t="e">
        <f>_xll.MOYENNE.EWMA($AI$137,dfactor,Z53,AI154)-2*_xll.VOLATILITE.EWMA($AI$137,dfactor,Z53,AI154)</f>
        <v>#VALUE!</v>
      </c>
      <c r="AK53" s="252" t="e">
        <f>_xll.MOYENNE.EWMA($AI$137,dfactor,Z53,AI154)+2*_xll.VOLATILITE.EWMA($AI$137,dfactor,Z53,AI154)</f>
        <v>#VALUE!</v>
      </c>
    </row>
    <row r="54" spans="3:37" x14ac:dyDescent="0.3">
      <c r="D54" s="268"/>
      <c r="E54" s="268"/>
      <c r="Z54" s="247" t="e">
        <f ca="1">_xll.JOURS.OUVRES.FINANCE($Z53,"USD",-1)</f>
        <v>#NAME?</v>
      </c>
      <c r="AA54" s="248"/>
      <c r="AB54" s="248"/>
      <c r="AC54" s="249">
        <f t="shared" si="2"/>
        <v>0</v>
      </c>
      <c r="AD54" s="250" t="e">
        <f>_xll.MOYENNE.EWMA($AC$137,dfactor,Z54,AC155)-2*_xll.VOLATILITE.EWMA($AC$137,dfactor,Z54,AC155)</f>
        <v>#VALUE!</v>
      </c>
      <c r="AE54" s="250" t="e">
        <f>_xll.MOYENNE.EWMA($AC$137,dfactor,Z54,AC155)+2*_xll.VOLATILITE.EWMA($AC$137,dfactor,Z54,AC155)</f>
        <v>#VALUE!</v>
      </c>
      <c r="AF54" s="240" t="e">
        <f t="shared" si="0"/>
        <v>#VALUE!</v>
      </c>
      <c r="AG54" s="251" t="e">
        <f>_xll.MOYENNE.EWMA($AF$137,dfactor,Z54,AF155)-2*_xll.VOLATILITE.EWMA($AF$137,dfactor,Z54,AF155)</f>
        <v>#VALUE!</v>
      </c>
      <c r="AH54" s="251" t="e">
        <f>_xll.MOYENNE.EWMA($AF$137,dfactor,Z54,AF155)+2*_xll.VOLATILITE.EWMA($AF$137,dfactor,Z54,AF155)</f>
        <v>#VALUE!</v>
      </c>
      <c r="AI54" s="237">
        <f t="shared" si="3"/>
        <v>1E-4</v>
      </c>
      <c r="AJ54" s="252" t="e">
        <f>_xll.MOYENNE.EWMA($AI$137,dfactor,Z54,AI155)-2*_xll.VOLATILITE.EWMA($AI$137,dfactor,Z54,AI155)</f>
        <v>#VALUE!</v>
      </c>
      <c r="AK54" s="252" t="e">
        <f>_xll.MOYENNE.EWMA($AI$137,dfactor,Z54,AI155)+2*_xll.VOLATILITE.EWMA($AI$137,dfactor,Z54,AI155)</f>
        <v>#VALUE!</v>
      </c>
    </row>
    <row r="55" spans="3:37" x14ac:dyDescent="0.3">
      <c r="E55" s="268"/>
      <c r="N55" s="269"/>
      <c r="Z55" s="247" t="e">
        <f ca="1">_xll.JOURS.OUVRES.FINANCE($Z54,"USD",-1)</f>
        <v>#NAME?</v>
      </c>
      <c r="AA55" s="248">
        <v>-0.50560913401615581</v>
      </c>
      <c r="AB55" s="248">
        <v>0.32400668145069761</v>
      </c>
      <c r="AC55" s="249">
        <f t="shared" si="2"/>
        <v>-0.50560913401615581</v>
      </c>
      <c r="AD55" s="250" t="e">
        <f>_xll.MOYENNE.EWMA($AC$137,dfactor,Z55,AC156)-2*_xll.VOLATILITE.EWMA($AC$137,dfactor,Z55,AC156)</f>
        <v>#VALUE!</v>
      </c>
      <c r="AE55" s="250" t="e">
        <f>_xll.MOYENNE.EWMA($AC$137,dfactor,Z55,AC156)+2*_xll.VOLATILITE.EWMA($AC$137,dfactor,Z55,AC156)</f>
        <v>#VALUE!</v>
      </c>
      <c r="AF55" s="240" t="e">
        <f t="shared" si="0"/>
        <v>#VALUE!</v>
      </c>
      <c r="AG55" s="251" t="e">
        <f>_xll.MOYENNE.EWMA($AF$137,dfactor,Z55,AF156)-2*_xll.VOLATILITE.EWMA($AF$137,dfactor,Z55,AF156)</f>
        <v>#VALUE!</v>
      </c>
      <c r="AH55" s="251" t="e">
        <f>_xll.MOYENNE.EWMA($AF$137,dfactor,Z55,AF156)+2*_xll.VOLATILITE.EWMA($AF$137,dfactor,Z55,AF156)</f>
        <v>#VALUE!</v>
      </c>
      <c r="AI55" s="237" t="e">
        <f t="shared" si="3"/>
        <v>#VALUE!</v>
      </c>
      <c r="AJ55" s="252" t="e">
        <f>_xll.MOYENNE.EWMA($AI$137,dfactor,Z55,AI156)-2*_xll.VOLATILITE.EWMA($AI$137,dfactor,Z55,AI156)</f>
        <v>#VALUE!</v>
      </c>
      <c r="AK55" s="252" t="e">
        <f>_xll.MOYENNE.EWMA($AI$137,dfactor,Z55,AI156)+2*_xll.VOLATILITE.EWMA($AI$137,dfactor,Z55,AI156)</f>
        <v>#VALUE!</v>
      </c>
    </row>
    <row r="56" spans="3:37" x14ac:dyDescent="0.3">
      <c r="E56" s="268"/>
      <c r="O56" s="270"/>
      <c r="P56" s="263"/>
      <c r="Q56" s="271"/>
      <c r="Z56" s="247" t="e">
        <f ca="1">_xll.JOURS.OUVRES.FINANCE($Z55,"USD",-1)</f>
        <v>#NAME?</v>
      </c>
      <c r="AA56" s="248">
        <v>-0.41208430652603273</v>
      </c>
      <c r="AB56" s="248">
        <v>-1.1375235663222734</v>
      </c>
      <c r="AC56" s="249">
        <f t="shared" si="2"/>
        <v>-0.41208430652603273</v>
      </c>
      <c r="AD56" s="250" t="e">
        <f>_xll.MOYENNE.EWMA($AC$137,dfactor,Z56,AC157)-2*_xll.VOLATILITE.EWMA($AC$137,dfactor,Z56,AC157)</f>
        <v>#VALUE!</v>
      </c>
      <c r="AE56" s="250" t="e">
        <f>_xll.MOYENNE.EWMA($AC$137,dfactor,Z56,AC157)+2*_xll.VOLATILITE.EWMA($AC$137,dfactor,Z56,AC157)</f>
        <v>#VALUE!</v>
      </c>
      <c r="AF56" s="240" t="e">
        <f t="shared" si="0"/>
        <v>#VALUE!</v>
      </c>
      <c r="AG56" s="251" t="e">
        <f>_xll.MOYENNE.EWMA($AF$137,dfactor,Z56,AF157)-2*_xll.VOLATILITE.EWMA($AF$137,dfactor,Z56,AF157)</f>
        <v>#VALUE!</v>
      </c>
      <c r="AH56" s="251" t="e">
        <f>_xll.MOYENNE.EWMA($AF$137,dfactor,Z56,AF157)+2*_xll.VOLATILITE.EWMA($AF$137,dfactor,Z56,AF157)</f>
        <v>#VALUE!</v>
      </c>
      <c r="AI56" s="237" t="e">
        <f t="shared" si="3"/>
        <v>#VALUE!</v>
      </c>
      <c r="AJ56" s="252" t="e">
        <f>_xll.MOYENNE.EWMA($AI$137,dfactor,Z56,AI157)-2*_xll.VOLATILITE.EWMA($AI$137,dfactor,Z56,AI157)</f>
        <v>#VALUE!</v>
      </c>
      <c r="AK56" s="252" t="e">
        <f>_xll.MOYENNE.EWMA($AI$137,dfactor,Z56,AI157)+2*_xll.VOLATILITE.EWMA($AI$137,dfactor,Z56,AI157)</f>
        <v>#VALUE!</v>
      </c>
    </row>
    <row r="57" spans="3:37" x14ac:dyDescent="0.3">
      <c r="E57" s="268"/>
      <c r="N57" s="263"/>
      <c r="Z57" s="247" t="e">
        <f ca="1">_xll.JOURS.OUVRES.FINANCE($Z56,"USD",-1)</f>
        <v>#NAME?</v>
      </c>
      <c r="AA57" s="248">
        <v>0.8537746708152365</v>
      </c>
      <c r="AB57" s="248">
        <v>-0.38654259179736711</v>
      </c>
      <c r="AC57" s="249">
        <f t="shared" si="2"/>
        <v>0.8537746708152365</v>
      </c>
      <c r="AD57" s="250" t="e">
        <f>_xll.MOYENNE.EWMA($AC$137,dfactor,Z57,AC158)-2*_xll.VOLATILITE.EWMA($AC$137,dfactor,Z57,AC158)</f>
        <v>#VALUE!</v>
      </c>
      <c r="AE57" s="250" t="e">
        <f>_xll.MOYENNE.EWMA($AC$137,dfactor,Z57,AC158)+2*_xll.VOLATILITE.EWMA($AC$137,dfactor,Z57,AC158)</f>
        <v>#VALUE!</v>
      </c>
      <c r="AF57" s="240" t="e">
        <f t="shared" si="0"/>
        <v>#VALUE!</v>
      </c>
      <c r="AG57" s="251" t="e">
        <f>_xll.MOYENNE.EWMA($AF$137,dfactor,Z57,AF158)-2*_xll.VOLATILITE.EWMA($AF$137,dfactor,Z57,AF158)</f>
        <v>#VALUE!</v>
      </c>
      <c r="AH57" s="251" t="e">
        <f>_xll.MOYENNE.EWMA($AF$137,dfactor,Z57,AF158)+2*_xll.VOLATILITE.EWMA($AF$137,dfactor,Z57,AF158)</f>
        <v>#VALUE!</v>
      </c>
      <c r="AI57" s="237" t="e">
        <f t="shared" si="3"/>
        <v>#VALUE!</v>
      </c>
      <c r="AJ57" s="252" t="e">
        <f>_xll.MOYENNE.EWMA($AI$137,dfactor,Z57,AI158)-2*_xll.VOLATILITE.EWMA($AI$137,dfactor,Z57,AI158)</f>
        <v>#VALUE!</v>
      </c>
      <c r="AK57" s="252" t="e">
        <f>_xll.MOYENNE.EWMA($AI$137,dfactor,Z57,AI158)+2*_xll.VOLATILITE.EWMA($AI$137,dfactor,Z57,AI158)</f>
        <v>#VALUE!</v>
      </c>
    </row>
    <row r="58" spans="3:37" x14ac:dyDescent="0.3">
      <c r="I58" s="256"/>
      <c r="J58" s="262"/>
      <c r="O58" s="262"/>
      <c r="P58" s="272"/>
      <c r="Z58" s="247" t="e">
        <f ca="1">_xll.JOURS.OUVRES.FINANCE($Z57,"USD",-1)</f>
        <v>#NAME?</v>
      </c>
      <c r="AA58" s="248">
        <v>0.41290286418349953</v>
      </c>
      <c r="AB58" s="248">
        <v>-2.9721064754059404E-2</v>
      </c>
      <c r="AC58" s="249">
        <f t="shared" si="2"/>
        <v>0.41290286418349953</v>
      </c>
      <c r="AD58" s="250" t="e">
        <f>_xll.MOYENNE.EWMA($AC$137,dfactor,Z58,AC159)-2*_xll.VOLATILITE.EWMA($AC$137,dfactor,Z58,AC159)</f>
        <v>#VALUE!</v>
      </c>
      <c r="AE58" s="250" t="e">
        <f>_xll.MOYENNE.EWMA($AC$137,dfactor,Z58,AC159)+2*_xll.VOLATILITE.EWMA($AC$137,dfactor,Z58,AC159)</f>
        <v>#VALUE!</v>
      </c>
      <c r="AF58" s="240" t="e">
        <f t="shared" si="0"/>
        <v>#VALUE!</v>
      </c>
      <c r="AG58" s="251" t="e">
        <f>_xll.MOYENNE.EWMA($AF$137,dfactor,Z58,AF159)-2*_xll.VOLATILITE.EWMA($AF$137,dfactor,Z58,AF159)</f>
        <v>#VALUE!</v>
      </c>
      <c r="AH58" s="251" t="e">
        <f>_xll.MOYENNE.EWMA($AF$137,dfactor,Z58,AF159)+2*_xll.VOLATILITE.EWMA($AF$137,dfactor,Z58,AF159)</f>
        <v>#VALUE!</v>
      </c>
      <c r="AI58" s="237" t="e">
        <f t="shared" si="3"/>
        <v>#VALUE!</v>
      </c>
      <c r="AJ58" s="252" t="e">
        <f>_xll.MOYENNE.EWMA($AI$137,dfactor,Z58,AI159)-2*_xll.VOLATILITE.EWMA($AI$137,dfactor,Z58,AI159)</f>
        <v>#VALUE!</v>
      </c>
      <c r="AK58" s="252" t="e">
        <f>_xll.MOYENNE.EWMA($AI$137,dfactor,Z58,AI159)+2*_xll.VOLATILITE.EWMA($AI$137,dfactor,Z58,AI159)</f>
        <v>#VALUE!</v>
      </c>
    </row>
    <row r="59" spans="3:37" x14ac:dyDescent="0.3">
      <c r="I59" s="256"/>
      <c r="J59" s="263"/>
      <c r="O59" s="262"/>
      <c r="Z59" s="247" t="e">
        <f ca="1">_xll.JOURS.OUVRES.FINANCE($Z58,"USD",-1)</f>
        <v>#NAME?</v>
      </c>
      <c r="AA59" s="248">
        <v>-0.29389385800548706</v>
      </c>
      <c r="AB59" s="248">
        <v>0.96314894024091402</v>
      </c>
      <c r="AC59" s="249">
        <f t="shared" si="2"/>
        <v>-0.29389385800548706</v>
      </c>
      <c r="AD59" s="250" t="e">
        <f>_xll.MOYENNE.EWMA($AC$137,dfactor,Z59,AC160)-2*_xll.VOLATILITE.EWMA($AC$137,dfactor,Z59,AC160)</f>
        <v>#VALUE!</v>
      </c>
      <c r="AE59" s="250" t="e">
        <f>_xll.MOYENNE.EWMA($AC$137,dfactor,Z59,AC160)+2*_xll.VOLATILITE.EWMA($AC$137,dfactor,Z59,AC160)</f>
        <v>#VALUE!</v>
      </c>
      <c r="AF59" s="240" t="e">
        <f t="shared" si="0"/>
        <v>#VALUE!</v>
      </c>
      <c r="AG59" s="251" t="e">
        <f>_xll.MOYENNE.EWMA($AF$137,dfactor,Z59,AF160)-2*_xll.VOLATILITE.EWMA($AF$137,dfactor,Z59,AF160)</f>
        <v>#VALUE!</v>
      </c>
      <c r="AH59" s="251" t="e">
        <f>_xll.MOYENNE.EWMA($AF$137,dfactor,Z59,AF160)+2*_xll.VOLATILITE.EWMA($AF$137,dfactor,Z59,AF160)</f>
        <v>#VALUE!</v>
      </c>
      <c r="AI59" s="237" t="e">
        <f t="shared" si="3"/>
        <v>#VALUE!</v>
      </c>
      <c r="AJ59" s="252" t="e">
        <f>_xll.MOYENNE.EWMA($AI$137,dfactor,Z59,AI160)-2*_xll.VOLATILITE.EWMA($AI$137,dfactor,Z59,AI160)</f>
        <v>#VALUE!</v>
      </c>
      <c r="AK59" s="252" t="e">
        <f>_xll.MOYENNE.EWMA($AI$137,dfactor,Z59,AI160)+2*_xll.VOLATILITE.EWMA($AI$137,dfactor,Z59,AI160)</f>
        <v>#VALUE!</v>
      </c>
    </row>
    <row r="60" spans="3:37" x14ac:dyDescent="0.3">
      <c r="K60" s="269"/>
      <c r="Z60" s="247" t="e">
        <f ca="1">_xll.JOURS.OUVRES.FINANCE($Z59,"USD",-1)</f>
        <v>#NAME?</v>
      </c>
      <c r="AA60" s="248">
        <v>1.7128375328876757</v>
      </c>
      <c r="AB60" s="248">
        <v>1.0948733788033385</v>
      </c>
      <c r="AC60" s="249">
        <f t="shared" si="2"/>
        <v>1.7128375328876757</v>
      </c>
      <c r="AD60" s="250" t="e">
        <f>_xll.MOYENNE.EWMA($AC$137,dfactor,Z60,AC161)-2*_xll.VOLATILITE.EWMA($AC$137,dfactor,Z60,AC161)</f>
        <v>#VALUE!</v>
      </c>
      <c r="AE60" s="250" t="e">
        <f>_xll.MOYENNE.EWMA($AC$137,dfactor,Z60,AC161)+2*_xll.VOLATILITE.EWMA($AC$137,dfactor,Z60,AC161)</f>
        <v>#VALUE!</v>
      </c>
      <c r="AF60" s="240" t="e">
        <f t="shared" si="0"/>
        <v>#VALUE!</v>
      </c>
      <c r="AG60" s="251" t="e">
        <f>_xll.MOYENNE.EWMA($AF$137,dfactor,Z60,AF161)-2*_xll.VOLATILITE.EWMA($AF$137,dfactor,Z60,AF161)</f>
        <v>#VALUE!</v>
      </c>
      <c r="AH60" s="251" t="e">
        <f>_xll.MOYENNE.EWMA($AF$137,dfactor,Z60,AF161)+2*_xll.VOLATILITE.EWMA($AF$137,dfactor,Z60,AF161)</f>
        <v>#VALUE!</v>
      </c>
      <c r="AI60" s="237" t="e">
        <f t="shared" si="3"/>
        <v>#VALUE!</v>
      </c>
      <c r="AJ60" s="252" t="e">
        <f>_xll.MOYENNE.EWMA($AI$137,dfactor,Z60,AI161)-2*_xll.VOLATILITE.EWMA($AI$137,dfactor,Z60,AI161)</f>
        <v>#VALUE!</v>
      </c>
      <c r="AK60" s="252" t="e">
        <f>_xll.MOYENNE.EWMA($AI$137,dfactor,Z60,AI161)+2*_xll.VOLATILITE.EWMA($AI$137,dfactor,Z60,AI161)</f>
        <v>#VALUE!</v>
      </c>
    </row>
    <row r="61" spans="3:37" x14ac:dyDescent="0.3">
      <c r="I61" s="256"/>
      <c r="Z61" s="247" t="e">
        <f ca="1">_xll.JOURS.OUVRES.FINANCE($Z60,"USD",-1)</f>
        <v>#NAME?</v>
      </c>
      <c r="AA61" s="248">
        <v>-0.36119529417403351</v>
      </c>
      <c r="AB61" s="248">
        <v>-0.27469110225401477</v>
      </c>
      <c r="AC61" s="249">
        <f t="shared" si="2"/>
        <v>-0.36119529417403351</v>
      </c>
      <c r="AD61" s="250" t="e">
        <f>_xll.MOYENNE.EWMA($AC$137,dfactor,Z61,AC162)-2*_xll.VOLATILITE.EWMA($AC$137,dfactor,Z61,AC162)</f>
        <v>#VALUE!</v>
      </c>
      <c r="AE61" s="250" t="e">
        <f>_xll.MOYENNE.EWMA($AC$137,dfactor,Z61,AC162)+2*_xll.VOLATILITE.EWMA($AC$137,dfactor,Z61,AC162)</f>
        <v>#VALUE!</v>
      </c>
      <c r="AF61" s="240" t="e">
        <f t="shared" si="0"/>
        <v>#VALUE!</v>
      </c>
      <c r="AG61" s="251" t="e">
        <f>_xll.MOYENNE.EWMA($AF$137,dfactor,Z61,AF162)-2*_xll.VOLATILITE.EWMA($AF$137,dfactor,Z61,AF162)</f>
        <v>#VALUE!</v>
      </c>
      <c r="AH61" s="251" t="e">
        <f>_xll.MOYENNE.EWMA($AF$137,dfactor,Z61,AF162)+2*_xll.VOLATILITE.EWMA($AF$137,dfactor,Z61,AF162)</f>
        <v>#VALUE!</v>
      </c>
      <c r="AI61" s="237" t="e">
        <f t="shared" si="3"/>
        <v>#VALUE!</v>
      </c>
      <c r="AJ61" s="252" t="e">
        <f>_xll.MOYENNE.EWMA($AI$137,dfactor,Z61,AI162)-2*_xll.VOLATILITE.EWMA($AI$137,dfactor,Z61,AI162)</f>
        <v>#VALUE!</v>
      </c>
      <c r="AK61" s="252" t="e">
        <f>_xll.MOYENNE.EWMA($AI$137,dfactor,Z61,AI162)+2*_xll.VOLATILITE.EWMA($AI$137,dfactor,Z61,AI162)</f>
        <v>#VALUE!</v>
      </c>
    </row>
    <row r="62" spans="3:37" x14ac:dyDescent="0.3">
      <c r="C62" s="269"/>
      <c r="I62" s="256"/>
      <c r="Z62" s="247" t="e">
        <f ca="1">_xll.JOURS.OUVRES.FINANCE($Z61,"USD",-1)</f>
        <v>#NAME?</v>
      </c>
      <c r="AA62" s="248">
        <v>-1.3520786497128883</v>
      </c>
      <c r="AB62" s="248">
        <v>0.30201585020990895</v>
      </c>
      <c r="AC62" s="249">
        <f t="shared" si="2"/>
        <v>-1.3520786497128883</v>
      </c>
      <c r="AD62" s="250" t="e">
        <f>_xll.MOYENNE.EWMA($AC$137,dfactor,Z62,AC163)-2*_xll.VOLATILITE.EWMA($AC$137,dfactor,Z62,AC163)</f>
        <v>#VALUE!</v>
      </c>
      <c r="AE62" s="250" t="e">
        <f>_xll.MOYENNE.EWMA($AC$137,dfactor,Z62,AC163)+2*_xll.VOLATILITE.EWMA($AC$137,dfactor,Z62,AC163)</f>
        <v>#VALUE!</v>
      </c>
      <c r="AF62" s="240" t="e">
        <f t="shared" si="0"/>
        <v>#VALUE!</v>
      </c>
      <c r="AG62" s="251" t="e">
        <f>_xll.MOYENNE.EWMA($AF$137,dfactor,Z62,AF163)-2*_xll.VOLATILITE.EWMA($AF$137,dfactor,Z62,AF163)</f>
        <v>#VALUE!</v>
      </c>
      <c r="AH62" s="251" t="e">
        <f>_xll.MOYENNE.EWMA($AF$137,dfactor,Z62,AF163)+2*_xll.VOLATILITE.EWMA($AF$137,dfactor,Z62,AF163)</f>
        <v>#VALUE!</v>
      </c>
      <c r="AI62" s="237" t="e">
        <f t="shared" si="3"/>
        <v>#VALUE!</v>
      </c>
      <c r="AJ62" s="252" t="e">
        <f>_xll.MOYENNE.EWMA($AI$137,dfactor,Z62,AI163)-2*_xll.VOLATILITE.EWMA($AI$137,dfactor,Z62,AI163)</f>
        <v>#VALUE!</v>
      </c>
      <c r="AK62" s="252" t="e">
        <f>_xll.MOYENNE.EWMA($AI$137,dfactor,Z62,AI163)+2*_xll.VOLATILITE.EWMA($AI$137,dfactor,Z62,AI163)</f>
        <v>#VALUE!</v>
      </c>
    </row>
    <row r="63" spans="3:37" x14ac:dyDescent="0.3">
      <c r="C63" s="269"/>
      <c r="Z63" s="247" t="e">
        <f ca="1">_xll.JOURS.OUVRES.FINANCE($Z62,"USD",-1)</f>
        <v>#NAME?</v>
      </c>
      <c r="AA63" s="248">
        <v>8.7583995853114938E-2</v>
      </c>
      <c r="AB63" s="248">
        <v>0.14349671537315795</v>
      </c>
      <c r="AC63" s="249">
        <f t="shared" si="2"/>
        <v>8.7583995853114938E-2</v>
      </c>
      <c r="AD63" s="250" t="e">
        <f>_xll.MOYENNE.EWMA($AC$137,dfactor,Z63,AC164)-2*_xll.VOLATILITE.EWMA($AC$137,dfactor,Z63,AC164)</f>
        <v>#VALUE!</v>
      </c>
      <c r="AE63" s="250" t="e">
        <f>_xll.MOYENNE.EWMA($AC$137,dfactor,Z63,AC164)+2*_xll.VOLATILITE.EWMA($AC$137,dfactor,Z63,AC164)</f>
        <v>#VALUE!</v>
      </c>
      <c r="AF63" s="240" t="e">
        <f t="shared" si="0"/>
        <v>#VALUE!</v>
      </c>
      <c r="AG63" s="251" t="e">
        <f>_xll.MOYENNE.EWMA($AF$137,dfactor,Z63,AF164)-2*_xll.VOLATILITE.EWMA($AF$137,dfactor,Z63,AF164)</f>
        <v>#VALUE!</v>
      </c>
      <c r="AH63" s="251" t="e">
        <f>_xll.MOYENNE.EWMA($AF$137,dfactor,Z63,AF164)+2*_xll.VOLATILITE.EWMA($AF$137,dfactor,Z63,AF164)</f>
        <v>#VALUE!</v>
      </c>
      <c r="AI63" s="237" t="e">
        <f t="shared" si="3"/>
        <v>#VALUE!</v>
      </c>
      <c r="AJ63" s="252" t="e">
        <f>_xll.MOYENNE.EWMA($AI$137,dfactor,Z63,AI164)-2*_xll.VOLATILITE.EWMA($AI$137,dfactor,Z63,AI164)</f>
        <v>#VALUE!</v>
      </c>
      <c r="AK63" s="252" t="e">
        <f>_xll.MOYENNE.EWMA($AI$137,dfactor,Z63,AI164)+2*_xll.VOLATILITE.EWMA($AI$137,dfactor,Z63,AI164)</f>
        <v>#VALUE!</v>
      </c>
    </row>
    <row r="64" spans="3:37" x14ac:dyDescent="0.3">
      <c r="J64" s="273"/>
      <c r="K64" s="273"/>
      <c r="Z64" s="247" t="e">
        <f ca="1">_xll.JOURS.OUVRES.FINANCE($Z63,"USD",-1)</f>
        <v>#NAME?</v>
      </c>
      <c r="AA64" s="248">
        <v>1.3485832515608678</v>
      </c>
      <c r="AB64" s="248">
        <v>2.5895585744631742</v>
      </c>
      <c r="AC64" s="249">
        <f t="shared" si="2"/>
        <v>1.3485832515608678</v>
      </c>
      <c r="AD64" s="250" t="e">
        <f>_xll.MOYENNE.EWMA($AC$137,dfactor,Z64,AC165)-2*_xll.VOLATILITE.EWMA($AC$137,dfactor,Z64,AC165)</f>
        <v>#VALUE!</v>
      </c>
      <c r="AE64" s="250" t="e">
        <f>_xll.MOYENNE.EWMA($AC$137,dfactor,Z64,AC165)+2*_xll.VOLATILITE.EWMA($AC$137,dfactor,Z64,AC165)</f>
        <v>#VALUE!</v>
      </c>
      <c r="AF64" s="240" t="e">
        <f t="shared" si="0"/>
        <v>#VALUE!</v>
      </c>
      <c r="AG64" s="251" t="e">
        <f>_xll.MOYENNE.EWMA($AF$137,dfactor,Z64,AF165)-2*_xll.VOLATILITE.EWMA($AF$137,dfactor,Z64,AF165)</f>
        <v>#VALUE!</v>
      </c>
      <c r="AH64" s="251" t="e">
        <f>_xll.MOYENNE.EWMA($AF$137,dfactor,Z64,AF165)+2*_xll.VOLATILITE.EWMA($AF$137,dfactor,Z64,AF165)</f>
        <v>#VALUE!</v>
      </c>
      <c r="AI64" s="237" t="e">
        <f t="shared" si="3"/>
        <v>#VALUE!</v>
      </c>
      <c r="AJ64" s="252" t="e">
        <f>_xll.MOYENNE.EWMA($AI$137,dfactor,Z64,AI165)-2*_xll.VOLATILITE.EWMA($AI$137,dfactor,Z64,AI165)</f>
        <v>#VALUE!</v>
      </c>
      <c r="AK64" s="252" t="e">
        <f>_xll.MOYENNE.EWMA($AI$137,dfactor,Z64,AI165)+2*_xll.VOLATILITE.EWMA($AI$137,dfactor,Z64,AI165)</f>
        <v>#VALUE!</v>
      </c>
    </row>
    <row r="65" spans="2:37" x14ac:dyDescent="0.3">
      <c r="J65" s="263"/>
      <c r="K65" s="263"/>
      <c r="Z65" s="247" t="e">
        <f ca="1">_xll.JOURS.OUVRES.FINANCE($Z64,"USD",-1)</f>
        <v>#NAME?</v>
      </c>
      <c r="AA65" s="248">
        <v>0.79741752030157287</v>
      </c>
      <c r="AB65" s="248">
        <v>0.15011550214522706</v>
      </c>
      <c r="AC65" s="249">
        <f t="shared" si="2"/>
        <v>0.79741752030157287</v>
      </c>
      <c r="AD65" s="250" t="e">
        <f>_xll.MOYENNE.EWMA($AC$137,dfactor,Z65,AC166)-2*_xll.VOLATILITE.EWMA($AC$137,dfactor,Z65,AC166)</f>
        <v>#VALUE!</v>
      </c>
      <c r="AE65" s="250" t="e">
        <f>_xll.MOYENNE.EWMA($AC$137,dfactor,Z65,AC166)+2*_xll.VOLATILITE.EWMA($AC$137,dfactor,Z65,AC166)</f>
        <v>#VALUE!</v>
      </c>
      <c r="AF65" s="240" t="e">
        <f t="shared" si="0"/>
        <v>#VALUE!</v>
      </c>
      <c r="AG65" s="251" t="e">
        <f>_xll.MOYENNE.EWMA($AF$137,dfactor,Z65,AF166)-2*_xll.VOLATILITE.EWMA($AF$137,dfactor,Z65,AF166)</f>
        <v>#VALUE!</v>
      </c>
      <c r="AH65" s="251" t="e">
        <f>_xll.MOYENNE.EWMA($AF$137,dfactor,Z65,AF166)+2*_xll.VOLATILITE.EWMA($AF$137,dfactor,Z65,AF166)</f>
        <v>#VALUE!</v>
      </c>
      <c r="AI65" s="237" t="e">
        <f t="shared" si="3"/>
        <v>#VALUE!</v>
      </c>
      <c r="AJ65" s="252" t="e">
        <f>_xll.MOYENNE.EWMA($AI$137,dfactor,Z65,AI166)-2*_xll.VOLATILITE.EWMA($AI$137,dfactor,Z65,AI166)</f>
        <v>#VALUE!</v>
      </c>
      <c r="AK65" s="252" t="e">
        <f>_xll.MOYENNE.EWMA($AI$137,dfactor,Z65,AI166)+2*_xll.VOLATILITE.EWMA($AI$137,dfactor,Z65,AI166)</f>
        <v>#VALUE!</v>
      </c>
    </row>
    <row r="66" spans="2:37" x14ac:dyDescent="0.3">
      <c r="Z66" s="247" t="e">
        <f ca="1">_xll.JOURS.OUVRES.FINANCE($Z65,"USD",-1)</f>
        <v>#NAME?</v>
      </c>
      <c r="AA66" s="248">
        <v>1.3963259273567916</v>
      </c>
      <c r="AB66" s="248">
        <v>1.1057361897012581</v>
      </c>
      <c r="AC66" s="249">
        <f t="shared" si="2"/>
        <v>1.3963259273567916</v>
      </c>
      <c r="AD66" s="250" t="e">
        <f>_xll.MOYENNE.EWMA($AC$137,dfactor,Z66,AC167)-2*_xll.VOLATILITE.EWMA($AC$137,dfactor,Z66,AC167)</f>
        <v>#VALUE!</v>
      </c>
      <c r="AE66" s="250" t="e">
        <f>_xll.MOYENNE.EWMA($AC$137,dfactor,Z66,AC167)+2*_xll.VOLATILITE.EWMA($AC$137,dfactor,Z66,AC167)</f>
        <v>#VALUE!</v>
      </c>
      <c r="AF66" s="240" t="e">
        <f t="shared" si="0"/>
        <v>#VALUE!</v>
      </c>
      <c r="AG66" s="251" t="e">
        <f>_xll.MOYENNE.EWMA($AF$137,dfactor,Z66,AF167)-2*_xll.VOLATILITE.EWMA($AF$137,dfactor,Z66,AF167)</f>
        <v>#VALUE!</v>
      </c>
      <c r="AH66" s="251" t="e">
        <f>_xll.MOYENNE.EWMA($AF$137,dfactor,Z66,AF167)+2*_xll.VOLATILITE.EWMA($AF$137,dfactor,Z66,AF167)</f>
        <v>#VALUE!</v>
      </c>
      <c r="AI66" s="237" t="e">
        <f t="shared" si="3"/>
        <v>#VALUE!</v>
      </c>
      <c r="AJ66" s="252" t="e">
        <f>_xll.MOYENNE.EWMA($AI$137,dfactor,Z66,AI167)-2*_xll.VOLATILITE.EWMA($AI$137,dfactor,Z66,AI167)</f>
        <v>#VALUE!</v>
      </c>
      <c r="AK66" s="252" t="e">
        <f>_xll.MOYENNE.EWMA($AI$137,dfactor,Z66,AI167)+2*_xll.VOLATILITE.EWMA($AI$137,dfactor,Z66,AI167)</f>
        <v>#VALUE!</v>
      </c>
    </row>
    <row r="67" spans="2:37" x14ac:dyDescent="0.3">
      <c r="Z67" s="247" t="e">
        <f ca="1">_xll.JOURS.OUVRES.FINANCE($Z66,"USD",-1)</f>
        <v>#NAME?</v>
      </c>
      <c r="AA67" s="248">
        <v>0.65900852267529919</v>
      </c>
      <c r="AB67" s="248">
        <v>0.82123066639733322</v>
      </c>
      <c r="AC67" s="249">
        <f t="shared" si="2"/>
        <v>0.65900852267529919</v>
      </c>
      <c r="AD67" s="250" t="e">
        <f>_xll.MOYENNE.EWMA($AC$137,dfactor,Z67,AC168)-2*_xll.VOLATILITE.EWMA($AC$137,dfactor,Z67,AC168)</f>
        <v>#VALUE!</v>
      </c>
      <c r="AE67" s="250" t="e">
        <f>_xll.MOYENNE.EWMA($AC$137,dfactor,Z67,AC168)+2*_xll.VOLATILITE.EWMA($AC$137,dfactor,Z67,AC168)</f>
        <v>#VALUE!</v>
      </c>
      <c r="AF67" s="240" t="e">
        <f t="shared" si="0"/>
        <v>#VALUE!</v>
      </c>
      <c r="AG67" s="251" t="e">
        <f>_xll.MOYENNE.EWMA($AF$137,dfactor,Z67,AF168)-2*_xll.VOLATILITE.EWMA($AF$137,dfactor,Z67,AF168)</f>
        <v>#VALUE!</v>
      </c>
      <c r="AH67" s="251" t="e">
        <f>_xll.MOYENNE.EWMA($AF$137,dfactor,Z67,AF168)+2*_xll.VOLATILITE.EWMA($AF$137,dfactor,Z67,AF168)</f>
        <v>#VALUE!</v>
      </c>
      <c r="AI67" s="237" t="e">
        <f t="shared" si="3"/>
        <v>#VALUE!</v>
      </c>
      <c r="AJ67" s="252" t="e">
        <f>_xll.MOYENNE.EWMA($AI$137,dfactor,Z67,AI168)-2*_xll.VOLATILITE.EWMA($AI$137,dfactor,Z67,AI168)</f>
        <v>#VALUE!</v>
      </c>
      <c r="AK67" s="252" t="e">
        <f>_xll.MOYENNE.EWMA($AI$137,dfactor,Z67,AI168)+2*_xll.VOLATILITE.EWMA($AI$137,dfactor,Z67,AI168)</f>
        <v>#VALUE!</v>
      </c>
    </row>
    <row r="68" spans="2:37" x14ac:dyDescent="0.3">
      <c r="Z68" s="247" t="e">
        <f ca="1">_xll.JOURS.OUVRES.FINANCE($Z67,"USD",-1)</f>
        <v>#NAME?</v>
      </c>
      <c r="AA68" s="248">
        <v>2.2265044841633119</v>
      </c>
      <c r="AB68" s="248">
        <v>0.37905252093049258</v>
      </c>
      <c r="AC68" s="249">
        <f t="shared" si="2"/>
        <v>2.2265044841633119</v>
      </c>
      <c r="AD68" s="250" t="e">
        <f>_xll.MOYENNE.EWMA($AC$137,dfactor,Z68,AC169)-2*_xll.VOLATILITE.EWMA($AC$137,dfactor,Z68,AC169)</f>
        <v>#VALUE!</v>
      </c>
      <c r="AE68" s="250" t="e">
        <f>_xll.MOYENNE.EWMA($AC$137,dfactor,Z68,AC169)+2*_xll.VOLATILITE.EWMA($AC$137,dfactor,Z68,AC169)</f>
        <v>#VALUE!</v>
      </c>
      <c r="AF68" s="240" t="e">
        <f t="shared" si="0"/>
        <v>#VALUE!</v>
      </c>
      <c r="AG68" s="251" t="e">
        <f>_xll.MOYENNE.EWMA($AF$137,dfactor,Z68,AF169)-2*_xll.VOLATILITE.EWMA($AF$137,dfactor,Z68,AF169)</f>
        <v>#VALUE!</v>
      </c>
      <c r="AH68" s="251" t="e">
        <f>_xll.MOYENNE.EWMA($AF$137,dfactor,Z68,AF169)+2*_xll.VOLATILITE.EWMA($AF$137,dfactor,Z68,AF169)</f>
        <v>#VALUE!</v>
      </c>
      <c r="AI68" s="237" t="e">
        <f t="shared" si="3"/>
        <v>#VALUE!</v>
      </c>
      <c r="AJ68" s="252" t="e">
        <f>_xll.MOYENNE.EWMA($AI$137,dfactor,Z68,AI169)-2*_xll.VOLATILITE.EWMA($AI$137,dfactor,Z68,AI169)</f>
        <v>#VALUE!</v>
      </c>
      <c r="AK68" s="252" t="e">
        <f>_xll.MOYENNE.EWMA($AI$137,dfactor,Z68,AI169)+2*_xll.VOLATILITE.EWMA($AI$137,dfactor,Z68,AI169)</f>
        <v>#VALUE!</v>
      </c>
    </row>
    <row r="69" spans="2:37" x14ac:dyDescent="0.3">
      <c r="Z69" s="247" t="e">
        <f ca="1">_xll.JOURS.OUVRES.FINANCE($Z68,"USD",-1)</f>
        <v>#NAME?</v>
      </c>
      <c r="AA69" s="248">
        <v>1.8052811141723877</v>
      </c>
      <c r="AB69" s="248">
        <v>0.80748400133006448</v>
      </c>
      <c r="AC69" s="249">
        <f t="shared" si="2"/>
        <v>1.8052811141723877</v>
      </c>
      <c r="AD69" s="250" t="e">
        <f>_xll.MOYENNE.EWMA($AC$137,dfactor,Z69,AC170)-2*_xll.VOLATILITE.EWMA($AC$137,dfactor,Z69,AC170)</f>
        <v>#VALUE!</v>
      </c>
      <c r="AE69" s="250" t="e">
        <f>_xll.MOYENNE.EWMA($AC$137,dfactor,Z69,AC170)+2*_xll.VOLATILITE.EWMA($AC$137,dfactor,Z69,AC170)</f>
        <v>#VALUE!</v>
      </c>
      <c r="AF69" s="240" t="e">
        <f t="shared" ref="AF69:AF100" si="4">AB69-bidask_1</f>
        <v>#VALUE!</v>
      </c>
      <c r="AG69" s="251" t="e">
        <f>_xll.MOYENNE.EWMA($AF$137,dfactor,Z69,AF170)-2*_xll.VOLATILITE.EWMA($AF$137,dfactor,Z69,AF170)</f>
        <v>#VALUE!</v>
      </c>
      <c r="AH69" s="251" t="e">
        <f>_xll.MOYENNE.EWMA($AF$137,dfactor,Z69,AF170)+2*_xll.VOLATILITE.EWMA($AF$137,dfactor,Z69,AF170)</f>
        <v>#VALUE!</v>
      </c>
      <c r="AI69" s="237" t="e">
        <f t="shared" si="3"/>
        <v>#VALUE!</v>
      </c>
      <c r="AJ69" s="252" t="e">
        <f>_xll.MOYENNE.EWMA($AI$137,dfactor,Z69,AI170)-2*_xll.VOLATILITE.EWMA($AI$137,dfactor,Z69,AI170)</f>
        <v>#VALUE!</v>
      </c>
      <c r="AK69" s="252" t="e">
        <f>_xll.MOYENNE.EWMA($AI$137,dfactor,Z69,AI170)+2*_xll.VOLATILITE.EWMA($AI$137,dfactor,Z69,AI170)</f>
        <v>#VALUE!</v>
      </c>
    </row>
    <row r="70" spans="2:37" x14ac:dyDescent="0.3">
      <c r="B70" s="268"/>
      <c r="Z70" s="247" t="e">
        <f ca="1">_xll.JOURS.OUVRES.FINANCE($Z69,"USD",-1)</f>
        <v>#NAME?</v>
      </c>
      <c r="AA70" s="248">
        <v>3.2205837458138831</v>
      </c>
      <c r="AB70" s="248">
        <v>1.5071818858903538</v>
      </c>
      <c r="AC70" s="249">
        <f t="shared" si="2"/>
        <v>3.2205837458138831</v>
      </c>
      <c r="AD70" s="250" t="e">
        <f>_xll.MOYENNE.EWMA($AC$137,dfactor,Z70,AC171)-2*_xll.VOLATILITE.EWMA($AC$137,dfactor,Z70,AC171)</f>
        <v>#VALUE!</v>
      </c>
      <c r="AE70" s="250" t="e">
        <f>_xll.MOYENNE.EWMA($AC$137,dfactor,Z70,AC171)+2*_xll.VOLATILITE.EWMA($AC$137,dfactor,Z70,AC171)</f>
        <v>#VALUE!</v>
      </c>
      <c r="AF70" s="240" t="e">
        <f t="shared" si="4"/>
        <v>#VALUE!</v>
      </c>
      <c r="AG70" s="251" t="e">
        <f>_xll.MOYENNE.EWMA($AF$137,dfactor,Z70,AF171)-2*_xll.VOLATILITE.EWMA($AF$137,dfactor,Z70,AF171)</f>
        <v>#VALUE!</v>
      </c>
      <c r="AH70" s="251" t="e">
        <f>_xll.MOYENNE.EWMA($AF$137,dfactor,Z70,AF171)+2*_xll.VOLATILITE.EWMA($AF$137,dfactor,Z70,AF171)</f>
        <v>#VALUE!</v>
      </c>
      <c r="AI70" s="237" t="e">
        <f t="shared" si="3"/>
        <v>#VALUE!</v>
      </c>
      <c r="AJ70" s="252" t="e">
        <f>_xll.MOYENNE.EWMA($AI$137,dfactor,Z70,AI171)-2*_xll.VOLATILITE.EWMA($AI$137,dfactor,Z70,AI171)</f>
        <v>#VALUE!</v>
      </c>
      <c r="AK70" s="252" t="e">
        <f>_xll.MOYENNE.EWMA($AI$137,dfactor,Z70,AI171)+2*_xll.VOLATILITE.EWMA($AI$137,dfactor,Z70,AI171)</f>
        <v>#VALUE!</v>
      </c>
    </row>
    <row r="71" spans="2:37" x14ac:dyDescent="0.3">
      <c r="B71" s="268"/>
      <c r="Z71" s="247" t="e">
        <f ca="1">_xll.JOURS.OUVRES.FINANCE($Z70,"USD",-1)</f>
        <v>#NAME?</v>
      </c>
      <c r="AA71" s="248">
        <v>3.0022793546800939</v>
      </c>
      <c r="AB71" s="248">
        <v>0.67881301369799762</v>
      </c>
      <c r="AC71" s="249">
        <f t="shared" si="2"/>
        <v>3.0022793546800939</v>
      </c>
      <c r="AD71" s="250" t="e">
        <f>_xll.MOYENNE.EWMA($AC$137,dfactor,Z71,AC172)-2*_xll.VOLATILITE.EWMA($AC$137,dfactor,Z71,AC172)</f>
        <v>#VALUE!</v>
      </c>
      <c r="AE71" s="250" t="e">
        <f>_xll.MOYENNE.EWMA($AC$137,dfactor,Z71,AC172)+2*_xll.VOLATILITE.EWMA($AC$137,dfactor,Z71,AC172)</f>
        <v>#VALUE!</v>
      </c>
      <c r="AF71" s="240" t="e">
        <f t="shared" si="4"/>
        <v>#VALUE!</v>
      </c>
      <c r="AG71" s="251" t="e">
        <f>_xll.MOYENNE.EWMA($AF$137,dfactor,Z71,AF172)-2*_xll.VOLATILITE.EWMA($AF$137,dfactor,Z71,AF172)</f>
        <v>#VALUE!</v>
      </c>
      <c r="AH71" s="251" t="e">
        <f>_xll.MOYENNE.EWMA($AF$137,dfactor,Z71,AF172)+2*_xll.VOLATILITE.EWMA($AF$137,dfactor,Z71,AF172)</f>
        <v>#VALUE!</v>
      </c>
      <c r="AI71" s="237" t="e">
        <f t="shared" si="3"/>
        <v>#VALUE!</v>
      </c>
      <c r="AJ71" s="252" t="e">
        <f>_xll.MOYENNE.EWMA($AI$137,dfactor,Z71,AI172)-2*_xll.VOLATILITE.EWMA($AI$137,dfactor,Z71,AI172)</f>
        <v>#VALUE!</v>
      </c>
      <c r="AK71" s="252" t="e">
        <f>_xll.MOYENNE.EWMA($AI$137,dfactor,Z71,AI172)+2*_xll.VOLATILITE.EWMA($AI$137,dfactor,Z71,AI172)</f>
        <v>#VALUE!</v>
      </c>
    </row>
    <row r="72" spans="2:37" x14ac:dyDescent="0.3">
      <c r="B72" s="268"/>
      <c r="Z72" s="247" t="e">
        <f ca="1">_xll.JOURS.OUVRES.FINANCE($Z71,"USD",-1)</f>
        <v>#NAME?</v>
      </c>
      <c r="AA72" s="248">
        <v>3.0473748065900468</v>
      </c>
      <c r="AB72" s="248">
        <v>2.4532086296352578</v>
      </c>
      <c r="AC72" s="249">
        <f t="shared" si="2"/>
        <v>3.0473748065900468</v>
      </c>
      <c r="AD72" s="250" t="e">
        <f>_xll.MOYENNE.EWMA($AC$137,dfactor,Z72,AC173)-2*_xll.VOLATILITE.EWMA($AC$137,dfactor,Z72,AC173)</f>
        <v>#VALUE!</v>
      </c>
      <c r="AE72" s="250" t="e">
        <f>_xll.MOYENNE.EWMA($AC$137,dfactor,Z72,AC173)+2*_xll.VOLATILITE.EWMA($AC$137,dfactor,Z72,AC173)</f>
        <v>#VALUE!</v>
      </c>
      <c r="AF72" s="240" t="e">
        <f t="shared" si="4"/>
        <v>#VALUE!</v>
      </c>
      <c r="AG72" s="251" t="e">
        <f>_xll.MOYENNE.EWMA($AF$137,dfactor,Z72,AF173)-2*_xll.VOLATILITE.EWMA($AF$137,dfactor,Z72,AF173)</f>
        <v>#VALUE!</v>
      </c>
      <c r="AH72" s="251" t="e">
        <f>_xll.MOYENNE.EWMA($AF$137,dfactor,Z72,AF173)+2*_xll.VOLATILITE.EWMA($AF$137,dfactor,Z72,AF173)</f>
        <v>#VALUE!</v>
      </c>
      <c r="AI72" s="237" t="e">
        <f t="shared" si="3"/>
        <v>#VALUE!</v>
      </c>
      <c r="AJ72" s="252" t="e">
        <f>_xll.MOYENNE.EWMA($AI$137,dfactor,Z72,AI173)-2*_xll.VOLATILITE.EWMA($AI$137,dfactor,Z72,AI173)</f>
        <v>#VALUE!</v>
      </c>
      <c r="AK72" s="252" t="e">
        <f>_xll.MOYENNE.EWMA($AI$137,dfactor,Z72,AI173)+2*_xll.VOLATILITE.EWMA($AI$137,dfactor,Z72,AI173)</f>
        <v>#VALUE!</v>
      </c>
    </row>
    <row r="73" spans="2:37" x14ac:dyDescent="0.3">
      <c r="B73" s="268"/>
      <c r="Z73" s="247" t="e">
        <f ca="1">_xll.JOURS.OUVRES.FINANCE($Z72,"USD",-1)</f>
        <v>#NAME?</v>
      </c>
      <c r="AA73" s="248">
        <v>3.4222614901573909</v>
      </c>
      <c r="AB73" s="248">
        <v>2.5447709304159476</v>
      </c>
      <c r="AC73" s="249">
        <f t="shared" si="2"/>
        <v>3.4222614901573909</v>
      </c>
      <c r="AD73" s="250" t="e">
        <f>_xll.MOYENNE.EWMA($AC$137,dfactor,Z73,AC174)-2*_xll.VOLATILITE.EWMA($AC$137,dfactor,Z73,AC174)</f>
        <v>#VALUE!</v>
      </c>
      <c r="AE73" s="250" t="e">
        <f>_xll.MOYENNE.EWMA($AC$137,dfactor,Z73,AC174)+2*_xll.VOLATILITE.EWMA($AC$137,dfactor,Z73,AC174)</f>
        <v>#VALUE!</v>
      </c>
      <c r="AF73" s="240" t="e">
        <f t="shared" si="4"/>
        <v>#VALUE!</v>
      </c>
      <c r="AG73" s="251" t="e">
        <f>_xll.MOYENNE.EWMA($AF$137,dfactor,Z73,AF174)-2*_xll.VOLATILITE.EWMA($AF$137,dfactor,Z73,AF174)</f>
        <v>#VALUE!</v>
      </c>
      <c r="AH73" s="251" t="e">
        <f>_xll.MOYENNE.EWMA($AF$137,dfactor,Z73,AF174)+2*_xll.VOLATILITE.EWMA($AF$137,dfactor,Z73,AF174)</f>
        <v>#VALUE!</v>
      </c>
      <c r="AI73" s="237" t="e">
        <f t="shared" si="3"/>
        <v>#VALUE!</v>
      </c>
      <c r="AJ73" s="252" t="e">
        <f>_xll.MOYENNE.EWMA($AI$137,dfactor,Z73,AI174)-2*_xll.VOLATILITE.EWMA($AI$137,dfactor,Z73,AI174)</f>
        <v>#VALUE!</v>
      </c>
      <c r="AK73" s="252" t="e">
        <f>_xll.MOYENNE.EWMA($AI$137,dfactor,Z73,AI174)+2*_xll.VOLATILITE.EWMA($AI$137,dfactor,Z73,AI174)</f>
        <v>#VALUE!</v>
      </c>
    </row>
    <row r="74" spans="2:37" x14ac:dyDescent="0.3">
      <c r="Z74" s="247" t="e">
        <f ca="1">_xll.JOURS.OUVRES.FINANCE($Z73,"USD",-1)</f>
        <v>#NAME?</v>
      </c>
      <c r="AA74" s="248">
        <v>4.3980104782682128</v>
      </c>
      <c r="AB74" s="248">
        <v>1.7476608942167928</v>
      </c>
      <c r="AC74" s="249">
        <f t="shared" si="2"/>
        <v>4.3980104782682128</v>
      </c>
      <c r="AD74" s="250" t="e">
        <f>_xll.MOYENNE.EWMA($AC$137,dfactor,Z74,AC175)-2*_xll.VOLATILITE.EWMA($AC$137,dfactor,Z74,AC175)</f>
        <v>#VALUE!</v>
      </c>
      <c r="AE74" s="250" t="e">
        <f>_xll.MOYENNE.EWMA($AC$137,dfactor,Z74,AC175)+2*_xll.VOLATILITE.EWMA($AC$137,dfactor,Z74,AC175)</f>
        <v>#VALUE!</v>
      </c>
      <c r="AF74" s="240" t="e">
        <f t="shared" si="4"/>
        <v>#VALUE!</v>
      </c>
      <c r="AG74" s="251" t="e">
        <f>_xll.MOYENNE.EWMA($AF$137,dfactor,Z74,AF175)-2*_xll.VOLATILITE.EWMA($AF$137,dfactor,Z74,AF175)</f>
        <v>#VALUE!</v>
      </c>
      <c r="AH74" s="251" t="e">
        <f>_xll.MOYENNE.EWMA($AF$137,dfactor,Z74,AF175)+2*_xll.VOLATILITE.EWMA($AF$137,dfactor,Z74,AF175)</f>
        <v>#VALUE!</v>
      </c>
      <c r="AI74" s="237" t="e">
        <f t="shared" si="3"/>
        <v>#VALUE!</v>
      </c>
      <c r="AJ74" s="252" t="e">
        <f>_xll.MOYENNE.EWMA($AI$137,dfactor,Z74,AI175)-2*_xll.VOLATILITE.EWMA($AI$137,dfactor,Z74,AI175)</f>
        <v>#VALUE!</v>
      </c>
      <c r="AK74" s="252" t="e">
        <f>_xll.MOYENNE.EWMA($AI$137,dfactor,Z74,AI175)+2*_xll.VOLATILITE.EWMA($AI$137,dfactor,Z74,AI175)</f>
        <v>#VALUE!</v>
      </c>
    </row>
    <row r="75" spans="2:37" x14ac:dyDescent="0.3">
      <c r="Z75" s="247" t="e">
        <f ca="1">_xll.JOURS.OUVRES.FINANCE($Z74,"USD",-1)</f>
        <v>#NAME?</v>
      </c>
      <c r="AA75" s="248">
        <v>3.6595951091388992</v>
      </c>
      <c r="AB75" s="248">
        <v>2.1549591865835755</v>
      </c>
      <c r="AC75" s="249">
        <f t="shared" si="2"/>
        <v>3.6595951091388992</v>
      </c>
      <c r="AD75" s="250" t="e">
        <f>_xll.MOYENNE.EWMA($AC$137,dfactor,Z75,AC176)-2*_xll.VOLATILITE.EWMA($AC$137,dfactor,Z75,AC176)</f>
        <v>#VALUE!</v>
      </c>
      <c r="AE75" s="250" t="e">
        <f>_xll.MOYENNE.EWMA($AC$137,dfactor,Z75,AC176)+2*_xll.VOLATILITE.EWMA($AC$137,dfactor,Z75,AC176)</f>
        <v>#VALUE!</v>
      </c>
      <c r="AF75" s="240" t="e">
        <f t="shared" si="4"/>
        <v>#VALUE!</v>
      </c>
      <c r="AG75" s="251" t="e">
        <f>_xll.MOYENNE.EWMA($AF$137,dfactor,Z75,AF176)-2*_xll.VOLATILITE.EWMA($AF$137,dfactor,Z75,AF176)</f>
        <v>#VALUE!</v>
      </c>
      <c r="AH75" s="251" t="e">
        <f>_xll.MOYENNE.EWMA($AF$137,dfactor,Z75,AF176)+2*_xll.VOLATILITE.EWMA($AF$137,dfactor,Z75,AF176)</f>
        <v>#VALUE!</v>
      </c>
      <c r="AI75" s="237" t="e">
        <f t="shared" si="3"/>
        <v>#VALUE!</v>
      </c>
      <c r="AJ75" s="252" t="e">
        <f>_xll.MOYENNE.EWMA($AI$137,dfactor,Z75,AI176)-2*_xll.VOLATILITE.EWMA($AI$137,dfactor,Z75,AI176)</f>
        <v>#VALUE!</v>
      </c>
      <c r="AK75" s="252" t="e">
        <f>_xll.MOYENNE.EWMA($AI$137,dfactor,Z75,AI176)+2*_xll.VOLATILITE.EWMA($AI$137,dfactor,Z75,AI176)</f>
        <v>#VALUE!</v>
      </c>
    </row>
    <row r="76" spans="2:37" x14ac:dyDescent="0.3">
      <c r="Z76" s="247" t="e">
        <f ca="1">_xll.JOURS.OUVRES.FINANCE($Z75,"USD",-1)</f>
        <v>#NAME?</v>
      </c>
      <c r="AA76" s="248">
        <v>3.8831500464882556</v>
      </c>
      <c r="AB76" s="248">
        <v>2.2773081794481924</v>
      </c>
      <c r="AC76" s="249">
        <f t="shared" si="2"/>
        <v>3.8831500464882556</v>
      </c>
      <c r="AD76" s="250" t="e">
        <f>_xll.MOYENNE.EWMA($AC$137,dfactor,Z76,AC177)-2*_xll.VOLATILITE.EWMA($AC$137,dfactor,Z76,AC177)</f>
        <v>#VALUE!</v>
      </c>
      <c r="AE76" s="250" t="e">
        <f>_xll.MOYENNE.EWMA($AC$137,dfactor,Z76,AC177)+2*_xll.VOLATILITE.EWMA($AC$137,dfactor,Z76,AC177)</f>
        <v>#VALUE!</v>
      </c>
      <c r="AF76" s="240" t="e">
        <f t="shared" si="4"/>
        <v>#VALUE!</v>
      </c>
      <c r="AG76" s="251" t="e">
        <f>_xll.MOYENNE.EWMA($AF$137,dfactor,Z76,AF177)-2*_xll.VOLATILITE.EWMA($AF$137,dfactor,Z76,AF177)</f>
        <v>#VALUE!</v>
      </c>
      <c r="AH76" s="251" t="e">
        <f>_xll.MOYENNE.EWMA($AF$137,dfactor,Z76,AF177)+2*_xll.VOLATILITE.EWMA($AF$137,dfactor,Z76,AF177)</f>
        <v>#VALUE!</v>
      </c>
      <c r="AI76" s="237" t="e">
        <f t="shared" si="3"/>
        <v>#VALUE!</v>
      </c>
      <c r="AJ76" s="252" t="e">
        <f>_xll.MOYENNE.EWMA($AI$137,dfactor,Z76,AI177)-2*_xll.VOLATILITE.EWMA($AI$137,dfactor,Z76,AI177)</f>
        <v>#VALUE!</v>
      </c>
      <c r="AK76" s="252" t="e">
        <f>_xll.MOYENNE.EWMA($AI$137,dfactor,Z76,AI177)+2*_xll.VOLATILITE.EWMA($AI$137,dfactor,Z76,AI177)</f>
        <v>#VALUE!</v>
      </c>
    </row>
    <row r="77" spans="2:37" x14ac:dyDescent="0.3">
      <c r="Z77" s="247" t="e">
        <f ca="1">_xll.JOURS.OUVRES.FINANCE($Z76,"USD",-1)</f>
        <v>#NAME?</v>
      </c>
      <c r="AA77" s="248">
        <v>4.2437150612675767</v>
      </c>
      <c r="AB77" s="248">
        <v>1.4552820797592219</v>
      </c>
      <c r="AC77" s="249">
        <f t="shared" si="2"/>
        <v>4.2437150612675767</v>
      </c>
      <c r="AD77" s="250" t="e">
        <f>_xll.MOYENNE.EWMA($AC$137,dfactor,Z77,AC178)-2*_xll.VOLATILITE.EWMA($AC$137,dfactor,Z77,AC178)</f>
        <v>#VALUE!</v>
      </c>
      <c r="AE77" s="250" t="e">
        <f>_xll.MOYENNE.EWMA($AC$137,dfactor,Z77,AC178)+2*_xll.VOLATILITE.EWMA($AC$137,dfactor,Z77,AC178)</f>
        <v>#VALUE!</v>
      </c>
      <c r="AF77" s="240" t="e">
        <f t="shared" si="4"/>
        <v>#VALUE!</v>
      </c>
      <c r="AG77" s="251" t="e">
        <f>_xll.MOYENNE.EWMA($AF$137,dfactor,Z77,AF178)-2*_xll.VOLATILITE.EWMA($AF$137,dfactor,Z77,AF178)</f>
        <v>#VALUE!</v>
      </c>
      <c r="AH77" s="251" t="e">
        <f>_xll.MOYENNE.EWMA($AF$137,dfactor,Z77,AF178)+2*_xll.VOLATILITE.EWMA($AF$137,dfactor,Z77,AF178)</f>
        <v>#VALUE!</v>
      </c>
      <c r="AI77" s="237" t="e">
        <f t="shared" si="3"/>
        <v>#VALUE!</v>
      </c>
      <c r="AJ77" s="252" t="e">
        <f>_xll.MOYENNE.EWMA($AI$137,dfactor,Z77,AI178)-2*_xll.VOLATILITE.EWMA($AI$137,dfactor,Z77,AI178)</f>
        <v>#VALUE!</v>
      </c>
      <c r="AK77" s="252" t="e">
        <f>_xll.MOYENNE.EWMA($AI$137,dfactor,Z77,AI178)+2*_xll.VOLATILITE.EWMA($AI$137,dfactor,Z77,AI178)</f>
        <v>#VALUE!</v>
      </c>
    </row>
    <row r="78" spans="2:37" x14ac:dyDescent="0.3">
      <c r="Z78" s="247" t="e">
        <f ca="1">_xll.JOURS.OUVRES.FINANCE($Z77,"USD",-1)</f>
        <v>#NAME?</v>
      </c>
      <c r="AA78" s="248">
        <v>4.7115464718609852</v>
      </c>
      <c r="AB78" s="248">
        <v>1.6954890274959511</v>
      </c>
      <c r="AC78" s="249">
        <f t="shared" si="2"/>
        <v>4.7115464718609852</v>
      </c>
      <c r="AD78" s="250" t="e">
        <f>_xll.MOYENNE.EWMA($AC$137,dfactor,Z78,AC179)-2*_xll.VOLATILITE.EWMA($AC$137,dfactor,Z78,AC179)</f>
        <v>#VALUE!</v>
      </c>
      <c r="AE78" s="250" t="e">
        <f>_xll.MOYENNE.EWMA($AC$137,dfactor,Z78,AC179)+2*_xll.VOLATILITE.EWMA($AC$137,dfactor,Z78,AC179)</f>
        <v>#VALUE!</v>
      </c>
      <c r="AF78" s="240" t="e">
        <f t="shared" si="4"/>
        <v>#VALUE!</v>
      </c>
      <c r="AG78" s="251" t="e">
        <f>_xll.MOYENNE.EWMA($AF$137,dfactor,Z78,AF179)-2*_xll.VOLATILITE.EWMA($AF$137,dfactor,Z78,AF179)</f>
        <v>#VALUE!</v>
      </c>
      <c r="AH78" s="251" t="e">
        <f>_xll.MOYENNE.EWMA($AF$137,dfactor,Z78,AF179)+2*_xll.VOLATILITE.EWMA($AF$137,dfactor,Z78,AF179)</f>
        <v>#VALUE!</v>
      </c>
      <c r="AI78" s="237" t="e">
        <f t="shared" si="3"/>
        <v>#VALUE!</v>
      </c>
      <c r="AJ78" s="252" t="e">
        <f>_xll.MOYENNE.EWMA($AI$137,dfactor,Z78,AI179)-2*_xll.VOLATILITE.EWMA($AI$137,dfactor,Z78,AI179)</f>
        <v>#VALUE!</v>
      </c>
      <c r="AK78" s="252" t="e">
        <f>_xll.MOYENNE.EWMA($AI$137,dfactor,Z78,AI179)+2*_xll.VOLATILITE.EWMA($AI$137,dfactor,Z78,AI179)</f>
        <v>#VALUE!</v>
      </c>
    </row>
    <row r="79" spans="2:37" x14ac:dyDescent="0.3">
      <c r="Z79" s="247" t="e">
        <f ca="1">_xll.JOURS.OUVRES.FINANCE($Z78,"USD",-1)</f>
        <v>#NAME?</v>
      </c>
      <c r="AA79" s="248">
        <v>3.1901921203216346</v>
      </c>
      <c r="AB79" s="248">
        <v>1.9548025828193381</v>
      </c>
      <c r="AC79" s="249">
        <f t="shared" si="2"/>
        <v>3.1901921203216346</v>
      </c>
      <c r="AD79" s="250" t="e">
        <f>_xll.MOYENNE.EWMA($AC$137,dfactor,Z79,AC180)-2*_xll.VOLATILITE.EWMA($AC$137,dfactor,Z79,AC180)</f>
        <v>#VALUE!</v>
      </c>
      <c r="AE79" s="250" t="e">
        <f>_xll.MOYENNE.EWMA($AC$137,dfactor,Z79,AC180)+2*_xll.VOLATILITE.EWMA($AC$137,dfactor,Z79,AC180)</f>
        <v>#VALUE!</v>
      </c>
      <c r="AF79" s="240" t="e">
        <f t="shared" si="4"/>
        <v>#VALUE!</v>
      </c>
      <c r="AG79" s="251" t="e">
        <f>_xll.MOYENNE.EWMA($AF$137,dfactor,Z79,AF180)-2*_xll.VOLATILITE.EWMA($AF$137,dfactor,Z79,AF180)</f>
        <v>#VALUE!</v>
      </c>
      <c r="AH79" s="251" t="e">
        <f>_xll.MOYENNE.EWMA($AF$137,dfactor,Z79,AF180)+2*_xll.VOLATILITE.EWMA($AF$137,dfactor,Z79,AF180)</f>
        <v>#VALUE!</v>
      </c>
      <c r="AI79" s="237" t="e">
        <f t="shared" si="3"/>
        <v>#VALUE!</v>
      </c>
      <c r="AJ79" s="252" t="e">
        <f>_xll.MOYENNE.EWMA($AI$137,dfactor,Z79,AI180)-2*_xll.VOLATILITE.EWMA($AI$137,dfactor,Z79,AI180)</f>
        <v>#VALUE!</v>
      </c>
      <c r="AK79" s="252" t="e">
        <f>_xll.MOYENNE.EWMA($AI$137,dfactor,Z79,AI180)+2*_xll.VOLATILITE.EWMA($AI$137,dfactor,Z79,AI180)</f>
        <v>#VALUE!</v>
      </c>
    </row>
    <row r="80" spans="2:37" x14ac:dyDescent="0.3">
      <c r="Z80" s="247" t="e">
        <f ca="1">_xll.JOURS.OUVRES.FINANCE($Z79,"USD",-1)</f>
        <v>#NAME?</v>
      </c>
      <c r="AA80" s="248">
        <v>3.0676406210739318</v>
      </c>
      <c r="AB80" s="248">
        <v>2.6538179764094982</v>
      </c>
      <c r="AC80" s="249">
        <f t="shared" si="2"/>
        <v>3.0676406210739318</v>
      </c>
      <c r="AD80" s="250" t="e">
        <f>_xll.MOYENNE.EWMA($AC$137,dfactor,Z80,AC181)-2*_xll.VOLATILITE.EWMA($AC$137,dfactor,Z80,AC181)</f>
        <v>#VALUE!</v>
      </c>
      <c r="AE80" s="250" t="e">
        <f>_xll.MOYENNE.EWMA($AC$137,dfactor,Z80,AC181)+2*_xll.VOLATILITE.EWMA($AC$137,dfactor,Z80,AC181)</f>
        <v>#VALUE!</v>
      </c>
      <c r="AF80" s="240" t="e">
        <f t="shared" si="4"/>
        <v>#VALUE!</v>
      </c>
      <c r="AG80" s="251" t="e">
        <f>_xll.MOYENNE.EWMA($AF$137,dfactor,Z80,AF181)-2*_xll.VOLATILITE.EWMA($AF$137,dfactor,Z80,AF181)</f>
        <v>#VALUE!</v>
      </c>
      <c r="AH80" s="251" t="e">
        <f>_xll.MOYENNE.EWMA($AF$137,dfactor,Z80,AF181)+2*_xll.VOLATILITE.EWMA($AF$137,dfactor,Z80,AF181)</f>
        <v>#VALUE!</v>
      </c>
      <c r="AI80" s="237" t="e">
        <f t="shared" si="3"/>
        <v>#VALUE!</v>
      </c>
      <c r="AJ80" s="252" t="e">
        <f>_xll.MOYENNE.EWMA($AI$137,dfactor,Z80,AI181)-2*_xll.VOLATILITE.EWMA($AI$137,dfactor,Z80,AI181)</f>
        <v>#VALUE!</v>
      </c>
      <c r="AK80" s="252" t="e">
        <f>_xll.MOYENNE.EWMA($AI$137,dfactor,Z80,AI181)+2*_xll.VOLATILITE.EWMA($AI$137,dfactor,Z80,AI181)</f>
        <v>#VALUE!</v>
      </c>
    </row>
    <row r="81" spans="26:37" x14ac:dyDescent="0.3">
      <c r="Z81" s="247" t="e">
        <f ca="1">_xll.JOURS.OUVRES.FINANCE($Z80,"USD",-1)</f>
        <v>#NAME?</v>
      </c>
      <c r="AA81" s="248">
        <v>3.4641794389461058</v>
      </c>
      <c r="AB81" s="248">
        <v>4.8353499958059283</v>
      </c>
      <c r="AC81" s="249">
        <f t="shared" si="2"/>
        <v>3.4641794389461058</v>
      </c>
      <c r="AD81" s="250" t="e">
        <f>_xll.MOYENNE.EWMA($AC$137,dfactor,Z81,AC182)-2*_xll.VOLATILITE.EWMA($AC$137,dfactor,Z81,AC182)</f>
        <v>#VALUE!</v>
      </c>
      <c r="AE81" s="250" t="e">
        <f>_xll.MOYENNE.EWMA($AC$137,dfactor,Z81,AC182)+2*_xll.VOLATILITE.EWMA($AC$137,dfactor,Z81,AC182)</f>
        <v>#VALUE!</v>
      </c>
      <c r="AF81" s="240" t="e">
        <f t="shared" si="4"/>
        <v>#VALUE!</v>
      </c>
      <c r="AG81" s="251" t="e">
        <f>_xll.MOYENNE.EWMA($AF$137,dfactor,Z81,AF182)-2*_xll.VOLATILITE.EWMA($AF$137,dfactor,Z81,AF182)</f>
        <v>#VALUE!</v>
      </c>
      <c r="AH81" s="251" t="e">
        <f>_xll.MOYENNE.EWMA($AF$137,dfactor,Z81,AF182)+2*_xll.VOLATILITE.EWMA($AF$137,dfactor,Z81,AF182)</f>
        <v>#VALUE!</v>
      </c>
      <c r="AI81" s="237" t="e">
        <f t="shared" si="3"/>
        <v>#VALUE!</v>
      </c>
      <c r="AJ81" s="252" t="e">
        <f>_xll.MOYENNE.EWMA($AI$137,dfactor,Z81,AI182)-2*_xll.VOLATILITE.EWMA($AI$137,dfactor,Z81,AI182)</f>
        <v>#VALUE!</v>
      </c>
      <c r="AK81" s="252" t="e">
        <f>_xll.MOYENNE.EWMA($AI$137,dfactor,Z81,AI182)+2*_xll.VOLATILITE.EWMA($AI$137,dfactor,Z81,AI182)</f>
        <v>#VALUE!</v>
      </c>
    </row>
    <row r="82" spans="26:37" x14ac:dyDescent="0.3">
      <c r="Z82" s="247" t="e">
        <f ca="1">_xll.JOURS.OUVRES.FINANCE($Z81,"USD",-1)</f>
        <v>#NAME?</v>
      </c>
      <c r="AA82" s="248">
        <v>1.6666269693644031</v>
      </c>
      <c r="AB82" s="248">
        <v>2.7451782826000182</v>
      </c>
      <c r="AC82" s="249">
        <f t="shared" si="2"/>
        <v>1.6666269693644031</v>
      </c>
      <c r="AD82" s="250" t="e">
        <f>_xll.MOYENNE.EWMA($AC$137,dfactor,Z82,AC183)-2*_xll.VOLATILITE.EWMA($AC$137,dfactor,Z82,AC183)</f>
        <v>#VALUE!</v>
      </c>
      <c r="AE82" s="250" t="e">
        <f>_xll.MOYENNE.EWMA($AC$137,dfactor,Z82,AC183)+2*_xll.VOLATILITE.EWMA($AC$137,dfactor,Z82,AC183)</f>
        <v>#VALUE!</v>
      </c>
      <c r="AF82" s="240" t="e">
        <f t="shared" si="4"/>
        <v>#VALUE!</v>
      </c>
      <c r="AG82" s="251" t="e">
        <f>_xll.MOYENNE.EWMA($AF$137,dfactor,Z82,AF183)-2*_xll.VOLATILITE.EWMA($AF$137,dfactor,Z82,AF183)</f>
        <v>#VALUE!</v>
      </c>
      <c r="AH82" s="251" t="e">
        <f>_xll.MOYENNE.EWMA($AF$137,dfactor,Z82,AF183)+2*_xll.VOLATILITE.EWMA($AF$137,dfactor,Z82,AF183)</f>
        <v>#VALUE!</v>
      </c>
      <c r="AI82" s="237" t="e">
        <f>IF(OR(AA82=0,AB82=0),0.0001,AF82-AC82)</f>
        <v>#VALUE!</v>
      </c>
      <c r="AJ82" s="252" t="e">
        <f>_xll.MOYENNE.EWMA($AI$137,dfactor,Z82,AI183)-2*_xll.VOLATILITE.EWMA($AI$137,dfactor,Z82,AI183)</f>
        <v>#VALUE!</v>
      </c>
      <c r="AK82" s="252" t="e">
        <f>_xll.MOYENNE.EWMA($AI$137,dfactor,Z82,AI183)+2*_xll.VOLATILITE.EWMA($AI$137,dfactor,Z82,AI183)</f>
        <v>#VALUE!</v>
      </c>
    </row>
    <row r="83" spans="26:37" x14ac:dyDescent="0.3">
      <c r="Z83" s="247" t="e">
        <f ca="1">_xll.JOURS.OUVRES.FINANCE($Z82,"USD",-1)</f>
        <v>#NAME?</v>
      </c>
      <c r="AA83" s="248">
        <v>0.17186843657131548</v>
      </c>
      <c r="AB83" s="248">
        <v>2.8812015876827055</v>
      </c>
      <c r="AC83" s="249">
        <f t="shared" si="2"/>
        <v>0.17186843657131548</v>
      </c>
      <c r="AD83" s="250" t="e">
        <f>_xll.MOYENNE.EWMA($AC$137,dfactor,Z83,AC184)-2*_xll.VOLATILITE.EWMA($AC$137,dfactor,Z83,AC184)</f>
        <v>#VALUE!</v>
      </c>
      <c r="AE83" s="250" t="e">
        <f>_xll.MOYENNE.EWMA($AC$137,dfactor,Z83,AC184)+2*_xll.VOLATILITE.EWMA($AC$137,dfactor,Z83,AC184)</f>
        <v>#VALUE!</v>
      </c>
      <c r="AF83" s="240" t="e">
        <f t="shared" si="4"/>
        <v>#VALUE!</v>
      </c>
      <c r="AG83" s="251" t="e">
        <f>_xll.MOYENNE.EWMA($AF$137,dfactor,Z83,AF184)-2*_xll.VOLATILITE.EWMA($AF$137,dfactor,Z83,AF184)</f>
        <v>#VALUE!</v>
      </c>
      <c r="AH83" s="251" t="e">
        <f>_xll.MOYENNE.EWMA($AF$137,dfactor,Z83,AF184)+2*_xll.VOLATILITE.EWMA($AF$137,dfactor,Z83,AF184)</f>
        <v>#VALUE!</v>
      </c>
      <c r="AI83" s="237" t="e">
        <f t="shared" ref="AI83:AI135" si="5">IF(OR(AA83=0,AB83=0),0.0001,AF83-AC83)</f>
        <v>#VALUE!</v>
      </c>
      <c r="AJ83" s="252" t="e">
        <f>_xll.MOYENNE.EWMA($AI$137,dfactor,Z83,AI184)-2*_xll.VOLATILITE.EWMA($AI$137,dfactor,Z83,AI184)</f>
        <v>#VALUE!</v>
      </c>
      <c r="AK83" s="252" t="e">
        <f>_xll.MOYENNE.EWMA($AI$137,dfactor,Z83,AI184)+2*_xll.VOLATILITE.EWMA($AI$137,dfactor,Z83,AI184)</f>
        <v>#VALUE!</v>
      </c>
    </row>
    <row r="84" spans="26:37" x14ac:dyDescent="0.3">
      <c r="Z84" s="247" t="e">
        <f ca="1">_xll.JOURS.OUVRES.FINANCE($Z83,"USD",-1)</f>
        <v>#NAME?</v>
      </c>
      <c r="AA84" s="248">
        <v>1.305952874408689</v>
      </c>
      <c r="AB84" s="248">
        <v>2.0152931083813557</v>
      </c>
      <c r="AC84" s="249">
        <f t="shared" si="2"/>
        <v>1.305952874408689</v>
      </c>
      <c r="AD84" s="250" t="e">
        <f>_xll.MOYENNE.EWMA($AC$137,dfactor,Z84,AC185)-2*_xll.VOLATILITE.EWMA($AC$137,dfactor,Z84,AC185)</f>
        <v>#VALUE!</v>
      </c>
      <c r="AE84" s="250" t="e">
        <f>_xll.MOYENNE.EWMA($AC$137,dfactor,Z84,AC185)+2*_xll.VOLATILITE.EWMA($AC$137,dfactor,Z84,AC185)</f>
        <v>#VALUE!</v>
      </c>
      <c r="AF84" s="240" t="e">
        <f t="shared" si="4"/>
        <v>#VALUE!</v>
      </c>
      <c r="AG84" s="251" t="e">
        <f>_xll.MOYENNE.EWMA($AF$137,dfactor,Z84,AF185)-2*_xll.VOLATILITE.EWMA($AF$137,dfactor,Z84,AF185)</f>
        <v>#VALUE!</v>
      </c>
      <c r="AH84" s="251" t="e">
        <f>_xll.MOYENNE.EWMA($AF$137,dfactor,Z84,AF185)+2*_xll.VOLATILITE.EWMA($AF$137,dfactor,Z84,AF185)</f>
        <v>#VALUE!</v>
      </c>
      <c r="AI84" s="237" t="e">
        <f t="shared" si="5"/>
        <v>#VALUE!</v>
      </c>
      <c r="AJ84" s="252" t="e">
        <f>_xll.MOYENNE.EWMA($AI$137,dfactor,Z84,AI185)-2*_xll.VOLATILITE.EWMA($AI$137,dfactor,Z84,AI185)</f>
        <v>#VALUE!</v>
      </c>
      <c r="AK84" s="252" t="e">
        <f>_xll.MOYENNE.EWMA($AI$137,dfactor,Z84,AI185)+2*_xll.VOLATILITE.EWMA($AI$137,dfactor,Z84,AI185)</f>
        <v>#VALUE!</v>
      </c>
    </row>
    <row r="85" spans="26:37" x14ac:dyDescent="0.3">
      <c r="Z85" s="247" t="e">
        <f ca="1">_xll.JOURS.OUVRES.FINANCE($Z84,"USD",-1)</f>
        <v>#NAME?</v>
      </c>
      <c r="AA85" s="248">
        <v>2.0636756983590043</v>
      </c>
      <c r="AB85" s="248">
        <v>2.4096516766095109</v>
      </c>
      <c r="AC85" s="249">
        <f t="shared" si="2"/>
        <v>2.0636756983590043</v>
      </c>
      <c r="AD85" s="250" t="e">
        <f>_xll.MOYENNE.EWMA($AC$137,dfactor,Z85,AC186)-2*_xll.VOLATILITE.EWMA($AC$137,dfactor,Z85,AC186)</f>
        <v>#VALUE!</v>
      </c>
      <c r="AE85" s="250" t="e">
        <f>_xll.MOYENNE.EWMA($AC$137,dfactor,Z85,AC186)+2*_xll.VOLATILITE.EWMA($AC$137,dfactor,Z85,AC186)</f>
        <v>#VALUE!</v>
      </c>
      <c r="AF85" s="240" t="e">
        <f t="shared" si="4"/>
        <v>#VALUE!</v>
      </c>
      <c r="AG85" s="251" t="e">
        <f>_xll.MOYENNE.EWMA($AF$137,dfactor,Z85,AF186)-2*_xll.VOLATILITE.EWMA($AF$137,dfactor,Z85,AF186)</f>
        <v>#VALUE!</v>
      </c>
      <c r="AH85" s="251" t="e">
        <f>_xll.MOYENNE.EWMA($AF$137,dfactor,Z85,AF186)+2*_xll.VOLATILITE.EWMA($AF$137,dfactor,Z85,AF186)</f>
        <v>#VALUE!</v>
      </c>
      <c r="AI85" s="237" t="e">
        <f t="shared" si="5"/>
        <v>#VALUE!</v>
      </c>
      <c r="AJ85" s="252" t="e">
        <f>_xll.MOYENNE.EWMA($AI$137,dfactor,Z85,AI186)-2*_xll.VOLATILITE.EWMA($AI$137,dfactor,Z85,AI186)</f>
        <v>#VALUE!</v>
      </c>
      <c r="AK85" s="252" t="e">
        <f>_xll.MOYENNE.EWMA($AI$137,dfactor,Z85,AI186)+2*_xll.VOLATILITE.EWMA($AI$137,dfactor,Z85,AI186)</f>
        <v>#VALUE!</v>
      </c>
    </row>
    <row r="86" spans="26:37" x14ac:dyDescent="0.3">
      <c r="Z86" s="247" t="e">
        <f ca="1">_xll.JOURS.OUVRES.FINANCE($Z85,"USD",-1)</f>
        <v>#NAME?</v>
      </c>
      <c r="AA86" s="248">
        <v>1.5147367167324133</v>
      </c>
      <c r="AB86" s="248">
        <v>1.1869717593124121</v>
      </c>
      <c r="AC86" s="249">
        <f t="shared" si="2"/>
        <v>1.5147367167324133</v>
      </c>
      <c r="AD86" s="250" t="e">
        <f>_xll.MOYENNE.EWMA($AC$137,dfactor,Z86,AC187)-2*_xll.VOLATILITE.EWMA($AC$137,dfactor,Z86,AC187)</f>
        <v>#VALUE!</v>
      </c>
      <c r="AE86" s="250" t="e">
        <f>_xll.MOYENNE.EWMA($AC$137,dfactor,Z86,AC187)+2*_xll.VOLATILITE.EWMA($AC$137,dfactor,Z86,AC187)</f>
        <v>#VALUE!</v>
      </c>
      <c r="AF86" s="240" t="e">
        <f t="shared" si="4"/>
        <v>#VALUE!</v>
      </c>
      <c r="AG86" s="251" t="e">
        <f>_xll.MOYENNE.EWMA($AF$137,dfactor,Z86,AF187)-2*_xll.VOLATILITE.EWMA($AF$137,dfactor,Z86,AF187)</f>
        <v>#VALUE!</v>
      </c>
      <c r="AH86" s="251" t="e">
        <f>_xll.MOYENNE.EWMA($AF$137,dfactor,Z86,AF187)+2*_xll.VOLATILITE.EWMA($AF$137,dfactor,Z86,AF187)</f>
        <v>#VALUE!</v>
      </c>
      <c r="AI86" s="237" t="e">
        <f t="shared" si="5"/>
        <v>#VALUE!</v>
      </c>
      <c r="AJ86" s="252" t="e">
        <f>_xll.MOYENNE.EWMA($AI$137,dfactor,Z86,AI187)-2*_xll.VOLATILITE.EWMA($AI$137,dfactor,Z86,AI187)</f>
        <v>#VALUE!</v>
      </c>
      <c r="AK86" s="252" t="e">
        <f>_xll.MOYENNE.EWMA($AI$137,dfactor,Z86,AI187)+2*_xll.VOLATILITE.EWMA($AI$137,dfactor,Z86,AI187)</f>
        <v>#VALUE!</v>
      </c>
    </row>
    <row r="87" spans="26:37" x14ac:dyDescent="0.3">
      <c r="Z87" s="247" t="e">
        <f ca="1">_xll.JOURS.OUVRES.FINANCE($Z86,"USD",-1)</f>
        <v>#NAME?</v>
      </c>
      <c r="AA87" s="248">
        <v>4.6451411176749664</v>
      </c>
      <c r="AB87" s="248">
        <v>3.4394039694272744</v>
      </c>
      <c r="AC87" s="249">
        <f t="shared" si="2"/>
        <v>4.6451411176749664</v>
      </c>
      <c r="AD87" s="250" t="e">
        <f>_xll.MOYENNE.EWMA($AC$137,dfactor,Z87,AC188)-2*_xll.VOLATILITE.EWMA($AC$137,dfactor,Z87,AC188)</f>
        <v>#VALUE!</v>
      </c>
      <c r="AE87" s="250" t="e">
        <f>_xll.MOYENNE.EWMA($AC$137,dfactor,Z87,AC188)+2*_xll.VOLATILITE.EWMA($AC$137,dfactor,Z87,AC188)</f>
        <v>#VALUE!</v>
      </c>
      <c r="AF87" s="240" t="e">
        <f t="shared" si="4"/>
        <v>#VALUE!</v>
      </c>
      <c r="AG87" s="251" t="e">
        <f>_xll.MOYENNE.EWMA($AF$137,dfactor,Z87,AF188)-2*_xll.VOLATILITE.EWMA($AF$137,dfactor,Z87,AF188)</f>
        <v>#VALUE!</v>
      </c>
      <c r="AH87" s="251" t="e">
        <f>_xll.MOYENNE.EWMA($AF$137,dfactor,Z87,AF188)+2*_xll.VOLATILITE.EWMA($AF$137,dfactor,Z87,AF188)</f>
        <v>#VALUE!</v>
      </c>
      <c r="AI87" s="237" t="e">
        <f t="shared" si="5"/>
        <v>#VALUE!</v>
      </c>
      <c r="AJ87" s="252" t="e">
        <f>_xll.MOYENNE.EWMA($AI$137,dfactor,Z87,AI188)-2*_xll.VOLATILITE.EWMA($AI$137,dfactor,Z87,AI188)</f>
        <v>#VALUE!</v>
      </c>
      <c r="AK87" s="252" t="e">
        <f>_xll.MOYENNE.EWMA($AI$137,dfactor,Z87,AI188)+2*_xll.VOLATILITE.EWMA($AI$137,dfactor,Z87,AI188)</f>
        <v>#VALUE!</v>
      </c>
    </row>
    <row r="88" spans="26:37" x14ac:dyDescent="0.3">
      <c r="Z88" s="247" t="e">
        <f ca="1">_xll.JOURS.OUVRES.FINANCE($Z87,"USD",-1)</f>
        <v>#NAME?</v>
      </c>
      <c r="AA88" s="248">
        <v>3.1875266195966074</v>
      </c>
      <c r="AB88" s="248">
        <v>2.4561209845170495</v>
      </c>
      <c r="AC88" s="249">
        <f t="shared" si="2"/>
        <v>3.1875266195966074</v>
      </c>
      <c r="AD88" s="250" t="e">
        <f>_xll.MOYENNE.EWMA($AC$137,dfactor,Z88,AC189)-2*_xll.VOLATILITE.EWMA($AC$137,dfactor,Z88,AC189)</f>
        <v>#VALUE!</v>
      </c>
      <c r="AE88" s="250" t="e">
        <f>_xll.MOYENNE.EWMA($AC$137,dfactor,Z88,AC189)+2*_xll.VOLATILITE.EWMA($AC$137,dfactor,Z88,AC189)</f>
        <v>#VALUE!</v>
      </c>
      <c r="AF88" s="240" t="e">
        <f t="shared" si="4"/>
        <v>#VALUE!</v>
      </c>
      <c r="AG88" s="251" t="e">
        <f>_xll.MOYENNE.EWMA($AF$137,dfactor,Z88,AF189)-2*_xll.VOLATILITE.EWMA($AF$137,dfactor,Z88,AF189)</f>
        <v>#VALUE!</v>
      </c>
      <c r="AH88" s="251" t="e">
        <f>_xll.MOYENNE.EWMA($AF$137,dfactor,Z88,AF189)+2*_xll.VOLATILITE.EWMA($AF$137,dfactor,Z88,AF189)</f>
        <v>#VALUE!</v>
      </c>
      <c r="AI88" s="237" t="e">
        <f t="shared" si="5"/>
        <v>#VALUE!</v>
      </c>
      <c r="AJ88" s="252" t="e">
        <f>_xll.MOYENNE.EWMA($AI$137,dfactor,Z88,AI189)-2*_xll.VOLATILITE.EWMA($AI$137,dfactor,Z88,AI189)</f>
        <v>#VALUE!</v>
      </c>
      <c r="AK88" s="252" t="e">
        <f>_xll.MOYENNE.EWMA($AI$137,dfactor,Z88,AI189)+2*_xll.VOLATILITE.EWMA($AI$137,dfactor,Z88,AI189)</f>
        <v>#VALUE!</v>
      </c>
    </row>
    <row r="89" spans="26:37" x14ac:dyDescent="0.3">
      <c r="Z89" s="247" t="e">
        <f ca="1">_xll.JOURS.OUVRES.FINANCE($Z88,"USD",-1)</f>
        <v>#NAME?</v>
      </c>
      <c r="AA89" s="248">
        <v>3.5953489446203264</v>
      </c>
      <c r="AB89" s="248">
        <v>4.090452807996904</v>
      </c>
      <c r="AC89" s="249">
        <f t="shared" si="2"/>
        <v>3.5953489446203264</v>
      </c>
      <c r="AD89" s="250" t="e">
        <f>_xll.MOYENNE.EWMA($AC$137,dfactor,Z89,AC190)-2*_xll.VOLATILITE.EWMA($AC$137,dfactor,Z89,AC190)</f>
        <v>#VALUE!</v>
      </c>
      <c r="AE89" s="250" t="e">
        <f>_xll.MOYENNE.EWMA($AC$137,dfactor,Z89,AC190)+2*_xll.VOLATILITE.EWMA($AC$137,dfactor,Z89,AC190)</f>
        <v>#VALUE!</v>
      </c>
      <c r="AF89" s="240" t="e">
        <f t="shared" si="4"/>
        <v>#VALUE!</v>
      </c>
      <c r="AG89" s="251" t="e">
        <f>_xll.MOYENNE.EWMA($AF$137,dfactor,Z89,AF190)-2*_xll.VOLATILITE.EWMA($AF$137,dfactor,Z89,AF190)</f>
        <v>#VALUE!</v>
      </c>
      <c r="AH89" s="251" t="e">
        <f>_xll.MOYENNE.EWMA($AF$137,dfactor,Z89,AF190)+2*_xll.VOLATILITE.EWMA($AF$137,dfactor,Z89,AF190)</f>
        <v>#VALUE!</v>
      </c>
      <c r="AI89" s="237" t="e">
        <f t="shared" si="5"/>
        <v>#VALUE!</v>
      </c>
      <c r="AJ89" s="252" t="e">
        <f>_xll.MOYENNE.EWMA($AI$137,dfactor,Z89,AI190)-2*_xll.VOLATILITE.EWMA($AI$137,dfactor,Z89,AI190)</f>
        <v>#VALUE!</v>
      </c>
      <c r="AK89" s="252" t="e">
        <f>_xll.MOYENNE.EWMA($AI$137,dfactor,Z89,AI190)+2*_xll.VOLATILITE.EWMA($AI$137,dfactor,Z89,AI190)</f>
        <v>#VALUE!</v>
      </c>
    </row>
    <row r="90" spans="26:37" x14ac:dyDescent="0.3">
      <c r="Z90" s="247" t="e">
        <f ca="1">_xll.JOURS.OUVRES.FINANCE($Z89,"USD",-1)</f>
        <v>#NAME?</v>
      </c>
      <c r="AA90" s="248">
        <v>2.2861934928787546</v>
      </c>
      <c r="AB90" s="248">
        <v>2.5546952399077143</v>
      </c>
      <c r="AC90" s="249">
        <f t="shared" si="2"/>
        <v>2.2861934928787546</v>
      </c>
      <c r="AD90" s="250" t="e">
        <f>_xll.MOYENNE.EWMA($AC$137,dfactor,Z90,AC191)-2*_xll.VOLATILITE.EWMA($AC$137,dfactor,Z90,AC191)</f>
        <v>#VALUE!</v>
      </c>
      <c r="AE90" s="250" t="e">
        <f>_xll.MOYENNE.EWMA($AC$137,dfactor,Z90,AC191)+2*_xll.VOLATILITE.EWMA($AC$137,dfactor,Z90,AC191)</f>
        <v>#VALUE!</v>
      </c>
      <c r="AF90" s="240" t="e">
        <f t="shared" si="4"/>
        <v>#VALUE!</v>
      </c>
      <c r="AG90" s="251" t="e">
        <f>_xll.MOYENNE.EWMA($AF$137,dfactor,Z90,AF191)-2*_xll.VOLATILITE.EWMA($AF$137,dfactor,Z90,AF191)</f>
        <v>#VALUE!</v>
      </c>
      <c r="AH90" s="251" t="e">
        <f>_xll.MOYENNE.EWMA($AF$137,dfactor,Z90,AF191)+2*_xll.VOLATILITE.EWMA($AF$137,dfactor,Z90,AF191)</f>
        <v>#VALUE!</v>
      </c>
      <c r="AI90" s="237" t="e">
        <f t="shared" si="5"/>
        <v>#VALUE!</v>
      </c>
      <c r="AJ90" s="252" t="e">
        <f>_xll.MOYENNE.EWMA($AI$137,dfactor,Z90,AI191)-2*_xll.VOLATILITE.EWMA($AI$137,dfactor,Z90,AI191)</f>
        <v>#VALUE!</v>
      </c>
      <c r="AK90" s="252" t="e">
        <f>_xll.MOYENNE.EWMA($AI$137,dfactor,Z90,AI191)+2*_xll.VOLATILITE.EWMA($AI$137,dfactor,Z90,AI191)</f>
        <v>#VALUE!</v>
      </c>
    </row>
    <row r="91" spans="26:37" x14ac:dyDescent="0.3">
      <c r="Z91" s="247" t="e">
        <f ca="1">_xll.JOURS.OUVRES.FINANCE($Z90,"USD",-1)</f>
        <v>#NAME?</v>
      </c>
      <c r="AA91" s="248">
        <v>2.0895670316628365</v>
      </c>
      <c r="AB91" s="248">
        <v>3.64929188662735</v>
      </c>
      <c r="AC91" s="249">
        <f t="shared" si="2"/>
        <v>2.0895670316628365</v>
      </c>
      <c r="AD91" s="250" t="e">
        <f>_xll.MOYENNE.EWMA($AC$137,dfactor,Z91,AC192)-2*_xll.VOLATILITE.EWMA($AC$137,dfactor,Z91,AC192)</f>
        <v>#VALUE!</v>
      </c>
      <c r="AE91" s="250" t="e">
        <f>_xll.MOYENNE.EWMA($AC$137,dfactor,Z91,AC192)+2*_xll.VOLATILITE.EWMA($AC$137,dfactor,Z91,AC192)</f>
        <v>#VALUE!</v>
      </c>
      <c r="AF91" s="240" t="e">
        <f t="shared" si="4"/>
        <v>#VALUE!</v>
      </c>
      <c r="AG91" s="251" t="e">
        <f>_xll.MOYENNE.EWMA($AF$137,dfactor,Z91,AF192)-2*_xll.VOLATILITE.EWMA($AF$137,dfactor,Z91,AF192)</f>
        <v>#VALUE!</v>
      </c>
      <c r="AH91" s="251" t="e">
        <f>_xll.MOYENNE.EWMA($AF$137,dfactor,Z91,AF192)+2*_xll.VOLATILITE.EWMA($AF$137,dfactor,Z91,AF192)</f>
        <v>#VALUE!</v>
      </c>
      <c r="AI91" s="237" t="e">
        <f t="shared" si="5"/>
        <v>#VALUE!</v>
      </c>
      <c r="AJ91" s="252" t="e">
        <f>_xll.MOYENNE.EWMA($AI$137,dfactor,Z91,AI192)-2*_xll.VOLATILITE.EWMA($AI$137,dfactor,Z91,AI192)</f>
        <v>#VALUE!</v>
      </c>
      <c r="AK91" s="252" t="e">
        <f>_xll.MOYENNE.EWMA($AI$137,dfactor,Z91,AI192)+2*_xll.VOLATILITE.EWMA($AI$137,dfactor,Z91,AI192)</f>
        <v>#VALUE!</v>
      </c>
    </row>
    <row r="92" spans="26:37" x14ac:dyDescent="0.3">
      <c r="Z92" s="247" t="e">
        <f ca="1">_xll.JOURS.OUVRES.FINANCE($Z91,"USD",-1)</f>
        <v>#NAME?</v>
      </c>
      <c r="AA92" s="248">
        <v>1.6870100966036723</v>
      </c>
      <c r="AB92" s="248">
        <v>2.9528558471619895</v>
      </c>
      <c r="AC92" s="249">
        <f t="shared" si="2"/>
        <v>1.6870100966036723</v>
      </c>
      <c r="AD92" s="250" t="e">
        <f>_xll.MOYENNE.EWMA($AC$137,dfactor,Z92,AC193)-2*_xll.VOLATILITE.EWMA($AC$137,dfactor,Z92,AC193)</f>
        <v>#VALUE!</v>
      </c>
      <c r="AE92" s="250" t="e">
        <f>_xll.MOYENNE.EWMA($AC$137,dfactor,Z92,AC193)+2*_xll.VOLATILITE.EWMA($AC$137,dfactor,Z92,AC193)</f>
        <v>#VALUE!</v>
      </c>
      <c r="AF92" s="240" t="e">
        <f t="shared" si="4"/>
        <v>#VALUE!</v>
      </c>
      <c r="AG92" s="251" t="e">
        <f>_xll.MOYENNE.EWMA($AF$137,dfactor,Z92,AF193)-2*_xll.VOLATILITE.EWMA($AF$137,dfactor,Z92,AF193)</f>
        <v>#VALUE!</v>
      </c>
      <c r="AH92" s="251" t="e">
        <f>_xll.MOYENNE.EWMA($AF$137,dfactor,Z92,AF193)+2*_xll.VOLATILITE.EWMA($AF$137,dfactor,Z92,AF193)</f>
        <v>#VALUE!</v>
      </c>
      <c r="AI92" s="237" t="e">
        <f t="shared" si="5"/>
        <v>#VALUE!</v>
      </c>
      <c r="AJ92" s="252" t="e">
        <f>_xll.MOYENNE.EWMA($AI$137,dfactor,Z92,AI193)-2*_xll.VOLATILITE.EWMA($AI$137,dfactor,Z92,AI193)</f>
        <v>#VALUE!</v>
      </c>
      <c r="AK92" s="252" t="e">
        <f>_xll.MOYENNE.EWMA($AI$137,dfactor,Z92,AI193)+2*_xll.VOLATILITE.EWMA($AI$137,dfactor,Z92,AI193)</f>
        <v>#VALUE!</v>
      </c>
    </row>
    <row r="93" spans="26:37" x14ac:dyDescent="0.3">
      <c r="Z93" s="247" t="e">
        <f ca="1">_xll.JOURS.OUVRES.FINANCE($Z92,"USD",-1)</f>
        <v>#NAME?</v>
      </c>
      <c r="AA93" s="248">
        <v>2.2817711097980631</v>
      </c>
      <c r="AB93" s="248">
        <v>1.6965925626572775</v>
      </c>
      <c r="AC93" s="249">
        <f t="shared" si="2"/>
        <v>2.2817711097980631</v>
      </c>
      <c r="AD93" s="250" t="e">
        <f>_xll.MOYENNE.EWMA($AC$137,dfactor,Z93,AC194)-2*_xll.VOLATILITE.EWMA($AC$137,dfactor,Z93,AC194)</f>
        <v>#VALUE!</v>
      </c>
      <c r="AE93" s="250" t="e">
        <f>_xll.MOYENNE.EWMA($AC$137,dfactor,Z93,AC194)+2*_xll.VOLATILITE.EWMA($AC$137,dfactor,Z93,AC194)</f>
        <v>#VALUE!</v>
      </c>
      <c r="AF93" s="240" t="e">
        <f t="shared" si="4"/>
        <v>#VALUE!</v>
      </c>
      <c r="AG93" s="251" t="e">
        <f>_xll.MOYENNE.EWMA($AF$137,dfactor,Z93,AF194)-2*_xll.VOLATILITE.EWMA($AF$137,dfactor,Z93,AF194)</f>
        <v>#VALUE!</v>
      </c>
      <c r="AH93" s="251" t="e">
        <f>_xll.MOYENNE.EWMA($AF$137,dfactor,Z93,AF194)+2*_xll.VOLATILITE.EWMA($AF$137,dfactor,Z93,AF194)</f>
        <v>#VALUE!</v>
      </c>
      <c r="AI93" s="237" t="e">
        <f t="shared" si="5"/>
        <v>#VALUE!</v>
      </c>
      <c r="AJ93" s="252" t="e">
        <f>_xll.MOYENNE.EWMA($AI$137,dfactor,Z93,AI194)-2*_xll.VOLATILITE.EWMA($AI$137,dfactor,Z93,AI194)</f>
        <v>#VALUE!</v>
      </c>
      <c r="AK93" s="252" t="e">
        <f>_xll.MOYENNE.EWMA($AI$137,dfactor,Z93,AI194)+2*_xll.VOLATILITE.EWMA($AI$137,dfactor,Z93,AI194)</f>
        <v>#VALUE!</v>
      </c>
    </row>
    <row r="94" spans="26:37" x14ac:dyDescent="0.3">
      <c r="Z94" s="247" t="e">
        <f ca="1">_xll.JOURS.OUVRES.FINANCE($Z93,"USD",-1)</f>
        <v>#NAME?</v>
      </c>
      <c r="AA94" s="248">
        <v>2.9565333394047797</v>
      </c>
      <c r="AB94" s="248">
        <v>3.0874830957071691</v>
      </c>
      <c r="AC94" s="249">
        <f t="shared" si="2"/>
        <v>2.9565333394047797</v>
      </c>
      <c r="AD94" s="250" t="e">
        <f>_xll.MOYENNE.EWMA($AC$137,dfactor,Z94,AC195)-2*_xll.VOLATILITE.EWMA($AC$137,dfactor,Z94,AC195)</f>
        <v>#VALUE!</v>
      </c>
      <c r="AE94" s="250" t="e">
        <f>_xll.MOYENNE.EWMA($AC$137,dfactor,Z94,AC195)+2*_xll.VOLATILITE.EWMA($AC$137,dfactor,Z94,AC195)</f>
        <v>#VALUE!</v>
      </c>
      <c r="AF94" s="240" t="e">
        <f t="shared" si="4"/>
        <v>#VALUE!</v>
      </c>
      <c r="AG94" s="251" t="e">
        <f>_xll.MOYENNE.EWMA($AF$137,dfactor,Z94,AF195)-2*_xll.VOLATILITE.EWMA($AF$137,dfactor,Z94,AF195)</f>
        <v>#VALUE!</v>
      </c>
      <c r="AH94" s="251" t="e">
        <f>_xll.MOYENNE.EWMA($AF$137,dfactor,Z94,AF195)+2*_xll.VOLATILITE.EWMA($AF$137,dfactor,Z94,AF195)</f>
        <v>#VALUE!</v>
      </c>
      <c r="AI94" s="237" t="e">
        <f t="shared" si="5"/>
        <v>#VALUE!</v>
      </c>
      <c r="AJ94" s="252" t="e">
        <f>_xll.MOYENNE.EWMA($AI$137,dfactor,Z94,AI195)-2*_xll.VOLATILITE.EWMA($AI$137,dfactor,Z94,AI195)</f>
        <v>#VALUE!</v>
      </c>
      <c r="AK94" s="252" t="e">
        <f>_xll.MOYENNE.EWMA($AI$137,dfactor,Z94,AI195)+2*_xll.VOLATILITE.EWMA($AI$137,dfactor,Z94,AI195)</f>
        <v>#VALUE!</v>
      </c>
    </row>
    <row r="95" spans="26:37" x14ac:dyDescent="0.3">
      <c r="Z95" s="247" t="e">
        <f ca="1">_xll.JOURS.OUVRES.FINANCE($Z94,"USD",-1)</f>
        <v>#NAME?</v>
      </c>
      <c r="AA95" s="248">
        <v>1.9244532840960791</v>
      </c>
      <c r="AB95" s="248">
        <v>2.4325359392503896</v>
      </c>
      <c r="AC95" s="249">
        <f t="shared" si="2"/>
        <v>1.9244532840960791</v>
      </c>
      <c r="AD95" s="250" t="e">
        <f>_xll.MOYENNE.EWMA($AC$137,dfactor,Z95,AC196)-2*_xll.VOLATILITE.EWMA($AC$137,dfactor,Z95,AC196)</f>
        <v>#VALUE!</v>
      </c>
      <c r="AE95" s="250" t="e">
        <f>_xll.MOYENNE.EWMA($AC$137,dfactor,Z95,AC196)+2*_xll.VOLATILITE.EWMA($AC$137,dfactor,Z95,AC196)</f>
        <v>#VALUE!</v>
      </c>
      <c r="AF95" s="240" t="e">
        <f t="shared" si="4"/>
        <v>#VALUE!</v>
      </c>
      <c r="AG95" s="251" t="e">
        <f>_xll.MOYENNE.EWMA($AF$137,dfactor,Z95,AF196)-2*_xll.VOLATILITE.EWMA($AF$137,dfactor,Z95,AF196)</f>
        <v>#VALUE!</v>
      </c>
      <c r="AH95" s="251" t="e">
        <f>_xll.MOYENNE.EWMA($AF$137,dfactor,Z95,AF196)+2*_xll.VOLATILITE.EWMA($AF$137,dfactor,Z95,AF196)</f>
        <v>#VALUE!</v>
      </c>
      <c r="AI95" s="237" t="e">
        <f t="shared" si="5"/>
        <v>#VALUE!</v>
      </c>
      <c r="AJ95" s="252" t="e">
        <f>_xll.MOYENNE.EWMA($AI$137,dfactor,Z95,AI196)-2*_xll.VOLATILITE.EWMA($AI$137,dfactor,Z95,AI196)</f>
        <v>#VALUE!</v>
      </c>
      <c r="AK95" s="252" t="e">
        <f>_xll.MOYENNE.EWMA($AI$137,dfactor,Z95,AI196)+2*_xll.VOLATILITE.EWMA($AI$137,dfactor,Z95,AI196)</f>
        <v>#VALUE!</v>
      </c>
    </row>
    <row r="96" spans="26:37" x14ac:dyDescent="0.3">
      <c r="Z96" s="247" t="e">
        <f ca="1">_xll.JOURS.OUVRES.FINANCE($Z95,"USD",-1)</f>
        <v>#NAME?</v>
      </c>
      <c r="AA96" s="248">
        <v>1.9819418683718451</v>
      </c>
      <c r="AB96" s="248">
        <v>1.6983766758245886</v>
      </c>
      <c r="AC96" s="249">
        <f t="shared" si="2"/>
        <v>1.9819418683718451</v>
      </c>
      <c r="AD96" s="250" t="e">
        <f>_xll.MOYENNE.EWMA($AC$137,dfactor,Z96,AC197)-2*_xll.VOLATILITE.EWMA($AC$137,dfactor,Z96,AC197)</f>
        <v>#VALUE!</v>
      </c>
      <c r="AE96" s="250" t="e">
        <f>_xll.MOYENNE.EWMA($AC$137,dfactor,Z96,AC197)+2*_xll.VOLATILITE.EWMA($AC$137,dfactor,Z96,AC197)</f>
        <v>#VALUE!</v>
      </c>
      <c r="AF96" s="240" t="e">
        <f t="shared" si="4"/>
        <v>#VALUE!</v>
      </c>
      <c r="AG96" s="251" t="e">
        <f>_xll.MOYENNE.EWMA($AF$137,dfactor,Z96,AF197)-2*_xll.VOLATILITE.EWMA($AF$137,dfactor,Z96,AF197)</f>
        <v>#VALUE!</v>
      </c>
      <c r="AH96" s="251" t="e">
        <f>_xll.MOYENNE.EWMA($AF$137,dfactor,Z96,AF197)+2*_xll.VOLATILITE.EWMA($AF$137,dfactor,Z96,AF197)</f>
        <v>#VALUE!</v>
      </c>
      <c r="AI96" s="237" t="e">
        <f t="shared" si="5"/>
        <v>#VALUE!</v>
      </c>
      <c r="AJ96" s="252" t="e">
        <f>_xll.MOYENNE.EWMA($AI$137,dfactor,Z96,AI197)-2*_xll.VOLATILITE.EWMA($AI$137,dfactor,Z96,AI197)</f>
        <v>#VALUE!</v>
      </c>
      <c r="AK96" s="252" t="e">
        <f>_xll.MOYENNE.EWMA($AI$137,dfactor,Z96,AI197)+2*_xll.VOLATILITE.EWMA($AI$137,dfactor,Z96,AI197)</f>
        <v>#VALUE!</v>
      </c>
    </row>
    <row r="97" spans="26:37" x14ac:dyDescent="0.3">
      <c r="Z97" s="247" t="e">
        <f ca="1">_xll.JOURS.OUVRES.FINANCE($Z96,"USD",-1)</f>
        <v>#NAME?</v>
      </c>
      <c r="AA97" s="248">
        <v>2.0301937761312647</v>
      </c>
      <c r="AB97" s="248">
        <v>1.092252546901008</v>
      </c>
      <c r="AC97" s="249">
        <f t="shared" si="2"/>
        <v>2.0301937761312647</v>
      </c>
      <c r="AD97" s="250" t="e">
        <f>_xll.MOYENNE.EWMA($AC$137,dfactor,Z97,AC198)-2*_xll.VOLATILITE.EWMA($AC$137,dfactor,Z97,AC198)</f>
        <v>#VALUE!</v>
      </c>
      <c r="AE97" s="250" t="e">
        <f>_xll.MOYENNE.EWMA($AC$137,dfactor,Z97,AC198)+2*_xll.VOLATILITE.EWMA($AC$137,dfactor,Z97,AC198)</f>
        <v>#VALUE!</v>
      </c>
      <c r="AF97" s="240" t="e">
        <f t="shared" si="4"/>
        <v>#VALUE!</v>
      </c>
      <c r="AG97" s="251" t="e">
        <f>_xll.MOYENNE.EWMA($AF$137,dfactor,Z97,AF198)-2*_xll.VOLATILITE.EWMA($AF$137,dfactor,Z97,AF198)</f>
        <v>#VALUE!</v>
      </c>
      <c r="AH97" s="251" t="e">
        <f>_xll.MOYENNE.EWMA($AF$137,dfactor,Z97,AF198)+2*_xll.VOLATILITE.EWMA($AF$137,dfactor,Z97,AF198)</f>
        <v>#VALUE!</v>
      </c>
      <c r="AI97" s="237" t="e">
        <f t="shared" si="5"/>
        <v>#VALUE!</v>
      </c>
      <c r="AJ97" s="252" t="e">
        <f>_xll.MOYENNE.EWMA($AI$137,dfactor,Z97,AI198)-2*_xll.VOLATILITE.EWMA($AI$137,dfactor,Z97,AI198)</f>
        <v>#VALUE!</v>
      </c>
      <c r="AK97" s="252" t="e">
        <f>_xll.MOYENNE.EWMA($AI$137,dfactor,Z97,AI198)+2*_xll.VOLATILITE.EWMA($AI$137,dfactor,Z97,AI198)</f>
        <v>#VALUE!</v>
      </c>
    </row>
    <row r="98" spans="26:37" x14ac:dyDescent="0.3">
      <c r="Z98" s="247" t="e">
        <f ca="1">_xll.JOURS.OUVRES.FINANCE($Z97,"USD",-1)</f>
        <v>#NAME?</v>
      </c>
      <c r="AA98" s="248">
        <v>4.0071728749997133</v>
      </c>
      <c r="AB98" s="248">
        <v>2.4440108134099128</v>
      </c>
      <c r="AC98" s="249">
        <f t="shared" si="2"/>
        <v>4.0071728749997133</v>
      </c>
      <c r="AD98" s="250" t="e">
        <f>_xll.MOYENNE.EWMA($AC$137,dfactor,Z98,AC199)-2*_xll.VOLATILITE.EWMA($AC$137,dfactor,Z98,AC199)</f>
        <v>#VALUE!</v>
      </c>
      <c r="AE98" s="250" t="e">
        <f>_xll.MOYENNE.EWMA($AC$137,dfactor,Z98,AC199)+2*_xll.VOLATILITE.EWMA($AC$137,dfactor,Z98,AC199)</f>
        <v>#VALUE!</v>
      </c>
      <c r="AF98" s="240" t="e">
        <f t="shared" si="4"/>
        <v>#VALUE!</v>
      </c>
      <c r="AG98" s="251" t="e">
        <f>_xll.MOYENNE.EWMA($AF$137,dfactor,Z98,AF199)-2*_xll.VOLATILITE.EWMA($AF$137,dfactor,Z98,AF199)</f>
        <v>#VALUE!</v>
      </c>
      <c r="AH98" s="251" t="e">
        <f>_xll.MOYENNE.EWMA($AF$137,dfactor,Z98,AF199)+2*_xll.VOLATILITE.EWMA($AF$137,dfactor,Z98,AF199)</f>
        <v>#VALUE!</v>
      </c>
      <c r="AI98" s="237" t="e">
        <f t="shared" si="5"/>
        <v>#VALUE!</v>
      </c>
      <c r="AJ98" s="252" t="e">
        <f>_xll.MOYENNE.EWMA($AI$137,dfactor,Z98,AI199)-2*_xll.VOLATILITE.EWMA($AI$137,dfactor,Z98,AI199)</f>
        <v>#VALUE!</v>
      </c>
      <c r="AK98" s="252" t="e">
        <f>_xll.MOYENNE.EWMA($AI$137,dfactor,Z98,AI199)+2*_xll.VOLATILITE.EWMA($AI$137,dfactor,Z98,AI199)</f>
        <v>#VALUE!</v>
      </c>
    </row>
    <row r="99" spans="26:37" x14ac:dyDescent="0.3">
      <c r="Z99" s="247" t="e">
        <f ca="1">_xll.JOURS.OUVRES.FINANCE($Z98,"USD",-1)</f>
        <v>#NAME?</v>
      </c>
      <c r="AA99" s="248">
        <v>4.0861695764452799</v>
      </c>
      <c r="AB99" s="248">
        <v>2.7799797988578354</v>
      </c>
      <c r="AC99" s="249">
        <f t="shared" si="2"/>
        <v>4.0861695764452799</v>
      </c>
      <c r="AD99" s="250" t="e">
        <f>_xll.MOYENNE.EWMA($AC$137,dfactor,Z99,AC200)-2*_xll.VOLATILITE.EWMA($AC$137,dfactor,Z99,AC200)</f>
        <v>#VALUE!</v>
      </c>
      <c r="AE99" s="250" t="e">
        <f>_xll.MOYENNE.EWMA($AC$137,dfactor,Z99,AC200)+2*_xll.VOLATILITE.EWMA($AC$137,dfactor,Z99,AC200)</f>
        <v>#VALUE!</v>
      </c>
      <c r="AF99" s="240" t="e">
        <f t="shared" si="4"/>
        <v>#VALUE!</v>
      </c>
      <c r="AG99" s="251" t="e">
        <f>_xll.MOYENNE.EWMA($AF$137,dfactor,Z99,AF200)-2*_xll.VOLATILITE.EWMA($AF$137,dfactor,Z99,AF200)</f>
        <v>#VALUE!</v>
      </c>
      <c r="AH99" s="251" t="e">
        <f>_xll.MOYENNE.EWMA($AF$137,dfactor,Z99,AF200)+2*_xll.VOLATILITE.EWMA($AF$137,dfactor,Z99,AF200)</f>
        <v>#VALUE!</v>
      </c>
      <c r="AI99" s="237" t="e">
        <f t="shared" si="5"/>
        <v>#VALUE!</v>
      </c>
      <c r="AJ99" s="252" t="e">
        <f>_xll.MOYENNE.EWMA($AI$137,dfactor,Z99,AI200)-2*_xll.VOLATILITE.EWMA($AI$137,dfactor,Z99,AI200)</f>
        <v>#VALUE!</v>
      </c>
      <c r="AK99" s="252" t="e">
        <f>_xll.MOYENNE.EWMA($AI$137,dfactor,Z99,AI200)+2*_xll.VOLATILITE.EWMA($AI$137,dfactor,Z99,AI200)</f>
        <v>#VALUE!</v>
      </c>
    </row>
    <row r="100" spans="26:37" x14ac:dyDescent="0.3">
      <c r="Z100" s="247" t="e">
        <f ca="1">_xll.JOURS.OUVRES.FINANCE($Z99,"USD",-1)</f>
        <v>#NAME?</v>
      </c>
      <c r="AA100" s="248">
        <v>2.6476655128885045</v>
      </c>
      <c r="AB100" s="248">
        <v>3.131227469546173</v>
      </c>
      <c r="AC100" s="249">
        <f t="shared" si="2"/>
        <v>2.6476655128885045</v>
      </c>
      <c r="AD100" s="250" t="e">
        <f>_xll.MOYENNE.EWMA($AC$137,dfactor,Z100,AC201)-2*_xll.VOLATILITE.EWMA($AC$137,dfactor,Z100,AC201)</f>
        <v>#VALUE!</v>
      </c>
      <c r="AE100" s="250" t="e">
        <f>_xll.MOYENNE.EWMA($AC$137,dfactor,Z100,AC201)+2*_xll.VOLATILITE.EWMA($AC$137,dfactor,Z100,AC201)</f>
        <v>#VALUE!</v>
      </c>
      <c r="AF100" s="240" t="e">
        <f t="shared" si="4"/>
        <v>#VALUE!</v>
      </c>
      <c r="AG100" s="251" t="e">
        <f>_xll.MOYENNE.EWMA($AF$137,dfactor,Z100,AF201)-2*_xll.VOLATILITE.EWMA($AF$137,dfactor,Z100,AF201)</f>
        <v>#VALUE!</v>
      </c>
      <c r="AH100" s="251" t="e">
        <f>_xll.MOYENNE.EWMA($AF$137,dfactor,Z100,AF201)+2*_xll.VOLATILITE.EWMA($AF$137,dfactor,Z100,AF201)</f>
        <v>#VALUE!</v>
      </c>
      <c r="AI100" s="237" t="e">
        <f t="shared" si="5"/>
        <v>#VALUE!</v>
      </c>
      <c r="AJ100" s="252" t="e">
        <f>_xll.MOYENNE.EWMA($AI$137,dfactor,Z100,AI201)-2*_xll.VOLATILITE.EWMA($AI$137,dfactor,Z100,AI201)</f>
        <v>#VALUE!</v>
      </c>
      <c r="AK100" s="252" t="e">
        <f>_xll.MOYENNE.EWMA($AI$137,dfactor,Z100,AI201)+2*_xll.VOLATILITE.EWMA($AI$137,dfactor,Z100,AI201)</f>
        <v>#VALUE!</v>
      </c>
    </row>
    <row r="101" spans="26:37" x14ac:dyDescent="0.3">
      <c r="Z101" s="247" t="e">
        <f ca="1">_xll.JOURS.OUVRES.FINANCE($Z100,"USD",-1)</f>
        <v>#NAME?</v>
      </c>
      <c r="AA101" s="248">
        <v>1.7104217220949325</v>
      </c>
      <c r="AB101" s="248">
        <v>2.3878589923791309</v>
      </c>
      <c r="AC101" s="249">
        <f t="shared" si="2"/>
        <v>1.7104217220949325</v>
      </c>
      <c r="AD101" s="250" t="e">
        <f>_xll.MOYENNE.EWMA($AC$137,dfactor,Z101,AC202)-2*_xll.VOLATILITE.EWMA($AC$137,dfactor,Z101,AC202)</f>
        <v>#VALUE!</v>
      </c>
      <c r="AE101" s="250" t="e">
        <f>_xll.MOYENNE.EWMA($AC$137,dfactor,Z101,AC202)+2*_xll.VOLATILITE.EWMA($AC$137,dfactor,Z101,AC202)</f>
        <v>#VALUE!</v>
      </c>
      <c r="AF101" s="240" t="e">
        <f t="shared" ref="AF101:AF135" si="6">AB101-bidask_1</f>
        <v>#VALUE!</v>
      </c>
      <c r="AG101" s="251" t="e">
        <f>_xll.MOYENNE.EWMA($AF$137,dfactor,Z101,AF202)-2*_xll.VOLATILITE.EWMA($AF$137,dfactor,Z101,AF202)</f>
        <v>#VALUE!</v>
      </c>
      <c r="AH101" s="251" t="e">
        <f>_xll.MOYENNE.EWMA($AF$137,dfactor,Z101,AF202)+2*_xll.VOLATILITE.EWMA($AF$137,dfactor,Z101,AF202)</f>
        <v>#VALUE!</v>
      </c>
      <c r="AI101" s="237" t="e">
        <f t="shared" si="5"/>
        <v>#VALUE!</v>
      </c>
      <c r="AJ101" s="252" t="e">
        <f>_xll.MOYENNE.EWMA($AI$137,dfactor,Z101,AI202)-2*_xll.VOLATILITE.EWMA($AI$137,dfactor,Z101,AI202)</f>
        <v>#VALUE!</v>
      </c>
      <c r="AK101" s="252" t="e">
        <f>_xll.MOYENNE.EWMA($AI$137,dfactor,Z101,AI202)+2*_xll.VOLATILITE.EWMA($AI$137,dfactor,Z101,AI202)</f>
        <v>#VALUE!</v>
      </c>
    </row>
    <row r="102" spans="26:37" x14ac:dyDescent="0.3">
      <c r="Z102" s="247" t="e">
        <f ca="1">_xll.JOURS.OUVRES.FINANCE($Z101,"USD",-1)</f>
        <v>#NAME?</v>
      </c>
      <c r="AA102" s="248">
        <v>1.9349629854892294</v>
      </c>
      <c r="AB102" s="248">
        <v>2.3233424838016332</v>
      </c>
      <c r="AC102" s="249">
        <f t="shared" ref="AC102:AC135" si="7">AA102</f>
        <v>1.9349629854892294</v>
      </c>
      <c r="AD102" s="250" t="e">
        <f>_xll.MOYENNE.EWMA($AC$137,dfactor,Z102,AC203)-2*_xll.VOLATILITE.EWMA($AC$137,dfactor,Z102,AC203)</f>
        <v>#VALUE!</v>
      </c>
      <c r="AE102" s="250" t="e">
        <f>_xll.MOYENNE.EWMA($AC$137,dfactor,Z102,AC203)+2*_xll.VOLATILITE.EWMA($AC$137,dfactor,Z102,AC203)</f>
        <v>#VALUE!</v>
      </c>
      <c r="AF102" s="240" t="e">
        <f t="shared" si="6"/>
        <v>#VALUE!</v>
      </c>
      <c r="AG102" s="251" t="e">
        <f>_xll.MOYENNE.EWMA($AF$137,dfactor,Z102,AF203)-2*_xll.VOLATILITE.EWMA($AF$137,dfactor,Z102,AF203)</f>
        <v>#VALUE!</v>
      </c>
      <c r="AH102" s="251" t="e">
        <f>_xll.MOYENNE.EWMA($AF$137,dfactor,Z102,AF203)+2*_xll.VOLATILITE.EWMA($AF$137,dfactor,Z102,AF203)</f>
        <v>#VALUE!</v>
      </c>
      <c r="AI102" s="237" t="e">
        <f t="shared" si="5"/>
        <v>#VALUE!</v>
      </c>
      <c r="AJ102" s="252" t="e">
        <f>_xll.MOYENNE.EWMA($AI$137,dfactor,Z102,AI203)-2*_xll.VOLATILITE.EWMA($AI$137,dfactor,Z102,AI203)</f>
        <v>#VALUE!</v>
      </c>
      <c r="AK102" s="252" t="e">
        <f>_xll.MOYENNE.EWMA($AI$137,dfactor,Z102,AI203)+2*_xll.VOLATILITE.EWMA($AI$137,dfactor,Z102,AI203)</f>
        <v>#VALUE!</v>
      </c>
    </row>
    <row r="103" spans="26:37" x14ac:dyDescent="0.3">
      <c r="Z103" s="247" t="e">
        <f ca="1">_xll.JOURS.OUVRES.FINANCE($Z102,"USD",-1)</f>
        <v>#NAME?</v>
      </c>
      <c r="AA103" s="248">
        <v>2.8558783398270426</v>
      </c>
      <c r="AB103" s="248">
        <v>1.6597124764890012</v>
      </c>
      <c r="AC103" s="249">
        <f t="shared" si="7"/>
        <v>2.8558783398270426</v>
      </c>
      <c r="AD103" s="250" t="e">
        <f>_xll.MOYENNE.EWMA($AC$137,dfactor,Z103,AC204)-2*_xll.VOLATILITE.EWMA($AC$137,dfactor,Z103,AC204)</f>
        <v>#VALUE!</v>
      </c>
      <c r="AE103" s="250" t="e">
        <f>_xll.MOYENNE.EWMA($AC$137,dfactor,Z103,AC204)+2*_xll.VOLATILITE.EWMA($AC$137,dfactor,Z103,AC204)</f>
        <v>#VALUE!</v>
      </c>
      <c r="AF103" s="240" t="e">
        <f t="shared" si="6"/>
        <v>#VALUE!</v>
      </c>
      <c r="AG103" s="251" t="e">
        <f>_xll.MOYENNE.EWMA($AF$137,dfactor,Z103,AF204)-2*_xll.VOLATILITE.EWMA($AF$137,dfactor,Z103,AF204)</f>
        <v>#VALUE!</v>
      </c>
      <c r="AH103" s="251" t="e">
        <f>_xll.MOYENNE.EWMA($AF$137,dfactor,Z103,AF204)+2*_xll.VOLATILITE.EWMA($AF$137,dfactor,Z103,AF204)</f>
        <v>#VALUE!</v>
      </c>
      <c r="AI103" s="237" t="e">
        <f t="shared" si="5"/>
        <v>#VALUE!</v>
      </c>
      <c r="AJ103" s="252" t="e">
        <f>_xll.MOYENNE.EWMA($AI$137,dfactor,Z103,AI204)-2*_xll.VOLATILITE.EWMA($AI$137,dfactor,Z103,AI204)</f>
        <v>#VALUE!</v>
      </c>
      <c r="AK103" s="252" t="e">
        <f>_xll.MOYENNE.EWMA($AI$137,dfactor,Z103,AI204)+2*_xll.VOLATILITE.EWMA($AI$137,dfactor,Z103,AI204)</f>
        <v>#VALUE!</v>
      </c>
    </row>
    <row r="104" spans="26:37" x14ac:dyDescent="0.3">
      <c r="Z104" s="247" t="e">
        <f ca="1">_xll.JOURS.OUVRES.FINANCE($Z103,"USD",-1)</f>
        <v>#NAME?</v>
      </c>
      <c r="AA104" s="248">
        <v>3.3621227690129234</v>
      </c>
      <c r="AB104" s="248">
        <v>1.8053370419134389</v>
      </c>
      <c r="AC104" s="249">
        <f t="shared" si="7"/>
        <v>3.3621227690129234</v>
      </c>
      <c r="AD104" s="250" t="e">
        <f>_xll.MOYENNE.EWMA($AC$137,dfactor,Z104,AC205)-2*_xll.VOLATILITE.EWMA($AC$137,dfactor,Z104,AC205)</f>
        <v>#VALUE!</v>
      </c>
      <c r="AE104" s="250" t="e">
        <f>_xll.MOYENNE.EWMA($AC$137,dfactor,Z104,AC205)+2*_xll.VOLATILITE.EWMA($AC$137,dfactor,Z104,AC205)</f>
        <v>#VALUE!</v>
      </c>
      <c r="AF104" s="240" t="e">
        <f t="shared" si="6"/>
        <v>#VALUE!</v>
      </c>
      <c r="AG104" s="251" t="e">
        <f>_xll.MOYENNE.EWMA($AF$137,dfactor,Z104,AF205)-2*_xll.VOLATILITE.EWMA($AF$137,dfactor,Z104,AF205)</f>
        <v>#VALUE!</v>
      </c>
      <c r="AH104" s="251" t="e">
        <f>_xll.MOYENNE.EWMA($AF$137,dfactor,Z104,AF205)+2*_xll.VOLATILITE.EWMA($AF$137,dfactor,Z104,AF205)</f>
        <v>#VALUE!</v>
      </c>
      <c r="AI104" s="237" t="e">
        <f t="shared" si="5"/>
        <v>#VALUE!</v>
      </c>
      <c r="AJ104" s="252" t="e">
        <f>_xll.MOYENNE.EWMA($AI$137,dfactor,Z104,AI205)-2*_xll.VOLATILITE.EWMA($AI$137,dfactor,Z104,AI205)</f>
        <v>#VALUE!</v>
      </c>
      <c r="AK104" s="252" t="e">
        <f>_xll.MOYENNE.EWMA($AI$137,dfactor,Z104,AI205)+2*_xll.VOLATILITE.EWMA($AI$137,dfactor,Z104,AI205)</f>
        <v>#VALUE!</v>
      </c>
    </row>
    <row r="105" spans="26:37" x14ac:dyDescent="0.3">
      <c r="Z105" s="247" t="e">
        <f ca="1">_xll.JOURS.OUVRES.FINANCE($Z104,"USD",-1)</f>
        <v>#NAME?</v>
      </c>
      <c r="AA105" s="248">
        <v>4.0650764999745252</v>
      </c>
      <c r="AB105" s="248">
        <v>3.1732596537616629</v>
      </c>
      <c r="AC105" s="249">
        <f t="shared" si="7"/>
        <v>4.0650764999745252</v>
      </c>
      <c r="AD105" s="250" t="e">
        <f>_xll.MOYENNE.EWMA($AC$137,dfactor,Z105,AC206)-2*_xll.VOLATILITE.EWMA($AC$137,dfactor,Z105,AC206)</f>
        <v>#VALUE!</v>
      </c>
      <c r="AE105" s="250" t="e">
        <f>_xll.MOYENNE.EWMA($AC$137,dfactor,Z105,AC206)+2*_xll.VOLATILITE.EWMA($AC$137,dfactor,Z105,AC206)</f>
        <v>#VALUE!</v>
      </c>
      <c r="AF105" s="240" t="e">
        <f t="shared" si="6"/>
        <v>#VALUE!</v>
      </c>
      <c r="AG105" s="251" t="e">
        <f>_xll.MOYENNE.EWMA($AF$137,dfactor,Z105,AF206)-2*_xll.VOLATILITE.EWMA($AF$137,dfactor,Z105,AF206)</f>
        <v>#VALUE!</v>
      </c>
      <c r="AH105" s="251" t="e">
        <f>_xll.MOYENNE.EWMA($AF$137,dfactor,Z105,AF206)+2*_xll.VOLATILITE.EWMA($AF$137,dfactor,Z105,AF206)</f>
        <v>#VALUE!</v>
      </c>
      <c r="AI105" s="237" t="e">
        <f t="shared" si="5"/>
        <v>#VALUE!</v>
      </c>
      <c r="AJ105" s="252" t="e">
        <f>_xll.MOYENNE.EWMA($AI$137,dfactor,Z105,AI206)-2*_xll.VOLATILITE.EWMA($AI$137,dfactor,Z105,AI206)</f>
        <v>#VALUE!</v>
      </c>
      <c r="AK105" s="252" t="e">
        <f>_xll.MOYENNE.EWMA($AI$137,dfactor,Z105,AI206)+2*_xll.VOLATILITE.EWMA($AI$137,dfactor,Z105,AI206)</f>
        <v>#VALUE!</v>
      </c>
    </row>
    <row r="106" spans="26:37" x14ac:dyDescent="0.3">
      <c r="Z106" s="247" t="e">
        <f ca="1">_xll.JOURS.OUVRES.FINANCE($Z105,"USD",-1)</f>
        <v>#NAME?</v>
      </c>
      <c r="AA106" s="248">
        <v>4.1995462906151495</v>
      </c>
      <c r="AB106" s="248">
        <v>1.3783200791150332</v>
      </c>
      <c r="AC106" s="249">
        <f t="shared" si="7"/>
        <v>4.1995462906151495</v>
      </c>
      <c r="AD106" s="250" t="e">
        <f>_xll.MOYENNE.EWMA($AC$137,dfactor,Z106,AC207)-2*_xll.VOLATILITE.EWMA($AC$137,dfactor,Z106,AC207)</f>
        <v>#VALUE!</v>
      </c>
      <c r="AE106" s="250" t="e">
        <f>_xll.MOYENNE.EWMA($AC$137,dfactor,Z106,AC207)+2*_xll.VOLATILITE.EWMA($AC$137,dfactor,Z106,AC207)</f>
        <v>#VALUE!</v>
      </c>
      <c r="AF106" s="240" t="e">
        <f t="shared" si="6"/>
        <v>#VALUE!</v>
      </c>
      <c r="AG106" s="251" t="e">
        <f>_xll.MOYENNE.EWMA($AF$137,dfactor,Z106,AF207)-2*_xll.VOLATILITE.EWMA($AF$137,dfactor,Z106,AF207)</f>
        <v>#VALUE!</v>
      </c>
      <c r="AH106" s="251" t="e">
        <f>_xll.MOYENNE.EWMA($AF$137,dfactor,Z106,AF207)+2*_xll.VOLATILITE.EWMA($AF$137,dfactor,Z106,AF207)</f>
        <v>#VALUE!</v>
      </c>
      <c r="AI106" s="237" t="e">
        <f t="shared" si="5"/>
        <v>#VALUE!</v>
      </c>
      <c r="AJ106" s="252" t="e">
        <f>_xll.MOYENNE.EWMA($AI$137,dfactor,Z106,AI207)-2*_xll.VOLATILITE.EWMA($AI$137,dfactor,Z106,AI207)</f>
        <v>#VALUE!</v>
      </c>
      <c r="AK106" s="252" t="e">
        <f>_xll.MOYENNE.EWMA($AI$137,dfactor,Z106,AI207)+2*_xll.VOLATILITE.EWMA($AI$137,dfactor,Z106,AI207)</f>
        <v>#VALUE!</v>
      </c>
    </row>
    <row r="107" spans="26:37" x14ac:dyDescent="0.3">
      <c r="Z107" s="247" t="e">
        <f ca="1">_xll.JOURS.OUVRES.FINANCE($Z106,"USD",-1)</f>
        <v>#NAME?</v>
      </c>
      <c r="AA107" s="248">
        <v>3.1912196839393059</v>
      </c>
      <c r="AB107" s="248">
        <v>4.0035641079239275</v>
      </c>
      <c r="AC107" s="249">
        <f t="shared" si="7"/>
        <v>3.1912196839393059</v>
      </c>
      <c r="AD107" s="250" t="e">
        <f>_xll.MOYENNE.EWMA($AC$137,dfactor,Z107,AC208)-2*_xll.VOLATILITE.EWMA($AC$137,dfactor,Z107,AC208)</f>
        <v>#VALUE!</v>
      </c>
      <c r="AE107" s="250" t="e">
        <f>_xll.MOYENNE.EWMA($AC$137,dfactor,Z107,AC208)+2*_xll.VOLATILITE.EWMA($AC$137,dfactor,Z107,AC208)</f>
        <v>#VALUE!</v>
      </c>
      <c r="AF107" s="240" t="e">
        <f t="shared" si="6"/>
        <v>#VALUE!</v>
      </c>
      <c r="AG107" s="251" t="e">
        <f>_xll.MOYENNE.EWMA($AF$137,dfactor,Z107,AF208)-2*_xll.VOLATILITE.EWMA($AF$137,dfactor,Z107,AF208)</f>
        <v>#VALUE!</v>
      </c>
      <c r="AH107" s="251" t="e">
        <f>_xll.MOYENNE.EWMA($AF$137,dfactor,Z107,AF208)+2*_xll.VOLATILITE.EWMA($AF$137,dfactor,Z107,AF208)</f>
        <v>#VALUE!</v>
      </c>
      <c r="AI107" s="237" t="e">
        <f t="shared" si="5"/>
        <v>#VALUE!</v>
      </c>
      <c r="AJ107" s="252" t="e">
        <f>_xll.MOYENNE.EWMA($AI$137,dfactor,Z107,AI208)-2*_xll.VOLATILITE.EWMA($AI$137,dfactor,Z107,AI208)</f>
        <v>#VALUE!</v>
      </c>
      <c r="AK107" s="252" t="e">
        <f>_xll.MOYENNE.EWMA($AI$137,dfactor,Z107,AI208)+2*_xll.VOLATILITE.EWMA($AI$137,dfactor,Z107,AI208)</f>
        <v>#VALUE!</v>
      </c>
    </row>
    <row r="108" spans="26:37" x14ac:dyDescent="0.3">
      <c r="Z108" s="247" t="e">
        <f ca="1">_xll.JOURS.OUVRES.FINANCE($Z107,"USD",-1)</f>
        <v>#NAME?</v>
      </c>
      <c r="AA108" s="248">
        <v>3.4655530953708471</v>
      </c>
      <c r="AB108" s="248">
        <v>3.9837990419134028</v>
      </c>
      <c r="AC108" s="249">
        <f t="shared" si="7"/>
        <v>3.4655530953708471</v>
      </c>
      <c r="AD108" s="250" t="e">
        <f>_xll.MOYENNE.EWMA($AC$137,dfactor,Z108,AC209)-2*_xll.VOLATILITE.EWMA($AC$137,dfactor,Z108,AC209)</f>
        <v>#VALUE!</v>
      </c>
      <c r="AE108" s="250" t="e">
        <f>_xll.MOYENNE.EWMA($AC$137,dfactor,Z108,AC209)+2*_xll.VOLATILITE.EWMA($AC$137,dfactor,Z108,AC209)</f>
        <v>#VALUE!</v>
      </c>
      <c r="AF108" s="240" t="e">
        <f t="shared" si="6"/>
        <v>#VALUE!</v>
      </c>
      <c r="AG108" s="251" t="e">
        <f>_xll.MOYENNE.EWMA($AF$137,dfactor,Z108,AF209)-2*_xll.VOLATILITE.EWMA($AF$137,dfactor,Z108,AF209)</f>
        <v>#VALUE!</v>
      </c>
      <c r="AH108" s="251" t="e">
        <f>_xll.MOYENNE.EWMA($AF$137,dfactor,Z108,AF209)+2*_xll.VOLATILITE.EWMA($AF$137,dfactor,Z108,AF209)</f>
        <v>#VALUE!</v>
      </c>
      <c r="AI108" s="237" t="e">
        <f t="shared" si="5"/>
        <v>#VALUE!</v>
      </c>
      <c r="AJ108" s="252" t="e">
        <f>_xll.MOYENNE.EWMA($AI$137,dfactor,Z108,AI209)-2*_xll.VOLATILITE.EWMA($AI$137,dfactor,Z108,AI209)</f>
        <v>#VALUE!</v>
      </c>
      <c r="AK108" s="252" t="e">
        <f>_xll.MOYENNE.EWMA($AI$137,dfactor,Z108,AI209)+2*_xll.VOLATILITE.EWMA($AI$137,dfactor,Z108,AI209)</f>
        <v>#VALUE!</v>
      </c>
    </row>
    <row r="109" spans="26:37" x14ac:dyDescent="0.3">
      <c r="Z109" s="247" t="e">
        <f ca="1">_xll.JOURS.OUVRES.FINANCE($Z108,"USD",-1)</f>
        <v>#NAME?</v>
      </c>
      <c r="AA109" s="248">
        <v>4.3214193992261691</v>
      </c>
      <c r="AB109" s="248">
        <v>3.3966261678251706</v>
      </c>
      <c r="AC109" s="249">
        <f t="shared" si="7"/>
        <v>4.3214193992261691</v>
      </c>
      <c r="AD109" s="250" t="e">
        <f>_xll.MOYENNE.EWMA($AC$137,dfactor,Z109,AC210)-2*_xll.VOLATILITE.EWMA($AC$137,dfactor,Z109,AC210)</f>
        <v>#VALUE!</v>
      </c>
      <c r="AE109" s="250" t="e">
        <f>_xll.MOYENNE.EWMA($AC$137,dfactor,Z109,AC210)+2*_xll.VOLATILITE.EWMA($AC$137,dfactor,Z109,AC210)</f>
        <v>#VALUE!</v>
      </c>
      <c r="AF109" s="240" t="e">
        <f t="shared" si="6"/>
        <v>#VALUE!</v>
      </c>
      <c r="AG109" s="251" t="e">
        <f>_xll.MOYENNE.EWMA($AF$137,dfactor,Z109,AF210)-2*_xll.VOLATILITE.EWMA($AF$137,dfactor,Z109,AF210)</f>
        <v>#VALUE!</v>
      </c>
      <c r="AH109" s="251" t="e">
        <f>_xll.MOYENNE.EWMA($AF$137,dfactor,Z109,AF210)+2*_xll.VOLATILITE.EWMA($AF$137,dfactor,Z109,AF210)</f>
        <v>#VALUE!</v>
      </c>
      <c r="AI109" s="237" t="e">
        <f t="shared" si="5"/>
        <v>#VALUE!</v>
      </c>
      <c r="AJ109" s="252" t="e">
        <f>_xll.MOYENNE.EWMA($AI$137,dfactor,Z109,AI210)-2*_xll.VOLATILITE.EWMA($AI$137,dfactor,Z109,AI210)</f>
        <v>#VALUE!</v>
      </c>
      <c r="AK109" s="252" t="e">
        <f>_xll.MOYENNE.EWMA($AI$137,dfactor,Z109,AI210)+2*_xll.VOLATILITE.EWMA($AI$137,dfactor,Z109,AI210)</f>
        <v>#VALUE!</v>
      </c>
    </row>
    <row r="110" spans="26:37" x14ac:dyDescent="0.3">
      <c r="Z110" s="247" t="e">
        <f ca="1">_xll.JOURS.OUVRES.FINANCE($Z109,"USD",-1)</f>
        <v>#NAME?</v>
      </c>
      <c r="AA110" s="248">
        <v>3.98278637235263</v>
      </c>
      <c r="AB110" s="248">
        <v>3.6281661905115143</v>
      </c>
      <c r="AC110" s="249">
        <f t="shared" si="7"/>
        <v>3.98278637235263</v>
      </c>
      <c r="AD110" s="250" t="e">
        <f>_xll.MOYENNE.EWMA($AC$137,dfactor,Z110,AC211)-2*_xll.VOLATILITE.EWMA($AC$137,dfactor,Z110,AC211)</f>
        <v>#VALUE!</v>
      </c>
      <c r="AE110" s="250" t="e">
        <f>_xll.MOYENNE.EWMA($AC$137,dfactor,Z110,AC211)+2*_xll.VOLATILITE.EWMA($AC$137,dfactor,Z110,AC211)</f>
        <v>#VALUE!</v>
      </c>
      <c r="AF110" s="240" t="e">
        <f t="shared" si="6"/>
        <v>#VALUE!</v>
      </c>
      <c r="AG110" s="251" t="e">
        <f>_xll.MOYENNE.EWMA($AF$137,dfactor,Z110,AF211)-2*_xll.VOLATILITE.EWMA($AF$137,dfactor,Z110,AF211)</f>
        <v>#VALUE!</v>
      </c>
      <c r="AH110" s="251" t="e">
        <f>_xll.MOYENNE.EWMA($AF$137,dfactor,Z110,AF211)+2*_xll.VOLATILITE.EWMA($AF$137,dfactor,Z110,AF211)</f>
        <v>#VALUE!</v>
      </c>
      <c r="AI110" s="237" t="e">
        <f t="shared" si="5"/>
        <v>#VALUE!</v>
      </c>
      <c r="AJ110" s="252" t="e">
        <f>_xll.MOYENNE.EWMA($AI$137,dfactor,Z110,AI211)-2*_xll.VOLATILITE.EWMA($AI$137,dfactor,Z110,AI211)</f>
        <v>#VALUE!</v>
      </c>
      <c r="AK110" s="252" t="e">
        <f>_xll.MOYENNE.EWMA($AI$137,dfactor,Z110,AI211)+2*_xll.VOLATILITE.EWMA($AI$137,dfactor,Z110,AI211)</f>
        <v>#VALUE!</v>
      </c>
    </row>
    <row r="111" spans="26:37" x14ac:dyDescent="0.3">
      <c r="Z111" s="247" t="e">
        <f ca="1">_xll.JOURS.OUVRES.FINANCE($Z110,"USD",-1)</f>
        <v>#NAME?</v>
      </c>
      <c r="AA111" s="248">
        <v>4.4946452231327765</v>
      </c>
      <c r="AB111" s="248">
        <v>2.9336133376835196</v>
      </c>
      <c r="AC111" s="249">
        <f t="shared" si="7"/>
        <v>4.4946452231327765</v>
      </c>
      <c r="AD111" s="250" t="e">
        <f>_xll.MOYENNE.EWMA($AC$137,dfactor,Z111,AC212)-2*_xll.VOLATILITE.EWMA($AC$137,dfactor,Z111,AC212)</f>
        <v>#VALUE!</v>
      </c>
      <c r="AE111" s="250" t="e">
        <f>_xll.MOYENNE.EWMA($AC$137,dfactor,Z111,AC212)+2*_xll.VOLATILITE.EWMA($AC$137,dfactor,Z111,AC212)</f>
        <v>#VALUE!</v>
      </c>
      <c r="AF111" s="240" t="e">
        <f t="shared" si="6"/>
        <v>#VALUE!</v>
      </c>
      <c r="AG111" s="251" t="e">
        <f>_xll.MOYENNE.EWMA($AF$137,dfactor,Z111,AF212)-2*_xll.VOLATILITE.EWMA($AF$137,dfactor,Z111,AF212)</f>
        <v>#VALUE!</v>
      </c>
      <c r="AH111" s="251" t="e">
        <f>_xll.MOYENNE.EWMA($AF$137,dfactor,Z111,AF212)+2*_xll.VOLATILITE.EWMA($AF$137,dfactor,Z111,AF212)</f>
        <v>#VALUE!</v>
      </c>
      <c r="AI111" s="237" t="e">
        <f t="shared" si="5"/>
        <v>#VALUE!</v>
      </c>
      <c r="AJ111" s="252" t="e">
        <f>_xll.MOYENNE.EWMA($AI$137,dfactor,Z111,AI212)-2*_xll.VOLATILITE.EWMA($AI$137,dfactor,Z111,AI212)</f>
        <v>#VALUE!</v>
      </c>
      <c r="AK111" s="252" t="e">
        <f>_xll.MOYENNE.EWMA($AI$137,dfactor,Z111,AI212)+2*_xll.VOLATILITE.EWMA($AI$137,dfactor,Z111,AI212)</f>
        <v>#VALUE!</v>
      </c>
    </row>
    <row r="112" spans="26:37" x14ac:dyDescent="0.3">
      <c r="Z112" s="247" t="e">
        <f ca="1">_xll.JOURS.OUVRES.FINANCE($Z111,"USD",-1)</f>
        <v>#NAME?</v>
      </c>
      <c r="AA112" s="248">
        <v>5.7518174008255869</v>
      </c>
      <c r="AB112" s="248">
        <v>2.4562544527473142</v>
      </c>
      <c r="AC112" s="249">
        <f t="shared" si="7"/>
        <v>5.7518174008255869</v>
      </c>
      <c r="AD112" s="250" t="e">
        <f>_xll.MOYENNE.EWMA($AC$137,dfactor,Z112,AC213)-2*_xll.VOLATILITE.EWMA($AC$137,dfactor,Z112,AC213)</f>
        <v>#VALUE!</v>
      </c>
      <c r="AE112" s="250" t="e">
        <f>_xll.MOYENNE.EWMA($AC$137,dfactor,Z112,AC213)+2*_xll.VOLATILITE.EWMA($AC$137,dfactor,Z112,AC213)</f>
        <v>#VALUE!</v>
      </c>
      <c r="AF112" s="240" t="e">
        <f t="shared" si="6"/>
        <v>#VALUE!</v>
      </c>
      <c r="AG112" s="251" t="e">
        <f>_xll.MOYENNE.EWMA($AF$137,dfactor,Z112,AF213)-2*_xll.VOLATILITE.EWMA($AF$137,dfactor,Z112,AF213)</f>
        <v>#VALUE!</v>
      </c>
      <c r="AH112" s="251" t="e">
        <f>_xll.MOYENNE.EWMA($AF$137,dfactor,Z112,AF213)+2*_xll.VOLATILITE.EWMA($AF$137,dfactor,Z112,AF213)</f>
        <v>#VALUE!</v>
      </c>
      <c r="AI112" s="237" t="e">
        <f t="shared" si="5"/>
        <v>#VALUE!</v>
      </c>
      <c r="AJ112" s="252" t="e">
        <f>_xll.MOYENNE.EWMA($AI$137,dfactor,Z112,AI213)-2*_xll.VOLATILITE.EWMA($AI$137,dfactor,Z112,AI213)</f>
        <v>#VALUE!</v>
      </c>
      <c r="AK112" s="252" t="e">
        <f>_xll.MOYENNE.EWMA($AI$137,dfactor,Z112,AI213)+2*_xll.VOLATILITE.EWMA($AI$137,dfactor,Z112,AI213)</f>
        <v>#VALUE!</v>
      </c>
    </row>
    <row r="113" spans="26:37" x14ac:dyDescent="0.3">
      <c r="Z113" s="247" t="e">
        <f ca="1">_xll.JOURS.OUVRES.FINANCE($Z112,"USD",-1)</f>
        <v>#NAME?</v>
      </c>
      <c r="AA113" s="248">
        <v>5.4113761603852497</v>
      </c>
      <c r="AB113" s="248">
        <v>3.3263343329929973</v>
      </c>
      <c r="AC113" s="249">
        <f t="shared" si="7"/>
        <v>5.4113761603852497</v>
      </c>
      <c r="AD113" s="250" t="e">
        <f>_xll.MOYENNE.EWMA($AC$137,dfactor,Z113,AC214)-2*_xll.VOLATILITE.EWMA($AC$137,dfactor,Z113,AC214)</f>
        <v>#VALUE!</v>
      </c>
      <c r="AE113" s="250" t="e">
        <f>_xll.MOYENNE.EWMA($AC$137,dfactor,Z113,AC214)+2*_xll.VOLATILITE.EWMA($AC$137,dfactor,Z113,AC214)</f>
        <v>#VALUE!</v>
      </c>
      <c r="AF113" s="240" t="e">
        <f t="shared" si="6"/>
        <v>#VALUE!</v>
      </c>
      <c r="AG113" s="251" t="e">
        <f>_xll.MOYENNE.EWMA($AF$137,dfactor,Z113,AF214)-2*_xll.VOLATILITE.EWMA($AF$137,dfactor,Z113,AF214)</f>
        <v>#VALUE!</v>
      </c>
      <c r="AH113" s="251" t="e">
        <f>_xll.MOYENNE.EWMA($AF$137,dfactor,Z113,AF214)+2*_xll.VOLATILITE.EWMA($AF$137,dfactor,Z113,AF214)</f>
        <v>#VALUE!</v>
      </c>
      <c r="AI113" s="237" t="e">
        <f t="shared" si="5"/>
        <v>#VALUE!</v>
      </c>
      <c r="AJ113" s="252" t="e">
        <f>_xll.MOYENNE.EWMA($AI$137,dfactor,Z113,AI214)-2*_xll.VOLATILITE.EWMA($AI$137,dfactor,Z113,AI214)</f>
        <v>#VALUE!</v>
      </c>
      <c r="AK113" s="252" t="e">
        <f>_xll.MOYENNE.EWMA($AI$137,dfactor,Z113,AI214)+2*_xll.VOLATILITE.EWMA($AI$137,dfactor,Z113,AI214)</f>
        <v>#VALUE!</v>
      </c>
    </row>
    <row r="114" spans="26:37" x14ac:dyDescent="0.3">
      <c r="Z114" s="247" t="e">
        <f ca="1">_xll.JOURS.OUVRES.FINANCE($Z113,"USD",-1)</f>
        <v>#NAME?</v>
      </c>
      <c r="AA114" s="248">
        <v>5.0220272948114646</v>
      </c>
      <c r="AB114" s="248">
        <v>3.0097178413964696</v>
      </c>
      <c r="AC114" s="249">
        <f t="shared" si="7"/>
        <v>5.0220272948114646</v>
      </c>
      <c r="AD114" s="250" t="e">
        <f>_xll.MOYENNE.EWMA($AC$137,dfactor,Z114,AC215)-2*_xll.VOLATILITE.EWMA($AC$137,dfactor,Z114,AC215)</f>
        <v>#VALUE!</v>
      </c>
      <c r="AE114" s="250" t="e">
        <f>_xll.MOYENNE.EWMA($AC$137,dfactor,Z114,AC215)+2*_xll.VOLATILITE.EWMA($AC$137,dfactor,Z114,AC215)</f>
        <v>#VALUE!</v>
      </c>
      <c r="AF114" s="240" t="e">
        <f t="shared" si="6"/>
        <v>#VALUE!</v>
      </c>
      <c r="AG114" s="251" t="e">
        <f>_xll.MOYENNE.EWMA($AF$137,dfactor,Z114,AF215)-2*_xll.VOLATILITE.EWMA($AF$137,dfactor,Z114,AF215)</f>
        <v>#VALUE!</v>
      </c>
      <c r="AH114" s="251" t="e">
        <f>_xll.MOYENNE.EWMA($AF$137,dfactor,Z114,AF215)+2*_xll.VOLATILITE.EWMA($AF$137,dfactor,Z114,AF215)</f>
        <v>#VALUE!</v>
      </c>
      <c r="AI114" s="237" t="e">
        <f t="shared" si="5"/>
        <v>#VALUE!</v>
      </c>
      <c r="AJ114" s="252" t="e">
        <f>_xll.MOYENNE.EWMA($AI$137,dfactor,Z114,AI215)-2*_xll.VOLATILITE.EWMA($AI$137,dfactor,Z114,AI215)</f>
        <v>#VALUE!</v>
      </c>
      <c r="AK114" s="252" t="e">
        <f>_xll.MOYENNE.EWMA($AI$137,dfactor,Z114,AI215)+2*_xll.VOLATILITE.EWMA($AI$137,dfactor,Z114,AI215)</f>
        <v>#VALUE!</v>
      </c>
    </row>
    <row r="115" spans="26:37" x14ac:dyDescent="0.3">
      <c r="Z115" s="247" t="e">
        <f ca="1">_xll.JOURS.OUVRES.FINANCE($Z114,"USD",-1)</f>
        <v>#NAME?</v>
      </c>
      <c r="AA115" s="248">
        <v>4.9100898226835774</v>
      </c>
      <c r="AB115" s="248">
        <v>2.1029414061121123</v>
      </c>
      <c r="AC115" s="249">
        <f t="shared" si="7"/>
        <v>4.9100898226835774</v>
      </c>
      <c r="AD115" s="250" t="e">
        <f>_xll.MOYENNE.EWMA($AC$137,dfactor,Z115,AC216)-2*_xll.VOLATILITE.EWMA($AC$137,dfactor,Z115,AC216)</f>
        <v>#VALUE!</v>
      </c>
      <c r="AE115" s="250" t="e">
        <f>_xll.MOYENNE.EWMA($AC$137,dfactor,Z115,AC216)+2*_xll.VOLATILITE.EWMA($AC$137,dfactor,Z115,AC216)</f>
        <v>#VALUE!</v>
      </c>
      <c r="AF115" s="240" t="e">
        <f t="shared" si="6"/>
        <v>#VALUE!</v>
      </c>
      <c r="AG115" s="251" t="e">
        <f>_xll.MOYENNE.EWMA($AF$137,dfactor,Z115,AF216)-2*_xll.VOLATILITE.EWMA($AF$137,dfactor,Z115,AF216)</f>
        <v>#VALUE!</v>
      </c>
      <c r="AH115" s="251" t="e">
        <f>_xll.MOYENNE.EWMA($AF$137,dfactor,Z115,AF216)+2*_xll.VOLATILITE.EWMA($AF$137,dfactor,Z115,AF216)</f>
        <v>#VALUE!</v>
      </c>
      <c r="AI115" s="237" t="e">
        <f t="shared" si="5"/>
        <v>#VALUE!</v>
      </c>
      <c r="AJ115" s="252" t="e">
        <f>_xll.MOYENNE.EWMA($AI$137,dfactor,Z115,AI216)-2*_xll.VOLATILITE.EWMA($AI$137,dfactor,Z115,AI216)</f>
        <v>#VALUE!</v>
      </c>
      <c r="AK115" s="252" t="e">
        <f>_xll.MOYENNE.EWMA($AI$137,dfactor,Z115,AI216)+2*_xll.VOLATILITE.EWMA($AI$137,dfactor,Z115,AI216)</f>
        <v>#VALUE!</v>
      </c>
    </row>
    <row r="116" spans="26:37" x14ac:dyDescent="0.3">
      <c r="Z116" s="247" t="e">
        <f ca="1">_xll.JOURS.OUVRES.FINANCE($Z115,"USD",-1)</f>
        <v>#NAME?</v>
      </c>
      <c r="AA116" s="248">
        <v>5.3701314274262124</v>
      </c>
      <c r="AB116" s="248">
        <v>3.7160578547445402</v>
      </c>
      <c r="AC116" s="249">
        <f t="shared" si="7"/>
        <v>5.3701314274262124</v>
      </c>
      <c r="AD116" s="250" t="e">
        <f>_xll.MOYENNE.EWMA($AC$137,dfactor,Z116,AC217)-2*_xll.VOLATILITE.EWMA($AC$137,dfactor,Z116,AC217)</f>
        <v>#VALUE!</v>
      </c>
      <c r="AE116" s="250" t="e">
        <f>_xll.MOYENNE.EWMA($AC$137,dfactor,Z116,AC217)+2*_xll.VOLATILITE.EWMA($AC$137,dfactor,Z116,AC217)</f>
        <v>#VALUE!</v>
      </c>
      <c r="AF116" s="240" t="e">
        <f t="shared" si="6"/>
        <v>#VALUE!</v>
      </c>
      <c r="AG116" s="251" t="e">
        <f>_xll.MOYENNE.EWMA($AF$137,dfactor,Z116,AF217)-2*_xll.VOLATILITE.EWMA($AF$137,dfactor,Z116,AF217)</f>
        <v>#VALUE!</v>
      </c>
      <c r="AH116" s="251" t="e">
        <f>_xll.MOYENNE.EWMA($AF$137,dfactor,Z116,AF217)+2*_xll.VOLATILITE.EWMA($AF$137,dfactor,Z116,AF217)</f>
        <v>#VALUE!</v>
      </c>
      <c r="AI116" s="237" t="e">
        <f t="shared" si="5"/>
        <v>#VALUE!</v>
      </c>
      <c r="AJ116" s="252" t="e">
        <f>_xll.MOYENNE.EWMA($AI$137,dfactor,Z116,AI217)-2*_xll.VOLATILITE.EWMA($AI$137,dfactor,Z116,AI217)</f>
        <v>#VALUE!</v>
      </c>
      <c r="AK116" s="252" t="e">
        <f>_xll.MOYENNE.EWMA($AI$137,dfactor,Z116,AI217)+2*_xll.VOLATILITE.EWMA($AI$137,dfactor,Z116,AI217)</f>
        <v>#VALUE!</v>
      </c>
    </row>
    <row r="117" spans="26:37" x14ac:dyDescent="0.3">
      <c r="Z117" s="247" t="e">
        <f ca="1">_xll.JOURS.OUVRES.FINANCE($Z116,"USD",-1)</f>
        <v>#NAME?</v>
      </c>
      <c r="AA117" s="248">
        <v>5.3759095586616041</v>
      </c>
      <c r="AB117" s="248">
        <v>3.5517454503390353</v>
      </c>
      <c r="AC117" s="249">
        <f t="shared" si="7"/>
        <v>5.3759095586616041</v>
      </c>
      <c r="AD117" s="250" t="e">
        <f>_xll.MOYENNE.EWMA($AC$137,dfactor,Z117,AC218)-2*_xll.VOLATILITE.EWMA($AC$137,dfactor,Z117,AC218)</f>
        <v>#VALUE!</v>
      </c>
      <c r="AE117" s="250" t="e">
        <f>_xll.MOYENNE.EWMA($AC$137,dfactor,Z117,AC218)+2*_xll.VOLATILITE.EWMA($AC$137,dfactor,Z117,AC218)</f>
        <v>#VALUE!</v>
      </c>
      <c r="AF117" s="240" t="e">
        <f t="shared" si="6"/>
        <v>#VALUE!</v>
      </c>
      <c r="AG117" s="251" t="e">
        <f>_xll.MOYENNE.EWMA($AF$137,dfactor,Z117,AF218)-2*_xll.VOLATILITE.EWMA($AF$137,dfactor,Z117,AF218)</f>
        <v>#VALUE!</v>
      </c>
      <c r="AH117" s="251" t="e">
        <f>_xll.MOYENNE.EWMA($AF$137,dfactor,Z117,AF218)+2*_xll.VOLATILITE.EWMA($AF$137,dfactor,Z117,AF218)</f>
        <v>#VALUE!</v>
      </c>
      <c r="AI117" s="237" t="e">
        <f t="shared" si="5"/>
        <v>#VALUE!</v>
      </c>
      <c r="AJ117" s="252" t="e">
        <f>_xll.MOYENNE.EWMA($AI$137,dfactor,Z117,AI218)-2*_xll.VOLATILITE.EWMA($AI$137,dfactor,Z117,AI218)</f>
        <v>#VALUE!</v>
      </c>
      <c r="AK117" s="252" t="e">
        <f>_xll.MOYENNE.EWMA($AI$137,dfactor,Z117,AI218)+2*_xll.VOLATILITE.EWMA($AI$137,dfactor,Z117,AI218)</f>
        <v>#VALUE!</v>
      </c>
    </row>
    <row r="118" spans="26:37" x14ac:dyDescent="0.3">
      <c r="Z118" s="247" t="e">
        <f ca="1">_xll.JOURS.OUVRES.FINANCE($Z117,"USD",-1)</f>
        <v>#NAME?</v>
      </c>
      <c r="AA118" s="248">
        <v>6.5037874014919801</v>
      </c>
      <c r="AB118" s="248">
        <v>5.6559903573934864</v>
      </c>
      <c r="AC118" s="249">
        <f t="shared" si="7"/>
        <v>6.5037874014919801</v>
      </c>
      <c r="AD118" s="250" t="e">
        <f>_xll.MOYENNE.EWMA($AC$137,dfactor,Z118,AC219)-2*_xll.VOLATILITE.EWMA($AC$137,dfactor,Z118,AC219)</f>
        <v>#VALUE!</v>
      </c>
      <c r="AE118" s="250" t="e">
        <f>_xll.MOYENNE.EWMA($AC$137,dfactor,Z118,AC219)+2*_xll.VOLATILITE.EWMA($AC$137,dfactor,Z118,AC219)</f>
        <v>#VALUE!</v>
      </c>
      <c r="AF118" s="240" t="e">
        <f t="shared" si="6"/>
        <v>#VALUE!</v>
      </c>
      <c r="AG118" s="251" t="e">
        <f>_xll.MOYENNE.EWMA($AF$137,dfactor,Z118,AF219)-2*_xll.VOLATILITE.EWMA($AF$137,dfactor,Z118,AF219)</f>
        <v>#VALUE!</v>
      </c>
      <c r="AH118" s="251" t="e">
        <f>_xll.MOYENNE.EWMA($AF$137,dfactor,Z118,AF219)+2*_xll.VOLATILITE.EWMA($AF$137,dfactor,Z118,AF219)</f>
        <v>#VALUE!</v>
      </c>
      <c r="AI118" s="237" t="e">
        <f t="shared" si="5"/>
        <v>#VALUE!</v>
      </c>
      <c r="AJ118" s="252" t="e">
        <f>_xll.MOYENNE.EWMA($AI$137,dfactor,Z118,AI219)-2*_xll.VOLATILITE.EWMA($AI$137,dfactor,Z118,AI219)</f>
        <v>#VALUE!</v>
      </c>
      <c r="AK118" s="252" t="e">
        <f>_xll.MOYENNE.EWMA($AI$137,dfactor,Z118,AI219)+2*_xll.VOLATILITE.EWMA($AI$137,dfactor,Z118,AI219)</f>
        <v>#VALUE!</v>
      </c>
    </row>
    <row r="119" spans="26:37" x14ac:dyDescent="0.3">
      <c r="Z119" s="247" t="e">
        <f ca="1">_xll.JOURS.OUVRES.FINANCE($Z118,"USD",-1)</f>
        <v>#NAME?</v>
      </c>
      <c r="AA119" s="248">
        <v>5.0898960464936458</v>
      </c>
      <c r="AB119" s="248">
        <v>6.0068408013027383</v>
      </c>
      <c r="AC119" s="249">
        <f t="shared" si="7"/>
        <v>5.0898960464936458</v>
      </c>
      <c r="AD119" s="250" t="e">
        <f>_xll.MOYENNE.EWMA($AC$137,dfactor,Z119,AC220)-2*_xll.VOLATILITE.EWMA($AC$137,dfactor,Z119,AC220)</f>
        <v>#VALUE!</v>
      </c>
      <c r="AE119" s="250" t="e">
        <f>_xll.MOYENNE.EWMA($AC$137,dfactor,Z119,AC220)+2*_xll.VOLATILITE.EWMA($AC$137,dfactor,Z119,AC220)</f>
        <v>#VALUE!</v>
      </c>
      <c r="AF119" s="240" t="e">
        <f t="shared" si="6"/>
        <v>#VALUE!</v>
      </c>
      <c r="AG119" s="251" t="e">
        <f>_xll.MOYENNE.EWMA($AF$137,dfactor,Z119,AF220)-2*_xll.VOLATILITE.EWMA($AF$137,dfactor,Z119,AF220)</f>
        <v>#VALUE!</v>
      </c>
      <c r="AH119" s="251" t="e">
        <f>_xll.MOYENNE.EWMA($AF$137,dfactor,Z119,AF220)+2*_xll.VOLATILITE.EWMA($AF$137,dfactor,Z119,AF220)</f>
        <v>#VALUE!</v>
      </c>
      <c r="AI119" s="237" t="e">
        <f t="shared" si="5"/>
        <v>#VALUE!</v>
      </c>
      <c r="AJ119" s="252" t="e">
        <f>_xll.MOYENNE.EWMA($AI$137,dfactor,Z119,AI220)-2*_xll.VOLATILITE.EWMA($AI$137,dfactor,Z119,AI220)</f>
        <v>#VALUE!</v>
      </c>
      <c r="AK119" s="252" t="e">
        <f>_xll.MOYENNE.EWMA($AI$137,dfactor,Z119,AI220)+2*_xll.VOLATILITE.EWMA($AI$137,dfactor,Z119,AI220)</f>
        <v>#VALUE!</v>
      </c>
    </row>
    <row r="120" spans="26:37" x14ac:dyDescent="0.3">
      <c r="Z120" s="247" t="e">
        <f ca="1">_xll.JOURS.OUVRES.FINANCE($Z119,"USD",-1)</f>
        <v>#NAME?</v>
      </c>
      <c r="AA120" s="248">
        <v>2.7111747408818876</v>
      </c>
      <c r="AB120" s="248">
        <v>3.8523022298353085</v>
      </c>
      <c r="AC120" s="249">
        <f t="shared" si="7"/>
        <v>2.7111747408818876</v>
      </c>
      <c r="AD120" s="250" t="e">
        <f>_xll.MOYENNE.EWMA($AC$137,dfactor,Z120,AC221)-2*_xll.VOLATILITE.EWMA($AC$137,dfactor,Z120,AC221)</f>
        <v>#VALUE!</v>
      </c>
      <c r="AE120" s="250" t="e">
        <f>_xll.MOYENNE.EWMA($AC$137,dfactor,Z120,AC221)+2*_xll.VOLATILITE.EWMA($AC$137,dfactor,Z120,AC221)</f>
        <v>#VALUE!</v>
      </c>
      <c r="AF120" s="240" t="e">
        <f t="shared" si="6"/>
        <v>#VALUE!</v>
      </c>
      <c r="AG120" s="251" t="e">
        <f>_xll.MOYENNE.EWMA($AF$137,dfactor,Z120,AF221)-2*_xll.VOLATILITE.EWMA($AF$137,dfactor,Z120,AF221)</f>
        <v>#VALUE!</v>
      </c>
      <c r="AH120" s="251" t="e">
        <f>_xll.MOYENNE.EWMA($AF$137,dfactor,Z120,AF221)+2*_xll.VOLATILITE.EWMA($AF$137,dfactor,Z120,AF221)</f>
        <v>#VALUE!</v>
      </c>
      <c r="AI120" s="237" t="e">
        <f t="shared" si="5"/>
        <v>#VALUE!</v>
      </c>
      <c r="AJ120" s="252" t="e">
        <f>_xll.MOYENNE.EWMA($AI$137,dfactor,Z120,AI221)-2*_xll.VOLATILITE.EWMA($AI$137,dfactor,Z120,AI221)</f>
        <v>#VALUE!</v>
      </c>
      <c r="AK120" s="252" t="e">
        <f>_xll.MOYENNE.EWMA($AI$137,dfactor,Z120,AI221)+2*_xll.VOLATILITE.EWMA($AI$137,dfactor,Z120,AI221)</f>
        <v>#VALUE!</v>
      </c>
    </row>
    <row r="121" spans="26:37" x14ac:dyDescent="0.3">
      <c r="Z121" s="247" t="e">
        <f ca="1">_xll.JOURS.OUVRES.FINANCE($Z120,"USD",-1)</f>
        <v>#NAME?</v>
      </c>
      <c r="AA121" s="248">
        <v>2.5508981182928605</v>
      </c>
      <c r="AB121" s="248">
        <v>3.7541519740204756</v>
      </c>
      <c r="AC121" s="249">
        <f t="shared" si="7"/>
        <v>2.5508981182928605</v>
      </c>
      <c r="AD121" s="250" t="e">
        <f>_xll.MOYENNE.EWMA($AC$137,dfactor,Z121,AC222)-2*_xll.VOLATILITE.EWMA($AC$137,dfactor,Z121,AC222)</f>
        <v>#VALUE!</v>
      </c>
      <c r="AE121" s="250" t="e">
        <f>_xll.MOYENNE.EWMA($AC$137,dfactor,Z121,AC222)+2*_xll.VOLATILITE.EWMA($AC$137,dfactor,Z121,AC222)</f>
        <v>#VALUE!</v>
      </c>
      <c r="AF121" s="240" t="e">
        <f t="shared" si="6"/>
        <v>#VALUE!</v>
      </c>
      <c r="AG121" s="251" t="e">
        <f>_xll.MOYENNE.EWMA($AF$137,dfactor,Z121,AF222)-2*_xll.VOLATILITE.EWMA($AF$137,dfactor,Z121,AF222)</f>
        <v>#VALUE!</v>
      </c>
      <c r="AH121" s="251" t="e">
        <f>_xll.MOYENNE.EWMA($AF$137,dfactor,Z121,AF222)+2*_xll.VOLATILITE.EWMA($AF$137,dfactor,Z121,AF222)</f>
        <v>#VALUE!</v>
      </c>
      <c r="AI121" s="237" t="e">
        <f t="shared" si="5"/>
        <v>#VALUE!</v>
      </c>
      <c r="AJ121" s="252" t="e">
        <f>_xll.MOYENNE.EWMA($AI$137,dfactor,Z121,AI222)-2*_xll.VOLATILITE.EWMA($AI$137,dfactor,Z121,AI222)</f>
        <v>#VALUE!</v>
      </c>
      <c r="AK121" s="252" t="e">
        <f>_xll.MOYENNE.EWMA($AI$137,dfactor,Z121,AI222)+2*_xll.VOLATILITE.EWMA($AI$137,dfactor,Z121,AI222)</f>
        <v>#VALUE!</v>
      </c>
    </row>
    <row r="122" spans="26:37" x14ac:dyDescent="0.3">
      <c r="Z122" s="247" t="e">
        <f ca="1">_xll.JOURS.OUVRES.FINANCE($Z121,"USD",-1)</f>
        <v>#NAME?</v>
      </c>
      <c r="AA122" s="248">
        <v>3.2011724783802169</v>
      </c>
      <c r="AB122" s="248">
        <v>3.935738368532927</v>
      </c>
      <c r="AC122" s="249">
        <f t="shared" si="7"/>
        <v>3.2011724783802169</v>
      </c>
      <c r="AD122" s="250" t="e">
        <f>_xll.MOYENNE.EWMA($AC$137,dfactor,Z122,AC223)-2*_xll.VOLATILITE.EWMA($AC$137,dfactor,Z122,AC223)</f>
        <v>#VALUE!</v>
      </c>
      <c r="AE122" s="250" t="e">
        <f>_xll.MOYENNE.EWMA($AC$137,dfactor,Z122,AC223)+2*_xll.VOLATILITE.EWMA($AC$137,dfactor,Z122,AC223)</f>
        <v>#VALUE!</v>
      </c>
      <c r="AF122" s="240" t="e">
        <f t="shared" si="6"/>
        <v>#VALUE!</v>
      </c>
      <c r="AG122" s="251" t="e">
        <f>_xll.MOYENNE.EWMA($AF$137,dfactor,Z122,AF223)-2*_xll.VOLATILITE.EWMA($AF$137,dfactor,Z122,AF223)</f>
        <v>#VALUE!</v>
      </c>
      <c r="AH122" s="251" t="e">
        <f>_xll.MOYENNE.EWMA($AF$137,dfactor,Z122,AF223)+2*_xll.VOLATILITE.EWMA($AF$137,dfactor,Z122,AF223)</f>
        <v>#VALUE!</v>
      </c>
      <c r="AI122" s="237" t="e">
        <f t="shared" si="5"/>
        <v>#VALUE!</v>
      </c>
      <c r="AJ122" s="252" t="e">
        <f>_xll.MOYENNE.EWMA($AI$137,dfactor,Z122,AI223)-2*_xll.VOLATILITE.EWMA($AI$137,dfactor,Z122,AI223)</f>
        <v>#VALUE!</v>
      </c>
      <c r="AK122" s="252" t="e">
        <f>_xll.MOYENNE.EWMA($AI$137,dfactor,Z122,AI223)+2*_xll.VOLATILITE.EWMA($AI$137,dfactor,Z122,AI223)</f>
        <v>#VALUE!</v>
      </c>
    </row>
    <row r="123" spans="26:37" x14ac:dyDescent="0.3">
      <c r="Z123" s="247" t="e">
        <f ca="1">_xll.JOURS.OUVRES.FINANCE($Z122,"USD",-1)</f>
        <v>#NAME?</v>
      </c>
      <c r="AA123" s="248">
        <v>2.7190829930641507</v>
      </c>
      <c r="AB123" s="248">
        <v>2.4937386912352357</v>
      </c>
      <c r="AC123" s="249">
        <f t="shared" si="7"/>
        <v>2.7190829930641507</v>
      </c>
      <c r="AD123" s="250" t="e">
        <f>_xll.MOYENNE.EWMA($AC$137,dfactor,Z123,AC224)-2*_xll.VOLATILITE.EWMA($AC$137,dfactor,Z123,AC224)</f>
        <v>#VALUE!</v>
      </c>
      <c r="AE123" s="250" t="e">
        <f>_xll.MOYENNE.EWMA($AC$137,dfactor,Z123,AC224)+2*_xll.VOLATILITE.EWMA($AC$137,dfactor,Z123,AC224)</f>
        <v>#VALUE!</v>
      </c>
      <c r="AF123" s="240" t="e">
        <f t="shared" si="6"/>
        <v>#VALUE!</v>
      </c>
      <c r="AG123" s="251" t="e">
        <f>_xll.MOYENNE.EWMA($AF$137,dfactor,Z123,AF224)-2*_xll.VOLATILITE.EWMA($AF$137,dfactor,Z123,AF224)</f>
        <v>#VALUE!</v>
      </c>
      <c r="AH123" s="251" t="e">
        <f>_xll.MOYENNE.EWMA($AF$137,dfactor,Z123,AF224)+2*_xll.VOLATILITE.EWMA($AF$137,dfactor,Z123,AF224)</f>
        <v>#VALUE!</v>
      </c>
      <c r="AI123" s="237" t="e">
        <f t="shared" si="5"/>
        <v>#VALUE!</v>
      </c>
      <c r="AJ123" s="252" t="e">
        <f>_xll.MOYENNE.EWMA($AI$137,dfactor,Z123,AI224)-2*_xll.VOLATILITE.EWMA($AI$137,dfactor,Z123,AI224)</f>
        <v>#VALUE!</v>
      </c>
      <c r="AK123" s="252" t="e">
        <f>_xll.MOYENNE.EWMA($AI$137,dfactor,Z123,AI224)+2*_xll.VOLATILITE.EWMA($AI$137,dfactor,Z123,AI224)</f>
        <v>#VALUE!</v>
      </c>
    </row>
    <row r="124" spans="26:37" x14ac:dyDescent="0.3">
      <c r="Z124" s="247" t="e">
        <f ca="1">_xll.JOURS.OUVRES.FINANCE($Z123,"USD",-1)</f>
        <v>#NAME?</v>
      </c>
      <c r="AA124" s="248">
        <v>1.7105946144030324</v>
      </c>
      <c r="AB124" s="248">
        <v>1.952045939534611</v>
      </c>
      <c r="AC124" s="249">
        <f t="shared" si="7"/>
        <v>1.7105946144030324</v>
      </c>
      <c r="AD124" s="250" t="e">
        <f>_xll.MOYENNE.EWMA($AC$137,dfactor,Z124,AC225)-2*_xll.VOLATILITE.EWMA($AC$137,dfactor,Z124,AC225)</f>
        <v>#VALUE!</v>
      </c>
      <c r="AE124" s="250" t="e">
        <f>_xll.MOYENNE.EWMA($AC$137,dfactor,Z124,AC225)+2*_xll.VOLATILITE.EWMA($AC$137,dfactor,Z124,AC225)</f>
        <v>#VALUE!</v>
      </c>
      <c r="AF124" s="240" t="e">
        <f t="shared" si="6"/>
        <v>#VALUE!</v>
      </c>
      <c r="AG124" s="251" t="e">
        <f>_xll.MOYENNE.EWMA($AF$137,dfactor,Z124,AF225)-2*_xll.VOLATILITE.EWMA($AF$137,dfactor,Z124,AF225)</f>
        <v>#VALUE!</v>
      </c>
      <c r="AH124" s="251" t="e">
        <f>_xll.MOYENNE.EWMA($AF$137,dfactor,Z124,AF225)+2*_xll.VOLATILITE.EWMA($AF$137,dfactor,Z124,AF225)</f>
        <v>#VALUE!</v>
      </c>
      <c r="AI124" s="237" t="e">
        <f t="shared" si="5"/>
        <v>#VALUE!</v>
      </c>
      <c r="AJ124" s="252" t="e">
        <f>_xll.MOYENNE.EWMA($AI$137,dfactor,Z124,AI225)-2*_xll.VOLATILITE.EWMA($AI$137,dfactor,Z124,AI225)</f>
        <v>#VALUE!</v>
      </c>
      <c r="AK124" s="252" t="e">
        <f>_xll.MOYENNE.EWMA($AI$137,dfactor,Z124,AI225)+2*_xll.VOLATILITE.EWMA($AI$137,dfactor,Z124,AI225)</f>
        <v>#VALUE!</v>
      </c>
    </row>
    <row r="125" spans="26:37" x14ac:dyDescent="0.3">
      <c r="Z125" s="247" t="e">
        <f ca="1">_xll.JOURS.OUVRES.FINANCE($Z124,"USD",-1)</f>
        <v>#NAME?</v>
      </c>
      <c r="AA125" s="248">
        <v>3.3968366340868204</v>
      </c>
      <c r="AB125" s="248">
        <v>2.8023483596859364</v>
      </c>
      <c r="AC125" s="249">
        <f t="shared" si="7"/>
        <v>3.3968366340868204</v>
      </c>
      <c r="AD125" s="250" t="e">
        <f>_xll.MOYENNE.EWMA($AC$137,dfactor,Z125,AC226)-2*_xll.VOLATILITE.EWMA($AC$137,dfactor,Z125,AC226)</f>
        <v>#VALUE!</v>
      </c>
      <c r="AE125" s="250" t="e">
        <f>_xll.MOYENNE.EWMA($AC$137,dfactor,Z125,AC226)+2*_xll.VOLATILITE.EWMA($AC$137,dfactor,Z125,AC226)</f>
        <v>#VALUE!</v>
      </c>
      <c r="AF125" s="240" t="e">
        <f t="shared" si="6"/>
        <v>#VALUE!</v>
      </c>
      <c r="AG125" s="251" t="e">
        <f>_xll.MOYENNE.EWMA($AF$137,dfactor,Z125,AF226)-2*_xll.VOLATILITE.EWMA($AF$137,dfactor,Z125,AF226)</f>
        <v>#VALUE!</v>
      </c>
      <c r="AH125" s="251" t="e">
        <f>_xll.MOYENNE.EWMA($AF$137,dfactor,Z125,AF226)+2*_xll.VOLATILITE.EWMA($AF$137,dfactor,Z125,AF226)</f>
        <v>#VALUE!</v>
      </c>
      <c r="AI125" s="237" t="e">
        <f t="shared" si="5"/>
        <v>#VALUE!</v>
      </c>
      <c r="AJ125" s="252" t="e">
        <f>_xll.MOYENNE.EWMA($AI$137,dfactor,Z125,AI226)-2*_xll.VOLATILITE.EWMA($AI$137,dfactor,Z125,AI226)</f>
        <v>#VALUE!</v>
      </c>
      <c r="AK125" s="252" t="e">
        <f>_xll.MOYENNE.EWMA($AI$137,dfactor,Z125,AI226)+2*_xll.VOLATILITE.EWMA($AI$137,dfactor,Z125,AI226)</f>
        <v>#VALUE!</v>
      </c>
    </row>
    <row r="126" spans="26:37" x14ac:dyDescent="0.3">
      <c r="Z126" s="247" t="e">
        <f ca="1">_xll.JOURS.OUVRES.FINANCE($Z125,"USD",-1)</f>
        <v>#NAME?</v>
      </c>
      <c r="AA126" s="248">
        <v>2.5507919761741751</v>
      </c>
      <c r="AB126" s="248">
        <v>1.9707323600645792</v>
      </c>
      <c r="AC126" s="249">
        <f t="shared" si="7"/>
        <v>2.5507919761741751</v>
      </c>
      <c r="AD126" s="250" t="e">
        <f>_xll.MOYENNE.EWMA($AC$137,dfactor,Z126,AC227)-2*_xll.VOLATILITE.EWMA($AC$137,dfactor,Z126,AC227)</f>
        <v>#VALUE!</v>
      </c>
      <c r="AE126" s="250" t="e">
        <f>_xll.MOYENNE.EWMA($AC$137,dfactor,Z126,AC227)+2*_xll.VOLATILITE.EWMA($AC$137,dfactor,Z126,AC227)</f>
        <v>#VALUE!</v>
      </c>
      <c r="AF126" s="240" t="e">
        <f t="shared" si="6"/>
        <v>#VALUE!</v>
      </c>
      <c r="AG126" s="251" t="e">
        <f>_xll.MOYENNE.EWMA($AF$137,dfactor,Z126,AF227)-2*_xll.VOLATILITE.EWMA($AF$137,dfactor,Z126,AF227)</f>
        <v>#VALUE!</v>
      </c>
      <c r="AH126" s="251" t="e">
        <f>_xll.MOYENNE.EWMA($AF$137,dfactor,Z126,AF227)+2*_xll.VOLATILITE.EWMA($AF$137,dfactor,Z126,AF227)</f>
        <v>#VALUE!</v>
      </c>
      <c r="AI126" s="237" t="e">
        <f t="shared" si="5"/>
        <v>#VALUE!</v>
      </c>
      <c r="AJ126" s="252" t="e">
        <f>_xll.MOYENNE.EWMA($AI$137,dfactor,Z126,AI227)-2*_xll.VOLATILITE.EWMA($AI$137,dfactor,Z126,AI227)</f>
        <v>#VALUE!</v>
      </c>
      <c r="AK126" s="252" t="e">
        <f>_xll.MOYENNE.EWMA($AI$137,dfactor,Z126,AI227)+2*_xll.VOLATILITE.EWMA($AI$137,dfactor,Z126,AI227)</f>
        <v>#VALUE!</v>
      </c>
    </row>
    <row r="127" spans="26:37" x14ac:dyDescent="0.3">
      <c r="Z127" s="247" t="e">
        <f ca="1">_xll.JOURS.OUVRES.FINANCE($Z126,"USD",-1)</f>
        <v>#NAME?</v>
      </c>
      <c r="AA127" s="248">
        <v>3.6690790163830806</v>
      </c>
      <c r="AB127" s="248">
        <v>5.0963761933966252</v>
      </c>
      <c r="AC127" s="249">
        <f t="shared" si="7"/>
        <v>3.6690790163830806</v>
      </c>
      <c r="AD127" s="250" t="e">
        <f>_xll.MOYENNE.EWMA($AC$137,dfactor,Z127,AC228)-2*_xll.VOLATILITE.EWMA($AC$137,dfactor,Z127,AC228)</f>
        <v>#VALUE!</v>
      </c>
      <c r="AE127" s="250" t="e">
        <f>_xll.MOYENNE.EWMA($AC$137,dfactor,Z127,AC228)+2*_xll.VOLATILITE.EWMA($AC$137,dfactor,Z127,AC228)</f>
        <v>#VALUE!</v>
      </c>
      <c r="AF127" s="240" t="e">
        <f t="shared" si="6"/>
        <v>#VALUE!</v>
      </c>
      <c r="AG127" s="251" t="e">
        <f>_xll.MOYENNE.EWMA($AF$137,dfactor,Z127,AF228)-2*_xll.VOLATILITE.EWMA($AF$137,dfactor,Z127,AF228)</f>
        <v>#VALUE!</v>
      </c>
      <c r="AH127" s="251" t="e">
        <f>_xll.MOYENNE.EWMA($AF$137,dfactor,Z127,AF228)+2*_xll.VOLATILITE.EWMA($AF$137,dfactor,Z127,AF228)</f>
        <v>#VALUE!</v>
      </c>
      <c r="AI127" s="237" t="e">
        <f t="shared" si="5"/>
        <v>#VALUE!</v>
      </c>
      <c r="AJ127" s="252" t="e">
        <f>_xll.MOYENNE.EWMA($AI$137,dfactor,Z127,AI228)-2*_xll.VOLATILITE.EWMA($AI$137,dfactor,Z127,AI228)</f>
        <v>#VALUE!</v>
      </c>
      <c r="AK127" s="252" t="e">
        <f>_xll.MOYENNE.EWMA($AI$137,dfactor,Z127,AI228)+2*_xll.VOLATILITE.EWMA($AI$137,dfactor,Z127,AI228)</f>
        <v>#VALUE!</v>
      </c>
    </row>
    <row r="128" spans="26:37" x14ac:dyDescent="0.3">
      <c r="Z128" s="247" t="e">
        <f ca="1">_xll.JOURS.OUVRES.FINANCE($Z127,"USD",-1)</f>
        <v>#NAME?</v>
      </c>
      <c r="AA128" s="248">
        <v>2.1743373056841921</v>
      </c>
      <c r="AB128" s="248">
        <v>3.3002788472239315</v>
      </c>
      <c r="AC128" s="249">
        <f t="shared" si="7"/>
        <v>2.1743373056841921</v>
      </c>
      <c r="AD128" s="250" t="e">
        <f>_xll.MOYENNE.EWMA($AC$137,dfactor,Z128,AC229)-2*_xll.VOLATILITE.EWMA($AC$137,dfactor,Z128,AC229)</f>
        <v>#VALUE!</v>
      </c>
      <c r="AE128" s="250" t="e">
        <f>_xll.MOYENNE.EWMA($AC$137,dfactor,Z128,AC229)+2*_xll.VOLATILITE.EWMA($AC$137,dfactor,Z128,AC229)</f>
        <v>#VALUE!</v>
      </c>
      <c r="AF128" s="240" t="e">
        <f t="shared" si="6"/>
        <v>#VALUE!</v>
      </c>
      <c r="AG128" s="251" t="e">
        <f>_xll.MOYENNE.EWMA($AF$137,dfactor,Z128,AF229)-2*_xll.VOLATILITE.EWMA($AF$137,dfactor,Z128,AF229)</f>
        <v>#VALUE!</v>
      </c>
      <c r="AH128" s="251" t="e">
        <f>_xll.MOYENNE.EWMA($AF$137,dfactor,Z128,AF229)+2*_xll.VOLATILITE.EWMA($AF$137,dfactor,Z128,AF229)</f>
        <v>#VALUE!</v>
      </c>
      <c r="AI128" s="237" t="e">
        <f t="shared" si="5"/>
        <v>#VALUE!</v>
      </c>
      <c r="AJ128" s="252" t="e">
        <f>_xll.MOYENNE.EWMA($AI$137,dfactor,Z128,AI229)-2*_xll.VOLATILITE.EWMA($AI$137,dfactor,Z128,AI229)</f>
        <v>#VALUE!</v>
      </c>
      <c r="AK128" s="252" t="e">
        <f>_xll.MOYENNE.EWMA($AI$137,dfactor,Z128,AI229)+2*_xll.VOLATILITE.EWMA($AI$137,dfactor,Z128,AI229)</f>
        <v>#VALUE!</v>
      </c>
    </row>
    <row r="129" spans="26:37" x14ac:dyDescent="0.3">
      <c r="Z129" s="247" t="e">
        <f ca="1">_xll.JOURS.OUVRES.FINANCE($Z128,"USD",-1)</f>
        <v>#NAME?</v>
      </c>
      <c r="AA129" s="248">
        <v>3.7901142880511869</v>
      </c>
      <c r="AB129" s="248">
        <v>3.2996577477502234</v>
      </c>
      <c r="AC129" s="249">
        <f t="shared" si="7"/>
        <v>3.7901142880511869</v>
      </c>
      <c r="AD129" s="250" t="e">
        <f>_xll.MOYENNE.EWMA($AC$137,dfactor,Z129,AC230)-2*_xll.VOLATILITE.EWMA($AC$137,dfactor,Z129,AC230)</f>
        <v>#VALUE!</v>
      </c>
      <c r="AE129" s="250" t="e">
        <f>_xll.MOYENNE.EWMA($AC$137,dfactor,Z129,AC230)+2*_xll.VOLATILITE.EWMA($AC$137,dfactor,Z129,AC230)</f>
        <v>#VALUE!</v>
      </c>
      <c r="AF129" s="240" t="e">
        <f t="shared" si="6"/>
        <v>#VALUE!</v>
      </c>
      <c r="AG129" s="251" t="e">
        <f>_xll.MOYENNE.EWMA($AF$137,dfactor,Z129,AF230)-2*_xll.VOLATILITE.EWMA($AF$137,dfactor,Z129,AF230)</f>
        <v>#VALUE!</v>
      </c>
      <c r="AH129" s="251" t="e">
        <f>_xll.MOYENNE.EWMA($AF$137,dfactor,Z129,AF230)+2*_xll.VOLATILITE.EWMA($AF$137,dfactor,Z129,AF230)</f>
        <v>#VALUE!</v>
      </c>
      <c r="AI129" s="237" t="e">
        <f t="shared" si="5"/>
        <v>#VALUE!</v>
      </c>
      <c r="AJ129" s="252" t="e">
        <f>_xll.MOYENNE.EWMA($AI$137,dfactor,Z129,AI230)-2*_xll.VOLATILITE.EWMA($AI$137,dfactor,Z129,AI230)</f>
        <v>#VALUE!</v>
      </c>
      <c r="AK129" s="252" t="e">
        <f>_xll.MOYENNE.EWMA($AI$137,dfactor,Z129,AI230)+2*_xll.VOLATILITE.EWMA($AI$137,dfactor,Z129,AI230)</f>
        <v>#VALUE!</v>
      </c>
    </row>
    <row r="130" spans="26:37" x14ac:dyDescent="0.3">
      <c r="Z130" s="247" t="e">
        <f ca="1">_xll.JOURS.OUVRES.FINANCE($Z129,"USD",-1)</f>
        <v>#NAME?</v>
      </c>
      <c r="AA130" s="248">
        <v>3.6969475433503605</v>
      </c>
      <c r="AB130" s="248">
        <v>3.313746929457186</v>
      </c>
      <c r="AC130" s="249">
        <f t="shared" si="7"/>
        <v>3.6969475433503605</v>
      </c>
      <c r="AD130" s="250" t="e">
        <f>_xll.MOYENNE.EWMA($AC$137,dfactor,Z130,AC231)-2*_xll.VOLATILITE.EWMA($AC$137,dfactor,Z130,AC231)</f>
        <v>#VALUE!</v>
      </c>
      <c r="AE130" s="250" t="e">
        <f>_xll.MOYENNE.EWMA($AC$137,dfactor,Z130,AC231)+2*_xll.VOLATILITE.EWMA($AC$137,dfactor,Z130,AC231)</f>
        <v>#VALUE!</v>
      </c>
      <c r="AF130" s="240" t="e">
        <f t="shared" si="6"/>
        <v>#VALUE!</v>
      </c>
      <c r="AG130" s="251" t="e">
        <f>_xll.MOYENNE.EWMA($AF$137,dfactor,Z130,AF231)-2*_xll.VOLATILITE.EWMA($AF$137,dfactor,Z130,AF231)</f>
        <v>#VALUE!</v>
      </c>
      <c r="AH130" s="251" t="e">
        <f>_xll.MOYENNE.EWMA($AF$137,dfactor,Z130,AF231)+2*_xll.VOLATILITE.EWMA($AF$137,dfactor,Z130,AF231)</f>
        <v>#VALUE!</v>
      </c>
      <c r="AI130" s="237" t="e">
        <f t="shared" si="5"/>
        <v>#VALUE!</v>
      </c>
      <c r="AJ130" s="252" t="e">
        <f>_xll.MOYENNE.EWMA($AI$137,dfactor,Z130,AI231)-2*_xll.VOLATILITE.EWMA($AI$137,dfactor,Z130,AI231)</f>
        <v>#VALUE!</v>
      </c>
      <c r="AK130" s="252" t="e">
        <f>_xll.MOYENNE.EWMA($AI$137,dfactor,Z130,AI231)+2*_xll.VOLATILITE.EWMA($AI$137,dfactor,Z130,AI231)</f>
        <v>#VALUE!</v>
      </c>
    </row>
    <row r="131" spans="26:37" x14ac:dyDescent="0.3">
      <c r="Z131" s="247" t="e">
        <f ca="1">_xll.JOURS.OUVRES.FINANCE($Z130,"USD",-1)</f>
        <v>#NAME?</v>
      </c>
      <c r="AA131" s="248">
        <v>2.7523774334416027</v>
      </c>
      <c r="AB131" s="248">
        <v>2.4675194041717385</v>
      </c>
      <c r="AC131" s="249">
        <f t="shared" si="7"/>
        <v>2.7523774334416027</v>
      </c>
      <c r="AD131" s="250" t="e">
        <f>_xll.MOYENNE.EWMA($AC$137,dfactor,Z131,AC232)-2*_xll.VOLATILITE.EWMA($AC$137,dfactor,Z131,AC232)</f>
        <v>#VALUE!</v>
      </c>
      <c r="AE131" s="250" t="e">
        <f>_xll.MOYENNE.EWMA($AC$137,dfactor,Z131,AC232)+2*_xll.VOLATILITE.EWMA($AC$137,dfactor,Z131,AC232)</f>
        <v>#VALUE!</v>
      </c>
      <c r="AF131" s="240" t="e">
        <f t="shared" si="6"/>
        <v>#VALUE!</v>
      </c>
      <c r="AG131" s="251" t="e">
        <f>_xll.MOYENNE.EWMA($AF$137,dfactor,Z131,AF232)-2*_xll.VOLATILITE.EWMA($AF$137,dfactor,Z131,AF232)</f>
        <v>#VALUE!</v>
      </c>
      <c r="AH131" s="251" t="e">
        <f>_xll.MOYENNE.EWMA($AF$137,dfactor,Z131,AF232)+2*_xll.VOLATILITE.EWMA($AF$137,dfactor,Z131,AF232)</f>
        <v>#VALUE!</v>
      </c>
      <c r="AI131" s="237" t="e">
        <f t="shared" si="5"/>
        <v>#VALUE!</v>
      </c>
      <c r="AJ131" s="252" t="e">
        <f>_xll.MOYENNE.EWMA($AI$137,dfactor,Z131,AI232)-2*_xll.VOLATILITE.EWMA($AI$137,dfactor,Z131,AI232)</f>
        <v>#VALUE!</v>
      </c>
      <c r="AK131" s="252" t="e">
        <f>_xll.MOYENNE.EWMA($AI$137,dfactor,Z131,AI232)+2*_xll.VOLATILITE.EWMA($AI$137,dfactor,Z131,AI232)</f>
        <v>#VALUE!</v>
      </c>
    </row>
    <row r="132" spans="26:37" x14ac:dyDescent="0.3">
      <c r="Z132" s="247" t="e">
        <f ca="1">_xll.JOURS.OUVRES.FINANCE($Z131,"USD",-1)</f>
        <v>#NAME?</v>
      </c>
      <c r="AA132" s="248">
        <v>2.3864554785522265</v>
      </c>
      <c r="AB132" s="248">
        <v>2.8121159117586885</v>
      </c>
      <c r="AC132" s="249">
        <f t="shared" si="7"/>
        <v>2.3864554785522265</v>
      </c>
      <c r="AD132" s="250" t="e">
        <f>_xll.MOYENNE.EWMA($AC$137,dfactor,Z132,AC233)-2*_xll.VOLATILITE.EWMA($AC$137,dfactor,Z132,AC233)</f>
        <v>#VALUE!</v>
      </c>
      <c r="AE132" s="250" t="e">
        <f>_xll.MOYENNE.EWMA($AC$137,dfactor,Z132,AC233)+2*_xll.VOLATILITE.EWMA($AC$137,dfactor,Z132,AC233)</f>
        <v>#VALUE!</v>
      </c>
      <c r="AF132" s="240" t="e">
        <f t="shared" si="6"/>
        <v>#VALUE!</v>
      </c>
      <c r="AG132" s="251" t="e">
        <f>_xll.MOYENNE.EWMA($AF$137,dfactor,Z132,AF233)-2*_xll.VOLATILITE.EWMA($AF$137,dfactor,Z132,AF233)</f>
        <v>#VALUE!</v>
      </c>
      <c r="AH132" s="251" t="e">
        <f>_xll.MOYENNE.EWMA($AF$137,dfactor,Z132,AF233)+2*_xll.VOLATILITE.EWMA($AF$137,dfactor,Z132,AF233)</f>
        <v>#VALUE!</v>
      </c>
      <c r="AI132" s="237" t="e">
        <f t="shared" si="5"/>
        <v>#VALUE!</v>
      </c>
      <c r="AJ132" s="252" t="e">
        <f>_xll.MOYENNE.EWMA($AI$137,dfactor,Z132,AI233)-2*_xll.VOLATILITE.EWMA($AI$137,dfactor,Z132,AI233)</f>
        <v>#VALUE!</v>
      </c>
      <c r="AK132" s="252" t="e">
        <f>_xll.MOYENNE.EWMA($AI$137,dfactor,Z132,AI233)+2*_xll.VOLATILITE.EWMA($AI$137,dfactor,Z132,AI233)</f>
        <v>#VALUE!</v>
      </c>
    </row>
    <row r="133" spans="26:37" x14ac:dyDescent="0.3">
      <c r="Z133" s="247" t="e">
        <f ca="1">_xll.JOURS.OUVRES.FINANCE($Z132,"USD",-1)</f>
        <v>#NAME?</v>
      </c>
      <c r="AA133" s="248">
        <v>2.0429261418444522</v>
      </c>
      <c r="AB133" s="248">
        <v>2.6797330715064338</v>
      </c>
      <c r="AC133" s="249">
        <f t="shared" si="7"/>
        <v>2.0429261418444522</v>
      </c>
      <c r="AD133" s="250" t="e">
        <f>_xll.MOYENNE.EWMA($AC$137,dfactor,Z133,AC234)-2*_xll.VOLATILITE.EWMA($AC$137,dfactor,Z133,AC234)</f>
        <v>#VALUE!</v>
      </c>
      <c r="AE133" s="250" t="e">
        <f>_xll.MOYENNE.EWMA($AC$137,dfactor,Z133,AC234)+2*_xll.VOLATILITE.EWMA($AC$137,dfactor,Z133,AC234)</f>
        <v>#VALUE!</v>
      </c>
      <c r="AF133" s="240" t="e">
        <f t="shared" si="6"/>
        <v>#VALUE!</v>
      </c>
      <c r="AG133" s="251" t="e">
        <f>_xll.MOYENNE.EWMA($AF$137,dfactor,Z133,AF234)-2*_xll.VOLATILITE.EWMA($AF$137,dfactor,Z133,AF234)</f>
        <v>#VALUE!</v>
      </c>
      <c r="AH133" s="251" t="e">
        <f>_xll.MOYENNE.EWMA($AF$137,dfactor,Z133,AF234)+2*_xll.VOLATILITE.EWMA($AF$137,dfactor,Z133,AF234)</f>
        <v>#VALUE!</v>
      </c>
      <c r="AI133" s="237" t="e">
        <f t="shared" si="5"/>
        <v>#VALUE!</v>
      </c>
      <c r="AJ133" s="252" t="e">
        <f>_xll.MOYENNE.EWMA($AI$137,dfactor,Z133,AI234)-2*_xll.VOLATILITE.EWMA($AI$137,dfactor,Z133,AI234)</f>
        <v>#VALUE!</v>
      </c>
      <c r="AK133" s="252" t="e">
        <f>_xll.MOYENNE.EWMA($AI$137,dfactor,Z133,AI234)+2*_xll.VOLATILITE.EWMA($AI$137,dfactor,Z133,AI234)</f>
        <v>#VALUE!</v>
      </c>
    </row>
    <row r="134" spans="26:37" x14ac:dyDescent="0.3">
      <c r="Z134" s="247" t="e">
        <f ca="1">_xll.JOURS.OUVRES.FINANCE($Z133,"USD",-1)</f>
        <v>#NAME?</v>
      </c>
      <c r="AA134" s="248">
        <v>-0.26753933839284855</v>
      </c>
      <c r="AB134" s="248">
        <v>1.1504381519999569</v>
      </c>
      <c r="AC134" s="249">
        <f t="shared" si="7"/>
        <v>-0.26753933839284855</v>
      </c>
      <c r="AD134" s="250" t="e">
        <f>_xll.MOYENNE.EWMA($AC$137,dfactor,Z134,AC235)-2*_xll.VOLATILITE.EWMA($AC$137,dfactor,Z134,AC235)</f>
        <v>#VALUE!</v>
      </c>
      <c r="AE134" s="250" t="e">
        <f>_xll.MOYENNE.EWMA($AC$137,dfactor,Z134,AC235)+2*_xll.VOLATILITE.EWMA($AC$137,dfactor,Z134,AC235)</f>
        <v>#VALUE!</v>
      </c>
      <c r="AF134" s="240" t="e">
        <f t="shared" si="6"/>
        <v>#VALUE!</v>
      </c>
      <c r="AG134" s="251" t="e">
        <f>_xll.MOYENNE.EWMA($AF$137,dfactor,Z134,AF235)-2*_xll.VOLATILITE.EWMA($AF$137,dfactor,Z134,AF235)</f>
        <v>#VALUE!</v>
      </c>
      <c r="AH134" s="251" t="e">
        <f>_xll.MOYENNE.EWMA($AF$137,dfactor,Z134,AF235)+2*_xll.VOLATILITE.EWMA($AF$137,dfactor,Z134,AF235)</f>
        <v>#VALUE!</v>
      </c>
      <c r="AI134" s="237" t="e">
        <f t="shared" si="5"/>
        <v>#VALUE!</v>
      </c>
      <c r="AJ134" s="252" t="e">
        <f>_xll.MOYENNE.EWMA($AI$137,dfactor,Z134,AI235)-2*_xll.VOLATILITE.EWMA($AI$137,dfactor,Z134,AI235)</f>
        <v>#VALUE!</v>
      </c>
      <c r="AK134" s="252" t="e">
        <f>_xll.MOYENNE.EWMA($AI$137,dfactor,Z134,AI235)+2*_xll.VOLATILITE.EWMA($AI$137,dfactor,Z134,AI235)</f>
        <v>#VALUE!</v>
      </c>
    </row>
    <row r="135" spans="26:37" x14ac:dyDescent="0.3">
      <c r="Z135" s="247" t="e">
        <f ca="1">_xll.JOURS.OUVRES.FINANCE($Z134,"USD",-1)</f>
        <v>#NAME?</v>
      </c>
      <c r="AA135" s="248">
        <v>0.11443487924758949</v>
      </c>
      <c r="AB135" s="248">
        <v>1.8481104001394282</v>
      </c>
      <c r="AC135" s="249">
        <f t="shared" si="7"/>
        <v>0.11443487924758949</v>
      </c>
      <c r="AD135" s="250" t="e">
        <f>_xll.MOYENNE.EWMA($AC$137,dfactor,Z135,AC236)-2*_xll.VOLATILITE.EWMA($AC$137,dfactor,Z135,AC236)</f>
        <v>#VALUE!</v>
      </c>
      <c r="AE135" s="250" t="e">
        <f>_xll.MOYENNE.EWMA($AC$137,dfactor,Z135,AC236)+2*_xll.VOLATILITE.EWMA($AC$137,dfactor,Z135,AC236)</f>
        <v>#VALUE!</v>
      </c>
      <c r="AF135" s="240" t="e">
        <f t="shared" si="6"/>
        <v>#VALUE!</v>
      </c>
      <c r="AG135" s="251" t="e">
        <f>_xll.MOYENNE.EWMA($AF$137,dfactor,Z135,AF236)-2*_xll.VOLATILITE.EWMA($AF$137,dfactor,Z135,AF236)</f>
        <v>#VALUE!</v>
      </c>
      <c r="AH135" s="251" t="e">
        <f>_xll.MOYENNE.EWMA($AF$137,dfactor,Z135,AF236)+2*_xll.VOLATILITE.EWMA($AF$137,dfactor,Z135,AF236)</f>
        <v>#VALUE!</v>
      </c>
      <c r="AI135" s="237" t="e">
        <f t="shared" si="5"/>
        <v>#VALUE!</v>
      </c>
      <c r="AJ135" s="252" t="e">
        <f>_xll.MOYENNE.EWMA($AI$137,dfactor,Z135,AI236)-2*_xll.VOLATILITE.EWMA($AI$137,dfactor,Z135,AI236)</f>
        <v>#VALUE!</v>
      </c>
      <c r="AK135" s="252" t="e">
        <f>_xll.MOYENNE.EWMA($AI$137,dfactor,Z135,AI236)+2*_xll.VOLATILITE.EWMA($AI$137,dfactor,Z135,AI236)</f>
        <v>#VALUE!</v>
      </c>
    </row>
    <row r="136" spans="26:37" x14ac:dyDescent="0.3">
      <c r="Z136" s="274"/>
      <c r="AA136" s="274"/>
      <c r="AB136" s="274"/>
      <c r="AC136" s="274"/>
      <c r="AD136" s="274"/>
      <c r="AE136" s="274"/>
      <c r="AF136" s="274"/>
      <c r="AG136" s="274"/>
      <c r="AH136" s="274"/>
      <c r="AI136" s="274"/>
      <c r="AJ136" s="274"/>
      <c r="AK136" s="274"/>
    </row>
    <row r="137" spans="26:37" x14ac:dyDescent="0.3">
      <c r="Z137" s="274" t="s">
        <v>802</v>
      </c>
      <c r="AA137" s="274"/>
      <c r="AB137" s="274"/>
      <c r="AC137" s="274" t="s">
        <v>803</v>
      </c>
      <c r="AD137" s="274"/>
      <c r="AE137" s="274" t="s">
        <v>802</v>
      </c>
      <c r="AF137" s="274" t="s">
        <v>804</v>
      </c>
      <c r="AG137" s="274"/>
      <c r="AH137" s="274" t="s">
        <v>802</v>
      </c>
      <c r="AI137" s="274" t="s">
        <v>805</v>
      </c>
      <c r="AJ137" s="274"/>
      <c r="AK137" s="274"/>
    </row>
    <row r="138" spans="26:37" x14ac:dyDescent="0.3">
      <c r="Z138" s="274" t="s">
        <v>806</v>
      </c>
      <c r="AA138" s="274"/>
      <c r="AB138" s="274"/>
      <c r="AC138" s="274" t="e">
        <f ca="1">_xll.INSTANCE.SERIE.TEMPORELLE(AC137,$Z$37:$Z$135,AC37:AC135,AC37:AC135)</f>
        <v>#NAME?</v>
      </c>
      <c r="AD138" s="274"/>
      <c r="AE138" s="274" t="s">
        <v>806</v>
      </c>
      <c r="AF138" s="274" t="e">
        <f ca="1">_xll.INSTANCE.SERIE.TEMPORELLE(AF137,$Z$37:$Z$135,AF37:AF135,AF37:AF135)</f>
        <v>#NAME?</v>
      </c>
      <c r="AG138" s="274"/>
      <c r="AH138" s="274" t="s">
        <v>806</v>
      </c>
      <c r="AI138" s="274" t="e">
        <f ca="1">_xll.INSTANCE.SERIE.TEMPORELLE(AI137,$Z$37:$Z$135,AI37:AI135,AI37:AI135)</f>
        <v>#NAME?</v>
      </c>
      <c r="AJ138" s="274"/>
      <c r="AK138" s="274"/>
    </row>
  </sheetData>
  <mergeCells count="8">
    <mergeCell ref="B35:E36"/>
    <mergeCell ref="I35:L36"/>
    <mergeCell ref="B2:E4"/>
    <mergeCell ref="I2:L4"/>
    <mergeCell ref="N2:Q4"/>
    <mergeCell ref="N16:Q17"/>
    <mergeCell ref="B25:L26"/>
    <mergeCell ref="N29:Q30"/>
  </mergeCells>
  <conditionalFormatting sqref="P36">
    <cfRule type="cellIs" dxfId="8" priority="8" operator="greaterThan">
      <formula>$P$32</formula>
    </cfRule>
    <cfRule type="cellIs" dxfId="7" priority="9" operator="lessThan">
      <formula>$P$32</formula>
    </cfRule>
  </conditionalFormatting>
  <conditionalFormatting sqref="P42">
    <cfRule type="cellIs" dxfId="6" priority="6" operator="greaterThan">
      <formula>0</formula>
    </cfRule>
    <cfRule type="cellIs" dxfId="5" priority="7" operator="lessThan">
      <formula>0</formula>
    </cfRule>
  </conditionalFormatting>
  <conditionalFormatting sqref="P43">
    <cfRule type="cellIs" dxfId="4" priority="3" operator="equal">
      <formula>"-"</formula>
    </cfRule>
    <cfRule type="cellIs" dxfId="3" priority="4" operator="greaterThan">
      <formula>0</formula>
    </cfRule>
    <cfRule type="cellIs" dxfId="2" priority="5" operator="lessThan">
      <formula>0</formula>
    </cfRule>
  </conditionalFormatting>
  <conditionalFormatting sqref="E32 K32">
    <cfRule type="cellIs" dxfId="1" priority="1" operator="greaterThanOrEqual">
      <formula>$P$36</formula>
    </cfRule>
    <cfRule type="cellIs" dxfId="0" priority="2" operator="lessThan">
      <formula>$P$36</formula>
    </cfRule>
  </conditionalFormatting>
  <pageMargins left="0.25" right="0.25" top="0.75" bottom="0.75" header="0.3" footer="0.3"/>
  <pageSetup paperSize="9" scale="8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hangeSwitchButton">
          <controlPr defaultSize="0" autoLine="0" r:id="rId5">
            <anchor moveWithCells="1">
              <from>
                <xdr:col>8</xdr:col>
                <xdr:colOff>114898</xdr:colOff>
                <xdr:row>19</xdr:row>
                <xdr:rowOff>114898</xdr:rowOff>
              </from>
              <to>
                <xdr:col>9</xdr:col>
                <xdr:colOff>177135</xdr:colOff>
                <xdr:row>21</xdr:row>
                <xdr:rowOff>134048</xdr:rowOff>
              </to>
            </anchor>
          </controlPr>
        </control>
      </mc:Choice>
      <mc:Fallback>
        <control shapeId="43009" r:id="rId4" name="changeSwitch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rrentTreasuries">
    <tabColor theme="6"/>
  </sheetPr>
  <dimension ref="A1:Q271"/>
  <sheetViews>
    <sheetView workbookViewId="0">
      <selection activeCell="L49" sqref="L49"/>
    </sheetView>
  </sheetViews>
  <sheetFormatPr baseColWidth="10" defaultColWidth="11.3984375" defaultRowHeight="10.199999999999999" x14ac:dyDescent="0.3"/>
  <cols>
    <col min="1" max="1" width="10.59765625" style="1" customWidth="1"/>
    <col min="2" max="2" width="18.265625" style="1" customWidth="1"/>
    <col min="3" max="3" width="15.265625" style="1" customWidth="1"/>
    <col min="4" max="4" width="16.59765625" style="1" customWidth="1"/>
    <col min="5" max="9" width="11" style="1" customWidth="1"/>
    <col min="10" max="16384" width="11.3984375" style="1"/>
  </cols>
  <sheetData>
    <row r="1" spans="1:17" x14ac:dyDescent="0.3">
      <c r="A1" s="12"/>
      <c r="E1" s="8" t="s">
        <v>22</v>
      </c>
      <c r="F1" s="8">
        <v>41089</v>
      </c>
      <c r="G1" s="8">
        <v>41092</v>
      </c>
      <c r="H1" s="8">
        <v>41095</v>
      </c>
      <c r="I1" s="8">
        <v>41096</v>
      </c>
      <c r="J1" s="8">
        <v>41099</v>
      </c>
      <c r="K1" s="8">
        <v>41102</v>
      </c>
      <c r="L1" s="8">
        <v>41106</v>
      </c>
      <c r="M1" s="8"/>
      <c r="N1" s="8"/>
      <c r="O1" s="8"/>
      <c r="P1" s="8"/>
      <c r="Q1" s="8"/>
    </row>
    <row r="2" spans="1:17" x14ac:dyDescent="0.3">
      <c r="A2" s="1" t="s">
        <v>24</v>
      </c>
      <c r="B2" s="1" t="s">
        <v>33</v>
      </c>
      <c r="C2" s="9" t="s">
        <v>913</v>
      </c>
      <c r="D2" s="9" t="s">
        <v>914</v>
      </c>
      <c r="E2" s="9">
        <v>0</v>
      </c>
      <c r="F2" s="9">
        <v>0</v>
      </c>
      <c r="G2" s="9">
        <v>414000</v>
      </c>
      <c r="H2" s="9">
        <v>414000</v>
      </c>
      <c r="I2" s="9">
        <v>414000</v>
      </c>
      <c r="J2" s="9">
        <v>414000</v>
      </c>
      <c r="K2" s="9">
        <v>414000</v>
      </c>
      <c r="L2" s="9">
        <v>414000</v>
      </c>
      <c r="M2" s="9"/>
      <c r="N2" s="9"/>
      <c r="O2" s="9"/>
      <c r="P2" s="9"/>
      <c r="Q2" s="9"/>
    </row>
    <row r="3" spans="1:17" x14ac:dyDescent="0.3">
      <c r="A3" s="1" t="s">
        <v>24</v>
      </c>
      <c r="B3" s="9" t="s">
        <v>33</v>
      </c>
      <c r="C3" s="9" t="s">
        <v>930</v>
      </c>
      <c r="D3" s="9" t="s">
        <v>931</v>
      </c>
      <c r="E3" s="9">
        <v>400000</v>
      </c>
      <c r="F3" s="9">
        <v>400000</v>
      </c>
      <c r="G3" s="9">
        <v>400000</v>
      </c>
      <c r="H3" s="9">
        <v>400000</v>
      </c>
      <c r="I3" s="9">
        <v>400000</v>
      </c>
      <c r="J3" s="9">
        <v>400000</v>
      </c>
      <c r="K3" s="9">
        <v>400000</v>
      </c>
      <c r="L3" s="9">
        <v>400000</v>
      </c>
      <c r="M3" s="9"/>
      <c r="N3" s="9"/>
      <c r="O3" s="9"/>
      <c r="P3" s="9"/>
      <c r="Q3" s="9"/>
    </row>
    <row r="4" spans="1:17" x14ac:dyDescent="0.3">
      <c r="A4" s="1" t="s">
        <v>24</v>
      </c>
      <c r="B4" s="9" t="s">
        <v>33</v>
      </c>
      <c r="C4" s="9" t="s">
        <v>645</v>
      </c>
      <c r="D4" s="9" t="s">
        <v>427</v>
      </c>
      <c r="E4" s="9">
        <v>0</v>
      </c>
      <c r="F4" s="9">
        <v>0</v>
      </c>
      <c r="G4" s="9">
        <v>500000</v>
      </c>
      <c r="H4" s="9">
        <v>500000</v>
      </c>
      <c r="I4" s="9">
        <v>500000</v>
      </c>
      <c r="J4" s="9">
        <v>1000000</v>
      </c>
      <c r="K4" s="9">
        <v>1000000</v>
      </c>
      <c r="L4" s="9">
        <v>1000000</v>
      </c>
      <c r="M4" s="9"/>
      <c r="N4" s="9"/>
      <c r="O4" s="9"/>
      <c r="P4" s="9"/>
      <c r="Q4" s="9"/>
    </row>
    <row r="5" spans="1:17" x14ac:dyDescent="0.3">
      <c r="A5" s="1" t="s">
        <v>24</v>
      </c>
      <c r="B5" s="1" t="s">
        <v>33</v>
      </c>
      <c r="C5" s="9" t="s">
        <v>47</v>
      </c>
      <c r="D5" s="9" t="s">
        <v>48</v>
      </c>
      <c r="E5" s="9">
        <v>252000</v>
      </c>
      <c r="F5" s="9">
        <v>252000</v>
      </c>
      <c r="G5" s="9">
        <v>252000</v>
      </c>
      <c r="H5" s="9">
        <v>252000</v>
      </c>
      <c r="I5" s="9">
        <v>252000</v>
      </c>
      <c r="J5" s="9">
        <v>252000</v>
      </c>
      <c r="K5" s="9">
        <v>252000</v>
      </c>
      <c r="L5" s="9">
        <v>252000</v>
      </c>
      <c r="M5" s="9"/>
      <c r="N5" s="9"/>
      <c r="O5" s="9"/>
      <c r="P5" s="9"/>
    </row>
    <row r="6" spans="1:17" x14ac:dyDescent="0.3">
      <c r="A6" s="1" t="s">
        <v>24</v>
      </c>
      <c r="B6" s="1" t="s">
        <v>33</v>
      </c>
      <c r="C6" s="9" t="s">
        <v>745</v>
      </c>
      <c r="D6" s="9" t="s">
        <v>746</v>
      </c>
      <c r="E6" s="9">
        <v>267000</v>
      </c>
      <c r="F6" s="9">
        <v>267000</v>
      </c>
      <c r="G6" s="9">
        <v>267000</v>
      </c>
      <c r="H6" s="9">
        <v>267000</v>
      </c>
      <c r="I6" s="9">
        <v>267000</v>
      </c>
      <c r="J6" s="9">
        <v>267000</v>
      </c>
      <c r="K6" s="9">
        <v>267000</v>
      </c>
      <c r="L6" s="9">
        <v>478000</v>
      </c>
      <c r="M6" s="9"/>
      <c r="N6" s="9"/>
      <c r="O6" s="9"/>
      <c r="P6" s="9"/>
      <c r="Q6" s="9"/>
    </row>
    <row r="7" spans="1:17" x14ac:dyDescent="0.3">
      <c r="A7" s="1" t="s">
        <v>24</v>
      </c>
      <c r="B7" s="1" t="s">
        <v>33</v>
      </c>
      <c r="C7" s="1" t="s">
        <v>917</v>
      </c>
      <c r="D7" s="35" t="s">
        <v>910</v>
      </c>
      <c r="E7" s="9">
        <v>210000</v>
      </c>
      <c r="F7" s="9">
        <v>0</v>
      </c>
      <c r="G7" s="9">
        <v>0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/>
      <c r="N7" s="9"/>
      <c r="O7" s="9"/>
      <c r="P7" s="9"/>
      <c r="Q7" s="9"/>
    </row>
    <row r="8" spans="1:17" x14ac:dyDescent="0.3">
      <c r="A8" s="1" t="s">
        <v>24</v>
      </c>
      <c r="B8" s="9" t="s">
        <v>33</v>
      </c>
      <c r="C8" s="9" t="s">
        <v>187</v>
      </c>
      <c r="D8" s="9" t="s">
        <v>188</v>
      </c>
      <c r="E8" s="9">
        <v>456000</v>
      </c>
      <c r="F8" s="9">
        <v>456000</v>
      </c>
      <c r="G8" s="9">
        <v>456000</v>
      </c>
      <c r="H8" s="9">
        <v>456000</v>
      </c>
      <c r="I8" s="9">
        <v>456000</v>
      </c>
      <c r="J8" s="9">
        <v>456000</v>
      </c>
      <c r="K8" s="9">
        <v>456000</v>
      </c>
      <c r="L8" s="9">
        <v>456000</v>
      </c>
      <c r="M8" s="9"/>
      <c r="N8" s="9"/>
      <c r="O8" s="9"/>
      <c r="P8" s="9"/>
      <c r="Q8" s="9"/>
    </row>
    <row r="9" spans="1:17" x14ac:dyDescent="0.3">
      <c r="A9" s="1" t="s">
        <v>24</v>
      </c>
      <c r="B9" s="1" t="s">
        <v>33</v>
      </c>
      <c r="C9" s="9" t="s">
        <v>38</v>
      </c>
      <c r="D9" s="9" t="s">
        <v>39</v>
      </c>
      <c r="E9" s="9">
        <v>0</v>
      </c>
      <c r="F9" s="9">
        <v>0</v>
      </c>
      <c r="G9" s="9">
        <v>0</v>
      </c>
      <c r="H9" s="9">
        <v>0</v>
      </c>
      <c r="I9" s="9">
        <v>0</v>
      </c>
      <c r="J9" s="9">
        <v>0</v>
      </c>
      <c r="K9" s="9">
        <v>0</v>
      </c>
      <c r="L9" s="9">
        <v>0</v>
      </c>
      <c r="M9" s="9"/>
      <c r="N9" s="9"/>
      <c r="O9" s="9"/>
      <c r="P9" s="9"/>
      <c r="Q9" s="9"/>
    </row>
    <row r="10" spans="1:17" x14ac:dyDescent="0.3">
      <c r="A10" s="1" t="s">
        <v>24</v>
      </c>
      <c r="B10" s="1" t="s">
        <v>33</v>
      </c>
      <c r="C10" s="9" t="s">
        <v>953</v>
      </c>
      <c r="D10" s="9" t="s">
        <v>954</v>
      </c>
      <c r="E10" s="9">
        <v>0</v>
      </c>
      <c r="F10" s="9">
        <v>194000</v>
      </c>
      <c r="G10" s="9">
        <v>194000</v>
      </c>
      <c r="H10" s="9">
        <v>194000</v>
      </c>
      <c r="I10" s="9">
        <v>194000</v>
      </c>
      <c r="J10" s="9">
        <v>194000</v>
      </c>
      <c r="K10" s="9">
        <v>194000</v>
      </c>
      <c r="L10" s="9">
        <v>194000</v>
      </c>
      <c r="M10" s="9"/>
      <c r="N10" s="9"/>
      <c r="O10" s="9"/>
      <c r="P10" s="9"/>
    </row>
    <row r="11" spans="1:17" x14ac:dyDescent="0.3">
      <c r="A11" s="1" t="s">
        <v>24</v>
      </c>
      <c r="B11" s="9" t="s">
        <v>33</v>
      </c>
      <c r="C11" s="9" t="s">
        <v>70</v>
      </c>
      <c r="D11" s="9" t="s">
        <v>71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470000</v>
      </c>
      <c r="M11" s="9"/>
      <c r="N11" s="9"/>
      <c r="O11" s="9"/>
      <c r="P11" s="9"/>
      <c r="Q11" s="9"/>
    </row>
    <row r="12" spans="1:17" x14ac:dyDescent="0.3">
      <c r="A12" s="1" t="s">
        <v>24</v>
      </c>
      <c r="B12" s="9" t="s">
        <v>33</v>
      </c>
      <c r="C12" s="9" t="s">
        <v>49</v>
      </c>
      <c r="D12" s="9" t="s">
        <v>50</v>
      </c>
      <c r="E12" s="9">
        <v>505000</v>
      </c>
      <c r="F12" s="9">
        <v>505000</v>
      </c>
      <c r="G12" s="9">
        <v>505000</v>
      </c>
      <c r="H12" s="9">
        <v>505000</v>
      </c>
      <c r="I12" s="9">
        <v>505000</v>
      </c>
      <c r="J12" s="9">
        <v>1505000</v>
      </c>
      <c r="K12" s="9">
        <v>1505000</v>
      </c>
      <c r="L12" s="9">
        <v>1505000</v>
      </c>
      <c r="M12" s="9"/>
      <c r="N12" s="9"/>
      <c r="O12" s="9"/>
      <c r="P12" s="9"/>
    </row>
    <row r="13" spans="1:17" x14ac:dyDescent="0.3">
      <c r="A13" s="1" t="s">
        <v>24</v>
      </c>
      <c r="B13" s="1" t="s">
        <v>33</v>
      </c>
      <c r="C13" s="8" t="s">
        <v>193</v>
      </c>
      <c r="D13" s="8" t="s">
        <v>194</v>
      </c>
      <c r="E13" s="9">
        <v>183000</v>
      </c>
      <c r="F13" s="9">
        <v>183000</v>
      </c>
      <c r="G13" s="9">
        <v>183000</v>
      </c>
      <c r="H13" s="9">
        <v>183000</v>
      </c>
      <c r="I13" s="9">
        <v>183000</v>
      </c>
      <c r="J13" s="9">
        <v>433000</v>
      </c>
      <c r="K13" s="9">
        <v>433000</v>
      </c>
      <c r="L13" s="9">
        <v>433000</v>
      </c>
      <c r="M13" s="9"/>
      <c r="N13" s="9"/>
      <c r="O13" s="9"/>
      <c r="P13" s="9"/>
    </row>
    <row r="14" spans="1:17" x14ac:dyDescent="0.3">
      <c r="A14" s="1" t="s">
        <v>24</v>
      </c>
      <c r="B14" s="9" t="s">
        <v>33</v>
      </c>
      <c r="C14" s="9" t="s">
        <v>51</v>
      </c>
      <c r="D14" s="9" t="s">
        <v>52</v>
      </c>
      <c r="E14" s="9">
        <v>0</v>
      </c>
      <c r="F14" s="9">
        <v>0</v>
      </c>
      <c r="G14" s="9">
        <v>0</v>
      </c>
      <c r="H14" s="9">
        <v>0</v>
      </c>
      <c r="I14" s="9">
        <v>685000</v>
      </c>
      <c r="J14" s="9">
        <v>685000</v>
      </c>
      <c r="K14" s="9">
        <v>685000</v>
      </c>
      <c r="L14" s="9">
        <v>685000</v>
      </c>
      <c r="M14" s="9"/>
      <c r="N14" s="9"/>
      <c r="O14" s="9"/>
      <c r="P14" s="9"/>
      <c r="Q14" s="9"/>
    </row>
    <row r="15" spans="1:17" x14ac:dyDescent="0.3">
      <c r="A15" s="1" t="s">
        <v>24</v>
      </c>
      <c r="B15" s="9" t="s">
        <v>33</v>
      </c>
      <c r="C15" s="9" t="s">
        <v>53</v>
      </c>
      <c r="D15" s="9" t="s">
        <v>54</v>
      </c>
      <c r="E15" s="9">
        <v>637000</v>
      </c>
      <c r="F15" s="9">
        <v>637000</v>
      </c>
      <c r="G15" s="9">
        <v>637000</v>
      </c>
      <c r="H15" s="9">
        <v>1137000</v>
      </c>
      <c r="I15" s="9">
        <v>1137000</v>
      </c>
      <c r="J15" s="9">
        <v>1137000</v>
      </c>
      <c r="K15" s="9">
        <v>1137000</v>
      </c>
      <c r="L15" s="9">
        <v>1137000</v>
      </c>
      <c r="M15" s="9"/>
      <c r="N15" s="9"/>
      <c r="O15" s="9"/>
      <c r="P15" s="9"/>
      <c r="Q15" s="9"/>
    </row>
    <row r="16" spans="1:17" x14ac:dyDescent="0.3">
      <c r="A16" s="1" t="s">
        <v>24</v>
      </c>
      <c r="B16" s="9" t="s">
        <v>33</v>
      </c>
      <c r="C16" s="9" t="s">
        <v>55</v>
      </c>
      <c r="D16" s="9" t="s">
        <v>56</v>
      </c>
      <c r="E16" s="9">
        <v>208000</v>
      </c>
      <c r="F16" s="9">
        <v>208000</v>
      </c>
      <c r="G16" s="9">
        <v>208000</v>
      </c>
      <c r="H16" s="9">
        <v>208000</v>
      </c>
      <c r="I16" s="9">
        <v>208000</v>
      </c>
      <c r="J16" s="9">
        <v>208000</v>
      </c>
      <c r="K16" s="9">
        <v>1046000</v>
      </c>
      <c r="L16" s="9">
        <v>1046000</v>
      </c>
      <c r="M16" s="9"/>
      <c r="N16" s="9"/>
      <c r="O16" s="9"/>
      <c r="P16" s="9"/>
    </row>
    <row r="17" spans="1:17" x14ac:dyDescent="0.3">
      <c r="A17" s="1" t="s">
        <v>24</v>
      </c>
      <c r="B17" s="1" t="s">
        <v>33</v>
      </c>
      <c r="C17" s="1" t="s">
        <v>642</v>
      </c>
      <c r="D17" s="35" t="s">
        <v>643</v>
      </c>
      <c r="E17" s="9">
        <v>312000</v>
      </c>
      <c r="F17" s="9">
        <v>312000</v>
      </c>
      <c r="G17" s="9">
        <v>312000</v>
      </c>
      <c r="H17" s="9">
        <v>312000</v>
      </c>
      <c r="I17" s="9">
        <v>312000</v>
      </c>
      <c r="J17" s="9">
        <v>312000</v>
      </c>
      <c r="K17" s="9">
        <v>312000</v>
      </c>
      <c r="L17" s="9">
        <v>312000</v>
      </c>
      <c r="M17" s="9"/>
      <c r="N17" s="9"/>
      <c r="O17" s="9"/>
      <c r="P17" s="9"/>
      <c r="Q17" s="9"/>
    </row>
    <row r="18" spans="1:17" x14ac:dyDescent="0.3">
      <c r="A18" s="1" t="s">
        <v>24</v>
      </c>
      <c r="B18" s="9" t="s">
        <v>33</v>
      </c>
      <c r="C18" s="9" t="s">
        <v>932</v>
      </c>
      <c r="D18" s="9" t="s">
        <v>933</v>
      </c>
      <c r="E18" s="9">
        <v>0</v>
      </c>
      <c r="F18" s="9">
        <v>0</v>
      </c>
      <c r="G18" s="9">
        <v>211000</v>
      </c>
      <c r="H18" s="9">
        <v>211000</v>
      </c>
      <c r="I18" s="9">
        <v>211000</v>
      </c>
      <c r="J18" s="9">
        <v>211000</v>
      </c>
      <c r="K18" s="9">
        <v>211000</v>
      </c>
      <c r="L18" s="9">
        <v>211000</v>
      </c>
      <c r="M18" s="9"/>
      <c r="N18" s="9"/>
      <c r="O18" s="9"/>
      <c r="P18" s="9"/>
      <c r="Q18" s="9"/>
    </row>
    <row r="19" spans="1:17" x14ac:dyDescent="0.3">
      <c r="A19" s="1" t="s">
        <v>24</v>
      </c>
      <c r="B19" s="9" t="s">
        <v>33</v>
      </c>
      <c r="C19" s="9" t="s">
        <v>32</v>
      </c>
      <c r="D19" s="9" t="s">
        <v>35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/>
      <c r="N19" s="9"/>
      <c r="O19" s="9"/>
      <c r="P19" s="9"/>
      <c r="Q19" s="9"/>
    </row>
    <row r="20" spans="1:17" x14ac:dyDescent="0.3">
      <c r="A20" s="1" t="s">
        <v>24</v>
      </c>
      <c r="B20" s="1" t="s">
        <v>33</v>
      </c>
      <c r="C20" s="9" t="s">
        <v>34</v>
      </c>
      <c r="D20" s="9" t="s">
        <v>36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/>
      <c r="N20" s="9"/>
      <c r="O20" s="9"/>
      <c r="P20" s="9"/>
      <c r="Q20" s="9"/>
    </row>
    <row r="21" spans="1:17" x14ac:dyDescent="0.3">
      <c r="A21" s="1" t="s">
        <v>24</v>
      </c>
      <c r="B21" s="9" t="s">
        <v>33</v>
      </c>
      <c r="C21" s="9" t="s">
        <v>25</v>
      </c>
      <c r="D21" s="9" t="s">
        <v>37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/>
      <c r="N21" s="9"/>
      <c r="O21" s="9"/>
      <c r="P21" s="9"/>
    </row>
    <row r="22" spans="1:17" x14ac:dyDescent="0.3">
      <c r="A22" s="1" t="s">
        <v>24</v>
      </c>
      <c r="B22" s="9" t="s">
        <v>33</v>
      </c>
      <c r="C22" s="9" t="s">
        <v>58</v>
      </c>
      <c r="D22" s="9" t="s">
        <v>59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/>
      <c r="N22" s="9"/>
      <c r="O22" s="9"/>
      <c r="P22" s="9"/>
      <c r="Q22" s="9"/>
    </row>
    <row r="23" spans="1:17" x14ac:dyDescent="0.3">
      <c r="A23" s="1" t="s">
        <v>24</v>
      </c>
      <c r="B23" s="9" t="s">
        <v>33</v>
      </c>
      <c r="C23" s="9" t="s">
        <v>60</v>
      </c>
      <c r="D23" s="9" t="s">
        <v>61</v>
      </c>
      <c r="E23" s="9">
        <v>33000</v>
      </c>
      <c r="F23" s="9">
        <v>33000</v>
      </c>
      <c r="G23" s="9">
        <v>33000</v>
      </c>
      <c r="H23" s="9">
        <v>33000</v>
      </c>
      <c r="I23" s="9">
        <v>33000</v>
      </c>
      <c r="J23" s="9">
        <v>33000</v>
      </c>
      <c r="K23" s="9">
        <v>33000</v>
      </c>
      <c r="L23" s="9">
        <v>33000</v>
      </c>
      <c r="M23" s="9"/>
      <c r="N23" s="9"/>
      <c r="O23" s="9"/>
      <c r="P23" s="9"/>
    </row>
    <row r="24" spans="1:17" x14ac:dyDescent="0.3">
      <c r="A24" s="1" t="s">
        <v>24</v>
      </c>
      <c r="B24" s="1" t="s">
        <v>33</v>
      </c>
      <c r="C24" s="9" t="s">
        <v>904</v>
      </c>
      <c r="D24" s="9" t="s">
        <v>905</v>
      </c>
      <c r="E24" s="9">
        <v>477000</v>
      </c>
      <c r="F24" s="9">
        <v>477000</v>
      </c>
      <c r="G24" s="9">
        <v>477000</v>
      </c>
      <c r="H24" s="9">
        <v>477000</v>
      </c>
      <c r="I24" s="9">
        <v>477000</v>
      </c>
      <c r="J24" s="9">
        <v>477000</v>
      </c>
      <c r="K24" s="9">
        <v>477000</v>
      </c>
      <c r="L24" s="9">
        <v>477000</v>
      </c>
      <c r="M24" s="9"/>
      <c r="N24" s="9"/>
      <c r="O24" s="9"/>
      <c r="P24" s="9"/>
      <c r="Q24" s="9"/>
    </row>
    <row r="25" spans="1:17" x14ac:dyDescent="0.3">
      <c r="A25" s="1" t="s">
        <v>24</v>
      </c>
      <c r="B25" s="9" t="s">
        <v>33</v>
      </c>
      <c r="C25" s="9" t="s">
        <v>942</v>
      </c>
      <c r="D25" s="9" t="s">
        <v>943</v>
      </c>
      <c r="E25" s="9">
        <v>0</v>
      </c>
      <c r="F25" s="9">
        <v>0</v>
      </c>
      <c r="G25" s="9">
        <v>346000</v>
      </c>
      <c r="H25" s="9">
        <v>346000</v>
      </c>
      <c r="I25" s="9">
        <v>346000</v>
      </c>
      <c r="J25" s="9">
        <v>346000</v>
      </c>
      <c r="K25" s="9">
        <v>346000</v>
      </c>
      <c r="L25" s="9">
        <v>346000</v>
      </c>
      <c r="M25" s="9"/>
      <c r="N25" s="9"/>
      <c r="O25" s="9"/>
      <c r="P25" s="9"/>
    </row>
    <row r="26" spans="1:17" x14ac:dyDescent="0.3">
      <c r="A26" s="1" t="s">
        <v>24</v>
      </c>
      <c r="B26" s="1" t="s">
        <v>33</v>
      </c>
      <c r="C26" s="1" t="s">
        <v>62</v>
      </c>
      <c r="D26" s="35" t="s">
        <v>63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/>
      <c r="N26" s="9"/>
      <c r="O26" s="9"/>
      <c r="P26" s="9"/>
      <c r="Q26" s="9"/>
    </row>
    <row r="27" spans="1:17" x14ac:dyDescent="0.3">
      <c r="A27" s="1" t="s">
        <v>24</v>
      </c>
      <c r="B27" s="9" t="s">
        <v>33</v>
      </c>
      <c r="C27" s="9" t="s">
        <v>64</v>
      </c>
      <c r="D27" s="9" t="s">
        <v>65</v>
      </c>
      <c r="E27" s="9">
        <v>212000</v>
      </c>
      <c r="F27" s="9">
        <v>212000</v>
      </c>
      <c r="G27" s="9">
        <v>212000</v>
      </c>
      <c r="H27" s="9">
        <v>212000</v>
      </c>
      <c r="I27" s="9">
        <v>212000</v>
      </c>
      <c r="J27" s="9">
        <v>212000</v>
      </c>
      <c r="K27" s="9">
        <v>212000</v>
      </c>
      <c r="L27" s="9">
        <v>212000</v>
      </c>
      <c r="M27" s="9"/>
      <c r="N27" s="9"/>
      <c r="O27" s="9"/>
      <c r="P27" s="9"/>
    </row>
    <row r="28" spans="1:17" x14ac:dyDescent="0.3">
      <c r="A28" s="1" t="s">
        <v>24</v>
      </c>
      <c r="B28" s="9" t="s">
        <v>33</v>
      </c>
      <c r="C28" s="9" t="s">
        <v>857</v>
      </c>
      <c r="D28" s="9" t="s">
        <v>858</v>
      </c>
      <c r="E28" s="9">
        <v>153000</v>
      </c>
      <c r="F28" s="9">
        <v>268000</v>
      </c>
      <c r="G28" s="9">
        <v>268000</v>
      </c>
      <c r="H28" s="9">
        <v>268000</v>
      </c>
      <c r="I28" s="9">
        <v>268000</v>
      </c>
      <c r="J28" s="9">
        <v>268000</v>
      </c>
      <c r="K28" s="9">
        <v>268000</v>
      </c>
      <c r="L28" s="9">
        <v>268000</v>
      </c>
      <c r="M28" s="9"/>
      <c r="N28" s="9"/>
      <c r="O28" s="9"/>
      <c r="P28" s="9"/>
      <c r="Q28" s="9"/>
    </row>
    <row r="29" spans="1:17" x14ac:dyDescent="0.3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17" x14ac:dyDescent="0.3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</row>
    <row r="31" spans="1:17" x14ac:dyDescent="0.3"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</row>
    <row r="32" spans="1:17" x14ac:dyDescent="0.3"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</row>
    <row r="33" spans="2:17" x14ac:dyDescent="0.3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</row>
    <row r="34" spans="2:17" x14ac:dyDescent="0.3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</row>
    <row r="35" spans="2:17" x14ac:dyDescent="0.3"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</row>
    <row r="36" spans="2:17" x14ac:dyDescent="0.3">
      <c r="C36" s="9"/>
      <c r="D36" s="9"/>
      <c r="E36" s="9"/>
      <c r="F36" s="9"/>
      <c r="G36" s="9"/>
      <c r="H36" s="9"/>
      <c r="I36" s="9"/>
      <c r="J36" s="9"/>
      <c r="K36" s="9"/>
      <c r="L36" s="9"/>
      <c r="M36" s="34"/>
      <c r="O36" s="9"/>
      <c r="P36" s="9"/>
      <c r="Q36" s="9"/>
    </row>
    <row r="37" spans="2:17" x14ac:dyDescent="0.3">
      <c r="B37" s="9"/>
      <c r="C37" s="35"/>
      <c r="D37" s="35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  <row r="38" spans="2:17" x14ac:dyDescent="0.3">
      <c r="C38" s="9"/>
      <c r="D38" s="9"/>
      <c r="E38" s="9"/>
      <c r="F38" s="9"/>
      <c r="G38" s="9"/>
      <c r="H38" s="9"/>
      <c r="I38" s="9"/>
      <c r="J38" s="9"/>
      <c r="K38" s="9"/>
      <c r="L38" s="9"/>
      <c r="M38" s="34"/>
      <c r="P38" s="9"/>
      <c r="Q38" s="9"/>
    </row>
    <row r="39" spans="2:17" x14ac:dyDescent="0.3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2:17" x14ac:dyDescent="0.3">
      <c r="C40" s="9"/>
      <c r="D40" s="9"/>
      <c r="E40" s="9"/>
      <c r="F40" s="9"/>
      <c r="G40" s="9"/>
      <c r="H40" s="9"/>
      <c r="I40" s="9"/>
      <c r="J40" s="9"/>
      <c r="K40" s="9"/>
      <c r="L40" s="9"/>
      <c r="M40" s="34"/>
      <c r="O40" s="9"/>
      <c r="P40" s="9"/>
      <c r="Q40" s="9"/>
    </row>
    <row r="41" spans="2:17" x14ac:dyDescent="0.3">
      <c r="C41" s="9"/>
      <c r="D41" s="9"/>
      <c r="E41" s="9"/>
      <c r="F41" s="9"/>
      <c r="G41" s="9"/>
      <c r="H41" s="9"/>
      <c r="I41" s="9"/>
      <c r="J41" s="9"/>
      <c r="K41" s="9"/>
      <c r="L41" s="9"/>
      <c r="M41" s="34"/>
      <c r="N41" s="9"/>
      <c r="Q41" s="9"/>
    </row>
    <row r="42" spans="2:17" x14ac:dyDescent="0.3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34"/>
      <c r="O42" s="9"/>
      <c r="P42" s="9"/>
      <c r="Q42" s="9"/>
    </row>
    <row r="43" spans="2:17" x14ac:dyDescent="0.3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</row>
    <row r="44" spans="2:17" x14ac:dyDescent="0.3"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x14ac:dyDescent="0.3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</row>
    <row r="46" spans="2:17" x14ac:dyDescent="0.3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</row>
    <row r="47" spans="2:17" x14ac:dyDescent="0.3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34"/>
      <c r="N47" s="9"/>
      <c r="O47" s="9"/>
      <c r="P47" s="9"/>
      <c r="Q47" s="9"/>
    </row>
    <row r="48" spans="2:17" x14ac:dyDescent="0.3">
      <c r="D48" s="35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</row>
    <row r="49" spans="2:17" x14ac:dyDescent="0.3">
      <c r="D49" s="35"/>
      <c r="E49" s="9"/>
      <c r="F49" s="9"/>
      <c r="G49" s="9"/>
      <c r="H49" s="9"/>
      <c r="I49" s="9"/>
      <c r="J49" s="9"/>
      <c r="K49" s="9"/>
      <c r="L49" s="9"/>
      <c r="M49" s="34"/>
      <c r="P49" s="9"/>
      <c r="Q49" s="9"/>
    </row>
    <row r="50" spans="2:17" x14ac:dyDescent="0.3">
      <c r="C50" s="9"/>
      <c r="D50" s="9"/>
      <c r="E50" s="9"/>
      <c r="F50" s="9"/>
      <c r="G50" s="9"/>
      <c r="H50" s="9"/>
      <c r="I50" s="9"/>
      <c r="J50" s="9"/>
      <c r="K50" s="9"/>
      <c r="L50" s="9"/>
      <c r="M50" s="34"/>
      <c r="O50" s="9"/>
      <c r="P50" s="9"/>
      <c r="Q50" s="9"/>
    </row>
    <row r="51" spans="2:17" x14ac:dyDescent="0.3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</row>
    <row r="52" spans="2:17" x14ac:dyDescent="0.3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</row>
    <row r="53" spans="2:17" x14ac:dyDescent="0.3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17" x14ac:dyDescent="0.3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34"/>
      <c r="O54" s="9"/>
      <c r="P54" s="9"/>
      <c r="Q54" s="9"/>
    </row>
    <row r="55" spans="2:17" x14ac:dyDescent="0.3">
      <c r="C55" s="9"/>
      <c r="D55" s="9"/>
      <c r="E55" s="9"/>
      <c r="F55" s="9"/>
      <c r="G55" s="9"/>
      <c r="H55" s="9"/>
      <c r="I55" s="9"/>
      <c r="J55" s="9"/>
      <c r="K55" s="9"/>
      <c r="L55" s="9"/>
      <c r="M55" s="34"/>
      <c r="O55" s="9"/>
      <c r="P55" s="9"/>
      <c r="Q55" s="9"/>
    </row>
    <row r="56" spans="2:17" x14ac:dyDescent="0.3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17" x14ac:dyDescent="0.3"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</row>
    <row r="58" spans="2:17" x14ac:dyDescent="0.3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34"/>
      <c r="O58" s="9"/>
      <c r="P58" s="9"/>
      <c r="Q58" s="9"/>
    </row>
    <row r="59" spans="2:17" x14ac:dyDescent="0.3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</row>
    <row r="60" spans="2:17" x14ac:dyDescent="0.3"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2:17" x14ac:dyDescent="0.3">
      <c r="C61" s="9"/>
      <c r="D61" s="9"/>
      <c r="E61" s="9"/>
      <c r="F61" s="9"/>
      <c r="G61" s="9"/>
      <c r="H61" s="9"/>
      <c r="I61" s="9"/>
      <c r="J61" s="9"/>
      <c r="K61" s="9"/>
      <c r="L61" s="9"/>
      <c r="M61" s="34"/>
    </row>
    <row r="62" spans="2:17" x14ac:dyDescent="0.3">
      <c r="B62" s="9"/>
      <c r="C62" s="9"/>
      <c r="D62" s="9"/>
      <c r="E62" s="9"/>
      <c r="F62" s="9"/>
      <c r="G62" s="9"/>
      <c r="H62" s="9"/>
      <c r="I62" s="35"/>
      <c r="K62" s="9"/>
      <c r="M62" s="34"/>
    </row>
    <row r="63" spans="2:17" x14ac:dyDescent="0.3">
      <c r="B63" s="9"/>
      <c r="C63" s="9"/>
      <c r="D63" s="9"/>
      <c r="E63" s="9"/>
      <c r="F63" s="9"/>
      <c r="G63" s="9"/>
      <c r="H63" s="9"/>
      <c r="I63" s="9"/>
      <c r="J63" s="9"/>
      <c r="K63" s="9"/>
      <c r="M63" s="34"/>
    </row>
    <row r="64" spans="2:17" x14ac:dyDescent="0.3">
      <c r="B64" s="9"/>
      <c r="C64" s="9"/>
      <c r="D64" s="9"/>
      <c r="E64" s="9"/>
      <c r="F64" s="9"/>
      <c r="G64" s="9"/>
      <c r="H64" s="9"/>
      <c r="I64" s="35"/>
      <c r="K64" s="9"/>
      <c r="L64" s="9"/>
      <c r="M64" s="34"/>
    </row>
    <row r="65" spans="2:13" x14ac:dyDescent="0.3">
      <c r="C65" s="9"/>
      <c r="D65" s="9"/>
      <c r="E65" s="9"/>
      <c r="F65" s="9"/>
      <c r="G65" s="9"/>
      <c r="H65" s="9"/>
      <c r="I65" s="9"/>
      <c r="J65" s="9"/>
      <c r="K65" s="9"/>
      <c r="L65" s="9"/>
      <c r="M65" s="34"/>
    </row>
    <row r="66" spans="2:13" x14ac:dyDescent="0.3">
      <c r="C66" s="9"/>
      <c r="D66" s="9"/>
      <c r="E66" s="9"/>
      <c r="F66" s="9"/>
      <c r="G66" s="9"/>
      <c r="H66" s="9"/>
      <c r="I66" s="35"/>
      <c r="L66" s="9"/>
      <c r="M66" s="34"/>
    </row>
    <row r="67" spans="2:13" x14ac:dyDescent="0.3">
      <c r="C67" s="35"/>
      <c r="D67" s="35"/>
      <c r="E67" s="35"/>
      <c r="F67" s="9"/>
      <c r="G67" s="9"/>
      <c r="H67" s="9"/>
      <c r="I67" s="35"/>
      <c r="L67" s="9"/>
      <c r="M67" s="34"/>
    </row>
    <row r="68" spans="2:13" x14ac:dyDescent="0.3">
      <c r="C68" s="9"/>
      <c r="D68" s="9"/>
      <c r="E68" s="9"/>
      <c r="F68" s="9"/>
      <c r="G68" s="9"/>
      <c r="H68" s="9"/>
      <c r="I68" s="35"/>
      <c r="L68" s="9"/>
      <c r="M68" s="34"/>
    </row>
    <row r="69" spans="2:13" x14ac:dyDescent="0.3">
      <c r="C69" s="9"/>
      <c r="D69" s="9"/>
      <c r="E69" s="9"/>
      <c r="F69" s="9"/>
      <c r="G69" s="9"/>
      <c r="H69" s="9"/>
      <c r="I69" s="9"/>
      <c r="J69" s="9"/>
      <c r="K69" s="9"/>
      <c r="L69" s="9"/>
      <c r="M69" s="34"/>
    </row>
    <row r="70" spans="2:13" x14ac:dyDescent="0.3">
      <c r="C70" s="9"/>
      <c r="D70" s="9"/>
      <c r="E70" s="9"/>
      <c r="F70" s="9"/>
      <c r="G70" s="9"/>
      <c r="H70" s="9"/>
      <c r="I70" s="9"/>
      <c r="J70" s="9"/>
      <c r="K70" s="9"/>
      <c r="L70" s="9"/>
      <c r="M70" s="34"/>
    </row>
    <row r="71" spans="2:13" x14ac:dyDescent="0.3">
      <c r="C71" s="9"/>
      <c r="D71" s="9"/>
      <c r="E71" s="9"/>
      <c r="F71" s="9"/>
      <c r="G71" s="9"/>
      <c r="H71" s="9"/>
      <c r="I71" s="9"/>
      <c r="J71" s="9"/>
      <c r="K71" s="9"/>
      <c r="M71" s="34"/>
    </row>
    <row r="72" spans="2:13" x14ac:dyDescent="0.3">
      <c r="C72" s="9"/>
      <c r="D72" s="9"/>
      <c r="E72" s="9"/>
      <c r="F72" s="9"/>
      <c r="G72" s="9"/>
      <c r="H72" s="9"/>
      <c r="I72" s="9"/>
      <c r="J72" s="9"/>
      <c r="K72" s="9"/>
      <c r="L72" s="9"/>
      <c r="M72" s="34"/>
    </row>
    <row r="73" spans="2:13" x14ac:dyDescent="0.3">
      <c r="B73" s="9"/>
      <c r="C73" s="9"/>
      <c r="D73" s="9"/>
      <c r="E73" s="9"/>
      <c r="F73" s="9"/>
      <c r="G73" s="9"/>
      <c r="H73" s="9"/>
      <c r="I73" s="35"/>
      <c r="J73" s="9"/>
      <c r="K73" s="9"/>
      <c r="L73" s="9"/>
      <c r="M73" s="34"/>
    </row>
    <row r="74" spans="2:13" x14ac:dyDescent="0.3">
      <c r="C74" s="9"/>
      <c r="D74" s="9"/>
      <c r="E74" s="9"/>
      <c r="F74" s="9"/>
      <c r="G74" s="9"/>
      <c r="H74" s="9"/>
      <c r="I74" s="35"/>
      <c r="J74" s="9"/>
      <c r="K74" s="9"/>
      <c r="L74" s="9"/>
      <c r="M74" s="34"/>
    </row>
    <row r="75" spans="2:13" x14ac:dyDescent="0.3">
      <c r="C75" s="9"/>
      <c r="D75" s="9"/>
      <c r="E75" s="9"/>
      <c r="F75" s="9"/>
      <c r="G75" s="9"/>
      <c r="H75" s="9"/>
      <c r="I75" s="35"/>
      <c r="J75" s="9"/>
      <c r="K75" s="9"/>
      <c r="L75" s="9"/>
      <c r="M75" s="34"/>
    </row>
    <row r="76" spans="2:13" x14ac:dyDescent="0.3">
      <c r="B76" s="9"/>
      <c r="C76" s="9"/>
      <c r="D76" s="9"/>
      <c r="E76" s="9"/>
      <c r="F76" s="9"/>
      <c r="G76" s="9"/>
      <c r="H76" s="9"/>
      <c r="I76" s="35"/>
      <c r="K76" s="9"/>
      <c r="M76" s="34"/>
    </row>
    <row r="77" spans="2:13" x14ac:dyDescent="0.3">
      <c r="C77" s="9"/>
      <c r="D77" s="9"/>
      <c r="E77" s="9"/>
      <c r="F77" s="9"/>
      <c r="G77" s="9"/>
      <c r="H77" s="9"/>
      <c r="I77" s="35"/>
      <c r="J77" s="9"/>
      <c r="K77" s="9"/>
      <c r="L77" s="9"/>
      <c r="M77" s="34"/>
    </row>
    <row r="78" spans="2:13" x14ac:dyDescent="0.3">
      <c r="C78" s="9"/>
      <c r="D78" s="9"/>
      <c r="E78" s="9"/>
      <c r="F78" s="9"/>
      <c r="G78" s="9"/>
      <c r="H78" s="9"/>
      <c r="I78" s="9"/>
      <c r="J78" s="9"/>
      <c r="K78" s="9"/>
      <c r="L78" s="9"/>
      <c r="M78" s="34"/>
    </row>
    <row r="79" spans="2:13" x14ac:dyDescent="0.3">
      <c r="B79" s="9"/>
      <c r="C79" s="9"/>
      <c r="D79" s="9"/>
      <c r="E79" s="9"/>
      <c r="F79" s="9"/>
      <c r="G79" s="9"/>
      <c r="H79" s="9"/>
      <c r="I79" s="35"/>
      <c r="K79" s="9"/>
      <c r="L79" s="9"/>
      <c r="M79" s="34"/>
    </row>
    <row r="80" spans="2:13" x14ac:dyDescent="0.3">
      <c r="D80" s="35"/>
      <c r="E80" s="35"/>
      <c r="F80" s="9"/>
      <c r="G80" s="9"/>
      <c r="H80" s="9"/>
      <c r="I80" s="9"/>
      <c r="J80" s="9"/>
      <c r="K80" s="9"/>
      <c r="L80" s="9"/>
      <c r="M80" s="34"/>
    </row>
    <row r="81" spans="2:13" x14ac:dyDescent="0.3">
      <c r="C81" s="9"/>
      <c r="D81" s="9"/>
      <c r="E81" s="9"/>
      <c r="F81" s="9"/>
      <c r="G81" s="9"/>
      <c r="H81" s="9"/>
      <c r="I81" s="9"/>
      <c r="J81" s="9"/>
      <c r="K81" s="9"/>
      <c r="M81" s="34"/>
    </row>
    <row r="82" spans="2:13" x14ac:dyDescent="0.3">
      <c r="C82" s="9"/>
      <c r="D82" s="9"/>
      <c r="E82" s="9"/>
      <c r="F82" s="9"/>
      <c r="G82" s="9"/>
      <c r="H82" s="9"/>
      <c r="I82" s="35"/>
      <c r="J82" s="9"/>
      <c r="K82" s="9"/>
      <c r="L82" s="9"/>
      <c r="M82" s="34"/>
    </row>
    <row r="83" spans="2:13" x14ac:dyDescent="0.3">
      <c r="D83" s="35"/>
      <c r="E83" s="35"/>
      <c r="F83" s="35"/>
      <c r="G83" s="35"/>
      <c r="H83" s="35"/>
      <c r="I83" s="9"/>
      <c r="J83" s="9"/>
      <c r="K83" s="9"/>
      <c r="L83" s="9"/>
      <c r="M83" s="34"/>
    </row>
    <row r="84" spans="2:13" x14ac:dyDescent="0.3">
      <c r="C84" s="35"/>
      <c r="D84" s="35"/>
      <c r="E84" s="35"/>
      <c r="F84" s="35"/>
      <c r="G84" s="35"/>
      <c r="H84" s="35"/>
      <c r="I84" s="35"/>
      <c r="M84" s="34"/>
    </row>
    <row r="85" spans="2:13" x14ac:dyDescent="0.3">
      <c r="B85" s="9"/>
      <c r="C85" s="9"/>
      <c r="D85" s="9"/>
      <c r="E85" s="9"/>
      <c r="F85" s="9"/>
      <c r="G85" s="9"/>
      <c r="H85" s="9"/>
      <c r="I85" s="35"/>
      <c r="J85" s="9"/>
      <c r="K85" s="9"/>
      <c r="L85" s="9"/>
      <c r="M85" s="34"/>
    </row>
    <row r="86" spans="2:13" x14ac:dyDescent="0.3">
      <c r="C86" s="9"/>
      <c r="D86" s="9"/>
      <c r="E86" s="9"/>
      <c r="F86" s="9"/>
      <c r="G86" s="9"/>
      <c r="H86" s="9"/>
      <c r="I86" s="35"/>
      <c r="M86" s="34"/>
    </row>
    <row r="87" spans="2:13" x14ac:dyDescent="0.3">
      <c r="C87" s="9"/>
      <c r="D87" s="9"/>
      <c r="E87" s="9"/>
      <c r="F87" s="9"/>
      <c r="G87" s="9"/>
      <c r="H87" s="9"/>
      <c r="I87" s="9"/>
      <c r="J87" s="9"/>
      <c r="K87" s="9"/>
      <c r="L87" s="9"/>
      <c r="M87" s="34"/>
    </row>
    <row r="88" spans="2:13" x14ac:dyDescent="0.3">
      <c r="C88" s="9"/>
      <c r="D88" s="9"/>
      <c r="E88" s="9"/>
      <c r="F88" s="9"/>
      <c r="G88" s="9"/>
      <c r="H88" s="9"/>
      <c r="I88" s="9"/>
      <c r="J88" s="9"/>
      <c r="K88" s="9"/>
      <c r="L88" s="9"/>
      <c r="M88" s="34"/>
    </row>
    <row r="89" spans="2:13" x14ac:dyDescent="0.3">
      <c r="C89" s="9"/>
      <c r="D89" s="9"/>
      <c r="E89" s="9"/>
      <c r="F89" s="9"/>
      <c r="G89" s="9"/>
      <c r="H89" s="9"/>
      <c r="I89" s="9"/>
      <c r="J89" s="9"/>
      <c r="K89" s="9"/>
      <c r="M89" s="34"/>
    </row>
    <row r="90" spans="2:13" x14ac:dyDescent="0.3">
      <c r="B90" s="9"/>
      <c r="C90" s="9"/>
      <c r="D90" s="9"/>
      <c r="E90" s="9"/>
      <c r="G90" s="34"/>
      <c r="H90" s="35"/>
      <c r="I90" s="35"/>
      <c r="K90" s="9"/>
      <c r="M90" s="34"/>
    </row>
    <row r="91" spans="2:13" x14ac:dyDescent="0.3">
      <c r="C91" s="9"/>
      <c r="D91" s="9"/>
      <c r="E91" s="9"/>
      <c r="F91" s="9"/>
      <c r="G91" s="9"/>
      <c r="H91" s="9"/>
      <c r="I91" s="9"/>
      <c r="J91" s="9"/>
      <c r="K91" s="9"/>
      <c r="L91" s="9"/>
      <c r="M91" s="34"/>
    </row>
    <row r="92" spans="2:13" x14ac:dyDescent="0.3">
      <c r="C92" s="35"/>
      <c r="D92" s="35"/>
      <c r="M92" s="34"/>
    </row>
    <row r="93" spans="2:13" x14ac:dyDescent="0.3">
      <c r="C93" s="9"/>
      <c r="D93" s="9"/>
      <c r="E93" s="9"/>
      <c r="F93" s="9"/>
      <c r="G93" s="9"/>
      <c r="H93" s="9"/>
      <c r="I93" s="9"/>
      <c r="J93" s="9"/>
      <c r="K93" s="9"/>
      <c r="L93" s="9"/>
      <c r="M93" s="34"/>
    </row>
    <row r="94" spans="2:13" x14ac:dyDescent="0.3">
      <c r="C94" s="9"/>
      <c r="D94" s="9"/>
      <c r="E94" s="9"/>
      <c r="F94" s="9"/>
      <c r="G94" s="9"/>
      <c r="H94" s="9"/>
      <c r="I94" s="9"/>
      <c r="J94" s="9"/>
      <c r="K94" s="9"/>
      <c r="M94" s="34"/>
    </row>
    <row r="95" spans="2:13" x14ac:dyDescent="0.3">
      <c r="F95" s="9"/>
      <c r="G95" s="9"/>
      <c r="H95" s="9"/>
      <c r="I95" s="9"/>
      <c r="J95" s="9"/>
      <c r="K95" s="9"/>
      <c r="L95" s="9"/>
      <c r="M95" s="34"/>
    </row>
    <row r="96" spans="2:13" x14ac:dyDescent="0.3">
      <c r="C96" s="9"/>
      <c r="D96" s="9"/>
      <c r="E96" s="9"/>
      <c r="F96" s="9"/>
      <c r="G96" s="9"/>
      <c r="H96" s="9"/>
      <c r="I96" s="9"/>
      <c r="J96" s="9"/>
      <c r="K96" s="9"/>
      <c r="L96" s="9"/>
      <c r="M96" s="34"/>
    </row>
    <row r="97" spans="2:13" x14ac:dyDescent="0.3">
      <c r="B97" s="9"/>
      <c r="C97" s="9"/>
      <c r="D97" s="9"/>
      <c r="E97" s="9"/>
      <c r="F97" s="9"/>
      <c r="G97" s="9"/>
      <c r="H97" s="9"/>
      <c r="I97" s="35"/>
      <c r="K97" s="9"/>
      <c r="L97" s="9"/>
      <c r="M97" s="34"/>
    </row>
    <row r="98" spans="2:13" x14ac:dyDescent="0.3">
      <c r="C98" s="35"/>
      <c r="D98" s="35"/>
      <c r="H98" s="35"/>
      <c r="I98" s="9"/>
      <c r="J98" s="9"/>
      <c r="K98" s="9"/>
      <c r="L98" s="9"/>
      <c r="M98" s="34"/>
    </row>
    <row r="99" spans="2:13" x14ac:dyDescent="0.3">
      <c r="H99" s="35"/>
      <c r="I99" s="35"/>
      <c r="M99" s="34"/>
    </row>
    <row r="100" spans="2:13" x14ac:dyDescent="0.3">
      <c r="C100" s="9"/>
      <c r="D100" s="9"/>
      <c r="E100" s="9"/>
      <c r="F100" s="9"/>
      <c r="G100" s="9"/>
      <c r="H100" s="9"/>
      <c r="I100" s="9"/>
      <c r="J100" s="9"/>
      <c r="K100" s="9"/>
      <c r="M100" s="34"/>
    </row>
    <row r="101" spans="2:13" x14ac:dyDescent="0.3">
      <c r="C101" s="9"/>
      <c r="D101" s="9"/>
      <c r="E101" s="9"/>
      <c r="F101" s="9"/>
      <c r="G101" s="9"/>
      <c r="H101" s="9"/>
      <c r="I101" s="35"/>
      <c r="J101" s="9"/>
      <c r="K101" s="9"/>
      <c r="L101" s="9"/>
      <c r="M101" s="34"/>
    </row>
    <row r="102" spans="2:13" x14ac:dyDescent="0.3">
      <c r="H102" s="35"/>
      <c r="I102" s="9"/>
      <c r="J102" s="9"/>
      <c r="K102" s="9"/>
      <c r="L102" s="9"/>
      <c r="M102" s="34"/>
    </row>
    <row r="103" spans="2:13" x14ac:dyDescent="0.3">
      <c r="H103" s="35"/>
      <c r="I103" s="9"/>
      <c r="J103" s="9"/>
      <c r="K103" s="9"/>
      <c r="L103" s="9"/>
      <c r="M103" s="34"/>
    </row>
    <row r="104" spans="2:13" x14ac:dyDescent="0.3">
      <c r="B104" s="9"/>
      <c r="C104" s="9"/>
      <c r="D104" s="9"/>
      <c r="E104" s="9"/>
      <c r="G104" s="34"/>
      <c r="H104" s="35"/>
      <c r="I104" s="35"/>
      <c r="J104" s="9"/>
      <c r="K104" s="9"/>
      <c r="L104" s="9"/>
      <c r="M104" s="34"/>
    </row>
    <row r="105" spans="2:13" x14ac:dyDescent="0.3">
      <c r="H105" s="35"/>
      <c r="I105" s="9"/>
      <c r="J105" s="9"/>
      <c r="K105" s="9"/>
      <c r="L105" s="9"/>
      <c r="M105" s="34"/>
    </row>
    <row r="106" spans="2:13" x14ac:dyDescent="0.3">
      <c r="I106" s="9"/>
      <c r="J106" s="9"/>
      <c r="K106" s="9"/>
      <c r="M106" s="34"/>
    </row>
    <row r="107" spans="2:13" x14ac:dyDescent="0.3">
      <c r="C107" s="9"/>
      <c r="D107" s="9"/>
      <c r="E107" s="9"/>
      <c r="F107" s="9"/>
      <c r="G107" s="9"/>
      <c r="H107" s="9"/>
      <c r="I107" s="35"/>
      <c r="K107" s="9"/>
      <c r="M107" s="34"/>
    </row>
    <row r="108" spans="2:13" x14ac:dyDescent="0.3"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34"/>
    </row>
    <row r="109" spans="2:13" x14ac:dyDescent="0.3">
      <c r="I109" s="9"/>
      <c r="J109" s="9"/>
      <c r="K109" s="9"/>
      <c r="L109" s="9"/>
      <c r="M109" s="34"/>
    </row>
    <row r="110" spans="2:13" x14ac:dyDescent="0.3">
      <c r="C110" s="9"/>
      <c r="D110" s="9"/>
      <c r="E110" s="9"/>
      <c r="F110" s="9"/>
      <c r="G110" s="9"/>
      <c r="H110" s="9"/>
      <c r="I110" s="35"/>
      <c r="J110" s="9"/>
      <c r="K110" s="9"/>
      <c r="L110" s="9"/>
      <c r="M110" s="34"/>
    </row>
    <row r="111" spans="2:13" x14ac:dyDescent="0.3">
      <c r="H111" s="35"/>
      <c r="I111" s="9"/>
      <c r="J111" s="9"/>
      <c r="K111" s="9"/>
      <c r="M111" s="34"/>
    </row>
    <row r="112" spans="2:13" x14ac:dyDescent="0.3">
      <c r="B112" s="9"/>
      <c r="C112" s="9"/>
      <c r="D112" s="9"/>
      <c r="E112" s="9"/>
      <c r="F112" s="9"/>
      <c r="G112" s="9"/>
      <c r="H112" s="9"/>
      <c r="K112" s="9"/>
      <c r="L112" s="9"/>
      <c r="M112" s="34"/>
    </row>
    <row r="113" spans="2:13" x14ac:dyDescent="0.3">
      <c r="F113" s="9"/>
      <c r="G113" s="9"/>
      <c r="H113" s="9"/>
      <c r="I113" s="9"/>
      <c r="J113" s="9"/>
      <c r="K113" s="9"/>
      <c r="L113" s="9"/>
      <c r="M113" s="34"/>
    </row>
    <row r="114" spans="2:13" x14ac:dyDescent="0.3">
      <c r="B114" s="9"/>
      <c r="C114" s="9"/>
      <c r="D114" s="9"/>
      <c r="E114" s="9"/>
      <c r="F114" s="9"/>
      <c r="G114" s="9"/>
      <c r="H114" s="9"/>
      <c r="I114" s="35"/>
      <c r="J114" s="9"/>
      <c r="K114" s="9"/>
      <c r="L114" s="9"/>
      <c r="M114" s="34"/>
    </row>
    <row r="115" spans="2:13" x14ac:dyDescent="0.3">
      <c r="G115" s="34"/>
      <c r="J115" s="9"/>
      <c r="K115" s="9"/>
      <c r="L115" s="9"/>
      <c r="M115" s="34"/>
    </row>
    <row r="116" spans="2:13" x14ac:dyDescent="0.3">
      <c r="I116" s="9"/>
      <c r="J116" s="9"/>
      <c r="K116" s="9"/>
      <c r="M116" s="34"/>
    </row>
    <row r="117" spans="2:13" x14ac:dyDescent="0.3">
      <c r="H117" s="35"/>
      <c r="I117" s="35"/>
      <c r="J117" s="9"/>
      <c r="K117" s="9"/>
      <c r="L117" s="9"/>
      <c r="M117" s="34"/>
    </row>
    <row r="118" spans="2:13" x14ac:dyDescent="0.3">
      <c r="F118" s="9"/>
      <c r="J118" s="9"/>
      <c r="K118" s="9"/>
      <c r="L118" s="9"/>
      <c r="M118" s="34"/>
    </row>
    <row r="119" spans="2:13" x14ac:dyDescent="0.3">
      <c r="I119" s="9"/>
      <c r="J119" s="9"/>
      <c r="K119" s="9"/>
      <c r="L119" s="9"/>
      <c r="M119" s="34"/>
    </row>
    <row r="120" spans="2:13" x14ac:dyDescent="0.3">
      <c r="B120" s="9"/>
      <c r="C120" s="9"/>
      <c r="D120" s="9"/>
      <c r="E120" s="9"/>
      <c r="F120" s="9"/>
      <c r="G120" s="9"/>
      <c r="H120" s="9"/>
      <c r="I120" s="9"/>
      <c r="J120" s="9"/>
      <c r="K120" s="9"/>
      <c r="M120" s="34"/>
    </row>
    <row r="121" spans="2:13" x14ac:dyDescent="0.3">
      <c r="H121" s="35"/>
      <c r="I121" s="9"/>
      <c r="J121" s="9"/>
      <c r="K121" s="9"/>
      <c r="L121" s="9"/>
      <c r="M121" s="34"/>
    </row>
    <row r="122" spans="2:13" x14ac:dyDescent="0.3">
      <c r="I122" s="9"/>
      <c r="J122" s="9"/>
      <c r="K122" s="9"/>
      <c r="M122" s="34"/>
    </row>
    <row r="123" spans="2:13" x14ac:dyDescent="0.3">
      <c r="H123" s="35"/>
      <c r="I123" s="35"/>
      <c r="K123" s="9"/>
      <c r="M123" s="34"/>
    </row>
    <row r="124" spans="2:13" x14ac:dyDescent="0.3">
      <c r="F124" s="9"/>
      <c r="G124" s="9"/>
      <c r="H124" s="9"/>
      <c r="L124" s="9"/>
      <c r="M124" s="34"/>
    </row>
    <row r="125" spans="2:13" x14ac:dyDescent="0.3">
      <c r="B125" s="9"/>
      <c r="C125" s="9"/>
      <c r="D125" s="9"/>
      <c r="E125" s="9"/>
      <c r="G125" s="34"/>
      <c r="I125" s="9"/>
      <c r="J125" s="9"/>
      <c r="K125" s="9"/>
      <c r="M125" s="34"/>
    </row>
    <row r="126" spans="2:13" x14ac:dyDescent="0.3">
      <c r="F126" s="9"/>
      <c r="G126" s="9"/>
      <c r="H126" s="9"/>
      <c r="L126" s="9"/>
      <c r="M126" s="34"/>
    </row>
    <row r="127" spans="2:13" x14ac:dyDescent="0.3"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34"/>
    </row>
    <row r="128" spans="2:13" x14ac:dyDescent="0.3"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34"/>
    </row>
    <row r="129" spans="2:13" x14ac:dyDescent="0.3">
      <c r="B129" s="9"/>
      <c r="C129" s="9"/>
      <c r="D129" s="9"/>
      <c r="E129" s="9"/>
      <c r="F129" s="9"/>
      <c r="G129" s="9"/>
      <c r="H129" s="9"/>
      <c r="I129" s="9"/>
      <c r="J129" s="9"/>
      <c r="K129" s="9"/>
      <c r="M129" s="34"/>
    </row>
    <row r="130" spans="2:13" x14ac:dyDescent="0.3">
      <c r="I130" s="9"/>
      <c r="J130" s="9"/>
      <c r="K130" s="9"/>
      <c r="M130" s="34"/>
    </row>
    <row r="131" spans="2:13" x14ac:dyDescent="0.3">
      <c r="I131" s="9"/>
      <c r="J131" s="9"/>
      <c r="K131" s="9"/>
      <c r="M131" s="34"/>
    </row>
    <row r="132" spans="2:13" x14ac:dyDescent="0.3">
      <c r="B132" s="9"/>
      <c r="C132" s="9"/>
      <c r="D132" s="9"/>
      <c r="E132" s="9"/>
      <c r="G132" s="34"/>
      <c r="K132" s="9"/>
      <c r="M132" s="34"/>
    </row>
    <row r="133" spans="2:13" x14ac:dyDescent="0.3">
      <c r="I133" s="9"/>
      <c r="J133" s="9"/>
      <c r="K133" s="9"/>
      <c r="M133" s="34"/>
    </row>
    <row r="134" spans="2:13" x14ac:dyDescent="0.3">
      <c r="H134" s="35"/>
      <c r="I134" s="9"/>
      <c r="J134" s="9"/>
      <c r="K134" s="9"/>
      <c r="M134" s="34"/>
    </row>
    <row r="135" spans="2:13" x14ac:dyDescent="0.3">
      <c r="B135" s="9"/>
      <c r="C135" s="9"/>
      <c r="D135" s="9"/>
      <c r="E135" s="9"/>
      <c r="F135" s="9"/>
      <c r="G135" s="34"/>
      <c r="J135" s="9"/>
      <c r="K135" s="9"/>
      <c r="L135" s="9"/>
      <c r="M135" s="34"/>
    </row>
    <row r="136" spans="2:13" x14ac:dyDescent="0.3">
      <c r="I136" s="9"/>
      <c r="J136" s="9"/>
      <c r="K136" s="9"/>
      <c r="L136" s="9"/>
      <c r="M136" s="34"/>
    </row>
    <row r="137" spans="2:13" x14ac:dyDescent="0.3">
      <c r="I137" s="9"/>
      <c r="J137" s="9"/>
      <c r="K137" s="9"/>
      <c r="L137" s="9"/>
      <c r="M137" s="34"/>
    </row>
    <row r="138" spans="2:13" x14ac:dyDescent="0.3">
      <c r="I138" s="9"/>
      <c r="J138" s="9"/>
      <c r="K138" s="9"/>
      <c r="L138" s="9"/>
      <c r="M138" s="34"/>
    </row>
    <row r="139" spans="2:13" x14ac:dyDescent="0.3">
      <c r="I139" s="9"/>
      <c r="J139" s="9"/>
      <c r="K139" s="9"/>
      <c r="L139" s="9"/>
      <c r="M139" s="34"/>
    </row>
    <row r="140" spans="2:13" x14ac:dyDescent="0.3">
      <c r="J140" s="9"/>
      <c r="K140" s="9"/>
      <c r="L140" s="9"/>
      <c r="M140" s="34"/>
    </row>
    <row r="141" spans="2:13" x14ac:dyDescent="0.3">
      <c r="B141" s="9"/>
      <c r="C141" s="9"/>
      <c r="D141" s="9"/>
      <c r="E141" s="9"/>
      <c r="F141" s="9"/>
      <c r="G141" s="34"/>
      <c r="I141" s="9"/>
      <c r="J141" s="9"/>
      <c r="K141" s="9"/>
      <c r="L141" s="9"/>
      <c r="M141" s="34"/>
    </row>
    <row r="142" spans="2:13" x14ac:dyDescent="0.3">
      <c r="C142" s="35"/>
      <c r="D142" s="35"/>
      <c r="F142" s="9"/>
      <c r="G142" s="34"/>
      <c r="J142" s="9"/>
      <c r="K142" s="9"/>
      <c r="L142" s="9"/>
      <c r="M142" s="34"/>
    </row>
    <row r="143" spans="2:13" x14ac:dyDescent="0.3">
      <c r="I143" s="9"/>
      <c r="J143" s="9"/>
      <c r="K143" s="9"/>
      <c r="M143" s="34"/>
    </row>
    <row r="144" spans="2:13" x14ac:dyDescent="0.3">
      <c r="C144" s="35"/>
      <c r="D144" s="35"/>
      <c r="F144" s="9"/>
      <c r="G144" s="34"/>
      <c r="H144" s="35"/>
      <c r="I144" s="35"/>
      <c r="J144" s="9"/>
      <c r="K144" s="9"/>
      <c r="L144" s="9"/>
      <c r="M144" s="34"/>
    </row>
    <row r="145" spans="2:13" x14ac:dyDescent="0.3">
      <c r="C145" s="35"/>
      <c r="D145" s="35"/>
      <c r="F145" s="9"/>
      <c r="H145" s="35"/>
      <c r="I145" s="9"/>
      <c r="J145" s="9"/>
      <c r="K145" s="9"/>
      <c r="L145" s="9"/>
      <c r="M145" s="34"/>
    </row>
    <row r="146" spans="2:13" x14ac:dyDescent="0.3">
      <c r="H146" s="35"/>
      <c r="I146" s="9"/>
      <c r="J146" s="9"/>
      <c r="K146" s="9"/>
      <c r="L146" s="9"/>
      <c r="M146" s="34"/>
    </row>
    <row r="147" spans="2:13" x14ac:dyDescent="0.3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34"/>
    </row>
    <row r="148" spans="2:13" x14ac:dyDescent="0.3">
      <c r="F148" s="9"/>
      <c r="G148" s="9"/>
      <c r="H148" s="9"/>
      <c r="J148" s="9"/>
      <c r="K148" s="9"/>
      <c r="L148" s="9"/>
      <c r="M148" s="34"/>
    </row>
    <row r="149" spans="2:13" x14ac:dyDescent="0.3">
      <c r="F149" s="9"/>
      <c r="G149" s="9"/>
      <c r="H149" s="9"/>
      <c r="I149" s="9"/>
      <c r="J149" s="9"/>
      <c r="K149" s="9"/>
      <c r="L149" s="9"/>
      <c r="M149" s="34"/>
    </row>
    <row r="150" spans="2:13" x14ac:dyDescent="0.3">
      <c r="I150" s="9"/>
      <c r="J150" s="9"/>
      <c r="K150" s="9"/>
      <c r="L150" s="9"/>
      <c r="M150" s="34"/>
    </row>
    <row r="151" spans="2:13" x14ac:dyDescent="0.3">
      <c r="I151" s="9"/>
      <c r="J151" s="9"/>
      <c r="K151" s="9"/>
      <c r="M151" s="34"/>
    </row>
    <row r="152" spans="2:13" x14ac:dyDescent="0.3">
      <c r="J152" s="9"/>
      <c r="M152" s="34"/>
    </row>
    <row r="153" spans="2:13" x14ac:dyDescent="0.3">
      <c r="F153" s="9"/>
      <c r="I153" s="9"/>
      <c r="J153" s="9"/>
      <c r="K153" s="9"/>
      <c r="M153" s="34"/>
    </row>
    <row r="154" spans="2:13" x14ac:dyDescent="0.3">
      <c r="F154" s="9"/>
      <c r="I154" s="9"/>
      <c r="J154" s="9"/>
      <c r="K154" s="9"/>
      <c r="M154" s="34"/>
    </row>
    <row r="155" spans="2:13" x14ac:dyDescent="0.3">
      <c r="C155" s="35"/>
      <c r="D155" s="35"/>
      <c r="F155" s="9"/>
      <c r="I155" s="9"/>
      <c r="J155" s="9"/>
      <c r="K155" s="9"/>
      <c r="L155" s="9"/>
      <c r="M155" s="34"/>
    </row>
    <row r="156" spans="2:13" x14ac:dyDescent="0.3">
      <c r="B156" s="9"/>
      <c r="C156" s="9"/>
      <c r="D156" s="9"/>
      <c r="E156" s="9"/>
      <c r="F156" s="9"/>
      <c r="G156" s="34"/>
      <c r="I156" s="9"/>
      <c r="J156" s="9"/>
      <c r="K156" s="9"/>
      <c r="L156" s="9"/>
      <c r="M156" s="34"/>
    </row>
    <row r="157" spans="2:13" x14ac:dyDescent="0.3">
      <c r="C157" s="35"/>
      <c r="D157" s="35"/>
      <c r="F157" s="9"/>
      <c r="H157" s="35"/>
      <c r="I157" s="35"/>
      <c r="K157" s="9"/>
      <c r="M157" s="34"/>
    </row>
    <row r="158" spans="2:13" x14ac:dyDescent="0.3">
      <c r="H158" s="35"/>
      <c r="I158" s="9"/>
      <c r="J158" s="9"/>
      <c r="K158" s="9"/>
      <c r="L158" s="35"/>
      <c r="M158" s="34"/>
    </row>
    <row r="159" spans="2:13" x14ac:dyDescent="0.3">
      <c r="B159" s="9"/>
      <c r="C159" s="9"/>
      <c r="D159" s="9"/>
      <c r="E159" s="9"/>
      <c r="G159" s="34"/>
      <c r="H159" s="35"/>
      <c r="I159" s="9"/>
      <c r="J159" s="9"/>
      <c r="K159" s="9"/>
      <c r="L159" s="9"/>
      <c r="M159" s="34"/>
    </row>
    <row r="160" spans="2:13" x14ac:dyDescent="0.3">
      <c r="C160" s="35"/>
      <c r="D160" s="35"/>
      <c r="H160" s="35"/>
      <c r="I160" s="35"/>
      <c r="M160" s="34"/>
    </row>
    <row r="161" spans="6:13" x14ac:dyDescent="0.3">
      <c r="H161" s="35"/>
      <c r="I161" s="9"/>
      <c r="J161" s="9"/>
      <c r="K161" s="9"/>
      <c r="L161" s="35"/>
      <c r="M161" s="34"/>
    </row>
    <row r="162" spans="6:13" x14ac:dyDescent="0.3">
      <c r="F162" s="9"/>
      <c r="G162" s="9"/>
      <c r="H162" s="9"/>
      <c r="I162" s="9"/>
      <c r="J162" s="9"/>
      <c r="K162" s="9"/>
      <c r="L162" s="9"/>
      <c r="M162" s="34"/>
    </row>
    <row r="163" spans="6:13" x14ac:dyDescent="0.3">
      <c r="H163" s="35"/>
      <c r="I163" s="9"/>
      <c r="J163" s="9"/>
      <c r="K163" s="9"/>
      <c r="L163" s="35"/>
      <c r="M163" s="34"/>
    </row>
    <row r="164" spans="6:13" x14ac:dyDescent="0.3">
      <c r="F164" s="9"/>
      <c r="G164" s="9"/>
      <c r="H164" s="9"/>
      <c r="I164" s="9"/>
      <c r="J164" s="9"/>
      <c r="K164" s="9"/>
      <c r="L164" s="9"/>
      <c r="M164" s="34"/>
    </row>
    <row r="165" spans="6:13" x14ac:dyDescent="0.3">
      <c r="F165" s="9"/>
      <c r="G165" s="9"/>
      <c r="H165" s="9"/>
      <c r="I165" s="9"/>
      <c r="J165" s="9"/>
      <c r="K165" s="9"/>
      <c r="L165" s="9"/>
      <c r="M165" s="34"/>
    </row>
    <row r="166" spans="6:13" x14ac:dyDescent="0.3">
      <c r="H166" s="35"/>
      <c r="I166" s="9"/>
      <c r="J166" s="9"/>
      <c r="K166" s="9"/>
      <c r="L166" s="9"/>
      <c r="M166" s="34"/>
    </row>
    <row r="167" spans="6:13" x14ac:dyDescent="0.3">
      <c r="H167" s="35"/>
      <c r="I167" s="9"/>
      <c r="J167" s="9"/>
      <c r="K167" s="9"/>
      <c r="L167" s="9"/>
      <c r="M167" s="34"/>
    </row>
    <row r="168" spans="6:13" x14ac:dyDescent="0.3">
      <c r="H168" s="35"/>
      <c r="I168" s="9"/>
      <c r="J168" s="9"/>
      <c r="K168" s="9"/>
      <c r="M168" s="34"/>
    </row>
    <row r="169" spans="6:13" x14ac:dyDescent="0.3">
      <c r="H169" s="35"/>
      <c r="I169" s="9"/>
      <c r="J169" s="9"/>
      <c r="K169" s="9"/>
      <c r="M169" s="34"/>
    </row>
    <row r="170" spans="6:13" x14ac:dyDescent="0.3">
      <c r="H170" s="35"/>
      <c r="I170" s="9"/>
      <c r="J170" s="9"/>
      <c r="K170" s="9"/>
      <c r="M170" s="34"/>
    </row>
    <row r="171" spans="6:13" x14ac:dyDescent="0.3">
      <c r="H171" s="35"/>
      <c r="I171" s="9"/>
      <c r="J171" s="9"/>
      <c r="K171" s="9"/>
      <c r="L171" s="9"/>
      <c r="M171" s="34"/>
    </row>
    <row r="172" spans="6:13" x14ac:dyDescent="0.3">
      <c r="H172" s="35"/>
      <c r="I172" s="9"/>
      <c r="J172" s="9"/>
      <c r="K172" s="9"/>
      <c r="L172" s="9"/>
      <c r="M172" s="34"/>
    </row>
    <row r="173" spans="6:13" x14ac:dyDescent="0.3">
      <c r="H173" s="35"/>
      <c r="I173" s="35"/>
      <c r="J173" s="9"/>
      <c r="K173" s="9"/>
      <c r="L173" s="9"/>
      <c r="M173" s="34"/>
    </row>
    <row r="174" spans="6:13" x14ac:dyDescent="0.3">
      <c r="H174" s="35"/>
      <c r="I174" s="35"/>
      <c r="J174" s="9"/>
      <c r="K174" s="9"/>
      <c r="L174" s="9"/>
      <c r="M174" s="34"/>
    </row>
    <row r="175" spans="6:13" x14ac:dyDescent="0.3">
      <c r="H175" s="35"/>
      <c r="I175" s="9"/>
      <c r="J175" s="9"/>
      <c r="K175" s="9"/>
      <c r="L175" s="9"/>
      <c r="M175" s="34"/>
    </row>
    <row r="176" spans="6:13" x14ac:dyDescent="0.3">
      <c r="H176" s="35"/>
      <c r="I176" s="9"/>
      <c r="J176" s="9"/>
      <c r="K176" s="9"/>
      <c r="L176" s="9"/>
      <c r="M176" s="34"/>
    </row>
    <row r="177" spans="3:14" x14ac:dyDescent="0.3">
      <c r="I177" s="9"/>
      <c r="J177" s="9"/>
      <c r="K177" s="9"/>
      <c r="L177" s="9"/>
      <c r="M177" s="34"/>
    </row>
    <row r="178" spans="3:14" x14ac:dyDescent="0.3">
      <c r="I178" s="9"/>
      <c r="J178" s="9"/>
      <c r="K178" s="9"/>
      <c r="L178" s="9"/>
      <c r="M178" s="34"/>
    </row>
    <row r="179" spans="3:14" x14ac:dyDescent="0.3">
      <c r="I179" s="9"/>
      <c r="J179" s="9"/>
      <c r="K179" s="9"/>
      <c r="L179" s="9"/>
      <c r="M179" s="34"/>
    </row>
    <row r="180" spans="3:14" x14ac:dyDescent="0.3">
      <c r="I180" s="9"/>
      <c r="J180" s="9"/>
      <c r="K180" s="9"/>
      <c r="M180" s="34"/>
    </row>
    <row r="181" spans="3:14" x14ac:dyDescent="0.3">
      <c r="F181" s="9"/>
      <c r="G181" s="9"/>
      <c r="H181" s="9"/>
      <c r="I181" s="9"/>
      <c r="J181" s="9"/>
      <c r="K181" s="9"/>
      <c r="L181" s="9"/>
      <c r="M181" s="34"/>
    </row>
    <row r="182" spans="3:14" x14ac:dyDescent="0.3">
      <c r="F182" s="9"/>
      <c r="G182" s="9"/>
      <c r="H182" s="9"/>
      <c r="I182" s="9"/>
      <c r="J182" s="9"/>
      <c r="K182" s="9"/>
      <c r="L182" s="9"/>
      <c r="M182" s="34"/>
    </row>
    <row r="183" spans="3:14" x14ac:dyDescent="0.3">
      <c r="M183" s="34"/>
    </row>
    <row r="184" spans="3:14" x14ac:dyDescent="0.3">
      <c r="I184" s="9"/>
      <c r="J184" s="9"/>
      <c r="K184" s="9"/>
      <c r="L184" s="9"/>
      <c r="M184" s="34"/>
    </row>
    <row r="185" spans="3:14" x14ac:dyDescent="0.3">
      <c r="I185" s="9"/>
      <c r="J185" s="9"/>
      <c r="K185" s="9"/>
      <c r="L185" s="9"/>
      <c r="M185" s="34"/>
    </row>
    <row r="186" spans="3:14" x14ac:dyDescent="0.3">
      <c r="J186" s="9"/>
      <c r="K186" s="9"/>
      <c r="L186" s="9"/>
      <c r="M186" s="34"/>
    </row>
    <row r="187" spans="3:14" x14ac:dyDescent="0.3">
      <c r="C187" s="35"/>
      <c r="D187" s="35"/>
      <c r="H187" s="35"/>
      <c r="I187" s="9"/>
      <c r="J187" s="9"/>
      <c r="K187" s="9"/>
      <c r="L187" s="9"/>
      <c r="M187" s="34"/>
    </row>
    <row r="188" spans="3:14" x14ac:dyDescent="0.3">
      <c r="I188" s="9"/>
      <c r="J188" s="9"/>
      <c r="K188" s="9"/>
      <c r="L188" s="9"/>
      <c r="M188" s="34"/>
    </row>
    <row r="189" spans="3:14" x14ac:dyDescent="0.3">
      <c r="I189" s="9"/>
      <c r="J189" s="9"/>
      <c r="K189" s="9"/>
      <c r="L189" s="9"/>
      <c r="M189" s="34"/>
      <c r="N189" s="9"/>
    </row>
    <row r="190" spans="3:14" x14ac:dyDescent="0.3">
      <c r="I190" s="9"/>
      <c r="J190" s="9"/>
      <c r="K190" s="9"/>
      <c r="M190" s="34"/>
      <c r="N190" s="9"/>
    </row>
    <row r="191" spans="3:14" x14ac:dyDescent="0.3">
      <c r="I191" s="9"/>
      <c r="J191" s="9"/>
      <c r="K191" s="9"/>
      <c r="L191" s="9"/>
      <c r="M191" s="34"/>
      <c r="N191" s="9"/>
    </row>
    <row r="192" spans="3:14" x14ac:dyDescent="0.3">
      <c r="I192" s="9"/>
      <c r="J192" s="9"/>
      <c r="K192" s="9"/>
      <c r="L192" s="9"/>
      <c r="M192" s="34"/>
    </row>
    <row r="193" spans="9:14" x14ac:dyDescent="0.3">
      <c r="M193" s="34"/>
    </row>
    <row r="194" spans="9:14" x14ac:dyDescent="0.3">
      <c r="I194" s="9"/>
      <c r="J194" s="9"/>
      <c r="K194" s="9"/>
      <c r="L194" s="9"/>
      <c r="M194" s="34"/>
      <c r="N194" s="9"/>
    </row>
    <row r="195" spans="9:14" x14ac:dyDescent="0.3">
      <c r="I195" s="9"/>
      <c r="J195" s="9"/>
      <c r="K195" s="9"/>
      <c r="L195" s="9"/>
      <c r="M195" s="34"/>
    </row>
    <row r="196" spans="9:14" x14ac:dyDescent="0.3">
      <c r="J196" s="9"/>
      <c r="K196" s="9"/>
      <c r="L196" s="9"/>
      <c r="M196" s="34"/>
    </row>
    <row r="197" spans="9:14" x14ac:dyDescent="0.3">
      <c r="J197" s="9"/>
      <c r="K197" s="9"/>
      <c r="L197" s="9"/>
      <c r="M197" s="34"/>
    </row>
    <row r="198" spans="9:14" x14ac:dyDescent="0.3">
      <c r="J198" s="9"/>
      <c r="K198" s="9"/>
      <c r="L198" s="9"/>
      <c r="M198" s="34"/>
    </row>
    <row r="199" spans="9:14" x14ac:dyDescent="0.3">
      <c r="J199" s="9"/>
      <c r="K199" s="9"/>
      <c r="L199" s="9"/>
      <c r="M199" s="34"/>
    </row>
    <row r="200" spans="9:14" x14ac:dyDescent="0.3">
      <c r="I200" s="9"/>
      <c r="J200" s="9"/>
      <c r="K200" s="9"/>
      <c r="L200" s="9"/>
      <c r="M200" s="34"/>
      <c r="N200" s="9"/>
    </row>
    <row r="201" spans="9:14" x14ac:dyDescent="0.3">
      <c r="I201" s="9"/>
      <c r="J201" s="9"/>
      <c r="K201" s="9"/>
      <c r="L201" s="9"/>
      <c r="M201" s="34"/>
      <c r="N201" s="9"/>
    </row>
    <row r="202" spans="9:14" x14ac:dyDescent="0.3">
      <c r="J202" s="9"/>
      <c r="K202" s="9"/>
      <c r="L202" s="9"/>
      <c r="M202" s="34"/>
    </row>
    <row r="203" spans="9:14" x14ac:dyDescent="0.3">
      <c r="M203" s="34"/>
    </row>
    <row r="204" spans="9:14" x14ac:dyDescent="0.3">
      <c r="M204" s="34"/>
    </row>
    <row r="205" spans="9:14" x14ac:dyDescent="0.3">
      <c r="M205" s="34"/>
    </row>
    <row r="206" spans="9:14" x14ac:dyDescent="0.3">
      <c r="J206" s="9"/>
      <c r="K206" s="9"/>
      <c r="L206" s="9"/>
      <c r="M206" s="34"/>
    </row>
    <row r="207" spans="9:14" x14ac:dyDescent="0.3">
      <c r="I207" s="9"/>
      <c r="J207" s="9"/>
      <c r="K207" s="9"/>
      <c r="L207" s="9"/>
      <c r="M207" s="34"/>
      <c r="N207" s="9"/>
    </row>
    <row r="208" spans="9:14" x14ac:dyDescent="0.3">
      <c r="I208" s="9"/>
      <c r="J208" s="9"/>
      <c r="K208" s="9"/>
      <c r="L208" s="9"/>
      <c r="M208" s="34"/>
      <c r="N208" s="9"/>
    </row>
    <row r="209" spans="2:14" x14ac:dyDescent="0.3">
      <c r="J209" s="9"/>
      <c r="K209" s="9"/>
      <c r="L209" s="9"/>
      <c r="M209" s="34"/>
    </row>
    <row r="210" spans="2:14" x14ac:dyDescent="0.3">
      <c r="J210" s="9"/>
      <c r="K210" s="9"/>
      <c r="L210" s="9"/>
      <c r="M210" s="34"/>
    </row>
    <row r="211" spans="2:14" x14ac:dyDescent="0.3">
      <c r="J211" s="9"/>
      <c r="K211" s="9"/>
      <c r="L211" s="9"/>
      <c r="M211" s="34"/>
    </row>
    <row r="212" spans="2:14" x14ac:dyDescent="0.3">
      <c r="B212" s="9"/>
      <c r="C212" s="9"/>
      <c r="D212" s="9"/>
      <c r="E212" s="9"/>
      <c r="G212" s="34"/>
      <c r="H212" s="9"/>
      <c r="K212" s="9"/>
      <c r="M212" s="34"/>
    </row>
    <row r="213" spans="2:14" x14ac:dyDescent="0.3">
      <c r="B213" s="9"/>
      <c r="C213" s="9"/>
      <c r="D213" s="9"/>
      <c r="E213" s="9"/>
      <c r="G213" s="34"/>
      <c r="H213" s="9"/>
      <c r="I213" s="9"/>
      <c r="J213" s="9"/>
      <c r="K213" s="9"/>
      <c r="M213" s="34"/>
      <c r="N213" s="9"/>
    </row>
    <row r="214" spans="2:14" x14ac:dyDescent="0.3">
      <c r="B214" s="9"/>
      <c r="C214" s="9"/>
      <c r="D214" s="9"/>
      <c r="E214" s="9"/>
      <c r="G214" s="34"/>
      <c r="H214" s="9"/>
      <c r="I214" s="9"/>
      <c r="J214" s="9"/>
      <c r="K214" s="9"/>
      <c r="L214" s="9"/>
      <c r="M214" s="34"/>
      <c r="N214" s="9"/>
    </row>
    <row r="215" spans="2:14" x14ac:dyDescent="0.3">
      <c r="J215" s="9"/>
      <c r="K215" s="9"/>
      <c r="L215" s="9"/>
      <c r="M215" s="34"/>
    </row>
    <row r="216" spans="2:14" x14ac:dyDescent="0.3">
      <c r="J216" s="9"/>
      <c r="K216" s="9"/>
      <c r="L216" s="9"/>
      <c r="M216" s="34"/>
    </row>
    <row r="217" spans="2:14" x14ac:dyDescent="0.3">
      <c r="J217" s="9"/>
      <c r="K217" s="9"/>
      <c r="L217" s="9"/>
      <c r="M217" s="34"/>
    </row>
    <row r="218" spans="2:14" x14ac:dyDescent="0.3">
      <c r="I218" s="9"/>
      <c r="J218" s="9"/>
      <c r="K218" s="9"/>
      <c r="L218" s="9"/>
      <c r="M218" s="34"/>
      <c r="N218" s="9"/>
    </row>
    <row r="219" spans="2:14" x14ac:dyDescent="0.3">
      <c r="J219" s="9"/>
      <c r="K219" s="9"/>
      <c r="L219" s="9"/>
      <c r="M219" s="34"/>
    </row>
    <row r="220" spans="2:14" x14ac:dyDescent="0.3">
      <c r="M220" s="34"/>
    </row>
    <row r="221" spans="2:14" x14ac:dyDescent="0.3">
      <c r="M221" s="34"/>
    </row>
    <row r="222" spans="2:14" x14ac:dyDescent="0.3">
      <c r="M222" s="34"/>
    </row>
    <row r="223" spans="2:14" x14ac:dyDescent="0.3">
      <c r="M223" s="34"/>
    </row>
    <row r="224" spans="2:14" x14ac:dyDescent="0.3">
      <c r="M224" s="34"/>
    </row>
    <row r="225" spans="2:14" x14ac:dyDescent="0.3">
      <c r="J225" s="9"/>
      <c r="K225" s="9"/>
      <c r="L225" s="9"/>
      <c r="M225" s="34"/>
    </row>
    <row r="226" spans="2:14" x14ac:dyDescent="0.3">
      <c r="I226" s="9"/>
      <c r="J226" s="9"/>
      <c r="K226" s="9"/>
      <c r="M226" s="34"/>
      <c r="N226" s="9"/>
    </row>
    <row r="227" spans="2:14" x14ac:dyDescent="0.3">
      <c r="M227" s="34"/>
    </row>
    <row r="228" spans="2:14" x14ac:dyDescent="0.3">
      <c r="J228" s="9"/>
      <c r="K228" s="9"/>
      <c r="L228" s="9"/>
      <c r="M228" s="34"/>
    </row>
    <row r="229" spans="2:14" x14ac:dyDescent="0.3">
      <c r="M229" s="34"/>
    </row>
    <row r="230" spans="2:14" x14ac:dyDescent="0.3">
      <c r="M230" s="34"/>
    </row>
    <row r="231" spans="2:14" x14ac:dyDescent="0.3">
      <c r="M231" s="34"/>
    </row>
    <row r="232" spans="2:14" x14ac:dyDescent="0.3">
      <c r="M232" s="34"/>
    </row>
    <row r="233" spans="2:14" x14ac:dyDescent="0.3">
      <c r="J233" s="9"/>
      <c r="K233" s="9"/>
      <c r="L233" s="9"/>
      <c r="M233" s="34"/>
    </row>
    <row r="234" spans="2:14" x14ac:dyDescent="0.3">
      <c r="J234" s="9"/>
      <c r="K234" s="9"/>
      <c r="L234" s="9"/>
      <c r="M234" s="34"/>
    </row>
    <row r="235" spans="2:14" x14ac:dyDescent="0.3">
      <c r="M235" s="34"/>
    </row>
    <row r="236" spans="2:14" x14ac:dyDescent="0.3">
      <c r="I236" s="9"/>
      <c r="J236" s="9"/>
      <c r="K236" s="9"/>
      <c r="L236" s="9"/>
      <c r="M236" s="34"/>
      <c r="N236" s="9"/>
    </row>
    <row r="237" spans="2:14" x14ac:dyDescent="0.3">
      <c r="I237" s="9"/>
      <c r="J237" s="9"/>
      <c r="K237" s="9"/>
      <c r="M237" s="34"/>
      <c r="N237" s="9"/>
    </row>
    <row r="238" spans="2:14" x14ac:dyDescent="0.3">
      <c r="I238" s="9"/>
      <c r="J238" s="9"/>
      <c r="K238" s="9"/>
      <c r="M238" s="34"/>
      <c r="N238" s="9"/>
    </row>
    <row r="239" spans="2:14" x14ac:dyDescent="0.3">
      <c r="B239" s="9"/>
      <c r="C239" s="9"/>
      <c r="D239" s="9"/>
      <c r="E239" s="9"/>
      <c r="G239" s="34"/>
      <c r="H239" s="9"/>
      <c r="K239" s="9"/>
      <c r="M239" s="34"/>
    </row>
    <row r="240" spans="2:14" x14ac:dyDescent="0.3"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34"/>
      <c r="N240" s="9"/>
    </row>
    <row r="241" spans="2:14" x14ac:dyDescent="0.3"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34"/>
      <c r="N241" s="9"/>
    </row>
    <row r="242" spans="2:14" x14ac:dyDescent="0.3"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34"/>
    </row>
    <row r="243" spans="2:14" x14ac:dyDescent="0.3">
      <c r="J243" s="9"/>
    </row>
    <row r="247" spans="2:14" x14ac:dyDescent="0.3">
      <c r="J247" s="9"/>
      <c r="K247" s="9"/>
      <c r="L247" s="9"/>
    </row>
    <row r="264" spans="6:12" x14ac:dyDescent="0.3">
      <c r="J264" s="9"/>
    </row>
    <row r="265" spans="6:12" x14ac:dyDescent="0.3">
      <c r="J265" s="9"/>
    </row>
    <row r="266" spans="6:12" x14ac:dyDescent="0.3">
      <c r="J266" s="9"/>
      <c r="K266" s="9"/>
      <c r="L266" s="9"/>
    </row>
    <row r="267" spans="6:12" x14ac:dyDescent="0.3">
      <c r="J267" s="9"/>
      <c r="K267" s="9"/>
      <c r="L267" s="9"/>
    </row>
    <row r="268" spans="6:12" x14ac:dyDescent="0.3">
      <c r="F268" s="9"/>
      <c r="G268" s="9"/>
      <c r="H268" s="9"/>
      <c r="J268" s="9"/>
      <c r="K268" s="9"/>
      <c r="L268" s="9"/>
    </row>
    <row r="269" spans="6:12" x14ac:dyDescent="0.3">
      <c r="F269" s="9"/>
      <c r="G269" s="9"/>
      <c r="H269" s="9"/>
      <c r="J269" s="9"/>
      <c r="K269" s="9"/>
      <c r="L269" s="9"/>
    </row>
    <row r="270" spans="6:12" x14ac:dyDescent="0.3">
      <c r="F270" s="9"/>
      <c r="G270" s="9"/>
      <c r="H270" s="9"/>
      <c r="J270" s="9"/>
      <c r="K270" s="9"/>
      <c r="L270" s="9"/>
    </row>
    <row r="271" spans="6:12" x14ac:dyDescent="0.3">
      <c r="F271" s="9"/>
      <c r="G271" s="9"/>
      <c r="H271" s="9"/>
      <c r="J271" s="9"/>
      <c r="K271" s="9"/>
      <c r="L271" s="9"/>
    </row>
  </sheetData>
  <customSheetViews>
    <customSheetView guid="{00EB2128-6FEB-46D9-8228-9DEE2E0F997A}">
      <selection activeCell="F14" sqref="F1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selection sqref="A1:O31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Table">
    <tabColor theme="6"/>
  </sheetPr>
  <dimension ref="A1:T911"/>
  <sheetViews>
    <sheetView workbookViewId="0">
      <selection activeCell="G22" sqref="G22"/>
    </sheetView>
  </sheetViews>
  <sheetFormatPr baseColWidth="10" defaultColWidth="11.3984375" defaultRowHeight="10.199999999999999" x14ac:dyDescent="0.3"/>
  <cols>
    <col min="1" max="1" width="11.3984375" style="39"/>
    <col min="2" max="8" width="14.1328125" style="37" customWidth="1"/>
    <col min="9" max="9" width="13.86328125" style="37" customWidth="1"/>
    <col min="10" max="10" width="13.73046875" style="38" bestFit="1" customWidth="1"/>
    <col min="11" max="11" width="17.73046875" style="38" bestFit="1" customWidth="1"/>
    <col min="12" max="20" width="11.3984375" style="38"/>
    <col min="21" max="16384" width="11.3984375" style="1"/>
  </cols>
  <sheetData>
    <row r="1" spans="1:11" x14ac:dyDescent="0.3">
      <c r="A1" s="36"/>
      <c r="B1" s="37" t="s">
        <v>26</v>
      </c>
      <c r="C1" s="37" t="s">
        <v>26</v>
      </c>
      <c r="D1" s="37" t="s">
        <v>26</v>
      </c>
      <c r="E1" s="37" t="s">
        <v>26</v>
      </c>
      <c r="F1" s="37" t="s">
        <v>26</v>
      </c>
      <c r="G1" s="37" t="s">
        <v>26</v>
      </c>
      <c r="H1" s="37" t="s">
        <v>26</v>
      </c>
      <c r="I1" s="37" t="s">
        <v>26</v>
      </c>
    </row>
    <row r="2" spans="1:11" x14ac:dyDescent="0.3">
      <c r="B2" s="37" t="s">
        <v>27</v>
      </c>
      <c r="C2" s="37" t="s">
        <v>28</v>
      </c>
      <c r="D2" s="37" t="s">
        <v>29</v>
      </c>
      <c r="E2" s="37" t="s">
        <v>23</v>
      </c>
      <c r="F2" s="37" t="s">
        <v>40</v>
      </c>
      <c r="G2" s="37" t="s">
        <v>30</v>
      </c>
      <c r="H2" s="37" t="s">
        <v>31</v>
      </c>
      <c r="I2" s="37" t="s">
        <v>68</v>
      </c>
    </row>
    <row r="3" spans="1:11" x14ac:dyDescent="0.3">
      <c r="A3" s="39" t="s">
        <v>22</v>
      </c>
      <c r="B3" s="37">
        <v>-161416.23522999999</v>
      </c>
      <c r="C3" s="37">
        <v>52892.896270000005</v>
      </c>
      <c r="D3" s="37">
        <v>-9087.2446300000011</v>
      </c>
      <c r="E3" s="37">
        <v>243771.55953999999</v>
      </c>
      <c r="F3" s="37">
        <v>28910.126980000001</v>
      </c>
      <c r="G3" s="37">
        <v>101695.00744</v>
      </c>
      <c r="H3" s="37">
        <v>2051.6559499999998</v>
      </c>
      <c r="I3" s="37">
        <v>258817.76631000001</v>
      </c>
      <c r="J3" s="40"/>
      <c r="K3" s="40"/>
    </row>
    <row r="4" spans="1:11" x14ac:dyDescent="0.3">
      <c r="A4" s="41">
        <v>41089</v>
      </c>
      <c r="B4" s="37">
        <v>-148878.73522999999</v>
      </c>
      <c r="C4" s="37">
        <v>52892.896270000005</v>
      </c>
      <c r="D4" s="37">
        <v>-9087.2446300000011</v>
      </c>
      <c r="E4" s="37">
        <v>242782.67563999997</v>
      </c>
      <c r="F4" s="37">
        <v>28910.126980000001</v>
      </c>
      <c r="G4" s="37">
        <v>101695.00744</v>
      </c>
      <c r="H4" s="37">
        <v>2051.6559499999998</v>
      </c>
      <c r="I4" s="37">
        <v>270366.38241000002</v>
      </c>
      <c r="J4" s="40"/>
      <c r="K4" s="40"/>
    </row>
    <row r="5" spans="1:11" x14ac:dyDescent="0.3">
      <c r="A5" s="41">
        <v>41092</v>
      </c>
      <c r="B5" s="37">
        <v>131202.84403000001</v>
      </c>
      <c r="C5" s="37">
        <v>52892.896270000005</v>
      </c>
      <c r="D5" s="37">
        <v>-9087.2446300000011</v>
      </c>
      <c r="E5" s="37">
        <v>-1384442.02728</v>
      </c>
      <c r="F5" s="37">
        <v>28910.126980000001</v>
      </c>
      <c r="G5" s="37">
        <v>101695.00744</v>
      </c>
      <c r="H5" s="37">
        <v>2051.6559499999998</v>
      </c>
      <c r="I5" s="37">
        <v>-1076776.74125</v>
      </c>
      <c r="J5" s="40"/>
      <c r="K5" s="40"/>
    </row>
    <row r="6" spans="1:11" x14ac:dyDescent="0.3">
      <c r="A6" s="41">
        <v>41093</v>
      </c>
      <c r="B6" s="37">
        <v>131202.84403000001</v>
      </c>
      <c r="C6" s="37">
        <v>52892.896270000005</v>
      </c>
      <c r="D6" s="37">
        <v>-9087.2446300000011</v>
      </c>
      <c r="E6" s="37">
        <v>-983601.54116999998</v>
      </c>
      <c r="F6" s="37">
        <v>28910.126980000001</v>
      </c>
      <c r="G6" s="37">
        <v>101695.00744</v>
      </c>
      <c r="H6" s="37">
        <v>2051.6559499999998</v>
      </c>
      <c r="I6" s="37">
        <v>-675936.25514000002</v>
      </c>
      <c r="J6" s="40"/>
      <c r="K6" s="40"/>
    </row>
    <row r="7" spans="1:11" x14ac:dyDescent="0.3">
      <c r="A7" s="41">
        <v>41095</v>
      </c>
      <c r="B7" s="37">
        <v>131202.84403000001</v>
      </c>
      <c r="C7" s="37">
        <v>52892.896270000005</v>
      </c>
      <c r="D7" s="37">
        <v>-9087.2446300000011</v>
      </c>
      <c r="E7" s="37">
        <v>-1483747.3836700001</v>
      </c>
      <c r="F7" s="37">
        <v>28910.127</v>
      </c>
      <c r="G7" s="37">
        <v>101695.00744</v>
      </c>
      <c r="H7" s="37">
        <v>2051.6559499999998</v>
      </c>
      <c r="I7" s="37">
        <v>-1176082.0976400001</v>
      </c>
      <c r="J7" s="40"/>
      <c r="K7" s="40"/>
    </row>
    <row r="8" spans="1:11" x14ac:dyDescent="0.3">
      <c r="A8" s="41">
        <v>41096</v>
      </c>
      <c r="B8" s="37">
        <v>131202.84403000001</v>
      </c>
      <c r="C8" s="37">
        <v>52892.896270000005</v>
      </c>
      <c r="D8" s="37">
        <v>-9087.2446300000011</v>
      </c>
      <c r="E8" s="37">
        <v>-2168581.2280199998</v>
      </c>
      <c r="F8" s="37">
        <v>28910.127</v>
      </c>
      <c r="G8" s="37">
        <v>101695.00744</v>
      </c>
      <c r="H8" s="37">
        <v>2051.6559499999998</v>
      </c>
      <c r="I8" s="37">
        <v>-1860915.94199</v>
      </c>
      <c r="J8" s="40"/>
      <c r="K8" s="40"/>
    </row>
    <row r="9" spans="1:11" x14ac:dyDescent="0.3">
      <c r="A9" s="41">
        <v>41099</v>
      </c>
      <c r="B9" s="37">
        <v>131202.84403000001</v>
      </c>
      <c r="C9" s="37">
        <v>52892.896270000005</v>
      </c>
      <c r="D9" s="37">
        <v>-9087.2446300000011</v>
      </c>
      <c r="E9" s="37">
        <v>-3917033.9318400002</v>
      </c>
      <c r="F9" s="37">
        <v>28910.127</v>
      </c>
      <c r="G9" s="37">
        <v>101695.00744</v>
      </c>
      <c r="H9" s="37">
        <v>2051.6559499999998</v>
      </c>
      <c r="I9" s="37">
        <v>-3609368.6458100001</v>
      </c>
      <c r="J9" s="40"/>
      <c r="K9" s="40"/>
    </row>
    <row r="10" spans="1:11" x14ac:dyDescent="0.3">
      <c r="A10" s="41">
        <v>41100</v>
      </c>
      <c r="B10" s="37">
        <v>131202.84403000001</v>
      </c>
      <c r="C10" s="37">
        <v>52892.896270000005</v>
      </c>
      <c r="D10" s="37">
        <v>-9087.2446300000011</v>
      </c>
      <c r="E10" s="37">
        <v>-3916036.4318400002</v>
      </c>
      <c r="F10" s="37">
        <v>28910.127</v>
      </c>
      <c r="G10" s="37">
        <v>101695.00744</v>
      </c>
      <c r="H10" s="37">
        <v>2051.6559499999998</v>
      </c>
      <c r="I10" s="37">
        <v>-3608371.1458100001</v>
      </c>
      <c r="J10" s="40"/>
      <c r="K10" s="40"/>
    </row>
    <row r="11" spans="1:11" x14ac:dyDescent="0.3">
      <c r="A11" s="41">
        <v>41101</v>
      </c>
      <c r="B11" s="37">
        <v>131202.84403000001</v>
      </c>
      <c r="C11" s="37">
        <v>52892.896270000005</v>
      </c>
      <c r="D11" s="37">
        <v>-9087.2446300000011</v>
      </c>
      <c r="E11" s="37">
        <v>-3916147.1364899999</v>
      </c>
      <c r="F11" s="37">
        <v>28910.127</v>
      </c>
      <c r="G11" s="37">
        <v>101695.00744</v>
      </c>
      <c r="H11" s="37">
        <v>2051.6559499999998</v>
      </c>
      <c r="I11" s="37">
        <v>-3608481.8504599999</v>
      </c>
      <c r="J11" s="40"/>
      <c r="K11" s="40"/>
    </row>
    <row r="12" spans="1:11" x14ac:dyDescent="0.3">
      <c r="A12" s="41">
        <v>41102</v>
      </c>
      <c r="B12" s="37">
        <v>131202.84403000001</v>
      </c>
      <c r="C12" s="37">
        <v>52892.896270000005</v>
      </c>
      <c r="D12" s="37">
        <v>-9087.2446300000011</v>
      </c>
      <c r="E12" s="37">
        <v>-4303814.6963599995</v>
      </c>
      <c r="F12" s="37">
        <v>28910.127</v>
      </c>
      <c r="G12" s="37">
        <v>101695.00744</v>
      </c>
      <c r="H12" s="37">
        <v>2051.6559499999998</v>
      </c>
      <c r="I12" s="37">
        <v>-3996149.4103299999</v>
      </c>
      <c r="J12" s="40"/>
      <c r="K12" s="40"/>
    </row>
    <row r="13" spans="1:11" x14ac:dyDescent="0.3">
      <c r="A13" s="41">
        <v>41103</v>
      </c>
      <c r="B13" s="37">
        <v>131202.84403000001</v>
      </c>
      <c r="C13" s="37">
        <v>52892.896270000005</v>
      </c>
      <c r="D13" s="37">
        <v>-9087.2446300000011</v>
      </c>
      <c r="E13" s="37">
        <v>-4153814.6963599999</v>
      </c>
      <c r="F13" s="37">
        <v>28910.127</v>
      </c>
      <c r="G13" s="37">
        <v>101695.00744</v>
      </c>
      <c r="H13" s="37">
        <v>2051.6559499999998</v>
      </c>
      <c r="I13" s="37">
        <v>-3846149.4103299999</v>
      </c>
      <c r="J13" s="40"/>
      <c r="K13" s="40"/>
    </row>
    <row r="14" spans="1:11" x14ac:dyDescent="0.3">
      <c r="A14" s="41">
        <v>41106</v>
      </c>
      <c r="B14" s="37">
        <v>139070.32196</v>
      </c>
      <c r="C14" s="37">
        <v>52892.896270000005</v>
      </c>
      <c r="D14" s="37">
        <v>-9087.2446300000011</v>
      </c>
      <c r="E14" s="37">
        <v>-4835512.7622499997</v>
      </c>
      <c r="F14" s="37">
        <v>31910.328739999997</v>
      </c>
      <c r="G14" s="37">
        <v>101695.00744</v>
      </c>
      <c r="H14" s="37">
        <v>2051.6559499999998</v>
      </c>
      <c r="I14" s="37">
        <v>-4516979.7965299999</v>
      </c>
      <c r="J14" s="40"/>
      <c r="K14" s="40"/>
    </row>
    <row r="15" spans="1:11" x14ac:dyDescent="0.3">
      <c r="A15" s="41">
        <v>41107</v>
      </c>
      <c r="B15" s="37">
        <v>139679.69696</v>
      </c>
      <c r="C15" s="37">
        <v>52892.896270000005</v>
      </c>
      <c r="D15" s="37">
        <v>-9087.2446300000011</v>
      </c>
      <c r="E15" s="37">
        <v>-4460158.8733599996</v>
      </c>
      <c r="F15" s="37">
        <v>31910.328739999997</v>
      </c>
      <c r="G15" s="37">
        <v>101695.00744</v>
      </c>
      <c r="H15" s="37">
        <v>2051.6559499999998</v>
      </c>
      <c r="I15" s="37">
        <v>-4141016.5326399999</v>
      </c>
      <c r="J15" s="40"/>
      <c r="K15" s="40"/>
    </row>
    <row r="16" spans="1:11" x14ac:dyDescent="0.3">
      <c r="A16" s="41">
        <v>41108</v>
      </c>
      <c r="B16" s="37">
        <v>139679.69696</v>
      </c>
      <c r="C16" s="37">
        <v>52892.896270000005</v>
      </c>
      <c r="D16" s="37">
        <v>-9087.2446300000011</v>
      </c>
      <c r="E16" s="37">
        <v>-4310158.8733599996</v>
      </c>
      <c r="F16" s="37">
        <v>31910.328739999997</v>
      </c>
      <c r="G16" s="37">
        <v>101695.00744</v>
      </c>
      <c r="H16" s="37">
        <v>2051.6559499999998</v>
      </c>
      <c r="I16" s="37">
        <v>-3991016.5326399999</v>
      </c>
      <c r="J16" s="40"/>
      <c r="K16" s="40"/>
    </row>
    <row r="17" spans="1:11" x14ac:dyDescent="0.3">
      <c r="A17" s="41">
        <v>41109</v>
      </c>
      <c r="B17" s="37">
        <v>141052.19696</v>
      </c>
      <c r="C17" s="37">
        <v>52892.896270000005</v>
      </c>
      <c r="D17" s="37">
        <v>-9087.2446300000011</v>
      </c>
      <c r="E17" s="37">
        <v>-3960161.2734099999</v>
      </c>
      <c r="F17" s="37">
        <v>31910.328739999997</v>
      </c>
      <c r="G17" s="37">
        <v>101695.00744</v>
      </c>
      <c r="H17" s="37">
        <v>2051.6559499999998</v>
      </c>
      <c r="I17" s="37">
        <v>-3639646.4326900002</v>
      </c>
      <c r="J17" s="40"/>
      <c r="K17" s="40"/>
    </row>
    <row r="18" spans="1:11" x14ac:dyDescent="0.3">
      <c r="A18" s="41">
        <v>41110</v>
      </c>
      <c r="B18" s="37">
        <v>141052.19696</v>
      </c>
      <c r="C18" s="37">
        <v>52892.896270000005</v>
      </c>
      <c r="D18" s="37">
        <v>-9087.2446300000011</v>
      </c>
      <c r="E18" s="37">
        <v>-3660106.2150999997</v>
      </c>
      <c r="F18" s="37">
        <v>31910.328739999997</v>
      </c>
      <c r="G18" s="37">
        <v>101695.00744</v>
      </c>
      <c r="H18" s="37">
        <v>2051.6559499999998</v>
      </c>
      <c r="I18" s="37">
        <v>-3339591.3743799999</v>
      </c>
      <c r="J18" s="40"/>
      <c r="K18" s="40"/>
    </row>
    <row r="19" spans="1:11" x14ac:dyDescent="0.3">
      <c r="A19" s="41">
        <v>41113</v>
      </c>
      <c r="B19" s="37">
        <v>141728.54696000001</v>
      </c>
      <c r="C19" s="37">
        <v>52892.896270000005</v>
      </c>
      <c r="D19" s="37">
        <v>-9087.2446300000011</v>
      </c>
      <c r="E19" s="37">
        <v>-3167440.8810300003</v>
      </c>
      <c r="F19" s="37">
        <v>31910.328739999997</v>
      </c>
      <c r="G19" s="37">
        <v>101695.00744</v>
      </c>
      <c r="H19" s="37">
        <v>2051.6559499999998</v>
      </c>
      <c r="I19" s="37">
        <v>-2846249.69031</v>
      </c>
      <c r="J19" s="40"/>
      <c r="K19" s="40"/>
    </row>
    <row r="20" spans="1:11" x14ac:dyDescent="0.3">
      <c r="A20" s="41">
        <v>41114</v>
      </c>
      <c r="B20" s="37">
        <v>141728.54696000001</v>
      </c>
      <c r="C20" s="37">
        <v>52892.896270000005</v>
      </c>
      <c r="D20" s="37">
        <v>-9087.2446300000011</v>
      </c>
      <c r="E20" s="37">
        <v>-1770985.3184</v>
      </c>
      <c r="F20" s="37">
        <v>31910.328739999997</v>
      </c>
      <c r="G20" s="37">
        <v>101695.00744</v>
      </c>
      <c r="H20" s="37">
        <v>2051.6559499999998</v>
      </c>
      <c r="I20" s="37">
        <v>-1449794.1276800002</v>
      </c>
      <c r="J20" s="40"/>
      <c r="K20" s="40"/>
    </row>
    <row r="21" spans="1:11" x14ac:dyDescent="0.3">
      <c r="A21" s="41">
        <v>41116</v>
      </c>
      <c r="B21" s="37">
        <v>141728.54696000001</v>
      </c>
      <c r="C21" s="37">
        <v>52892.896270000005</v>
      </c>
      <c r="D21" s="37">
        <v>-9087.2446300000011</v>
      </c>
      <c r="E21" s="37">
        <v>-1252139.80134</v>
      </c>
      <c r="F21" s="37">
        <v>31910.328739999997</v>
      </c>
      <c r="G21" s="37">
        <v>101695.00744</v>
      </c>
      <c r="H21" s="37">
        <v>2051.6559499999998</v>
      </c>
      <c r="I21" s="37">
        <v>-930948.61062000005</v>
      </c>
      <c r="J21" s="40"/>
      <c r="K21" s="40"/>
    </row>
    <row r="22" spans="1:11" x14ac:dyDescent="0.3">
      <c r="A22" s="41">
        <v>41120</v>
      </c>
      <c r="B22" s="37">
        <v>141728.54696000001</v>
      </c>
      <c r="C22" s="37">
        <v>52892.896270000005</v>
      </c>
      <c r="D22" s="37">
        <v>-9087.2446300000011</v>
      </c>
      <c r="E22" s="37">
        <v>-946893.32820000011</v>
      </c>
      <c r="F22" s="37">
        <v>31910.328739999997</v>
      </c>
      <c r="G22" s="37">
        <v>101695.00744</v>
      </c>
      <c r="H22" s="37">
        <v>2051.6559499999998</v>
      </c>
      <c r="I22" s="37">
        <v>-625702.13748000003</v>
      </c>
      <c r="J22" s="40"/>
      <c r="K22" s="40"/>
    </row>
    <row r="23" spans="1:11" x14ac:dyDescent="0.3">
      <c r="A23" s="41">
        <v>41121</v>
      </c>
      <c r="B23" s="37">
        <v>141728.54696000001</v>
      </c>
      <c r="C23" s="37">
        <v>52892.896270000005</v>
      </c>
      <c r="D23" s="37">
        <v>-9087.2446300000011</v>
      </c>
      <c r="E23" s="37">
        <v>-419123.34337999998</v>
      </c>
      <c r="F23" s="37">
        <v>31910.328739999997</v>
      </c>
      <c r="G23" s="37">
        <v>101695.00744</v>
      </c>
      <c r="H23" s="37">
        <v>2051.6559499999998</v>
      </c>
      <c r="I23" s="37">
        <v>-97932.152659999992</v>
      </c>
      <c r="J23" s="40"/>
      <c r="K23" s="40"/>
    </row>
    <row r="24" spans="1:11" x14ac:dyDescent="0.3">
      <c r="A24" s="41">
        <v>41122</v>
      </c>
      <c r="B24" s="37">
        <v>142369.17196000001</v>
      </c>
      <c r="C24" s="37">
        <v>52892.896270000005</v>
      </c>
      <c r="D24" s="37">
        <v>-9087.2446300000011</v>
      </c>
      <c r="E24" s="37">
        <v>-419123.34337999998</v>
      </c>
      <c r="F24" s="37">
        <v>31910.328739999997</v>
      </c>
      <c r="G24" s="37">
        <v>101695.00744</v>
      </c>
      <c r="H24" s="37">
        <v>2051.6559499999998</v>
      </c>
      <c r="I24" s="37">
        <v>-97291.527659999992</v>
      </c>
      <c r="J24" s="40"/>
      <c r="K24" s="40"/>
    </row>
    <row r="25" spans="1:11" x14ac:dyDescent="0.3">
      <c r="A25" s="41">
        <v>41123</v>
      </c>
      <c r="B25" s="37">
        <v>142369.17196000001</v>
      </c>
      <c r="C25" s="37">
        <v>52892.896270000005</v>
      </c>
      <c r="D25" s="37">
        <v>-9087.2446300000011</v>
      </c>
      <c r="E25" s="37">
        <v>31298.427949999998</v>
      </c>
      <c r="F25" s="37">
        <v>31910.328739999997</v>
      </c>
      <c r="G25" s="37">
        <v>101695.00744</v>
      </c>
      <c r="H25" s="37">
        <v>2051.6559499999998</v>
      </c>
      <c r="I25" s="37">
        <v>353130.24367</v>
      </c>
      <c r="J25" s="40"/>
      <c r="K25" s="40"/>
    </row>
    <row r="26" spans="1:11" x14ac:dyDescent="0.3">
      <c r="A26" s="41">
        <v>41128</v>
      </c>
      <c r="B26" s="37">
        <v>142369.17196000001</v>
      </c>
      <c r="C26" s="37">
        <v>52892.896270000005</v>
      </c>
      <c r="D26" s="37">
        <v>-9087.2446300000011</v>
      </c>
      <c r="E26" s="37">
        <v>632601.76128999994</v>
      </c>
      <c r="F26" s="37">
        <v>31910.328739999997</v>
      </c>
      <c r="G26" s="37">
        <v>101695.00744</v>
      </c>
      <c r="H26" s="37">
        <v>2051.6559499999998</v>
      </c>
      <c r="I26" s="37">
        <v>954433.57701000001</v>
      </c>
      <c r="J26" s="40"/>
      <c r="K26" s="40"/>
    </row>
    <row r="27" spans="1:11" x14ac:dyDescent="0.3">
      <c r="A27" s="41">
        <v>41129</v>
      </c>
      <c r="B27" s="37">
        <v>142369.17196000001</v>
      </c>
      <c r="C27" s="37">
        <v>52892.896270000005</v>
      </c>
      <c r="D27" s="37">
        <v>-9087.2446300000011</v>
      </c>
      <c r="E27" s="37">
        <v>833020.87239999999</v>
      </c>
      <c r="F27" s="37">
        <v>31910.328739999997</v>
      </c>
      <c r="G27" s="37">
        <v>101695.00744</v>
      </c>
      <c r="H27" s="37">
        <v>2051.6559499999998</v>
      </c>
      <c r="I27" s="37">
        <v>1154852.6881199998</v>
      </c>
      <c r="J27" s="40"/>
      <c r="K27" s="40"/>
    </row>
    <row r="28" spans="1:11" x14ac:dyDescent="0.3">
      <c r="A28" s="41">
        <v>41130</v>
      </c>
      <c r="B28" s="37">
        <v>142369.17196000001</v>
      </c>
      <c r="C28" s="37">
        <v>52892.896270000005</v>
      </c>
      <c r="D28" s="37">
        <v>-9087.2446300000011</v>
      </c>
      <c r="E28" s="37">
        <v>983342.87239999999</v>
      </c>
      <c r="F28" s="37">
        <v>31910.328739999997</v>
      </c>
      <c r="G28" s="37">
        <v>101695.00744</v>
      </c>
      <c r="H28" s="37">
        <v>2051.6559499999998</v>
      </c>
      <c r="I28" s="37">
        <v>1305174.6881199998</v>
      </c>
      <c r="J28" s="40"/>
      <c r="K28" s="40"/>
    </row>
    <row r="29" spans="1:11" x14ac:dyDescent="0.3">
      <c r="A29" s="41">
        <v>41136</v>
      </c>
      <c r="B29" s="37">
        <v>221526.67196000001</v>
      </c>
      <c r="C29" s="37">
        <v>52892.896270000005</v>
      </c>
      <c r="D29" s="37">
        <v>-9087.2446300000011</v>
      </c>
      <c r="E29" s="37">
        <v>985462.87239999999</v>
      </c>
      <c r="F29" s="37">
        <v>31910.328739999997</v>
      </c>
      <c r="G29" s="37">
        <v>101695.00744</v>
      </c>
      <c r="H29" s="37">
        <v>2051.6559499999998</v>
      </c>
      <c r="I29" s="37">
        <v>1386452.1881199998</v>
      </c>
      <c r="J29" s="40"/>
      <c r="K29" s="40"/>
    </row>
    <row r="30" spans="1:11" x14ac:dyDescent="0.3">
      <c r="A30" s="41">
        <v>41137</v>
      </c>
      <c r="B30" s="37">
        <v>223232.92196000001</v>
      </c>
      <c r="C30" s="37">
        <v>52892.896270000005</v>
      </c>
      <c r="D30" s="37">
        <v>-9087.2446300000011</v>
      </c>
      <c r="E30" s="37">
        <v>1085674.70573</v>
      </c>
      <c r="F30" s="37">
        <v>31910.328739999997</v>
      </c>
      <c r="G30" s="37">
        <v>101695.00744</v>
      </c>
      <c r="H30" s="37">
        <v>2051.6559499999998</v>
      </c>
      <c r="I30" s="37">
        <v>1488370.2714500001</v>
      </c>
      <c r="J30" s="40"/>
      <c r="K30" s="40"/>
    </row>
    <row r="31" spans="1:11" x14ac:dyDescent="0.3">
      <c r="A31" s="41">
        <v>41138</v>
      </c>
      <c r="B31" s="37">
        <v>223232.92196000001</v>
      </c>
      <c r="C31" s="37">
        <v>52892.896270000005</v>
      </c>
      <c r="D31" s="37">
        <v>-9087.2446300000011</v>
      </c>
      <c r="E31" s="37">
        <v>1486533.3724</v>
      </c>
      <c r="F31" s="37">
        <v>31910.328739999997</v>
      </c>
      <c r="G31" s="37">
        <v>101695.00744</v>
      </c>
      <c r="H31" s="37">
        <v>2051.6559499999998</v>
      </c>
      <c r="I31" s="37">
        <v>1889228.9381199998</v>
      </c>
      <c r="J31" s="40"/>
      <c r="K31" s="40"/>
    </row>
    <row r="32" spans="1:11" x14ac:dyDescent="0.3">
      <c r="A32" s="41">
        <v>41141</v>
      </c>
      <c r="B32" s="37">
        <v>223232.92196000001</v>
      </c>
      <c r="C32" s="37">
        <v>52892.896270000005</v>
      </c>
      <c r="D32" s="37">
        <v>-9087.2446300000011</v>
      </c>
      <c r="E32" s="37">
        <v>1889117.6111700002</v>
      </c>
      <c r="F32" s="37">
        <v>31910.328739999997</v>
      </c>
      <c r="G32" s="37">
        <v>101695.00744</v>
      </c>
      <c r="H32" s="37">
        <v>2051.6559499999998</v>
      </c>
      <c r="I32" s="37">
        <v>2291813.1768899998</v>
      </c>
      <c r="J32" s="40"/>
      <c r="K32" s="40"/>
    </row>
    <row r="33" spans="1:11" x14ac:dyDescent="0.3">
      <c r="A33" s="41">
        <v>41142</v>
      </c>
      <c r="B33" s="37">
        <v>223232.92196000001</v>
      </c>
      <c r="C33" s="37">
        <v>52892.896270000005</v>
      </c>
      <c r="D33" s="37">
        <v>-9087.2446300000011</v>
      </c>
      <c r="E33" s="37">
        <v>2139699.00006</v>
      </c>
      <c r="F33" s="37">
        <v>31910.328739999997</v>
      </c>
      <c r="G33" s="37">
        <v>101695.00744</v>
      </c>
      <c r="H33" s="37">
        <v>2051.6559499999998</v>
      </c>
      <c r="I33" s="37">
        <v>2542394.5657800003</v>
      </c>
      <c r="J33" s="40"/>
      <c r="K33" s="40"/>
    </row>
    <row r="34" spans="1:11" x14ac:dyDescent="0.3">
      <c r="A34" s="41">
        <v>41143</v>
      </c>
      <c r="B34" s="37">
        <v>223232.92196000001</v>
      </c>
      <c r="C34" s="37">
        <v>52892.896270000005</v>
      </c>
      <c r="D34" s="37">
        <v>-9087.2446300000011</v>
      </c>
      <c r="E34" s="37">
        <v>2340159.00006</v>
      </c>
      <c r="F34" s="37">
        <v>31910.328739999997</v>
      </c>
      <c r="G34" s="37">
        <v>101695.00744</v>
      </c>
      <c r="H34" s="37">
        <v>2051.6559499999998</v>
      </c>
      <c r="I34" s="37">
        <v>2742854.5657800003</v>
      </c>
      <c r="J34" s="40"/>
      <c r="K34" s="40"/>
    </row>
    <row r="35" spans="1:11" x14ac:dyDescent="0.3">
      <c r="A35" s="41">
        <v>41145</v>
      </c>
      <c r="B35" s="37">
        <v>223232.92196000001</v>
      </c>
      <c r="C35" s="37">
        <v>52892.896270000005</v>
      </c>
      <c r="D35" s="37">
        <v>-9087.2446300000011</v>
      </c>
      <c r="E35" s="37">
        <v>2490504.00006</v>
      </c>
      <c r="F35" s="37">
        <v>31910.328739999997</v>
      </c>
      <c r="G35" s="37">
        <v>101695.00744</v>
      </c>
      <c r="H35" s="37">
        <v>2051.6559499999998</v>
      </c>
      <c r="I35" s="37">
        <v>2893199.5657800003</v>
      </c>
      <c r="J35" s="40"/>
      <c r="K35" s="40"/>
    </row>
    <row r="36" spans="1:11" x14ac:dyDescent="0.3">
      <c r="A36" s="41">
        <v>41148</v>
      </c>
      <c r="B36" s="37">
        <v>223282.92196000001</v>
      </c>
      <c r="C36" s="37">
        <v>52892.896270000005</v>
      </c>
      <c r="D36" s="37">
        <v>-9087.2446300000011</v>
      </c>
      <c r="E36" s="37">
        <v>2580696.7000599997</v>
      </c>
      <c r="F36" s="37">
        <v>31910.328739999997</v>
      </c>
      <c r="G36" s="37">
        <v>101695.00744</v>
      </c>
      <c r="H36" s="37">
        <v>2051.6559499999998</v>
      </c>
      <c r="I36" s="37">
        <v>2983442.26578</v>
      </c>
      <c r="J36" s="40"/>
      <c r="K36" s="40"/>
    </row>
    <row r="37" spans="1:11" x14ac:dyDescent="0.3">
      <c r="A37" s="41">
        <v>41151</v>
      </c>
      <c r="B37" s="37">
        <v>223282.92196000001</v>
      </c>
      <c r="C37" s="37">
        <v>52892.896270000005</v>
      </c>
      <c r="D37" s="37">
        <v>-9087.2446300000011</v>
      </c>
      <c r="E37" s="37">
        <v>2831284.4778400003</v>
      </c>
      <c r="F37" s="37">
        <v>31910.328739999997</v>
      </c>
      <c r="G37" s="37">
        <v>101695.00744</v>
      </c>
      <c r="H37" s="37">
        <v>2051.6559499999998</v>
      </c>
      <c r="I37" s="37">
        <v>3234030.0435600001</v>
      </c>
      <c r="J37" s="40"/>
      <c r="K37" s="40"/>
    </row>
    <row r="38" spans="1:11" x14ac:dyDescent="0.3">
      <c r="A38" s="41">
        <v>41152</v>
      </c>
      <c r="B38" s="37">
        <v>223282.92196000001</v>
      </c>
      <c r="C38" s="37">
        <v>52892.896270000005</v>
      </c>
      <c r="D38" s="37">
        <v>-9087.2446300000011</v>
      </c>
      <c r="E38" s="37">
        <v>3181547.87115</v>
      </c>
      <c r="F38" s="37">
        <v>31910.329000000002</v>
      </c>
      <c r="G38" s="37">
        <v>101695.00744</v>
      </c>
      <c r="H38" s="37">
        <v>2051.6559499999998</v>
      </c>
      <c r="I38" s="37">
        <v>3584293.4368699999</v>
      </c>
      <c r="J38" s="40"/>
      <c r="K38" s="40"/>
    </row>
    <row r="39" spans="1:11" x14ac:dyDescent="0.3">
      <c r="A39" s="41">
        <v>41156</v>
      </c>
      <c r="B39" s="37">
        <v>223282.92196000001</v>
      </c>
      <c r="C39" s="37">
        <v>52892.896270000005</v>
      </c>
      <c r="D39" s="37">
        <v>-9087.2446300000011</v>
      </c>
      <c r="E39" s="37">
        <v>3234235.37115</v>
      </c>
      <c r="F39" s="37">
        <v>31910.329000000002</v>
      </c>
      <c r="G39" s="37">
        <v>101695.00744</v>
      </c>
      <c r="H39" s="37">
        <v>2051.6559499999998</v>
      </c>
      <c r="I39" s="37">
        <v>3636980.9368699999</v>
      </c>
      <c r="J39" s="40"/>
      <c r="K39" s="40"/>
    </row>
    <row r="40" spans="1:11" x14ac:dyDescent="0.3">
      <c r="A40" s="41">
        <v>41157</v>
      </c>
      <c r="B40" s="37">
        <v>223282.92196000001</v>
      </c>
      <c r="C40" s="37">
        <v>52892.896270000005</v>
      </c>
      <c r="D40" s="37">
        <v>-9087.2446300000011</v>
      </c>
      <c r="E40" s="37">
        <v>3615109.37115</v>
      </c>
      <c r="F40" s="37">
        <v>31910.329000000002</v>
      </c>
      <c r="G40" s="37">
        <v>101695.00744</v>
      </c>
      <c r="H40" s="37">
        <v>2051.6559499999998</v>
      </c>
      <c r="I40" s="37">
        <v>4017854.9368699999</v>
      </c>
      <c r="J40" s="40"/>
      <c r="K40" s="40"/>
    </row>
    <row r="41" spans="1:11" x14ac:dyDescent="0.3">
      <c r="A41" s="41">
        <v>41159</v>
      </c>
      <c r="B41" s="37">
        <v>223282.92196000001</v>
      </c>
      <c r="C41" s="37">
        <v>52892.896270000005</v>
      </c>
      <c r="D41" s="37">
        <v>-9087.2446300000011</v>
      </c>
      <c r="E41" s="37">
        <v>3865997.12115</v>
      </c>
      <c r="F41" s="37">
        <v>31910.329000000002</v>
      </c>
      <c r="G41" s="37">
        <v>101695.00744</v>
      </c>
      <c r="H41" s="37">
        <v>2051.6559499999998</v>
      </c>
      <c r="I41" s="37">
        <v>4268742.6868700003</v>
      </c>
      <c r="J41" s="40"/>
      <c r="K41" s="40"/>
    </row>
    <row r="42" spans="1:11" x14ac:dyDescent="0.3">
      <c r="A42" s="41">
        <v>41162</v>
      </c>
      <c r="B42" s="37">
        <v>223282.92196000001</v>
      </c>
      <c r="C42" s="37">
        <v>52892.896270000005</v>
      </c>
      <c r="D42" s="37">
        <v>-9087.2446300000011</v>
      </c>
      <c r="E42" s="37">
        <v>3866722.12115</v>
      </c>
      <c r="F42" s="37">
        <v>31910.329000000002</v>
      </c>
      <c r="G42" s="37">
        <v>101695.00744</v>
      </c>
      <c r="H42" s="37">
        <v>2051.6559499999998</v>
      </c>
      <c r="I42" s="37">
        <v>4269467.6868700003</v>
      </c>
      <c r="J42" s="40"/>
      <c r="K42" s="40"/>
    </row>
    <row r="43" spans="1:11" x14ac:dyDescent="0.3">
      <c r="A43" s="41">
        <v>41164</v>
      </c>
      <c r="B43" s="37">
        <v>223282.92196000001</v>
      </c>
      <c r="C43" s="37">
        <v>52892.896270000005</v>
      </c>
      <c r="D43" s="37">
        <v>-9087.2446300000011</v>
      </c>
      <c r="E43" s="37">
        <v>4518236.2878199993</v>
      </c>
      <c r="F43" s="37">
        <v>31910.329000000002</v>
      </c>
      <c r="G43" s="37">
        <v>101695.00744</v>
      </c>
      <c r="H43" s="37">
        <v>2051.6559499999998</v>
      </c>
      <c r="I43" s="37">
        <v>4920981.8535399996</v>
      </c>
      <c r="J43" s="40"/>
      <c r="K43" s="40"/>
    </row>
    <row r="44" spans="1:11" x14ac:dyDescent="0.3">
      <c r="A44" s="41">
        <v>41169</v>
      </c>
      <c r="B44" s="37">
        <v>239854.79696000001</v>
      </c>
      <c r="C44" s="37">
        <v>52892.896270000005</v>
      </c>
      <c r="D44" s="37">
        <v>-9087.2446300000011</v>
      </c>
      <c r="E44" s="37">
        <v>4841495.3356499998</v>
      </c>
      <c r="F44" s="37">
        <v>31910.329000000002</v>
      </c>
      <c r="G44" s="37">
        <v>101695.00744</v>
      </c>
      <c r="H44" s="37">
        <v>2051.6559499999998</v>
      </c>
      <c r="I44" s="37">
        <v>5260812.7763700001</v>
      </c>
      <c r="J44" s="40"/>
      <c r="K44" s="40"/>
    </row>
    <row r="45" spans="1:11" x14ac:dyDescent="0.3">
      <c r="A45" s="41">
        <v>41171</v>
      </c>
      <c r="B45" s="37">
        <v>239927.29696000001</v>
      </c>
      <c r="C45" s="37">
        <v>52892.896270000005</v>
      </c>
      <c r="D45" s="37">
        <v>-9087.2446300000011</v>
      </c>
      <c r="E45" s="37">
        <v>4841541.9646999994</v>
      </c>
      <c r="F45" s="37">
        <v>31910.329000000002</v>
      </c>
      <c r="G45" s="37">
        <v>101695.00744</v>
      </c>
      <c r="H45" s="37">
        <v>2051.6559499999998</v>
      </c>
      <c r="I45" s="37">
        <v>5260931.9054199997</v>
      </c>
      <c r="J45" s="40"/>
      <c r="K45" s="40"/>
    </row>
    <row r="46" spans="1:11" x14ac:dyDescent="0.3">
      <c r="A46" s="41">
        <v>41172</v>
      </c>
      <c r="B46" s="37">
        <v>248196.04696000001</v>
      </c>
      <c r="C46" s="37">
        <v>52892.896270000005</v>
      </c>
      <c r="D46" s="37">
        <v>-9087.2446300000011</v>
      </c>
      <c r="E46" s="37">
        <v>5294888.1869299999</v>
      </c>
      <c r="F46" s="37">
        <v>31910.329000000002</v>
      </c>
      <c r="G46" s="37">
        <v>101695.00744</v>
      </c>
      <c r="H46" s="37">
        <v>2051.6559499999998</v>
      </c>
      <c r="I46" s="37">
        <v>5722546.8776499992</v>
      </c>
      <c r="J46" s="40"/>
      <c r="K46" s="40"/>
    </row>
    <row r="47" spans="1:11" x14ac:dyDescent="0.3">
      <c r="A47" s="41">
        <v>41177</v>
      </c>
      <c r="B47" s="37">
        <v>248196.04696000001</v>
      </c>
      <c r="C47" s="37">
        <v>52892.896270000005</v>
      </c>
      <c r="D47" s="37">
        <v>-9087.2446300000011</v>
      </c>
      <c r="E47" s="37">
        <v>5295763.1869299999</v>
      </c>
      <c r="F47" s="37">
        <v>31910.329000000002</v>
      </c>
      <c r="G47" s="37">
        <v>101695.00744</v>
      </c>
      <c r="H47" s="37">
        <v>2051.6559499999998</v>
      </c>
      <c r="I47" s="37">
        <v>5723421.8776499992</v>
      </c>
      <c r="J47" s="40"/>
      <c r="K47" s="40"/>
    </row>
    <row r="48" spans="1:11" x14ac:dyDescent="0.3">
      <c r="A48" s="41">
        <v>41179</v>
      </c>
      <c r="B48" s="37">
        <v>248196.04696000001</v>
      </c>
      <c r="C48" s="37">
        <v>52892.896270000005</v>
      </c>
      <c r="D48" s="37">
        <v>-9087.2446300000011</v>
      </c>
      <c r="E48" s="37">
        <v>5546338.1869299999</v>
      </c>
      <c r="F48" s="37">
        <v>31910.329000000002</v>
      </c>
      <c r="G48" s="37">
        <v>101695.00744</v>
      </c>
      <c r="H48" s="37">
        <v>2051.6559499999998</v>
      </c>
      <c r="I48" s="37">
        <v>5973996.8776499992</v>
      </c>
      <c r="J48" s="40"/>
      <c r="K48" s="40"/>
    </row>
    <row r="49" spans="1:11" x14ac:dyDescent="0.3">
      <c r="A49" s="41">
        <v>41180</v>
      </c>
      <c r="B49" s="37">
        <v>248283.54696000001</v>
      </c>
      <c r="C49" s="37">
        <v>52892.896270000005</v>
      </c>
      <c r="D49" s="37">
        <v>-9087.2446300000011</v>
      </c>
      <c r="E49" s="37">
        <v>5544617.5117100002</v>
      </c>
      <c r="F49" s="37">
        <v>31910.329000000002</v>
      </c>
      <c r="G49" s="37">
        <v>101695.00744</v>
      </c>
      <c r="H49" s="37">
        <v>2051.6559499999998</v>
      </c>
      <c r="I49" s="37">
        <v>5972363.7024300005</v>
      </c>
      <c r="J49" s="40"/>
      <c r="K49" s="40"/>
    </row>
    <row r="50" spans="1:11" x14ac:dyDescent="0.3">
      <c r="A50" s="41">
        <v>41183</v>
      </c>
      <c r="B50" s="37">
        <v>248283.54696000001</v>
      </c>
      <c r="C50" s="37">
        <v>52892.896270000005</v>
      </c>
      <c r="D50" s="37">
        <v>-9087.2446300000011</v>
      </c>
      <c r="E50" s="37">
        <v>5747579.5256000003</v>
      </c>
      <c r="F50" s="37">
        <v>31910.329000000002</v>
      </c>
      <c r="G50" s="37">
        <v>101695.00744</v>
      </c>
      <c r="H50" s="37">
        <v>2051.6559499999998</v>
      </c>
      <c r="I50" s="37">
        <v>6175325.7163199997</v>
      </c>
      <c r="J50" s="40"/>
      <c r="K50" s="40"/>
    </row>
    <row r="51" spans="1:11" x14ac:dyDescent="0.3">
      <c r="A51" s="41">
        <v>41185</v>
      </c>
      <c r="B51" s="37">
        <v>248283.54696000001</v>
      </c>
      <c r="C51" s="37">
        <v>52892.896270000005</v>
      </c>
      <c r="D51" s="37">
        <v>-9087.2446300000011</v>
      </c>
      <c r="E51" s="37">
        <v>5747579.5256000003</v>
      </c>
      <c r="F51" s="37">
        <v>31910.329000000002</v>
      </c>
      <c r="G51" s="37">
        <v>101695.00744</v>
      </c>
      <c r="H51" s="37">
        <v>2051.6559499999998</v>
      </c>
      <c r="I51" s="37">
        <v>6175325.7163199997</v>
      </c>
      <c r="J51" s="40"/>
      <c r="K51" s="40"/>
    </row>
    <row r="52" spans="1:11" x14ac:dyDescent="0.3">
      <c r="A52" s="41">
        <v>41187</v>
      </c>
      <c r="B52" s="37">
        <v>257679.77321000001</v>
      </c>
      <c r="C52" s="37">
        <v>52892.896270000005</v>
      </c>
      <c r="D52" s="37">
        <v>-9087.2446300000011</v>
      </c>
      <c r="E52" s="37">
        <v>5788004.5256000003</v>
      </c>
      <c r="F52" s="37">
        <v>31910.329000000002</v>
      </c>
      <c r="G52" s="37">
        <v>101695.00744</v>
      </c>
      <c r="H52" s="37">
        <v>2051.6559499999998</v>
      </c>
      <c r="I52" s="37">
        <v>6225146.94257</v>
      </c>
      <c r="J52" s="40"/>
      <c r="K52" s="40"/>
    </row>
    <row r="53" spans="1:11" x14ac:dyDescent="0.3">
      <c r="A53" s="41">
        <v>41191</v>
      </c>
      <c r="B53" s="37">
        <v>257679.77321000001</v>
      </c>
      <c r="C53" s="37">
        <v>52892.896270000005</v>
      </c>
      <c r="D53" s="37">
        <v>-9087.2446300000011</v>
      </c>
      <c r="E53" s="37">
        <v>5788503.2756000003</v>
      </c>
      <c r="F53" s="37">
        <v>31910.329000000002</v>
      </c>
      <c r="G53" s="37">
        <v>101695.00744</v>
      </c>
      <c r="H53" s="37">
        <v>2051.6559499999998</v>
      </c>
      <c r="I53" s="37">
        <v>6225645.69257</v>
      </c>
      <c r="J53" s="40"/>
      <c r="K53" s="40"/>
    </row>
    <row r="54" spans="1:11" x14ac:dyDescent="0.3">
      <c r="A54" s="41">
        <v>41193</v>
      </c>
      <c r="B54" s="37">
        <v>257679.77321000001</v>
      </c>
      <c r="C54" s="37">
        <v>52892.896270000005</v>
      </c>
      <c r="D54" s="37">
        <v>-9087.2446300000011</v>
      </c>
      <c r="E54" s="37">
        <v>5788560.2848300003</v>
      </c>
      <c r="F54" s="37">
        <v>31910.329000000002</v>
      </c>
      <c r="G54" s="37">
        <v>101695.00744</v>
      </c>
      <c r="H54" s="37">
        <v>2051.6559499999998</v>
      </c>
      <c r="I54" s="37">
        <v>6225702.7017999999</v>
      </c>
      <c r="J54" s="40"/>
      <c r="K54" s="40"/>
    </row>
    <row r="55" spans="1:11" x14ac:dyDescent="0.3">
      <c r="A55" s="41">
        <v>41197</v>
      </c>
      <c r="B55" s="37">
        <v>257679.77321000001</v>
      </c>
      <c r="C55" s="37">
        <v>52892.896270000005</v>
      </c>
      <c r="D55" s="37">
        <v>-9087.2446300000011</v>
      </c>
      <c r="E55" s="37">
        <v>5788560.2848300003</v>
      </c>
      <c r="F55" s="37">
        <v>32457.212239999997</v>
      </c>
      <c r="G55" s="37">
        <v>101695.00744</v>
      </c>
      <c r="H55" s="37">
        <v>2051.6559499999998</v>
      </c>
      <c r="I55" s="37">
        <v>6226249.5853000004</v>
      </c>
      <c r="J55" s="40"/>
      <c r="K55" s="40"/>
    </row>
    <row r="56" spans="1:11" x14ac:dyDescent="0.3">
      <c r="A56" s="41">
        <v>41198</v>
      </c>
      <c r="B56" s="37">
        <v>257692.27321000001</v>
      </c>
      <c r="C56" s="37">
        <v>52892.896270000005</v>
      </c>
      <c r="D56" s="37">
        <v>-9087.2446300000011</v>
      </c>
      <c r="E56" s="37">
        <v>5887864.0348300003</v>
      </c>
      <c r="F56" s="37">
        <v>32457.212239999997</v>
      </c>
      <c r="G56" s="37">
        <v>101695.00744</v>
      </c>
      <c r="H56" s="37">
        <v>2051.6559499999998</v>
      </c>
      <c r="I56" s="37">
        <v>6325565.8353000004</v>
      </c>
      <c r="J56" s="40"/>
      <c r="K56" s="40"/>
    </row>
    <row r="57" spans="1:11" x14ac:dyDescent="0.3">
      <c r="A57" s="41">
        <v>41204</v>
      </c>
      <c r="B57" s="37">
        <v>257692.27321000001</v>
      </c>
      <c r="C57" s="37">
        <v>52892.896270000005</v>
      </c>
      <c r="D57" s="37">
        <v>-9087.2446300000011</v>
      </c>
      <c r="E57" s="37">
        <v>5890656.5341999996</v>
      </c>
      <c r="F57" s="37">
        <v>32457.212239999997</v>
      </c>
      <c r="G57" s="37">
        <v>101695.00744</v>
      </c>
      <c r="H57" s="37">
        <v>2051.6559499999998</v>
      </c>
      <c r="I57" s="37">
        <v>6328358.3346800003</v>
      </c>
      <c r="J57" s="40"/>
      <c r="K57" s="40"/>
    </row>
    <row r="58" spans="1:11" x14ac:dyDescent="0.3">
      <c r="A58" s="41">
        <v>41208</v>
      </c>
      <c r="B58" s="37">
        <v>257822.27321000001</v>
      </c>
      <c r="C58" s="37">
        <v>52892.896270000005</v>
      </c>
      <c r="D58" s="37">
        <v>-9087.2446300000011</v>
      </c>
      <c r="E58" s="37">
        <v>5890656.5341999996</v>
      </c>
      <c r="F58" s="37">
        <v>32457.212239999997</v>
      </c>
      <c r="G58" s="37">
        <v>101695.00744</v>
      </c>
      <c r="H58" s="37">
        <v>2051.6559499999998</v>
      </c>
      <c r="I58" s="37">
        <v>6328488.3346800003</v>
      </c>
      <c r="J58" s="40"/>
      <c r="K58" s="40"/>
    </row>
    <row r="59" spans="1:11" x14ac:dyDescent="0.3">
      <c r="A59" s="41">
        <v>41213</v>
      </c>
      <c r="B59" s="37">
        <v>257822.27321000001</v>
      </c>
      <c r="C59" s="37">
        <v>52892.896270000005</v>
      </c>
      <c r="D59" s="37">
        <v>-9087.2446300000011</v>
      </c>
      <c r="E59" s="37">
        <v>5892375.2841999996</v>
      </c>
      <c r="F59" s="37">
        <v>32457.212239999997</v>
      </c>
      <c r="G59" s="37">
        <v>101695.00744</v>
      </c>
      <c r="H59" s="37">
        <v>2051.6559499999998</v>
      </c>
      <c r="I59" s="37">
        <v>6330207.0846800003</v>
      </c>
      <c r="J59" s="40"/>
      <c r="K59" s="40"/>
    </row>
    <row r="60" spans="1:11" x14ac:dyDescent="0.3">
      <c r="A60" s="41">
        <v>41215</v>
      </c>
      <c r="B60" s="37">
        <v>262547.27321000001</v>
      </c>
      <c r="C60" s="37">
        <v>52892.896270000005</v>
      </c>
      <c r="D60" s="37">
        <v>-9087.2446300000011</v>
      </c>
      <c r="E60" s="37">
        <v>5892277.16426</v>
      </c>
      <c r="F60" s="37">
        <v>32457.212239999997</v>
      </c>
      <c r="G60" s="37">
        <v>101695.00744</v>
      </c>
      <c r="H60" s="37">
        <v>2051.6559499999998</v>
      </c>
      <c r="I60" s="37">
        <v>6334833.9647399997</v>
      </c>
      <c r="J60" s="40"/>
      <c r="K60" s="40"/>
    </row>
    <row r="61" spans="1:11" x14ac:dyDescent="0.3">
      <c r="A61" s="41">
        <v>41218</v>
      </c>
      <c r="B61" s="37">
        <v>262547.27321000001</v>
      </c>
      <c r="C61" s="37">
        <v>52892.896270000005</v>
      </c>
      <c r="D61" s="37">
        <v>-9087.2446300000011</v>
      </c>
      <c r="E61" s="37">
        <v>5892483.41426</v>
      </c>
      <c r="F61" s="37">
        <v>32457.212239999997</v>
      </c>
      <c r="G61" s="37">
        <v>101695.00744</v>
      </c>
      <c r="H61" s="37">
        <v>2051.6559499999998</v>
      </c>
      <c r="I61" s="37">
        <v>6335040.2147399997</v>
      </c>
      <c r="J61" s="40"/>
      <c r="K61" s="40"/>
    </row>
    <row r="62" spans="1:11" x14ac:dyDescent="0.3">
      <c r="A62" s="41">
        <v>41228</v>
      </c>
      <c r="B62" s="37">
        <v>587774.77321000001</v>
      </c>
      <c r="C62" s="37">
        <v>52892.896270000005</v>
      </c>
      <c r="D62" s="37">
        <v>-9087.2446300000011</v>
      </c>
      <c r="E62" s="37">
        <v>5894828.41426</v>
      </c>
      <c r="F62" s="37">
        <v>32457.212239999997</v>
      </c>
      <c r="G62" s="37">
        <v>101695.00744</v>
      </c>
      <c r="H62" s="37">
        <v>2051.6559499999998</v>
      </c>
      <c r="I62" s="37">
        <v>6662612.7147399997</v>
      </c>
      <c r="J62" s="40"/>
      <c r="K62" s="40"/>
    </row>
    <row r="63" spans="1:11" x14ac:dyDescent="0.3">
      <c r="A63" s="41">
        <v>41232</v>
      </c>
      <c r="B63" s="37">
        <v>587909.77321000001</v>
      </c>
      <c r="C63" s="37">
        <v>52892.896270000005</v>
      </c>
      <c r="D63" s="37">
        <v>-9087.2446300000011</v>
      </c>
      <c r="E63" s="37">
        <v>5894828.41426</v>
      </c>
      <c r="F63" s="37">
        <v>32457.212239999997</v>
      </c>
      <c r="G63" s="37">
        <v>101695.00744</v>
      </c>
      <c r="H63" s="37">
        <v>2051.6559499999998</v>
      </c>
      <c r="I63" s="37">
        <v>6662747.7147399997</v>
      </c>
      <c r="J63" s="40"/>
      <c r="K63" s="40"/>
    </row>
    <row r="64" spans="1:11" x14ac:dyDescent="0.3">
      <c r="A64" s="41">
        <v>41236</v>
      </c>
      <c r="B64" s="37">
        <v>587909.77321000001</v>
      </c>
      <c r="C64" s="37">
        <v>52892.896270000005</v>
      </c>
      <c r="D64" s="37">
        <v>-9087.2446300000011</v>
      </c>
      <c r="E64" s="37">
        <v>5995074.66426</v>
      </c>
      <c r="F64" s="37">
        <v>32457.212239999997</v>
      </c>
      <c r="G64" s="37">
        <v>101695.00744</v>
      </c>
      <c r="H64" s="37">
        <v>2051.6559499999998</v>
      </c>
      <c r="I64" s="37">
        <v>6762993.9647399997</v>
      </c>
      <c r="J64" s="40"/>
      <c r="K64" s="40"/>
    </row>
    <row r="65" spans="1:11" x14ac:dyDescent="0.3">
      <c r="A65" s="41">
        <v>41239</v>
      </c>
      <c r="B65" s="37">
        <v>587909.77321000001</v>
      </c>
      <c r="C65" s="37">
        <v>52892.896270000005</v>
      </c>
      <c r="D65" s="37">
        <v>-9087.2446300000011</v>
      </c>
      <c r="E65" s="37">
        <v>5997574.66426</v>
      </c>
      <c r="F65" s="37">
        <v>32457.212239999997</v>
      </c>
      <c r="G65" s="37">
        <v>101695.00744</v>
      </c>
      <c r="H65" s="37">
        <v>2051.6559499999998</v>
      </c>
      <c r="I65" s="37">
        <v>6765493.9647399997</v>
      </c>
      <c r="J65" s="40"/>
      <c r="K65" s="40"/>
    </row>
    <row r="66" spans="1:11" x14ac:dyDescent="0.3">
      <c r="A66" s="41">
        <v>41243</v>
      </c>
      <c r="B66" s="37">
        <v>609897.27321000001</v>
      </c>
      <c r="C66" s="37">
        <v>52892.896270000005</v>
      </c>
      <c r="D66" s="37">
        <v>-9087.2446300000011</v>
      </c>
      <c r="E66" s="37">
        <v>6001061.53926</v>
      </c>
      <c r="F66" s="37">
        <v>32457.212239999997</v>
      </c>
      <c r="G66" s="37">
        <v>101695.00744</v>
      </c>
      <c r="H66" s="37">
        <v>2051.6559499999998</v>
      </c>
      <c r="I66" s="37">
        <v>6790968.3397399997</v>
      </c>
      <c r="J66" s="40"/>
      <c r="K66" s="40"/>
    </row>
    <row r="67" spans="1:11" x14ac:dyDescent="0.3">
      <c r="A67" s="41">
        <v>41249</v>
      </c>
      <c r="B67" s="37">
        <v>609897.27321000001</v>
      </c>
      <c r="C67" s="37">
        <v>52892.896270000005</v>
      </c>
      <c r="D67" s="37">
        <v>-9087.2446300000011</v>
      </c>
      <c r="E67" s="37">
        <v>6415061.53926</v>
      </c>
      <c r="F67" s="37">
        <v>32457.212239999997</v>
      </c>
      <c r="G67" s="37">
        <v>101695.00744</v>
      </c>
      <c r="H67" s="37">
        <v>2051.6559499999998</v>
      </c>
      <c r="I67" s="37">
        <v>7204968.3397399997</v>
      </c>
      <c r="J67" s="40"/>
      <c r="K67" s="40"/>
    </row>
    <row r="68" spans="1:11" x14ac:dyDescent="0.3">
      <c r="A68" s="41">
        <v>41255</v>
      </c>
      <c r="B68" s="37">
        <v>612667.27321000001</v>
      </c>
      <c r="C68" s="37">
        <v>52892.896270000005</v>
      </c>
      <c r="D68" s="37">
        <v>-9087.2446300000011</v>
      </c>
      <c r="E68" s="37">
        <v>6415330.28926</v>
      </c>
      <c r="F68" s="37">
        <v>32457.212239999997</v>
      </c>
      <c r="G68" s="37">
        <v>101695.00744</v>
      </c>
      <c r="H68" s="37">
        <v>2051.6559499999998</v>
      </c>
      <c r="I68" s="37">
        <v>7208007.0897399997</v>
      </c>
      <c r="J68" s="40"/>
      <c r="K68" s="40"/>
    </row>
    <row r="69" spans="1:11" x14ac:dyDescent="0.3">
      <c r="A69" s="41">
        <v>41257</v>
      </c>
      <c r="B69" s="37">
        <v>612667.27321000001</v>
      </c>
      <c r="C69" s="37">
        <v>52892.896270000005</v>
      </c>
      <c r="D69" s="37">
        <v>-9087.2446300000011</v>
      </c>
      <c r="E69" s="37">
        <v>6434510.78926</v>
      </c>
      <c r="F69" s="37">
        <v>32457.212239999997</v>
      </c>
      <c r="G69" s="37">
        <v>101695.00744</v>
      </c>
      <c r="H69" s="37">
        <v>2051.6559499999998</v>
      </c>
      <c r="I69" s="37">
        <v>7227187.5897399997</v>
      </c>
      <c r="J69" s="40"/>
      <c r="K69" s="40"/>
    </row>
    <row r="70" spans="1:11" x14ac:dyDescent="0.3">
      <c r="A70" s="41">
        <v>41260</v>
      </c>
      <c r="B70" s="37">
        <v>655302.89821000001</v>
      </c>
      <c r="C70" s="37">
        <v>52892.896270000005</v>
      </c>
      <c r="D70" s="37">
        <v>-9087.2446300000011</v>
      </c>
      <c r="E70" s="37">
        <v>6434888.8101499993</v>
      </c>
      <c r="F70" s="37">
        <v>32457.212239999997</v>
      </c>
      <c r="G70" s="37">
        <v>101695.00744</v>
      </c>
      <c r="H70" s="37">
        <v>2051.6559499999998</v>
      </c>
      <c r="I70" s="37">
        <v>7270201.23563</v>
      </c>
      <c r="J70" s="40"/>
      <c r="K70" s="40"/>
    </row>
    <row r="71" spans="1:11" x14ac:dyDescent="0.3">
      <c r="A71" s="41">
        <v>41261</v>
      </c>
      <c r="B71" s="37">
        <v>664052.89821000001</v>
      </c>
      <c r="C71" s="37">
        <v>52892.896270000005</v>
      </c>
      <c r="D71" s="37">
        <v>-9087.2446300000011</v>
      </c>
      <c r="E71" s="37">
        <v>6434888.8101499993</v>
      </c>
      <c r="F71" s="37">
        <v>32457.212239999997</v>
      </c>
      <c r="G71" s="37">
        <v>101695.00744</v>
      </c>
      <c r="H71" s="37">
        <v>2051.6559499999998</v>
      </c>
      <c r="I71" s="37">
        <v>7278951.23563</v>
      </c>
      <c r="J71" s="40"/>
      <c r="K71" s="40"/>
    </row>
    <row r="72" spans="1:11" x14ac:dyDescent="0.3">
      <c r="A72" s="41">
        <v>41262</v>
      </c>
      <c r="B72" s="37">
        <v>664117.39821000001</v>
      </c>
      <c r="C72" s="37">
        <v>52892.896270000005</v>
      </c>
      <c r="D72" s="37">
        <v>-9087.2446300000011</v>
      </c>
      <c r="E72" s="37">
        <v>6434344.9194</v>
      </c>
      <c r="F72" s="37">
        <v>32457.212239999997</v>
      </c>
      <c r="G72" s="37">
        <v>101695.00744</v>
      </c>
      <c r="H72" s="37">
        <v>2051.6559499999998</v>
      </c>
      <c r="I72" s="37">
        <v>7278471.8448799998</v>
      </c>
      <c r="J72" s="40"/>
      <c r="K72" s="40"/>
    </row>
    <row r="73" spans="1:11" x14ac:dyDescent="0.3">
      <c r="A73" s="41">
        <v>41269</v>
      </c>
      <c r="B73" s="37">
        <v>664117.39821000001</v>
      </c>
      <c r="C73" s="37">
        <v>52892.896270000005</v>
      </c>
      <c r="D73" s="37">
        <v>-9087.2446300000011</v>
      </c>
      <c r="E73" s="37">
        <v>6434798.0444</v>
      </c>
      <c r="F73" s="37">
        <v>32457.212239999997</v>
      </c>
      <c r="G73" s="37">
        <v>101695.00744</v>
      </c>
      <c r="H73" s="37">
        <v>2051.6559499999998</v>
      </c>
      <c r="I73" s="37">
        <v>7278924.9698799998</v>
      </c>
      <c r="J73" s="40"/>
      <c r="K73" s="40"/>
    </row>
    <row r="74" spans="1:11" x14ac:dyDescent="0.3">
      <c r="A74" s="41">
        <v>41270</v>
      </c>
      <c r="B74" s="37">
        <v>664942.39821000001</v>
      </c>
      <c r="C74" s="37">
        <v>52892.896270000005</v>
      </c>
      <c r="D74" s="37">
        <v>-9087.2446300000011</v>
      </c>
      <c r="E74" s="37">
        <v>6834798.0444</v>
      </c>
      <c r="F74" s="37">
        <v>32457.212239999997</v>
      </c>
      <c r="G74" s="37">
        <v>101695.00744</v>
      </c>
      <c r="H74" s="37">
        <v>2051.6559499999998</v>
      </c>
      <c r="I74" s="37">
        <v>7679749.9698799998</v>
      </c>
      <c r="J74" s="40"/>
      <c r="K74" s="40"/>
    </row>
    <row r="75" spans="1:11" x14ac:dyDescent="0.3">
      <c r="A75" s="41">
        <v>41271</v>
      </c>
      <c r="B75" s="37">
        <v>664942.39821000001</v>
      </c>
      <c r="C75" s="37">
        <v>52892.896270000005</v>
      </c>
      <c r="D75" s="37">
        <v>-9087.2446300000011</v>
      </c>
      <c r="E75" s="37">
        <v>6835028.5810699994</v>
      </c>
      <c r="F75" s="37">
        <v>32457.212239999997</v>
      </c>
      <c r="G75" s="37">
        <v>101695.00744</v>
      </c>
      <c r="H75" s="37">
        <v>2051.6559499999998</v>
      </c>
      <c r="I75" s="37">
        <v>7679980.50655</v>
      </c>
      <c r="J75" s="40"/>
      <c r="K75" s="40"/>
    </row>
    <row r="76" spans="1:11" x14ac:dyDescent="0.3">
      <c r="A76" s="41">
        <v>41274</v>
      </c>
      <c r="B76" s="37">
        <v>682452.39821000001</v>
      </c>
      <c r="C76" s="37">
        <v>52892.896270000005</v>
      </c>
      <c r="D76" s="37">
        <v>-9087.2446300000011</v>
      </c>
      <c r="E76" s="37">
        <v>6836946.8944399999</v>
      </c>
      <c r="F76" s="37">
        <v>32457.212</v>
      </c>
      <c r="G76" s="37">
        <v>101695.00744</v>
      </c>
      <c r="H76" s="37">
        <v>2051.6559499999998</v>
      </c>
      <c r="I76" s="37">
        <v>7699408.8199199997</v>
      </c>
      <c r="J76" s="40"/>
      <c r="K76" s="40"/>
    </row>
    <row r="77" spans="1:11" x14ac:dyDescent="0.3">
      <c r="A77" s="41">
        <v>41284</v>
      </c>
      <c r="B77" s="37">
        <v>682452.39821000001</v>
      </c>
      <c r="C77" s="37">
        <v>52892.896270000005</v>
      </c>
      <c r="D77" s="37">
        <v>-9087.2446300000011</v>
      </c>
      <c r="E77" s="37">
        <v>6877844.3944399999</v>
      </c>
      <c r="F77" s="37">
        <v>32457.212</v>
      </c>
      <c r="G77" s="37">
        <v>101695.00744</v>
      </c>
      <c r="H77" s="37">
        <v>2051.6559499999998</v>
      </c>
      <c r="I77" s="37">
        <v>7740306.3199199997</v>
      </c>
      <c r="J77" s="40"/>
      <c r="K77" s="40"/>
    </row>
    <row r="78" spans="1:11" x14ac:dyDescent="0.3">
      <c r="A78" s="41">
        <v>41285</v>
      </c>
      <c r="B78" s="37">
        <v>682452.39821000001</v>
      </c>
      <c r="C78" s="37">
        <v>52892.896270000005</v>
      </c>
      <c r="D78" s="37">
        <v>-9087.2446300000011</v>
      </c>
      <c r="E78" s="37">
        <v>6877731.4902400002</v>
      </c>
      <c r="F78" s="37">
        <v>32457.212</v>
      </c>
      <c r="G78" s="37">
        <v>101695.00744</v>
      </c>
      <c r="H78" s="37">
        <v>2051.6559499999998</v>
      </c>
      <c r="I78" s="37">
        <v>7740193.4157100003</v>
      </c>
      <c r="J78" s="40"/>
      <c r="K78" s="40"/>
    </row>
    <row r="79" spans="1:11" x14ac:dyDescent="0.3">
      <c r="A79" s="41">
        <v>41289</v>
      </c>
      <c r="B79" s="37">
        <v>816052.39821000001</v>
      </c>
      <c r="C79" s="37">
        <v>52892.896270000005</v>
      </c>
      <c r="D79" s="37">
        <v>-9087.2446300000011</v>
      </c>
      <c r="E79" s="37">
        <v>6877731.4902400002</v>
      </c>
      <c r="F79" s="37">
        <v>35457.413999999997</v>
      </c>
      <c r="G79" s="37">
        <v>101695.00744</v>
      </c>
      <c r="H79" s="37">
        <v>2051.6559499999998</v>
      </c>
      <c r="I79" s="37">
        <v>7876793.6174699999</v>
      </c>
      <c r="J79" s="40"/>
      <c r="K79" s="40"/>
    </row>
    <row r="80" spans="1:11" x14ac:dyDescent="0.3">
      <c r="A80" s="41">
        <v>41290</v>
      </c>
      <c r="B80" s="37">
        <v>818032.37613999995</v>
      </c>
      <c r="C80" s="37">
        <v>52892.896270000005</v>
      </c>
      <c r="D80" s="37">
        <v>-9087.2446300000011</v>
      </c>
      <c r="E80" s="37">
        <v>6877731.4902400002</v>
      </c>
      <c r="F80" s="37">
        <v>35457.413999999997</v>
      </c>
      <c r="G80" s="37">
        <v>101695.00744</v>
      </c>
      <c r="H80" s="37">
        <v>2051.6559499999998</v>
      </c>
      <c r="I80" s="37">
        <v>7878773.5954</v>
      </c>
      <c r="J80" s="40"/>
      <c r="K80" s="40"/>
    </row>
    <row r="81" spans="1:11" x14ac:dyDescent="0.3">
      <c r="A81" s="41">
        <v>41291</v>
      </c>
      <c r="B81" s="37">
        <v>818641.75113999995</v>
      </c>
      <c r="C81" s="37">
        <v>52892.896270000005</v>
      </c>
      <c r="D81" s="37">
        <v>-9087.2446300000011</v>
      </c>
      <c r="E81" s="37">
        <v>6877731.4902400002</v>
      </c>
      <c r="F81" s="37">
        <v>35457.413999999997</v>
      </c>
      <c r="G81" s="37">
        <v>101695.00744</v>
      </c>
      <c r="H81" s="37">
        <v>2051.6559499999998</v>
      </c>
      <c r="I81" s="37">
        <v>7879382.9704</v>
      </c>
      <c r="J81" s="40"/>
      <c r="K81" s="40"/>
    </row>
    <row r="82" spans="1:11" x14ac:dyDescent="0.3">
      <c r="A82" s="41">
        <v>41296</v>
      </c>
      <c r="B82" s="37">
        <v>820690.60114000004</v>
      </c>
      <c r="C82" s="37">
        <v>52892.896270000005</v>
      </c>
      <c r="D82" s="37">
        <v>-9087.2446300000011</v>
      </c>
      <c r="E82" s="37">
        <v>6877441.7690699995</v>
      </c>
      <c r="F82" s="37">
        <v>35457.413999999997</v>
      </c>
      <c r="G82" s="37">
        <v>101695.00744</v>
      </c>
      <c r="H82" s="37">
        <v>2051.6559499999998</v>
      </c>
      <c r="I82" s="37">
        <v>7881142.0992399994</v>
      </c>
      <c r="J82" s="40"/>
      <c r="K82" s="40"/>
    </row>
    <row r="83" spans="1:11" x14ac:dyDescent="0.3">
      <c r="A83" s="41">
        <v>41297</v>
      </c>
      <c r="B83" s="37">
        <v>820690.60114000004</v>
      </c>
      <c r="C83" s="37">
        <v>52892.896270000005</v>
      </c>
      <c r="D83" s="37">
        <v>-9087.2446300000011</v>
      </c>
      <c r="E83" s="37">
        <v>6927441.7690699995</v>
      </c>
      <c r="F83" s="37">
        <v>35457.413999999997</v>
      </c>
      <c r="G83" s="37">
        <v>101695.00744</v>
      </c>
      <c r="H83" s="37">
        <v>2051.6559499999998</v>
      </c>
      <c r="I83" s="37">
        <v>7931142.0992399994</v>
      </c>
      <c r="J83" s="40"/>
      <c r="K83" s="40"/>
    </row>
    <row r="84" spans="1:11" x14ac:dyDescent="0.3">
      <c r="A84" s="41">
        <v>41302</v>
      </c>
      <c r="B84" s="37">
        <v>820690.60114000004</v>
      </c>
      <c r="C84" s="37">
        <v>52892.896270000005</v>
      </c>
      <c r="D84" s="37">
        <v>-9087.2446300000011</v>
      </c>
      <c r="E84" s="37">
        <v>6954535.5190699995</v>
      </c>
      <c r="F84" s="37">
        <v>35457.413999999997</v>
      </c>
      <c r="G84" s="37">
        <v>101695.00744</v>
      </c>
      <c r="H84" s="37">
        <v>2051.6559499999998</v>
      </c>
      <c r="I84" s="37">
        <v>7958235.8492399994</v>
      </c>
      <c r="J84" s="40"/>
      <c r="K84" s="40"/>
    </row>
    <row r="85" spans="1:11" x14ac:dyDescent="0.3">
      <c r="A85" s="41">
        <v>41305</v>
      </c>
      <c r="B85" s="37">
        <v>820690.60114000004</v>
      </c>
      <c r="C85" s="37">
        <v>52892.896270000005</v>
      </c>
      <c r="D85" s="37">
        <v>-9087.2446300000011</v>
      </c>
      <c r="E85" s="37">
        <v>6956838.0190699995</v>
      </c>
      <c r="F85" s="37">
        <v>35457.413999999997</v>
      </c>
      <c r="G85" s="37">
        <v>101695.00744</v>
      </c>
      <c r="H85" s="37">
        <v>2051.6559499999998</v>
      </c>
      <c r="I85" s="37">
        <v>7960538.3492399994</v>
      </c>
      <c r="J85" s="40"/>
      <c r="K85" s="40"/>
    </row>
    <row r="86" spans="1:11" x14ac:dyDescent="0.3">
      <c r="A86" s="41">
        <v>41306</v>
      </c>
      <c r="B86" s="37">
        <v>821331.22614000004</v>
      </c>
      <c r="C86" s="37">
        <v>52892.896270000005</v>
      </c>
      <c r="D86" s="37">
        <v>-9087.2446300000011</v>
      </c>
      <c r="E86" s="37">
        <v>6956838.0190699995</v>
      </c>
      <c r="F86" s="37">
        <v>35457.413999999997</v>
      </c>
      <c r="G86" s="37">
        <v>101695.00744</v>
      </c>
      <c r="H86" s="37">
        <v>2051.6559499999998</v>
      </c>
      <c r="I86" s="37">
        <v>7961178.9742399994</v>
      </c>
      <c r="J86" s="40"/>
      <c r="K86" s="40"/>
    </row>
    <row r="87" spans="1:11" x14ac:dyDescent="0.3">
      <c r="A87" s="41">
        <v>41309</v>
      </c>
      <c r="B87" s="37">
        <v>821331.22614000004</v>
      </c>
      <c r="C87" s="37">
        <v>52892.896270000005</v>
      </c>
      <c r="D87" s="37">
        <v>-9087.2446300000011</v>
      </c>
      <c r="E87" s="37">
        <v>6996850.0551800001</v>
      </c>
      <c r="F87" s="37">
        <v>35457.413999999997</v>
      </c>
      <c r="G87" s="37">
        <v>101695.00744</v>
      </c>
      <c r="H87" s="37">
        <v>2051.6559499999998</v>
      </c>
      <c r="I87" s="37">
        <v>8001191.0103400005</v>
      </c>
      <c r="J87" s="40"/>
      <c r="K87" s="40"/>
    </row>
    <row r="88" spans="1:11" x14ac:dyDescent="0.3">
      <c r="A88" s="41">
        <v>41318</v>
      </c>
      <c r="B88" s="37">
        <v>821331.22614000004</v>
      </c>
      <c r="C88" s="37">
        <v>52892.896270000005</v>
      </c>
      <c r="D88" s="37">
        <v>-9087.2446300000011</v>
      </c>
      <c r="E88" s="37">
        <v>7146850.0551800001</v>
      </c>
      <c r="F88" s="37">
        <v>35457.413999999997</v>
      </c>
      <c r="G88" s="37">
        <v>101695.00744</v>
      </c>
      <c r="H88" s="37">
        <v>2051.6559499999998</v>
      </c>
      <c r="I88" s="37">
        <v>8151191.0103400005</v>
      </c>
      <c r="J88" s="40"/>
      <c r="K88" s="40"/>
    </row>
    <row r="89" spans="1:11" x14ac:dyDescent="0.3">
      <c r="A89" s="41">
        <v>41320</v>
      </c>
      <c r="B89" s="37">
        <v>849394.97614000004</v>
      </c>
      <c r="C89" s="37">
        <v>52892.896270000005</v>
      </c>
      <c r="D89" s="37">
        <v>-9087.2446300000011</v>
      </c>
      <c r="E89" s="37">
        <v>7148970.0551800001</v>
      </c>
      <c r="F89" s="37">
        <v>35457.413999999997</v>
      </c>
      <c r="G89" s="37">
        <v>101695.00744</v>
      </c>
      <c r="H89" s="37">
        <v>2051.6559499999998</v>
      </c>
      <c r="I89" s="37">
        <v>8181374.7603400005</v>
      </c>
      <c r="J89" s="40"/>
      <c r="K89" s="40"/>
    </row>
    <row r="90" spans="1:11" x14ac:dyDescent="0.3">
      <c r="A90" s="41">
        <v>41324</v>
      </c>
      <c r="B90" s="37">
        <v>856351.22614000004</v>
      </c>
      <c r="C90" s="37">
        <v>52892.896270000005</v>
      </c>
      <c r="D90" s="37">
        <v>-9087.2446300000011</v>
      </c>
      <c r="E90" s="37">
        <v>7148970.0551800001</v>
      </c>
      <c r="F90" s="37">
        <v>35457.413999999997</v>
      </c>
      <c r="G90" s="37">
        <v>101695.00744</v>
      </c>
      <c r="H90" s="37">
        <v>2051.6559499999998</v>
      </c>
      <c r="I90" s="37">
        <v>8188331.0103400005</v>
      </c>
      <c r="J90" s="40"/>
      <c r="K90" s="40"/>
    </row>
    <row r="91" spans="1:11" x14ac:dyDescent="0.3">
      <c r="A91" s="41">
        <v>41332</v>
      </c>
      <c r="B91" s="37">
        <v>856401.22614000004</v>
      </c>
      <c r="C91" s="37">
        <v>52892.896270000005</v>
      </c>
      <c r="D91" s="37">
        <v>-9087.2446300000011</v>
      </c>
      <c r="E91" s="37">
        <v>7233970.0551800001</v>
      </c>
      <c r="F91" s="37">
        <v>35457.413999999997</v>
      </c>
      <c r="G91" s="37">
        <v>101695.00744</v>
      </c>
      <c r="H91" s="37">
        <v>2051.6559499999998</v>
      </c>
      <c r="I91" s="37">
        <v>8273381.0103400005</v>
      </c>
      <c r="J91" s="40"/>
      <c r="K91" s="40"/>
    </row>
    <row r="92" spans="1:11" x14ac:dyDescent="0.3">
      <c r="A92" s="41">
        <v>41333</v>
      </c>
      <c r="B92" s="37">
        <v>856401.22614000004</v>
      </c>
      <c r="C92" s="37">
        <v>52892.896270000005</v>
      </c>
      <c r="D92" s="37">
        <v>-9087.2446300000011</v>
      </c>
      <c r="E92" s="37">
        <v>7233970.0551800001</v>
      </c>
      <c r="F92" s="37">
        <v>35457.413999999997</v>
      </c>
      <c r="G92" s="37">
        <v>101695.00744</v>
      </c>
      <c r="H92" s="37">
        <v>2051.6559499999998</v>
      </c>
      <c r="I92" s="37">
        <v>8273381.0103400005</v>
      </c>
      <c r="J92" s="40"/>
      <c r="K92" s="40"/>
    </row>
    <row r="93" spans="1:11" x14ac:dyDescent="0.3">
      <c r="A93" s="41">
        <v>41340</v>
      </c>
      <c r="B93" s="37">
        <v>856401.22614000004</v>
      </c>
      <c r="C93" s="37">
        <v>52892.896270000005</v>
      </c>
      <c r="D93" s="37">
        <v>-9087.2446300000011</v>
      </c>
      <c r="E93" s="37">
        <v>7234282.8051800001</v>
      </c>
      <c r="F93" s="37">
        <v>35457.413999999997</v>
      </c>
      <c r="G93" s="37">
        <v>101695.00744</v>
      </c>
      <c r="H93" s="37">
        <v>2051.6559499999998</v>
      </c>
      <c r="I93" s="37">
        <v>8273693.7603400005</v>
      </c>
      <c r="J93" s="40"/>
      <c r="K93" s="40"/>
    </row>
    <row r="94" spans="1:11" x14ac:dyDescent="0.3">
      <c r="A94" s="41">
        <v>41344</v>
      </c>
      <c r="B94" s="37">
        <v>856401.22614000004</v>
      </c>
      <c r="C94" s="37">
        <v>52892.896270000005</v>
      </c>
      <c r="D94" s="37">
        <v>-9087.2446300000011</v>
      </c>
      <c r="E94" s="37">
        <v>7236535.3051800001</v>
      </c>
      <c r="F94" s="37">
        <v>35457.413999999997</v>
      </c>
      <c r="G94" s="37">
        <v>101695.00744</v>
      </c>
      <c r="H94" s="37">
        <v>2051.6559499999998</v>
      </c>
      <c r="I94" s="37">
        <v>8275946.2603400005</v>
      </c>
      <c r="J94" s="40"/>
      <c r="K94" s="40"/>
    </row>
    <row r="95" spans="1:11" x14ac:dyDescent="0.3">
      <c r="A95" s="41">
        <v>41348</v>
      </c>
      <c r="B95" s="37">
        <v>872973.10114000004</v>
      </c>
      <c r="C95" s="37">
        <v>52892.896270000005</v>
      </c>
      <c r="D95" s="37">
        <v>-9087.2446300000011</v>
      </c>
      <c r="E95" s="37">
        <v>7236566.5532</v>
      </c>
      <c r="F95" s="37">
        <v>35457.413999999997</v>
      </c>
      <c r="G95" s="37">
        <v>101695.00744</v>
      </c>
      <c r="H95" s="37">
        <v>2051.6559499999998</v>
      </c>
      <c r="I95" s="37">
        <v>8292549.3833599994</v>
      </c>
      <c r="J95" s="40"/>
      <c r="K95" s="40"/>
    </row>
    <row r="96" spans="1:11" x14ac:dyDescent="0.3">
      <c r="A96" s="41">
        <v>41351</v>
      </c>
      <c r="B96" s="37">
        <v>872973.10114000004</v>
      </c>
      <c r="C96" s="37">
        <v>52892.896270000005</v>
      </c>
      <c r="D96" s="37">
        <v>-9087.2446300000011</v>
      </c>
      <c r="E96" s="37">
        <v>7236534.7402299996</v>
      </c>
      <c r="F96" s="37">
        <v>35457.413999999997</v>
      </c>
      <c r="G96" s="37">
        <v>101695.00744</v>
      </c>
      <c r="H96" s="37">
        <v>2051.6559499999998</v>
      </c>
      <c r="I96" s="37">
        <v>8292517.5703999996</v>
      </c>
      <c r="J96" s="40"/>
      <c r="K96" s="40"/>
    </row>
    <row r="97" spans="1:11" x14ac:dyDescent="0.3">
      <c r="A97" s="41">
        <v>41352</v>
      </c>
      <c r="B97" s="37">
        <v>873045.60114000004</v>
      </c>
      <c r="C97" s="37">
        <v>52892.896270000005</v>
      </c>
      <c r="D97" s="37">
        <v>-9087.2446300000011</v>
      </c>
      <c r="E97" s="37">
        <v>7236582.9032500004</v>
      </c>
      <c r="F97" s="37">
        <v>35457.413999999997</v>
      </c>
      <c r="G97" s="37">
        <v>101695.00744</v>
      </c>
      <c r="H97" s="37">
        <v>2051.6559499999998</v>
      </c>
      <c r="I97" s="37">
        <v>8292638.2334099999</v>
      </c>
      <c r="J97" s="40"/>
      <c r="K97" s="40"/>
    </row>
    <row r="98" spans="1:11" x14ac:dyDescent="0.3">
      <c r="A98" s="41">
        <v>41353</v>
      </c>
      <c r="B98" s="37">
        <v>881314.35114000004</v>
      </c>
      <c r="C98" s="37">
        <v>52892.896270000005</v>
      </c>
      <c r="D98" s="37">
        <v>-9087.2446300000011</v>
      </c>
      <c r="E98" s="37">
        <v>7236582.9032500004</v>
      </c>
      <c r="F98" s="37">
        <v>35457.413999999997</v>
      </c>
      <c r="G98" s="37">
        <v>101695.00744</v>
      </c>
      <c r="H98" s="37">
        <v>2051.6559499999998</v>
      </c>
      <c r="I98" s="37">
        <v>8300906.9834099999</v>
      </c>
      <c r="J98" s="40"/>
      <c r="K98" s="40"/>
    </row>
    <row r="99" spans="1:11" x14ac:dyDescent="0.3">
      <c r="A99" s="41">
        <v>41358</v>
      </c>
      <c r="B99" s="37">
        <v>881314.35114000004</v>
      </c>
      <c r="C99" s="37">
        <v>52892.896270000005</v>
      </c>
      <c r="D99" s="37">
        <v>-9087.2446300000011</v>
      </c>
      <c r="E99" s="37">
        <v>7237457.9032500004</v>
      </c>
      <c r="F99" s="37">
        <v>35457.413999999997</v>
      </c>
      <c r="G99" s="37">
        <v>101695.00744</v>
      </c>
      <c r="H99" s="37">
        <v>2051.6559499999998</v>
      </c>
      <c r="I99" s="37">
        <v>8301781.9834099999</v>
      </c>
      <c r="J99" s="40"/>
      <c r="K99" s="40"/>
    </row>
    <row r="100" spans="1:11" x14ac:dyDescent="0.3">
      <c r="A100" s="41">
        <v>41361</v>
      </c>
      <c r="B100" s="37">
        <v>881401.85114000004</v>
      </c>
      <c r="C100" s="37">
        <v>52892.896270000005</v>
      </c>
      <c r="D100" s="37">
        <v>-9087.2446300000011</v>
      </c>
      <c r="E100" s="37">
        <v>7235752.1013400005</v>
      </c>
      <c r="F100" s="37">
        <v>35457.413999999997</v>
      </c>
      <c r="G100" s="37">
        <v>101695.00744</v>
      </c>
      <c r="H100" s="37">
        <v>2051.6559499999998</v>
      </c>
      <c r="I100" s="37">
        <v>8300163.6814999999</v>
      </c>
      <c r="J100" s="40"/>
      <c r="K100" s="40"/>
    </row>
    <row r="101" spans="1:11" x14ac:dyDescent="0.3">
      <c r="A101" s="41">
        <v>41365</v>
      </c>
      <c r="B101" s="37">
        <v>881401.85114000004</v>
      </c>
      <c r="C101" s="37">
        <v>52892.896270000005</v>
      </c>
      <c r="D101" s="37">
        <v>-9087.2446300000011</v>
      </c>
      <c r="E101" s="37">
        <v>7238165.2263400005</v>
      </c>
      <c r="F101" s="37">
        <v>35457.413999999997</v>
      </c>
      <c r="G101" s="37">
        <v>101695.00744</v>
      </c>
      <c r="H101" s="37">
        <v>2051.6559499999998</v>
      </c>
      <c r="I101" s="37">
        <v>8302576.8064999999</v>
      </c>
      <c r="J101" s="40"/>
      <c r="K101" s="40"/>
    </row>
    <row r="102" spans="1:11" x14ac:dyDescent="0.3">
      <c r="A102" s="41">
        <v>41368</v>
      </c>
      <c r="B102" s="37">
        <v>881401.85114000004</v>
      </c>
      <c r="C102" s="37">
        <v>52892.896270000005</v>
      </c>
      <c r="D102" s="37">
        <v>-9087.2446300000011</v>
      </c>
      <c r="E102" s="37">
        <v>8238165.2263400005</v>
      </c>
      <c r="F102" s="37">
        <v>35457.413999999997</v>
      </c>
      <c r="G102" s="37">
        <v>101695.00744</v>
      </c>
      <c r="H102" s="37">
        <v>2051.6559499999998</v>
      </c>
      <c r="I102" s="37">
        <v>9302576.8065000009</v>
      </c>
      <c r="J102" s="40"/>
      <c r="K102" s="40"/>
    </row>
    <row r="103" spans="1:11" x14ac:dyDescent="0.3">
      <c r="A103" s="41">
        <v>41372</v>
      </c>
      <c r="B103" s="37">
        <v>881401.85114000004</v>
      </c>
      <c r="C103" s="37">
        <v>52892.896270000005</v>
      </c>
      <c r="D103" s="37">
        <v>-9087.2446300000011</v>
      </c>
      <c r="E103" s="37">
        <v>8238663.9763400005</v>
      </c>
      <c r="F103" s="37">
        <v>35457.413999999997</v>
      </c>
      <c r="G103" s="37">
        <v>101695.00744</v>
      </c>
      <c r="H103" s="37">
        <v>2051.6559499999998</v>
      </c>
      <c r="I103" s="37">
        <v>9303075.5565000009</v>
      </c>
      <c r="J103" s="40"/>
      <c r="K103" s="40"/>
    </row>
    <row r="104" spans="1:11" x14ac:dyDescent="0.3">
      <c r="A104" s="41">
        <v>41374</v>
      </c>
      <c r="B104" s="37">
        <v>886401.85114000004</v>
      </c>
      <c r="C104" s="37">
        <v>52892.896270000005</v>
      </c>
      <c r="D104" s="37">
        <v>-9087.2446300000011</v>
      </c>
      <c r="E104" s="37">
        <v>8238663.9763400005</v>
      </c>
      <c r="F104" s="37">
        <v>35457.413999999997</v>
      </c>
      <c r="G104" s="37">
        <v>101695.00744</v>
      </c>
      <c r="H104" s="37">
        <v>2051.6559499999998</v>
      </c>
      <c r="I104" s="37">
        <v>9308075.5565000009</v>
      </c>
      <c r="J104" s="40"/>
      <c r="K104" s="40"/>
    </row>
    <row r="105" spans="1:11" x14ac:dyDescent="0.3">
      <c r="A105" s="41">
        <v>41375</v>
      </c>
      <c r="B105" s="37">
        <v>886401.85114000004</v>
      </c>
      <c r="C105" s="37">
        <v>52892.896270000005</v>
      </c>
      <c r="D105" s="37">
        <v>-9087.2446300000011</v>
      </c>
      <c r="E105" s="37">
        <v>8238727.5816000002</v>
      </c>
      <c r="F105" s="37">
        <v>35457.413999999997</v>
      </c>
      <c r="G105" s="37">
        <v>101695.00744</v>
      </c>
      <c r="H105" s="37">
        <v>2051.6559499999998</v>
      </c>
      <c r="I105" s="37">
        <v>9308139.1617700011</v>
      </c>
      <c r="J105" s="40"/>
      <c r="K105" s="40"/>
    </row>
    <row r="106" spans="1:11" x14ac:dyDescent="0.3">
      <c r="A106" s="41">
        <v>41379</v>
      </c>
      <c r="B106" s="37">
        <v>886401.85114000004</v>
      </c>
      <c r="C106" s="37">
        <v>52892.896270000005</v>
      </c>
      <c r="D106" s="37">
        <v>-9087.2446300000011</v>
      </c>
      <c r="E106" s="37">
        <v>8239727.5816000002</v>
      </c>
      <c r="F106" s="37">
        <v>36004.297500000001</v>
      </c>
      <c r="G106" s="37">
        <v>101695.00744</v>
      </c>
      <c r="H106" s="37">
        <v>2051.6559499999998</v>
      </c>
      <c r="I106" s="37">
        <v>9309686.0452800002</v>
      </c>
      <c r="J106" s="40"/>
      <c r="K106" s="40"/>
    </row>
    <row r="107" spans="1:11" x14ac:dyDescent="0.3">
      <c r="A107" s="41">
        <v>41380</v>
      </c>
      <c r="B107" s="37">
        <v>886414.35114000004</v>
      </c>
      <c r="C107" s="37">
        <v>52892.896270000005</v>
      </c>
      <c r="D107" s="37">
        <v>-9087.2446300000011</v>
      </c>
      <c r="E107" s="37">
        <v>8239727.5816000002</v>
      </c>
      <c r="F107" s="37">
        <v>36004.297500000001</v>
      </c>
      <c r="G107" s="37">
        <v>101695.00744</v>
      </c>
      <c r="H107" s="37">
        <v>2051.6559499999998</v>
      </c>
      <c r="I107" s="37">
        <v>9309698.5452800002</v>
      </c>
      <c r="J107" s="40"/>
      <c r="K107" s="40"/>
    </row>
    <row r="108" spans="1:11" x14ac:dyDescent="0.3">
      <c r="A108" s="41">
        <v>41386</v>
      </c>
      <c r="B108" s="37">
        <v>886414.35114000004</v>
      </c>
      <c r="C108" s="37">
        <v>52892.896270000005</v>
      </c>
      <c r="D108" s="37">
        <v>-9087.2446300000011</v>
      </c>
      <c r="E108" s="37">
        <v>8444036.6966200005</v>
      </c>
      <c r="F108" s="37">
        <v>36004.297500000001</v>
      </c>
      <c r="G108" s="37">
        <v>101695.00744</v>
      </c>
      <c r="H108" s="37">
        <v>2051.6559499999998</v>
      </c>
      <c r="I108" s="37">
        <v>9514007.660290001</v>
      </c>
      <c r="J108" s="40"/>
      <c r="K108" s="40"/>
    </row>
    <row r="109" spans="1:11" x14ac:dyDescent="0.3">
      <c r="A109" s="41">
        <v>41390</v>
      </c>
      <c r="B109" s="37">
        <v>886544.35114000004</v>
      </c>
      <c r="C109" s="37">
        <v>52892.896270000005</v>
      </c>
      <c r="D109" s="37">
        <v>-9087.2446300000011</v>
      </c>
      <c r="E109" s="37">
        <v>8444036.6966200005</v>
      </c>
      <c r="F109" s="37">
        <v>36004.297500000001</v>
      </c>
      <c r="G109" s="37">
        <v>101695.00744</v>
      </c>
      <c r="H109" s="37">
        <v>2051.6559499999998</v>
      </c>
      <c r="I109" s="37">
        <v>9514137.660290001</v>
      </c>
      <c r="J109" s="40"/>
      <c r="K109" s="40"/>
    </row>
    <row r="110" spans="1:11" x14ac:dyDescent="0.3">
      <c r="A110" s="41">
        <v>41393</v>
      </c>
      <c r="B110" s="37">
        <v>886544.35114000004</v>
      </c>
      <c r="C110" s="37">
        <v>52892.896270000005</v>
      </c>
      <c r="D110" s="37">
        <v>-9087.2446300000011</v>
      </c>
      <c r="E110" s="37">
        <v>8444736.6966200005</v>
      </c>
      <c r="F110" s="37">
        <v>36004.297500000001</v>
      </c>
      <c r="G110" s="37">
        <v>101695.00744</v>
      </c>
      <c r="H110" s="37">
        <v>2051.6559499999998</v>
      </c>
      <c r="I110" s="37">
        <v>9514837.660290001</v>
      </c>
      <c r="J110" s="40"/>
      <c r="K110" s="40"/>
    </row>
    <row r="111" spans="1:11" x14ac:dyDescent="0.3">
      <c r="A111" s="41">
        <v>41394</v>
      </c>
      <c r="B111" s="37">
        <v>886544.35114000004</v>
      </c>
      <c r="C111" s="37">
        <v>52892.896270000005</v>
      </c>
      <c r="D111" s="37">
        <v>-9087.2446300000011</v>
      </c>
      <c r="E111" s="37">
        <v>8698455.4466200005</v>
      </c>
      <c r="F111" s="37">
        <v>36004.297500000001</v>
      </c>
      <c r="G111" s="37">
        <v>101695.00744</v>
      </c>
      <c r="H111" s="37">
        <v>2051.6559499999998</v>
      </c>
      <c r="I111" s="37">
        <v>9768556.410290001</v>
      </c>
      <c r="J111" s="40"/>
      <c r="K111" s="40"/>
    </row>
    <row r="112" spans="1:11" x14ac:dyDescent="0.3">
      <c r="A112" s="41">
        <v>41396</v>
      </c>
      <c r="B112" s="37">
        <v>886544.35114000004</v>
      </c>
      <c r="C112" s="37">
        <v>52892.896270000005</v>
      </c>
      <c r="D112" s="37">
        <v>-9087.2446300000011</v>
      </c>
      <c r="E112" s="37">
        <v>9176357.2160999998</v>
      </c>
      <c r="F112" s="37">
        <v>36004.297500000001</v>
      </c>
      <c r="G112" s="37">
        <v>101695.00744</v>
      </c>
      <c r="H112" s="37">
        <v>2051.6559499999998</v>
      </c>
      <c r="I112" s="37">
        <v>10246458.17977</v>
      </c>
      <c r="J112" s="40"/>
      <c r="K112" s="40"/>
    </row>
    <row r="113" spans="1:11" x14ac:dyDescent="0.3">
      <c r="A113" s="41">
        <v>41400</v>
      </c>
      <c r="B113" s="37">
        <v>886544.35114000004</v>
      </c>
      <c r="C113" s="37">
        <v>52892.896270000005</v>
      </c>
      <c r="D113" s="37">
        <v>-9087.2446300000011</v>
      </c>
      <c r="E113" s="37">
        <v>9176563.4660999998</v>
      </c>
      <c r="F113" s="37">
        <v>36004.297500000001</v>
      </c>
      <c r="G113" s="37">
        <v>101695.00744</v>
      </c>
      <c r="H113" s="37">
        <v>2051.6559499999998</v>
      </c>
      <c r="I113" s="37">
        <v>10246664.42977</v>
      </c>
      <c r="J113" s="40"/>
      <c r="K113" s="40"/>
    </row>
    <row r="114" spans="1:11" x14ac:dyDescent="0.3">
      <c r="A114" s="41">
        <v>41409</v>
      </c>
      <c r="B114" s="37">
        <v>1054731.8511399999</v>
      </c>
      <c r="C114" s="37">
        <v>52892.896270000005</v>
      </c>
      <c r="D114" s="37">
        <v>-9087.2446300000011</v>
      </c>
      <c r="E114" s="37">
        <v>9178908.4660999998</v>
      </c>
      <c r="F114" s="37">
        <v>36004.297500000001</v>
      </c>
      <c r="G114" s="37">
        <v>101695.00744</v>
      </c>
      <c r="H114" s="37">
        <v>2051.6559499999998</v>
      </c>
      <c r="I114" s="37">
        <v>10417196.92977</v>
      </c>
      <c r="J114" s="40"/>
      <c r="K114" s="40"/>
    </row>
    <row r="115" spans="1:11" x14ac:dyDescent="0.3">
      <c r="A115" s="41">
        <v>41410</v>
      </c>
      <c r="B115" s="37">
        <v>1058481.8511399999</v>
      </c>
      <c r="C115" s="37">
        <v>52892.896270000005</v>
      </c>
      <c r="D115" s="37">
        <v>-9087.2446300000011</v>
      </c>
      <c r="E115" s="37">
        <v>9180408.4660999998</v>
      </c>
      <c r="F115" s="37">
        <v>36004.297500000001</v>
      </c>
      <c r="G115" s="37">
        <v>101695.00744</v>
      </c>
      <c r="H115" s="37">
        <v>2051.6559499999998</v>
      </c>
      <c r="I115" s="37">
        <v>10422446.92977</v>
      </c>
      <c r="J115" s="40"/>
      <c r="K115" s="40"/>
    </row>
    <row r="116" spans="1:11" x14ac:dyDescent="0.3">
      <c r="A116" s="41">
        <v>41411</v>
      </c>
      <c r="B116" s="37">
        <v>1058616.8511399999</v>
      </c>
      <c r="C116" s="37">
        <v>52892.896270000005</v>
      </c>
      <c r="D116" s="37">
        <v>-9087.2446300000011</v>
      </c>
      <c r="E116" s="37">
        <v>9180408.4660999998</v>
      </c>
      <c r="F116" s="37">
        <v>36004.297500000001</v>
      </c>
      <c r="G116" s="37">
        <v>101695.00744</v>
      </c>
      <c r="H116" s="37">
        <v>2051.6559499999998</v>
      </c>
      <c r="I116" s="37">
        <v>10422581.92977</v>
      </c>
      <c r="J116" s="40"/>
      <c r="K116" s="40"/>
    </row>
    <row r="117" spans="1:11" x14ac:dyDescent="0.3">
      <c r="A117" s="41">
        <v>41424</v>
      </c>
      <c r="B117" s="37">
        <v>1058616.8511399999</v>
      </c>
      <c r="C117" s="37">
        <v>52892.896270000005</v>
      </c>
      <c r="D117" s="37">
        <v>-9087.2446300000011</v>
      </c>
      <c r="E117" s="37">
        <v>9180408.4660999998</v>
      </c>
      <c r="F117" s="37">
        <v>36004.297500000001</v>
      </c>
      <c r="G117" s="37">
        <v>101695.00744</v>
      </c>
      <c r="H117" s="37">
        <v>2051.6559499999998</v>
      </c>
      <c r="I117" s="37">
        <v>10422581.92977</v>
      </c>
      <c r="J117" s="40"/>
      <c r="K117" s="40"/>
    </row>
    <row r="118" spans="1:11" x14ac:dyDescent="0.3">
      <c r="A118" s="41">
        <v>41425</v>
      </c>
      <c r="B118" s="37">
        <v>1058616.8511399999</v>
      </c>
      <c r="C118" s="37">
        <v>52892.896270000005</v>
      </c>
      <c r="D118" s="37">
        <v>-9087.2446300000011</v>
      </c>
      <c r="E118" s="37">
        <v>9639895.3410999998</v>
      </c>
      <c r="F118" s="37">
        <v>36004.297500000001</v>
      </c>
      <c r="G118" s="37">
        <v>101695.00744</v>
      </c>
      <c r="H118" s="37">
        <v>2051.6559499999998</v>
      </c>
      <c r="I118" s="37">
        <v>10882068.80477</v>
      </c>
      <c r="J118" s="40"/>
      <c r="K118" s="40"/>
    </row>
    <row r="119" spans="1:11" x14ac:dyDescent="0.3">
      <c r="A119" s="41">
        <v>41435</v>
      </c>
      <c r="B119" s="37">
        <v>1058616.8511399999</v>
      </c>
      <c r="C119" s="37">
        <v>52892.896270000005</v>
      </c>
      <c r="D119" s="37">
        <v>-9087.2446300000011</v>
      </c>
      <c r="E119" s="37">
        <v>9640520.3410999998</v>
      </c>
      <c r="F119" s="37">
        <v>36004.297500000001</v>
      </c>
      <c r="G119" s="37">
        <v>101695.00744</v>
      </c>
      <c r="H119" s="37">
        <v>2051.6559499999998</v>
      </c>
      <c r="I119" s="37">
        <v>10882693.80477</v>
      </c>
      <c r="J119" s="40"/>
      <c r="K119" s="40"/>
    </row>
    <row r="120" spans="1:11" x14ac:dyDescent="0.3">
      <c r="A120" s="41">
        <v>41437</v>
      </c>
      <c r="B120" s="37">
        <v>1061386.8511399999</v>
      </c>
      <c r="C120" s="37">
        <v>52892.896270000005</v>
      </c>
      <c r="D120" s="37">
        <v>-9087.2446300000011</v>
      </c>
      <c r="E120" s="37">
        <v>9640789.0910999998</v>
      </c>
      <c r="F120" s="37">
        <v>36004.297500000001</v>
      </c>
      <c r="G120" s="37">
        <v>101695.00744</v>
      </c>
      <c r="H120" s="37">
        <v>2051.6559499999998</v>
      </c>
      <c r="I120" s="37">
        <v>10885732.55477</v>
      </c>
      <c r="J120" s="40"/>
      <c r="K120" s="40"/>
    </row>
    <row r="121" spans="1:11" x14ac:dyDescent="0.3">
      <c r="A121" s="41">
        <v>41442</v>
      </c>
      <c r="B121" s="37">
        <v>1066839.9761399999</v>
      </c>
      <c r="C121" s="37">
        <v>52892.896270000005</v>
      </c>
      <c r="D121" s="37">
        <v>-9087.2446300000011</v>
      </c>
      <c r="E121" s="37">
        <v>9666720.4344800003</v>
      </c>
      <c r="F121" s="37">
        <v>36004.297500000001</v>
      </c>
      <c r="G121" s="37">
        <v>101695.00744</v>
      </c>
      <c r="H121" s="37">
        <v>2051.6559499999998</v>
      </c>
      <c r="I121" s="37">
        <v>10917117.023149999</v>
      </c>
      <c r="J121" s="40"/>
      <c r="K121" s="40"/>
    </row>
    <row r="122" spans="1:11" x14ac:dyDescent="0.3">
      <c r="A122" s="41">
        <v>41444</v>
      </c>
      <c r="B122" s="37">
        <v>1069716.9761399999</v>
      </c>
      <c r="C122" s="37">
        <v>52892.896270000005</v>
      </c>
      <c r="D122" s="37">
        <v>-9087.2446300000011</v>
      </c>
      <c r="E122" s="37">
        <v>9666181.4750499986</v>
      </c>
      <c r="F122" s="37">
        <v>36004.297500000001</v>
      </c>
      <c r="G122" s="37">
        <v>101695.00744</v>
      </c>
      <c r="H122" s="37">
        <v>2051.6559499999998</v>
      </c>
      <c r="I122" s="37">
        <v>10919455.063719999</v>
      </c>
      <c r="J122" s="40"/>
      <c r="K122" s="40"/>
    </row>
    <row r="123" spans="1:11" x14ac:dyDescent="0.3">
      <c r="A123" s="41">
        <v>41450</v>
      </c>
      <c r="B123" s="37">
        <v>1069716.9761399999</v>
      </c>
      <c r="C123" s="37">
        <v>52892.896270000005</v>
      </c>
      <c r="D123" s="37">
        <v>-9087.2446300000011</v>
      </c>
      <c r="E123" s="37">
        <v>9666634.6000499986</v>
      </c>
      <c r="F123" s="37">
        <v>36004.297500000001</v>
      </c>
      <c r="G123" s="37">
        <v>101695.00744</v>
      </c>
      <c r="H123" s="37">
        <v>2051.6559499999998</v>
      </c>
      <c r="I123" s="37">
        <v>10919908.188719999</v>
      </c>
      <c r="J123" s="40"/>
      <c r="K123" s="40"/>
    </row>
    <row r="124" spans="1:11" x14ac:dyDescent="0.3">
      <c r="A124" s="41">
        <v>41452</v>
      </c>
      <c r="B124" s="37">
        <v>1070541.9761399999</v>
      </c>
      <c r="C124" s="37">
        <v>52892.896270000005</v>
      </c>
      <c r="D124" s="37">
        <v>-9087.2446300000011</v>
      </c>
      <c r="E124" s="37">
        <v>9860634.6000499986</v>
      </c>
      <c r="F124" s="37">
        <v>36004.297500000001</v>
      </c>
      <c r="G124" s="37">
        <v>101695.00744</v>
      </c>
      <c r="H124" s="37">
        <v>2051.6559499999998</v>
      </c>
      <c r="I124" s="37">
        <v>11114733.188719999</v>
      </c>
      <c r="J124" s="40"/>
      <c r="K124" s="40"/>
    </row>
    <row r="125" spans="1:11" x14ac:dyDescent="0.3">
      <c r="A125" s="41">
        <v>41453</v>
      </c>
      <c r="B125" s="37">
        <v>1070541.9761399999</v>
      </c>
      <c r="C125" s="37">
        <v>52892.896270000005</v>
      </c>
      <c r="D125" s="37">
        <v>-9087.2446300000011</v>
      </c>
      <c r="E125" s="37">
        <v>9860901.1702299993</v>
      </c>
      <c r="F125" s="37">
        <v>36004.297500000001</v>
      </c>
      <c r="G125" s="37">
        <v>101695.00744</v>
      </c>
      <c r="H125" s="37">
        <v>2051.6559499999998</v>
      </c>
      <c r="I125" s="37">
        <v>11114999.75891</v>
      </c>
      <c r="J125" s="40"/>
      <c r="K125" s="40"/>
    </row>
    <row r="126" spans="1:11" x14ac:dyDescent="0.3">
      <c r="A126" s="41">
        <v>41456</v>
      </c>
      <c r="B126" s="37">
        <v>1083079.4761400002</v>
      </c>
      <c r="C126" s="37">
        <v>52892.896270000005</v>
      </c>
      <c r="D126" s="37">
        <v>-9087.2446300000011</v>
      </c>
      <c r="E126" s="37">
        <v>9863204.9202299993</v>
      </c>
      <c r="F126" s="37">
        <v>36004.298000000003</v>
      </c>
      <c r="G126" s="37">
        <v>101695.00744</v>
      </c>
      <c r="H126" s="37">
        <v>2051.6559499999998</v>
      </c>
      <c r="I126" s="37">
        <v>11129841.00891</v>
      </c>
      <c r="J126" s="40"/>
      <c r="K126" s="40"/>
    </row>
    <row r="127" spans="1:11" x14ac:dyDescent="0.3">
      <c r="A127" s="41">
        <v>41466</v>
      </c>
      <c r="B127" s="37">
        <v>1083079.4761400002</v>
      </c>
      <c r="C127" s="37">
        <v>52892.896270000005</v>
      </c>
      <c r="D127" s="37">
        <v>-9087.2446300000011</v>
      </c>
      <c r="E127" s="37">
        <v>9863101.1698099989</v>
      </c>
      <c r="F127" s="37">
        <v>36004.298000000003</v>
      </c>
      <c r="G127" s="37">
        <v>101695.00744</v>
      </c>
      <c r="H127" s="37">
        <v>2051.6559499999998</v>
      </c>
      <c r="I127" s="37">
        <v>11129737.258479999</v>
      </c>
      <c r="J127" s="40"/>
      <c r="K127" s="40"/>
    </row>
    <row r="128" spans="1:11" x14ac:dyDescent="0.3">
      <c r="A128" s="41">
        <v>41470</v>
      </c>
      <c r="B128" s="37">
        <v>1245966.9761400002</v>
      </c>
      <c r="C128" s="37">
        <v>52892.896270000005</v>
      </c>
      <c r="D128" s="37">
        <v>-9087.2446300000011</v>
      </c>
      <c r="E128" s="37">
        <v>9888601.1698099989</v>
      </c>
      <c r="F128" s="37">
        <v>39004.499259999997</v>
      </c>
      <c r="G128" s="37">
        <v>101695.00744</v>
      </c>
      <c r="H128" s="37">
        <v>2051.6559499999998</v>
      </c>
      <c r="I128" s="37">
        <v>11321124.96023</v>
      </c>
      <c r="J128" s="40"/>
      <c r="K128" s="40"/>
    </row>
    <row r="129" spans="1:11" x14ac:dyDescent="0.3">
      <c r="A129" s="41">
        <v>41471</v>
      </c>
      <c r="B129" s="37">
        <v>1247946.95407</v>
      </c>
      <c r="C129" s="37">
        <v>52892.896270000005</v>
      </c>
      <c r="D129" s="37">
        <v>-9087.2446300000011</v>
      </c>
      <c r="E129" s="37">
        <v>9888601.1698099989</v>
      </c>
      <c r="F129" s="37">
        <v>39004.499259999997</v>
      </c>
      <c r="G129" s="37">
        <v>101695.00744</v>
      </c>
      <c r="H129" s="37">
        <v>2051.6559499999998</v>
      </c>
      <c r="I129" s="37">
        <v>11323104.93816</v>
      </c>
      <c r="J129" s="40"/>
      <c r="K129" s="40"/>
    </row>
    <row r="130" spans="1:11" x14ac:dyDescent="0.3">
      <c r="A130" s="41">
        <v>41472</v>
      </c>
      <c r="B130" s="37">
        <v>1248556.32907</v>
      </c>
      <c r="C130" s="37">
        <v>52892.896270000005</v>
      </c>
      <c r="D130" s="37">
        <v>-9087.2446300000011</v>
      </c>
      <c r="E130" s="37">
        <v>9888601.1698099989</v>
      </c>
      <c r="F130" s="37">
        <v>39004.499259999997</v>
      </c>
      <c r="G130" s="37">
        <v>101695.00744</v>
      </c>
      <c r="H130" s="37">
        <v>2051.6559499999998</v>
      </c>
      <c r="I130" s="37">
        <v>11323714.31316</v>
      </c>
      <c r="J130" s="40"/>
      <c r="K130" s="40"/>
    </row>
    <row r="131" spans="1:11" x14ac:dyDescent="0.3">
      <c r="A131" s="41">
        <v>41474</v>
      </c>
      <c r="B131" s="37">
        <v>1249928.82907</v>
      </c>
      <c r="C131" s="37">
        <v>52892.896270000005</v>
      </c>
      <c r="D131" s="37">
        <v>-9087.2446300000011</v>
      </c>
      <c r="E131" s="37">
        <v>9888660.5448099989</v>
      </c>
      <c r="F131" s="37">
        <v>39004.499259999997</v>
      </c>
      <c r="G131" s="37">
        <v>101695.00744</v>
      </c>
      <c r="H131" s="37">
        <v>2051.6559499999998</v>
      </c>
      <c r="I131" s="37">
        <v>11325146.18816</v>
      </c>
      <c r="J131" s="40"/>
      <c r="K131" s="40"/>
    </row>
    <row r="132" spans="1:11" x14ac:dyDescent="0.3">
      <c r="A132" s="41">
        <v>41477</v>
      </c>
      <c r="B132" s="37">
        <v>1250605.1790699998</v>
      </c>
      <c r="C132" s="37">
        <v>52892.896270000005</v>
      </c>
      <c r="D132" s="37">
        <v>-9087.2446300000011</v>
      </c>
      <c r="E132" s="37">
        <v>9888343.1121900007</v>
      </c>
      <c r="F132" s="37">
        <v>39004.499259999997</v>
      </c>
      <c r="G132" s="37">
        <v>101695.00744</v>
      </c>
      <c r="H132" s="37">
        <v>2051.6559499999998</v>
      </c>
      <c r="I132" s="37">
        <v>11325505.105549999</v>
      </c>
      <c r="J132" s="40"/>
      <c r="K132" s="40"/>
    </row>
    <row r="133" spans="1:11" x14ac:dyDescent="0.3">
      <c r="A133" s="41">
        <v>41481</v>
      </c>
      <c r="B133" s="37">
        <v>1250605.1790699998</v>
      </c>
      <c r="C133" s="37">
        <v>52892.896270000005</v>
      </c>
      <c r="D133" s="37">
        <v>-9087.2446300000011</v>
      </c>
      <c r="E133" s="37">
        <v>9889436.8621900007</v>
      </c>
      <c r="F133" s="37">
        <v>39004.499259999997</v>
      </c>
      <c r="G133" s="37">
        <v>101695.00744</v>
      </c>
      <c r="H133" s="37">
        <v>2051.6559499999998</v>
      </c>
      <c r="I133" s="37">
        <v>11326598.855549999</v>
      </c>
      <c r="J133" s="40"/>
      <c r="K133" s="40"/>
    </row>
    <row r="134" spans="1:11" x14ac:dyDescent="0.3">
      <c r="A134" s="41">
        <v>41484</v>
      </c>
      <c r="B134" s="37">
        <v>1250605.1790699998</v>
      </c>
      <c r="C134" s="37">
        <v>52892.896270000005</v>
      </c>
      <c r="D134" s="37">
        <v>-9087.2446300000011</v>
      </c>
      <c r="E134" s="37">
        <v>9907684.3621900007</v>
      </c>
      <c r="F134" s="37">
        <v>39004.499259999997</v>
      </c>
      <c r="G134" s="37">
        <v>101695.00744</v>
      </c>
      <c r="H134" s="37">
        <v>2051.6559499999998</v>
      </c>
      <c r="I134" s="37">
        <v>11344846.355549999</v>
      </c>
      <c r="J134" s="40"/>
      <c r="K134" s="40"/>
    </row>
    <row r="135" spans="1:11" x14ac:dyDescent="0.3">
      <c r="A135" s="41">
        <v>41486</v>
      </c>
      <c r="B135" s="37">
        <v>1250605.1790699998</v>
      </c>
      <c r="C135" s="37">
        <v>52892.896270000005</v>
      </c>
      <c r="D135" s="37">
        <v>-9087.2446300000011</v>
      </c>
      <c r="E135" s="37">
        <v>10379986.862190001</v>
      </c>
      <c r="F135" s="37">
        <v>39004.499259999997</v>
      </c>
      <c r="G135" s="37">
        <v>101695.00744</v>
      </c>
      <c r="H135" s="37">
        <v>2051.6559499999998</v>
      </c>
      <c r="I135" s="37">
        <v>11817148.855549999</v>
      </c>
      <c r="J135" s="40"/>
      <c r="K135" s="40"/>
    </row>
    <row r="136" spans="1:11" x14ac:dyDescent="0.3">
      <c r="A136" s="41">
        <v>41487</v>
      </c>
      <c r="B136" s="37">
        <v>1251245.8040699998</v>
      </c>
      <c r="C136" s="37">
        <v>52892.896270000005</v>
      </c>
      <c r="D136" s="37">
        <v>-9087.2446300000011</v>
      </c>
      <c r="E136" s="37">
        <v>10379986.862190001</v>
      </c>
      <c r="F136" s="37">
        <v>39004.499259999997</v>
      </c>
      <c r="G136" s="37">
        <v>101695.00744</v>
      </c>
      <c r="H136" s="37">
        <v>2051.6559499999998</v>
      </c>
      <c r="I136" s="37">
        <v>11817789.480549999</v>
      </c>
      <c r="J136" s="40"/>
      <c r="K136" s="40"/>
    </row>
    <row r="137" spans="1:11" x14ac:dyDescent="0.3">
      <c r="A137" s="41">
        <v>41488</v>
      </c>
      <c r="B137" s="37">
        <v>1251245.8040699998</v>
      </c>
      <c r="C137" s="37">
        <v>52892.896270000005</v>
      </c>
      <c r="D137" s="37">
        <v>-9087.2446300000011</v>
      </c>
      <c r="E137" s="37">
        <v>10380000.411459999</v>
      </c>
      <c r="F137" s="37">
        <v>39004.499259999997</v>
      </c>
      <c r="G137" s="37">
        <v>101695.00744</v>
      </c>
      <c r="H137" s="37">
        <v>2051.6559499999998</v>
      </c>
      <c r="I137" s="37">
        <v>11817803.029819999</v>
      </c>
      <c r="J137" s="40"/>
      <c r="K137" s="40"/>
    </row>
    <row r="138" spans="1:11" x14ac:dyDescent="0.3">
      <c r="A138" s="41">
        <v>41501</v>
      </c>
      <c r="B138" s="37">
        <v>1374309.5540699998</v>
      </c>
      <c r="C138" s="37">
        <v>52892.896270000005</v>
      </c>
      <c r="D138" s="37">
        <v>-9087.2446300000011</v>
      </c>
      <c r="E138" s="37">
        <v>10382120.411459999</v>
      </c>
      <c r="F138" s="37">
        <v>39004.499259999997</v>
      </c>
      <c r="G138" s="37">
        <v>101695.00744</v>
      </c>
      <c r="H138" s="37">
        <v>2051.6559499999998</v>
      </c>
      <c r="I138" s="37">
        <v>11942986.779819999</v>
      </c>
      <c r="J138" s="40"/>
      <c r="K138" s="40"/>
    </row>
    <row r="139" spans="1:11" x14ac:dyDescent="0.3">
      <c r="A139" s="41">
        <v>41502</v>
      </c>
      <c r="B139" s="37">
        <v>1376015.8040699998</v>
      </c>
      <c r="C139" s="37">
        <v>52892.896270000005</v>
      </c>
      <c r="D139" s="37">
        <v>-9087.2446300000011</v>
      </c>
      <c r="E139" s="37">
        <v>10382120.411459999</v>
      </c>
      <c r="F139" s="37">
        <v>39004.499259999997</v>
      </c>
      <c r="G139" s="37">
        <v>101695.00744</v>
      </c>
      <c r="H139" s="37">
        <v>2051.6559499999998</v>
      </c>
      <c r="I139" s="37">
        <v>11944693.029819999</v>
      </c>
      <c r="J139" s="40"/>
      <c r="K139" s="40"/>
    </row>
    <row r="140" spans="1:11" x14ac:dyDescent="0.3">
      <c r="A140" s="41">
        <v>41513</v>
      </c>
      <c r="B140" s="37">
        <v>1376065.8040699998</v>
      </c>
      <c r="C140" s="37">
        <v>52892.896270000005</v>
      </c>
      <c r="D140" s="37">
        <v>-9087.2446300000011</v>
      </c>
      <c r="E140" s="37">
        <v>10382120.411459999</v>
      </c>
      <c r="F140" s="37">
        <v>39004.499259999997</v>
      </c>
      <c r="G140" s="37">
        <v>101695.00744</v>
      </c>
      <c r="H140" s="37">
        <v>2051.6559499999998</v>
      </c>
      <c r="I140" s="37">
        <v>11944743.029819999</v>
      </c>
      <c r="J140" s="40"/>
      <c r="K140" s="40"/>
    </row>
    <row r="141" spans="1:11" x14ac:dyDescent="0.3">
      <c r="A141" s="41">
        <v>41520</v>
      </c>
      <c r="B141" s="37">
        <v>1376065.8040699998</v>
      </c>
      <c r="C141" s="37">
        <v>52892.896270000005</v>
      </c>
      <c r="D141" s="37">
        <v>-9087.2446300000011</v>
      </c>
      <c r="E141" s="37">
        <v>10382120.411459999</v>
      </c>
      <c r="F141" s="37">
        <v>39004.499000000003</v>
      </c>
      <c r="G141" s="37">
        <v>101695.00744</v>
      </c>
      <c r="H141" s="37">
        <v>2051.6559499999998</v>
      </c>
      <c r="I141" s="37">
        <v>11944743.029819999</v>
      </c>
      <c r="J141" s="40"/>
      <c r="K141" s="40"/>
    </row>
    <row r="142" spans="1:11" x14ac:dyDescent="0.3">
      <c r="A142" s="41">
        <v>41526</v>
      </c>
      <c r="B142" s="37">
        <v>1376065.8040699998</v>
      </c>
      <c r="C142" s="37">
        <v>52892.896270000005</v>
      </c>
      <c r="D142" s="37">
        <v>-9087.2446300000011</v>
      </c>
      <c r="E142" s="37">
        <v>10382433.161459999</v>
      </c>
      <c r="F142" s="37">
        <v>39004.499000000003</v>
      </c>
      <c r="G142" s="37">
        <v>101695.00744</v>
      </c>
      <c r="H142" s="37">
        <v>2051.6559499999998</v>
      </c>
      <c r="I142" s="37">
        <v>11945055.779819999</v>
      </c>
      <c r="J142" s="40"/>
      <c r="K142" s="40"/>
    </row>
    <row r="143" spans="1:11" x14ac:dyDescent="0.3">
      <c r="A143" s="41">
        <v>41527</v>
      </c>
      <c r="B143" s="37">
        <v>1376065.8040699998</v>
      </c>
      <c r="C143" s="37">
        <v>52892.896270000005</v>
      </c>
      <c r="D143" s="37">
        <v>-9087.2446300000011</v>
      </c>
      <c r="E143" s="37">
        <v>10383158.161459999</v>
      </c>
      <c r="F143" s="37">
        <v>39004.499000000003</v>
      </c>
      <c r="G143" s="37">
        <v>101695.00744</v>
      </c>
      <c r="H143" s="37">
        <v>2051.6559499999998</v>
      </c>
      <c r="I143" s="37">
        <v>11945780.779819999</v>
      </c>
      <c r="J143" s="40"/>
      <c r="K143" s="40"/>
    </row>
    <row r="144" spans="1:11" x14ac:dyDescent="0.3">
      <c r="A144" s="41">
        <v>41533</v>
      </c>
      <c r="B144" s="37">
        <v>1392637.6790699998</v>
      </c>
      <c r="C144" s="37">
        <v>52892.896270000005</v>
      </c>
      <c r="D144" s="37">
        <v>-9087.2446300000011</v>
      </c>
      <c r="E144" s="37">
        <v>10383169.293850001</v>
      </c>
      <c r="F144" s="37">
        <v>39004.499000000003</v>
      </c>
      <c r="G144" s="37">
        <v>101695.00744</v>
      </c>
      <c r="H144" s="37">
        <v>2051.6559499999998</v>
      </c>
      <c r="I144" s="37">
        <v>11962363.787209999</v>
      </c>
      <c r="J144" s="40"/>
      <c r="K144" s="40"/>
    </row>
    <row r="145" spans="1:11" x14ac:dyDescent="0.3">
      <c r="A145" s="41">
        <v>41536</v>
      </c>
      <c r="B145" s="37">
        <v>1392710.1790699998</v>
      </c>
      <c r="C145" s="37">
        <v>52892.896270000005</v>
      </c>
      <c r="D145" s="37">
        <v>-9087.2446300000011</v>
      </c>
      <c r="E145" s="37">
        <v>10383223.422739999</v>
      </c>
      <c r="F145" s="37">
        <v>39004.499000000003</v>
      </c>
      <c r="G145" s="37">
        <v>101695.00744</v>
      </c>
      <c r="H145" s="37">
        <v>2051.6559499999998</v>
      </c>
      <c r="I145" s="37">
        <v>11962490.416100001</v>
      </c>
      <c r="J145" s="40"/>
      <c r="K145" s="40"/>
    </row>
    <row r="146" spans="1:11" x14ac:dyDescent="0.3">
      <c r="A146" s="41">
        <v>41537</v>
      </c>
      <c r="B146" s="37">
        <v>1400978.9290699998</v>
      </c>
      <c r="C146" s="37">
        <v>52892.896270000005</v>
      </c>
      <c r="D146" s="37">
        <v>-9087.2446300000011</v>
      </c>
      <c r="E146" s="37">
        <v>10570535.922739999</v>
      </c>
      <c r="F146" s="37">
        <v>39004.499000000003</v>
      </c>
      <c r="G146" s="37">
        <v>101695.00744</v>
      </c>
      <c r="H146" s="37">
        <v>2051.6559499999998</v>
      </c>
      <c r="I146" s="37">
        <v>12158071.666100001</v>
      </c>
      <c r="J146" s="40"/>
      <c r="K146" s="40"/>
    </row>
    <row r="147" spans="1:11" x14ac:dyDescent="0.3">
      <c r="A147" s="41">
        <v>41542</v>
      </c>
      <c r="B147" s="37">
        <v>1400978.9290699998</v>
      </c>
      <c r="C147" s="37">
        <v>52892.896270000005</v>
      </c>
      <c r="D147" s="37">
        <v>-9087.2446300000011</v>
      </c>
      <c r="E147" s="37">
        <v>10571410.922739999</v>
      </c>
      <c r="F147" s="37">
        <v>39004.499000000003</v>
      </c>
      <c r="G147" s="37">
        <v>101695.00744</v>
      </c>
      <c r="H147" s="37">
        <v>2051.6559499999998</v>
      </c>
      <c r="I147" s="37">
        <v>12158946.666100001</v>
      </c>
      <c r="J147" s="40"/>
      <c r="K147" s="40"/>
    </row>
    <row r="148" spans="1:11" x14ac:dyDescent="0.3">
      <c r="A148" s="41">
        <v>41547</v>
      </c>
      <c r="B148" s="37">
        <v>1401066.4290699998</v>
      </c>
      <c r="C148" s="37">
        <v>52892.896270000005</v>
      </c>
      <c r="D148" s="37">
        <v>-9087.2446300000011</v>
      </c>
      <c r="E148" s="37">
        <v>12078229.625290001</v>
      </c>
      <c r="F148" s="37">
        <v>39004.499000000003</v>
      </c>
      <c r="G148" s="37">
        <v>101695.00744</v>
      </c>
      <c r="H148" s="37">
        <v>2051.6559499999998</v>
      </c>
      <c r="I148" s="37">
        <v>13665852.868650001</v>
      </c>
      <c r="J148" s="40"/>
      <c r="K148" s="40"/>
    </row>
    <row r="149" spans="1:11" x14ac:dyDescent="0.3">
      <c r="A149" s="41">
        <v>41554</v>
      </c>
      <c r="B149" s="37">
        <v>1410462.6553199999</v>
      </c>
      <c r="C149" s="37">
        <v>52892.896270000005</v>
      </c>
      <c r="D149" s="37">
        <v>-9087.2446300000011</v>
      </c>
      <c r="E149" s="37">
        <v>12078728.375290001</v>
      </c>
      <c r="F149" s="37">
        <v>39004.499000000003</v>
      </c>
      <c r="G149" s="37">
        <v>101695.00744</v>
      </c>
      <c r="H149" s="37">
        <v>2051.6559499999998</v>
      </c>
      <c r="I149" s="37">
        <v>13675747.844899999</v>
      </c>
      <c r="J149" s="40"/>
      <c r="K149" s="40"/>
    </row>
    <row r="150" spans="1:11" x14ac:dyDescent="0.3">
      <c r="A150" s="41">
        <v>41558</v>
      </c>
      <c r="B150" s="37">
        <v>1410462.6553199999</v>
      </c>
      <c r="C150" s="37">
        <v>52892.896270000005</v>
      </c>
      <c r="D150" s="37">
        <v>-9087.2446300000011</v>
      </c>
      <c r="E150" s="37">
        <v>12078798.54587</v>
      </c>
      <c r="F150" s="37">
        <v>39004.499000000003</v>
      </c>
      <c r="G150" s="37">
        <v>101695.00744</v>
      </c>
      <c r="H150" s="37">
        <v>2051.6559499999998</v>
      </c>
      <c r="I150" s="37">
        <v>13675818.015479999</v>
      </c>
      <c r="J150" s="40"/>
      <c r="K150" s="40"/>
    </row>
    <row r="151" spans="1:11" x14ac:dyDescent="0.3">
      <c r="A151" s="41">
        <v>41562</v>
      </c>
      <c r="B151" s="37">
        <v>1410462.6553199999</v>
      </c>
      <c r="C151" s="37">
        <v>52892.896270000005</v>
      </c>
      <c r="D151" s="37">
        <v>-9087.2446300000011</v>
      </c>
      <c r="E151" s="37">
        <v>12078798.54587</v>
      </c>
      <c r="F151" s="37">
        <v>39551.382770000004</v>
      </c>
      <c r="G151" s="37">
        <v>101695.00744</v>
      </c>
      <c r="H151" s="37">
        <v>2051.6559499999998</v>
      </c>
      <c r="I151" s="37">
        <v>13676364.89899</v>
      </c>
      <c r="J151" s="40"/>
      <c r="K151" s="40"/>
    </row>
    <row r="152" spans="1:11" x14ac:dyDescent="0.3">
      <c r="A152" s="41">
        <v>41563</v>
      </c>
      <c r="B152" s="37">
        <v>1410475.1553199999</v>
      </c>
      <c r="C152" s="37">
        <v>52892.896270000005</v>
      </c>
      <c r="D152" s="37">
        <v>-9087.2446300000011</v>
      </c>
      <c r="E152" s="37">
        <v>12078798.54587</v>
      </c>
      <c r="F152" s="37">
        <v>39551.382770000004</v>
      </c>
      <c r="G152" s="37">
        <v>101695.00744</v>
      </c>
      <c r="H152" s="37">
        <v>2051.6559499999998</v>
      </c>
      <c r="I152" s="37">
        <v>13676377.39899</v>
      </c>
      <c r="J152" s="40"/>
      <c r="K152" s="40"/>
    </row>
    <row r="153" spans="1:11" x14ac:dyDescent="0.3">
      <c r="A153" s="41">
        <v>41568</v>
      </c>
      <c r="B153" s="37">
        <v>1410475.1553199999</v>
      </c>
      <c r="C153" s="37">
        <v>52892.896270000005</v>
      </c>
      <c r="D153" s="37">
        <v>-9087.2446300000011</v>
      </c>
      <c r="E153" s="37">
        <v>12079490.297370002</v>
      </c>
      <c r="F153" s="37">
        <v>39551.382770000004</v>
      </c>
      <c r="G153" s="37">
        <v>101695.00744</v>
      </c>
      <c r="H153" s="37">
        <v>2051.6559499999998</v>
      </c>
      <c r="I153" s="37">
        <v>13677069.15048</v>
      </c>
      <c r="J153" s="40"/>
      <c r="K153" s="40"/>
    </row>
    <row r="154" spans="1:11" x14ac:dyDescent="0.3">
      <c r="A154" s="41">
        <v>41575</v>
      </c>
      <c r="B154" s="37">
        <v>1410605.1553199999</v>
      </c>
      <c r="C154" s="37">
        <v>52892.896270000005</v>
      </c>
      <c r="D154" s="37">
        <v>-9087.2446300000011</v>
      </c>
      <c r="E154" s="37">
        <v>12079490.297370002</v>
      </c>
      <c r="F154" s="37">
        <v>39551.382770000004</v>
      </c>
      <c r="G154" s="37">
        <v>101695.00744</v>
      </c>
      <c r="H154" s="37">
        <v>2051.6559499999998</v>
      </c>
      <c r="I154" s="37">
        <v>13677199.15048</v>
      </c>
      <c r="J154" s="40"/>
      <c r="K154" s="40"/>
    </row>
    <row r="155" spans="1:11" x14ac:dyDescent="0.3">
      <c r="A155" s="41">
        <v>41578</v>
      </c>
      <c r="B155" s="37">
        <v>1410605.1553199999</v>
      </c>
      <c r="C155" s="37">
        <v>52892.896270000005</v>
      </c>
      <c r="D155" s="37">
        <v>-9087.2446300000011</v>
      </c>
      <c r="E155" s="37">
        <v>12513421.547370002</v>
      </c>
      <c r="F155" s="37">
        <v>39551.382770000004</v>
      </c>
      <c r="G155" s="37">
        <v>101695.00744</v>
      </c>
      <c r="H155" s="37">
        <v>2051.6559499999998</v>
      </c>
      <c r="I155" s="37">
        <v>14111130.40048</v>
      </c>
      <c r="J155" s="40"/>
      <c r="K155" s="40"/>
    </row>
    <row r="156" spans="1:11" x14ac:dyDescent="0.3">
      <c r="A156" s="41">
        <v>41582</v>
      </c>
      <c r="B156" s="37">
        <v>1415330.1553199999</v>
      </c>
      <c r="C156" s="37">
        <v>52892.896270000005</v>
      </c>
      <c r="D156" s="37">
        <v>-9087.2446300000011</v>
      </c>
      <c r="E156" s="37">
        <v>12513324.190299999</v>
      </c>
      <c r="F156" s="37">
        <v>39551.382770000004</v>
      </c>
      <c r="G156" s="37">
        <v>101695.00744</v>
      </c>
      <c r="H156" s="37">
        <v>2051.6559499999998</v>
      </c>
      <c r="I156" s="37">
        <v>14115758.043409999</v>
      </c>
      <c r="J156" s="40"/>
      <c r="K156" s="40"/>
    </row>
    <row r="157" spans="1:11" x14ac:dyDescent="0.3">
      <c r="A157" s="41">
        <v>41583</v>
      </c>
      <c r="B157" s="37">
        <v>1415330.1553199999</v>
      </c>
      <c r="C157" s="37">
        <v>52892.896270000005</v>
      </c>
      <c r="D157" s="37">
        <v>-9087.2446300000011</v>
      </c>
      <c r="E157" s="37">
        <v>12513530.440299999</v>
      </c>
      <c r="F157" s="37">
        <v>39551.382770000004</v>
      </c>
      <c r="G157" s="37">
        <v>101695.00744</v>
      </c>
      <c r="H157" s="37">
        <v>2051.6559499999998</v>
      </c>
      <c r="I157" s="37">
        <v>14115964.293409999</v>
      </c>
      <c r="J157" s="40"/>
      <c r="K157" s="40"/>
    </row>
    <row r="158" spans="1:11" x14ac:dyDescent="0.3">
      <c r="A158" s="41">
        <v>41593</v>
      </c>
      <c r="B158" s="37">
        <v>1719705.1553199999</v>
      </c>
      <c r="C158" s="37">
        <v>52892.896270000005</v>
      </c>
      <c r="D158" s="37">
        <v>-9087.2446300000011</v>
      </c>
      <c r="E158" s="37">
        <v>12515875.440299999</v>
      </c>
      <c r="F158" s="37">
        <v>39551.382770000004</v>
      </c>
      <c r="G158" s="37">
        <v>101695.00744</v>
      </c>
      <c r="H158" s="37">
        <v>2051.6559499999998</v>
      </c>
      <c r="I158" s="37">
        <v>14422684.293409999</v>
      </c>
      <c r="J158" s="40"/>
      <c r="K158" s="40"/>
    </row>
    <row r="159" spans="1:11" x14ac:dyDescent="0.3">
      <c r="A159" s="41">
        <v>41596</v>
      </c>
      <c r="B159" s="37">
        <v>1719840.1553199999</v>
      </c>
      <c r="C159" s="37">
        <v>52892.896270000005</v>
      </c>
      <c r="D159" s="37">
        <v>-9087.2446300000011</v>
      </c>
      <c r="E159" s="37">
        <v>12515875.440299999</v>
      </c>
      <c r="F159" s="37">
        <v>39551.382770000004</v>
      </c>
      <c r="G159" s="37">
        <v>101695.00744</v>
      </c>
      <c r="H159" s="37">
        <v>2051.6559499999998</v>
      </c>
      <c r="I159" s="37">
        <v>14422819.293409999</v>
      </c>
      <c r="J159" s="40"/>
      <c r="K159" s="40"/>
    </row>
    <row r="160" spans="1:11" x14ac:dyDescent="0.3">
      <c r="A160" s="41">
        <v>41603</v>
      </c>
      <c r="B160" s="37">
        <v>1719840.1553199999</v>
      </c>
      <c r="C160" s="37">
        <v>52892.896270000005</v>
      </c>
      <c r="D160" s="37">
        <v>-9087.2446300000011</v>
      </c>
      <c r="E160" s="37">
        <v>12718375.440299999</v>
      </c>
      <c r="F160" s="37">
        <v>39551.382770000004</v>
      </c>
      <c r="G160" s="37">
        <v>101695.00744</v>
      </c>
      <c r="H160" s="37">
        <v>2051.6559499999998</v>
      </c>
      <c r="I160" s="37">
        <v>14625319.293409999</v>
      </c>
      <c r="J160" s="40"/>
      <c r="K160" s="40"/>
    </row>
    <row r="161" spans="1:11" x14ac:dyDescent="0.3">
      <c r="A161" s="41">
        <v>41610</v>
      </c>
      <c r="B161" s="37">
        <v>1741827.6553199999</v>
      </c>
      <c r="C161" s="37">
        <v>52892.896270000005</v>
      </c>
      <c r="D161" s="37">
        <v>-9087.2446300000011</v>
      </c>
      <c r="E161" s="37">
        <v>13405722.315299999</v>
      </c>
      <c r="F161" s="37">
        <v>39551.382770000004</v>
      </c>
      <c r="G161" s="37">
        <v>101695.00744</v>
      </c>
      <c r="H161" s="37">
        <v>2051.6559499999998</v>
      </c>
      <c r="I161" s="37">
        <v>15334653.668409999</v>
      </c>
      <c r="J161" s="40"/>
      <c r="K161" s="40"/>
    </row>
    <row r="162" spans="1:11" x14ac:dyDescent="0.3">
      <c r="A162" s="41">
        <v>41620</v>
      </c>
      <c r="B162" s="37">
        <v>1744597.6553199999</v>
      </c>
      <c r="C162" s="37">
        <v>52892.896270000005</v>
      </c>
      <c r="D162" s="37">
        <v>-9087.2446300000011</v>
      </c>
      <c r="E162" s="37">
        <v>13405991.065299999</v>
      </c>
      <c r="F162" s="37">
        <v>39551.382770000004</v>
      </c>
      <c r="G162" s="37">
        <v>101695.00744</v>
      </c>
      <c r="H162" s="37">
        <v>2051.6559499999998</v>
      </c>
      <c r="I162" s="37">
        <v>15337692.418409999</v>
      </c>
      <c r="J162" s="40"/>
      <c r="K162" s="40"/>
    </row>
    <row r="163" spans="1:11" x14ac:dyDescent="0.3">
      <c r="A163" s="41">
        <v>41624</v>
      </c>
      <c r="B163" s="37">
        <v>1785405.1553199999</v>
      </c>
      <c r="C163" s="37">
        <v>52892.896270000005</v>
      </c>
      <c r="D163" s="37">
        <v>-9087.2446300000011</v>
      </c>
      <c r="E163" s="37">
        <v>13406166.713260001</v>
      </c>
      <c r="F163" s="37">
        <v>39551.382770000004</v>
      </c>
      <c r="G163" s="37">
        <v>101695.00744</v>
      </c>
      <c r="H163" s="37">
        <v>2051.6559499999998</v>
      </c>
      <c r="I163" s="37">
        <v>15378675.566370001</v>
      </c>
      <c r="J163" s="40"/>
      <c r="K163" s="40"/>
    </row>
    <row r="164" spans="1:11" x14ac:dyDescent="0.3">
      <c r="A164" s="41">
        <v>41625</v>
      </c>
      <c r="B164" s="37">
        <v>1787233.2803199999</v>
      </c>
      <c r="C164" s="37">
        <v>52892.896270000005</v>
      </c>
      <c r="D164" s="37">
        <v>-9087.2446300000011</v>
      </c>
      <c r="E164" s="37">
        <v>13406166.713260001</v>
      </c>
      <c r="F164" s="37">
        <v>39551.382770000004</v>
      </c>
      <c r="G164" s="37">
        <v>101695.00744</v>
      </c>
      <c r="H164" s="37">
        <v>2051.6559499999998</v>
      </c>
      <c r="I164" s="37">
        <v>15380503.691370001</v>
      </c>
      <c r="J164" s="40"/>
      <c r="K164" s="40"/>
    </row>
    <row r="165" spans="1:11" x14ac:dyDescent="0.3">
      <c r="A165" s="41">
        <v>41626</v>
      </c>
      <c r="B165" s="37">
        <v>1795983.2803199999</v>
      </c>
      <c r="C165" s="37">
        <v>52892.896270000005</v>
      </c>
      <c r="D165" s="37">
        <v>-9087.2446300000011</v>
      </c>
      <c r="E165" s="37">
        <v>13406166.713260001</v>
      </c>
      <c r="F165" s="37">
        <v>39551.382770000004</v>
      </c>
      <c r="G165" s="37">
        <v>101695.00744</v>
      </c>
      <c r="H165" s="37">
        <v>2051.6559499999998</v>
      </c>
      <c r="I165" s="37">
        <v>15389253.691370001</v>
      </c>
      <c r="J165" s="40"/>
      <c r="K165" s="40"/>
    </row>
    <row r="166" spans="1:11" x14ac:dyDescent="0.3">
      <c r="A166" s="41">
        <v>41627</v>
      </c>
      <c r="B166" s="37">
        <v>1796047.7803199999</v>
      </c>
      <c r="C166" s="37">
        <v>52892.896270000005</v>
      </c>
      <c r="D166" s="37">
        <v>-9087.2446300000011</v>
      </c>
      <c r="E166" s="37">
        <v>13405632.080290001</v>
      </c>
      <c r="F166" s="37">
        <v>39551.382770000004</v>
      </c>
      <c r="G166" s="37">
        <v>101695.00744</v>
      </c>
      <c r="H166" s="37">
        <v>2051.6559499999998</v>
      </c>
      <c r="I166" s="37">
        <v>15388783.5584</v>
      </c>
      <c r="J166" s="40"/>
      <c r="K166" s="40"/>
    </row>
    <row r="167" spans="1:11" x14ac:dyDescent="0.3">
      <c r="A167" s="41">
        <v>41634</v>
      </c>
      <c r="B167" s="37">
        <v>1796047.7803199999</v>
      </c>
      <c r="C167" s="37">
        <v>52892.896270000005</v>
      </c>
      <c r="D167" s="37">
        <v>-9087.2446300000011</v>
      </c>
      <c r="E167" s="37">
        <v>13406085.205290001</v>
      </c>
      <c r="F167" s="37">
        <v>39551.382770000004</v>
      </c>
      <c r="G167" s="37">
        <v>101695.00744</v>
      </c>
      <c r="H167" s="37">
        <v>2051.6559499999998</v>
      </c>
      <c r="I167" s="37">
        <v>15389236.6834</v>
      </c>
      <c r="J167" s="40"/>
      <c r="K167" s="40"/>
    </row>
    <row r="168" spans="1:11" x14ac:dyDescent="0.3">
      <c r="A168" s="41">
        <v>41635</v>
      </c>
      <c r="B168" s="37">
        <v>1796872.7803199999</v>
      </c>
      <c r="C168" s="37">
        <v>52892.896270000005</v>
      </c>
      <c r="D168" s="37">
        <v>-9087.2446300000011</v>
      </c>
      <c r="E168" s="37">
        <v>13406085.205290001</v>
      </c>
      <c r="F168" s="37">
        <v>39551.382770000004</v>
      </c>
      <c r="G168" s="37">
        <v>101695.00744</v>
      </c>
      <c r="H168" s="37">
        <v>2051.6559499999998</v>
      </c>
      <c r="I168" s="37">
        <v>15390061.6834</v>
      </c>
      <c r="J168" s="40"/>
      <c r="K168" s="40"/>
    </row>
    <row r="169" spans="1:11" x14ac:dyDescent="0.3">
      <c r="A169" s="41">
        <v>41638</v>
      </c>
      <c r="B169" s="37">
        <v>1796872.7803199999</v>
      </c>
      <c r="C169" s="37">
        <v>52892.896270000005</v>
      </c>
      <c r="D169" s="37">
        <v>-9087.2446300000011</v>
      </c>
      <c r="E169" s="37">
        <v>13406375.172379998</v>
      </c>
      <c r="F169" s="37">
        <v>39551.382770000004</v>
      </c>
      <c r="G169" s="37">
        <v>101695.00744</v>
      </c>
      <c r="H169" s="37">
        <v>2051.6559499999998</v>
      </c>
      <c r="I169" s="37">
        <v>15390351.6505</v>
      </c>
      <c r="J169" s="40"/>
      <c r="K169" s="40"/>
    </row>
    <row r="170" spans="1:11" x14ac:dyDescent="0.3">
      <c r="A170" s="41">
        <v>41639</v>
      </c>
      <c r="B170" s="37">
        <v>1814382.7803199999</v>
      </c>
      <c r="C170" s="37">
        <v>52892.896270000005</v>
      </c>
      <c r="D170" s="37">
        <v>-9087.2446300000011</v>
      </c>
      <c r="E170" s="37">
        <v>13407936.422379998</v>
      </c>
      <c r="F170" s="37">
        <v>39551.383000000002</v>
      </c>
      <c r="G170" s="37">
        <v>101695.00744</v>
      </c>
      <c r="H170" s="37">
        <v>2051.6559499999998</v>
      </c>
      <c r="I170" s="37">
        <v>15409422.9005</v>
      </c>
      <c r="J170" s="40"/>
      <c r="K170" s="40"/>
    </row>
    <row r="171" spans="1:11" x14ac:dyDescent="0.3">
      <c r="A171" s="41">
        <v>41652</v>
      </c>
      <c r="B171" s="37">
        <v>1814382.7803199999</v>
      </c>
      <c r="C171" s="37">
        <v>52892.896270000005</v>
      </c>
      <c r="D171" s="37">
        <v>-9087.2446300000011</v>
      </c>
      <c r="E171" s="37">
        <v>13407835.629389999</v>
      </c>
      <c r="F171" s="37">
        <v>39551.383000000002</v>
      </c>
      <c r="G171" s="37">
        <v>101695.00744</v>
      </c>
      <c r="H171" s="37">
        <v>2051.6559499999998</v>
      </c>
      <c r="I171" s="37">
        <v>15409322.1075</v>
      </c>
      <c r="J171" s="40"/>
      <c r="K171" s="40"/>
    </row>
    <row r="172" spans="1:11" x14ac:dyDescent="0.3">
      <c r="A172" s="41">
        <v>41654</v>
      </c>
      <c r="B172" s="37">
        <v>1814382.7803199999</v>
      </c>
      <c r="C172" s="37">
        <v>52892.896270000005</v>
      </c>
      <c r="D172" s="37">
        <v>-9087.2446300000011</v>
      </c>
      <c r="E172" s="37">
        <v>13407835.629389999</v>
      </c>
      <c r="F172" s="37">
        <v>42551.584520000004</v>
      </c>
      <c r="G172" s="37">
        <v>101695.00744</v>
      </c>
      <c r="H172" s="37">
        <v>2051.6559499999998</v>
      </c>
      <c r="I172" s="37">
        <v>15412322.30926</v>
      </c>
      <c r="J172" s="40"/>
      <c r="K172" s="40"/>
    </row>
    <row r="173" spans="1:11" x14ac:dyDescent="0.3">
      <c r="A173" s="41">
        <v>41655</v>
      </c>
      <c r="B173" s="37">
        <v>1816362.75825</v>
      </c>
      <c r="C173" s="37">
        <v>52892.896270000005</v>
      </c>
      <c r="D173" s="37">
        <v>-9087.2446300000011</v>
      </c>
      <c r="E173" s="37">
        <v>13407835.629389999</v>
      </c>
      <c r="F173" s="37">
        <v>42551.584520000004</v>
      </c>
      <c r="G173" s="37">
        <v>101695.00744</v>
      </c>
      <c r="H173" s="37">
        <v>2051.6559499999998</v>
      </c>
      <c r="I173" s="37">
        <v>15414302.287190001</v>
      </c>
      <c r="J173" s="40"/>
      <c r="K173" s="40"/>
    </row>
    <row r="174" spans="1:11" x14ac:dyDescent="0.3">
      <c r="A174" s="41">
        <v>41656</v>
      </c>
      <c r="B174" s="37">
        <v>1816972.13325</v>
      </c>
      <c r="C174" s="37">
        <v>52892.896270000005</v>
      </c>
      <c r="D174" s="37">
        <v>-9087.2446300000011</v>
      </c>
      <c r="E174" s="37">
        <v>13407835.629389999</v>
      </c>
      <c r="F174" s="37">
        <v>42551.584520000004</v>
      </c>
      <c r="G174" s="37">
        <v>101695.00744</v>
      </c>
      <c r="H174" s="37">
        <v>2051.6559499999998</v>
      </c>
      <c r="I174" s="37">
        <v>15414911.662190001</v>
      </c>
      <c r="J174" s="40"/>
      <c r="K174" s="40"/>
    </row>
    <row r="175" spans="1:11" x14ac:dyDescent="0.3">
      <c r="A175" s="41">
        <v>41660</v>
      </c>
      <c r="B175" s="37">
        <v>1819020.98325</v>
      </c>
      <c r="C175" s="37">
        <v>52892.896270000005</v>
      </c>
      <c r="D175" s="37">
        <v>-9087.2446300000011</v>
      </c>
      <c r="E175" s="37">
        <v>13407609.899290001</v>
      </c>
      <c r="F175" s="37">
        <v>42551.584520000004</v>
      </c>
      <c r="G175" s="37">
        <v>101695.00744</v>
      </c>
      <c r="H175" s="37">
        <v>2051.6559499999998</v>
      </c>
      <c r="I175" s="37">
        <v>15416734.782090001</v>
      </c>
      <c r="J175" s="40"/>
      <c r="K175" s="40"/>
    </row>
    <row r="176" spans="1:11" x14ac:dyDescent="0.3">
      <c r="A176" s="41">
        <v>41666</v>
      </c>
      <c r="B176" s="37">
        <v>1819020.98325</v>
      </c>
      <c r="C176" s="37">
        <v>52892.896270000005</v>
      </c>
      <c r="D176" s="37">
        <v>-9087.2446300000011</v>
      </c>
      <c r="E176" s="37">
        <v>13408703.649290001</v>
      </c>
      <c r="F176" s="37">
        <v>42551.584520000004</v>
      </c>
      <c r="G176" s="37">
        <v>101695.00744</v>
      </c>
      <c r="H176" s="37">
        <v>2051.6559499999998</v>
      </c>
      <c r="I176" s="37">
        <v>15417828.532090001</v>
      </c>
      <c r="J176" s="40"/>
      <c r="K176" s="40"/>
    </row>
    <row r="177" spans="1:11" x14ac:dyDescent="0.3">
      <c r="A177" s="41">
        <v>41670</v>
      </c>
      <c r="B177" s="37">
        <v>1819020.98325</v>
      </c>
      <c r="C177" s="37">
        <v>52892.896270000005</v>
      </c>
      <c r="D177" s="37">
        <v>-9087.2446300000011</v>
      </c>
      <c r="E177" s="37">
        <v>14547124.899290001</v>
      </c>
      <c r="F177" s="37">
        <v>42551.584520000004</v>
      </c>
      <c r="G177" s="37">
        <v>101695.00744</v>
      </c>
      <c r="H177" s="37">
        <v>2051.6559499999998</v>
      </c>
      <c r="I177" s="37">
        <v>16556249.782090001</v>
      </c>
      <c r="J177" s="40"/>
      <c r="K177" s="40"/>
    </row>
    <row r="178" spans="1:11" x14ac:dyDescent="0.3">
      <c r="A178" s="41">
        <v>41673</v>
      </c>
      <c r="B178" s="37">
        <v>1819661.60825</v>
      </c>
      <c r="C178" s="37">
        <v>52892.896270000005</v>
      </c>
      <c r="D178" s="37">
        <v>-9087.2446300000011</v>
      </c>
      <c r="E178" s="37">
        <v>14547139.59203</v>
      </c>
      <c r="F178" s="37">
        <v>42551.584520000004</v>
      </c>
      <c r="G178" s="37">
        <v>101695.00744</v>
      </c>
      <c r="H178" s="37">
        <v>2051.6559499999998</v>
      </c>
      <c r="I178" s="37">
        <v>16556905.09983</v>
      </c>
      <c r="J178" s="40"/>
      <c r="K178" s="40"/>
    </row>
    <row r="179" spans="1:11" x14ac:dyDescent="0.3">
      <c r="A179" s="41">
        <v>41688</v>
      </c>
      <c r="B179" s="37">
        <v>1952662.85825</v>
      </c>
      <c r="C179" s="37">
        <v>52892.896270000005</v>
      </c>
      <c r="D179" s="37">
        <v>-9087.2446300000011</v>
      </c>
      <c r="E179" s="37">
        <v>14549259.59203</v>
      </c>
      <c r="F179" s="37">
        <v>42551.584520000004</v>
      </c>
      <c r="G179" s="37">
        <v>101695.00744</v>
      </c>
      <c r="H179" s="37">
        <v>2051.6559499999998</v>
      </c>
      <c r="I179" s="37">
        <v>16692026.34983</v>
      </c>
      <c r="J179" s="40"/>
      <c r="K179" s="40"/>
    </row>
    <row r="180" spans="1:11" x14ac:dyDescent="0.3">
      <c r="A180" s="41">
        <v>41697</v>
      </c>
      <c r="B180" s="37">
        <v>1952712.85825</v>
      </c>
      <c r="C180" s="37">
        <v>52892.896270000005</v>
      </c>
      <c r="D180" s="37">
        <v>-9087.2446300000011</v>
      </c>
      <c r="E180" s="37">
        <v>14549259.59203</v>
      </c>
      <c r="F180" s="37">
        <v>42551.584520000004</v>
      </c>
      <c r="G180" s="37">
        <v>101695.00744</v>
      </c>
      <c r="H180" s="37">
        <v>2051.6559499999998</v>
      </c>
      <c r="I180" s="37">
        <v>16692076.34983</v>
      </c>
      <c r="J180" s="40"/>
      <c r="K180" s="40"/>
    </row>
    <row r="181" spans="1:11" x14ac:dyDescent="0.3">
      <c r="A181" s="41">
        <v>41698</v>
      </c>
      <c r="B181" s="37">
        <v>1952712.85825</v>
      </c>
      <c r="C181" s="37">
        <v>52892.896270000005</v>
      </c>
      <c r="D181" s="37">
        <v>-9087.2446300000011</v>
      </c>
      <c r="E181" s="37">
        <v>14549259.59203</v>
      </c>
      <c r="F181" s="37">
        <v>42551.584999999999</v>
      </c>
      <c r="G181" s="37">
        <v>101695.00744</v>
      </c>
      <c r="H181" s="37">
        <v>2051.6559499999998</v>
      </c>
      <c r="I181" s="37">
        <v>16692076.34983</v>
      </c>
      <c r="J181" s="40"/>
      <c r="K181" s="40"/>
    </row>
    <row r="182" spans="1:11" x14ac:dyDescent="0.3">
      <c r="A182" s="41">
        <v>41705</v>
      </c>
      <c r="B182" s="37">
        <v>1952712.85825</v>
      </c>
      <c r="C182" s="37">
        <v>52892.896270000005</v>
      </c>
      <c r="D182" s="37">
        <v>-9087.2446300000011</v>
      </c>
      <c r="E182" s="37">
        <v>14577372.34203</v>
      </c>
      <c r="F182" s="37">
        <v>42551.584999999999</v>
      </c>
      <c r="G182" s="37">
        <v>101695.00744</v>
      </c>
      <c r="H182" s="37">
        <v>2051.6559499999998</v>
      </c>
      <c r="I182" s="37">
        <v>16720189.09983</v>
      </c>
      <c r="J182" s="40"/>
      <c r="K182" s="40"/>
    </row>
    <row r="183" spans="1:11" x14ac:dyDescent="0.3">
      <c r="A183" s="41">
        <v>41708</v>
      </c>
      <c r="B183" s="37">
        <v>1952712.85825</v>
      </c>
      <c r="C183" s="37">
        <v>52892.896270000005</v>
      </c>
      <c r="D183" s="37">
        <v>-9087.2446300000011</v>
      </c>
      <c r="E183" s="37">
        <v>14673624.84203</v>
      </c>
      <c r="F183" s="37">
        <v>42551.584999999999</v>
      </c>
      <c r="G183" s="37">
        <v>101695.00744</v>
      </c>
      <c r="H183" s="37">
        <v>2051.6559499999998</v>
      </c>
      <c r="I183" s="37">
        <v>16816441.599830002</v>
      </c>
      <c r="J183" s="40"/>
      <c r="K183" s="40"/>
    </row>
    <row r="184" spans="1:11" x14ac:dyDescent="0.3">
      <c r="A184" s="41">
        <v>41715</v>
      </c>
      <c r="B184" s="37">
        <v>1969284.73325</v>
      </c>
      <c r="C184" s="37">
        <v>52892.896270000005</v>
      </c>
      <c r="D184" s="37">
        <v>-9087.2446300000011</v>
      </c>
      <c r="E184" s="37">
        <v>14673637.88834</v>
      </c>
      <c r="F184" s="37">
        <v>42551.584999999999</v>
      </c>
      <c r="G184" s="37">
        <v>101695.00744</v>
      </c>
      <c r="H184" s="37">
        <v>2051.6559499999998</v>
      </c>
      <c r="I184" s="37">
        <v>16833026.521129999</v>
      </c>
      <c r="J184" s="40"/>
      <c r="K184" s="40"/>
    </row>
    <row r="185" spans="1:11" x14ac:dyDescent="0.3">
      <c r="A185" s="41">
        <v>41717</v>
      </c>
      <c r="B185" s="37">
        <v>1969357.23325</v>
      </c>
      <c r="C185" s="37">
        <v>52892.896270000005</v>
      </c>
      <c r="D185" s="37">
        <v>-9087.2446300000011</v>
      </c>
      <c r="E185" s="37">
        <v>14673695.40391</v>
      </c>
      <c r="F185" s="37">
        <v>42551.584999999999</v>
      </c>
      <c r="G185" s="37">
        <v>101695.00744</v>
      </c>
      <c r="H185" s="37">
        <v>2051.6559499999998</v>
      </c>
      <c r="I185" s="37">
        <v>16833156.536709998</v>
      </c>
      <c r="J185" s="40"/>
      <c r="K185" s="40"/>
    </row>
    <row r="186" spans="1:11" x14ac:dyDescent="0.3">
      <c r="A186" s="41">
        <v>41718</v>
      </c>
      <c r="B186" s="37">
        <v>1977625.98325</v>
      </c>
      <c r="C186" s="37">
        <v>52892.896270000005</v>
      </c>
      <c r="D186" s="37">
        <v>-9087.2446300000011</v>
      </c>
      <c r="E186" s="37">
        <v>14673695.40391</v>
      </c>
      <c r="F186" s="37">
        <v>42551.584999999999</v>
      </c>
      <c r="G186" s="37">
        <v>101695.00744</v>
      </c>
      <c r="H186" s="37">
        <v>2051.6559499999998</v>
      </c>
      <c r="I186" s="37">
        <v>16841425.286709998</v>
      </c>
      <c r="J186" s="40"/>
      <c r="K186" s="40"/>
    </row>
    <row r="187" spans="1:11" x14ac:dyDescent="0.3">
      <c r="A187" s="41">
        <v>41723</v>
      </c>
      <c r="B187" s="37">
        <v>1977625.98325</v>
      </c>
      <c r="C187" s="37">
        <v>52892.896270000005</v>
      </c>
      <c r="D187" s="37">
        <v>-9087.2446300000011</v>
      </c>
      <c r="E187" s="37">
        <v>14674570.40391</v>
      </c>
      <c r="F187" s="37">
        <v>42551.584999999999</v>
      </c>
      <c r="G187" s="37">
        <v>101695.00744</v>
      </c>
      <c r="H187" s="37">
        <v>2051.6559499999998</v>
      </c>
      <c r="I187" s="37">
        <v>16842300.286709998</v>
      </c>
      <c r="J187" s="40"/>
      <c r="K187" s="40"/>
    </row>
    <row r="188" spans="1:11" x14ac:dyDescent="0.3">
      <c r="A188" s="41">
        <v>41726</v>
      </c>
      <c r="B188" s="37">
        <v>1977713.48325</v>
      </c>
      <c r="C188" s="37">
        <v>52892.896270000005</v>
      </c>
      <c r="D188" s="37">
        <v>-9087.2446300000011</v>
      </c>
      <c r="E188" s="37">
        <v>14713005.983100001</v>
      </c>
      <c r="F188" s="37">
        <v>42551.584999999999</v>
      </c>
      <c r="G188" s="37">
        <v>101695.00744</v>
      </c>
      <c r="H188" s="37">
        <v>2051.6559499999998</v>
      </c>
      <c r="I188" s="37">
        <v>16880823.365899999</v>
      </c>
      <c r="J188" s="40"/>
      <c r="K188" s="40"/>
    </row>
    <row r="189" spans="1:11" x14ac:dyDescent="0.3">
      <c r="A189" s="41">
        <v>41729</v>
      </c>
      <c r="B189" s="37">
        <v>1977713.48325</v>
      </c>
      <c r="C189" s="37">
        <v>52892.896270000005</v>
      </c>
      <c r="D189" s="37">
        <v>-9087.2446300000011</v>
      </c>
      <c r="E189" s="37">
        <v>15760478.483100001</v>
      </c>
      <c r="F189" s="37">
        <v>42551.584999999999</v>
      </c>
      <c r="G189" s="37">
        <v>101695.00744</v>
      </c>
      <c r="H189" s="37">
        <v>2051.6559499999998</v>
      </c>
      <c r="I189" s="37">
        <v>17928295.865900002</v>
      </c>
      <c r="J189" s="40"/>
      <c r="K189" s="40"/>
    </row>
    <row r="190" spans="1:11" x14ac:dyDescent="0.3">
      <c r="A190" s="41">
        <v>41736</v>
      </c>
      <c r="B190" s="37">
        <v>1977713.48325</v>
      </c>
      <c r="C190" s="37">
        <v>52892.896270000005</v>
      </c>
      <c r="D190" s="37">
        <v>-9087.2446300000011</v>
      </c>
      <c r="E190" s="37">
        <v>15760977.233100001</v>
      </c>
      <c r="F190" s="37">
        <v>42551.584999999999</v>
      </c>
      <c r="G190" s="37">
        <v>101695.00744</v>
      </c>
      <c r="H190" s="37">
        <v>2051.6559499999998</v>
      </c>
      <c r="I190" s="37">
        <v>17928794.615900002</v>
      </c>
      <c r="J190" s="40"/>
      <c r="K190" s="40"/>
    </row>
    <row r="191" spans="1:11" x14ac:dyDescent="0.3">
      <c r="A191" s="41">
        <v>41739</v>
      </c>
      <c r="B191" s="37">
        <v>1982713.48325</v>
      </c>
      <c r="C191" s="37">
        <v>52892.896270000005</v>
      </c>
      <c r="D191" s="37">
        <v>-9087.2446300000011</v>
      </c>
      <c r="E191" s="37">
        <v>15760977.233100001</v>
      </c>
      <c r="F191" s="37">
        <v>42551.584999999999</v>
      </c>
      <c r="G191" s="37">
        <v>101695.00744</v>
      </c>
      <c r="H191" s="37">
        <v>2051.6559499999998</v>
      </c>
      <c r="I191" s="37">
        <v>17933794.615900002</v>
      </c>
      <c r="J191" s="40"/>
      <c r="K191" s="40"/>
    </row>
    <row r="192" spans="1:11" x14ac:dyDescent="0.3">
      <c r="A192" s="41">
        <v>41740</v>
      </c>
      <c r="B192" s="37">
        <v>1982713.48325</v>
      </c>
      <c r="C192" s="37">
        <v>52892.896270000005</v>
      </c>
      <c r="D192" s="37">
        <v>-9087.2446300000011</v>
      </c>
      <c r="E192" s="37">
        <v>15761049.622399999</v>
      </c>
      <c r="F192" s="37">
        <v>42551.584999999999</v>
      </c>
      <c r="G192" s="37">
        <v>101695.00744</v>
      </c>
      <c r="H192" s="37">
        <v>2051.6559499999998</v>
      </c>
      <c r="I192" s="37">
        <v>17933867.005200002</v>
      </c>
      <c r="J192" s="40"/>
      <c r="K192" s="40"/>
    </row>
    <row r="193" spans="1:11" x14ac:dyDescent="0.3">
      <c r="A193" s="41">
        <v>41744</v>
      </c>
      <c r="B193" s="37">
        <v>1982713.48325</v>
      </c>
      <c r="C193" s="37">
        <v>52892.896270000005</v>
      </c>
      <c r="D193" s="37">
        <v>-9087.2446300000011</v>
      </c>
      <c r="E193" s="37">
        <v>15762049.622399999</v>
      </c>
      <c r="F193" s="37">
        <v>55601.153030000001</v>
      </c>
      <c r="G193" s="37">
        <v>101695.00744</v>
      </c>
      <c r="H193" s="37">
        <v>2051.6559499999998</v>
      </c>
      <c r="I193" s="37">
        <v>17947916.573709998</v>
      </c>
      <c r="J193" s="40"/>
      <c r="K193" s="40"/>
    </row>
    <row r="194" spans="1:11" x14ac:dyDescent="0.3">
      <c r="A194" s="41">
        <v>41745</v>
      </c>
      <c r="B194" s="37">
        <v>1982725.98325</v>
      </c>
      <c r="C194" s="37">
        <v>52892.896270000005</v>
      </c>
      <c r="D194" s="37">
        <v>-9087.2446300000011</v>
      </c>
      <c r="E194" s="37">
        <v>15762049.622399999</v>
      </c>
      <c r="F194" s="37">
        <v>55601.153030000001</v>
      </c>
      <c r="G194" s="37">
        <v>101695.00744</v>
      </c>
      <c r="H194" s="37">
        <v>2051.6559499999998</v>
      </c>
      <c r="I194" s="37">
        <v>17947929.073709998</v>
      </c>
      <c r="J194" s="40"/>
      <c r="K194" s="40"/>
    </row>
    <row r="195" spans="1:11" x14ac:dyDescent="0.3">
      <c r="A195" s="41">
        <v>41750</v>
      </c>
      <c r="B195" s="37">
        <v>1982725.98325</v>
      </c>
      <c r="C195" s="37">
        <v>52892.896270000005</v>
      </c>
      <c r="D195" s="37">
        <v>-9087.2446300000011</v>
      </c>
      <c r="E195" s="37">
        <v>15762462.122399999</v>
      </c>
      <c r="F195" s="37">
        <v>55601.153030000001</v>
      </c>
      <c r="G195" s="37">
        <v>101695.00744</v>
      </c>
      <c r="H195" s="37">
        <v>2051.6559499999998</v>
      </c>
      <c r="I195" s="37">
        <v>17948341.573709998</v>
      </c>
      <c r="J195" s="40"/>
      <c r="K195" s="40"/>
    </row>
    <row r="196" spans="1:11" x14ac:dyDescent="0.3">
      <c r="A196" s="41">
        <v>41757</v>
      </c>
      <c r="B196" s="37">
        <v>1982855.98325</v>
      </c>
      <c r="C196" s="37">
        <v>52892.896270000005</v>
      </c>
      <c r="D196" s="37">
        <v>-9087.2446300000011</v>
      </c>
      <c r="E196" s="37">
        <v>15763162.122399999</v>
      </c>
      <c r="F196" s="37">
        <v>55601.153030000001</v>
      </c>
      <c r="G196" s="37">
        <v>101695.00744</v>
      </c>
      <c r="H196" s="37">
        <v>2051.6559499999998</v>
      </c>
      <c r="I196" s="37">
        <v>17949171.573709998</v>
      </c>
      <c r="J196" s="40"/>
      <c r="K196" s="40"/>
    </row>
    <row r="197" spans="1:11" x14ac:dyDescent="0.3">
      <c r="A197" s="41">
        <v>41759</v>
      </c>
      <c r="B197" s="37">
        <v>1982855.98325</v>
      </c>
      <c r="C197" s="37">
        <v>52892.896270000005</v>
      </c>
      <c r="D197" s="37">
        <v>-9087.2446300000011</v>
      </c>
      <c r="E197" s="37">
        <v>16075552.122399999</v>
      </c>
      <c r="F197" s="37">
        <v>55601.153030000001</v>
      </c>
      <c r="G197" s="37">
        <v>101695.00744</v>
      </c>
      <c r="H197" s="37">
        <v>2051.6559499999998</v>
      </c>
      <c r="I197" s="37">
        <v>18261561.573709998</v>
      </c>
      <c r="J197" s="40"/>
      <c r="K197" s="40"/>
    </row>
    <row r="198" spans="1:11" x14ac:dyDescent="0.3">
      <c r="A198" s="41">
        <v>41761</v>
      </c>
      <c r="B198" s="37">
        <v>1982855.98325</v>
      </c>
      <c r="C198" s="37">
        <v>52892.896270000005</v>
      </c>
      <c r="D198" s="37">
        <v>-9087.2446300000011</v>
      </c>
      <c r="E198" s="37">
        <v>16075457.129889999</v>
      </c>
      <c r="F198" s="37">
        <v>55601.153030000001</v>
      </c>
      <c r="G198" s="37">
        <v>101695.00744</v>
      </c>
      <c r="H198" s="37">
        <v>2051.6559499999998</v>
      </c>
      <c r="I198" s="37">
        <v>18261466.5812</v>
      </c>
      <c r="J198" s="40"/>
      <c r="K198" s="40"/>
    </row>
    <row r="199" spans="1:11" x14ac:dyDescent="0.3">
      <c r="A199" s="41">
        <v>41764</v>
      </c>
      <c r="B199" s="37">
        <v>1982855.98325</v>
      </c>
      <c r="C199" s="37">
        <v>52892.896270000005</v>
      </c>
      <c r="D199" s="37">
        <v>-9087.2446300000011</v>
      </c>
      <c r="E199" s="37">
        <v>16075663.379889999</v>
      </c>
      <c r="F199" s="37">
        <v>55601.153030000001</v>
      </c>
      <c r="G199" s="37">
        <v>101695.00744</v>
      </c>
      <c r="H199" s="37">
        <v>2051.6559499999998</v>
      </c>
      <c r="I199" s="37">
        <v>18261672.8312</v>
      </c>
      <c r="J199" s="40"/>
      <c r="K199" s="40"/>
    </row>
    <row r="200" spans="1:11" x14ac:dyDescent="0.3">
      <c r="A200" s="41">
        <v>41774</v>
      </c>
      <c r="B200" s="37">
        <v>2281173.48325</v>
      </c>
      <c r="C200" s="37">
        <v>52892.896270000005</v>
      </c>
      <c r="D200" s="37">
        <v>-9087.2446300000011</v>
      </c>
      <c r="E200" s="37">
        <v>16078008.379889999</v>
      </c>
      <c r="F200" s="37">
        <v>55601.153030000001</v>
      </c>
      <c r="G200" s="37">
        <v>101695.00744</v>
      </c>
      <c r="H200" s="37">
        <v>2051.6559499999998</v>
      </c>
      <c r="I200" s="37">
        <v>18562335.3312</v>
      </c>
      <c r="J200" s="40"/>
      <c r="K200" s="40"/>
    </row>
    <row r="201" spans="1:11" x14ac:dyDescent="0.3">
      <c r="A201" s="41">
        <v>41775</v>
      </c>
      <c r="B201" s="37">
        <v>2359923.48325</v>
      </c>
      <c r="C201" s="37">
        <v>52892.896270000005</v>
      </c>
      <c r="D201" s="37">
        <v>-9087.2446300000011</v>
      </c>
      <c r="E201" s="37">
        <v>16109508.379889999</v>
      </c>
      <c r="F201" s="37">
        <v>55601.153030000001</v>
      </c>
      <c r="G201" s="37">
        <v>101695.00744</v>
      </c>
      <c r="H201" s="37">
        <v>2051.6559499999998</v>
      </c>
      <c r="I201" s="37">
        <v>18672585.3312</v>
      </c>
      <c r="J201" s="40"/>
      <c r="K201" s="40"/>
    </row>
    <row r="202" spans="1:11" x14ac:dyDescent="0.3">
      <c r="A202" s="41">
        <v>41778</v>
      </c>
      <c r="B202" s="37">
        <v>2360058.48325</v>
      </c>
      <c r="C202" s="37">
        <v>52892.896270000005</v>
      </c>
      <c r="D202" s="37">
        <v>-9087.2446300000011</v>
      </c>
      <c r="E202" s="37">
        <v>16109508.379889999</v>
      </c>
      <c r="F202" s="37">
        <v>55601.153030000001</v>
      </c>
      <c r="G202" s="37">
        <v>101695.00744</v>
      </c>
      <c r="H202" s="37">
        <v>2051.6559499999998</v>
      </c>
      <c r="I202" s="37">
        <v>18672720.3312</v>
      </c>
      <c r="J202" s="40"/>
      <c r="K202" s="40"/>
    </row>
    <row r="203" spans="1:11" x14ac:dyDescent="0.3">
      <c r="A203" s="41">
        <v>41792</v>
      </c>
      <c r="B203" s="37">
        <v>2360058.48325</v>
      </c>
      <c r="C203" s="37">
        <v>52892.896270000005</v>
      </c>
      <c r="D203" s="37">
        <v>-9087.2446300000011</v>
      </c>
      <c r="E203" s="37">
        <v>16110999.004889999</v>
      </c>
      <c r="F203" s="37">
        <v>55601.153030000001</v>
      </c>
      <c r="G203" s="37">
        <v>101695.00744</v>
      </c>
      <c r="H203" s="37">
        <v>2051.6559499999998</v>
      </c>
      <c r="I203" s="37">
        <v>18674210.9562</v>
      </c>
      <c r="J203" s="40"/>
      <c r="K203" s="40"/>
    </row>
    <row r="204" spans="1:11" x14ac:dyDescent="0.3">
      <c r="A204" s="41">
        <v>41799</v>
      </c>
      <c r="B204" s="37">
        <v>2360058.48325</v>
      </c>
      <c r="C204" s="37">
        <v>52892.896270000005</v>
      </c>
      <c r="D204" s="37">
        <v>-9087.2446300000011</v>
      </c>
      <c r="E204" s="37">
        <v>16161624.004889999</v>
      </c>
      <c r="F204" s="37">
        <v>55601.153030000001</v>
      </c>
      <c r="G204" s="37">
        <v>101695.00744</v>
      </c>
      <c r="H204" s="37">
        <v>2051.6559499999998</v>
      </c>
      <c r="I204" s="37">
        <v>18724835.9562</v>
      </c>
      <c r="J204" s="40"/>
      <c r="K204" s="40"/>
    </row>
    <row r="205" spans="1:11" x14ac:dyDescent="0.3">
      <c r="A205" s="41">
        <v>41802</v>
      </c>
      <c r="B205" s="37">
        <v>2362828.48325</v>
      </c>
      <c r="C205" s="37">
        <v>52892.896270000005</v>
      </c>
      <c r="D205" s="37">
        <v>-9087.2446300000011</v>
      </c>
      <c r="E205" s="37">
        <v>16161892.754889999</v>
      </c>
      <c r="F205" s="37">
        <v>55601.153030000001</v>
      </c>
      <c r="G205" s="37">
        <v>101695.00744</v>
      </c>
      <c r="H205" s="37">
        <v>2051.6559499999998</v>
      </c>
      <c r="I205" s="37">
        <v>18727874.7062</v>
      </c>
      <c r="J205" s="40"/>
      <c r="K205" s="40"/>
    </row>
    <row r="206" spans="1:11" x14ac:dyDescent="0.3">
      <c r="A206" s="41">
        <v>41806</v>
      </c>
      <c r="B206" s="37">
        <v>2566453.48325</v>
      </c>
      <c r="C206" s="37">
        <v>52892.896270000005</v>
      </c>
      <c r="D206" s="37">
        <v>-9087.2446300000011</v>
      </c>
      <c r="E206" s="37">
        <v>16162068.767469998</v>
      </c>
      <c r="F206" s="37">
        <v>55601.153030000001</v>
      </c>
      <c r="G206" s="37">
        <v>101695.00744</v>
      </c>
      <c r="H206" s="37">
        <v>2051.6559499999998</v>
      </c>
      <c r="I206" s="37">
        <v>18931675.71878</v>
      </c>
      <c r="J206" s="40"/>
      <c r="K206" s="40"/>
    </row>
    <row r="207" spans="1:11" x14ac:dyDescent="0.3">
      <c r="A207" s="41">
        <v>41807</v>
      </c>
      <c r="B207" s="37">
        <v>2568281.60825</v>
      </c>
      <c r="C207" s="37">
        <v>52892.896270000005</v>
      </c>
      <c r="D207" s="37">
        <v>-9087.2446300000011</v>
      </c>
      <c r="E207" s="37">
        <v>16162068.767469998</v>
      </c>
      <c r="F207" s="37">
        <v>55601.153030000001</v>
      </c>
      <c r="G207" s="37">
        <v>101695.00744</v>
      </c>
      <c r="H207" s="37">
        <v>2051.6559499999998</v>
      </c>
      <c r="I207" s="37">
        <v>18933503.84378</v>
      </c>
      <c r="J207" s="40"/>
      <c r="K207" s="40"/>
    </row>
    <row r="208" spans="1:11" x14ac:dyDescent="0.3">
      <c r="A208" s="41">
        <v>41809</v>
      </c>
      <c r="B208" s="37">
        <v>2571158.60825</v>
      </c>
      <c r="C208" s="37">
        <v>52892.896270000005</v>
      </c>
      <c r="D208" s="37">
        <v>-9087.2446300000011</v>
      </c>
      <c r="E208" s="37">
        <v>16161536.17536</v>
      </c>
      <c r="F208" s="37">
        <v>55601.153030000001</v>
      </c>
      <c r="G208" s="37">
        <v>101695.00744</v>
      </c>
      <c r="H208" s="37">
        <v>2051.6559499999998</v>
      </c>
      <c r="I208" s="37">
        <v>18935848.251669999</v>
      </c>
      <c r="J208" s="40"/>
      <c r="K208" s="40"/>
    </row>
    <row r="209" spans="1:11" x14ac:dyDescent="0.3">
      <c r="A209" s="41">
        <v>41815</v>
      </c>
      <c r="B209" s="37">
        <v>2571158.60825</v>
      </c>
      <c r="C209" s="37">
        <v>52892.896270000005</v>
      </c>
      <c r="D209" s="37">
        <v>-9087.2446300000011</v>
      </c>
      <c r="E209" s="37">
        <v>16186989.30036</v>
      </c>
      <c r="F209" s="37">
        <v>55601.153030000001</v>
      </c>
      <c r="G209" s="37">
        <v>101695.00744</v>
      </c>
      <c r="H209" s="37">
        <v>2051.6559499999998</v>
      </c>
      <c r="I209" s="37">
        <v>18961301.376669999</v>
      </c>
      <c r="J209" s="40"/>
      <c r="K209" s="40"/>
    </row>
    <row r="210" spans="1:11" x14ac:dyDescent="0.3">
      <c r="A210" s="41">
        <v>41817</v>
      </c>
      <c r="B210" s="37">
        <v>2571983.60825</v>
      </c>
      <c r="C210" s="37">
        <v>52892.896270000005</v>
      </c>
      <c r="D210" s="37">
        <v>-9087.2446300000011</v>
      </c>
      <c r="E210" s="37">
        <v>16186989.30036</v>
      </c>
      <c r="F210" s="37">
        <v>55601.153030000001</v>
      </c>
      <c r="G210" s="37">
        <v>101695.00744</v>
      </c>
      <c r="H210" s="37">
        <v>2051.6559499999998</v>
      </c>
      <c r="I210" s="37">
        <v>18962126.376669999</v>
      </c>
      <c r="J210" s="40"/>
      <c r="K210" s="40"/>
    </row>
    <row r="211" spans="1:11" x14ac:dyDescent="0.3">
      <c r="A211" s="41">
        <v>41820</v>
      </c>
      <c r="B211" s="37">
        <v>2584521.10825</v>
      </c>
      <c r="C211" s="37">
        <v>52892.896270000005</v>
      </c>
      <c r="D211" s="37">
        <v>-9087.2446300000011</v>
      </c>
      <c r="E211" s="37">
        <v>16399855.18571</v>
      </c>
      <c r="F211" s="37">
        <v>55601.152999999998</v>
      </c>
      <c r="G211" s="37">
        <v>101695.00744</v>
      </c>
      <c r="H211" s="37">
        <v>2051.6559499999998</v>
      </c>
      <c r="I211" s="37">
        <v>19187529.762009997</v>
      </c>
      <c r="J211" s="40"/>
      <c r="K211" s="40"/>
    </row>
    <row r="212" spans="1:11" x14ac:dyDescent="0.3">
      <c r="A212" s="41">
        <v>41821</v>
      </c>
      <c r="B212" s="37">
        <v>2584521.10825</v>
      </c>
      <c r="C212" s="37">
        <v>52892.896270000005</v>
      </c>
      <c r="D212" s="37">
        <v>-9087.2446300000011</v>
      </c>
      <c r="E212" s="37">
        <v>16400597.68571</v>
      </c>
      <c r="F212" s="37">
        <v>55601.152999999998</v>
      </c>
      <c r="G212" s="37">
        <v>101695.00744</v>
      </c>
      <c r="H212" s="37">
        <v>2051.6559499999998</v>
      </c>
      <c r="I212" s="37">
        <v>19188272.262009997</v>
      </c>
      <c r="J212" s="40"/>
      <c r="K212" s="40"/>
    </row>
    <row r="213" spans="1:11" x14ac:dyDescent="0.3">
      <c r="A213" s="41">
        <v>41831</v>
      </c>
      <c r="B213" s="37">
        <v>2584521.10825</v>
      </c>
      <c r="C213" s="37">
        <v>52892.896270000005</v>
      </c>
      <c r="D213" s="37">
        <v>-9087.2446300000011</v>
      </c>
      <c r="E213" s="37">
        <v>16400508.04699</v>
      </c>
      <c r="F213" s="37">
        <v>55601.152999999998</v>
      </c>
      <c r="G213" s="37">
        <v>101695.00744</v>
      </c>
      <c r="H213" s="37">
        <v>2051.6559499999998</v>
      </c>
      <c r="I213" s="37">
        <v>19188182.623300001</v>
      </c>
      <c r="J213" s="40"/>
      <c r="K213" s="40"/>
    </row>
    <row r="214" spans="1:11" x14ac:dyDescent="0.3">
      <c r="A214" s="41">
        <v>41835</v>
      </c>
      <c r="B214" s="37">
        <v>2584521.10825</v>
      </c>
      <c r="C214" s="37">
        <v>52892.896270000005</v>
      </c>
      <c r="D214" s="37">
        <v>-9087.2446300000011</v>
      </c>
      <c r="E214" s="37">
        <v>16400508.04699</v>
      </c>
      <c r="F214" s="37">
        <v>58601.354780000001</v>
      </c>
      <c r="G214" s="37">
        <v>101695.00744</v>
      </c>
      <c r="H214" s="37">
        <v>2051.6559499999998</v>
      </c>
      <c r="I214" s="37">
        <v>19191182.825060003</v>
      </c>
      <c r="J214" s="40"/>
      <c r="K214" s="40"/>
    </row>
    <row r="215" spans="1:11" x14ac:dyDescent="0.3">
      <c r="A215" s="41">
        <v>41836</v>
      </c>
      <c r="B215" s="37">
        <v>2586501.0861799996</v>
      </c>
      <c r="C215" s="37">
        <v>52892.896270000005</v>
      </c>
      <c r="D215" s="37">
        <v>-9087.2446300000011</v>
      </c>
      <c r="E215" s="37">
        <v>16400508.04699</v>
      </c>
      <c r="F215" s="37">
        <v>58601.354780000001</v>
      </c>
      <c r="G215" s="37">
        <v>101695.00744</v>
      </c>
      <c r="H215" s="37">
        <v>2051.6559499999998</v>
      </c>
      <c r="I215" s="37">
        <v>19193162.802990001</v>
      </c>
      <c r="J215" s="40"/>
      <c r="K215" s="40"/>
    </row>
    <row r="216" spans="1:11" x14ac:dyDescent="0.3">
      <c r="A216" s="41">
        <v>41837</v>
      </c>
      <c r="B216" s="37">
        <v>2587110.4611799996</v>
      </c>
      <c r="C216" s="37">
        <v>52892.896270000005</v>
      </c>
      <c r="D216" s="37">
        <v>-9087.2446300000011</v>
      </c>
      <c r="E216" s="37">
        <v>16400508.04699</v>
      </c>
      <c r="F216" s="37">
        <v>58601.354780000001</v>
      </c>
      <c r="G216" s="37">
        <v>101695.00744</v>
      </c>
      <c r="H216" s="37">
        <v>2051.6559499999998</v>
      </c>
      <c r="I216" s="37">
        <v>19193772.177990001</v>
      </c>
      <c r="J216" s="40"/>
      <c r="K216" s="40"/>
    </row>
    <row r="217" spans="1:11" x14ac:dyDescent="0.3">
      <c r="A217" s="41">
        <v>41841</v>
      </c>
      <c r="B217" s="37">
        <v>2589159.3111799997</v>
      </c>
      <c r="C217" s="37">
        <v>52892.896270000005</v>
      </c>
      <c r="D217" s="37">
        <v>-9087.2446300000011</v>
      </c>
      <c r="E217" s="37">
        <v>16400567.42199</v>
      </c>
      <c r="F217" s="37">
        <v>58601.354780000001</v>
      </c>
      <c r="G217" s="37">
        <v>101695.00744</v>
      </c>
      <c r="H217" s="37">
        <v>2051.6559499999998</v>
      </c>
      <c r="I217" s="37">
        <v>19195880.402990002</v>
      </c>
      <c r="J217" s="40"/>
      <c r="K217" s="40"/>
    </row>
    <row r="218" spans="1:11" x14ac:dyDescent="0.3">
      <c r="A218" s="41">
        <v>41848</v>
      </c>
      <c r="B218" s="37">
        <v>2589159.3111799997</v>
      </c>
      <c r="C218" s="37">
        <v>52892.896270000005</v>
      </c>
      <c r="D218" s="37">
        <v>-9087.2446300000011</v>
      </c>
      <c r="E218" s="37">
        <v>16401661.17199</v>
      </c>
      <c r="F218" s="37">
        <v>58601.354780000001</v>
      </c>
      <c r="G218" s="37">
        <v>101695.00744</v>
      </c>
      <c r="H218" s="37">
        <v>2051.6559499999998</v>
      </c>
      <c r="I218" s="37">
        <v>19196974.152990002</v>
      </c>
      <c r="J218" s="40"/>
      <c r="K218" s="40"/>
    </row>
    <row r="219" spans="1:11" x14ac:dyDescent="0.3">
      <c r="A219" s="41">
        <v>41852</v>
      </c>
      <c r="B219" s="37">
        <v>2589799.9361799997</v>
      </c>
      <c r="C219" s="37">
        <v>52892.896270000005</v>
      </c>
      <c r="D219" s="37">
        <v>-9087.2446300000011</v>
      </c>
      <c r="E219" s="37">
        <v>16401661.17199</v>
      </c>
      <c r="F219" s="37">
        <v>58601.354780000001</v>
      </c>
      <c r="G219" s="37">
        <v>101695.00744</v>
      </c>
      <c r="H219" s="37">
        <v>2051.6559499999998</v>
      </c>
      <c r="I219" s="37">
        <v>19197614.777990002</v>
      </c>
      <c r="J219" s="40"/>
      <c r="K219" s="40"/>
    </row>
    <row r="220" spans="1:11" x14ac:dyDescent="0.3">
      <c r="A220" s="41">
        <v>41855</v>
      </c>
      <c r="B220" s="37">
        <v>2589799.9361799997</v>
      </c>
      <c r="C220" s="37">
        <v>52892.896270000005</v>
      </c>
      <c r="D220" s="37">
        <v>-9087.2446300000011</v>
      </c>
      <c r="E220" s="37">
        <v>16401676.96652</v>
      </c>
      <c r="F220" s="37">
        <v>58601.354780000001</v>
      </c>
      <c r="G220" s="37">
        <v>101695.00744</v>
      </c>
      <c r="H220" s="37">
        <v>2051.6559499999998</v>
      </c>
      <c r="I220" s="37">
        <v>19197630.572519999</v>
      </c>
      <c r="J220" s="40"/>
      <c r="K220" s="40"/>
    </row>
    <row r="221" spans="1:11" x14ac:dyDescent="0.3">
      <c r="A221" s="41">
        <v>41866</v>
      </c>
      <c r="B221" s="37">
        <v>2613844.9361799997</v>
      </c>
      <c r="C221" s="37">
        <v>52892.896270000005</v>
      </c>
      <c r="D221" s="37">
        <v>-9087.2446300000011</v>
      </c>
      <c r="E221" s="37">
        <v>16403796.96652</v>
      </c>
      <c r="F221" s="37">
        <v>58601.354780000001</v>
      </c>
      <c r="G221" s="37">
        <v>101695.00744</v>
      </c>
      <c r="H221" s="37">
        <v>2051.6559499999998</v>
      </c>
      <c r="I221" s="37">
        <v>19223795.572519999</v>
      </c>
      <c r="J221" s="40"/>
      <c r="K221" s="40"/>
    </row>
    <row r="222" spans="1:11" x14ac:dyDescent="0.3">
      <c r="A222" s="41">
        <v>41869</v>
      </c>
      <c r="B222" s="37">
        <v>2615551.1861799997</v>
      </c>
      <c r="C222" s="37">
        <v>52892.896270000005</v>
      </c>
      <c r="D222" s="37">
        <v>-9087.2446300000011</v>
      </c>
      <c r="E222" s="37">
        <v>16403796.96652</v>
      </c>
      <c r="F222" s="37">
        <v>58601.354780000001</v>
      </c>
      <c r="G222" s="37">
        <v>101695.00744</v>
      </c>
      <c r="H222" s="37">
        <v>2051.6559499999998</v>
      </c>
      <c r="I222" s="37">
        <v>19225501.822519999</v>
      </c>
      <c r="J222" s="40"/>
      <c r="K222" s="40"/>
    </row>
    <row r="223" spans="1:11" x14ac:dyDescent="0.3">
      <c r="A223" s="41">
        <v>41878</v>
      </c>
      <c r="B223" s="37">
        <v>2615601.1861799997</v>
      </c>
      <c r="C223" s="37">
        <v>52892.896270000005</v>
      </c>
      <c r="D223" s="37">
        <v>-9087.2446300000011</v>
      </c>
      <c r="E223" s="37">
        <v>16403796.96652</v>
      </c>
      <c r="F223" s="37">
        <v>58601.354780000001</v>
      </c>
      <c r="G223" s="37">
        <v>101695.00744</v>
      </c>
      <c r="H223" s="37">
        <v>2051.6559499999998</v>
      </c>
      <c r="I223" s="37">
        <v>19225551.822519999</v>
      </c>
      <c r="J223" s="40"/>
      <c r="K223" s="40"/>
    </row>
    <row r="224" spans="1:11" x14ac:dyDescent="0.3">
      <c r="A224" s="41">
        <v>41884</v>
      </c>
      <c r="B224" s="37">
        <v>2615601.1861799997</v>
      </c>
      <c r="C224" s="37">
        <v>52892.896270000005</v>
      </c>
      <c r="D224" s="37">
        <v>-9087.2446300000011</v>
      </c>
      <c r="E224" s="37">
        <v>16403796.96652</v>
      </c>
      <c r="F224" s="37">
        <v>58601.355000000003</v>
      </c>
      <c r="G224" s="37">
        <v>101695.00744</v>
      </c>
      <c r="H224" s="37">
        <v>2051.6559499999998</v>
      </c>
      <c r="I224" s="37">
        <v>19225551.822519999</v>
      </c>
      <c r="J224" s="40"/>
      <c r="K224" s="40"/>
    </row>
    <row r="225" spans="1:11" x14ac:dyDescent="0.3">
      <c r="A225" s="41">
        <v>41892</v>
      </c>
      <c r="B225" s="37">
        <v>2615601.1861799997</v>
      </c>
      <c r="C225" s="37">
        <v>52892.896270000005</v>
      </c>
      <c r="D225" s="37">
        <v>-9087.2446300000011</v>
      </c>
      <c r="E225" s="37">
        <v>16454521.96652</v>
      </c>
      <c r="F225" s="37">
        <v>58601.355000000003</v>
      </c>
      <c r="G225" s="37">
        <v>101695.00744</v>
      </c>
      <c r="H225" s="37">
        <v>2051.6559499999998</v>
      </c>
      <c r="I225" s="37">
        <v>19276276.822519999</v>
      </c>
      <c r="J225" s="40"/>
      <c r="K225" s="40"/>
    </row>
    <row r="226" spans="1:11" x14ac:dyDescent="0.3">
      <c r="A226" s="41">
        <v>41897</v>
      </c>
      <c r="B226" s="37">
        <v>2632173.0611799997</v>
      </c>
      <c r="C226" s="37">
        <v>52892.896270000005</v>
      </c>
      <c r="D226" s="37">
        <v>-9087.2446300000011</v>
      </c>
      <c r="E226" s="37">
        <v>16454563.95648</v>
      </c>
      <c r="F226" s="37">
        <v>58601.355000000003</v>
      </c>
      <c r="G226" s="37">
        <v>101695.00744</v>
      </c>
      <c r="H226" s="37">
        <v>2051.6559499999998</v>
      </c>
      <c r="I226" s="37">
        <v>19292890.68747</v>
      </c>
      <c r="J226" s="40"/>
      <c r="K226" s="40"/>
    </row>
    <row r="227" spans="1:11" x14ac:dyDescent="0.3">
      <c r="A227" s="41">
        <v>41898</v>
      </c>
      <c r="B227" s="37">
        <v>2632173.0611799997</v>
      </c>
      <c r="C227" s="37">
        <v>52892.896270000005</v>
      </c>
      <c r="D227" s="37">
        <v>-9087.2446300000011</v>
      </c>
      <c r="E227" s="37">
        <v>16454544.612819999</v>
      </c>
      <c r="F227" s="37">
        <v>58601.355000000003</v>
      </c>
      <c r="G227" s="37">
        <v>101695.00744</v>
      </c>
      <c r="H227" s="37">
        <v>2051.6559499999998</v>
      </c>
      <c r="I227" s="37">
        <v>19292871.34381</v>
      </c>
      <c r="J227" s="40"/>
      <c r="K227" s="40"/>
    </row>
    <row r="228" spans="1:11" x14ac:dyDescent="0.3">
      <c r="A228" s="41">
        <v>41901</v>
      </c>
      <c r="B228" s="37">
        <v>2632245.5611799997</v>
      </c>
      <c r="C228" s="37">
        <v>52892.896270000005</v>
      </c>
      <c r="D228" s="37">
        <v>-9087.2446300000011</v>
      </c>
      <c r="E228" s="37">
        <v>16454608.56003</v>
      </c>
      <c r="F228" s="37">
        <v>58601.355000000003</v>
      </c>
      <c r="G228" s="37">
        <v>101695.00744</v>
      </c>
      <c r="H228" s="37">
        <v>2051.6559499999998</v>
      </c>
      <c r="I228" s="37">
        <v>19293007.791020002</v>
      </c>
      <c r="J228" s="40"/>
      <c r="K228" s="40"/>
    </row>
    <row r="229" spans="1:11" x14ac:dyDescent="0.3">
      <c r="A229" s="41">
        <v>41904</v>
      </c>
      <c r="B229" s="37">
        <v>2640514.3111799997</v>
      </c>
      <c r="C229" s="37">
        <v>52892.896270000005</v>
      </c>
      <c r="D229" s="37">
        <v>-9087.2446300000011</v>
      </c>
      <c r="E229" s="37">
        <v>16454608.56003</v>
      </c>
      <c r="F229" s="37">
        <v>58601.355000000003</v>
      </c>
      <c r="G229" s="37">
        <v>101695.00744</v>
      </c>
      <c r="H229" s="37">
        <v>2051.6559499999998</v>
      </c>
      <c r="I229" s="37">
        <v>19301276.541020002</v>
      </c>
      <c r="J229" s="40"/>
      <c r="K229" s="40"/>
    </row>
    <row r="230" spans="1:11" x14ac:dyDescent="0.3">
      <c r="A230" s="41">
        <v>41907</v>
      </c>
      <c r="B230" s="37">
        <v>2640514.3111799997</v>
      </c>
      <c r="C230" s="37">
        <v>52892.896270000005</v>
      </c>
      <c r="D230" s="37">
        <v>-9087.2446300000011</v>
      </c>
      <c r="E230" s="37">
        <v>16455483.56003</v>
      </c>
      <c r="F230" s="37">
        <v>58601.355000000003</v>
      </c>
      <c r="G230" s="37">
        <v>101695.00744</v>
      </c>
      <c r="H230" s="37">
        <v>2051.6559499999998</v>
      </c>
      <c r="I230" s="37">
        <v>19302151.541020002</v>
      </c>
      <c r="J230" s="40"/>
      <c r="K230" s="40"/>
    </row>
    <row r="231" spans="1:11" x14ac:dyDescent="0.3">
      <c r="A231" s="41">
        <v>41911</v>
      </c>
      <c r="B231" s="37">
        <v>2640601.8111799997</v>
      </c>
      <c r="C231" s="37">
        <v>52892.896270000005</v>
      </c>
      <c r="D231" s="37">
        <v>-9087.2446300000011</v>
      </c>
      <c r="E231" s="37">
        <v>16454646.952260001</v>
      </c>
      <c r="F231" s="37">
        <v>58601.355000000003</v>
      </c>
      <c r="G231" s="37">
        <v>101695.00744</v>
      </c>
      <c r="H231" s="37">
        <v>2051.6559499999998</v>
      </c>
      <c r="I231" s="37">
        <v>19301402.433249999</v>
      </c>
      <c r="J231" s="40"/>
      <c r="K231" s="40"/>
    </row>
    <row r="232" spans="1:11" x14ac:dyDescent="0.3">
      <c r="A232" s="41">
        <v>41912</v>
      </c>
      <c r="B232" s="37">
        <v>2640601.8111799997</v>
      </c>
      <c r="C232" s="37">
        <v>52892.896270000005</v>
      </c>
      <c r="D232" s="37">
        <v>-9087.2446300000011</v>
      </c>
      <c r="E232" s="37">
        <v>16454811.952260001</v>
      </c>
      <c r="F232" s="37">
        <v>58601.355000000003</v>
      </c>
      <c r="G232" s="37">
        <v>101695.00744</v>
      </c>
      <c r="H232" s="37">
        <v>2051.6559499999998</v>
      </c>
      <c r="I232" s="37">
        <v>19301567.433249999</v>
      </c>
      <c r="J232" s="40"/>
      <c r="K232" s="40"/>
    </row>
    <row r="233" spans="1:11" x14ac:dyDescent="0.3">
      <c r="A233" s="41">
        <v>41918</v>
      </c>
      <c r="B233" s="37">
        <v>2649998.03743</v>
      </c>
      <c r="C233" s="37">
        <v>52892.896270000005</v>
      </c>
      <c r="D233" s="37">
        <v>-9087.2446300000011</v>
      </c>
      <c r="E233" s="37">
        <v>16455310.702260001</v>
      </c>
      <c r="F233" s="37">
        <v>58601.355000000003</v>
      </c>
      <c r="G233" s="37">
        <v>101695.00744</v>
      </c>
      <c r="H233" s="37">
        <v>2051.6559499999998</v>
      </c>
      <c r="I233" s="37">
        <v>19311462.409499999</v>
      </c>
      <c r="J233" s="40"/>
      <c r="K233" s="40"/>
    </row>
    <row r="234" spans="1:11" x14ac:dyDescent="0.3">
      <c r="A234" s="41">
        <v>41926</v>
      </c>
      <c r="B234" s="37">
        <v>2649998.03743</v>
      </c>
      <c r="C234" s="37">
        <v>52892.896270000005</v>
      </c>
      <c r="D234" s="37">
        <v>-9087.2446300000011</v>
      </c>
      <c r="E234" s="37">
        <v>16455398.201780001</v>
      </c>
      <c r="F234" s="37">
        <v>58601.355000000003</v>
      </c>
      <c r="G234" s="37">
        <v>101695.00744</v>
      </c>
      <c r="H234" s="37">
        <v>2051.6559499999998</v>
      </c>
      <c r="I234" s="37">
        <v>19311549.909029998</v>
      </c>
      <c r="J234" s="40"/>
      <c r="K234" s="40"/>
    </row>
    <row r="235" spans="1:11" x14ac:dyDescent="0.3">
      <c r="A235" s="41">
        <v>41927</v>
      </c>
      <c r="B235" s="37">
        <v>2649998.03743</v>
      </c>
      <c r="C235" s="37">
        <v>52892.896270000005</v>
      </c>
      <c r="D235" s="37">
        <v>-9087.2446300000011</v>
      </c>
      <c r="E235" s="37">
        <v>16455398.201780001</v>
      </c>
      <c r="F235" s="37">
        <v>59070.096509999996</v>
      </c>
      <c r="G235" s="37">
        <v>101695.00744</v>
      </c>
      <c r="H235" s="37">
        <v>2051.6559499999998</v>
      </c>
      <c r="I235" s="37">
        <v>19312018.65075</v>
      </c>
      <c r="J235" s="40"/>
      <c r="K235" s="40"/>
    </row>
    <row r="236" spans="1:11" x14ac:dyDescent="0.3">
      <c r="A236" s="41">
        <v>41928</v>
      </c>
      <c r="B236" s="37">
        <v>2650010.53743</v>
      </c>
      <c r="C236" s="37">
        <v>52892.896270000005</v>
      </c>
      <c r="D236" s="37">
        <v>-9087.2446300000011</v>
      </c>
      <c r="E236" s="37">
        <v>16455398.201780001</v>
      </c>
      <c r="F236" s="37">
        <v>59070.096509999996</v>
      </c>
      <c r="G236" s="37">
        <v>101695.00744</v>
      </c>
      <c r="H236" s="37">
        <v>2051.6559499999998</v>
      </c>
      <c r="I236" s="37">
        <v>19312031.15075</v>
      </c>
      <c r="J236" s="40"/>
      <c r="K236" s="40"/>
    </row>
    <row r="237" spans="1:11" x14ac:dyDescent="0.3">
      <c r="A237" s="41">
        <v>41932</v>
      </c>
      <c r="B237" s="37">
        <v>2650010.53743</v>
      </c>
      <c r="C237" s="37">
        <v>52892.896270000005</v>
      </c>
      <c r="D237" s="37">
        <v>-9087.2446300000011</v>
      </c>
      <c r="E237" s="37">
        <v>16521810.701780001</v>
      </c>
      <c r="F237" s="37">
        <v>59070.096509999996</v>
      </c>
      <c r="G237" s="37">
        <v>101695.00744</v>
      </c>
      <c r="H237" s="37">
        <v>2051.6559499999998</v>
      </c>
      <c r="I237" s="37">
        <v>19378443.65075</v>
      </c>
      <c r="J237" s="40"/>
      <c r="K237" s="40"/>
    </row>
    <row r="238" spans="1:11" x14ac:dyDescent="0.3">
      <c r="A238" s="41">
        <v>41939</v>
      </c>
      <c r="B238" s="37">
        <v>2650140.53743</v>
      </c>
      <c r="C238" s="37">
        <v>52892.896270000005</v>
      </c>
      <c r="D238" s="37">
        <v>-9087.2446300000011</v>
      </c>
      <c r="E238" s="37">
        <v>16521810.701780001</v>
      </c>
      <c r="F238" s="37">
        <v>59070.096509999996</v>
      </c>
      <c r="G238" s="37">
        <v>101695.00744</v>
      </c>
      <c r="H238" s="37">
        <v>2051.6559499999998</v>
      </c>
      <c r="I238" s="37">
        <v>19378573.65075</v>
      </c>
      <c r="J238" s="40"/>
      <c r="K238" s="40"/>
    </row>
    <row r="239" spans="1:11" x14ac:dyDescent="0.3">
      <c r="A239" s="41">
        <v>41943</v>
      </c>
      <c r="B239" s="37">
        <v>2650140.53743</v>
      </c>
      <c r="C239" s="37">
        <v>52892.896270000005</v>
      </c>
      <c r="D239" s="37">
        <v>-9087.2446300000011</v>
      </c>
      <c r="E239" s="37">
        <v>16521810.701780001</v>
      </c>
      <c r="F239" s="37">
        <v>59070.096509999996</v>
      </c>
      <c r="G239" s="37">
        <v>101695.00744</v>
      </c>
      <c r="H239" s="37">
        <v>2051.6559499999998</v>
      </c>
      <c r="I239" s="37">
        <v>19378573.65075</v>
      </c>
      <c r="J239" s="40"/>
      <c r="K239" s="40"/>
    </row>
    <row r="240" spans="1:11" x14ac:dyDescent="0.3">
      <c r="A240" s="41">
        <v>41946</v>
      </c>
      <c r="B240" s="37">
        <v>2654865.53743</v>
      </c>
      <c r="C240" s="37">
        <v>52892.896270000005</v>
      </c>
      <c r="D240" s="37">
        <v>-9087.2446300000011</v>
      </c>
      <c r="E240" s="37">
        <v>16521716.72676</v>
      </c>
      <c r="F240" s="37">
        <v>59070.096509999996</v>
      </c>
      <c r="G240" s="37">
        <v>101695.00744</v>
      </c>
      <c r="H240" s="37">
        <v>2051.6559499999998</v>
      </c>
      <c r="I240" s="37">
        <v>19383204.675720003</v>
      </c>
      <c r="J240" s="40"/>
      <c r="K240" s="40"/>
    </row>
    <row r="241" spans="1:11" x14ac:dyDescent="0.3">
      <c r="A241" s="41">
        <v>41948</v>
      </c>
      <c r="B241" s="37">
        <v>2654865.53743</v>
      </c>
      <c r="C241" s="37">
        <v>52892.896270000005</v>
      </c>
      <c r="D241" s="37">
        <v>-9087.2446300000011</v>
      </c>
      <c r="E241" s="37">
        <v>16521922.97676</v>
      </c>
      <c r="F241" s="37">
        <v>59070.096509999996</v>
      </c>
      <c r="G241" s="37">
        <v>101695.00744</v>
      </c>
      <c r="H241" s="37">
        <v>2051.6559499999998</v>
      </c>
      <c r="I241" s="37">
        <v>19383410.925720003</v>
      </c>
      <c r="J241" s="40"/>
      <c r="K241" s="40"/>
    </row>
    <row r="242" spans="1:11" x14ac:dyDescent="0.3">
      <c r="A242" s="41">
        <v>41960</v>
      </c>
      <c r="B242" s="37">
        <v>2851689.28743</v>
      </c>
      <c r="C242" s="37">
        <v>52892.896270000005</v>
      </c>
      <c r="D242" s="37">
        <v>-9087.2446300000011</v>
      </c>
      <c r="E242" s="37">
        <v>16524267.97676</v>
      </c>
      <c r="F242" s="37">
        <v>59070.096509999996</v>
      </c>
      <c r="G242" s="37">
        <v>101695.00744</v>
      </c>
      <c r="H242" s="37">
        <v>2051.6559499999998</v>
      </c>
      <c r="I242" s="37">
        <v>19582579.675720003</v>
      </c>
      <c r="J242" s="40"/>
      <c r="K242" s="40"/>
    </row>
    <row r="243" spans="1:11" x14ac:dyDescent="0.3">
      <c r="A243" s="41">
        <v>41974</v>
      </c>
      <c r="B243" s="37">
        <v>2873676.78743</v>
      </c>
      <c r="C243" s="37">
        <v>52892.896270000005</v>
      </c>
      <c r="D243" s="37">
        <v>-9087.2446300000011</v>
      </c>
      <c r="E243" s="37">
        <v>16525758.60176</v>
      </c>
      <c r="F243" s="37">
        <v>59070.096509999996</v>
      </c>
      <c r="G243" s="37">
        <v>101695.00744</v>
      </c>
      <c r="H243" s="37">
        <v>2051.6559499999998</v>
      </c>
      <c r="I243" s="37">
        <v>19606057.800720003</v>
      </c>
      <c r="J243" s="40"/>
      <c r="K243" s="40"/>
    </row>
    <row r="244" spans="1:11" x14ac:dyDescent="0.3">
      <c r="A244" s="41">
        <v>41985</v>
      </c>
      <c r="B244" s="37">
        <v>2876446.78743</v>
      </c>
      <c r="C244" s="37">
        <v>52892.896270000005</v>
      </c>
      <c r="D244" s="37">
        <v>-9087.2446300000011</v>
      </c>
      <c r="E244" s="37">
        <v>16526027.35176</v>
      </c>
      <c r="F244" s="37">
        <v>59070.096509999996</v>
      </c>
      <c r="G244" s="37">
        <v>101695.00744</v>
      </c>
      <c r="H244" s="37">
        <v>2051.6559499999998</v>
      </c>
      <c r="I244" s="37">
        <v>19609096.550720003</v>
      </c>
      <c r="J244" s="40"/>
      <c r="K244" s="40"/>
    </row>
    <row r="245" spans="1:11" x14ac:dyDescent="0.3">
      <c r="A245" s="41">
        <v>41988</v>
      </c>
      <c r="B245" s="37">
        <v>3517441.78743</v>
      </c>
      <c r="C245" s="37">
        <v>52892.896270000005</v>
      </c>
      <c r="D245" s="37">
        <v>-9087.2446300000011</v>
      </c>
      <c r="E245" s="37">
        <v>16525784.315040002</v>
      </c>
      <c r="F245" s="37">
        <v>59070.096509999996</v>
      </c>
      <c r="G245" s="37">
        <v>101695.00744</v>
      </c>
      <c r="H245" s="37">
        <v>2051.6559499999998</v>
      </c>
      <c r="I245" s="37">
        <v>20249848.514009997</v>
      </c>
      <c r="J245" s="40"/>
      <c r="K245" s="40"/>
    </row>
    <row r="246" spans="1:11" x14ac:dyDescent="0.3">
      <c r="A246" s="41">
        <v>41989</v>
      </c>
      <c r="B246" s="37">
        <v>3523629.28743</v>
      </c>
      <c r="C246" s="37">
        <v>52892.896270000005</v>
      </c>
      <c r="D246" s="37">
        <v>-9087.2446300000011</v>
      </c>
      <c r="E246" s="37">
        <v>16526223.506589999</v>
      </c>
      <c r="F246" s="37">
        <v>59070.096509999996</v>
      </c>
      <c r="G246" s="37">
        <v>101695.00744</v>
      </c>
      <c r="H246" s="37">
        <v>2051.6559499999998</v>
      </c>
      <c r="I246" s="37">
        <v>20256475.205560002</v>
      </c>
      <c r="J246" s="40"/>
      <c r="K246" s="40"/>
    </row>
    <row r="247" spans="1:11" x14ac:dyDescent="0.3">
      <c r="A247" s="41">
        <v>41990</v>
      </c>
      <c r="B247" s="37">
        <v>3525457.41243</v>
      </c>
      <c r="C247" s="37">
        <v>52892.896270000005</v>
      </c>
      <c r="D247" s="37">
        <v>-9087.2446300000011</v>
      </c>
      <c r="E247" s="37">
        <v>16526223.506589999</v>
      </c>
      <c r="F247" s="37">
        <v>59070.096509999996</v>
      </c>
      <c r="G247" s="37">
        <v>101695.00744</v>
      </c>
      <c r="H247" s="37">
        <v>2051.6559499999998</v>
      </c>
      <c r="I247" s="37">
        <v>20258303.330560002</v>
      </c>
      <c r="J247" s="40"/>
      <c r="K247" s="40"/>
    </row>
    <row r="248" spans="1:11" x14ac:dyDescent="0.3">
      <c r="A248" s="41">
        <v>41991</v>
      </c>
      <c r="B248" s="37">
        <v>3534207.41243</v>
      </c>
      <c r="C248" s="37">
        <v>52892.896270000005</v>
      </c>
      <c r="D248" s="37">
        <v>-9087.2446300000011</v>
      </c>
      <c r="E248" s="37">
        <v>16526223.506589999</v>
      </c>
      <c r="F248" s="37">
        <v>59070.096509999996</v>
      </c>
      <c r="G248" s="37">
        <v>101695.00744</v>
      </c>
      <c r="H248" s="37">
        <v>2051.6559499999998</v>
      </c>
      <c r="I248" s="37">
        <v>20267053.330560002</v>
      </c>
      <c r="J248" s="40"/>
      <c r="K248" s="40"/>
    </row>
    <row r="249" spans="1:11" x14ac:dyDescent="0.3">
      <c r="A249" s="41">
        <v>41992</v>
      </c>
      <c r="B249" s="37">
        <v>3534271.91243</v>
      </c>
      <c r="C249" s="37">
        <v>52892.896270000005</v>
      </c>
      <c r="D249" s="37">
        <v>-9087.2446300000011</v>
      </c>
      <c r="E249" s="37">
        <v>16525704.84052</v>
      </c>
      <c r="F249" s="37">
        <v>59070.096509999996</v>
      </c>
      <c r="G249" s="37">
        <v>101695.00744</v>
      </c>
      <c r="H249" s="37">
        <v>2051.6559499999998</v>
      </c>
      <c r="I249" s="37">
        <v>20266599.164480001</v>
      </c>
      <c r="J249" s="40"/>
      <c r="K249" s="40"/>
    </row>
    <row r="250" spans="1:11" x14ac:dyDescent="0.3">
      <c r="A250" s="41">
        <v>42002</v>
      </c>
      <c r="B250" s="37">
        <v>3535096.91243</v>
      </c>
      <c r="C250" s="37">
        <v>52892.896270000005</v>
      </c>
      <c r="D250" s="37">
        <v>-9087.2446300000011</v>
      </c>
      <c r="E250" s="37">
        <v>16526080.538249999</v>
      </c>
      <c r="F250" s="37">
        <v>59070.096509999996</v>
      </c>
      <c r="G250" s="37">
        <v>101695.00744</v>
      </c>
      <c r="H250" s="37">
        <v>2051.6559499999998</v>
      </c>
      <c r="I250" s="37">
        <v>20267799.862209998</v>
      </c>
      <c r="J250" s="40"/>
      <c r="K250" s="40"/>
    </row>
    <row r="251" spans="1:11" x14ac:dyDescent="0.3">
      <c r="A251" s="41">
        <v>42004</v>
      </c>
      <c r="B251" s="37">
        <v>3552606.91243</v>
      </c>
      <c r="C251" s="37">
        <v>52892.896270000005</v>
      </c>
      <c r="D251" s="37">
        <v>-9087.2446300000011</v>
      </c>
      <c r="E251" s="37">
        <v>16527378.038249999</v>
      </c>
      <c r="F251" s="37">
        <v>59070.096509999996</v>
      </c>
      <c r="G251" s="37">
        <v>101695.00744</v>
      </c>
      <c r="H251" s="37">
        <v>2051.6559499999998</v>
      </c>
      <c r="I251" s="37">
        <v>20286607.362209998</v>
      </c>
      <c r="J251" s="40"/>
      <c r="K251" s="40"/>
    </row>
    <row r="252" spans="1:11" x14ac:dyDescent="0.3">
      <c r="A252" s="41">
        <v>42016</v>
      </c>
      <c r="B252" s="37">
        <v>3552606.91243</v>
      </c>
      <c r="C252" s="37">
        <v>52892.896270000005</v>
      </c>
      <c r="D252" s="37">
        <v>-9087.2446300000011</v>
      </c>
      <c r="E252" s="37">
        <v>16527299.51475</v>
      </c>
      <c r="F252" s="37">
        <v>59070.096509999996</v>
      </c>
      <c r="G252" s="37">
        <v>101695.00744</v>
      </c>
      <c r="H252" s="37">
        <v>2051.6559499999998</v>
      </c>
      <c r="I252" s="37">
        <v>20286528.838720001</v>
      </c>
      <c r="J252" s="40"/>
      <c r="K252" s="40"/>
    </row>
    <row r="253" spans="1:11" x14ac:dyDescent="0.3">
      <c r="A253" s="41">
        <v>42019</v>
      </c>
      <c r="B253" s="37">
        <v>3552606.91243</v>
      </c>
      <c r="C253" s="37">
        <v>52892.896270000005</v>
      </c>
      <c r="D253" s="37">
        <v>-9087.2446300000011</v>
      </c>
      <c r="E253" s="37">
        <v>16527299.51475</v>
      </c>
      <c r="F253" s="37">
        <v>147623.87826</v>
      </c>
      <c r="G253" s="37">
        <v>101695.00744</v>
      </c>
      <c r="H253" s="37">
        <v>2051.6559499999998</v>
      </c>
      <c r="I253" s="37">
        <v>20375082.620470002</v>
      </c>
      <c r="J253" s="40"/>
      <c r="K253" s="40"/>
    </row>
    <row r="254" spans="1:11" x14ac:dyDescent="0.3">
      <c r="A254" s="41">
        <v>42020</v>
      </c>
      <c r="B254" s="37">
        <v>3554586.8903600001</v>
      </c>
      <c r="C254" s="37">
        <v>52892.896270000005</v>
      </c>
      <c r="D254" s="37">
        <v>-9087.2446300000011</v>
      </c>
      <c r="E254" s="37">
        <v>16527299.51475</v>
      </c>
      <c r="F254" s="37">
        <v>147623.87826</v>
      </c>
      <c r="G254" s="37">
        <v>101695.00744</v>
      </c>
      <c r="H254" s="37">
        <v>2051.6559499999998</v>
      </c>
      <c r="I254" s="37">
        <v>20377062.5984</v>
      </c>
      <c r="J254" s="40"/>
      <c r="K254" s="40"/>
    </row>
    <row r="255" spans="1:11" x14ac:dyDescent="0.3">
      <c r="A255" s="41">
        <v>42024</v>
      </c>
      <c r="B255" s="37">
        <v>3556568.7653600001</v>
      </c>
      <c r="C255" s="37">
        <v>52892.896270000005</v>
      </c>
      <c r="D255" s="37">
        <v>-9087.2446300000011</v>
      </c>
      <c r="E255" s="37">
        <v>16527358.88975</v>
      </c>
      <c r="F255" s="37">
        <v>147623.87826</v>
      </c>
      <c r="G255" s="37">
        <v>101695.00744</v>
      </c>
      <c r="H255" s="37">
        <v>2051.6559499999998</v>
      </c>
      <c r="I255" s="37">
        <v>20379103.8484</v>
      </c>
      <c r="J255" s="40"/>
      <c r="K255" s="40"/>
    </row>
    <row r="256" spans="1:11" x14ac:dyDescent="0.3">
      <c r="A256" s="41">
        <v>42025</v>
      </c>
      <c r="B256" s="37">
        <v>3587305.1153600002</v>
      </c>
      <c r="C256" s="37">
        <v>52892.896270000005</v>
      </c>
      <c r="D256" s="37">
        <v>-9087.2446300000011</v>
      </c>
      <c r="E256" s="37">
        <v>16527358.88975</v>
      </c>
      <c r="F256" s="37">
        <v>147623.87826</v>
      </c>
      <c r="G256" s="37">
        <v>101695.00744</v>
      </c>
      <c r="H256" s="37">
        <v>2051.6559499999998</v>
      </c>
      <c r="I256" s="37">
        <v>20409840.198400002</v>
      </c>
      <c r="J256" s="40"/>
      <c r="K256" s="40"/>
    </row>
    <row r="257" spans="1:11" x14ac:dyDescent="0.3">
      <c r="A257" s="41">
        <v>42030</v>
      </c>
      <c r="B257" s="37">
        <v>3587305.1153600002</v>
      </c>
      <c r="C257" s="37">
        <v>52892.896270000005</v>
      </c>
      <c r="D257" s="37">
        <v>-9087.2446300000011</v>
      </c>
      <c r="E257" s="37">
        <v>16598452.63975</v>
      </c>
      <c r="F257" s="37">
        <v>147623.87826</v>
      </c>
      <c r="G257" s="37">
        <v>101695.00744</v>
      </c>
      <c r="H257" s="37">
        <v>2051.6559499999998</v>
      </c>
      <c r="I257" s="37">
        <v>20480933.948400002</v>
      </c>
      <c r="J257" s="40"/>
      <c r="K257" s="40"/>
    </row>
    <row r="258" spans="1:11" x14ac:dyDescent="0.3">
      <c r="A258" s="41">
        <v>42037</v>
      </c>
      <c r="B258" s="37">
        <v>3587945.7403600002</v>
      </c>
      <c r="C258" s="37">
        <v>52892.896270000005</v>
      </c>
      <c r="D258" s="37">
        <v>-9087.2446300000011</v>
      </c>
      <c r="E258" s="37">
        <v>16598472.271430001</v>
      </c>
      <c r="F258" s="37">
        <v>147623.87826</v>
      </c>
      <c r="G258" s="37">
        <v>101695.00744</v>
      </c>
      <c r="H258" s="37">
        <v>2051.6559499999998</v>
      </c>
      <c r="I258" s="37">
        <v>20481594.205080003</v>
      </c>
      <c r="J258" s="40"/>
      <c r="K258" s="40"/>
    </row>
    <row r="259" spans="1:11" x14ac:dyDescent="0.3">
      <c r="A259" s="41">
        <v>42052</v>
      </c>
      <c r="B259" s="37">
        <v>3618946.9903600002</v>
      </c>
      <c r="C259" s="37">
        <v>52892.896270000005</v>
      </c>
      <c r="D259" s="37">
        <v>-9087.2446300000011</v>
      </c>
      <c r="E259" s="37">
        <v>16600592.271430001</v>
      </c>
      <c r="F259" s="37">
        <v>147623.87826</v>
      </c>
      <c r="G259" s="37">
        <v>101695.00744</v>
      </c>
      <c r="H259" s="37">
        <v>2051.6559499999998</v>
      </c>
      <c r="I259" s="37">
        <v>20514715.455080003</v>
      </c>
      <c r="J259" s="40"/>
      <c r="K259" s="40"/>
    </row>
    <row r="260" spans="1:11" x14ac:dyDescent="0.3">
      <c r="A260" s="41">
        <v>42062</v>
      </c>
      <c r="B260" s="37">
        <v>3618996.9903600002</v>
      </c>
      <c r="C260" s="37">
        <v>52892.896270000005</v>
      </c>
      <c r="D260" s="37">
        <v>-9087.2446300000011</v>
      </c>
      <c r="E260" s="37">
        <v>16600592.271430001</v>
      </c>
      <c r="F260" s="37">
        <v>147623.87826</v>
      </c>
      <c r="G260" s="37">
        <v>101695.00744</v>
      </c>
      <c r="H260" s="37">
        <v>2051.6559499999998</v>
      </c>
      <c r="I260" s="37">
        <v>20514765.455080003</v>
      </c>
      <c r="J260" s="40"/>
      <c r="K260" s="40"/>
    </row>
    <row r="261" spans="1:11" x14ac:dyDescent="0.3">
      <c r="A261" s="41">
        <v>42065</v>
      </c>
      <c r="B261" s="37">
        <v>3618996.9903600002</v>
      </c>
      <c r="C261" s="37">
        <v>52892.896270000005</v>
      </c>
      <c r="D261" s="37">
        <v>-9087.2446300000011</v>
      </c>
      <c r="E261" s="37">
        <v>16600592.271430001</v>
      </c>
      <c r="F261" s="37">
        <v>147623.878</v>
      </c>
      <c r="G261" s="37">
        <v>101695.00744</v>
      </c>
      <c r="H261" s="37">
        <v>2051.6559499999998</v>
      </c>
      <c r="I261" s="37">
        <v>20514765.455080003</v>
      </c>
      <c r="J261" s="40"/>
      <c r="K261" s="40"/>
    </row>
    <row r="262" spans="1:11" x14ac:dyDescent="0.3">
      <c r="A262" s="41">
        <v>42079</v>
      </c>
      <c r="B262" s="37">
        <v>3860568.8653600002</v>
      </c>
      <c r="C262" s="37">
        <v>52892.896270000005</v>
      </c>
      <c r="D262" s="37">
        <v>-9087.2446300000011</v>
      </c>
      <c r="E262" s="37">
        <v>16600635.873989999</v>
      </c>
      <c r="F262" s="37">
        <v>147623.878</v>
      </c>
      <c r="G262" s="37">
        <v>101695.00744</v>
      </c>
      <c r="H262" s="37">
        <v>2051.6559499999998</v>
      </c>
      <c r="I262" s="37">
        <v>20756380.93265</v>
      </c>
      <c r="J262" s="40"/>
      <c r="K262" s="40"/>
    </row>
    <row r="263" spans="1:11" x14ac:dyDescent="0.3">
      <c r="A263" s="41">
        <v>42082</v>
      </c>
      <c r="B263" s="37">
        <v>3860641.3653600002</v>
      </c>
      <c r="C263" s="37">
        <v>52892.896270000005</v>
      </c>
      <c r="D263" s="37">
        <v>-9087.2446300000011</v>
      </c>
      <c r="E263" s="37">
        <v>16600716.1843</v>
      </c>
      <c r="F263" s="37">
        <v>147623.878</v>
      </c>
      <c r="G263" s="37">
        <v>101695.00744</v>
      </c>
      <c r="H263" s="37">
        <v>2051.6559499999998</v>
      </c>
      <c r="I263" s="37">
        <v>20756533.74295</v>
      </c>
      <c r="J263" s="40"/>
      <c r="K263" s="40"/>
    </row>
    <row r="264" spans="1:11" x14ac:dyDescent="0.3">
      <c r="A264" s="41">
        <v>42083</v>
      </c>
      <c r="B264" s="37">
        <v>3868910.1153600002</v>
      </c>
      <c r="C264" s="37">
        <v>52892.896270000005</v>
      </c>
      <c r="D264" s="37">
        <v>-9087.2446300000011</v>
      </c>
      <c r="E264" s="37">
        <v>16600716.1843</v>
      </c>
      <c r="F264" s="37">
        <v>147623.878</v>
      </c>
      <c r="G264" s="37">
        <v>101695.00744</v>
      </c>
      <c r="H264" s="37">
        <v>2051.6559499999998</v>
      </c>
      <c r="I264" s="37">
        <v>20764802.49295</v>
      </c>
      <c r="J264" s="40"/>
      <c r="K264" s="40"/>
    </row>
    <row r="265" spans="1:11" x14ac:dyDescent="0.3">
      <c r="A265" s="41">
        <v>42088</v>
      </c>
      <c r="B265" s="37">
        <v>3868910.1153600002</v>
      </c>
      <c r="C265" s="37">
        <v>52892.896270000005</v>
      </c>
      <c r="D265" s="37">
        <v>-9087.2446300000011</v>
      </c>
      <c r="E265" s="37">
        <v>16651591.1843</v>
      </c>
      <c r="F265" s="37">
        <v>147623.878</v>
      </c>
      <c r="G265" s="37">
        <v>101695.00744</v>
      </c>
      <c r="H265" s="37">
        <v>2051.6559499999998</v>
      </c>
      <c r="I265" s="37">
        <v>20815677.49295</v>
      </c>
      <c r="J265" s="40"/>
      <c r="K265" s="40"/>
    </row>
    <row r="266" spans="1:11" x14ac:dyDescent="0.3">
      <c r="A266" s="41">
        <v>42093</v>
      </c>
      <c r="B266" s="37">
        <v>3868997.6153600002</v>
      </c>
      <c r="C266" s="37">
        <v>52892.896270000005</v>
      </c>
      <c r="D266" s="37">
        <v>-9087.2446300000011</v>
      </c>
      <c r="E266" s="37">
        <v>16650847.689690001</v>
      </c>
      <c r="F266" s="37">
        <v>147623.878</v>
      </c>
      <c r="G266" s="37">
        <v>101695.00744</v>
      </c>
      <c r="H266" s="37">
        <v>2051.6559499999998</v>
      </c>
      <c r="I266" s="37">
        <v>20815021.498339999</v>
      </c>
      <c r="J266" s="40"/>
      <c r="K266" s="40"/>
    </row>
    <row r="267" spans="1:11" x14ac:dyDescent="0.3">
      <c r="A267" s="41">
        <v>42094</v>
      </c>
      <c r="B267" s="37">
        <v>3868997.6153600002</v>
      </c>
      <c r="C267" s="37">
        <v>52892.896270000005</v>
      </c>
      <c r="D267" s="37">
        <v>-9087.2446300000011</v>
      </c>
      <c r="E267" s="37">
        <v>16651012.689690001</v>
      </c>
      <c r="F267" s="37">
        <v>147623.878</v>
      </c>
      <c r="G267" s="37">
        <v>101695.00744</v>
      </c>
      <c r="H267" s="37">
        <v>2051.6559499999998</v>
      </c>
      <c r="I267" s="37">
        <v>20815186.498339999</v>
      </c>
      <c r="J267" s="40"/>
      <c r="K267" s="40"/>
    </row>
    <row r="268" spans="1:11" x14ac:dyDescent="0.3">
      <c r="A268" s="41">
        <v>42100</v>
      </c>
      <c r="B268" s="37">
        <v>3868997.6153600002</v>
      </c>
      <c r="C268" s="37">
        <v>52892.896270000005</v>
      </c>
      <c r="D268" s="37">
        <v>-9087.2446300000011</v>
      </c>
      <c r="E268" s="37">
        <v>16651511.439690001</v>
      </c>
      <c r="F268" s="37">
        <v>147623.878</v>
      </c>
      <c r="G268" s="37">
        <v>101695.00744</v>
      </c>
      <c r="H268" s="37">
        <v>2051.6559499999998</v>
      </c>
      <c r="I268" s="37">
        <v>20815685.248339999</v>
      </c>
      <c r="J268" s="40"/>
      <c r="K268" s="40"/>
    </row>
    <row r="269" spans="1:11" x14ac:dyDescent="0.3">
      <c r="A269" s="41">
        <v>42104</v>
      </c>
      <c r="B269" s="37">
        <v>3873997.6153600002</v>
      </c>
      <c r="C269" s="37">
        <v>52892.896270000005</v>
      </c>
      <c r="D269" s="37">
        <v>-9087.2446300000011</v>
      </c>
      <c r="E269" s="37">
        <v>16651511.439690001</v>
      </c>
      <c r="F269" s="37">
        <v>147623.878</v>
      </c>
      <c r="G269" s="37">
        <v>101695.00744</v>
      </c>
      <c r="H269" s="37">
        <v>2051.6559499999998</v>
      </c>
      <c r="I269" s="37">
        <v>20820685.248339999</v>
      </c>
      <c r="J269" s="40"/>
      <c r="K269" s="40"/>
    </row>
    <row r="270" spans="1:11" x14ac:dyDescent="0.3">
      <c r="A270" s="41">
        <v>42107</v>
      </c>
      <c r="B270" s="37">
        <v>3873997.6153600002</v>
      </c>
      <c r="C270" s="37">
        <v>52892.896270000005</v>
      </c>
      <c r="D270" s="37">
        <v>-9087.2446300000011</v>
      </c>
      <c r="E270" s="37">
        <v>16651619.056950001</v>
      </c>
      <c r="F270" s="37">
        <v>147623.878</v>
      </c>
      <c r="G270" s="37">
        <v>101695.00744</v>
      </c>
      <c r="H270" s="37">
        <v>2051.6559499999998</v>
      </c>
      <c r="I270" s="37">
        <v>20820792.865599997</v>
      </c>
      <c r="J270" s="40"/>
      <c r="K270" s="40"/>
    </row>
    <row r="271" spans="1:11" x14ac:dyDescent="0.3">
      <c r="A271" s="41">
        <v>42109</v>
      </c>
      <c r="B271" s="37">
        <v>3873997.6153600002</v>
      </c>
      <c r="C271" s="37">
        <v>52892.896270000005</v>
      </c>
      <c r="D271" s="37">
        <v>-9087.2446300000011</v>
      </c>
      <c r="E271" s="37">
        <v>16677619.056950001</v>
      </c>
      <c r="F271" s="37">
        <v>283991.49998999998</v>
      </c>
      <c r="G271" s="37">
        <v>101695.00744</v>
      </c>
      <c r="H271" s="37">
        <v>2051.6559499999998</v>
      </c>
      <c r="I271" s="37">
        <v>20983160.487319998</v>
      </c>
      <c r="J271" s="40"/>
      <c r="K271" s="40"/>
    </row>
    <row r="272" spans="1:11" x14ac:dyDescent="0.3">
      <c r="A272" s="41">
        <v>42110</v>
      </c>
      <c r="B272" s="37">
        <v>3874010.1153600002</v>
      </c>
      <c r="C272" s="37">
        <v>52892.896270000005</v>
      </c>
      <c r="D272" s="37">
        <v>-9087.2446300000011</v>
      </c>
      <c r="E272" s="37">
        <v>16677619.056950001</v>
      </c>
      <c r="F272" s="37">
        <v>283991.49998999998</v>
      </c>
      <c r="G272" s="37">
        <v>101695.00744</v>
      </c>
      <c r="H272" s="37">
        <v>2051.6559499999998</v>
      </c>
      <c r="I272" s="37">
        <v>20983172.987319998</v>
      </c>
      <c r="J272" s="40"/>
      <c r="K272" s="40"/>
    </row>
    <row r="273" spans="1:11" x14ac:dyDescent="0.3">
      <c r="A273" s="41">
        <v>42121</v>
      </c>
      <c r="B273" s="37">
        <v>3874140.1153600002</v>
      </c>
      <c r="C273" s="37">
        <v>52892.896270000005</v>
      </c>
      <c r="D273" s="37">
        <v>-9087.2446300000011</v>
      </c>
      <c r="E273" s="37">
        <v>16748319.056950001</v>
      </c>
      <c r="F273" s="37">
        <v>283991.49998999998</v>
      </c>
      <c r="G273" s="37">
        <v>101695.00744</v>
      </c>
      <c r="H273" s="37">
        <v>2051.6559499999998</v>
      </c>
      <c r="I273" s="37">
        <v>21054002.987319998</v>
      </c>
      <c r="J273" s="40"/>
      <c r="K273" s="40"/>
    </row>
    <row r="274" spans="1:11" x14ac:dyDescent="0.3">
      <c r="A274" s="41">
        <v>42124</v>
      </c>
      <c r="B274" s="37">
        <v>3874140.1153600002</v>
      </c>
      <c r="C274" s="37">
        <v>52892.896270000005</v>
      </c>
      <c r="D274" s="37">
        <v>-9087.2446300000011</v>
      </c>
      <c r="E274" s="37">
        <v>16748319.056950001</v>
      </c>
      <c r="F274" s="37">
        <v>283991.49998999998</v>
      </c>
      <c r="G274" s="37">
        <v>101695.00744</v>
      </c>
      <c r="H274" s="37">
        <v>2051.6559499999998</v>
      </c>
      <c r="I274" s="37">
        <v>21054002.987319998</v>
      </c>
      <c r="J274" s="40"/>
      <c r="K274" s="40"/>
    </row>
    <row r="275" spans="1:11" x14ac:dyDescent="0.3">
      <c r="A275" s="41">
        <v>42129</v>
      </c>
      <c r="B275" s="37">
        <v>3874140.1153600002</v>
      </c>
      <c r="C275" s="37">
        <v>52892.896270000005</v>
      </c>
      <c r="D275" s="37">
        <v>-9087.2446300000011</v>
      </c>
      <c r="E275" s="37">
        <v>16763435.800379999</v>
      </c>
      <c r="F275" s="37">
        <v>283991.49998999998</v>
      </c>
      <c r="G275" s="37">
        <v>101695.00744</v>
      </c>
      <c r="H275" s="37">
        <v>2051.6559499999998</v>
      </c>
      <c r="I275" s="37">
        <v>21069119.730759997</v>
      </c>
      <c r="J275" s="40"/>
      <c r="K275" s="40"/>
    </row>
    <row r="276" spans="1:11" x14ac:dyDescent="0.3">
      <c r="A276" s="41">
        <v>42139</v>
      </c>
      <c r="B276" s="37">
        <v>4120832.6153600002</v>
      </c>
      <c r="C276" s="37">
        <v>52892.896270000005</v>
      </c>
      <c r="D276" s="37">
        <v>-9087.2446300000011</v>
      </c>
      <c r="E276" s="37">
        <v>16765780.800379999</v>
      </c>
      <c r="F276" s="37">
        <v>283991.49998999998</v>
      </c>
      <c r="G276" s="37">
        <v>101695.00744</v>
      </c>
      <c r="H276" s="37">
        <v>2051.6559499999998</v>
      </c>
      <c r="I276" s="37">
        <v>21318157.230759997</v>
      </c>
      <c r="J276" s="40"/>
      <c r="K276" s="40"/>
    </row>
    <row r="277" spans="1:11" x14ac:dyDescent="0.3">
      <c r="A277" s="41">
        <v>42142</v>
      </c>
      <c r="B277" s="37">
        <v>4120967.6153600002</v>
      </c>
      <c r="C277" s="37">
        <v>52892.896270000005</v>
      </c>
      <c r="D277" s="37">
        <v>-9087.2446300000011</v>
      </c>
      <c r="E277" s="37">
        <v>16765780.800379999</v>
      </c>
      <c r="F277" s="37">
        <v>283991.49998999998</v>
      </c>
      <c r="G277" s="37">
        <v>101695.00744</v>
      </c>
      <c r="H277" s="37">
        <v>2051.6559499999998</v>
      </c>
      <c r="I277" s="37">
        <v>21318292.230759997</v>
      </c>
      <c r="J277" s="40"/>
      <c r="K277" s="40"/>
    </row>
    <row r="278" spans="1:11" x14ac:dyDescent="0.3">
      <c r="A278" s="41">
        <v>42156</v>
      </c>
      <c r="B278" s="37">
        <v>4120967.6153600002</v>
      </c>
      <c r="C278" s="37">
        <v>52892.896270000005</v>
      </c>
      <c r="D278" s="37">
        <v>-9087.2446300000011</v>
      </c>
      <c r="E278" s="37">
        <v>16767271.425379999</v>
      </c>
      <c r="F278" s="37">
        <v>283991.49998999998</v>
      </c>
      <c r="G278" s="37">
        <v>101695.00744</v>
      </c>
      <c r="H278" s="37">
        <v>2051.6559499999998</v>
      </c>
      <c r="I278" s="37">
        <v>21319782.855759997</v>
      </c>
      <c r="J278" s="40"/>
      <c r="K278" s="40"/>
    </row>
    <row r="279" spans="1:11" x14ac:dyDescent="0.3">
      <c r="A279" s="41">
        <v>42167</v>
      </c>
      <c r="B279" s="37">
        <v>4123737.6153600002</v>
      </c>
      <c r="C279" s="37">
        <v>52892.896270000005</v>
      </c>
      <c r="D279" s="37">
        <v>-9087.2446300000011</v>
      </c>
      <c r="E279" s="37">
        <v>16767540.175379999</v>
      </c>
      <c r="F279" s="37">
        <v>283991.49998999998</v>
      </c>
      <c r="G279" s="37">
        <v>101695.00744</v>
      </c>
      <c r="H279" s="37">
        <v>2051.6559499999998</v>
      </c>
      <c r="I279" s="37">
        <v>21322821.605759997</v>
      </c>
      <c r="J279" s="40"/>
      <c r="K279" s="40"/>
    </row>
    <row r="280" spans="1:11" x14ac:dyDescent="0.3">
      <c r="A280" s="41">
        <v>42170</v>
      </c>
      <c r="B280" s="37">
        <v>4123737.6153600002</v>
      </c>
      <c r="C280" s="37">
        <v>52892.896270000005</v>
      </c>
      <c r="D280" s="37">
        <v>-9087.2446300000011</v>
      </c>
      <c r="E280" s="37">
        <v>16767308.326090001</v>
      </c>
      <c r="F280" s="37">
        <v>283991.49998999998</v>
      </c>
      <c r="G280" s="37">
        <v>101695.00744</v>
      </c>
      <c r="H280" s="37">
        <v>2051.6559499999998</v>
      </c>
      <c r="I280" s="37">
        <v>21322589.756470002</v>
      </c>
      <c r="J280" s="40"/>
      <c r="K280" s="40"/>
    </row>
    <row r="281" spans="1:11" x14ac:dyDescent="0.3">
      <c r="A281" s="41">
        <v>42171</v>
      </c>
      <c r="B281" s="37">
        <v>4123737.6153600002</v>
      </c>
      <c r="C281" s="37">
        <v>52892.896270000005</v>
      </c>
      <c r="D281" s="37">
        <v>-9087.2446300000011</v>
      </c>
      <c r="E281" s="37">
        <v>16767760.43816</v>
      </c>
      <c r="F281" s="37">
        <v>283991.49998999998</v>
      </c>
      <c r="G281" s="37">
        <v>101695.00744</v>
      </c>
      <c r="H281" s="37">
        <v>2051.6559499999998</v>
      </c>
      <c r="I281" s="37">
        <v>21323041.86854</v>
      </c>
      <c r="J281" s="40"/>
      <c r="K281" s="40"/>
    </row>
    <row r="282" spans="1:11" x14ac:dyDescent="0.3">
      <c r="A282" s="41">
        <v>42172</v>
      </c>
      <c r="B282" s="37">
        <v>4125565.7403600002</v>
      </c>
      <c r="C282" s="37">
        <v>52892.896270000005</v>
      </c>
      <c r="D282" s="37">
        <v>-9087.2446300000011</v>
      </c>
      <c r="E282" s="37">
        <v>16767760.43816</v>
      </c>
      <c r="F282" s="37">
        <v>283991.49998999998</v>
      </c>
      <c r="G282" s="37">
        <v>101695.00744</v>
      </c>
      <c r="H282" s="37">
        <v>2051.6559499999998</v>
      </c>
      <c r="I282" s="37">
        <v>21324869.99354</v>
      </c>
      <c r="J282" s="40"/>
      <c r="K282" s="40"/>
    </row>
    <row r="283" spans="1:11" x14ac:dyDescent="0.3">
      <c r="A283" s="41">
        <v>42174</v>
      </c>
      <c r="B283" s="37">
        <v>4128442.7403600002</v>
      </c>
      <c r="C283" s="37">
        <v>52892.896270000005</v>
      </c>
      <c r="D283" s="37">
        <v>-9087.2446300000011</v>
      </c>
      <c r="E283" s="37">
        <v>16767261.95541</v>
      </c>
      <c r="F283" s="37">
        <v>283991.49998999998</v>
      </c>
      <c r="G283" s="37">
        <v>101695.00744</v>
      </c>
      <c r="H283" s="37">
        <v>2051.6559499999998</v>
      </c>
      <c r="I283" s="37">
        <v>21327248.510790002</v>
      </c>
      <c r="J283" s="40"/>
      <c r="K283" s="40"/>
    </row>
    <row r="284" spans="1:11" x14ac:dyDescent="0.3">
      <c r="A284" s="41">
        <v>42184</v>
      </c>
      <c r="B284" s="37">
        <v>4141805.2403600002</v>
      </c>
      <c r="C284" s="37">
        <v>52892.896270000005</v>
      </c>
      <c r="D284" s="37">
        <v>-9087.2446300000011</v>
      </c>
      <c r="E284" s="37">
        <v>16767736.803540001</v>
      </c>
      <c r="F284" s="37">
        <v>283991.49998999998</v>
      </c>
      <c r="G284" s="37">
        <v>101695.00744</v>
      </c>
      <c r="H284" s="37">
        <v>2051.6559499999998</v>
      </c>
      <c r="I284" s="37">
        <v>21341085.858919997</v>
      </c>
      <c r="J284" s="40"/>
      <c r="K284" s="40"/>
    </row>
    <row r="285" spans="1:11" x14ac:dyDescent="0.3">
      <c r="A285" s="41">
        <v>42185</v>
      </c>
      <c r="B285" s="37">
        <v>4141805.2403600002</v>
      </c>
      <c r="C285" s="37">
        <v>52892.896270000005</v>
      </c>
      <c r="D285" s="37">
        <v>-9087.2446300000011</v>
      </c>
      <c r="E285" s="37">
        <v>16769034.303540001</v>
      </c>
      <c r="F285" s="37">
        <v>283991.49998999998</v>
      </c>
      <c r="G285" s="37">
        <v>101695.00744</v>
      </c>
      <c r="H285" s="37">
        <v>2051.6559499999998</v>
      </c>
      <c r="I285" s="37">
        <v>21342383.358919997</v>
      </c>
      <c r="J285" s="40"/>
      <c r="K285" s="40"/>
    </row>
    <row r="286" spans="1:11" x14ac:dyDescent="0.3">
      <c r="A286" s="41">
        <v>42186</v>
      </c>
      <c r="B286" s="37">
        <v>4141805.2403600002</v>
      </c>
      <c r="C286" s="37">
        <v>52892.896270000005</v>
      </c>
      <c r="D286" s="37">
        <v>-9087.2446300000011</v>
      </c>
      <c r="E286" s="37">
        <v>16796776.803540003</v>
      </c>
      <c r="F286" s="37">
        <v>283991.49998999998</v>
      </c>
      <c r="G286" s="37">
        <v>101695.00744</v>
      </c>
      <c r="H286" s="37">
        <v>2051.6559499999998</v>
      </c>
      <c r="I286" s="37">
        <v>21370125.858919997</v>
      </c>
      <c r="J286" s="40"/>
      <c r="K286" s="40"/>
    </row>
    <row r="287" spans="1:11" x14ac:dyDescent="0.3">
      <c r="A287" s="41">
        <v>42198</v>
      </c>
      <c r="B287" s="37">
        <v>4141805.2403600002</v>
      </c>
      <c r="C287" s="37">
        <v>52892.896270000005</v>
      </c>
      <c r="D287" s="37">
        <v>-9087.2446300000011</v>
      </c>
      <c r="E287" s="37">
        <v>16796724.554880001</v>
      </c>
      <c r="F287" s="37">
        <v>283991.49998999998</v>
      </c>
      <c r="G287" s="37">
        <v>101695.00744</v>
      </c>
      <c r="H287" s="37">
        <v>2051.6559499999998</v>
      </c>
      <c r="I287" s="37">
        <v>21370073.61025</v>
      </c>
      <c r="J287" s="40"/>
      <c r="K287" s="40"/>
    </row>
    <row r="288" spans="1:11" x14ac:dyDescent="0.3">
      <c r="A288" s="41">
        <v>42200</v>
      </c>
      <c r="B288" s="37">
        <v>4141805.2403600002</v>
      </c>
      <c r="C288" s="37">
        <v>52892.896270000005</v>
      </c>
      <c r="D288" s="37">
        <v>-9087.2446300000011</v>
      </c>
      <c r="E288" s="37">
        <v>16796724.554880001</v>
      </c>
      <c r="F288" s="37">
        <v>286296.57891000004</v>
      </c>
      <c r="G288" s="37">
        <v>101695.00744</v>
      </c>
      <c r="H288" s="37">
        <v>2051.6559499999998</v>
      </c>
      <c r="I288" s="37">
        <v>21372378.689169999</v>
      </c>
      <c r="J288" s="40"/>
      <c r="K288" s="40"/>
    </row>
    <row r="289" spans="1:11" x14ac:dyDescent="0.3">
      <c r="A289" s="41">
        <v>42201</v>
      </c>
      <c r="B289" s="37">
        <v>4143785.2182899998</v>
      </c>
      <c r="C289" s="37">
        <v>52892.896270000005</v>
      </c>
      <c r="D289" s="37">
        <v>-9087.2446300000011</v>
      </c>
      <c r="E289" s="37">
        <v>16796724.554880001</v>
      </c>
      <c r="F289" s="37">
        <v>286296.57891000004</v>
      </c>
      <c r="G289" s="37">
        <v>101695.00744</v>
      </c>
      <c r="H289" s="37">
        <v>2051.6559499999998</v>
      </c>
      <c r="I289" s="37">
        <v>21374358.667099997</v>
      </c>
      <c r="J289" s="40"/>
      <c r="K289" s="40"/>
    </row>
    <row r="290" spans="1:11" x14ac:dyDescent="0.3">
      <c r="A290" s="41">
        <v>42202</v>
      </c>
      <c r="B290" s="37">
        <v>4144394.5932899998</v>
      </c>
      <c r="C290" s="37">
        <v>52892.896270000005</v>
      </c>
      <c r="D290" s="37">
        <v>-9087.2446300000011</v>
      </c>
      <c r="E290" s="37">
        <v>16796724.554880001</v>
      </c>
      <c r="F290" s="37">
        <v>286296.57891000004</v>
      </c>
      <c r="G290" s="37">
        <v>101695.00744</v>
      </c>
      <c r="H290" s="37">
        <v>2051.6559499999998</v>
      </c>
      <c r="I290" s="37">
        <v>21374968.042099997</v>
      </c>
      <c r="J290" s="40"/>
      <c r="K290" s="40"/>
    </row>
    <row r="291" spans="1:11" x14ac:dyDescent="0.3">
      <c r="A291" s="41">
        <v>42205</v>
      </c>
      <c r="B291" s="37">
        <v>4145767.0932899998</v>
      </c>
      <c r="C291" s="37">
        <v>52892.896270000005</v>
      </c>
      <c r="D291" s="37">
        <v>-9087.2446300000011</v>
      </c>
      <c r="E291" s="37">
        <v>16796783.929880001</v>
      </c>
      <c r="F291" s="37">
        <v>286296.57891000004</v>
      </c>
      <c r="G291" s="37">
        <v>101695.00744</v>
      </c>
      <c r="H291" s="37">
        <v>2051.6559499999998</v>
      </c>
      <c r="I291" s="37">
        <v>21376399.917099997</v>
      </c>
      <c r="J291" s="40"/>
      <c r="K291" s="40"/>
    </row>
    <row r="292" spans="1:11" x14ac:dyDescent="0.3">
      <c r="A292" s="41">
        <v>42219</v>
      </c>
      <c r="B292" s="37">
        <v>4146407.7182899998</v>
      </c>
      <c r="C292" s="37">
        <v>52892.896270000005</v>
      </c>
      <c r="D292" s="37">
        <v>-9087.2446300000011</v>
      </c>
      <c r="E292" s="37">
        <v>16796808.450290002</v>
      </c>
      <c r="F292" s="37">
        <v>286296.57891000004</v>
      </c>
      <c r="G292" s="37">
        <v>101695.00744</v>
      </c>
      <c r="H292" s="37">
        <v>2051.6559499999998</v>
      </c>
      <c r="I292" s="37">
        <v>21377065.062509999</v>
      </c>
      <c r="J292" s="40"/>
      <c r="K292" s="40"/>
    </row>
    <row r="293" spans="1:11" x14ac:dyDescent="0.3">
      <c r="A293" s="41">
        <v>42233</v>
      </c>
      <c r="B293" s="37">
        <v>4288658.9682900002</v>
      </c>
      <c r="C293" s="37">
        <v>52892.896270000005</v>
      </c>
      <c r="D293" s="37">
        <v>-9087.2446300000011</v>
      </c>
      <c r="E293" s="37">
        <v>16798928.450290002</v>
      </c>
      <c r="F293" s="37">
        <v>286296.57891000004</v>
      </c>
      <c r="G293" s="37">
        <v>101695.00744</v>
      </c>
      <c r="H293" s="37">
        <v>2051.6559499999998</v>
      </c>
      <c r="I293" s="37">
        <v>21521436.312509999</v>
      </c>
      <c r="J293" s="40"/>
      <c r="K293" s="40"/>
    </row>
    <row r="294" spans="1:11" x14ac:dyDescent="0.3">
      <c r="A294" s="41">
        <v>42243</v>
      </c>
      <c r="B294" s="37">
        <v>4288708.9682900002</v>
      </c>
      <c r="C294" s="37">
        <v>52892.896270000005</v>
      </c>
      <c r="D294" s="37">
        <v>-9087.2446300000011</v>
      </c>
      <c r="E294" s="37">
        <v>16798928.450290002</v>
      </c>
      <c r="F294" s="37">
        <v>286296.57891000004</v>
      </c>
      <c r="G294" s="37">
        <v>101695.00744</v>
      </c>
      <c r="H294" s="37">
        <v>2051.6559499999998</v>
      </c>
      <c r="I294" s="37">
        <v>21521486.312509999</v>
      </c>
      <c r="J294" s="40"/>
      <c r="K294" s="40"/>
    </row>
    <row r="295" spans="1:11" x14ac:dyDescent="0.3">
      <c r="A295" s="41">
        <v>42247</v>
      </c>
      <c r="B295" s="37">
        <v>4288708.9682900002</v>
      </c>
      <c r="C295" s="37">
        <v>52892.896270000005</v>
      </c>
      <c r="D295" s="37">
        <v>-9087.2446300000011</v>
      </c>
      <c r="E295" s="37">
        <v>16798928.450290002</v>
      </c>
      <c r="F295" s="37">
        <v>286296.57900000003</v>
      </c>
      <c r="G295" s="37">
        <v>101695.00744</v>
      </c>
      <c r="H295" s="37">
        <v>2051.6559499999998</v>
      </c>
      <c r="I295" s="37">
        <v>21521486.312509999</v>
      </c>
      <c r="J295" s="40"/>
      <c r="K295" s="40"/>
    </row>
    <row r="296" spans="1:11" x14ac:dyDescent="0.3">
      <c r="A296" s="41">
        <v>42262</v>
      </c>
      <c r="B296" s="37">
        <v>4300640.2182900002</v>
      </c>
      <c r="C296" s="37">
        <v>52892.896270000005</v>
      </c>
      <c r="D296" s="37">
        <v>-9087.2446300000011</v>
      </c>
      <c r="E296" s="37">
        <v>16798996.98367</v>
      </c>
      <c r="F296" s="37">
        <v>286296.57900000003</v>
      </c>
      <c r="G296" s="37">
        <v>101695.00744</v>
      </c>
      <c r="H296" s="37">
        <v>2051.6559499999998</v>
      </c>
      <c r="I296" s="37">
        <v>21533486.09589</v>
      </c>
      <c r="J296" s="40"/>
      <c r="K296" s="40"/>
    </row>
    <row r="297" spans="1:11" x14ac:dyDescent="0.3">
      <c r="A297" s="41">
        <v>42263</v>
      </c>
      <c r="B297" s="37">
        <v>4300640.2182900002</v>
      </c>
      <c r="C297" s="37">
        <v>52892.896270000005</v>
      </c>
      <c r="D297" s="37">
        <v>-9087.2446300000011</v>
      </c>
      <c r="E297" s="37">
        <v>16814001.396590002</v>
      </c>
      <c r="F297" s="37">
        <v>286296.57900000003</v>
      </c>
      <c r="G297" s="37">
        <v>101695.00744</v>
      </c>
      <c r="H297" s="37">
        <v>2051.6559499999998</v>
      </c>
      <c r="I297" s="37">
        <v>21548490.508820001</v>
      </c>
      <c r="J297" s="40"/>
      <c r="K297" s="40"/>
    </row>
    <row r="298" spans="1:11" x14ac:dyDescent="0.3">
      <c r="A298" s="41">
        <v>42268</v>
      </c>
      <c r="B298" s="37">
        <v>4308981.4682900002</v>
      </c>
      <c r="C298" s="37">
        <v>52892.896270000005</v>
      </c>
      <c r="D298" s="37">
        <v>-9087.2446300000011</v>
      </c>
      <c r="E298" s="37">
        <v>16814107.022239998</v>
      </c>
      <c r="F298" s="37">
        <v>286296.57900000003</v>
      </c>
      <c r="G298" s="37">
        <v>101695.00744</v>
      </c>
      <c r="H298" s="37">
        <v>2051.6559499999998</v>
      </c>
      <c r="I298" s="37">
        <v>21556937.384470001</v>
      </c>
      <c r="J298" s="40"/>
      <c r="K298" s="40"/>
    </row>
    <row r="299" spans="1:11" x14ac:dyDescent="0.3">
      <c r="A299" s="41">
        <v>42275</v>
      </c>
      <c r="B299" s="37">
        <v>4309068.9682900002</v>
      </c>
      <c r="C299" s="37">
        <v>52892.896270000005</v>
      </c>
      <c r="D299" s="37">
        <v>-9087.2446300000011</v>
      </c>
      <c r="E299" s="37">
        <v>16813490.773630001</v>
      </c>
      <c r="F299" s="37">
        <v>286296.57900000003</v>
      </c>
      <c r="G299" s="37">
        <v>101695.00744</v>
      </c>
      <c r="H299" s="37">
        <v>2051.6559499999998</v>
      </c>
      <c r="I299" s="37">
        <v>21556408.635849997</v>
      </c>
      <c r="J299" s="40"/>
      <c r="K299" s="40"/>
    </row>
    <row r="300" spans="1:11" x14ac:dyDescent="0.3">
      <c r="A300" s="41">
        <v>42277</v>
      </c>
      <c r="B300" s="37">
        <v>4309068.9682900002</v>
      </c>
      <c r="C300" s="37">
        <v>52892.896270000005</v>
      </c>
      <c r="D300" s="37">
        <v>-9087.2446300000011</v>
      </c>
      <c r="E300" s="37">
        <v>16813655.773630001</v>
      </c>
      <c r="F300" s="37">
        <v>286296.57900000003</v>
      </c>
      <c r="G300" s="37">
        <v>101695.00744</v>
      </c>
      <c r="H300" s="37">
        <v>2051.6559499999998</v>
      </c>
      <c r="I300" s="37">
        <v>21556573.635849997</v>
      </c>
      <c r="J300" s="40"/>
      <c r="K300" s="40"/>
    </row>
    <row r="301" spans="1:11" x14ac:dyDescent="0.3">
      <c r="A301" s="41">
        <v>42282</v>
      </c>
      <c r="B301" s="37">
        <v>4318465.1945399996</v>
      </c>
      <c r="C301" s="37">
        <v>52892.896270000005</v>
      </c>
      <c r="D301" s="37">
        <v>-9087.2446300000011</v>
      </c>
      <c r="E301" s="37">
        <v>16813655.773630001</v>
      </c>
      <c r="F301" s="37">
        <v>286296.57900000003</v>
      </c>
      <c r="G301" s="37">
        <v>101695.00744</v>
      </c>
      <c r="H301" s="37">
        <v>2051.6559499999998</v>
      </c>
      <c r="I301" s="37">
        <v>21565969.862099998</v>
      </c>
      <c r="J301" s="40"/>
      <c r="K301" s="40"/>
    </row>
    <row r="302" spans="1:11" x14ac:dyDescent="0.3">
      <c r="A302" s="41">
        <v>42283</v>
      </c>
      <c r="B302" s="37">
        <v>4318465.1945399996</v>
      </c>
      <c r="C302" s="37">
        <v>52892.896270000005</v>
      </c>
      <c r="D302" s="37">
        <v>-9087.2446300000011</v>
      </c>
      <c r="E302" s="37">
        <v>16871154.523630001</v>
      </c>
      <c r="F302" s="37">
        <v>286296.57900000003</v>
      </c>
      <c r="G302" s="37">
        <v>101695.00744</v>
      </c>
      <c r="H302" s="37">
        <v>2051.6559499999998</v>
      </c>
      <c r="I302" s="37">
        <v>21623468.612099998</v>
      </c>
      <c r="J302" s="40"/>
      <c r="K302" s="40"/>
    </row>
    <row r="303" spans="1:11" x14ac:dyDescent="0.3">
      <c r="A303" s="41">
        <v>42290</v>
      </c>
      <c r="B303" s="37">
        <v>4318465.1945399996</v>
      </c>
      <c r="C303" s="37">
        <v>52892.896270000005</v>
      </c>
      <c r="D303" s="37">
        <v>-9087.2446300000011</v>
      </c>
      <c r="E303" s="37">
        <v>16871290.520709999</v>
      </c>
      <c r="F303" s="37">
        <v>286296.57900000003</v>
      </c>
      <c r="G303" s="37">
        <v>101695.00744</v>
      </c>
      <c r="H303" s="37">
        <v>2051.6559499999998</v>
      </c>
      <c r="I303" s="37">
        <v>21623604.60918</v>
      </c>
      <c r="J303" s="40"/>
      <c r="K303" s="40"/>
    </row>
    <row r="304" spans="1:11" x14ac:dyDescent="0.3">
      <c r="A304" s="41">
        <v>42292</v>
      </c>
      <c r="B304" s="37">
        <v>4318465.1945399996</v>
      </c>
      <c r="C304" s="37">
        <v>52892.896270000005</v>
      </c>
      <c r="D304" s="37">
        <v>-9087.2446300000011</v>
      </c>
      <c r="E304" s="37">
        <v>16871290.520709999</v>
      </c>
      <c r="F304" s="37">
        <v>286425.57342999999</v>
      </c>
      <c r="G304" s="37">
        <v>101695.00744</v>
      </c>
      <c r="H304" s="37">
        <v>2051.6559499999998</v>
      </c>
      <c r="I304" s="37">
        <v>21623733.603709999</v>
      </c>
      <c r="J304" s="40"/>
      <c r="K304" s="40"/>
    </row>
    <row r="305" spans="1:11" x14ac:dyDescent="0.3">
      <c r="A305" s="41">
        <v>42293</v>
      </c>
      <c r="B305" s="37">
        <v>4318477.6945399996</v>
      </c>
      <c r="C305" s="37">
        <v>52892.896270000005</v>
      </c>
      <c r="D305" s="37">
        <v>-9087.2446300000011</v>
      </c>
      <c r="E305" s="37">
        <v>16871290.520709999</v>
      </c>
      <c r="F305" s="37">
        <v>286425.57342999999</v>
      </c>
      <c r="G305" s="37">
        <v>101695.00744</v>
      </c>
      <c r="H305" s="37">
        <v>2051.6559499999998</v>
      </c>
      <c r="I305" s="37">
        <v>21623746.103709999</v>
      </c>
      <c r="J305" s="40"/>
      <c r="K305" s="40"/>
    </row>
    <row r="306" spans="1:11" x14ac:dyDescent="0.3">
      <c r="A306" s="41">
        <v>42303</v>
      </c>
      <c r="B306" s="37">
        <v>4318607.6945399996</v>
      </c>
      <c r="C306" s="37">
        <v>52892.896270000005</v>
      </c>
      <c r="D306" s="37">
        <v>-9087.2446300000011</v>
      </c>
      <c r="E306" s="37">
        <v>16871290.520709999</v>
      </c>
      <c r="F306" s="37">
        <v>286425.57342999999</v>
      </c>
      <c r="G306" s="37">
        <v>101695.00744</v>
      </c>
      <c r="H306" s="37">
        <v>2051.6559499999998</v>
      </c>
      <c r="I306" s="37">
        <v>21623876.103709999</v>
      </c>
      <c r="J306" s="40"/>
      <c r="K306" s="40"/>
    </row>
    <row r="307" spans="1:11" x14ac:dyDescent="0.3">
      <c r="A307" s="41">
        <v>42310</v>
      </c>
      <c r="B307" s="37">
        <v>4323332.6945399996</v>
      </c>
      <c r="C307" s="37">
        <v>52892.896270000005</v>
      </c>
      <c r="D307" s="37">
        <v>-9087.2446300000011</v>
      </c>
      <c r="E307" s="37">
        <v>16871209.223979998</v>
      </c>
      <c r="F307" s="37">
        <v>286425.57342999999</v>
      </c>
      <c r="G307" s="37">
        <v>101695.00744</v>
      </c>
      <c r="H307" s="37">
        <v>2051.6559499999998</v>
      </c>
      <c r="I307" s="37">
        <v>21628519.806979999</v>
      </c>
      <c r="J307" s="40"/>
      <c r="K307" s="40"/>
    </row>
    <row r="308" spans="1:11" x14ac:dyDescent="0.3">
      <c r="A308" s="41">
        <v>42324</v>
      </c>
      <c r="B308" s="37">
        <v>4502023.9445399996</v>
      </c>
      <c r="C308" s="37">
        <v>52892.896270000005</v>
      </c>
      <c r="D308" s="37">
        <v>-9087.2446300000011</v>
      </c>
      <c r="E308" s="37">
        <v>16873554.223979998</v>
      </c>
      <c r="F308" s="37">
        <v>286425.57342999999</v>
      </c>
      <c r="G308" s="37">
        <v>101695.00744</v>
      </c>
      <c r="H308" s="37">
        <v>2051.6559499999998</v>
      </c>
      <c r="I308" s="37">
        <v>21809556.056979999</v>
      </c>
      <c r="J308" s="40"/>
      <c r="K308" s="40"/>
    </row>
    <row r="309" spans="1:11" x14ac:dyDescent="0.3">
      <c r="A309" s="41">
        <v>42325</v>
      </c>
      <c r="B309" s="37">
        <v>4502158.9445399996</v>
      </c>
      <c r="C309" s="37">
        <v>52892.896270000005</v>
      </c>
      <c r="D309" s="37">
        <v>-9087.2446300000011</v>
      </c>
      <c r="E309" s="37">
        <v>16873554.223979998</v>
      </c>
      <c r="F309" s="37">
        <v>286425.57342999999</v>
      </c>
      <c r="G309" s="37">
        <v>101695.00744</v>
      </c>
      <c r="H309" s="37">
        <v>2051.6559499999998</v>
      </c>
      <c r="I309" s="37">
        <v>21809691.056979999</v>
      </c>
      <c r="J309" s="40"/>
      <c r="K309" s="40"/>
    </row>
    <row r="310" spans="1:11" x14ac:dyDescent="0.3">
      <c r="A310" s="41">
        <v>42338</v>
      </c>
      <c r="B310" s="37">
        <v>4784146.4445399996</v>
      </c>
      <c r="C310" s="37">
        <v>52892.896270000005</v>
      </c>
      <c r="D310" s="37">
        <v>-9087.2446300000011</v>
      </c>
      <c r="E310" s="37">
        <v>16875044.848979998</v>
      </c>
      <c r="F310" s="37">
        <v>286425.57342999999</v>
      </c>
      <c r="G310" s="37">
        <v>101695.00744</v>
      </c>
      <c r="H310" s="37">
        <v>2051.6559499999998</v>
      </c>
      <c r="I310" s="37">
        <v>22093169.181979999</v>
      </c>
      <c r="J310" s="40"/>
      <c r="K310" s="40"/>
    </row>
    <row r="311" spans="1:11" x14ac:dyDescent="0.3">
      <c r="A311" s="41">
        <v>42352</v>
      </c>
      <c r="B311" s="37">
        <v>4786916.4445399996</v>
      </c>
      <c r="C311" s="37">
        <v>52892.896270000005</v>
      </c>
      <c r="D311" s="37">
        <v>-9087.2446300000011</v>
      </c>
      <c r="E311" s="37">
        <v>16875313.598979998</v>
      </c>
      <c r="F311" s="37">
        <v>286425.57342999999</v>
      </c>
      <c r="G311" s="37">
        <v>101695.00744</v>
      </c>
      <c r="H311" s="37">
        <v>2051.6559499999998</v>
      </c>
      <c r="I311" s="37">
        <v>22096207.931979999</v>
      </c>
      <c r="J311" s="40"/>
      <c r="K311" s="40"/>
    </row>
    <row r="312" spans="1:11" x14ac:dyDescent="0.3">
      <c r="A312" s="41">
        <v>42353</v>
      </c>
      <c r="B312" s="37">
        <v>4792441.4445399996</v>
      </c>
      <c r="C312" s="37">
        <v>52892.896270000005</v>
      </c>
      <c r="D312" s="37">
        <v>-9087.2446300000011</v>
      </c>
      <c r="E312" s="37">
        <v>16875096.015080001</v>
      </c>
      <c r="F312" s="37">
        <v>286425.57342999999</v>
      </c>
      <c r="G312" s="37">
        <v>101695.00744</v>
      </c>
      <c r="H312" s="37">
        <v>2051.6559499999998</v>
      </c>
      <c r="I312" s="37">
        <v>22101515.348080002</v>
      </c>
      <c r="J312" s="40"/>
      <c r="K312" s="40"/>
    </row>
    <row r="313" spans="1:11" x14ac:dyDescent="0.3">
      <c r="A313" s="41">
        <v>42354</v>
      </c>
      <c r="B313" s="37">
        <v>4798628.9445399996</v>
      </c>
      <c r="C313" s="37">
        <v>52892.896270000005</v>
      </c>
      <c r="D313" s="37">
        <v>-9087.2446300000011</v>
      </c>
      <c r="E313" s="37">
        <v>16875489.140080001</v>
      </c>
      <c r="F313" s="37">
        <v>286425.57342999999</v>
      </c>
      <c r="G313" s="37">
        <v>101695.00744</v>
      </c>
      <c r="H313" s="37">
        <v>2051.6559499999998</v>
      </c>
      <c r="I313" s="37">
        <v>22108095.973080002</v>
      </c>
      <c r="J313" s="40"/>
      <c r="K313" s="40"/>
    </row>
    <row r="314" spans="1:11" x14ac:dyDescent="0.3">
      <c r="A314" s="41">
        <v>42355</v>
      </c>
      <c r="B314" s="37">
        <v>4800457.0695399996</v>
      </c>
      <c r="C314" s="37">
        <v>52892.896270000005</v>
      </c>
      <c r="D314" s="37">
        <v>-9087.2446300000011</v>
      </c>
      <c r="E314" s="37">
        <v>16875489.140080001</v>
      </c>
      <c r="F314" s="37">
        <v>286425.57342999999</v>
      </c>
      <c r="G314" s="37">
        <v>101695.00744</v>
      </c>
      <c r="H314" s="37">
        <v>2051.6559499999998</v>
      </c>
      <c r="I314" s="37">
        <v>22109924.098080002</v>
      </c>
      <c r="J314" s="40"/>
      <c r="K314" s="40"/>
    </row>
    <row r="315" spans="1:11" x14ac:dyDescent="0.3">
      <c r="A315" s="41">
        <v>42356</v>
      </c>
      <c r="B315" s="37">
        <v>4809207.0695399996</v>
      </c>
      <c r="C315" s="37">
        <v>52892.896270000005</v>
      </c>
      <c r="D315" s="37">
        <v>-9087.2446300000011</v>
      </c>
      <c r="E315" s="37">
        <v>16875489.140080001</v>
      </c>
      <c r="F315" s="37">
        <v>286425.57342999999</v>
      </c>
      <c r="G315" s="37">
        <v>101695.00744</v>
      </c>
      <c r="H315" s="37">
        <v>2051.6559499999998</v>
      </c>
      <c r="I315" s="37">
        <v>22118674.098080002</v>
      </c>
      <c r="J315" s="40"/>
      <c r="K315" s="40"/>
    </row>
    <row r="316" spans="1:11" x14ac:dyDescent="0.3">
      <c r="A316" s="41">
        <v>42359</v>
      </c>
      <c r="B316" s="37">
        <v>4809271.5695399996</v>
      </c>
      <c r="C316" s="37">
        <v>52892.896270000005</v>
      </c>
      <c r="D316" s="37">
        <v>-9087.2446300000011</v>
      </c>
      <c r="E316" s="37">
        <v>16875004.819669999</v>
      </c>
      <c r="F316" s="37">
        <v>286425.57342999999</v>
      </c>
      <c r="G316" s="37">
        <v>101695.00744</v>
      </c>
      <c r="H316" s="37">
        <v>2051.6559499999998</v>
      </c>
      <c r="I316" s="37">
        <v>22118254.27767</v>
      </c>
      <c r="J316" s="40"/>
      <c r="K316" s="40"/>
    </row>
    <row r="317" spans="1:11" x14ac:dyDescent="0.3">
      <c r="A317" s="41">
        <v>42366</v>
      </c>
      <c r="B317" s="37">
        <v>4810096.5695399996</v>
      </c>
      <c r="C317" s="37">
        <v>52892.896270000005</v>
      </c>
      <c r="D317" s="37">
        <v>-9087.2446300000011</v>
      </c>
      <c r="E317" s="37">
        <v>16875004.819669999</v>
      </c>
      <c r="F317" s="37">
        <v>286425.57342999999</v>
      </c>
      <c r="G317" s="37">
        <v>101695.00744</v>
      </c>
      <c r="H317" s="37">
        <v>2051.6559499999998</v>
      </c>
      <c r="I317" s="37">
        <v>22119079.27767</v>
      </c>
      <c r="J317" s="40"/>
      <c r="K317" s="40"/>
    </row>
    <row r="318" spans="1:11" x14ac:dyDescent="0.3">
      <c r="A318" s="41">
        <v>42367</v>
      </c>
      <c r="B318" s="37">
        <v>4810096.5695399996</v>
      </c>
      <c r="C318" s="37">
        <v>52892.896270000005</v>
      </c>
      <c r="D318" s="37">
        <v>-9087.2446300000011</v>
      </c>
      <c r="E318" s="37">
        <v>16875595.771419998</v>
      </c>
      <c r="F318" s="37">
        <v>286425.57342999999</v>
      </c>
      <c r="G318" s="37">
        <v>101695.00744</v>
      </c>
      <c r="H318" s="37">
        <v>2051.6559499999998</v>
      </c>
      <c r="I318" s="37">
        <v>22119670.229419999</v>
      </c>
      <c r="J318" s="40"/>
      <c r="K318" s="40"/>
    </row>
    <row r="319" spans="1:11" x14ac:dyDescent="0.3">
      <c r="A319" s="41">
        <v>42369</v>
      </c>
      <c r="B319" s="37">
        <v>5239606.5695399996</v>
      </c>
      <c r="C319" s="37">
        <v>52892.896270000005</v>
      </c>
      <c r="D319" s="37">
        <v>-9087.2446300000011</v>
      </c>
      <c r="E319" s="37">
        <v>16876893.271419998</v>
      </c>
      <c r="F319" s="37">
        <v>286425.57342999999</v>
      </c>
      <c r="G319" s="37">
        <v>101695.00744</v>
      </c>
      <c r="H319" s="37">
        <v>2051.6559499999998</v>
      </c>
      <c r="I319" s="37">
        <v>22550477.729419999</v>
      </c>
      <c r="J319" s="40"/>
      <c r="K319" s="40"/>
    </row>
    <row r="320" spans="1:11" x14ac:dyDescent="0.3">
      <c r="A320" s="41">
        <v>42380</v>
      </c>
      <c r="B320" s="37">
        <v>5239606.5695399996</v>
      </c>
      <c r="C320" s="37">
        <v>52892.896270000005</v>
      </c>
      <c r="D320" s="37">
        <v>-9087.2446300000011</v>
      </c>
      <c r="E320" s="37">
        <v>16906875.981989998</v>
      </c>
      <c r="F320" s="37">
        <v>286425.57342999999</v>
      </c>
      <c r="G320" s="37">
        <v>101695.00744</v>
      </c>
      <c r="H320" s="37">
        <v>2051.6559499999998</v>
      </c>
      <c r="I320" s="37">
        <v>22580460.439990003</v>
      </c>
      <c r="J320" s="40"/>
      <c r="K320" s="40"/>
    </row>
    <row r="321" spans="1:11" x14ac:dyDescent="0.3">
      <c r="A321" s="41">
        <v>42384</v>
      </c>
      <c r="B321" s="37">
        <v>5239606.5695399996</v>
      </c>
      <c r="C321" s="37">
        <v>52892.896270000005</v>
      </c>
      <c r="D321" s="37">
        <v>-9087.2446300000011</v>
      </c>
      <c r="E321" s="37">
        <v>16906875.981989998</v>
      </c>
      <c r="F321" s="37">
        <v>288730.65235000005</v>
      </c>
      <c r="G321" s="37">
        <v>101695.00744</v>
      </c>
      <c r="H321" s="37">
        <v>2051.6559499999998</v>
      </c>
      <c r="I321" s="37">
        <v>22582765.518909998</v>
      </c>
      <c r="J321" s="40"/>
      <c r="K321" s="40"/>
    </row>
    <row r="322" spans="1:11" x14ac:dyDescent="0.3">
      <c r="A322" s="41">
        <v>42388</v>
      </c>
      <c r="B322" s="37">
        <v>5243568.4224700006</v>
      </c>
      <c r="C322" s="37">
        <v>52892.896270000005</v>
      </c>
      <c r="D322" s="37">
        <v>-9087.2446300000011</v>
      </c>
      <c r="E322" s="37">
        <v>16911935.356989998</v>
      </c>
      <c r="F322" s="37">
        <v>288730.65235000005</v>
      </c>
      <c r="G322" s="37">
        <v>101695.00744</v>
      </c>
      <c r="H322" s="37">
        <v>2051.6559499999998</v>
      </c>
      <c r="I322" s="37">
        <v>22591786.74684</v>
      </c>
      <c r="J322" s="40"/>
      <c r="K322" s="40"/>
    </row>
    <row r="323" spans="1:11" x14ac:dyDescent="0.3">
      <c r="A323" s="41">
        <v>42401</v>
      </c>
      <c r="B323" s="37">
        <v>5244209.0474700006</v>
      </c>
      <c r="C323" s="37">
        <v>52892.896270000005</v>
      </c>
      <c r="D323" s="37">
        <v>-9087.2446300000011</v>
      </c>
      <c r="E323" s="37">
        <v>16911935.356989998</v>
      </c>
      <c r="F323" s="37">
        <v>288730.65235000005</v>
      </c>
      <c r="G323" s="37">
        <v>101695.00744</v>
      </c>
      <c r="H323" s="37">
        <v>2051.6559499999998</v>
      </c>
      <c r="I323" s="37">
        <v>22592427.37184</v>
      </c>
      <c r="J323" s="40"/>
      <c r="K323" s="40"/>
    </row>
    <row r="324" spans="1:11" x14ac:dyDescent="0.3">
      <c r="A324" s="41">
        <v>42416</v>
      </c>
      <c r="B324" s="37">
        <v>5342734.6724700006</v>
      </c>
      <c r="C324" s="37">
        <v>52892.896270000005</v>
      </c>
      <c r="D324" s="37">
        <v>-9087.2446300000011</v>
      </c>
      <c r="E324" s="37">
        <v>16914055.356989998</v>
      </c>
      <c r="F324" s="37">
        <v>288730.65235000005</v>
      </c>
      <c r="G324" s="37">
        <v>101695.00744</v>
      </c>
      <c r="H324" s="37">
        <v>2051.6559499999998</v>
      </c>
      <c r="I324" s="37">
        <v>22693072.99684</v>
      </c>
      <c r="J324" s="40"/>
      <c r="K324" s="40"/>
    </row>
    <row r="325" spans="1:11" x14ac:dyDescent="0.3">
      <c r="A325" s="41">
        <v>42429</v>
      </c>
      <c r="B325" s="37">
        <v>5342784.6724700006</v>
      </c>
      <c r="C325" s="37">
        <v>52892.896270000005</v>
      </c>
      <c r="D325" s="37">
        <v>-9087.2446300000011</v>
      </c>
      <c r="E325" s="37">
        <v>16914055.356989998</v>
      </c>
      <c r="F325" s="37">
        <v>288730.652</v>
      </c>
      <c r="G325" s="37">
        <v>101695.00744</v>
      </c>
      <c r="H325" s="37">
        <v>2051.6559499999998</v>
      </c>
      <c r="I325" s="37">
        <v>22693122.99684</v>
      </c>
      <c r="J325" s="40"/>
      <c r="K325" s="40"/>
    </row>
    <row r="326" spans="1:11" x14ac:dyDescent="0.3">
      <c r="A326" s="41">
        <v>42444</v>
      </c>
      <c r="B326" s="37">
        <v>5354715.9224700006</v>
      </c>
      <c r="C326" s="37">
        <v>52892.896270000005</v>
      </c>
      <c r="D326" s="37">
        <v>-9087.2446300000011</v>
      </c>
      <c r="E326" s="37">
        <v>16914137.624499999</v>
      </c>
      <c r="F326" s="37">
        <v>288730.652</v>
      </c>
      <c r="G326" s="37">
        <v>101695.00744</v>
      </c>
      <c r="H326" s="37">
        <v>2051.6559499999998</v>
      </c>
      <c r="I326" s="37">
        <v>22705136.514349997</v>
      </c>
      <c r="J326" s="40"/>
      <c r="K326" s="40"/>
    </row>
    <row r="327" spans="1:11" x14ac:dyDescent="0.3">
      <c r="A327" s="41">
        <v>42450</v>
      </c>
      <c r="B327" s="37">
        <v>5363057.1724700006</v>
      </c>
      <c r="C327" s="37">
        <v>52892.896270000005</v>
      </c>
      <c r="D327" s="37">
        <v>-9087.2446300000011</v>
      </c>
      <c r="E327" s="37">
        <v>16914261.768290002</v>
      </c>
      <c r="F327" s="37">
        <v>288730.652</v>
      </c>
      <c r="G327" s="37">
        <v>101695.00744</v>
      </c>
      <c r="H327" s="37">
        <v>2051.6559499999998</v>
      </c>
      <c r="I327" s="37">
        <v>22713601.90814</v>
      </c>
      <c r="J327" s="40"/>
      <c r="K327" s="40"/>
    </row>
    <row r="328" spans="1:11" x14ac:dyDescent="0.3">
      <c r="A328" s="41">
        <v>42457</v>
      </c>
      <c r="B328" s="37">
        <v>5363144.6724700006</v>
      </c>
      <c r="C328" s="37">
        <v>52892.896270000005</v>
      </c>
      <c r="D328" s="37">
        <v>-9087.2446300000011</v>
      </c>
      <c r="E328" s="37">
        <v>16914261.768290002</v>
      </c>
      <c r="F328" s="37">
        <v>288730.652</v>
      </c>
      <c r="G328" s="37">
        <v>101695.00744</v>
      </c>
      <c r="H328" s="37">
        <v>2051.6559499999998</v>
      </c>
      <c r="I328" s="37">
        <v>22713689.40814</v>
      </c>
      <c r="J328" s="40"/>
      <c r="K328" s="40"/>
    </row>
    <row r="329" spans="1:11" x14ac:dyDescent="0.3">
      <c r="A329" s="41">
        <v>42458</v>
      </c>
      <c r="B329" s="37">
        <v>5363144.6724700006</v>
      </c>
      <c r="C329" s="37">
        <v>52892.896270000005</v>
      </c>
      <c r="D329" s="37">
        <v>-9087.2446300000011</v>
      </c>
      <c r="E329" s="37">
        <v>16913738.010930002</v>
      </c>
      <c r="F329" s="37">
        <v>288730.652</v>
      </c>
      <c r="G329" s="37">
        <v>101695.00744</v>
      </c>
      <c r="H329" s="37">
        <v>2051.6559499999998</v>
      </c>
      <c r="I329" s="37">
        <v>22713165.650770001</v>
      </c>
      <c r="J329" s="40"/>
      <c r="K329" s="40"/>
    </row>
    <row r="330" spans="1:11" x14ac:dyDescent="0.3">
      <c r="A330" s="41">
        <v>42460</v>
      </c>
      <c r="B330" s="37">
        <v>5363144.6724700006</v>
      </c>
      <c r="C330" s="37">
        <v>52892.896270000005</v>
      </c>
      <c r="D330" s="37">
        <v>-9087.2446300000011</v>
      </c>
      <c r="E330" s="37">
        <v>16913903.010930002</v>
      </c>
      <c r="F330" s="37">
        <v>288730.652</v>
      </c>
      <c r="G330" s="37">
        <v>101695.00744</v>
      </c>
      <c r="H330" s="37">
        <v>2051.6559499999998</v>
      </c>
      <c r="I330" s="37">
        <v>22713330.650770001</v>
      </c>
      <c r="J330" s="40"/>
      <c r="K330" s="40"/>
    </row>
    <row r="331" spans="1:11" x14ac:dyDescent="0.3">
      <c r="A331" s="41">
        <v>42471</v>
      </c>
      <c r="B331" s="37">
        <v>5368144.6724700006</v>
      </c>
      <c r="C331" s="37">
        <v>52892.896270000005</v>
      </c>
      <c r="D331" s="37">
        <v>-9087.2446300000011</v>
      </c>
      <c r="E331" s="37">
        <v>16913903.010930002</v>
      </c>
      <c r="F331" s="37">
        <v>288730.652</v>
      </c>
      <c r="G331" s="37">
        <v>101695.00744</v>
      </c>
      <c r="H331" s="37">
        <v>2051.6559499999998</v>
      </c>
      <c r="I331" s="37">
        <v>22718330.650770001</v>
      </c>
      <c r="J331" s="40"/>
      <c r="K331" s="40"/>
    </row>
    <row r="332" spans="1:11" x14ac:dyDescent="0.3">
      <c r="A332" s="41">
        <v>42475</v>
      </c>
      <c r="B332" s="37">
        <v>5368144.6724700006</v>
      </c>
      <c r="C332" s="37">
        <v>52892.896270000005</v>
      </c>
      <c r="D332" s="37">
        <v>-9087.2446300000011</v>
      </c>
      <c r="E332" s="37">
        <v>16913903.010930002</v>
      </c>
      <c r="F332" s="37">
        <v>495250.88688000001</v>
      </c>
      <c r="G332" s="37">
        <v>101695.00744</v>
      </c>
      <c r="H332" s="37">
        <v>2051.6559499999998</v>
      </c>
      <c r="I332" s="37">
        <v>22924850.885299999</v>
      </c>
      <c r="J332" s="40"/>
      <c r="K332" s="40"/>
    </row>
    <row r="333" spans="1:11" x14ac:dyDescent="0.3">
      <c r="A333" s="41">
        <v>42478</v>
      </c>
      <c r="B333" s="37">
        <v>5368157.1724700006</v>
      </c>
      <c r="C333" s="37">
        <v>52892.896270000005</v>
      </c>
      <c r="D333" s="37">
        <v>-9087.2446300000011</v>
      </c>
      <c r="E333" s="37">
        <v>16913903.010930002</v>
      </c>
      <c r="F333" s="37">
        <v>495250.88688000001</v>
      </c>
      <c r="G333" s="37">
        <v>101695.00744</v>
      </c>
      <c r="H333" s="37">
        <v>2051.6559499999998</v>
      </c>
      <c r="I333" s="37">
        <v>22924863.385299999</v>
      </c>
      <c r="J333" s="40"/>
      <c r="K333" s="40"/>
    </row>
    <row r="334" spans="1:11" x14ac:dyDescent="0.3">
      <c r="A334" s="41">
        <v>42486</v>
      </c>
      <c r="B334" s="37">
        <v>5368287.1724700006</v>
      </c>
      <c r="C334" s="37">
        <v>52892.896270000005</v>
      </c>
      <c r="D334" s="37">
        <v>-9087.2446300000011</v>
      </c>
      <c r="E334" s="37">
        <v>16913903.010930002</v>
      </c>
      <c r="F334" s="37">
        <v>495250.88688000001</v>
      </c>
      <c r="G334" s="37">
        <v>101695.00744</v>
      </c>
      <c r="H334" s="37">
        <v>2051.6559499999998</v>
      </c>
      <c r="I334" s="37">
        <v>22924993.385299999</v>
      </c>
      <c r="J334" s="40"/>
      <c r="K334" s="40"/>
    </row>
    <row r="335" spans="1:11" x14ac:dyDescent="0.3">
      <c r="A335" s="41">
        <v>42506</v>
      </c>
      <c r="B335" s="37">
        <v>5512053.4224700006</v>
      </c>
      <c r="C335" s="37">
        <v>52892.896270000005</v>
      </c>
      <c r="D335" s="37">
        <v>-9087.2446300000011</v>
      </c>
      <c r="E335" s="37">
        <v>16916248.010930002</v>
      </c>
      <c r="F335" s="37">
        <v>495250.88688000001</v>
      </c>
      <c r="G335" s="37">
        <v>101695.00744</v>
      </c>
      <c r="H335" s="37">
        <v>2051.6559499999998</v>
      </c>
      <c r="I335" s="37">
        <v>23071104.635299999</v>
      </c>
      <c r="J335" s="40"/>
      <c r="K335" s="40"/>
    </row>
    <row r="336" spans="1:11" x14ac:dyDescent="0.3">
      <c r="A336" s="41">
        <v>42507</v>
      </c>
      <c r="B336" s="37">
        <v>5512188.4224700006</v>
      </c>
      <c r="C336" s="37">
        <v>52892.896270000005</v>
      </c>
      <c r="D336" s="37">
        <v>-9087.2446300000011</v>
      </c>
      <c r="E336" s="37">
        <v>16916248.010930002</v>
      </c>
      <c r="F336" s="37">
        <v>495250.88688000001</v>
      </c>
      <c r="G336" s="37">
        <v>101695.00744</v>
      </c>
      <c r="H336" s="37">
        <v>2051.6559499999998</v>
      </c>
      <c r="I336" s="37">
        <v>23071239.635299999</v>
      </c>
      <c r="J336" s="40"/>
      <c r="K336" s="40"/>
    </row>
    <row r="337" spans="1:11" x14ac:dyDescent="0.3">
      <c r="A337" s="41">
        <v>42521</v>
      </c>
      <c r="B337" s="37">
        <v>5512188.4224700006</v>
      </c>
      <c r="C337" s="37">
        <v>52892.896270000005</v>
      </c>
      <c r="D337" s="37">
        <v>-9087.2446300000011</v>
      </c>
      <c r="E337" s="37">
        <v>16917738.635930002</v>
      </c>
      <c r="F337" s="37">
        <v>495250.88688000001</v>
      </c>
      <c r="G337" s="37">
        <v>101695.00744</v>
      </c>
      <c r="H337" s="37">
        <v>2051.6559499999998</v>
      </c>
      <c r="I337" s="37">
        <v>23072730.260299999</v>
      </c>
      <c r="J337" s="40"/>
      <c r="K337" s="40"/>
    </row>
    <row r="338" spans="1:11" x14ac:dyDescent="0.3">
      <c r="A338" s="41">
        <v>42534</v>
      </c>
      <c r="B338" s="37">
        <v>5514958.4224700006</v>
      </c>
      <c r="C338" s="37">
        <v>52892.896270000005</v>
      </c>
      <c r="D338" s="37">
        <v>-9087.2446300000011</v>
      </c>
      <c r="E338" s="37">
        <v>16918007.385930002</v>
      </c>
      <c r="F338" s="37">
        <v>495250.88688000001</v>
      </c>
      <c r="G338" s="37">
        <v>101695.00744</v>
      </c>
      <c r="H338" s="37">
        <v>2051.6559499999998</v>
      </c>
      <c r="I338" s="37">
        <v>23075769.010299999</v>
      </c>
      <c r="J338" s="40"/>
      <c r="K338" s="40"/>
    </row>
    <row r="339" spans="1:11" x14ac:dyDescent="0.3">
      <c r="A339" s="41">
        <v>42536</v>
      </c>
      <c r="B339" s="37">
        <v>5514958.4224700006</v>
      </c>
      <c r="C339" s="37">
        <v>52892.896270000005</v>
      </c>
      <c r="D339" s="37">
        <v>-9087.2446300000011</v>
      </c>
      <c r="E339" s="37">
        <v>16917805.47101</v>
      </c>
      <c r="F339" s="37">
        <v>495250.88688000001</v>
      </c>
      <c r="G339" s="37">
        <v>101695.00744</v>
      </c>
      <c r="H339" s="37">
        <v>2051.6559499999998</v>
      </c>
      <c r="I339" s="37">
        <v>23075567.095389999</v>
      </c>
      <c r="J339" s="40"/>
      <c r="K339" s="40"/>
    </row>
    <row r="340" spans="1:11" x14ac:dyDescent="0.3">
      <c r="A340" s="41">
        <v>42537</v>
      </c>
      <c r="B340" s="37">
        <v>5514958.4224700006</v>
      </c>
      <c r="C340" s="37">
        <v>52892.896270000005</v>
      </c>
      <c r="D340" s="37">
        <v>-9087.2446300000011</v>
      </c>
      <c r="E340" s="37">
        <v>16955198.59601</v>
      </c>
      <c r="F340" s="37">
        <v>495250.88688000001</v>
      </c>
      <c r="G340" s="37">
        <v>101695.00744</v>
      </c>
      <c r="H340" s="37">
        <v>2051.6559499999998</v>
      </c>
      <c r="I340" s="37">
        <v>23112960.220389999</v>
      </c>
      <c r="J340" s="40"/>
      <c r="K340" s="40"/>
    </row>
    <row r="341" spans="1:11" x14ac:dyDescent="0.3">
      <c r="A341" s="41">
        <v>42538</v>
      </c>
      <c r="B341" s="37">
        <v>5516786.5474700006</v>
      </c>
      <c r="C341" s="37">
        <v>52892.896270000005</v>
      </c>
      <c r="D341" s="37">
        <v>-9087.2446300000011</v>
      </c>
      <c r="E341" s="37">
        <v>16955198.59601</v>
      </c>
      <c r="F341" s="37">
        <v>495250.88688000001</v>
      </c>
      <c r="G341" s="37">
        <v>101695.00744</v>
      </c>
      <c r="H341" s="37">
        <v>2051.6559499999998</v>
      </c>
      <c r="I341" s="37">
        <v>23114788.345389999</v>
      </c>
      <c r="J341" s="40"/>
      <c r="K341" s="40"/>
    </row>
    <row r="342" spans="1:11" x14ac:dyDescent="0.3">
      <c r="A342" s="41">
        <v>42541</v>
      </c>
      <c r="B342" s="37">
        <v>5519663.5474700006</v>
      </c>
      <c r="C342" s="37">
        <v>52892.896270000005</v>
      </c>
      <c r="D342" s="37">
        <v>-9087.2446300000011</v>
      </c>
      <c r="E342" s="37">
        <v>16954746.10108</v>
      </c>
      <c r="F342" s="37">
        <v>495250.88688000001</v>
      </c>
      <c r="G342" s="37">
        <v>101695.00744</v>
      </c>
      <c r="H342" s="37">
        <v>2051.6559499999998</v>
      </c>
      <c r="I342" s="37">
        <v>23117212.85046</v>
      </c>
      <c r="J342" s="40"/>
      <c r="K342" s="40"/>
    </row>
    <row r="343" spans="1:11" x14ac:dyDescent="0.3">
      <c r="A343" s="41">
        <v>42548</v>
      </c>
      <c r="B343" s="37">
        <v>5550488.5474700006</v>
      </c>
      <c r="C343" s="37">
        <v>52892.896270000005</v>
      </c>
      <c r="D343" s="37">
        <v>-9087.2446300000011</v>
      </c>
      <c r="E343" s="37">
        <v>16954746.10108</v>
      </c>
      <c r="F343" s="37">
        <v>495250.88688000001</v>
      </c>
      <c r="G343" s="37">
        <v>101695.00744</v>
      </c>
      <c r="H343" s="37">
        <v>2051.6559499999998</v>
      </c>
      <c r="I343" s="37">
        <v>23148037.85046</v>
      </c>
      <c r="J343" s="40"/>
      <c r="K343" s="40"/>
    </row>
    <row r="344" spans="1:11" x14ac:dyDescent="0.3">
      <c r="A344" s="41">
        <v>42549</v>
      </c>
      <c r="B344" s="37">
        <v>5550488.5474700006</v>
      </c>
      <c r="C344" s="37">
        <v>52892.896270000005</v>
      </c>
      <c r="D344" s="37">
        <v>-9087.2446300000011</v>
      </c>
      <c r="E344" s="37">
        <v>16955443.759120002</v>
      </c>
      <c r="F344" s="37">
        <v>495250.88688000001</v>
      </c>
      <c r="G344" s="37">
        <v>101695.00744</v>
      </c>
      <c r="H344" s="37">
        <v>2051.6559499999998</v>
      </c>
      <c r="I344" s="37">
        <v>23148735.50849</v>
      </c>
      <c r="J344" s="40"/>
      <c r="K344" s="40"/>
    </row>
    <row r="345" spans="1:11" x14ac:dyDescent="0.3">
      <c r="A345" s="41">
        <v>42550</v>
      </c>
      <c r="B345" s="37">
        <v>5563026.0474700006</v>
      </c>
      <c r="C345" s="37">
        <v>52892.896270000005</v>
      </c>
      <c r="D345" s="37">
        <v>-9087.2446300000011</v>
      </c>
      <c r="E345" s="37">
        <v>16955443.759120002</v>
      </c>
      <c r="F345" s="37">
        <v>495250.88688000001</v>
      </c>
      <c r="G345" s="37">
        <v>101695.00744</v>
      </c>
      <c r="H345" s="37">
        <v>2051.6559499999998</v>
      </c>
      <c r="I345" s="37">
        <v>23161273.00849</v>
      </c>
      <c r="J345" s="40"/>
      <c r="K345" s="40"/>
    </row>
    <row r="346" spans="1:11" x14ac:dyDescent="0.3">
      <c r="A346" s="41">
        <v>42551</v>
      </c>
      <c r="B346" s="37">
        <v>5563026.0474700006</v>
      </c>
      <c r="C346" s="37">
        <v>52892.896270000005</v>
      </c>
      <c r="D346" s="37">
        <v>-9087.2446300000011</v>
      </c>
      <c r="E346" s="37">
        <v>16956741.259120002</v>
      </c>
      <c r="F346" s="37">
        <v>495250.88688000001</v>
      </c>
      <c r="G346" s="37">
        <v>101695.00744</v>
      </c>
      <c r="H346" s="37">
        <v>2051.6559499999998</v>
      </c>
      <c r="I346" s="37">
        <v>23162570.50849</v>
      </c>
      <c r="J346" s="40"/>
      <c r="K346" s="40"/>
    </row>
    <row r="347" spans="1:11" x14ac:dyDescent="0.3">
      <c r="A347" s="41">
        <v>42566</v>
      </c>
      <c r="B347" s="37">
        <v>5563026.0474700006</v>
      </c>
      <c r="C347" s="37">
        <v>52892.896270000005</v>
      </c>
      <c r="D347" s="37">
        <v>-9087.2446300000011</v>
      </c>
      <c r="E347" s="37">
        <v>16956741.259120002</v>
      </c>
      <c r="F347" s="37">
        <v>497555.96579000005</v>
      </c>
      <c r="G347" s="37">
        <v>101695.00744</v>
      </c>
      <c r="H347" s="37">
        <v>2051.6559499999998</v>
      </c>
      <c r="I347" s="37">
        <v>23164875.587409999</v>
      </c>
      <c r="J347" s="40"/>
      <c r="K347" s="40"/>
    </row>
    <row r="348" spans="1:11" x14ac:dyDescent="0.3">
      <c r="A348" s="41">
        <v>42569</v>
      </c>
      <c r="B348" s="37">
        <v>5565615.4003999997</v>
      </c>
      <c r="C348" s="37">
        <v>52892.896270000005</v>
      </c>
      <c r="D348" s="37">
        <v>-9087.2446300000011</v>
      </c>
      <c r="E348" s="37">
        <v>16956741.259120002</v>
      </c>
      <c r="F348" s="37">
        <v>497555.96579000005</v>
      </c>
      <c r="G348" s="37">
        <v>101695.00744</v>
      </c>
      <c r="H348" s="37">
        <v>2051.6559499999998</v>
      </c>
      <c r="I348" s="37">
        <v>23167464.940340001</v>
      </c>
      <c r="J348" s="40"/>
      <c r="K348" s="40"/>
    </row>
    <row r="349" spans="1:11" x14ac:dyDescent="0.3">
      <c r="A349" s="41">
        <v>42570</v>
      </c>
      <c r="B349" s="37">
        <v>5566987.9003999997</v>
      </c>
      <c r="C349" s="37">
        <v>52892.896270000005</v>
      </c>
      <c r="D349" s="37">
        <v>-9087.2446300000011</v>
      </c>
      <c r="E349" s="37">
        <v>16956741.259120002</v>
      </c>
      <c r="F349" s="37">
        <v>497555.96579000005</v>
      </c>
      <c r="G349" s="37">
        <v>101695.00744</v>
      </c>
      <c r="H349" s="37">
        <v>2051.6559499999998</v>
      </c>
      <c r="I349" s="37">
        <v>23168837.440340001</v>
      </c>
      <c r="J349" s="40"/>
      <c r="K349" s="40"/>
    </row>
    <row r="350" spans="1:11" x14ac:dyDescent="0.3">
      <c r="A350" s="41">
        <v>42583</v>
      </c>
      <c r="B350" s="37">
        <v>5567628.5253999997</v>
      </c>
      <c r="C350" s="37">
        <v>52892.896270000005</v>
      </c>
      <c r="D350" s="37">
        <v>-9087.2446300000011</v>
      </c>
      <c r="E350" s="37">
        <v>16956741.259120002</v>
      </c>
      <c r="F350" s="37">
        <v>497555.96579000005</v>
      </c>
      <c r="G350" s="37">
        <v>101695.00744</v>
      </c>
      <c r="H350" s="37">
        <v>2051.6559499999998</v>
      </c>
      <c r="I350" s="37">
        <v>23169478.065340001</v>
      </c>
      <c r="J350" s="40"/>
      <c r="K350" s="40"/>
    </row>
    <row r="351" spans="1:11" x14ac:dyDescent="0.3">
      <c r="A351" s="41">
        <v>42597</v>
      </c>
      <c r="B351" s="37">
        <v>5589197.9003999997</v>
      </c>
      <c r="C351" s="37">
        <v>52892.896270000005</v>
      </c>
      <c r="D351" s="37">
        <v>-9087.2446300000011</v>
      </c>
      <c r="E351" s="37">
        <v>16958861.259120002</v>
      </c>
      <c r="F351" s="37">
        <v>497555.96579000005</v>
      </c>
      <c r="G351" s="37">
        <v>101695.00744</v>
      </c>
      <c r="H351" s="37">
        <v>2051.6559499999998</v>
      </c>
      <c r="I351" s="37">
        <v>23193167.440340001</v>
      </c>
      <c r="J351" s="40"/>
      <c r="K351" s="40"/>
    </row>
    <row r="352" spans="1:11" x14ac:dyDescent="0.3">
      <c r="A352" s="41">
        <v>42611</v>
      </c>
      <c r="B352" s="37">
        <v>5589247.9003999997</v>
      </c>
      <c r="C352" s="37">
        <v>52892.896270000005</v>
      </c>
      <c r="D352" s="37">
        <v>-9087.2446300000011</v>
      </c>
      <c r="E352" s="37">
        <v>16958861.259120002</v>
      </c>
      <c r="F352" s="37">
        <v>497555.96579000005</v>
      </c>
      <c r="G352" s="37">
        <v>101695.00744</v>
      </c>
      <c r="H352" s="37">
        <v>2051.6559499999998</v>
      </c>
      <c r="I352" s="37">
        <v>23193217.440340001</v>
      </c>
      <c r="J352" s="40"/>
      <c r="K352" s="40"/>
    </row>
    <row r="353" spans="1:11" x14ac:dyDescent="0.3">
      <c r="A353" s="41">
        <v>42613</v>
      </c>
      <c r="B353" s="37">
        <v>5589247.9003999997</v>
      </c>
      <c r="C353" s="37">
        <v>52892.896270000005</v>
      </c>
      <c r="D353" s="37">
        <v>-9087.2446300000011</v>
      </c>
      <c r="E353" s="37">
        <v>16958861.259120002</v>
      </c>
      <c r="F353" s="37">
        <v>497555.96600000001</v>
      </c>
      <c r="G353" s="37">
        <v>101695.00744</v>
      </c>
      <c r="H353" s="37">
        <v>2051.6559499999998</v>
      </c>
      <c r="I353" s="37">
        <v>23193217.440340001</v>
      </c>
      <c r="J353" s="40"/>
      <c r="K353" s="40"/>
    </row>
    <row r="354" spans="1:11" x14ac:dyDescent="0.3">
      <c r="A354" s="41">
        <v>42628</v>
      </c>
      <c r="B354" s="37">
        <v>5601179.1503999997</v>
      </c>
      <c r="C354" s="37">
        <v>52892.896270000005</v>
      </c>
      <c r="D354" s="37">
        <v>-9087.2446300000011</v>
      </c>
      <c r="E354" s="37">
        <v>16958959.563729998</v>
      </c>
      <c r="F354" s="37">
        <v>497555.96600000001</v>
      </c>
      <c r="G354" s="37">
        <v>101695.00744</v>
      </c>
      <c r="H354" s="37">
        <v>2051.6559499999998</v>
      </c>
      <c r="I354" s="37">
        <v>23205246.99495</v>
      </c>
      <c r="J354" s="40"/>
      <c r="K354" s="40"/>
    </row>
    <row r="355" spans="1:11" x14ac:dyDescent="0.3">
      <c r="A355" s="41">
        <v>42632</v>
      </c>
      <c r="B355" s="37">
        <v>5601251.6503999997</v>
      </c>
      <c r="C355" s="37">
        <v>52892.896270000005</v>
      </c>
      <c r="D355" s="37">
        <v>-9087.2446300000011</v>
      </c>
      <c r="E355" s="37">
        <v>16959105.99879</v>
      </c>
      <c r="F355" s="37">
        <v>497555.96600000001</v>
      </c>
      <c r="G355" s="37">
        <v>101695.00744</v>
      </c>
      <c r="H355" s="37">
        <v>2051.6559499999998</v>
      </c>
      <c r="I355" s="37">
        <v>23205465.930009998</v>
      </c>
      <c r="J355" s="40"/>
      <c r="K355" s="40"/>
    </row>
    <row r="356" spans="1:11" x14ac:dyDescent="0.3">
      <c r="A356" s="41">
        <v>42633</v>
      </c>
      <c r="B356" s="37">
        <v>5924520.4003999997</v>
      </c>
      <c r="C356" s="37">
        <v>52892.896270000005</v>
      </c>
      <c r="D356" s="37">
        <v>-9087.2446300000011</v>
      </c>
      <c r="E356" s="37">
        <v>16959105.99879</v>
      </c>
      <c r="F356" s="37">
        <v>497555.96600000001</v>
      </c>
      <c r="G356" s="37">
        <v>101695.00744</v>
      </c>
      <c r="H356" s="37">
        <v>2051.6559499999998</v>
      </c>
      <c r="I356" s="37">
        <v>23528734.680009998</v>
      </c>
      <c r="J356" s="40"/>
      <c r="K356" s="40"/>
    </row>
    <row r="357" spans="1:11" x14ac:dyDescent="0.3">
      <c r="A357" s="41">
        <v>42641</v>
      </c>
      <c r="B357" s="37">
        <v>5924607.9003999997</v>
      </c>
      <c r="C357" s="37">
        <v>52892.896270000005</v>
      </c>
      <c r="D357" s="37">
        <v>-9087.2446300000011</v>
      </c>
      <c r="E357" s="37">
        <v>16958718.17117</v>
      </c>
      <c r="F357" s="37">
        <v>497555.96600000001</v>
      </c>
      <c r="G357" s="37">
        <v>101695.00744</v>
      </c>
      <c r="H357" s="37">
        <v>2051.6559499999998</v>
      </c>
      <c r="I357" s="37">
        <v>23528434.352389999</v>
      </c>
      <c r="J357" s="40"/>
      <c r="K357" s="40"/>
    </row>
    <row r="358" spans="1:11" x14ac:dyDescent="0.3">
      <c r="A358" s="41">
        <v>42643</v>
      </c>
      <c r="B358" s="37">
        <v>5924607.9003999997</v>
      </c>
      <c r="C358" s="37">
        <v>52892.896270000005</v>
      </c>
      <c r="D358" s="37">
        <v>-9087.2446300000011</v>
      </c>
      <c r="E358" s="37">
        <v>16958883.17117</v>
      </c>
      <c r="F358" s="37">
        <v>497555.96600000001</v>
      </c>
      <c r="G358" s="37">
        <v>101695.00744</v>
      </c>
      <c r="H358" s="37">
        <v>2051.6559499999998</v>
      </c>
      <c r="I358" s="37">
        <v>23528599.352389999</v>
      </c>
      <c r="J358" s="40"/>
      <c r="K358" s="40"/>
    </row>
    <row r="359" spans="1:11" x14ac:dyDescent="0.3">
      <c r="A359" s="41">
        <v>42648</v>
      </c>
      <c r="B359" s="37">
        <v>6117345.12665</v>
      </c>
      <c r="C359" s="37">
        <v>52892.896270000005</v>
      </c>
      <c r="D359" s="37">
        <v>-9087.2446300000011</v>
      </c>
      <c r="E359" s="37">
        <v>16958883.17117</v>
      </c>
      <c r="F359" s="37">
        <v>497555.96600000001</v>
      </c>
      <c r="G359" s="37">
        <v>101695.00744</v>
      </c>
      <c r="H359" s="37">
        <v>2051.6559499999998</v>
      </c>
      <c r="I359" s="37">
        <v>23721336.578639999</v>
      </c>
      <c r="J359" s="40"/>
      <c r="K359" s="40"/>
    </row>
    <row r="360" spans="1:11" x14ac:dyDescent="0.3">
      <c r="A360" s="41">
        <v>42660</v>
      </c>
      <c r="B360" s="37">
        <v>6117357.62665</v>
      </c>
      <c r="C360" s="37">
        <v>52892.896270000005</v>
      </c>
      <c r="D360" s="37">
        <v>-9087.2446300000011</v>
      </c>
      <c r="E360" s="37">
        <v>16958883.17117</v>
      </c>
      <c r="F360" s="37">
        <v>497555.96600000001</v>
      </c>
      <c r="G360" s="37">
        <v>101695.00744</v>
      </c>
      <c r="H360" s="37">
        <v>2051.6559499999998</v>
      </c>
      <c r="I360" s="37">
        <v>23721349.078639999</v>
      </c>
      <c r="J360" s="40"/>
      <c r="K360" s="40"/>
    </row>
    <row r="361" spans="1:11" x14ac:dyDescent="0.3">
      <c r="A361" s="41">
        <v>42669</v>
      </c>
      <c r="B361" s="37">
        <v>6117487.62665</v>
      </c>
      <c r="C361" s="37">
        <v>52892.896270000005</v>
      </c>
      <c r="D361" s="37">
        <v>-9087.2446300000011</v>
      </c>
      <c r="E361" s="37">
        <v>16958883.17117</v>
      </c>
      <c r="F361" s="37">
        <v>497555.96600000001</v>
      </c>
      <c r="G361" s="37">
        <v>101695.00744</v>
      </c>
      <c r="H361" s="37">
        <v>2051.6559499999998</v>
      </c>
      <c r="I361" s="37">
        <v>23721479.078639999</v>
      </c>
      <c r="J361" s="40"/>
      <c r="K361" s="40"/>
    </row>
    <row r="362" spans="1:11" x14ac:dyDescent="0.3">
      <c r="A362" s="41">
        <v>42676</v>
      </c>
      <c r="B362" s="37">
        <v>6212212.62665</v>
      </c>
      <c r="C362" s="37">
        <v>52892.896270000005</v>
      </c>
      <c r="D362" s="37">
        <v>-9087.2446300000011</v>
      </c>
      <c r="E362" s="37">
        <v>16958883.17117</v>
      </c>
      <c r="F362" s="37">
        <v>497555.96600000001</v>
      </c>
      <c r="G362" s="37">
        <v>101695.00744</v>
      </c>
      <c r="H362" s="37">
        <v>2051.6559499999998</v>
      </c>
      <c r="I362" s="37">
        <v>23816204.078639999</v>
      </c>
      <c r="J362" s="40"/>
      <c r="K362" s="40"/>
    </row>
    <row r="363" spans="1:11" x14ac:dyDescent="0.3">
      <c r="A363" s="41">
        <v>42689</v>
      </c>
      <c r="B363" s="37">
        <v>6405467.62665</v>
      </c>
      <c r="C363" s="37">
        <v>52892.896270000005</v>
      </c>
      <c r="D363" s="37">
        <v>-9087.2446300000011</v>
      </c>
      <c r="E363" s="37">
        <v>16961228.17117</v>
      </c>
      <c r="F363" s="37">
        <v>497555.96600000001</v>
      </c>
      <c r="G363" s="37">
        <v>101695.00744</v>
      </c>
      <c r="H363" s="37">
        <v>2051.6559499999998</v>
      </c>
      <c r="I363" s="37">
        <v>24011804.078639999</v>
      </c>
      <c r="J363" s="40"/>
      <c r="K363" s="40"/>
    </row>
    <row r="364" spans="1:11" x14ac:dyDescent="0.3">
      <c r="A364" s="41">
        <v>42691</v>
      </c>
      <c r="B364" s="37">
        <v>6405602.62665</v>
      </c>
      <c r="C364" s="37">
        <v>52892.896270000005</v>
      </c>
      <c r="D364" s="37">
        <v>-9087.2446300000011</v>
      </c>
      <c r="E364" s="37">
        <v>16961228.17117</v>
      </c>
      <c r="F364" s="37">
        <v>497555.96600000001</v>
      </c>
      <c r="G364" s="37">
        <v>101695.00744</v>
      </c>
      <c r="H364" s="37">
        <v>2051.6559499999998</v>
      </c>
      <c r="I364" s="37">
        <v>24011939.078639999</v>
      </c>
      <c r="J364" s="40"/>
      <c r="K364" s="40"/>
    </row>
    <row r="365" spans="1:11" x14ac:dyDescent="0.3">
      <c r="A365" s="41">
        <v>42704</v>
      </c>
      <c r="B365" s="37">
        <v>6666540.12665</v>
      </c>
      <c r="C365" s="37">
        <v>52892.896270000005</v>
      </c>
      <c r="D365" s="37">
        <v>-9087.2446300000011</v>
      </c>
      <c r="E365" s="37">
        <v>16962718.79617</v>
      </c>
      <c r="F365" s="37">
        <v>497555.96600000001</v>
      </c>
      <c r="G365" s="37">
        <v>101695.00744</v>
      </c>
      <c r="H365" s="37">
        <v>2051.6559499999998</v>
      </c>
      <c r="I365" s="37">
        <v>24274367.203639999</v>
      </c>
      <c r="J365" s="40"/>
      <c r="K365" s="40"/>
    </row>
    <row r="366" spans="1:11" x14ac:dyDescent="0.3">
      <c r="A366" s="41">
        <v>42716</v>
      </c>
      <c r="B366" s="37">
        <v>6669310.12665</v>
      </c>
      <c r="C366" s="37">
        <v>52892.896270000005</v>
      </c>
      <c r="D366" s="37">
        <v>-9087.2446300000011</v>
      </c>
      <c r="E366" s="37">
        <v>16962987.54617</v>
      </c>
      <c r="F366" s="37">
        <v>497555.96600000001</v>
      </c>
      <c r="G366" s="37">
        <v>101695.00744</v>
      </c>
      <c r="H366" s="37">
        <v>2051.6559499999998</v>
      </c>
      <c r="I366" s="37">
        <v>24277405.953639999</v>
      </c>
      <c r="J366" s="40"/>
      <c r="K366" s="40"/>
    </row>
    <row r="367" spans="1:11" x14ac:dyDescent="0.3">
      <c r="A367" s="41">
        <v>42719</v>
      </c>
      <c r="B367" s="37">
        <v>6674835.12665</v>
      </c>
      <c r="C367" s="37">
        <v>52892.896270000005</v>
      </c>
      <c r="D367" s="37">
        <v>-9087.2446300000011</v>
      </c>
      <c r="E367" s="37">
        <v>16962800.382750001</v>
      </c>
      <c r="F367" s="37">
        <v>497555.96600000001</v>
      </c>
      <c r="G367" s="37">
        <v>101695.00744</v>
      </c>
      <c r="H367" s="37">
        <v>2051.6559499999998</v>
      </c>
      <c r="I367" s="37">
        <v>24282743.79022</v>
      </c>
      <c r="J367" s="40"/>
      <c r="K367" s="40"/>
    </row>
    <row r="368" spans="1:11" x14ac:dyDescent="0.3">
      <c r="A368" s="41">
        <v>42720</v>
      </c>
      <c r="B368" s="37">
        <v>6831022.62665</v>
      </c>
      <c r="C368" s="37">
        <v>52892.896270000005</v>
      </c>
      <c r="D368" s="37">
        <v>-9087.2446300000011</v>
      </c>
      <c r="E368" s="37">
        <v>16962800.382750001</v>
      </c>
      <c r="F368" s="37">
        <v>497555.96600000001</v>
      </c>
      <c r="G368" s="37">
        <v>101695.00744</v>
      </c>
      <c r="H368" s="37">
        <v>2051.6559499999998</v>
      </c>
      <c r="I368" s="37">
        <v>24438931.29022</v>
      </c>
      <c r="J368" s="40"/>
      <c r="K368" s="40"/>
    </row>
    <row r="369" spans="1:11" x14ac:dyDescent="0.3">
      <c r="A369" s="41">
        <v>42723</v>
      </c>
      <c r="B369" s="37">
        <v>6841665.25165</v>
      </c>
      <c r="C369" s="37">
        <v>52892.896270000005</v>
      </c>
      <c r="D369" s="37">
        <v>-9087.2446300000011</v>
      </c>
      <c r="E369" s="37">
        <v>16962371.361480001</v>
      </c>
      <c r="F369" s="37">
        <v>497555.96600000001</v>
      </c>
      <c r="G369" s="37">
        <v>101695.00744</v>
      </c>
      <c r="H369" s="37">
        <v>2051.6559499999998</v>
      </c>
      <c r="I369" s="37">
        <v>24449144.89395</v>
      </c>
      <c r="J369" s="40"/>
      <c r="K369" s="40"/>
    </row>
    <row r="370" spans="1:11" x14ac:dyDescent="0.3">
      <c r="A370" s="41">
        <v>42738</v>
      </c>
      <c r="B370" s="37">
        <v>6841665.25165</v>
      </c>
      <c r="C370" s="37">
        <v>52892.896270000005</v>
      </c>
      <c r="D370" s="37">
        <v>-9087.2446300000011</v>
      </c>
      <c r="E370" s="37">
        <v>16963668.861480001</v>
      </c>
      <c r="F370" s="37">
        <v>497555.96600000001</v>
      </c>
      <c r="G370" s="37">
        <v>101695.00744</v>
      </c>
      <c r="H370" s="37">
        <v>2051.6559499999998</v>
      </c>
      <c r="I370" s="37">
        <v>24450442.39395</v>
      </c>
      <c r="J370" s="40"/>
      <c r="K370" s="40"/>
    </row>
    <row r="371" spans="1:11" x14ac:dyDescent="0.3">
      <c r="A371" s="41">
        <v>42752</v>
      </c>
      <c r="B371" s="37">
        <v>6869254.60458</v>
      </c>
      <c r="C371" s="37">
        <v>52892.896270000005</v>
      </c>
      <c r="D371" s="37">
        <v>-9087.2446300000011</v>
      </c>
      <c r="E371" s="37">
        <v>16963668.861480001</v>
      </c>
      <c r="F371" s="37">
        <v>499861.04470999999</v>
      </c>
      <c r="G371" s="37">
        <v>101695.00744</v>
      </c>
      <c r="H371" s="37">
        <v>2051.6559499999998</v>
      </c>
      <c r="I371" s="37">
        <v>24480336.825789999</v>
      </c>
      <c r="J371" s="40"/>
      <c r="K371" s="40"/>
    </row>
    <row r="372" spans="1:11" x14ac:dyDescent="0.3">
      <c r="A372" s="41">
        <v>42754</v>
      </c>
      <c r="B372" s="37">
        <v>6870627.10458</v>
      </c>
      <c r="C372" s="37">
        <v>52892.896270000005</v>
      </c>
      <c r="D372" s="37">
        <v>-9087.2446300000011</v>
      </c>
      <c r="E372" s="37">
        <v>16963668.861480001</v>
      </c>
      <c r="F372" s="37">
        <v>499861.04470999999</v>
      </c>
      <c r="G372" s="37">
        <v>101695.00744</v>
      </c>
      <c r="H372" s="37">
        <v>2051.6559499999998</v>
      </c>
      <c r="I372" s="37">
        <v>24481709.325789999</v>
      </c>
      <c r="J372" s="40"/>
      <c r="K372" s="40"/>
    </row>
    <row r="373" spans="1:11" x14ac:dyDescent="0.3">
      <c r="A373" s="41">
        <v>42767</v>
      </c>
      <c r="B373" s="37">
        <v>6896267.72958</v>
      </c>
      <c r="C373" s="37">
        <v>52892.896270000005</v>
      </c>
      <c r="D373" s="37">
        <v>-9087.2446300000011</v>
      </c>
      <c r="E373" s="37">
        <v>16963668.861480001</v>
      </c>
      <c r="F373" s="37">
        <v>499861.04470999999</v>
      </c>
      <c r="G373" s="37">
        <v>101695.00744</v>
      </c>
      <c r="H373" s="37">
        <v>2051.6559499999998</v>
      </c>
      <c r="I373" s="37">
        <v>24507349.950789999</v>
      </c>
      <c r="J373" s="40"/>
      <c r="K373" s="40"/>
    </row>
    <row r="374" spans="1:11" x14ac:dyDescent="0.3">
      <c r="A374" s="41">
        <v>42781</v>
      </c>
      <c r="B374" s="37">
        <v>6917837.10458</v>
      </c>
      <c r="C374" s="37">
        <v>52892.896270000005</v>
      </c>
      <c r="D374" s="37">
        <v>-9087.2446300000011</v>
      </c>
      <c r="E374" s="37">
        <v>16965788.861480001</v>
      </c>
      <c r="F374" s="37">
        <v>499861.04470999999</v>
      </c>
      <c r="G374" s="37">
        <v>101695.00744</v>
      </c>
      <c r="H374" s="37">
        <v>2051.6559499999998</v>
      </c>
      <c r="I374" s="37">
        <v>24531039.325789999</v>
      </c>
      <c r="J374" s="40"/>
      <c r="K374" s="40"/>
    </row>
    <row r="375" spans="1:11" x14ac:dyDescent="0.3">
      <c r="A375" s="41">
        <v>42782</v>
      </c>
      <c r="B375" s="37">
        <v>7023087.10458</v>
      </c>
      <c r="C375" s="37">
        <v>52892.896270000005</v>
      </c>
      <c r="D375" s="37">
        <v>-9087.2446300000011</v>
      </c>
      <c r="E375" s="37">
        <v>16965788.861480001</v>
      </c>
      <c r="F375" s="37">
        <v>499861.04470999999</v>
      </c>
      <c r="G375" s="37">
        <v>101695.00744</v>
      </c>
      <c r="H375" s="37">
        <v>2051.6559499999998</v>
      </c>
      <c r="I375" s="37">
        <v>24636289.325789999</v>
      </c>
      <c r="J375" s="40"/>
      <c r="K375" s="40"/>
    </row>
    <row r="376" spans="1:11" x14ac:dyDescent="0.3">
      <c r="A376" s="41">
        <v>42793</v>
      </c>
      <c r="B376" s="37">
        <v>7023137.10458</v>
      </c>
      <c r="C376" s="37">
        <v>52892.896270000005</v>
      </c>
      <c r="D376" s="37">
        <v>-9087.2446300000011</v>
      </c>
      <c r="E376" s="37">
        <v>16965788.861480001</v>
      </c>
      <c r="F376" s="37">
        <v>499861.04470999999</v>
      </c>
      <c r="G376" s="37">
        <v>101695.00744</v>
      </c>
      <c r="H376" s="37">
        <v>2051.6559499999998</v>
      </c>
      <c r="I376" s="37">
        <v>24636339.325789999</v>
      </c>
      <c r="J376" s="40"/>
      <c r="K376" s="40"/>
    </row>
    <row r="377" spans="1:11" x14ac:dyDescent="0.3">
      <c r="A377" s="41">
        <v>42794</v>
      </c>
      <c r="B377" s="37">
        <v>7023137.10458</v>
      </c>
      <c r="C377" s="37">
        <v>52892.896270000005</v>
      </c>
      <c r="D377" s="37">
        <v>-9087.2446300000011</v>
      </c>
      <c r="E377" s="37">
        <v>16965788.861480001</v>
      </c>
      <c r="F377" s="37">
        <v>499861.04470999999</v>
      </c>
      <c r="G377" s="37">
        <v>101695.00744</v>
      </c>
      <c r="H377" s="37">
        <v>2051.6559499999998</v>
      </c>
      <c r="I377" s="37">
        <v>24636339.325789999</v>
      </c>
      <c r="J377" s="40"/>
      <c r="K377" s="40"/>
    </row>
    <row r="378" spans="1:11" x14ac:dyDescent="0.3">
      <c r="A378" s="41">
        <v>42809</v>
      </c>
      <c r="B378" s="37">
        <v>7235068.35458</v>
      </c>
      <c r="C378" s="37">
        <v>52892.896270000005</v>
      </c>
      <c r="D378" s="37">
        <v>-9087.2446300000011</v>
      </c>
      <c r="E378" s="37">
        <v>16965788.861480001</v>
      </c>
      <c r="F378" s="37">
        <v>499861.04470999999</v>
      </c>
      <c r="G378" s="37">
        <v>101695.00744</v>
      </c>
      <c r="H378" s="37">
        <v>2051.6559499999998</v>
      </c>
      <c r="I378" s="37">
        <v>24848270.575789999</v>
      </c>
      <c r="J378" s="40"/>
      <c r="K378" s="40"/>
    </row>
    <row r="379" spans="1:11" x14ac:dyDescent="0.3">
      <c r="A379" s="41">
        <v>42814</v>
      </c>
      <c r="B379" s="37">
        <v>7235140.85458</v>
      </c>
      <c r="C379" s="37">
        <v>52892.896270000005</v>
      </c>
      <c r="D379" s="37">
        <v>-9087.2446300000011</v>
      </c>
      <c r="E379" s="37">
        <v>16965959.535549998</v>
      </c>
      <c r="F379" s="37">
        <v>499861.04470999999</v>
      </c>
      <c r="G379" s="37">
        <v>101695.00744</v>
      </c>
      <c r="H379" s="37">
        <v>2051.6559499999998</v>
      </c>
      <c r="I379" s="37">
        <v>24848513.749869999</v>
      </c>
      <c r="J379" s="40"/>
      <c r="K379" s="40"/>
    </row>
    <row r="380" spans="1:11" x14ac:dyDescent="0.3">
      <c r="A380" s="41">
        <v>42822</v>
      </c>
      <c r="B380" s="37">
        <v>7235228.35458</v>
      </c>
      <c r="C380" s="37">
        <v>52892.896270000005</v>
      </c>
      <c r="D380" s="37">
        <v>-9087.2446300000011</v>
      </c>
      <c r="E380" s="37">
        <v>16965959.535549998</v>
      </c>
      <c r="F380" s="37">
        <v>499861.04470999999</v>
      </c>
      <c r="G380" s="37">
        <v>101695.00744</v>
      </c>
      <c r="H380" s="37">
        <v>2051.6559499999998</v>
      </c>
      <c r="I380" s="37">
        <v>24848601.249869999</v>
      </c>
      <c r="J380" s="40"/>
      <c r="K380" s="40"/>
    </row>
    <row r="381" spans="1:11" x14ac:dyDescent="0.3">
      <c r="A381" s="41">
        <v>42825</v>
      </c>
      <c r="B381" s="37">
        <v>7235228.35458</v>
      </c>
      <c r="C381" s="37">
        <v>52892.896270000005</v>
      </c>
      <c r="D381" s="37">
        <v>-9087.2446300000011</v>
      </c>
      <c r="E381" s="37">
        <v>16999124.535549998</v>
      </c>
      <c r="F381" s="37">
        <v>499861.04470999999</v>
      </c>
      <c r="G381" s="37">
        <v>101695.00744</v>
      </c>
      <c r="H381" s="37">
        <v>2051.6559499999998</v>
      </c>
      <c r="I381" s="37">
        <v>24881766.249869999</v>
      </c>
      <c r="J381" s="40"/>
      <c r="K381" s="40"/>
    </row>
    <row r="382" spans="1:11" x14ac:dyDescent="0.3">
      <c r="A382" s="41">
        <v>42835</v>
      </c>
      <c r="B382" s="37">
        <v>7340228.35458</v>
      </c>
      <c r="C382" s="37">
        <v>52892.896270000005</v>
      </c>
      <c r="D382" s="37">
        <v>-9087.2446300000011</v>
      </c>
      <c r="E382" s="37">
        <v>16999124.535549998</v>
      </c>
      <c r="F382" s="37">
        <v>499861.04470999999</v>
      </c>
      <c r="G382" s="37">
        <v>101695.00744</v>
      </c>
      <c r="H382" s="37">
        <v>2051.6559499999998</v>
      </c>
      <c r="I382" s="37">
        <v>24986766.249869999</v>
      </c>
      <c r="J382" s="40"/>
      <c r="K382" s="40"/>
    </row>
    <row r="383" spans="1:11" x14ac:dyDescent="0.3">
      <c r="A383" s="41">
        <v>42842</v>
      </c>
      <c r="B383" s="37">
        <v>7340240.85458</v>
      </c>
      <c r="C383" s="37">
        <v>52892.896270000005</v>
      </c>
      <c r="D383" s="37">
        <v>-9087.2446300000011</v>
      </c>
      <c r="E383" s="37">
        <v>16999124.535549998</v>
      </c>
      <c r="F383" s="37">
        <v>499861.04470999999</v>
      </c>
      <c r="G383" s="37">
        <v>101695.00744</v>
      </c>
      <c r="H383" s="37">
        <v>2051.6559499999998</v>
      </c>
      <c r="I383" s="37">
        <v>24986778.749869999</v>
      </c>
      <c r="J383" s="40"/>
      <c r="K383" s="40"/>
    </row>
    <row r="384" spans="1:11" x14ac:dyDescent="0.3">
      <c r="A384" s="41">
        <v>42851</v>
      </c>
      <c r="B384" s="37">
        <v>7340370.85458</v>
      </c>
      <c r="C384" s="37">
        <v>52892.896270000005</v>
      </c>
      <c r="D384" s="37">
        <v>-9087.2446300000011</v>
      </c>
      <c r="E384" s="37">
        <v>16999124.535549998</v>
      </c>
      <c r="F384" s="37">
        <v>499861.04470999999</v>
      </c>
      <c r="G384" s="37">
        <v>101695.00744</v>
      </c>
      <c r="H384" s="37">
        <v>2051.6559499999998</v>
      </c>
      <c r="I384" s="37">
        <v>24986908.749869999</v>
      </c>
      <c r="J384" s="40"/>
      <c r="K384" s="40"/>
    </row>
    <row r="385" spans="1:11" x14ac:dyDescent="0.3">
      <c r="A385" s="41">
        <v>42870</v>
      </c>
      <c r="B385" s="37">
        <v>7555157.10458</v>
      </c>
      <c r="C385" s="37">
        <v>52892.896270000005</v>
      </c>
      <c r="D385" s="37">
        <v>-9087.2446300000011</v>
      </c>
      <c r="E385" s="37">
        <v>17001469.535549998</v>
      </c>
      <c r="F385" s="37">
        <v>499861.04470999999</v>
      </c>
      <c r="G385" s="37">
        <v>101695.00744</v>
      </c>
      <c r="H385" s="37">
        <v>2051.6559499999998</v>
      </c>
      <c r="I385" s="37">
        <v>25204039.999869999</v>
      </c>
      <c r="J385" s="40"/>
      <c r="K385" s="40"/>
    </row>
    <row r="386" spans="1:11" x14ac:dyDescent="0.3">
      <c r="A386" s="41">
        <v>42872</v>
      </c>
      <c r="B386" s="37">
        <v>7555292.10458</v>
      </c>
      <c r="C386" s="37">
        <v>52892.896270000005</v>
      </c>
      <c r="D386" s="37">
        <v>-9087.2446300000011</v>
      </c>
      <c r="E386" s="37">
        <v>17001469.535549998</v>
      </c>
      <c r="F386" s="37">
        <v>499861.04470999999</v>
      </c>
      <c r="G386" s="37">
        <v>101695.00744</v>
      </c>
      <c r="H386" s="37">
        <v>2051.6559499999998</v>
      </c>
      <c r="I386" s="37">
        <v>25204174.999869999</v>
      </c>
      <c r="J386" s="40"/>
      <c r="K386" s="40"/>
    </row>
    <row r="387" spans="1:11" x14ac:dyDescent="0.3">
      <c r="A387" s="41">
        <v>42886</v>
      </c>
      <c r="B387" s="37">
        <v>7555292.10458</v>
      </c>
      <c r="C387" s="37">
        <v>52892.896270000005</v>
      </c>
      <c r="D387" s="37">
        <v>-9087.2446300000011</v>
      </c>
      <c r="E387" s="37">
        <v>17479960.160549998</v>
      </c>
      <c r="F387" s="37">
        <v>499861.04470999999</v>
      </c>
      <c r="G387" s="37">
        <v>101695.00744</v>
      </c>
      <c r="H387" s="37">
        <v>2051.6559499999998</v>
      </c>
      <c r="I387" s="37">
        <v>25682665.624869999</v>
      </c>
      <c r="J387" s="40"/>
      <c r="K387" s="40"/>
    </row>
    <row r="388" spans="1:11" x14ac:dyDescent="0.3">
      <c r="A388" s="41">
        <v>42898</v>
      </c>
      <c r="B388" s="37">
        <v>7658062.10458</v>
      </c>
      <c r="C388" s="37">
        <v>52892.896270000005</v>
      </c>
      <c r="D388" s="37">
        <v>-9087.2446300000011</v>
      </c>
      <c r="E388" s="37">
        <v>17490228.910549998</v>
      </c>
      <c r="F388" s="37">
        <v>499861.04470999999</v>
      </c>
      <c r="G388" s="37">
        <v>101695.00744</v>
      </c>
      <c r="H388" s="37">
        <v>2051.6559499999998</v>
      </c>
      <c r="I388" s="37">
        <v>25795704.374869999</v>
      </c>
      <c r="J388" s="40"/>
      <c r="K388" s="40"/>
    </row>
    <row r="389" spans="1:11" x14ac:dyDescent="0.3">
      <c r="A389" s="41">
        <v>42905</v>
      </c>
      <c r="B389" s="37">
        <v>7712767.22958</v>
      </c>
      <c r="C389" s="37">
        <v>52892.896270000005</v>
      </c>
      <c r="D389" s="37">
        <v>-9087.2446300000011</v>
      </c>
      <c r="E389" s="37">
        <v>17489822.014570002</v>
      </c>
      <c r="F389" s="37">
        <v>499861.04470999999</v>
      </c>
      <c r="G389" s="37">
        <v>101695.00744</v>
      </c>
      <c r="H389" s="37">
        <v>2051.6559499999998</v>
      </c>
      <c r="I389" s="37">
        <v>25850002.603889998</v>
      </c>
      <c r="J389" s="40"/>
      <c r="K389" s="40"/>
    </row>
    <row r="390" spans="1:11" x14ac:dyDescent="0.3">
      <c r="A390" s="41">
        <v>42915</v>
      </c>
      <c r="B390" s="37">
        <v>7725304.72958</v>
      </c>
      <c r="C390" s="37">
        <v>52892.896270000005</v>
      </c>
      <c r="D390" s="37">
        <v>-9087.2446300000011</v>
      </c>
      <c r="E390" s="37">
        <v>17489822.014570002</v>
      </c>
      <c r="F390" s="37">
        <v>499861.04470999999</v>
      </c>
      <c r="G390" s="37">
        <v>101695.00744</v>
      </c>
      <c r="H390" s="37">
        <v>2051.6559499999998</v>
      </c>
      <c r="I390" s="37">
        <v>25862540.103889998</v>
      </c>
      <c r="J390" s="40"/>
      <c r="K390" s="40"/>
    </row>
    <row r="391" spans="1:11" x14ac:dyDescent="0.3">
      <c r="A391" s="41">
        <v>42916</v>
      </c>
      <c r="B391" s="37">
        <v>7725304.72958</v>
      </c>
      <c r="C391" s="37">
        <v>52892.896270000005</v>
      </c>
      <c r="D391" s="37">
        <v>-9087.2446300000011</v>
      </c>
      <c r="E391" s="37">
        <v>17837119.514570002</v>
      </c>
      <c r="F391" s="37">
        <v>499861.04470999999</v>
      </c>
      <c r="G391" s="37">
        <v>101695.00744</v>
      </c>
      <c r="H391" s="37">
        <v>2051.6559499999998</v>
      </c>
      <c r="I391" s="37">
        <v>26209837.603889998</v>
      </c>
      <c r="J391" s="40"/>
      <c r="K391" s="40"/>
    </row>
    <row r="392" spans="1:11" x14ac:dyDescent="0.3">
      <c r="A392" s="41">
        <v>42931</v>
      </c>
      <c r="B392" s="37">
        <v>7725304.72958</v>
      </c>
      <c r="C392" s="37">
        <v>52892.896270000005</v>
      </c>
      <c r="D392" s="37">
        <v>-9087.2446300000011</v>
      </c>
      <c r="E392" s="37">
        <v>17837119.514570002</v>
      </c>
      <c r="F392" s="37">
        <v>571280.81035000004</v>
      </c>
      <c r="G392" s="37">
        <v>101695.00744</v>
      </c>
      <c r="H392" s="37">
        <v>2051.6559499999998</v>
      </c>
      <c r="I392" s="37">
        <v>26281257.36953</v>
      </c>
      <c r="J392" s="40"/>
      <c r="K392" s="40"/>
    </row>
    <row r="393" spans="1:11" x14ac:dyDescent="0.3">
      <c r="A393" s="41">
        <v>42933</v>
      </c>
      <c r="B393" s="37">
        <v>7727284.7075100001</v>
      </c>
      <c r="C393" s="37">
        <v>52892.896270000005</v>
      </c>
      <c r="D393" s="37">
        <v>-9087.2446300000011</v>
      </c>
      <c r="E393" s="37">
        <v>17837119.514570002</v>
      </c>
      <c r="F393" s="37">
        <v>572660.64862999995</v>
      </c>
      <c r="G393" s="37">
        <v>101695.00744</v>
      </c>
      <c r="H393" s="37">
        <v>2051.6559499999998</v>
      </c>
      <c r="I393" s="37">
        <v>26284617.185740001</v>
      </c>
      <c r="J393" s="40"/>
      <c r="K393" s="40"/>
    </row>
    <row r="394" spans="1:11" x14ac:dyDescent="0.3">
      <c r="A394" s="41">
        <v>42935</v>
      </c>
      <c r="B394" s="37">
        <v>7728657.2075100001</v>
      </c>
      <c r="C394" s="37">
        <v>52892.896270000005</v>
      </c>
      <c r="D394" s="37">
        <v>-9087.2446300000011</v>
      </c>
      <c r="E394" s="37">
        <v>17837119.514570002</v>
      </c>
      <c r="F394" s="37">
        <v>572660.64862999995</v>
      </c>
      <c r="G394" s="37">
        <v>101695.00744</v>
      </c>
      <c r="H394" s="37">
        <v>2051.6559499999998</v>
      </c>
      <c r="I394" s="37">
        <v>26285989.685740001</v>
      </c>
      <c r="J394" s="40"/>
      <c r="K394" s="40"/>
    </row>
    <row r="395" spans="1:11" x14ac:dyDescent="0.3">
      <c r="A395" s="41">
        <v>42962</v>
      </c>
      <c r="B395" s="37">
        <v>7891226.5825100001</v>
      </c>
      <c r="C395" s="37">
        <v>52892.896270000005</v>
      </c>
      <c r="D395" s="37">
        <v>-9087.2446300000011</v>
      </c>
      <c r="E395" s="37">
        <v>17839239.514570002</v>
      </c>
      <c r="F395" s="37">
        <v>572660.64862999995</v>
      </c>
      <c r="G395" s="37">
        <v>101695.00744</v>
      </c>
      <c r="H395" s="37">
        <v>2051.6559499999998</v>
      </c>
      <c r="I395" s="37">
        <v>26450679.060740001</v>
      </c>
      <c r="J395" s="40"/>
      <c r="K395" s="40"/>
    </row>
    <row r="396" spans="1:11" x14ac:dyDescent="0.3">
      <c r="A396" s="41">
        <v>42975</v>
      </c>
      <c r="B396" s="37">
        <v>7891276.5825100001</v>
      </c>
      <c r="C396" s="37">
        <v>52892.896270000005</v>
      </c>
      <c r="D396" s="37">
        <v>-9087.2446300000011</v>
      </c>
      <c r="E396" s="37">
        <v>17839239.514570002</v>
      </c>
      <c r="F396" s="37">
        <v>572660.64862999995</v>
      </c>
      <c r="G396" s="37">
        <v>101695.00744</v>
      </c>
      <c r="H396" s="37">
        <v>2051.6559499999998</v>
      </c>
      <c r="I396" s="37">
        <v>26450729.060740001</v>
      </c>
      <c r="J396" s="40"/>
      <c r="K396" s="40"/>
    </row>
    <row r="397" spans="1:11" x14ac:dyDescent="0.3">
      <c r="A397" s="41">
        <v>42993</v>
      </c>
      <c r="B397" s="37">
        <v>7898582.8325100001</v>
      </c>
      <c r="C397" s="37">
        <v>52892.896270000005</v>
      </c>
      <c r="D397" s="37">
        <v>-9087.2446300000011</v>
      </c>
      <c r="E397" s="37">
        <v>17839239.514570002</v>
      </c>
      <c r="F397" s="37">
        <v>572660.64862999995</v>
      </c>
      <c r="G397" s="37">
        <v>101695.00744</v>
      </c>
      <c r="H397" s="37">
        <v>2051.6559499999998</v>
      </c>
      <c r="I397" s="37">
        <v>26458035.310740001</v>
      </c>
      <c r="J397" s="40"/>
      <c r="K397" s="40"/>
    </row>
    <row r="398" spans="1:11" x14ac:dyDescent="0.3">
      <c r="A398" s="41">
        <v>42997</v>
      </c>
      <c r="B398" s="37">
        <v>7898655.3325100001</v>
      </c>
      <c r="C398" s="37">
        <v>52892.896270000005</v>
      </c>
      <c r="D398" s="37">
        <v>-9087.2446300000011</v>
      </c>
      <c r="E398" s="37">
        <v>17839239.514570002</v>
      </c>
      <c r="F398" s="37">
        <v>572660.64862999995</v>
      </c>
      <c r="G398" s="37">
        <v>101695.00744</v>
      </c>
      <c r="H398" s="37">
        <v>2051.6559499999998</v>
      </c>
      <c r="I398" s="37">
        <v>26458107.810740001</v>
      </c>
      <c r="J398" s="40"/>
      <c r="K398" s="40"/>
    </row>
    <row r="399" spans="1:11" x14ac:dyDescent="0.3">
      <c r="A399" s="41">
        <v>43006</v>
      </c>
      <c r="B399" s="37">
        <v>7898742.8325100001</v>
      </c>
      <c r="C399" s="37">
        <v>52892.896270000005</v>
      </c>
      <c r="D399" s="37">
        <v>-9087.2446300000011</v>
      </c>
      <c r="E399" s="37">
        <v>17839239.514570002</v>
      </c>
      <c r="F399" s="37">
        <v>572660.64862999995</v>
      </c>
      <c r="G399" s="37">
        <v>101695.00744</v>
      </c>
      <c r="H399" s="37">
        <v>2051.6559499999998</v>
      </c>
      <c r="I399" s="37">
        <v>26458195.310740001</v>
      </c>
      <c r="J399" s="40"/>
      <c r="K399" s="40"/>
    </row>
    <row r="400" spans="1:11" x14ac:dyDescent="0.3">
      <c r="A400" s="41">
        <v>43024</v>
      </c>
      <c r="B400" s="37">
        <v>7898755.3325100001</v>
      </c>
      <c r="C400" s="37">
        <v>52892.896270000005</v>
      </c>
      <c r="D400" s="37">
        <v>-9087.2446300000011</v>
      </c>
      <c r="E400" s="37">
        <v>17839239.514570002</v>
      </c>
      <c r="F400" s="37">
        <v>572660.64862999995</v>
      </c>
      <c r="G400" s="37">
        <v>101695.00744</v>
      </c>
      <c r="H400" s="37">
        <v>2051.6559499999998</v>
      </c>
      <c r="I400" s="37">
        <v>26458207.810740001</v>
      </c>
      <c r="J400" s="40"/>
      <c r="K400" s="40"/>
    </row>
    <row r="401" spans="1:11" x14ac:dyDescent="0.3">
      <c r="A401" s="41">
        <v>43034</v>
      </c>
      <c r="B401" s="37">
        <v>7898885.3325100001</v>
      </c>
      <c r="C401" s="37">
        <v>52892.896270000005</v>
      </c>
      <c r="D401" s="37">
        <v>-9087.2446300000011</v>
      </c>
      <c r="E401" s="37">
        <v>17839239.514570002</v>
      </c>
      <c r="F401" s="37">
        <v>572660.64862999995</v>
      </c>
      <c r="G401" s="37">
        <v>101695.00744</v>
      </c>
      <c r="H401" s="37">
        <v>2051.6559499999998</v>
      </c>
      <c r="I401" s="37">
        <v>26458337.810740001</v>
      </c>
      <c r="J401" s="40"/>
      <c r="K401" s="40"/>
    </row>
    <row r="402" spans="1:11" x14ac:dyDescent="0.3">
      <c r="A402" s="41">
        <v>43054</v>
      </c>
      <c r="B402" s="37">
        <v>7931015.3325100001</v>
      </c>
      <c r="C402" s="37">
        <v>52892.896270000005</v>
      </c>
      <c r="D402" s="37">
        <v>-9087.2446300000011</v>
      </c>
      <c r="E402" s="37">
        <v>17841584.514570002</v>
      </c>
      <c r="F402" s="37">
        <v>572660.64862999995</v>
      </c>
      <c r="G402" s="37">
        <v>101695.00744</v>
      </c>
      <c r="H402" s="37">
        <v>2051.6559499999998</v>
      </c>
      <c r="I402" s="37">
        <v>26492812.810740001</v>
      </c>
      <c r="J402" s="40"/>
      <c r="K402" s="40"/>
    </row>
    <row r="403" spans="1:11" x14ac:dyDescent="0.3">
      <c r="A403" s="41">
        <v>43056</v>
      </c>
      <c r="B403" s="37">
        <v>7931150.3325100001</v>
      </c>
      <c r="C403" s="37">
        <v>52892.896270000005</v>
      </c>
      <c r="D403" s="37">
        <v>-9087.2446300000011</v>
      </c>
      <c r="E403" s="37">
        <v>17841584.514570002</v>
      </c>
      <c r="F403" s="37">
        <v>572660.64862999995</v>
      </c>
      <c r="G403" s="37">
        <v>101695.00744</v>
      </c>
      <c r="H403" s="37">
        <v>2051.6559499999998</v>
      </c>
      <c r="I403" s="37">
        <v>26492947.810740001</v>
      </c>
      <c r="J403" s="40"/>
      <c r="K403" s="40"/>
    </row>
    <row r="404" spans="1:11" x14ac:dyDescent="0.3">
      <c r="A404" s="41">
        <v>43081</v>
      </c>
      <c r="B404" s="37">
        <v>7931232.8325100001</v>
      </c>
      <c r="C404" s="37">
        <v>52892.896270000005</v>
      </c>
      <c r="D404" s="37">
        <v>-9087.2446300000011</v>
      </c>
      <c r="E404" s="37">
        <v>17841584.514570002</v>
      </c>
      <c r="F404" s="37">
        <v>572660.64862999995</v>
      </c>
      <c r="G404" s="37">
        <v>101695.00744</v>
      </c>
      <c r="H404" s="37">
        <v>2051.6559499999998</v>
      </c>
      <c r="I404" s="37">
        <v>26493030.310740001</v>
      </c>
      <c r="J404" s="40"/>
      <c r="K404" s="40"/>
    </row>
    <row r="405" spans="1:11" x14ac:dyDescent="0.3">
      <c r="A405" s="41">
        <v>43084</v>
      </c>
      <c r="B405" s="37">
        <v>8066757.8325100001</v>
      </c>
      <c r="C405" s="37">
        <v>52892.896270000005</v>
      </c>
      <c r="D405" s="37">
        <v>-9087.2446300000011</v>
      </c>
      <c r="E405" s="37">
        <v>17841584.514570002</v>
      </c>
      <c r="F405" s="37">
        <v>572660.64862999995</v>
      </c>
      <c r="G405" s="37">
        <v>101695.00744</v>
      </c>
      <c r="H405" s="37">
        <v>2051.6559499999998</v>
      </c>
      <c r="I405" s="37">
        <v>26628555.310740001</v>
      </c>
      <c r="J405" s="40"/>
      <c r="K405" s="40"/>
    </row>
    <row r="406" spans="1:11" x14ac:dyDescent="0.3">
      <c r="A406" s="41">
        <v>43087</v>
      </c>
      <c r="B406" s="37">
        <v>8277335.9575100001</v>
      </c>
      <c r="C406" s="37">
        <v>52892.896270000005</v>
      </c>
      <c r="D406" s="37">
        <v>-9087.2446300000011</v>
      </c>
      <c r="E406" s="37">
        <v>17841584.514570002</v>
      </c>
      <c r="F406" s="37">
        <v>572660.64862999995</v>
      </c>
      <c r="G406" s="37">
        <v>101695.00744</v>
      </c>
      <c r="H406" s="37">
        <v>2051.6559499999998</v>
      </c>
      <c r="I406" s="37">
        <v>26839133.435740001</v>
      </c>
      <c r="J406" s="40"/>
      <c r="K406" s="40"/>
    </row>
    <row r="407" spans="1:11" x14ac:dyDescent="0.3">
      <c r="A407" s="41">
        <v>43088</v>
      </c>
      <c r="B407" s="37">
        <v>8277400.4575100001</v>
      </c>
      <c r="C407" s="37">
        <v>52892.896270000005</v>
      </c>
      <c r="D407" s="37">
        <v>-9087.2446300000011</v>
      </c>
      <c r="E407" s="37">
        <v>17841584.514570002</v>
      </c>
      <c r="F407" s="37">
        <v>572660.64862999995</v>
      </c>
      <c r="G407" s="37">
        <v>101695.00744</v>
      </c>
      <c r="H407" s="37">
        <v>2051.6559499999998</v>
      </c>
      <c r="I407" s="37">
        <v>26839197.935740001</v>
      </c>
      <c r="J407" s="40"/>
      <c r="K407" s="40"/>
    </row>
    <row r="408" spans="1:11" x14ac:dyDescent="0.3">
      <c r="A408" s="41">
        <v>43115</v>
      </c>
      <c r="B408" s="37">
        <v>8277400.4575100001</v>
      </c>
      <c r="C408" s="37">
        <v>52892.896270000005</v>
      </c>
      <c r="D408" s="37">
        <v>-9087.2446300000011</v>
      </c>
      <c r="E408" s="37">
        <v>17841584.514570002</v>
      </c>
      <c r="F408" s="37">
        <v>627467.22311999998</v>
      </c>
      <c r="G408" s="37">
        <v>101695.00744</v>
      </c>
      <c r="H408" s="37">
        <v>2051.6559499999998</v>
      </c>
      <c r="I408" s="37">
        <v>26894004.510230001</v>
      </c>
      <c r="J408" s="40"/>
      <c r="K408" s="40"/>
    </row>
    <row r="409" spans="1:11" x14ac:dyDescent="0.3">
      <c r="A409" s="41">
        <v>43116</v>
      </c>
      <c r="B409" s="37">
        <v>8279380.4354399992</v>
      </c>
      <c r="C409" s="37">
        <v>52892.896270000005</v>
      </c>
      <c r="D409" s="37">
        <v>-9087.2446300000011</v>
      </c>
      <c r="E409" s="37">
        <v>17841584.514570002</v>
      </c>
      <c r="F409" s="37">
        <v>628405.34690999996</v>
      </c>
      <c r="G409" s="37">
        <v>101695.00744</v>
      </c>
      <c r="H409" s="37">
        <v>2051.6559499999998</v>
      </c>
      <c r="I409" s="37">
        <v>26896922.611950003</v>
      </c>
      <c r="J409" s="40"/>
      <c r="K409" s="40"/>
    </row>
    <row r="410" spans="1:11" x14ac:dyDescent="0.3">
      <c r="A410" s="41">
        <v>43119</v>
      </c>
      <c r="B410" s="37">
        <v>8280752.9354399992</v>
      </c>
      <c r="C410" s="37">
        <v>52892.896270000005</v>
      </c>
      <c r="D410" s="37">
        <v>-9087.2446300000011</v>
      </c>
      <c r="E410" s="37">
        <v>17841584.514570002</v>
      </c>
      <c r="F410" s="37">
        <v>628405.34690999996</v>
      </c>
      <c r="G410" s="37">
        <v>101695.00744</v>
      </c>
      <c r="H410" s="37">
        <v>2051.6559499999998</v>
      </c>
      <c r="I410" s="37">
        <v>26898295.111950003</v>
      </c>
      <c r="J410" s="40"/>
      <c r="K410" s="40"/>
    </row>
    <row r="411" spans="1:11" x14ac:dyDescent="0.3">
      <c r="A411" s="41">
        <v>43146</v>
      </c>
      <c r="B411" s="37">
        <v>8296065.4354399992</v>
      </c>
      <c r="C411" s="37">
        <v>52892.896270000005</v>
      </c>
      <c r="D411" s="37">
        <v>-9087.2446300000011</v>
      </c>
      <c r="E411" s="37">
        <v>17843704.514570002</v>
      </c>
      <c r="F411" s="37">
        <v>628405.34690999996</v>
      </c>
      <c r="G411" s="37">
        <v>101695.00744</v>
      </c>
      <c r="H411" s="37">
        <v>2051.6559499999998</v>
      </c>
      <c r="I411" s="37">
        <v>26915727.611950003</v>
      </c>
      <c r="J411" s="40"/>
      <c r="K411" s="40"/>
    </row>
    <row r="412" spans="1:11" x14ac:dyDescent="0.3">
      <c r="A412" s="41">
        <v>43158</v>
      </c>
      <c r="B412" s="37">
        <v>8306115.4354399992</v>
      </c>
      <c r="C412" s="37">
        <v>52892.896270000005</v>
      </c>
      <c r="D412" s="37">
        <v>-9087.2446300000011</v>
      </c>
      <c r="E412" s="37">
        <v>17843704.514570002</v>
      </c>
      <c r="F412" s="37">
        <v>628405.34690999996</v>
      </c>
      <c r="G412" s="37">
        <v>101695.00744</v>
      </c>
      <c r="H412" s="37">
        <v>2051.6559499999998</v>
      </c>
      <c r="I412" s="37">
        <v>26925777.611950003</v>
      </c>
      <c r="J412" s="40"/>
      <c r="K412" s="40"/>
    </row>
    <row r="413" spans="1:11" x14ac:dyDescent="0.3">
      <c r="A413" s="41">
        <v>43174</v>
      </c>
      <c r="B413" s="37">
        <v>8647421.6854400001</v>
      </c>
      <c r="C413" s="37">
        <v>52892.896270000005</v>
      </c>
      <c r="D413" s="37">
        <v>-9087.2446300000011</v>
      </c>
      <c r="E413" s="37">
        <v>17843704.514570002</v>
      </c>
      <c r="F413" s="37">
        <v>628405.34690999996</v>
      </c>
      <c r="G413" s="37">
        <v>101695.00744</v>
      </c>
      <c r="H413" s="37">
        <v>2051.6559499999998</v>
      </c>
      <c r="I413" s="37">
        <v>27267083.861950003</v>
      </c>
      <c r="J413" s="40"/>
      <c r="K413" s="40"/>
    </row>
    <row r="414" spans="1:11" x14ac:dyDescent="0.3">
      <c r="A414" s="41">
        <v>43178</v>
      </c>
      <c r="B414" s="37">
        <v>8661994.1854400001</v>
      </c>
      <c r="C414" s="37">
        <v>52892.896270000005</v>
      </c>
      <c r="D414" s="37">
        <v>-9087.2446300000011</v>
      </c>
      <c r="E414" s="37">
        <v>17843704.514570002</v>
      </c>
      <c r="F414" s="37">
        <v>628405.34690999996</v>
      </c>
      <c r="G414" s="37">
        <v>101695.00744</v>
      </c>
      <c r="H414" s="37">
        <v>2051.6559499999998</v>
      </c>
      <c r="I414" s="37">
        <v>27281656.361950003</v>
      </c>
      <c r="J414" s="40"/>
      <c r="K414" s="40"/>
    </row>
    <row r="415" spans="1:11" x14ac:dyDescent="0.3">
      <c r="A415" s="41">
        <v>43187</v>
      </c>
      <c r="B415" s="37">
        <v>8679581.6854400001</v>
      </c>
      <c r="C415" s="37">
        <v>52892.896270000005</v>
      </c>
      <c r="D415" s="37">
        <v>-9087.2446300000011</v>
      </c>
      <c r="E415" s="37">
        <v>17843704.514570002</v>
      </c>
      <c r="F415" s="37">
        <v>628405.34690999996</v>
      </c>
      <c r="G415" s="37">
        <v>101695.00744</v>
      </c>
      <c r="H415" s="37">
        <v>2051.6559499999998</v>
      </c>
      <c r="I415" s="37">
        <v>27299243.861950003</v>
      </c>
      <c r="J415" s="40"/>
      <c r="K415" s="40"/>
    </row>
    <row r="416" spans="1:11" x14ac:dyDescent="0.3">
      <c r="A416" s="41">
        <v>43206</v>
      </c>
      <c r="B416" s="37">
        <v>8682094.1854400001</v>
      </c>
      <c r="C416" s="37">
        <v>52892.896270000005</v>
      </c>
      <c r="D416" s="37">
        <v>-9087.2446300000011</v>
      </c>
      <c r="E416" s="37">
        <v>17843704.514570002</v>
      </c>
      <c r="F416" s="37">
        <v>628405.34690999996</v>
      </c>
      <c r="G416" s="37">
        <v>101695.00744</v>
      </c>
      <c r="H416" s="37">
        <v>2051.6559499999998</v>
      </c>
      <c r="I416" s="37">
        <v>27301756.361950003</v>
      </c>
      <c r="J416" s="40"/>
      <c r="K416" s="40"/>
    </row>
    <row r="417" spans="1:11" x14ac:dyDescent="0.3">
      <c r="A417" s="41">
        <v>43216</v>
      </c>
      <c r="B417" s="37">
        <v>8708224.1854400001</v>
      </c>
      <c r="C417" s="37">
        <v>52892.896270000005</v>
      </c>
      <c r="D417" s="37">
        <v>-9087.2446300000011</v>
      </c>
      <c r="E417" s="37">
        <v>17843704.514570002</v>
      </c>
      <c r="F417" s="37">
        <v>628405.34690999996</v>
      </c>
      <c r="G417" s="37">
        <v>101695.00744</v>
      </c>
      <c r="H417" s="37">
        <v>2051.6559499999998</v>
      </c>
      <c r="I417" s="37">
        <v>27327886.361950003</v>
      </c>
      <c r="J417" s="40"/>
      <c r="K417" s="40"/>
    </row>
    <row r="418" spans="1:11" x14ac:dyDescent="0.3">
      <c r="A418" s="41">
        <v>43235</v>
      </c>
      <c r="B418" s="37">
        <v>8740354.1854400001</v>
      </c>
      <c r="C418" s="37">
        <v>52892.896270000005</v>
      </c>
      <c r="D418" s="37">
        <v>-9087.2446300000011</v>
      </c>
      <c r="E418" s="37">
        <v>17846049.514570002</v>
      </c>
      <c r="F418" s="37">
        <v>628405.34690999996</v>
      </c>
      <c r="G418" s="37">
        <v>101695.00744</v>
      </c>
      <c r="H418" s="37">
        <v>2051.6559499999998</v>
      </c>
      <c r="I418" s="37">
        <v>27362361.361950003</v>
      </c>
      <c r="J418" s="40"/>
      <c r="K418" s="40"/>
    </row>
    <row r="419" spans="1:11" x14ac:dyDescent="0.3">
      <c r="A419" s="41">
        <v>43237</v>
      </c>
      <c r="B419" s="37">
        <v>8767489.1854400001</v>
      </c>
      <c r="C419" s="37">
        <v>52892.896270000005</v>
      </c>
      <c r="D419" s="37">
        <v>-9087.2446300000011</v>
      </c>
      <c r="E419" s="37">
        <v>17846049.514570002</v>
      </c>
      <c r="F419" s="37">
        <v>628405.34690999996</v>
      </c>
      <c r="G419" s="37">
        <v>101695.00744</v>
      </c>
      <c r="H419" s="37">
        <v>2051.6559499999998</v>
      </c>
      <c r="I419" s="37">
        <v>27389496.361950003</v>
      </c>
      <c r="J419" s="40"/>
      <c r="K419" s="40"/>
    </row>
    <row r="420" spans="1:11" x14ac:dyDescent="0.3">
      <c r="A420" s="41">
        <v>43263</v>
      </c>
      <c r="B420" s="37">
        <v>8784071.6854400001</v>
      </c>
      <c r="C420" s="37">
        <v>52892.896270000005</v>
      </c>
      <c r="D420" s="37">
        <v>-9087.2446300000011</v>
      </c>
      <c r="E420" s="37">
        <v>17846049.514570002</v>
      </c>
      <c r="F420" s="37">
        <v>628405.34690999996</v>
      </c>
      <c r="G420" s="37">
        <v>101695.00744</v>
      </c>
      <c r="H420" s="37">
        <v>2051.6559499999998</v>
      </c>
      <c r="I420" s="37">
        <v>27406078.861950003</v>
      </c>
      <c r="J420" s="40"/>
      <c r="K420" s="40"/>
    </row>
    <row r="421" spans="1:11" x14ac:dyDescent="0.3">
      <c r="A421" s="41">
        <v>43269</v>
      </c>
      <c r="B421" s="37">
        <v>8785899.8104400001</v>
      </c>
      <c r="C421" s="37">
        <v>52892.896270000005</v>
      </c>
      <c r="D421" s="37">
        <v>-9087.2446300000011</v>
      </c>
      <c r="E421" s="37">
        <v>17846049.514570002</v>
      </c>
      <c r="F421" s="37">
        <v>628405.34690999996</v>
      </c>
      <c r="G421" s="37">
        <v>101695.00744</v>
      </c>
      <c r="H421" s="37">
        <v>2051.6559499999998</v>
      </c>
      <c r="I421" s="37">
        <v>27407906.986950003</v>
      </c>
      <c r="J421" s="40"/>
      <c r="K421" s="40"/>
    </row>
    <row r="422" spans="1:11" x14ac:dyDescent="0.3">
      <c r="A422" s="41">
        <v>43270</v>
      </c>
      <c r="B422" s="37">
        <v>8798864.3104400001</v>
      </c>
      <c r="C422" s="37">
        <v>52892.896270000005</v>
      </c>
      <c r="D422" s="37">
        <v>-9087.2446300000011</v>
      </c>
      <c r="E422" s="37">
        <v>17846049.514570002</v>
      </c>
      <c r="F422" s="37">
        <v>628405.34690999996</v>
      </c>
      <c r="G422" s="37">
        <v>101695.00744</v>
      </c>
      <c r="H422" s="37">
        <v>2051.6559499999998</v>
      </c>
      <c r="I422" s="37">
        <v>27420871.486950003</v>
      </c>
      <c r="J422" s="40"/>
      <c r="K422" s="40"/>
    </row>
    <row r="423" spans="1:11" x14ac:dyDescent="0.3">
      <c r="A423" s="41">
        <v>43280</v>
      </c>
      <c r="B423" s="37">
        <v>9106401.8104400001</v>
      </c>
      <c r="C423" s="37">
        <v>52892.896270000005</v>
      </c>
      <c r="D423" s="37">
        <v>-9087.2446300000011</v>
      </c>
      <c r="E423" s="37">
        <v>17846049.514570002</v>
      </c>
      <c r="F423" s="37">
        <v>628405.34690999996</v>
      </c>
      <c r="G423" s="37">
        <v>101695.00744</v>
      </c>
      <c r="H423" s="37">
        <v>2051.6559499999998</v>
      </c>
      <c r="I423" s="37">
        <v>27728408.986950003</v>
      </c>
      <c r="J423" s="40"/>
      <c r="K423" s="40"/>
    </row>
    <row r="424" spans="1:11" x14ac:dyDescent="0.3">
      <c r="A424" s="41">
        <v>43283</v>
      </c>
      <c r="B424" s="37">
        <v>9106401.8104400001</v>
      </c>
      <c r="C424" s="37">
        <v>52892.896270000005</v>
      </c>
      <c r="D424" s="37">
        <v>-9087.2446300000011</v>
      </c>
      <c r="E424" s="37">
        <v>17846049.514570002</v>
      </c>
      <c r="F424" s="37">
        <v>628405.34690999996</v>
      </c>
      <c r="G424" s="37">
        <v>101695.00744</v>
      </c>
      <c r="H424" s="37">
        <v>2051.6559499999998</v>
      </c>
      <c r="I424" s="37">
        <v>27728408.986950003</v>
      </c>
      <c r="J424" s="40"/>
      <c r="K424" s="40"/>
    </row>
    <row r="425" spans="1:11" x14ac:dyDescent="0.3">
      <c r="A425" s="41">
        <v>43297</v>
      </c>
      <c r="B425" s="37">
        <v>9179183.7883700002</v>
      </c>
      <c r="C425" s="37">
        <v>52892.896270000005</v>
      </c>
      <c r="D425" s="37">
        <v>-9087.2446300000011</v>
      </c>
      <c r="E425" s="37">
        <v>17846049.514570002</v>
      </c>
      <c r="F425" s="37">
        <v>629343.47070000006</v>
      </c>
      <c r="G425" s="37">
        <v>101695.00744</v>
      </c>
      <c r="H425" s="37">
        <v>2051.6559499999998</v>
      </c>
      <c r="I425" s="37">
        <v>27802129.088669997</v>
      </c>
      <c r="J425" s="40"/>
      <c r="K425" s="40"/>
    </row>
    <row r="426" spans="1:11" x14ac:dyDescent="0.3">
      <c r="A426" s="41">
        <v>43300</v>
      </c>
      <c r="B426" s="37">
        <v>9180556.2883700002</v>
      </c>
      <c r="C426" s="37">
        <v>52892.896270000005</v>
      </c>
      <c r="D426" s="37">
        <v>-9087.2446300000011</v>
      </c>
      <c r="E426" s="37">
        <v>17846049.514570002</v>
      </c>
      <c r="F426" s="37">
        <v>629343.47070000006</v>
      </c>
      <c r="G426" s="37">
        <v>101695.00744</v>
      </c>
      <c r="H426" s="37">
        <v>2051.6559499999998</v>
      </c>
      <c r="I426" s="37">
        <v>27803501.588669997</v>
      </c>
      <c r="J426" s="40"/>
      <c r="K426" s="40"/>
    </row>
    <row r="427" spans="1:11" x14ac:dyDescent="0.3">
      <c r="A427" s="41">
        <v>43327</v>
      </c>
      <c r="B427" s="37">
        <v>9195868.7883700002</v>
      </c>
      <c r="C427" s="37">
        <v>52892.896270000005</v>
      </c>
      <c r="D427" s="37">
        <v>-9087.2446300000011</v>
      </c>
      <c r="E427" s="37">
        <v>17848169.514570002</v>
      </c>
      <c r="F427" s="37">
        <v>629343.47070000006</v>
      </c>
      <c r="G427" s="37">
        <v>101695.00744</v>
      </c>
      <c r="H427" s="37">
        <v>2051.6559499999998</v>
      </c>
      <c r="I427" s="37">
        <v>27820934.088669997</v>
      </c>
      <c r="J427" s="40"/>
      <c r="K427" s="40"/>
    </row>
    <row r="428" spans="1:11" x14ac:dyDescent="0.3">
      <c r="A428" s="41">
        <v>43419</v>
      </c>
      <c r="B428" s="37">
        <v>9277998.7883700002</v>
      </c>
      <c r="C428" s="37">
        <v>52892.896270000005</v>
      </c>
      <c r="D428" s="37">
        <v>-9087.2446300000011</v>
      </c>
      <c r="E428" s="37">
        <v>17850514.514570002</v>
      </c>
      <c r="F428" s="37">
        <v>629343.47070000006</v>
      </c>
      <c r="G428" s="37">
        <v>101695.00744</v>
      </c>
      <c r="H428" s="37">
        <v>2051.6559499999998</v>
      </c>
      <c r="I428" s="37">
        <v>27905409.088669997</v>
      </c>
      <c r="J428" s="40"/>
      <c r="K428" s="40"/>
    </row>
    <row r="429" spans="1:11" x14ac:dyDescent="0.3">
      <c r="A429" s="41">
        <v>43451</v>
      </c>
      <c r="B429" s="37">
        <v>9279826.9133700002</v>
      </c>
      <c r="C429" s="37">
        <v>52892.896270000005</v>
      </c>
      <c r="D429" s="37">
        <v>-9087.2446300000011</v>
      </c>
      <c r="E429" s="37">
        <v>17850514.514570002</v>
      </c>
      <c r="F429" s="37">
        <v>629343.47070000006</v>
      </c>
      <c r="G429" s="37">
        <v>101695.00744</v>
      </c>
      <c r="H429" s="37">
        <v>2051.6559499999998</v>
      </c>
      <c r="I429" s="37">
        <v>27907237.213669997</v>
      </c>
      <c r="J429" s="40"/>
      <c r="K429" s="40"/>
    </row>
    <row r="430" spans="1:11" x14ac:dyDescent="0.3">
      <c r="A430" s="41">
        <v>43480</v>
      </c>
      <c r="B430" s="37">
        <v>9279826.9133700002</v>
      </c>
      <c r="C430" s="37">
        <v>52892.896270000005</v>
      </c>
      <c r="D430" s="37">
        <v>-9087.2446300000011</v>
      </c>
      <c r="E430" s="37">
        <v>17850514.514570002</v>
      </c>
      <c r="F430" s="37">
        <v>675291.31449000002</v>
      </c>
      <c r="G430" s="37">
        <v>101695.00744</v>
      </c>
      <c r="H430" s="37">
        <v>2051.6559499999998</v>
      </c>
      <c r="I430" s="37">
        <v>27953185.057459999</v>
      </c>
      <c r="J430" s="40"/>
      <c r="K430" s="40"/>
    </row>
    <row r="431" spans="1:11" x14ac:dyDescent="0.3">
      <c r="A431" s="41">
        <v>43487</v>
      </c>
      <c r="B431" s="37">
        <v>9281199.4133700002</v>
      </c>
      <c r="C431" s="37">
        <v>52892.896270000005</v>
      </c>
      <c r="D431" s="37">
        <v>-9087.2446300000011</v>
      </c>
      <c r="E431" s="37">
        <v>17850514.514570002</v>
      </c>
      <c r="F431" s="37">
        <v>675291.31449000002</v>
      </c>
      <c r="G431" s="37">
        <v>101695.00744</v>
      </c>
      <c r="H431" s="37">
        <v>2051.6559499999998</v>
      </c>
      <c r="I431" s="37">
        <v>27954557.557459999</v>
      </c>
      <c r="J431" s="40"/>
      <c r="K431" s="40"/>
    </row>
    <row r="432" spans="1:11" x14ac:dyDescent="0.3">
      <c r="A432" s="41">
        <v>43511</v>
      </c>
      <c r="B432" s="37">
        <v>9296511.9133700002</v>
      </c>
      <c r="C432" s="37">
        <v>52892.896270000005</v>
      </c>
      <c r="D432" s="37">
        <v>-9087.2446300000011</v>
      </c>
      <c r="E432" s="37">
        <v>17852634.514570002</v>
      </c>
      <c r="F432" s="37">
        <v>675291.31449000002</v>
      </c>
      <c r="G432" s="37">
        <v>101695.00744</v>
      </c>
      <c r="H432" s="37">
        <v>2051.6559499999998</v>
      </c>
      <c r="I432" s="37">
        <v>27971990.057459999</v>
      </c>
      <c r="J432" s="40"/>
      <c r="K432" s="40"/>
    </row>
    <row r="433" spans="1:11" x14ac:dyDescent="0.3">
      <c r="A433" s="41">
        <v>43600</v>
      </c>
      <c r="B433" s="37">
        <v>9326391.9133700002</v>
      </c>
      <c r="C433" s="37">
        <v>52892.896270000005</v>
      </c>
      <c r="D433" s="37">
        <v>-9087.2446300000011</v>
      </c>
      <c r="E433" s="37">
        <v>17854979.514570002</v>
      </c>
      <c r="F433" s="37">
        <v>675291.31449000002</v>
      </c>
      <c r="G433" s="37">
        <v>101695.00744</v>
      </c>
      <c r="H433" s="37">
        <v>2051.6559499999998</v>
      </c>
      <c r="I433" s="37">
        <v>28004215.057459999</v>
      </c>
      <c r="J433" s="40"/>
      <c r="K433" s="40"/>
    </row>
    <row r="434" spans="1:11" x14ac:dyDescent="0.3">
      <c r="A434" s="41">
        <v>43633</v>
      </c>
      <c r="B434" s="37">
        <v>9403220.0383700002</v>
      </c>
      <c r="C434" s="37">
        <v>52892.896270000005</v>
      </c>
      <c r="D434" s="37">
        <v>-9087.2446300000011</v>
      </c>
      <c r="E434" s="37">
        <v>17854979.514570002</v>
      </c>
      <c r="F434" s="37">
        <v>675291.31449000002</v>
      </c>
      <c r="G434" s="37">
        <v>101695.00744</v>
      </c>
      <c r="H434" s="37">
        <v>2051.6559499999998</v>
      </c>
      <c r="I434" s="37">
        <v>28081043.182459999</v>
      </c>
      <c r="J434" s="40"/>
      <c r="K434" s="40"/>
    </row>
    <row r="435" spans="1:11" x14ac:dyDescent="0.3">
      <c r="A435" s="41">
        <v>43661</v>
      </c>
      <c r="B435" s="37">
        <v>9403220.0383700002</v>
      </c>
      <c r="C435" s="37">
        <v>52892.896270000005</v>
      </c>
      <c r="D435" s="37">
        <v>-9087.2446300000011</v>
      </c>
      <c r="E435" s="37">
        <v>17854979.514570002</v>
      </c>
      <c r="F435" s="37">
        <v>707540.11499999999</v>
      </c>
      <c r="G435" s="37">
        <v>101695.00744</v>
      </c>
      <c r="H435" s="37">
        <v>2051.6559499999998</v>
      </c>
      <c r="I435" s="37">
        <v>28113291.982970003</v>
      </c>
      <c r="J435" s="40"/>
      <c r="K435" s="40"/>
    </row>
    <row r="436" spans="1:11" x14ac:dyDescent="0.3">
      <c r="A436" s="41">
        <v>43665</v>
      </c>
      <c r="B436" s="37">
        <v>9404592.5383700002</v>
      </c>
      <c r="C436" s="37">
        <v>52892.896270000005</v>
      </c>
      <c r="D436" s="37">
        <v>-9087.2446300000011</v>
      </c>
      <c r="E436" s="37">
        <v>17854979.514570002</v>
      </c>
      <c r="F436" s="37">
        <v>707540.11499999999</v>
      </c>
      <c r="G436" s="37">
        <v>101695.00744</v>
      </c>
      <c r="H436" s="37">
        <v>2051.6559499999998</v>
      </c>
      <c r="I436" s="37">
        <v>28114664.482970003</v>
      </c>
      <c r="J436" s="40"/>
      <c r="K436" s="40"/>
    </row>
    <row r="437" spans="1:11" x14ac:dyDescent="0.3">
      <c r="A437" s="41">
        <v>43692</v>
      </c>
      <c r="B437" s="37">
        <v>9419905.0383700002</v>
      </c>
      <c r="C437" s="37">
        <v>52892.896270000005</v>
      </c>
      <c r="D437" s="37">
        <v>-9087.2446300000011</v>
      </c>
      <c r="E437" s="37">
        <v>17857099.514570002</v>
      </c>
      <c r="F437" s="37">
        <v>707540.11499999999</v>
      </c>
      <c r="G437" s="37">
        <v>101695.00744</v>
      </c>
      <c r="H437" s="37">
        <v>2051.6559499999998</v>
      </c>
      <c r="I437" s="37">
        <v>28132096.982970003</v>
      </c>
      <c r="J437" s="40"/>
      <c r="K437" s="40"/>
    </row>
    <row r="438" spans="1:11" x14ac:dyDescent="0.3">
      <c r="A438" s="41">
        <v>43784</v>
      </c>
      <c r="B438" s="37">
        <v>10084785.03837</v>
      </c>
      <c r="C438" s="37">
        <v>52892.896270000005</v>
      </c>
      <c r="D438" s="37">
        <v>-9087.2446300000011</v>
      </c>
      <c r="E438" s="37">
        <v>17859444.514570002</v>
      </c>
      <c r="F438" s="37">
        <v>707540.11499999999</v>
      </c>
      <c r="G438" s="37">
        <v>101695.00744</v>
      </c>
      <c r="H438" s="37">
        <v>2051.6559499999998</v>
      </c>
      <c r="I438" s="37">
        <v>28799321.982970003</v>
      </c>
      <c r="J438" s="40"/>
      <c r="K438" s="40"/>
    </row>
    <row r="439" spans="1:11" x14ac:dyDescent="0.3">
      <c r="A439" s="41">
        <v>43845</v>
      </c>
      <c r="B439" s="37">
        <v>10084785.03837</v>
      </c>
      <c r="C439" s="37">
        <v>52892.896270000005</v>
      </c>
      <c r="D439" s="37">
        <v>-9087.2446300000011</v>
      </c>
      <c r="E439" s="37">
        <v>17859444.514570002</v>
      </c>
      <c r="F439" s="37">
        <v>707701.98953000002</v>
      </c>
      <c r="G439" s="37">
        <v>101695.00744</v>
      </c>
      <c r="H439" s="37">
        <v>2051.6559499999998</v>
      </c>
      <c r="I439" s="37">
        <v>28799483.857500002</v>
      </c>
      <c r="J439" s="40"/>
      <c r="K439" s="40"/>
    </row>
    <row r="440" spans="1:11" x14ac:dyDescent="0.3">
      <c r="A440" s="41">
        <v>43851</v>
      </c>
      <c r="B440" s="37">
        <v>10086157.53837</v>
      </c>
      <c r="C440" s="37">
        <v>52892.896270000005</v>
      </c>
      <c r="D440" s="37">
        <v>-9087.2446300000011</v>
      </c>
      <c r="E440" s="37">
        <v>17859444.514570002</v>
      </c>
      <c r="F440" s="37">
        <v>707701.98953000002</v>
      </c>
      <c r="G440" s="37">
        <v>101695.00744</v>
      </c>
      <c r="H440" s="37">
        <v>2051.6559499999998</v>
      </c>
      <c r="I440" s="37">
        <v>28800856.357500002</v>
      </c>
      <c r="J440" s="40"/>
      <c r="K440" s="40"/>
    </row>
    <row r="441" spans="1:11" x14ac:dyDescent="0.3">
      <c r="A441" s="41">
        <v>43879</v>
      </c>
      <c r="B441" s="37">
        <v>10101470.03837</v>
      </c>
      <c r="C441" s="37">
        <v>52892.896270000005</v>
      </c>
      <c r="D441" s="37">
        <v>-9087.2446300000011</v>
      </c>
      <c r="E441" s="37">
        <v>17861564.514570002</v>
      </c>
      <c r="F441" s="37">
        <v>707701.98953000002</v>
      </c>
      <c r="G441" s="37">
        <v>101695.00744</v>
      </c>
      <c r="H441" s="37">
        <v>2051.6559499999998</v>
      </c>
      <c r="I441" s="37">
        <v>28818288.857500002</v>
      </c>
      <c r="J441" s="40"/>
      <c r="K441" s="40"/>
    </row>
    <row r="442" spans="1:11" x14ac:dyDescent="0.3">
      <c r="A442" s="41">
        <v>43966</v>
      </c>
      <c r="B442" s="37">
        <v>10120634.41337</v>
      </c>
      <c r="C442" s="37">
        <v>52892.896270000005</v>
      </c>
      <c r="D442" s="37">
        <v>-9087.2446300000011</v>
      </c>
      <c r="E442" s="37">
        <v>17863909.514570002</v>
      </c>
      <c r="F442" s="37">
        <v>707701.98953000002</v>
      </c>
      <c r="G442" s="37">
        <v>101695.00744</v>
      </c>
      <c r="H442" s="37">
        <v>2051.6559499999998</v>
      </c>
      <c r="I442" s="37">
        <v>28839798.232500002</v>
      </c>
      <c r="J442" s="40"/>
      <c r="K442" s="40"/>
    </row>
    <row r="443" spans="1:11" x14ac:dyDescent="0.3">
      <c r="A443" s="41">
        <v>44027</v>
      </c>
      <c r="B443" s="37">
        <v>10120634.41337</v>
      </c>
      <c r="C443" s="37">
        <v>52892.896270000005</v>
      </c>
      <c r="D443" s="37">
        <v>-9087.2446300000011</v>
      </c>
      <c r="E443" s="37">
        <v>17863909.514570002</v>
      </c>
      <c r="F443" s="37">
        <v>733184.34405999992</v>
      </c>
      <c r="G443" s="37">
        <v>101695.00744</v>
      </c>
      <c r="H443" s="37">
        <v>2051.6559499999998</v>
      </c>
      <c r="I443" s="37">
        <v>28865280.587029997</v>
      </c>
      <c r="J443" s="40"/>
      <c r="K443" s="40"/>
    </row>
    <row r="444" spans="1:11" x14ac:dyDescent="0.3">
      <c r="A444" s="41">
        <v>44032</v>
      </c>
      <c r="B444" s="37">
        <v>10122006.91337</v>
      </c>
      <c r="C444" s="37">
        <v>52892.896270000005</v>
      </c>
      <c r="D444" s="37">
        <v>-9087.2446300000011</v>
      </c>
      <c r="E444" s="37">
        <v>17863909.514570002</v>
      </c>
      <c r="F444" s="37">
        <v>733184.34405999992</v>
      </c>
      <c r="G444" s="37">
        <v>101695.00744</v>
      </c>
      <c r="H444" s="37">
        <v>2051.6559499999998</v>
      </c>
      <c r="I444" s="37">
        <v>28866653.087029997</v>
      </c>
      <c r="J444" s="40"/>
      <c r="K444" s="40"/>
    </row>
    <row r="445" spans="1:11" x14ac:dyDescent="0.3">
      <c r="A445" s="41">
        <v>44060</v>
      </c>
      <c r="B445" s="37">
        <v>10487319.41337</v>
      </c>
      <c r="C445" s="37">
        <v>52892.896270000005</v>
      </c>
      <c r="D445" s="37">
        <v>-9087.2446300000011</v>
      </c>
      <c r="E445" s="37">
        <v>17866029.514570002</v>
      </c>
      <c r="F445" s="37">
        <v>733184.34405999992</v>
      </c>
      <c r="G445" s="37">
        <v>101695.00744</v>
      </c>
      <c r="H445" s="37">
        <v>2051.6559499999998</v>
      </c>
      <c r="I445" s="37">
        <v>29234085.587029997</v>
      </c>
      <c r="J445" s="40"/>
      <c r="K445" s="40"/>
    </row>
    <row r="446" spans="1:11" x14ac:dyDescent="0.3">
      <c r="A446" s="41">
        <v>44151</v>
      </c>
      <c r="B446" s="37">
        <v>10741483.78837</v>
      </c>
      <c r="C446" s="37">
        <v>52892.896270000005</v>
      </c>
      <c r="D446" s="37">
        <v>-9087.2446300000011</v>
      </c>
      <c r="E446" s="37">
        <v>17868374.514570002</v>
      </c>
      <c r="F446" s="37">
        <v>733184.34405999992</v>
      </c>
      <c r="G446" s="37">
        <v>101695.00744</v>
      </c>
      <c r="H446" s="37">
        <v>2051.6559499999998</v>
      </c>
      <c r="I446" s="37">
        <v>29490594.962029997</v>
      </c>
      <c r="J446" s="40"/>
      <c r="K446" s="40"/>
    </row>
    <row r="447" spans="1:11" x14ac:dyDescent="0.3">
      <c r="A447" s="41">
        <v>44211</v>
      </c>
      <c r="B447" s="37">
        <v>10741483.78837</v>
      </c>
      <c r="C447" s="37">
        <v>52892.896270000005</v>
      </c>
      <c r="D447" s="37">
        <v>-9087.2446300000011</v>
      </c>
      <c r="E447" s="37">
        <v>17868374.514570002</v>
      </c>
      <c r="F447" s="37">
        <v>733187.96559000004</v>
      </c>
      <c r="G447" s="37">
        <v>101695.00744</v>
      </c>
      <c r="H447" s="37">
        <v>2051.6559499999998</v>
      </c>
      <c r="I447" s="37">
        <v>29490598.583560001</v>
      </c>
      <c r="J447" s="40"/>
      <c r="K447" s="40"/>
    </row>
    <row r="448" spans="1:11" x14ac:dyDescent="0.3">
      <c r="A448" s="41">
        <v>44215</v>
      </c>
      <c r="B448" s="37">
        <v>10742856.28837</v>
      </c>
      <c r="C448" s="37">
        <v>52892.896270000005</v>
      </c>
      <c r="D448" s="37">
        <v>-9087.2446300000011</v>
      </c>
      <c r="E448" s="37">
        <v>17868374.514570002</v>
      </c>
      <c r="F448" s="37">
        <v>733187.96559000004</v>
      </c>
      <c r="G448" s="37">
        <v>101695.00744</v>
      </c>
      <c r="H448" s="37">
        <v>2051.6559499999998</v>
      </c>
      <c r="I448" s="37">
        <v>29491971.083560001</v>
      </c>
      <c r="J448" s="40"/>
      <c r="K448" s="40"/>
    </row>
    <row r="449" spans="1:11" x14ac:dyDescent="0.3">
      <c r="A449" s="41">
        <v>44243</v>
      </c>
      <c r="B449" s="37">
        <v>10742856.28837</v>
      </c>
      <c r="C449" s="37">
        <v>52892.896270000005</v>
      </c>
      <c r="D449" s="37">
        <v>-9087.2446300000011</v>
      </c>
      <c r="E449" s="37">
        <v>17870494.514570002</v>
      </c>
      <c r="F449" s="37">
        <v>733187.96559000004</v>
      </c>
      <c r="G449" s="37">
        <v>101695.00744</v>
      </c>
      <c r="H449" s="37">
        <v>2051.6559499999998</v>
      </c>
      <c r="I449" s="37">
        <v>29494091.083560001</v>
      </c>
      <c r="J449" s="40"/>
      <c r="K449" s="40"/>
    </row>
    <row r="450" spans="1:11" x14ac:dyDescent="0.3">
      <c r="A450" s="41">
        <v>44333</v>
      </c>
      <c r="B450" s="37">
        <v>10758936.28837</v>
      </c>
      <c r="C450" s="37">
        <v>52892.896270000005</v>
      </c>
      <c r="D450" s="37">
        <v>-9087.2446300000011</v>
      </c>
      <c r="E450" s="37">
        <v>17872839.514570002</v>
      </c>
      <c r="F450" s="37">
        <v>733187.96559000004</v>
      </c>
      <c r="G450" s="37">
        <v>101695.00744</v>
      </c>
      <c r="H450" s="37">
        <v>2051.6559499999998</v>
      </c>
      <c r="I450" s="37">
        <v>29512516.083560001</v>
      </c>
      <c r="J450" s="40"/>
      <c r="K450" s="40"/>
    </row>
    <row r="451" spans="1:11" x14ac:dyDescent="0.3">
      <c r="A451" s="41">
        <v>44392</v>
      </c>
      <c r="B451" s="37">
        <v>10758936.28837</v>
      </c>
      <c r="C451" s="37">
        <v>52892.896270000005</v>
      </c>
      <c r="D451" s="37">
        <v>-9087.2446300000011</v>
      </c>
      <c r="E451" s="37">
        <v>17872839.514570002</v>
      </c>
      <c r="F451" s="37">
        <v>733191.58713</v>
      </c>
      <c r="G451" s="37">
        <v>101695.00744</v>
      </c>
      <c r="H451" s="37">
        <v>2051.6559499999998</v>
      </c>
      <c r="I451" s="37">
        <v>29512519.705090001</v>
      </c>
      <c r="J451" s="40"/>
      <c r="K451" s="40"/>
    </row>
    <row r="452" spans="1:11" x14ac:dyDescent="0.3">
      <c r="A452" s="41">
        <v>44396</v>
      </c>
      <c r="B452" s="37">
        <v>10760308.78837</v>
      </c>
      <c r="C452" s="37">
        <v>52892.896270000005</v>
      </c>
      <c r="D452" s="37">
        <v>-9087.2446300000011</v>
      </c>
      <c r="E452" s="37">
        <v>17872839.514570002</v>
      </c>
      <c r="F452" s="37">
        <v>733191.58713</v>
      </c>
      <c r="G452" s="37">
        <v>101695.00744</v>
      </c>
      <c r="H452" s="37">
        <v>2051.6559499999998</v>
      </c>
      <c r="I452" s="37">
        <v>29513892.205090001</v>
      </c>
      <c r="J452" s="40"/>
      <c r="K452" s="40"/>
    </row>
    <row r="453" spans="1:11" x14ac:dyDescent="0.3">
      <c r="A453" s="41">
        <v>44424</v>
      </c>
      <c r="B453" s="37">
        <v>10760308.78837</v>
      </c>
      <c r="C453" s="37">
        <v>52892.896270000005</v>
      </c>
      <c r="D453" s="37">
        <v>-9087.2446300000011</v>
      </c>
      <c r="E453" s="37">
        <v>17874959.514570002</v>
      </c>
      <c r="F453" s="37">
        <v>733191.58713</v>
      </c>
      <c r="G453" s="37">
        <v>101695.00744</v>
      </c>
      <c r="H453" s="37">
        <v>2051.6559499999998</v>
      </c>
      <c r="I453" s="37">
        <v>29516012.205090001</v>
      </c>
      <c r="J453" s="40"/>
      <c r="K453" s="40"/>
    </row>
    <row r="454" spans="1:11" x14ac:dyDescent="0.3">
      <c r="A454" s="41">
        <v>44515</v>
      </c>
      <c r="B454" s="37">
        <v>11178388.78837</v>
      </c>
      <c r="C454" s="37">
        <v>52892.896270000005</v>
      </c>
      <c r="D454" s="37">
        <v>-9087.2446300000011</v>
      </c>
      <c r="E454" s="37">
        <v>17877304.514570002</v>
      </c>
      <c r="F454" s="37">
        <v>733191.58713</v>
      </c>
      <c r="G454" s="37">
        <v>101695.00744</v>
      </c>
      <c r="H454" s="37">
        <v>2051.6559499999998</v>
      </c>
      <c r="I454" s="37">
        <v>29936437.205090001</v>
      </c>
      <c r="J454" s="40"/>
      <c r="K454" s="40"/>
    </row>
    <row r="455" spans="1:11" x14ac:dyDescent="0.3">
      <c r="A455" s="41">
        <v>44576</v>
      </c>
      <c r="B455" s="37">
        <v>11178388.78837</v>
      </c>
      <c r="C455" s="37">
        <v>52892.896270000005</v>
      </c>
      <c r="D455" s="37">
        <v>-9087.2446300000011</v>
      </c>
      <c r="E455" s="37">
        <v>17877304.514570002</v>
      </c>
      <c r="F455" s="37">
        <v>738989.65765999991</v>
      </c>
      <c r="G455" s="37">
        <v>101695.00744</v>
      </c>
      <c r="H455" s="37">
        <v>2051.6559499999998</v>
      </c>
      <c r="I455" s="37">
        <v>29942235.275630001</v>
      </c>
      <c r="J455" s="40"/>
      <c r="K455" s="40"/>
    </row>
    <row r="456" spans="1:11" x14ac:dyDescent="0.3">
      <c r="A456" s="41">
        <v>44580</v>
      </c>
      <c r="B456" s="37">
        <v>11179761.28837</v>
      </c>
      <c r="C456" s="37">
        <v>52892.896270000005</v>
      </c>
      <c r="D456" s="37">
        <v>-9087.2446300000011</v>
      </c>
      <c r="E456" s="37">
        <v>17877304.514570002</v>
      </c>
      <c r="F456" s="37">
        <v>738989.65765999991</v>
      </c>
      <c r="G456" s="37">
        <v>101695.00744</v>
      </c>
      <c r="H456" s="37">
        <v>2051.6559499999998</v>
      </c>
      <c r="I456" s="37">
        <v>29943607.775630001</v>
      </c>
      <c r="J456" s="40"/>
      <c r="K456" s="40"/>
    </row>
    <row r="457" spans="1:11" x14ac:dyDescent="0.3">
      <c r="A457" s="41">
        <v>44607</v>
      </c>
      <c r="B457" s="37">
        <v>11179761.28837</v>
      </c>
      <c r="C457" s="37">
        <v>52892.896270000005</v>
      </c>
      <c r="D457" s="37">
        <v>-9087.2446300000011</v>
      </c>
      <c r="E457" s="37">
        <v>18091424.514570002</v>
      </c>
      <c r="F457" s="37">
        <v>738989.65765999991</v>
      </c>
      <c r="G457" s="37">
        <v>101695.00744</v>
      </c>
      <c r="H457" s="37">
        <v>2051.6559499999998</v>
      </c>
      <c r="I457" s="37">
        <v>30157727.775630001</v>
      </c>
      <c r="J457" s="40"/>
      <c r="K457" s="40"/>
    </row>
    <row r="458" spans="1:11" x14ac:dyDescent="0.3">
      <c r="A458" s="41">
        <v>44697</v>
      </c>
      <c r="B458" s="37">
        <v>11179761.28837</v>
      </c>
      <c r="C458" s="37">
        <v>52892.896270000005</v>
      </c>
      <c r="D458" s="37">
        <v>-9087.2446300000011</v>
      </c>
      <c r="E458" s="37">
        <v>18361769.514570002</v>
      </c>
      <c r="F458" s="37">
        <v>738989.65765999991</v>
      </c>
      <c r="G458" s="37">
        <v>101695.00744</v>
      </c>
      <c r="H458" s="37">
        <v>2051.6559499999998</v>
      </c>
      <c r="I458" s="37">
        <v>30428072.775630001</v>
      </c>
      <c r="J458" s="40"/>
      <c r="K458" s="40"/>
    </row>
    <row r="459" spans="1:11" x14ac:dyDescent="0.3">
      <c r="A459" s="41">
        <v>44761</v>
      </c>
      <c r="B459" s="37">
        <v>11181133.78837</v>
      </c>
      <c r="C459" s="37">
        <v>52892.896270000005</v>
      </c>
      <c r="D459" s="37">
        <v>-9087.2446300000011</v>
      </c>
      <c r="E459" s="37">
        <v>18361769.514570002</v>
      </c>
      <c r="F459" s="37">
        <v>738989.65765999991</v>
      </c>
      <c r="G459" s="37">
        <v>101695.00744</v>
      </c>
      <c r="H459" s="37">
        <v>2051.6559499999998</v>
      </c>
      <c r="I459" s="37">
        <v>30429445.275630001</v>
      </c>
      <c r="J459" s="40"/>
      <c r="K459" s="40"/>
    </row>
    <row r="460" spans="1:11" x14ac:dyDescent="0.3">
      <c r="A460" s="41">
        <v>44945</v>
      </c>
      <c r="B460" s="37">
        <v>11218506.28837</v>
      </c>
      <c r="C460" s="37">
        <v>52892.896270000005</v>
      </c>
      <c r="D460" s="37">
        <v>-9087.2446300000011</v>
      </c>
      <c r="E460" s="37">
        <v>18361769.514570002</v>
      </c>
      <c r="F460" s="37">
        <v>738989.65765999991</v>
      </c>
      <c r="G460" s="37">
        <v>101695.00744</v>
      </c>
      <c r="H460" s="37">
        <v>2051.6559499999998</v>
      </c>
      <c r="I460" s="37">
        <v>30466817.775630001</v>
      </c>
      <c r="J460" s="40"/>
      <c r="K460" s="40"/>
    </row>
    <row r="461" spans="1:11" x14ac:dyDescent="0.3">
      <c r="A461" s="41"/>
      <c r="J461" s="40"/>
      <c r="K461" s="40"/>
    </row>
    <row r="462" spans="1:11" x14ac:dyDescent="0.3">
      <c r="A462" s="41"/>
      <c r="J462" s="40"/>
      <c r="K462" s="40"/>
    </row>
    <row r="463" spans="1:11" x14ac:dyDescent="0.3">
      <c r="A463" s="41"/>
      <c r="J463" s="40"/>
      <c r="K463" s="40"/>
    </row>
    <row r="464" spans="1:11" x14ac:dyDescent="0.3">
      <c r="A464" s="41"/>
      <c r="J464" s="40"/>
      <c r="K464" s="40"/>
    </row>
    <row r="465" spans="1:11" x14ac:dyDescent="0.3">
      <c r="A465" s="41"/>
      <c r="J465" s="40"/>
      <c r="K465" s="40"/>
    </row>
    <row r="466" spans="1:11" x14ac:dyDescent="0.3">
      <c r="A466" s="41"/>
      <c r="J466" s="40"/>
      <c r="K466" s="40"/>
    </row>
    <row r="467" spans="1:11" x14ac:dyDescent="0.3">
      <c r="A467" s="41"/>
      <c r="J467" s="40"/>
      <c r="K467" s="40"/>
    </row>
    <row r="468" spans="1:11" x14ac:dyDescent="0.3">
      <c r="A468" s="41"/>
      <c r="J468" s="40"/>
      <c r="K468" s="40"/>
    </row>
    <row r="469" spans="1:11" x14ac:dyDescent="0.3">
      <c r="A469" s="41"/>
      <c r="J469" s="40"/>
      <c r="K469" s="40"/>
    </row>
    <row r="470" spans="1:11" x14ac:dyDescent="0.3">
      <c r="A470" s="41"/>
      <c r="J470" s="40"/>
      <c r="K470" s="40"/>
    </row>
    <row r="471" spans="1:11" x14ac:dyDescent="0.3">
      <c r="A471" s="41"/>
      <c r="J471" s="40"/>
      <c r="K471" s="40"/>
    </row>
    <row r="472" spans="1:11" x14ac:dyDescent="0.3">
      <c r="A472" s="41"/>
      <c r="J472" s="40"/>
      <c r="K472" s="40"/>
    </row>
    <row r="473" spans="1:11" x14ac:dyDescent="0.3">
      <c r="A473" s="41"/>
      <c r="J473" s="40"/>
      <c r="K473" s="40"/>
    </row>
    <row r="474" spans="1:11" x14ac:dyDescent="0.3">
      <c r="A474" s="41"/>
      <c r="J474" s="40"/>
      <c r="K474" s="40"/>
    </row>
    <row r="475" spans="1:11" x14ac:dyDescent="0.3">
      <c r="A475" s="41"/>
      <c r="J475" s="40"/>
      <c r="K475" s="40"/>
    </row>
    <row r="476" spans="1:11" x14ac:dyDescent="0.3">
      <c r="A476" s="41"/>
      <c r="J476" s="40"/>
      <c r="K476" s="40"/>
    </row>
    <row r="477" spans="1:11" x14ac:dyDescent="0.3">
      <c r="A477" s="41"/>
      <c r="J477" s="40"/>
      <c r="K477" s="40"/>
    </row>
    <row r="478" spans="1:11" x14ac:dyDescent="0.3">
      <c r="A478" s="41"/>
      <c r="J478" s="40"/>
      <c r="K478" s="40"/>
    </row>
    <row r="479" spans="1:11" x14ac:dyDescent="0.3">
      <c r="A479" s="41"/>
      <c r="J479" s="40"/>
      <c r="K479" s="40"/>
    </row>
    <row r="480" spans="1:11" x14ac:dyDescent="0.3">
      <c r="A480" s="41"/>
      <c r="J480" s="40"/>
      <c r="K480" s="40"/>
    </row>
    <row r="481" spans="1:11" x14ac:dyDescent="0.3">
      <c r="A481" s="41"/>
      <c r="J481" s="40"/>
      <c r="K481" s="40"/>
    </row>
    <row r="482" spans="1:11" x14ac:dyDescent="0.3">
      <c r="A482" s="41"/>
      <c r="J482" s="40"/>
      <c r="K482" s="40"/>
    </row>
    <row r="483" spans="1:11" x14ac:dyDescent="0.3">
      <c r="A483" s="41"/>
      <c r="J483" s="40"/>
      <c r="K483" s="40"/>
    </row>
    <row r="484" spans="1:11" x14ac:dyDescent="0.3">
      <c r="A484" s="41"/>
      <c r="J484" s="40"/>
      <c r="K484" s="40"/>
    </row>
    <row r="485" spans="1:11" x14ac:dyDescent="0.3">
      <c r="A485" s="41"/>
      <c r="J485" s="40"/>
      <c r="K485" s="40"/>
    </row>
    <row r="486" spans="1:11" x14ac:dyDescent="0.3">
      <c r="A486" s="41"/>
      <c r="J486" s="40"/>
      <c r="K486" s="40"/>
    </row>
    <row r="487" spans="1:11" x14ac:dyDescent="0.3">
      <c r="A487" s="41"/>
      <c r="J487" s="40"/>
      <c r="K487" s="40"/>
    </row>
    <row r="488" spans="1:11" x14ac:dyDescent="0.3">
      <c r="A488" s="41"/>
      <c r="J488" s="40"/>
      <c r="K488" s="40"/>
    </row>
    <row r="489" spans="1:11" x14ac:dyDescent="0.3">
      <c r="A489" s="41"/>
      <c r="J489" s="40"/>
      <c r="K489" s="40"/>
    </row>
    <row r="490" spans="1:11" x14ac:dyDescent="0.3">
      <c r="A490" s="41"/>
      <c r="J490" s="40"/>
      <c r="K490" s="40"/>
    </row>
    <row r="491" spans="1:11" x14ac:dyDescent="0.3">
      <c r="A491" s="41"/>
      <c r="J491" s="40"/>
      <c r="K491" s="40"/>
    </row>
    <row r="492" spans="1:11" x14ac:dyDescent="0.3">
      <c r="A492" s="41"/>
      <c r="J492" s="40"/>
      <c r="K492" s="40"/>
    </row>
    <row r="493" spans="1:11" x14ac:dyDescent="0.3">
      <c r="A493" s="41"/>
      <c r="J493" s="40"/>
      <c r="K493" s="40"/>
    </row>
    <row r="494" spans="1:11" x14ac:dyDescent="0.3">
      <c r="A494" s="41"/>
      <c r="J494" s="40"/>
      <c r="K494" s="40"/>
    </row>
    <row r="495" spans="1:11" x14ac:dyDescent="0.3">
      <c r="A495" s="41"/>
      <c r="J495" s="40"/>
      <c r="K495" s="40"/>
    </row>
    <row r="496" spans="1:11" x14ac:dyDescent="0.3">
      <c r="A496" s="41"/>
      <c r="J496" s="40"/>
      <c r="K496" s="40"/>
    </row>
    <row r="497" spans="1:11" x14ac:dyDescent="0.3">
      <c r="A497" s="41"/>
      <c r="J497" s="40"/>
      <c r="K497" s="40"/>
    </row>
    <row r="498" spans="1:11" x14ac:dyDescent="0.3">
      <c r="A498" s="41"/>
      <c r="J498" s="40"/>
      <c r="K498" s="40"/>
    </row>
    <row r="499" spans="1:11" x14ac:dyDescent="0.3">
      <c r="A499" s="41"/>
      <c r="J499" s="40"/>
      <c r="K499" s="40"/>
    </row>
    <row r="500" spans="1:11" x14ac:dyDescent="0.3">
      <c r="A500" s="41"/>
      <c r="J500" s="40"/>
      <c r="K500" s="40"/>
    </row>
    <row r="501" spans="1:11" x14ac:dyDescent="0.3">
      <c r="A501" s="41"/>
      <c r="J501" s="40"/>
      <c r="K501" s="40"/>
    </row>
    <row r="502" spans="1:11" x14ac:dyDescent="0.3">
      <c r="A502" s="41"/>
      <c r="J502" s="40"/>
      <c r="K502" s="40"/>
    </row>
    <row r="503" spans="1:11" x14ac:dyDescent="0.3">
      <c r="A503" s="41"/>
      <c r="J503" s="40"/>
      <c r="K503" s="40"/>
    </row>
    <row r="504" spans="1:11" x14ac:dyDescent="0.3">
      <c r="A504" s="41"/>
      <c r="J504" s="40"/>
      <c r="K504" s="40"/>
    </row>
    <row r="505" spans="1:11" x14ac:dyDescent="0.3">
      <c r="A505" s="41"/>
      <c r="J505" s="40"/>
      <c r="K505" s="40"/>
    </row>
    <row r="506" spans="1:11" x14ac:dyDescent="0.3">
      <c r="A506" s="41"/>
      <c r="J506" s="40"/>
      <c r="K506" s="40"/>
    </row>
    <row r="507" spans="1:11" x14ac:dyDescent="0.3">
      <c r="A507" s="41"/>
      <c r="J507" s="40"/>
      <c r="K507" s="40"/>
    </row>
    <row r="508" spans="1:11" x14ac:dyDescent="0.3">
      <c r="A508" s="41"/>
      <c r="J508" s="40"/>
      <c r="K508" s="40"/>
    </row>
    <row r="509" spans="1:11" x14ac:dyDescent="0.3">
      <c r="A509" s="41"/>
      <c r="J509" s="40"/>
      <c r="K509" s="40"/>
    </row>
    <row r="510" spans="1:11" x14ac:dyDescent="0.3">
      <c r="A510" s="41"/>
      <c r="J510" s="40"/>
      <c r="K510" s="40"/>
    </row>
    <row r="511" spans="1:11" x14ac:dyDescent="0.3">
      <c r="A511" s="41"/>
      <c r="J511" s="40"/>
      <c r="K511" s="40"/>
    </row>
    <row r="512" spans="1:11" x14ac:dyDescent="0.3">
      <c r="A512" s="41"/>
      <c r="J512" s="40"/>
      <c r="K512" s="40"/>
    </row>
    <row r="513" spans="1:11" x14ac:dyDescent="0.3">
      <c r="A513" s="41"/>
      <c r="J513" s="40"/>
      <c r="K513" s="40"/>
    </row>
    <row r="514" spans="1:11" x14ac:dyDescent="0.3">
      <c r="A514" s="41"/>
      <c r="J514" s="40"/>
      <c r="K514" s="40"/>
    </row>
    <row r="515" spans="1:11" x14ac:dyDescent="0.3">
      <c r="A515" s="41"/>
      <c r="J515" s="40"/>
      <c r="K515" s="40"/>
    </row>
    <row r="516" spans="1:11" x14ac:dyDescent="0.3">
      <c r="A516" s="41"/>
      <c r="J516" s="40"/>
      <c r="K516" s="40"/>
    </row>
    <row r="517" spans="1:11" x14ac:dyDescent="0.3">
      <c r="A517" s="41"/>
      <c r="J517" s="40"/>
      <c r="K517" s="40"/>
    </row>
    <row r="518" spans="1:11" x14ac:dyDescent="0.3">
      <c r="A518" s="41"/>
      <c r="J518" s="40"/>
      <c r="K518" s="40"/>
    </row>
    <row r="519" spans="1:11" x14ac:dyDescent="0.3">
      <c r="A519" s="41"/>
      <c r="J519" s="40"/>
      <c r="K519" s="40"/>
    </row>
    <row r="520" spans="1:11" x14ac:dyDescent="0.3">
      <c r="A520" s="41"/>
      <c r="J520" s="40"/>
      <c r="K520" s="40"/>
    </row>
    <row r="521" spans="1:11" x14ac:dyDescent="0.3">
      <c r="A521" s="41"/>
      <c r="J521" s="40"/>
      <c r="K521" s="40"/>
    </row>
    <row r="522" spans="1:11" x14ac:dyDescent="0.3">
      <c r="A522" s="41"/>
      <c r="J522" s="40"/>
      <c r="K522" s="40"/>
    </row>
    <row r="523" spans="1:11" x14ac:dyDescent="0.3">
      <c r="A523" s="41"/>
      <c r="J523" s="40"/>
      <c r="K523" s="40"/>
    </row>
    <row r="524" spans="1:11" x14ac:dyDescent="0.3">
      <c r="A524" s="41"/>
      <c r="J524" s="40"/>
      <c r="K524" s="40"/>
    </row>
    <row r="525" spans="1:11" x14ac:dyDescent="0.3">
      <c r="A525" s="41"/>
      <c r="J525" s="40"/>
      <c r="K525" s="40"/>
    </row>
    <row r="526" spans="1:11" x14ac:dyDescent="0.3">
      <c r="A526" s="41"/>
      <c r="J526" s="40"/>
      <c r="K526" s="40"/>
    </row>
    <row r="527" spans="1:11" x14ac:dyDescent="0.3">
      <c r="A527" s="41"/>
      <c r="J527" s="40"/>
      <c r="K527" s="40"/>
    </row>
    <row r="528" spans="1:11" x14ac:dyDescent="0.3">
      <c r="A528" s="41"/>
      <c r="J528" s="40"/>
      <c r="K528" s="40"/>
    </row>
    <row r="529" spans="1:11" x14ac:dyDescent="0.3">
      <c r="A529" s="41"/>
      <c r="J529" s="40"/>
      <c r="K529" s="40"/>
    </row>
    <row r="530" spans="1:11" x14ac:dyDescent="0.3">
      <c r="A530" s="41"/>
      <c r="J530" s="40"/>
      <c r="K530" s="40"/>
    </row>
    <row r="531" spans="1:11" x14ac:dyDescent="0.3">
      <c r="A531" s="41"/>
      <c r="J531" s="40"/>
      <c r="K531" s="40"/>
    </row>
    <row r="532" spans="1:11" x14ac:dyDescent="0.3">
      <c r="A532" s="41"/>
      <c r="J532" s="40"/>
      <c r="K532" s="40"/>
    </row>
    <row r="533" spans="1:11" x14ac:dyDescent="0.3">
      <c r="A533" s="41"/>
      <c r="J533" s="40"/>
      <c r="K533" s="40"/>
    </row>
    <row r="534" spans="1:11" x14ac:dyDescent="0.3">
      <c r="A534" s="41"/>
      <c r="J534" s="40"/>
      <c r="K534" s="40"/>
    </row>
    <row r="535" spans="1:11" x14ac:dyDescent="0.3">
      <c r="A535" s="41"/>
      <c r="J535" s="40"/>
      <c r="K535" s="40"/>
    </row>
    <row r="536" spans="1:11" x14ac:dyDescent="0.3">
      <c r="A536" s="41"/>
      <c r="J536" s="40"/>
      <c r="K536" s="40"/>
    </row>
    <row r="537" spans="1:11" x14ac:dyDescent="0.3">
      <c r="A537" s="41"/>
      <c r="J537" s="40"/>
      <c r="K537" s="40"/>
    </row>
    <row r="538" spans="1:11" x14ac:dyDescent="0.3">
      <c r="A538" s="41"/>
      <c r="J538" s="40"/>
      <c r="K538" s="40"/>
    </row>
    <row r="539" spans="1:11" x14ac:dyDescent="0.3">
      <c r="A539" s="41"/>
      <c r="J539" s="40"/>
      <c r="K539" s="40"/>
    </row>
    <row r="540" spans="1:11" x14ac:dyDescent="0.3">
      <c r="A540" s="41"/>
      <c r="J540" s="40"/>
      <c r="K540" s="40"/>
    </row>
    <row r="541" spans="1:11" x14ac:dyDescent="0.3">
      <c r="A541" s="41"/>
      <c r="J541" s="40"/>
      <c r="K541" s="40"/>
    </row>
    <row r="542" spans="1:11" x14ac:dyDescent="0.3">
      <c r="A542" s="41"/>
      <c r="J542" s="40"/>
      <c r="K542" s="40"/>
    </row>
    <row r="543" spans="1:11" x14ac:dyDescent="0.3">
      <c r="A543" s="41"/>
      <c r="J543" s="40"/>
      <c r="K543" s="40"/>
    </row>
    <row r="544" spans="1:11" x14ac:dyDescent="0.3">
      <c r="A544" s="41"/>
      <c r="J544" s="40"/>
      <c r="K544" s="40"/>
    </row>
    <row r="545" spans="1:11" x14ac:dyDescent="0.3">
      <c r="A545" s="41"/>
      <c r="J545" s="40"/>
      <c r="K545" s="40"/>
    </row>
    <row r="546" spans="1:11" x14ac:dyDescent="0.3">
      <c r="A546" s="41"/>
      <c r="J546" s="40"/>
      <c r="K546" s="40"/>
    </row>
    <row r="547" spans="1:11" x14ac:dyDescent="0.3">
      <c r="A547" s="41"/>
      <c r="J547" s="40"/>
      <c r="K547" s="40"/>
    </row>
    <row r="548" spans="1:11" x14ac:dyDescent="0.3">
      <c r="A548" s="41"/>
      <c r="J548" s="40"/>
      <c r="K548" s="40"/>
    </row>
    <row r="549" spans="1:11" x14ac:dyDescent="0.3">
      <c r="A549" s="41"/>
      <c r="J549" s="40"/>
      <c r="K549" s="40"/>
    </row>
    <row r="550" spans="1:11" x14ac:dyDescent="0.3">
      <c r="A550" s="41"/>
      <c r="J550" s="40"/>
      <c r="K550" s="40"/>
    </row>
    <row r="551" spans="1:11" x14ac:dyDescent="0.3">
      <c r="A551" s="41"/>
      <c r="J551" s="40"/>
      <c r="K551" s="40"/>
    </row>
    <row r="552" spans="1:11" x14ac:dyDescent="0.3">
      <c r="A552" s="41"/>
      <c r="J552" s="40"/>
      <c r="K552" s="40"/>
    </row>
    <row r="553" spans="1:11" x14ac:dyDescent="0.3">
      <c r="A553" s="41"/>
      <c r="J553" s="40"/>
      <c r="K553" s="40"/>
    </row>
    <row r="554" spans="1:11" x14ac:dyDescent="0.3">
      <c r="A554" s="41"/>
      <c r="J554" s="40"/>
      <c r="K554" s="40"/>
    </row>
    <row r="555" spans="1:11" x14ac:dyDescent="0.3">
      <c r="A555" s="41"/>
      <c r="J555" s="40"/>
      <c r="K555" s="40"/>
    </row>
    <row r="556" spans="1:11" x14ac:dyDescent="0.3">
      <c r="A556" s="41"/>
      <c r="J556" s="40"/>
      <c r="K556" s="40"/>
    </row>
    <row r="557" spans="1:11" x14ac:dyDescent="0.3">
      <c r="A557" s="41"/>
      <c r="J557" s="40"/>
      <c r="K557" s="40"/>
    </row>
    <row r="558" spans="1:11" x14ac:dyDescent="0.3">
      <c r="A558" s="41"/>
      <c r="J558" s="40"/>
      <c r="K558" s="40"/>
    </row>
    <row r="559" spans="1:11" x14ac:dyDescent="0.3">
      <c r="A559" s="41"/>
      <c r="J559" s="40"/>
      <c r="K559" s="40"/>
    </row>
    <row r="560" spans="1:11" x14ac:dyDescent="0.3">
      <c r="A560" s="41"/>
      <c r="J560" s="40"/>
      <c r="K560" s="40"/>
    </row>
    <row r="561" spans="1:11" x14ac:dyDescent="0.3">
      <c r="A561" s="41"/>
      <c r="J561" s="40"/>
      <c r="K561" s="40"/>
    </row>
    <row r="562" spans="1:11" x14ac:dyDescent="0.3">
      <c r="A562" s="41"/>
      <c r="J562" s="40"/>
      <c r="K562" s="40"/>
    </row>
    <row r="563" spans="1:11" x14ac:dyDescent="0.3">
      <c r="A563" s="41"/>
      <c r="J563" s="40"/>
      <c r="K563" s="40"/>
    </row>
    <row r="564" spans="1:11" x14ac:dyDescent="0.3">
      <c r="A564" s="41"/>
      <c r="J564" s="40"/>
      <c r="K564" s="40"/>
    </row>
    <row r="565" spans="1:11" x14ac:dyDescent="0.3">
      <c r="A565" s="41"/>
      <c r="J565" s="40"/>
      <c r="K565" s="40"/>
    </row>
    <row r="566" spans="1:11" x14ac:dyDescent="0.3">
      <c r="A566" s="41"/>
      <c r="J566" s="40"/>
      <c r="K566" s="40"/>
    </row>
    <row r="567" spans="1:11" x14ac:dyDescent="0.3">
      <c r="A567" s="41"/>
      <c r="J567" s="40"/>
      <c r="K567" s="40"/>
    </row>
    <row r="568" spans="1:11" x14ac:dyDescent="0.3">
      <c r="A568" s="41"/>
      <c r="J568" s="40"/>
      <c r="K568" s="40"/>
    </row>
    <row r="569" spans="1:11" x14ac:dyDescent="0.3">
      <c r="A569" s="41"/>
      <c r="J569" s="40"/>
      <c r="K569" s="40"/>
    </row>
    <row r="570" spans="1:11" x14ac:dyDescent="0.3">
      <c r="A570" s="41"/>
      <c r="J570" s="40"/>
      <c r="K570" s="40"/>
    </row>
    <row r="571" spans="1:11" x14ac:dyDescent="0.3">
      <c r="A571" s="41"/>
      <c r="J571" s="40"/>
      <c r="K571" s="40"/>
    </row>
    <row r="572" spans="1:11" x14ac:dyDescent="0.3">
      <c r="A572" s="41"/>
      <c r="J572" s="40"/>
      <c r="K572" s="40"/>
    </row>
    <row r="573" spans="1:11" x14ac:dyDescent="0.3">
      <c r="A573" s="41"/>
      <c r="J573" s="40"/>
      <c r="K573" s="40"/>
    </row>
    <row r="574" spans="1:11" x14ac:dyDescent="0.3">
      <c r="A574" s="41"/>
      <c r="J574" s="40"/>
      <c r="K574" s="40"/>
    </row>
    <row r="575" spans="1:11" x14ac:dyDescent="0.3">
      <c r="A575" s="41"/>
      <c r="J575" s="40"/>
      <c r="K575" s="40"/>
    </row>
    <row r="576" spans="1:11" x14ac:dyDescent="0.3">
      <c r="A576" s="41"/>
      <c r="J576" s="40"/>
      <c r="K576" s="40"/>
    </row>
    <row r="577" spans="1:11" x14ac:dyDescent="0.3">
      <c r="A577" s="41"/>
      <c r="J577" s="40"/>
      <c r="K577" s="40"/>
    </row>
    <row r="578" spans="1:11" x14ac:dyDescent="0.3">
      <c r="A578" s="41"/>
      <c r="J578" s="40"/>
      <c r="K578" s="40"/>
    </row>
    <row r="579" spans="1:11" x14ac:dyDescent="0.3">
      <c r="A579" s="41"/>
      <c r="J579" s="40"/>
      <c r="K579" s="40"/>
    </row>
    <row r="580" spans="1:11" x14ac:dyDescent="0.3">
      <c r="A580" s="41"/>
      <c r="J580" s="40"/>
      <c r="K580" s="40"/>
    </row>
    <row r="581" spans="1:11" x14ac:dyDescent="0.3">
      <c r="A581" s="41"/>
      <c r="J581" s="40"/>
      <c r="K581" s="40"/>
    </row>
    <row r="582" spans="1:11" x14ac:dyDescent="0.3">
      <c r="A582" s="41"/>
      <c r="J582" s="40"/>
      <c r="K582" s="40"/>
    </row>
    <row r="583" spans="1:11" x14ac:dyDescent="0.3">
      <c r="A583" s="41"/>
      <c r="J583" s="40"/>
      <c r="K583" s="40"/>
    </row>
    <row r="584" spans="1:11" x14ac:dyDescent="0.3">
      <c r="A584" s="41"/>
      <c r="J584" s="40"/>
      <c r="K584" s="40"/>
    </row>
    <row r="585" spans="1:11" x14ac:dyDescent="0.3">
      <c r="A585" s="41"/>
      <c r="J585" s="40"/>
      <c r="K585" s="40"/>
    </row>
    <row r="586" spans="1:11" x14ac:dyDescent="0.3">
      <c r="A586" s="41"/>
      <c r="J586" s="40"/>
      <c r="K586" s="40"/>
    </row>
    <row r="587" spans="1:11" x14ac:dyDescent="0.3">
      <c r="A587" s="41"/>
      <c r="J587" s="40"/>
      <c r="K587" s="40"/>
    </row>
    <row r="588" spans="1:11" x14ac:dyDescent="0.3">
      <c r="A588" s="41"/>
      <c r="J588" s="40"/>
      <c r="K588" s="40"/>
    </row>
    <row r="589" spans="1:11" x14ac:dyDescent="0.3">
      <c r="A589" s="41"/>
      <c r="J589" s="40"/>
      <c r="K589" s="40"/>
    </row>
    <row r="590" spans="1:11" x14ac:dyDescent="0.3">
      <c r="A590" s="41"/>
      <c r="J590" s="40"/>
      <c r="K590" s="40"/>
    </row>
    <row r="591" spans="1:11" x14ac:dyDescent="0.3">
      <c r="A591" s="41"/>
      <c r="J591" s="40"/>
      <c r="K591" s="40"/>
    </row>
    <row r="592" spans="1:11" x14ac:dyDescent="0.3">
      <c r="A592" s="41"/>
      <c r="J592" s="40"/>
      <c r="K592" s="40"/>
    </row>
    <row r="593" spans="1:11" x14ac:dyDescent="0.3">
      <c r="A593" s="41"/>
      <c r="J593" s="40"/>
      <c r="K593" s="40"/>
    </row>
    <row r="594" spans="1:11" x14ac:dyDescent="0.3">
      <c r="A594" s="41"/>
      <c r="J594" s="40"/>
      <c r="K594" s="40"/>
    </row>
    <row r="595" spans="1:11" x14ac:dyDescent="0.3">
      <c r="A595" s="41"/>
      <c r="J595" s="40"/>
      <c r="K595" s="40"/>
    </row>
    <row r="596" spans="1:11" x14ac:dyDescent="0.3">
      <c r="A596" s="41"/>
      <c r="J596" s="40"/>
      <c r="K596" s="40"/>
    </row>
    <row r="597" spans="1:11" x14ac:dyDescent="0.3">
      <c r="A597" s="41"/>
      <c r="J597" s="40"/>
      <c r="K597" s="40"/>
    </row>
    <row r="598" spans="1:11" x14ac:dyDescent="0.3">
      <c r="A598" s="41"/>
      <c r="J598" s="40"/>
      <c r="K598" s="40"/>
    </row>
    <row r="599" spans="1:11" x14ac:dyDescent="0.3">
      <c r="A599" s="41"/>
      <c r="J599" s="40"/>
      <c r="K599" s="40"/>
    </row>
    <row r="600" spans="1:11" x14ac:dyDescent="0.3">
      <c r="A600" s="41"/>
      <c r="J600" s="40"/>
      <c r="K600" s="40"/>
    </row>
    <row r="601" spans="1:11" x14ac:dyDescent="0.3">
      <c r="A601" s="41"/>
      <c r="J601" s="40"/>
      <c r="K601" s="40"/>
    </row>
    <row r="602" spans="1:11" x14ac:dyDescent="0.3">
      <c r="A602" s="41"/>
      <c r="J602" s="40"/>
      <c r="K602" s="40"/>
    </row>
    <row r="603" spans="1:11" x14ac:dyDescent="0.3">
      <c r="A603" s="41"/>
      <c r="J603" s="40"/>
      <c r="K603" s="40"/>
    </row>
    <row r="604" spans="1:11" x14ac:dyDescent="0.3">
      <c r="A604" s="41"/>
      <c r="J604" s="40"/>
      <c r="K604" s="40"/>
    </row>
    <row r="605" spans="1:11" x14ac:dyDescent="0.3">
      <c r="A605" s="41"/>
      <c r="J605" s="40"/>
      <c r="K605" s="40"/>
    </row>
    <row r="606" spans="1:11" x14ac:dyDescent="0.3">
      <c r="A606" s="41"/>
      <c r="J606" s="40"/>
      <c r="K606" s="40"/>
    </row>
    <row r="607" spans="1:11" x14ac:dyDescent="0.3">
      <c r="A607" s="41"/>
      <c r="J607" s="40"/>
      <c r="K607" s="40"/>
    </row>
    <row r="608" spans="1:11" x14ac:dyDescent="0.3">
      <c r="A608" s="41"/>
      <c r="J608" s="40"/>
      <c r="K608" s="40"/>
    </row>
    <row r="609" spans="1:11" x14ac:dyDescent="0.3">
      <c r="A609" s="41"/>
      <c r="J609" s="40"/>
      <c r="K609" s="40"/>
    </row>
    <row r="610" spans="1:11" x14ac:dyDescent="0.3">
      <c r="A610" s="41"/>
      <c r="J610" s="40"/>
      <c r="K610" s="40"/>
    </row>
    <row r="611" spans="1:11" x14ac:dyDescent="0.3">
      <c r="A611" s="41"/>
      <c r="J611" s="40"/>
      <c r="K611" s="40"/>
    </row>
    <row r="612" spans="1:11" x14ac:dyDescent="0.3">
      <c r="A612" s="41"/>
      <c r="J612" s="40"/>
      <c r="K612" s="40"/>
    </row>
    <row r="613" spans="1:11" x14ac:dyDescent="0.3">
      <c r="A613" s="41"/>
      <c r="J613" s="40"/>
      <c r="K613" s="40"/>
    </row>
    <row r="614" spans="1:11" x14ac:dyDescent="0.3">
      <c r="A614" s="41"/>
      <c r="J614" s="40"/>
      <c r="K614" s="40"/>
    </row>
    <row r="615" spans="1:11" x14ac:dyDescent="0.3">
      <c r="A615" s="41"/>
      <c r="J615" s="40"/>
      <c r="K615" s="40"/>
    </row>
    <row r="616" spans="1:11" x14ac:dyDescent="0.3">
      <c r="A616" s="41"/>
      <c r="J616" s="40"/>
      <c r="K616" s="40"/>
    </row>
    <row r="617" spans="1:11" x14ac:dyDescent="0.3">
      <c r="A617" s="41"/>
      <c r="J617" s="40"/>
      <c r="K617" s="40"/>
    </row>
    <row r="618" spans="1:11" x14ac:dyDescent="0.3">
      <c r="A618" s="41"/>
      <c r="J618" s="40"/>
      <c r="K618" s="40"/>
    </row>
    <row r="619" spans="1:11" x14ac:dyDescent="0.3">
      <c r="A619" s="41"/>
      <c r="J619" s="40"/>
      <c r="K619" s="40"/>
    </row>
    <row r="620" spans="1:11" x14ac:dyDescent="0.3">
      <c r="A620" s="41"/>
      <c r="J620" s="40"/>
      <c r="K620" s="40"/>
    </row>
    <row r="621" spans="1:11" x14ac:dyDescent="0.3">
      <c r="A621" s="41"/>
      <c r="J621" s="40"/>
      <c r="K621" s="40"/>
    </row>
    <row r="622" spans="1:11" x14ac:dyDescent="0.3">
      <c r="A622" s="41"/>
      <c r="J622" s="40"/>
      <c r="K622" s="40"/>
    </row>
    <row r="623" spans="1:11" x14ac:dyDescent="0.3">
      <c r="A623" s="41"/>
      <c r="J623" s="40"/>
      <c r="K623" s="40"/>
    </row>
    <row r="624" spans="1:11" x14ac:dyDescent="0.3">
      <c r="A624" s="41"/>
      <c r="J624" s="40"/>
      <c r="K624" s="40"/>
    </row>
    <row r="625" spans="1:11" x14ac:dyDescent="0.3">
      <c r="A625" s="41"/>
      <c r="J625" s="40"/>
      <c r="K625" s="40"/>
    </row>
    <row r="626" spans="1:11" x14ac:dyDescent="0.3">
      <c r="A626" s="41"/>
      <c r="J626" s="40"/>
      <c r="K626" s="40"/>
    </row>
    <row r="627" spans="1:11" x14ac:dyDescent="0.3">
      <c r="A627" s="41"/>
      <c r="J627" s="40"/>
      <c r="K627" s="40"/>
    </row>
    <row r="628" spans="1:11" x14ac:dyDescent="0.3">
      <c r="A628" s="41"/>
      <c r="J628" s="40"/>
      <c r="K628" s="40"/>
    </row>
    <row r="629" spans="1:11" x14ac:dyDescent="0.3">
      <c r="A629" s="41"/>
      <c r="J629" s="40"/>
      <c r="K629" s="40"/>
    </row>
    <row r="630" spans="1:11" x14ac:dyDescent="0.3">
      <c r="A630" s="41"/>
      <c r="J630" s="40"/>
      <c r="K630" s="40"/>
    </row>
    <row r="631" spans="1:11" x14ac:dyDescent="0.3">
      <c r="A631" s="41"/>
      <c r="J631" s="40"/>
      <c r="K631" s="40"/>
    </row>
    <row r="632" spans="1:11" x14ac:dyDescent="0.3">
      <c r="A632" s="41"/>
      <c r="J632" s="40"/>
      <c r="K632" s="40"/>
    </row>
    <row r="633" spans="1:11" x14ac:dyDescent="0.3">
      <c r="A633" s="41"/>
      <c r="J633" s="40"/>
      <c r="K633" s="40"/>
    </row>
    <row r="634" spans="1:11" x14ac:dyDescent="0.3">
      <c r="A634" s="41"/>
      <c r="J634" s="40"/>
      <c r="K634" s="40"/>
    </row>
    <row r="635" spans="1:11" x14ac:dyDescent="0.3">
      <c r="A635" s="41"/>
      <c r="J635" s="40"/>
      <c r="K635" s="40"/>
    </row>
    <row r="636" spans="1:11" x14ac:dyDescent="0.3">
      <c r="A636" s="41"/>
      <c r="J636" s="40"/>
      <c r="K636" s="40"/>
    </row>
    <row r="637" spans="1:11" x14ac:dyDescent="0.3">
      <c r="A637" s="41"/>
      <c r="J637" s="40"/>
      <c r="K637" s="40"/>
    </row>
    <row r="638" spans="1:11" x14ac:dyDescent="0.3">
      <c r="A638" s="41"/>
      <c r="J638" s="40"/>
      <c r="K638" s="40"/>
    </row>
    <row r="639" spans="1:11" x14ac:dyDescent="0.3">
      <c r="A639" s="41"/>
      <c r="J639" s="40"/>
      <c r="K639" s="40"/>
    </row>
    <row r="640" spans="1:11" x14ac:dyDescent="0.3">
      <c r="A640" s="41"/>
      <c r="J640" s="40"/>
      <c r="K640" s="40"/>
    </row>
    <row r="641" spans="1:11" x14ac:dyDescent="0.3">
      <c r="A641" s="41"/>
      <c r="J641" s="40"/>
      <c r="K641" s="40"/>
    </row>
    <row r="642" spans="1:11" x14ac:dyDescent="0.3">
      <c r="A642" s="41"/>
      <c r="J642" s="40"/>
      <c r="K642" s="40"/>
    </row>
    <row r="643" spans="1:11" x14ac:dyDescent="0.3">
      <c r="A643" s="41"/>
      <c r="J643" s="40"/>
      <c r="K643" s="40"/>
    </row>
    <row r="644" spans="1:11" x14ac:dyDescent="0.3">
      <c r="A644" s="41"/>
      <c r="J644" s="40"/>
      <c r="K644" s="40"/>
    </row>
    <row r="645" spans="1:11" x14ac:dyDescent="0.3">
      <c r="A645" s="41"/>
      <c r="J645" s="40"/>
      <c r="K645" s="40"/>
    </row>
    <row r="646" spans="1:11" x14ac:dyDescent="0.3">
      <c r="A646" s="41"/>
      <c r="J646" s="40"/>
      <c r="K646" s="40"/>
    </row>
    <row r="647" spans="1:11" x14ac:dyDescent="0.3">
      <c r="A647" s="41"/>
      <c r="J647" s="40"/>
      <c r="K647" s="40"/>
    </row>
    <row r="648" spans="1:11" x14ac:dyDescent="0.3">
      <c r="A648" s="41"/>
      <c r="J648" s="40"/>
      <c r="K648" s="40"/>
    </row>
    <row r="649" spans="1:11" x14ac:dyDescent="0.3">
      <c r="A649" s="41"/>
      <c r="J649" s="40"/>
      <c r="K649" s="40"/>
    </row>
    <row r="650" spans="1:11" x14ac:dyDescent="0.3">
      <c r="A650" s="41"/>
      <c r="J650" s="40"/>
      <c r="K650" s="40"/>
    </row>
    <row r="651" spans="1:11" x14ac:dyDescent="0.3">
      <c r="A651" s="41"/>
      <c r="J651" s="40"/>
      <c r="K651" s="40"/>
    </row>
    <row r="652" spans="1:11" x14ac:dyDescent="0.3">
      <c r="A652" s="41"/>
      <c r="J652" s="40"/>
      <c r="K652" s="40"/>
    </row>
    <row r="653" spans="1:11" x14ac:dyDescent="0.3">
      <c r="A653" s="41"/>
      <c r="J653" s="40"/>
      <c r="K653" s="40"/>
    </row>
    <row r="654" spans="1:11" x14ac:dyDescent="0.3">
      <c r="A654" s="41"/>
      <c r="J654" s="40"/>
      <c r="K654" s="40"/>
    </row>
    <row r="655" spans="1:11" x14ac:dyDescent="0.3">
      <c r="A655" s="41"/>
      <c r="J655" s="40"/>
      <c r="K655" s="40"/>
    </row>
    <row r="656" spans="1:11" x14ac:dyDescent="0.3">
      <c r="A656" s="41"/>
      <c r="J656" s="40"/>
      <c r="K656" s="40"/>
    </row>
    <row r="657" spans="1:11" x14ac:dyDescent="0.3">
      <c r="A657" s="41"/>
      <c r="J657" s="40"/>
      <c r="K657" s="40"/>
    </row>
    <row r="658" spans="1:11" x14ac:dyDescent="0.3">
      <c r="A658" s="41"/>
      <c r="J658" s="40"/>
      <c r="K658" s="40"/>
    </row>
    <row r="659" spans="1:11" x14ac:dyDescent="0.3">
      <c r="A659" s="41"/>
      <c r="J659" s="40"/>
      <c r="K659" s="40"/>
    </row>
    <row r="660" spans="1:11" x14ac:dyDescent="0.3">
      <c r="A660" s="41"/>
      <c r="J660" s="40"/>
      <c r="K660" s="40"/>
    </row>
    <row r="661" spans="1:11" x14ac:dyDescent="0.3">
      <c r="A661" s="41"/>
      <c r="J661" s="40"/>
      <c r="K661" s="40"/>
    </row>
    <row r="662" spans="1:11" x14ac:dyDescent="0.3">
      <c r="A662" s="41"/>
      <c r="J662" s="40"/>
      <c r="K662" s="40"/>
    </row>
    <row r="663" spans="1:11" x14ac:dyDescent="0.3">
      <c r="A663" s="41"/>
      <c r="J663" s="40"/>
      <c r="K663" s="40"/>
    </row>
    <row r="664" spans="1:11" x14ac:dyDescent="0.3">
      <c r="A664" s="41"/>
      <c r="J664" s="40"/>
      <c r="K664" s="40"/>
    </row>
    <row r="665" spans="1:11" x14ac:dyDescent="0.3">
      <c r="A665" s="41"/>
      <c r="J665" s="40"/>
      <c r="K665" s="40"/>
    </row>
    <row r="666" spans="1:11" x14ac:dyDescent="0.3">
      <c r="A666" s="41"/>
      <c r="J666" s="40"/>
      <c r="K666" s="40"/>
    </row>
    <row r="667" spans="1:11" x14ac:dyDescent="0.3">
      <c r="A667" s="41"/>
      <c r="J667" s="40"/>
      <c r="K667" s="40"/>
    </row>
    <row r="668" spans="1:11" x14ac:dyDescent="0.3">
      <c r="A668" s="41"/>
      <c r="J668" s="40"/>
      <c r="K668" s="40"/>
    </row>
    <row r="669" spans="1:11" x14ac:dyDescent="0.3">
      <c r="A669" s="41"/>
      <c r="J669" s="40"/>
      <c r="K669" s="40"/>
    </row>
    <row r="670" spans="1:11" x14ac:dyDescent="0.3">
      <c r="A670" s="41"/>
      <c r="J670" s="40"/>
      <c r="K670" s="40"/>
    </row>
    <row r="671" spans="1:11" x14ac:dyDescent="0.3">
      <c r="A671" s="41"/>
      <c r="J671" s="40"/>
      <c r="K671" s="40"/>
    </row>
    <row r="672" spans="1:11" x14ac:dyDescent="0.3">
      <c r="A672" s="41"/>
      <c r="J672" s="40"/>
      <c r="K672" s="40"/>
    </row>
    <row r="673" spans="1:11" x14ac:dyDescent="0.3">
      <c r="A673" s="41"/>
      <c r="J673" s="40"/>
      <c r="K673" s="40"/>
    </row>
    <row r="674" spans="1:11" x14ac:dyDescent="0.3">
      <c r="A674" s="41"/>
      <c r="J674" s="40"/>
      <c r="K674" s="40"/>
    </row>
    <row r="675" spans="1:11" x14ac:dyDescent="0.3">
      <c r="A675" s="41"/>
      <c r="J675" s="40"/>
      <c r="K675" s="40"/>
    </row>
    <row r="676" spans="1:11" x14ac:dyDescent="0.3">
      <c r="A676" s="41"/>
      <c r="J676" s="40"/>
      <c r="K676" s="40"/>
    </row>
    <row r="677" spans="1:11" x14ac:dyDescent="0.3">
      <c r="A677" s="41"/>
      <c r="J677" s="40"/>
      <c r="K677" s="40"/>
    </row>
    <row r="678" spans="1:11" x14ac:dyDescent="0.3">
      <c r="A678" s="41"/>
      <c r="J678" s="40"/>
      <c r="K678" s="40"/>
    </row>
    <row r="679" spans="1:11" x14ac:dyDescent="0.3">
      <c r="A679" s="41"/>
      <c r="J679" s="40"/>
      <c r="K679" s="40"/>
    </row>
    <row r="680" spans="1:11" x14ac:dyDescent="0.3">
      <c r="A680" s="41"/>
      <c r="J680" s="40"/>
      <c r="K680" s="40"/>
    </row>
    <row r="681" spans="1:11" x14ac:dyDescent="0.3">
      <c r="A681" s="41"/>
      <c r="J681" s="40"/>
      <c r="K681" s="40"/>
    </row>
    <row r="682" spans="1:11" x14ac:dyDescent="0.3">
      <c r="A682" s="41"/>
      <c r="J682" s="40"/>
      <c r="K682" s="40"/>
    </row>
    <row r="683" spans="1:11" x14ac:dyDescent="0.3">
      <c r="A683" s="41"/>
      <c r="J683" s="40"/>
      <c r="K683" s="40"/>
    </row>
    <row r="684" spans="1:11" x14ac:dyDescent="0.3">
      <c r="A684" s="41"/>
      <c r="J684" s="40"/>
      <c r="K684" s="40"/>
    </row>
    <row r="685" spans="1:11" x14ac:dyDescent="0.3">
      <c r="A685" s="41"/>
      <c r="J685" s="40"/>
      <c r="K685" s="40"/>
    </row>
    <row r="686" spans="1:11" x14ac:dyDescent="0.3">
      <c r="A686" s="41"/>
      <c r="J686" s="40"/>
      <c r="K686" s="40"/>
    </row>
    <row r="687" spans="1:11" x14ac:dyDescent="0.3">
      <c r="A687" s="41"/>
      <c r="J687" s="40"/>
      <c r="K687" s="40"/>
    </row>
    <row r="688" spans="1:11" x14ac:dyDescent="0.3">
      <c r="A688" s="41"/>
      <c r="J688" s="40"/>
      <c r="K688" s="40"/>
    </row>
    <row r="689" spans="1:11" x14ac:dyDescent="0.3">
      <c r="A689" s="41"/>
      <c r="J689" s="40"/>
      <c r="K689" s="40"/>
    </row>
    <row r="690" spans="1:11" x14ac:dyDescent="0.3">
      <c r="A690" s="41"/>
      <c r="J690" s="40"/>
      <c r="K690" s="40"/>
    </row>
    <row r="691" spans="1:11" x14ac:dyDescent="0.3">
      <c r="A691" s="41"/>
      <c r="J691" s="40"/>
      <c r="K691" s="40"/>
    </row>
    <row r="692" spans="1:11" x14ac:dyDescent="0.3">
      <c r="A692" s="41"/>
      <c r="J692" s="40"/>
      <c r="K692" s="40"/>
    </row>
    <row r="693" spans="1:11" x14ac:dyDescent="0.3">
      <c r="A693" s="41"/>
      <c r="J693" s="40"/>
      <c r="K693" s="40"/>
    </row>
    <row r="694" spans="1:11" x14ac:dyDescent="0.3">
      <c r="A694" s="41"/>
      <c r="J694" s="40"/>
      <c r="K694" s="40"/>
    </row>
    <row r="695" spans="1:11" x14ac:dyDescent="0.3">
      <c r="A695" s="41"/>
      <c r="J695" s="40"/>
      <c r="K695" s="40"/>
    </row>
    <row r="696" spans="1:11" x14ac:dyDescent="0.3">
      <c r="A696" s="41"/>
      <c r="J696" s="40"/>
      <c r="K696" s="40"/>
    </row>
    <row r="697" spans="1:11" x14ac:dyDescent="0.3">
      <c r="A697" s="41"/>
      <c r="J697" s="40"/>
      <c r="K697" s="40"/>
    </row>
    <row r="698" spans="1:11" x14ac:dyDescent="0.3">
      <c r="A698" s="41"/>
      <c r="J698" s="40"/>
      <c r="K698" s="40"/>
    </row>
    <row r="699" spans="1:11" x14ac:dyDescent="0.3">
      <c r="A699" s="41"/>
      <c r="J699" s="40"/>
      <c r="K699" s="40"/>
    </row>
    <row r="700" spans="1:11" x14ac:dyDescent="0.3">
      <c r="A700" s="41"/>
      <c r="J700" s="40"/>
      <c r="K700" s="40"/>
    </row>
    <row r="701" spans="1:11" x14ac:dyDescent="0.3">
      <c r="A701" s="41"/>
      <c r="J701" s="40"/>
      <c r="K701" s="40"/>
    </row>
    <row r="702" spans="1:11" x14ac:dyDescent="0.3">
      <c r="A702" s="41"/>
      <c r="J702" s="40"/>
      <c r="K702" s="40"/>
    </row>
    <row r="703" spans="1:11" x14ac:dyDescent="0.3">
      <c r="A703" s="41"/>
      <c r="J703" s="40"/>
      <c r="K703" s="40"/>
    </row>
    <row r="704" spans="1:11" x14ac:dyDescent="0.3">
      <c r="A704" s="41"/>
      <c r="J704" s="40"/>
      <c r="K704" s="40"/>
    </row>
    <row r="705" spans="1:11" x14ac:dyDescent="0.3">
      <c r="A705" s="41"/>
      <c r="J705" s="40"/>
      <c r="K705" s="40"/>
    </row>
    <row r="706" spans="1:11" x14ac:dyDescent="0.3">
      <c r="A706" s="41"/>
      <c r="J706" s="40"/>
      <c r="K706" s="40"/>
    </row>
    <row r="707" spans="1:11" x14ac:dyDescent="0.3">
      <c r="A707" s="41"/>
      <c r="J707" s="40"/>
      <c r="K707" s="40"/>
    </row>
    <row r="708" spans="1:11" x14ac:dyDescent="0.3">
      <c r="A708" s="41"/>
      <c r="J708" s="40"/>
      <c r="K708" s="40"/>
    </row>
    <row r="709" spans="1:11" x14ac:dyDescent="0.3">
      <c r="A709" s="41"/>
      <c r="J709" s="40"/>
      <c r="K709" s="40"/>
    </row>
    <row r="710" spans="1:11" x14ac:dyDescent="0.3">
      <c r="A710" s="41"/>
      <c r="J710" s="40"/>
      <c r="K710" s="40"/>
    </row>
    <row r="711" spans="1:11" x14ac:dyDescent="0.3">
      <c r="A711" s="41"/>
      <c r="J711" s="40"/>
      <c r="K711" s="40"/>
    </row>
    <row r="712" spans="1:11" x14ac:dyDescent="0.3">
      <c r="A712" s="41"/>
      <c r="J712" s="40"/>
      <c r="K712" s="40"/>
    </row>
    <row r="713" spans="1:11" x14ac:dyDescent="0.3">
      <c r="A713" s="41"/>
      <c r="J713" s="40"/>
      <c r="K713" s="40"/>
    </row>
    <row r="714" spans="1:11" x14ac:dyDescent="0.3">
      <c r="A714" s="41"/>
      <c r="J714" s="40"/>
      <c r="K714" s="40"/>
    </row>
    <row r="715" spans="1:11" x14ac:dyDescent="0.3">
      <c r="A715" s="41"/>
      <c r="J715" s="40"/>
      <c r="K715" s="40"/>
    </row>
    <row r="716" spans="1:11" x14ac:dyDescent="0.3">
      <c r="A716" s="41"/>
      <c r="J716" s="40"/>
      <c r="K716" s="40"/>
    </row>
    <row r="717" spans="1:11" x14ac:dyDescent="0.3">
      <c r="A717" s="41"/>
      <c r="J717" s="40"/>
      <c r="K717" s="40"/>
    </row>
    <row r="718" spans="1:11" x14ac:dyDescent="0.3">
      <c r="A718" s="41"/>
      <c r="J718" s="40"/>
      <c r="K718" s="40"/>
    </row>
    <row r="719" spans="1:11" x14ac:dyDescent="0.3">
      <c r="A719" s="41"/>
      <c r="J719" s="40"/>
      <c r="K719" s="40"/>
    </row>
    <row r="720" spans="1:11" x14ac:dyDescent="0.3">
      <c r="A720" s="41"/>
      <c r="J720" s="40"/>
      <c r="K720" s="40"/>
    </row>
    <row r="721" spans="1:11" x14ac:dyDescent="0.3">
      <c r="A721" s="41"/>
      <c r="J721" s="40"/>
      <c r="K721" s="40"/>
    </row>
    <row r="722" spans="1:11" x14ac:dyDescent="0.3">
      <c r="A722" s="41"/>
      <c r="J722" s="40"/>
      <c r="K722" s="40"/>
    </row>
    <row r="723" spans="1:11" x14ac:dyDescent="0.3">
      <c r="A723" s="41"/>
      <c r="J723" s="40"/>
      <c r="K723" s="40"/>
    </row>
    <row r="724" spans="1:11" x14ac:dyDescent="0.3">
      <c r="A724" s="41"/>
      <c r="J724" s="40"/>
      <c r="K724" s="40"/>
    </row>
    <row r="725" spans="1:11" x14ac:dyDescent="0.3">
      <c r="A725" s="41"/>
      <c r="J725" s="40"/>
      <c r="K725" s="40"/>
    </row>
    <row r="726" spans="1:11" x14ac:dyDescent="0.3">
      <c r="A726" s="41"/>
      <c r="J726" s="40"/>
      <c r="K726" s="40"/>
    </row>
    <row r="727" spans="1:11" x14ac:dyDescent="0.3">
      <c r="A727" s="41"/>
      <c r="J727" s="40"/>
      <c r="K727" s="40"/>
    </row>
    <row r="728" spans="1:11" x14ac:dyDescent="0.3">
      <c r="A728" s="41"/>
      <c r="J728" s="40"/>
      <c r="K728" s="40"/>
    </row>
    <row r="729" spans="1:11" x14ac:dyDescent="0.3">
      <c r="A729" s="41"/>
      <c r="J729" s="40"/>
      <c r="K729" s="40"/>
    </row>
    <row r="730" spans="1:11" x14ac:dyDescent="0.3">
      <c r="A730" s="41"/>
      <c r="J730" s="40"/>
      <c r="K730" s="40"/>
    </row>
    <row r="731" spans="1:11" x14ac:dyDescent="0.3">
      <c r="A731" s="41"/>
      <c r="J731" s="40"/>
      <c r="K731" s="40"/>
    </row>
    <row r="732" spans="1:11" x14ac:dyDescent="0.3">
      <c r="A732" s="41"/>
      <c r="J732" s="40"/>
      <c r="K732" s="40"/>
    </row>
    <row r="733" spans="1:11" x14ac:dyDescent="0.3">
      <c r="A733" s="41"/>
      <c r="J733" s="40"/>
      <c r="K733" s="40"/>
    </row>
    <row r="734" spans="1:11" x14ac:dyDescent="0.3">
      <c r="A734" s="41"/>
      <c r="J734" s="40"/>
      <c r="K734" s="40"/>
    </row>
    <row r="735" spans="1:11" x14ac:dyDescent="0.3">
      <c r="A735" s="41"/>
      <c r="J735" s="40"/>
      <c r="K735" s="40"/>
    </row>
    <row r="736" spans="1:11" x14ac:dyDescent="0.3">
      <c r="A736" s="41"/>
      <c r="J736" s="40"/>
      <c r="K736" s="40"/>
    </row>
    <row r="737" spans="1:11" x14ac:dyDescent="0.3">
      <c r="A737" s="41"/>
      <c r="J737" s="40"/>
      <c r="K737" s="40"/>
    </row>
    <row r="738" spans="1:11" x14ac:dyDescent="0.3">
      <c r="A738" s="41"/>
      <c r="J738" s="40"/>
      <c r="K738" s="40"/>
    </row>
    <row r="739" spans="1:11" x14ac:dyDescent="0.3">
      <c r="A739" s="41"/>
      <c r="J739" s="40"/>
      <c r="K739" s="40"/>
    </row>
    <row r="740" spans="1:11" x14ac:dyDescent="0.3">
      <c r="A740" s="41"/>
      <c r="J740" s="40"/>
      <c r="K740" s="40"/>
    </row>
    <row r="741" spans="1:11" x14ac:dyDescent="0.3">
      <c r="A741" s="41"/>
      <c r="J741" s="40"/>
      <c r="K741" s="40"/>
    </row>
    <row r="742" spans="1:11" x14ac:dyDescent="0.3">
      <c r="A742" s="41"/>
      <c r="J742" s="40"/>
      <c r="K742" s="40"/>
    </row>
    <row r="743" spans="1:11" x14ac:dyDescent="0.3">
      <c r="A743" s="41"/>
      <c r="J743" s="40"/>
      <c r="K743" s="40"/>
    </row>
    <row r="744" spans="1:11" x14ac:dyDescent="0.3">
      <c r="A744" s="41"/>
      <c r="J744" s="40"/>
      <c r="K744" s="40"/>
    </row>
    <row r="745" spans="1:11" x14ac:dyDescent="0.3">
      <c r="A745" s="41"/>
      <c r="J745" s="40"/>
      <c r="K745" s="40"/>
    </row>
    <row r="746" spans="1:11" x14ac:dyDescent="0.3">
      <c r="A746" s="41"/>
      <c r="J746" s="40"/>
      <c r="K746" s="40"/>
    </row>
    <row r="747" spans="1:11" x14ac:dyDescent="0.3">
      <c r="A747" s="41"/>
      <c r="J747" s="40"/>
      <c r="K747" s="40"/>
    </row>
    <row r="748" spans="1:11" x14ac:dyDescent="0.3">
      <c r="A748" s="41"/>
      <c r="J748" s="40"/>
      <c r="K748" s="40"/>
    </row>
    <row r="749" spans="1:11" x14ac:dyDescent="0.3">
      <c r="A749" s="41"/>
      <c r="J749" s="40"/>
      <c r="K749" s="40"/>
    </row>
    <row r="750" spans="1:11" x14ac:dyDescent="0.3">
      <c r="A750" s="41"/>
      <c r="J750" s="40"/>
      <c r="K750" s="40"/>
    </row>
    <row r="751" spans="1:11" x14ac:dyDescent="0.3">
      <c r="A751" s="41"/>
      <c r="J751" s="40"/>
      <c r="K751" s="40"/>
    </row>
    <row r="752" spans="1:11" x14ac:dyDescent="0.3">
      <c r="A752" s="41"/>
      <c r="J752" s="40"/>
      <c r="K752" s="40"/>
    </row>
    <row r="753" spans="1:11" x14ac:dyDescent="0.3">
      <c r="A753" s="41"/>
      <c r="J753" s="40"/>
      <c r="K753" s="40"/>
    </row>
    <row r="754" spans="1:11" x14ac:dyDescent="0.3">
      <c r="A754" s="41"/>
      <c r="J754" s="40"/>
      <c r="K754" s="40"/>
    </row>
    <row r="755" spans="1:11" x14ac:dyDescent="0.3">
      <c r="A755" s="41"/>
      <c r="J755" s="40"/>
      <c r="K755" s="40"/>
    </row>
    <row r="756" spans="1:11" x14ac:dyDescent="0.3">
      <c r="A756" s="41"/>
      <c r="J756" s="40"/>
      <c r="K756" s="40"/>
    </row>
    <row r="757" spans="1:11" x14ac:dyDescent="0.3">
      <c r="A757" s="41"/>
      <c r="J757" s="40"/>
      <c r="K757" s="40"/>
    </row>
    <row r="758" spans="1:11" x14ac:dyDescent="0.3">
      <c r="A758" s="41"/>
      <c r="J758" s="40"/>
      <c r="K758" s="40"/>
    </row>
    <row r="759" spans="1:11" x14ac:dyDescent="0.3">
      <c r="A759" s="41"/>
      <c r="J759" s="40"/>
      <c r="K759" s="40"/>
    </row>
    <row r="760" spans="1:11" x14ac:dyDescent="0.3">
      <c r="A760" s="41"/>
      <c r="J760" s="40"/>
      <c r="K760" s="40"/>
    </row>
    <row r="761" spans="1:11" x14ac:dyDescent="0.3">
      <c r="A761" s="41"/>
      <c r="J761" s="40"/>
      <c r="K761" s="40"/>
    </row>
    <row r="762" spans="1:11" x14ac:dyDescent="0.3">
      <c r="A762" s="41"/>
      <c r="J762" s="40"/>
      <c r="K762" s="40"/>
    </row>
    <row r="763" spans="1:11" x14ac:dyDescent="0.3">
      <c r="A763" s="41"/>
      <c r="J763" s="40"/>
      <c r="K763" s="40"/>
    </row>
    <row r="764" spans="1:11" x14ac:dyDescent="0.3">
      <c r="A764" s="41"/>
      <c r="J764" s="40"/>
      <c r="K764" s="40"/>
    </row>
    <row r="765" spans="1:11" x14ac:dyDescent="0.3">
      <c r="A765" s="41"/>
      <c r="J765" s="40"/>
      <c r="K765" s="40"/>
    </row>
    <row r="766" spans="1:11" x14ac:dyDescent="0.3">
      <c r="A766" s="41"/>
      <c r="J766" s="40"/>
      <c r="K766" s="40"/>
    </row>
    <row r="767" spans="1:11" x14ac:dyDescent="0.3">
      <c r="A767" s="41"/>
      <c r="J767" s="40"/>
      <c r="K767" s="40"/>
    </row>
    <row r="768" spans="1:11" x14ac:dyDescent="0.3">
      <c r="A768" s="41"/>
      <c r="J768" s="40"/>
      <c r="K768" s="40"/>
    </row>
    <row r="769" spans="1:11" x14ac:dyDescent="0.3">
      <c r="A769" s="41"/>
      <c r="J769" s="40"/>
      <c r="K769" s="40"/>
    </row>
    <row r="770" spans="1:11" x14ac:dyDescent="0.3">
      <c r="A770" s="41"/>
      <c r="J770" s="40"/>
      <c r="K770" s="40"/>
    </row>
    <row r="771" spans="1:11" x14ac:dyDescent="0.3">
      <c r="A771" s="41"/>
      <c r="J771" s="40"/>
      <c r="K771" s="40"/>
    </row>
    <row r="772" spans="1:11" x14ac:dyDescent="0.3">
      <c r="A772" s="41"/>
      <c r="J772" s="40"/>
      <c r="K772" s="40"/>
    </row>
    <row r="773" spans="1:11" x14ac:dyDescent="0.3">
      <c r="A773" s="41"/>
      <c r="J773" s="40"/>
      <c r="K773" s="40"/>
    </row>
    <row r="774" spans="1:11" x14ac:dyDescent="0.3">
      <c r="A774" s="41"/>
      <c r="J774" s="40"/>
      <c r="K774" s="40"/>
    </row>
    <row r="775" spans="1:11" x14ac:dyDescent="0.3">
      <c r="A775" s="41"/>
      <c r="J775" s="40"/>
      <c r="K775" s="40"/>
    </row>
    <row r="776" spans="1:11" x14ac:dyDescent="0.3">
      <c r="A776" s="41"/>
      <c r="J776" s="40"/>
      <c r="K776" s="40"/>
    </row>
    <row r="777" spans="1:11" x14ac:dyDescent="0.3">
      <c r="A777" s="41"/>
      <c r="J777" s="40"/>
      <c r="K777" s="40"/>
    </row>
    <row r="778" spans="1:11" x14ac:dyDescent="0.3">
      <c r="A778" s="41"/>
      <c r="J778" s="40"/>
      <c r="K778" s="40"/>
    </row>
    <row r="779" spans="1:11" x14ac:dyDescent="0.3">
      <c r="A779" s="41"/>
      <c r="J779" s="40"/>
      <c r="K779" s="40"/>
    </row>
    <row r="780" spans="1:11" x14ac:dyDescent="0.3">
      <c r="A780" s="41"/>
      <c r="J780" s="40"/>
      <c r="K780" s="40"/>
    </row>
    <row r="781" spans="1:11" x14ac:dyDescent="0.3">
      <c r="A781" s="41"/>
      <c r="J781" s="40"/>
      <c r="K781" s="40"/>
    </row>
    <row r="782" spans="1:11" x14ac:dyDescent="0.3">
      <c r="A782" s="41"/>
      <c r="J782" s="40"/>
      <c r="K782" s="40"/>
    </row>
    <row r="783" spans="1:11" x14ac:dyDescent="0.3">
      <c r="A783" s="41"/>
      <c r="J783" s="40"/>
      <c r="K783" s="40"/>
    </row>
    <row r="784" spans="1:11" x14ac:dyDescent="0.3">
      <c r="A784" s="41"/>
      <c r="J784" s="40"/>
      <c r="K784" s="40"/>
    </row>
    <row r="785" spans="1:11" x14ac:dyDescent="0.3">
      <c r="A785" s="41"/>
      <c r="J785" s="40"/>
      <c r="K785" s="40"/>
    </row>
    <row r="786" spans="1:11" x14ac:dyDescent="0.3">
      <c r="A786" s="41"/>
      <c r="J786" s="40"/>
      <c r="K786" s="40"/>
    </row>
    <row r="787" spans="1:11" x14ac:dyDescent="0.3">
      <c r="A787" s="41"/>
      <c r="J787" s="40"/>
      <c r="K787" s="40"/>
    </row>
    <row r="788" spans="1:11" x14ac:dyDescent="0.3">
      <c r="A788" s="41"/>
      <c r="J788" s="40"/>
      <c r="K788" s="40"/>
    </row>
    <row r="789" spans="1:11" x14ac:dyDescent="0.3">
      <c r="A789" s="41"/>
      <c r="J789" s="40"/>
      <c r="K789" s="40"/>
    </row>
    <row r="790" spans="1:11" x14ac:dyDescent="0.3">
      <c r="A790" s="41"/>
      <c r="J790" s="40"/>
      <c r="K790" s="40"/>
    </row>
    <row r="791" spans="1:11" x14ac:dyDescent="0.3">
      <c r="A791" s="41"/>
      <c r="J791" s="40"/>
      <c r="K791" s="40"/>
    </row>
    <row r="792" spans="1:11" x14ac:dyDescent="0.3">
      <c r="A792" s="41"/>
      <c r="J792" s="40"/>
      <c r="K792" s="40"/>
    </row>
    <row r="793" spans="1:11" x14ac:dyDescent="0.3">
      <c r="A793" s="41"/>
      <c r="J793" s="40"/>
      <c r="K793" s="40"/>
    </row>
    <row r="794" spans="1:11" x14ac:dyDescent="0.3">
      <c r="A794" s="41"/>
      <c r="J794" s="40"/>
      <c r="K794" s="40"/>
    </row>
    <row r="795" spans="1:11" x14ac:dyDescent="0.3">
      <c r="A795" s="41"/>
      <c r="J795" s="40"/>
      <c r="K795" s="40"/>
    </row>
    <row r="796" spans="1:11" x14ac:dyDescent="0.3">
      <c r="A796" s="41"/>
      <c r="J796" s="40"/>
      <c r="K796" s="40"/>
    </row>
    <row r="797" spans="1:11" x14ac:dyDescent="0.3">
      <c r="A797" s="41"/>
      <c r="J797" s="40"/>
      <c r="K797" s="40"/>
    </row>
    <row r="798" spans="1:11" x14ac:dyDescent="0.3">
      <c r="A798" s="41"/>
      <c r="J798" s="40"/>
      <c r="K798" s="40"/>
    </row>
    <row r="799" spans="1:11" x14ac:dyDescent="0.3">
      <c r="A799" s="41"/>
      <c r="J799" s="40"/>
      <c r="K799" s="40"/>
    </row>
    <row r="800" spans="1:11" x14ac:dyDescent="0.3">
      <c r="A800" s="41"/>
      <c r="J800" s="40"/>
      <c r="K800" s="40"/>
    </row>
    <row r="801" spans="1:11" x14ac:dyDescent="0.3">
      <c r="A801" s="41"/>
      <c r="J801" s="40"/>
      <c r="K801" s="40"/>
    </row>
    <row r="802" spans="1:11" x14ac:dyDescent="0.3">
      <c r="A802" s="41"/>
      <c r="J802" s="40"/>
      <c r="K802" s="40"/>
    </row>
    <row r="803" spans="1:11" x14ac:dyDescent="0.3">
      <c r="A803" s="41"/>
      <c r="J803" s="40"/>
      <c r="K803" s="40"/>
    </row>
    <row r="804" spans="1:11" x14ac:dyDescent="0.3">
      <c r="A804" s="41"/>
      <c r="J804" s="40"/>
      <c r="K804" s="40"/>
    </row>
    <row r="805" spans="1:11" x14ac:dyDescent="0.3">
      <c r="A805" s="41"/>
      <c r="J805" s="40"/>
      <c r="K805" s="40"/>
    </row>
    <row r="806" spans="1:11" x14ac:dyDescent="0.3">
      <c r="A806" s="41"/>
      <c r="J806" s="40"/>
      <c r="K806" s="40"/>
    </row>
    <row r="807" spans="1:11" x14ac:dyDescent="0.3">
      <c r="A807" s="41"/>
      <c r="J807" s="40"/>
      <c r="K807" s="40"/>
    </row>
    <row r="808" spans="1:11" x14ac:dyDescent="0.3">
      <c r="A808" s="41"/>
      <c r="J808" s="40"/>
      <c r="K808" s="40"/>
    </row>
    <row r="809" spans="1:11" x14ac:dyDescent="0.3">
      <c r="A809" s="41"/>
      <c r="J809" s="40"/>
      <c r="K809" s="40"/>
    </row>
    <row r="810" spans="1:11" x14ac:dyDescent="0.3">
      <c r="A810" s="41"/>
      <c r="J810" s="40"/>
      <c r="K810" s="40"/>
    </row>
    <row r="811" spans="1:11" x14ac:dyDescent="0.3">
      <c r="A811" s="41"/>
      <c r="J811" s="40"/>
      <c r="K811" s="40"/>
    </row>
    <row r="812" spans="1:11" x14ac:dyDescent="0.3">
      <c r="A812" s="41"/>
      <c r="J812" s="40"/>
      <c r="K812" s="40"/>
    </row>
    <row r="813" spans="1:11" x14ac:dyDescent="0.3">
      <c r="A813" s="41"/>
      <c r="J813" s="40"/>
      <c r="K813" s="40"/>
    </row>
    <row r="814" spans="1:11" x14ac:dyDescent="0.3">
      <c r="A814" s="41"/>
      <c r="J814" s="40"/>
      <c r="K814" s="40"/>
    </row>
    <row r="815" spans="1:11" x14ac:dyDescent="0.3">
      <c r="A815" s="41"/>
      <c r="J815" s="40"/>
      <c r="K815" s="40"/>
    </row>
    <row r="816" spans="1:11" x14ac:dyDescent="0.3">
      <c r="A816" s="41"/>
      <c r="J816" s="40"/>
      <c r="K816" s="40"/>
    </row>
    <row r="817" spans="1:11" x14ac:dyDescent="0.3">
      <c r="A817" s="41"/>
      <c r="J817" s="40"/>
      <c r="K817" s="40"/>
    </row>
    <row r="818" spans="1:11" x14ac:dyDescent="0.3">
      <c r="A818" s="41"/>
      <c r="J818" s="40"/>
      <c r="K818" s="40"/>
    </row>
    <row r="819" spans="1:11" x14ac:dyDescent="0.3">
      <c r="A819" s="41"/>
      <c r="J819" s="40"/>
      <c r="K819" s="40"/>
    </row>
    <row r="820" spans="1:11" x14ac:dyDescent="0.3">
      <c r="A820" s="41"/>
      <c r="J820" s="40"/>
      <c r="K820" s="40"/>
    </row>
    <row r="821" spans="1:11" x14ac:dyDescent="0.3">
      <c r="A821" s="41"/>
      <c r="J821" s="40"/>
      <c r="K821" s="40"/>
    </row>
    <row r="822" spans="1:11" x14ac:dyDescent="0.3">
      <c r="A822" s="41"/>
      <c r="J822" s="40"/>
      <c r="K822" s="40"/>
    </row>
    <row r="823" spans="1:11" x14ac:dyDescent="0.3">
      <c r="A823" s="41"/>
      <c r="J823" s="40"/>
      <c r="K823" s="40"/>
    </row>
    <row r="824" spans="1:11" x14ac:dyDescent="0.3">
      <c r="A824" s="41"/>
      <c r="J824" s="40"/>
      <c r="K824" s="40"/>
    </row>
    <row r="825" spans="1:11" x14ac:dyDescent="0.3">
      <c r="A825" s="41"/>
      <c r="J825" s="40"/>
      <c r="K825" s="40"/>
    </row>
    <row r="826" spans="1:11" x14ac:dyDescent="0.3">
      <c r="A826" s="41"/>
      <c r="J826" s="40"/>
      <c r="K826" s="40"/>
    </row>
    <row r="827" spans="1:11" x14ac:dyDescent="0.3">
      <c r="A827" s="41"/>
      <c r="J827" s="40"/>
      <c r="K827" s="40"/>
    </row>
    <row r="828" spans="1:11" x14ac:dyDescent="0.3">
      <c r="A828" s="41"/>
      <c r="J828" s="40"/>
      <c r="K828" s="40"/>
    </row>
    <row r="829" spans="1:11" x14ac:dyDescent="0.3">
      <c r="A829" s="41"/>
      <c r="J829" s="40"/>
      <c r="K829" s="40"/>
    </row>
    <row r="830" spans="1:11" x14ac:dyDescent="0.3">
      <c r="A830" s="41"/>
      <c r="J830" s="40"/>
      <c r="K830" s="40"/>
    </row>
    <row r="831" spans="1:11" x14ac:dyDescent="0.3">
      <c r="A831" s="41"/>
      <c r="J831" s="40"/>
      <c r="K831" s="40"/>
    </row>
    <row r="832" spans="1:11" x14ac:dyDescent="0.3">
      <c r="A832" s="41"/>
      <c r="J832" s="40"/>
      <c r="K832" s="40"/>
    </row>
    <row r="833" spans="1:11" x14ac:dyDescent="0.3">
      <c r="A833" s="41"/>
      <c r="J833" s="40"/>
      <c r="K833" s="40"/>
    </row>
    <row r="834" spans="1:11" x14ac:dyDescent="0.3">
      <c r="A834" s="41"/>
      <c r="J834" s="40"/>
      <c r="K834" s="40"/>
    </row>
    <row r="835" spans="1:11" x14ac:dyDescent="0.3">
      <c r="A835" s="41"/>
      <c r="J835" s="40"/>
      <c r="K835" s="40"/>
    </row>
    <row r="836" spans="1:11" x14ac:dyDescent="0.3">
      <c r="A836" s="41"/>
      <c r="J836" s="40"/>
      <c r="K836" s="40"/>
    </row>
    <row r="837" spans="1:11" x14ac:dyDescent="0.3">
      <c r="A837" s="41"/>
      <c r="J837" s="40"/>
      <c r="K837" s="40"/>
    </row>
    <row r="838" spans="1:11" x14ac:dyDescent="0.3">
      <c r="A838" s="41"/>
      <c r="J838" s="40"/>
      <c r="K838" s="40"/>
    </row>
    <row r="839" spans="1:11" x14ac:dyDescent="0.3">
      <c r="A839" s="41"/>
      <c r="J839" s="40"/>
      <c r="K839" s="40"/>
    </row>
    <row r="840" spans="1:11" x14ac:dyDescent="0.3">
      <c r="A840" s="41"/>
      <c r="J840" s="40"/>
      <c r="K840" s="40"/>
    </row>
    <row r="841" spans="1:11" x14ac:dyDescent="0.3">
      <c r="A841" s="41"/>
      <c r="J841" s="40"/>
      <c r="K841" s="40"/>
    </row>
    <row r="842" spans="1:11" x14ac:dyDescent="0.3">
      <c r="A842" s="41"/>
      <c r="J842" s="40"/>
      <c r="K842" s="40"/>
    </row>
    <row r="843" spans="1:11" x14ac:dyDescent="0.3">
      <c r="A843" s="41"/>
      <c r="J843" s="40"/>
      <c r="K843" s="40"/>
    </row>
    <row r="844" spans="1:11" x14ac:dyDescent="0.3">
      <c r="A844" s="41"/>
      <c r="J844" s="40"/>
      <c r="K844" s="40"/>
    </row>
    <row r="845" spans="1:11" x14ac:dyDescent="0.3">
      <c r="A845" s="41"/>
      <c r="J845" s="40"/>
      <c r="K845" s="40"/>
    </row>
    <row r="846" spans="1:11" x14ac:dyDescent="0.3">
      <c r="A846" s="41"/>
      <c r="J846" s="40"/>
      <c r="K846" s="40"/>
    </row>
    <row r="847" spans="1:11" x14ac:dyDescent="0.3">
      <c r="A847" s="41"/>
      <c r="J847" s="40"/>
      <c r="K847" s="40"/>
    </row>
    <row r="848" spans="1:11" x14ac:dyDescent="0.3">
      <c r="A848" s="41"/>
      <c r="J848" s="40"/>
      <c r="K848" s="40"/>
    </row>
    <row r="849" spans="1:11" x14ac:dyDescent="0.3">
      <c r="A849" s="41"/>
      <c r="J849" s="40"/>
      <c r="K849" s="40"/>
    </row>
    <row r="850" spans="1:11" x14ac:dyDescent="0.3">
      <c r="A850" s="41"/>
      <c r="J850" s="40"/>
      <c r="K850" s="40"/>
    </row>
    <row r="851" spans="1:11" x14ac:dyDescent="0.3">
      <c r="A851" s="41"/>
      <c r="J851" s="40"/>
      <c r="K851" s="40"/>
    </row>
    <row r="852" spans="1:11" x14ac:dyDescent="0.3">
      <c r="A852" s="41"/>
      <c r="J852" s="40"/>
      <c r="K852" s="40"/>
    </row>
    <row r="853" spans="1:11" x14ac:dyDescent="0.3">
      <c r="A853" s="41"/>
      <c r="J853" s="40"/>
      <c r="K853" s="40"/>
    </row>
    <row r="854" spans="1:11" x14ac:dyDescent="0.3">
      <c r="A854" s="41"/>
      <c r="J854" s="40"/>
      <c r="K854" s="40"/>
    </row>
    <row r="855" spans="1:11" x14ac:dyDescent="0.3">
      <c r="A855" s="41"/>
      <c r="J855" s="40"/>
      <c r="K855" s="40"/>
    </row>
    <row r="856" spans="1:11" x14ac:dyDescent="0.3">
      <c r="A856" s="41"/>
      <c r="J856" s="40"/>
      <c r="K856" s="40"/>
    </row>
    <row r="857" spans="1:11" x14ac:dyDescent="0.3">
      <c r="A857" s="41"/>
      <c r="J857" s="40"/>
      <c r="K857" s="40"/>
    </row>
    <row r="858" spans="1:11" x14ac:dyDescent="0.3">
      <c r="A858" s="41"/>
      <c r="J858" s="40"/>
      <c r="K858" s="40"/>
    </row>
    <row r="859" spans="1:11" x14ac:dyDescent="0.3">
      <c r="A859" s="41"/>
      <c r="J859" s="40"/>
      <c r="K859" s="40"/>
    </row>
    <row r="860" spans="1:11" x14ac:dyDescent="0.3">
      <c r="A860" s="41"/>
      <c r="J860" s="40"/>
      <c r="K860" s="40"/>
    </row>
    <row r="861" spans="1:11" x14ac:dyDescent="0.3">
      <c r="A861" s="41"/>
      <c r="J861" s="40"/>
      <c r="K861" s="40"/>
    </row>
    <row r="862" spans="1:11" x14ac:dyDescent="0.3">
      <c r="A862" s="41"/>
      <c r="J862" s="40"/>
      <c r="K862" s="40"/>
    </row>
    <row r="863" spans="1:11" x14ac:dyDescent="0.3">
      <c r="A863" s="41"/>
      <c r="J863" s="40"/>
      <c r="K863" s="40"/>
    </row>
    <row r="864" spans="1:11" x14ac:dyDescent="0.3">
      <c r="A864" s="41"/>
      <c r="J864" s="40"/>
      <c r="K864" s="40"/>
    </row>
    <row r="865" spans="1:11" x14ac:dyDescent="0.3">
      <c r="A865" s="41"/>
      <c r="J865" s="40"/>
      <c r="K865" s="40"/>
    </row>
    <row r="866" spans="1:11" x14ac:dyDescent="0.3">
      <c r="A866" s="41"/>
      <c r="J866" s="40"/>
      <c r="K866" s="40"/>
    </row>
    <row r="867" spans="1:11" x14ac:dyDescent="0.3">
      <c r="A867" s="41"/>
      <c r="J867" s="40"/>
      <c r="K867" s="40"/>
    </row>
    <row r="868" spans="1:11" x14ac:dyDescent="0.3">
      <c r="A868" s="41"/>
      <c r="J868" s="40"/>
      <c r="K868" s="40"/>
    </row>
    <row r="869" spans="1:11" x14ac:dyDescent="0.3">
      <c r="A869" s="41"/>
      <c r="J869" s="40"/>
      <c r="K869" s="40"/>
    </row>
    <row r="870" spans="1:11" x14ac:dyDescent="0.3">
      <c r="A870" s="41"/>
      <c r="J870" s="40"/>
      <c r="K870" s="40"/>
    </row>
    <row r="871" spans="1:11" x14ac:dyDescent="0.3">
      <c r="A871" s="41"/>
      <c r="J871" s="40"/>
      <c r="K871" s="40"/>
    </row>
    <row r="872" spans="1:11" x14ac:dyDescent="0.3">
      <c r="A872" s="41"/>
      <c r="J872" s="40"/>
      <c r="K872" s="40"/>
    </row>
    <row r="873" spans="1:11" x14ac:dyDescent="0.3">
      <c r="A873" s="41"/>
      <c r="J873" s="40"/>
      <c r="K873" s="40"/>
    </row>
    <row r="874" spans="1:11" x14ac:dyDescent="0.3">
      <c r="A874" s="41"/>
      <c r="J874" s="40"/>
      <c r="K874" s="40"/>
    </row>
    <row r="875" spans="1:11" x14ac:dyDescent="0.3">
      <c r="A875" s="41"/>
      <c r="J875" s="40"/>
      <c r="K875" s="40"/>
    </row>
    <row r="876" spans="1:11" x14ac:dyDescent="0.3">
      <c r="A876" s="41"/>
      <c r="J876" s="40"/>
      <c r="K876" s="40"/>
    </row>
    <row r="877" spans="1:11" x14ac:dyDescent="0.3">
      <c r="A877" s="41"/>
      <c r="J877" s="40"/>
      <c r="K877" s="40"/>
    </row>
    <row r="878" spans="1:11" x14ac:dyDescent="0.3">
      <c r="A878" s="41"/>
      <c r="J878" s="40"/>
      <c r="K878" s="40"/>
    </row>
    <row r="879" spans="1:11" x14ac:dyDescent="0.3">
      <c r="A879" s="41"/>
      <c r="J879" s="40"/>
      <c r="K879" s="40"/>
    </row>
    <row r="880" spans="1:11" x14ac:dyDescent="0.3">
      <c r="A880" s="41"/>
      <c r="J880" s="40"/>
      <c r="K880" s="40"/>
    </row>
    <row r="881" spans="1:11" x14ac:dyDescent="0.3">
      <c r="A881" s="41"/>
      <c r="J881" s="40"/>
      <c r="K881" s="40"/>
    </row>
    <row r="882" spans="1:11" x14ac:dyDescent="0.3">
      <c r="A882" s="41"/>
      <c r="J882" s="40"/>
      <c r="K882" s="40"/>
    </row>
    <row r="883" spans="1:11" x14ac:dyDescent="0.3">
      <c r="A883" s="41"/>
      <c r="J883" s="40"/>
      <c r="K883" s="40"/>
    </row>
    <row r="884" spans="1:11" x14ac:dyDescent="0.3">
      <c r="A884" s="41"/>
      <c r="J884" s="40"/>
      <c r="K884" s="40"/>
    </row>
    <row r="885" spans="1:11" x14ac:dyDescent="0.3">
      <c r="A885" s="41"/>
      <c r="J885" s="40"/>
      <c r="K885" s="40"/>
    </row>
    <row r="886" spans="1:11" x14ac:dyDescent="0.3">
      <c r="A886" s="41"/>
      <c r="J886" s="40"/>
      <c r="K886" s="40"/>
    </row>
    <row r="887" spans="1:11" x14ac:dyDescent="0.3">
      <c r="A887" s="41"/>
      <c r="J887" s="40"/>
      <c r="K887" s="40"/>
    </row>
    <row r="888" spans="1:11" x14ac:dyDescent="0.3">
      <c r="A888" s="41"/>
      <c r="J888" s="40"/>
      <c r="K888" s="40"/>
    </row>
    <row r="889" spans="1:11" x14ac:dyDescent="0.3">
      <c r="A889" s="41"/>
      <c r="J889" s="40"/>
      <c r="K889" s="40"/>
    </row>
    <row r="890" spans="1:11" x14ac:dyDescent="0.3">
      <c r="A890" s="41"/>
      <c r="J890" s="40"/>
      <c r="K890" s="40"/>
    </row>
    <row r="891" spans="1:11" x14ac:dyDescent="0.3">
      <c r="A891" s="41"/>
      <c r="J891" s="40"/>
      <c r="K891" s="40"/>
    </row>
    <row r="892" spans="1:11" x14ac:dyDescent="0.3">
      <c r="A892" s="41"/>
      <c r="J892" s="40"/>
      <c r="K892" s="40"/>
    </row>
    <row r="893" spans="1:11" x14ac:dyDescent="0.3">
      <c r="A893" s="41"/>
    </row>
    <row r="894" spans="1:11" x14ac:dyDescent="0.3">
      <c r="A894" s="41"/>
    </row>
    <row r="895" spans="1:11" x14ac:dyDescent="0.3">
      <c r="A895" s="41"/>
    </row>
    <row r="896" spans="1:11" x14ac:dyDescent="0.3">
      <c r="A896" s="41"/>
    </row>
    <row r="897" spans="1:1" x14ac:dyDescent="0.3">
      <c r="A897" s="41"/>
    </row>
    <row r="898" spans="1:1" x14ac:dyDescent="0.3">
      <c r="A898" s="41"/>
    </row>
    <row r="899" spans="1:1" x14ac:dyDescent="0.3">
      <c r="A899" s="41"/>
    </row>
    <row r="900" spans="1:1" x14ac:dyDescent="0.3">
      <c r="A900" s="41"/>
    </row>
    <row r="901" spans="1:1" x14ac:dyDescent="0.3">
      <c r="A901" s="41"/>
    </row>
    <row r="902" spans="1:1" x14ac:dyDescent="0.3">
      <c r="A902" s="41"/>
    </row>
    <row r="903" spans="1:1" x14ac:dyDescent="0.3">
      <c r="A903" s="41"/>
    </row>
    <row r="904" spans="1:1" x14ac:dyDescent="0.3">
      <c r="A904" s="41"/>
    </row>
    <row r="905" spans="1:1" x14ac:dyDescent="0.3">
      <c r="A905" s="41"/>
    </row>
    <row r="906" spans="1:1" x14ac:dyDescent="0.3">
      <c r="A906" s="41"/>
    </row>
    <row r="907" spans="1:1" x14ac:dyDescent="0.3">
      <c r="A907" s="41"/>
    </row>
    <row r="908" spans="1:1" x14ac:dyDescent="0.3">
      <c r="A908" s="41"/>
    </row>
    <row r="909" spans="1:1" x14ac:dyDescent="0.3">
      <c r="A909" s="41"/>
    </row>
    <row r="910" spans="1:1" x14ac:dyDescent="0.3">
      <c r="A910" s="41"/>
    </row>
    <row r="911" spans="1:1" x14ac:dyDescent="0.3">
      <c r="A911" s="41"/>
    </row>
  </sheetData>
  <sheetProtection sheet="1" objects="1" scenarios="1"/>
  <customSheetViews>
    <customSheetView guid="{00EB2128-6FEB-46D9-8228-9DEE2E0F997A}">
      <selection activeCell="C15" sqref="C1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selection sqref="A1:H689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enchmarkTable">
    <tabColor theme="6"/>
  </sheetPr>
  <dimension ref="A1:R350"/>
  <sheetViews>
    <sheetView topLeftCell="F1" workbookViewId="0">
      <selection activeCell="J8" sqref="J8"/>
    </sheetView>
  </sheetViews>
  <sheetFormatPr baseColWidth="10" defaultColWidth="11.3984375" defaultRowHeight="10.199999999999999" x14ac:dyDescent="0.3"/>
  <cols>
    <col min="1" max="1" width="13.3984375" style="39" bestFit="1" customWidth="1"/>
    <col min="2" max="2" width="6.59765625" style="39" bestFit="1" customWidth="1"/>
    <col min="3" max="3" width="7.86328125" style="39" bestFit="1" customWidth="1"/>
    <col min="4" max="4" width="19.265625" style="39" customWidth="1"/>
    <col min="5" max="5" width="14.265625" style="39" customWidth="1"/>
    <col min="6" max="8" width="13.59765625" style="37" bestFit="1" customWidth="1"/>
    <col min="9" max="9" width="9.59765625" style="367" customWidth="1"/>
    <col min="10" max="10" width="9.59765625" style="39" customWidth="1"/>
    <col min="11" max="11" width="7.86328125" style="93" bestFit="1" customWidth="1"/>
    <col min="12" max="12" width="21.86328125" style="93" bestFit="1" customWidth="1"/>
    <col min="13" max="13" width="7.73046875" style="93" customWidth="1"/>
    <col min="14" max="18" width="11.3984375" style="93"/>
    <col min="19" max="16384" width="11.3984375" style="1"/>
  </cols>
  <sheetData>
    <row r="1" spans="1:15" x14ac:dyDescent="0.3">
      <c r="A1" s="74"/>
      <c r="F1" s="37" t="s">
        <v>126</v>
      </c>
      <c r="G1" s="37" t="s">
        <v>127</v>
      </c>
      <c r="H1" s="37" t="s">
        <v>128</v>
      </c>
      <c r="I1" s="367" t="s">
        <v>129</v>
      </c>
      <c r="J1" s="39" t="s">
        <v>130</v>
      </c>
      <c r="K1" s="94" t="s">
        <v>376</v>
      </c>
      <c r="L1" s="94" t="s">
        <v>379</v>
      </c>
      <c r="M1" s="94" t="s">
        <v>377</v>
      </c>
      <c r="N1" s="94" t="s">
        <v>378</v>
      </c>
      <c r="O1" s="94" t="s">
        <v>632</v>
      </c>
    </row>
    <row r="2" spans="1:15" x14ac:dyDescent="0.3">
      <c r="A2" s="39" t="s">
        <v>131</v>
      </c>
      <c r="B2" s="39" t="s">
        <v>22</v>
      </c>
      <c r="D2" s="39" t="s">
        <v>132</v>
      </c>
      <c r="E2" s="39" t="s">
        <v>132</v>
      </c>
      <c r="F2" s="37">
        <v>568101.31944000011</v>
      </c>
      <c r="G2" s="37">
        <v>647323.21464000002</v>
      </c>
      <c r="H2" s="37">
        <v>0</v>
      </c>
      <c r="K2" s="93" t="str">
        <f t="shared" ref="K2:K65" si="0">IF(G2=0,"",IF(C2="REPO","REPO",IF(C2="BONDFUT","BONDFUT",IF(C2="DEPOFUT","DEPOFUT",IF(C2="IRSWAP","IRSWAP",IF(D2="FX-SWAP","FX-SWAP",IF(OR(C2="BOND",C2="BILL"),IF(OR(LEFT(D2,4)="UST2",LEFT(D2,4)="USB2"),"GOVT",IF(LEFT(D2,7)&lt;&gt;"USCPCADES","EURO","DEPO")),"DEPO")))))))</f>
        <v>DEPO</v>
      </c>
      <c r="L2" s="93" t="str">
        <f>IF(G2=0,"",IF(B2="Balance",CONCATENATE(A2 &amp; "_O/N_REPO"),IF(K2="",CONCATENATE(A2 &amp; "_" &amp; B2 &amp; "_" &amp; C2),CONCATENATE(A2 &amp; "_" &amp; B2 &amp; "_" &amp; K2))))</f>
        <v>BKINV1USD_O/N_REPO</v>
      </c>
      <c r="M2" s="93" t="str">
        <f t="shared" ref="M2:M65" si="1">IF(K2&lt;&gt;"EURO","",IF(LEFT(D2,4)="USCP",MID(D2,5,SEARCH("2",D2)-5),MID(D2,3,SEARCH("2",D2)-3)))</f>
        <v/>
      </c>
      <c r="N2" s="154">
        <f t="shared" ref="N2:N65" si="2">IF(A2="","",IF(A2="BKINV1USD",-F2*ratioPV,F2))</f>
        <v>-329581.96064501168</v>
      </c>
      <c r="O2" s="93">
        <f>H2</f>
        <v>0</v>
      </c>
    </row>
    <row r="3" spans="1:15" x14ac:dyDescent="0.3">
      <c r="A3" s="39" t="s">
        <v>131</v>
      </c>
      <c r="B3" s="39" t="s">
        <v>97</v>
      </c>
      <c r="C3" s="39" t="s">
        <v>133</v>
      </c>
      <c r="D3" s="39" t="s">
        <v>134</v>
      </c>
      <c r="E3" s="39" t="s">
        <v>135</v>
      </c>
      <c r="F3" s="37">
        <v>0</v>
      </c>
      <c r="G3" s="37">
        <v>0</v>
      </c>
      <c r="H3" s="37">
        <v>0</v>
      </c>
      <c r="K3" s="93" t="str">
        <f t="shared" si="0"/>
        <v/>
      </c>
      <c r="L3" s="93" t="str">
        <f t="shared" ref="L3:L66" si="3">IF(G3=0,"",IF(B3="Balance",CONCATENATE(A3 &amp; "_O/N_REPO"),IF(K3="",CONCATENATE(A3 &amp; "_" &amp; B3 &amp; "_" &amp; C3),CONCATENATE(A3 &amp; "_" &amp; B3 &amp; "_" &amp; K3))))</f>
        <v/>
      </c>
      <c r="M3" s="93" t="str">
        <f t="shared" si="1"/>
        <v/>
      </c>
      <c r="N3" s="154">
        <f t="shared" si="2"/>
        <v>0</v>
      </c>
      <c r="O3" s="93">
        <f t="shared" ref="O3:O66" si="4">H3</f>
        <v>0</v>
      </c>
    </row>
    <row r="4" spans="1:15" x14ac:dyDescent="0.3">
      <c r="A4" s="39" t="s">
        <v>131</v>
      </c>
      <c r="B4" s="39" t="s">
        <v>97</v>
      </c>
      <c r="C4" s="39" t="s">
        <v>139</v>
      </c>
      <c r="D4" s="39" t="s">
        <v>145</v>
      </c>
      <c r="E4" s="39" t="s">
        <v>146</v>
      </c>
      <c r="F4" s="37">
        <v>744000</v>
      </c>
      <c r="G4" s="37">
        <v>746307.89711000002</v>
      </c>
      <c r="H4" s="37">
        <v>0.61339999999999995</v>
      </c>
      <c r="K4" s="93" t="str">
        <f t="shared" si="0"/>
        <v>GOVT</v>
      </c>
      <c r="L4" s="93" t="str">
        <f t="shared" si="3"/>
        <v>BKINV1USD_O/N_GOVT</v>
      </c>
      <c r="M4" s="93" t="str">
        <f t="shared" si="1"/>
        <v/>
      </c>
      <c r="N4" s="154">
        <f t="shared" si="2"/>
        <v>-431628.95478151832</v>
      </c>
      <c r="O4" s="93">
        <f t="shared" si="4"/>
        <v>0.61339999999999995</v>
      </c>
    </row>
    <row r="5" spans="1:15" x14ac:dyDescent="0.3">
      <c r="A5" s="39" t="s">
        <v>131</v>
      </c>
      <c r="B5" s="39" t="s">
        <v>97</v>
      </c>
      <c r="C5" s="39" t="s">
        <v>136</v>
      </c>
      <c r="D5" s="39" t="s">
        <v>137</v>
      </c>
      <c r="E5" s="39" t="s">
        <v>137</v>
      </c>
      <c r="F5" s="37">
        <v>60000</v>
      </c>
      <c r="G5" s="37">
        <v>60000.283329999998</v>
      </c>
      <c r="H5" s="37">
        <v>0</v>
      </c>
      <c r="K5" s="93" t="str">
        <f t="shared" si="0"/>
        <v>DEPO</v>
      </c>
      <c r="L5" s="93" t="str">
        <f t="shared" si="3"/>
        <v>BKINV1USD_O/N_DEPO</v>
      </c>
      <c r="M5" s="93" t="str">
        <f t="shared" si="1"/>
        <v/>
      </c>
      <c r="N5" s="154">
        <f t="shared" si="2"/>
        <v>-34808.786675928895</v>
      </c>
      <c r="O5" s="93">
        <f t="shared" si="4"/>
        <v>0</v>
      </c>
    </row>
    <row r="6" spans="1:15" x14ac:dyDescent="0.3">
      <c r="A6" s="39" t="s">
        <v>131</v>
      </c>
      <c r="B6" s="39" t="s">
        <v>77</v>
      </c>
      <c r="C6" s="39" t="s">
        <v>133</v>
      </c>
      <c r="D6" s="39" t="s">
        <v>141</v>
      </c>
      <c r="E6" s="39" t="s">
        <v>142</v>
      </c>
      <c r="F6" s="37">
        <v>632000</v>
      </c>
      <c r="G6" s="37">
        <v>631985.91199000005</v>
      </c>
      <c r="H6" s="37">
        <v>1.05332</v>
      </c>
      <c r="I6" s="367">
        <v>-7.4999999999999997E-3</v>
      </c>
      <c r="K6" s="93" t="str">
        <f t="shared" si="0"/>
        <v>GOVT</v>
      </c>
      <c r="L6" s="93" t="str">
        <f t="shared" si="3"/>
        <v>BKINV1USD_1W_GOVT</v>
      </c>
      <c r="M6" s="93" t="str">
        <f t="shared" si="1"/>
        <v/>
      </c>
      <c r="N6" s="154">
        <f t="shared" si="2"/>
        <v>-366652.55298645102</v>
      </c>
      <c r="O6" s="93">
        <f t="shared" si="4"/>
        <v>1.05332</v>
      </c>
    </row>
    <row r="7" spans="1:15" x14ac:dyDescent="0.3">
      <c r="A7" s="39" t="s">
        <v>131</v>
      </c>
      <c r="B7" s="39" t="s">
        <v>17</v>
      </c>
      <c r="C7" s="39" t="s">
        <v>133</v>
      </c>
      <c r="D7" s="39" t="s">
        <v>143</v>
      </c>
      <c r="E7" s="39" t="s">
        <v>144</v>
      </c>
      <c r="F7" s="37">
        <v>192000</v>
      </c>
      <c r="G7" s="37">
        <v>191996.00009000002</v>
      </c>
      <c r="H7" s="37">
        <v>0.69332000000000005</v>
      </c>
      <c r="I7" s="367">
        <v>-7.4999999999999997E-3</v>
      </c>
      <c r="K7" s="93" t="str">
        <f t="shared" si="0"/>
        <v>GOVT</v>
      </c>
      <c r="L7" s="93" t="str">
        <f t="shared" si="3"/>
        <v>BKINV1USD_2W_GOVT</v>
      </c>
      <c r="M7" s="93" t="str">
        <f t="shared" si="1"/>
        <v/>
      </c>
      <c r="N7" s="154">
        <f t="shared" si="2"/>
        <v>-111388.11736297247</v>
      </c>
      <c r="O7" s="93">
        <f t="shared" si="4"/>
        <v>0.69332000000000005</v>
      </c>
    </row>
    <row r="8" spans="1:15" x14ac:dyDescent="0.3">
      <c r="A8" s="39" t="s">
        <v>131</v>
      </c>
      <c r="B8" s="39" t="s">
        <v>140</v>
      </c>
      <c r="C8" s="39" t="s">
        <v>133</v>
      </c>
      <c r="D8" s="39" t="s">
        <v>147</v>
      </c>
      <c r="E8" s="39" t="s">
        <v>148</v>
      </c>
      <c r="F8" s="37">
        <v>632000</v>
      </c>
      <c r="G8" s="37">
        <v>631793.81683000003</v>
      </c>
      <c r="H8" s="37">
        <v>3.5108800000000002</v>
      </c>
      <c r="K8" s="93" t="str">
        <f t="shared" si="0"/>
        <v>GOVT</v>
      </c>
      <c r="L8" s="93" t="str">
        <f t="shared" si="3"/>
        <v>BKINV1USD_3W_GOVT</v>
      </c>
      <c r="M8" s="93" t="str">
        <f t="shared" si="1"/>
        <v/>
      </c>
      <c r="N8" s="154">
        <f t="shared" si="2"/>
        <v>-366652.55298645102</v>
      </c>
      <c r="O8" s="93">
        <f t="shared" si="4"/>
        <v>3.5108800000000002</v>
      </c>
    </row>
    <row r="9" spans="1:15" x14ac:dyDescent="0.3">
      <c r="A9" s="39" t="s">
        <v>131</v>
      </c>
      <c r="B9" s="39" t="s">
        <v>78</v>
      </c>
      <c r="C9" s="39" t="s">
        <v>133</v>
      </c>
      <c r="D9" s="39" t="s">
        <v>149</v>
      </c>
      <c r="E9" s="39" t="s">
        <v>150</v>
      </c>
      <c r="F9" s="37">
        <v>192000</v>
      </c>
      <c r="G9" s="37">
        <v>191927.65478000001</v>
      </c>
      <c r="H9" s="37">
        <v>1.43991</v>
      </c>
      <c r="K9" s="93" t="str">
        <f t="shared" si="0"/>
        <v>GOVT</v>
      </c>
      <c r="L9" s="93" t="str">
        <f t="shared" si="3"/>
        <v>BKINV1USD_1M_GOVT</v>
      </c>
      <c r="M9" s="93" t="str">
        <f t="shared" si="1"/>
        <v/>
      </c>
      <c r="N9" s="154">
        <f t="shared" si="2"/>
        <v>-111388.11736297247</v>
      </c>
      <c r="O9" s="93">
        <f t="shared" si="4"/>
        <v>1.43991</v>
      </c>
    </row>
    <row r="10" spans="1:15" x14ac:dyDescent="0.3">
      <c r="A10" s="39" t="s">
        <v>131</v>
      </c>
      <c r="B10" s="39" t="s">
        <v>18</v>
      </c>
      <c r="C10" s="39" t="s">
        <v>133</v>
      </c>
      <c r="D10" s="39" t="s">
        <v>151</v>
      </c>
      <c r="E10" s="39" t="s">
        <v>152</v>
      </c>
      <c r="F10" s="37">
        <v>632000</v>
      </c>
      <c r="G10" s="37">
        <v>631980.07490999997</v>
      </c>
      <c r="H10" s="37">
        <v>5.9687600000000005</v>
      </c>
      <c r="I10" s="367">
        <v>0.01</v>
      </c>
      <c r="K10" s="93" t="str">
        <f t="shared" si="0"/>
        <v>GOVT</v>
      </c>
      <c r="L10" s="93" t="str">
        <f t="shared" si="3"/>
        <v>BKINV1USD_3M_GOVT</v>
      </c>
      <c r="M10" s="93" t="str">
        <f t="shared" si="1"/>
        <v/>
      </c>
      <c r="N10" s="154">
        <f t="shared" si="2"/>
        <v>-366652.55298645102</v>
      </c>
      <c r="O10" s="93">
        <f t="shared" si="4"/>
        <v>5.9687600000000005</v>
      </c>
    </row>
    <row r="11" spans="1:15" x14ac:dyDescent="0.3">
      <c r="A11" s="39" t="s">
        <v>131</v>
      </c>
      <c r="B11" s="39" t="s">
        <v>18</v>
      </c>
      <c r="C11" s="39" t="s">
        <v>133</v>
      </c>
      <c r="D11" s="39" t="s">
        <v>153</v>
      </c>
      <c r="E11" s="39" t="s">
        <v>154</v>
      </c>
      <c r="F11" s="37">
        <v>192000</v>
      </c>
      <c r="G11" s="37">
        <v>191989.01358</v>
      </c>
      <c r="H11" s="37">
        <v>2.1866099999999999</v>
      </c>
      <c r="I11" s="367">
        <v>3.2500000000000001E-2</v>
      </c>
      <c r="K11" s="93" t="str">
        <f t="shared" si="0"/>
        <v>GOVT</v>
      </c>
      <c r="L11" s="93" t="str">
        <f t="shared" si="3"/>
        <v>BKINV1USD_3M_GOVT</v>
      </c>
      <c r="M11" s="93" t="str">
        <f t="shared" si="1"/>
        <v/>
      </c>
      <c r="N11" s="154">
        <f t="shared" si="2"/>
        <v>-111388.11736297247</v>
      </c>
      <c r="O11" s="93">
        <f t="shared" si="4"/>
        <v>2.1866099999999999</v>
      </c>
    </row>
    <row r="12" spans="1:15" x14ac:dyDescent="0.3">
      <c r="A12" s="39" t="s">
        <v>131</v>
      </c>
      <c r="B12" s="39" t="s">
        <v>18</v>
      </c>
      <c r="C12" s="39" t="s">
        <v>133</v>
      </c>
      <c r="D12" s="39" t="s">
        <v>155</v>
      </c>
      <c r="E12" s="39" t="s">
        <v>156</v>
      </c>
      <c r="F12" s="37">
        <v>462000</v>
      </c>
      <c r="G12" s="37">
        <v>461969.20071</v>
      </c>
      <c r="H12" s="37">
        <v>6.1598500000000005</v>
      </c>
      <c r="I12" s="367">
        <v>3.5000000000000003E-2</v>
      </c>
      <c r="K12" s="93" t="str">
        <f t="shared" si="0"/>
        <v>GOVT</v>
      </c>
      <c r="L12" s="93" t="str">
        <f t="shared" si="3"/>
        <v>BKINV1USD_3M_GOVT</v>
      </c>
      <c r="M12" s="93" t="str">
        <f t="shared" si="1"/>
        <v/>
      </c>
      <c r="N12" s="154">
        <f t="shared" si="2"/>
        <v>-268027.65740465251</v>
      </c>
      <c r="O12" s="93">
        <f t="shared" si="4"/>
        <v>6.1598500000000005</v>
      </c>
    </row>
    <row r="13" spans="1:15" x14ac:dyDescent="0.3">
      <c r="A13" s="39" t="s">
        <v>131</v>
      </c>
      <c r="B13" s="39" t="s">
        <v>18</v>
      </c>
      <c r="C13" s="39" t="s">
        <v>133</v>
      </c>
      <c r="D13" s="39" t="s">
        <v>157</v>
      </c>
      <c r="E13" s="39" t="s">
        <v>158</v>
      </c>
      <c r="F13" s="37">
        <v>462000</v>
      </c>
      <c r="G13" s="37">
        <v>461966.05658999999</v>
      </c>
      <c r="H13" s="37">
        <v>7.05816</v>
      </c>
      <c r="I13" s="367">
        <v>3.5000000000000003E-2</v>
      </c>
      <c r="K13" s="93" t="str">
        <f t="shared" si="0"/>
        <v>GOVT</v>
      </c>
      <c r="L13" s="93" t="str">
        <f t="shared" si="3"/>
        <v>BKINV1USD_3M_GOVT</v>
      </c>
      <c r="M13" s="93" t="str">
        <f t="shared" si="1"/>
        <v/>
      </c>
      <c r="N13" s="154">
        <f t="shared" si="2"/>
        <v>-268027.65740465251</v>
      </c>
      <c r="O13" s="93">
        <f t="shared" si="4"/>
        <v>7.05816</v>
      </c>
    </row>
    <row r="14" spans="1:15" x14ac:dyDescent="0.3">
      <c r="A14" s="39" t="s">
        <v>131</v>
      </c>
      <c r="B14" s="39" t="s">
        <v>18</v>
      </c>
      <c r="C14" s="39" t="s">
        <v>133</v>
      </c>
      <c r="D14" s="39" t="s">
        <v>159</v>
      </c>
      <c r="E14" s="39" t="s">
        <v>160</v>
      </c>
      <c r="F14" s="37">
        <v>462500</v>
      </c>
      <c r="G14" s="37">
        <v>462457.1876</v>
      </c>
      <c r="H14" s="37">
        <v>7.9650799999999995</v>
      </c>
      <c r="I14" s="367">
        <v>4.2500000000000003E-2</v>
      </c>
      <c r="K14" s="93" t="str">
        <f t="shared" si="0"/>
        <v>GOVT</v>
      </c>
      <c r="L14" s="93" t="str">
        <f t="shared" si="3"/>
        <v>BKINV1USD_3M_GOVT</v>
      </c>
      <c r="M14" s="93" t="str">
        <f t="shared" si="1"/>
        <v/>
      </c>
      <c r="N14" s="154">
        <f t="shared" si="2"/>
        <v>-268317.7306269519</v>
      </c>
      <c r="O14" s="93">
        <f t="shared" si="4"/>
        <v>7.9650799999999995</v>
      </c>
    </row>
    <row r="15" spans="1:15" x14ac:dyDescent="0.3">
      <c r="A15" s="39" t="s">
        <v>131</v>
      </c>
      <c r="B15" s="39" t="s">
        <v>18</v>
      </c>
      <c r="C15" s="39" t="s">
        <v>133</v>
      </c>
      <c r="D15" s="39" t="s">
        <v>161</v>
      </c>
      <c r="E15" s="39" t="s">
        <v>162</v>
      </c>
      <c r="F15" s="37">
        <v>462300</v>
      </c>
      <c r="G15" s="37">
        <v>462225.84106999997</v>
      </c>
      <c r="H15" s="37">
        <v>8.8605</v>
      </c>
      <c r="I15" s="367">
        <v>7.4999999999999997E-2</v>
      </c>
      <c r="K15" s="93" t="str">
        <f t="shared" si="0"/>
        <v>GOVT</v>
      </c>
      <c r="L15" s="93" t="str">
        <f t="shared" si="3"/>
        <v>BKINV1USD_3M_GOVT</v>
      </c>
      <c r="M15" s="93" t="str">
        <f t="shared" si="1"/>
        <v/>
      </c>
      <c r="N15" s="154">
        <f t="shared" si="2"/>
        <v>-268201.70133803214</v>
      </c>
      <c r="O15" s="93">
        <f t="shared" si="4"/>
        <v>8.8605</v>
      </c>
    </row>
    <row r="16" spans="1:15" x14ac:dyDescent="0.3">
      <c r="A16" s="39" t="s">
        <v>131</v>
      </c>
      <c r="B16" s="39" t="s">
        <v>18</v>
      </c>
      <c r="C16" s="39" t="s">
        <v>133</v>
      </c>
      <c r="D16" s="39" t="s">
        <v>163</v>
      </c>
      <c r="E16" s="39" t="s">
        <v>164</v>
      </c>
      <c r="F16" s="37">
        <v>462000</v>
      </c>
      <c r="G16" s="37">
        <v>461914.46779999998</v>
      </c>
      <c r="H16" s="37">
        <v>9.7530599999999996</v>
      </c>
      <c r="I16" s="367">
        <v>0.08</v>
      </c>
      <c r="K16" s="93" t="str">
        <f t="shared" si="0"/>
        <v>GOVT</v>
      </c>
      <c r="L16" s="93" t="str">
        <f t="shared" si="3"/>
        <v>BKINV1USD_3M_GOVT</v>
      </c>
      <c r="M16" s="93" t="str">
        <f t="shared" si="1"/>
        <v/>
      </c>
      <c r="N16" s="154">
        <f t="shared" si="2"/>
        <v>-268027.65740465251</v>
      </c>
      <c r="O16" s="93">
        <f t="shared" si="4"/>
        <v>9.7530599999999996</v>
      </c>
    </row>
    <row r="17" spans="1:15" x14ac:dyDescent="0.3">
      <c r="A17" s="39" t="s">
        <v>131</v>
      </c>
      <c r="B17" s="39" t="s">
        <v>18</v>
      </c>
      <c r="C17" s="39" t="s">
        <v>133</v>
      </c>
      <c r="D17" s="39" t="s">
        <v>165</v>
      </c>
      <c r="E17" s="39" t="s">
        <v>166</v>
      </c>
      <c r="F17" s="37">
        <v>462000</v>
      </c>
      <c r="G17" s="37">
        <v>461909.84791000001</v>
      </c>
      <c r="H17" s="37">
        <v>10.65137</v>
      </c>
      <c r="I17" s="367">
        <v>7.7499999999999999E-2</v>
      </c>
      <c r="K17" s="93" t="str">
        <f t="shared" si="0"/>
        <v>GOVT</v>
      </c>
      <c r="L17" s="93" t="str">
        <f t="shared" si="3"/>
        <v>BKINV1USD_3M_GOVT</v>
      </c>
      <c r="M17" s="93" t="str">
        <f t="shared" si="1"/>
        <v/>
      </c>
      <c r="N17" s="154">
        <f t="shared" si="2"/>
        <v>-268027.65740465251</v>
      </c>
      <c r="O17" s="93">
        <f t="shared" si="4"/>
        <v>10.65137</v>
      </c>
    </row>
    <row r="18" spans="1:15" x14ac:dyDescent="0.3">
      <c r="A18" s="39" t="s">
        <v>131</v>
      </c>
      <c r="B18" s="39" t="s">
        <v>18</v>
      </c>
      <c r="C18" s="39" t="s">
        <v>133</v>
      </c>
      <c r="D18" s="39" t="s">
        <v>167</v>
      </c>
      <c r="E18" s="39" t="s">
        <v>168</v>
      </c>
      <c r="F18" s="37">
        <v>462000</v>
      </c>
      <c r="G18" s="37">
        <v>461897.30360000004</v>
      </c>
      <c r="H18" s="37">
        <v>11.549670000000001</v>
      </c>
      <c r="I18" s="367">
        <v>8.2500000000000004E-2</v>
      </c>
      <c r="K18" s="93" t="str">
        <f t="shared" si="0"/>
        <v>GOVT</v>
      </c>
      <c r="L18" s="93" t="str">
        <f t="shared" si="3"/>
        <v>BKINV1USD_3M_GOVT</v>
      </c>
      <c r="M18" s="93" t="str">
        <f t="shared" si="1"/>
        <v/>
      </c>
      <c r="N18" s="154">
        <f t="shared" si="2"/>
        <v>-268027.65740465251</v>
      </c>
      <c r="O18" s="93">
        <f t="shared" si="4"/>
        <v>11.549670000000001</v>
      </c>
    </row>
    <row r="19" spans="1:15" x14ac:dyDescent="0.3">
      <c r="A19" s="39" t="s">
        <v>131</v>
      </c>
      <c r="B19" s="39" t="s">
        <v>18</v>
      </c>
      <c r="C19" s="39" t="s">
        <v>139</v>
      </c>
      <c r="D19" s="39" t="s">
        <v>169</v>
      </c>
      <c r="E19" s="39" t="s">
        <v>170</v>
      </c>
      <c r="F19" s="37">
        <v>743000</v>
      </c>
      <c r="G19" s="37">
        <v>745399.19884000008</v>
      </c>
      <c r="H19" s="37">
        <v>6.5397299999999996</v>
      </c>
      <c r="I19" s="367">
        <v>100.0625</v>
      </c>
      <c r="K19" s="93" t="str">
        <f t="shared" si="0"/>
        <v>GOVT</v>
      </c>
      <c r="L19" s="93" t="str">
        <f t="shared" si="3"/>
        <v>BKINV1USD_3M_GOVT</v>
      </c>
      <c r="M19" s="93" t="str">
        <f t="shared" si="1"/>
        <v/>
      </c>
      <c r="N19" s="154">
        <f t="shared" si="2"/>
        <v>-431048.80833691946</v>
      </c>
      <c r="O19" s="93">
        <f t="shared" si="4"/>
        <v>6.5397299999999996</v>
      </c>
    </row>
    <row r="20" spans="1:15" x14ac:dyDescent="0.3">
      <c r="A20" s="39" t="s">
        <v>131</v>
      </c>
      <c r="B20" s="39" t="s">
        <v>18</v>
      </c>
      <c r="C20" s="39" t="s">
        <v>139</v>
      </c>
      <c r="D20" s="39" t="s">
        <v>171</v>
      </c>
      <c r="E20" s="39" t="s">
        <v>172</v>
      </c>
      <c r="F20" s="37">
        <v>744000</v>
      </c>
      <c r="G20" s="37">
        <v>745300.84138</v>
      </c>
      <c r="H20" s="37">
        <v>12.860239999999999</v>
      </c>
      <c r="I20" s="367">
        <v>100.0508</v>
      </c>
      <c r="K20" s="93" t="str">
        <f t="shared" si="0"/>
        <v>GOVT</v>
      </c>
      <c r="L20" s="93" t="str">
        <f t="shared" si="3"/>
        <v>BKINV1USD_3M_GOVT</v>
      </c>
      <c r="M20" s="93" t="str">
        <f t="shared" si="1"/>
        <v/>
      </c>
      <c r="N20" s="154">
        <f t="shared" si="2"/>
        <v>-431628.95478151832</v>
      </c>
      <c r="O20" s="93">
        <f t="shared" si="4"/>
        <v>12.860239999999999</v>
      </c>
    </row>
    <row r="21" spans="1:15" x14ac:dyDescent="0.3">
      <c r="A21" s="39" t="s">
        <v>131</v>
      </c>
      <c r="B21" s="39" t="s">
        <v>19</v>
      </c>
      <c r="C21" s="39" t="s">
        <v>133</v>
      </c>
      <c r="D21" s="39" t="s">
        <v>41</v>
      </c>
      <c r="E21" s="39" t="s">
        <v>42</v>
      </c>
      <c r="F21" s="37">
        <v>462000</v>
      </c>
      <c r="G21" s="37">
        <v>461877.82945999998</v>
      </c>
      <c r="H21" s="37">
        <v>12.447959999999998</v>
      </c>
      <c r="I21" s="367">
        <v>9.2499999999999999E-2</v>
      </c>
      <c r="K21" s="93" t="str">
        <f t="shared" si="0"/>
        <v>GOVT</v>
      </c>
      <c r="L21" s="93" t="str">
        <f t="shared" si="3"/>
        <v>BKINV1USD_6M_GOVT</v>
      </c>
      <c r="M21" s="93" t="str">
        <f t="shared" si="1"/>
        <v/>
      </c>
      <c r="N21" s="154">
        <f t="shared" si="2"/>
        <v>-268027.65740465251</v>
      </c>
      <c r="O21" s="93">
        <f t="shared" si="4"/>
        <v>12.447959999999998</v>
      </c>
    </row>
    <row r="22" spans="1:15" x14ac:dyDescent="0.3">
      <c r="A22" s="39" t="s">
        <v>131</v>
      </c>
      <c r="B22" s="39" t="s">
        <v>19</v>
      </c>
      <c r="C22" s="39" t="s">
        <v>133</v>
      </c>
      <c r="D22" s="39" t="s">
        <v>43</v>
      </c>
      <c r="E22" s="39" t="s">
        <v>44</v>
      </c>
      <c r="F22" s="37">
        <v>462000</v>
      </c>
      <c r="G22" s="37">
        <v>461866.27972000005</v>
      </c>
      <c r="H22" s="37">
        <v>13.346270000000001</v>
      </c>
      <c r="I22" s="367">
        <v>9.5000000000000001E-2</v>
      </c>
      <c r="K22" s="93" t="str">
        <f t="shared" si="0"/>
        <v>GOVT</v>
      </c>
      <c r="L22" s="93" t="str">
        <f t="shared" si="3"/>
        <v>BKINV1USD_6M_GOVT</v>
      </c>
      <c r="M22" s="93" t="str">
        <f t="shared" si="1"/>
        <v/>
      </c>
      <c r="N22" s="154">
        <f t="shared" si="2"/>
        <v>-268027.65740465251</v>
      </c>
      <c r="O22" s="93">
        <f t="shared" si="4"/>
        <v>13.346270000000001</v>
      </c>
    </row>
    <row r="23" spans="1:15" x14ac:dyDescent="0.3">
      <c r="A23" s="39" t="s">
        <v>131</v>
      </c>
      <c r="B23" s="39" t="s">
        <v>19</v>
      </c>
      <c r="C23" s="39" t="s">
        <v>133</v>
      </c>
      <c r="D23" s="39" t="s">
        <v>66</v>
      </c>
      <c r="E23" s="39" t="s">
        <v>67</v>
      </c>
      <c r="F23" s="37">
        <v>462000</v>
      </c>
      <c r="G23" s="37">
        <v>461854.28083999996</v>
      </c>
      <c r="H23" s="37">
        <v>14.24457</v>
      </c>
      <c r="I23" s="367">
        <v>9.7500000000000003E-2</v>
      </c>
      <c r="K23" s="93" t="str">
        <f t="shared" si="0"/>
        <v>GOVT</v>
      </c>
      <c r="L23" s="93" t="str">
        <f t="shared" si="3"/>
        <v>BKINV1USD_6M_GOVT</v>
      </c>
      <c r="M23" s="93" t="str">
        <f t="shared" si="1"/>
        <v/>
      </c>
      <c r="N23" s="154">
        <f t="shared" si="2"/>
        <v>-268027.65740465251</v>
      </c>
      <c r="O23" s="93">
        <f t="shared" si="4"/>
        <v>14.24457</v>
      </c>
    </row>
    <row r="24" spans="1:15" x14ac:dyDescent="0.3">
      <c r="A24" s="39" t="s">
        <v>131</v>
      </c>
      <c r="B24" s="39" t="s">
        <v>19</v>
      </c>
      <c r="C24" s="39" t="s">
        <v>133</v>
      </c>
      <c r="D24" s="39" t="s">
        <v>610</v>
      </c>
      <c r="E24" s="39" t="s">
        <v>611</v>
      </c>
      <c r="F24" s="37">
        <v>462000</v>
      </c>
      <c r="G24" s="37">
        <v>461834.45377999998</v>
      </c>
      <c r="H24" s="37">
        <v>15.14287</v>
      </c>
      <c r="I24" s="367">
        <v>0.105</v>
      </c>
      <c r="K24" s="93" t="str">
        <f t="shared" si="0"/>
        <v>GOVT</v>
      </c>
      <c r="L24" s="93" t="str">
        <f t="shared" si="3"/>
        <v>BKINV1USD_6M_GOVT</v>
      </c>
      <c r="M24" s="93" t="str">
        <f t="shared" si="1"/>
        <v/>
      </c>
      <c r="N24" s="154">
        <f t="shared" si="2"/>
        <v>-268027.65740465251</v>
      </c>
      <c r="O24" s="93">
        <f t="shared" si="4"/>
        <v>15.14287</v>
      </c>
    </row>
    <row r="25" spans="1:15" x14ac:dyDescent="0.3">
      <c r="A25" s="39" t="s">
        <v>131</v>
      </c>
      <c r="B25" s="39" t="s">
        <v>19</v>
      </c>
      <c r="C25" s="39" t="s">
        <v>133</v>
      </c>
      <c r="D25" s="39" t="s">
        <v>742</v>
      </c>
      <c r="E25" s="39" t="s">
        <v>743</v>
      </c>
      <c r="F25" s="37">
        <v>462000</v>
      </c>
      <c r="G25" s="37">
        <v>461817.19335000002</v>
      </c>
      <c r="H25" s="37">
        <v>16.041160000000001</v>
      </c>
      <c r="I25" s="367">
        <v>0.11</v>
      </c>
      <c r="K25" s="93" t="str">
        <f t="shared" si="0"/>
        <v>GOVT</v>
      </c>
      <c r="L25" s="93" t="str">
        <f t="shared" si="3"/>
        <v>BKINV1USD_6M_GOVT</v>
      </c>
      <c r="M25" s="93" t="str">
        <f t="shared" si="1"/>
        <v/>
      </c>
      <c r="N25" s="154">
        <f t="shared" si="2"/>
        <v>-268027.65740465251</v>
      </c>
      <c r="O25" s="93">
        <f t="shared" si="4"/>
        <v>16.041160000000001</v>
      </c>
    </row>
    <row r="26" spans="1:15" x14ac:dyDescent="0.3">
      <c r="A26" s="39" t="s">
        <v>131</v>
      </c>
      <c r="B26" s="39" t="s">
        <v>19</v>
      </c>
      <c r="C26" s="39" t="s">
        <v>133</v>
      </c>
      <c r="D26" s="39" t="s">
        <v>855</v>
      </c>
      <c r="E26" s="39" t="s">
        <v>856</v>
      </c>
      <c r="F26" s="37">
        <v>462000</v>
      </c>
      <c r="G26" s="37">
        <v>461752.84723000001</v>
      </c>
      <c r="H26" s="37">
        <v>16.939419999999998</v>
      </c>
      <c r="I26" s="367">
        <v>0.1429</v>
      </c>
      <c r="K26" s="93" t="str">
        <f t="shared" si="0"/>
        <v>GOVT</v>
      </c>
      <c r="L26" s="93" t="str">
        <f t="shared" si="3"/>
        <v>BKINV1USD_6M_GOVT</v>
      </c>
      <c r="M26" s="93" t="str">
        <f t="shared" si="1"/>
        <v/>
      </c>
      <c r="N26" s="154">
        <f t="shared" si="2"/>
        <v>-268027.65740465251</v>
      </c>
      <c r="O26" s="93">
        <f t="shared" si="4"/>
        <v>16.939419999999998</v>
      </c>
    </row>
    <row r="27" spans="1:15" x14ac:dyDescent="0.3">
      <c r="A27" s="39" t="s">
        <v>131</v>
      </c>
      <c r="B27" s="39" t="s">
        <v>19</v>
      </c>
      <c r="C27" s="39" t="s">
        <v>133</v>
      </c>
      <c r="D27" s="39" t="s">
        <v>894</v>
      </c>
      <c r="E27" s="39" t="s">
        <v>895</v>
      </c>
      <c r="F27" s="37">
        <v>462000</v>
      </c>
      <c r="G27" s="37">
        <v>461848.48029000004</v>
      </c>
      <c r="H27" s="37">
        <v>17.837820000000001</v>
      </c>
      <c r="I27" s="367">
        <v>8.0799999999999997E-2</v>
      </c>
      <c r="K27" s="93" t="str">
        <f t="shared" si="0"/>
        <v>GOVT</v>
      </c>
      <c r="L27" s="93" t="str">
        <f t="shared" si="3"/>
        <v>BKINV1USD_6M_GOVT</v>
      </c>
      <c r="M27" s="93" t="str">
        <f t="shared" si="1"/>
        <v/>
      </c>
      <c r="N27" s="154">
        <f t="shared" si="2"/>
        <v>-268027.65740465251</v>
      </c>
      <c r="O27" s="93">
        <f t="shared" si="4"/>
        <v>17.837820000000001</v>
      </c>
    </row>
    <row r="28" spans="1:15" x14ac:dyDescent="0.3">
      <c r="A28" s="39" t="s">
        <v>131</v>
      </c>
      <c r="B28" s="39" t="s">
        <v>19</v>
      </c>
      <c r="C28" s="39" t="s">
        <v>133</v>
      </c>
      <c r="D28" s="39" t="s">
        <v>896</v>
      </c>
      <c r="E28" s="39" t="s">
        <v>897</v>
      </c>
      <c r="F28" s="37">
        <v>462000</v>
      </c>
      <c r="G28" s="37">
        <v>461660.62874000001</v>
      </c>
      <c r="H28" s="37">
        <v>18.8643</v>
      </c>
      <c r="K28" s="93" t="str">
        <f t="shared" si="0"/>
        <v>GOVT</v>
      </c>
      <c r="L28" s="93" t="str">
        <f t="shared" si="3"/>
        <v>BKINV1USD_6M_GOVT</v>
      </c>
      <c r="M28" s="93" t="str">
        <f t="shared" si="1"/>
        <v/>
      </c>
      <c r="N28" s="154">
        <f t="shared" si="2"/>
        <v>-268027.65740465251</v>
      </c>
      <c r="O28" s="93">
        <f t="shared" si="4"/>
        <v>18.8643</v>
      </c>
    </row>
    <row r="29" spans="1:15" x14ac:dyDescent="0.3">
      <c r="A29" s="39" t="s">
        <v>131</v>
      </c>
      <c r="B29" s="39" t="s">
        <v>19</v>
      </c>
      <c r="C29" s="39" t="s">
        <v>133</v>
      </c>
      <c r="D29" s="39" t="s">
        <v>907</v>
      </c>
      <c r="E29" s="39" t="s">
        <v>908</v>
      </c>
      <c r="F29" s="37">
        <v>462000</v>
      </c>
      <c r="G29" s="37">
        <v>461662.42588</v>
      </c>
      <c r="H29" s="37">
        <v>19.63429</v>
      </c>
      <c r="K29" s="93" t="str">
        <f t="shared" si="0"/>
        <v>GOVT</v>
      </c>
      <c r="L29" s="93" t="str">
        <f t="shared" si="3"/>
        <v>BKINV1USD_6M_GOVT</v>
      </c>
      <c r="M29" s="93" t="str">
        <f t="shared" si="1"/>
        <v/>
      </c>
      <c r="N29" s="154">
        <f t="shared" si="2"/>
        <v>-268027.65740465251</v>
      </c>
      <c r="O29" s="93">
        <f t="shared" si="4"/>
        <v>19.63429</v>
      </c>
    </row>
    <row r="30" spans="1:15" x14ac:dyDescent="0.3">
      <c r="A30" s="39" t="s">
        <v>131</v>
      </c>
      <c r="B30" s="39" t="s">
        <v>19</v>
      </c>
      <c r="C30" s="39" t="s">
        <v>133</v>
      </c>
      <c r="D30" s="39" t="s">
        <v>913</v>
      </c>
      <c r="E30" s="39" t="s">
        <v>914</v>
      </c>
      <c r="F30" s="37">
        <v>462300</v>
      </c>
      <c r="G30" s="37">
        <v>461985.58001999999</v>
      </c>
      <c r="H30" s="37">
        <v>20.545950000000001</v>
      </c>
      <c r="K30" s="93" t="str">
        <f t="shared" si="0"/>
        <v>GOVT</v>
      </c>
      <c r="L30" s="93" t="str">
        <f t="shared" si="3"/>
        <v>BKINV1USD_6M_GOVT</v>
      </c>
      <c r="M30" s="93" t="str">
        <f t="shared" si="1"/>
        <v/>
      </c>
      <c r="N30" s="154">
        <f t="shared" si="2"/>
        <v>-268201.70133803214</v>
      </c>
      <c r="O30" s="93">
        <f t="shared" si="4"/>
        <v>20.545950000000001</v>
      </c>
    </row>
    <row r="31" spans="1:15" x14ac:dyDescent="0.3">
      <c r="A31" s="39" t="s">
        <v>131</v>
      </c>
      <c r="B31" s="39" t="s">
        <v>19</v>
      </c>
      <c r="C31" s="39" t="s">
        <v>133</v>
      </c>
      <c r="D31" s="39" t="s">
        <v>915</v>
      </c>
      <c r="E31" s="39" t="s">
        <v>414</v>
      </c>
      <c r="F31" s="37">
        <v>462000</v>
      </c>
      <c r="G31" s="37">
        <v>461797.89244000003</v>
      </c>
      <c r="H31" s="37">
        <v>21.43102</v>
      </c>
      <c r="I31" s="367">
        <v>9.0999999999999998E-2</v>
      </c>
      <c r="K31" s="93" t="str">
        <f t="shared" si="0"/>
        <v>GOVT</v>
      </c>
      <c r="L31" s="93" t="str">
        <f t="shared" si="3"/>
        <v>BKINV1USD_6M_GOVT</v>
      </c>
      <c r="M31" s="93" t="str">
        <f t="shared" si="1"/>
        <v/>
      </c>
      <c r="N31" s="154">
        <f t="shared" si="2"/>
        <v>-268027.65740465251</v>
      </c>
      <c r="O31" s="93">
        <f t="shared" si="4"/>
        <v>21.43102</v>
      </c>
    </row>
    <row r="32" spans="1:15" x14ac:dyDescent="0.3">
      <c r="A32" s="39" t="s">
        <v>131</v>
      </c>
      <c r="B32" s="39" t="s">
        <v>19</v>
      </c>
      <c r="C32" s="39" t="s">
        <v>133</v>
      </c>
      <c r="D32" s="39" t="s">
        <v>919</v>
      </c>
      <c r="E32" s="39" t="s">
        <v>920</v>
      </c>
      <c r="F32" s="37">
        <v>462000</v>
      </c>
      <c r="G32" s="37">
        <v>461639.07231000002</v>
      </c>
      <c r="H32" s="37">
        <v>22.32921</v>
      </c>
      <c r="K32" s="93" t="str">
        <f t="shared" si="0"/>
        <v>GOVT</v>
      </c>
      <c r="L32" s="93" t="str">
        <f t="shared" si="3"/>
        <v>BKINV1USD_6M_GOVT</v>
      </c>
      <c r="M32" s="93" t="str">
        <f t="shared" si="1"/>
        <v/>
      </c>
      <c r="N32" s="154">
        <f t="shared" si="2"/>
        <v>-268027.65740465251</v>
      </c>
      <c r="O32" s="93">
        <f t="shared" si="4"/>
        <v>22.32921</v>
      </c>
    </row>
    <row r="33" spans="1:15" x14ac:dyDescent="0.3">
      <c r="A33" s="39" t="s">
        <v>131</v>
      </c>
      <c r="B33" s="39" t="s">
        <v>19</v>
      </c>
      <c r="C33" s="39" t="s">
        <v>133</v>
      </c>
      <c r="D33" s="39" t="s">
        <v>930</v>
      </c>
      <c r="E33" s="39" t="s">
        <v>931</v>
      </c>
      <c r="F33" s="37">
        <v>462000</v>
      </c>
      <c r="G33" s="37">
        <v>461639.07231000002</v>
      </c>
      <c r="H33" s="37">
        <v>23.227520000000002</v>
      </c>
      <c r="K33" s="93" t="str">
        <f t="shared" si="0"/>
        <v>GOVT</v>
      </c>
      <c r="L33" s="93" t="str">
        <f t="shared" si="3"/>
        <v>BKINV1USD_6M_GOVT</v>
      </c>
      <c r="M33" s="93" t="str">
        <f t="shared" si="1"/>
        <v/>
      </c>
      <c r="N33" s="154">
        <f t="shared" si="2"/>
        <v>-268027.65740465251</v>
      </c>
      <c r="O33" s="93">
        <f t="shared" si="4"/>
        <v>23.227520000000002</v>
      </c>
    </row>
    <row r="34" spans="1:15" x14ac:dyDescent="0.3">
      <c r="A34" s="39" t="s">
        <v>131</v>
      </c>
      <c r="B34" s="39" t="s">
        <v>19</v>
      </c>
      <c r="C34" s="39" t="s">
        <v>139</v>
      </c>
      <c r="D34" s="39" t="s">
        <v>173</v>
      </c>
      <c r="E34" s="39" t="s">
        <v>174</v>
      </c>
      <c r="F34" s="37">
        <v>743000</v>
      </c>
      <c r="G34" s="37">
        <v>744213.34853999992</v>
      </c>
      <c r="H34" s="37">
        <v>19.157910000000001</v>
      </c>
      <c r="I34" s="367">
        <v>100.0703</v>
      </c>
      <c r="K34" s="93" t="str">
        <f t="shared" si="0"/>
        <v>GOVT</v>
      </c>
      <c r="L34" s="93" t="str">
        <f t="shared" si="3"/>
        <v>BKINV1USD_6M_GOVT</v>
      </c>
      <c r="M34" s="93" t="str">
        <f t="shared" si="1"/>
        <v/>
      </c>
      <c r="N34" s="154">
        <f t="shared" si="2"/>
        <v>-431048.80833691946</v>
      </c>
      <c r="O34" s="93">
        <f t="shared" si="4"/>
        <v>19.157910000000001</v>
      </c>
    </row>
    <row r="35" spans="1:15" x14ac:dyDescent="0.3">
      <c r="A35" s="39" t="s">
        <v>131</v>
      </c>
      <c r="B35" s="39" t="s">
        <v>19</v>
      </c>
      <c r="C35" s="39" t="s">
        <v>139</v>
      </c>
      <c r="D35" s="39" t="s">
        <v>176</v>
      </c>
      <c r="E35" s="39" t="s">
        <v>177</v>
      </c>
      <c r="F35" s="37">
        <v>742000</v>
      </c>
      <c r="G35" s="37">
        <v>743125.9625599999</v>
      </c>
      <c r="H35" s="37">
        <v>25.233520000000002</v>
      </c>
      <c r="I35" s="367">
        <v>100.0898</v>
      </c>
      <c r="K35" s="93" t="str">
        <f t="shared" si="0"/>
        <v>GOVT</v>
      </c>
      <c r="L35" s="93" t="str">
        <f t="shared" si="3"/>
        <v>BKINV1USD_6M_GOVT</v>
      </c>
      <c r="M35" s="93" t="str">
        <f t="shared" si="1"/>
        <v/>
      </c>
      <c r="N35" s="154">
        <f t="shared" si="2"/>
        <v>-430468.66189232067</v>
      </c>
      <c r="O35" s="93">
        <f t="shared" si="4"/>
        <v>25.233520000000002</v>
      </c>
    </row>
    <row r="36" spans="1:15" x14ac:dyDescent="0.3">
      <c r="A36" s="39" t="s">
        <v>131</v>
      </c>
      <c r="B36" s="39" t="s">
        <v>19</v>
      </c>
      <c r="C36" s="39" t="s">
        <v>139</v>
      </c>
      <c r="D36" s="39" t="s">
        <v>178</v>
      </c>
      <c r="E36" s="39" t="s">
        <v>179</v>
      </c>
      <c r="F36" s="37">
        <v>742000</v>
      </c>
      <c r="G36" s="37">
        <v>743466.70880999998</v>
      </c>
      <c r="H36" s="37">
        <v>31.349630000000001</v>
      </c>
      <c r="I36" s="367">
        <v>100.1563</v>
      </c>
      <c r="K36" s="93" t="str">
        <f t="shared" si="0"/>
        <v>GOVT</v>
      </c>
      <c r="L36" s="93" t="str">
        <f t="shared" si="3"/>
        <v>BKINV1USD_6M_GOVT</v>
      </c>
      <c r="M36" s="93" t="str">
        <f t="shared" si="1"/>
        <v/>
      </c>
      <c r="N36" s="154">
        <f t="shared" si="2"/>
        <v>-430468.66189232067</v>
      </c>
      <c r="O36" s="93">
        <f t="shared" si="4"/>
        <v>31.349630000000001</v>
      </c>
    </row>
    <row r="37" spans="1:15" x14ac:dyDescent="0.3">
      <c r="A37" s="39" t="s">
        <v>131</v>
      </c>
      <c r="B37" s="39" t="s">
        <v>175</v>
      </c>
      <c r="C37" s="39" t="s">
        <v>139</v>
      </c>
      <c r="D37" s="39" t="s">
        <v>180</v>
      </c>
      <c r="E37" s="39" t="s">
        <v>181</v>
      </c>
      <c r="F37" s="37">
        <v>744000</v>
      </c>
      <c r="G37" s="37">
        <v>748135.00198000006</v>
      </c>
      <c r="H37" s="37">
        <v>37.778370000000002</v>
      </c>
      <c r="I37" s="367">
        <v>100.2422</v>
      </c>
      <c r="K37" s="93" t="str">
        <f t="shared" si="0"/>
        <v>GOVT</v>
      </c>
      <c r="L37" s="93" t="str">
        <f t="shared" si="3"/>
        <v>BKINV1USD_9M_GOVT</v>
      </c>
      <c r="M37" s="93" t="str">
        <f t="shared" si="1"/>
        <v/>
      </c>
      <c r="N37" s="154">
        <f t="shared" si="2"/>
        <v>-431628.95478151832</v>
      </c>
      <c r="O37" s="93">
        <f t="shared" si="4"/>
        <v>37.778370000000002</v>
      </c>
    </row>
    <row r="38" spans="1:15" x14ac:dyDescent="0.3">
      <c r="A38" s="39" t="s">
        <v>131</v>
      </c>
      <c r="B38" s="39" t="s">
        <v>175</v>
      </c>
      <c r="C38" s="39" t="s">
        <v>139</v>
      </c>
      <c r="D38" s="39" t="s">
        <v>183</v>
      </c>
      <c r="E38" s="39" t="s">
        <v>184</v>
      </c>
      <c r="F38" s="37">
        <v>742000</v>
      </c>
      <c r="G38" s="37">
        <v>746048.04128999996</v>
      </c>
      <c r="H38" s="37">
        <v>44.004220000000004</v>
      </c>
      <c r="I38" s="367">
        <v>100.2852</v>
      </c>
      <c r="K38" s="93" t="str">
        <f t="shared" si="0"/>
        <v>GOVT</v>
      </c>
      <c r="L38" s="93" t="str">
        <f t="shared" si="3"/>
        <v>BKINV1USD_9M_GOVT</v>
      </c>
      <c r="M38" s="93" t="str">
        <f t="shared" si="1"/>
        <v/>
      </c>
      <c r="N38" s="154">
        <f t="shared" si="2"/>
        <v>-430468.66189232067</v>
      </c>
      <c r="O38" s="93">
        <f t="shared" si="4"/>
        <v>44.004220000000004</v>
      </c>
    </row>
    <row r="39" spans="1:15" x14ac:dyDescent="0.3">
      <c r="A39" s="39" t="s">
        <v>131</v>
      </c>
      <c r="B39" s="39" t="s">
        <v>175</v>
      </c>
      <c r="C39" s="39" t="s">
        <v>139</v>
      </c>
      <c r="D39" s="39" t="s">
        <v>45</v>
      </c>
      <c r="E39" s="39" t="s">
        <v>46</v>
      </c>
      <c r="F39" s="37">
        <v>744000</v>
      </c>
      <c r="G39" s="37">
        <v>747874.70903000003</v>
      </c>
      <c r="H39" s="37">
        <v>49.84178</v>
      </c>
      <c r="I39" s="367">
        <v>100.3125</v>
      </c>
      <c r="K39" s="93" t="str">
        <f t="shared" si="0"/>
        <v>GOVT</v>
      </c>
      <c r="L39" s="93" t="str">
        <f t="shared" si="3"/>
        <v>BKINV1USD_9M_GOVT</v>
      </c>
      <c r="M39" s="93" t="str">
        <f t="shared" si="1"/>
        <v/>
      </c>
      <c r="N39" s="154">
        <f t="shared" si="2"/>
        <v>-431628.95478151832</v>
      </c>
      <c r="O39" s="93">
        <f t="shared" si="4"/>
        <v>49.84178</v>
      </c>
    </row>
    <row r="40" spans="1:15" x14ac:dyDescent="0.3">
      <c r="A40" s="39" t="s">
        <v>131</v>
      </c>
      <c r="B40" s="39" t="s">
        <v>182</v>
      </c>
      <c r="C40" s="39" t="s">
        <v>139</v>
      </c>
      <c r="D40" s="39" t="s">
        <v>185</v>
      </c>
      <c r="E40" s="39" t="s">
        <v>186</v>
      </c>
      <c r="F40" s="37">
        <v>743000</v>
      </c>
      <c r="G40" s="37">
        <v>747620.43171000003</v>
      </c>
      <c r="H40" s="37">
        <v>56.346830000000004</v>
      </c>
      <c r="I40" s="367">
        <v>100.4336</v>
      </c>
      <c r="K40" s="93" t="str">
        <f t="shared" si="0"/>
        <v>GOVT</v>
      </c>
      <c r="L40" s="93" t="str">
        <f t="shared" si="3"/>
        <v>BKINV1USD_1Y_GOVT</v>
      </c>
      <c r="M40" s="93" t="str">
        <f t="shared" si="1"/>
        <v/>
      </c>
      <c r="N40" s="154">
        <f t="shared" si="2"/>
        <v>-431048.80833691946</v>
      </c>
      <c r="O40" s="93">
        <f t="shared" si="4"/>
        <v>56.346830000000004</v>
      </c>
    </row>
    <row r="41" spans="1:15" x14ac:dyDescent="0.3">
      <c r="A41" s="39" t="s">
        <v>131</v>
      </c>
      <c r="B41" s="39" t="s">
        <v>182</v>
      </c>
      <c r="C41" s="39" t="s">
        <v>139</v>
      </c>
      <c r="D41" s="39" t="s">
        <v>47</v>
      </c>
      <c r="E41" s="39" t="s">
        <v>48</v>
      </c>
      <c r="F41" s="37">
        <v>743000</v>
      </c>
      <c r="G41" s="37">
        <v>746419.01719000004</v>
      </c>
      <c r="H41" s="37">
        <v>62.196640000000002</v>
      </c>
      <c r="I41" s="367">
        <v>100.35550000000001</v>
      </c>
      <c r="K41" s="93" t="str">
        <f t="shared" si="0"/>
        <v>GOVT</v>
      </c>
      <c r="L41" s="93" t="str">
        <f t="shared" si="3"/>
        <v>BKINV1USD_1Y_GOVT</v>
      </c>
      <c r="M41" s="93" t="str">
        <f t="shared" si="1"/>
        <v/>
      </c>
      <c r="N41" s="154">
        <f t="shared" si="2"/>
        <v>-431048.80833691946</v>
      </c>
      <c r="O41" s="93">
        <f t="shared" si="4"/>
        <v>62.196640000000002</v>
      </c>
    </row>
    <row r="42" spans="1:15" x14ac:dyDescent="0.3">
      <c r="A42" s="39" t="s">
        <v>131</v>
      </c>
      <c r="B42" s="39" t="s">
        <v>182</v>
      </c>
      <c r="C42" s="39" t="s">
        <v>139</v>
      </c>
      <c r="D42" s="39" t="s">
        <v>187</v>
      </c>
      <c r="E42" s="39" t="s">
        <v>188</v>
      </c>
      <c r="F42" s="37">
        <v>743000</v>
      </c>
      <c r="G42" s="37">
        <v>745223.27757999999</v>
      </c>
      <c r="H42" s="37">
        <v>68.435220000000001</v>
      </c>
      <c r="I42" s="367">
        <v>100.2578</v>
      </c>
      <c r="K42" s="93" t="str">
        <f t="shared" si="0"/>
        <v>GOVT</v>
      </c>
      <c r="L42" s="93" t="str">
        <f t="shared" si="3"/>
        <v>BKINV1USD_1Y_GOVT</v>
      </c>
      <c r="M42" s="93" t="str">
        <f t="shared" si="1"/>
        <v/>
      </c>
      <c r="N42" s="154">
        <f t="shared" si="2"/>
        <v>-431048.80833691946</v>
      </c>
      <c r="O42" s="93">
        <f t="shared" si="4"/>
        <v>68.435220000000001</v>
      </c>
    </row>
    <row r="43" spans="1:15" x14ac:dyDescent="0.3">
      <c r="A43" s="39" t="s">
        <v>131</v>
      </c>
      <c r="B43" s="39" t="s">
        <v>81</v>
      </c>
      <c r="C43" s="39" t="s">
        <v>139</v>
      </c>
      <c r="D43" s="39" t="s">
        <v>189</v>
      </c>
      <c r="E43" s="39" t="s">
        <v>190</v>
      </c>
      <c r="F43" s="37">
        <v>742250</v>
      </c>
      <c r="G43" s="37">
        <v>744654.57604999992</v>
      </c>
      <c r="H43" s="37">
        <v>74.57786999999999</v>
      </c>
      <c r="I43" s="367">
        <v>100.1367</v>
      </c>
      <c r="K43" s="93" t="str">
        <f t="shared" si="0"/>
        <v>GOVT</v>
      </c>
      <c r="L43" s="93" t="str">
        <f t="shared" si="3"/>
        <v>BKINV1USD_2Y_GOVT</v>
      </c>
      <c r="M43" s="93" t="str">
        <f t="shared" si="1"/>
        <v/>
      </c>
      <c r="N43" s="154">
        <f t="shared" si="2"/>
        <v>-430613.6985034704</v>
      </c>
      <c r="O43" s="93">
        <f t="shared" si="4"/>
        <v>74.57786999999999</v>
      </c>
    </row>
    <row r="44" spans="1:15" x14ac:dyDescent="0.3">
      <c r="A44" s="39" t="s">
        <v>131</v>
      </c>
      <c r="B44" s="39" t="s">
        <v>81</v>
      </c>
      <c r="C44" s="39" t="s">
        <v>139</v>
      </c>
      <c r="D44" s="39" t="s">
        <v>70</v>
      </c>
      <c r="E44" s="39" t="s">
        <v>71</v>
      </c>
      <c r="F44" s="37">
        <v>743000</v>
      </c>
      <c r="G44" s="37">
        <v>745227.93258999998</v>
      </c>
      <c r="H44" s="37">
        <v>80.751499999999993</v>
      </c>
      <c r="I44" s="367">
        <v>100.14449999999999</v>
      </c>
      <c r="K44" s="93" t="str">
        <f t="shared" si="0"/>
        <v>GOVT</v>
      </c>
      <c r="L44" s="93" t="str">
        <f t="shared" si="3"/>
        <v>BKINV1USD_2Y_GOVT</v>
      </c>
      <c r="M44" s="93" t="str">
        <f t="shared" si="1"/>
        <v/>
      </c>
      <c r="N44" s="154">
        <f t="shared" si="2"/>
        <v>-431048.80833691946</v>
      </c>
      <c r="O44" s="93">
        <f t="shared" si="4"/>
        <v>80.751499999999993</v>
      </c>
    </row>
    <row r="45" spans="1:15" x14ac:dyDescent="0.3">
      <c r="A45" s="39" t="s">
        <v>131</v>
      </c>
      <c r="B45" s="39" t="s">
        <v>81</v>
      </c>
      <c r="C45" s="39" t="s">
        <v>139</v>
      </c>
      <c r="D45" s="39" t="s">
        <v>191</v>
      </c>
      <c r="E45" s="39" t="s">
        <v>192</v>
      </c>
      <c r="F45" s="37">
        <v>743000</v>
      </c>
      <c r="G45" s="37">
        <v>742164.02637999994</v>
      </c>
      <c r="H45" s="37">
        <v>87.455439999999996</v>
      </c>
      <c r="I45" s="367">
        <v>99.847700000000003</v>
      </c>
      <c r="K45" s="93" t="str">
        <f t="shared" si="0"/>
        <v>GOVT</v>
      </c>
      <c r="L45" s="93" t="str">
        <f t="shared" si="3"/>
        <v>BKINV1USD_2Y_GOVT</v>
      </c>
      <c r="M45" s="93" t="str">
        <f t="shared" si="1"/>
        <v/>
      </c>
      <c r="N45" s="154">
        <f t="shared" si="2"/>
        <v>-431048.80833691946</v>
      </c>
      <c r="O45" s="93">
        <f t="shared" si="4"/>
        <v>87.455439999999996</v>
      </c>
    </row>
    <row r="46" spans="1:15" x14ac:dyDescent="0.3">
      <c r="A46" s="39" t="s">
        <v>131</v>
      </c>
      <c r="B46" s="39" t="s">
        <v>81</v>
      </c>
      <c r="C46" s="39" t="s">
        <v>139</v>
      </c>
      <c r="D46" s="39" t="s">
        <v>49</v>
      </c>
      <c r="E46" s="39" t="s">
        <v>50</v>
      </c>
      <c r="F46" s="37">
        <v>744000</v>
      </c>
      <c r="G46" s="37">
        <v>742940.53575000004</v>
      </c>
      <c r="H46" s="37">
        <v>93.032699999999991</v>
      </c>
      <c r="I46" s="367">
        <v>99.828100000000006</v>
      </c>
      <c r="K46" s="93" t="str">
        <f t="shared" si="0"/>
        <v>GOVT</v>
      </c>
      <c r="L46" s="93" t="str">
        <f t="shared" si="3"/>
        <v>BKINV1USD_2Y_GOVT</v>
      </c>
      <c r="M46" s="93" t="str">
        <f t="shared" si="1"/>
        <v/>
      </c>
      <c r="N46" s="154">
        <f t="shared" si="2"/>
        <v>-431628.95478151832</v>
      </c>
      <c r="O46" s="93">
        <f t="shared" si="4"/>
        <v>93.032699999999991</v>
      </c>
    </row>
    <row r="47" spans="1:15" x14ac:dyDescent="0.3">
      <c r="A47" s="39" t="s">
        <v>131</v>
      </c>
      <c r="B47" s="39" t="s">
        <v>81</v>
      </c>
      <c r="C47" s="39" t="s">
        <v>139</v>
      </c>
      <c r="D47" s="39" t="s">
        <v>193</v>
      </c>
      <c r="E47" s="39" t="s">
        <v>194</v>
      </c>
      <c r="F47" s="37">
        <v>742000</v>
      </c>
      <c r="G47" s="37">
        <v>742184.62203999993</v>
      </c>
      <c r="H47" s="37">
        <v>99.164349999999999</v>
      </c>
      <c r="I47" s="367">
        <v>99.984399999999994</v>
      </c>
      <c r="K47" s="93" t="str">
        <f t="shared" si="0"/>
        <v>GOVT</v>
      </c>
      <c r="L47" s="93" t="str">
        <f t="shared" si="3"/>
        <v>BKINV1USD_2Y_GOVT</v>
      </c>
      <c r="M47" s="93" t="str">
        <f t="shared" si="1"/>
        <v/>
      </c>
      <c r="N47" s="154">
        <f t="shared" si="2"/>
        <v>-430468.66189232067</v>
      </c>
      <c r="O47" s="93">
        <f t="shared" si="4"/>
        <v>99.164349999999999</v>
      </c>
    </row>
    <row r="48" spans="1:15" x14ac:dyDescent="0.3">
      <c r="A48" s="39" t="s">
        <v>131</v>
      </c>
      <c r="B48" s="39" t="s">
        <v>81</v>
      </c>
      <c r="C48" s="39" t="s">
        <v>139</v>
      </c>
      <c r="D48" s="39" t="s">
        <v>51</v>
      </c>
      <c r="E48" s="39" t="s">
        <v>52</v>
      </c>
      <c r="F48" s="37">
        <v>742000</v>
      </c>
      <c r="G48" s="37">
        <v>741797.37376999995</v>
      </c>
      <c r="H48" s="37">
        <v>105.59591999999999</v>
      </c>
      <c r="I48" s="367">
        <v>99.953100000000006</v>
      </c>
      <c r="K48" s="93" t="str">
        <f t="shared" si="0"/>
        <v>GOVT</v>
      </c>
      <c r="L48" s="93" t="str">
        <f t="shared" si="3"/>
        <v>BKINV1USD_2Y_GOVT</v>
      </c>
      <c r="M48" s="93" t="str">
        <f t="shared" si="1"/>
        <v/>
      </c>
      <c r="N48" s="154">
        <f t="shared" si="2"/>
        <v>-430468.66189232067</v>
      </c>
      <c r="O48" s="93">
        <f t="shared" si="4"/>
        <v>105.59591999999999</v>
      </c>
    </row>
    <row r="49" spans="1:15" x14ac:dyDescent="0.3">
      <c r="A49" s="39" t="s">
        <v>131</v>
      </c>
      <c r="B49" s="39" t="s">
        <v>81</v>
      </c>
      <c r="C49" s="39" t="s">
        <v>139</v>
      </c>
      <c r="D49" s="39" t="s">
        <v>195</v>
      </c>
      <c r="E49" s="39" t="s">
        <v>196</v>
      </c>
      <c r="F49" s="37">
        <v>744000</v>
      </c>
      <c r="G49" s="37">
        <v>742682.31453999993</v>
      </c>
      <c r="H49" s="37">
        <v>111.61408999999999</v>
      </c>
      <c r="I49" s="367">
        <v>99.762</v>
      </c>
      <c r="K49" s="93" t="str">
        <f t="shared" si="0"/>
        <v>GOVT</v>
      </c>
      <c r="L49" s="93" t="str">
        <f t="shared" si="3"/>
        <v>BKINV1USD_2Y_GOVT</v>
      </c>
      <c r="M49" s="93" t="str">
        <f t="shared" si="1"/>
        <v/>
      </c>
      <c r="N49" s="154">
        <f t="shared" si="2"/>
        <v>-431628.95478151832</v>
      </c>
      <c r="O49" s="93">
        <f t="shared" si="4"/>
        <v>111.61408999999999</v>
      </c>
    </row>
    <row r="50" spans="1:15" x14ac:dyDescent="0.3">
      <c r="A50" s="39" t="s">
        <v>131</v>
      </c>
      <c r="B50" s="39" t="s">
        <v>81</v>
      </c>
      <c r="C50" s="39" t="s">
        <v>139</v>
      </c>
      <c r="D50" s="39" t="s">
        <v>53</v>
      </c>
      <c r="E50" s="39" t="s">
        <v>54</v>
      </c>
      <c r="F50" s="37">
        <v>742000</v>
      </c>
      <c r="G50" s="37">
        <v>742414.88535999996</v>
      </c>
      <c r="H50" s="37">
        <v>117.73407</v>
      </c>
      <c r="I50" s="367">
        <v>99.953100000000006</v>
      </c>
      <c r="K50" s="93" t="str">
        <f t="shared" si="0"/>
        <v>GOVT</v>
      </c>
      <c r="L50" s="93" t="str">
        <f t="shared" si="3"/>
        <v>BKINV1USD_2Y_GOVT</v>
      </c>
      <c r="M50" s="93" t="str">
        <f t="shared" si="1"/>
        <v/>
      </c>
      <c r="N50" s="154">
        <f t="shared" si="2"/>
        <v>-430468.66189232067</v>
      </c>
      <c r="O50" s="93">
        <f t="shared" si="4"/>
        <v>117.73407</v>
      </c>
    </row>
    <row r="51" spans="1:15" x14ac:dyDescent="0.3">
      <c r="A51" s="39" t="s">
        <v>131</v>
      </c>
      <c r="B51" s="39" t="s">
        <v>81</v>
      </c>
      <c r="C51" s="39" t="s">
        <v>139</v>
      </c>
      <c r="D51" s="39" t="s">
        <v>197</v>
      </c>
      <c r="E51" s="39" t="s">
        <v>198</v>
      </c>
      <c r="F51" s="37">
        <v>711000</v>
      </c>
      <c r="G51" s="37">
        <v>711166.04110000003</v>
      </c>
      <c r="H51" s="37">
        <v>118.22467</v>
      </c>
      <c r="I51" s="367">
        <v>99.941400000000002</v>
      </c>
      <c r="K51" s="93" t="str">
        <f t="shared" si="0"/>
        <v>GOVT</v>
      </c>
      <c r="L51" s="93" t="str">
        <f t="shared" si="3"/>
        <v>BKINV1USD_2Y_GOVT</v>
      </c>
      <c r="M51" s="93" t="str">
        <f t="shared" si="1"/>
        <v/>
      </c>
      <c r="N51" s="154">
        <f t="shared" si="2"/>
        <v>-412484.12210975739</v>
      </c>
      <c r="O51" s="93">
        <f t="shared" si="4"/>
        <v>118.22467</v>
      </c>
    </row>
    <row r="52" spans="1:15" x14ac:dyDescent="0.3">
      <c r="A52" s="39" t="s">
        <v>131</v>
      </c>
      <c r="B52" s="39" t="s">
        <v>81</v>
      </c>
      <c r="C52" s="39" t="s">
        <v>139</v>
      </c>
      <c r="D52" s="39" t="s">
        <v>55</v>
      </c>
      <c r="E52" s="39" t="s">
        <v>56</v>
      </c>
      <c r="F52" s="37">
        <v>711000</v>
      </c>
      <c r="G52" s="37">
        <v>710935.44569000008</v>
      </c>
      <c r="H52" s="37">
        <v>124.21216</v>
      </c>
      <c r="I52" s="367">
        <v>99.929699999999997</v>
      </c>
      <c r="K52" s="93" t="str">
        <f t="shared" si="0"/>
        <v>GOVT</v>
      </c>
      <c r="L52" s="93" t="str">
        <f t="shared" si="3"/>
        <v>BKINV1USD_2Y_GOVT</v>
      </c>
      <c r="M52" s="93" t="str">
        <f t="shared" si="1"/>
        <v/>
      </c>
      <c r="N52" s="154">
        <f t="shared" si="2"/>
        <v>-412484.12210975739</v>
      </c>
      <c r="O52" s="93">
        <f t="shared" si="4"/>
        <v>124.21216</v>
      </c>
    </row>
    <row r="53" spans="1:15" x14ac:dyDescent="0.3">
      <c r="A53" s="39" t="s">
        <v>131</v>
      </c>
      <c r="B53" s="39" t="s">
        <v>81</v>
      </c>
      <c r="C53" s="39" t="s">
        <v>139</v>
      </c>
      <c r="D53" s="39" t="s">
        <v>642</v>
      </c>
      <c r="E53" s="39" t="s">
        <v>643</v>
      </c>
      <c r="F53" s="37">
        <v>710000</v>
      </c>
      <c r="G53" s="37">
        <v>709788.38754999998</v>
      </c>
      <c r="H53" s="37">
        <v>129.83828</v>
      </c>
      <c r="I53" s="367">
        <v>99.929699999999997</v>
      </c>
      <c r="K53" s="93" t="str">
        <f t="shared" si="0"/>
        <v>GOVT</v>
      </c>
      <c r="L53" s="93" t="str">
        <f t="shared" si="3"/>
        <v>BKINV1USD_2Y_GOVT</v>
      </c>
      <c r="M53" s="93" t="str">
        <f t="shared" si="1"/>
        <v/>
      </c>
      <c r="N53" s="154">
        <f t="shared" si="2"/>
        <v>-411903.97566515859</v>
      </c>
      <c r="O53" s="93">
        <f t="shared" si="4"/>
        <v>129.83828</v>
      </c>
    </row>
    <row r="54" spans="1:15" x14ac:dyDescent="0.3">
      <c r="A54" s="39" t="s">
        <v>131</v>
      </c>
      <c r="B54" s="39" t="s">
        <v>81</v>
      </c>
      <c r="C54" s="39" t="s">
        <v>139</v>
      </c>
      <c r="D54" s="39" t="s">
        <v>902</v>
      </c>
      <c r="E54" s="39" t="s">
        <v>903</v>
      </c>
      <c r="F54" s="37">
        <v>711000</v>
      </c>
      <c r="G54" s="37">
        <v>710666.97528000001</v>
      </c>
      <c r="H54" s="37">
        <v>136.41670000000002</v>
      </c>
      <c r="I54" s="367">
        <v>99.933599999999998</v>
      </c>
      <c r="K54" s="93" t="str">
        <f t="shared" si="0"/>
        <v>GOVT</v>
      </c>
      <c r="L54" s="93" t="str">
        <f t="shared" si="3"/>
        <v>BKINV1USD_2Y_GOVT</v>
      </c>
      <c r="M54" s="93" t="str">
        <f t="shared" si="1"/>
        <v/>
      </c>
      <c r="N54" s="154">
        <f t="shared" si="2"/>
        <v>-412484.12210975739</v>
      </c>
      <c r="O54" s="93">
        <f t="shared" si="4"/>
        <v>136.41670000000002</v>
      </c>
    </row>
    <row r="55" spans="1:15" x14ac:dyDescent="0.3">
      <c r="A55" s="39" t="s">
        <v>131</v>
      </c>
      <c r="B55" s="39" t="s">
        <v>82</v>
      </c>
      <c r="C55" s="39" t="s">
        <v>139</v>
      </c>
      <c r="D55" s="39" t="s">
        <v>932</v>
      </c>
      <c r="E55" s="39" t="s">
        <v>933</v>
      </c>
      <c r="F55" s="37">
        <v>711000</v>
      </c>
      <c r="G55" s="37">
        <v>-564.71212000000003</v>
      </c>
      <c r="H55" s="37">
        <v>141.25504999999998</v>
      </c>
      <c r="K55" s="93" t="str">
        <f t="shared" si="0"/>
        <v>GOVT</v>
      </c>
      <c r="L55" s="93" t="str">
        <f t="shared" si="3"/>
        <v>BKINV1USD_3Y_GOVT</v>
      </c>
      <c r="M55" s="93" t="str">
        <f t="shared" si="1"/>
        <v/>
      </c>
      <c r="N55" s="154">
        <f t="shared" si="2"/>
        <v>-412484.12210975739</v>
      </c>
      <c r="O55" s="93">
        <f t="shared" si="4"/>
        <v>141.25504999999998</v>
      </c>
    </row>
    <row r="56" spans="1:15" x14ac:dyDescent="0.3">
      <c r="A56" s="39" t="s">
        <v>131</v>
      </c>
      <c r="B56" s="39" t="s">
        <v>82</v>
      </c>
      <c r="C56" s="39" t="s">
        <v>139</v>
      </c>
      <c r="D56" s="39" t="s">
        <v>199</v>
      </c>
      <c r="E56" s="39" t="s">
        <v>200</v>
      </c>
      <c r="F56" s="37">
        <v>0</v>
      </c>
      <c r="G56" s="37">
        <v>0</v>
      </c>
      <c r="H56" s="37">
        <v>0</v>
      </c>
      <c r="I56" s="367">
        <v>104.89449999999999</v>
      </c>
      <c r="K56" s="93" t="str">
        <f t="shared" si="0"/>
        <v/>
      </c>
      <c r="L56" s="93" t="str">
        <f t="shared" si="3"/>
        <v/>
      </c>
      <c r="M56" s="93" t="str">
        <f t="shared" si="1"/>
        <v/>
      </c>
      <c r="N56" s="154">
        <f t="shared" si="2"/>
        <v>0</v>
      </c>
      <c r="O56" s="93">
        <f t="shared" si="4"/>
        <v>0</v>
      </c>
    </row>
    <row r="57" spans="1:15" x14ac:dyDescent="0.3">
      <c r="A57" s="39" t="s">
        <v>131</v>
      </c>
      <c r="B57" s="39" t="s">
        <v>82</v>
      </c>
      <c r="C57" s="39" t="s">
        <v>139</v>
      </c>
      <c r="D57" s="39" t="s">
        <v>201</v>
      </c>
      <c r="E57" s="39" t="s">
        <v>202</v>
      </c>
      <c r="F57" s="37">
        <v>0</v>
      </c>
      <c r="G57" s="37">
        <v>0</v>
      </c>
      <c r="H57" s="37">
        <v>0</v>
      </c>
      <c r="I57" s="367">
        <v>105.35550000000001</v>
      </c>
      <c r="K57" s="93" t="str">
        <f t="shared" si="0"/>
        <v/>
      </c>
      <c r="L57" s="93" t="str">
        <f t="shared" si="3"/>
        <v/>
      </c>
      <c r="M57" s="93" t="str">
        <f t="shared" si="1"/>
        <v/>
      </c>
      <c r="N57" s="154">
        <f t="shared" si="2"/>
        <v>0</v>
      </c>
      <c r="O57" s="93">
        <f t="shared" si="4"/>
        <v>0</v>
      </c>
    </row>
    <row r="58" spans="1:15" x14ac:dyDescent="0.3">
      <c r="A58" s="39" t="s">
        <v>131</v>
      </c>
      <c r="B58" s="39" t="s">
        <v>82</v>
      </c>
      <c r="C58" s="39" t="s">
        <v>139</v>
      </c>
      <c r="D58" s="39" t="s">
        <v>32</v>
      </c>
      <c r="E58" s="39" t="s">
        <v>35</v>
      </c>
      <c r="F58" s="37">
        <v>0</v>
      </c>
      <c r="G58" s="37">
        <v>0</v>
      </c>
      <c r="H58" s="37">
        <v>0</v>
      </c>
      <c r="I58" s="367">
        <v>105.875</v>
      </c>
      <c r="K58" s="93" t="str">
        <f t="shared" si="0"/>
        <v/>
      </c>
      <c r="L58" s="93" t="str">
        <f t="shared" si="3"/>
        <v/>
      </c>
      <c r="M58" s="93" t="str">
        <f t="shared" si="1"/>
        <v/>
      </c>
      <c r="N58" s="154">
        <f t="shared" si="2"/>
        <v>0</v>
      </c>
      <c r="O58" s="93">
        <f t="shared" si="4"/>
        <v>0</v>
      </c>
    </row>
    <row r="59" spans="1:15" x14ac:dyDescent="0.3">
      <c r="A59" s="39" t="s">
        <v>131</v>
      </c>
      <c r="B59" s="39" t="s">
        <v>82</v>
      </c>
      <c r="C59" s="39" t="s">
        <v>139</v>
      </c>
      <c r="D59" s="39" t="s">
        <v>34</v>
      </c>
      <c r="E59" s="39" t="s">
        <v>36</v>
      </c>
      <c r="F59" s="37">
        <v>0</v>
      </c>
      <c r="G59" s="37">
        <v>0</v>
      </c>
      <c r="H59" s="37">
        <v>0</v>
      </c>
      <c r="I59" s="367">
        <v>105.9922</v>
      </c>
      <c r="K59" s="93" t="str">
        <f t="shared" si="0"/>
        <v/>
      </c>
      <c r="L59" s="93" t="str">
        <f t="shared" si="3"/>
        <v/>
      </c>
      <c r="M59" s="93" t="str">
        <f t="shared" si="1"/>
        <v/>
      </c>
      <c r="N59" s="154">
        <f t="shared" si="2"/>
        <v>0</v>
      </c>
      <c r="O59" s="93">
        <f t="shared" si="4"/>
        <v>0</v>
      </c>
    </row>
    <row r="60" spans="1:15" x14ac:dyDescent="0.3">
      <c r="A60" s="39" t="s">
        <v>131</v>
      </c>
      <c r="B60" s="39" t="s">
        <v>82</v>
      </c>
      <c r="C60" s="39" t="s">
        <v>139</v>
      </c>
      <c r="D60" s="39" t="s">
        <v>203</v>
      </c>
      <c r="E60" s="39" t="s">
        <v>204</v>
      </c>
      <c r="F60" s="37">
        <v>0</v>
      </c>
      <c r="G60" s="37">
        <v>0</v>
      </c>
      <c r="H60" s="37">
        <v>0</v>
      </c>
      <c r="I60" s="367">
        <v>105.0508</v>
      </c>
      <c r="K60" s="93" t="str">
        <f t="shared" si="0"/>
        <v/>
      </c>
      <c r="L60" s="93" t="str">
        <f t="shared" si="3"/>
        <v/>
      </c>
      <c r="M60" s="93" t="str">
        <f t="shared" si="1"/>
        <v/>
      </c>
      <c r="N60" s="154">
        <f t="shared" si="2"/>
        <v>0</v>
      </c>
      <c r="O60" s="93">
        <f t="shared" si="4"/>
        <v>0</v>
      </c>
    </row>
    <row r="61" spans="1:15" x14ac:dyDescent="0.3">
      <c r="A61" s="39" t="s">
        <v>131</v>
      </c>
      <c r="B61" s="39" t="s">
        <v>84</v>
      </c>
      <c r="C61" s="39" t="s">
        <v>139</v>
      </c>
      <c r="D61" s="39" t="s">
        <v>205</v>
      </c>
      <c r="E61" s="39" t="s">
        <v>206</v>
      </c>
      <c r="F61" s="37">
        <v>0</v>
      </c>
      <c r="G61" s="37">
        <v>0</v>
      </c>
      <c r="H61" s="37">
        <v>0</v>
      </c>
      <c r="I61" s="367">
        <v>104.41800000000001</v>
      </c>
      <c r="K61" s="93" t="str">
        <f t="shared" si="0"/>
        <v/>
      </c>
      <c r="L61" s="93" t="str">
        <f t="shared" si="3"/>
        <v/>
      </c>
      <c r="M61" s="93" t="str">
        <f t="shared" si="1"/>
        <v/>
      </c>
      <c r="N61" s="154">
        <f t="shared" si="2"/>
        <v>0</v>
      </c>
      <c r="O61" s="93">
        <f t="shared" si="4"/>
        <v>0</v>
      </c>
    </row>
    <row r="62" spans="1:15" x14ac:dyDescent="0.3">
      <c r="A62" s="39" t="s">
        <v>131</v>
      </c>
      <c r="B62" s="39" t="s">
        <v>84</v>
      </c>
      <c r="C62" s="39" t="s">
        <v>139</v>
      </c>
      <c r="D62" s="39" t="s">
        <v>207</v>
      </c>
      <c r="E62" s="39" t="s">
        <v>208</v>
      </c>
      <c r="F62" s="37">
        <v>0</v>
      </c>
      <c r="G62" s="37">
        <v>0</v>
      </c>
      <c r="H62" s="37">
        <v>0</v>
      </c>
      <c r="I62" s="367">
        <v>104.1133</v>
      </c>
      <c r="K62" s="93" t="str">
        <f t="shared" si="0"/>
        <v/>
      </c>
      <c r="L62" s="93" t="str">
        <f t="shared" si="3"/>
        <v/>
      </c>
      <c r="M62" s="93" t="str">
        <f t="shared" si="1"/>
        <v/>
      </c>
      <c r="N62" s="154">
        <f t="shared" si="2"/>
        <v>0</v>
      </c>
      <c r="O62" s="93">
        <f t="shared" si="4"/>
        <v>0</v>
      </c>
    </row>
    <row r="63" spans="1:15" x14ac:dyDescent="0.3">
      <c r="A63" s="39" t="s">
        <v>131</v>
      </c>
      <c r="B63" s="39" t="s">
        <v>84</v>
      </c>
      <c r="C63" s="39" t="s">
        <v>139</v>
      </c>
      <c r="D63" s="39" t="s">
        <v>209</v>
      </c>
      <c r="E63" s="39" t="s">
        <v>210</v>
      </c>
      <c r="F63" s="37">
        <v>0</v>
      </c>
      <c r="G63" s="37">
        <v>0</v>
      </c>
      <c r="H63" s="37">
        <v>0</v>
      </c>
      <c r="I63" s="367">
        <v>102.6328</v>
      </c>
      <c r="K63" s="93" t="str">
        <f t="shared" si="0"/>
        <v/>
      </c>
      <c r="L63" s="93" t="str">
        <f t="shared" si="3"/>
        <v/>
      </c>
      <c r="M63" s="93" t="str">
        <f t="shared" si="1"/>
        <v/>
      </c>
      <c r="N63" s="154">
        <f t="shared" si="2"/>
        <v>0</v>
      </c>
      <c r="O63" s="93">
        <f t="shared" si="4"/>
        <v>0</v>
      </c>
    </row>
    <row r="64" spans="1:15" x14ac:dyDescent="0.3">
      <c r="A64" s="39" t="s">
        <v>131</v>
      </c>
      <c r="B64" s="39" t="s">
        <v>84</v>
      </c>
      <c r="C64" s="39" t="s">
        <v>139</v>
      </c>
      <c r="D64" s="39" t="s">
        <v>211</v>
      </c>
      <c r="E64" s="39" t="s">
        <v>212</v>
      </c>
      <c r="F64" s="37">
        <v>0</v>
      </c>
      <c r="G64" s="37">
        <v>0</v>
      </c>
      <c r="H64" s="37">
        <v>0</v>
      </c>
      <c r="I64" s="367">
        <v>102.6367</v>
      </c>
      <c r="K64" s="93" t="str">
        <f t="shared" si="0"/>
        <v/>
      </c>
      <c r="L64" s="93" t="str">
        <f t="shared" si="3"/>
        <v/>
      </c>
      <c r="M64" s="93" t="str">
        <f t="shared" si="1"/>
        <v/>
      </c>
      <c r="N64" s="154">
        <f t="shared" si="2"/>
        <v>0</v>
      </c>
      <c r="O64" s="93">
        <f t="shared" si="4"/>
        <v>0</v>
      </c>
    </row>
    <row r="65" spans="1:15" x14ac:dyDescent="0.3">
      <c r="A65" s="39" t="s">
        <v>131</v>
      </c>
      <c r="B65" s="39" t="s">
        <v>84</v>
      </c>
      <c r="C65" s="39" t="s">
        <v>139</v>
      </c>
      <c r="D65" s="39" t="s">
        <v>213</v>
      </c>
      <c r="E65" s="39" t="s">
        <v>214</v>
      </c>
      <c r="F65" s="37">
        <v>0</v>
      </c>
      <c r="G65" s="37">
        <v>0</v>
      </c>
      <c r="H65" s="37">
        <v>0</v>
      </c>
      <c r="I65" s="367">
        <v>102.6426</v>
      </c>
      <c r="K65" s="93" t="str">
        <f t="shared" si="0"/>
        <v/>
      </c>
      <c r="L65" s="93" t="str">
        <f t="shared" si="3"/>
        <v/>
      </c>
      <c r="M65" s="93" t="str">
        <f t="shared" si="1"/>
        <v/>
      </c>
      <c r="N65" s="154">
        <f t="shared" si="2"/>
        <v>0</v>
      </c>
      <c r="O65" s="93">
        <f t="shared" si="4"/>
        <v>0</v>
      </c>
    </row>
    <row r="66" spans="1:15" x14ac:dyDescent="0.3">
      <c r="A66" s="39" t="s">
        <v>131</v>
      </c>
      <c r="B66" s="39" t="s">
        <v>84</v>
      </c>
      <c r="C66" s="39" t="s">
        <v>139</v>
      </c>
      <c r="D66" s="39" t="s">
        <v>215</v>
      </c>
      <c r="E66" s="39" t="s">
        <v>216</v>
      </c>
      <c r="F66" s="37">
        <v>0</v>
      </c>
      <c r="G66" s="37">
        <v>0</v>
      </c>
      <c r="H66" s="37">
        <v>0</v>
      </c>
      <c r="I66" s="367">
        <v>103.0898</v>
      </c>
      <c r="K66" s="93" t="str">
        <f t="shared" ref="K66:K129" si="5">IF(G66=0,"",IF(C66="REPO","REPO",IF(C66="BONDFUT","BONDFUT",IF(C66="DEPOFUT","DEPOFUT",IF(C66="IRSWAP","IRSWAP",IF(D66="FX-SWAP","FX-SWAP",IF(OR(C66="BOND",C66="BILL"),IF(OR(LEFT(D66,4)="UST2",LEFT(D66,4)="USB2"),"GOVT",IF(LEFT(D66,7)&lt;&gt;"USCPCADES","EURO","DEPO")),"DEPO")))))))</f>
        <v/>
      </c>
      <c r="L66" s="93" t="str">
        <f t="shared" si="3"/>
        <v/>
      </c>
      <c r="M66" s="93" t="str">
        <f t="shared" ref="M66:M129" si="6">IF(K66&lt;&gt;"EURO","",IF(LEFT(D66,4)="USCP",MID(D66,5,SEARCH("2",D66)-5),MID(D66,3,SEARCH("2",D66)-3)))</f>
        <v/>
      </c>
      <c r="N66" s="154">
        <f t="shared" ref="N66:N129" si="7">IF(A66="","",IF(A66="BKINV1USD",-F66*ratioPV,F66))</f>
        <v>0</v>
      </c>
      <c r="O66" s="93">
        <f t="shared" si="4"/>
        <v>0</v>
      </c>
    </row>
    <row r="67" spans="1:15" x14ac:dyDescent="0.3">
      <c r="A67" s="39" t="s">
        <v>131</v>
      </c>
      <c r="B67" s="39" t="s">
        <v>84</v>
      </c>
      <c r="C67" s="39" t="s">
        <v>139</v>
      </c>
      <c r="D67" s="39" t="s">
        <v>217</v>
      </c>
      <c r="E67" s="39" t="s">
        <v>218</v>
      </c>
      <c r="F67" s="37">
        <v>0</v>
      </c>
      <c r="G67" s="37">
        <v>0</v>
      </c>
      <c r="H67" s="37">
        <v>0</v>
      </c>
      <c r="I67" s="367">
        <v>105.7773</v>
      </c>
      <c r="K67" s="93" t="str">
        <f t="shared" si="5"/>
        <v/>
      </c>
      <c r="L67" s="93" t="str">
        <f t="shared" ref="L67:L130" si="8">IF(G67=0,"",IF(B67="Balance",CONCATENATE(A67 &amp; "_O/N_REPO"),IF(K67="",CONCATENATE(A67 &amp; "_" &amp; B67 &amp; "_" &amp; C67),CONCATENATE(A67 &amp; "_" &amp; B67 &amp; "_" &amp; K67))))</f>
        <v/>
      </c>
      <c r="M67" s="93" t="str">
        <f t="shared" si="6"/>
        <v/>
      </c>
      <c r="N67" s="154">
        <f t="shared" si="7"/>
        <v>0</v>
      </c>
      <c r="O67" s="93">
        <f t="shared" ref="O67:O130" si="9">H67</f>
        <v>0</v>
      </c>
    </row>
    <row r="68" spans="1:15" x14ac:dyDescent="0.3">
      <c r="A68" s="39" t="s">
        <v>131</v>
      </c>
      <c r="B68" s="39" t="s">
        <v>84</v>
      </c>
      <c r="C68" s="39" t="s">
        <v>139</v>
      </c>
      <c r="D68" s="39" t="s">
        <v>219</v>
      </c>
      <c r="E68" s="39" t="s">
        <v>220</v>
      </c>
      <c r="F68" s="37">
        <v>0</v>
      </c>
      <c r="G68" s="37">
        <v>0</v>
      </c>
      <c r="H68" s="37">
        <v>0</v>
      </c>
      <c r="I68" s="367">
        <v>105.3828</v>
      </c>
      <c r="K68" s="93" t="str">
        <f t="shared" si="5"/>
        <v/>
      </c>
      <c r="L68" s="93" t="str">
        <f t="shared" si="8"/>
        <v/>
      </c>
      <c r="M68" s="93" t="str">
        <f t="shared" si="6"/>
        <v/>
      </c>
      <c r="N68" s="154">
        <f t="shared" si="7"/>
        <v>0</v>
      </c>
      <c r="O68" s="93">
        <f t="shared" si="9"/>
        <v>0</v>
      </c>
    </row>
    <row r="69" spans="1:15" x14ac:dyDescent="0.3">
      <c r="A69" s="39" t="s">
        <v>131</v>
      </c>
      <c r="B69" s="39" t="s">
        <v>84</v>
      </c>
      <c r="C69" s="39" t="s">
        <v>139</v>
      </c>
      <c r="D69" s="39" t="s">
        <v>221</v>
      </c>
      <c r="E69" s="39" t="s">
        <v>222</v>
      </c>
      <c r="F69" s="37">
        <v>0</v>
      </c>
      <c r="G69" s="37">
        <v>0</v>
      </c>
      <c r="H69" s="37">
        <v>0</v>
      </c>
      <c r="I69" s="367">
        <v>105.9375</v>
      </c>
      <c r="K69" s="93" t="str">
        <f t="shared" si="5"/>
        <v/>
      </c>
      <c r="L69" s="93" t="str">
        <f t="shared" si="8"/>
        <v/>
      </c>
      <c r="M69" s="93" t="str">
        <f t="shared" si="6"/>
        <v/>
      </c>
      <c r="N69" s="154">
        <f t="shared" si="7"/>
        <v>0</v>
      </c>
      <c r="O69" s="93">
        <f t="shared" si="9"/>
        <v>0</v>
      </c>
    </row>
    <row r="70" spans="1:15" x14ac:dyDescent="0.3">
      <c r="A70" s="39" t="s">
        <v>131</v>
      </c>
      <c r="B70" s="39" t="s">
        <v>84</v>
      </c>
      <c r="C70" s="39" t="s">
        <v>139</v>
      </c>
      <c r="D70" s="39" t="s">
        <v>223</v>
      </c>
      <c r="E70" s="39" t="s">
        <v>224</v>
      </c>
      <c r="F70" s="37">
        <v>0</v>
      </c>
      <c r="G70" s="37">
        <v>0</v>
      </c>
      <c r="H70" s="37">
        <v>0</v>
      </c>
      <c r="I70" s="367">
        <v>106.51560000000001</v>
      </c>
      <c r="K70" s="93" t="str">
        <f t="shared" si="5"/>
        <v/>
      </c>
      <c r="L70" s="93" t="str">
        <f t="shared" si="8"/>
        <v/>
      </c>
      <c r="M70" s="93" t="str">
        <f t="shared" si="6"/>
        <v/>
      </c>
      <c r="N70" s="154">
        <f t="shared" si="7"/>
        <v>0</v>
      </c>
      <c r="O70" s="93">
        <f t="shared" si="9"/>
        <v>0</v>
      </c>
    </row>
    <row r="71" spans="1:15" x14ac:dyDescent="0.3">
      <c r="A71" s="39" t="s">
        <v>131</v>
      </c>
      <c r="B71" s="39" t="s">
        <v>84</v>
      </c>
      <c r="C71" s="39" t="s">
        <v>139</v>
      </c>
      <c r="D71" s="39" t="s">
        <v>225</v>
      </c>
      <c r="E71" s="39" t="s">
        <v>226</v>
      </c>
      <c r="F71" s="37">
        <v>0</v>
      </c>
      <c r="G71" s="37">
        <v>0</v>
      </c>
      <c r="H71" s="37">
        <v>0</v>
      </c>
      <c r="I71" s="367">
        <v>105.5898</v>
      </c>
      <c r="K71" s="93" t="str">
        <f t="shared" si="5"/>
        <v/>
      </c>
      <c r="L71" s="93" t="str">
        <f t="shared" si="8"/>
        <v/>
      </c>
      <c r="M71" s="93" t="str">
        <f t="shared" si="6"/>
        <v/>
      </c>
      <c r="N71" s="154">
        <f t="shared" si="7"/>
        <v>0</v>
      </c>
      <c r="O71" s="93">
        <f t="shared" si="9"/>
        <v>0</v>
      </c>
    </row>
    <row r="72" spans="1:15" x14ac:dyDescent="0.3">
      <c r="A72" s="39" t="s">
        <v>131</v>
      </c>
      <c r="B72" s="39" t="s">
        <v>84</v>
      </c>
      <c r="C72" s="39" t="s">
        <v>139</v>
      </c>
      <c r="D72" s="39" t="s">
        <v>227</v>
      </c>
      <c r="E72" s="39" t="s">
        <v>228</v>
      </c>
      <c r="F72" s="37">
        <v>0</v>
      </c>
      <c r="G72" s="37">
        <v>0</v>
      </c>
      <c r="H72" s="37">
        <v>0</v>
      </c>
      <c r="I72" s="367">
        <v>104.6641</v>
      </c>
      <c r="K72" s="93" t="str">
        <f t="shared" si="5"/>
        <v/>
      </c>
      <c r="L72" s="93" t="str">
        <f t="shared" si="8"/>
        <v/>
      </c>
      <c r="M72" s="93" t="str">
        <f t="shared" si="6"/>
        <v/>
      </c>
      <c r="N72" s="154">
        <f t="shared" si="7"/>
        <v>0</v>
      </c>
      <c r="O72" s="93">
        <f t="shared" si="9"/>
        <v>0</v>
      </c>
    </row>
    <row r="73" spans="1:15" x14ac:dyDescent="0.3">
      <c r="A73" s="39" t="s">
        <v>131</v>
      </c>
      <c r="B73" s="39" t="s">
        <v>84</v>
      </c>
      <c r="C73" s="39" t="s">
        <v>139</v>
      </c>
      <c r="D73" s="39" t="s">
        <v>229</v>
      </c>
      <c r="E73" s="39" t="s">
        <v>230</v>
      </c>
      <c r="F73" s="37">
        <v>0</v>
      </c>
      <c r="G73" s="37">
        <v>0</v>
      </c>
      <c r="H73" s="37">
        <v>0</v>
      </c>
      <c r="I73" s="367">
        <v>103.6875</v>
      </c>
      <c r="K73" s="93" t="str">
        <f t="shared" si="5"/>
        <v/>
      </c>
      <c r="L73" s="93" t="str">
        <f t="shared" si="8"/>
        <v/>
      </c>
      <c r="M73" s="93" t="str">
        <f t="shared" si="6"/>
        <v/>
      </c>
      <c r="N73" s="154">
        <f t="shared" si="7"/>
        <v>0</v>
      </c>
      <c r="O73" s="93">
        <f t="shared" si="9"/>
        <v>0</v>
      </c>
    </row>
    <row r="74" spans="1:15" x14ac:dyDescent="0.3">
      <c r="A74" s="39" t="s">
        <v>131</v>
      </c>
      <c r="B74" s="39" t="s">
        <v>84</v>
      </c>
      <c r="C74" s="39" t="s">
        <v>139</v>
      </c>
      <c r="D74" s="39" t="s">
        <v>231</v>
      </c>
      <c r="E74" s="39" t="s">
        <v>232</v>
      </c>
      <c r="F74" s="37">
        <v>0</v>
      </c>
      <c r="G74" s="37">
        <v>0</v>
      </c>
      <c r="H74" s="37">
        <v>0</v>
      </c>
      <c r="I74" s="367">
        <v>103.70310000000001</v>
      </c>
      <c r="K74" s="93" t="str">
        <f t="shared" si="5"/>
        <v/>
      </c>
      <c r="L74" s="93" t="str">
        <f t="shared" si="8"/>
        <v/>
      </c>
      <c r="M74" s="93" t="str">
        <f t="shared" si="6"/>
        <v/>
      </c>
      <c r="N74" s="154">
        <f t="shared" si="7"/>
        <v>0</v>
      </c>
      <c r="O74" s="93">
        <f t="shared" si="9"/>
        <v>0</v>
      </c>
    </row>
    <row r="75" spans="1:15" x14ac:dyDescent="0.3">
      <c r="A75" s="39" t="s">
        <v>131</v>
      </c>
      <c r="B75" s="39" t="s">
        <v>84</v>
      </c>
      <c r="C75" s="39" t="s">
        <v>139</v>
      </c>
      <c r="D75" s="39" t="s">
        <v>233</v>
      </c>
      <c r="E75" s="39" t="s">
        <v>234</v>
      </c>
      <c r="F75" s="37">
        <v>0</v>
      </c>
      <c r="G75" s="37">
        <v>0</v>
      </c>
      <c r="H75" s="37">
        <v>0</v>
      </c>
      <c r="I75" s="367">
        <v>101.6484</v>
      </c>
      <c r="K75" s="93" t="str">
        <f t="shared" si="5"/>
        <v/>
      </c>
      <c r="L75" s="93" t="str">
        <f t="shared" si="8"/>
        <v/>
      </c>
      <c r="M75" s="93" t="str">
        <f t="shared" si="6"/>
        <v/>
      </c>
      <c r="N75" s="154">
        <f t="shared" si="7"/>
        <v>0</v>
      </c>
      <c r="O75" s="93">
        <f t="shared" si="9"/>
        <v>0</v>
      </c>
    </row>
    <row r="76" spans="1:15" x14ac:dyDescent="0.3">
      <c r="A76" s="39" t="s">
        <v>131</v>
      </c>
      <c r="B76" s="39" t="s">
        <v>84</v>
      </c>
      <c r="C76" s="39" t="s">
        <v>139</v>
      </c>
      <c r="D76" s="39" t="s">
        <v>235</v>
      </c>
      <c r="E76" s="39" t="s">
        <v>236</v>
      </c>
      <c r="F76" s="37">
        <v>0</v>
      </c>
      <c r="G76" s="37">
        <v>0</v>
      </c>
      <c r="H76" s="37">
        <v>0</v>
      </c>
      <c r="I76" s="367">
        <v>101.64449999999999</v>
      </c>
      <c r="K76" s="93" t="str">
        <f t="shared" si="5"/>
        <v/>
      </c>
      <c r="L76" s="93" t="str">
        <f t="shared" si="8"/>
        <v/>
      </c>
      <c r="M76" s="93" t="str">
        <f t="shared" si="6"/>
        <v/>
      </c>
      <c r="N76" s="154">
        <f t="shared" si="7"/>
        <v>0</v>
      </c>
      <c r="O76" s="93">
        <f t="shared" si="9"/>
        <v>0</v>
      </c>
    </row>
    <row r="77" spans="1:15" x14ac:dyDescent="0.3">
      <c r="A77" s="39" t="s">
        <v>131</v>
      </c>
      <c r="B77" s="39" t="s">
        <v>84</v>
      </c>
      <c r="C77" s="39" t="s">
        <v>139</v>
      </c>
      <c r="D77" s="39" t="s">
        <v>237</v>
      </c>
      <c r="E77" s="39" t="s">
        <v>238</v>
      </c>
      <c r="F77" s="37">
        <v>0</v>
      </c>
      <c r="G77" s="37">
        <v>0</v>
      </c>
      <c r="H77" s="37">
        <v>0</v>
      </c>
      <c r="I77" s="367">
        <v>101.6211</v>
      </c>
      <c r="K77" s="93" t="str">
        <f t="shared" si="5"/>
        <v/>
      </c>
      <c r="L77" s="93" t="str">
        <f t="shared" si="8"/>
        <v/>
      </c>
      <c r="M77" s="93" t="str">
        <f t="shared" si="6"/>
        <v/>
      </c>
      <c r="N77" s="154">
        <f t="shared" si="7"/>
        <v>0</v>
      </c>
      <c r="O77" s="93">
        <f t="shared" si="9"/>
        <v>0</v>
      </c>
    </row>
    <row r="78" spans="1:15" x14ac:dyDescent="0.3">
      <c r="A78" s="39" t="s">
        <v>131</v>
      </c>
      <c r="B78" s="39" t="s">
        <v>84</v>
      </c>
      <c r="C78" s="39" t="s">
        <v>139</v>
      </c>
      <c r="D78" s="39" t="s">
        <v>239</v>
      </c>
      <c r="E78" s="39" t="s">
        <v>240</v>
      </c>
      <c r="F78" s="37">
        <v>0</v>
      </c>
      <c r="G78" s="37">
        <v>0</v>
      </c>
      <c r="H78" s="37">
        <v>0</v>
      </c>
      <c r="I78" s="367">
        <v>100.83199999999999</v>
      </c>
      <c r="K78" s="93" t="str">
        <f t="shared" si="5"/>
        <v/>
      </c>
      <c r="L78" s="93" t="str">
        <f t="shared" si="8"/>
        <v/>
      </c>
      <c r="M78" s="93" t="str">
        <f t="shared" si="6"/>
        <v/>
      </c>
      <c r="N78" s="154">
        <f t="shared" si="7"/>
        <v>0</v>
      </c>
      <c r="O78" s="93">
        <f t="shared" si="9"/>
        <v>0</v>
      </c>
    </row>
    <row r="79" spans="1:15" x14ac:dyDescent="0.3">
      <c r="A79" s="39" t="s">
        <v>131</v>
      </c>
      <c r="B79" s="39" t="s">
        <v>84</v>
      </c>
      <c r="C79" s="39" t="s">
        <v>139</v>
      </c>
      <c r="D79" s="39" t="s">
        <v>241</v>
      </c>
      <c r="E79" s="39" t="s">
        <v>242</v>
      </c>
      <c r="F79" s="37">
        <v>0</v>
      </c>
      <c r="G79" s="37">
        <v>0</v>
      </c>
      <c r="H79" s="37">
        <v>0</v>
      </c>
      <c r="I79" s="367">
        <v>101.0039</v>
      </c>
      <c r="K79" s="93" t="str">
        <f t="shared" si="5"/>
        <v/>
      </c>
      <c r="L79" s="93" t="str">
        <f t="shared" si="8"/>
        <v/>
      </c>
      <c r="M79" s="93" t="str">
        <f t="shared" si="6"/>
        <v/>
      </c>
      <c r="N79" s="154">
        <f t="shared" si="7"/>
        <v>0</v>
      </c>
      <c r="O79" s="93">
        <f t="shared" si="9"/>
        <v>0</v>
      </c>
    </row>
    <row r="80" spans="1:15" x14ac:dyDescent="0.3">
      <c r="A80" s="39" t="s">
        <v>131</v>
      </c>
      <c r="B80" s="39" t="s">
        <v>84</v>
      </c>
      <c r="C80" s="39" t="s">
        <v>139</v>
      </c>
      <c r="D80" s="39" t="s">
        <v>243</v>
      </c>
      <c r="E80" s="39" t="s">
        <v>244</v>
      </c>
      <c r="F80" s="37">
        <v>0</v>
      </c>
      <c r="G80" s="37">
        <v>0</v>
      </c>
      <c r="H80" s="37">
        <v>0</v>
      </c>
      <c r="I80" s="367">
        <v>100.9688</v>
      </c>
      <c r="K80" s="93" t="str">
        <f t="shared" si="5"/>
        <v/>
      </c>
      <c r="L80" s="93" t="str">
        <f t="shared" si="8"/>
        <v/>
      </c>
      <c r="M80" s="93" t="str">
        <f t="shared" si="6"/>
        <v/>
      </c>
      <c r="N80" s="154">
        <f t="shared" si="7"/>
        <v>0</v>
      </c>
      <c r="O80" s="93">
        <f t="shared" si="9"/>
        <v>0</v>
      </c>
    </row>
    <row r="81" spans="1:15" x14ac:dyDescent="0.3">
      <c r="A81" s="39" t="s">
        <v>131</v>
      </c>
      <c r="B81" s="39" t="s">
        <v>84</v>
      </c>
      <c r="C81" s="39" t="s">
        <v>139</v>
      </c>
      <c r="D81" s="39" t="s">
        <v>58</v>
      </c>
      <c r="E81" s="39" t="s">
        <v>59</v>
      </c>
      <c r="F81" s="37">
        <v>0</v>
      </c>
      <c r="G81" s="37">
        <v>0</v>
      </c>
      <c r="H81" s="37">
        <v>0</v>
      </c>
      <c r="I81" s="367">
        <v>100.9883</v>
      </c>
      <c r="K81" s="93" t="str">
        <f t="shared" si="5"/>
        <v/>
      </c>
      <c r="L81" s="93" t="str">
        <f t="shared" si="8"/>
        <v/>
      </c>
      <c r="M81" s="93" t="str">
        <f t="shared" si="6"/>
        <v/>
      </c>
      <c r="N81" s="154">
        <f t="shared" si="7"/>
        <v>0</v>
      </c>
      <c r="O81" s="93">
        <f t="shared" si="9"/>
        <v>0</v>
      </c>
    </row>
    <row r="82" spans="1:15" x14ac:dyDescent="0.3">
      <c r="A82" s="39" t="s">
        <v>131</v>
      </c>
      <c r="B82" s="39" t="s">
        <v>84</v>
      </c>
      <c r="C82" s="39" t="s">
        <v>139</v>
      </c>
      <c r="D82" s="39" t="s">
        <v>60</v>
      </c>
      <c r="E82" s="39" t="s">
        <v>61</v>
      </c>
      <c r="F82" s="37">
        <v>0</v>
      </c>
      <c r="G82" s="37">
        <v>0</v>
      </c>
      <c r="H82" s="37">
        <v>0</v>
      </c>
      <c r="I82" s="367">
        <v>101.5078</v>
      </c>
      <c r="K82" s="93" t="str">
        <f t="shared" si="5"/>
        <v/>
      </c>
      <c r="L82" s="93" t="str">
        <f t="shared" si="8"/>
        <v/>
      </c>
      <c r="M82" s="93" t="str">
        <f t="shared" si="6"/>
        <v/>
      </c>
      <c r="N82" s="154">
        <f t="shared" si="7"/>
        <v>0</v>
      </c>
      <c r="O82" s="93">
        <f t="shared" si="9"/>
        <v>0</v>
      </c>
    </row>
    <row r="83" spans="1:15" x14ac:dyDescent="0.3">
      <c r="A83" s="39" t="s">
        <v>131</v>
      </c>
      <c r="B83" s="39" t="s">
        <v>84</v>
      </c>
      <c r="C83" s="39" t="s">
        <v>139</v>
      </c>
      <c r="D83" s="39" t="s">
        <v>646</v>
      </c>
      <c r="E83" s="39" t="s">
        <v>608</v>
      </c>
      <c r="F83" s="37">
        <v>381000</v>
      </c>
      <c r="G83" s="37">
        <v>384984.94780999998</v>
      </c>
      <c r="H83" s="37">
        <v>182.04246000000001</v>
      </c>
      <c r="I83" s="367">
        <v>100.8984</v>
      </c>
      <c r="K83" s="93" t="str">
        <f t="shared" si="5"/>
        <v>GOVT</v>
      </c>
      <c r="L83" s="93" t="str">
        <f t="shared" si="8"/>
        <v>BKINV1USD_5Y_GOVT</v>
      </c>
      <c r="M83" s="93" t="str">
        <f t="shared" si="6"/>
        <v/>
      </c>
      <c r="N83" s="154">
        <f t="shared" si="7"/>
        <v>-221035.79539214849</v>
      </c>
      <c r="O83" s="93">
        <f t="shared" si="9"/>
        <v>182.04246000000001</v>
      </c>
    </row>
    <row r="84" spans="1:15" x14ac:dyDescent="0.3">
      <c r="A84" s="39" t="s">
        <v>131</v>
      </c>
      <c r="B84" s="39" t="s">
        <v>84</v>
      </c>
      <c r="C84" s="39" t="s">
        <v>139</v>
      </c>
      <c r="D84" s="39" t="s">
        <v>904</v>
      </c>
      <c r="E84" s="39" t="s">
        <v>905</v>
      </c>
      <c r="F84" s="37">
        <v>383000</v>
      </c>
      <c r="G84" s="37">
        <v>381928.85738999996</v>
      </c>
      <c r="H84" s="37">
        <v>184.73500000000001</v>
      </c>
      <c r="I84" s="367">
        <v>99.668000000000006</v>
      </c>
      <c r="K84" s="93" t="str">
        <f t="shared" si="5"/>
        <v>GOVT</v>
      </c>
      <c r="L84" s="93" t="str">
        <f t="shared" si="8"/>
        <v>BKINV1USD_5Y_GOVT</v>
      </c>
      <c r="M84" s="93" t="str">
        <f t="shared" si="6"/>
        <v/>
      </c>
      <c r="N84" s="154">
        <f t="shared" si="7"/>
        <v>-222196.08828134611</v>
      </c>
      <c r="O84" s="93">
        <f t="shared" si="9"/>
        <v>184.73500000000001</v>
      </c>
    </row>
    <row r="85" spans="1:15" x14ac:dyDescent="0.3">
      <c r="A85" s="39" t="s">
        <v>131</v>
      </c>
      <c r="B85" s="39" t="s">
        <v>86</v>
      </c>
      <c r="C85" s="39" t="s">
        <v>139</v>
      </c>
      <c r="D85" s="39" t="s">
        <v>942</v>
      </c>
      <c r="E85" s="39" t="s">
        <v>943</v>
      </c>
      <c r="F85" s="37">
        <v>381000</v>
      </c>
      <c r="G85" s="37">
        <v>322.25607000000002</v>
      </c>
      <c r="H85" s="37">
        <v>187.36376000000001</v>
      </c>
      <c r="K85" s="93" t="str">
        <f t="shared" si="5"/>
        <v>GOVT</v>
      </c>
      <c r="L85" s="93" t="str">
        <f t="shared" si="8"/>
        <v>BKINV1USD_7Y_GOVT</v>
      </c>
      <c r="M85" s="93" t="str">
        <f t="shared" si="6"/>
        <v/>
      </c>
      <c r="N85" s="154">
        <f t="shared" si="7"/>
        <v>-221035.79539214849</v>
      </c>
      <c r="O85" s="93">
        <f t="shared" si="9"/>
        <v>187.36376000000001</v>
      </c>
    </row>
    <row r="86" spans="1:15" x14ac:dyDescent="0.3">
      <c r="A86" s="39" t="s">
        <v>131</v>
      </c>
      <c r="B86" s="39" t="s">
        <v>89</v>
      </c>
      <c r="C86" s="39" t="s">
        <v>139</v>
      </c>
      <c r="D86" s="39" t="s">
        <v>245</v>
      </c>
      <c r="E86" s="39" t="s">
        <v>246</v>
      </c>
      <c r="F86" s="37">
        <v>0</v>
      </c>
      <c r="G86" s="37">
        <v>0</v>
      </c>
      <c r="H86" s="37">
        <v>0</v>
      </c>
      <c r="I86" s="367">
        <v>117.6953</v>
      </c>
      <c r="K86" s="93" t="str">
        <f t="shared" si="5"/>
        <v/>
      </c>
      <c r="L86" s="93" t="str">
        <f t="shared" si="8"/>
        <v/>
      </c>
      <c r="M86" s="93" t="str">
        <f t="shared" si="6"/>
        <v/>
      </c>
      <c r="N86" s="154">
        <f t="shared" si="7"/>
        <v>0</v>
      </c>
      <c r="O86" s="93">
        <f t="shared" si="9"/>
        <v>0</v>
      </c>
    </row>
    <row r="87" spans="1:15" x14ac:dyDescent="0.3">
      <c r="A87" s="39" t="s">
        <v>131</v>
      </c>
      <c r="B87" s="39" t="s">
        <v>89</v>
      </c>
      <c r="C87" s="39" t="s">
        <v>139</v>
      </c>
      <c r="D87" s="39" t="s">
        <v>247</v>
      </c>
      <c r="E87" s="39" t="s">
        <v>248</v>
      </c>
      <c r="F87" s="37">
        <v>0</v>
      </c>
      <c r="G87" s="37">
        <v>0</v>
      </c>
      <c r="H87" s="37">
        <v>0</v>
      </c>
      <c r="I87" s="367">
        <v>116.16800000000001</v>
      </c>
      <c r="K87" s="93" t="str">
        <f t="shared" si="5"/>
        <v/>
      </c>
      <c r="L87" s="93" t="str">
        <f t="shared" si="8"/>
        <v/>
      </c>
      <c r="M87" s="93" t="str">
        <f t="shared" si="6"/>
        <v/>
      </c>
      <c r="N87" s="154">
        <f t="shared" si="7"/>
        <v>0</v>
      </c>
      <c r="O87" s="93">
        <f t="shared" si="9"/>
        <v>0</v>
      </c>
    </row>
    <row r="88" spans="1:15" x14ac:dyDescent="0.3">
      <c r="A88" s="39" t="s">
        <v>131</v>
      </c>
      <c r="B88" s="39" t="s">
        <v>89</v>
      </c>
      <c r="C88" s="39" t="s">
        <v>139</v>
      </c>
      <c r="D88" s="39" t="s">
        <v>249</v>
      </c>
      <c r="E88" s="39" t="s">
        <v>250</v>
      </c>
      <c r="F88" s="37">
        <v>0</v>
      </c>
      <c r="G88" s="37">
        <v>0</v>
      </c>
      <c r="H88" s="37">
        <v>0</v>
      </c>
      <c r="I88" s="367">
        <v>118.1875</v>
      </c>
      <c r="K88" s="93" t="str">
        <f t="shared" si="5"/>
        <v/>
      </c>
      <c r="L88" s="93" t="str">
        <f t="shared" si="8"/>
        <v/>
      </c>
      <c r="M88" s="93" t="str">
        <f t="shared" si="6"/>
        <v/>
      </c>
      <c r="N88" s="154">
        <f t="shared" si="7"/>
        <v>0</v>
      </c>
      <c r="O88" s="93">
        <f t="shared" si="9"/>
        <v>0</v>
      </c>
    </row>
    <row r="89" spans="1:15" x14ac:dyDescent="0.3">
      <c r="A89" s="39" t="s">
        <v>131</v>
      </c>
      <c r="B89" s="39" t="s">
        <v>89</v>
      </c>
      <c r="C89" s="39" t="s">
        <v>139</v>
      </c>
      <c r="D89" s="39" t="s">
        <v>251</v>
      </c>
      <c r="E89" s="39" t="s">
        <v>252</v>
      </c>
      <c r="F89" s="37">
        <v>0</v>
      </c>
      <c r="G89" s="37">
        <v>0</v>
      </c>
      <c r="H89" s="37">
        <v>0</v>
      </c>
      <c r="I89" s="367">
        <v>117.4258</v>
      </c>
      <c r="K89" s="93" t="str">
        <f t="shared" si="5"/>
        <v/>
      </c>
      <c r="L89" s="93" t="str">
        <f t="shared" si="8"/>
        <v/>
      </c>
      <c r="M89" s="93" t="str">
        <f t="shared" si="6"/>
        <v/>
      </c>
      <c r="N89" s="154">
        <f t="shared" si="7"/>
        <v>0</v>
      </c>
      <c r="O89" s="93">
        <f t="shared" si="9"/>
        <v>0</v>
      </c>
    </row>
    <row r="90" spans="1:15" x14ac:dyDescent="0.3">
      <c r="A90" s="39" t="s">
        <v>131</v>
      </c>
      <c r="B90" s="39" t="s">
        <v>89</v>
      </c>
      <c r="C90" s="39" t="s">
        <v>139</v>
      </c>
      <c r="D90" s="39" t="s">
        <v>253</v>
      </c>
      <c r="E90" s="39" t="s">
        <v>254</v>
      </c>
      <c r="F90" s="37">
        <v>0</v>
      </c>
      <c r="G90" s="37">
        <v>0</v>
      </c>
      <c r="H90" s="37">
        <v>0</v>
      </c>
      <c r="I90" s="367">
        <v>110.6016</v>
      </c>
      <c r="K90" s="93" t="str">
        <f t="shared" si="5"/>
        <v/>
      </c>
      <c r="L90" s="93" t="str">
        <f t="shared" si="8"/>
        <v/>
      </c>
      <c r="M90" s="93" t="str">
        <f t="shared" si="6"/>
        <v/>
      </c>
      <c r="N90" s="154">
        <f t="shared" si="7"/>
        <v>0</v>
      </c>
      <c r="O90" s="93">
        <f t="shared" si="9"/>
        <v>0</v>
      </c>
    </row>
    <row r="91" spans="1:15" x14ac:dyDescent="0.3">
      <c r="A91" s="39" t="s">
        <v>131</v>
      </c>
      <c r="B91" s="39" t="s">
        <v>89</v>
      </c>
      <c r="C91" s="39" t="s">
        <v>139</v>
      </c>
      <c r="D91" s="39" t="s">
        <v>255</v>
      </c>
      <c r="E91" s="39" t="s">
        <v>256</v>
      </c>
      <c r="F91" s="37">
        <v>0</v>
      </c>
      <c r="G91" s="37">
        <v>0</v>
      </c>
      <c r="H91" s="37">
        <v>0</v>
      </c>
      <c r="I91" s="367">
        <v>110.4375</v>
      </c>
      <c r="K91" s="93" t="str">
        <f t="shared" si="5"/>
        <v/>
      </c>
      <c r="L91" s="93" t="str">
        <f t="shared" si="8"/>
        <v/>
      </c>
      <c r="M91" s="93" t="str">
        <f t="shared" si="6"/>
        <v/>
      </c>
      <c r="N91" s="154">
        <f t="shared" si="7"/>
        <v>0</v>
      </c>
      <c r="O91" s="93">
        <f t="shared" si="9"/>
        <v>0</v>
      </c>
    </row>
    <row r="92" spans="1:15" x14ac:dyDescent="0.3">
      <c r="A92" s="39" t="s">
        <v>131</v>
      </c>
      <c r="B92" s="39" t="s">
        <v>89</v>
      </c>
      <c r="C92" s="39" t="s">
        <v>139</v>
      </c>
      <c r="D92" s="39" t="s">
        <v>257</v>
      </c>
      <c r="E92" s="39" t="s">
        <v>258</v>
      </c>
      <c r="F92" s="37">
        <v>0</v>
      </c>
      <c r="G92" s="37">
        <v>0</v>
      </c>
      <c r="H92" s="37">
        <v>0</v>
      </c>
      <c r="I92" s="367">
        <v>118.66800000000001</v>
      </c>
      <c r="K92" s="93" t="str">
        <f t="shared" si="5"/>
        <v/>
      </c>
      <c r="L92" s="93" t="str">
        <f t="shared" si="8"/>
        <v/>
      </c>
      <c r="M92" s="93" t="str">
        <f t="shared" si="6"/>
        <v/>
      </c>
      <c r="N92" s="154">
        <f t="shared" si="7"/>
        <v>0</v>
      </c>
      <c r="O92" s="93">
        <f t="shared" si="9"/>
        <v>0</v>
      </c>
    </row>
    <row r="93" spans="1:15" x14ac:dyDescent="0.3">
      <c r="A93" s="39" t="s">
        <v>131</v>
      </c>
      <c r="B93" s="39" t="s">
        <v>89</v>
      </c>
      <c r="C93" s="39" t="s">
        <v>139</v>
      </c>
      <c r="D93" s="39" t="s">
        <v>259</v>
      </c>
      <c r="E93" s="39" t="s">
        <v>260</v>
      </c>
      <c r="F93" s="37">
        <v>0</v>
      </c>
      <c r="G93" s="37">
        <v>0</v>
      </c>
      <c r="H93" s="37">
        <v>0</v>
      </c>
      <c r="I93" s="367">
        <v>114.48439999999999</v>
      </c>
      <c r="K93" s="93" t="str">
        <f t="shared" si="5"/>
        <v/>
      </c>
      <c r="L93" s="93" t="str">
        <f t="shared" si="8"/>
        <v/>
      </c>
      <c r="M93" s="93" t="str">
        <f t="shared" si="6"/>
        <v/>
      </c>
      <c r="N93" s="154">
        <f t="shared" si="7"/>
        <v>0</v>
      </c>
      <c r="O93" s="93">
        <f t="shared" si="9"/>
        <v>0</v>
      </c>
    </row>
    <row r="94" spans="1:15" x14ac:dyDescent="0.3">
      <c r="A94" s="39" t="s">
        <v>131</v>
      </c>
      <c r="B94" s="39" t="s">
        <v>89</v>
      </c>
      <c r="C94" s="39" t="s">
        <v>139</v>
      </c>
      <c r="D94" s="39" t="s">
        <v>261</v>
      </c>
      <c r="E94" s="39" t="s">
        <v>262</v>
      </c>
      <c r="F94" s="37">
        <v>0</v>
      </c>
      <c r="G94" s="37">
        <v>0</v>
      </c>
      <c r="H94" s="37">
        <v>0</v>
      </c>
      <c r="I94" s="367">
        <v>105.6992</v>
      </c>
      <c r="K94" s="93" t="str">
        <f t="shared" si="5"/>
        <v/>
      </c>
      <c r="L94" s="93" t="str">
        <f t="shared" si="8"/>
        <v/>
      </c>
      <c r="M94" s="93" t="str">
        <f t="shared" si="6"/>
        <v/>
      </c>
      <c r="N94" s="154">
        <f t="shared" si="7"/>
        <v>0</v>
      </c>
      <c r="O94" s="93">
        <f t="shared" si="9"/>
        <v>0</v>
      </c>
    </row>
    <row r="95" spans="1:15" x14ac:dyDescent="0.3">
      <c r="A95" s="39" t="s">
        <v>131</v>
      </c>
      <c r="B95" s="39" t="s">
        <v>89</v>
      </c>
      <c r="C95" s="39" t="s">
        <v>139</v>
      </c>
      <c r="D95" s="39" t="s">
        <v>62</v>
      </c>
      <c r="E95" s="39" t="s">
        <v>63</v>
      </c>
      <c r="F95" s="37">
        <v>199000</v>
      </c>
      <c r="G95" s="37">
        <v>208080.69003999999</v>
      </c>
      <c r="H95" s="37">
        <v>177.73602</v>
      </c>
      <c r="I95" s="367">
        <v>104.3047</v>
      </c>
      <c r="K95" s="93" t="str">
        <f t="shared" si="5"/>
        <v>GOVT</v>
      </c>
      <c r="L95" s="93" t="str">
        <f t="shared" si="8"/>
        <v>BKINV1USD_10Y_GOVT</v>
      </c>
      <c r="M95" s="93" t="str">
        <f t="shared" si="6"/>
        <v/>
      </c>
      <c r="N95" s="154">
        <f t="shared" si="7"/>
        <v>-115449.14247516418</v>
      </c>
      <c r="O95" s="93">
        <f t="shared" si="9"/>
        <v>177.73602</v>
      </c>
    </row>
    <row r="96" spans="1:15" x14ac:dyDescent="0.3">
      <c r="A96" s="39" t="s">
        <v>131</v>
      </c>
      <c r="B96" s="39" t="s">
        <v>89</v>
      </c>
      <c r="C96" s="39" t="s">
        <v>139</v>
      </c>
      <c r="D96" s="39" t="s">
        <v>64</v>
      </c>
      <c r="E96" s="39" t="s">
        <v>65</v>
      </c>
      <c r="F96" s="37">
        <v>211000</v>
      </c>
      <c r="G96" s="37">
        <v>221043.06672999999</v>
      </c>
      <c r="H96" s="37">
        <v>192.43432000000001</v>
      </c>
      <c r="I96" s="367">
        <v>104.0039</v>
      </c>
      <c r="K96" s="93" t="str">
        <f t="shared" si="5"/>
        <v>GOVT</v>
      </c>
      <c r="L96" s="93" t="str">
        <f t="shared" si="8"/>
        <v>BKINV1USD_10Y_GOVT</v>
      </c>
      <c r="M96" s="93" t="str">
        <f t="shared" si="6"/>
        <v/>
      </c>
      <c r="N96" s="154">
        <f t="shared" si="7"/>
        <v>-122410.89981034995</v>
      </c>
      <c r="O96" s="93">
        <f t="shared" si="9"/>
        <v>192.43432000000001</v>
      </c>
    </row>
    <row r="97" spans="1:15" x14ac:dyDescent="0.3">
      <c r="A97" s="39" t="s">
        <v>131</v>
      </c>
      <c r="B97" s="39" t="s">
        <v>89</v>
      </c>
      <c r="C97" s="39" t="s">
        <v>139</v>
      </c>
      <c r="D97" s="39" t="s">
        <v>857</v>
      </c>
      <c r="E97" s="39" t="s">
        <v>858</v>
      </c>
      <c r="F97" s="37">
        <v>213000</v>
      </c>
      <c r="G97" s="37">
        <v>216626.30941999998</v>
      </c>
      <c r="H97" s="37">
        <v>195.77554000000001</v>
      </c>
      <c r="I97" s="367">
        <v>101.4766</v>
      </c>
      <c r="K97" s="93" t="str">
        <f t="shared" si="5"/>
        <v>GOVT</v>
      </c>
      <c r="L97" s="93" t="str">
        <f t="shared" si="8"/>
        <v>BKINV1USD_10Y_GOVT</v>
      </c>
      <c r="M97" s="93" t="str">
        <f t="shared" si="6"/>
        <v/>
      </c>
      <c r="N97" s="154">
        <f t="shared" si="7"/>
        <v>-123571.19269954758</v>
      </c>
      <c r="O97" s="93">
        <f t="shared" si="9"/>
        <v>195.77554000000001</v>
      </c>
    </row>
    <row r="98" spans="1:15" x14ac:dyDescent="0.3">
      <c r="A98" s="39" t="s">
        <v>23</v>
      </c>
      <c r="B98" s="39" t="s">
        <v>22</v>
      </c>
      <c r="D98" s="39" t="s">
        <v>132</v>
      </c>
      <c r="E98" s="39" t="s">
        <v>132</v>
      </c>
      <c r="F98" s="37">
        <v>243771.55953999999</v>
      </c>
      <c r="G98" s="37">
        <v>328695.70464999997</v>
      </c>
      <c r="H98" s="37">
        <v>0</v>
      </c>
      <c r="K98" s="93" t="str">
        <f t="shared" si="5"/>
        <v>DEPO</v>
      </c>
      <c r="L98" s="93" t="str">
        <f t="shared" si="8"/>
        <v>RESINV1USD_O/N_REPO</v>
      </c>
      <c r="M98" s="93" t="str">
        <f t="shared" si="6"/>
        <v/>
      </c>
      <c r="N98" s="154">
        <f t="shared" si="7"/>
        <v>243771.55953999999</v>
      </c>
      <c r="O98" s="93">
        <f t="shared" si="9"/>
        <v>0</v>
      </c>
    </row>
    <row r="99" spans="1:15" x14ac:dyDescent="0.3">
      <c r="A99" s="39" t="s">
        <v>23</v>
      </c>
      <c r="B99" s="39" t="s">
        <v>22</v>
      </c>
      <c r="D99" s="39" t="s">
        <v>263</v>
      </c>
      <c r="E99" s="39" t="s">
        <v>264</v>
      </c>
      <c r="F99" s="37">
        <v>0</v>
      </c>
      <c r="G99" s="37">
        <v>0</v>
      </c>
      <c r="H99" s="37">
        <v>0</v>
      </c>
      <c r="K99" s="93" t="str">
        <f t="shared" si="5"/>
        <v/>
      </c>
      <c r="L99" s="93" t="str">
        <f t="shared" si="8"/>
        <v/>
      </c>
      <c r="M99" s="93" t="str">
        <f t="shared" si="6"/>
        <v/>
      </c>
      <c r="N99" s="154">
        <f t="shared" si="7"/>
        <v>0</v>
      </c>
      <c r="O99" s="93">
        <f t="shared" si="9"/>
        <v>0</v>
      </c>
    </row>
    <row r="100" spans="1:15" x14ac:dyDescent="0.3">
      <c r="A100" s="39" t="s">
        <v>23</v>
      </c>
      <c r="B100" s="39" t="s">
        <v>22</v>
      </c>
      <c r="D100" s="39" t="s">
        <v>265</v>
      </c>
      <c r="E100" s="39" t="s">
        <v>264</v>
      </c>
      <c r="F100" s="37">
        <v>0</v>
      </c>
      <c r="G100" s="37">
        <v>0</v>
      </c>
      <c r="H100" s="37">
        <v>0</v>
      </c>
      <c r="K100" s="93" t="str">
        <f t="shared" si="5"/>
        <v/>
      </c>
      <c r="L100" s="93" t="str">
        <f t="shared" si="8"/>
        <v/>
      </c>
      <c r="M100" s="93" t="str">
        <f t="shared" si="6"/>
        <v/>
      </c>
      <c r="N100" s="154">
        <f t="shared" si="7"/>
        <v>0</v>
      </c>
      <c r="O100" s="93">
        <f t="shared" si="9"/>
        <v>0</v>
      </c>
    </row>
    <row r="101" spans="1:15" x14ac:dyDescent="0.3">
      <c r="A101" s="39" t="s">
        <v>23</v>
      </c>
      <c r="B101" s="39" t="s">
        <v>22</v>
      </c>
      <c r="C101" s="39" t="s">
        <v>266</v>
      </c>
      <c r="D101" s="39" t="s">
        <v>267</v>
      </c>
      <c r="E101" s="39" t="s">
        <v>267</v>
      </c>
      <c r="F101" s="37">
        <v>0</v>
      </c>
      <c r="G101" s="37">
        <v>0</v>
      </c>
      <c r="H101" s="37">
        <v>0</v>
      </c>
      <c r="K101" s="93" t="str">
        <f t="shared" si="5"/>
        <v/>
      </c>
      <c r="L101" s="93" t="str">
        <f t="shared" si="8"/>
        <v/>
      </c>
      <c r="M101" s="93" t="str">
        <f t="shared" si="6"/>
        <v/>
      </c>
      <c r="N101" s="154">
        <f t="shared" si="7"/>
        <v>0</v>
      </c>
      <c r="O101" s="93">
        <f t="shared" si="9"/>
        <v>0</v>
      </c>
    </row>
    <row r="102" spans="1:15" x14ac:dyDescent="0.3">
      <c r="A102" s="39" t="s">
        <v>23</v>
      </c>
      <c r="B102" s="39" t="s">
        <v>22</v>
      </c>
      <c r="C102" s="39" t="s">
        <v>266</v>
      </c>
      <c r="D102" s="39" t="s">
        <v>913</v>
      </c>
      <c r="E102" s="39" t="s">
        <v>267</v>
      </c>
      <c r="F102" s="37">
        <v>0</v>
      </c>
      <c r="G102" s="37">
        <v>0</v>
      </c>
      <c r="H102" s="37">
        <v>0</v>
      </c>
      <c r="K102" s="93" t="str">
        <f t="shared" si="5"/>
        <v/>
      </c>
      <c r="L102" s="93" t="str">
        <f t="shared" si="8"/>
        <v/>
      </c>
      <c r="M102" s="93" t="str">
        <f t="shared" si="6"/>
        <v/>
      </c>
      <c r="N102" s="154">
        <f t="shared" si="7"/>
        <v>0</v>
      </c>
      <c r="O102" s="93">
        <f t="shared" si="9"/>
        <v>0</v>
      </c>
    </row>
    <row r="103" spans="1:15" x14ac:dyDescent="0.3">
      <c r="A103" s="39" t="s">
        <v>23</v>
      </c>
      <c r="B103" s="39" t="s">
        <v>22</v>
      </c>
      <c r="C103" s="39" t="s">
        <v>266</v>
      </c>
      <c r="D103" s="39" t="s">
        <v>645</v>
      </c>
      <c r="E103" s="39" t="s">
        <v>267</v>
      </c>
      <c r="F103" s="37">
        <v>0</v>
      </c>
      <c r="G103" s="37">
        <v>0</v>
      </c>
      <c r="H103" s="37">
        <v>0</v>
      </c>
      <c r="K103" s="93" t="str">
        <f t="shared" si="5"/>
        <v/>
      </c>
      <c r="L103" s="93" t="str">
        <f t="shared" si="8"/>
        <v/>
      </c>
      <c r="M103" s="93" t="str">
        <f t="shared" si="6"/>
        <v/>
      </c>
      <c r="N103" s="154">
        <f t="shared" si="7"/>
        <v>0</v>
      </c>
      <c r="O103" s="93">
        <f t="shared" si="9"/>
        <v>0</v>
      </c>
    </row>
    <row r="104" spans="1:15" x14ac:dyDescent="0.3">
      <c r="A104" s="39" t="s">
        <v>23</v>
      </c>
      <c r="B104" s="39" t="s">
        <v>22</v>
      </c>
      <c r="C104" s="39" t="s">
        <v>266</v>
      </c>
      <c r="D104" s="39" t="s">
        <v>745</v>
      </c>
      <c r="E104" s="39" t="s">
        <v>267</v>
      </c>
      <c r="F104" s="37">
        <v>0</v>
      </c>
      <c r="G104" s="37">
        <v>0</v>
      </c>
      <c r="H104" s="37">
        <v>0</v>
      </c>
      <c r="K104" s="93" t="str">
        <f t="shared" si="5"/>
        <v/>
      </c>
      <c r="L104" s="93" t="str">
        <f t="shared" si="8"/>
        <v/>
      </c>
      <c r="M104" s="93" t="str">
        <f t="shared" si="6"/>
        <v/>
      </c>
      <c r="N104" s="154">
        <f t="shared" si="7"/>
        <v>0</v>
      </c>
      <c r="O104" s="93">
        <f t="shared" si="9"/>
        <v>0</v>
      </c>
    </row>
    <row r="105" spans="1:15" x14ac:dyDescent="0.3">
      <c r="A105" s="39" t="s">
        <v>23</v>
      </c>
      <c r="B105" s="39" t="s">
        <v>22</v>
      </c>
      <c r="C105" s="39" t="s">
        <v>266</v>
      </c>
      <c r="D105" s="39" t="s">
        <v>70</v>
      </c>
      <c r="E105" s="39" t="s">
        <v>267</v>
      </c>
      <c r="F105" s="37">
        <v>0</v>
      </c>
      <c r="G105" s="37">
        <v>0</v>
      </c>
      <c r="H105" s="37">
        <v>0</v>
      </c>
      <c r="K105" s="93" t="str">
        <f t="shared" si="5"/>
        <v/>
      </c>
      <c r="L105" s="93" t="str">
        <f t="shared" si="8"/>
        <v/>
      </c>
      <c r="M105" s="93" t="str">
        <f t="shared" si="6"/>
        <v/>
      </c>
      <c r="N105" s="154">
        <f t="shared" si="7"/>
        <v>0</v>
      </c>
      <c r="O105" s="93">
        <f t="shared" si="9"/>
        <v>0</v>
      </c>
    </row>
    <row r="106" spans="1:15" x14ac:dyDescent="0.3">
      <c r="A106" s="39" t="s">
        <v>23</v>
      </c>
      <c r="B106" s="39" t="s">
        <v>22</v>
      </c>
      <c r="C106" s="39" t="s">
        <v>266</v>
      </c>
      <c r="D106" s="39" t="s">
        <v>49</v>
      </c>
      <c r="E106" s="39" t="s">
        <v>267</v>
      </c>
      <c r="F106" s="37">
        <v>0</v>
      </c>
      <c r="G106" s="37">
        <v>0</v>
      </c>
      <c r="H106" s="37">
        <v>0</v>
      </c>
      <c r="K106" s="93" t="str">
        <f t="shared" si="5"/>
        <v/>
      </c>
      <c r="L106" s="93" t="str">
        <f t="shared" si="8"/>
        <v/>
      </c>
      <c r="M106" s="93" t="str">
        <f t="shared" si="6"/>
        <v/>
      </c>
      <c r="N106" s="154">
        <f t="shared" si="7"/>
        <v>0</v>
      </c>
      <c r="O106" s="93">
        <f t="shared" si="9"/>
        <v>0</v>
      </c>
    </row>
    <row r="107" spans="1:15" x14ac:dyDescent="0.3">
      <c r="A107" s="39" t="s">
        <v>23</v>
      </c>
      <c r="B107" s="39" t="s">
        <v>22</v>
      </c>
      <c r="C107" s="39" t="s">
        <v>266</v>
      </c>
      <c r="D107" s="39" t="s">
        <v>193</v>
      </c>
      <c r="E107" s="39" t="s">
        <v>267</v>
      </c>
      <c r="F107" s="37">
        <v>0</v>
      </c>
      <c r="G107" s="37">
        <v>0</v>
      </c>
      <c r="H107" s="37">
        <v>0</v>
      </c>
      <c r="K107" s="93" t="str">
        <f t="shared" si="5"/>
        <v/>
      </c>
      <c r="L107" s="93" t="str">
        <f t="shared" si="8"/>
        <v/>
      </c>
      <c r="M107" s="93" t="str">
        <f t="shared" si="6"/>
        <v/>
      </c>
      <c r="N107" s="154">
        <f t="shared" si="7"/>
        <v>0</v>
      </c>
      <c r="O107" s="93">
        <f t="shared" si="9"/>
        <v>0</v>
      </c>
    </row>
    <row r="108" spans="1:15" x14ac:dyDescent="0.3">
      <c r="A108" s="39" t="s">
        <v>23</v>
      </c>
      <c r="B108" s="39" t="s">
        <v>22</v>
      </c>
      <c r="C108" s="39" t="s">
        <v>266</v>
      </c>
      <c r="D108" s="39" t="s">
        <v>51</v>
      </c>
      <c r="E108" s="39" t="s">
        <v>267</v>
      </c>
      <c r="F108" s="37">
        <v>0</v>
      </c>
      <c r="G108" s="37">
        <v>0</v>
      </c>
      <c r="H108" s="37">
        <v>0</v>
      </c>
      <c r="K108" s="93" t="str">
        <f t="shared" si="5"/>
        <v/>
      </c>
      <c r="L108" s="93" t="str">
        <f t="shared" si="8"/>
        <v/>
      </c>
      <c r="M108" s="93" t="str">
        <f t="shared" si="6"/>
        <v/>
      </c>
      <c r="N108" s="154">
        <f t="shared" si="7"/>
        <v>0</v>
      </c>
      <c r="O108" s="93">
        <f t="shared" si="9"/>
        <v>0</v>
      </c>
    </row>
    <row r="109" spans="1:15" x14ac:dyDescent="0.3">
      <c r="A109" s="39" t="s">
        <v>23</v>
      </c>
      <c r="B109" s="39" t="s">
        <v>22</v>
      </c>
      <c r="C109" s="39" t="s">
        <v>266</v>
      </c>
      <c r="D109" s="39" t="s">
        <v>53</v>
      </c>
      <c r="E109" s="39" t="s">
        <v>267</v>
      </c>
      <c r="F109" s="37">
        <v>0</v>
      </c>
      <c r="G109" s="37">
        <v>0</v>
      </c>
      <c r="H109" s="37">
        <v>0</v>
      </c>
      <c r="K109" s="93" t="str">
        <f t="shared" si="5"/>
        <v/>
      </c>
      <c r="L109" s="93" t="str">
        <f t="shared" si="8"/>
        <v/>
      </c>
      <c r="M109" s="93" t="str">
        <f t="shared" si="6"/>
        <v/>
      </c>
      <c r="N109" s="154">
        <f t="shared" si="7"/>
        <v>0</v>
      </c>
      <c r="O109" s="93">
        <f t="shared" si="9"/>
        <v>0</v>
      </c>
    </row>
    <row r="110" spans="1:15" x14ac:dyDescent="0.3">
      <c r="A110" s="39" t="s">
        <v>23</v>
      </c>
      <c r="B110" s="39" t="s">
        <v>22</v>
      </c>
      <c r="C110" s="39" t="s">
        <v>266</v>
      </c>
      <c r="D110" s="39" t="s">
        <v>55</v>
      </c>
      <c r="E110" s="39" t="s">
        <v>267</v>
      </c>
      <c r="F110" s="37">
        <v>0</v>
      </c>
      <c r="G110" s="37">
        <v>0</v>
      </c>
      <c r="H110" s="37">
        <v>0</v>
      </c>
      <c r="K110" s="93" t="str">
        <f t="shared" si="5"/>
        <v/>
      </c>
      <c r="L110" s="93" t="str">
        <f t="shared" si="8"/>
        <v/>
      </c>
      <c r="M110" s="93" t="str">
        <f t="shared" si="6"/>
        <v/>
      </c>
      <c r="N110" s="154">
        <f t="shared" si="7"/>
        <v>0</v>
      </c>
      <c r="O110" s="93">
        <f t="shared" si="9"/>
        <v>0</v>
      </c>
    </row>
    <row r="111" spans="1:15" x14ac:dyDescent="0.3">
      <c r="A111" s="39" t="s">
        <v>23</v>
      </c>
      <c r="B111" s="39" t="s">
        <v>22</v>
      </c>
      <c r="C111" s="39" t="s">
        <v>266</v>
      </c>
      <c r="D111" s="39" t="s">
        <v>857</v>
      </c>
      <c r="E111" s="39" t="s">
        <v>267</v>
      </c>
      <c r="F111" s="37">
        <v>0</v>
      </c>
      <c r="G111" s="37">
        <v>0</v>
      </c>
      <c r="H111" s="37">
        <v>0</v>
      </c>
      <c r="K111" s="93" t="str">
        <f t="shared" si="5"/>
        <v/>
      </c>
      <c r="L111" s="93" t="str">
        <f t="shared" si="8"/>
        <v/>
      </c>
      <c r="M111" s="93" t="str">
        <f t="shared" si="6"/>
        <v/>
      </c>
      <c r="N111" s="154">
        <f t="shared" si="7"/>
        <v>0</v>
      </c>
      <c r="O111" s="93">
        <f t="shared" si="9"/>
        <v>0</v>
      </c>
    </row>
    <row r="112" spans="1:15" x14ac:dyDescent="0.3">
      <c r="A112" s="39" t="s">
        <v>23</v>
      </c>
      <c r="B112" s="39" t="s">
        <v>97</v>
      </c>
      <c r="D112" s="39" t="s">
        <v>268</v>
      </c>
      <c r="E112" s="39" t="s">
        <v>268</v>
      </c>
      <c r="F112" s="37">
        <v>0</v>
      </c>
      <c r="G112" s="37">
        <v>719291.16735999996</v>
      </c>
      <c r="H112" s="37">
        <v>0</v>
      </c>
      <c r="K112" s="93" t="str">
        <f t="shared" si="5"/>
        <v>FX-SWAP</v>
      </c>
      <c r="L112" s="93" t="str">
        <f t="shared" si="8"/>
        <v>RESINV1USD_O/N_FX-SWAP</v>
      </c>
      <c r="M112" s="93" t="str">
        <f t="shared" si="6"/>
        <v/>
      </c>
      <c r="N112" s="154">
        <f t="shared" si="7"/>
        <v>0</v>
      </c>
      <c r="O112" s="93">
        <f t="shared" si="9"/>
        <v>0</v>
      </c>
    </row>
    <row r="113" spans="1:15" x14ac:dyDescent="0.3">
      <c r="A113" s="39" t="s">
        <v>23</v>
      </c>
      <c r="B113" s="39" t="s">
        <v>97</v>
      </c>
      <c r="D113" s="39" t="s">
        <v>952</v>
      </c>
      <c r="E113" s="39" t="s">
        <v>952</v>
      </c>
      <c r="F113" s="37">
        <v>0</v>
      </c>
      <c r="G113" s="37">
        <v>0</v>
      </c>
      <c r="H113" s="37">
        <v>0</v>
      </c>
      <c r="K113" s="93" t="str">
        <f t="shared" si="5"/>
        <v/>
      </c>
      <c r="L113" s="93" t="str">
        <f t="shared" si="8"/>
        <v/>
      </c>
      <c r="M113" s="93" t="str">
        <f t="shared" si="6"/>
        <v/>
      </c>
      <c r="N113" s="154">
        <f t="shared" si="7"/>
        <v>0</v>
      </c>
      <c r="O113" s="93">
        <f t="shared" si="9"/>
        <v>0</v>
      </c>
    </row>
    <row r="114" spans="1:15" x14ac:dyDescent="0.3">
      <c r="A114" s="39" t="s">
        <v>23</v>
      </c>
      <c r="B114" s="39" t="s">
        <v>97</v>
      </c>
      <c r="C114" s="39" t="s">
        <v>139</v>
      </c>
      <c r="D114" s="39" t="s">
        <v>273</v>
      </c>
      <c r="E114" s="39" t="s">
        <v>274</v>
      </c>
      <c r="F114" s="37">
        <v>135000</v>
      </c>
      <c r="G114" s="37">
        <v>142252.99004</v>
      </c>
      <c r="H114" s="37">
        <v>0.11692</v>
      </c>
      <c r="K114" s="93" t="str">
        <f t="shared" si="5"/>
        <v>EURO</v>
      </c>
      <c r="L114" s="93" t="str">
        <f t="shared" si="8"/>
        <v>RESINV1USD_O/N_EURO</v>
      </c>
      <c r="M114" s="93" t="str">
        <f t="shared" si="6"/>
        <v>ICO</v>
      </c>
      <c r="N114" s="154">
        <f t="shared" si="7"/>
        <v>135000</v>
      </c>
      <c r="O114" s="93">
        <f t="shared" si="9"/>
        <v>0.11692</v>
      </c>
    </row>
    <row r="115" spans="1:15" x14ac:dyDescent="0.3">
      <c r="A115" s="39" t="s">
        <v>23</v>
      </c>
      <c r="B115" s="39" t="s">
        <v>97</v>
      </c>
      <c r="C115" s="39" t="s">
        <v>266</v>
      </c>
      <c r="D115" s="39" t="s">
        <v>267</v>
      </c>
      <c r="E115" s="39" t="s">
        <v>267</v>
      </c>
      <c r="F115" s="37">
        <v>-1045010.2</v>
      </c>
      <c r="G115" s="37">
        <v>-1045096.60165</v>
      </c>
      <c r="H115" s="37">
        <v>-0.76094000000000006</v>
      </c>
      <c r="K115" s="93" t="str">
        <f t="shared" si="5"/>
        <v>REPO</v>
      </c>
      <c r="L115" s="93" t="str">
        <f t="shared" si="8"/>
        <v>RESINV1USD_O/N_REPO</v>
      </c>
      <c r="M115" s="93" t="str">
        <f t="shared" si="6"/>
        <v/>
      </c>
      <c r="N115" s="154">
        <f t="shared" si="7"/>
        <v>-1045010.2</v>
      </c>
      <c r="O115" s="93">
        <f t="shared" si="9"/>
        <v>-0.76094000000000006</v>
      </c>
    </row>
    <row r="116" spans="1:15" x14ac:dyDescent="0.3">
      <c r="A116" s="39" t="s">
        <v>23</v>
      </c>
      <c r="B116" s="39" t="s">
        <v>97</v>
      </c>
      <c r="C116" s="39" t="s">
        <v>266</v>
      </c>
      <c r="D116" s="39" t="s">
        <v>913</v>
      </c>
      <c r="E116" s="39" t="s">
        <v>267</v>
      </c>
      <c r="F116" s="37">
        <v>0</v>
      </c>
      <c r="G116" s="37">
        <v>0</v>
      </c>
      <c r="H116" s="37">
        <v>0</v>
      </c>
      <c r="K116" s="93" t="str">
        <f t="shared" si="5"/>
        <v/>
      </c>
      <c r="L116" s="93" t="str">
        <f t="shared" si="8"/>
        <v/>
      </c>
      <c r="M116" s="93" t="str">
        <f t="shared" si="6"/>
        <v/>
      </c>
      <c r="N116" s="154">
        <f t="shared" si="7"/>
        <v>0</v>
      </c>
      <c r="O116" s="93">
        <f t="shared" si="9"/>
        <v>0</v>
      </c>
    </row>
    <row r="117" spans="1:15" x14ac:dyDescent="0.3">
      <c r="A117" s="39" t="s">
        <v>23</v>
      </c>
      <c r="B117" s="39" t="s">
        <v>97</v>
      </c>
      <c r="C117" s="39" t="s">
        <v>266</v>
      </c>
      <c r="D117" s="39" t="s">
        <v>645</v>
      </c>
      <c r="E117" s="39" t="s">
        <v>267</v>
      </c>
      <c r="F117" s="37">
        <v>0</v>
      </c>
      <c r="G117" s="37">
        <v>0</v>
      </c>
      <c r="H117" s="37">
        <v>0</v>
      </c>
      <c r="K117" s="93" t="str">
        <f t="shared" si="5"/>
        <v/>
      </c>
      <c r="L117" s="93" t="str">
        <f t="shared" si="8"/>
        <v/>
      </c>
      <c r="M117" s="93" t="str">
        <f t="shared" si="6"/>
        <v/>
      </c>
      <c r="N117" s="154">
        <f t="shared" si="7"/>
        <v>0</v>
      </c>
      <c r="O117" s="93">
        <f t="shared" si="9"/>
        <v>0</v>
      </c>
    </row>
    <row r="118" spans="1:15" x14ac:dyDescent="0.3">
      <c r="A118" s="39" t="s">
        <v>23</v>
      </c>
      <c r="B118" s="39" t="s">
        <v>97</v>
      </c>
      <c r="C118" s="39" t="s">
        <v>266</v>
      </c>
      <c r="D118" s="39" t="s">
        <v>857</v>
      </c>
      <c r="E118" s="39" t="s">
        <v>267</v>
      </c>
      <c r="F118" s="37">
        <v>0</v>
      </c>
      <c r="G118" s="37">
        <v>0</v>
      </c>
      <c r="H118" s="37">
        <v>0</v>
      </c>
      <c r="K118" s="93" t="str">
        <f t="shared" si="5"/>
        <v/>
      </c>
      <c r="L118" s="93" t="str">
        <f t="shared" si="8"/>
        <v/>
      </c>
      <c r="M118" s="93" t="str">
        <f t="shared" si="6"/>
        <v/>
      </c>
      <c r="N118" s="154">
        <f t="shared" si="7"/>
        <v>0</v>
      </c>
      <c r="O118" s="93">
        <f t="shared" si="9"/>
        <v>0</v>
      </c>
    </row>
    <row r="119" spans="1:15" x14ac:dyDescent="0.3">
      <c r="A119" s="39" t="s">
        <v>23</v>
      </c>
      <c r="B119" s="39" t="s">
        <v>138</v>
      </c>
      <c r="C119" s="39" t="s">
        <v>136</v>
      </c>
      <c r="D119" s="39" t="s">
        <v>137</v>
      </c>
      <c r="E119" s="39" t="s">
        <v>137</v>
      </c>
      <c r="F119" s="37">
        <v>400000</v>
      </c>
      <c r="G119" s="37">
        <v>400833.02613999997</v>
      </c>
      <c r="H119" s="37">
        <v>0.44536000000000003</v>
      </c>
      <c r="K119" s="93" t="str">
        <f t="shared" si="5"/>
        <v>DEPO</v>
      </c>
      <c r="L119" s="93" t="str">
        <f t="shared" si="8"/>
        <v>RESINV1USD_T/N_DEPO</v>
      </c>
      <c r="M119" s="93" t="str">
        <f t="shared" si="6"/>
        <v/>
      </c>
      <c r="N119" s="154">
        <f t="shared" si="7"/>
        <v>400000</v>
      </c>
      <c r="O119" s="93">
        <f t="shared" si="9"/>
        <v>0.44536000000000003</v>
      </c>
    </row>
    <row r="120" spans="1:15" x14ac:dyDescent="0.3">
      <c r="A120" s="39" t="s">
        <v>23</v>
      </c>
      <c r="B120" s="39" t="s">
        <v>77</v>
      </c>
      <c r="C120" s="39" t="s">
        <v>266</v>
      </c>
      <c r="D120" s="39" t="s">
        <v>267</v>
      </c>
      <c r="E120" s="39" t="s">
        <v>267</v>
      </c>
      <c r="F120" s="37">
        <v>-1184826</v>
      </c>
      <c r="G120" s="37">
        <v>-1184926.35818</v>
      </c>
      <c r="H120" s="37">
        <v>-2.165</v>
      </c>
      <c r="K120" s="93" t="str">
        <f t="shared" si="5"/>
        <v>REPO</v>
      </c>
      <c r="L120" s="93" t="str">
        <f t="shared" si="8"/>
        <v>RESINV1USD_1W_REPO</v>
      </c>
      <c r="M120" s="93" t="str">
        <f t="shared" si="6"/>
        <v/>
      </c>
      <c r="N120" s="154">
        <f t="shared" si="7"/>
        <v>-1184826</v>
      </c>
      <c r="O120" s="93">
        <f t="shared" si="9"/>
        <v>-2.165</v>
      </c>
    </row>
    <row r="121" spans="1:15" x14ac:dyDescent="0.3">
      <c r="A121" s="39" t="s">
        <v>23</v>
      </c>
      <c r="B121" s="39" t="s">
        <v>77</v>
      </c>
      <c r="C121" s="39" t="s">
        <v>266</v>
      </c>
      <c r="D121" s="39" t="s">
        <v>51</v>
      </c>
      <c r="E121" s="39" t="s">
        <v>267</v>
      </c>
      <c r="F121" s="37">
        <v>0</v>
      </c>
      <c r="G121" s="37">
        <v>0</v>
      </c>
      <c r="H121" s="37">
        <v>0</v>
      </c>
      <c r="K121" s="93" t="str">
        <f t="shared" si="5"/>
        <v/>
      </c>
      <c r="L121" s="93" t="str">
        <f t="shared" si="8"/>
        <v/>
      </c>
      <c r="M121" s="93" t="str">
        <f t="shared" si="6"/>
        <v/>
      </c>
      <c r="N121" s="154">
        <f t="shared" si="7"/>
        <v>0</v>
      </c>
      <c r="O121" s="93">
        <f t="shared" si="9"/>
        <v>0</v>
      </c>
    </row>
    <row r="122" spans="1:15" x14ac:dyDescent="0.3">
      <c r="A122" s="39" t="s">
        <v>23</v>
      </c>
      <c r="B122" s="39" t="s">
        <v>77</v>
      </c>
      <c r="C122" s="39" t="s">
        <v>266</v>
      </c>
      <c r="D122" s="39" t="s">
        <v>53</v>
      </c>
      <c r="E122" s="39" t="s">
        <v>267</v>
      </c>
      <c r="F122" s="37">
        <v>0</v>
      </c>
      <c r="G122" s="37">
        <v>0</v>
      </c>
      <c r="H122" s="37">
        <v>0</v>
      </c>
      <c r="K122" s="93" t="str">
        <f t="shared" si="5"/>
        <v/>
      </c>
      <c r="L122" s="93" t="str">
        <f t="shared" si="8"/>
        <v/>
      </c>
      <c r="M122" s="93" t="str">
        <f t="shared" si="6"/>
        <v/>
      </c>
      <c r="N122" s="154">
        <f t="shared" si="7"/>
        <v>0</v>
      </c>
      <c r="O122" s="93">
        <f t="shared" si="9"/>
        <v>0</v>
      </c>
    </row>
    <row r="123" spans="1:15" x14ac:dyDescent="0.3">
      <c r="A123" s="39" t="s">
        <v>23</v>
      </c>
      <c r="B123" s="39" t="s">
        <v>17</v>
      </c>
      <c r="D123" s="39" t="s">
        <v>268</v>
      </c>
      <c r="E123" s="39" t="s">
        <v>268</v>
      </c>
      <c r="F123" s="37">
        <v>0</v>
      </c>
      <c r="G123" s="37">
        <v>450467.85674999998</v>
      </c>
      <c r="H123" s="37">
        <v>1.6044100000000001</v>
      </c>
      <c r="K123" s="93" t="str">
        <f t="shared" si="5"/>
        <v>FX-SWAP</v>
      </c>
      <c r="L123" s="93" t="str">
        <f t="shared" si="8"/>
        <v>RESINV1USD_2W_FX-SWAP</v>
      </c>
      <c r="M123" s="93" t="str">
        <f t="shared" si="6"/>
        <v/>
      </c>
      <c r="N123" s="154">
        <f t="shared" si="7"/>
        <v>0</v>
      </c>
      <c r="O123" s="93">
        <f t="shared" si="9"/>
        <v>1.6044100000000001</v>
      </c>
    </row>
    <row r="124" spans="1:15" x14ac:dyDescent="0.3">
      <c r="A124" s="39" t="s">
        <v>23</v>
      </c>
      <c r="B124" s="39" t="s">
        <v>17</v>
      </c>
      <c r="C124" s="39" t="s">
        <v>133</v>
      </c>
      <c r="D124" s="39" t="s">
        <v>269</v>
      </c>
      <c r="E124" s="39" t="s">
        <v>270</v>
      </c>
      <c r="F124" s="37">
        <v>150000</v>
      </c>
      <c r="G124" s="37">
        <v>149986.51136</v>
      </c>
      <c r="H124" s="37">
        <v>0.58325000000000005</v>
      </c>
      <c r="K124" s="93" t="str">
        <f t="shared" si="5"/>
        <v>EURO</v>
      </c>
      <c r="L124" s="93" t="str">
        <f t="shared" si="8"/>
        <v>RESINV1USD_2W_EURO</v>
      </c>
      <c r="M124" s="93" t="str">
        <f t="shared" si="6"/>
        <v>NAT</v>
      </c>
      <c r="N124" s="154">
        <f t="shared" si="7"/>
        <v>150000</v>
      </c>
      <c r="O124" s="93">
        <f t="shared" si="9"/>
        <v>0.58325000000000005</v>
      </c>
    </row>
    <row r="125" spans="1:15" x14ac:dyDescent="0.3">
      <c r="A125" s="39" t="s">
        <v>23</v>
      </c>
      <c r="B125" s="39" t="s">
        <v>17</v>
      </c>
      <c r="C125" s="39" t="s">
        <v>266</v>
      </c>
      <c r="D125" s="39" t="s">
        <v>267</v>
      </c>
      <c r="E125" s="39" t="s">
        <v>267</v>
      </c>
      <c r="F125" s="37">
        <v>-2586125</v>
      </c>
      <c r="G125" s="37">
        <v>-2586436.2260199999</v>
      </c>
      <c r="H125" s="37">
        <v>-7.88239</v>
      </c>
      <c r="K125" s="93" t="str">
        <f t="shared" si="5"/>
        <v>REPO</v>
      </c>
      <c r="L125" s="93" t="str">
        <f t="shared" si="8"/>
        <v>RESINV1USD_2W_REPO</v>
      </c>
      <c r="M125" s="93" t="str">
        <f t="shared" si="6"/>
        <v/>
      </c>
      <c r="N125" s="154">
        <f t="shared" si="7"/>
        <v>-2586125</v>
      </c>
      <c r="O125" s="93">
        <f t="shared" si="9"/>
        <v>-7.88239</v>
      </c>
    </row>
    <row r="126" spans="1:15" x14ac:dyDescent="0.3">
      <c r="A126" s="39" t="s">
        <v>23</v>
      </c>
      <c r="B126" s="39" t="s">
        <v>17</v>
      </c>
      <c r="C126" s="39" t="s">
        <v>266</v>
      </c>
      <c r="D126" s="39" t="s">
        <v>645</v>
      </c>
      <c r="E126" s="39" t="s">
        <v>267</v>
      </c>
      <c r="F126" s="37">
        <v>0</v>
      </c>
      <c r="G126" s="37">
        <v>0</v>
      </c>
      <c r="H126" s="37">
        <v>0</v>
      </c>
      <c r="K126" s="93" t="str">
        <f t="shared" si="5"/>
        <v/>
      </c>
      <c r="L126" s="93" t="str">
        <f t="shared" si="8"/>
        <v/>
      </c>
      <c r="M126" s="93" t="str">
        <f t="shared" si="6"/>
        <v/>
      </c>
      <c r="N126" s="154">
        <f t="shared" si="7"/>
        <v>0</v>
      </c>
      <c r="O126" s="93">
        <f t="shared" si="9"/>
        <v>0</v>
      </c>
    </row>
    <row r="127" spans="1:15" x14ac:dyDescent="0.3">
      <c r="A127" s="39" t="s">
        <v>23</v>
      </c>
      <c r="B127" s="39" t="s">
        <v>17</v>
      </c>
      <c r="C127" s="39" t="s">
        <v>266</v>
      </c>
      <c r="D127" s="39" t="s">
        <v>49</v>
      </c>
      <c r="E127" s="39" t="s">
        <v>267</v>
      </c>
      <c r="F127" s="37">
        <v>0</v>
      </c>
      <c r="G127" s="37">
        <v>0</v>
      </c>
      <c r="H127" s="37">
        <v>0</v>
      </c>
      <c r="K127" s="93" t="str">
        <f t="shared" si="5"/>
        <v/>
      </c>
      <c r="L127" s="93" t="str">
        <f t="shared" si="8"/>
        <v/>
      </c>
      <c r="M127" s="93" t="str">
        <f t="shared" si="6"/>
        <v/>
      </c>
      <c r="N127" s="154">
        <f t="shared" si="7"/>
        <v>0</v>
      </c>
      <c r="O127" s="93">
        <f t="shared" si="9"/>
        <v>0</v>
      </c>
    </row>
    <row r="128" spans="1:15" x14ac:dyDescent="0.3">
      <c r="A128" s="39" t="s">
        <v>23</v>
      </c>
      <c r="B128" s="39" t="s">
        <v>17</v>
      </c>
      <c r="C128" s="39" t="s">
        <v>266</v>
      </c>
      <c r="D128" s="39" t="s">
        <v>193</v>
      </c>
      <c r="E128" s="39" t="s">
        <v>267</v>
      </c>
      <c r="F128" s="37">
        <v>0</v>
      </c>
      <c r="G128" s="37">
        <v>0</v>
      </c>
      <c r="H128" s="37">
        <v>0</v>
      </c>
      <c r="K128" s="93" t="str">
        <f t="shared" si="5"/>
        <v/>
      </c>
      <c r="L128" s="93" t="str">
        <f t="shared" si="8"/>
        <v/>
      </c>
      <c r="M128" s="93" t="str">
        <f t="shared" si="6"/>
        <v/>
      </c>
      <c r="N128" s="154">
        <f t="shared" si="7"/>
        <v>0</v>
      </c>
      <c r="O128" s="93">
        <f t="shared" si="9"/>
        <v>0</v>
      </c>
    </row>
    <row r="129" spans="1:15" x14ac:dyDescent="0.3">
      <c r="A129" s="39" t="s">
        <v>23</v>
      </c>
      <c r="B129" s="39" t="s">
        <v>17</v>
      </c>
      <c r="C129" s="39" t="s">
        <v>266</v>
      </c>
      <c r="D129" s="39" t="s">
        <v>55</v>
      </c>
      <c r="E129" s="39" t="s">
        <v>267</v>
      </c>
      <c r="F129" s="37">
        <v>0</v>
      </c>
      <c r="G129" s="37">
        <v>0</v>
      </c>
      <c r="H129" s="37">
        <v>0</v>
      </c>
      <c r="K129" s="93" t="str">
        <f t="shared" si="5"/>
        <v/>
      </c>
      <c r="L129" s="93" t="str">
        <f t="shared" si="8"/>
        <v/>
      </c>
      <c r="M129" s="93" t="str">
        <f t="shared" si="6"/>
        <v/>
      </c>
      <c r="N129" s="154">
        <f t="shared" si="7"/>
        <v>0</v>
      </c>
      <c r="O129" s="93">
        <f t="shared" si="9"/>
        <v>0</v>
      </c>
    </row>
    <row r="130" spans="1:15" x14ac:dyDescent="0.3">
      <c r="A130" s="39" t="s">
        <v>23</v>
      </c>
      <c r="B130" s="39" t="s">
        <v>140</v>
      </c>
      <c r="D130" s="39" t="s">
        <v>268</v>
      </c>
      <c r="E130" s="39" t="s">
        <v>268</v>
      </c>
      <c r="F130" s="37">
        <v>0</v>
      </c>
      <c r="G130" s="37">
        <v>399945.52218000003</v>
      </c>
      <c r="H130" s="37">
        <v>2.2462900000000001</v>
      </c>
      <c r="K130" s="93" t="str">
        <f t="shared" ref="K130:K143" si="10">IF(G130=0,"",IF(C130="REPO","REPO",IF(C130="BONDFUT","BONDFUT",IF(C130="DEPOFUT","DEPOFUT",IF(C130="IRSWAP","IRSWAP",IF(D130="FX-SWAP","FX-SWAP",IF(OR(C130="BOND",C130="BILL"),IF(OR(LEFT(D130,4)="UST2",LEFT(D130,4)="USB2"),"GOVT",IF(LEFT(D130,7)&lt;&gt;"USCPCADES","EURO","DEPO")),"DEPO")))))))</f>
        <v>FX-SWAP</v>
      </c>
      <c r="L130" s="93" t="str">
        <f t="shared" si="8"/>
        <v>RESINV1USD_3W_FX-SWAP</v>
      </c>
      <c r="M130" s="93" t="str">
        <f t="shared" ref="M130:M132" si="11">IF(K130&lt;&gt;"EURO","",IF(LEFT(D130,4)="USCP",MID(D130,5,SEARCH("2",D130)-5),MID(D130,3,SEARCH("2",D130)-3)))</f>
        <v/>
      </c>
      <c r="N130" s="154">
        <f t="shared" ref="N130:N193" si="12">IF(A130="","",IF(A130="BKINV1USD",-F130*ratioPV,F130))</f>
        <v>0</v>
      </c>
      <c r="O130" s="93">
        <f t="shared" si="9"/>
        <v>2.2462900000000001</v>
      </c>
    </row>
    <row r="131" spans="1:15" x14ac:dyDescent="0.3">
      <c r="A131" s="39" t="s">
        <v>23</v>
      </c>
      <c r="B131" s="39" t="s">
        <v>140</v>
      </c>
      <c r="C131" s="39" t="s">
        <v>133</v>
      </c>
      <c r="D131" s="39" t="s">
        <v>271</v>
      </c>
      <c r="E131" s="39" t="s">
        <v>272</v>
      </c>
      <c r="F131" s="37">
        <v>200000</v>
      </c>
      <c r="G131" s="37">
        <v>199976.76613</v>
      </c>
      <c r="H131" s="37">
        <v>0.99980999999999998</v>
      </c>
      <c r="K131" s="93" t="str">
        <f t="shared" si="10"/>
        <v>EURO</v>
      </c>
      <c r="L131" s="93" t="str">
        <f t="shared" ref="L131:L194" si="13">IF(G131=0,"",IF(B131="Balance",CONCATENATE(A131 &amp; "_O/N_REPO"),IF(K131="",CONCATENATE(A131 &amp; "_" &amp; B131 &amp; "_" &amp; C131),CONCATENATE(A131 &amp; "_" &amp; B131 &amp; "_" &amp; K131))))</f>
        <v>RESINV1USD_3W_EURO</v>
      </c>
      <c r="M131" s="93" t="str">
        <f t="shared" si="11"/>
        <v>NAT</v>
      </c>
      <c r="N131" s="154">
        <f t="shared" si="12"/>
        <v>200000</v>
      </c>
      <c r="O131" s="93">
        <f t="shared" ref="O131:O194" si="14">H131</f>
        <v>0.99980999999999998</v>
      </c>
    </row>
    <row r="132" spans="1:15" x14ac:dyDescent="0.3">
      <c r="A132" s="39" t="s">
        <v>23</v>
      </c>
      <c r="B132" s="39" t="s">
        <v>140</v>
      </c>
      <c r="C132" s="39" t="s">
        <v>133</v>
      </c>
      <c r="D132" s="39" t="s">
        <v>276</v>
      </c>
      <c r="E132" s="39" t="s">
        <v>277</v>
      </c>
      <c r="F132" s="37">
        <v>150000</v>
      </c>
      <c r="G132" s="37">
        <v>149981.5644</v>
      </c>
      <c r="H132" s="37">
        <v>0.79150999999999994</v>
      </c>
      <c r="K132" s="93" t="str">
        <f t="shared" si="10"/>
        <v>EURO</v>
      </c>
      <c r="L132" s="93" t="str">
        <f t="shared" si="13"/>
        <v>RESINV1USD_3W_EURO</v>
      </c>
      <c r="M132" s="93" t="str">
        <f t="shared" si="11"/>
        <v>NAT</v>
      </c>
      <c r="N132" s="154">
        <f t="shared" si="12"/>
        <v>150000</v>
      </c>
      <c r="O132" s="93">
        <f t="shared" si="14"/>
        <v>0.79150999999999994</v>
      </c>
    </row>
    <row r="133" spans="1:15" x14ac:dyDescent="0.3">
      <c r="A133" s="39" t="s">
        <v>23</v>
      </c>
      <c r="B133" s="39" t="s">
        <v>140</v>
      </c>
      <c r="C133" s="39" t="s">
        <v>133</v>
      </c>
      <c r="D133" s="39" t="s">
        <v>278</v>
      </c>
      <c r="E133" s="39" t="s">
        <v>279</v>
      </c>
      <c r="F133" s="37">
        <v>150000</v>
      </c>
      <c r="G133" s="37">
        <v>149980.54380000001</v>
      </c>
      <c r="H133" s="37">
        <v>0.83314999999999995</v>
      </c>
      <c r="K133" s="93" t="str">
        <f t="shared" si="10"/>
        <v>EURO</v>
      </c>
      <c r="L133" s="93" t="str">
        <f t="shared" si="13"/>
        <v>RESINV1USD_3W_EURO</v>
      </c>
      <c r="M133" s="93" t="str">
        <f>IF(K133&lt;&gt;"EURO","",IF(LEFT(D133,4)="USCP",MID(D133,5,SEARCH("2",D133)-5),MID(D133,3,SEARCH("2",D133)-3)))</f>
        <v>NAT</v>
      </c>
      <c r="N133" s="154">
        <f t="shared" si="12"/>
        <v>150000</v>
      </c>
      <c r="O133" s="93">
        <f t="shared" si="14"/>
        <v>0.83314999999999995</v>
      </c>
    </row>
    <row r="134" spans="1:15" x14ac:dyDescent="0.3">
      <c r="A134" s="39" t="s">
        <v>23</v>
      </c>
      <c r="B134" s="39" t="s">
        <v>140</v>
      </c>
      <c r="C134" s="39" t="s">
        <v>133</v>
      </c>
      <c r="D134" s="39" t="s">
        <v>280</v>
      </c>
      <c r="E134" s="39" t="s">
        <v>281</v>
      </c>
      <c r="F134" s="37">
        <v>100000</v>
      </c>
      <c r="G134" s="37">
        <v>99992.013630000001</v>
      </c>
      <c r="H134" s="37">
        <v>0.58325000000000005</v>
      </c>
      <c r="K134" s="93" t="str">
        <f t="shared" si="10"/>
        <v>EURO</v>
      </c>
      <c r="L134" s="93" t="str">
        <f t="shared" si="13"/>
        <v>RESINV1USD_3W_EURO</v>
      </c>
      <c r="M134" s="93" t="str">
        <f t="shared" ref="M134:M197" si="15">IF(K134&lt;&gt;"EURO","",IF(LEFT(D134,4)="USCP",MID(D134,5,SEARCH("2",D134)-5),MID(D134,3,SEARCH("2",D134)-3)))</f>
        <v>CADES</v>
      </c>
      <c r="N134" s="154">
        <f t="shared" si="12"/>
        <v>100000</v>
      </c>
      <c r="O134" s="93">
        <f t="shared" si="14"/>
        <v>0.58325000000000005</v>
      </c>
    </row>
    <row r="135" spans="1:15" x14ac:dyDescent="0.3">
      <c r="A135" s="39" t="s">
        <v>23</v>
      </c>
      <c r="B135" s="39" t="s">
        <v>140</v>
      </c>
      <c r="C135" s="39" t="s">
        <v>136</v>
      </c>
      <c r="D135" s="39" t="s">
        <v>137</v>
      </c>
      <c r="E135" s="39" t="s">
        <v>137</v>
      </c>
      <c r="F135" s="37">
        <v>175000</v>
      </c>
      <c r="G135" s="37">
        <v>175336.32500000001</v>
      </c>
      <c r="H135" s="37">
        <v>0.87661999999999995</v>
      </c>
      <c r="K135" s="93" t="str">
        <f t="shared" si="10"/>
        <v>DEPO</v>
      </c>
      <c r="L135" s="93" t="str">
        <f t="shared" si="13"/>
        <v>RESINV1USD_3W_DEPO</v>
      </c>
      <c r="M135" s="93" t="str">
        <f t="shared" si="15"/>
        <v/>
      </c>
      <c r="N135" s="154">
        <f t="shared" si="12"/>
        <v>175000</v>
      </c>
      <c r="O135" s="93">
        <f t="shared" si="14"/>
        <v>0.87661999999999995</v>
      </c>
    </row>
    <row r="136" spans="1:15" x14ac:dyDescent="0.3">
      <c r="A136" s="39" t="s">
        <v>23</v>
      </c>
      <c r="B136" s="39" t="s">
        <v>140</v>
      </c>
      <c r="C136" s="39" t="s">
        <v>266</v>
      </c>
      <c r="D136" s="39" t="s">
        <v>267</v>
      </c>
      <c r="E136" s="39" t="s">
        <v>267</v>
      </c>
      <c r="F136" s="37">
        <v>-682046.5</v>
      </c>
      <c r="G136" s="37">
        <v>-682123.36242999998</v>
      </c>
      <c r="H136" s="37">
        <v>-3.22079</v>
      </c>
      <c r="K136" s="93" t="str">
        <f t="shared" si="10"/>
        <v>REPO</v>
      </c>
      <c r="L136" s="93" t="str">
        <f t="shared" si="13"/>
        <v>RESINV1USD_3W_REPO</v>
      </c>
      <c r="M136" s="93" t="str">
        <f t="shared" si="15"/>
        <v/>
      </c>
      <c r="N136" s="154">
        <f t="shared" si="12"/>
        <v>-682046.5</v>
      </c>
      <c r="O136" s="93">
        <f t="shared" si="14"/>
        <v>-3.22079</v>
      </c>
    </row>
    <row r="137" spans="1:15" x14ac:dyDescent="0.3">
      <c r="A137" s="39" t="s">
        <v>23</v>
      </c>
      <c r="B137" s="39" t="s">
        <v>140</v>
      </c>
      <c r="C137" s="39" t="s">
        <v>266</v>
      </c>
      <c r="D137" s="39" t="s">
        <v>745</v>
      </c>
      <c r="E137" s="39" t="s">
        <v>267</v>
      </c>
      <c r="F137" s="37">
        <v>0</v>
      </c>
      <c r="G137" s="37">
        <v>0</v>
      </c>
      <c r="H137" s="37">
        <v>0</v>
      </c>
      <c r="K137" s="93" t="str">
        <f t="shared" si="10"/>
        <v/>
      </c>
      <c r="L137" s="93" t="str">
        <f t="shared" si="13"/>
        <v/>
      </c>
      <c r="M137" s="93" t="str">
        <f t="shared" si="15"/>
        <v/>
      </c>
      <c r="N137" s="154">
        <f t="shared" si="12"/>
        <v>0</v>
      </c>
      <c r="O137" s="93">
        <f t="shared" si="14"/>
        <v>0</v>
      </c>
    </row>
    <row r="138" spans="1:15" x14ac:dyDescent="0.3">
      <c r="A138" s="39" t="s">
        <v>23</v>
      </c>
      <c r="B138" s="39" t="s">
        <v>140</v>
      </c>
      <c r="C138" s="39" t="s">
        <v>266</v>
      </c>
      <c r="D138" s="39" t="s">
        <v>70</v>
      </c>
      <c r="E138" s="39" t="s">
        <v>267</v>
      </c>
      <c r="F138" s="37">
        <v>0</v>
      </c>
      <c r="G138" s="37">
        <v>0</v>
      </c>
      <c r="H138" s="37">
        <v>0</v>
      </c>
      <c r="K138" s="93" t="str">
        <f t="shared" si="10"/>
        <v/>
      </c>
      <c r="L138" s="93" t="str">
        <f t="shared" si="13"/>
        <v/>
      </c>
      <c r="M138" s="93" t="str">
        <f t="shared" si="15"/>
        <v/>
      </c>
      <c r="N138" s="154">
        <f t="shared" si="12"/>
        <v>0</v>
      </c>
      <c r="O138" s="93">
        <f t="shared" si="14"/>
        <v>0</v>
      </c>
    </row>
    <row r="139" spans="1:15" x14ac:dyDescent="0.3">
      <c r="A139" s="39" t="s">
        <v>23</v>
      </c>
      <c r="B139" s="39" t="s">
        <v>78</v>
      </c>
      <c r="D139" s="39" t="s">
        <v>268</v>
      </c>
      <c r="E139" s="39" t="s">
        <v>268</v>
      </c>
      <c r="F139" s="37">
        <v>0</v>
      </c>
      <c r="G139" s="37">
        <v>1963350.8664500001</v>
      </c>
      <c r="H139" s="37">
        <v>13.649229999999999</v>
      </c>
      <c r="K139" s="93" t="str">
        <f t="shared" si="10"/>
        <v>FX-SWAP</v>
      </c>
      <c r="L139" s="93" t="str">
        <f t="shared" si="13"/>
        <v>RESINV1USD_1M_FX-SWAP</v>
      </c>
      <c r="M139" s="93" t="str">
        <f t="shared" si="15"/>
        <v/>
      </c>
      <c r="N139" s="154">
        <f t="shared" si="12"/>
        <v>0</v>
      </c>
      <c r="O139" s="93">
        <f t="shared" si="14"/>
        <v>13.649229999999999</v>
      </c>
    </row>
    <row r="140" spans="1:15" x14ac:dyDescent="0.3">
      <c r="A140" s="39" t="s">
        <v>23</v>
      </c>
      <c r="B140" s="39" t="s">
        <v>78</v>
      </c>
      <c r="C140" s="39" t="s">
        <v>133</v>
      </c>
      <c r="D140" s="39" t="s">
        <v>604</v>
      </c>
      <c r="E140" s="39" t="s">
        <v>605</v>
      </c>
      <c r="F140" s="37">
        <v>250000</v>
      </c>
      <c r="G140" s="37">
        <v>249958.80802</v>
      </c>
      <c r="H140" s="37">
        <v>1.7356199999999999</v>
      </c>
      <c r="K140" s="93" t="str">
        <f t="shared" si="10"/>
        <v>EURO</v>
      </c>
      <c r="L140" s="93" t="str">
        <f t="shared" si="13"/>
        <v>RESINV1USD_1M_EURO</v>
      </c>
      <c r="M140" s="93" t="str">
        <f t="shared" si="15"/>
        <v>NAT</v>
      </c>
      <c r="N140" s="154">
        <f t="shared" si="12"/>
        <v>250000</v>
      </c>
      <c r="O140" s="93">
        <f t="shared" si="14"/>
        <v>1.7356199999999999</v>
      </c>
    </row>
    <row r="141" spans="1:15" x14ac:dyDescent="0.3">
      <c r="A141" s="39" t="s">
        <v>23</v>
      </c>
      <c r="B141" s="39" t="s">
        <v>78</v>
      </c>
      <c r="C141" s="39" t="s">
        <v>139</v>
      </c>
      <c r="D141" s="39" t="s">
        <v>282</v>
      </c>
      <c r="E141" s="39" t="s">
        <v>283</v>
      </c>
      <c r="F141" s="37">
        <v>192000</v>
      </c>
      <c r="G141" s="37">
        <v>193513.28237999999</v>
      </c>
      <c r="H141" s="37">
        <v>1.26769</v>
      </c>
      <c r="I141" s="367">
        <v>100.05249999999999</v>
      </c>
      <c r="K141" s="93" t="str">
        <f t="shared" si="10"/>
        <v>EURO</v>
      </c>
      <c r="L141" s="93" t="str">
        <f t="shared" si="13"/>
        <v>RESINV1USD_1M_EURO</v>
      </c>
      <c r="M141" s="93" t="str">
        <f t="shared" si="15"/>
        <v>CFF</v>
      </c>
      <c r="N141" s="154">
        <f t="shared" si="12"/>
        <v>192000</v>
      </c>
      <c r="O141" s="93">
        <f t="shared" si="14"/>
        <v>1.26769</v>
      </c>
    </row>
    <row r="142" spans="1:15" x14ac:dyDescent="0.3">
      <c r="A142" s="39" t="s">
        <v>23</v>
      </c>
      <c r="B142" s="39" t="s">
        <v>18</v>
      </c>
      <c r="D142" s="39" t="s">
        <v>268</v>
      </c>
      <c r="E142" s="39" t="s">
        <v>268</v>
      </c>
      <c r="F142" s="37">
        <v>0</v>
      </c>
      <c r="G142" s="37">
        <v>787502.29821000004</v>
      </c>
      <c r="H142" s="37">
        <v>19.98237</v>
      </c>
      <c r="K142" s="93" t="str">
        <f t="shared" si="10"/>
        <v>FX-SWAP</v>
      </c>
      <c r="L142" s="93" t="str">
        <f t="shared" si="13"/>
        <v>RESINV1USD_3M_FX-SWAP</v>
      </c>
      <c r="M142" s="93" t="str">
        <f t="shared" si="15"/>
        <v/>
      </c>
      <c r="N142" s="154">
        <f t="shared" si="12"/>
        <v>0</v>
      </c>
      <c r="O142" s="93">
        <f t="shared" si="14"/>
        <v>19.98237</v>
      </c>
    </row>
    <row r="143" spans="1:15" x14ac:dyDescent="0.3">
      <c r="A143" s="39" t="s">
        <v>23</v>
      </c>
      <c r="B143" s="39" t="s">
        <v>18</v>
      </c>
      <c r="C143" s="39" t="s">
        <v>139</v>
      </c>
      <c r="D143" s="39" t="s">
        <v>284</v>
      </c>
      <c r="E143" s="39" t="s">
        <v>285</v>
      </c>
      <c r="F143" s="37">
        <v>50000</v>
      </c>
      <c r="G143" s="37">
        <v>52658.112860000001</v>
      </c>
      <c r="H143" s="37">
        <v>0.96389000000000002</v>
      </c>
      <c r="I143" s="367">
        <v>100.8265</v>
      </c>
      <c r="K143" s="93" t="str">
        <f t="shared" si="10"/>
        <v>EURO</v>
      </c>
      <c r="L143" s="93" t="str">
        <f t="shared" si="13"/>
        <v>RESINV1USD_3M_EURO</v>
      </c>
      <c r="M143" s="93" t="str">
        <f t="shared" si="15"/>
        <v>NEDWBK</v>
      </c>
      <c r="N143" s="154">
        <f t="shared" si="12"/>
        <v>50000</v>
      </c>
      <c r="O143" s="93">
        <f t="shared" si="14"/>
        <v>0.96389000000000002</v>
      </c>
    </row>
    <row r="144" spans="1:15" x14ac:dyDescent="0.3">
      <c r="A144" s="39" t="s">
        <v>23</v>
      </c>
      <c r="B144" s="39" t="s">
        <v>18</v>
      </c>
      <c r="C144" s="39" t="s">
        <v>139</v>
      </c>
      <c r="D144" s="39" t="s">
        <v>286</v>
      </c>
      <c r="E144" s="39" t="s">
        <v>287</v>
      </c>
      <c r="F144" s="37">
        <v>45000</v>
      </c>
      <c r="G144" s="37">
        <v>45502.111280000005</v>
      </c>
      <c r="H144" s="37">
        <v>0.95871000000000006</v>
      </c>
      <c r="I144" s="367">
        <v>99.52</v>
      </c>
      <c r="K144" s="93" t="str">
        <f>IF(G144=0,"",IF(C144="REPO","REPO",IF(C144="BONDFUT","BONDFUT",IF(C144="DEPOFUT","DEPOFUT",IF(C144="IRSWAP","IRSWAP",IF(D144="FX-SWAP","FX-SWAP",IF(OR(C144="BOND",C144="BILL"),IF(OR(LEFT(D144,4)="UST2",LEFT(D144,4)="USB2"),"GOVT",IF(LEFT(D144,7)&lt;&gt;"USCPCADES","EURO","DEPO")),"DEPO")))))))</f>
        <v>EURO</v>
      </c>
      <c r="L144" s="93" t="str">
        <f t="shared" si="13"/>
        <v>RESINV1USD_3M_EURO</v>
      </c>
      <c r="M144" s="93" t="str">
        <f t="shared" si="15"/>
        <v>ESG</v>
      </c>
      <c r="N144" s="154">
        <f t="shared" si="12"/>
        <v>45000</v>
      </c>
      <c r="O144" s="93">
        <f t="shared" si="14"/>
        <v>0.95871000000000006</v>
      </c>
    </row>
    <row r="145" spans="1:15" x14ac:dyDescent="0.3">
      <c r="A145" s="39" t="s">
        <v>23</v>
      </c>
      <c r="B145" s="39" t="s">
        <v>18</v>
      </c>
      <c r="C145" s="39" t="s">
        <v>139</v>
      </c>
      <c r="D145" s="39" t="s">
        <v>288</v>
      </c>
      <c r="E145" s="39" t="s">
        <v>289</v>
      </c>
      <c r="F145" s="37">
        <v>75000</v>
      </c>
      <c r="G145" s="37">
        <v>76221.586159999992</v>
      </c>
      <c r="H145" s="37">
        <v>1.6072</v>
      </c>
      <c r="I145" s="367">
        <v>99.632999999999996</v>
      </c>
      <c r="K145" s="93" t="str">
        <f t="shared" ref="K145:K208" si="16">IF(G145=0,"",IF(C145="REPO","REPO",IF(C145="BONDFUT","BONDFUT",IF(C145="DEPOFUT","DEPOFUT",IF(C145="IRSWAP","IRSWAP",IF(D145="FX-SWAP","FX-SWAP",IF(OR(C145="BOND",C145="BILL"),IF(OR(LEFT(D145,4)="UST2",LEFT(D145,4)="USB2"),"GOVT",IF(LEFT(D145,7)&lt;&gt;"USCPCADES","EURO","DEPO")),"DEPO")))))))</f>
        <v>EURO</v>
      </c>
      <c r="L145" s="93" t="str">
        <f t="shared" si="13"/>
        <v>RESINV1USD_3M_EURO</v>
      </c>
      <c r="M145" s="93" t="str">
        <f t="shared" si="15"/>
        <v>ICO</v>
      </c>
      <c r="N145" s="154">
        <f t="shared" si="12"/>
        <v>75000</v>
      </c>
      <c r="O145" s="93">
        <f t="shared" si="14"/>
        <v>1.6072</v>
      </c>
    </row>
    <row r="146" spans="1:15" x14ac:dyDescent="0.3">
      <c r="A146" s="39" t="s">
        <v>23</v>
      </c>
      <c r="B146" s="39" t="s">
        <v>18</v>
      </c>
      <c r="C146" s="39" t="s">
        <v>136</v>
      </c>
      <c r="D146" s="39" t="s">
        <v>137</v>
      </c>
      <c r="E146" s="39" t="s">
        <v>137</v>
      </c>
      <c r="F146" s="37">
        <v>4895000</v>
      </c>
      <c r="G146" s="37">
        <v>4903294.1540900003</v>
      </c>
      <c r="H146" s="37">
        <v>81.712450000000004</v>
      </c>
      <c r="K146" s="93" t="str">
        <f t="shared" si="16"/>
        <v>DEPO</v>
      </c>
      <c r="L146" s="93" t="str">
        <f t="shared" si="13"/>
        <v>RESINV1USD_3M_DEPO</v>
      </c>
      <c r="M146" s="93" t="str">
        <f t="shared" si="15"/>
        <v/>
      </c>
      <c r="N146" s="154">
        <f t="shared" si="12"/>
        <v>4895000</v>
      </c>
      <c r="O146" s="93">
        <f t="shared" si="14"/>
        <v>81.712450000000004</v>
      </c>
    </row>
    <row r="147" spans="1:15" x14ac:dyDescent="0.3">
      <c r="A147" s="39" t="s">
        <v>23</v>
      </c>
      <c r="B147" s="39" t="s">
        <v>19</v>
      </c>
      <c r="C147" s="39" t="s">
        <v>133</v>
      </c>
      <c r="D147" s="39" t="s">
        <v>913</v>
      </c>
      <c r="E147" s="39" t="s">
        <v>914</v>
      </c>
      <c r="F147" s="37">
        <v>414000</v>
      </c>
      <c r="G147" s="37">
        <v>413715.72651000001</v>
      </c>
      <c r="H147" s="37">
        <v>18.399360000000001</v>
      </c>
      <c r="K147" s="93" t="str">
        <f t="shared" si="16"/>
        <v>GOVT</v>
      </c>
      <c r="L147" s="93" t="str">
        <f t="shared" si="13"/>
        <v>RESINV1USD_6M_GOVT</v>
      </c>
      <c r="M147" s="93" t="str">
        <f t="shared" si="15"/>
        <v/>
      </c>
      <c r="N147" s="154">
        <f t="shared" si="12"/>
        <v>414000</v>
      </c>
      <c r="O147" s="93">
        <f t="shared" si="14"/>
        <v>18.399360000000001</v>
      </c>
    </row>
    <row r="148" spans="1:15" x14ac:dyDescent="0.3">
      <c r="A148" s="39" t="s">
        <v>23</v>
      </c>
      <c r="B148" s="39" t="s">
        <v>19</v>
      </c>
      <c r="C148" s="39" t="s">
        <v>133</v>
      </c>
      <c r="D148" s="39" t="s">
        <v>930</v>
      </c>
      <c r="E148" s="39" t="s">
        <v>931</v>
      </c>
      <c r="F148" s="37">
        <v>400000</v>
      </c>
      <c r="G148" s="37">
        <v>399682.45261000004</v>
      </c>
      <c r="H148" s="37">
        <v>20.110400000000002</v>
      </c>
      <c r="K148" s="93" t="str">
        <f t="shared" si="16"/>
        <v>GOVT</v>
      </c>
      <c r="L148" s="93" t="str">
        <f t="shared" si="13"/>
        <v>RESINV1USD_6M_GOVT</v>
      </c>
      <c r="M148" s="93" t="str">
        <f t="shared" si="15"/>
        <v/>
      </c>
      <c r="N148" s="154">
        <f t="shared" si="12"/>
        <v>400000</v>
      </c>
      <c r="O148" s="93">
        <f t="shared" si="14"/>
        <v>20.110400000000002</v>
      </c>
    </row>
    <row r="149" spans="1:15" x14ac:dyDescent="0.3">
      <c r="A149" s="39" t="s">
        <v>23</v>
      </c>
      <c r="B149" s="39" t="s">
        <v>19</v>
      </c>
      <c r="C149" s="39" t="s">
        <v>139</v>
      </c>
      <c r="D149" s="39" t="s">
        <v>290</v>
      </c>
      <c r="E149" s="39" t="s">
        <v>291</v>
      </c>
      <c r="F149" s="37">
        <v>40000</v>
      </c>
      <c r="G149" s="37">
        <v>40160.832990000003</v>
      </c>
      <c r="H149" s="37">
        <v>1.0652900000000001</v>
      </c>
      <c r="I149" s="367">
        <v>99.875</v>
      </c>
      <c r="K149" s="93" t="str">
        <f t="shared" si="16"/>
        <v>EURO</v>
      </c>
      <c r="L149" s="93" t="str">
        <f t="shared" si="13"/>
        <v>RESINV1USD_6M_EURO</v>
      </c>
      <c r="M149" s="93" t="str">
        <f t="shared" si="15"/>
        <v>ITG</v>
      </c>
      <c r="N149" s="154">
        <f t="shared" si="12"/>
        <v>40000</v>
      </c>
      <c r="O149" s="93">
        <f t="shared" si="14"/>
        <v>1.0652900000000001</v>
      </c>
    </row>
    <row r="150" spans="1:15" x14ac:dyDescent="0.3">
      <c r="A150" s="39" t="s">
        <v>23</v>
      </c>
      <c r="B150" s="39" t="s">
        <v>19</v>
      </c>
      <c r="C150" s="39" t="s">
        <v>139</v>
      </c>
      <c r="D150" s="39" t="s">
        <v>292</v>
      </c>
      <c r="E150" s="39" t="s">
        <v>293</v>
      </c>
      <c r="F150" s="37">
        <v>97000</v>
      </c>
      <c r="G150" s="37">
        <v>99163.89314</v>
      </c>
      <c r="H150" s="37">
        <v>2.9545599999999999</v>
      </c>
      <c r="I150" s="367">
        <v>101.1927</v>
      </c>
      <c r="K150" s="93" t="str">
        <f t="shared" si="16"/>
        <v>EURO</v>
      </c>
      <c r="L150" s="93" t="str">
        <f t="shared" si="13"/>
        <v>RESINV1USD_6M_EURO</v>
      </c>
      <c r="M150" s="93" t="str">
        <f t="shared" si="15"/>
        <v>OKB</v>
      </c>
      <c r="N150" s="154">
        <f t="shared" si="12"/>
        <v>97000</v>
      </c>
      <c r="O150" s="93">
        <f t="shared" si="14"/>
        <v>2.9545599999999999</v>
      </c>
    </row>
    <row r="151" spans="1:15" x14ac:dyDescent="0.3">
      <c r="A151" s="39" t="s">
        <v>23</v>
      </c>
      <c r="B151" s="39" t="s">
        <v>19</v>
      </c>
      <c r="C151" s="39" t="s">
        <v>139</v>
      </c>
      <c r="D151" s="39" t="s">
        <v>295</v>
      </c>
      <c r="E151" s="39" t="s">
        <v>296</v>
      </c>
      <c r="F151" s="37">
        <v>99500</v>
      </c>
      <c r="G151" s="37">
        <v>99880.919099999999</v>
      </c>
      <c r="H151" s="37">
        <v>3.9867199999999996</v>
      </c>
      <c r="I151" s="367">
        <v>99.924499999999995</v>
      </c>
      <c r="K151" s="93" t="str">
        <f t="shared" si="16"/>
        <v>EURO</v>
      </c>
      <c r="L151" s="93" t="str">
        <f t="shared" si="13"/>
        <v>RESINV1USD_6M_EURO</v>
      </c>
      <c r="M151" s="93" t="str">
        <f t="shared" si="15"/>
        <v>BNG</v>
      </c>
      <c r="N151" s="154">
        <f t="shared" si="12"/>
        <v>99500</v>
      </c>
      <c r="O151" s="93">
        <f t="shared" si="14"/>
        <v>3.9867199999999996</v>
      </c>
    </row>
    <row r="152" spans="1:15" x14ac:dyDescent="0.3">
      <c r="A152" s="39" t="s">
        <v>23</v>
      </c>
      <c r="B152" s="39" t="s">
        <v>19</v>
      </c>
      <c r="C152" s="39" t="s">
        <v>139</v>
      </c>
      <c r="D152" s="39" t="s">
        <v>297</v>
      </c>
      <c r="E152" s="39" t="s">
        <v>298</v>
      </c>
      <c r="F152" s="37">
        <v>19000</v>
      </c>
      <c r="G152" s="37">
        <v>19019.318870000003</v>
      </c>
      <c r="H152" s="37">
        <v>0.86746000000000001</v>
      </c>
      <c r="I152" s="367">
        <v>99.995000000000005</v>
      </c>
      <c r="K152" s="93" t="str">
        <f t="shared" si="16"/>
        <v>EURO</v>
      </c>
      <c r="L152" s="93" t="str">
        <f t="shared" si="13"/>
        <v>RESINV1USD_6M_EURO</v>
      </c>
      <c r="M152" s="93" t="str">
        <f t="shared" si="15"/>
        <v>WSTP</v>
      </c>
      <c r="N152" s="154">
        <f t="shared" si="12"/>
        <v>19000</v>
      </c>
      <c r="O152" s="93">
        <f t="shared" si="14"/>
        <v>0.86746000000000001</v>
      </c>
    </row>
    <row r="153" spans="1:15" x14ac:dyDescent="0.3">
      <c r="A153" s="39" t="s">
        <v>23</v>
      </c>
      <c r="B153" s="39" t="s">
        <v>19</v>
      </c>
      <c r="C153" s="39" t="s">
        <v>275</v>
      </c>
      <c r="D153" s="39" t="s">
        <v>909</v>
      </c>
      <c r="E153" s="39" t="s">
        <v>909</v>
      </c>
      <c r="F153" s="37">
        <v>0</v>
      </c>
      <c r="G153" s="37">
        <v>-1.32813</v>
      </c>
      <c r="H153" s="37">
        <v>0</v>
      </c>
      <c r="I153" s="367">
        <v>110.10939999999999</v>
      </c>
      <c r="K153" s="93" t="str">
        <f t="shared" si="16"/>
        <v>BONDFUT</v>
      </c>
      <c r="L153" s="93" t="str">
        <f t="shared" si="13"/>
        <v>RESINV1USD_6M_BONDFUT</v>
      </c>
      <c r="M153" s="93" t="str">
        <f t="shared" si="15"/>
        <v/>
      </c>
      <c r="N153" s="154">
        <f t="shared" si="12"/>
        <v>0</v>
      </c>
      <c r="O153" s="93">
        <f t="shared" si="14"/>
        <v>0</v>
      </c>
    </row>
    <row r="154" spans="1:15" x14ac:dyDescent="0.3">
      <c r="A154" s="39" t="s">
        <v>23</v>
      </c>
      <c r="B154" s="39" t="s">
        <v>19</v>
      </c>
      <c r="C154" s="39" t="s">
        <v>136</v>
      </c>
      <c r="D154" s="39" t="s">
        <v>137</v>
      </c>
      <c r="E154" s="39" t="s">
        <v>137</v>
      </c>
      <c r="F154" s="37">
        <v>200000</v>
      </c>
      <c r="G154" s="37">
        <v>200318.56174</v>
      </c>
      <c r="H154" s="37">
        <v>5.2248799999999997</v>
      </c>
      <c r="K154" s="93" t="str">
        <f t="shared" si="16"/>
        <v>DEPO</v>
      </c>
      <c r="L154" s="93" t="str">
        <f t="shared" si="13"/>
        <v>RESINV1USD_6M_DEPO</v>
      </c>
      <c r="M154" s="93" t="str">
        <f t="shared" si="15"/>
        <v/>
      </c>
      <c r="N154" s="154">
        <f t="shared" si="12"/>
        <v>200000</v>
      </c>
      <c r="O154" s="93">
        <f t="shared" si="14"/>
        <v>5.2248799999999997</v>
      </c>
    </row>
    <row r="155" spans="1:15" x14ac:dyDescent="0.3">
      <c r="A155" s="39" t="s">
        <v>23</v>
      </c>
      <c r="B155" s="39" t="s">
        <v>19</v>
      </c>
      <c r="C155" s="39" t="s">
        <v>294</v>
      </c>
      <c r="D155" s="39" t="s">
        <v>301</v>
      </c>
      <c r="E155" s="39" t="s">
        <v>301</v>
      </c>
      <c r="F155" s="37">
        <v>-1249000</v>
      </c>
      <c r="G155" s="37">
        <v>303.17500000000001</v>
      </c>
      <c r="H155" s="37">
        <v>-31.262900000000002</v>
      </c>
      <c r="K155" s="93" t="str">
        <f t="shared" si="16"/>
        <v>DEPOFUT</v>
      </c>
      <c r="L155" s="93" t="str">
        <f t="shared" si="13"/>
        <v>RESINV1USD_6M_DEPOFUT</v>
      </c>
      <c r="M155" s="93" t="str">
        <f t="shared" si="15"/>
        <v/>
      </c>
      <c r="N155" s="154">
        <f t="shared" si="12"/>
        <v>-1249000</v>
      </c>
      <c r="O155" s="93">
        <f t="shared" si="14"/>
        <v>-31.262900000000002</v>
      </c>
    </row>
    <row r="156" spans="1:15" x14ac:dyDescent="0.3">
      <c r="A156" s="39" t="s">
        <v>23</v>
      </c>
      <c r="B156" s="39" t="s">
        <v>175</v>
      </c>
      <c r="D156" s="39" t="s">
        <v>263</v>
      </c>
      <c r="E156" s="39" t="s">
        <v>264</v>
      </c>
      <c r="F156" s="37">
        <v>0</v>
      </c>
      <c r="G156" s="37">
        <v>0</v>
      </c>
      <c r="H156" s="37">
        <v>0</v>
      </c>
      <c r="K156" s="93" t="str">
        <f t="shared" si="16"/>
        <v/>
      </c>
      <c r="L156" s="93" t="str">
        <f t="shared" si="13"/>
        <v/>
      </c>
      <c r="M156" s="93" t="str">
        <f t="shared" si="15"/>
        <v/>
      </c>
      <c r="N156" s="154">
        <f t="shared" si="12"/>
        <v>0</v>
      </c>
      <c r="O156" s="93">
        <f t="shared" si="14"/>
        <v>0</v>
      </c>
    </row>
    <row r="157" spans="1:15" x14ac:dyDescent="0.3">
      <c r="A157" s="39" t="s">
        <v>23</v>
      </c>
      <c r="B157" s="39" t="s">
        <v>175</v>
      </c>
      <c r="C157" s="39" t="s">
        <v>133</v>
      </c>
      <c r="D157" s="39" t="s">
        <v>302</v>
      </c>
      <c r="E157" s="39" t="s">
        <v>303</v>
      </c>
      <c r="F157" s="37">
        <v>50000</v>
      </c>
      <c r="G157" s="37">
        <v>49841.534659999998</v>
      </c>
      <c r="H157" s="37">
        <v>2.8708200000000001</v>
      </c>
      <c r="K157" s="93" t="str">
        <f t="shared" si="16"/>
        <v>EURO</v>
      </c>
      <c r="L157" s="93" t="str">
        <f t="shared" si="13"/>
        <v>RESINV1USD_9M_EURO</v>
      </c>
      <c r="M157" s="93" t="str">
        <f t="shared" si="15"/>
        <v>CADES</v>
      </c>
      <c r="N157" s="154">
        <f t="shared" si="12"/>
        <v>50000</v>
      </c>
      <c r="O157" s="93">
        <f t="shared" si="14"/>
        <v>2.8708200000000001</v>
      </c>
    </row>
    <row r="158" spans="1:15" x14ac:dyDescent="0.3">
      <c r="A158" s="39" t="s">
        <v>23</v>
      </c>
      <c r="B158" s="39" t="s">
        <v>175</v>
      </c>
      <c r="C158" s="39" t="s">
        <v>133</v>
      </c>
      <c r="D158" s="39" t="s">
        <v>304</v>
      </c>
      <c r="E158" s="39" t="s">
        <v>305</v>
      </c>
      <c r="F158" s="37">
        <v>26000</v>
      </c>
      <c r="G158" s="37">
        <v>25915.151949999999</v>
      </c>
      <c r="H158" s="37">
        <v>1.5284200000000001</v>
      </c>
      <c r="K158" s="93" t="str">
        <f t="shared" si="16"/>
        <v>EURO</v>
      </c>
      <c r="L158" s="93" t="str">
        <f t="shared" si="13"/>
        <v>RESINV1USD_9M_EURO</v>
      </c>
      <c r="M158" s="93" t="str">
        <f t="shared" si="15"/>
        <v>CADES</v>
      </c>
      <c r="N158" s="154">
        <f t="shared" si="12"/>
        <v>26000</v>
      </c>
      <c r="O158" s="93">
        <f t="shared" si="14"/>
        <v>1.5284200000000001</v>
      </c>
    </row>
    <row r="159" spans="1:15" x14ac:dyDescent="0.3">
      <c r="A159" s="39" t="s">
        <v>23</v>
      </c>
      <c r="B159" s="39" t="s">
        <v>175</v>
      </c>
      <c r="C159" s="39" t="s">
        <v>133</v>
      </c>
      <c r="D159" s="39" t="s">
        <v>306</v>
      </c>
      <c r="E159" s="39" t="s">
        <v>307</v>
      </c>
      <c r="F159" s="37">
        <v>40000</v>
      </c>
      <c r="G159" s="37">
        <v>39864.142530000005</v>
      </c>
      <c r="H159" s="37">
        <v>2.4280500000000003</v>
      </c>
      <c r="K159" s="93" t="str">
        <f t="shared" si="16"/>
        <v>EURO</v>
      </c>
      <c r="L159" s="93" t="str">
        <f t="shared" si="13"/>
        <v>RESINV1USD_9M_EURO</v>
      </c>
      <c r="M159" s="93" t="str">
        <f t="shared" si="15"/>
        <v>CADES</v>
      </c>
      <c r="N159" s="154">
        <f t="shared" si="12"/>
        <v>40000</v>
      </c>
      <c r="O159" s="93">
        <f t="shared" si="14"/>
        <v>2.4280500000000003</v>
      </c>
    </row>
    <row r="160" spans="1:15" x14ac:dyDescent="0.3">
      <c r="A160" s="39" t="s">
        <v>23</v>
      </c>
      <c r="B160" s="39" t="s">
        <v>175</v>
      </c>
      <c r="C160" s="39" t="s">
        <v>133</v>
      </c>
      <c r="D160" s="39" t="s">
        <v>308</v>
      </c>
      <c r="E160" s="39" t="s">
        <v>309</v>
      </c>
      <c r="F160" s="37">
        <v>150000</v>
      </c>
      <c r="G160" s="37">
        <v>149464.53061000002</v>
      </c>
      <c r="H160" s="37">
        <v>9.47438</v>
      </c>
      <c r="K160" s="93" t="str">
        <f t="shared" si="16"/>
        <v>EURO</v>
      </c>
      <c r="L160" s="93" t="str">
        <f t="shared" si="13"/>
        <v>RESINV1USD_9M_EURO</v>
      </c>
      <c r="M160" s="93" t="str">
        <f t="shared" si="15"/>
        <v>CADES</v>
      </c>
      <c r="N160" s="154">
        <f t="shared" si="12"/>
        <v>150000</v>
      </c>
      <c r="O160" s="93">
        <f t="shared" si="14"/>
        <v>9.47438</v>
      </c>
    </row>
    <row r="161" spans="1:15" x14ac:dyDescent="0.3">
      <c r="A161" s="39" t="s">
        <v>23</v>
      </c>
      <c r="B161" s="39" t="s">
        <v>175</v>
      </c>
      <c r="C161" s="39" t="s">
        <v>133</v>
      </c>
      <c r="D161" s="39" t="s">
        <v>310</v>
      </c>
      <c r="E161" s="39" t="s">
        <v>311</v>
      </c>
      <c r="F161" s="37">
        <v>85000</v>
      </c>
      <c r="G161" s="37">
        <v>84673.209579999995</v>
      </c>
      <c r="H161" s="37">
        <v>5.6938999999999993</v>
      </c>
      <c r="K161" s="93" t="str">
        <f t="shared" si="16"/>
        <v>EURO</v>
      </c>
      <c r="L161" s="93" t="str">
        <f t="shared" si="13"/>
        <v>RESINV1USD_9M_EURO</v>
      </c>
      <c r="M161" s="93" t="str">
        <f t="shared" si="15"/>
        <v>CADES</v>
      </c>
      <c r="N161" s="154">
        <f t="shared" si="12"/>
        <v>85000</v>
      </c>
      <c r="O161" s="93">
        <f t="shared" si="14"/>
        <v>5.6938999999999993</v>
      </c>
    </row>
    <row r="162" spans="1:15" x14ac:dyDescent="0.3">
      <c r="A162" s="39" t="s">
        <v>23</v>
      </c>
      <c r="B162" s="39" t="s">
        <v>175</v>
      </c>
      <c r="C162" s="39" t="s">
        <v>139</v>
      </c>
      <c r="D162" s="39" t="s">
        <v>299</v>
      </c>
      <c r="E162" s="39" t="s">
        <v>300</v>
      </c>
      <c r="F162" s="37">
        <v>39900</v>
      </c>
      <c r="G162" s="37">
        <v>41547.364600000001</v>
      </c>
      <c r="H162" s="37">
        <v>2.1522299999999999</v>
      </c>
      <c r="I162" s="367">
        <v>101.7025</v>
      </c>
      <c r="K162" s="93" t="str">
        <f t="shared" si="16"/>
        <v>EURO</v>
      </c>
      <c r="L162" s="93" t="str">
        <f t="shared" si="13"/>
        <v>RESINV1USD_9M_EURO</v>
      </c>
      <c r="M162" s="93" t="str">
        <f t="shared" si="15"/>
        <v>HESLAN</v>
      </c>
      <c r="N162" s="154">
        <f t="shared" si="12"/>
        <v>39900</v>
      </c>
      <c r="O162" s="93">
        <f t="shared" si="14"/>
        <v>2.1522299999999999</v>
      </c>
    </row>
    <row r="163" spans="1:15" x14ac:dyDescent="0.3">
      <c r="A163" s="39" t="s">
        <v>23</v>
      </c>
      <c r="B163" s="39" t="s">
        <v>175</v>
      </c>
      <c r="C163" s="39" t="s">
        <v>294</v>
      </c>
      <c r="D163" s="39" t="s">
        <v>312</v>
      </c>
      <c r="E163" s="39" t="s">
        <v>312</v>
      </c>
      <c r="F163" s="37">
        <v>-1145000</v>
      </c>
      <c r="G163" s="37">
        <v>299.35000000000002</v>
      </c>
      <c r="H163" s="37">
        <v>-28.66065</v>
      </c>
      <c r="K163" s="93" t="str">
        <f t="shared" si="16"/>
        <v>DEPOFUT</v>
      </c>
      <c r="L163" s="93" t="str">
        <f t="shared" si="13"/>
        <v>RESINV1USD_9M_DEPOFUT</v>
      </c>
      <c r="M163" s="93" t="str">
        <f t="shared" si="15"/>
        <v/>
      </c>
      <c r="N163" s="154">
        <f t="shared" si="12"/>
        <v>-1145000</v>
      </c>
      <c r="O163" s="93">
        <f t="shared" si="14"/>
        <v>-28.66065</v>
      </c>
    </row>
    <row r="164" spans="1:15" x14ac:dyDescent="0.3">
      <c r="A164" s="39" t="s">
        <v>23</v>
      </c>
      <c r="B164" s="39" t="s">
        <v>182</v>
      </c>
      <c r="C164" s="39" t="s">
        <v>133</v>
      </c>
      <c r="D164" s="39" t="s">
        <v>645</v>
      </c>
      <c r="E164" s="39" t="s">
        <v>427</v>
      </c>
      <c r="F164" s="37">
        <v>1000000</v>
      </c>
      <c r="G164" s="37">
        <v>998625.86482000002</v>
      </c>
      <c r="H164" s="37">
        <v>77.497119999999995</v>
      </c>
      <c r="I164" s="367">
        <v>0.17630000000000001</v>
      </c>
      <c r="K164" s="93" t="str">
        <f t="shared" si="16"/>
        <v>GOVT</v>
      </c>
      <c r="L164" s="93" t="str">
        <f t="shared" si="13"/>
        <v>RESINV1USD_1Y_GOVT</v>
      </c>
      <c r="M164" s="93" t="str">
        <f t="shared" si="15"/>
        <v/>
      </c>
      <c r="N164" s="154">
        <f t="shared" si="12"/>
        <v>1000000</v>
      </c>
      <c r="O164" s="93">
        <f t="shared" si="14"/>
        <v>77.497119999999995</v>
      </c>
    </row>
    <row r="165" spans="1:15" x14ac:dyDescent="0.3">
      <c r="A165" s="39" t="s">
        <v>23</v>
      </c>
      <c r="B165" s="39" t="s">
        <v>182</v>
      </c>
      <c r="C165" s="39" t="s">
        <v>133</v>
      </c>
      <c r="D165" s="39" t="s">
        <v>745</v>
      </c>
      <c r="E165" s="39" t="s">
        <v>746</v>
      </c>
      <c r="F165" s="37">
        <v>478000</v>
      </c>
      <c r="G165" s="37">
        <v>477262.50273000001</v>
      </c>
      <c r="H165" s="37">
        <v>40.761249999999997</v>
      </c>
      <c r="I165" s="367">
        <v>0.18</v>
      </c>
      <c r="K165" s="93" t="str">
        <f t="shared" si="16"/>
        <v>GOVT</v>
      </c>
      <c r="L165" s="93" t="str">
        <f t="shared" si="13"/>
        <v>RESINV1USD_1Y_GOVT</v>
      </c>
      <c r="M165" s="93" t="str">
        <f t="shared" si="15"/>
        <v/>
      </c>
      <c r="N165" s="154">
        <f t="shared" si="12"/>
        <v>478000</v>
      </c>
      <c r="O165" s="93">
        <f t="shared" si="14"/>
        <v>40.761249999999997</v>
      </c>
    </row>
    <row r="166" spans="1:15" x14ac:dyDescent="0.3">
      <c r="A166" s="39" t="s">
        <v>23</v>
      </c>
      <c r="B166" s="39" t="s">
        <v>182</v>
      </c>
      <c r="C166" s="39" t="s">
        <v>133</v>
      </c>
      <c r="D166" s="39" t="s">
        <v>917</v>
      </c>
      <c r="E166" s="39" t="s">
        <v>910</v>
      </c>
      <c r="F166" s="37">
        <v>0</v>
      </c>
      <c r="G166" s="37">
        <v>209652.91587</v>
      </c>
      <c r="H166" s="37">
        <v>1.0000000000000001E-5</v>
      </c>
      <c r="K166" s="93" t="str">
        <f t="shared" si="16"/>
        <v>GOVT</v>
      </c>
      <c r="L166" s="93" t="str">
        <f t="shared" si="13"/>
        <v>RESINV1USD_1Y_GOVT</v>
      </c>
      <c r="M166" s="93" t="str">
        <f t="shared" si="15"/>
        <v/>
      </c>
      <c r="N166" s="154">
        <f t="shared" si="12"/>
        <v>0</v>
      </c>
      <c r="O166" s="93">
        <f t="shared" si="14"/>
        <v>1.0000000000000001E-5</v>
      </c>
    </row>
    <row r="167" spans="1:15" x14ac:dyDescent="0.3">
      <c r="A167" s="39" t="s">
        <v>23</v>
      </c>
      <c r="B167" s="39" t="s">
        <v>182</v>
      </c>
      <c r="C167" s="39" t="s">
        <v>133</v>
      </c>
      <c r="D167" s="39" t="s">
        <v>953</v>
      </c>
      <c r="E167" s="39" t="s">
        <v>954</v>
      </c>
      <c r="F167" s="37">
        <v>194000</v>
      </c>
      <c r="G167" s="37">
        <v>-4.4366499999999993</v>
      </c>
      <c r="H167" s="37">
        <v>19.560890000000001</v>
      </c>
      <c r="K167" s="93" t="str">
        <f t="shared" si="16"/>
        <v>GOVT</v>
      </c>
      <c r="L167" s="93" t="str">
        <f t="shared" si="13"/>
        <v>RESINV1USD_1Y_GOVT</v>
      </c>
      <c r="M167" s="93" t="str">
        <f t="shared" si="15"/>
        <v/>
      </c>
      <c r="N167" s="154">
        <f t="shared" si="12"/>
        <v>194000</v>
      </c>
      <c r="O167" s="93">
        <f t="shared" si="14"/>
        <v>19.560890000000001</v>
      </c>
    </row>
    <row r="168" spans="1:15" x14ac:dyDescent="0.3">
      <c r="A168" s="39" t="s">
        <v>23</v>
      </c>
      <c r="B168" s="39" t="s">
        <v>182</v>
      </c>
      <c r="C168" s="39" t="s">
        <v>139</v>
      </c>
      <c r="D168" s="39" t="s">
        <v>317</v>
      </c>
      <c r="E168" s="39" t="s">
        <v>318</v>
      </c>
      <c r="F168" s="37">
        <v>201500</v>
      </c>
      <c r="G168" s="37">
        <v>202551.28650999998</v>
      </c>
      <c r="H168" s="37">
        <v>16.216419999999999</v>
      </c>
      <c r="I168" s="367">
        <v>100.095</v>
      </c>
      <c r="K168" s="93" t="str">
        <f t="shared" si="16"/>
        <v>EURO</v>
      </c>
      <c r="L168" s="93" t="str">
        <f t="shared" si="13"/>
        <v>RESINV1USD_1Y_EURO</v>
      </c>
      <c r="M168" s="93" t="str">
        <f t="shared" si="15"/>
        <v>CFF</v>
      </c>
      <c r="N168" s="154">
        <f t="shared" si="12"/>
        <v>201500</v>
      </c>
      <c r="O168" s="93">
        <f t="shared" si="14"/>
        <v>16.216419999999999</v>
      </c>
    </row>
    <row r="169" spans="1:15" x14ac:dyDescent="0.3">
      <c r="A169" s="39" t="s">
        <v>23</v>
      </c>
      <c r="B169" s="39" t="s">
        <v>182</v>
      </c>
      <c r="C169" s="39" t="s">
        <v>139</v>
      </c>
      <c r="D169" s="39" t="s">
        <v>47</v>
      </c>
      <c r="E169" s="39" t="s">
        <v>48</v>
      </c>
      <c r="F169" s="37">
        <v>252000</v>
      </c>
      <c r="G169" s="37">
        <v>253159.61283000003</v>
      </c>
      <c r="H169" s="37">
        <v>21.09496</v>
      </c>
      <c r="I169" s="367">
        <v>100.35550000000001</v>
      </c>
      <c r="K169" s="93" t="str">
        <f t="shared" si="16"/>
        <v>GOVT</v>
      </c>
      <c r="L169" s="93" t="str">
        <f t="shared" si="13"/>
        <v>RESINV1USD_1Y_GOVT</v>
      </c>
      <c r="M169" s="93" t="str">
        <f t="shared" si="15"/>
        <v/>
      </c>
      <c r="N169" s="154">
        <f t="shared" si="12"/>
        <v>252000</v>
      </c>
      <c r="O169" s="93">
        <f t="shared" si="14"/>
        <v>21.09496</v>
      </c>
    </row>
    <row r="170" spans="1:15" x14ac:dyDescent="0.3">
      <c r="A170" s="39" t="s">
        <v>23</v>
      </c>
      <c r="B170" s="39" t="s">
        <v>182</v>
      </c>
      <c r="C170" s="39" t="s">
        <v>139</v>
      </c>
      <c r="D170" s="39" t="s">
        <v>187</v>
      </c>
      <c r="E170" s="39" t="s">
        <v>188</v>
      </c>
      <c r="F170" s="37">
        <v>456000</v>
      </c>
      <c r="G170" s="37">
        <v>457364.48798999999</v>
      </c>
      <c r="H170" s="37">
        <v>42.000620000000005</v>
      </c>
      <c r="I170" s="367">
        <v>100.2578</v>
      </c>
      <c r="K170" s="93" t="str">
        <f t="shared" si="16"/>
        <v>GOVT</v>
      </c>
      <c r="L170" s="93" t="str">
        <f t="shared" si="13"/>
        <v>RESINV1USD_1Y_GOVT</v>
      </c>
      <c r="M170" s="93" t="str">
        <f t="shared" si="15"/>
        <v/>
      </c>
      <c r="N170" s="154">
        <f t="shared" si="12"/>
        <v>456000</v>
      </c>
      <c r="O170" s="93">
        <f t="shared" si="14"/>
        <v>42.000620000000005</v>
      </c>
    </row>
    <row r="171" spans="1:15" x14ac:dyDescent="0.3">
      <c r="A171" s="39" t="s">
        <v>23</v>
      </c>
      <c r="B171" s="39" t="s">
        <v>182</v>
      </c>
      <c r="C171" s="39" t="s">
        <v>139</v>
      </c>
      <c r="D171" s="39" t="s">
        <v>319</v>
      </c>
      <c r="E171" s="39" t="s">
        <v>320</v>
      </c>
      <c r="F171" s="37">
        <v>10000</v>
      </c>
      <c r="G171" s="37">
        <v>10148.88429</v>
      </c>
      <c r="H171" s="37">
        <v>0.95665999999999995</v>
      </c>
      <c r="I171" s="367">
        <v>101.25</v>
      </c>
      <c r="K171" s="93" t="str">
        <f t="shared" si="16"/>
        <v>EURO</v>
      </c>
      <c r="L171" s="93" t="str">
        <f t="shared" si="13"/>
        <v>RESINV1USD_1Y_EURO</v>
      </c>
      <c r="M171" s="93" t="str">
        <f t="shared" si="15"/>
        <v>ITG</v>
      </c>
      <c r="N171" s="154">
        <f t="shared" si="12"/>
        <v>10000</v>
      </c>
      <c r="O171" s="93">
        <f t="shared" si="14"/>
        <v>0.95665999999999995</v>
      </c>
    </row>
    <row r="172" spans="1:15" x14ac:dyDescent="0.3">
      <c r="A172" s="39" t="s">
        <v>23</v>
      </c>
      <c r="B172" s="39" t="s">
        <v>182</v>
      </c>
      <c r="C172" s="39" t="s">
        <v>139</v>
      </c>
      <c r="D172" s="39" t="s">
        <v>38</v>
      </c>
      <c r="E172" s="39" t="s">
        <v>39</v>
      </c>
      <c r="F172" s="37">
        <v>0</v>
      </c>
      <c r="G172" s="37">
        <v>0</v>
      </c>
      <c r="H172" s="37">
        <v>0</v>
      </c>
      <c r="I172" s="367">
        <v>100.8711</v>
      </c>
      <c r="K172" s="93" t="str">
        <f t="shared" si="16"/>
        <v/>
      </c>
      <c r="L172" s="93" t="str">
        <f t="shared" si="13"/>
        <v/>
      </c>
      <c r="M172" s="93" t="str">
        <f t="shared" si="15"/>
        <v/>
      </c>
      <c r="N172" s="154">
        <f t="shared" si="12"/>
        <v>0</v>
      </c>
      <c r="O172" s="93">
        <f t="shared" si="14"/>
        <v>0</v>
      </c>
    </row>
    <row r="173" spans="1:15" x14ac:dyDescent="0.3">
      <c r="A173" s="39" t="s">
        <v>23</v>
      </c>
      <c r="B173" s="39" t="s">
        <v>182</v>
      </c>
      <c r="C173" s="39" t="s">
        <v>139</v>
      </c>
      <c r="D173" s="39" t="s">
        <v>321</v>
      </c>
      <c r="E173" s="39" t="s">
        <v>322</v>
      </c>
      <c r="F173" s="37">
        <v>15000</v>
      </c>
      <c r="G173" s="37">
        <v>14765.94959</v>
      </c>
      <c r="H173" s="37">
        <v>1.35432</v>
      </c>
      <c r="I173" s="367">
        <v>98.262500000000003</v>
      </c>
      <c r="K173" s="93" t="str">
        <f t="shared" si="16"/>
        <v>EURO</v>
      </c>
      <c r="L173" s="93" t="str">
        <f t="shared" si="13"/>
        <v>RESINV1USD_1Y_EURO</v>
      </c>
      <c r="M173" s="93" t="str">
        <f t="shared" si="15"/>
        <v>SPAIN</v>
      </c>
      <c r="N173" s="154">
        <f t="shared" si="12"/>
        <v>15000</v>
      </c>
      <c r="O173" s="93">
        <f t="shared" si="14"/>
        <v>1.35432</v>
      </c>
    </row>
    <row r="174" spans="1:15" x14ac:dyDescent="0.3">
      <c r="A174" s="39" t="s">
        <v>23</v>
      </c>
      <c r="B174" s="39" t="s">
        <v>182</v>
      </c>
      <c r="C174" s="39" t="s">
        <v>294</v>
      </c>
      <c r="D174" s="39" t="s">
        <v>335</v>
      </c>
      <c r="E174" s="39" t="s">
        <v>335</v>
      </c>
      <c r="F174" s="37">
        <v>-621000</v>
      </c>
      <c r="G174" s="37">
        <v>134.85</v>
      </c>
      <c r="H174" s="37">
        <v>-15.54542</v>
      </c>
      <c r="K174" s="93" t="str">
        <f t="shared" si="16"/>
        <v>DEPOFUT</v>
      </c>
      <c r="L174" s="93" t="str">
        <f t="shared" si="13"/>
        <v>RESINV1USD_1Y_DEPOFUT</v>
      </c>
      <c r="M174" s="93" t="str">
        <f t="shared" si="15"/>
        <v/>
      </c>
      <c r="N174" s="154">
        <f t="shared" si="12"/>
        <v>-621000</v>
      </c>
      <c r="O174" s="93">
        <f t="shared" si="14"/>
        <v>-15.54542</v>
      </c>
    </row>
    <row r="175" spans="1:15" x14ac:dyDescent="0.3">
      <c r="A175" s="39" t="s">
        <v>23</v>
      </c>
      <c r="B175" s="39" t="s">
        <v>182</v>
      </c>
      <c r="C175" s="39" t="s">
        <v>313</v>
      </c>
      <c r="D175" s="39" t="s">
        <v>314</v>
      </c>
      <c r="E175" s="39" t="s">
        <v>315</v>
      </c>
      <c r="F175" s="37">
        <v>300000</v>
      </c>
      <c r="G175" s="37">
        <v>300401.78519000002</v>
      </c>
      <c r="H175" s="37">
        <v>7.5768199999999997</v>
      </c>
      <c r="K175" s="93" t="str">
        <f t="shared" si="16"/>
        <v>IRSWAP</v>
      </c>
      <c r="L175" s="93" t="str">
        <f t="shared" si="13"/>
        <v>RESINV1USD_1Y_IRSWAP</v>
      </c>
      <c r="M175" s="93" t="str">
        <f t="shared" si="15"/>
        <v/>
      </c>
      <c r="N175" s="154">
        <f t="shared" si="12"/>
        <v>300000</v>
      </c>
      <c r="O175" s="93">
        <f t="shared" si="14"/>
        <v>7.5768199999999997</v>
      </c>
    </row>
    <row r="176" spans="1:15" x14ac:dyDescent="0.3">
      <c r="A176" s="39" t="s">
        <v>23</v>
      </c>
      <c r="B176" s="39" t="s">
        <v>182</v>
      </c>
      <c r="C176" s="39" t="s">
        <v>313</v>
      </c>
      <c r="D176" s="39" t="s">
        <v>316</v>
      </c>
      <c r="E176" s="39" t="s">
        <v>315</v>
      </c>
      <c r="F176" s="37">
        <v>-300000</v>
      </c>
      <c r="G176" s="37">
        <v>-301864.13695000001</v>
      </c>
      <c r="H176" s="37">
        <v>-22.657779999999999</v>
      </c>
      <c r="K176" s="93" t="str">
        <f t="shared" si="16"/>
        <v>IRSWAP</v>
      </c>
      <c r="L176" s="93" t="str">
        <f t="shared" si="13"/>
        <v>RESINV1USD_1Y_IRSWAP</v>
      </c>
      <c r="M176" s="93" t="str">
        <f t="shared" si="15"/>
        <v/>
      </c>
      <c r="N176" s="154">
        <f t="shared" si="12"/>
        <v>-300000</v>
      </c>
      <c r="O176" s="93">
        <f t="shared" si="14"/>
        <v>-22.657779999999999</v>
      </c>
    </row>
    <row r="177" spans="1:15" x14ac:dyDescent="0.3">
      <c r="A177" s="39" t="s">
        <v>23</v>
      </c>
      <c r="B177" s="39" t="s">
        <v>81</v>
      </c>
      <c r="D177" s="39" t="s">
        <v>265</v>
      </c>
      <c r="E177" s="39" t="s">
        <v>264</v>
      </c>
      <c r="F177" s="37">
        <v>0</v>
      </c>
      <c r="G177" s="37">
        <v>0</v>
      </c>
      <c r="H177" s="37">
        <v>0</v>
      </c>
      <c r="K177" s="93" t="str">
        <f t="shared" si="16"/>
        <v/>
      </c>
      <c r="L177" s="93" t="str">
        <f t="shared" si="13"/>
        <v/>
      </c>
      <c r="M177" s="93" t="str">
        <f t="shared" si="15"/>
        <v/>
      </c>
      <c r="N177" s="154">
        <f t="shared" si="12"/>
        <v>0</v>
      </c>
      <c r="O177" s="93">
        <f t="shared" si="14"/>
        <v>0</v>
      </c>
    </row>
    <row r="178" spans="1:15" x14ac:dyDescent="0.3">
      <c r="A178" s="39" t="s">
        <v>23</v>
      </c>
      <c r="B178" s="39" t="s">
        <v>81</v>
      </c>
      <c r="C178" s="39" t="s">
        <v>139</v>
      </c>
      <c r="D178" s="39" t="s">
        <v>323</v>
      </c>
      <c r="E178" s="39" t="s">
        <v>324</v>
      </c>
      <c r="F178" s="37">
        <v>25000</v>
      </c>
      <c r="G178" s="37">
        <v>25703.669190000001</v>
      </c>
      <c r="H178" s="37">
        <v>2.6040100000000002</v>
      </c>
      <c r="I178" s="367">
        <v>100.8745</v>
      </c>
      <c r="K178" s="93" t="str">
        <f t="shared" si="16"/>
        <v>EURO</v>
      </c>
      <c r="L178" s="93" t="str">
        <f t="shared" si="13"/>
        <v>RESINV1USD_2Y_EURO</v>
      </c>
      <c r="M178" s="93" t="str">
        <f t="shared" si="15"/>
        <v>LBBW</v>
      </c>
      <c r="N178" s="154">
        <f t="shared" si="12"/>
        <v>25000</v>
      </c>
      <c r="O178" s="93">
        <f t="shared" si="14"/>
        <v>2.6040100000000002</v>
      </c>
    </row>
    <row r="179" spans="1:15" x14ac:dyDescent="0.3">
      <c r="A179" s="39" t="s">
        <v>23</v>
      </c>
      <c r="B179" s="39" t="s">
        <v>81</v>
      </c>
      <c r="C179" s="39" t="s">
        <v>139</v>
      </c>
      <c r="D179" s="39" t="s">
        <v>912</v>
      </c>
      <c r="E179" s="39" t="s">
        <v>654</v>
      </c>
      <c r="F179" s="37">
        <v>18000</v>
      </c>
      <c r="G179" s="37">
        <v>18328.159230000001</v>
      </c>
      <c r="H179" s="37">
        <v>1.9423299999999999</v>
      </c>
      <c r="I179" s="367">
        <v>100.544</v>
      </c>
      <c r="K179" s="93" t="str">
        <f t="shared" si="16"/>
        <v>EURO</v>
      </c>
      <c r="L179" s="93" t="str">
        <f t="shared" si="13"/>
        <v>RESINV1USD_2Y_EURO</v>
      </c>
      <c r="M179" s="93" t="str">
        <f t="shared" si="15"/>
        <v>CADES</v>
      </c>
      <c r="N179" s="154">
        <f t="shared" si="12"/>
        <v>18000</v>
      </c>
      <c r="O179" s="93">
        <f t="shared" si="14"/>
        <v>1.9423299999999999</v>
      </c>
    </row>
    <row r="180" spans="1:15" x14ac:dyDescent="0.3">
      <c r="A180" s="39" t="s">
        <v>23</v>
      </c>
      <c r="B180" s="39" t="s">
        <v>81</v>
      </c>
      <c r="C180" s="39" t="s">
        <v>139</v>
      </c>
      <c r="D180" s="39" t="s">
        <v>70</v>
      </c>
      <c r="E180" s="39" t="s">
        <v>71</v>
      </c>
      <c r="F180" s="37">
        <v>470000</v>
      </c>
      <c r="G180" s="37">
        <v>471409.32479000004</v>
      </c>
      <c r="H180" s="37">
        <v>51.081029999999998</v>
      </c>
      <c r="I180" s="367">
        <v>100.14449999999999</v>
      </c>
      <c r="K180" s="93" t="str">
        <f t="shared" si="16"/>
        <v>GOVT</v>
      </c>
      <c r="L180" s="93" t="str">
        <f t="shared" si="13"/>
        <v>RESINV1USD_2Y_GOVT</v>
      </c>
      <c r="M180" s="93" t="str">
        <f t="shared" si="15"/>
        <v/>
      </c>
      <c r="N180" s="154">
        <f t="shared" si="12"/>
        <v>470000</v>
      </c>
      <c r="O180" s="93">
        <f t="shared" si="14"/>
        <v>51.081029999999998</v>
      </c>
    </row>
    <row r="181" spans="1:15" x14ac:dyDescent="0.3">
      <c r="A181" s="39" t="s">
        <v>23</v>
      </c>
      <c r="B181" s="39" t="s">
        <v>81</v>
      </c>
      <c r="C181" s="39" t="s">
        <v>139</v>
      </c>
      <c r="D181" s="39" t="s">
        <v>325</v>
      </c>
      <c r="E181" s="39" t="s">
        <v>326</v>
      </c>
      <c r="F181" s="37">
        <v>185000</v>
      </c>
      <c r="G181" s="37">
        <v>187312.27912999998</v>
      </c>
      <c r="H181" s="37">
        <v>22.53201</v>
      </c>
      <c r="I181" s="367">
        <v>100.2645</v>
      </c>
      <c r="K181" s="93" t="str">
        <f t="shared" si="16"/>
        <v>EURO</v>
      </c>
      <c r="L181" s="93" t="str">
        <f t="shared" si="13"/>
        <v>RESINV1USD_2Y_EURO</v>
      </c>
      <c r="M181" s="93" t="str">
        <f t="shared" si="15"/>
        <v>CDCEPS</v>
      </c>
      <c r="N181" s="154">
        <f t="shared" si="12"/>
        <v>185000</v>
      </c>
      <c r="O181" s="93">
        <f t="shared" si="14"/>
        <v>22.53201</v>
      </c>
    </row>
    <row r="182" spans="1:15" x14ac:dyDescent="0.3">
      <c r="A182" s="39" t="s">
        <v>23</v>
      </c>
      <c r="B182" s="39" t="s">
        <v>81</v>
      </c>
      <c r="C182" s="39" t="s">
        <v>139</v>
      </c>
      <c r="D182" s="39" t="s">
        <v>49</v>
      </c>
      <c r="E182" s="39" t="s">
        <v>50</v>
      </c>
      <c r="F182" s="37">
        <v>1505000</v>
      </c>
      <c r="G182" s="37">
        <v>1502856.86332</v>
      </c>
      <c r="H182" s="37">
        <v>188.19114999999999</v>
      </c>
      <c r="I182" s="367">
        <v>99.828100000000006</v>
      </c>
      <c r="K182" s="93" t="str">
        <f t="shared" si="16"/>
        <v>GOVT</v>
      </c>
      <c r="L182" s="93" t="str">
        <f t="shared" si="13"/>
        <v>RESINV1USD_2Y_GOVT</v>
      </c>
      <c r="M182" s="93" t="str">
        <f t="shared" si="15"/>
        <v/>
      </c>
      <c r="N182" s="154">
        <f t="shared" si="12"/>
        <v>1505000</v>
      </c>
      <c r="O182" s="93">
        <f t="shared" si="14"/>
        <v>188.19114999999999</v>
      </c>
    </row>
    <row r="183" spans="1:15" x14ac:dyDescent="0.3">
      <c r="A183" s="39" t="s">
        <v>23</v>
      </c>
      <c r="B183" s="39" t="s">
        <v>81</v>
      </c>
      <c r="C183" s="39" t="s">
        <v>139</v>
      </c>
      <c r="D183" s="39" t="s">
        <v>193</v>
      </c>
      <c r="E183" s="39" t="s">
        <v>194</v>
      </c>
      <c r="F183" s="37">
        <v>433000</v>
      </c>
      <c r="G183" s="37">
        <v>433107.73766000004</v>
      </c>
      <c r="H183" s="37">
        <v>57.86815</v>
      </c>
      <c r="I183" s="367">
        <v>99.984399999999994</v>
      </c>
      <c r="K183" s="93" t="str">
        <f t="shared" si="16"/>
        <v>GOVT</v>
      </c>
      <c r="L183" s="93" t="str">
        <f t="shared" si="13"/>
        <v>RESINV1USD_2Y_GOVT</v>
      </c>
      <c r="M183" s="93" t="str">
        <f t="shared" si="15"/>
        <v/>
      </c>
      <c r="N183" s="154">
        <f t="shared" si="12"/>
        <v>433000</v>
      </c>
      <c r="O183" s="93">
        <f t="shared" si="14"/>
        <v>57.86815</v>
      </c>
    </row>
    <row r="184" spans="1:15" x14ac:dyDescent="0.3">
      <c r="A184" s="39" t="s">
        <v>23</v>
      </c>
      <c r="B184" s="39" t="s">
        <v>81</v>
      </c>
      <c r="C184" s="39" t="s">
        <v>139</v>
      </c>
      <c r="D184" s="39" t="s">
        <v>327</v>
      </c>
      <c r="E184" s="39" t="s">
        <v>328</v>
      </c>
      <c r="F184" s="37">
        <v>200000</v>
      </c>
      <c r="G184" s="37">
        <v>202362.37803999998</v>
      </c>
      <c r="H184" s="37">
        <v>27.988679999999999</v>
      </c>
      <c r="I184" s="367">
        <v>100.42149999999999</v>
      </c>
      <c r="K184" s="93" t="str">
        <f t="shared" si="16"/>
        <v>EURO</v>
      </c>
      <c r="L184" s="93" t="str">
        <f t="shared" si="13"/>
        <v>RESINV1USD_2Y_EURO</v>
      </c>
      <c r="M184" s="93" t="str">
        <f t="shared" si="15"/>
        <v>AFD</v>
      </c>
      <c r="N184" s="154">
        <f t="shared" si="12"/>
        <v>200000</v>
      </c>
      <c r="O184" s="93">
        <f t="shared" si="14"/>
        <v>27.988679999999999</v>
      </c>
    </row>
    <row r="185" spans="1:15" x14ac:dyDescent="0.3">
      <c r="A185" s="39" t="s">
        <v>23</v>
      </c>
      <c r="B185" s="39" t="s">
        <v>81</v>
      </c>
      <c r="C185" s="39" t="s">
        <v>139</v>
      </c>
      <c r="D185" s="39" t="s">
        <v>51</v>
      </c>
      <c r="E185" s="39" t="s">
        <v>52</v>
      </c>
      <c r="F185" s="37">
        <v>685000</v>
      </c>
      <c r="G185" s="37">
        <v>684812.93940000003</v>
      </c>
      <c r="H185" s="37">
        <v>97.484100000000012</v>
      </c>
      <c r="I185" s="367">
        <v>99.953100000000006</v>
      </c>
      <c r="K185" s="93" t="str">
        <f t="shared" si="16"/>
        <v>GOVT</v>
      </c>
      <c r="L185" s="93" t="str">
        <f t="shared" si="13"/>
        <v>RESINV1USD_2Y_GOVT</v>
      </c>
      <c r="M185" s="93" t="str">
        <f t="shared" si="15"/>
        <v/>
      </c>
      <c r="N185" s="154">
        <f t="shared" si="12"/>
        <v>685000</v>
      </c>
      <c r="O185" s="93">
        <f t="shared" si="14"/>
        <v>97.484100000000012</v>
      </c>
    </row>
    <row r="186" spans="1:15" x14ac:dyDescent="0.3">
      <c r="A186" s="39" t="s">
        <v>23</v>
      </c>
      <c r="B186" s="39" t="s">
        <v>81</v>
      </c>
      <c r="C186" s="39" t="s">
        <v>139</v>
      </c>
      <c r="D186" s="39" t="s">
        <v>53</v>
      </c>
      <c r="E186" s="39" t="s">
        <v>54</v>
      </c>
      <c r="F186" s="37">
        <v>1137000</v>
      </c>
      <c r="G186" s="37">
        <v>1137635.74752</v>
      </c>
      <c r="H186" s="37">
        <v>180.40921</v>
      </c>
      <c r="I186" s="367">
        <v>99.953100000000006</v>
      </c>
      <c r="K186" s="93" t="str">
        <f t="shared" si="16"/>
        <v>GOVT</v>
      </c>
      <c r="L186" s="93" t="str">
        <f t="shared" si="13"/>
        <v>RESINV1USD_2Y_GOVT</v>
      </c>
      <c r="M186" s="93" t="str">
        <f t="shared" si="15"/>
        <v/>
      </c>
      <c r="N186" s="154">
        <f t="shared" si="12"/>
        <v>1137000</v>
      </c>
      <c r="O186" s="93">
        <f t="shared" si="14"/>
        <v>180.40921</v>
      </c>
    </row>
    <row r="187" spans="1:15" x14ac:dyDescent="0.3">
      <c r="A187" s="39" t="s">
        <v>23</v>
      </c>
      <c r="B187" s="39" t="s">
        <v>81</v>
      </c>
      <c r="C187" s="39" t="s">
        <v>139</v>
      </c>
      <c r="D187" s="39" t="s">
        <v>329</v>
      </c>
      <c r="E187" s="39" t="s">
        <v>330</v>
      </c>
      <c r="F187" s="37">
        <v>27800</v>
      </c>
      <c r="G187" s="37">
        <v>28214.160879999999</v>
      </c>
      <c r="H187" s="37">
        <v>4.6280799999999997</v>
      </c>
      <c r="I187" s="367">
        <v>100.7565</v>
      </c>
      <c r="K187" s="93" t="str">
        <f t="shared" si="16"/>
        <v>EURO</v>
      </c>
      <c r="L187" s="93" t="str">
        <f t="shared" si="13"/>
        <v>RESINV1USD_2Y_EURO</v>
      </c>
      <c r="M187" s="93" t="str">
        <f t="shared" si="15"/>
        <v>CFF</v>
      </c>
      <c r="N187" s="154">
        <f t="shared" si="12"/>
        <v>27800</v>
      </c>
      <c r="O187" s="93">
        <f t="shared" si="14"/>
        <v>4.6280799999999997</v>
      </c>
    </row>
    <row r="188" spans="1:15" x14ac:dyDescent="0.3">
      <c r="A188" s="39" t="s">
        <v>23</v>
      </c>
      <c r="B188" s="39" t="s">
        <v>81</v>
      </c>
      <c r="C188" s="39" t="s">
        <v>139</v>
      </c>
      <c r="D188" s="39" t="s">
        <v>331</v>
      </c>
      <c r="E188" s="39" t="s">
        <v>332</v>
      </c>
      <c r="F188" s="37">
        <v>94000</v>
      </c>
      <c r="G188" s="37">
        <v>95410.361059999996</v>
      </c>
      <c r="H188" s="37">
        <v>15.867459999999999</v>
      </c>
      <c r="I188" s="367">
        <v>100.9855</v>
      </c>
      <c r="K188" s="93" t="str">
        <f t="shared" si="16"/>
        <v>EURO</v>
      </c>
      <c r="L188" s="93" t="str">
        <f t="shared" si="13"/>
        <v>RESINV1USD_2Y_EURO</v>
      </c>
      <c r="M188" s="93" t="str">
        <f t="shared" si="15"/>
        <v>CDCEPS</v>
      </c>
      <c r="N188" s="154">
        <f t="shared" si="12"/>
        <v>94000</v>
      </c>
      <c r="O188" s="93">
        <f t="shared" si="14"/>
        <v>15.867459999999999</v>
      </c>
    </row>
    <row r="189" spans="1:15" x14ac:dyDescent="0.3">
      <c r="A189" s="39" t="s">
        <v>23</v>
      </c>
      <c r="B189" s="39" t="s">
        <v>81</v>
      </c>
      <c r="C189" s="39" t="s">
        <v>139</v>
      </c>
      <c r="D189" s="39" t="s">
        <v>333</v>
      </c>
      <c r="E189" s="39" t="s">
        <v>334</v>
      </c>
      <c r="F189" s="37">
        <v>39000</v>
      </c>
      <c r="G189" s="37">
        <v>39515.564770000005</v>
      </c>
      <c r="H189" s="37">
        <v>6.7771099999999995</v>
      </c>
      <c r="I189" s="367">
        <v>100.922</v>
      </c>
      <c r="K189" s="93" t="str">
        <f t="shared" si="16"/>
        <v>EURO</v>
      </c>
      <c r="L189" s="93" t="str">
        <f t="shared" si="13"/>
        <v>RESINV1USD_2Y_EURO</v>
      </c>
      <c r="M189" s="93" t="str">
        <f t="shared" si="15"/>
        <v>BNG</v>
      </c>
      <c r="N189" s="154">
        <f t="shared" si="12"/>
        <v>39000</v>
      </c>
      <c r="O189" s="93">
        <f t="shared" si="14"/>
        <v>6.7771099999999995</v>
      </c>
    </row>
    <row r="190" spans="1:15" x14ac:dyDescent="0.3">
      <c r="A190" s="39" t="s">
        <v>23</v>
      </c>
      <c r="B190" s="39" t="s">
        <v>81</v>
      </c>
      <c r="C190" s="39" t="s">
        <v>139</v>
      </c>
      <c r="D190" s="39" t="s">
        <v>55</v>
      </c>
      <c r="E190" s="39" t="s">
        <v>56</v>
      </c>
      <c r="F190" s="37">
        <v>1046000</v>
      </c>
      <c r="G190" s="37">
        <v>1045905.02981</v>
      </c>
      <c r="H190" s="37">
        <v>182.73688000000001</v>
      </c>
      <c r="I190" s="367">
        <v>99.929699999999997</v>
      </c>
      <c r="K190" s="93" t="str">
        <f t="shared" si="16"/>
        <v>GOVT</v>
      </c>
      <c r="L190" s="93" t="str">
        <f t="shared" si="13"/>
        <v>RESINV1USD_2Y_GOVT</v>
      </c>
      <c r="M190" s="93" t="str">
        <f t="shared" si="15"/>
        <v/>
      </c>
      <c r="N190" s="154">
        <f t="shared" si="12"/>
        <v>1046000</v>
      </c>
      <c r="O190" s="93">
        <f t="shared" si="14"/>
        <v>182.73688000000001</v>
      </c>
    </row>
    <row r="191" spans="1:15" x14ac:dyDescent="0.3">
      <c r="A191" s="39" t="s">
        <v>23</v>
      </c>
      <c r="B191" s="39" t="s">
        <v>81</v>
      </c>
      <c r="C191" s="39" t="s">
        <v>139</v>
      </c>
      <c r="D191" s="39" t="s">
        <v>642</v>
      </c>
      <c r="E191" s="39" t="s">
        <v>643</v>
      </c>
      <c r="F191" s="37">
        <v>312000</v>
      </c>
      <c r="G191" s="37">
        <v>311907.00974000001</v>
      </c>
      <c r="H191" s="37">
        <v>57.055699999999995</v>
      </c>
      <c r="I191" s="367">
        <v>99.929699999999997</v>
      </c>
      <c r="K191" s="93" t="str">
        <f t="shared" si="16"/>
        <v>GOVT</v>
      </c>
      <c r="L191" s="93" t="str">
        <f t="shared" si="13"/>
        <v>RESINV1USD_2Y_GOVT</v>
      </c>
      <c r="M191" s="93" t="str">
        <f t="shared" si="15"/>
        <v/>
      </c>
      <c r="N191" s="154">
        <f t="shared" si="12"/>
        <v>312000</v>
      </c>
      <c r="O191" s="93">
        <f t="shared" si="14"/>
        <v>57.055699999999995</v>
      </c>
    </row>
    <row r="192" spans="1:15" x14ac:dyDescent="0.3">
      <c r="A192" s="39" t="s">
        <v>23</v>
      </c>
      <c r="B192" s="39" t="s">
        <v>81</v>
      </c>
      <c r="C192" s="39" t="s">
        <v>139</v>
      </c>
      <c r="D192" s="39" t="s">
        <v>339</v>
      </c>
      <c r="E192" s="39" t="s">
        <v>340</v>
      </c>
      <c r="F192" s="37">
        <v>30000</v>
      </c>
      <c r="G192" s="37">
        <v>32394.772010000001</v>
      </c>
      <c r="H192" s="37">
        <v>5.8802399999999997</v>
      </c>
      <c r="I192" s="367">
        <v>107.3065</v>
      </c>
      <c r="K192" s="93" t="str">
        <f t="shared" si="16"/>
        <v>EURO</v>
      </c>
      <c r="L192" s="93" t="str">
        <f t="shared" si="13"/>
        <v>RESINV1USD_2Y_EURO</v>
      </c>
      <c r="M192" s="93" t="str">
        <f t="shared" si="15"/>
        <v>BNG</v>
      </c>
      <c r="N192" s="154">
        <f t="shared" si="12"/>
        <v>30000</v>
      </c>
      <c r="O192" s="93">
        <f t="shared" si="14"/>
        <v>5.8802399999999997</v>
      </c>
    </row>
    <row r="193" spans="1:15" x14ac:dyDescent="0.3">
      <c r="A193" s="39" t="s">
        <v>23</v>
      </c>
      <c r="B193" s="39" t="s">
        <v>81</v>
      </c>
      <c r="C193" s="39" t="s">
        <v>139</v>
      </c>
      <c r="D193" s="39" t="s">
        <v>341</v>
      </c>
      <c r="E193" s="39" t="s">
        <v>342</v>
      </c>
      <c r="F193" s="37">
        <v>50000</v>
      </c>
      <c r="G193" s="37">
        <v>50135.557840000001</v>
      </c>
      <c r="H193" s="37">
        <v>9.5813500000000005</v>
      </c>
      <c r="I193" s="367">
        <v>100.185</v>
      </c>
      <c r="K193" s="93" t="str">
        <f t="shared" si="16"/>
        <v>EURO</v>
      </c>
      <c r="L193" s="93" t="str">
        <f t="shared" si="13"/>
        <v>RESINV1USD_2Y_EURO</v>
      </c>
      <c r="M193" s="93" t="str">
        <f t="shared" si="15"/>
        <v>AFD</v>
      </c>
      <c r="N193" s="154">
        <f t="shared" si="12"/>
        <v>50000</v>
      </c>
      <c r="O193" s="93">
        <f t="shared" si="14"/>
        <v>9.5813500000000005</v>
      </c>
    </row>
    <row r="194" spans="1:15" x14ac:dyDescent="0.3">
      <c r="A194" s="39" t="s">
        <v>23</v>
      </c>
      <c r="B194" s="39" t="s">
        <v>81</v>
      </c>
      <c r="C194" s="39" t="s">
        <v>139</v>
      </c>
      <c r="D194" s="39" t="s">
        <v>343</v>
      </c>
      <c r="E194" s="39" t="s">
        <v>344</v>
      </c>
      <c r="F194" s="37">
        <v>25000</v>
      </c>
      <c r="G194" s="37">
        <v>26415.92713</v>
      </c>
      <c r="H194" s="37">
        <v>5.0804200000000002</v>
      </c>
      <c r="I194" s="367">
        <v>105.56740000000001</v>
      </c>
      <c r="K194" s="93" t="str">
        <f t="shared" si="16"/>
        <v>EURO</v>
      </c>
      <c r="L194" s="93" t="str">
        <f t="shared" si="13"/>
        <v>RESINV1USD_2Y_EURO</v>
      </c>
      <c r="M194" s="93" t="str">
        <f t="shared" si="15"/>
        <v>CBA</v>
      </c>
      <c r="N194" s="154">
        <f t="shared" ref="N194:N257" si="17">IF(A194="","",IF(A194="BKINV1USD",-F194*ratioPV,F194))</f>
        <v>25000</v>
      </c>
      <c r="O194" s="93">
        <f t="shared" si="14"/>
        <v>5.0804200000000002</v>
      </c>
    </row>
    <row r="195" spans="1:15" x14ac:dyDescent="0.3">
      <c r="A195" s="39" t="s">
        <v>23</v>
      </c>
      <c r="B195" s="39" t="s">
        <v>81</v>
      </c>
      <c r="C195" s="39" t="s">
        <v>294</v>
      </c>
      <c r="D195" s="39" t="s">
        <v>336</v>
      </c>
      <c r="E195" s="39" t="s">
        <v>336</v>
      </c>
      <c r="F195" s="37">
        <v>-920000</v>
      </c>
      <c r="G195" s="37">
        <v>116.3125</v>
      </c>
      <c r="H195" s="37">
        <v>-23.03154</v>
      </c>
      <c r="K195" s="93" t="str">
        <f t="shared" si="16"/>
        <v>DEPOFUT</v>
      </c>
      <c r="L195" s="93" t="str">
        <f t="shared" ref="L195:L258" si="18">IF(G195=0,"",IF(B195="Balance",CONCATENATE(A195 &amp; "_O/N_REPO"),IF(K195="",CONCATENATE(A195 &amp; "_" &amp; B195 &amp; "_" &amp; C195),CONCATENATE(A195 &amp; "_" &amp; B195 &amp; "_" &amp; K195))))</f>
        <v>RESINV1USD_2Y_DEPOFUT</v>
      </c>
      <c r="M195" s="93" t="str">
        <f t="shared" si="15"/>
        <v/>
      </c>
      <c r="N195" s="154">
        <f t="shared" si="17"/>
        <v>-920000</v>
      </c>
      <c r="O195" s="93">
        <f t="shared" ref="O195:O258" si="19">H195</f>
        <v>-23.03154</v>
      </c>
    </row>
    <row r="196" spans="1:15" x14ac:dyDescent="0.3">
      <c r="A196" s="39" t="s">
        <v>23</v>
      </c>
      <c r="B196" s="39" t="s">
        <v>81</v>
      </c>
      <c r="C196" s="39" t="s">
        <v>294</v>
      </c>
      <c r="D196" s="39" t="s">
        <v>337</v>
      </c>
      <c r="E196" s="39" t="s">
        <v>337</v>
      </c>
      <c r="F196" s="37">
        <v>-738000</v>
      </c>
      <c r="G196" s="37">
        <v>601.6</v>
      </c>
      <c r="H196" s="37">
        <v>-18.47655</v>
      </c>
      <c r="K196" s="93" t="str">
        <f t="shared" si="16"/>
        <v>DEPOFUT</v>
      </c>
      <c r="L196" s="93" t="str">
        <f t="shared" si="18"/>
        <v>RESINV1USD_2Y_DEPOFUT</v>
      </c>
      <c r="M196" s="93" t="str">
        <f t="shared" si="15"/>
        <v/>
      </c>
      <c r="N196" s="154">
        <f t="shared" si="17"/>
        <v>-738000</v>
      </c>
      <c r="O196" s="93">
        <f t="shared" si="19"/>
        <v>-18.47655</v>
      </c>
    </row>
    <row r="197" spans="1:15" x14ac:dyDescent="0.3">
      <c r="A197" s="39" t="s">
        <v>23</v>
      </c>
      <c r="B197" s="39" t="s">
        <v>81</v>
      </c>
      <c r="C197" s="39" t="s">
        <v>294</v>
      </c>
      <c r="D197" s="39" t="s">
        <v>338</v>
      </c>
      <c r="E197" s="39" t="s">
        <v>338</v>
      </c>
      <c r="F197" s="37">
        <v>-522000</v>
      </c>
      <c r="G197" s="37">
        <v>912.71249999999998</v>
      </c>
      <c r="H197" s="37">
        <v>-13.069450000000002</v>
      </c>
      <c r="K197" s="93" t="str">
        <f t="shared" si="16"/>
        <v>DEPOFUT</v>
      </c>
      <c r="L197" s="93" t="str">
        <f t="shared" si="18"/>
        <v>RESINV1USD_2Y_DEPOFUT</v>
      </c>
      <c r="M197" s="93" t="str">
        <f t="shared" si="15"/>
        <v/>
      </c>
      <c r="N197" s="154">
        <f t="shared" si="17"/>
        <v>-522000</v>
      </c>
      <c r="O197" s="93">
        <f t="shared" si="19"/>
        <v>-13.069450000000002</v>
      </c>
    </row>
    <row r="198" spans="1:15" x14ac:dyDescent="0.3">
      <c r="A198" s="39" t="s">
        <v>23</v>
      </c>
      <c r="B198" s="39" t="s">
        <v>81</v>
      </c>
      <c r="C198" s="39" t="s">
        <v>294</v>
      </c>
      <c r="D198" s="39" t="s">
        <v>354</v>
      </c>
      <c r="E198" s="39" t="s">
        <v>354</v>
      </c>
      <c r="F198" s="37">
        <v>-1087000</v>
      </c>
      <c r="G198" s="37">
        <v>153.625</v>
      </c>
      <c r="H198" s="37">
        <v>-27.447590000000002</v>
      </c>
      <c r="K198" s="93" t="str">
        <f t="shared" si="16"/>
        <v>DEPOFUT</v>
      </c>
      <c r="L198" s="93" t="str">
        <f t="shared" si="18"/>
        <v>RESINV1USD_2Y_DEPOFUT</v>
      </c>
      <c r="M198" s="93" t="str">
        <f t="shared" ref="M198:M261" si="20">IF(K198&lt;&gt;"EURO","",IF(LEFT(D198,4)="USCP",MID(D198,5,SEARCH("2",D198)-5),MID(D198,3,SEARCH("2",D198)-3)))</f>
        <v/>
      </c>
      <c r="N198" s="154">
        <f t="shared" si="17"/>
        <v>-1087000</v>
      </c>
      <c r="O198" s="93">
        <f t="shared" si="19"/>
        <v>-27.447590000000002</v>
      </c>
    </row>
    <row r="199" spans="1:15" x14ac:dyDescent="0.3">
      <c r="A199" s="39" t="s">
        <v>23</v>
      </c>
      <c r="B199" s="39" t="s">
        <v>81</v>
      </c>
      <c r="C199" s="39" t="s">
        <v>313</v>
      </c>
      <c r="D199" s="39" t="s">
        <v>314</v>
      </c>
      <c r="E199" s="39" t="s">
        <v>315</v>
      </c>
      <c r="F199" s="37">
        <v>200000</v>
      </c>
      <c r="G199" s="37">
        <v>200206.63644</v>
      </c>
      <c r="H199" s="37">
        <v>1.3345199999999999</v>
      </c>
      <c r="K199" s="93" t="str">
        <f t="shared" si="16"/>
        <v>IRSWAP</v>
      </c>
      <c r="L199" s="93" t="str">
        <f t="shared" si="18"/>
        <v>RESINV1USD_2Y_IRSWAP</v>
      </c>
      <c r="M199" s="93" t="str">
        <f t="shared" si="20"/>
        <v/>
      </c>
      <c r="N199" s="154">
        <f t="shared" si="17"/>
        <v>200000</v>
      </c>
      <c r="O199" s="93">
        <f t="shared" si="19"/>
        <v>1.3345199999999999</v>
      </c>
    </row>
    <row r="200" spans="1:15" x14ac:dyDescent="0.3">
      <c r="A200" s="39" t="s">
        <v>23</v>
      </c>
      <c r="B200" s="39" t="s">
        <v>81</v>
      </c>
      <c r="C200" s="39" t="s">
        <v>313</v>
      </c>
      <c r="D200" s="39" t="s">
        <v>316</v>
      </c>
      <c r="E200" s="39" t="s">
        <v>315</v>
      </c>
      <c r="F200" s="37">
        <v>-200000</v>
      </c>
      <c r="G200" s="37">
        <v>-200731.15733000002</v>
      </c>
      <c r="H200" s="37">
        <v>-31.50263</v>
      </c>
      <c r="K200" s="93" t="str">
        <f t="shared" si="16"/>
        <v>IRSWAP</v>
      </c>
      <c r="L200" s="93" t="str">
        <f t="shared" si="18"/>
        <v>RESINV1USD_2Y_IRSWAP</v>
      </c>
      <c r="M200" s="93" t="str">
        <f t="shared" si="20"/>
        <v/>
      </c>
      <c r="N200" s="154">
        <f t="shared" si="17"/>
        <v>-200000</v>
      </c>
      <c r="O200" s="93">
        <f t="shared" si="19"/>
        <v>-31.50263</v>
      </c>
    </row>
    <row r="201" spans="1:15" x14ac:dyDescent="0.3">
      <c r="A201" s="39" t="s">
        <v>23</v>
      </c>
      <c r="B201" s="39" t="s">
        <v>82</v>
      </c>
      <c r="C201" s="39" t="s">
        <v>139</v>
      </c>
      <c r="D201" s="39" t="s">
        <v>932</v>
      </c>
      <c r="E201" s="39" t="s">
        <v>933</v>
      </c>
      <c r="F201" s="37">
        <v>211000</v>
      </c>
      <c r="G201" s="37">
        <v>-167.58685999999997</v>
      </c>
      <c r="H201" s="37">
        <v>41.91957</v>
      </c>
      <c r="K201" s="93" t="str">
        <f t="shared" si="16"/>
        <v>GOVT</v>
      </c>
      <c r="L201" s="93" t="str">
        <f t="shared" si="18"/>
        <v>RESINV1USD_3Y_GOVT</v>
      </c>
      <c r="M201" s="93" t="str">
        <f t="shared" si="20"/>
        <v/>
      </c>
      <c r="N201" s="154">
        <f t="shared" si="17"/>
        <v>211000</v>
      </c>
      <c r="O201" s="93">
        <f t="shared" si="19"/>
        <v>41.91957</v>
      </c>
    </row>
    <row r="202" spans="1:15" x14ac:dyDescent="0.3">
      <c r="A202" s="39" t="s">
        <v>23</v>
      </c>
      <c r="B202" s="39" t="s">
        <v>82</v>
      </c>
      <c r="C202" s="39" t="s">
        <v>139</v>
      </c>
      <c r="D202" s="39" t="s">
        <v>345</v>
      </c>
      <c r="E202" s="39" t="s">
        <v>346</v>
      </c>
      <c r="F202" s="37">
        <v>50000</v>
      </c>
      <c r="G202" s="37">
        <v>52806.002549999997</v>
      </c>
      <c r="H202" s="37">
        <v>11.21579</v>
      </c>
      <c r="I202" s="367">
        <v>104.69</v>
      </c>
      <c r="K202" s="93" t="str">
        <f t="shared" si="16"/>
        <v>EURO</v>
      </c>
      <c r="L202" s="93" t="str">
        <f t="shared" si="18"/>
        <v>RESINV1USD_3Y_EURO</v>
      </c>
      <c r="M202" s="93" t="str">
        <f t="shared" si="20"/>
        <v>WSTP</v>
      </c>
      <c r="N202" s="154">
        <f t="shared" si="17"/>
        <v>50000</v>
      </c>
      <c r="O202" s="93">
        <f t="shared" si="19"/>
        <v>11.21579</v>
      </c>
    </row>
    <row r="203" spans="1:15" x14ac:dyDescent="0.3">
      <c r="A203" s="39" t="s">
        <v>23</v>
      </c>
      <c r="B203" s="39" t="s">
        <v>82</v>
      </c>
      <c r="C203" s="39" t="s">
        <v>139</v>
      </c>
      <c r="D203" s="39" t="s">
        <v>347</v>
      </c>
      <c r="E203" s="39" t="s">
        <v>348</v>
      </c>
      <c r="F203" s="37">
        <v>66000</v>
      </c>
      <c r="G203" s="37">
        <v>66378.339739999996</v>
      </c>
      <c r="H203" s="37">
        <v>15.04401</v>
      </c>
      <c r="I203" s="367">
        <v>100.31699999999999</v>
      </c>
      <c r="K203" s="93" t="str">
        <f t="shared" si="16"/>
        <v>EURO</v>
      </c>
      <c r="L203" s="93" t="str">
        <f t="shared" si="18"/>
        <v>RESINV1USD_3Y_EURO</v>
      </c>
      <c r="M203" s="93" t="str">
        <f t="shared" si="20"/>
        <v>NEDWBK</v>
      </c>
      <c r="N203" s="154">
        <f t="shared" si="17"/>
        <v>66000</v>
      </c>
      <c r="O203" s="93">
        <f t="shared" si="19"/>
        <v>15.04401</v>
      </c>
    </row>
    <row r="204" spans="1:15" x14ac:dyDescent="0.3">
      <c r="A204" s="39" t="s">
        <v>23</v>
      </c>
      <c r="B204" s="39" t="s">
        <v>82</v>
      </c>
      <c r="C204" s="39" t="s">
        <v>139</v>
      </c>
      <c r="D204" s="39" t="s">
        <v>349</v>
      </c>
      <c r="E204" s="39" t="s">
        <v>350</v>
      </c>
      <c r="F204" s="37">
        <v>70000</v>
      </c>
      <c r="G204" s="37">
        <v>69537.709430000003</v>
      </c>
      <c r="H204" s="37">
        <v>16.799419999999998</v>
      </c>
      <c r="I204" s="367">
        <v>97.963499999999996</v>
      </c>
      <c r="K204" s="93" t="str">
        <f t="shared" si="16"/>
        <v>EURO</v>
      </c>
      <c r="L204" s="93" t="str">
        <f t="shared" si="18"/>
        <v>RESINV1USD_3Y_EURO</v>
      </c>
      <c r="M204" s="93" t="str">
        <f t="shared" si="20"/>
        <v>ITG</v>
      </c>
      <c r="N204" s="154">
        <f t="shared" si="17"/>
        <v>70000</v>
      </c>
      <c r="O204" s="93">
        <f t="shared" si="19"/>
        <v>16.799419999999998</v>
      </c>
    </row>
    <row r="205" spans="1:15" x14ac:dyDescent="0.3">
      <c r="A205" s="39" t="s">
        <v>23</v>
      </c>
      <c r="B205" s="39" t="s">
        <v>82</v>
      </c>
      <c r="C205" s="39" t="s">
        <v>139</v>
      </c>
      <c r="D205" s="39" t="s">
        <v>352</v>
      </c>
      <c r="E205" s="39" t="s">
        <v>353</v>
      </c>
      <c r="F205" s="37">
        <v>50000</v>
      </c>
      <c r="G205" s="37">
        <v>38773.501680000001</v>
      </c>
      <c r="H205" s="37">
        <v>9.3708200000000001</v>
      </c>
      <c r="I205" s="367">
        <v>76.578000000000003</v>
      </c>
      <c r="K205" s="93" t="str">
        <f t="shared" si="16"/>
        <v>EURO</v>
      </c>
      <c r="L205" s="93" t="str">
        <f t="shared" si="18"/>
        <v>RESINV1USD_3Y_EURO</v>
      </c>
      <c r="M205" s="93" t="str">
        <f t="shared" si="20"/>
        <v>PTG</v>
      </c>
      <c r="N205" s="154">
        <f t="shared" si="17"/>
        <v>50000</v>
      </c>
      <c r="O205" s="93">
        <f t="shared" si="19"/>
        <v>9.3708200000000001</v>
      </c>
    </row>
    <row r="206" spans="1:15" x14ac:dyDescent="0.3">
      <c r="A206" s="39" t="s">
        <v>23</v>
      </c>
      <c r="B206" s="39" t="s">
        <v>82</v>
      </c>
      <c r="C206" s="39" t="s">
        <v>139</v>
      </c>
      <c r="D206" s="39" t="s">
        <v>32</v>
      </c>
      <c r="E206" s="39" t="s">
        <v>35</v>
      </c>
      <c r="F206" s="37">
        <v>0</v>
      </c>
      <c r="G206" s="37">
        <v>0</v>
      </c>
      <c r="H206" s="37">
        <v>0</v>
      </c>
      <c r="I206" s="367">
        <v>105.875</v>
      </c>
      <c r="K206" s="93" t="str">
        <f t="shared" si="16"/>
        <v/>
      </c>
      <c r="L206" s="93" t="str">
        <f t="shared" si="18"/>
        <v/>
      </c>
      <c r="M206" s="93" t="str">
        <f t="shared" si="20"/>
        <v/>
      </c>
      <c r="N206" s="154">
        <f t="shared" si="17"/>
        <v>0</v>
      </c>
      <c r="O206" s="93">
        <f t="shared" si="19"/>
        <v>0</v>
      </c>
    </row>
    <row r="207" spans="1:15" x14ac:dyDescent="0.3">
      <c r="A207" s="39" t="s">
        <v>23</v>
      </c>
      <c r="B207" s="39" t="s">
        <v>82</v>
      </c>
      <c r="C207" s="39" t="s">
        <v>139</v>
      </c>
      <c r="D207" s="39" t="s">
        <v>859</v>
      </c>
      <c r="E207" s="39" t="s">
        <v>860</v>
      </c>
      <c r="F207" s="37">
        <v>25000</v>
      </c>
      <c r="G207" s="37">
        <v>27280.08987</v>
      </c>
      <c r="H207" s="37">
        <v>7.2561400000000003</v>
      </c>
      <c r="I207" s="367">
        <v>108.236</v>
      </c>
      <c r="K207" s="93" t="str">
        <f t="shared" si="16"/>
        <v>EURO</v>
      </c>
      <c r="L207" s="93" t="str">
        <f t="shared" si="18"/>
        <v>RESINV1USD_3Y_EURO</v>
      </c>
      <c r="M207" s="93" t="str">
        <f t="shared" si="20"/>
        <v>COE</v>
      </c>
      <c r="N207" s="154">
        <f t="shared" si="17"/>
        <v>25000</v>
      </c>
      <c r="O207" s="93">
        <f t="shared" si="19"/>
        <v>7.2561400000000003</v>
      </c>
    </row>
    <row r="208" spans="1:15" x14ac:dyDescent="0.3">
      <c r="A208" s="39" t="s">
        <v>23</v>
      </c>
      <c r="B208" s="39" t="s">
        <v>82</v>
      </c>
      <c r="C208" s="39" t="s">
        <v>139</v>
      </c>
      <c r="D208" s="39" t="s">
        <v>606</v>
      </c>
      <c r="E208" s="39" t="s">
        <v>607</v>
      </c>
      <c r="F208" s="37">
        <v>70000</v>
      </c>
      <c r="G208" s="37">
        <v>70411.749540000004</v>
      </c>
      <c r="H208" s="37">
        <v>19.534990000000001</v>
      </c>
      <c r="I208" s="367">
        <v>100.40349999999999</v>
      </c>
      <c r="K208" s="93" t="str">
        <f t="shared" si="16"/>
        <v>EURO</v>
      </c>
      <c r="L208" s="93" t="str">
        <f t="shared" si="18"/>
        <v>RESINV1USD_3Y_EURO</v>
      </c>
      <c r="M208" s="93" t="str">
        <f t="shared" si="20"/>
        <v>KOMIN</v>
      </c>
      <c r="N208" s="154">
        <f t="shared" si="17"/>
        <v>70000</v>
      </c>
      <c r="O208" s="93">
        <f t="shared" si="19"/>
        <v>19.534990000000001</v>
      </c>
    </row>
    <row r="209" spans="1:15" x14ac:dyDescent="0.3">
      <c r="A209" s="39" t="s">
        <v>23</v>
      </c>
      <c r="B209" s="39" t="s">
        <v>82</v>
      </c>
      <c r="C209" s="39" t="s">
        <v>139</v>
      </c>
      <c r="D209" s="39" t="s">
        <v>34</v>
      </c>
      <c r="E209" s="39" t="s">
        <v>36</v>
      </c>
      <c r="F209" s="37">
        <v>0</v>
      </c>
      <c r="G209" s="37">
        <v>0</v>
      </c>
      <c r="H209" s="37">
        <v>0</v>
      </c>
      <c r="I209" s="367">
        <v>105.9922</v>
      </c>
      <c r="K209" s="93" t="str">
        <f t="shared" ref="K209:K272" si="21">IF(G209=0,"",IF(C209="REPO","REPO",IF(C209="BONDFUT","BONDFUT",IF(C209="DEPOFUT","DEPOFUT",IF(C209="IRSWAP","IRSWAP",IF(D209="FX-SWAP","FX-SWAP",IF(OR(C209="BOND",C209="BILL"),IF(OR(LEFT(D209,4)="UST2",LEFT(D209,4)="USB2"),"GOVT",IF(LEFT(D209,7)&lt;&gt;"USCPCADES","EURO","DEPO")),"DEPO")))))))</f>
        <v/>
      </c>
      <c r="L209" s="93" t="str">
        <f t="shared" si="18"/>
        <v/>
      </c>
      <c r="M209" s="93" t="str">
        <f t="shared" si="20"/>
        <v/>
      </c>
      <c r="N209" s="154">
        <f t="shared" si="17"/>
        <v>0</v>
      </c>
      <c r="O209" s="93">
        <f t="shared" si="19"/>
        <v>0</v>
      </c>
    </row>
    <row r="210" spans="1:15" x14ac:dyDescent="0.3">
      <c r="A210" s="39" t="s">
        <v>23</v>
      </c>
      <c r="B210" s="39" t="s">
        <v>82</v>
      </c>
      <c r="C210" s="39" t="s">
        <v>139</v>
      </c>
      <c r="D210" s="39" t="s">
        <v>358</v>
      </c>
      <c r="E210" s="39" t="s">
        <v>359</v>
      </c>
      <c r="F210" s="37">
        <v>15000</v>
      </c>
      <c r="G210" s="37">
        <v>15795.44436</v>
      </c>
      <c r="H210" s="37">
        <v>4.3260899999999998</v>
      </c>
      <c r="I210" s="367">
        <v>104.849</v>
      </c>
      <c r="K210" s="93" t="str">
        <f t="shared" si="21"/>
        <v>EURO</v>
      </c>
      <c r="L210" s="93" t="str">
        <f t="shared" si="18"/>
        <v>RESINV1USD_3Y_EURO</v>
      </c>
      <c r="M210" s="93" t="str">
        <f t="shared" si="20"/>
        <v>KBN</v>
      </c>
      <c r="N210" s="154">
        <f t="shared" si="17"/>
        <v>15000</v>
      </c>
      <c r="O210" s="93">
        <f t="shared" si="19"/>
        <v>4.3260899999999998</v>
      </c>
    </row>
    <row r="211" spans="1:15" x14ac:dyDescent="0.3">
      <c r="A211" s="39" t="s">
        <v>23</v>
      </c>
      <c r="B211" s="39" t="s">
        <v>82</v>
      </c>
      <c r="C211" s="39" t="s">
        <v>275</v>
      </c>
      <c r="D211" s="39" t="s">
        <v>909</v>
      </c>
      <c r="E211" s="39" t="s">
        <v>909</v>
      </c>
      <c r="F211" s="37">
        <v>-45600</v>
      </c>
      <c r="G211" s="37">
        <v>13.643049999999999</v>
      </c>
      <c r="H211" s="37">
        <v>-8.5948600000000006</v>
      </c>
      <c r="I211" s="367">
        <v>110.0859</v>
      </c>
      <c r="K211" s="93" t="str">
        <f t="shared" si="21"/>
        <v>BONDFUT</v>
      </c>
      <c r="L211" s="93" t="str">
        <f t="shared" si="18"/>
        <v>RESINV1USD_3Y_BONDFUT</v>
      </c>
      <c r="M211" s="93" t="str">
        <f t="shared" si="20"/>
        <v/>
      </c>
      <c r="N211" s="154">
        <f t="shared" si="17"/>
        <v>-45600</v>
      </c>
      <c r="O211" s="93">
        <f t="shared" si="19"/>
        <v>-8.5948600000000006</v>
      </c>
    </row>
    <row r="212" spans="1:15" x14ac:dyDescent="0.3">
      <c r="A212" s="39" t="s">
        <v>23</v>
      </c>
      <c r="B212" s="39" t="s">
        <v>82</v>
      </c>
      <c r="C212" s="39" t="s">
        <v>294</v>
      </c>
      <c r="D212" s="39" t="s">
        <v>355</v>
      </c>
      <c r="E212" s="39" t="s">
        <v>355</v>
      </c>
      <c r="F212" s="37">
        <v>-396000</v>
      </c>
      <c r="G212" s="37">
        <v>301.0625</v>
      </c>
      <c r="H212" s="37">
        <v>-9.915989999999999</v>
      </c>
      <c r="K212" s="93" t="str">
        <f t="shared" si="21"/>
        <v>DEPOFUT</v>
      </c>
      <c r="L212" s="93" t="str">
        <f t="shared" si="18"/>
        <v>RESINV1USD_3Y_DEPOFUT</v>
      </c>
      <c r="M212" s="93" t="str">
        <f t="shared" si="20"/>
        <v/>
      </c>
      <c r="N212" s="154">
        <f t="shared" si="17"/>
        <v>-396000</v>
      </c>
      <c r="O212" s="93">
        <f t="shared" si="19"/>
        <v>-9.915989999999999</v>
      </c>
    </row>
    <row r="213" spans="1:15" x14ac:dyDescent="0.3">
      <c r="A213" s="39" t="s">
        <v>23</v>
      </c>
      <c r="B213" s="39" t="s">
        <v>82</v>
      </c>
      <c r="C213" s="39" t="s">
        <v>294</v>
      </c>
      <c r="D213" s="39" t="s">
        <v>356</v>
      </c>
      <c r="E213" s="39" t="s">
        <v>356</v>
      </c>
      <c r="F213" s="37">
        <v>-307000</v>
      </c>
      <c r="G213" s="37">
        <v>239.32499999999999</v>
      </c>
      <c r="H213" s="37">
        <v>-7.68912</v>
      </c>
      <c r="K213" s="93" t="str">
        <f t="shared" si="21"/>
        <v>DEPOFUT</v>
      </c>
      <c r="L213" s="93" t="str">
        <f t="shared" si="18"/>
        <v>RESINV1USD_3Y_DEPOFUT</v>
      </c>
      <c r="M213" s="93" t="str">
        <f t="shared" si="20"/>
        <v/>
      </c>
      <c r="N213" s="154">
        <f t="shared" si="17"/>
        <v>-307000</v>
      </c>
      <c r="O213" s="93">
        <f t="shared" si="19"/>
        <v>-7.68912</v>
      </c>
    </row>
    <row r="214" spans="1:15" x14ac:dyDescent="0.3">
      <c r="A214" s="39" t="s">
        <v>23</v>
      </c>
      <c r="B214" s="39" t="s">
        <v>82</v>
      </c>
      <c r="C214" s="39" t="s">
        <v>294</v>
      </c>
      <c r="D214" s="39" t="s">
        <v>357</v>
      </c>
      <c r="E214" s="39" t="s">
        <v>357</v>
      </c>
      <c r="F214" s="37">
        <v>-285000</v>
      </c>
      <c r="G214" s="37">
        <v>204.58750000000001</v>
      </c>
      <c r="H214" s="37">
        <v>-7.1397700000000004</v>
      </c>
      <c r="K214" s="93" t="str">
        <f t="shared" si="21"/>
        <v>DEPOFUT</v>
      </c>
      <c r="L214" s="93" t="str">
        <f t="shared" si="18"/>
        <v>RESINV1USD_3Y_DEPOFUT</v>
      </c>
      <c r="M214" s="93" t="str">
        <f t="shared" si="20"/>
        <v/>
      </c>
      <c r="N214" s="154">
        <f t="shared" si="17"/>
        <v>-285000</v>
      </c>
      <c r="O214" s="93">
        <f t="shared" si="19"/>
        <v>-7.1397700000000004</v>
      </c>
    </row>
    <row r="215" spans="1:15" x14ac:dyDescent="0.3">
      <c r="A215" s="39" t="s">
        <v>23</v>
      </c>
      <c r="B215" s="39" t="s">
        <v>82</v>
      </c>
      <c r="C215" s="39" t="s">
        <v>294</v>
      </c>
      <c r="D215" s="39" t="s">
        <v>372</v>
      </c>
      <c r="E215" s="39" t="s">
        <v>372</v>
      </c>
      <c r="F215" s="37">
        <v>-108000</v>
      </c>
      <c r="G215" s="37">
        <v>128.625</v>
      </c>
      <c r="H215" s="37">
        <v>-2.7063000000000001</v>
      </c>
      <c r="K215" s="93" t="str">
        <f t="shared" si="21"/>
        <v>DEPOFUT</v>
      </c>
      <c r="L215" s="93" t="str">
        <f t="shared" si="18"/>
        <v>RESINV1USD_3Y_DEPOFUT</v>
      </c>
      <c r="M215" s="93" t="str">
        <f t="shared" si="20"/>
        <v/>
      </c>
      <c r="N215" s="154">
        <f t="shared" si="17"/>
        <v>-108000</v>
      </c>
      <c r="O215" s="93">
        <f t="shared" si="19"/>
        <v>-2.7063000000000001</v>
      </c>
    </row>
    <row r="216" spans="1:15" x14ac:dyDescent="0.3">
      <c r="A216" s="39" t="s">
        <v>23</v>
      </c>
      <c r="B216" s="39" t="s">
        <v>84</v>
      </c>
      <c r="C216" s="39" t="s">
        <v>139</v>
      </c>
      <c r="D216" s="39" t="s">
        <v>360</v>
      </c>
      <c r="E216" s="39" t="s">
        <v>361</v>
      </c>
      <c r="F216" s="37">
        <v>27000</v>
      </c>
      <c r="G216" s="37">
        <v>28840.096699999998</v>
      </c>
      <c r="H216" s="37">
        <v>8.1166099999999997</v>
      </c>
      <c r="I216" s="367">
        <v>104.039</v>
      </c>
      <c r="K216" s="93" t="str">
        <f t="shared" si="21"/>
        <v>EURO</v>
      </c>
      <c r="L216" s="93" t="str">
        <f t="shared" si="18"/>
        <v>RESINV1USD_5Y_EURO</v>
      </c>
      <c r="M216" s="93" t="str">
        <f t="shared" si="20"/>
        <v>BNG</v>
      </c>
      <c r="N216" s="154">
        <f t="shared" si="17"/>
        <v>27000</v>
      </c>
      <c r="O216" s="93">
        <f t="shared" si="19"/>
        <v>8.1166099999999997</v>
      </c>
    </row>
    <row r="217" spans="1:15" x14ac:dyDescent="0.3">
      <c r="A217" s="39" t="s">
        <v>23</v>
      </c>
      <c r="B217" s="39" t="s">
        <v>84</v>
      </c>
      <c r="C217" s="39" t="s">
        <v>139</v>
      </c>
      <c r="D217" s="39" t="s">
        <v>362</v>
      </c>
      <c r="E217" s="39" t="s">
        <v>363</v>
      </c>
      <c r="F217" s="37">
        <v>15000</v>
      </c>
      <c r="G217" s="37">
        <v>15187.76125</v>
      </c>
      <c r="H217" s="37">
        <v>4.6389499999999995</v>
      </c>
      <c r="I217" s="367">
        <v>100.499</v>
      </c>
      <c r="K217" s="93" t="str">
        <f t="shared" si="21"/>
        <v>EURO</v>
      </c>
      <c r="L217" s="93" t="str">
        <f t="shared" si="18"/>
        <v>RESINV1USD_5Y_EURO</v>
      </c>
      <c r="M217" s="93" t="str">
        <f t="shared" si="20"/>
        <v>CFF</v>
      </c>
      <c r="N217" s="154">
        <f t="shared" si="17"/>
        <v>15000</v>
      </c>
      <c r="O217" s="93">
        <f t="shared" si="19"/>
        <v>4.6389499999999995</v>
      </c>
    </row>
    <row r="218" spans="1:15" x14ac:dyDescent="0.3">
      <c r="A218" s="39" t="s">
        <v>23</v>
      </c>
      <c r="B218" s="39" t="s">
        <v>84</v>
      </c>
      <c r="C218" s="39" t="s">
        <v>139</v>
      </c>
      <c r="D218" s="39" t="s">
        <v>364</v>
      </c>
      <c r="E218" s="39" t="s">
        <v>365</v>
      </c>
      <c r="F218" s="37">
        <v>57000</v>
      </c>
      <c r="G218" s="37">
        <v>57746.377209999999</v>
      </c>
      <c r="H218" s="37">
        <v>18.24213</v>
      </c>
      <c r="I218" s="367">
        <v>100.881</v>
      </c>
      <c r="K218" s="93" t="str">
        <f t="shared" si="21"/>
        <v>EURO</v>
      </c>
      <c r="L218" s="93" t="str">
        <f t="shared" si="18"/>
        <v>RESINV1USD_5Y_EURO</v>
      </c>
      <c r="M218" s="93" t="str">
        <f t="shared" si="20"/>
        <v>BNG</v>
      </c>
      <c r="N218" s="154">
        <f t="shared" si="17"/>
        <v>57000</v>
      </c>
      <c r="O218" s="93">
        <f t="shared" si="19"/>
        <v>18.24213</v>
      </c>
    </row>
    <row r="219" spans="1:15" x14ac:dyDescent="0.3">
      <c r="A219" s="39" t="s">
        <v>23</v>
      </c>
      <c r="B219" s="39" t="s">
        <v>84</v>
      </c>
      <c r="C219" s="39" t="s">
        <v>139</v>
      </c>
      <c r="D219" s="39" t="s">
        <v>366</v>
      </c>
      <c r="E219" s="39" t="s">
        <v>367</v>
      </c>
      <c r="F219" s="37">
        <v>30000</v>
      </c>
      <c r="G219" s="37">
        <v>31241.253230000002</v>
      </c>
      <c r="H219" s="37">
        <v>10.44844</v>
      </c>
      <c r="I219" s="367">
        <v>102.9335</v>
      </c>
      <c r="K219" s="93" t="str">
        <f t="shared" si="21"/>
        <v>EURO</v>
      </c>
      <c r="L219" s="93" t="str">
        <f t="shared" si="18"/>
        <v>RESINV1USD_5Y_EURO</v>
      </c>
      <c r="M219" s="93" t="str">
        <f t="shared" si="20"/>
        <v>BNG</v>
      </c>
      <c r="N219" s="154">
        <f t="shared" si="17"/>
        <v>30000</v>
      </c>
      <c r="O219" s="93">
        <f t="shared" si="19"/>
        <v>10.44844</v>
      </c>
    </row>
    <row r="220" spans="1:15" x14ac:dyDescent="0.3">
      <c r="A220" s="39" t="s">
        <v>23</v>
      </c>
      <c r="B220" s="39" t="s">
        <v>84</v>
      </c>
      <c r="C220" s="39" t="s">
        <v>139</v>
      </c>
      <c r="D220" s="39" t="s">
        <v>368</v>
      </c>
      <c r="E220" s="39" t="s">
        <v>369</v>
      </c>
      <c r="F220" s="37">
        <v>5000</v>
      </c>
      <c r="G220" s="37">
        <v>5272.4880899999998</v>
      </c>
      <c r="H220" s="37">
        <v>1.7844200000000001</v>
      </c>
      <c r="I220" s="367">
        <v>104.35899999999999</v>
      </c>
      <c r="K220" s="93" t="str">
        <f t="shared" si="21"/>
        <v>EURO</v>
      </c>
      <c r="L220" s="93" t="str">
        <f t="shared" si="18"/>
        <v>RESINV1USD_5Y_EURO</v>
      </c>
      <c r="M220" s="93" t="str">
        <f t="shared" si="20"/>
        <v>KBN</v>
      </c>
      <c r="N220" s="154">
        <f t="shared" si="17"/>
        <v>5000</v>
      </c>
      <c r="O220" s="93">
        <f t="shared" si="19"/>
        <v>1.7844200000000001</v>
      </c>
    </row>
    <row r="221" spans="1:15" x14ac:dyDescent="0.3">
      <c r="A221" s="39" t="s">
        <v>23</v>
      </c>
      <c r="B221" s="39" t="s">
        <v>84</v>
      </c>
      <c r="C221" s="39" t="s">
        <v>139</v>
      </c>
      <c r="D221" s="39" t="s">
        <v>370</v>
      </c>
      <c r="E221" s="39" t="s">
        <v>371</v>
      </c>
      <c r="F221" s="37">
        <v>37000</v>
      </c>
      <c r="G221" s="37">
        <v>37562.19238</v>
      </c>
      <c r="H221" s="37">
        <v>14.24023</v>
      </c>
      <c r="I221" s="367">
        <v>101.4115</v>
      </c>
      <c r="K221" s="93" t="str">
        <f t="shared" si="21"/>
        <v>EURO</v>
      </c>
      <c r="L221" s="93" t="str">
        <f t="shared" si="18"/>
        <v>RESINV1USD_5Y_EURO</v>
      </c>
      <c r="M221" s="93" t="str">
        <f t="shared" si="20"/>
        <v>NEDWBK</v>
      </c>
      <c r="N221" s="154">
        <f t="shared" si="17"/>
        <v>37000</v>
      </c>
      <c r="O221" s="93">
        <f t="shared" si="19"/>
        <v>14.24023</v>
      </c>
    </row>
    <row r="222" spans="1:15" x14ac:dyDescent="0.3">
      <c r="A222" s="39" t="s">
        <v>23</v>
      </c>
      <c r="B222" s="39" t="s">
        <v>84</v>
      </c>
      <c r="C222" s="39" t="s">
        <v>139</v>
      </c>
      <c r="D222" s="39" t="s">
        <v>25</v>
      </c>
      <c r="E222" s="39" t="s">
        <v>37</v>
      </c>
      <c r="F222" s="37">
        <v>0</v>
      </c>
      <c r="G222" s="37">
        <v>0</v>
      </c>
      <c r="H222" s="37">
        <v>0</v>
      </c>
      <c r="K222" s="93" t="str">
        <f t="shared" si="21"/>
        <v/>
      </c>
      <c r="L222" s="93" t="str">
        <f t="shared" si="18"/>
        <v/>
      </c>
      <c r="M222" s="93" t="str">
        <f t="shared" si="20"/>
        <v/>
      </c>
      <c r="N222" s="154">
        <f t="shared" si="17"/>
        <v>0</v>
      </c>
      <c r="O222" s="93">
        <f t="shared" si="19"/>
        <v>0</v>
      </c>
    </row>
    <row r="223" spans="1:15" x14ac:dyDescent="0.3">
      <c r="A223" s="39" t="s">
        <v>23</v>
      </c>
      <c r="B223" s="39" t="s">
        <v>84</v>
      </c>
      <c r="C223" s="39" t="s">
        <v>139</v>
      </c>
      <c r="D223" s="39" t="s">
        <v>58</v>
      </c>
      <c r="E223" s="39" t="s">
        <v>59</v>
      </c>
      <c r="F223" s="37">
        <v>0</v>
      </c>
      <c r="G223" s="37">
        <v>0</v>
      </c>
      <c r="H223" s="37">
        <v>0</v>
      </c>
      <c r="I223" s="367">
        <v>100.9883</v>
      </c>
      <c r="K223" s="93" t="str">
        <f t="shared" si="21"/>
        <v/>
      </c>
      <c r="L223" s="93" t="str">
        <f t="shared" si="18"/>
        <v/>
      </c>
      <c r="M223" s="93" t="str">
        <f t="shared" si="20"/>
        <v/>
      </c>
      <c r="N223" s="154">
        <f t="shared" si="17"/>
        <v>0</v>
      </c>
      <c r="O223" s="93">
        <f t="shared" si="19"/>
        <v>0</v>
      </c>
    </row>
    <row r="224" spans="1:15" x14ac:dyDescent="0.3">
      <c r="A224" s="39" t="s">
        <v>23</v>
      </c>
      <c r="B224" s="39" t="s">
        <v>84</v>
      </c>
      <c r="C224" s="39" t="s">
        <v>139</v>
      </c>
      <c r="D224" s="39" t="s">
        <v>60</v>
      </c>
      <c r="E224" s="39" t="s">
        <v>61</v>
      </c>
      <c r="F224" s="37">
        <v>33000</v>
      </c>
      <c r="G224" s="37">
        <v>33580.661030000003</v>
      </c>
      <c r="H224" s="37">
        <v>15.551600000000001</v>
      </c>
      <c r="I224" s="367">
        <v>101.5078</v>
      </c>
      <c r="K224" s="93" t="str">
        <f t="shared" si="21"/>
        <v>GOVT</v>
      </c>
      <c r="L224" s="93" t="str">
        <f t="shared" si="18"/>
        <v>RESINV1USD_5Y_GOVT</v>
      </c>
      <c r="M224" s="93" t="str">
        <f t="shared" si="20"/>
        <v/>
      </c>
      <c r="N224" s="154">
        <f t="shared" si="17"/>
        <v>33000</v>
      </c>
      <c r="O224" s="93">
        <f t="shared" si="19"/>
        <v>15.551600000000001</v>
      </c>
    </row>
    <row r="225" spans="1:15" x14ac:dyDescent="0.3">
      <c r="A225" s="39" t="s">
        <v>23</v>
      </c>
      <c r="B225" s="39" t="s">
        <v>84</v>
      </c>
      <c r="C225" s="39" t="s">
        <v>139</v>
      </c>
      <c r="D225" s="39" t="s">
        <v>904</v>
      </c>
      <c r="E225" s="39" t="s">
        <v>905</v>
      </c>
      <c r="F225" s="37">
        <v>477000</v>
      </c>
      <c r="G225" s="37">
        <v>475665.96600000001</v>
      </c>
      <c r="H225" s="37">
        <v>230.07465999999999</v>
      </c>
      <c r="I225" s="367">
        <v>99.668000000000006</v>
      </c>
      <c r="K225" s="93" t="str">
        <f t="shared" si="21"/>
        <v>GOVT</v>
      </c>
      <c r="L225" s="93" t="str">
        <f t="shared" si="18"/>
        <v>RESINV1USD_5Y_GOVT</v>
      </c>
      <c r="M225" s="93" t="str">
        <f t="shared" si="20"/>
        <v/>
      </c>
      <c r="N225" s="154">
        <f t="shared" si="17"/>
        <v>477000</v>
      </c>
      <c r="O225" s="93">
        <f t="shared" si="19"/>
        <v>230.07465999999999</v>
      </c>
    </row>
    <row r="226" spans="1:15" x14ac:dyDescent="0.3">
      <c r="A226" s="39" t="s">
        <v>23</v>
      </c>
      <c r="B226" s="39" t="s">
        <v>84</v>
      </c>
      <c r="C226" s="39" t="s">
        <v>139</v>
      </c>
      <c r="D226" s="39" t="s">
        <v>374</v>
      </c>
      <c r="E226" s="39" t="s">
        <v>375</v>
      </c>
      <c r="F226" s="37">
        <v>10000</v>
      </c>
      <c r="G226" s="37">
        <v>10033.923789999999</v>
      </c>
      <c r="H226" s="37">
        <v>4.3062700000000005</v>
      </c>
      <c r="I226" s="367">
        <v>100</v>
      </c>
      <c r="K226" s="93" t="str">
        <f t="shared" si="21"/>
        <v>EURO</v>
      </c>
      <c r="L226" s="93" t="str">
        <f t="shared" si="18"/>
        <v>RESINV1USD_5Y_EURO</v>
      </c>
      <c r="M226" s="93" t="str">
        <f t="shared" si="20"/>
        <v>ITG</v>
      </c>
      <c r="N226" s="154">
        <f t="shared" si="17"/>
        <v>10000</v>
      </c>
      <c r="O226" s="93">
        <f t="shared" si="19"/>
        <v>4.3062700000000005</v>
      </c>
    </row>
    <row r="227" spans="1:15" x14ac:dyDescent="0.3">
      <c r="A227" s="39" t="s">
        <v>23</v>
      </c>
      <c r="B227" s="39" t="s">
        <v>84</v>
      </c>
      <c r="C227" s="39" t="s">
        <v>294</v>
      </c>
      <c r="D227" s="39" t="s">
        <v>373</v>
      </c>
      <c r="E227" s="39" t="s">
        <v>373</v>
      </c>
      <c r="F227" s="37">
        <v>-40000</v>
      </c>
      <c r="G227" s="37">
        <v>240.5</v>
      </c>
      <c r="H227" s="37">
        <v>-1.00261</v>
      </c>
      <c r="K227" s="93" t="str">
        <f t="shared" si="21"/>
        <v>DEPOFUT</v>
      </c>
      <c r="L227" s="93" t="str">
        <f t="shared" si="18"/>
        <v>RESINV1USD_5Y_DEPOFUT</v>
      </c>
      <c r="M227" s="93" t="str">
        <f t="shared" si="20"/>
        <v/>
      </c>
      <c r="N227" s="154">
        <f t="shared" si="17"/>
        <v>-40000</v>
      </c>
      <c r="O227" s="93">
        <f t="shared" si="19"/>
        <v>-1.00261</v>
      </c>
    </row>
    <row r="228" spans="1:15" x14ac:dyDescent="0.3">
      <c r="A228" s="39" t="s">
        <v>23</v>
      </c>
      <c r="B228" s="39" t="s">
        <v>84</v>
      </c>
      <c r="C228" s="39" t="s">
        <v>313</v>
      </c>
      <c r="D228" s="39" t="s">
        <v>314</v>
      </c>
      <c r="E228" s="39" t="s">
        <v>315</v>
      </c>
      <c r="F228" s="37">
        <v>350000</v>
      </c>
      <c r="G228" s="37">
        <v>350132.03282999998</v>
      </c>
      <c r="H228" s="37">
        <v>7.3333699999999995</v>
      </c>
      <c r="K228" s="93" t="str">
        <f t="shared" si="21"/>
        <v>IRSWAP</v>
      </c>
      <c r="L228" s="93" t="str">
        <f t="shared" si="18"/>
        <v>RESINV1USD_5Y_IRSWAP</v>
      </c>
      <c r="M228" s="93" t="str">
        <f t="shared" si="20"/>
        <v/>
      </c>
      <c r="N228" s="154">
        <f t="shared" si="17"/>
        <v>350000</v>
      </c>
      <c r="O228" s="93">
        <f t="shared" si="19"/>
        <v>7.3333699999999995</v>
      </c>
    </row>
    <row r="229" spans="1:15" x14ac:dyDescent="0.3">
      <c r="A229" s="39" t="s">
        <v>23</v>
      </c>
      <c r="B229" s="39" t="s">
        <v>84</v>
      </c>
      <c r="C229" s="39" t="s">
        <v>313</v>
      </c>
      <c r="D229" s="39" t="s">
        <v>316</v>
      </c>
      <c r="E229" s="39" t="s">
        <v>315</v>
      </c>
      <c r="F229" s="37">
        <v>-350000</v>
      </c>
      <c r="G229" s="37">
        <v>-363919.88389</v>
      </c>
      <c r="H229" s="37">
        <v>-146.78339000000003</v>
      </c>
      <c r="K229" s="93" t="str">
        <f t="shared" si="21"/>
        <v>IRSWAP</v>
      </c>
      <c r="L229" s="93" t="str">
        <f t="shared" si="18"/>
        <v>RESINV1USD_5Y_IRSWAP</v>
      </c>
      <c r="M229" s="93" t="str">
        <f t="shared" si="20"/>
        <v/>
      </c>
      <c r="N229" s="154">
        <f t="shared" si="17"/>
        <v>-350000</v>
      </c>
      <c r="O229" s="93">
        <f t="shared" si="19"/>
        <v>-146.78339000000003</v>
      </c>
    </row>
    <row r="230" spans="1:15" x14ac:dyDescent="0.3">
      <c r="A230" s="39" t="s">
        <v>23</v>
      </c>
      <c r="B230" s="39" t="s">
        <v>86</v>
      </c>
      <c r="C230" s="39" t="s">
        <v>139</v>
      </c>
      <c r="D230" s="39" t="s">
        <v>942</v>
      </c>
      <c r="E230" s="39" t="s">
        <v>943</v>
      </c>
      <c r="F230" s="37">
        <v>346000</v>
      </c>
      <c r="G230" s="37">
        <v>-44.426819999999999</v>
      </c>
      <c r="H230" s="37">
        <v>170.15159</v>
      </c>
      <c r="K230" s="93" t="str">
        <f t="shared" si="21"/>
        <v>GOVT</v>
      </c>
      <c r="L230" s="93" t="str">
        <f t="shared" si="18"/>
        <v>RESINV1USD_7Y_GOVT</v>
      </c>
      <c r="M230" s="93" t="str">
        <f t="shared" si="20"/>
        <v/>
      </c>
      <c r="N230" s="154">
        <f t="shared" si="17"/>
        <v>346000</v>
      </c>
      <c r="O230" s="93">
        <f t="shared" si="19"/>
        <v>170.15159</v>
      </c>
    </row>
    <row r="231" spans="1:15" x14ac:dyDescent="0.3">
      <c r="A231" s="39" t="s">
        <v>23</v>
      </c>
      <c r="B231" s="39" t="s">
        <v>89</v>
      </c>
      <c r="C231" s="39" t="s">
        <v>139</v>
      </c>
      <c r="D231" s="39" t="s">
        <v>62</v>
      </c>
      <c r="E231" s="39" t="s">
        <v>63</v>
      </c>
      <c r="F231" s="37">
        <v>0</v>
      </c>
      <c r="G231" s="37">
        <v>0</v>
      </c>
      <c r="H231" s="37">
        <v>0</v>
      </c>
      <c r="I231" s="367">
        <v>104.3047</v>
      </c>
      <c r="K231" s="93" t="str">
        <f t="shared" si="21"/>
        <v/>
      </c>
      <c r="L231" s="93" t="str">
        <f t="shared" si="18"/>
        <v/>
      </c>
      <c r="M231" s="93" t="str">
        <f t="shared" si="20"/>
        <v/>
      </c>
      <c r="N231" s="154">
        <f t="shared" si="17"/>
        <v>0</v>
      </c>
      <c r="O231" s="93">
        <f t="shared" si="19"/>
        <v>0</v>
      </c>
    </row>
    <row r="232" spans="1:15" x14ac:dyDescent="0.3">
      <c r="A232" s="39" t="s">
        <v>23</v>
      </c>
      <c r="B232" s="39" t="s">
        <v>89</v>
      </c>
      <c r="C232" s="39" t="s">
        <v>139</v>
      </c>
      <c r="D232" s="39" t="s">
        <v>64</v>
      </c>
      <c r="E232" s="39" t="s">
        <v>65</v>
      </c>
      <c r="F232" s="37">
        <v>212000</v>
      </c>
      <c r="G232" s="37">
        <v>222090.6642</v>
      </c>
      <c r="H232" s="37">
        <v>193.34632999999999</v>
      </c>
      <c r="I232" s="367">
        <v>104.0039</v>
      </c>
      <c r="K232" s="93" t="str">
        <f t="shared" si="21"/>
        <v>GOVT</v>
      </c>
      <c r="L232" s="93" t="str">
        <f t="shared" si="18"/>
        <v>RESINV1USD_10Y_GOVT</v>
      </c>
      <c r="M232" s="93" t="str">
        <f t="shared" si="20"/>
        <v/>
      </c>
      <c r="N232" s="154">
        <f t="shared" si="17"/>
        <v>212000</v>
      </c>
      <c r="O232" s="93">
        <f t="shared" si="19"/>
        <v>193.34632999999999</v>
      </c>
    </row>
    <row r="233" spans="1:15" x14ac:dyDescent="0.3">
      <c r="A233" s="39" t="s">
        <v>23</v>
      </c>
      <c r="B233" s="39" t="s">
        <v>89</v>
      </c>
      <c r="C233" s="39" t="s">
        <v>139</v>
      </c>
      <c r="D233" s="39" t="s">
        <v>857</v>
      </c>
      <c r="E233" s="39" t="s">
        <v>858</v>
      </c>
      <c r="F233" s="37">
        <v>268000</v>
      </c>
      <c r="G233" s="37">
        <v>287841.98520999996</v>
      </c>
      <c r="H233" s="37">
        <v>246.32791</v>
      </c>
      <c r="I233" s="367">
        <v>101.4766</v>
      </c>
      <c r="K233" s="93" t="str">
        <f t="shared" si="21"/>
        <v>GOVT</v>
      </c>
      <c r="L233" s="93" t="str">
        <f t="shared" si="18"/>
        <v>RESINV1USD_10Y_GOVT</v>
      </c>
      <c r="M233" s="93" t="str">
        <f t="shared" si="20"/>
        <v/>
      </c>
      <c r="N233" s="154">
        <f t="shared" si="17"/>
        <v>268000</v>
      </c>
      <c r="O233" s="93">
        <f t="shared" si="19"/>
        <v>246.32791</v>
      </c>
    </row>
    <row r="234" spans="1:15" x14ac:dyDescent="0.3">
      <c r="A234" s="39" t="s">
        <v>30</v>
      </c>
      <c r="B234" s="39" t="s">
        <v>22</v>
      </c>
      <c r="D234" s="39" t="s">
        <v>132</v>
      </c>
      <c r="E234" s="39" t="s">
        <v>132</v>
      </c>
      <c r="F234" s="37">
        <v>101695.00744</v>
      </c>
      <c r="G234" s="37">
        <v>58109.637459999998</v>
      </c>
      <c r="H234" s="37">
        <v>0</v>
      </c>
      <c r="K234" s="93" t="str">
        <f t="shared" si="21"/>
        <v>DEPO</v>
      </c>
      <c r="L234" s="93" t="str">
        <f t="shared" si="18"/>
        <v>RESSWAPORUSD_O/N_REPO</v>
      </c>
      <c r="M234" s="93" t="str">
        <f t="shared" si="20"/>
        <v/>
      </c>
      <c r="N234" s="154">
        <f t="shared" si="17"/>
        <v>101695.00744</v>
      </c>
      <c r="O234" s="93">
        <f t="shared" si="19"/>
        <v>0</v>
      </c>
    </row>
    <row r="235" spans="1:15" x14ac:dyDescent="0.3">
      <c r="K235" s="93" t="str">
        <f t="shared" si="21"/>
        <v/>
      </c>
      <c r="L235" s="93" t="str">
        <f t="shared" si="18"/>
        <v/>
      </c>
      <c r="M235" s="93" t="str">
        <f t="shared" si="20"/>
        <v/>
      </c>
      <c r="N235" s="154" t="str">
        <f t="shared" si="17"/>
        <v/>
      </c>
      <c r="O235" s="93">
        <f t="shared" si="19"/>
        <v>0</v>
      </c>
    </row>
    <row r="236" spans="1:15" x14ac:dyDescent="0.3">
      <c r="K236" s="93" t="str">
        <f t="shared" si="21"/>
        <v/>
      </c>
      <c r="L236" s="93" t="str">
        <f t="shared" si="18"/>
        <v/>
      </c>
      <c r="M236" s="93" t="str">
        <f t="shared" si="20"/>
        <v/>
      </c>
      <c r="N236" s="154" t="str">
        <f t="shared" si="17"/>
        <v/>
      </c>
      <c r="O236" s="93">
        <f t="shared" si="19"/>
        <v>0</v>
      </c>
    </row>
    <row r="237" spans="1:15" x14ac:dyDescent="0.3">
      <c r="K237" s="93" t="str">
        <f t="shared" si="21"/>
        <v/>
      </c>
      <c r="L237" s="93" t="str">
        <f t="shared" si="18"/>
        <v/>
      </c>
      <c r="M237" s="93" t="str">
        <f t="shared" si="20"/>
        <v/>
      </c>
      <c r="N237" s="154" t="str">
        <f t="shared" si="17"/>
        <v/>
      </c>
      <c r="O237" s="93">
        <f t="shared" si="19"/>
        <v>0</v>
      </c>
    </row>
    <row r="238" spans="1:15" x14ac:dyDescent="0.3">
      <c r="K238" s="93" t="str">
        <f t="shared" si="21"/>
        <v/>
      </c>
      <c r="L238" s="93" t="str">
        <f t="shared" si="18"/>
        <v/>
      </c>
      <c r="M238" s="93" t="str">
        <f t="shared" si="20"/>
        <v/>
      </c>
      <c r="N238" s="154" t="str">
        <f t="shared" si="17"/>
        <v/>
      </c>
      <c r="O238" s="93">
        <f t="shared" si="19"/>
        <v>0</v>
      </c>
    </row>
    <row r="239" spans="1:15" x14ac:dyDescent="0.3">
      <c r="K239" s="93" t="str">
        <f t="shared" si="21"/>
        <v/>
      </c>
      <c r="L239" s="93" t="str">
        <f t="shared" si="18"/>
        <v/>
      </c>
      <c r="M239" s="93" t="str">
        <f t="shared" si="20"/>
        <v/>
      </c>
      <c r="N239" s="154" t="str">
        <f t="shared" si="17"/>
        <v/>
      </c>
      <c r="O239" s="93">
        <f t="shared" si="19"/>
        <v>0</v>
      </c>
    </row>
    <row r="240" spans="1:15" x14ac:dyDescent="0.3">
      <c r="K240" s="93" t="str">
        <f t="shared" si="21"/>
        <v/>
      </c>
      <c r="L240" s="93" t="str">
        <f t="shared" si="18"/>
        <v/>
      </c>
      <c r="M240" s="93" t="str">
        <f t="shared" si="20"/>
        <v/>
      </c>
      <c r="N240" s="154" t="str">
        <f t="shared" si="17"/>
        <v/>
      </c>
      <c r="O240" s="93">
        <f t="shared" si="19"/>
        <v>0</v>
      </c>
    </row>
    <row r="241" spans="11:15" x14ac:dyDescent="0.3">
      <c r="K241" s="93" t="str">
        <f t="shared" si="21"/>
        <v/>
      </c>
      <c r="L241" s="93" t="str">
        <f t="shared" si="18"/>
        <v/>
      </c>
      <c r="M241" s="93" t="str">
        <f t="shared" si="20"/>
        <v/>
      </c>
      <c r="N241" s="154" t="str">
        <f t="shared" si="17"/>
        <v/>
      </c>
      <c r="O241" s="93">
        <f t="shared" si="19"/>
        <v>0</v>
      </c>
    </row>
    <row r="242" spans="11:15" x14ac:dyDescent="0.3">
      <c r="K242" s="93" t="str">
        <f t="shared" si="21"/>
        <v/>
      </c>
      <c r="L242" s="93" t="str">
        <f t="shared" si="18"/>
        <v/>
      </c>
      <c r="M242" s="93" t="str">
        <f t="shared" si="20"/>
        <v/>
      </c>
      <c r="N242" s="154" t="str">
        <f t="shared" si="17"/>
        <v/>
      </c>
      <c r="O242" s="93">
        <f t="shared" si="19"/>
        <v>0</v>
      </c>
    </row>
    <row r="243" spans="11:15" x14ac:dyDescent="0.3">
      <c r="K243" s="93" t="str">
        <f t="shared" si="21"/>
        <v/>
      </c>
      <c r="L243" s="93" t="str">
        <f t="shared" si="18"/>
        <v/>
      </c>
      <c r="M243" s="93" t="str">
        <f t="shared" si="20"/>
        <v/>
      </c>
      <c r="N243" s="154" t="str">
        <f t="shared" si="17"/>
        <v/>
      </c>
      <c r="O243" s="93">
        <f t="shared" si="19"/>
        <v>0</v>
      </c>
    </row>
    <row r="244" spans="11:15" x14ac:dyDescent="0.3">
      <c r="K244" s="93" t="str">
        <f t="shared" si="21"/>
        <v/>
      </c>
      <c r="L244" s="93" t="str">
        <f t="shared" si="18"/>
        <v/>
      </c>
      <c r="M244" s="93" t="str">
        <f t="shared" si="20"/>
        <v/>
      </c>
      <c r="N244" s="154" t="str">
        <f t="shared" si="17"/>
        <v/>
      </c>
      <c r="O244" s="93">
        <f t="shared" si="19"/>
        <v>0</v>
      </c>
    </row>
    <row r="245" spans="11:15" x14ac:dyDescent="0.3">
      <c r="K245" s="93" t="str">
        <f t="shared" si="21"/>
        <v/>
      </c>
      <c r="L245" s="93" t="str">
        <f t="shared" si="18"/>
        <v/>
      </c>
      <c r="M245" s="93" t="str">
        <f t="shared" si="20"/>
        <v/>
      </c>
      <c r="N245" s="154" t="str">
        <f t="shared" si="17"/>
        <v/>
      </c>
      <c r="O245" s="93">
        <f t="shared" si="19"/>
        <v>0</v>
      </c>
    </row>
    <row r="246" spans="11:15" x14ac:dyDescent="0.3">
      <c r="K246" s="93" t="str">
        <f t="shared" si="21"/>
        <v/>
      </c>
      <c r="L246" s="93" t="str">
        <f t="shared" si="18"/>
        <v/>
      </c>
      <c r="M246" s="93" t="str">
        <f t="shared" si="20"/>
        <v/>
      </c>
      <c r="N246" s="154" t="str">
        <f t="shared" si="17"/>
        <v/>
      </c>
      <c r="O246" s="93">
        <f t="shared" si="19"/>
        <v>0</v>
      </c>
    </row>
    <row r="247" spans="11:15" x14ac:dyDescent="0.3">
      <c r="K247" s="93" t="str">
        <f t="shared" si="21"/>
        <v/>
      </c>
      <c r="L247" s="93" t="str">
        <f t="shared" si="18"/>
        <v/>
      </c>
      <c r="M247" s="93" t="str">
        <f t="shared" si="20"/>
        <v/>
      </c>
      <c r="N247" s="154" t="str">
        <f t="shared" si="17"/>
        <v/>
      </c>
      <c r="O247" s="93">
        <f t="shared" si="19"/>
        <v>0</v>
      </c>
    </row>
    <row r="248" spans="11:15" x14ac:dyDescent="0.3">
      <c r="K248" s="93" t="str">
        <f t="shared" si="21"/>
        <v/>
      </c>
      <c r="L248" s="93" t="str">
        <f t="shared" si="18"/>
        <v/>
      </c>
      <c r="M248" s="93" t="str">
        <f t="shared" si="20"/>
        <v/>
      </c>
      <c r="N248" s="154" t="str">
        <f t="shared" si="17"/>
        <v/>
      </c>
      <c r="O248" s="93">
        <f t="shared" si="19"/>
        <v>0</v>
      </c>
    </row>
    <row r="249" spans="11:15" x14ac:dyDescent="0.3">
      <c r="K249" s="93" t="str">
        <f t="shared" si="21"/>
        <v/>
      </c>
      <c r="L249" s="93" t="str">
        <f t="shared" si="18"/>
        <v/>
      </c>
      <c r="M249" s="93" t="str">
        <f t="shared" si="20"/>
        <v/>
      </c>
      <c r="N249" s="154" t="str">
        <f t="shared" si="17"/>
        <v/>
      </c>
      <c r="O249" s="93">
        <f t="shared" si="19"/>
        <v>0</v>
      </c>
    </row>
    <row r="250" spans="11:15" x14ac:dyDescent="0.3">
      <c r="K250" s="93" t="str">
        <f t="shared" si="21"/>
        <v/>
      </c>
      <c r="L250" s="93" t="str">
        <f t="shared" si="18"/>
        <v/>
      </c>
      <c r="M250" s="93" t="str">
        <f t="shared" si="20"/>
        <v/>
      </c>
      <c r="N250" s="154" t="str">
        <f t="shared" si="17"/>
        <v/>
      </c>
      <c r="O250" s="93">
        <f t="shared" si="19"/>
        <v>0</v>
      </c>
    </row>
    <row r="251" spans="11:15" x14ac:dyDescent="0.3">
      <c r="K251" s="93" t="str">
        <f t="shared" si="21"/>
        <v/>
      </c>
      <c r="L251" s="93" t="str">
        <f t="shared" si="18"/>
        <v/>
      </c>
      <c r="M251" s="93" t="str">
        <f t="shared" si="20"/>
        <v/>
      </c>
      <c r="N251" s="154" t="str">
        <f t="shared" si="17"/>
        <v/>
      </c>
      <c r="O251" s="93">
        <f t="shared" si="19"/>
        <v>0</v>
      </c>
    </row>
    <row r="252" spans="11:15" x14ac:dyDescent="0.3">
      <c r="K252" s="93" t="str">
        <f t="shared" si="21"/>
        <v/>
      </c>
      <c r="L252" s="93" t="str">
        <f t="shared" si="18"/>
        <v/>
      </c>
      <c r="M252" s="93" t="str">
        <f t="shared" si="20"/>
        <v/>
      </c>
      <c r="N252" s="154" t="str">
        <f t="shared" si="17"/>
        <v/>
      </c>
      <c r="O252" s="93">
        <f t="shared" si="19"/>
        <v>0</v>
      </c>
    </row>
    <row r="253" spans="11:15" x14ac:dyDescent="0.3">
      <c r="K253" s="93" t="str">
        <f t="shared" si="21"/>
        <v/>
      </c>
      <c r="L253" s="93" t="str">
        <f t="shared" si="18"/>
        <v/>
      </c>
      <c r="M253" s="93" t="str">
        <f t="shared" si="20"/>
        <v/>
      </c>
      <c r="N253" s="154" t="str">
        <f t="shared" si="17"/>
        <v/>
      </c>
      <c r="O253" s="93">
        <f t="shared" si="19"/>
        <v>0</v>
      </c>
    </row>
    <row r="254" spans="11:15" x14ac:dyDescent="0.3">
      <c r="K254" s="93" t="str">
        <f t="shared" si="21"/>
        <v/>
      </c>
      <c r="L254" s="93" t="str">
        <f t="shared" si="18"/>
        <v/>
      </c>
      <c r="M254" s="93" t="str">
        <f t="shared" si="20"/>
        <v/>
      </c>
      <c r="N254" s="154" t="str">
        <f t="shared" si="17"/>
        <v/>
      </c>
      <c r="O254" s="93">
        <f t="shared" si="19"/>
        <v>0</v>
      </c>
    </row>
    <row r="255" spans="11:15" x14ac:dyDescent="0.3">
      <c r="K255" s="93" t="str">
        <f t="shared" si="21"/>
        <v/>
      </c>
      <c r="L255" s="93" t="str">
        <f t="shared" si="18"/>
        <v/>
      </c>
      <c r="M255" s="93" t="str">
        <f t="shared" si="20"/>
        <v/>
      </c>
      <c r="N255" s="154" t="str">
        <f t="shared" si="17"/>
        <v/>
      </c>
      <c r="O255" s="93">
        <f t="shared" si="19"/>
        <v>0</v>
      </c>
    </row>
    <row r="256" spans="11:15" x14ac:dyDescent="0.3">
      <c r="K256" s="93" t="str">
        <f t="shared" si="21"/>
        <v/>
      </c>
      <c r="L256" s="93" t="str">
        <f t="shared" si="18"/>
        <v/>
      </c>
      <c r="M256" s="93" t="str">
        <f t="shared" si="20"/>
        <v/>
      </c>
      <c r="N256" s="154" t="str">
        <f t="shared" si="17"/>
        <v/>
      </c>
      <c r="O256" s="93">
        <f t="shared" si="19"/>
        <v>0</v>
      </c>
    </row>
    <row r="257" spans="11:15" x14ac:dyDescent="0.3">
      <c r="K257" s="93" t="str">
        <f t="shared" si="21"/>
        <v/>
      </c>
      <c r="L257" s="93" t="str">
        <f t="shared" si="18"/>
        <v/>
      </c>
      <c r="M257" s="93" t="str">
        <f t="shared" si="20"/>
        <v/>
      </c>
      <c r="N257" s="154" t="str">
        <f t="shared" si="17"/>
        <v/>
      </c>
      <c r="O257" s="93">
        <f t="shared" si="19"/>
        <v>0</v>
      </c>
    </row>
    <row r="258" spans="11:15" x14ac:dyDescent="0.3">
      <c r="K258" s="93" t="str">
        <f t="shared" si="21"/>
        <v/>
      </c>
      <c r="L258" s="93" t="str">
        <f t="shared" si="18"/>
        <v/>
      </c>
      <c r="M258" s="93" t="str">
        <f t="shared" si="20"/>
        <v/>
      </c>
      <c r="N258" s="154" t="str">
        <f t="shared" ref="N258:N321" si="22">IF(A258="","",IF(A258="BKINV1USD",-F258*ratioPV,F258))</f>
        <v/>
      </c>
      <c r="O258" s="93">
        <f t="shared" si="19"/>
        <v>0</v>
      </c>
    </row>
    <row r="259" spans="11:15" x14ac:dyDescent="0.3">
      <c r="K259" s="93" t="str">
        <f t="shared" si="21"/>
        <v/>
      </c>
      <c r="L259" s="93" t="str">
        <f t="shared" ref="L259:L322" si="23">IF(G259=0,"",IF(B259="Balance",CONCATENATE(A259 &amp; "_O/N_REPO"),IF(K259="",CONCATENATE(A259 &amp; "_" &amp; B259 &amp; "_" &amp; C259),CONCATENATE(A259 &amp; "_" &amp; B259 &amp; "_" &amp; K259))))</f>
        <v/>
      </c>
      <c r="M259" s="93" t="str">
        <f t="shared" si="20"/>
        <v/>
      </c>
      <c r="N259" s="154" t="str">
        <f t="shared" si="22"/>
        <v/>
      </c>
      <c r="O259" s="93">
        <f t="shared" ref="O259:O322" si="24">H259</f>
        <v>0</v>
      </c>
    </row>
    <row r="260" spans="11:15" x14ac:dyDescent="0.3">
      <c r="K260" s="93" t="str">
        <f t="shared" si="21"/>
        <v/>
      </c>
      <c r="L260" s="93" t="str">
        <f t="shared" si="23"/>
        <v/>
      </c>
      <c r="M260" s="93" t="str">
        <f t="shared" si="20"/>
        <v/>
      </c>
      <c r="N260" s="154" t="str">
        <f t="shared" si="22"/>
        <v/>
      </c>
      <c r="O260" s="93">
        <f t="shared" si="24"/>
        <v>0</v>
      </c>
    </row>
    <row r="261" spans="11:15" x14ac:dyDescent="0.3">
      <c r="K261" s="93" t="str">
        <f t="shared" si="21"/>
        <v/>
      </c>
      <c r="L261" s="93" t="str">
        <f t="shared" si="23"/>
        <v/>
      </c>
      <c r="M261" s="93" t="str">
        <f t="shared" si="20"/>
        <v/>
      </c>
      <c r="N261" s="154" t="str">
        <f t="shared" si="22"/>
        <v/>
      </c>
      <c r="O261" s="93">
        <f t="shared" si="24"/>
        <v>0</v>
      </c>
    </row>
    <row r="262" spans="11:15" x14ac:dyDescent="0.3">
      <c r="K262" s="93" t="str">
        <f t="shared" si="21"/>
        <v/>
      </c>
      <c r="L262" s="93" t="str">
        <f t="shared" si="23"/>
        <v/>
      </c>
      <c r="M262" s="93" t="str">
        <f t="shared" ref="M262:M325" si="25">IF(K262&lt;&gt;"EURO","",IF(LEFT(D262,4)="USCP",MID(D262,5,SEARCH("2",D262)-5),MID(D262,3,SEARCH("2",D262)-3)))</f>
        <v/>
      </c>
      <c r="N262" s="154" t="str">
        <f t="shared" si="22"/>
        <v/>
      </c>
      <c r="O262" s="93">
        <f t="shared" si="24"/>
        <v>0</v>
      </c>
    </row>
    <row r="263" spans="11:15" x14ac:dyDescent="0.3">
      <c r="K263" s="93" t="str">
        <f t="shared" si="21"/>
        <v/>
      </c>
      <c r="L263" s="93" t="str">
        <f t="shared" si="23"/>
        <v/>
      </c>
      <c r="M263" s="93" t="str">
        <f t="shared" si="25"/>
        <v/>
      </c>
      <c r="N263" s="154" t="str">
        <f t="shared" si="22"/>
        <v/>
      </c>
      <c r="O263" s="93">
        <f t="shared" si="24"/>
        <v>0</v>
      </c>
    </row>
    <row r="264" spans="11:15" x14ac:dyDescent="0.3">
      <c r="K264" s="93" t="str">
        <f t="shared" si="21"/>
        <v/>
      </c>
      <c r="L264" s="93" t="str">
        <f t="shared" si="23"/>
        <v/>
      </c>
      <c r="M264" s="93" t="str">
        <f t="shared" si="25"/>
        <v/>
      </c>
      <c r="N264" s="154" t="str">
        <f t="shared" si="22"/>
        <v/>
      </c>
      <c r="O264" s="93">
        <f t="shared" si="24"/>
        <v>0</v>
      </c>
    </row>
    <row r="265" spans="11:15" x14ac:dyDescent="0.3">
      <c r="K265" s="93" t="str">
        <f t="shared" si="21"/>
        <v/>
      </c>
      <c r="L265" s="93" t="str">
        <f t="shared" si="23"/>
        <v/>
      </c>
      <c r="M265" s="93" t="str">
        <f t="shared" si="25"/>
        <v/>
      </c>
      <c r="N265" s="154" t="str">
        <f t="shared" si="22"/>
        <v/>
      </c>
      <c r="O265" s="93">
        <f t="shared" si="24"/>
        <v>0</v>
      </c>
    </row>
    <row r="266" spans="11:15" x14ac:dyDescent="0.3">
      <c r="K266" s="93" t="str">
        <f t="shared" si="21"/>
        <v/>
      </c>
      <c r="L266" s="93" t="str">
        <f t="shared" si="23"/>
        <v/>
      </c>
      <c r="M266" s="93" t="str">
        <f t="shared" si="25"/>
        <v/>
      </c>
      <c r="N266" s="154" t="str">
        <f t="shared" si="22"/>
        <v/>
      </c>
      <c r="O266" s="93">
        <f t="shared" si="24"/>
        <v>0</v>
      </c>
    </row>
    <row r="267" spans="11:15" x14ac:dyDescent="0.3">
      <c r="K267" s="93" t="str">
        <f t="shared" si="21"/>
        <v/>
      </c>
      <c r="L267" s="93" t="str">
        <f t="shared" si="23"/>
        <v/>
      </c>
      <c r="M267" s="93" t="str">
        <f t="shared" si="25"/>
        <v/>
      </c>
      <c r="N267" s="154" t="str">
        <f t="shared" si="22"/>
        <v/>
      </c>
      <c r="O267" s="93">
        <f t="shared" si="24"/>
        <v>0</v>
      </c>
    </row>
    <row r="268" spans="11:15" x14ac:dyDescent="0.3">
      <c r="K268" s="93" t="str">
        <f t="shared" si="21"/>
        <v/>
      </c>
      <c r="L268" s="93" t="str">
        <f t="shared" si="23"/>
        <v/>
      </c>
      <c r="M268" s="93" t="str">
        <f t="shared" si="25"/>
        <v/>
      </c>
      <c r="N268" s="154" t="str">
        <f t="shared" si="22"/>
        <v/>
      </c>
      <c r="O268" s="93">
        <f t="shared" si="24"/>
        <v>0</v>
      </c>
    </row>
    <row r="269" spans="11:15" x14ac:dyDescent="0.3">
      <c r="K269" s="93" t="str">
        <f t="shared" si="21"/>
        <v/>
      </c>
      <c r="L269" s="93" t="str">
        <f t="shared" si="23"/>
        <v/>
      </c>
      <c r="M269" s="93" t="str">
        <f t="shared" si="25"/>
        <v/>
      </c>
      <c r="N269" s="154" t="str">
        <f t="shared" si="22"/>
        <v/>
      </c>
      <c r="O269" s="93">
        <f t="shared" si="24"/>
        <v>0</v>
      </c>
    </row>
    <row r="270" spans="11:15" x14ac:dyDescent="0.3">
      <c r="K270" s="93" t="str">
        <f t="shared" si="21"/>
        <v/>
      </c>
      <c r="L270" s="93" t="str">
        <f t="shared" si="23"/>
        <v/>
      </c>
      <c r="M270" s="93" t="str">
        <f t="shared" si="25"/>
        <v/>
      </c>
      <c r="N270" s="154" t="str">
        <f t="shared" si="22"/>
        <v/>
      </c>
      <c r="O270" s="93">
        <f t="shared" si="24"/>
        <v>0</v>
      </c>
    </row>
    <row r="271" spans="11:15" x14ac:dyDescent="0.3">
      <c r="K271" s="93" t="str">
        <f t="shared" si="21"/>
        <v/>
      </c>
      <c r="L271" s="93" t="str">
        <f t="shared" si="23"/>
        <v/>
      </c>
      <c r="M271" s="93" t="str">
        <f t="shared" si="25"/>
        <v/>
      </c>
      <c r="N271" s="154" t="str">
        <f t="shared" si="22"/>
        <v/>
      </c>
      <c r="O271" s="93">
        <f t="shared" si="24"/>
        <v>0</v>
      </c>
    </row>
    <row r="272" spans="11:15" x14ac:dyDescent="0.3">
      <c r="K272" s="93" t="str">
        <f t="shared" si="21"/>
        <v/>
      </c>
      <c r="L272" s="93" t="str">
        <f t="shared" si="23"/>
        <v/>
      </c>
      <c r="M272" s="93" t="str">
        <f t="shared" si="25"/>
        <v/>
      </c>
      <c r="N272" s="154" t="str">
        <f t="shared" si="22"/>
        <v/>
      </c>
      <c r="O272" s="93">
        <f t="shared" si="24"/>
        <v>0</v>
      </c>
    </row>
    <row r="273" spans="11:15" x14ac:dyDescent="0.3">
      <c r="K273" s="93" t="str">
        <f t="shared" ref="K273:K336" si="26">IF(G273=0,"",IF(C273="REPO","REPO",IF(C273="BONDFUT","BONDFUT",IF(C273="DEPOFUT","DEPOFUT",IF(C273="IRSWAP","IRSWAP",IF(D273="FX-SWAP","FX-SWAP",IF(OR(C273="BOND",C273="BILL"),IF(OR(LEFT(D273,4)="UST2",LEFT(D273,4)="USB2"),"GOVT",IF(LEFT(D273,7)&lt;&gt;"USCPCADES","EURO","DEPO")),"DEPO")))))))</f>
        <v/>
      </c>
      <c r="L273" s="93" t="str">
        <f t="shared" si="23"/>
        <v/>
      </c>
      <c r="M273" s="93" t="str">
        <f t="shared" si="25"/>
        <v/>
      </c>
      <c r="N273" s="154" t="str">
        <f t="shared" si="22"/>
        <v/>
      </c>
      <c r="O273" s="93">
        <f t="shared" si="24"/>
        <v>0</v>
      </c>
    </row>
    <row r="274" spans="11:15" x14ac:dyDescent="0.3">
      <c r="K274" s="93" t="str">
        <f t="shared" si="26"/>
        <v/>
      </c>
      <c r="L274" s="93" t="str">
        <f t="shared" si="23"/>
        <v/>
      </c>
      <c r="M274" s="93" t="str">
        <f t="shared" si="25"/>
        <v/>
      </c>
      <c r="N274" s="154" t="str">
        <f t="shared" si="22"/>
        <v/>
      </c>
      <c r="O274" s="93">
        <f t="shared" si="24"/>
        <v>0</v>
      </c>
    </row>
    <row r="275" spans="11:15" x14ac:dyDescent="0.3">
      <c r="K275" s="93" t="str">
        <f t="shared" si="26"/>
        <v/>
      </c>
      <c r="L275" s="93" t="str">
        <f t="shared" si="23"/>
        <v/>
      </c>
      <c r="M275" s="93" t="str">
        <f t="shared" si="25"/>
        <v/>
      </c>
      <c r="N275" s="154" t="str">
        <f t="shared" si="22"/>
        <v/>
      </c>
      <c r="O275" s="93">
        <f t="shared" si="24"/>
        <v>0</v>
      </c>
    </row>
    <row r="276" spans="11:15" x14ac:dyDescent="0.3">
      <c r="K276" s="93" t="str">
        <f t="shared" si="26"/>
        <v/>
      </c>
      <c r="L276" s="93" t="str">
        <f t="shared" si="23"/>
        <v/>
      </c>
      <c r="M276" s="93" t="str">
        <f t="shared" si="25"/>
        <v/>
      </c>
      <c r="N276" s="154" t="str">
        <f t="shared" si="22"/>
        <v/>
      </c>
      <c r="O276" s="93">
        <f t="shared" si="24"/>
        <v>0</v>
      </c>
    </row>
    <row r="277" spans="11:15" x14ac:dyDescent="0.3">
      <c r="K277" s="93" t="str">
        <f t="shared" si="26"/>
        <v/>
      </c>
      <c r="L277" s="93" t="str">
        <f t="shared" si="23"/>
        <v/>
      </c>
      <c r="M277" s="93" t="str">
        <f t="shared" si="25"/>
        <v/>
      </c>
      <c r="N277" s="154" t="str">
        <f t="shared" si="22"/>
        <v/>
      </c>
      <c r="O277" s="93">
        <f t="shared" si="24"/>
        <v>0</v>
      </c>
    </row>
    <row r="278" spans="11:15" x14ac:dyDescent="0.3">
      <c r="K278" s="93" t="str">
        <f t="shared" si="26"/>
        <v/>
      </c>
      <c r="L278" s="93" t="str">
        <f t="shared" si="23"/>
        <v/>
      </c>
      <c r="M278" s="93" t="str">
        <f t="shared" si="25"/>
        <v/>
      </c>
      <c r="N278" s="154" t="str">
        <f t="shared" si="22"/>
        <v/>
      </c>
      <c r="O278" s="93">
        <f t="shared" si="24"/>
        <v>0</v>
      </c>
    </row>
    <row r="279" spans="11:15" x14ac:dyDescent="0.3">
      <c r="K279" s="93" t="str">
        <f t="shared" si="26"/>
        <v/>
      </c>
      <c r="L279" s="93" t="str">
        <f t="shared" si="23"/>
        <v/>
      </c>
      <c r="M279" s="93" t="str">
        <f t="shared" si="25"/>
        <v/>
      </c>
      <c r="N279" s="154" t="str">
        <f t="shared" si="22"/>
        <v/>
      </c>
      <c r="O279" s="93">
        <f t="shared" si="24"/>
        <v>0</v>
      </c>
    </row>
    <row r="280" spans="11:15" x14ac:dyDescent="0.3">
      <c r="K280" s="93" t="str">
        <f t="shared" si="26"/>
        <v/>
      </c>
      <c r="L280" s="93" t="str">
        <f t="shared" si="23"/>
        <v/>
      </c>
      <c r="M280" s="93" t="str">
        <f t="shared" si="25"/>
        <v/>
      </c>
      <c r="N280" s="154" t="str">
        <f t="shared" si="22"/>
        <v/>
      </c>
      <c r="O280" s="93">
        <f t="shared" si="24"/>
        <v>0</v>
      </c>
    </row>
    <row r="281" spans="11:15" x14ac:dyDescent="0.3">
      <c r="K281" s="93" t="str">
        <f t="shared" si="26"/>
        <v/>
      </c>
      <c r="L281" s="93" t="str">
        <f t="shared" si="23"/>
        <v/>
      </c>
      <c r="M281" s="93" t="str">
        <f t="shared" si="25"/>
        <v/>
      </c>
      <c r="N281" s="154" t="str">
        <f t="shared" si="22"/>
        <v/>
      </c>
      <c r="O281" s="93">
        <f t="shared" si="24"/>
        <v>0</v>
      </c>
    </row>
    <row r="282" spans="11:15" x14ac:dyDescent="0.3">
      <c r="K282" s="93" t="str">
        <f t="shared" si="26"/>
        <v/>
      </c>
      <c r="L282" s="93" t="str">
        <f t="shared" si="23"/>
        <v/>
      </c>
      <c r="M282" s="93" t="str">
        <f t="shared" si="25"/>
        <v/>
      </c>
      <c r="N282" s="154" t="str">
        <f t="shared" si="22"/>
        <v/>
      </c>
      <c r="O282" s="93">
        <f t="shared" si="24"/>
        <v>0</v>
      </c>
    </row>
    <row r="283" spans="11:15" x14ac:dyDescent="0.3">
      <c r="K283" s="93" t="str">
        <f t="shared" si="26"/>
        <v/>
      </c>
      <c r="L283" s="93" t="str">
        <f t="shared" si="23"/>
        <v/>
      </c>
      <c r="M283" s="93" t="str">
        <f t="shared" si="25"/>
        <v/>
      </c>
      <c r="N283" s="154" t="str">
        <f t="shared" si="22"/>
        <v/>
      </c>
      <c r="O283" s="93">
        <f t="shared" si="24"/>
        <v>0</v>
      </c>
    </row>
    <row r="284" spans="11:15" x14ac:dyDescent="0.3">
      <c r="K284" s="93" t="str">
        <f t="shared" si="26"/>
        <v/>
      </c>
      <c r="L284" s="93" t="str">
        <f t="shared" si="23"/>
        <v/>
      </c>
      <c r="M284" s="93" t="str">
        <f t="shared" si="25"/>
        <v/>
      </c>
      <c r="N284" s="154" t="str">
        <f t="shared" si="22"/>
        <v/>
      </c>
      <c r="O284" s="93">
        <f t="shared" si="24"/>
        <v>0</v>
      </c>
    </row>
    <row r="285" spans="11:15" x14ac:dyDescent="0.3">
      <c r="K285" s="93" t="str">
        <f t="shared" si="26"/>
        <v/>
      </c>
      <c r="L285" s="93" t="str">
        <f t="shared" si="23"/>
        <v/>
      </c>
      <c r="M285" s="93" t="str">
        <f t="shared" si="25"/>
        <v/>
      </c>
      <c r="N285" s="154" t="str">
        <f t="shared" si="22"/>
        <v/>
      </c>
      <c r="O285" s="93">
        <f t="shared" si="24"/>
        <v>0</v>
      </c>
    </row>
    <row r="286" spans="11:15" x14ac:dyDescent="0.3">
      <c r="K286" s="93" t="str">
        <f t="shared" si="26"/>
        <v/>
      </c>
      <c r="L286" s="93" t="str">
        <f t="shared" si="23"/>
        <v/>
      </c>
      <c r="M286" s="93" t="str">
        <f t="shared" si="25"/>
        <v/>
      </c>
      <c r="N286" s="154" t="str">
        <f t="shared" si="22"/>
        <v/>
      </c>
      <c r="O286" s="93">
        <f t="shared" si="24"/>
        <v>0</v>
      </c>
    </row>
    <row r="287" spans="11:15" x14ac:dyDescent="0.3">
      <c r="K287" s="93" t="str">
        <f t="shared" si="26"/>
        <v/>
      </c>
      <c r="L287" s="93" t="str">
        <f t="shared" si="23"/>
        <v/>
      </c>
      <c r="M287" s="93" t="str">
        <f t="shared" si="25"/>
        <v/>
      </c>
      <c r="N287" s="154" t="str">
        <f t="shared" si="22"/>
        <v/>
      </c>
      <c r="O287" s="93">
        <f t="shared" si="24"/>
        <v>0</v>
      </c>
    </row>
    <row r="288" spans="11:15" x14ac:dyDescent="0.3">
      <c r="K288" s="93" t="str">
        <f t="shared" si="26"/>
        <v/>
      </c>
      <c r="L288" s="93" t="str">
        <f t="shared" si="23"/>
        <v/>
      </c>
      <c r="M288" s="93" t="str">
        <f t="shared" si="25"/>
        <v/>
      </c>
      <c r="N288" s="154" t="str">
        <f t="shared" si="22"/>
        <v/>
      </c>
      <c r="O288" s="93">
        <f t="shared" si="24"/>
        <v>0</v>
      </c>
    </row>
    <row r="289" spans="11:15" x14ac:dyDescent="0.3">
      <c r="K289" s="93" t="str">
        <f t="shared" si="26"/>
        <v/>
      </c>
      <c r="L289" s="93" t="str">
        <f t="shared" si="23"/>
        <v/>
      </c>
      <c r="M289" s="93" t="str">
        <f t="shared" si="25"/>
        <v/>
      </c>
      <c r="N289" s="154" t="str">
        <f t="shared" si="22"/>
        <v/>
      </c>
      <c r="O289" s="93">
        <f t="shared" si="24"/>
        <v>0</v>
      </c>
    </row>
    <row r="290" spans="11:15" x14ac:dyDescent="0.3">
      <c r="K290" s="93" t="str">
        <f t="shared" si="26"/>
        <v/>
      </c>
      <c r="L290" s="93" t="str">
        <f t="shared" si="23"/>
        <v/>
      </c>
      <c r="M290" s="93" t="str">
        <f t="shared" si="25"/>
        <v/>
      </c>
      <c r="N290" s="154" t="str">
        <f t="shared" si="22"/>
        <v/>
      </c>
      <c r="O290" s="93">
        <f t="shared" si="24"/>
        <v>0</v>
      </c>
    </row>
    <row r="291" spans="11:15" x14ac:dyDescent="0.3">
      <c r="K291" s="93" t="str">
        <f t="shared" si="26"/>
        <v/>
      </c>
      <c r="L291" s="93" t="str">
        <f t="shared" si="23"/>
        <v/>
      </c>
      <c r="M291" s="93" t="str">
        <f t="shared" si="25"/>
        <v/>
      </c>
      <c r="N291" s="154" t="str">
        <f t="shared" si="22"/>
        <v/>
      </c>
      <c r="O291" s="93">
        <f t="shared" si="24"/>
        <v>0</v>
      </c>
    </row>
    <row r="292" spans="11:15" x14ac:dyDescent="0.3">
      <c r="K292" s="93" t="str">
        <f t="shared" si="26"/>
        <v/>
      </c>
      <c r="L292" s="93" t="str">
        <f t="shared" si="23"/>
        <v/>
      </c>
      <c r="M292" s="93" t="str">
        <f t="shared" si="25"/>
        <v/>
      </c>
      <c r="N292" s="154" t="str">
        <f t="shared" si="22"/>
        <v/>
      </c>
      <c r="O292" s="93">
        <f t="shared" si="24"/>
        <v>0</v>
      </c>
    </row>
    <row r="293" spans="11:15" x14ac:dyDescent="0.3">
      <c r="K293" s="93" t="str">
        <f t="shared" si="26"/>
        <v/>
      </c>
      <c r="L293" s="93" t="str">
        <f t="shared" si="23"/>
        <v/>
      </c>
      <c r="M293" s="93" t="str">
        <f t="shared" si="25"/>
        <v/>
      </c>
      <c r="N293" s="154" t="str">
        <f t="shared" si="22"/>
        <v/>
      </c>
      <c r="O293" s="93">
        <f t="shared" si="24"/>
        <v>0</v>
      </c>
    </row>
    <row r="294" spans="11:15" x14ac:dyDescent="0.3">
      <c r="K294" s="93" t="str">
        <f t="shared" si="26"/>
        <v/>
      </c>
      <c r="L294" s="93" t="str">
        <f t="shared" si="23"/>
        <v/>
      </c>
      <c r="M294" s="93" t="str">
        <f t="shared" si="25"/>
        <v/>
      </c>
      <c r="N294" s="154" t="str">
        <f t="shared" si="22"/>
        <v/>
      </c>
      <c r="O294" s="93">
        <f t="shared" si="24"/>
        <v>0</v>
      </c>
    </row>
    <row r="295" spans="11:15" x14ac:dyDescent="0.3">
      <c r="K295" s="93" t="str">
        <f t="shared" si="26"/>
        <v/>
      </c>
      <c r="L295" s="93" t="str">
        <f t="shared" si="23"/>
        <v/>
      </c>
      <c r="M295" s="93" t="str">
        <f t="shared" si="25"/>
        <v/>
      </c>
      <c r="N295" s="154" t="str">
        <f t="shared" si="22"/>
        <v/>
      </c>
      <c r="O295" s="93">
        <f t="shared" si="24"/>
        <v>0</v>
      </c>
    </row>
    <row r="296" spans="11:15" x14ac:dyDescent="0.3">
      <c r="K296" s="93" t="str">
        <f t="shared" si="26"/>
        <v/>
      </c>
      <c r="L296" s="93" t="str">
        <f t="shared" si="23"/>
        <v/>
      </c>
      <c r="M296" s="93" t="str">
        <f t="shared" si="25"/>
        <v/>
      </c>
      <c r="N296" s="154" t="str">
        <f t="shared" si="22"/>
        <v/>
      </c>
      <c r="O296" s="93">
        <f t="shared" si="24"/>
        <v>0</v>
      </c>
    </row>
    <row r="297" spans="11:15" x14ac:dyDescent="0.3">
      <c r="K297" s="93" t="str">
        <f t="shared" si="26"/>
        <v/>
      </c>
      <c r="L297" s="93" t="str">
        <f t="shared" si="23"/>
        <v/>
      </c>
      <c r="M297" s="93" t="str">
        <f t="shared" si="25"/>
        <v/>
      </c>
      <c r="N297" s="154" t="str">
        <f t="shared" si="22"/>
        <v/>
      </c>
      <c r="O297" s="93">
        <f t="shared" si="24"/>
        <v>0</v>
      </c>
    </row>
    <row r="298" spans="11:15" x14ac:dyDescent="0.3">
      <c r="K298" s="93" t="str">
        <f t="shared" si="26"/>
        <v/>
      </c>
      <c r="L298" s="93" t="str">
        <f t="shared" si="23"/>
        <v/>
      </c>
      <c r="M298" s="93" t="str">
        <f t="shared" si="25"/>
        <v/>
      </c>
      <c r="N298" s="154" t="str">
        <f t="shared" si="22"/>
        <v/>
      </c>
      <c r="O298" s="93">
        <f t="shared" si="24"/>
        <v>0</v>
      </c>
    </row>
    <row r="299" spans="11:15" x14ac:dyDescent="0.3">
      <c r="K299" s="93" t="str">
        <f t="shared" si="26"/>
        <v/>
      </c>
      <c r="L299" s="93" t="str">
        <f t="shared" si="23"/>
        <v/>
      </c>
      <c r="M299" s="93" t="str">
        <f t="shared" si="25"/>
        <v/>
      </c>
      <c r="N299" s="154" t="str">
        <f t="shared" si="22"/>
        <v/>
      </c>
      <c r="O299" s="93">
        <f t="shared" si="24"/>
        <v>0</v>
      </c>
    </row>
    <row r="300" spans="11:15" x14ac:dyDescent="0.3">
      <c r="K300" s="93" t="str">
        <f t="shared" si="26"/>
        <v/>
      </c>
      <c r="L300" s="93" t="str">
        <f t="shared" si="23"/>
        <v/>
      </c>
      <c r="M300" s="93" t="str">
        <f t="shared" si="25"/>
        <v/>
      </c>
      <c r="N300" s="154" t="str">
        <f t="shared" si="22"/>
        <v/>
      </c>
      <c r="O300" s="93">
        <f t="shared" si="24"/>
        <v>0</v>
      </c>
    </row>
    <row r="301" spans="11:15" x14ac:dyDescent="0.3">
      <c r="K301" s="93" t="str">
        <f t="shared" si="26"/>
        <v/>
      </c>
      <c r="L301" s="93" t="str">
        <f t="shared" si="23"/>
        <v/>
      </c>
      <c r="M301" s="93" t="str">
        <f t="shared" si="25"/>
        <v/>
      </c>
      <c r="N301" s="154" t="str">
        <f t="shared" si="22"/>
        <v/>
      </c>
      <c r="O301" s="93">
        <f t="shared" si="24"/>
        <v>0</v>
      </c>
    </row>
    <row r="302" spans="11:15" x14ac:dyDescent="0.3">
      <c r="K302" s="93" t="str">
        <f t="shared" si="26"/>
        <v/>
      </c>
      <c r="L302" s="93" t="str">
        <f t="shared" si="23"/>
        <v/>
      </c>
      <c r="M302" s="93" t="str">
        <f t="shared" si="25"/>
        <v/>
      </c>
      <c r="N302" s="154" t="str">
        <f t="shared" si="22"/>
        <v/>
      </c>
      <c r="O302" s="93">
        <f t="shared" si="24"/>
        <v>0</v>
      </c>
    </row>
    <row r="303" spans="11:15" x14ac:dyDescent="0.3">
      <c r="K303" s="93" t="str">
        <f t="shared" si="26"/>
        <v/>
      </c>
      <c r="L303" s="93" t="str">
        <f t="shared" si="23"/>
        <v/>
      </c>
      <c r="M303" s="93" t="str">
        <f t="shared" si="25"/>
        <v/>
      </c>
      <c r="N303" s="154" t="str">
        <f t="shared" si="22"/>
        <v/>
      </c>
      <c r="O303" s="93">
        <f t="shared" si="24"/>
        <v>0</v>
      </c>
    </row>
    <row r="304" spans="11:15" x14ac:dyDescent="0.3">
      <c r="K304" s="93" t="str">
        <f t="shared" si="26"/>
        <v/>
      </c>
      <c r="L304" s="93" t="str">
        <f t="shared" si="23"/>
        <v/>
      </c>
      <c r="M304" s="93" t="str">
        <f t="shared" si="25"/>
        <v/>
      </c>
      <c r="N304" s="154" t="str">
        <f t="shared" si="22"/>
        <v/>
      </c>
      <c r="O304" s="93">
        <f t="shared" si="24"/>
        <v>0</v>
      </c>
    </row>
    <row r="305" spans="11:15" x14ac:dyDescent="0.3">
      <c r="K305" s="93" t="str">
        <f t="shared" si="26"/>
        <v/>
      </c>
      <c r="L305" s="93" t="str">
        <f t="shared" si="23"/>
        <v/>
      </c>
      <c r="M305" s="93" t="str">
        <f t="shared" si="25"/>
        <v/>
      </c>
      <c r="N305" s="154" t="str">
        <f t="shared" si="22"/>
        <v/>
      </c>
      <c r="O305" s="93">
        <f t="shared" si="24"/>
        <v>0</v>
      </c>
    </row>
    <row r="306" spans="11:15" x14ac:dyDescent="0.3">
      <c r="K306" s="93" t="str">
        <f t="shared" si="26"/>
        <v/>
      </c>
      <c r="L306" s="93" t="str">
        <f t="shared" si="23"/>
        <v/>
      </c>
      <c r="M306" s="93" t="str">
        <f t="shared" si="25"/>
        <v/>
      </c>
      <c r="N306" s="154" t="str">
        <f t="shared" si="22"/>
        <v/>
      </c>
      <c r="O306" s="93">
        <f t="shared" si="24"/>
        <v>0</v>
      </c>
    </row>
    <row r="307" spans="11:15" x14ac:dyDescent="0.3">
      <c r="K307" s="93" t="str">
        <f t="shared" si="26"/>
        <v/>
      </c>
      <c r="L307" s="93" t="str">
        <f t="shared" si="23"/>
        <v/>
      </c>
      <c r="M307" s="93" t="str">
        <f t="shared" si="25"/>
        <v/>
      </c>
      <c r="N307" s="154" t="str">
        <f t="shared" si="22"/>
        <v/>
      </c>
      <c r="O307" s="93">
        <f t="shared" si="24"/>
        <v>0</v>
      </c>
    </row>
    <row r="308" spans="11:15" x14ac:dyDescent="0.3">
      <c r="K308" s="93" t="str">
        <f t="shared" si="26"/>
        <v/>
      </c>
      <c r="L308" s="93" t="str">
        <f t="shared" si="23"/>
        <v/>
      </c>
      <c r="M308" s="93" t="str">
        <f t="shared" si="25"/>
        <v/>
      </c>
      <c r="N308" s="154" t="str">
        <f t="shared" si="22"/>
        <v/>
      </c>
      <c r="O308" s="93">
        <f t="shared" si="24"/>
        <v>0</v>
      </c>
    </row>
    <row r="309" spans="11:15" x14ac:dyDescent="0.3">
      <c r="K309" s="93" t="str">
        <f t="shared" si="26"/>
        <v/>
      </c>
      <c r="L309" s="93" t="str">
        <f t="shared" si="23"/>
        <v/>
      </c>
      <c r="M309" s="93" t="str">
        <f t="shared" si="25"/>
        <v/>
      </c>
      <c r="N309" s="154" t="str">
        <f t="shared" si="22"/>
        <v/>
      </c>
      <c r="O309" s="93">
        <f t="shared" si="24"/>
        <v>0</v>
      </c>
    </row>
    <row r="310" spans="11:15" x14ac:dyDescent="0.3">
      <c r="K310" s="93" t="str">
        <f t="shared" si="26"/>
        <v/>
      </c>
      <c r="L310" s="93" t="str">
        <f t="shared" si="23"/>
        <v/>
      </c>
      <c r="M310" s="93" t="str">
        <f t="shared" si="25"/>
        <v/>
      </c>
      <c r="N310" s="154" t="str">
        <f t="shared" si="22"/>
        <v/>
      </c>
      <c r="O310" s="93">
        <f t="shared" si="24"/>
        <v>0</v>
      </c>
    </row>
    <row r="311" spans="11:15" x14ac:dyDescent="0.3">
      <c r="K311" s="93" t="str">
        <f t="shared" si="26"/>
        <v/>
      </c>
      <c r="L311" s="93" t="str">
        <f t="shared" si="23"/>
        <v/>
      </c>
      <c r="M311" s="93" t="str">
        <f t="shared" si="25"/>
        <v/>
      </c>
      <c r="N311" s="154" t="str">
        <f t="shared" si="22"/>
        <v/>
      </c>
      <c r="O311" s="93">
        <f t="shared" si="24"/>
        <v>0</v>
      </c>
    </row>
    <row r="312" spans="11:15" x14ac:dyDescent="0.3">
      <c r="K312" s="93" t="str">
        <f t="shared" si="26"/>
        <v/>
      </c>
      <c r="L312" s="93" t="str">
        <f t="shared" si="23"/>
        <v/>
      </c>
      <c r="M312" s="93" t="str">
        <f t="shared" si="25"/>
        <v/>
      </c>
      <c r="N312" s="154" t="str">
        <f t="shared" si="22"/>
        <v/>
      </c>
      <c r="O312" s="93">
        <f t="shared" si="24"/>
        <v>0</v>
      </c>
    </row>
    <row r="313" spans="11:15" x14ac:dyDescent="0.3">
      <c r="K313" s="93" t="str">
        <f t="shared" si="26"/>
        <v/>
      </c>
      <c r="L313" s="93" t="str">
        <f t="shared" si="23"/>
        <v/>
      </c>
      <c r="M313" s="93" t="str">
        <f t="shared" si="25"/>
        <v/>
      </c>
      <c r="N313" s="154" t="str">
        <f t="shared" si="22"/>
        <v/>
      </c>
      <c r="O313" s="93">
        <f t="shared" si="24"/>
        <v>0</v>
      </c>
    </row>
    <row r="314" spans="11:15" x14ac:dyDescent="0.3">
      <c r="K314" s="93" t="str">
        <f t="shared" si="26"/>
        <v/>
      </c>
      <c r="L314" s="93" t="str">
        <f t="shared" si="23"/>
        <v/>
      </c>
      <c r="M314" s="93" t="str">
        <f t="shared" si="25"/>
        <v/>
      </c>
      <c r="N314" s="154" t="str">
        <f t="shared" si="22"/>
        <v/>
      </c>
      <c r="O314" s="93">
        <f t="shared" si="24"/>
        <v>0</v>
      </c>
    </row>
    <row r="315" spans="11:15" x14ac:dyDescent="0.3">
      <c r="K315" s="93" t="str">
        <f t="shared" si="26"/>
        <v/>
      </c>
      <c r="L315" s="93" t="str">
        <f t="shared" si="23"/>
        <v/>
      </c>
      <c r="M315" s="93" t="str">
        <f t="shared" si="25"/>
        <v/>
      </c>
      <c r="N315" s="154" t="str">
        <f t="shared" si="22"/>
        <v/>
      </c>
      <c r="O315" s="93">
        <f t="shared" si="24"/>
        <v>0</v>
      </c>
    </row>
    <row r="316" spans="11:15" x14ac:dyDescent="0.3">
      <c r="K316" s="93" t="str">
        <f t="shared" si="26"/>
        <v/>
      </c>
      <c r="L316" s="93" t="str">
        <f t="shared" si="23"/>
        <v/>
      </c>
      <c r="M316" s="93" t="str">
        <f t="shared" si="25"/>
        <v/>
      </c>
      <c r="N316" s="154" t="str">
        <f t="shared" si="22"/>
        <v/>
      </c>
      <c r="O316" s="93">
        <f t="shared" si="24"/>
        <v>0</v>
      </c>
    </row>
    <row r="317" spans="11:15" x14ac:dyDescent="0.3">
      <c r="K317" s="93" t="str">
        <f t="shared" si="26"/>
        <v/>
      </c>
      <c r="L317" s="93" t="str">
        <f t="shared" si="23"/>
        <v/>
      </c>
      <c r="M317" s="93" t="str">
        <f t="shared" si="25"/>
        <v/>
      </c>
      <c r="N317" s="154" t="str">
        <f t="shared" si="22"/>
        <v/>
      </c>
      <c r="O317" s="93">
        <f t="shared" si="24"/>
        <v>0</v>
      </c>
    </row>
    <row r="318" spans="11:15" x14ac:dyDescent="0.3">
      <c r="K318" s="93" t="str">
        <f t="shared" si="26"/>
        <v/>
      </c>
      <c r="L318" s="93" t="str">
        <f t="shared" si="23"/>
        <v/>
      </c>
      <c r="M318" s="93" t="str">
        <f t="shared" si="25"/>
        <v/>
      </c>
      <c r="N318" s="154" t="str">
        <f t="shared" si="22"/>
        <v/>
      </c>
      <c r="O318" s="93">
        <f t="shared" si="24"/>
        <v>0</v>
      </c>
    </row>
    <row r="319" spans="11:15" x14ac:dyDescent="0.3">
      <c r="K319" s="93" t="str">
        <f t="shared" si="26"/>
        <v/>
      </c>
      <c r="L319" s="93" t="str">
        <f t="shared" si="23"/>
        <v/>
      </c>
      <c r="M319" s="93" t="str">
        <f t="shared" si="25"/>
        <v/>
      </c>
      <c r="N319" s="154" t="str">
        <f t="shared" si="22"/>
        <v/>
      </c>
      <c r="O319" s="93">
        <f t="shared" si="24"/>
        <v>0</v>
      </c>
    </row>
    <row r="320" spans="11:15" x14ac:dyDescent="0.3">
      <c r="K320" s="93" t="str">
        <f t="shared" si="26"/>
        <v/>
      </c>
      <c r="L320" s="93" t="str">
        <f t="shared" si="23"/>
        <v/>
      </c>
      <c r="M320" s="93" t="str">
        <f t="shared" si="25"/>
        <v/>
      </c>
      <c r="N320" s="154" t="str">
        <f t="shared" si="22"/>
        <v/>
      </c>
      <c r="O320" s="93">
        <f t="shared" si="24"/>
        <v>0</v>
      </c>
    </row>
    <row r="321" spans="11:15" x14ac:dyDescent="0.3">
      <c r="K321" s="93" t="str">
        <f t="shared" si="26"/>
        <v/>
      </c>
      <c r="L321" s="93" t="str">
        <f t="shared" si="23"/>
        <v/>
      </c>
      <c r="M321" s="93" t="str">
        <f t="shared" si="25"/>
        <v/>
      </c>
      <c r="N321" s="154" t="str">
        <f t="shared" si="22"/>
        <v/>
      </c>
      <c r="O321" s="93">
        <f t="shared" si="24"/>
        <v>0</v>
      </c>
    </row>
    <row r="322" spans="11:15" x14ac:dyDescent="0.3">
      <c r="K322" s="93" t="str">
        <f t="shared" si="26"/>
        <v/>
      </c>
      <c r="L322" s="93" t="str">
        <f t="shared" si="23"/>
        <v/>
      </c>
      <c r="M322" s="93" t="str">
        <f t="shared" si="25"/>
        <v/>
      </c>
      <c r="N322" s="154" t="str">
        <f t="shared" ref="N322:N350" si="27">IF(A322="","",IF(A322="BKINV1USD",-F322*ratioPV,F322))</f>
        <v/>
      </c>
      <c r="O322" s="93">
        <f t="shared" si="24"/>
        <v>0</v>
      </c>
    </row>
    <row r="323" spans="11:15" x14ac:dyDescent="0.3">
      <c r="K323" s="93" t="str">
        <f t="shared" si="26"/>
        <v/>
      </c>
      <c r="L323" s="93" t="str">
        <f t="shared" ref="L323:L350" si="28">IF(G323=0,"",IF(B323="Balance",CONCATENATE(A323 &amp; "_O/N_REPO"),IF(K323="",CONCATENATE(A323 &amp; "_" &amp; B323 &amp; "_" &amp; C323),CONCATENATE(A323 &amp; "_" &amp; B323 &amp; "_" &amp; K323))))</f>
        <v/>
      </c>
      <c r="M323" s="93" t="str">
        <f t="shared" si="25"/>
        <v/>
      </c>
      <c r="N323" s="154" t="str">
        <f t="shared" si="27"/>
        <v/>
      </c>
      <c r="O323" s="93">
        <f t="shared" ref="O323:O350" si="29">H323</f>
        <v>0</v>
      </c>
    </row>
    <row r="324" spans="11:15" x14ac:dyDescent="0.3">
      <c r="K324" s="93" t="str">
        <f t="shared" si="26"/>
        <v/>
      </c>
      <c r="L324" s="93" t="str">
        <f t="shared" si="28"/>
        <v/>
      </c>
      <c r="M324" s="93" t="str">
        <f t="shared" si="25"/>
        <v/>
      </c>
      <c r="N324" s="154" t="str">
        <f t="shared" si="27"/>
        <v/>
      </c>
      <c r="O324" s="93">
        <f t="shared" si="29"/>
        <v>0</v>
      </c>
    </row>
    <row r="325" spans="11:15" x14ac:dyDescent="0.3">
      <c r="K325" s="93" t="str">
        <f t="shared" si="26"/>
        <v/>
      </c>
      <c r="L325" s="93" t="str">
        <f t="shared" si="28"/>
        <v/>
      </c>
      <c r="M325" s="93" t="str">
        <f t="shared" si="25"/>
        <v/>
      </c>
      <c r="N325" s="154" t="str">
        <f t="shared" si="27"/>
        <v/>
      </c>
      <c r="O325" s="93">
        <f t="shared" si="29"/>
        <v>0</v>
      </c>
    </row>
    <row r="326" spans="11:15" x14ac:dyDescent="0.3">
      <c r="K326" s="93" t="str">
        <f t="shared" si="26"/>
        <v/>
      </c>
      <c r="L326" s="93" t="str">
        <f t="shared" si="28"/>
        <v/>
      </c>
      <c r="M326" s="93" t="str">
        <f t="shared" ref="M326:M350" si="30">IF(K326&lt;&gt;"EURO","",IF(LEFT(D326,4)="USCP",MID(D326,5,SEARCH("2",D326)-5),MID(D326,3,SEARCH("2",D326)-3)))</f>
        <v/>
      </c>
      <c r="N326" s="154" t="str">
        <f t="shared" si="27"/>
        <v/>
      </c>
      <c r="O326" s="93">
        <f t="shared" si="29"/>
        <v>0</v>
      </c>
    </row>
    <row r="327" spans="11:15" x14ac:dyDescent="0.3">
      <c r="K327" s="93" t="str">
        <f t="shared" si="26"/>
        <v/>
      </c>
      <c r="L327" s="93" t="str">
        <f t="shared" si="28"/>
        <v/>
      </c>
      <c r="M327" s="93" t="str">
        <f t="shared" si="30"/>
        <v/>
      </c>
      <c r="N327" s="154" t="str">
        <f t="shared" si="27"/>
        <v/>
      </c>
      <c r="O327" s="93">
        <f t="shared" si="29"/>
        <v>0</v>
      </c>
    </row>
    <row r="328" spans="11:15" x14ac:dyDescent="0.3">
      <c r="K328" s="93" t="str">
        <f t="shared" si="26"/>
        <v/>
      </c>
      <c r="L328" s="93" t="str">
        <f t="shared" si="28"/>
        <v/>
      </c>
      <c r="M328" s="93" t="str">
        <f t="shared" si="30"/>
        <v/>
      </c>
      <c r="N328" s="154" t="str">
        <f t="shared" si="27"/>
        <v/>
      </c>
      <c r="O328" s="93">
        <f t="shared" si="29"/>
        <v>0</v>
      </c>
    </row>
    <row r="329" spans="11:15" x14ac:dyDescent="0.3">
      <c r="K329" s="93" t="str">
        <f t="shared" si="26"/>
        <v/>
      </c>
      <c r="L329" s="93" t="str">
        <f t="shared" si="28"/>
        <v/>
      </c>
      <c r="M329" s="93" t="str">
        <f t="shared" si="30"/>
        <v/>
      </c>
      <c r="N329" s="154" t="str">
        <f t="shared" si="27"/>
        <v/>
      </c>
      <c r="O329" s="93">
        <f t="shared" si="29"/>
        <v>0</v>
      </c>
    </row>
    <row r="330" spans="11:15" x14ac:dyDescent="0.3">
      <c r="K330" s="93" t="str">
        <f t="shared" si="26"/>
        <v/>
      </c>
      <c r="L330" s="93" t="str">
        <f t="shared" si="28"/>
        <v/>
      </c>
      <c r="M330" s="93" t="str">
        <f t="shared" si="30"/>
        <v/>
      </c>
      <c r="N330" s="154" t="str">
        <f t="shared" si="27"/>
        <v/>
      </c>
      <c r="O330" s="93">
        <f t="shared" si="29"/>
        <v>0</v>
      </c>
    </row>
    <row r="331" spans="11:15" x14ac:dyDescent="0.3">
      <c r="K331" s="93" t="str">
        <f t="shared" si="26"/>
        <v/>
      </c>
      <c r="L331" s="93" t="str">
        <f t="shared" si="28"/>
        <v/>
      </c>
      <c r="M331" s="93" t="str">
        <f t="shared" si="30"/>
        <v/>
      </c>
      <c r="N331" s="154" t="str">
        <f t="shared" si="27"/>
        <v/>
      </c>
      <c r="O331" s="93">
        <f t="shared" si="29"/>
        <v>0</v>
      </c>
    </row>
    <row r="332" spans="11:15" x14ac:dyDescent="0.3">
      <c r="K332" s="93" t="str">
        <f t="shared" si="26"/>
        <v/>
      </c>
      <c r="L332" s="93" t="str">
        <f t="shared" si="28"/>
        <v/>
      </c>
      <c r="M332" s="93" t="str">
        <f t="shared" si="30"/>
        <v/>
      </c>
      <c r="N332" s="154" t="str">
        <f t="shared" si="27"/>
        <v/>
      </c>
      <c r="O332" s="93">
        <f t="shared" si="29"/>
        <v>0</v>
      </c>
    </row>
    <row r="333" spans="11:15" x14ac:dyDescent="0.3">
      <c r="K333" s="93" t="str">
        <f t="shared" si="26"/>
        <v/>
      </c>
      <c r="L333" s="93" t="str">
        <f t="shared" si="28"/>
        <v/>
      </c>
      <c r="M333" s="93" t="str">
        <f t="shared" si="30"/>
        <v/>
      </c>
      <c r="N333" s="154" t="str">
        <f t="shared" si="27"/>
        <v/>
      </c>
      <c r="O333" s="93">
        <f t="shared" si="29"/>
        <v>0</v>
      </c>
    </row>
    <row r="334" spans="11:15" x14ac:dyDescent="0.3">
      <c r="K334" s="93" t="str">
        <f t="shared" si="26"/>
        <v/>
      </c>
      <c r="L334" s="93" t="str">
        <f t="shared" si="28"/>
        <v/>
      </c>
      <c r="M334" s="93" t="str">
        <f t="shared" si="30"/>
        <v/>
      </c>
      <c r="N334" s="154" t="str">
        <f t="shared" si="27"/>
        <v/>
      </c>
      <c r="O334" s="93">
        <f t="shared" si="29"/>
        <v>0</v>
      </c>
    </row>
    <row r="335" spans="11:15" x14ac:dyDescent="0.3">
      <c r="K335" s="93" t="str">
        <f t="shared" si="26"/>
        <v/>
      </c>
      <c r="L335" s="93" t="str">
        <f t="shared" si="28"/>
        <v/>
      </c>
      <c r="M335" s="93" t="str">
        <f t="shared" si="30"/>
        <v/>
      </c>
      <c r="N335" s="154" t="str">
        <f t="shared" si="27"/>
        <v/>
      </c>
      <c r="O335" s="93">
        <f t="shared" si="29"/>
        <v>0</v>
      </c>
    </row>
    <row r="336" spans="11:15" x14ac:dyDescent="0.3">
      <c r="K336" s="93" t="str">
        <f t="shared" si="26"/>
        <v/>
      </c>
      <c r="L336" s="93" t="str">
        <f t="shared" si="28"/>
        <v/>
      </c>
      <c r="M336" s="93" t="str">
        <f t="shared" si="30"/>
        <v/>
      </c>
      <c r="N336" s="154" t="str">
        <f t="shared" si="27"/>
        <v/>
      </c>
      <c r="O336" s="93">
        <f t="shared" si="29"/>
        <v>0</v>
      </c>
    </row>
    <row r="337" spans="11:15" x14ac:dyDescent="0.3">
      <c r="K337" s="93" t="str">
        <f t="shared" ref="K337:K350" si="31">IF(G337=0,"",IF(C337="REPO","REPO",IF(C337="BONDFUT","BONDFUT",IF(C337="DEPOFUT","DEPOFUT",IF(C337="IRSWAP","IRSWAP",IF(D337="FX-SWAP","FX-SWAP",IF(OR(C337="BOND",C337="BILL"),IF(OR(LEFT(D337,4)="UST2",LEFT(D337,4)="USB2"),"GOVT",IF(LEFT(D337,7)&lt;&gt;"USCPCADES","EURO","DEPO")),"DEPO")))))))</f>
        <v/>
      </c>
      <c r="L337" s="93" t="str">
        <f t="shared" si="28"/>
        <v/>
      </c>
      <c r="M337" s="93" t="str">
        <f t="shared" si="30"/>
        <v/>
      </c>
      <c r="N337" s="154" t="str">
        <f t="shared" si="27"/>
        <v/>
      </c>
      <c r="O337" s="93">
        <f t="shared" si="29"/>
        <v>0</v>
      </c>
    </row>
    <row r="338" spans="11:15" x14ac:dyDescent="0.3">
      <c r="K338" s="93" t="str">
        <f t="shared" si="31"/>
        <v/>
      </c>
      <c r="L338" s="93" t="str">
        <f t="shared" si="28"/>
        <v/>
      </c>
      <c r="M338" s="93" t="str">
        <f t="shared" si="30"/>
        <v/>
      </c>
      <c r="N338" s="154" t="str">
        <f t="shared" si="27"/>
        <v/>
      </c>
      <c r="O338" s="93">
        <f t="shared" si="29"/>
        <v>0</v>
      </c>
    </row>
    <row r="339" spans="11:15" x14ac:dyDescent="0.3">
      <c r="K339" s="93" t="str">
        <f t="shared" si="31"/>
        <v/>
      </c>
      <c r="L339" s="93" t="str">
        <f t="shared" si="28"/>
        <v/>
      </c>
      <c r="M339" s="93" t="str">
        <f t="shared" si="30"/>
        <v/>
      </c>
      <c r="N339" s="154" t="str">
        <f t="shared" si="27"/>
        <v/>
      </c>
      <c r="O339" s="93">
        <f t="shared" si="29"/>
        <v>0</v>
      </c>
    </row>
    <row r="340" spans="11:15" x14ac:dyDescent="0.3">
      <c r="K340" s="93" t="str">
        <f t="shared" si="31"/>
        <v/>
      </c>
      <c r="L340" s="93" t="str">
        <f t="shared" si="28"/>
        <v/>
      </c>
      <c r="M340" s="93" t="str">
        <f t="shared" si="30"/>
        <v/>
      </c>
      <c r="N340" s="154" t="str">
        <f t="shared" si="27"/>
        <v/>
      </c>
      <c r="O340" s="93">
        <f t="shared" si="29"/>
        <v>0</v>
      </c>
    </row>
    <row r="341" spans="11:15" x14ac:dyDescent="0.3">
      <c r="K341" s="93" t="str">
        <f t="shared" si="31"/>
        <v/>
      </c>
      <c r="L341" s="93" t="str">
        <f t="shared" si="28"/>
        <v/>
      </c>
      <c r="M341" s="93" t="str">
        <f t="shared" si="30"/>
        <v/>
      </c>
      <c r="N341" s="154" t="str">
        <f t="shared" si="27"/>
        <v/>
      </c>
      <c r="O341" s="93">
        <f t="shared" si="29"/>
        <v>0</v>
      </c>
    </row>
    <row r="342" spans="11:15" x14ac:dyDescent="0.3">
      <c r="K342" s="93" t="str">
        <f t="shared" si="31"/>
        <v/>
      </c>
      <c r="L342" s="93" t="str">
        <f t="shared" si="28"/>
        <v/>
      </c>
      <c r="M342" s="93" t="str">
        <f t="shared" si="30"/>
        <v/>
      </c>
      <c r="N342" s="154" t="str">
        <f t="shared" si="27"/>
        <v/>
      </c>
      <c r="O342" s="93">
        <f t="shared" si="29"/>
        <v>0</v>
      </c>
    </row>
    <row r="343" spans="11:15" x14ac:dyDescent="0.3">
      <c r="K343" s="93" t="str">
        <f t="shared" si="31"/>
        <v/>
      </c>
      <c r="L343" s="93" t="str">
        <f t="shared" si="28"/>
        <v/>
      </c>
      <c r="M343" s="93" t="str">
        <f t="shared" si="30"/>
        <v/>
      </c>
      <c r="N343" s="154" t="str">
        <f t="shared" si="27"/>
        <v/>
      </c>
      <c r="O343" s="93">
        <f t="shared" si="29"/>
        <v>0</v>
      </c>
    </row>
    <row r="344" spans="11:15" x14ac:dyDescent="0.3">
      <c r="K344" s="93" t="str">
        <f t="shared" si="31"/>
        <v/>
      </c>
      <c r="L344" s="93" t="str">
        <f t="shared" si="28"/>
        <v/>
      </c>
      <c r="M344" s="93" t="str">
        <f t="shared" si="30"/>
        <v/>
      </c>
      <c r="N344" s="154" t="str">
        <f t="shared" si="27"/>
        <v/>
      </c>
      <c r="O344" s="93">
        <f t="shared" si="29"/>
        <v>0</v>
      </c>
    </row>
    <row r="345" spans="11:15" x14ac:dyDescent="0.3">
      <c r="K345" s="93" t="str">
        <f t="shared" si="31"/>
        <v/>
      </c>
      <c r="L345" s="93" t="str">
        <f t="shared" si="28"/>
        <v/>
      </c>
      <c r="M345" s="93" t="str">
        <f t="shared" si="30"/>
        <v/>
      </c>
      <c r="N345" s="154" t="str">
        <f t="shared" si="27"/>
        <v/>
      </c>
      <c r="O345" s="93">
        <f t="shared" si="29"/>
        <v>0</v>
      </c>
    </row>
    <row r="346" spans="11:15" x14ac:dyDescent="0.3">
      <c r="K346" s="93" t="str">
        <f t="shared" si="31"/>
        <v/>
      </c>
      <c r="L346" s="93" t="str">
        <f t="shared" si="28"/>
        <v/>
      </c>
      <c r="M346" s="93" t="str">
        <f t="shared" si="30"/>
        <v/>
      </c>
      <c r="N346" s="154" t="str">
        <f t="shared" si="27"/>
        <v/>
      </c>
      <c r="O346" s="93">
        <f t="shared" si="29"/>
        <v>0</v>
      </c>
    </row>
    <row r="347" spans="11:15" x14ac:dyDescent="0.3">
      <c r="K347" s="93" t="str">
        <f t="shared" si="31"/>
        <v/>
      </c>
      <c r="L347" s="93" t="str">
        <f t="shared" si="28"/>
        <v/>
      </c>
      <c r="M347" s="93" t="str">
        <f t="shared" si="30"/>
        <v/>
      </c>
      <c r="N347" s="154" t="str">
        <f t="shared" si="27"/>
        <v/>
      </c>
      <c r="O347" s="93">
        <f t="shared" si="29"/>
        <v>0</v>
      </c>
    </row>
    <row r="348" spans="11:15" x14ac:dyDescent="0.3">
      <c r="K348" s="93" t="str">
        <f t="shared" si="31"/>
        <v/>
      </c>
      <c r="L348" s="93" t="str">
        <f t="shared" si="28"/>
        <v/>
      </c>
      <c r="M348" s="93" t="str">
        <f t="shared" si="30"/>
        <v/>
      </c>
      <c r="N348" s="154" t="str">
        <f t="shared" si="27"/>
        <v/>
      </c>
      <c r="O348" s="93">
        <f t="shared" si="29"/>
        <v>0</v>
      </c>
    </row>
    <row r="349" spans="11:15" x14ac:dyDescent="0.3">
      <c r="K349" s="93" t="str">
        <f t="shared" si="31"/>
        <v/>
      </c>
      <c r="L349" s="93" t="str">
        <f t="shared" si="28"/>
        <v/>
      </c>
      <c r="M349" s="93" t="str">
        <f t="shared" si="30"/>
        <v/>
      </c>
      <c r="N349" s="154" t="str">
        <f t="shared" si="27"/>
        <v/>
      </c>
      <c r="O349" s="93">
        <f t="shared" si="29"/>
        <v>0</v>
      </c>
    </row>
    <row r="350" spans="11:15" x14ac:dyDescent="0.3">
      <c r="K350" s="93" t="str">
        <f t="shared" si="31"/>
        <v/>
      </c>
      <c r="L350" s="93" t="str">
        <f t="shared" si="28"/>
        <v/>
      </c>
      <c r="M350" s="93" t="str">
        <f t="shared" si="30"/>
        <v/>
      </c>
      <c r="N350" s="154" t="str">
        <f t="shared" si="27"/>
        <v/>
      </c>
      <c r="O350" s="93">
        <f t="shared" si="29"/>
        <v>0</v>
      </c>
    </row>
  </sheetData>
  <autoFilter ref="A1:N350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Z321"/>
  <sheetViews>
    <sheetView workbookViewId="0">
      <selection activeCell="Z20" sqref="Z20"/>
    </sheetView>
  </sheetViews>
  <sheetFormatPr baseColWidth="10" defaultColWidth="11.3984375" defaultRowHeight="10.199999999999999" x14ac:dyDescent="0.3"/>
  <cols>
    <col min="1" max="1" width="3" style="1" customWidth="1"/>
    <col min="2" max="2" width="13.73046875" style="1" customWidth="1"/>
    <col min="3" max="3" width="7.86328125" style="1" customWidth="1"/>
    <col min="4" max="4" width="6.59765625" style="1" customWidth="1"/>
    <col min="5" max="5" width="7.265625" style="1" bestFit="1" customWidth="1"/>
    <col min="6" max="6" width="8.1328125" style="1" customWidth="1"/>
    <col min="7" max="7" width="17.73046875" style="1" bestFit="1" customWidth="1"/>
    <col min="8" max="8" width="6.3984375" style="1" customWidth="1"/>
    <col min="9" max="9" width="4.1328125" style="1" customWidth="1"/>
    <col min="10" max="10" width="13.73046875" style="1" customWidth="1"/>
    <col min="11" max="11" width="5.1328125" style="1" customWidth="1"/>
    <col min="12" max="12" width="7.86328125" style="1" customWidth="1"/>
    <col min="13" max="13" width="7.265625" style="1" bestFit="1" customWidth="1"/>
    <col min="14" max="14" width="7.265625" style="1" customWidth="1"/>
    <col min="15" max="15" width="11.73046875" style="1" customWidth="1"/>
    <col min="16" max="16" width="1.3984375" style="1" customWidth="1"/>
    <col min="17" max="17" width="4.86328125" style="1" customWidth="1"/>
    <col min="18" max="18" width="11.3984375" style="1"/>
    <col min="19" max="24" width="9.1328125" style="1" customWidth="1"/>
    <col min="25" max="25" width="1.3984375" style="1" customWidth="1"/>
    <col min="26" max="16384" width="11.3984375" style="1"/>
  </cols>
  <sheetData>
    <row r="1" spans="2:26" ht="15.1" x14ac:dyDescent="0.4">
      <c r="B1" s="448" t="s">
        <v>955</v>
      </c>
      <c r="C1" s="448"/>
      <c r="D1" s="448"/>
      <c r="E1" s="448"/>
      <c r="F1" s="448"/>
      <c r="G1" s="448"/>
      <c r="H1" s="448"/>
      <c r="J1" s="448" t="s">
        <v>956</v>
      </c>
      <c r="K1" s="448"/>
      <c r="L1" s="448"/>
      <c r="M1" s="448"/>
      <c r="N1" s="448"/>
      <c r="O1" s="448"/>
    </row>
    <row r="2" spans="2:26" ht="10.55" x14ac:dyDescent="0.35">
      <c r="B2" s="75" t="s">
        <v>73</v>
      </c>
      <c r="C2" s="76"/>
      <c r="D2" s="87" t="s">
        <v>74</v>
      </c>
      <c r="E2" s="87" t="s">
        <v>123</v>
      </c>
      <c r="F2" s="76" t="s">
        <v>75</v>
      </c>
      <c r="G2" s="76" t="s">
        <v>701</v>
      </c>
      <c r="H2" s="84" t="s">
        <v>124</v>
      </c>
      <c r="J2" s="75" t="s">
        <v>73</v>
      </c>
      <c r="K2" s="87" t="s">
        <v>702</v>
      </c>
      <c r="L2" s="87" t="s">
        <v>123</v>
      </c>
      <c r="M2" s="76" t="s">
        <v>75</v>
      </c>
      <c r="N2" s="76" t="s">
        <v>703</v>
      </c>
      <c r="O2" s="84" t="s">
        <v>701</v>
      </c>
      <c r="Q2" s="96"/>
      <c r="R2" s="96"/>
      <c r="S2" s="98" t="s">
        <v>380</v>
      </c>
      <c r="T2" s="98" t="s">
        <v>708</v>
      </c>
      <c r="U2" s="98" t="s">
        <v>634</v>
      </c>
      <c r="V2" s="98" t="s">
        <v>972</v>
      </c>
      <c r="W2" s="98" t="s">
        <v>734</v>
      </c>
      <c r="X2" s="98" t="s">
        <v>735</v>
      </c>
      <c r="Z2" s="1" t="s">
        <v>740</v>
      </c>
    </row>
    <row r="3" spans="2:26" ht="10.55" x14ac:dyDescent="0.35">
      <c r="B3" s="77" t="s">
        <v>99</v>
      </c>
      <c r="C3" s="78" t="s">
        <v>76</v>
      </c>
      <c r="D3" s="78" t="s">
        <v>97</v>
      </c>
      <c r="E3" s="91">
        <f ca="1">_xll.CALENDAR.GAP(pricingDate,D3,"USD","Unadjusted",FALSE)</f>
        <v>41089</v>
      </c>
      <c r="F3" s="79">
        <v>1.6750000000000001E-3</v>
      </c>
      <c r="G3" s="79" t="str">
        <f>_xll.OBJECT.CURVE.DEPOSIT.HELPER2(B3,D3,"USD",0,F3,"ACT/360")</f>
        <v>US00O/N Index#0000</v>
      </c>
      <c r="H3" s="80">
        <f ca="1">_xll.CURVE.ZERO.RATE(swapCurve,E3,cTreasuries)</f>
        <v>1.7029166667286136E-3</v>
      </c>
      <c r="J3" s="77" t="s">
        <v>710</v>
      </c>
      <c r="K3" s="78" t="s">
        <v>77</v>
      </c>
      <c r="L3" s="91">
        <f ca="1">_xll.CALENDAR.GAP(pricingDate,K3,"USD","Following",FALSE)</f>
        <v>41095</v>
      </c>
      <c r="M3" s="79">
        <v>1.6900000000000001E-3</v>
      </c>
      <c r="N3" s="79">
        <f ca="1">_xll.CURVE.ZERO.RATE(oisCurve,L3,cAnnual)</f>
        <v>1.7511129332516973E-3</v>
      </c>
      <c r="O3" s="80" t="str">
        <f ca="1">_xll.OBJECT.CURVE.HELPER.OVERNIGHT.SWAP(LEFT(J3,LEN(J3)-6),fedFund,L3,M3,TODAY())</f>
        <v>USSO1Z #0001</v>
      </c>
      <c r="Q3" s="96" t="str">
        <f>'[2]courbes aussie'!B65</f>
        <v>1M</v>
      </c>
      <c r="R3" s="96">
        <f ca="1">_xll.CALENDAR.GAP(pricingDate,Q3,"USD","Following",FALSE)</f>
        <v>41120</v>
      </c>
      <c r="S3" s="97">
        <f ca="1">_xll.CURVE.ZERO.RATE(swapCurve,_xll.CALENDAR.GAP(pricingDate,Q3,"USD","Following",FALSE),cTreasuries)</f>
        <v>2.3573448103716009E-3</v>
      </c>
      <c r="T3" s="97">
        <f ca="1">_xll.CURVE.ZERO.RATE(oisCurve,_xll.CALENDAR.GAP(pricingDate,Q3,"USD","Following",FALSE),cTreasuries)</f>
        <v>1.7270737015892964E-3</v>
      </c>
      <c r="U3" s="97" t="e">
        <f ca="1">COURBE.TAUX.ZERO(ustCurve,CALENDRIER.GAP.FINANCE(pricingDate,Q3,"USD","Following",FALSE),cTreasuries)</f>
        <v>#NAME?</v>
      </c>
      <c r="V3" s="97">
        <f ca="1">_xll.CURVE.FORWARD.RATE(swapCurve,R3,_xll.CALENDAR.GAP(R3,"1M","USD","unadjusted",FALSE),cTreasuries)</f>
        <v>4.0045991016656865E-3</v>
      </c>
      <c r="W3" s="97">
        <f ca="1">_xll.CURVE.FORWARD.RATE(oisCurve,R3,_xll.CALENDAR.GAP(R3,"1M","USD","unadjusted",FALSE),cTreasuries)</f>
        <v>1.816695985600912E-3</v>
      </c>
      <c r="X3" s="97">
        <f ca="1">_xll.CURVE.FORWARD.RATE(ustCurve,R3,_xll.CALENDAR.GAP(R3,"1M","USD","unadjusted",FALSE),cTreasuries)</f>
        <v>0</v>
      </c>
      <c r="Z3" s="34">
        <f ca="1">365*(X3-$T$3-0.0004)/(R3-pricingDate)</f>
        <v>-2.4261934408752912E-2</v>
      </c>
    </row>
    <row r="4" spans="2:26" ht="10.55" x14ac:dyDescent="0.35">
      <c r="B4" s="77" t="s">
        <v>98</v>
      </c>
      <c r="C4" s="78" t="s">
        <v>76</v>
      </c>
      <c r="D4" s="78" t="s">
        <v>77</v>
      </c>
      <c r="E4" s="91">
        <f ca="1">_xll.CALENDAR.GAP(pricingDate,D4,"USD","Unadjusted",FALSE)</f>
        <v>41095</v>
      </c>
      <c r="F4" s="79">
        <v>1.951E-3</v>
      </c>
      <c r="G4" s="79" t="str">
        <f>_xll.OBJECT.CURVE.DEPOSIT.HELPER2(B4,D4,"USD",2,F4,"ACT/360")</f>
        <v>US0001W Index#0000</v>
      </c>
      <c r="H4" s="80">
        <f ca="1">_xll.CURVE.ZERO.RATE(swapCurve,E4,cTreasuries)</f>
        <v>1.8012044330848762E-3</v>
      </c>
      <c r="J4" s="77" t="s">
        <v>711</v>
      </c>
      <c r="K4" s="78" t="s">
        <v>17</v>
      </c>
      <c r="L4" s="91">
        <f ca="1">_xll.CALENDAR.GAP(pricingDate,K4,"USD","Following",FALSE)</f>
        <v>41102</v>
      </c>
      <c r="M4" s="79">
        <v>1.6900000000000001E-3</v>
      </c>
      <c r="N4" s="79">
        <f ca="1">_xll.CURVE.ZERO.RATE(oisCurve,L4,cAnnual)</f>
        <v>1.735364286094665E-3</v>
      </c>
      <c r="O4" s="80" t="str">
        <f ca="1">_xll.OBJECT.CURVE.HELPER.OVERNIGHT.SWAP(LEFT(J4,LEN(J4)-6),fedFund,L4,M4,TODAY())</f>
        <v>USSO2Z #0001</v>
      </c>
      <c r="Q4" s="96" t="str">
        <f>'[2]courbes aussie'!B66</f>
        <v>2M</v>
      </c>
      <c r="R4" s="96">
        <f ca="1">_xll.CALENDAR.GAP(pricingDate,Q4,"USD","Following",FALSE)</f>
        <v>41149</v>
      </c>
      <c r="S4" s="97">
        <f ca="1">_xll.CURVE.ZERO.RATE(swapCurve,_xll.CALENDAR.GAP(pricingDate,Q4,"USD","Following",FALSE),cTreasuries)</f>
        <v>3.0900303629124446E-3</v>
      </c>
      <c r="T4" s="97">
        <f ca="1">_xll.CURVE.ZERO.RATE(oisCurve,_xll.CALENDAR.GAP(pricingDate,Q4,"USD","Following",FALSE),cTreasuries)</f>
        <v>1.7722993268765035E-3</v>
      </c>
      <c r="U4" s="97" t="e">
        <f ca="1">_xll.COURBE.TAUX.ZERO(ustCurve,_xll.CALENDRIER.GAP.FINANCE(pricingDate,Q4,"USD","Following",FALSE),cTreasuries)</f>
        <v>#NAME?</v>
      </c>
      <c r="V4" s="97">
        <f ca="1">_xll.CURVE.FORWARD.RATE(swapCurve,R4,_xll.CALENDAR.GAP(R4,"1M","USD","unadjusted",FALSE),cTreasuries)</f>
        <v>7.1026632335443362E-3</v>
      </c>
      <c r="W4" s="97">
        <f ca="1">_xll.CURVE.FORWARD.RATE(oisCurve,R4,_xll.CALENDAR.GAP(R4,"1M","USD","unadjusted",FALSE),cTreasuries)</f>
        <v>1.7964884759294425E-3</v>
      </c>
      <c r="X4" s="97">
        <f ca="1">_xll.CURVE.FORWARD.RATE(ustCurve,R4,_xll.CALENDAR.GAP(R4,"1M","USD","unadjusted",FALSE),cTreasuries)</f>
        <v>0</v>
      </c>
      <c r="Z4" s="34">
        <f ca="1">365*(X4-$T$3-0.0004)/(R4-pricingDate)</f>
        <v>-1.2727572148853988E-2</v>
      </c>
    </row>
    <row r="5" spans="2:26" ht="10.55" x14ac:dyDescent="0.35">
      <c r="B5" s="77" t="s">
        <v>100</v>
      </c>
      <c r="C5" s="78" t="s">
        <v>76</v>
      </c>
      <c r="D5" s="78" t="s">
        <v>17</v>
      </c>
      <c r="E5" s="91">
        <f ca="1">_xll.CALENDAR.GAP(pricingDate,D5,"USD","Unadjusted",FALSE)</f>
        <v>41102</v>
      </c>
      <c r="F5" s="79">
        <v>2.1825E-3</v>
      </c>
      <c r="G5" s="79" t="str">
        <f>_xll.OBJECT.CURVE.DEPOSIT.HELPER2(B5,D5,"USD",2,F5,"ACT/360")</f>
        <v>US0002W Index#0000</v>
      </c>
      <c r="H5" s="80">
        <f ca="1">_xll.CURVE.ZERO.RATE(swapCurve,E5,cTreasuries)</f>
        <v>2.0006079043443548E-3</v>
      </c>
      <c r="J5" s="77" t="s">
        <v>712</v>
      </c>
      <c r="K5" s="78" t="s">
        <v>140</v>
      </c>
      <c r="L5" s="91">
        <f ca="1">_xll.CALENDAR.GAP(pricingDate,K5,"USD","Following",FALSE)</f>
        <v>41109</v>
      </c>
      <c r="M5" s="79">
        <v>1.58E-3</v>
      </c>
      <c r="N5" s="79">
        <f ca="1">_xll.CURVE.ZERO.RATE(oisCurve,L5,cAnnual)</f>
        <v>1.6164118963093443E-3</v>
      </c>
      <c r="O5" s="80" t="str">
        <f ca="1">_xll.OBJECT.CURVE.HELPER.OVERNIGHT.SWAP(LEFT(J5,LEN(J5)-6),fedFund,L5,M5,TODAY())</f>
        <v>USSO3Z #0001</v>
      </c>
      <c r="Q5" s="96" t="str">
        <f>'[2]courbes aussie'!B67</f>
        <v>3M</v>
      </c>
      <c r="R5" s="96">
        <f ca="1">_xll.CALENDAR.GAP(pricingDate,Q5,"USD","Following",FALSE)</f>
        <v>41180</v>
      </c>
      <c r="S5" s="97">
        <f ca="1">_xll.CURVE.ZERO.RATE(swapCurve,_xll.CALENDAR.GAP(pricingDate,Q5,"USD","Following",FALSE),cTreasuries)</f>
        <v>4.4433457338079957E-3</v>
      </c>
      <c r="T5" s="97">
        <f ca="1">_xll.CURVE.ZERO.RATE(oisCurve,_xll.CALENDAR.GAP(pricingDate,Q5,"USD","Following",FALSE),cTreasuries)</f>
        <v>1.7806288252441833E-3</v>
      </c>
      <c r="U5" s="97" t="e">
        <f ca="1">_xll.COURBE.TAUX.ZERO(ustCurve,_xll.CALENDRIER.GAP.FINANCE(pricingDate,Q5,"USD","Following",FALSE),cTreasuries)</f>
        <v>#NAME?</v>
      </c>
      <c r="V5" s="97">
        <f ca="1">_xll.CURVE.FORWARD.RATE(swapCurve,R5,_xll.CALENDAR.GAP(R5,"1M","USD","unadjusted",FALSE),cTreasuries)</f>
        <v>5.8662164014289713E-3</v>
      </c>
      <c r="W5" s="97">
        <f ca="1">_xll.CURVE.FORWARD.RATE(oisCurve,R5,_xll.CALENDAR.GAP(R5,"1M","USD","unadjusted",FALSE),cTreasuries)</f>
        <v>1.8608250945668207E-3</v>
      </c>
      <c r="X5" s="97">
        <f ca="1">_xll.CURVE.FORWARD.RATE(ustCurve,R5,_xll.CALENDAR.GAP(R5,"1M","USD","unadjusted",FALSE),cTreasuries)</f>
        <v>0</v>
      </c>
      <c r="Z5" s="34">
        <f ca="1">365*(X5-$T$3-0.0004)/(R5-pricingDate)</f>
        <v>-8.4389337073923175E-3</v>
      </c>
    </row>
    <row r="6" spans="2:26" ht="10.55" x14ac:dyDescent="0.35">
      <c r="B6" s="77" t="s">
        <v>101</v>
      </c>
      <c r="C6" s="78" t="s">
        <v>76</v>
      </c>
      <c r="D6" s="78" t="s">
        <v>78</v>
      </c>
      <c r="E6" s="91">
        <f ca="1">_xll.CALENDAR.GAP(pricingDate,D6,"USD","Unadjusted",FALSE)</f>
        <v>41118</v>
      </c>
      <c r="F6" s="79">
        <v>2.4524999999999998E-3</v>
      </c>
      <c r="G6" s="79" t="str">
        <f>_xll.OBJECT.CURVE.DEPOSIT.HELPER2(B6,D6,"USD",2,F6,"ACT/360")</f>
        <v>US0001M Index#0000</v>
      </c>
      <c r="H6" s="80">
        <f ca="1">_xll.CURVE.ZERO.RATE(swapCurve,E6,cTreasuries)</f>
        <v>2.3255278626619809E-3</v>
      </c>
      <c r="J6" s="77" t="s">
        <v>713</v>
      </c>
      <c r="K6" s="78" t="s">
        <v>78</v>
      </c>
      <c r="L6" s="91">
        <f ca="1">_xll.CALENDAR.GAP(pricingDate,K6,"USD","Following",FALSE)</f>
        <v>41120</v>
      </c>
      <c r="M6" s="79">
        <v>1.6900000000000001E-3</v>
      </c>
      <c r="N6" s="79">
        <f ca="1">_xll.CURVE.ZERO.RATE(oisCurve,L6,cAnnual)</f>
        <v>1.7284353451765266E-3</v>
      </c>
      <c r="O6" s="80" t="str">
        <f ca="1">_xll.OBJECT.CURVE.HELPER.OVERNIGHT.SWAP(LEFT(J6,LEN(J6)-6),fedFund,L6,M6,TODAY())</f>
        <v>USSOA #0001</v>
      </c>
      <c r="Q6" s="96" t="str">
        <f>'[2]courbes aussie'!B68</f>
        <v>6M</v>
      </c>
      <c r="R6" s="96">
        <f ca="1">_xll.CALENDAR.GAP(pricingDate,Q6,"USD","Following",FALSE)</f>
        <v>41271</v>
      </c>
      <c r="S6" s="97">
        <f ca="1">_xll.CURVE.ZERO.RATE(swapCurve,_xll.CALENDAR.GAP(pricingDate,Q6,"USD","Following",FALSE),cTreasuries)</f>
        <v>4.4585552890361591E-3</v>
      </c>
      <c r="T6" s="97">
        <f ca="1">_xll.CURVE.ZERO.RATE(oisCurve,_xll.CALENDAR.GAP(pricingDate,Q6,"USD","Following",FALSE),cTreasuries)</f>
        <v>1.8105478695296107E-3</v>
      </c>
      <c r="U6" s="97" t="e">
        <f ca="1">_xll.COURBE.TAUX.ZERO(ustCurve,_xll.CALENDRIER.GAP.FINANCE(pricingDate,Q6,"USD","Following",FALSE),cTreasuries)</f>
        <v>#NAME?</v>
      </c>
      <c r="V6" s="97">
        <f ca="1">_xll.CURVE.FORWARD.RATE(swapCurve,R6,_xll.CALENDAR.GAP(R6,"1M","USD","unadjusted",FALSE),cTreasuries)</f>
        <v>4.7512885162948985E-3</v>
      </c>
      <c r="W6" s="97">
        <f ca="1">_xll.CURVE.FORWARD.RATE(oisCurve,R6,_xll.CALENDAR.GAP(R6,"1M","USD","unadjusted",FALSE),cTreasuries)</f>
        <v>1.8752226840390541E-3</v>
      </c>
      <c r="X6" s="97">
        <f ca="1">_xll.CURVE.FORWARD.RATE(ustCurve,R6,_xll.CALENDAR.GAP(R6,"1M","USD","unadjusted",FALSE),cTreasuries)</f>
        <v>0</v>
      </c>
      <c r="Z6" s="34">
        <f ca="1">365*(X6-$T$3-0.0004)/(R6-pricingDate)</f>
        <v>-4.2425240496179956E-3</v>
      </c>
    </row>
    <row r="7" spans="2:26" ht="10.55" x14ac:dyDescent="0.35">
      <c r="B7" s="77" t="s">
        <v>102</v>
      </c>
      <c r="C7" s="78" t="s">
        <v>76</v>
      </c>
      <c r="D7" s="78" t="s">
        <v>79</v>
      </c>
      <c r="E7" s="91">
        <f ca="1">_xll.CALENDAR.GAP(pricingDate,D7,"USD","Unadjusted",FALSE)</f>
        <v>41149</v>
      </c>
      <c r="F7" s="79">
        <v>3.4275E-3</v>
      </c>
      <c r="G7" s="79" t="str">
        <f>_xll.OBJECT.CURVE.DEPOSIT.HELPER2(B7,D7,"USD",2,F7,"ACT/360")</f>
        <v>US0002M Index#0000</v>
      </c>
      <c r="H7" s="80">
        <f ca="1">_xll.CURVE.ZERO.RATE(swapCurve,E7,cTreasuries)</f>
        <v>3.0900303629124446E-3</v>
      </c>
      <c r="J7" s="77" t="s">
        <v>714</v>
      </c>
      <c r="K7" s="78" t="s">
        <v>79</v>
      </c>
      <c r="L7" s="91">
        <f ca="1">_xll.CALENDAR.GAP(pricingDate,K7,"USD","Following",FALSE)</f>
        <v>41149</v>
      </c>
      <c r="M7" s="79">
        <v>1.7399999999999998E-3</v>
      </c>
      <c r="N7" s="79">
        <f ca="1">_xll.CURVE.ZERO.RATE(oisCurve,L7,cAnnual)</f>
        <v>1.7736086111517224E-3</v>
      </c>
      <c r="O7" s="80" t="str">
        <f ca="1">_xll.OBJECT.CURVE.HELPER.OVERNIGHT.SWAP(LEFT(J7,LEN(J7)-6),fedFund,L7,M7,TODAY())</f>
        <v>USSOB #0001</v>
      </c>
      <c r="Q7" s="96" t="str">
        <f>'[2]courbes aussie'!B69</f>
        <v>9M</v>
      </c>
      <c r="R7" s="96">
        <f ca="1">_xll.CALENDAR.GAP(pricingDate,Q7,"USD","Following",FALSE)</f>
        <v>41361</v>
      </c>
      <c r="S7" s="97">
        <f ca="1">_xll.CURVE.ZERO.RATE(swapCurve,_xll.CALENDAR.GAP(pricingDate,Q7,"USD","Following",FALSE),cTreasuries)</f>
        <v>4.6997277876204002E-3</v>
      </c>
      <c r="T7" s="97">
        <f ca="1">_xll.CURVE.ZERO.RATE(oisCurve,_xll.CALENDAR.GAP(pricingDate,Q7,"USD","Following",FALSE),cTreasuries)</f>
        <v>1.818429019310841E-3</v>
      </c>
      <c r="U7" s="97" t="e">
        <f ca="1">_xll.COURBE.TAUX.ZERO(ustCurve,_xll.CALENDRIER.GAP.FINANCE(pricingDate,Q7,"USD","Following",FALSE),cTreasuries)</f>
        <v>#NAME?</v>
      </c>
      <c r="V7" s="97">
        <f ca="1">_xll.CURVE.FORWARD.RATE(swapCurve,R7,_xll.CALENDAR.GAP(R7,"1M","USD","unadjusted",FALSE),cTreasuries)</f>
        <v>5.2604917901114085E-3</v>
      </c>
      <c r="W7" s="97">
        <f ca="1">_xll.CURVE.FORWARD.RATE(oisCurve,R7,_xll.CALENDAR.GAP(R7,"1M","USD","unadjusted",FALSE),cTreasuries)</f>
        <v>1.9092979925607811E-3</v>
      </c>
      <c r="X7" s="97">
        <f ca="1">_xll.CURVE.FORWARD.RATE(ustCurve,R7,_xll.CALENDAR.GAP(R7,"1M","USD","unadjusted",FALSE),cTreasuries)</f>
        <v>0</v>
      </c>
      <c r="Z7" s="34">
        <f ca="1">365*(X7-$T$3-0.0004)/(R7-pricingDate)</f>
        <v>-2.8438897475461288E-3</v>
      </c>
    </row>
    <row r="8" spans="2:26" ht="10.55" x14ac:dyDescent="0.35">
      <c r="B8" s="77" t="s">
        <v>103</v>
      </c>
      <c r="C8" s="78" t="s">
        <v>76</v>
      </c>
      <c r="D8" s="78" t="s">
        <v>18</v>
      </c>
      <c r="E8" s="91">
        <f ca="1">_xll.CALENDAR.GAP(pricingDate,D8,"USD","Unadjusted",FALSE)</f>
        <v>41180</v>
      </c>
      <c r="F8" s="79">
        <v>4.6059999999999999E-3</v>
      </c>
      <c r="G8" s="79" t="str">
        <f>_xll.OBJECT.CURVE.DEPOSIT.HELPER2(B8,D8,"USD",2,F8,"ACT/360")</f>
        <v>US0003M Index#0000</v>
      </c>
      <c r="H8" s="80">
        <f ca="1">_xll.CURVE.ZERO.RATE(swapCurve,E8,cTreasuries)</f>
        <v>4.4433457338079957E-3</v>
      </c>
      <c r="J8" s="77" t="s">
        <v>715</v>
      </c>
      <c r="K8" s="78" t="s">
        <v>18</v>
      </c>
      <c r="L8" s="91">
        <f ca="1">_xll.CALENDAR.GAP(pricingDate,K8,"USD","Following",FALSE)</f>
        <v>41180</v>
      </c>
      <c r="M8" s="79">
        <v>1.7499999999999998E-3</v>
      </c>
      <c r="N8" s="79">
        <f ca="1">_xll.CURVE.ZERO.RATE(oisCurve,L8,cAnnual)</f>
        <v>1.7818159994662519E-3</v>
      </c>
      <c r="O8" s="80" t="str">
        <f ca="1">_xll.OBJECT.CURVE.HELPER.OVERNIGHT.SWAP(LEFT(J8,LEN(J8)-6),fedFund,L8,M8,TODAY())</f>
        <v>USSOC #0001</v>
      </c>
      <c r="Q8" s="96" t="str">
        <f>'[2]courbes aussie'!B70</f>
        <v>1Y</v>
      </c>
      <c r="R8" s="96">
        <f ca="1">_xll.CALENDAR.GAP(pricingDate,Q8,"USD","Following",FALSE)</f>
        <v>41453</v>
      </c>
      <c r="S8" s="97">
        <f ca="1">_xll.CURVE.ZERO.RATE(swapCurve,_xll.CALENDAR.GAP(pricingDate,Q8,"USD","Following",FALSE),cTreasuries)</f>
        <v>4.8348002706446458E-3</v>
      </c>
      <c r="T8" s="97">
        <f ca="1">_xll.CURVE.ZERO.RATE(oisCurve,_xll.CALENDAR.GAP(pricingDate,Q8,"USD","Following",FALSE),cTreasuries)</f>
        <v>1.8475648394171706E-3</v>
      </c>
      <c r="U8" s="97" t="e">
        <f ca="1">_xll.COURBE.TAUX.ZERO(ustCurve,_xll.CALENDRIER.GAP.FINANCE(pricingDate,Q8,"USD","Following",FALSE),cTreasuries)</f>
        <v>#NAME?</v>
      </c>
      <c r="V8" s="97">
        <f ca="1">_xll.CURVE.FORWARD.RATE(swapCurve,R8,_xll.CALENDAR.GAP(R8,"1M","USD","unadjusted",FALSE),cTreasuries)</f>
        <v>5.3996127323027911E-3</v>
      </c>
      <c r="W8" s="97">
        <f ca="1">_xll.CURVE.FORWARD.RATE(oisCurve,R8,_xll.CALENDAR.GAP(R8,"1M","USD","unadjusted",FALSE),cTreasuries)</f>
        <v>1.9382746651510629E-3</v>
      </c>
      <c r="X8" s="97">
        <f ca="1">_xll.CURVE.FORWARD.RATE(ustCurve,R8,_xll.CALENDAR.GAP(R8,"1M","USD","unadjusted",FALSE),cTreasuries)</f>
        <v>0</v>
      </c>
      <c r="Z8" s="34">
        <f ca="1">365*(X8-$T$3-0.0004)/(R8-pricingDate)</f>
        <v>-2.1270737015892964E-3</v>
      </c>
    </row>
    <row r="9" spans="2:26" ht="10.55" x14ac:dyDescent="0.35">
      <c r="B9" s="77" t="str">
        <f ca="1">"ED"&amp; _xll.CALENDAR.NEXT.IMM.CODE(pricingDate) &amp; " Comdty"</f>
        <v>EDU2 Comdty</v>
      </c>
      <c r="C9" s="78" t="s">
        <v>80</v>
      </c>
      <c r="D9" s="78" t="str">
        <f t="shared" ref="D9:D20" ca="1" si="0">LEFT(B9,4)</f>
        <v>EDU2</v>
      </c>
      <c r="E9" s="91">
        <f ca="1">_xll.CALENDAR.IMM.DATE(pricingDate,RIGHT(D9,2))</f>
        <v>41171</v>
      </c>
      <c r="F9" s="81">
        <v>99.525000000000006</v>
      </c>
      <c r="G9" s="81" t="str">
        <f ca="1">_xll.OBJECT.CURVE.HELPER.FUTURE(D9,RIGHT(D9,2),libor3M,F9,convAdj,meanRev)</f>
        <v>EDU2#0001</v>
      </c>
      <c r="H9" s="80">
        <f ca="1">_xll.CURVE.ZERO.RATE(swapCurve,E9,cTreasuries)</f>
        <v>4.0928233446540724E-3</v>
      </c>
      <c r="J9" s="77" t="s">
        <v>716</v>
      </c>
      <c r="K9" s="78" t="s">
        <v>704</v>
      </c>
      <c r="L9" s="91">
        <f ca="1">_xll.CALENDAR.GAP(pricingDate,K9,"USD","Following",FALSE)</f>
        <v>41211</v>
      </c>
      <c r="M9" s="79">
        <v>1.7699999999999999E-3</v>
      </c>
      <c r="N9" s="79">
        <f ca="1">_xll.CURVE.ZERO.RATE(oisCurve,L9,cAnnual)</f>
        <v>1.8022135298723096E-3</v>
      </c>
      <c r="O9" s="80" t="str">
        <f ca="1">_xll.OBJECT.CURVE.HELPER.OVERNIGHT.SWAP(LEFT(J9,LEN(J9)-6),fedFund,L9,M9,TODAY())</f>
        <v>USSOD #0001</v>
      </c>
      <c r="Q9" s="96" t="str">
        <f>'[2]courbes aussie'!B71</f>
        <v>15M</v>
      </c>
      <c r="R9" s="96">
        <f ca="1">_xll.CALENDAR.GAP(pricingDate,Q9,"USD","Following",FALSE)</f>
        <v>41547</v>
      </c>
      <c r="S9" s="97">
        <f ca="1">_xll.CURVE.ZERO.RATE(swapCurve,_xll.CALENDAR.GAP(pricingDate,Q9,"USD","Following",FALSE),cTreasuries)</f>
        <v>4.9705172779770379E-3</v>
      </c>
      <c r="T9" s="97">
        <f ca="1">_xll.CURVE.ZERO.RATE(oisCurve,_xll.CALENDAR.GAP(pricingDate,Q9,"USD","Following",FALSE),cTreasuries)</f>
        <v>1.8708642308120638E-3</v>
      </c>
      <c r="U9" s="97" t="e">
        <f ca="1">_xll.COURBE.TAUX.ZERO(ustCurve,_xll.CALENDRIER.GAP.FINANCE(pricingDate,Q9,"USD","Following",FALSE),cTreasuries)</f>
        <v>#NAME?</v>
      </c>
      <c r="V9" s="97">
        <f ca="1">_xll.CURVE.FORWARD.RATE(swapCurve,R9,_xll.CALENDAR.GAP(R9,"1M","USD","unadjusted",FALSE),cTreasuries)</f>
        <v>5.5859163543237802E-3</v>
      </c>
      <c r="W9" s="97">
        <f ca="1">_xll.CURVE.FORWARD.RATE(oisCurve,R9,_xll.CALENDAR.GAP(R9,"1M","USD","unadjusted",FALSE),cTreasuries)</f>
        <v>2.0558870822826964E-3</v>
      </c>
      <c r="X9" s="97">
        <f ca="1">_xll.CURVE.FORWARD.RATE(ustCurve,R9,_xll.CALENDAR.GAP(R9,"1M","USD","unadjusted",FALSE),cTreasuries)</f>
        <v>0</v>
      </c>
      <c r="Z9" s="34">
        <f ca="1">365*(X9-$T$3-0.0004)/(R9-pricingDate)</f>
        <v>-1.6914638367758021E-3</v>
      </c>
    </row>
    <row r="10" spans="2:26" ht="10.55" x14ac:dyDescent="0.35">
      <c r="B10" s="77" t="str">
        <f ca="1">"ED"&amp; _xll.CALENDAR.NEXT.IMM.CODE(_xll.CALENDAR.IMM.DATE(,MID(B9,3,2))) &amp;" Comdty"</f>
        <v>EDZ2 Comdty</v>
      </c>
      <c r="C10" s="78" t="s">
        <v>80</v>
      </c>
      <c r="D10" s="78" t="str">
        <f t="shared" ca="1" si="0"/>
        <v>EDZ2</v>
      </c>
      <c r="E10" s="91">
        <f ca="1">_xll.CALENDAR.IMM.DATE(pricingDate,RIGHT(D10,2))</f>
        <v>41262</v>
      </c>
      <c r="F10" s="81">
        <v>99.5</v>
      </c>
      <c r="G10" s="81" t="str">
        <f ca="1">_xll.OBJECT.CURVE.HELPER.FUTURE(D10,RIGHT(D10,2),libor3M,F10,convAdj,meanRev)</f>
        <v>EDZ2#0001</v>
      </c>
      <c r="H10" s="80">
        <f ca="1">_xll.CURVE.ZERO.RATE(swapCurve,E10,cTreasuries)</f>
        <v>4.477617527415329E-3</v>
      </c>
      <c r="J10" s="77" t="s">
        <v>717</v>
      </c>
      <c r="K10" s="78" t="s">
        <v>705</v>
      </c>
      <c r="L10" s="91">
        <f ca="1">_xll.CALENDAR.GAP(pricingDate,K10,"USD","Following",FALSE)</f>
        <v>41241</v>
      </c>
      <c r="M10" s="79">
        <v>1.7799999999999999E-3</v>
      </c>
      <c r="N10" s="79">
        <f ca="1">_xll.CURVE.ZERO.RATE(oisCurve,L10,cAnnual)</f>
        <v>1.8123701094607814E-3</v>
      </c>
      <c r="O10" s="80" t="str">
        <f ca="1">_xll.OBJECT.CURVE.HELPER.OVERNIGHT.SWAP(LEFT(J10,LEN(J10)-6),fedFund,L10,M10,TODAY())</f>
        <v>USSOE #0001</v>
      </c>
      <c r="Q10" s="96" t="str">
        <f>'[2]courbes aussie'!B72</f>
        <v>18M</v>
      </c>
      <c r="R10" s="96">
        <f ca="1">_xll.CALENDAR.GAP(pricingDate,Q10,"USD","Following",FALSE)</f>
        <v>41638</v>
      </c>
      <c r="S10" s="97">
        <f ca="1">_xll.CURVE.ZERO.RATE(swapCurve,_xll.CALENDAR.GAP(pricingDate,Q10,"USD","Following",FALSE),cTreasuries)</f>
        <v>5.0878858638876423E-3</v>
      </c>
      <c r="T10" s="97">
        <f ca="1">_xll.CURVE.ZERO.RATE(oisCurve,_xll.CALENDAR.GAP(pricingDate,Q10,"USD","Following",FALSE),cTreasuries)</f>
        <v>1.9178749239916471E-3</v>
      </c>
      <c r="U10" s="97" t="e">
        <f ca="1">_xll.COURBE.TAUX.ZERO(ustCurve,_xll.CALENDRIER.GAP.FINANCE(pricingDate,Q10,"USD","Following",FALSE),cTreasuries)</f>
        <v>#NAME?</v>
      </c>
      <c r="V10" s="97">
        <f ca="1">_xll.CURVE.FORWARD.RATE(swapCurve,R10,_xll.CALENDAR.GAP(R10,"1M","USD","unadjusted",FALSE),cTreasuries)</f>
        <v>5.9083457511581935E-3</v>
      </c>
      <c r="W10" s="97">
        <f ca="1">_xll.CURVE.FORWARD.RATE(oisCurve,R10,_xll.CALENDAR.GAP(R10,"1M","USD","unadjusted",FALSE),cTreasuries)</f>
        <v>2.3907708335201313E-3</v>
      </c>
      <c r="X10" s="97">
        <f ca="1">_xll.CURVE.FORWARD.RATE(ustCurve,R10,_xll.CALENDAR.GAP(R10,"1M","USD","unadjusted",FALSE),cTreasuries)</f>
        <v>0</v>
      </c>
      <c r="Z10" s="34">
        <f ca="1">365*(X10-$T$3-0.0004)/(R10-pricingDate)</f>
        <v>-1.4116034565092603E-3</v>
      </c>
    </row>
    <row r="11" spans="2:26" ht="10.55" x14ac:dyDescent="0.35">
      <c r="B11" s="77" t="str">
        <f ca="1">"ED"&amp; _xll.CALENDAR.NEXT.IMM.CODE(_xll.CALENDAR.IMM.DATE(,MID(B10,3,2))) &amp;" Comdty"</f>
        <v>EDH3 Comdty</v>
      </c>
      <c r="C11" s="78" t="s">
        <v>80</v>
      </c>
      <c r="D11" s="78" t="str">
        <f t="shared" ca="1" si="0"/>
        <v>EDH3</v>
      </c>
      <c r="E11" s="91">
        <f ca="1">_xll.CALENDAR.IMM.DATE(pricingDate,RIGHT(D11,2))</f>
        <v>41353</v>
      </c>
      <c r="F11" s="81">
        <v>99.48</v>
      </c>
      <c r="G11" s="81" t="str">
        <f ca="1">_xll.OBJECT.CURVE.HELPER.FUTURE(D11,RIGHT(D11,2),libor3M,F11,convAdj,meanRev)</f>
        <v>EDH3#0001</v>
      </c>
      <c r="H11" s="80">
        <f ca="1">_xll.CURVE.ZERO.RATE(swapCurve,E11,cTreasuries)</f>
        <v>4.6787944034756279E-3</v>
      </c>
      <c r="J11" s="77" t="s">
        <v>718</v>
      </c>
      <c r="K11" s="78" t="s">
        <v>19</v>
      </c>
      <c r="L11" s="91">
        <f ca="1">_xll.CALENDAR.GAP(pricingDate,K11,"USD","Following",FALSE)</f>
        <v>41271</v>
      </c>
      <c r="M11" s="79">
        <v>1.7799999999999999E-3</v>
      </c>
      <c r="N11" s="79">
        <f ca="1">_xll.CURVE.ZERO.RATE(oisCurve,L11,cAnnual)</f>
        <v>1.8113673904265326E-3</v>
      </c>
      <c r="O11" s="80" t="str">
        <f ca="1">_xll.OBJECT.CURVE.HELPER.OVERNIGHT.SWAP(LEFT(J11,LEN(J11)-6),fedFund,L11,M11,TODAY())</f>
        <v>USSOF #0001</v>
      </c>
      <c r="Q11" s="96" t="str">
        <f>'[2]courbes aussie'!B73</f>
        <v>2Y</v>
      </c>
      <c r="R11" s="96">
        <f ca="1">_xll.CALENDAR.GAP(pricingDate,Q11,"USD","Following",FALSE)</f>
        <v>41820</v>
      </c>
      <c r="S11" s="97">
        <f ca="1">_xll.CURVE.ZERO.RATE(swapCurve,_xll.CALENDAR.GAP(pricingDate,Q11,"USD","Following",FALSE),cTreasuries)</f>
        <v>5.3507011613498356E-3</v>
      </c>
      <c r="T11" s="97">
        <f ca="1">_xll.CURVE.ZERO.RATE(oisCurve,_xll.CALENDAR.GAP(pricingDate,Q11,"USD","Following",FALSE),cTreasuries)</f>
        <v>2.0793563654644132E-3</v>
      </c>
      <c r="U11" s="97" t="e">
        <f ca="1">_xll.COURBE.TAUX.ZERO(ustCurve,_xll.CALENDRIER.GAP.FINANCE(pricingDate,Q11,"USD","Following",FALSE),cTreasuries)</f>
        <v>#NAME?</v>
      </c>
      <c r="V11" s="97">
        <f ca="1">_xll.CURVE.FORWARD.RATE(swapCurve,R11,_xll.CALENDAR.GAP(R11,"1M","USD","unadjusted",FALSE),cTreasuries)</f>
        <v>6.546635360950015E-3</v>
      </c>
      <c r="W11" s="97">
        <f ca="1">_xll.CURVE.FORWARD.RATE(oisCurve,R11,_xll.CALENDAR.GAP(R11,"1M","USD","unadjusted",FALSE),cTreasuries)</f>
        <v>2.620314085167645E-3</v>
      </c>
      <c r="X11" s="97">
        <f ca="1">_xll.CURVE.FORWARD.RATE(ustCurve,R11,_xll.CALENDAR.GAP(R11,"1M","USD","unadjusted",FALSE),cTreasuries)</f>
        <v>0</v>
      </c>
      <c r="Z11" s="34">
        <f ca="1">365*(X11-$T$3-0.0004)/(R11-pricingDate)</f>
        <v>-1.0606310124044989E-3</v>
      </c>
    </row>
    <row r="12" spans="2:26" ht="10.55" x14ac:dyDescent="0.35">
      <c r="B12" s="77" t="str">
        <f ca="1">"ED"&amp; _xll.CALENDAR.NEXT.IMM.CODE(_xll.CALENDAR.IMM.DATE(,MID(B11,3,2))) &amp;" Comdty"</f>
        <v>EDM3 Comdty</v>
      </c>
      <c r="C12" s="78" t="s">
        <v>80</v>
      </c>
      <c r="D12" s="78" t="str">
        <f t="shared" ca="1" si="0"/>
        <v>EDM3</v>
      </c>
      <c r="E12" s="91">
        <f ca="1">_xll.CALENDAR.IMM.DATE(pricingDate,RIGHT(D12,2))</f>
        <v>41444</v>
      </c>
      <c r="F12" s="81">
        <v>99.454999999999998</v>
      </c>
      <c r="G12" s="81" t="str">
        <f ca="1">_xll.OBJECT.CURVE.HELPER.FUTURE(D12,RIGHT(D12,2),libor3M,F12,convAdj,meanRev)</f>
        <v>EDM3#0001</v>
      </c>
      <c r="H12" s="80">
        <f ca="1">_xll.CURVE.ZERO.RATE(swapCurve,E12,cTreasuries)</f>
        <v>4.8228284088089879E-3</v>
      </c>
      <c r="J12" s="77" t="s">
        <v>729</v>
      </c>
      <c r="K12" s="78" t="s">
        <v>728</v>
      </c>
      <c r="L12" s="91">
        <f ca="1">_xll.CALENDAR.GAP(pricingDate,K12,"USD","Following",FALSE)</f>
        <v>41302</v>
      </c>
      <c r="M12" s="79">
        <v>1.7899999999999999E-3</v>
      </c>
      <c r="N12" s="79">
        <f ca="1">_xll.CURVE.ZERO.RATE(oisCurve,L12,cAnnual)</f>
        <v>1.8208697289729958E-3</v>
      </c>
      <c r="O12" s="80" t="str">
        <f ca="1">_xll.OBJECT.CURVE.HELPER.OVERNIGHT.SWAP(LEFT(J12,LEN(J12)-6),fedFund,L12,M12,TODAY())</f>
        <v>USSOG #0001</v>
      </c>
      <c r="Q12" s="96" t="str">
        <f>'[2]courbes aussie'!B74</f>
        <v>3Y</v>
      </c>
      <c r="R12" s="96">
        <f ca="1">_xll.CALENDAR.GAP(pricingDate,Q12,"USD","Following",FALSE)</f>
        <v>42184</v>
      </c>
      <c r="S12" s="97">
        <f ca="1">_xll.CURVE.ZERO.RATE(swapCurve,_xll.CALENDAR.GAP(pricingDate,Q12,"USD","Following",FALSE),cTreasuries)</f>
        <v>6.154499138494085E-3</v>
      </c>
      <c r="T12" s="97">
        <f ca="1">_xll.CURVE.ZERO.RATE(oisCurve,_xll.CALENDAR.GAP(pricingDate,Q12,"USD","Following",FALSE),cTreasuries)</f>
        <v>2.6069904263033017E-3</v>
      </c>
      <c r="U12" s="97" t="e">
        <f ca="1">_xll.COURBE.TAUX.ZERO(ustCurve,_xll.CALENDRIER.GAP.FINANCE(pricingDate,Q12,"USD","Following",FALSE),cTreasuries)</f>
        <v>#NAME?</v>
      </c>
      <c r="V12" s="97">
        <f ca="1">_xll.CURVE.FORWARD.RATE(swapCurve,R12,_xll.CALENDAR.GAP(R12,"1M","USD","unadjusted",FALSE),cTreasuries)</f>
        <v>9.4877173346837873E-3</v>
      </c>
      <c r="W12" s="97">
        <f ca="1">_xll.CURVE.FORWARD.RATE(oisCurve,R12,_xll.CALENDAR.GAP(R12,"1M","USD","unadjusted",FALSE),cTreasuries)</f>
        <v>6.2474676072659108E-3</v>
      </c>
      <c r="X12" s="97">
        <f ca="1">_xll.CURVE.FORWARD.RATE(ustCurve,R12,_xll.CALENDAR.GAP(R12,"1M","USD","unadjusted",FALSE),cTreasuries)</f>
        <v>0</v>
      </c>
      <c r="Z12" s="34">
        <f ca="1">365*(X12-$T$3-0.0004)/(R12-pricingDate)</f>
        <v>-7.0837764697088794E-4</v>
      </c>
    </row>
    <row r="13" spans="2:26" ht="10.55" x14ac:dyDescent="0.35">
      <c r="B13" s="77" t="str">
        <f ca="1">"ED"&amp; _xll.CALENDAR.NEXT.IMM.CODE(_xll.CALENDAR.IMM.DATE(,MID(B12,3,2))) &amp;" Comdty"</f>
        <v>EDU3 Comdty</v>
      </c>
      <c r="C13" s="78" t="s">
        <v>80</v>
      </c>
      <c r="D13" s="78" t="str">
        <f t="shared" ca="1" si="0"/>
        <v>EDU3</v>
      </c>
      <c r="E13" s="91">
        <f ca="1">_xll.CALENDAR.IMM.DATE(pricingDate,RIGHT(D13,2))</f>
        <v>41535</v>
      </c>
      <c r="F13" s="81">
        <v>99.435000000000002</v>
      </c>
      <c r="G13" s="81" t="str">
        <f ca="1">_xll.OBJECT.CURVE.HELPER.FUTURE(D13,RIGHT(D13,2),libor3M,F13,convAdj,meanRev)</f>
        <v>EDU3#0001</v>
      </c>
      <c r="H13" s="80">
        <f ca="1">_xll.CURVE.ZERO.RATE(swapCurve,E13,cTreasuries)</f>
        <v>4.9544099276284115E-3</v>
      </c>
      <c r="J13" s="77" t="s">
        <v>731</v>
      </c>
      <c r="K13" s="78" t="s">
        <v>730</v>
      </c>
      <c r="L13" s="91">
        <f ca="1">_xll.CALENDAR.GAP(pricingDate,K13,"USD","Following",FALSE)</f>
        <v>41333</v>
      </c>
      <c r="M13" s="79">
        <v>1.7899999999999999E-3</v>
      </c>
      <c r="N13" s="79">
        <f ca="1">_xll.CURVE.ZERO.RATE(oisCurve,L13,cAnnual)</f>
        <v>1.8203180038944833E-3</v>
      </c>
      <c r="O13" s="80" t="str">
        <f ca="1">_xll.OBJECT.CURVE.HELPER.OVERNIGHT.SWAP(LEFT(J13,LEN(J13)-6),fedFund,L13,M13,TODAY())</f>
        <v>USSOH #0001</v>
      </c>
      <c r="Q13" s="96" t="str">
        <f>'[2]courbes aussie'!B75</f>
        <v>4Y</v>
      </c>
      <c r="R13" s="96">
        <f ca="1">_xll.CALENDAR.GAP(pricingDate,Q13,"USD","Following",FALSE)</f>
        <v>42549</v>
      </c>
      <c r="S13" s="97">
        <f ca="1">_xll.CURVE.ZERO.RATE(swapCurve,_xll.CALENDAR.GAP(pricingDate,Q13,"USD","Following",FALSE),cTreasuries)</f>
        <v>7.7019681536687479E-3</v>
      </c>
      <c r="T13" s="97">
        <f ca="1">_xll.CURVE.ZERO.RATE(oisCurve,_xll.CALENDAR.GAP(pricingDate,Q13,"USD","Following",FALSE),cTreasuries)</f>
        <v>4.2183912839699467E-3</v>
      </c>
      <c r="U13" s="97" t="e">
        <f ca="1">_xll.COURBE.TAUX.ZERO(ustCurve,_xll.CALENDRIER.GAP.FINANCE(pricingDate,Q13,"USD","Following",FALSE),cTreasuries)</f>
        <v>#NAME?</v>
      </c>
      <c r="V13" s="97">
        <f ca="1">_xll.CURVE.FORWARD.RATE(swapCurve,R13,_xll.CALENDAR.GAP(R13,"1M","USD","unadjusted",FALSE),cTreasuries)</f>
        <v>1.5278055929705528E-2</v>
      </c>
      <c r="W13" s="97">
        <f ca="1">_xll.CURVE.FORWARD.RATE(oisCurve,R13,_xll.CALENDAR.GAP(R13,"1M","USD","unadjusted",FALSE),cTreasuries)</f>
        <v>1.1849137132985013E-2</v>
      </c>
      <c r="X13" s="97">
        <f ca="1">_xll.CURVE.FORWARD.RATE(ustCurve,R13,_xll.CALENDAR.GAP(R13,"1M","USD","unadjusted",FALSE),cTreasuries)</f>
        <v>0</v>
      </c>
      <c r="Z13" s="34">
        <f ca="1">365*(X13-$T$3-0.0004)/(R13-pricingDate)</f>
        <v>-5.3140444974681257E-4</v>
      </c>
    </row>
    <row r="14" spans="2:26" ht="10.55" x14ac:dyDescent="0.35">
      <c r="B14" s="77" t="str">
        <f ca="1">"ED"&amp; _xll.CALENDAR.NEXT.IMM.CODE(_xll.CALENDAR.IMM.DATE(,MID(B13,3,2))) &amp;" Comdty"</f>
        <v>EDZ3 Comdty</v>
      </c>
      <c r="C14" s="78" t="s">
        <v>80</v>
      </c>
      <c r="D14" s="78" t="str">
        <f t="shared" ca="1" si="0"/>
        <v>EDZ3</v>
      </c>
      <c r="E14" s="91">
        <f ca="1">_xll.CALENDAR.IMM.DATE(pricingDate,RIGHT(D14,2))</f>
        <v>41626</v>
      </c>
      <c r="F14" s="81">
        <v>99.4</v>
      </c>
      <c r="G14" s="81" t="str">
        <f ca="1">_xll.OBJECT.CURVE.HELPER.FUTURE(D14,RIGHT(D14,2),libor3M,F14,convAdj,meanRev)</f>
        <v>EDZ3#0001</v>
      </c>
      <c r="H14" s="80">
        <f ca="1">_xll.CURVE.ZERO.RATE(swapCurve,E14,cTreasuries)</f>
        <v>5.071454306003087E-3</v>
      </c>
      <c r="J14" s="77" t="s">
        <v>719</v>
      </c>
      <c r="K14" s="78" t="s">
        <v>175</v>
      </c>
      <c r="L14" s="91">
        <f ca="1">_xll.CALENDAR.GAP(pricingDate,K14,"USD","Following",FALSE)</f>
        <v>41361</v>
      </c>
      <c r="M14" s="79">
        <v>1.7899999999999999E-3</v>
      </c>
      <c r="N14" s="79">
        <f ca="1">_xll.CURVE.ZERO.RATE(oisCurve,L14,cAnnual)</f>
        <v>1.8192556903355861E-3</v>
      </c>
      <c r="O14" s="80" t="str">
        <f ca="1">_xll.OBJECT.CURVE.HELPER.OVERNIGHT.SWAP(LEFT(J14,LEN(J14)-6),fedFund,L14,M14,TODAY())</f>
        <v>USSOI #0001</v>
      </c>
      <c r="Q14" s="96" t="str">
        <f>'[2]courbes aussie'!B76</f>
        <v>5Y</v>
      </c>
      <c r="R14" s="96">
        <f ca="1">_xll.CALENDAR.GAP(pricingDate,Q14,"USD","Following",FALSE)</f>
        <v>42914</v>
      </c>
      <c r="S14" s="97">
        <f ca="1">_xll.CURVE.ZERO.RATE(swapCurve,_xll.CALENDAR.GAP(pricingDate,Q14,"USD","Following",FALSE),cTreasuries)</f>
        <v>9.5668764728480404E-3</v>
      </c>
      <c r="T14" s="97">
        <f ca="1">_xll.CURVE.ZERO.RATE(oisCurve,_xll.CALENDAR.GAP(pricingDate,Q14,"USD","Following",FALSE),cTreasuries)</f>
        <v>6.1369345706552281E-3</v>
      </c>
      <c r="U14" s="97" t="e">
        <f ca="1">_xll.COURBE.TAUX.ZERO(ustCurve,_xll.CALENDRIER.GAP.FINANCE(pricingDate,Q14,"USD","Following",FALSE),cTreasuries)</f>
        <v>#NAME?</v>
      </c>
      <c r="V14" s="97">
        <f ca="1">_xll.CURVE.FORWARD.RATE(swapCurve,R14,_xll.CALENDAR.GAP(R14,"1M","USD","unadjusted",FALSE),cTreasuries)</f>
        <v>1.878426504120697E-2</v>
      </c>
      <c r="W14" s="97">
        <f ca="1">_xll.CURVE.FORWARD.RATE(oisCurve,R14,_xll.CALENDAR.GAP(R14,"1M","USD","unadjusted",FALSE),cTreasuries)</f>
        <v>1.6113973355516197E-2</v>
      </c>
      <c r="X14" s="97">
        <f ca="1">_xll.CURVE.FORWARD.RATE(ustCurve,R14,_xll.CALENDAR.GAP(R14,"1M","USD","unadjusted",FALSE),cTreasuries)</f>
        <v>0</v>
      </c>
      <c r="Z14" s="34">
        <f ca="1">365*(X14-$T$3-0.0004)/(R14-pricingDate)</f>
        <v>-4.2518176400881336E-4</v>
      </c>
    </row>
    <row r="15" spans="2:26" ht="10.55" x14ac:dyDescent="0.35">
      <c r="B15" s="77" t="str">
        <f ca="1">"ED"&amp; _xll.CALENDAR.NEXT.IMM.CODE(_xll.CALENDAR.IMM.DATE(,MID(B14,3,2))) &amp;" Comdty"</f>
        <v>EDH4 Comdty</v>
      </c>
      <c r="C15" s="78" t="s">
        <v>80</v>
      </c>
      <c r="D15" s="78" t="str">
        <f t="shared" ca="1" si="0"/>
        <v>EDH4</v>
      </c>
      <c r="E15" s="91">
        <f ca="1">_xll.CALENDAR.IMM.DATE(pricingDate,RIGHT(D15,2))</f>
        <v>41717</v>
      </c>
      <c r="F15" s="81">
        <v>99.37</v>
      </c>
      <c r="G15" s="81" t="str">
        <f ca="1">_xll.OBJECT.CURVE.HELPER.FUTURE(D15,RIGHT(D15,2),libor3M,F15,convAdj,meanRev)</f>
        <v>EDH4#0001</v>
      </c>
      <c r="H15" s="80">
        <f ca="1">_xll.CURVE.ZERO.RATE(swapCurve,E15,cTreasuries)</f>
        <v>5.2017144615819078E-3</v>
      </c>
      <c r="J15" s="77" t="s">
        <v>732</v>
      </c>
      <c r="K15" s="78" t="s">
        <v>733</v>
      </c>
      <c r="L15" s="91">
        <f ca="1">_xll.CALENDAR.GAP(pricingDate,K15,"USD","Following",FALSE)</f>
        <v>41393</v>
      </c>
      <c r="M15" s="79">
        <v>1.8E-3</v>
      </c>
      <c r="N15" s="79">
        <f ca="1">_xll.CURVE.ZERO.RATE(oisCurve,L15,cAnnual)</f>
        <v>1.8289992505069463E-3</v>
      </c>
      <c r="O15" s="80" t="str">
        <f ca="1">_xll.OBJECT.CURVE.HELPER.OVERNIGHT.SWAP(LEFT(J15,LEN(J15)-6),fedFund,L15,M15,TODAY())</f>
        <v>USSOJ #0001</v>
      </c>
      <c r="Q15" s="96" t="str">
        <f>'[2]courbes aussie'!B77</f>
        <v>6Y</v>
      </c>
      <c r="R15" s="96">
        <f ca="1">_xll.CALENDAR.GAP(pricingDate,Q15,"USD","Following",FALSE)</f>
        <v>43279</v>
      </c>
      <c r="S15" s="97">
        <f ca="1">_xll.CURVE.ZERO.RATE(swapCurve,_xll.CALENDAR.GAP(pricingDate,Q15,"USD","Following",FALSE),cTreasuries)</f>
        <v>1.1437355342033495E-2</v>
      </c>
      <c r="T15" s="97">
        <f ca="1">_xll.CURVE.ZERO.RATE(oisCurve,_xll.CALENDAR.GAP(pricingDate,Q15,"USD","Following",FALSE),cTreasuries)</f>
        <v>8.1107576769134937E-3</v>
      </c>
      <c r="U15" s="97" t="e">
        <f ca="1">_xll.COURBE.TAUX.ZERO(ustCurve,_xll.CALENDRIER.GAP.FINANCE(pricingDate,Q15,"USD","Following",FALSE),cTreasuries)</f>
        <v>#NAME?</v>
      </c>
      <c r="V15" s="97">
        <f ca="1">_xll.CURVE.FORWARD.RATE(swapCurve,R15,_xll.CALENDAR.GAP(R15,"1M","USD","unadjusted",FALSE),cTreasuries)</f>
        <v>2.3689243191300689E-2</v>
      </c>
      <c r="W15" s="97">
        <f ca="1">_xll.CURVE.FORWARD.RATE(oisCurve,R15,_xll.CALENDAR.GAP(R15,"1M","USD","unadjusted",FALSE),cTreasuries)</f>
        <v>1.9907278276945717E-2</v>
      </c>
      <c r="X15" s="97">
        <f ca="1">_xll.CURVE.FORWARD.RATE(ustCurve,R15,_xll.CALENDAR.GAP(R15,"1M","USD","unadjusted",FALSE),cTreasuries)</f>
        <v>0</v>
      </c>
      <c r="Z15" s="34">
        <f ca="1">365*(X15-$T$3-0.0004)/(R15-pricingDate)</f>
        <v>-3.5435047972619499E-4</v>
      </c>
    </row>
    <row r="16" spans="2:26" ht="10.55" x14ac:dyDescent="0.35">
      <c r="B16" s="77" t="str">
        <f ca="1">"ED"&amp; _xll.CALENDAR.NEXT.IMM.CODE(_xll.CALENDAR.IMM.DATE(,MID(B15,3,2))) &amp;" Comdty"</f>
        <v>EDM4 Comdty</v>
      </c>
      <c r="C16" s="78" t="s">
        <v>80</v>
      </c>
      <c r="D16" s="78" t="str">
        <f t="shared" ca="1" si="0"/>
        <v>EDM4</v>
      </c>
      <c r="E16" s="91">
        <f ca="1">_xll.CALENDAR.IMM.DATE(pricingDate,RIGHT(D16,2))</f>
        <v>41808</v>
      </c>
      <c r="F16" s="81">
        <v>99.325000000000003</v>
      </c>
      <c r="G16" s="81" t="str">
        <f ca="1">_xll.OBJECT.CURVE.HELPER.FUTURE(D16,RIGHT(D16,2),libor3M,F16,convAdj,meanRev)</f>
        <v>EDM4#0001</v>
      </c>
      <c r="H16" s="80">
        <f ca="1">_xll.CURVE.ZERO.RATE(swapCurve,E16,cTreasuries)</f>
        <v>5.3324165698804826E-3</v>
      </c>
      <c r="J16" s="77" t="s">
        <v>720</v>
      </c>
      <c r="K16" s="78" t="s">
        <v>706</v>
      </c>
      <c r="L16" s="91">
        <f ca="1">_xll.CALENDAR.GAP(pricingDate,K16,"USD","Following",FALSE)</f>
        <v>41453</v>
      </c>
      <c r="M16" s="79">
        <v>1.82E-3</v>
      </c>
      <c r="N16" s="79">
        <f ca="1">_xll.CURVE.ZERO.RATE(oisCurve,L16,cAnnual)</f>
        <v>1.8484182133762239E-3</v>
      </c>
      <c r="O16" s="80" t="str">
        <f ca="1">_xll.OBJECT.CURVE.HELPER.OVERNIGHT.SWAP(LEFT(J16,LEN(J16)-6),fedFund,L16,M16,TODAY())</f>
        <v>USSO1 #0001</v>
      </c>
      <c r="Q16" s="96" t="str">
        <f>'[2]courbes aussie'!B78</f>
        <v>7Y</v>
      </c>
      <c r="R16" s="96">
        <f ca="1">_xll.CALENDAR.GAP(pricingDate,Q16,"USD","Following",FALSE)</f>
        <v>43644</v>
      </c>
      <c r="S16" s="97">
        <f ca="1">_xll.CURVE.ZERO.RATE(swapCurve,_xll.CALENDAR.GAP(pricingDate,Q16,"USD","Following",FALSE),cTreasuries)</f>
        <v>1.347015456844014E-2</v>
      </c>
      <c r="T16" s="97">
        <f ca="1">_xll.CURVE.ZERO.RATE(oisCurve,_xll.CALENDAR.GAP(pricingDate,Q16,"USD","Following",FALSE),cTreasuries)</f>
        <v>9.9985362936116928E-3</v>
      </c>
      <c r="U16" s="97" t="e">
        <f ca="1">_xll.COURBE.TAUX.ZERO(ustCurve,_xll.CALENDRIER.GAP.FINANCE(pricingDate,Q16,"USD","Following",FALSE),cTreasuries)</f>
        <v>#NAME?</v>
      </c>
      <c r="V16" s="97">
        <f ca="1">_xll.CURVE.FORWARD.RATE(swapCurve,R16,_xll.CALENDAR.GAP(R16,"1M","USD","unadjusted",FALSE),cTreasuries)</f>
        <v>2.6406011695015962E-2</v>
      </c>
      <c r="W16" s="97">
        <f ca="1">_xll.CURVE.FORWARD.RATE(oisCurve,R16,_xll.CALENDAR.GAP(R16,"1M","USD","unadjusted",FALSE),cTreasuries)</f>
        <v>2.2683443776997048E-2</v>
      </c>
      <c r="X16" s="97">
        <f ca="1">_xll.CURVE.FORWARD.RATE(ustCurve,R16,_xll.CALENDAR.GAP(R16,"1M","USD","unadjusted",FALSE),cTreasuries)</f>
        <v>0</v>
      </c>
      <c r="Z16" s="34">
        <f ca="1">365*(X16-$T$3-0.0004)/(R16-pricingDate)</f>
        <v>-3.0374878759002082E-4</v>
      </c>
    </row>
    <row r="17" spans="2:26" ht="10.55" x14ac:dyDescent="0.35">
      <c r="B17" s="77" t="str">
        <f ca="1">"ED"&amp; _xll.CALENDAR.NEXT.IMM.CODE(_xll.CALENDAR.IMM.DATE(,MID(B16,3,2))) &amp;" Comdty"</f>
        <v>EDU4 Comdty</v>
      </c>
      <c r="C17" s="78" t="s">
        <v>80</v>
      </c>
      <c r="D17" s="78" t="str">
        <f t="shared" ca="1" si="0"/>
        <v>EDU4</v>
      </c>
      <c r="E17" s="91">
        <f ca="1">_xll.CALENDAR.IMM.DATE(pricingDate,RIGHT(D17,2))</f>
        <v>41899</v>
      </c>
      <c r="F17" s="81">
        <v>99.265000000000001</v>
      </c>
      <c r="G17" s="81" t="str">
        <f ca="1">_xll.OBJECT.CURVE.HELPER.FUTURE(D17,RIGHT(D17,2),libor3M,F17,convAdj,meanRev)</f>
        <v>EDU4#0001</v>
      </c>
      <c r="H17" s="80">
        <f ca="1">_xll.CURVE.ZERO.RATE(swapCurve,E17,cTreasuries)</f>
        <v>5.4808235579408837E-3</v>
      </c>
      <c r="J17" s="77" t="s">
        <v>721</v>
      </c>
      <c r="K17" s="78" t="s">
        <v>707</v>
      </c>
      <c r="L17" s="91">
        <f ca="1">_xll.CALENDAR.GAP(pricingDate,K17,"USD","Following",FALSE)</f>
        <v>41638</v>
      </c>
      <c r="M17" s="79">
        <v>1.89E-3</v>
      </c>
      <c r="N17" s="79">
        <f ca="1">_xll.CURVE.ZERO.RATE(oisCurve,L17,cAnnual)</f>
        <v>1.9187944850476146E-3</v>
      </c>
      <c r="O17" s="80" t="str">
        <f ca="1">_xll.OBJECT.CURVE.HELPER.OVERNIGHT.SWAP(LEFT(J17,LEN(J17)-6),fedFund,L17,M17,TODAY())</f>
        <v>USSO1F #0001</v>
      </c>
      <c r="Q17" s="96" t="str">
        <f>'[2]courbes aussie'!B79</f>
        <v>8Y</v>
      </c>
      <c r="R17" s="96">
        <f ca="1">_xll.CALENDAR.GAP(pricingDate,Q17,"USD","Following",FALSE)</f>
        <v>44011</v>
      </c>
      <c r="S17" s="97">
        <f ca="1">_xll.CURVE.ZERO.RATE(swapCurve,_xll.CALENDAR.GAP(pricingDate,Q17,"USD","Following",FALSE),cTreasuries)</f>
        <v>1.5121471348742865E-2</v>
      </c>
      <c r="T17" s="97">
        <f ca="1">_xll.CURVE.ZERO.RATE(oisCurve,_xll.CALENDAR.GAP(pricingDate,Q17,"USD","Following",FALSE),cTreasuries)</f>
        <v>1.1730131809219557E-2</v>
      </c>
      <c r="U17" s="97" t="e">
        <f ca="1">_xll.COURBE.TAUX.ZERO(ustCurve,_xll.CALENDRIER.GAP.FINANCE(pricingDate,Q17,"USD","Following",FALSE),cTreasuries)</f>
        <v>#NAME?</v>
      </c>
      <c r="V17" s="97">
        <f ca="1">_xll.CURVE.FORWARD.RATE(swapCurve,R17,_xll.CALENDAR.GAP(R17,"1M","USD","unadjusted",FALSE),cTreasuries)</f>
        <v>2.7257134367736319E-2</v>
      </c>
      <c r="W17" s="97">
        <f ca="1">_xll.CURVE.FORWARD.RATE(oisCurve,R17,_xll.CALENDAR.GAP(R17,"1M","USD","unadjusted",FALSE),cTreasuries)</f>
        <v>2.4882251219299083E-2</v>
      </c>
      <c r="X17" s="97">
        <f ca="1">_xll.CURVE.FORWARD.RATE(ustCurve,R17,_xll.CALENDAR.GAP(R17,"1M","USD","unadjusted",FALSE),cTreasuries)</f>
        <v>0</v>
      </c>
      <c r="Z17" s="34">
        <f ca="1">365*(X17-$T$3-0.0004)/(R17-pricingDate)</f>
        <v>-2.6561132435172534E-4</v>
      </c>
    </row>
    <row r="18" spans="2:26" ht="10.55" x14ac:dyDescent="0.35">
      <c r="B18" s="77" t="str">
        <f ca="1">"ED"&amp; _xll.CALENDAR.NEXT.IMM.CODE(_xll.CALENDAR.IMM.DATE(,MID(B17,3,2))) &amp;" Comdty"</f>
        <v>EDZ4 Comdty</v>
      </c>
      <c r="C18" s="78" t="s">
        <v>80</v>
      </c>
      <c r="D18" s="78" t="str">
        <f t="shared" ca="1" si="0"/>
        <v>EDZ4</v>
      </c>
      <c r="E18" s="91">
        <f ca="1">_xll.CALENDAR.IMM.DATE(pricingDate,RIGHT(D18,2))</f>
        <v>41990</v>
      </c>
      <c r="F18" s="81">
        <v>99.18</v>
      </c>
      <c r="G18" s="81" t="str">
        <f ca="1">_xll.OBJECT.CURVE.HELPER.FUTURE(D18,RIGHT(D18,2),libor3M,F18,convAdj,meanRev)</f>
        <v>EDZ4#0001</v>
      </c>
      <c r="H18" s="80">
        <f ca="1">_xll.CURVE.ZERO.RATE(swapCurve,E18,cTreasuries)</f>
        <v>5.6567243692016156E-3</v>
      </c>
      <c r="J18" s="77" t="s">
        <v>722</v>
      </c>
      <c r="K18" s="78" t="s">
        <v>81</v>
      </c>
      <c r="L18" s="91">
        <f ca="1">_xll.CALENDAR.GAP(pricingDate,K18,"USD","Following",FALSE)</f>
        <v>41820</v>
      </c>
      <c r="M18" s="79">
        <v>2.0499999999999997E-3</v>
      </c>
      <c r="N18" s="79">
        <f ca="1">_xll.CURVE.ZERO.RATE(oisCurve,L18,cAnnual)</f>
        <v>2.0804372961880091E-3</v>
      </c>
      <c r="O18" s="80" t="str">
        <f ca="1">_xll.OBJECT.CURVE.HELPER.OVERNIGHT.SWAP(LEFT(J18,LEN(J18)-6),fedFund,L18,M18,TODAY())</f>
        <v>USSO2 #0001</v>
      </c>
      <c r="Q18" s="96" t="str">
        <f>'[2]courbes aussie'!B80</f>
        <v>9Y</v>
      </c>
      <c r="R18" s="96">
        <f ca="1">_xll.CALENDAR.GAP(pricingDate,Q18,"USD","Following",FALSE)</f>
        <v>44375</v>
      </c>
      <c r="S18" s="97">
        <f ca="1">_xll.CURVE.ZERO.RATE(swapCurve,_xll.CALENDAR.GAP(pricingDate,Q18,"USD","Following",FALSE),cTreasuries)</f>
        <v>1.6593211886357651E-2</v>
      </c>
      <c r="T18" s="97">
        <f ca="1">_xll.CURVE.ZERO.RATE(oisCurve,_xll.CALENDAR.GAP(pricingDate,Q18,"USD","Following",FALSE),cTreasuries)</f>
        <v>1.3285433224524024E-2</v>
      </c>
      <c r="U18" s="97" t="e">
        <f ca="1">_xll.COURBE.TAUX.ZERO(ustCurve,_xll.CALENDRIER.GAP.FINANCE(pricingDate,Q18,"USD","Following",FALSE),cTreasuries)</f>
        <v>#NAME?</v>
      </c>
      <c r="V18" s="97">
        <f ca="1">_xll.CURVE.FORWARD.RATE(swapCurve,R18,_xll.CALENDAR.GAP(R18,"1M","USD","unadjusted",FALSE),cTreasuries)</f>
        <v>2.9493977803568588E-2</v>
      </c>
      <c r="W18" s="97">
        <f ca="1">_xll.CURVE.FORWARD.RATE(oisCurve,R18,_xll.CALENDAR.GAP(R18,"1M","USD","unadjusted",FALSE),cTreasuries)</f>
        <v>2.6580757621797201E-2</v>
      </c>
      <c r="X18" s="97">
        <f ca="1">_xll.CURVE.FORWARD.RATE(ustCurve,R18,_xll.CALENDAR.GAP(R18,"1M","USD","unadjusted",FALSE),cTreasuries)</f>
        <v>0</v>
      </c>
      <c r="Z18" s="34">
        <f ca="1">365*(X18-$T$3-0.0004)/(R18-pricingDate)</f>
        <v>-2.361977186127451E-4</v>
      </c>
    </row>
    <row r="19" spans="2:26" ht="10.55" x14ac:dyDescent="0.35">
      <c r="B19" s="77" t="str">
        <f ca="1">"ED"&amp; _xll.CALENDAR.NEXT.IMM.CODE(_xll.CALENDAR.IMM.DATE(,MID(B18,3,2))) &amp;" Comdty"</f>
        <v>EDH5 Comdty</v>
      </c>
      <c r="C19" s="78" t="s">
        <v>80</v>
      </c>
      <c r="D19" s="78" t="str">
        <f t="shared" ca="1" si="0"/>
        <v>EDH5</v>
      </c>
      <c r="E19" s="91">
        <f ca="1">_xll.CALENDAR.IMM.DATE(pricingDate,RIGHT(D19,2))</f>
        <v>42081</v>
      </c>
      <c r="F19" s="81">
        <v>99.1</v>
      </c>
      <c r="G19" s="81" t="str">
        <f ca="1">_xll.OBJECT.CURVE.HELPER.FUTURE(D19,RIGHT(D19,2),libor3M,F19,convAdj,meanRev)</f>
        <v>EDH5#0001</v>
      </c>
      <c r="H19" s="80">
        <f ca="1">_xll.CURVE.ZERO.RATE(swapCurve,E19,cTreasuries)</f>
        <v>5.8755034460444833E-3</v>
      </c>
      <c r="J19" s="77" t="s">
        <v>723</v>
      </c>
      <c r="K19" s="78" t="s">
        <v>82</v>
      </c>
      <c r="L19" s="91">
        <f ca="1">_xll.CALENDAR.GAP(pricingDate,K19,"USD","Following",FALSE)</f>
        <v>42184</v>
      </c>
      <c r="M19" s="79">
        <v>2.5700000000000002E-3</v>
      </c>
      <c r="N19" s="79">
        <f ca="1">_xll.CURVE.ZERO.RATE(oisCurve,L19,cAnnual)</f>
        <v>2.6086895260739595E-3</v>
      </c>
      <c r="O19" s="80" t="str">
        <f ca="1">_xll.OBJECT.CURVE.HELPER.OVERNIGHT.SWAP(LEFT(J19,LEN(J19)-6),fedFund,L19,M19,TODAY())</f>
        <v>USSO3 #0001</v>
      </c>
      <c r="Q19" s="96" t="str">
        <f>'[2]courbes aussie'!B81</f>
        <v>10Y</v>
      </c>
      <c r="R19" s="96">
        <f ca="1">_xll.CALENDAR.GAP(pricingDate,Q19,"USD","Following",FALSE)</f>
        <v>44740</v>
      </c>
      <c r="S19" s="97">
        <f ca="1">_xll.CURVE.ZERO.RATE(swapCurve,_xll.CALENDAR.GAP(pricingDate,Q19,"USD","Following",FALSE),cTreasuries)</f>
        <v>1.7953919858320955E-2</v>
      </c>
      <c r="T19" s="97">
        <f ca="1">_xll.CURVE.ZERO.RATE(oisCurve,_xll.CALENDAR.GAP(pricingDate,Q19,"USD","Following",FALSE),cTreasuries)</f>
        <v>1.4694529857275818E-2</v>
      </c>
      <c r="U19" s="97" t="e">
        <f ca="1">_xll.COURBE.TAUX.ZERO(ustCurve,_xll.CALENDRIER.GAP.FINANCE(pricingDate,Q19,"USD","Following",FALSE),cTreasuries)</f>
        <v>#NAME?</v>
      </c>
      <c r="V19" s="97">
        <f ca="1">_xll.CURVE.FORWARD.RATE(swapCurve,R19,_xll.CALENDAR.GAP(R19,"1M","USD","unadjusted",FALSE),cTreasuries)</f>
        <v>3.0146862499451532E-2</v>
      </c>
      <c r="W19" s="97">
        <f ca="1">_xll.CURVE.FORWARD.RATE(oisCurve,R19,_xll.CALENDAR.GAP(R19,"1M","USD","unadjusted",FALSE),cTreasuries)</f>
        <v>2.8004967559819703E-2</v>
      </c>
      <c r="X19" s="97">
        <f ca="1">_xll.CURVE.FORWARD.RATE(ustCurve,R19,_xll.CALENDAR.GAP(R19,"1M","USD","unadjusted",FALSE),cTreasuries)</f>
        <v>0</v>
      </c>
      <c r="Z19" s="34">
        <f ca="1">365*(X19-$T$3-0.0004)/(R19-pricingDate)</f>
        <v>-2.1259088200440668E-4</v>
      </c>
    </row>
    <row r="20" spans="2:26" ht="10.55" x14ac:dyDescent="0.35">
      <c r="B20" s="77" t="str">
        <f ca="1">"ED"&amp; _xll.CALENDAR.NEXT.IMM.CODE(_xll.CALENDAR.IMM.DATE(,MID(B19,3,2))) &amp;" Comdty"</f>
        <v>EDM5 Comdty</v>
      </c>
      <c r="C20" s="78" t="s">
        <v>80</v>
      </c>
      <c r="D20" s="78" t="str">
        <f t="shared" ca="1" si="0"/>
        <v>EDM5</v>
      </c>
      <c r="E20" s="91">
        <f ca="1">_xll.CALENDAR.IMM.DATE(pricingDate,RIGHT(D20,2))</f>
        <v>42172</v>
      </c>
      <c r="F20" s="81">
        <v>98.995000000000005</v>
      </c>
      <c r="G20" s="81" t="str">
        <f ca="1">_xll.OBJECT.CURVE.HELPER.FUTURE(D20,RIGHT(D20,2),libor3M,F20,convAdj,meanRev)</f>
        <v>EDM5#0001</v>
      </c>
      <c r="H20" s="80">
        <f ca="1">_xll.CURVE.ZERO.RATE(swapCurve,E20,cTreasuries)</f>
        <v>6.1201341115988406E-3</v>
      </c>
      <c r="J20" s="77" t="s">
        <v>724</v>
      </c>
      <c r="K20" s="78" t="s">
        <v>83</v>
      </c>
      <c r="L20" s="91">
        <f ca="1">_xll.CALENDAR.GAP(pricingDate,K20,"USD","Following",FALSE)</f>
        <v>42549</v>
      </c>
      <c r="M20" s="79">
        <v>4.15E-3</v>
      </c>
      <c r="N20" s="79">
        <f ca="1">_xll.CURVE.ZERO.RATE(oisCurve,L20,cAnnual)</f>
        <v>4.2228399902262126E-3</v>
      </c>
      <c r="O20" s="80" t="str">
        <f ca="1">_xll.OBJECT.CURVE.HELPER.OVERNIGHT.SWAP(LEFT(J20,LEN(J20)-6),fedFund,L20,M20,TODAY())</f>
        <v>USSO4 #0001</v>
      </c>
    </row>
    <row r="21" spans="2:26" ht="10.55" x14ac:dyDescent="0.35">
      <c r="B21" s="77" t="s">
        <v>104</v>
      </c>
      <c r="C21" s="78" t="s">
        <v>119</v>
      </c>
      <c r="D21" s="78" t="s">
        <v>83</v>
      </c>
      <c r="E21" s="91">
        <f ca="1">_xll.CALENDAR.GAP(pricingDate,D21,"USD","Unadjusted",FALSE)</f>
        <v>42549</v>
      </c>
      <c r="F21" s="79">
        <v>7.7499999999999999E-3</v>
      </c>
      <c r="G21" s="79" t="str">
        <f ca="1">_xll.OBJECT.CURVE.HELPER.SWAP(B21,D21,"USD",2,"Semi-Annual","ACT/ACT",F21,"Quarterly","ACT/360",libor3M,oisCurve)</f>
        <v>USSWAP4  Curncy#0000</v>
      </c>
      <c r="H21" s="80">
        <f ca="1">_xll.CURVE.ZERO.RATE(swapCurve,E21,cTreasuries)</f>
        <v>7.7019681536687479E-3</v>
      </c>
      <c r="J21" s="77" t="s">
        <v>725</v>
      </c>
      <c r="K21" s="78" t="s">
        <v>84</v>
      </c>
      <c r="L21" s="91">
        <f ca="1">_xll.CALENDAR.GAP(pricingDate,K21,"USD","Following",FALSE)</f>
        <v>42914</v>
      </c>
      <c r="M21" s="79">
        <v>6.0200000000000002E-3</v>
      </c>
      <c r="N21" s="79">
        <f ca="1">_xll.CURVE.ZERO.RATE(oisCurve,L21,cAnnual)</f>
        <v>6.1463500621363742E-3</v>
      </c>
      <c r="O21" s="80" t="str">
        <f ca="1">_xll.OBJECT.CURVE.HELPER.OVERNIGHT.SWAP(LEFT(J21,LEN(J21)-6),fedFund,L21,M21,TODAY())</f>
        <v>USSO5 #0001</v>
      </c>
    </row>
    <row r="22" spans="2:26" ht="10.55" x14ac:dyDescent="0.35">
      <c r="B22" s="77" t="s">
        <v>105</v>
      </c>
      <c r="C22" s="78" t="s">
        <v>119</v>
      </c>
      <c r="D22" s="78" t="s">
        <v>84</v>
      </c>
      <c r="E22" s="91">
        <f ca="1">_xll.CALENDAR.GAP(pricingDate,D22,"USD","Unadjusted",FALSE)</f>
        <v>42914</v>
      </c>
      <c r="F22" s="79">
        <v>9.5899999999999996E-3</v>
      </c>
      <c r="G22" s="79" t="str">
        <f ca="1">_xll.OBJECT.CURVE.HELPER.SWAP(B22,D22,"USD",2,"Semi-Annual","ACT/ACT",F22,"Quarterly","ACT/360",libor3M,oisCurve)</f>
        <v>USSWAP5  Curncy#0000</v>
      </c>
      <c r="H22" s="80">
        <f ca="1">_xll.CURVE.ZERO.RATE(swapCurve,E22,cTreasuries)</f>
        <v>9.5668764728480404E-3</v>
      </c>
      <c r="J22" s="77" t="s">
        <v>727</v>
      </c>
      <c r="K22" s="78" t="s">
        <v>86</v>
      </c>
      <c r="L22" s="91">
        <f ca="1">_xll.CALENDAR.GAP(pricingDate,K22,"USD","Following",FALSE)</f>
        <v>43644</v>
      </c>
      <c r="M22" s="79">
        <v>9.7400000000000004E-3</v>
      </c>
      <c r="N22" s="79">
        <f ca="1">_xll.CURVE.ZERO.RATE(oisCurve,L22,cAnnual)</f>
        <v>1.0023528975615426E-2</v>
      </c>
      <c r="O22" s="80" t="str">
        <f ca="1">_xll.OBJECT.CURVE.HELPER.OVERNIGHT.SWAP(LEFT(J22,LEN(J22)-6),fedFund,L22,M22,TODAY())</f>
        <v>USSO7 #0001</v>
      </c>
      <c r="S22" s="7" t="s">
        <v>739</v>
      </c>
      <c r="T22" s="7" t="s">
        <v>182</v>
      </c>
      <c r="U22" s="7" t="s">
        <v>81</v>
      </c>
      <c r="V22" s="7" t="s">
        <v>82</v>
      </c>
      <c r="W22" s="7" t="s">
        <v>83</v>
      </c>
      <c r="X22" s="7" t="s">
        <v>84</v>
      </c>
    </row>
    <row r="23" spans="2:26" ht="10.55" x14ac:dyDescent="0.35">
      <c r="B23" s="77" t="s">
        <v>106</v>
      </c>
      <c r="C23" s="78" t="s">
        <v>119</v>
      </c>
      <c r="D23" s="78" t="s">
        <v>85</v>
      </c>
      <c r="E23" s="91">
        <f ca="1">_xll.CALENDAR.GAP(pricingDate,D23,"USD","Unadjusted",FALSE)</f>
        <v>43279</v>
      </c>
      <c r="F23" s="79">
        <v>1.1422000000000002E-2</v>
      </c>
      <c r="G23" s="79" t="str">
        <f ca="1">_xll.OBJECT.CURVE.HELPER.SWAP(B23,D23,"USD",2,"Semi-Annual","ACT/ACT",F23,"Quarterly","ACT/360",libor3M,oisCurve)</f>
        <v>USSWAP6  Curncy#0000</v>
      </c>
      <c r="H23" s="80">
        <f ca="1">_xll.CURVE.ZERO.RATE(swapCurve,E23,cTreasuries)</f>
        <v>1.1437355342033495E-2</v>
      </c>
      <c r="J23" s="77" t="s">
        <v>726</v>
      </c>
      <c r="K23" s="78" t="s">
        <v>89</v>
      </c>
      <c r="L23" s="91">
        <f ca="1">_xll.CALENDAR.GAP(pricingDate,K23,"USD","Following",FALSE)</f>
        <v>44740</v>
      </c>
      <c r="M23" s="79">
        <v>1.4150000000000001E-2</v>
      </c>
      <c r="N23" s="79">
        <f ca="1">_xll.CURVE.ZERO.RATE(oisCurve,L23,cAnnual)</f>
        <v>1.474851215920725E-2</v>
      </c>
      <c r="O23" s="80" t="str">
        <f ca="1">_xll.OBJECT.CURVE.HELPER.OVERNIGHT.SWAP(LEFT(J23,LEN(J23)-6),fedFund,L23,M23,TODAY())</f>
        <v>USSO10 #0001</v>
      </c>
      <c r="R23" s="8">
        <f ca="1">R3</f>
        <v>41120</v>
      </c>
      <c r="S23" s="97">
        <f ca="1">T3</f>
        <v>1.7270737015892964E-3</v>
      </c>
      <c r="T23" s="97">
        <f ca="1">_xll.CURVE.FORWARD.RATE(oisCurve,$R3,_xll.CALENDAR.GAP($R3,T$22,"USD","unadjusted",FALSE),cTreasuries)</f>
        <v>1.8661005587494728E-3</v>
      </c>
      <c r="U23" s="97">
        <f ca="1">_xll.CURVE.FORWARD.RATE(oisCurve,$R3,_xll.CALENDAR.GAP($R3,U$22,"USD","unadjusted",FALSE),cTreasuries)</f>
        <v>1.8661005587494728E-3</v>
      </c>
      <c r="V23" s="97">
        <f ca="1">_xll.CURVE.FORWARD.RATE(oisCurve,$R3,_xll.CALENDAR.GAP($R3,V$22,"USD","unadjusted",FALSE),cTreasuries)</f>
        <v>1.8661005587494728E-3</v>
      </c>
      <c r="W23" s="97">
        <f ca="1">_xll.CURVE.FORWARD.RATE(oisCurve,$R3,_xll.CALENDAR.GAP($R3,W$22,"USD","unadjusted",FALSE),cTreasuries)</f>
        <v>1.8661005587494728E-3</v>
      </c>
      <c r="X23" s="97">
        <f ca="1">_xll.CURVE.FORWARD.RATE(oisCurve,$R3,_xll.CALENDAR.GAP($R3,X$22,"USD","unadjusted",FALSE),cTreasuries)</f>
        <v>1.8661005587494728E-3</v>
      </c>
    </row>
    <row r="24" spans="2:26" ht="10.55" x14ac:dyDescent="0.35">
      <c r="B24" s="77" t="s">
        <v>107</v>
      </c>
      <c r="C24" s="78" t="s">
        <v>119</v>
      </c>
      <c r="D24" s="78" t="s">
        <v>86</v>
      </c>
      <c r="E24" s="91">
        <f ca="1">_xll.CALENDAR.GAP(pricingDate,D24,"USD","Unadjusted",FALSE)</f>
        <v>43644</v>
      </c>
      <c r="F24" s="79">
        <v>1.3385000000000001E-2</v>
      </c>
      <c r="G24" s="79" t="str">
        <f ca="1">_xll.OBJECT.CURVE.HELPER.SWAP(B24,D24,"USD",2,"Semi-Annual","ACT/ACT",F24,"Quarterly","ACT/360",libor3M,oisCurve)</f>
        <v>USSWAP7 Curncy#0000</v>
      </c>
      <c r="H24" s="80">
        <f ca="1">_xll.CURVE.ZERO.RATE(swapCurve,E24,cTreasuries)</f>
        <v>1.347015456844014E-2</v>
      </c>
      <c r="J24" s="77" t="s">
        <v>736</v>
      </c>
      <c r="K24" s="78" t="s">
        <v>91</v>
      </c>
      <c r="L24" s="91">
        <f ca="1">_xll.CALENDAR.GAP(pricingDate,K24,"USD","Following",FALSE)</f>
        <v>46566</v>
      </c>
      <c r="M24" s="79">
        <v>1.864E-2</v>
      </c>
      <c r="N24" s="79">
        <f ca="1">_xll.CURVE.ZERO.RATE(oisCurve,L24,cAnnual)</f>
        <v>1.975356026164854E-2</v>
      </c>
      <c r="O24" s="80" t="str">
        <f ca="1">_xll.OBJECT.CURVE.HELPER.OVERNIGHT.SWAP(LEFT(J24,LEN(J24)-6),fedFund,L24,M24,TODAY())</f>
        <v>USSO15 #0001</v>
      </c>
      <c r="R24" s="8">
        <f t="shared" ref="R24:R39" ca="1" si="1">R4</f>
        <v>41149</v>
      </c>
      <c r="S24" s="97">
        <f t="shared" ref="S24:S39" ca="1" si="2">T4</f>
        <v>1.7722993268765035E-3</v>
      </c>
      <c r="T24" s="97">
        <f ca="1">_xll.CURVE.FORWARD.RATE(oisCurve,$R4,_xll.CALENDAR.GAP($R4,T$22,"USD","unadjusted",FALSE),cTreasuries)</f>
        <v>1.8661005587494728E-3</v>
      </c>
      <c r="U24" s="97">
        <f ca="1">_xll.CURVE.FORWARD.RATE(oisCurve,$R4,_xll.CALENDAR.GAP($R4,U$22,"USD","unadjusted",FALSE),cTreasuries)</f>
        <v>1.8661005587494728E-3</v>
      </c>
      <c r="V24" s="97">
        <f ca="1">_xll.CURVE.FORWARD.RATE(oisCurve,$R4,_xll.CALENDAR.GAP($R4,V$22,"USD","unadjusted",FALSE),cTreasuries)</f>
        <v>1.8661005587494728E-3</v>
      </c>
      <c r="W24" s="97">
        <f ca="1">_xll.CURVE.FORWARD.RATE(oisCurve,$R4,_xll.CALENDAR.GAP($R4,W$22,"USD","unadjusted",FALSE),cTreasuries)</f>
        <v>1.8661005587494728E-3</v>
      </c>
      <c r="X24" s="97">
        <f ca="1">_xll.CURVE.FORWARD.RATE(oisCurve,$R4,_xll.CALENDAR.GAP($R4,X$22,"USD","unadjusted",FALSE),cTreasuries)</f>
        <v>1.8661005587494728E-3</v>
      </c>
    </row>
    <row r="25" spans="2:26" ht="10.55" x14ac:dyDescent="0.35">
      <c r="B25" s="77" t="s">
        <v>108</v>
      </c>
      <c r="C25" s="78" t="s">
        <v>119</v>
      </c>
      <c r="D25" s="78" t="s">
        <v>87</v>
      </c>
      <c r="E25" s="91">
        <f ca="1">_xll.CALENDAR.GAP(pricingDate,D25,"USD","Unadjusted",FALSE)</f>
        <v>44010</v>
      </c>
      <c r="F25" s="79">
        <v>1.4959999999999999E-2</v>
      </c>
      <c r="G25" s="79" t="str">
        <f ca="1">_xll.OBJECT.CURVE.HELPER.SWAP(B25,D25,"USD",2,"Semi-Annual","ACT/ACT",F25,"Quarterly","ACT/360",libor3M,oisCurve)</f>
        <v>USSWAP8  Curncy#0000</v>
      </c>
      <c r="H25" s="80">
        <f ca="1">_xll.CURVE.ZERO.RATE(swapCurve,E25,cTreasuries)</f>
        <v>1.5117320631913511E-2</v>
      </c>
      <c r="J25" s="77" t="s">
        <v>737</v>
      </c>
      <c r="K25" s="78" t="s">
        <v>92</v>
      </c>
      <c r="L25" s="91">
        <f ca="1">_xll.CALENDAR.GAP(pricingDate,K25,"USD","Following",FALSE)</f>
        <v>48393</v>
      </c>
      <c r="M25" s="79">
        <v>2.051E-2</v>
      </c>
      <c r="N25" s="79">
        <f ca="1">_xll.CURVE.ZERO.RATE(oisCurve,L25,cAnnual)</f>
        <v>2.1864943273676385E-2</v>
      </c>
      <c r="O25" s="80" t="str">
        <f ca="1">_xll.OBJECT.CURVE.HELPER.OVERNIGHT.SWAP(LEFT(J25,LEN(J25)-6),fedFund,L25,M25,TODAY())</f>
        <v>USSO20 #0001</v>
      </c>
      <c r="R25" s="8">
        <f t="shared" ca="1" si="1"/>
        <v>41180</v>
      </c>
      <c r="S25" s="97">
        <f t="shared" ca="1" si="2"/>
        <v>1.7806288252441833E-3</v>
      </c>
      <c r="T25" s="97">
        <f ca="1">_xll.CURVE.FORWARD.RATE(oisCurve,$R5,_xll.CALENDAR.GAP($R5,T$22,"USD","unadjusted",FALSE),cTreasuries)</f>
        <v>1.8661005587494728E-3</v>
      </c>
      <c r="U25" s="97">
        <f ca="1">_xll.CURVE.FORWARD.RATE(oisCurve,$R5,_xll.CALENDAR.GAP($R5,U$22,"USD","unadjusted",FALSE),cTreasuries)</f>
        <v>1.8661005587494728E-3</v>
      </c>
      <c r="V25" s="97">
        <f ca="1">_xll.CURVE.FORWARD.RATE(oisCurve,$R5,_xll.CALENDAR.GAP($R5,V$22,"USD","unadjusted",FALSE),cTreasuries)</f>
        <v>1.8661005587494728E-3</v>
      </c>
      <c r="W25" s="97">
        <f ca="1">_xll.CURVE.FORWARD.RATE(oisCurve,$R5,_xll.CALENDAR.GAP($R5,W$22,"USD","unadjusted",FALSE),cTreasuries)</f>
        <v>1.8661005587494728E-3</v>
      </c>
      <c r="X25" s="97">
        <f ca="1">_xll.CURVE.FORWARD.RATE(oisCurve,$R5,_xll.CALENDAR.GAP($R5,X$22,"USD","unadjusted",FALSE),cTreasuries)</f>
        <v>1.8661005587494728E-3</v>
      </c>
    </row>
    <row r="26" spans="2:26" ht="10.55" x14ac:dyDescent="0.35">
      <c r="B26" s="77" t="s">
        <v>109</v>
      </c>
      <c r="C26" s="78" t="s">
        <v>119</v>
      </c>
      <c r="D26" s="78" t="s">
        <v>88</v>
      </c>
      <c r="E26" s="91">
        <f ca="1">_xll.CALENDAR.GAP(pricingDate,D26,"USD","Unadjusted",FALSE)</f>
        <v>44375</v>
      </c>
      <c r="F26" s="79">
        <v>1.6354999999999998E-2</v>
      </c>
      <c r="G26" s="79" t="str">
        <f ca="1">_xll.OBJECT.CURVE.HELPER.SWAP(B26,D26,"USD",2,"Semi-Annual","ACT/ACT",F26,"Quarterly","ACT/360",libor3M,oisCurve)</f>
        <v>USSWAP9  Curncy#0000</v>
      </c>
      <c r="H26" s="80">
        <f ca="1">_xll.CURVE.ZERO.RATE(swapCurve,E26,cTreasuries)</f>
        <v>1.6593211886357651E-2</v>
      </c>
      <c r="J26" s="77" t="s">
        <v>738</v>
      </c>
      <c r="K26" s="78" t="s">
        <v>93</v>
      </c>
      <c r="L26" s="91">
        <f ca="1">_xll.CALENDAR.GAP(pricingDate,K26,"USD","Following",FALSE)</f>
        <v>50220</v>
      </c>
      <c r="M26" s="79">
        <v>2.147E-2</v>
      </c>
      <c r="N26" s="79">
        <f ca="1">_xll.CURVE.ZERO.RATE(oisCurve,L26,cAnnual)</f>
        <v>2.2944008279152772E-2</v>
      </c>
      <c r="O26" s="80" t="str">
        <f ca="1">_xll.OBJECT.CURVE.HELPER.OVERNIGHT.SWAP(LEFT(J26,LEN(J26)-6),fedFund,L26,M26,TODAY())</f>
        <v>USSO25 #0001</v>
      </c>
      <c r="R26" s="8">
        <f t="shared" ca="1" si="1"/>
        <v>41271</v>
      </c>
      <c r="S26" s="97">
        <f t="shared" ca="1" si="2"/>
        <v>1.8105478695296107E-3</v>
      </c>
      <c r="T26" s="97">
        <f ca="1">_xll.CURVE.FORWARD.RATE(oisCurve,$R6,_xll.CALENDAR.GAP($R6,T$22,"USD","unadjusted",FALSE),cTreasuries)</f>
        <v>1.8661005587494728E-3</v>
      </c>
      <c r="U26" s="97">
        <f ca="1">_xll.CURVE.FORWARD.RATE(oisCurve,$R6,_xll.CALENDAR.GAP($R6,U$22,"USD","unadjusted",FALSE),cTreasuries)</f>
        <v>1.8661005587494728E-3</v>
      </c>
      <c r="V26" s="97">
        <f ca="1">_xll.CURVE.FORWARD.RATE(oisCurve,$R6,_xll.CALENDAR.GAP($R6,V$22,"USD","unadjusted",FALSE),cTreasuries)</f>
        <v>1.8661005587494728E-3</v>
      </c>
      <c r="W26" s="97">
        <f ca="1">_xll.CURVE.FORWARD.RATE(oisCurve,$R6,_xll.CALENDAR.GAP($R6,W$22,"USD","unadjusted",FALSE),cTreasuries)</f>
        <v>1.8661005587494728E-3</v>
      </c>
      <c r="X26" s="97">
        <f ca="1">_xll.CURVE.FORWARD.RATE(oisCurve,$R6,_xll.CALENDAR.GAP($R6,X$22,"USD","unadjusted",FALSE),cTreasuries)</f>
        <v>1.8661005587494728E-3</v>
      </c>
    </row>
    <row r="27" spans="2:26" ht="10.55" x14ac:dyDescent="0.35">
      <c r="B27" s="77" t="s">
        <v>110</v>
      </c>
      <c r="C27" s="78" t="s">
        <v>119</v>
      </c>
      <c r="D27" s="78" t="s">
        <v>89</v>
      </c>
      <c r="E27" s="91">
        <f ca="1">_xll.CALENDAR.GAP(pricingDate,D27,"USD","Unadjusted",FALSE)</f>
        <v>44740</v>
      </c>
      <c r="F27" s="79">
        <v>1.762E-2</v>
      </c>
      <c r="G27" s="79" t="str">
        <f ca="1">_xll.OBJECT.CURVE.HELPER.SWAP(B27,D27,"USD",2,"Semi-Annual","ACT/ACT",F27,"Quarterly","ACT/360",libor3M,oisCurve)</f>
        <v>USSWAP10  Curncy#0000</v>
      </c>
      <c r="H27" s="80">
        <f ca="1">_xll.CURVE.ZERO.RATE(swapCurve,E27,cTreasuries)</f>
        <v>1.7953919858320955E-2</v>
      </c>
      <c r="J27" s="77" t="s">
        <v>709</v>
      </c>
      <c r="K27" s="78" t="s">
        <v>94</v>
      </c>
      <c r="L27" s="91">
        <f ca="1">_xll.CALENDAR.GAP(pricingDate,K27,"USD","Following",FALSE)</f>
        <v>52047</v>
      </c>
      <c r="M27" s="79">
        <v>2.2069999999999999E-2</v>
      </c>
      <c r="N27" s="79">
        <f ca="1">_xll.CURVE.ZERO.RATE(oisCurve,L27,cAnnual)</f>
        <v>2.3619624602294609E-2</v>
      </c>
      <c r="O27" s="80" t="str">
        <f ca="1">_xll.OBJECT.CURVE.HELPER.OVERNIGHT.SWAP(LEFT(J27,LEN(J27)-6),fedFund,L27,M27,TODAY())</f>
        <v>USSO30 #0001</v>
      </c>
      <c r="R27" s="8">
        <f t="shared" ca="1" si="1"/>
        <v>41361</v>
      </c>
      <c r="S27" s="97">
        <f t="shared" ca="1" si="2"/>
        <v>1.818429019310841E-3</v>
      </c>
      <c r="T27" s="97">
        <f ca="1">_xll.CURVE.FORWARD.RATE(oisCurve,$R7,_xll.CALENDAR.GAP($R7,T$22,"USD","unadjusted",FALSE),cTreasuries)</f>
        <v>1.8661005587494728E-3</v>
      </c>
      <c r="U27" s="97">
        <f ca="1">_xll.CURVE.FORWARD.RATE(oisCurve,$R7,_xll.CALENDAR.GAP($R7,U$22,"USD","unadjusted",FALSE),cTreasuries)</f>
        <v>1.8661005587494728E-3</v>
      </c>
      <c r="V27" s="97">
        <f ca="1">_xll.CURVE.FORWARD.RATE(oisCurve,$R7,_xll.CALENDAR.GAP($R7,V$22,"USD","unadjusted",FALSE),cTreasuries)</f>
        <v>1.8661005587494728E-3</v>
      </c>
      <c r="W27" s="97">
        <f ca="1">_xll.CURVE.FORWARD.RATE(oisCurve,$R7,_xll.CALENDAR.GAP($R7,W$22,"USD","unadjusted",FALSE),cTreasuries)</f>
        <v>1.8661005587494728E-3</v>
      </c>
      <c r="X27" s="97">
        <f ca="1">_xll.CURVE.FORWARD.RATE(oisCurve,$R7,_xll.CALENDAR.GAP($R7,X$22,"USD","unadjusted",FALSE),cTreasuries)</f>
        <v>1.8661005587494728E-3</v>
      </c>
    </row>
    <row r="28" spans="2:26" ht="10.55" x14ac:dyDescent="0.35">
      <c r="B28" s="77" t="s">
        <v>111</v>
      </c>
      <c r="C28" s="78" t="s">
        <v>119</v>
      </c>
      <c r="D28" s="78" t="s">
        <v>120</v>
      </c>
      <c r="E28" s="91">
        <f ca="1">_xll.CALENDAR.GAP(pricingDate,D28,"USD","Unadjusted",FALSE)</f>
        <v>45105</v>
      </c>
      <c r="F28" s="79">
        <v>1.8680000000000002E-2</v>
      </c>
      <c r="G28" s="79" t="str">
        <f ca="1">_xll.OBJECT.CURVE.HELPER.SWAP(B28,D28,"USD",2,"Semi-Annual","ACT/ACT",F28,"Quarterly","ACT/360",libor3M,oisCurve)</f>
        <v>USSWAP11  Curncy#0000</v>
      </c>
      <c r="H28" s="80">
        <f ca="1">_xll.CURVE.ZERO.RATE(swapCurve,E28,cTreasuries)</f>
        <v>1.9100569838562009E-2</v>
      </c>
      <c r="J28" s="77"/>
      <c r="K28" s="78"/>
      <c r="L28" s="91"/>
      <c r="M28" s="79"/>
      <c r="N28" s="79"/>
      <c r="O28" s="80"/>
      <c r="R28" s="8">
        <f t="shared" ca="1" si="1"/>
        <v>41453</v>
      </c>
      <c r="S28" s="97">
        <f t="shared" ca="1" si="2"/>
        <v>1.8475648394171706E-3</v>
      </c>
      <c r="T28" s="97">
        <f ca="1">_xll.CURVE.FORWARD.RATE(oisCurve,$R8,_xll.CALENDAR.GAP($R8,T$22,"USD","unadjusted",FALSE),cTreasuries)</f>
        <v>1.8661005587494728E-3</v>
      </c>
      <c r="U28" s="97">
        <f ca="1">_xll.CURVE.FORWARD.RATE(oisCurve,$R8,_xll.CALENDAR.GAP($R8,U$22,"USD","unadjusted",FALSE),cTreasuries)</f>
        <v>1.8661005587494728E-3</v>
      </c>
      <c r="V28" s="97">
        <f ca="1">_xll.CURVE.FORWARD.RATE(oisCurve,$R8,_xll.CALENDAR.GAP($R8,V$22,"USD","unadjusted",FALSE),cTreasuries)</f>
        <v>1.8661005587494728E-3</v>
      </c>
      <c r="W28" s="97">
        <f ca="1">_xll.CURVE.FORWARD.RATE(oisCurve,$R8,_xll.CALENDAR.GAP($R8,W$22,"USD","unadjusted",FALSE),cTreasuries)</f>
        <v>1.8661005587494728E-3</v>
      </c>
      <c r="X28" s="97">
        <f ca="1">_xll.CURVE.FORWARD.RATE(oisCurve,$R8,_xll.CALENDAR.GAP($R8,X$22,"USD","unadjusted",FALSE),cTreasuries)</f>
        <v>1.8661005587494728E-3</v>
      </c>
    </row>
    <row r="29" spans="2:26" ht="10.55" x14ac:dyDescent="0.35">
      <c r="B29" s="77" t="s">
        <v>112</v>
      </c>
      <c r="C29" s="78" t="s">
        <v>119</v>
      </c>
      <c r="D29" s="78" t="s">
        <v>90</v>
      </c>
      <c r="E29" s="91">
        <f ca="1">_xll.CALENDAR.GAP(pricingDate,D29,"USD","Unadjusted",FALSE)</f>
        <v>45471</v>
      </c>
      <c r="F29" s="79">
        <v>1.9699999999999999E-2</v>
      </c>
      <c r="G29" s="79" t="str">
        <f ca="1">_xll.OBJECT.CURVE.HELPER.SWAP(B29,D29,"USD",2,"Semi-Annual","ACT/ACT",F29,"Quarterly","ACT/360",libor3M,oisCurve)</f>
        <v>USSWAP12  Curncy#0000</v>
      </c>
      <c r="H29" s="80">
        <f ca="1">_xll.CURVE.ZERO.RATE(swapCurve,E29,cTreasuries)</f>
        <v>2.0219764205459345E-2</v>
      </c>
      <c r="J29" s="86" t="str">
        <f ca="1">_xll.OBJECT.CURVE.INTERPOLATE("OIS_CURVE",pricingDate,"USD",O3:O27)</f>
        <v>OIS_CURVE#0000</v>
      </c>
      <c r="K29" s="83"/>
      <c r="L29" s="83"/>
      <c r="M29" s="83"/>
      <c r="N29" s="83"/>
      <c r="O29" s="85"/>
      <c r="R29" s="8">
        <f t="shared" ref="R29:R38" ca="1" si="3">R9</f>
        <v>41547</v>
      </c>
      <c r="S29" s="97">
        <f t="shared" ca="1" si="2"/>
        <v>1.8708642308120638E-3</v>
      </c>
      <c r="T29" s="97">
        <f ca="1">_xll.CURVE.FORWARD.RATE(oisCurve,$R9,_xll.CALENDAR.GAP($R9,T$22,"USD","unadjusted",FALSE),cTreasuries)</f>
        <v>1.8661005587494728E-3</v>
      </c>
      <c r="U29" s="97">
        <f ca="1">_xll.CURVE.FORWARD.RATE(oisCurve,$R9,_xll.CALENDAR.GAP($R9,U$22,"USD","unadjusted",FALSE),cTreasuries)</f>
        <v>1.8661005587494728E-3</v>
      </c>
      <c r="V29" s="97">
        <f ca="1">_xll.CURVE.FORWARD.RATE(oisCurve,$R9,_xll.CALENDAR.GAP($R9,V$22,"USD","unadjusted",FALSE),cTreasuries)</f>
        <v>1.8661005587494728E-3</v>
      </c>
      <c r="W29" s="97">
        <f ca="1">_xll.CURVE.FORWARD.RATE(oisCurve,$R9,_xll.CALENDAR.GAP($R9,W$22,"USD","unadjusted",FALSE),cTreasuries)</f>
        <v>1.8661005587494728E-3</v>
      </c>
      <c r="X29" s="97">
        <f ca="1">_xll.CURVE.FORWARD.RATE(oisCurve,$R9,_xll.CALENDAR.GAP($R9,X$22,"USD","unadjusted",FALSE),cTreasuries)</f>
        <v>1.8661005587494728E-3</v>
      </c>
    </row>
    <row r="30" spans="2:26" ht="10.55" x14ac:dyDescent="0.35">
      <c r="B30" s="77" t="s">
        <v>113</v>
      </c>
      <c r="C30" s="78" t="s">
        <v>119</v>
      </c>
      <c r="D30" s="78" t="s">
        <v>91</v>
      </c>
      <c r="E30" s="91">
        <f ca="1">_xll.CALENDAR.GAP(pricingDate,D30,"USD","Unadjusted",FALSE)</f>
        <v>46566</v>
      </c>
      <c r="F30" s="79">
        <v>2.1739999999999999E-2</v>
      </c>
      <c r="G30" s="79" t="str">
        <f ca="1">_xll.OBJECT.CURVE.HELPER.SWAP(B30,D30,"USD",2,"Semi-Annual","ACT/ACT",F30,"Quarterly","ACT/360",libor3M,oisCurve)</f>
        <v>USSWAP15  Curncy#0000</v>
      </c>
      <c r="H30" s="80">
        <f ca="1">_xll.CURVE.ZERO.RATE(swapCurve,E30,cTreasuries)</f>
        <v>2.2484321916227401E-2</v>
      </c>
      <c r="R30" s="8">
        <f t="shared" ca="1" si="3"/>
        <v>41638</v>
      </c>
      <c r="S30" s="97">
        <f t="shared" ca="1" si="2"/>
        <v>1.9178749239916471E-3</v>
      </c>
      <c r="T30" s="97">
        <f ca="1">_xll.CURVE.FORWARD.RATE(oisCurve,$R10,_xll.CALENDAR.GAP($R10,T$22,"USD","unadjusted",FALSE),cTreasuries)</f>
        <v>1.8661005587494728E-3</v>
      </c>
      <c r="U30" s="97">
        <f ca="1">_xll.CURVE.FORWARD.RATE(oisCurve,$R10,_xll.CALENDAR.GAP($R10,U$22,"USD","unadjusted",FALSE),cTreasuries)</f>
        <v>1.8661005587494728E-3</v>
      </c>
      <c r="V30" s="97">
        <f ca="1">_xll.CURVE.FORWARD.RATE(oisCurve,$R10,_xll.CALENDAR.GAP($R10,V$22,"USD","unadjusted",FALSE),cTreasuries)</f>
        <v>1.8661005587494728E-3</v>
      </c>
      <c r="W30" s="97">
        <f ca="1">_xll.CURVE.FORWARD.RATE(oisCurve,$R10,_xll.CALENDAR.GAP($R10,W$22,"USD","unadjusted",FALSE),cTreasuries)</f>
        <v>1.8661005587494728E-3</v>
      </c>
      <c r="X30" s="97">
        <f ca="1">_xll.CURVE.FORWARD.RATE(oisCurve,$R10,_xll.CALENDAR.GAP($R10,X$22,"USD","unadjusted",FALSE),cTreasuries)</f>
        <v>1.8661005587494728E-3</v>
      </c>
    </row>
    <row r="31" spans="2:26" ht="10.55" x14ac:dyDescent="0.35">
      <c r="B31" s="77" t="s">
        <v>114</v>
      </c>
      <c r="C31" s="78" t="s">
        <v>119</v>
      </c>
      <c r="D31" s="78" t="s">
        <v>92</v>
      </c>
      <c r="E31" s="91">
        <f ca="1">_xll.CALENDAR.GAP(pricingDate,D31,"USD","Unadjusted",FALSE)</f>
        <v>48393</v>
      </c>
      <c r="F31" s="79">
        <v>2.3429999999999999E-2</v>
      </c>
      <c r="G31" s="79" t="str">
        <f ca="1">_xll.OBJECT.CURVE.HELPER.SWAP(B31,D31,"USD",2,"Semi-Annual","ACT/ACT",F31,"Quarterly","ACT/360",libor3M,oisCurve)</f>
        <v>USSWAP20  Curncy#0000</v>
      </c>
      <c r="H31" s="80">
        <f ca="1">_xll.CURVE.ZERO.RATE(swapCurve,E31,cTreasuries)</f>
        <v>2.4370685422602456E-2</v>
      </c>
      <c r="M31" s="88"/>
      <c r="N31" s="88"/>
      <c r="R31" s="8">
        <f t="shared" ca="1" si="3"/>
        <v>41820</v>
      </c>
      <c r="S31" s="97">
        <f t="shared" ca="1" si="2"/>
        <v>2.0793563654644132E-3</v>
      </c>
      <c r="T31" s="97">
        <f ca="1">_xll.CURVE.FORWARD.RATE(oisCurve,$R11,_xll.CALENDAR.GAP($R11,T$22,"USD","unadjusted",FALSE),cTreasuries)</f>
        <v>1.8661005587494728E-3</v>
      </c>
      <c r="U31" s="97">
        <f ca="1">_xll.CURVE.FORWARD.RATE(oisCurve,$R11,_xll.CALENDAR.GAP($R11,U$22,"USD","unadjusted",FALSE),cTreasuries)</f>
        <v>1.8661005587494728E-3</v>
      </c>
      <c r="V31" s="97">
        <f ca="1">_xll.CURVE.FORWARD.RATE(oisCurve,$R11,_xll.CALENDAR.GAP($R11,V$22,"USD","unadjusted",FALSE),cTreasuries)</f>
        <v>1.8661005587494728E-3</v>
      </c>
      <c r="W31" s="97">
        <f ca="1">_xll.CURVE.FORWARD.RATE(oisCurve,$R11,_xll.CALENDAR.GAP($R11,W$22,"USD","unadjusted",FALSE),cTreasuries)</f>
        <v>1.8661005587494728E-3</v>
      </c>
      <c r="X31" s="97">
        <f ca="1">_xll.CURVE.FORWARD.RATE(oisCurve,$R11,_xll.CALENDAR.GAP($R11,X$22,"USD","unadjusted",FALSE),cTreasuries)</f>
        <v>1.8661005587494728E-3</v>
      </c>
    </row>
    <row r="32" spans="2:26" ht="10.55" x14ac:dyDescent="0.35">
      <c r="B32" s="77" t="s">
        <v>115</v>
      </c>
      <c r="C32" s="78" t="s">
        <v>119</v>
      </c>
      <c r="D32" s="78" t="s">
        <v>93</v>
      </c>
      <c r="E32" s="91">
        <f ca="1">_xll.CALENDAR.GAP(pricingDate,D32,"USD","Unadjusted",FALSE)</f>
        <v>50219</v>
      </c>
      <c r="F32" s="79">
        <v>2.4235000000000003E-2</v>
      </c>
      <c r="G32" s="79" t="str">
        <f ca="1">_xll.OBJECT.CURVE.HELPER.SWAP(B32,D32,"USD",2,"Semi-Annual","ACT/ACT",F32,"Quarterly","ACT/360",libor3M,oisCurve)</f>
        <v>USSWAP25  Curncy#0000</v>
      </c>
      <c r="H32" s="80">
        <f ca="1">_xll.CURVE.ZERO.RATE(swapCurve,E32,cTreasuries)</f>
        <v>2.5249359376608105E-2</v>
      </c>
      <c r="M32" s="90"/>
      <c r="N32" s="90"/>
      <c r="R32" s="8">
        <f t="shared" ca="1" si="3"/>
        <v>42184</v>
      </c>
      <c r="S32" s="97">
        <f t="shared" ca="1" si="2"/>
        <v>2.6069904263033017E-3</v>
      </c>
      <c r="T32" s="97">
        <f ca="1">_xll.CURVE.FORWARD.RATE(oisCurve,$R12,_xll.CALENDAR.GAP($R12,T$22,"USD","unadjusted",FALSE),cTreasuries)</f>
        <v>1.8661005587494728E-3</v>
      </c>
      <c r="U32" s="97">
        <f ca="1">_xll.CURVE.FORWARD.RATE(oisCurve,$R12,_xll.CALENDAR.GAP($R12,U$22,"USD","unadjusted",FALSE),cTreasuries)</f>
        <v>1.8661005587494728E-3</v>
      </c>
      <c r="V32" s="97">
        <f ca="1">_xll.CURVE.FORWARD.RATE(oisCurve,$R12,_xll.CALENDAR.GAP($R12,V$22,"USD","unadjusted",FALSE),cTreasuries)</f>
        <v>1.8661005587494728E-3</v>
      </c>
      <c r="W32" s="97">
        <f ca="1">_xll.CURVE.FORWARD.RATE(oisCurve,$R12,_xll.CALENDAR.GAP($R12,W$22,"USD","unadjusted",FALSE),cTreasuries)</f>
        <v>1.8661005587494728E-3</v>
      </c>
      <c r="X32" s="97">
        <f ca="1">_xll.CURVE.FORWARD.RATE(oisCurve,$R12,_xll.CALENDAR.GAP($R12,X$22,"USD","unadjusted",FALSE),cTreasuries)</f>
        <v>1.8661005587494728E-3</v>
      </c>
    </row>
    <row r="33" spans="2:24" ht="10.55" x14ac:dyDescent="0.35">
      <c r="B33" s="77" t="s">
        <v>116</v>
      </c>
      <c r="C33" s="78" t="s">
        <v>119</v>
      </c>
      <c r="D33" s="78" t="s">
        <v>94</v>
      </c>
      <c r="E33" s="91">
        <f ca="1">_xll.CALENDAR.GAP(pricingDate,D33,"USD","Unadjusted",FALSE)</f>
        <v>52045</v>
      </c>
      <c r="F33" s="79">
        <v>2.4735E-2</v>
      </c>
      <c r="G33" s="79" t="str">
        <f ca="1">_xll.OBJECT.CURVE.HELPER.SWAP(B33,D33,"USD",2,"Semi-Annual","ACT/ACT",F33,"Quarterly","ACT/360",libor3M,oisCurve)</f>
        <v>USSWAP30  Curncy#0000</v>
      </c>
      <c r="H33" s="80">
        <f ca="1">_xll.CURVE.ZERO.RATE(swapCurve,E33,cTreasuries)</f>
        <v>2.5790754012520178E-2</v>
      </c>
      <c r="M33" s="90"/>
      <c r="N33" s="90"/>
      <c r="R33" s="8">
        <f t="shared" ca="1" si="3"/>
        <v>42549</v>
      </c>
      <c r="S33" s="97">
        <f t="shared" ca="1" si="2"/>
        <v>4.2183912839699467E-3</v>
      </c>
      <c r="T33" s="97">
        <f ca="1">_xll.CURVE.FORWARD.RATE(oisCurve,$R13,_xll.CALENDAR.GAP($R13,T$22,"USD","unadjusted",FALSE),cTreasuries)</f>
        <v>1.8661005587494728E-3</v>
      </c>
      <c r="U33" s="97">
        <f ca="1">_xll.CURVE.FORWARD.RATE(oisCurve,$R13,_xll.CALENDAR.GAP($R13,U$22,"USD","unadjusted",FALSE),cTreasuries)</f>
        <v>1.8661005587494728E-3</v>
      </c>
      <c r="V33" s="97">
        <f ca="1">_xll.CURVE.FORWARD.RATE(oisCurve,$R13,_xll.CALENDAR.GAP($R13,V$22,"USD","unadjusted",FALSE),cTreasuries)</f>
        <v>1.8661005587494728E-3</v>
      </c>
      <c r="W33" s="97">
        <f ca="1">_xll.CURVE.FORWARD.RATE(oisCurve,$R13,_xll.CALENDAR.GAP($R13,W$22,"USD","unadjusted",FALSE),cTreasuries)</f>
        <v>1.8661005587494728E-3</v>
      </c>
      <c r="X33" s="97">
        <f ca="1">_xll.CURVE.FORWARD.RATE(oisCurve,$R13,_xll.CALENDAR.GAP($R13,X$22,"USD","unadjusted",FALSE),cTreasuries)</f>
        <v>1.8661005587494728E-3</v>
      </c>
    </row>
    <row r="34" spans="2:24" ht="10.55" x14ac:dyDescent="0.35">
      <c r="B34" s="77" t="s">
        <v>117</v>
      </c>
      <c r="C34" s="78" t="s">
        <v>119</v>
      </c>
      <c r="D34" s="78" t="s">
        <v>121</v>
      </c>
      <c r="E34" s="91">
        <f ca="1">_xll.CALENDAR.GAP(pricingDate,D34,"USD","Unadjusted",FALSE)</f>
        <v>55698</v>
      </c>
      <c r="F34" s="79">
        <v>2.4855000000000002E-2</v>
      </c>
      <c r="G34" s="79" t="str">
        <f ca="1">_xll.OBJECT.CURVE.HELPER.SWAP(B34,D34,"USD",2,"Semi-Annual","ACT/ACT",F34,"Quarterly","ACT/360",libor3M,oisCurve)</f>
        <v>USSWAP40  Curncy#0000</v>
      </c>
      <c r="H34" s="80">
        <f ca="1">_xll.CURVE.ZERO.RATE(swapCurve,E34,cTreasuries)</f>
        <v>2.6468717105192052E-2</v>
      </c>
      <c r="M34" s="90"/>
      <c r="N34" s="90"/>
      <c r="R34" s="8">
        <f t="shared" ca="1" si="3"/>
        <v>42914</v>
      </c>
      <c r="S34" s="97">
        <f t="shared" ca="1" si="2"/>
        <v>6.1369345706552281E-3</v>
      </c>
      <c r="T34" s="97">
        <f ca="1">_xll.CURVE.FORWARD.RATE(oisCurve,$R14,_xll.CALENDAR.GAP($R14,T$22,"USD","unadjusted",FALSE),cTreasuries)</f>
        <v>1.8661005587494728E-3</v>
      </c>
      <c r="U34" s="97">
        <f ca="1">_xll.CURVE.FORWARD.RATE(oisCurve,$R14,_xll.CALENDAR.GAP($R14,U$22,"USD","unadjusted",FALSE),cTreasuries)</f>
        <v>1.8661005587494728E-3</v>
      </c>
      <c r="V34" s="97">
        <f ca="1">_xll.CURVE.FORWARD.RATE(oisCurve,$R14,_xll.CALENDAR.GAP($R14,V$22,"USD","unadjusted",FALSE),cTreasuries)</f>
        <v>1.8661005587494728E-3</v>
      </c>
      <c r="W34" s="97">
        <f ca="1">_xll.CURVE.FORWARD.RATE(oisCurve,$R14,_xll.CALENDAR.GAP($R14,W$22,"USD","unadjusted",FALSE),cTreasuries)</f>
        <v>1.8661005587494728E-3</v>
      </c>
      <c r="X34" s="97">
        <f ca="1">_xll.CURVE.FORWARD.RATE(oisCurve,$R14,_xll.CALENDAR.GAP($R14,X$22,"USD","unadjusted",FALSE),cTreasuries)</f>
        <v>1.8661005587494728E-3</v>
      </c>
    </row>
    <row r="35" spans="2:24" ht="10.55" x14ac:dyDescent="0.35">
      <c r="B35" s="77" t="s">
        <v>118</v>
      </c>
      <c r="C35" s="78" t="s">
        <v>119</v>
      </c>
      <c r="D35" s="78" t="s">
        <v>122</v>
      </c>
      <c r="E35" s="91">
        <f ca="1">_xll.CALENDAR.GAP(pricingDate,D35,"USD","Unadjusted",FALSE)</f>
        <v>59350</v>
      </c>
      <c r="F35" s="79">
        <v>2.4729999999999999E-2</v>
      </c>
      <c r="G35" s="79" t="str">
        <f ca="1">_xll.OBJECT.CURVE.HELPER.SWAP(B35,D35,"USD",2,"Semi-Annual","ACT/ACT",F35,"Quarterly","ACT/360",libor3M,oisCurve)</f>
        <v>USSWAP50  Curncy#0000</v>
      </c>
      <c r="H35" s="80">
        <f ca="1">_xll.CURVE.ZERO.RATE(swapCurve,E35,cTreasuries)</f>
        <v>2.6875517787722458E-2</v>
      </c>
      <c r="M35" s="90"/>
      <c r="N35" s="90"/>
      <c r="R35" s="8">
        <f t="shared" ca="1" si="3"/>
        <v>43279</v>
      </c>
      <c r="S35" s="97">
        <f t="shared" ca="1" si="2"/>
        <v>8.1107576769134937E-3</v>
      </c>
      <c r="T35" s="97">
        <f ca="1">_xll.CURVE.FORWARD.RATE(oisCurve,$R15,_xll.CALENDAR.GAP($R15,T$22,"USD","unadjusted",FALSE),cTreasuries)</f>
        <v>1.8661005587494728E-3</v>
      </c>
      <c r="U35" s="97">
        <f ca="1">_xll.CURVE.FORWARD.RATE(oisCurve,$R15,_xll.CALENDAR.GAP($R15,U$22,"USD","unadjusted",FALSE),cTreasuries)</f>
        <v>1.8661005587494728E-3</v>
      </c>
      <c r="V35" s="97">
        <f ca="1">_xll.CURVE.FORWARD.RATE(oisCurve,$R15,_xll.CALENDAR.GAP($R15,V$22,"USD","unadjusted",FALSE),cTreasuries)</f>
        <v>1.8661005587494728E-3</v>
      </c>
      <c r="W35" s="97">
        <f ca="1">_xll.CURVE.FORWARD.RATE(oisCurve,$R15,_xll.CALENDAR.GAP($R15,W$22,"USD","unadjusted",FALSE),cTreasuries)</f>
        <v>1.8661005587494728E-3</v>
      </c>
      <c r="X35" s="97">
        <f ca="1">_xll.CURVE.FORWARD.RATE(oisCurve,$R15,_xll.CALENDAR.GAP($R15,X$22,"USD","unadjusted",FALSE),cTreasuries)</f>
        <v>1.8661005587494728E-3</v>
      </c>
    </row>
    <row r="36" spans="2:24" ht="10.55" x14ac:dyDescent="0.35">
      <c r="B36" s="77"/>
      <c r="C36" s="78"/>
      <c r="D36" s="78"/>
      <c r="E36" s="78"/>
      <c r="F36" s="79"/>
      <c r="G36" s="79"/>
      <c r="H36" s="80"/>
      <c r="M36" s="90"/>
      <c r="N36" s="90"/>
      <c r="O36" s="414"/>
      <c r="R36" s="8">
        <f t="shared" ca="1" si="3"/>
        <v>43644</v>
      </c>
      <c r="S36" s="97">
        <f t="shared" ca="1" si="2"/>
        <v>9.9985362936116928E-3</v>
      </c>
      <c r="T36" s="97">
        <f ca="1">_xll.CURVE.FORWARD.RATE(oisCurve,$R16,_xll.CALENDAR.GAP($R16,T$22,"USD","unadjusted",FALSE),cTreasuries)</f>
        <v>1.8661005587494728E-3</v>
      </c>
      <c r="U36" s="97">
        <f ca="1">_xll.CURVE.FORWARD.RATE(oisCurve,$R16,_xll.CALENDAR.GAP($R16,U$22,"USD","unadjusted",FALSE),cTreasuries)</f>
        <v>1.8661005587494728E-3</v>
      </c>
      <c r="V36" s="97">
        <f ca="1">_xll.CURVE.FORWARD.RATE(oisCurve,$R16,_xll.CALENDAR.GAP($R16,V$22,"USD","unadjusted",FALSE),cTreasuries)</f>
        <v>1.8661005587494728E-3</v>
      </c>
      <c r="W36" s="97">
        <f ca="1">_xll.CURVE.FORWARD.RATE(oisCurve,$R16,_xll.CALENDAR.GAP($R16,W$22,"USD","unadjusted",FALSE),cTreasuries)</f>
        <v>1.8661005587494728E-3</v>
      </c>
      <c r="X36" s="97">
        <f ca="1">_xll.CURVE.FORWARD.RATE(oisCurve,$R16,_xll.CALENDAR.GAP($R16,X$22,"USD","unadjusted",FALSE),cTreasuries)</f>
        <v>1.8661005587494728E-3</v>
      </c>
    </row>
    <row r="37" spans="2:24" ht="10.55" x14ac:dyDescent="0.35">
      <c r="B37" s="77" t="s">
        <v>95</v>
      </c>
      <c r="C37" s="78"/>
      <c r="D37" s="78"/>
      <c r="E37" s="78"/>
      <c r="F37" s="79"/>
      <c r="G37" s="79"/>
      <c r="H37" s="92">
        <v>8.9800000000000001E-3</v>
      </c>
      <c r="M37" s="90"/>
      <c r="N37" s="90"/>
      <c r="R37" s="8">
        <f t="shared" ca="1" si="3"/>
        <v>44011</v>
      </c>
      <c r="S37" s="97">
        <f t="shared" ca="1" si="2"/>
        <v>1.1730131809219557E-2</v>
      </c>
      <c r="T37" s="97">
        <f ca="1">_xll.CURVE.FORWARD.RATE(oisCurve,$R17,_xll.CALENDAR.GAP($R17,T$22,"USD","unadjusted",FALSE),cTreasuries)</f>
        <v>1.8661005587494728E-3</v>
      </c>
      <c r="U37" s="97">
        <f ca="1">_xll.CURVE.FORWARD.RATE(oisCurve,$R17,_xll.CALENDAR.GAP($R17,U$22,"USD","unadjusted",FALSE),cTreasuries)</f>
        <v>1.8661005587494728E-3</v>
      </c>
      <c r="V37" s="97">
        <f ca="1">_xll.CURVE.FORWARD.RATE(oisCurve,$R17,_xll.CALENDAR.GAP($R17,V$22,"USD","unadjusted",FALSE),cTreasuries)</f>
        <v>1.8661005587494728E-3</v>
      </c>
      <c r="W37" s="97">
        <f ca="1">_xll.CURVE.FORWARD.RATE(oisCurve,$R17,_xll.CALENDAR.GAP($R17,W$22,"USD","unadjusted",FALSE),cTreasuries)</f>
        <v>1.8661005587494728E-3</v>
      </c>
      <c r="X37" s="97">
        <f ca="1">_xll.CURVE.FORWARD.RATE(oisCurve,$R17,_xll.CALENDAR.GAP($R17,X$22,"USD","unadjusted",FALSE),cTreasuries)</f>
        <v>1.8661005587494728E-3</v>
      </c>
    </row>
    <row r="38" spans="2:24" ht="10.55" x14ac:dyDescent="0.35">
      <c r="B38" s="77" t="s">
        <v>96</v>
      </c>
      <c r="C38" s="78"/>
      <c r="D38" s="78"/>
      <c r="E38" s="78"/>
      <c r="F38" s="79"/>
      <c r="G38" s="79"/>
      <c r="H38" s="92">
        <v>0.03</v>
      </c>
      <c r="R38" s="8">
        <f t="shared" ca="1" si="3"/>
        <v>44375</v>
      </c>
      <c r="S38" s="97">
        <f t="shared" ca="1" si="2"/>
        <v>1.3285433224524024E-2</v>
      </c>
      <c r="T38" s="97">
        <f ca="1">_xll.CURVE.FORWARD.RATE(oisCurve,$R18,_xll.CALENDAR.GAP($R18,T$22,"USD","unadjusted",FALSE),cTreasuries)</f>
        <v>1.8661005587494728E-3</v>
      </c>
      <c r="U38" s="97">
        <f ca="1">_xll.CURVE.FORWARD.RATE(oisCurve,$R18,_xll.CALENDAR.GAP($R18,U$22,"USD","unadjusted",FALSE),cTreasuries)</f>
        <v>1.8661005587494728E-3</v>
      </c>
      <c r="V38" s="97">
        <f ca="1">_xll.CURVE.FORWARD.RATE(oisCurve,$R18,_xll.CALENDAR.GAP($R18,V$22,"USD","unadjusted",FALSE),cTreasuries)</f>
        <v>1.8661005587494728E-3</v>
      </c>
      <c r="W38" s="97">
        <f ca="1">_xll.CURVE.FORWARD.RATE(oisCurve,$R18,_xll.CALENDAR.GAP($R18,W$22,"USD","unadjusted",FALSE),cTreasuries)</f>
        <v>1.8661005587494728E-3</v>
      </c>
      <c r="X38" s="97">
        <f ca="1">_xll.CURVE.FORWARD.RATE(oisCurve,$R18,_xll.CALENDAR.GAP($R18,X$22,"USD","unadjusted",FALSE),cTreasuries)</f>
        <v>1.8661005587494728E-3</v>
      </c>
    </row>
    <row r="39" spans="2:24" ht="10.55" x14ac:dyDescent="0.35">
      <c r="B39" s="86" t="str">
        <f ca="1">_xll.OBJECT.CURVE.INTERPOLATE("SWAP_CURVE",pricingDate,"USD",G3:G32)</f>
        <v>SWAP_CURVE#0000</v>
      </c>
      <c r="C39" s="82"/>
      <c r="D39" s="83"/>
      <c r="E39" s="83"/>
      <c r="F39" s="83"/>
      <c r="G39" s="83"/>
      <c r="H39" s="85"/>
      <c r="R39" s="8">
        <f t="shared" ca="1" si="1"/>
        <v>44740</v>
      </c>
      <c r="S39" s="97">
        <f t="shared" ca="1" si="2"/>
        <v>1.4694529857275818E-2</v>
      </c>
      <c r="T39" s="97">
        <f ca="1">_xll.CURVE.FORWARD.RATE(oisCurve,$R19,_xll.CALENDAR.GAP($R19,T$22,"USD","unadjusted",FALSE),cTreasuries)</f>
        <v>1.8661005587494728E-3</v>
      </c>
      <c r="U39" s="97">
        <f ca="1">_xll.CURVE.FORWARD.RATE(oisCurve,$R19,_xll.CALENDAR.GAP($R19,U$22,"USD","unadjusted",FALSE),cTreasuries)</f>
        <v>1.8661005587494728E-3</v>
      </c>
      <c r="V39" s="97">
        <f ca="1">_xll.CURVE.FORWARD.RATE(oisCurve,$R19,_xll.CALENDAR.GAP($R19,V$22,"USD","unadjusted",FALSE),cTreasuries)</f>
        <v>1.8661005587494728E-3</v>
      </c>
      <c r="W39" s="97">
        <f ca="1">_xll.CURVE.FORWARD.RATE(oisCurve,$R19,_xll.CALENDAR.GAP($R19,W$22,"USD","unadjusted",FALSE),cTreasuries)</f>
        <v>1.8661005587494728E-3</v>
      </c>
      <c r="X39" s="97">
        <f ca="1">_xll.CURVE.FORWARD.RATE(oisCurve,$R19,_xll.CALENDAR.GAP($R19,X$22,"USD","unadjusted",FALSE),cTreasuries)</f>
        <v>1.8661005587494728E-3</v>
      </c>
    </row>
    <row r="40" spans="2:24" ht="10.55" x14ac:dyDescent="0.35">
      <c r="J40" s="89"/>
      <c r="K40" s="88"/>
      <c r="L40" s="90"/>
    </row>
    <row r="41" spans="2:24" x14ac:dyDescent="0.3">
      <c r="B41" s="1" t="s">
        <v>957</v>
      </c>
      <c r="J41" s="1" t="s">
        <v>957</v>
      </c>
    </row>
    <row r="42" spans="2:24" ht="10.55" x14ac:dyDescent="0.35">
      <c r="B42" s="420" t="str">
        <f ca="1">_xll.OBJECT.IBOR.INDEX("US0003M",C42,"3M",2,"USD LIBOR","following",FALSE,"ACT/360")</f>
        <v>US0003M#0001</v>
      </c>
      <c r="C42" s="421" t="str">
        <f ca="1">_xll.OBJECT.TIME.SERIES("H_US0003M",B43,D43,TODAY())</f>
        <v>H_US0003M#0001</v>
      </c>
      <c r="D42" s="422"/>
      <c r="E42" s="88"/>
      <c r="J42" s="420" t="str">
        <f ca="1">_xll.OBJECT.OVERNIGHT.INDEX("FEDL01",K42,0,"USD","ACT/360")</f>
        <v>FEDL01#0001</v>
      </c>
      <c r="K42" s="421" t="str">
        <f ca="1">_xll.OBJECT.TIME.SERIES("H_FEDL01",J43:J49,L43:L49,TODAY())</f>
        <v>H_FEDL01#0001</v>
      </c>
      <c r="L42" s="422"/>
    </row>
    <row r="43" spans="2:24" ht="10.55" x14ac:dyDescent="0.35">
      <c r="B43" s="423">
        <v>41088</v>
      </c>
      <c r="C43" s="424">
        <v>0.46060000000000001</v>
      </c>
      <c r="D43" s="425">
        <f>IF(C43="","",C43/100)</f>
        <v>4.6059999999999999E-3</v>
      </c>
      <c r="E43" s="90"/>
      <c r="J43" s="423">
        <v>41088</v>
      </c>
      <c r="K43" s="424">
        <v>0.15</v>
      </c>
      <c r="L43" s="425">
        <f>IF(K43="","",K43/100)</f>
        <v>1.5E-3</v>
      </c>
    </row>
    <row r="44" spans="2:24" ht="10.55" x14ac:dyDescent="0.35">
      <c r="B44" s="423">
        <v>41087</v>
      </c>
      <c r="C44" s="424">
        <v>0.46060000000000001</v>
      </c>
      <c r="D44" s="425">
        <f t="shared" ref="D44:D50" si="4">IF(C44="","",C44/100)</f>
        <v>4.6059999999999999E-3</v>
      </c>
      <c r="E44" s="90"/>
      <c r="J44" s="423">
        <v>41087</v>
      </c>
      <c r="K44" s="424">
        <v>0.15</v>
      </c>
      <c r="L44" s="425">
        <f>IF(K44="","",K44/100)</f>
        <v>1.5E-3</v>
      </c>
    </row>
    <row r="45" spans="2:24" ht="10.55" x14ac:dyDescent="0.35">
      <c r="B45" s="423">
        <v>41086</v>
      </c>
      <c r="C45" s="424">
        <v>0.46060000000000001</v>
      </c>
      <c r="D45" s="425">
        <f t="shared" si="4"/>
        <v>4.6059999999999999E-3</v>
      </c>
      <c r="E45" s="90"/>
      <c r="J45" s="423">
        <v>41086</v>
      </c>
      <c r="K45" s="424">
        <v>0.16</v>
      </c>
      <c r="L45" s="425">
        <f t="shared" ref="L45:L49" si="5">IF(K45="","",K45/100)</f>
        <v>1.6000000000000001E-3</v>
      </c>
    </row>
    <row r="46" spans="2:24" ht="10.55" x14ac:dyDescent="0.35">
      <c r="B46" s="423">
        <v>41085</v>
      </c>
      <c r="C46" s="424">
        <v>0.46060000000000001</v>
      </c>
      <c r="D46" s="425">
        <f t="shared" si="4"/>
        <v>4.6059999999999999E-3</v>
      </c>
      <c r="E46" s="90"/>
      <c r="J46" s="423">
        <v>41085</v>
      </c>
      <c r="K46" s="424">
        <v>0.17</v>
      </c>
      <c r="L46" s="425">
        <f t="shared" si="5"/>
        <v>1.7000000000000001E-3</v>
      </c>
    </row>
    <row r="47" spans="2:24" ht="10.55" x14ac:dyDescent="0.35">
      <c r="B47" s="423">
        <v>41082</v>
      </c>
      <c r="C47" s="424">
        <v>0.46160000000000001</v>
      </c>
      <c r="D47" s="425">
        <f t="shared" si="4"/>
        <v>4.6160000000000003E-3</v>
      </c>
      <c r="E47" s="90"/>
      <c r="J47" s="423">
        <v>41082</v>
      </c>
      <c r="K47" s="424">
        <v>0.17</v>
      </c>
      <c r="L47" s="425">
        <f t="shared" si="5"/>
        <v>1.7000000000000001E-3</v>
      </c>
    </row>
    <row r="48" spans="2:24" ht="10.55" x14ac:dyDescent="0.35">
      <c r="B48" s="423">
        <v>41081</v>
      </c>
      <c r="C48" s="424">
        <v>0.46760000000000002</v>
      </c>
      <c r="D48" s="425">
        <f t="shared" si="4"/>
        <v>4.6760000000000005E-3</v>
      </c>
      <c r="E48" s="90"/>
      <c r="J48" s="423">
        <v>41081</v>
      </c>
      <c r="K48" s="424">
        <v>0.17</v>
      </c>
      <c r="L48" s="425">
        <f t="shared" si="5"/>
        <v>1.7000000000000001E-3</v>
      </c>
    </row>
    <row r="49" spans="2:19" ht="10.55" x14ac:dyDescent="0.35">
      <c r="B49" s="423">
        <v>41080</v>
      </c>
      <c r="C49" s="424">
        <v>0.46760000000000002</v>
      </c>
      <c r="D49" s="425">
        <f t="shared" si="4"/>
        <v>4.6760000000000005E-3</v>
      </c>
      <c r="J49" s="426">
        <v>41080</v>
      </c>
      <c r="K49" s="427">
        <v>0.16</v>
      </c>
      <c r="L49" s="428">
        <f t="shared" si="5"/>
        <v>1.6000000000000001E-3</v>
      </c>
    </row>
    <row r="50" spans="2:19" ht="10.55" x14ac:dyDescent="0.35">
      <c r="B50" s="426">
        <v>41079</v>
      </c>
      <c r="C50" s="427">
        <v>0.46784999999999999</v>
      </c>
      <c r="D50" s="428">
        <f t="shared" si="4"/>
        <v>4.6784999999999995E-3</v>
      </c>
    </row>
    <row r="51" spans="2:19" ht="10.55" x14ac:dyDescent="0.35">
      <c r="B51" s="89"/>
      <c r="C51" s="88"/>
      <c r="D51" s="90"/>
    </row>
    <row r="52" spans="2:19" ht="10.55" x14ac:dyDescent="0.35">
      <c r="B52" s="89"/>
      <c r="C52" s="88"/>
      <c r="D52" s="90"/>
    </row>
    <row r="64" spans="2:19" x14ac:dyDescent="0.3">
      <c r="R64" s="8"/>
      <c r="S64" s="203"/>
    </row>
    <row r="65" spans="18:19" x14ac:dyDescent="0.3">
      <c r="R65" s="8"/>
      <c r="S65" s="203"/>
    </row>
    <row r="66" spans="18:19" x14ac:dyDescent="0.3">
      <c r="R66" s="8"/>
      <c r="S66" s="203"/>
    </row>
    <row r="67" spans="18:19" x14ac:dyDescent="0.3">
      <c r="R67" s="8"/>
      <c r="S67" s="203"/>
    </row>
    <row r="68" spans="18:19" x14ac:dyDescent="0.3">
      <c r="R68" s="8"/>
      <c r="S68" s="203"/>
    </row>
    <row r="69" spans="18:19" x14ac:dyDescent="0.3">
      <c r="R69" s="8"/>
      <c r="S69" s="203"/>
    </row>
    <row r="70" spans="18:19" x14ac:dyDescent="0.3">
      <c r="R70" s="8"/>
      <c r="S70" s="203"/>
    </row>
    <row r="71" spans="18:19" x14ac:dyDescent="0.3">
      <c r="R71" s="8"/>
      <c r="S71" s="203"/>
    </row>
    <row r="72" spans="18:19" x14ac:dyDescent="0.3">
      <c r="R72" s="8"/>
      <c r="S72" s="203"/>
    </row>
    <row r="73" spans="18:19" x14ac:dyDescent="0.3">
      <c r="R73" s="8"/>
      <c r="S73" s="203"/>
    </row>
    <row r="74" spans="18:19" x14ac:dyDescent="0.3">
      <c r="R74" s="8"/>
      <c r="S74" s="203"/>
    </row>
    <row r="75" spans="18:19" x14ac:dyDescent="0.3">
      <c r="R75" s="8"/>
      <c r="S75" s="203"/>
    </row>
    <row r="76" spans="18:19" x14ac:dyDescent="0.3">
      <c r="R76" s="8"/>
      <c r="S76" s="203"/>
    </row>
    <row r="77" spans="18:19" x14ac:dyDescent="0.3">
      <c r="R77" s="8"/>
      <c r="S77" s="203"/>
    </row>
    <row r="78" spans="18:19" x14ac:dyDescent="0.3">
      <c r="R78" s="8"/>
      <c r="S78" s="203"/>
    </row>
    <row r="79" spans="18:19" x14ac:dyDescent="0.3">
      <c r="R79" s="8"/>
      <c r="S79" s="203"/>
    </row>
    <row r="80" spans="18:19" x14ac:dyDescent="0.3">
      <c r="R80" s="8"/>
      <c r="S80" s="203"/>
    </row>
    <row r="81" spans="18:19" x14ac:dyDescent="0.3">
      <c r="R81" s="8"/>
      <c r="S81" s="203"/>
    </row>
    <row r="82" spans="18:19" x14ac:dyDescent="0.3">
      <c r="R82" s="8"/>
      <c r="S82" s="203"/>
    </row>
    <row r="83" spans="18:19" x14ac:dyDescent="0.3">
      <c r="R83" s="8"/>
      <c r="S83" s="203"/>
    </row>
    <row r="84" spans="18:19" x14ac:dyDescent="0.3">
      <c r="R84" s="8"/>
      <c r="S84" s="203"/>
    </row>
    <row r="85" spans="18:19" x14ac:dyDescent="0.3">
      <c r="R85" s="8"/>
      <c r="S85" s="203"/>
    </row>
    <row r="86" spans="18:19" x14ac:dyDescent="0.3">
      <c r="R86" s="8"/>
      <c r="S86" s="203"/>
    </row>
    <row r="87" spans="18:19" x14ac:dyDescent="0.3">
      <c r="R87" s="8"/>
      <c r="S87" s="203"/>
    </row>
    <row r="88" spans="18:19" x14ac:dyDescent="0.3">
      <c r="R88" s="8"/>
      <c r="S88" s="203"/>
    </row>
    <row r="89" spans="18:19" x14ac:dyDescent="0.3">
      <c r="R89" s="8"/>
      <c r="S89" s="203"/>
    </row>
    <row r="90" spans="18:19" x14ac:dyDescent="0.3">
      <c r="R90" s="8"/>
      <c r="S90" s="203"/>
    </row>
    <row r="91" spans="18:19" x14ac:dyDescent="0.3">
      <c r="R91" s="8"/>
      <c r="S91" s="203"/>
    </row>
    <row r="92" spans="18:19" x14ac:dyDescent="0.3">
      <c r="R92" s="8"/>
      <c r="S92" s="203"/>
    </row>
    <row r="93" spans="18:19" x14ac:dyDescent="0.3">
      <c r="R93" s="8"/>
      <c r="S93" s="203"/>
    </row>
    <row r="94" spans="18:19" x14ac:dyDescent="0.3">
      <c r="R94" s="8"/>
      <c r="S94" s="203"/>
    </row>
    <row r="95" spans="18:19" x14ac:dyDescent="0.3">
      <c r="R95" s="8"/>
      <c r="S95" s="203"/>
    </row>
    <row r="96" spans="18:19" x14ac:dyDescent="0.3">
      <c r="R96" s="8"/>
      <c r="S96" s="203"/>
    </row>
    <row r="97" spans="18:19" x14ac:dyDescent="0.3">
      <c r="R97" s="8"/>
      <c r="S97" s="203"/>
    </row>
    <row r="98" spans="18:19" x14ac:dyDescent="0.3">
      <c r="R98" s="8"/>
      <c r="S98" s="203"/>
    </row>
    <row r="99" spans="18:19" x14ac:dyDescent="0.3">
      <c r="R99" s="8"/>
      <c r="S99" s="203"/>
    </row>
    <row r="100" spans="18:19" x14ac:dyDescent="0.3">
      <c r="R100" s="8"/>
      <c r="S100" s="203"/>
    </row>
    <row r="101" spans="18:19" x14ac:dyDescent="0.3">
      <c r="R101" s="8"/>
      <c r="S101" s="203"/>
    </row>
    <row r="102" spans="18:19" x14ac:dyDescent="0.3">
      <c r="R102" s="8"/>
      <c r="S102" s="203"/>
    </row>
    <row r="103" spans="18:19" x14ac:dyDescent="0.3">
      <c r="R103" s="8"/>
      <c r="S103" s="203"/>
    </row>
    <row r="104" spans="18:19" x14ac:dyDescent="0.3">
      <c r="R104" s="8"/>
      <c r="S104" s="203"/>
    </row>
    <row r="105" spans="18:19" x14ac:dyDescent="0.3">
      <c r="R105" s="8"/>
      <c r="S105" s="203"/>
    </row>
    <row r="106" spans="18:19" x14ac:dyDescent="0.3">
      <c r="R106" s="8"/>
      <c r="S106" s="203"/>
    </row>
    <row r="107" spans="18:19" x14ac:dyDescent="0.3">
      <c r="R107" s="8"/>
      <c r="S107" s="203"/>
    </row>
    <row r="108" spans="18:19" x14ac:dyDescent="0.3">
      <c r="R108" s="8"/>
      <c r="S108" s="203"/>
    </row>
    <row r="109" spans="18:19" x14ac:dyDescent="0.3">
      <c r="R109" s="8"/>
      <c r="S109" s="203"/>
    </row>
    <row r="110" spans="18:19" x14ac:dyDescent="0.3">
      <c r="R110" s="8"/>
      <c r="S110" s="203"/>
    </row>
    <row r="111" spans="18:19" x14ac:dyDescent="0.3">
      <c r="R111" s="8"/>
      <c r="S111" s="203"/>
    </row>
    <row r="112" spans="18:19" x14ac:dyDescent="0.3">
      <c r="R112" s="8"/>
      <c r="S112" s="203"/>
    </row>
    <row r="113" spans="18:19" x14ac:dyDescent="0.3">
      <c r="R113" s="8"/>
      <c r="S113" s="203"/>
    </row>
    <row r="114" spans="18:19" x14ac:dyDescent="0.3">
      <c r="R114" s="8"/>
      <c r="S114" s="203"/>
    </row>
    <row r="115" spans="18:19" x14ac:dyDescent="0.3">
      <c r="R115" s="8"/>
      <c r="S115" s="203"/>
    </row>
    <row r="116" spans="18:19" x14ac:dyDescent="0.3">
      <c r="R116" s="8"/>
      <c r="S116" s="203"/>
    </row>
    <row r="117" spans="18:19" x14ac:dyDescent="0.3">
      <c r="R117" s="8"/>
      <c r="S117" s="203"/>
    </row>
    <row r="118" spans="18:19" x14ac:dyDescent="0.3">
      <c r="R118" s="8"/>
      <c r="S118" s="203"/>
    </row>
    <row r="119" spans="18:19" x14ac:dyDescent="0.3">
      <c r="R119" s="8"/>
      <c r="S119" s="203"/>
    </row>
    <row r="120" spans="18:19" x14ac:dyDescent="0.3">
      <c r="R120" s="8"/>
      <c r="S120" s="203"/>
    </row>
    <row r="121" spans="18:19" x14ac:dyDescent="0.3">
      <c r="R121" s="8"/>
      <c r="S121" s="203"/>
    </row>
    <row r="122" spans="18:19" x14ac:dyDescent="0.3">
      <c r="R122" s="8"/>
      <c r="S122" s="203"/>
    </row>
    <row r="123" spans="18:19" x14ac:dyDescent="0.3">
      <c r="R123" s="8"/>
      <c r="S123" s="203"/>
    </row>
    <row r="124" spans="18:19" x14ac:dyDescent="0.3">
      <c r="R124" s="8"/>
      <c r="S124" s="203"/>
    </row>
    <row r="125" spans="18:19" x14ac:dyDescent="0.3">
      <c r="R125" s="8"/>
      <c r="S125" s="203"/>
    </row>
    <row r="126" spans="18:19" x14ac:dyDescent="0.3">
      <c r="R126" s="8"/>
      <c r="S126" s="203"/>
    </row>
    <row r="127" spans="18:19" x14ac:dyDescent="0.3">
      <c r="R127" s="8"/>
      <c r="S127" s="203"/>
    </row>
    <row r="128" spans="18:19" x14ac:dyDescent="0.3">
      <c r="R128" s="8"/>
      <c r="S128" s="203"/>
    </row>
    <row r="129" spans="18:19" x14ac:dyDescent="0.3">
      <c r="R129" s="8"/>
      <c r="S129" s="203"/>
    </row>
    <row r="130" spans="18:19" x14ac:dyDescent="0.3">
      <c r="R130" s="8"/>
      <c r="S130" s="203"/>
    </row>
    <row r="131" spans="18:19" x14ac:dyDescent="0.3">
      <c r="R131" s="8"/>
      <c r="S131" s="203"/>
    </row>
    <row r="132" spans="18:19" x14ac:dyDescent="0.3">
      <c r="R132" s="8"/>
      <c r="S132" s="203"/>
    </row>
    <row r="133" spans="18:19" x14ac:dyDescent="0.3">
      <c r="R133" s="8"/>
      <c r="S133" s="203"/>
    </row>
    <row r="134" spans="18:19" x14ac:dyDescent="0.3">
      <c r="R134" s="8"/>
      <c r="S134" s="203"/>
    </row>
    <row r="135" spans="18:19" x14ac:dyDescent="0.3">
      <c r="R135" s="8"/>
      <c r="S135" s="203"/>
    </row>
    <row r="136" spans="18:19" x14ac:dyDescent="0.3">
      <c r="R136" s="8"/>
      <c r="S136" s="203"/>
    </row>
    <row r="137" spans="18:19" x14ac:dyDescent="0.3">
      <c r="R137" s="8"/>
      <c r="S137" s="203"/>
    </row>
    <row r="138" spans="18:19" x14ac:dyDescent="0.3">
      <c r="R138" s="8"/>
      <c r="S138" s="203"/>
    </row>
    <row r="139" spans="18:19" x14ac:dyDescent="0.3">
      <c r="R139" s="8"/>
      <c r="S139" s="203"/>
    </row>
    <row r="140" spans="18:19" x14ac:dyDescent="0.3">
      <c r="R140" s="8"/>
      <c r="S140" s="203"/>
    </row>
    <row r="141" spans="18:19" x14ac:dyDescent="0.3">
      <c r="R141" s="8"/>
      <c r="S141" s="203"/>
    </row>
    <row r="142" spans="18:19" x14ac:dyDescent="0.3">
      <c r="R142" s="8"/>
      <c r="S142" s="203"/>
    </row>
    <row r="143" spans="18:19" x14ac:dyDescent="0.3">
      <c r="R143" s="8"/>
      <c r="S143" s="203"/>
    </row>
    <row r="144" spans="18:19" x14ac:dyDescent="0.3">
      <c r="R144" s="8"/>
      <c r="S144" s="203"/>
    </row>
    <row r="145" spans="18:19" x14ac:dyDescent="0.3">
      <c r="R145" s="8"/>
      <c r="S145" s="203"/>
    </row>
    <row r="146" spans="18:19" x14ac:dyDescent="0.3">
      <c r="R146" s="8"/>
      <c r="S146" s="203"/>
    </row>
    <row r="147" spans="18:19" x14ac:dyDescent="0.3">
      <c r="R147" s="8"/>
      <c r="S147" s="203"/>
    </row>
    <row r="148" spans="18:19" x14ac:dyDescent="0.3">
      <c r="R148" s="8"/>
      <c r="S148" s="203"/>
    </row>
    <row r="149" spans="18:19" x14ac:dyDescent="0.3">
      <c r="R149" s="8"/>
      <c r="S149" s="203"/>
    </row>
    <row r="150" spans="18:19" x14ac:dyDescent="0.3">
      <c r="R150" s="8"/>
      <c r="S150" s="203"/>
    </row>
    <row r="151" spans="18:19" x14ac:dyDescent="0.3">
      <c r="R151" s="8"/>
      <c r="S151" s="203"/>
    </row>
    <row r="152" spans="18:19" x14ac:dyDescent="0.3">
      <c r="R152" s="8"/>
      <c r="S152" s="203"/>
    </row>
    <row r="153" spans="18:19" x14ac:dyDescent="0.3">
      <c r="R153" s="8"/>
      <c r="S153" s="203"/>
    </row>
    <row r="154" spans="18:19" x14ac:dyDescent="0.3">
      <c r="R154" s="8"/>
      <c r="S154" s="203"/>
    </row>
    <row r="155" spans="18:19" x14ac:dyDescent="0.3">
      <c r="R155" s="8"/>
      <c r="S155" s="203"/>
    </row>
    <row r="156" spans="18:19" x14ac:dyDescent="0.3">
      <c r="R156" s="8"/>
      <c r="S156" s="203"/>
    </row>
    <row r="157" spans="18:19" x14ac:dyDescent="0.3">
      <c r="R157" s="8"/>
      <c r="S157" s="203"/>
    </row>
    <row r="158" spans="18:19" x14ac:dyDescent="0.3">
      <c r="R158" s="8"/>
      <c r="S158" s="203"/>
    </row>
    <row r="159" spans="18:19" x14ac:dyDescent="0.3">
      <c r="R159" s="8"/>
      <c r="S159" s="203"/>
    </row>
    <row r="160" spans="18:19" x14ac:dyDescent="0.3">
      <c r="R160" s="8"/>
      <c r="S160" s="203"/>
    </row>
    <row r="161" spans="18:19" x14ac:dyDescent="0.3">
      <c r="R161" s="8"/>
      <c r="S161" s="203"/>
    </row>
    <row r="162" spans="18:19" x14ac:dyDescent="0.3">
      <c r="R162" s="8"/>
      <c r="S162" s="203"/>
    </row>
    <row r="163" spans="18:19" x14ac:dyDescent="0.3">
      <c r="R163" s="8"/>
      <c r="S163" s="203"/>
    </row>
    <row r="164" spans="18:19" x14ac:dyDescent="0.3">
      <c r="R164" s="8"/>
      <c r="S164" s="203"/>
    </row>
    <row r="165" spans="18:19" x14ac:dyDescent="0.3">
      <c r="R165" s="8"/>
      <c r="S165" s="203"/>
    </row>
    <row r="166" spans="18:19" x14ac:dyDescent="0.3">
      <c r="R166" s="8"/>
      <c r="S166" s="203"/>
    </row>
    <row r="167" spans="18:19" x14ac:dyDescent="0.3">
      <c r="R167" s="8"/>
      <c r="S167" s="203"/>
    </row>
    <row r="168" spans="18:19" x14ac:dyDescent="0.3">
      <c r="R168" s="8"/>
      <c r="S168" s="203"/>
    </row>
    <row r="169" spans="18:19" x14ac:dyDescent="0.3">
      <c r="R169" s="8"/>
      <c r="S169" s="203"/>
    </row>
    <row r="170" spans="18:19" x14ac:dyDescent="0.3">
      <c r="R170" s="8"/>
      <c r="S170" s="203"/>
    </row>
    <row r="171" spans="18:19" x14ac:dyDescent="0.3">
      <c r="R171" s="8"/>
      <c r="S171" s="203"/>
    </row>
    <row r="172" spans="18:19" x14ac:dyDescent="0.3">
      <c r="R172" s="8"/>
      <c r="S172" s="203"/>
    </row>
    <row r="173" spans="18:19" x14ac:dyDescent="0.3">
      <c r="R173" s="8"/>
      <c r="S173" s="203"/>
    </row>
    <row r="174" spans="18:19" x14ac:dyDescent="0.3">
      <c r="R174" s="8"/>
      <c r="S174" s="203"/>
    </row>
    <row r="175" spans="18:19" x14ac:dyDescent="0.3">
      <c r="R175" s="8"/>
      <c r="S175" s="203"/>
    </row>
    <row r="176" spans="18:19" x14ac:dyDescent="0.3">
      <c r="R176" s="8"/>
      <c r="S176" s="203"/>
    </row>
    <row r="177" spans="18:19" x14ac:dyDescent="0.3">
      <c r="R177" s="8"/>
      <c r="S177" s="203"/>
    </row>
    <row r="178" spans="18:19" x14ac:dyDescent="0.3">
      <c r="R178" s="8"/>
      <c r="S178" s="203"/>
    </row>
    <row r="179" spans="18:19" x14ac:dyDescent="0.3">
      <c r="R179" s="8"/>
      <c r="S179" s="203"/>
    </row>
    <row r="180" spans="18:19" x14ac:dyDescent="0.3">
      <c r="R180" s="8"/>
      <c r="S180" s="203"/>
    </row>
    <row r="181" spans="18:19" x14ac:dyDescent="0.3">
      <c r="R181" s="8"/>
      <c r="S181" s="203"/>
    </row>
    <row r="182" spans="18:19" x14ac:dyDescent="0.3">
      <c r="R182" s="8"/>
      <c r="S182" s="203"/>
    </row>
    <row r="183" spans="18:19" x14ac:dyDescent="0.3">
      <c r="R183" s="8"/>
      <c r="S183" s="203"/>
    </row>
    <row r="184" spans="18:19" x14ac:dyDescent="0.3">
      <c r="R184" s="8"/>
      <c r="S184" s="203"/>
    </row>
    <row r="185" spans="18:19" x14ac:dyDescent="0.3">
      <c r="R185" s="8"/>
      <c r="S185" s="203"/>
    </row>
    <row r="186" spans="18:19" x14ac:dyDescent="0.3">
      <c r="R186" s="8"/>
      <c r="S186" s="203"/>
    </row>
    <row r="187" spans="18:19" x14ac:dyDescent="0.3">
      <c r="R187" s="8"/>
      <c r="S187" s="203"/>
    </row>
    <row r="188" spans="18:19" x14ac:dyDescent="0.3">
      <c r="R188" s="8"/>
      <c r="S188" s="203"/>
    </row>
    <row r="189" spans="18:19" x14ac:dyDescent="0.3">
      <c r="R189" s="8"/>
      <c r="S189" s="203"/>
    </row>
    <row r="190" spans="18:19" x14ac:dyDescent="0.3">
      <c r="R190" s="8"/>
      <c r="S190" s="203"/>
    </row>
    <row r="191" spans="18:19" x14ac:dyDescent="0.3">
      <c r="R191" s="8"/>
      <c r="S191" s="203"/>
    </row>
    <row r="192" spans="18:19" x14ac:dyDescent="0.3">
      <c r="R192" s="8"/>
      <c r="S192" s="203"/>
    </row>
    <row r="193" spans="18:19" x14ac:dyDescent="0.3">
      <c r="R193" s="8"/>
      <c r="S193" s="203"/>
    </row>
    <row r="194" spans="18:19" x14ac:dyDescent="0.3">
      <c r="R194" s="8"/>
      <c r="S194" s="203"/>
    </row>
    <row r="195" spans="18:19" x14ac:dyDescent="0.3">
      <c r="R195" s="8"/>
      <c r="S195" s="203"/>
    </row>
    <row r="196" spans="18:19" x14ac:dyDescent="0.3">
      <c r="R196" s="8"/>
      <c r="S196" s="203"/>
    </row>
    <row r="197" spans="18:19" x14ac:dyDescent="0.3">
      <c r="R197" s="8"/>
      <c r="S197" s="203"/>
    </row>
    <row r="198" spans="18:19" x14ac:dyDescent="0.3">
      <c r="R198" s="8"/>
      <c r="S198" s="203"/>
    </row>
    <row r="199" spans="18:19" x14ac:dyDescent="0.3">
      <c r="R199" s="8"/>
      <c r="S199" s="203"/>
    </row>
    <row r="200" spans="18:19" x14ac:dyDescent="0.3">
      <c r="R200" s="8"/>
      <c r="S200" s="203"/>
    </row>
    <row r="201" spans="18:19" x14ac:dyDescent="0.3">
      <c r="R201" s="8"/>
      <c r="S201" s="203"/>
    </row>
    <row r="202" spans="18:19" x14ac:dyDescent="0.3">
      <c r="R202" s="8"/>
      <c r="S202" s="203"/>
    </row>
    <row r="203" spans="18:19" x14ac:dyDescent="0.3">
      <c r="R203" s="8"/>
      <c r="S203" s="203"/>
    </row>
    <row r="204" spans="18:19" x14ac:dyDescent="0.3">
      <c r="R204" s="8"/>
      <c r="S204" s="203"/>
    </row>
    <row r="205" spans="18:19" x14ac:dyDescent="0.3">
      <c r="R205" s="8"/>
      <c r="S205" s="203"/>
    </row>
    <row r="206" spans="18:19" x14ac:dyDescent="0.3">
      <c r="R206" s="8"/>
      <c r="S206" s="203"/>
    </row>
    <row r="207" spans="18:19" x14ac:dyDescent="0.3">
      <c r="R207" s="8"/>
      <c r="S207" s="203"/>
    </row>
    <row r="208" spans="18:19" x14ac:dyDescent="0.3">
      <c r="R208" s="8"/>
      <c r="S208" s="203"/>
    </row>
    <row r="209" spans="18:19" x14ac:dyDescent="0.3">
      <c r="R209" s="8"/>
      <c r="S209" s="203"/>
    </row>
    <row r="210" spans="18:19" x14ac:dyDescent="0.3">
      <c r="R210" s="8"/>
      <c r="S210" s="203"/>
    </row>
    <row r="211" spans="18:19" x14ac:dyDescent="0.3">
      <c r="R211" s="8"/>
      <c r="S211" s="203"/>
    </row>
    <row r="212" spans="18:19" x14ac:dyDescent="0.3">
      <c r="R212" s="8"/>
      <c r="S212" s="203"/>
    </row>
    <row r="213" spans="18:19" x14ac:dyDescent="0.3">
      <c r="R213" s="8"/>
      <c r="S213" s="203"/>
    </row>
    <row r="214" spans="18:19" x14ac:dyDescent="0.3">
      <c r="R214" s="8"/>
      <c r="S214" s="203"/>
    </row>
    <row r="215" spans="18:19" x14ac:dyDescent="0.3">
      <c r="R215" s="8"/>
      <c r="S215" s="203"/>
    </row>
    <row r="216" spans="18:19" x14ac:dyDescent="0.3">
      <c r="R216" s="8"/>
      <c r="S216" s="203"/>
    </row>
    <row r="217" spans="18:19" x14ac:dyDescent="0.3">
      <c r="R217" s="8"/>
      <c r="S217" s="203"/>
    </row>
    <row r="218" spans="18:19" x14ac:dyDescent="0.3">
      <c r="R218" s="8"/>
      <c r="S218" s="203"/>
    </row>
    <row r="219" spans="18:19" x14ac:dyDescent="0.3">
      <c r="R219" s="8"/>
      <c r="S219" s="203"/>
    </row>
    <row r="220" spans="18:19" x14ac:dyDescent="0.3">
      <c r="R220" s="8"/>
      <c r="S220" s="203"/>
    </row>
    <row r="221" spans="18:19" x14ac:dyDescent="0.3">
      <c r="R221" s="8"/>
      <c r="S221" s="203"/>
    </row>
    <row r="222" spans="18:19" x14ac:dyDescent="0.3">
      <c r="R222" s="8"/>
      <c r="S222" s="203"/>
    </row>
    <row r="223" spans="18:19" x14ac:dyDescent="0.3">
      <c r="R223" s="8"/>
      <c r="S223" s="203"/>
    </row>
    <row r="224" spans="18:19" x14ac:dyDescent="0.3">
      <c r="R224" s="8"/>
      <c r="S224" s="203"/>
    </row>
    <row r="225" spans="18:19" x14ac:dyDescent="0.3">
      <c r="R225" s="8"/>
      <c r="S225" s="203"/>
    </row>
    <row r="226" spans="18:19" x14ac:dyDescent="0.3">
      <c r="R226" s="8"/>
      <c r="S226" s="203"/>
    </row>
    <row r="227" spans="18:19" x14ac:dyDescent="0.3">
      <c r="R227" s="8"/>
      <c r="S227" s="203"/>
    </row>
    <row r="228" spans="18:19" x14ac:dyDescent="0.3">
      <c r="R228" s="8"/>
      <c r="S228" s="203"/>
    </row>
    <row r="229" spans="18:19" x14ac:dyDescent="0.3">
      <c r="R229" s="8"/>
      <c r="S229" s="203"/>
    </row>
    <row r="230" spans="18:19" x14ac:dyDescent="0.3">
      <c r="R230" s="8"/>
      <c r="S230" s="203"/>
    </row>
    <row r="231" spans="18:19" x14ac:dyDescent="0.3">
      <c r="R231" s="8"/>
      <c r="S231" s="203"/>
    </row>
    <row r="232" spans="18:19" x14ac:dyDescent="0.3">
      <c r="R232" s="8"/>
      <c r="S232" s="203"/>
    </row>
    <row r="233" spans="18:19" x14ac:dyDescent="0.3">
      <c r="R233" s="8"/>
      <c r="S233" s="203"/>
    </row>
    <row r="234" spans="18:19" x14ac:dyDescent="0.3">
      <c r="R234" s="8"/>
      <c r="S234" s="203"/>
    </row>
    <row r="235" spans="18:19" x14ac:dyDescent="0.3">
      <c r="R235" s="8"/>
      <c r="S235" s="203"/>
    </row>
    <row r="236" spans="18:19" x14ac:dyDescent="0.3">
      <c r="R236" s="8"/>
      <c r="S236" s="203"/>
    </row>
    <row r="237" spans="18:19" x14ac:dyDescent="0.3">
      <c r="R237" s="8"/>
      <c r="S237" s="203"/>
    </row>
    <row r="238" spans="18:19" x14ac:dyDescent="0.3">
      <c r="R238" s="8"/>
      <c r="S238" s="203"/>
    </row>
    <row r="239" spans="18:19" x14ac:dyDescent="0.3">
      <c r="R239" s="8"/>
      <c r="S239" s="203"/>
    </row>
    <row r="240" spans="18:19" x14ac:dyDescent="0.3">
      <c r="R240" s="8"/>
      <c r="S240" s="203"/>
    </row>
    <row r="241" spans="18:19" x14ac:dyDescent="0.3">
      <c r="R241" s="8"/>
      <c r="S241" s="203"/>
    </row>
    <row r="242" spans="18:19" x14ac:dyDescent="0.3">
      <c r="R242" s="8"/>
      <c r="S242" s="203"/>
    </row>
    <row r="243" spans="18:19" x14ac:dyDescent="0.3">
      <c r="R243" s="8"/>
      <c r="S243" s="203"/>
    </row>
    <row r="244" spans="18:19" x14ac:dyDescent="0.3">
      <c r="R244" s="8"/>
      <c r="S244" s="203"/>
    </row>
    <row r="245" spans="18:19" x14ac:dyDescent="0.3">
      <c r="R245" s="8"/>
      <c r="S245" s="203"/>
    </row>
    <row r="246" spans="18:19" x14ac:dyDescent="0.3">
      <c r="R246" s="8"/>
      <c r="S246" s="203"/>
    </row>
    <row r="247" spans="18:19" x14ac:dyDescent="0.3">
      <c r="R247" s="8"/>
      <c r="S247" s="203"/>
    </row>
    <row r="248" spans="18:19" x14ac:dyDescent="0.3">
      <c r="R248" s="8"/>
      <c r="S248" s="203"/>
    </row>
    <row r="249" spans="18:19" x14ac:dyDescent="0.3">
      <c r="R249" s="8"/>
      <c r="S249" s="203"/>
    </row>
    <row r="250" spans="18:19" x14ac:dyDescent="0.3">
      <c r="R250" s="8"/>
      <c r="S250" s="203"/>
    </row>
    <row r="251" spans="18:19" x14ac:dyDescent="0.3">
      <c r="R251" s="8"/>
      <c r="S251" s="203"/>
    </row>
    <row r="252" spans="18:19" x14ac:dyDescent="0.3">
      <c r="R252" s="8"/>
      <c r="S252" s="203"/>
    </row>
    <row r="253" spans="18:19" x14ac:dyDescent="0.3">
      <c r="R253" s="8"/>
      <c r="S253" s="203"/>
    </row>
    <row r="254" spans="18:19" x14ac:dyDescent="0.3">
      <c r="R254" s="8"/>
      <c r="S254" s="203"/>
    </row>
    <row r="255" spans="18:19" x14ac:dyDescent="0.3">
      <c r="R255" s="8"/>
      <c r="S255" s="203"/>
    </row>
    <row r="256" spans="18:19" x14ac:dyDescent="0.3">
      <c r="R256" s="8"/>
      <c r="S256" s="203"/>
    </row>
    <row r="257" spans="18:19" x14ac:dyDescent="0.3">
      <c r="R257" s="8"/>
      <c r="S257" s="203"/>
    </row>
    <row r="258" spans="18:19" x14ac:dyDescent="0.3">
      <c r="R258" s="8"/>
      <c r="S258" s="203"/>
    </row>
    <row r="259" spans="18:19" x14ac:dyDescent="0.3">
      <c r="R259" s="8"/>
      <c r="S259" s="203"/>
    </row>
    <row r="260" spans="18:19" x14ac:dyDescent="0.3">
      <c r="R260" s="8"/>
      <c r="S260" s="203"/>
    </row>
    <row r="261" spans="18:19" x14ac:dyDescent="0.3">
      <c r="R261" s="8"/>
      <c r="S261" s="203"/>
    </row>
    <row r="262" spans="18:19" x14ac:dyDescent="0.3">
      <c r="R262" s="8"/>
      <c r="S262" s="203"/>
    </row>
    <row r="263" spans="18:19" x14ac:dyDescent="0.3">
      <c r="R263" s="8"/>
      <c r="S263" s="203"/>
    </row>
    <row r="264" spans="18:19" x14ac:dyDescent="0.3">
      <c r="R264" s="8"/>
      <c r="S264" s="203"/>
    </row>
    <row r="265" spans="18:19" x14ac:dyDescent="0.3">
      <c r="R265" s="8"/>
      <c r="S265" s="203"/>
    </row>
    <row r="266" spans="18:19" x14ac:dyDescent="0.3">
      <c r="R266" s="8"/>
      <c r="S266" s="203"/>
    </row>
    <row r="267" spans="18:19" x14ac:dyDescent="0.3">
      <c r="R267" s="8"/>
      <c r="S267" s="203"/>
    </row>
    <row r="268" spans="18:19" x14ac:dyDescent="0.3">
      <c r="R268" s="8"/>
      <c r="S268" s="203"/>
    </row>
    <row r="269" spans="18:19" x14ac:dyDescent="0.3">
      <c r="R269" s="8"/>
      <c r="S269" s="203"/>
    </row>
    <row r="270" spans="18:19" x14ac:dyDescent="0.3">
      <c r="R270" s="8"/>
      <c r="S270" s="203"/>
    </row>
    <row r="271" spans="18:19" x14ac:dyDescent="0.3">
      <c r="R271" s="8"/>
      <c r="S271" s="203"/>
    </row>
    <row r="272" spans="18:19" x14ac:dyDescent="0.3">
      <c r="R272" s="8"/>
      <c r="S272" s="203"/>
    </row>
    <row r="273" spans="18:19" x14ac:dyDescent="0.3">
      <c r="R273" s="8"/>
      <c r="S273" s="203"/>
    </row>
    <row r="274" spans="18:19" x14ac:dyDescent="0.3">
      <c r="R274" s="8"/>
      <c r="S274" s="203"/>
    </row>
    <row r="275" spans="18:19" x14ac:dyDescent="0.3">
      <c r="R275" s="8"/>
      <c r="S275" s="203"/>
    </row>
    <row r="276" spans="18:19" x14ac:dyDescent="0.3">
      <c r="R276" s="8"/>
      <c r="S276" s="203"/>
    </row>
    <row r="277" spans="18:19" x14ac:dyDescent="0.3">
      <c r="R277" s="8"/>
      <c r="S277" s="203"/>
    </row>
    <row r="278" spans="18:19" x14ac:dyDescent="0.3">
      <c r="R278" s="8"/>
      <c r="S278" s="203"/>
    </row>
    <row r="279" spans="18:19" x14ac:dyDescent="0.3">
      <c r="R279" s="8"/>
      <c r="S279" s="203"/>
    </row>
    <row r="280" spans="18:19" x14ac:dyDescent="0.3">
      <c r="R280" s="8"/>
      <c r="S280" s="203"/>
    </row>
    <row r="281" spans="18:19" x14ac:dyDescent="0.3">
      <c r="R281" s="8"/>
      <c r="S281" s="203"/>
    </row>
    <row r="282" spans="18:19" x14ac:dyDescent="0.3">
      <c r="R282" s="8"/>
      <c r="S282" s="203"/>
    </row>
    <row r="283" spans="18:19" x14ac:dyDescent="0.3">
      <c r="R283" s="8"/>
      <c r="S283" s="203"/>
    </row>
    <row r="284" spans="18:19" x14ac:dyDescent="0.3">
      <c r="R284" s="8"/>
      <c r="S284" s="203"/>
    </row>
    <row r="285" spans="18:19" x14ac:dyDescent="0.3">
      <c r="R285" s="8"/>
      <c r="S285" s="203"/>
    </row>
    <row r="286" spans="18:19" x14ac:dyDescent="0.3">
      <c r="R286" s="8"/>
      <c r="S286" s="203"/>
    </row>
    <row r="287" spans="18:19" x14ac:dyDescent="0.3">
      <c r="R287" s="8"/>
      <c r="S287" s="203"/>
    </row>
    <row r="288" spans="18:19" x14ac:dyDescent="0.3">
      <c r="R288" s="8"/>
      <c r="S288" s="203"/>
    </row>
    <row r="289" spans="18:19" x14ac:dyDescent="0.3">
      <c r="R289" s="8"/>
      <c r="S289" s="203"/>
    </row>
    <row r="290" spans="18:19" x14ac:dyDescent="0.3">
      <c r="R290" s="8"/>
      <c r="S290" s="203"/>
    </row>
    <row r="291" spans="18:19" x14ac:dyDescent="0.3">
      <c r="R291" s="8"/>
      <c r="S291" s="203"/>
    </row>
    <row r="292" spans="18:19" x14ac:dyDescent="0.3">
      <c r="R292" s="8"/>
      <c r="S292" s="203"/>
    </row>
    <row r="293" spans="18:19" x14ac:dyDescent="0.3">
      <c r="R293" s="8"/>
      <c r="S293" s="203"/>
    </row>
    <row r="294" spans="18:19" x14ac:dyDescent="0.3">
      <c r="R294" s="8"/>
      <c r="S294" s="203"/>
    </row>
    <row r="295" spans="18:19" x14ac:dyDescent="0.3">
      <c r="R295" s="8"/>
      <c r="S295" s="203"/>
    </row>
    <row r="296" spans="18:19" x14ac:dyDescent="0.3">
      <c r="R296" s="8"/>
      <c r="S296" s="203"/>
    </row>
    <row r="297" spans="18:19" x14ac:dyDescent="0.3">
      <c r="R297" s="8"/>
      <c r="S297" s="203"/>
    </row>
    <row r="298" spans="18:19" x14ac:dyDescent="0.3">
      <c r="R298" s="8"/>
      <c r="S298" s="203"/>
    </row>
    <row r="299" spans="18:19" x14ac:dyDescent="0.3">
      <c r="R299" s="8"/>
      <c r="S299" s="203"/>
    </row>
    <row r="300" spans="18:19" x14ac:dyDescent="0.3">
      <c r="R300" s="8"/>
      <c r="S300" s="203"/>
    </row>
    <row r="301" spans="18:19" x14ac:dyDescent="0.3">
      <c r="R301" s="8"/>
      <c r="S301" s="203"/>
    </row>
    <row r="302" spans="18:19" x14ac:dyDescent="0.3">
      <c r="R302" s="8"/>
      <c r="S302" s="203"/>
    </row>
    <row r="303" spans="18:19" x14ac:dyDescent="0.3">
      <c r="R303" s="8"/>
      <c r="S303" s="203"/>
    </row>
    <row r="304" spans="18:19" x14ac:dyDescent="0.3">
      <c r="R304" s="8"/>
      <c r="S304" s="203"/>
    </row>
    <row r="305" spans="18:19" x14ac:dyDescent="0.3">
      <c r="R305" s="8"/>
      <c r="S305" s="203"/>
    </row>
    <row r="306" spans="18:19" x14ac:dyDescent="0.3">
      <c r="R306" s="8"/>
      <c r="S306" s="203"/>
    </row>
    <row r="307" spans="18:19" x14ac:dyDescent="0.3">
      <c r="R307" s="8"/>
      <c r="S307" s="203"/>
    </row>
    <row r="308" spans="18:19" x14ac:dyDescent="0.3">
      <c r="R308" s="8"/>
      <c r="S308" s="203"/>
    </row>
    <row r="309" spans="18:19" x14ac:dyDescent="0.3">
      <c r="R309" s="8"/>
      <c r="S309" s="203"/>
    </row>
    <row r="310" spans="18:19" x14ac:dyDescent="0.3">
      <c r="R310" s="8"/>
      <c r="S310" s="203"/>
    </row>
    <row r="311" spans="18:19" x14ac:dyDescent="0.3">
      <c r="R311" s="8"/>
      <c r="S311" s="203"/>
    </row>
    <row r="312" spans="18:19" x14ac:dyDescent="0.3">
      <c r="R312" s="8"/>
      <c r="S312" s="203"/>
    </row>
    <row r="313" spans="18:19" x14ac:dyDescent="0.3">
      <c r="R313" s="8"/>
      <c r="S313" s="203"/>
    </row>
    <row r="314" spans="18:19" x14ac:dyDescent="0.3">
      <c r="R314" s="8"/>
      <c r="S314" s="203"/>
    </row>
    <row r="315" spans="18:19" x14ac:dyDescent="0.3">
      <c r="R315" s="8"/>
      <c r="S315" s="203"/>
    </row>
    <row r="316" spans="18:19" x14ac:dyDescent="0.3">
      <c r="R316" s="8"/>
      <c r="S316" s="203"/>
    </row>
    <row r="317" spans="18:19" x14ac:dyDescent="0.3">
      <c r="R317" s="8"/>
      <c r="S317" s="203"/>
    </row>
    <row r="318" spans="18:19" x14ac:dyDescent="0.3">
      <c r="R318" s="8"/>
      <c r="S318" s="203"/>
    </row>
    <row r="319" spans="18:19" x14ac:dyDescent="0.3">
      <c r="R319" s="8"/>
      <c r="S319" s="203"/>
    </row>
    <row r="320" spans="18:19" x14ac:dyDescent="0.3">
      <c r="R320" s="8"/>
      <c r="S320" s="203"/>
    </row>
    <row r="321" spans="18:19" x14ac:dyDescent="0.3">
      <c r="R321" s="8"/>
      <c r="S321" s="203"/>
    </row>
  </sheetData>
  <mergeCells count="2">
    <mergeCell ref="B1:H1"/>
    <mergeCell ref="J1:O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5"/>
  </sheetPr>
  <dimension ref="A1:AC318"/>
  <sheetViews>
    <sheetView workbookViewId="0">
      <pane xSplit="3" ySplit="1" topLeftCell="D29" activePane="bottomRight" state="frozen"/>
      <selection pane="topRight" activeCell="D1" sqref="D1"/>
      <selection pane="bottomLeft" activeCell="A2" sqref="A2"/>
      <selection pane="bottomRight" activeCell="M13" sqref="M13"/>
    </sheetView>
  </sheetViews>
  <sheetFormatPr baseColWidth="10" defaultColWidth="11.3984375" defaultRowHeight="10.55" x14ac:dyDescent="0.35"/>
  <cols>
    <col min="1" max="1" width="12.73046875" style="88" bestFit="1" customWidth="1"/>
    <col min="2" max="2" width="13.1328125" style="88" bestFit="1" customWidth="1"/>
    <col min="3" max="3" width="15.1328125" style="365" customWidth="1"/>
    <col min="4" max="4" width="8.73046875" style="132" customWidth="1"/>
    <col min="5" max="5" width="8.73046875" style="133" customWidth="1"/>
    <col min="6" max="6" width="14.3984375" style="134" customWidth="1"/>
    <col min="7" max="7" width="6.3984375" style="370" customWidth="1"/>
    <col min="8" max="8" width="9.1328125" style="136" customWidth="1"/>
    <col min="9" max="9" width="9.265625" style="137" customWidth="1"/>
    <col min="10" max="10" width="8" style="138" customWidth="1"/>
    <col min="11" max="11" width="8" style="147" customWidth="1"/>
    <col min="12" max="14" width="6.3984375" style="147" customWidth="1"/>
    <col min="15" max="16" width="8.1328125" style="139" customWidth="1"/>
    <col min="17" max="17" width="7" style="372" customWidth="1"/>
    <col min="18" max="18" width="7" style="147" customWidth="1"/>
    <col min="19" max="19" width="12" style="192" customWidth="1"/>
    <col min="20" max="20" width="6.3984375" style="205" customWidth="1"/>
    <col min="21" max="21" width="12.59765625" style="141" customWidth="1"/>
    <col min="22" max="26" width="10" style="88" customWidth="1"/>
    <col min="27" max="27" width="7.59765625" style="88" customWidth="1"/>
    <col min="28" max="28" width="12.265625" style="142" customWidth="1"/>
    <col min="29" max="29" width="17.265625" style="88" bestFit="1" customWidth="1"/>
    <col min="30" max="16384" width="11.3984375" style="88"/>
  </cols>
  <sheetData>
    <row r="1" spans="1:29" s="114" customFormat="1" ht="57.8" customHeight="1" thickBot="1" x14ac:dyDescent="0.4">
      <c r="A1" s="99" t="s">
        <v>1264</v>
      </c>
      <c r="B1" s="100" t="s">
        <v>1265</v>
      </c>
      <c r="C1" s="366" t="s">
        <v>1266</v>
      </c>
      <c r="D1" s="101" t="s">
        <v>382</v>
      </c>
      <c r="E1" s="102" t="s">
        <v>383</v>
      </c>
      <c r="F1" s="100" t="s">
        <v>384</v>
      </c>
      <c r="G1" s="368" t="s">
        <v>1263</v>
      </c>
      <c r="H1" s="104" t="s">
        <v>1268</v>
      </c>
      <c r="I1" s="105" t="s">
        <v>1267</v>
      </c>
      <c r="J1" s="106" t="s">
        <v>387</v>
      </c>
      <c r="K1" s="108" t="s">
        <v>1269</v>
      </c>
      <c r="L1" s="108" t="s">
        <v>389</v>
      </c>
      <c r="M1" s="108" t="s">
        <v>390</v>
      </c>
      <c r="N1" s="108" t="s">
        <v>590</v>
      </c>
      <c r="O1" s="107" t="s">
        <v>391</v>
      </c>
      <c r="P1" s="107" t="s">
        <v>392</v>
      </c>
      <c r="Q1" s="107" t="s">
        <v>900</v>
      </c>
      <c r="R1" s="108" t="s">
        <v>393</v>
      </c>
      <c r="S1" s="99" t="s">
        <v>384</v>
      </c>
      <c r="T1" s="204" t="s">
        <v>1263</v>
      </c>
      <c r="U1" s="110" t="s">
        <v>1270</v>
      </c>
      <c r="V1" s="111" t="s">
        <v>394</v>
      </c>
      <c r="W1" s="112" t="s">
        <v>395</v>
      </c>
      <c r="X1" s="112" t="s">
        <v>396</v>
      </c>
      <c r="Y1" s="112" t="s">
        <v>397</v>
      </c>
      <c r="Z1" s="112" t="s">
        <v>398</v>
      </c>
      <c r="AA1" s="112" t="s">
        <v>399</v>
      </c>
      <c r="AB1" s="113" t="s">
        <v>400</v>
      </c>
      <c r="AC1" s="112" t="s">
        <v>401</v>
      </c>
    </row>
    <row r="2" spans="1:29" x14ac:dyDescent="0.35">
      <c r="A2" s="131" t="s">
        <v>142</v>
      </c>
      <c r="B2" s="115" t="s">
        <v>978</v>
      </c>
      <c r="C2" s="364"/>
      <c r="D2" s="116"/>
      <c r="E2" s="117"/>
      <c r="F2" s="118"/>
      <c r="G2" s="369"/>
      <c r="H2" s="120">
        <v>-1.0166659862136385E-4</v>
      </c>
      <c r="I2" s="121">
        <f ca="1">_xll.INSTRUMENT.PRIX(AC2,D2,H2,cTreasuries)</f>
        <v>100.0001666668329</v>
      </c>
      <c r="J2" s="122">
        <f ca="1">_xll.INSTRUMENT.DV01(A2,,,I2,cContinuous,I2)</f>
        <v>-1.6393469811072124E-4</v>
      </c>
      <c r="K2" s="123">
        <f ca="1">_xll.INSTRUMENT.CONVEXITE(A2,,,I2,cContinuous,I2)</f>
        <v>2.6874496103198122E-4</v>
      </c>
      <c r="L2" s="123">
        <f ca="1">_xll.INSTRUMENT.Z.SPREAD(A2,swapCurve,I2,cContinuous,D2)</f>
        <v>-19.139731140486344</v>
      </c>
      <c r="M2" s="123" t="e">
        <f ca="1">_xll.INSTRUMENT.Z.SPREAD(A2,ustCurve,I2,cContinuous,D2)</f>
        <v>#VALUE!</v>
      </c>
      <c r="N2" s="123">
        <f ca="1">_xll.INSTRUMENT.Z.SPREAD(A2,oisCurve,I2,cContinuous,D2)</f>
        <v>-18.50084665044956</v>
      </c>
      <c r="O2" s="124" t="e">
        <f ca="1">1/CALENDRIER.FRAC.ANNEE(_xll.INSTRUMENT.DATE.REGLEMENT($AC2,,),_xll.INSTRUMENT.DATE.REGLEMENT($AC2,CALENDRIER.GAP.FINANCE(TODAY(),"1M","AUD","Unadjusted"),),"ACT/365")*(_xll.INSTRUMENT.ROLL.DOWN($A2,oisCurve,CALENDRIER.GAP.FINANCE(TODAY(),"1M","AUD","Unadjusted",TRUE),$N2)+100*$AA2*CALENDRIER.FRAC.ANNEE(_xll.INSTRUMENT.DATE.REGLEMENT($AC2,,),_xll.INSTRUMENT.DATE.REGLEMENT($AC2,CALENDRIER.GAP.FINANCE(TODAY(),"1M","AUD","Unadjusted"),),"ACT/365")-$I2)/$I2</f>
        <v>#NAME?</v>
      </c>
      <c r="P2" s="124" t="e">
        <f ca="1">1/_xll.CALENDRIER.FRAC.ANNEE(_xll.INSTRUMENT.DATE.REGLEMENT($AC2,,),_xll.INSTRUMENT.DATE.REGLEMENT($AC2,_xll.CALENDRIER.GAP.FINANCE(TODAY(),"3M","AUD","Unadjusted"),),"ACT/365")*(_xll.INSTRUMENT.ROLL.DOWN($A2,oisCurve,_xll.CALENDRIER.GAP.FINANCE(TODAY(),"3M","AUD","Unadjusted",TRUE),$N2)+100*$AA2*_xll.CALENDRIER.FRAC.ANNEE(_xll.INSTRUMENT.DATE.REGLEMENT($AC2,,),_xll.INSTRUMENT.DATE.REGLEMENT($AC2,_xll.CALENDRIER.GAP.FINANCE(TODAY(),"3M","AUD","Unadjusted"),),"ACT/365")-$I2)/$I2</f>
        <v>#NAME?</v>
      </c>
      <c r="Q2" s="371" t="e">
        <f ca="1">-(O2-curve!$T$3)/J2</f>
        <v>#NAME?</v>
      </c>
      <c r="R2" s="373">
        <f t="shared" ref="R2:R60" ca="1" si="0">K2/J2</f>
        <v>-1.6393415434874641</v>
      </c>
      <c r="S2" s="191" t="str">
        <f>IF(F2&lt;&gt;"","",IF(G2="","",-G2*(SUMIF('raw Data'!$A:$A,"RESINV1USD",'raw Data'!$G:$G)+SUMIF('raw Data'!$A:$A,"RESSWAPORUSD",'raw Data'!$G:$G))/(36500*J2)))</f>
        <v/>
      </c>
      <c r="T2" s="202" t="str">
        <f>IF(G2&lt;&gt;"","",IF(F2="","",-36500*J2*F2/(SUMIF('raw Data'!$A:$A,"RESINV1USD",'raw Data'!$G:$G)+SUMIF('raw Data'!$A:$A,"RESSWAPORUSD",'raw Data'!$G:$G))))</f>
        <v/>
      </c>
      <c r="U2" s="125">
        <f>SUMIF('raw Data'!$E:$E,A2,'raw Data'!$N:$N)</f>
        <v>-366652.55298645102</v>
      </c>
      <c r="V2" s="126">
        <v>40913</v>
      </c>
      <c r="W2" s="127" t="e">
        <v>#VALUE!</v>
      </c>
      <c r="X2" s="127" t="e">
        <v>#VALUE!</v>
      </c>
      <c r="Y2" s="127" t="e">
        <v>#VALUE!</v>
      </c>
      <c r="Z2" s="127">
        <v>41095</v>
      </c>
      <c r="AA2" s="128">
        <v>0</v>
      </c>
      <c r="AB2" s="129">
        <v>91782000000</v>
      </c>
      <c r="AC2" s="130" t="str">
        <f ca="1">IF(LEFT(B2,1)="B",_xll.INSTANCE.TBILL(A2,V2,Z2,TODAY()),_xll.INSTANCE.TNOTE(A2,V2,W2,X2,Y2,Z2,AA2,TODAY()))</f>
        <v>US9127955U17#0004</v>
      </c>
    </row>
    <row r="3" spans="1:29" x14ac:dyDescent="0.35">
      <c r="A3" s="131" t="s">
        <v>144</v>
      </c>
      <c r="B3" s="115" t="s">
        <v>979</v>
      </c>
      <c r="C3" s="364"/>
      <c r="D3" s="116"/>
      <c r="E3" s="117"/>
      <c r="F3" s="118"/>
      <c r="G3" s="369"/>
      <c r="H3" s="120">
        <v>-1.0166640091958357E-4</v>
      </c>
      <c r="I3" s="121">
        <f ca="1">_xll.INSTRUMENT.PRIX(AC3,D3,H3,cTreasuries)</f>
        <v>100.00036111147124</v>
      </c>
      <c r="J3" s="122">
        <f ca="1">_xll.INSTRUMENT.DV01(A3,,,I3,cContinuous,I3)</f>
        <v>-3.5519253316308551E-4</v>
      </c>
      <c r="K3" s="123">
        <f ca="1">_xll.INSTRUMENT.CONVEXITE(A3,,,I3,cContinuous,I3)</f>
        <v>1.2616082892890229E-3</v>
      </c>
      <c r="L3" s="123">
        <f ca="1">_xll.INSTRUMENT.Z.SPREAD(A3,swapCurve,I3,cContinuous,D3)</f>
        <v>-21.192854251401933</v>
      </c>
      <c r="M3" s="123" t="e">
        <f ca="1">_xll.INSTRUMENT.Z.SPREAD(A3,ustCurve,I3,cContinuous,D3)</f>
        <v>#VALUE!</v>
      </c>
      <c r="N3" s="123">
        <f ca="1">_xll.INSTRUMENT.Z.SPREAD(A3,oisCurve,I3,cContinuous,D3)</f>
        <v>-18.311032115792823</v>
      </c>
      <c r="O3" s="124" t="e">
        <f ca="1">1/_xll.CALENDRIER.FRAC.ANNEE(_xll.INSTRUMENT.DATE.REGLEMENT($AC3,,),_xll.INSTRUMENT.DATE.REGLEMENT($AC3,_xll.CALENDRIER.GAP.FINANCE(TODAY(),"1M","AUD","Unadjusted"),),"ACT/365")*(_xll.INSTRUMENT.ROLL.DOWN($A3,oisCurve,_xll.CALENDRIER.GAP.FINANCE(TODAY(),"1M","AUD","Unadjusted",TRUE),$N3)+100*$AA3*_xll.CALENDRIER.FRAC.ANNEE(_xll.INSTRUMENT.DATE.REGLEMENT($AC3,,),_xll.INSTRUMENT.DATE.REGLEMENT($AC3,_xll.CALENDRIER.GAP.FINANCE(TODAY(),"1M","AUD","Unadjusted"),),"ACT/365")-$I3)/$I3</f>
        <v>#NAME?</v>
      </c>
      <c r="P3" s="124" t="e">
        <f ca="1">1/_xll.CALENDRIER.FRAC.ANNEE(_xll.INSTRUMENT.DATE.REGLEMENT($AC3,,),_xll.INSTRUMENT.DATE.REGLEMENT($AC3,_xll.CALENDRIER.GAP.FINANCE(TODAY(),"3M","AUD","Unadjusted"),),"ACT/365")*(_xll.INSTRUMENT.ROLL.DOWN($A3,oisCurve,_xll.CALENDRIER.GAP.FINANCE(TODAY(),"3M","AUD","Unadjusted",TRUE),$N3)+100*$AA3*_xll.CALENDRIER.FRAC.ANNEE(_xll.INSTRUMENT.DATE.REGLEMENT($AC3,,),_xll.INSTRUMENT.DATE.REGLEMENT($AC3,_xll.CALENDRIER.GAP.FINANCE(TODAY(),"3M","AUD","Unadjusted"),),"ACT/365")-$I3)/$I3</f>
        <v>#NAME?</v>
      </c>
      <c r="Q3" s="371" t="e">
        <f ca="1">-(O3-curve!$T$3)/J3</f>
        <v>#NAME?</v>
      </c>
      <c r="R3" s="373">
        <f t="shared" ca="1" si="0"/>
        <v>-3.5518998050270372</v>
      </c>
      <c r="S3" s="191" t="str">
        <f>IF(F3&lt;&gt;"","",IF(G3="","",-G3*(SUMIF('raw Data'!$A:$A,"RESINV1USD",'raw Data'!$G:$G)+SUMIF('raw Data'!$A:$A,"RESSWAPORUSD",'raw Data'!$G:$G))/(36500*J3)))</f>
        <v/>
      </c>
      <c r="T3" s="202" t="str">
        <f>IF(G3&lt;&gt;"","",IF(F3="","",-36500*J3*F3/(SUMIF('raw Data'!$A:$A,"RESINV1USD",'raw Data'!$G:$G)+SUMIF('raw Data'!$A:$A,"RESSWAPORUSD",'raw Data'!$G:$G))))</f>
        <v/>
      </c>
      <c r="U3" s="125">
        <f>SUMIF('raw Data'!$E:$E,A3,'raw Data'!$N:$N)</f>
        <v>-111388.11736297247</v>
      </c>
      <c r="V3" s="126">
        <v>40920</v>
      </c>
      <c r="W3" s="127" t="e">
        <v>#VALUE!</v>
      </c>
      <c r="X3" s="127" t="e">
        <v>#VALUE!</v>
      </c>
      <c r="Y3" s="127" t="e">
        <v>#VALUE!</v>
      </c>
      <c r="Z3" s="127">
        <v>41102</v>
      </c>
      <c r="AA3" s="128">
        <v>0</v>
      </c>
      <c r="AB3" s="129">
        <v>94286000000</v>
      </c>
      <c r="AC3" s="130" t="str">
        <f ca="1">IF(LEFT(B3,1)="B",_xll.INSTANCE.TBILL(A3,V3,Z3,TODAY()),_xll.INSTANCE.TNOTE(A3,V3,W3,X3,Y3,Z3,AA3,TODAY()))</f>
        <v>US9127955W72#0004</v>
      </c>
    </row>
    <row r="4" spans="1:29" x14ac:dyDescent="0.35">
      <c r="A4" s="131" t="s">
        <v>402</v>
      </c>
      <c r="B4" s="115" t="s">
        <v>980</v>
      </c>
      <c r="C4" s="364"/>
      <c r="D4" s="116"/>
      <c r="E4" s="117"/>
      <c r="F4" s="118"/>
      <c r="G4" s="369"/>
      <c r="H4" s="120">
        <v>-1.39571206238598E-3</v>
      </c>
      <c r="I4" s="121">
        <f ca="1">_xll.INSTRUMENT.PRIX(AC4,D4,H4,cTreasuries)</f>
        <v>100.07208167557684</v>
      </c>
      <c r="J4" s="122">
        <f ca="1">_xll.INSTRUMENT.DV01(A4,,,I4,cContinuous,I4)</f>
        <v>-4.4046402354237004E-4</v>
      </c>
      <c r="K4" s="123">
        <f ca="1">_xll.INSTRUMENT.CONVEXITE(A4,,,I4,cContinuous,I4)</f>
        <v>2.1574248260622939E-3</v>
      </c>
      <c r="L4" s="123">
        <f ca="1">_xll.INSTRUMENT.Z.SPREAD(A4,swapCurve,I4,cContinuous,D4)</f>
        <v>-34.410978354724101</v>
      </c>
      <c r="M4" s="123" t="e">
        <f ca="1">_xll.INSTRUMENT.Z.SPREAD(A4,ustCurve,I4,cContinuous,D4)</f>
        <v>#VALUE!</v>
      </c>
      <c r="N4" s="123">
        <f ca="1">_xll.INSTRUMENT.Z.SPREAD(A4,oisCurve,I4,cContinuous,D4)</f>
        <v>-29.515435609527948</v>
      </c>
      <c r="O4" s="124" t="e">
        <f ca="1">1/_xll.CALENDRIER.FRAC.ANNEE(_xll.INSTRUMENT.DATE.REGLEMENT($AC4,,),_xll.INSTRUMENT.DATE.REGLEMENT($AC4,_xll.CALENDRIER.GAP.FINANCE(TODAY(),"1M","AUD","Unadjusted"),),"ACT/365")*(_xll.INSTRUMENT.ROLL.DOWN($A4,oisCurve,_xll.CALENDRIER.GAP.FINANCE(TODAY(),"1M","AUD","Unadjusted",TRUE),$N4)+100*$AA4*_xll.CALENDRIER.FRAC.ANNEE(_xll.INSTRUMENT.DATE.REGLEMENT($AC4,,),_xll.INSTRUMENT.DATE.REGLEMENT($AC4,_xll.CALENDRIER.GAP.FINANCE(TODAY(),"1M","AUD","Unadjusted"),),"ACT/365")-$I4)/$I4</f>
        <v>#NAME?</v>
      </c>
      <c r="P4" s="124" t="e">
        <f ca="1">1/_xll.CALENDRIER.FRAC.ANNEE(_xll.INSTRUMENT.DATE.REGLEMENT($AC4,,),_xll.INSTRUMENT.DATE.REGLEMENT($AC4,_xll.CALENDRIER.GAP.FINANCE(TODAY(),"3M","AUD","Unadjusted"),),"ACT/365")*(_xll.INSTRUMENT.ROLL.DOWN($A4,oisCurve,_xll.CALENDRIER.GAP.FINANCE(TODAY(),"3M","AUD","Unadjusted",TRUE),$N4)+100*$AA4*_xll.CALENDRIER.FRAC.ANNEE(_xll.INSTRUMENT.DATE.REGLEMENT($AC4,,),_xll.INSTRUMENT.DATE.REGLEMENT($AC4,_xll.CALENDRIER.GAP.FINANCE(TODAY(),"3M","AUD","Unadjusted"),),"ACT/365")-$I4)/$I4</f>
        <v>#NAME?</v>
      </c>
      <c r="Q4" s="371" t="e">
        <f ca="1">-(O4-curve!$T$3)/J4</f>
        <v>#NAME?</v>
      </c>
      <c r="R4" s="373">
        <f t="shared" ca="1" si="0"/>
        <v>-4.8980727386348324</v>
      </c>
      <c r="S4" s="191" t="str">
        <f>IF(F4&lt;&gt;"","",IF(G4="","",-G4*(SUMIF('raw Data'!$A:$A,"RESINV1USD",'raw Data'!$G:$G)+SUMIF('raw Data'!$A:$A,"RESSWAPORUSD",'raw Data'!$G:$G))/(36500*J4)))</f>
        <v/>
      </c>
      <c r="T4" s="202" t="str">
        <f>IF(G4&lt;&gt;"","",IF(F4="","",-36500*J4*F4/(SUMIF('raw Data'!$A:$A,"RESINV1USD",'raw Data'!$G:$G)+SUMIF('raw Data'!$A:$A,"RESSWAPORUSD",'raw Data'!$G:$G))))</f>
        <v/>
      </c>
      <c r="U4" s="125">
        <f>SUMIF('raw Data'!$E:$E,A4,'raw Data'!$N:$N)</f>
        <v>0</v>
      </c>
      <c r="V4" s="126">
        <v>40009</v>
      </c>
      <c r="W4" s="127">
        <v>40009</v>
      </c>
      <c r="X4" s="127">
        <v>40193</v>
      </c>
      <c r="Y4" s="127">
        <v>40923</v>
      </c>
      <c r="Z4" s="127">
        <v>41105</v>
      </c>
      <c r="AA4" s="128">
        <v>1.4999999999999999E-2</v>
      </c>
      <c r="AB4" s="129">
        <v>35592000000</v>
      </c>
      <c r="AC4" s="130" t="str">
        <f ca="1">IF(LEFT(B4,1)="B",_xll.INSTANCE.TBILL(A4,V4,Z4,TODAY()),_xll.INSTANCE.TNOTE(A4,V4,W4,X4,Y4,Z4,AA4,TODAY()))</f>
        <v>US912828LB42#0004</v>
      </c>
    </row>
    <row r="5" spans="1:29" x14ac:dyDescent="0.35">
      <c r="A5" s="131" t="s">
        <v>148</v>
      </c>
      <c r="B5" s="115" t="s">
        <v>981</v>
      </c>
      <c r="C5" s="364"/>
      <c r="D5" s="116"/>
      <c r="E5" s="117"/>
      <c r="F5" s="118"/>
      <c r="G5" s="369"/>
      <c r="H5" s="120">
        <v>5.0833442752909428E-5</v>
      </c>
      <c r="I5" s="121">
        <f ca="1">_xll.INSTRUMENT.PRIX(AC5,D5,H5,cTreasuries)</f>
        <v>99.999722222395903</v>
      </c>
      <c r="J5" s="122">
        <f ca="1">_xll.INSTRUMENT.DV01(A5,,,I5,cContinuous,I5)</f>
        <v>-5.4644655457671844E-4</v>
      </c>
      <c r="K5" s="123">
        <f ca="1">_xll.INSTRUMENT.CONVEXITE(A5,,,I5,cContinuous,I5)</f>
        <v>2.9860551225775692E-3</v>
      </c>
      <c r="L5" s="123">
        <f ca="1">_xll.INSTRUMENT.Z.SPREAD(A5,swapCurve,I5,cContinuous,D5)</f>
        <v>-21.437837052279129</v>
      </c>
      <c r="M5" s="123" t="e">
        <f ca="1">_xll.INSTRUMENT.Z.SPREAD(A5,ustCurve,I5,cContinuous,D5)</f>
        <v>#VALUE!</v>
      </c>
      <c r="N5" s="123">
        <f ca="1">_xll.INSTRUMENT.Z.SPREAD(A5,oisCurve,I5,cContinuous,D5)</f>
        <v>-15.544625637264126</v>
      </c>
      <c r="O5" s="124" t="e">
        <f ca="1">1/_xll.CALENDRIER.FRAC.ANNEE(_xll.INSTRUMENT.DATE.REGLEMENT($AC5,,),_xll.INSTRUMENT.DATE.REGLEMENT($AC5,_xll.CALENDRIER.GAP.FINANCE(TODAY(),"1M","AUD","Unadjusted"),),"ACT/365")*(_xll.INSTRUMENT.ROLL.DOWN($A5,oisCurve,_xll.CALENDRIER.GAP.FINANCE(TODAY(),"1M","AUD","Unadjusted",TRUE),$N5)+100*$AA5*_xll.CALENDRIER.FRAC.ANNEE(_xll.INSTRUMENT.DATE.REGLEMENT($AC5,,),_xll.INSTRUMENT.DATE.REGLEMENT($AC5,_xll.CALENDRIER.GAP.FINANCE(TODAY(),"1M","AUD","Unadjusted"),),"ACT/365")-$I5)/$I5</f>
        <v>#NAME?</v>
      </c>
      <c r="P5" s="124" t="e">
        <f ca="1">1/_xll.CALENDRIER.FRAC.ANNEE(_xll.INSTRUMENT.DATE.REGLEMENT($AC5,,),_xll.INSTRUMENT.DATE.REGLEMENT($AC5,_xll.CALENDRIER.GAP.FINANCE(TODAY(),"3M","AUD","Unadjusted"),),"ACT/365")*(_xll.INSTRUMENT.ROLL.DOWN($A5,oisCurve,_xll.CALENDRIER.GAP.FINANCE(TODAY(),"3M","AUD","Unadjusted",TRUE),$N5)+100*$AA5*_xll.CALENDRIER.FRAC.ANNEE(_xll.INSTRUMENT.DATE.REGLEMENT($AC5,,),_xll.INSTRUMENT.DATE.REGLEMENT($AC5,_xll.CALENDRIER.GAP.FINANCE(TODAY(),"3M","AUD","Unadjusted"),),"ACT/365")-$I5)/$I5</f>
        <v>#NAME?</v>
      </c>
      <c r="Q5" s="371" t="e">
        <f ca="1">-(O5-curve!$T$3)/J5</f>
        <v>#NAME?</v>
      </c>
      <c r="R5" s="373">
        <f t="shared" ca="1" si="0"/>
        <v>-5.4644962029097055</v>
      </c>
      <c r="S5" s="191" t="str">
        <f>IF(F5&lt;&gt;"","",IF(G5="","",-G5*(SUMIF('raw Data'!$A:$A,"RESINV1USD",'raw Data'!$G:$G)+SUMIF('raw Data'!$A:$A,"RESSWAPORUSD",'raw Data'!$G:$G))/(36500*J5)))</f>
        <v/>
      </c>
      <c r="T5" s="202" t="str">
        <f>IF(G5&lt;&gt;"","",IF(F5="","",-36500*J5*F5/(SUMIF('raw Data'!$A:$A,"RESINV1USD",'raw Data'!$G:$G)+SUMIF('raw Data'!$A:$A,"RESSWAPORUSD",'raw Data'!$G:$G))))</f>
        <v/>
      </c>
      <c r="U5" s="125">
        <f>SUMIF('raw Data'!$E:$E,A5,'raw Data'!$N:$N)</f>
        <v>-366652.55298645102</v>
      </c>
      <c r="V5" s="126">
        <v>40927</v>
      </c>
      <c r="W5" s="127" t="e">
        <v>#VALUE!</v>
      </c>
      <c r="X5" s="127" t="e">
        <v>#VALUE!</v>
      </c>
      <c r="Y5" s="127" t="e">
        <v>#VALUE!</v>
      </c>
      <c r="Z5" s="127">
        <v>41109</v>
      </c>
      <c r="AA5" s="128">
        <v>0</v>
      </c>
      <c r="AB5" s="129">
        <v>89421000000</v>
      </c>
      <c r="AC5" s="130" t="str">
        <f ca="1">IF(LEFT(B5,1)="B",_xll.INSTANCE.TBILL(A5,V5,Z5,TODAY()),_xll.INSTANCE.TNOTE(A5,V5,W5,X5,Y5,Z5,AA5,TODAY()))</f>
        <v>US9127955X55#0003</v>
      </c>
    </row>
    <row r="6" spans="1:29" x14ac:dyDescent="0.35">
      <c r="A6" s="131" t="s">
        <v>150</v>
      </c>
      <c r="B6" s="115" t="s">
        <v>982</v>
      </c>
      <c r="C6" s="364"/>
      <c r="D6" s="116"/>
      <c r="E6" s="117"/>
      <c r="F6" s="118"/>
      <c r="G6" s="369"/>
      <c r="H6" s="120">
        <v>1.5250153107647434E-4</v>
      </c>
      <c r="I6" s="121">
        <f ca="1">_xll.INSTRUMENT.PRIX(AC6,D6,H6,cTreasuries)</f>
        <v>99.998875001361526</v>
      </c>
      <c r="J6" s="122">
        <f ca="1">_xll.INSTRUMENT.DV01(A6,,,I6,cContinuous,I6)</f>
        <v>-7.376965914428883E-4</v>
      </c>
      <c r="K6" s="123">
        <f ca="1">_xll.INSTRUMENT.CONVEXITE(A6,,,I6,cContinuous,I6)</f>
        <v>5.4420854608976041E-3</v>
      </c>
      <c r="L6" s="123">
        <f ca="1">_xll.INSTRUMENT.Z.SPREAD(A6,swapCurve,I6,cContinuous,D6)</f>
        <v>-21.574480006040268</v>
      </c>
      <c r="M6" s="123" t="e">
        <f ca="1">_xll.INSTRUMENT.Z.SPREAD(A6,ustCurve,I6,cContinuous,D6)</f>
        <v>#VALUE!</v>
      </c>
      <c r="N6" s="123">
        <f ca="1">_xll.INSTRUMENT.Z.SPREAD(A6,oisCurve,I6,cContinuous,D6)</f>
        <v>-15.174115838061757</v>
      </c>
      <c r="O6" s="124" t="e">
        <f ca="1">1/_xll.CALENDRIER.FRAC.ANNEE(_xll.INSTRUMENT.DATE.REGLEMENT($AC6,,),_xll.INSTRUMENT.DATE.REGLEMENT($AC6,_xll.CALENDRIER.GAP.FINANCE(TODAY(),"1M","AUD","Unadjusted"),),"ACT/365")*(_xll.INSTRUMENT.ROLL.DOWN($A6,oisCurve,_xll.CALENDRIER.GAP.FINANCE(TODAY(),"1M","AUD","Unadjusted",TRUE),$N6)+100*$AA6*_xll.CALENDRIER.FRAC.ANNEE(_xll.INSTRUMENT.DATE.REGLEMENT($AC6,,),_xll.INSTRUMENT.DATE.REGLEMENT($AC6,_xll.CALENDRIER.GAP.FINANCE(TODAY(),"1M","AUD","Unadjusted"),),"ACT/365")-$I6)/$I6</f>
        <v>#NAME?</v>
      </c>
      <c r="P6" s="124" t="e">
        <f ca="1">1/_xll.CALENDRIER.FRAC.ANNEE(_xll.INSTRUMENT.DATE.REGLEMENT($AC6,,),_xll.INSTRUMENT.DATE.REGLEMENT($AC6,_xll.CALENDRIER.GAP.FINANCE(TODAY(),"3M","AUD","Unadjusted"),),"ACT/365")*(_xll.INSTRUMENT.ROLL.DOWN($A6,oisCurve,_xll.CALENDRIER.GAP.FINANCE(TODAY(),"3M","AUD","Unadjusted",TRUE),$N6)+100*$AA6*_xll.CALENDRIER.FRAC.ANNEE(_xll.INSTRUMENT.DATE.REGLEMENT($AC6,,),_xll.INSTRUMENT.DATE.REGLEMENT($AC6,_xll.CALENDRIER.GAP.FINANCE(TODAY(),"3M","AUD","Unadjusted"),),"ACT/365")-$I6)/$I6</f>
        <v>#NAME?</v>
      </c>
      <c r="Q6" s="371" t="e">
        <f ca="1">-(O6-curve!$T$3)/J6</f>
        <v>#NAME?</v>
      </c>
      <c r="R6" s="373">
        <f t="shared" ca="1" si="0"/>
        <v>-7.3771324471666953</v>
      </c>
      <c r="S6" s="191" t="str">
        <f>IF(F6&lt;&gt;"","",IF(G6="","",-G6*(SUMIF('raw Data'!$A:$A,"RESINV1USD",'raw Data'!$G:$G)+SUMIF('raw Data'!$A:$A,"RESSWAPORUSD",'raw Data'!$G:$G))/(36500*J6)))</f>
        <v/>
      </c>
      <c r="T6" s="202" t="str">
        <f>IF(G6&lt;&gt;"","",IF(F6="","",-36500*J6*F6/(SUMIF('raw Data'!$A:$A,"RESINV1USD",'raw Data'!$G:$G)+SUMIF('raw Data'!$A:$A,"RESSWAPORUSD",'raw Data'!$G:$G))))</f>
        <v/>
      </c>
      <c r="U6" s="125">
        <f>SUMIF('raw Data'!$E:$E,A6,'raw Data'!$N:$N)</f>
        <v>-111388.11736297247</v>
      </c>
      <c r="V6" s="126">
        <v>40752</v>
      </c>
      <c r="W6" s="127" t="e">
        <v>#VALUE!</v>
      </c>
      <c r="X6" s="127" t="e">
        <v>#VALUE!</v>
      </c>
      <c r="Y6" s="127" t="e">
        <v>#VALUE!</v>
      </c>
      <c r="Z6" s="127">
        <v>41116</v>
      </c>
      <c r="AA6" s="128">
        <v>0</v>
      </c>
      <c r="AB6" s="129">
        <v>112941000000</v>
      </c>
      <c r="AC6" s="130" t="str">
        <f ca="1">IF(LEFT(B6,1)="B",_xll.INSTANCE.TBILL(A6,V6,Z6,TODAY()),_xll.INSTANCE.TNOTE(A6,V6,W6,X6,Y6,Z6,AA6,TODAY()))</f>
        <v>US9127954B45#0003</v>
      </c>
    </row>
    <row r="7" spans="1:29" x14ac:dyDescent="0.35">
      <c r="A7" s="131" t="s">
        <v>170</v>
      </c>
      <c r="B7" s="115" t="s">
        <v>983</v>
      </c>
      <c r="C7" s="364"/>
      <c r="D7" s="116"/>
      <c r="E7" s="117"/>
      <c r="F7" s="118"/>
      <c r="G7" s="369"/>
      <c r="H7" s="120">
        <v>3.6524857000880072E-4</v>
      </c>
      <c r="I7" s="121">
        <f ca="1">_xll.INSTRUMENT.PRIX(AC7,D7,H7,cTreasuries)</f>
        <v>100.05174174765101</v>
      </c>
      <c r="J7" s="122">
        <f ca="1">_xll.INSTRUMENT.DV01(A7,,,I7,cContinuous,I7)</f>
        <v>-8.7702113491461948E-4</v>
      </c>
      <c r="K7" s="123">
        <f ca="1">_xll.INSTRUMENT.CONVEXITE(A7,,,I7,cContinuous,I7)</f>
        <v>7.6443011137985583E-3</v>
      </c>
      <c r="L7" s="123">
        <f ca="1">_xll.INSTRUMENT.Z.SPREAD(A7,swapCurve,I7,cContinuous,D7)</f>
        <v>-20.234881745692988</v>
      </c>
      <c r="M7" s="123" t="e">
        <f ca="1">_xll.INSTRUMENT.Z.SPREAD(A7,ustCurve,I7,cContinuous,D7)</f>
        <v>#VALUE!</v>
      </c>
      <c r="N7" s="123">
        <f ca="1">_xll.INSTRUMENT.Z.SPREAD(A7,oisCurve,I7,cContinuous,D7)</f>
        <v>-13.68126216032843</v>
      </c>
      <c r="O7" s="124" t="e">
        <f ca="1">1/_xll.CALENDRIER.FRAC.ANNEE(_xll.INSTRUMENT.DATE.REGLEMENT($AC7,,),_xll.INSTRUMENT.DATE.REGLEMENT($AC7,_xll.CALENDRIER.GAP.FINANCE(TODAY(),"1M","AUD","Unadjusted"),),"ACT/365")*(_xll.INSTRUMENT.ROLL.DOWN($A7,oisCurve,_xll.CALENDRIER.GAP.FINANCE(TODAY(),"1M","AUD","Unadjusted",TRUE),$N7)+100*$AA7*_xll.CALENDRIER.FRAC.ANNEE(_xll.INSTRUMENT.DATE.REGLEMENT($AC7,,),_xll.INSTRUMENT.DATE.REGLEMENT($AC7,_xll.CALENDRIER.GAP.FINANCE(TODAY(),"1M","AUD","Unadjusted"),),"ACT/365")-$I7)/$I7</f>
        <v>#NAME?</v>
      </c>
      <c r="P7" s="124" t="e">
        <f ca="1">1/_xll.CALENDRIER.FRAC.ANNEE(_xll.INSTRUMENT.DATE.REGLEMENT($AC7,,),_xll.INSTRUMENT.DATE.REGLEMENT($AC7,_xll.CALENDRIER.GAP.FINANCE(TODAY(),"3M","AUD","Unadjusted"),),"ACT/365")*(_xll.INSTRUMENT.ROLL.DOWN($A7,oisCurve,_xll.CALENDRIER.GAP.FINANCE(TODAY(),"3M","AUD","Unadjusted",TRUE),$N7)+100*$AA7*_xll.CALENDRIER.FRAC.ANNEE(_xll.INSTRUMENT.DATE.REGLEMENT($AC7,,),_xll.INSTRUMENT.DATE.REGLEMENT($AC7,_xll.CALENDRIER.GAP.FINANCE(TODAY(),"3M","AUD","Unadjusted"),),"ACT/365")-$I7)/$I7</f>
        <v>#NAME?</v>
      </c>
      <c r="Q7" s="371" t="e">
        <f ca="1">-(O7-curve!$T$3)/J7</f>
        <v>#NAME?</v>
      </c>
      <c r="R7" s="373">
        <f t="shared" ca="1" si="0"/>
        <v>-8.7162108294491141</v>
      </c>
      <c r="S7" s="191" t="str">
        <f>IF(F7&lt;&gt;"","",IF(G7="","",-G7*(SUMIF('raw Data'!$A:$A,"RESINV1USD",'raw Data'!$G:$G)+SUMIF('raw Data'!$A:$A,"RESSWAPORUSD",'raw Data'!$G:$G))/(36500*J7)))</f>
        <v/>
      </c>
      <c r="T7" s="202" t="str">
        <f>IF(G7&lt;&gt;"","",IF(F7="","",-36500*J7*F7/(SUMIF('raw Data'!$A:$A,"RESINV1USD",'raw Data'!$G:$G)+SUMIF('raw Data'!$A:$A,"RESSWAPORUSD",'raw Data'!$G:$G))))</f>
        <v/>
      </c>
      <c r="U7" s="125">
        <f>SUMIF('raw Data'!$E:$E,A7,'raw Data'!$N:$N)</f>
        <v>-431048.80833691946</v>
      </c>
      <c r="V7" s="126">
        <v>40392</v>
      </c>
      <c r="W7" s="127">
        <v>40390</v>
      </c>
      <c r="X7" s="127">
        <v>40574</v>
      </c>
      <c r="Y7" s="127">
        <v>40939</v>
      </c>
      <c r="Z7" s="127">
        <v>41121</v>
      </c>
      <c r="AA7" s="128">
        <v>6.2500000000000003E-3</v>
      </c>
      <c r="AB7" s="129">
        <v>39248000000</v>
      </c>
      <c r="AC7" s="130" t="str">
        <f ca="1">IF(LEFT(B7,1)="B",_xll.INSTANCE.TBILL(A7,V7,Z7,TODAY()),_xll.INSTANCE.TNOTE(A7,V7,W7,X7,Y7,Z7,AA7,TODAY()))</f>
        <v>US912828NQ92#0003</v>
      </c>
    </row>
    <row r="8" spans="1:29" x14ac:dyDescent="0.35">
      <c r="A8" s="131" t="s">
        <v>403</v>
      </c>
      <c r="B8" s="115" t="s">
        <v>984</v>
      </c>
      <c r="C8" s="364"/>
      <c r="D8" s="116"/>
      <c r="E8" s="117"/>
      <c r="F8" s="118"/>
      <c r="G8" s="369"/>
      <c r="H8" s="120">
        <v>1.5798652710569317E-4</v>
      </c>
      <c r="I8" s="121">
        <f ca="1">_xll.INSTRUMENT.PRIX(AC8,D8,H8,cTreasuries)</f>
        <v>100.40518018051394</v>
      </c>
      <c r="J8" s="122">
        <f ca="1">_xll.INSTRUMENT.DV01(A8,,,I8,cContinuous,I8)</f>
        <v>-8.9452312409493337E-4</v>
      </c>
      <c r="K8" s="123">
        <f ca="1">_xll.INSTRUMENT.CONVEXITE(A8,,,I8,cContinuous,I8)</f>
        <v>7.6443011137985574E-3</v>
      </c>
      <c r="L8" s="123">
        <f ca="1">_xll.INSTRUMENT.Z.SPREAD(A8,swapCurve,I8,cContinuous,D8)</f>
        <v>-22.301791998114432</v>
      </c>
      <c r="M8" s="123" t="e">
        <f ca="1">_xll.INSTRUMENT.Z.SPREAD(A8,ustCurve,I8,cContinuous,D8)</f>
        <v>#VALUE!</v>
      </c>
      <c r="N8" s="123">
        <f ca="1">_xll.INSTRUMENT.Z.SPREAD(A8,oisCurve,I8,cContinuous,D8)</f>
        <v>-15.7481724128124</v>
      </c>
      <c r="O8" s="124" t="e">
        <f ca="1">1/_xll.CALENDRIER.FRAC.ANNEE(_xll.INSTRUMENT.DATE.REGLEMENT($AC8,,),_xll.INSTRUMENT.DATE.REGLEMENT($AC8,_xll.CALENDRIER.GAP.FINANCE(TODAY(),"1M","AUD","Unadjusted"),),"ACT/365")*(_xll.INSTRUMENT.ROLL.DOWN($A8,oisCurve,_xll.CALENDRIER.GAP.FINANCE(TODAY(),"1M","AUD","Unadjusted",TRUE),$N8)+100*$AA8*_xll.CALENDRIER.FRAC.ANNEE(_xll.INSTRUMENT.DATE.REGLEMENT($AC8,,),_xll.INSTRUMENT.DATE.REGLEMENT($AC8,_xll.CALENDRIER.GAP.FINANCE(TODAY(),"1M","AUD","Unadjusted"),),"ACT/365")-$I8)/$I8</f>
        <v>#NAME?</v>
      </c>
      <c r="P8" s="124" t="e">
        <f ca="1">1/_xll.CALENDRIER.FRAC.ANNEE(_xll.INSTRUMENT.DATE.REGLEMENT($AC8,,),_xll.INSTRUMENT.DATE.REGLEMENT($AC8,_xll.CALENDRIER.GAP.FINANCE(TODAY(),"3M","AUD","Unadjusted"),),"ACT/365")*(_xll.INSTRUMENT.ROLL.DOWN($A8,oisCurve,_xll.CALENDRIER.GAP.FINANCE(TODAY(),"3M","AUD","Unadjusted",TRUE),$N8)+100*$AA8*_xll.CALENDRIER.FRAC.ANNEE(_xll.INSTRUMENT.DATE.REGLEMENT($AC8,,),_xll.INSTRUMENT.DATE.REGLEMENT($AC8,_xll.CALENDRIER.GAP.FINANCE(TODAY(),"3M","AUD","Unadjusted"),),"ACT/365")-$I8)/$I8</f>
        <v>#NAME?</v>
      </c>
      <c r="Q8" s="371" t="e">
        <f ca="1">-(O8-curve!$T$3)/J8</f>
        <v>#NAME?</v>
      </c>
      <c r="R8" s="373">
        <f t="shared" ca="1" si="0"/>
        <v>-8.5456718869430688</v>
      </c>
      <c r="S8" s="191" t="str">
        <f>IF(F8&lt;&gt;"","",IF(G8="","",-G8*(SUMIF('raw Data'!$A:$A,"RESINV1USD",'raw Data'!$G:$G)+SUMIF('raw Data'!$A:$A,"RESSWAPORUSD",'raw Data'!$G:$G))/(36500*J8)))</f>
        <v/>
      </c>
      <c r="T8" s="202" t="str">
        <f>IF(G8&lt;&gt;"","",IF(F8="","",-36500*J8*F8/(SUMIF('raw Data'!$A:$A,"RESINV1USD",'raw Data'!$G:$G)+SUMIF('raw Data'!$A:$A,"RESSWAPORUSD",'raw Data'!$G:$G))))</f>
        <v/>
      </c>
      <c r="U8" s="125">
        <f>SUMIF('raw Data'!$E:$E,A8,'raw Data'!$N:$N)</f>
        <v>0</v>
      </c>
      <c r="V8" s="126">
        <v>39294</v>
      </c>
      <c r="W8" s="127">
        <v>39294</v>
      </c>
      <c r="X8" s="127">
        <v>39478</v>
      </c>
      <c r="Y8" s="127">
        <v>40939</v>
      </c>
      <c r="Z8" s="127">
        <v>41121</v>
      </c>
      <c r="AA8" s="128">
        <v>4.6249999999999999E-2</v>
      </c>
      <c r="AB8" s="129">
        <v>15804000000</v>
      </c>
      <c r="AC8" s="130" t="str">
        <f ca="1">IF(LEFT(B8,1)="B",_xll.INSTANCE.TBILL(A8,V8,Z8,TODAY()),_xll.INSTANCE.TNOTE(A8,V8,W8,X8,Y8,Z8,AA8,TODAY()))</f>
        <v>US912828GZ74#0003</v>
      </c>
    </row>
    <row r="9" spans="1:29" x14ac:dyDescent="0.35">
      <c r="A9" s="131" t="s">
        <v>152</v>
      </c>
      <c r="B9" s="115" t="s">
        <v>985</v>
      </c>
      <c r="C9" s="364"/>
      <c r="D9" s="116"/>
      <c r="E9" s="117"/>
      <c r="F9" s="118"/>
      <c r="G9" s="369"/>
      <c r="H9" s="120">
        <v>2.0333683070152949E-4</v>
      </c>
      <c r="I9" s="121">
        <f ca="1">_xll.INSTRUMENT.PRIX(AC9,D9,H9,cTreasuries)</f>
        <v>99.998111114301452</v>
      </c>
      <c r="J9" s="122">
        <f ca="1">_xll.INSTRUMENT.DV01(A9,,,I9,cContinuous,I9)</f>
        <v>-9.2894415848563414E-4</v>
      </c>
      <c r="K9" s="123">
        <f ca="1">_xll.INSTRUMENT.CONVEXITE(A9,,,I9,cContinuous,I9)</f>
        <v>8.6296993042491547E-3</v>
      </c>
      <c r="L9" s="123">
        <f ca="1">_xll.INSTRUMENT.Z.SPREAD(A9,swapCurve,I9,cContinuous,D9)</f>
        <v>-22.179498942770344</v>
      </c>
      <c r="M9" s="123" t="e">
        <f ca="1">_xll.INSTRUMENT.Z.SPREAD(A9,ustCurve,I9,cContinuous,D9)</f>
        <v>#VALUE!</v>
      </c>
      <c r="N9" s="123">
        <f ca="1">_xll.INSTRUMENT.Z.SPREAD(A9,oisCurve,I9,cContinuous,D9)</f>
        <v>-15.457449857378569</v>
      </c>
      <c r="O9" s="124" t="e">
        <f ca="1">1/_xll.CALENDRIER.FRAC.ANNEE(_xll.INSTRUMENT.DATE.REGLEMENT($AC9,,),_xll.INSTRUMENT.DATE.REGLEMENT($AC9,_xll.CALENDRIER.GAP.FINANCE(TODAY(),"1M","AUD","Unadjusted"),),"ACT/365")*(_xll.INSTRUMENT.ROLL.DOWN($A9,oisCurve,_xll.CALENDRIER.GAP.FINANCE(TODAY(),"1M","AUD","Unadjusted",TRUE),$N9)+100*$AA9*_xll.CALENDRIER.FRAC.ANNEE(_xll.INSTRUMENT.DATE.REGLEMENT($AC9,,),_xll.INSTRUMENT.DATE.REGLEMENT($AC9,_xll.CALENDRIER.GAP.FINANCE(TODAY(),"1M","AUD","Unadjusted"),),"ACT/365")-$I9)/$I9</f>
        <v>#NAME?</v>
      </c>
      <c r="P9" s="124" t="e">
        <f ca="1">1/_xll.CALENDRIER.FRAC.ANNEE(_xll.INSTRUMENT.DATE.REGLEMENT($AC9,,),_xll.INSTRUMENT.DATE.REGLEMENT($AC9,_xll.CALENDRIER.GAP.FINANCE(TODAY(),"3M","AUD","Unadjusted"),),"ACT/365")*(_xll.INSTRUMENT.ROLL.DOWN($A9,oisCurve,_xll.CALENDRIER.GAP.FINANCE(TODAY(),"3M","AUD","Unadjusted",TRUE),$N9)+100*$AA9*_xll.CALENDRIER.FRAC.ANNEE(_xll.INSTRUMENT.DATE.REGLEMENT($AC9,,),_xll.INSTRUMENT.DATE.REGLEMENT($AC9,_xll.CALENDRIER.GAP.FINANCE(TODAY(),"3M","AUD","Unadjusted"),),"ACT/365")-$I9)/$I9</f>
        <v>#NAME?</v>
      </c>
      <c r="Q9" s="371" t="e">
        <f ca="1">-(O9-curve!$T$3)/J9</f>
        <v>#NAME?</v>
      </c>
      <c r="R9" s="373">
        <f t="shared" ca="1" si="0"/>
        <v>-9.2897933911520596</v>
      </c>
      <c r="S9" s="191" t="str">
        <f>IF(F9&lt;&gt;"","",IF(G9="","",-G9*(SUMIF('raw Data'!$A:$A,"RESINV1USD",'raw Data'!$G:$G)+SUMIF('raw Data'!$A:$A,"RESSWAPORUSD",'raw Data'!$G:$G))/(36500*J9)))</f>
        <v/>
      </c>
      <c r="T9" s="202" t="str">
        <f>IF(G9&lt;&gt;"","",IF(F9="","",-36500*J9*F9/(SUMIF('raw Data'!$A:$A,"RESINV1USD",'raw Data'!$G:$G)+SUMIF('raw Data'!$A:$A,"RESSWAPORUSD",'raw Data'!$G:$G))))</f>
        <v/>
      </c>
      <c r="U9" s="125">
        <f>SUMIF('raw Data'!$E:$E,A9,'raw Data'!$N:$N)</f>
        <v>-366652.55298645102</v>
      </c>
      <c r="V9" s="126">
        <v>40941</v>
      </c>
      <c r="W9" s="127" t="e">
        <v>#VALUE!</v>
      </c>
      <c r="X9" s="127" t="e">
        <v>#VALUE!</v>
      </c>
      <c r="Y9" s="127" t="e">
        <v>#VALUE!</v>
      </c>
      <c r="Z9" s="127">
        <v>41123</v>
      </c>
      <c r="AA9" s="128">
        <v>0</v>
      </c>
      <c r="AB9" s="129">
        <v>59002000000</v>
      </c>
      <c r="AC9" s="130" t="str">
        <f ca="1">IF(LEFT(B9,1)="B",_xll.INSTANCE.TBILL(A9,V9,Z9,TODAY()),_xll.INSTANCE.TNOTE(A9,V9,W9,X9,Y9,Z9,AA9,TODAY()))</f>
        <v>US9127955Y39#0003</v>
      </c>
    </row>
    <row r="10" spans="1:29" x14ac:dyDescent="0.35">
      <c r="A10" s="131" t="s">
        <v>154</v>
      </c>
      <c r="B10" s="115" t="s">
        <v>986</v>
      </c>
      <c r="C10" s="364"/>
      <c r="D10" s="116"/>
      <c r="E10" s="117"/>
      <c r="F10" s="118"/>
      <c r="G10" s="369"/>
      <c r="H10" s="120">
        <v>3.0500967075880681E-4</v>
      </c>
      <c r="I10" s="121">
        <f ca="1">_xll.INSTRUMENT.PRIX(AC10,D10,H10,cTreasuries)</f>
        <v>99.996583341739225</v>
      </c>
      <c r="J10" s="122">
        <f ca="1">_xll.INSTRUMENT.DV01(A10,,,I10,cContinuous,I10)</f>
        <v>-1.1201802423478075E-3</v>
      </c>
      <c r="K10" s="123">
        <f ca="1">_xll.INSTRUMENT.CONVEXITE(A10,,,I10,cContinuous,I10)</f>
        <v>1.2548896652632211E-2</v>
      </c>
      <c r="L10" s="123">
        <f ca="1">_xll.INSTRUMENT.Z.SPREAD(A10,swapCurve,I10,cContinuous,D10)</f>
        <v>-22.471961625683488</v>
      </c>
      <c r="M10" s="123" t="e">
        <f ca="1">_xll.INSTRUMENT.Z.SPREAD(A10,ustCurve,I10,cContinuous,D10)</f>
        <v>#VALUE!</v>
      </c>
      <c r="N10" s="123">
        <f ca="1">_xll.INSTRUMENT.Z.SPREAD(A10,oisCurve,I10,cContinuous,D10)</f>
        <v>-14.7130556233609</v>
      </c>
      <c r="O10" s="124" t="e">
        <f ca="1">1/_xll.CALENDRIER.FRAC.ANNEE(_xll.INSTRUMENT.DATE.REGLEMENT($AC10,,),_xll.INSTRUMENT.DATE.REGLEMENT($AC10,_xll.CALENDRIER.GAP.FINANCE(TODAY(),"1M","AUD","Unadjusted"),),"ACT/365")*(_xll.INSTRUMENT.ROLL.DOWN($A10,oisCurve,_xll.CALENDRIER.GAP.FINANCE(TODAY(),"1M","AUD","Unadjusted",TRUE),$N10)+100*$AA10*_xll.CALENDRIER.FRAC.ANNEE(_xll.INSTRUMENT.DATE.REGLEMENT($AC10,,),_xll.INSTRUMENT.DATE.REGLEMENT($AC10,_xll.CALENDRIER.GAP.FINANCE(TODAY(),"1M","AUD","Unadjusted"),),"ACT/365")-$I10)/$I10</f>
        <v>#NAME?</v>
      </c>
      <c r="P10" s="124" t="e">
        <f ca="1">1/_xll.CALENDRIER.FRAC.ANNEE(_xll.INSTRUMENT.DATE.REGLEMENT($AC10,,),_xll.INSTRUMENT.DATE.REGLEMENT($AC10,_xll.CALENDRIER.GAP.FINANCE(TODAY(),"3M","AUD","Unadjusted"),),"ACT/365")*(_xll.INSTRUMENT.ROLL.DOWN($A10,oisCurve,_xll.CALENDRIER.GAP.FINANCE(TODAY(),"3M","AUD","Unadjusted",TRUE),$N10)+100*$AA10*_xll.CALENDRIER.FRAC.ANNEE(_xll.INSTRUMENT.DATE.REGLEMENT($AC10,,),_xll.INSTRUMENT.DATE.REGLEMENT($AC10,_xll.CALENDRIER.GAP.FINANCE(TODAY(),"3M","AUD","Unadjusted"),),"ACT/365")-$I10)/$I10</f>
        <v>#NAME?</v>
      </c>
      <c r="Q10" s="371" t="e">
        <f ca="1">-(O10-curve!$T$3)/J10</f>
        <v>#NAME?</v>
      </c>
      <c r="R10" s="373">
        <f t="shared" ca="1" si="0"/>
        <v>-11.202569174341741</v>
      </c>
      <c r="S10" s="191" t="str">
        <f>IF(F10&lt;&gt;"","",IF(G10="","",-G10*(SUMIF('raw Data'!$A:$A,"RESINV1USD",'raw Data'!$G:$G)+SUMIF('raw Data'!$A:$A,"RESSWAPORUSD",'raw Data'!$G:$G))/(36500*J10)))</f>
        <v/>
      </c>
      <c r="T10" s="202" t="str">
        <f>IF(G10&lt;&gt;"","",IF(F10="","",-36500*J10*F10/(SUMIF('raw Data'!$A:$A,"RESINV1USD",'raw Data'!$G:$G)+SUMIF('raw Data'!$A:$A,"RESSWAPORUSD",'raw Data'!$G:$G))))</f>
        <v/>
      </c>
      <c r="U10" s="125">
        <f>SUMIF('raw Data'!$E:$E,A10,'raw Data'!$N:$N)</f>
        <v>-111388.11736297247</v>
      </c>
      <c r="V10" s="126">
        <v>40948</v>
      </c>
      <c r="W10" s="127" t="e">
        <v>#VALUE!</v>
      </c>
      <c r="X10" s="127" t="e">
        <v>#VALUE!</v>
      </c>
      <c r="Y10" s="127" t="e">
        <v>#VALUE!</v>
      </c>
      <c r="Z10" s="127">
        <v>41130</v>
      </c>
      <c r="AA10" s="128">
        <v>0</v>
      </c>
      <c r="AB10" s="129">
        <v>61001000000</v>
      </c>
      <c r="AC10" s="130" t="str">
        <f ca="1">IF(LEFT(B10,1)="B",_xll.INSTANCE.TBILL(A10,V10,Z10,TODAY()),_xll.INSTANCE.TNOTE(A10,V10,W10,X10,Y10,Z10,AA10,TODAY()))</f>
        <v>US9127956A44#0003</v>
      </c>
    </row>
    <row r="11" spans="1:29" x14ac:dyDescent="0.35">
      <c r="A11" s="131" t="s">
        <v>404</v>
      </c>
      <c r="B11" s="115" t="s">
        <v>987</v>
      </c>
      <c r="C11" s="364"/>
      <c r="D11" s="116"/>
      <c r="E11" s="117"/>
      <c r="F11" s="118"/>
      <c r="G11" s="369"/>
      <c r="H11" s="120">
        <v>4.3788806426202744E-4</v>
      </c>
      <c r="I11" s="121">
        <f ca="1">_xll.INSTRUMENT.PRIX(AC11,D11,H11,cTreasuries)</f>
        <v>100.55915801004707</v>
      </c>
      <c r="J11" s="122">
        <f ca="1">_xll.INSTRUMENT.DV01(A11,,,I11,cContinuous,I11)</f>
        <v>-1.3121699832057358E-3</v>
      </c>
      <c r="K11" s="123">
        <f ca="1">_xll.INSTRUMENT.CONVEXITE(A11,,,I11,cContinuous,I11)</f>
        <v>1.6490489414434598E-2</v>
      </c>
      <c r="L11" s="123">
        <f ca="1">_xll.INSTRUMENT.Z.SPREAD(A11,swapCurve,I11,cContinuous,D11)</f>
        <v>-22.538943755743087</v>
      </c>
      <c r="M11" s="123" t="e">
        <f ca="1">_xll.INSTRUMENT.Z.SPREAD(A11,ustCurve,I11,cContinuous,D11)</f>
        <v>#VALUE!</v>
      </c>
      <c r="N11" s="123">
        <f ca="1">_xll.INSTRUMENT.Z.SPREAD(A11,oisCurve,I11,cContinuous,D11)</f>
        <v>-13.416094791227369</v>
      </c>
      <c r="O11" s="124" t="e">
        <f ca="1">1/_xll.CALENDRIER.FRAC.ANNEE(_xll.INSTRUMENT.DATE.REGLEMENT($AC11,,),_xll.INSTRUMENT.DATE.REGLEMENT($AC11,_xll.CALENDRIER.GAP.FINANCE(TODAY(),"1M","AUD","Unadjusted"),),"ACT/365")*(_xll.INSTRUMENT.ROLL.DOWN($A11,oisCurve,_xll.CALENDRIER.GAP.FINANCE(TODAY(),"1M","AUD","Unadjusted",TRUE),$N11)+100*$AA11*_xll.CALENDRIER.FRAC.ANNEE(_xll.INSTRUMENT.DATE.REGLEMENT($AC11,,),_xll.INSTRUMENT.DATE.REGLEMENT($AC11,_xll.CALENDRIER.GAP.FINANCE(TODAY(),"1M","AUD","Unadjusted"),),"ACT/365")-$I11)/$I11</f>
        <v>#NAME?</v>
      </c>
      <c r="P11" s="124" t="e">
        <f ca="1">1/_xll.CALENDRIER.FRAC.ANNEE(_xll.INSTRUMENT.DATE.REGLEMENT($AC11,,),_xll.INSTRUMENT.DATE.REGLEMENT($AC11,_xll.CALENDRIER.GAP.FINANCE(TODAY(),"3M","AUD","Unadjusted"),),"ACT/365")*(_xll.INSTRUMENT.ROLL.DOWN($A11,oisCurve,_xll.CALENDRIER.GAP.FINANCE(TODAY(),"3M","AUD","Unadjusted",TRUE),$N11)+100*$AA11*_xll.CALENDRIER.FRAC.ANNEE(_xll.INSTRUMENT.DATE.REGLEMENT($AC11,,),_xll.INSTRUMENT.DATE.REGLEMENT($AC11,_xll.CALENDRIER.GAP.FINANCE(TODAY(),"3M","AUD","Unadjusted"),),"ACT/365")-$I11)/$I11</f>
        <v>#NAME?</v>
      </c>
      <c r="Q11" s="371" t="e">
        <f ca="1">-(O11-curve!$T$3)/J11</f>
        <v>#NAME?</v>
      </c>
      <c r="R11" s="373">
        <f t="shared" ca="1" si="0"/>
        <v>-12.567342360741266</v>
      </c>
      <c r="S11" s="191" t="str">
        <f>IF(F11&lt;&gt;"","",IF(G11="","",-G11*(SUMIF('raw Data'!$A:$A,"RESINV1USD",'raw Data'!$G:$G)+SUMIF('raw Data'!$A:$A,"RESSWAPORUSD",'raw Data'!$G:$G))/(36500*J11)))</f>
        <v/>
      </c>
      <c r="T11" s="202" t="str">
        <f>IF(G11&lt;&gt;"","",IF(F11="","",-36500*J11*F11/(SUMIF('raw Data'!$A:$A,"RESINV1USD",'raw Data'!$G:$G)+SUMIF('raw Data'!$A:$A,"RESSWAPORUSD",'raw Data'!$G:$G))))</f>
        <v/>
      </c>
      <c r="U11" s="125">
        <f>SUMIF('raw Data'!$E:$E,A11,'raw Data'!$N:$N)</f>
        <v>0</v>
      </c>
      <c r="V11" s="126">
        <v>37483</v>
      </c>
      <c r="W11" s="127">
        <v>37483</v>
      </c>
      <c r="X11" s="127">
        <v>37667</v>
      </c>
      <c r="Y11" s="127">
        <v>40954</v>
      </c>
      <c r="Z11" s="127">
        <v>41136</v>
      </c>
      <c r="AA11" s="128">
        <v>4.3749999999999997E-2</v>
      </c>
      <c r="AB11" s="129">
        <v>19648000000</v>
      </c>
      <c r="AC11" s="130" t="str">
        <f ca="1">IF(LEFT(B11,1)="B",_xll.INSTANCE.TBILL(A11,V11,Z11,TODAY()),_xll.INSTANCE.TNOTE(A11,V11,W11,X11,Y11,Z11,AA11,TODAY()))</f>
        <v>US912828AJ96#0003</v>
      </c>
    </row>
    <row r="12" spans="1:29" x14ac:dyDescent="0.35">
      <c r="A12" s="131" t="s">
        <v>405</v>
      </c>
      <c r="B12" s="115" t="s">
        <v>988</v>
      </c>
      <c r="C12" s="364"/>
      <c r="D12" s="116"/>
      <c r="E12" s="117"/>
      <c r="F12" s="118"/>
      <c r="G12" s="369"/>
      <c r="H12" s="120">
        <v>6.9004290831919946E-4</v>
      </c>
      <c r="I12" s="121">
        <f ca="1">_xll.INSTRUMENT.PRIX(AC12,D12,H12,cTreasuries)</f>
        <v>100.21702358816661</v>
      </c>
      <c r="J12" s="122">
        <f ca="1">_xll.INSTRUMENT.DV01(A12,,,I12,cContinuous,I12)</f>
        <v>-1.2952744840454395E-3</v>
      </c>
      <c r="K12" s="123">
        <f ca="1">_xll.INSTRUMENT.CONVEXITE(A12,,,I12,cContinuous,I12)</f>
        <v>1.6490489414434598E-2</v>
      </c>
      <c r="L12" s="123">
        <f ca="1">_xll.INSTRUMENT.Z.SPREAD(A12,swapCurve,I12,cContinuous,D12)</f>
        <v>-20.024466906676594</v>
      </c>
      <c r="M12" s="123" t="e">
        <f ca="1">_xll.INSTRUMENT.Z.SPREAD(A12,ustCurve,I12,cContinuous,D12)</f>
        <v>#VALUE!</v>
      </c>
      <c r="N12" s="123">
        <f ca="1">_xll.INSTRUMENT.Z.SPREAD(A12,oisCurve,I12,cContinuous,D12)</f>
        <v>-10.901617942249249</v>
      </c>
      <c r="O12" s="124" t="e">
        <f ca="1">1/_xll.CALENDRIER.FRAC.ANNEE(_xll.INSTRUMENT.DATE.REGLEMENT($AC12,,),_xll.INSTRUMENT.DATE.REGLEMENT($AC12,_xll.CALENDRIER.GAP.FINANCE(TODAY(),"1M","AUD","Unadjusted"),),"ACT/365")*(_xll.INSTRUMENT.ROLL.DOWN($A12,oisCurve,_xll.CALENDRIER.GAP.FINANCE(TODAY(),"1M","AUD","Unadjusted",TRUE),$N12)+100*$AA12*_xll.CALENDRIER.FRAC.ANNEE(_xll.INSTRUMENT.DATE.REGLEMENT($AC12,,),_xll.INSTRUMENT.DATE.REGLEMENT($AC12,_xll.CALENDRIER.GAP.FINANCE(TODAY(),"1M","AUD","Unadjusted"),),"ACT/365")-$I12)/$I12</f>
        <v>#NAME?</v>
      </c>
      <c r="P12" s="124" t="e">
        <f ca="1">1/_xll.CALENDRIER.FRAC.ANNEE(_xll.INSTRUMENT.DATE.REGLEMENT($AC12,,),_xll.INSTRUMENT.DATE.REGLEMENT($AC12,_xll.CALENDRIER.GAP.FINANCE(TODAY(),"3M","AUD","Unadjusted"),),"ACT/365")*(_xll.INSTRUMENT.ROLL.DOWN($A12,oisCurve,_xll.CALENDRIER.GAP.FINANCE(TODAY(),"3M","AUD","Unadjusted",TRUE),$N12)+100*$AA12*_xll.CALENDRIER.FRAC.ANNEE(_xll.INSTRUMENT.DATE.REGLEMENT($AC12,,),_xll.INSTRUMENT.DATE.REGLEMENT($AC12,_xll.CALENDRIER.GAP.FINANCE(TODAY(),"3M","AUD","Unadjusted"),),"ACT/365")-$I12)/$I12</f>
        <v>#NAME?</v>
      </c>
      <c r="Q12" s="371" t="e">
        <f ca="1">-(O12-curve!$T$3)/J12</f>
        <v>#NAME?</v>
      </c>
      <c r="R12" s="373">
        <f t="shared" ca="1" si="0"/>
        <v>-12.73127018061146</v>
      </c>
      <c r="S12" s="191" t="str">
        <f>IF(F12&lt;&gt;"","",IF(G12="","",-G12*(SUMIF('raw Data'!$A:$A,"RESINV1USD",'raw Data'!$G:$G)+SUMIF('raw Data'!$A:$A,"RESSWAPORUSD",'raw Data'!$G:$G))/(36500*J12)))</f>
        <v/>
      </c>
      <c r="T12" s="202" t="str">
        <f>IF(G12&lt;&gt;"","",IF(F12="","",-36500*J12*F12/(SUMIF('raw Data'!$A:$A,"RESINV1USD",'raw Data'!$G:$G)+SUMIF('raw Data'!$A:$A,"RESSWAPORUSD",'raw Data'!$G:$G))))</f>
        <v/>
      </c>
      <c r="U12" s="125">
        <f>SUMIF('raw Data'!$E:$E,A12,'raw Data'!$N:$N)</f>
        <v>0</v>
      </c>
      <c r="V12" s="126">
        <v>40042</v>
      </c>
      <c r="W12" s="127">
        <v>40040</v>
      </c>
      <c r="X12" s="127">
        <v>40224</v>
      </c>
      <c r="Y12" s="127">
        <v>40954</v>
      </c>
      <c r="Z12" s="127">
        <v>41136</v>
      </c>
      <c r="AA12" s="128">
        <v>1.7500000000000002E-2</v>
      </c>
      <c r="AB12" s="129">
        <v>42715000000</v>
      </c>
      <c r="AC12" s="130" t="str">
        <f ca="1">IF(LEFT(B12,1)="B",_xll.INSTANCE.TBILL(A12,V12,Z12,TODAY()),_xll.INSTANCE.TNOTE(A12,V12,W12,X12,Y12,Z12,AA12,TODAY()))</f>
        <v>US912828LH12#0003</v>
      </c>
    </row>
    <row r="13" spans="1:29" x14ac:dyDescent="0.35">
      <c r="A13" s="131" t="s">
        <v>156</v>
      </c>
      <c r="B13" s="115" t="s">
        <v>989</v>
      </c>
      <c r="C13" s="364"/>
      <c r="D13" s="116"/>
      <c r="E13" s="117"/>
      <c r="F13" s="118"/>
      <c r="G13" s="369"/>
      <c r="H13" s="120">
        <v>3.5584890323804076E-4</v>
      </c>
      <c r="I13" s="121">
        <f ca="1">_xll.INSTRUMENT.PRIX(AC13,D13,H13,cTreasuries)</f>
        <v>99.995333346924539</v>
      </c>
      <c r="J13" s="122">
        <f ca="1">_xll.INSTRUMENT.DV01(A13,,,I13,cContinuous,I13)</f>
        <v>-1.3114141222729395E-3</v>
      </c>
      <c r="K13" s="123">
        <f ca="1">_xll.INSTRUMENT.CONVEXITE(A13,,,I13,cContinuous,I13)</f>
        <v>1.719967750604677E-2</v>
      </c>
      <c r="L13" s="123">
        <f ca="1">_xll.INSTRUMENT.Z.SPREAD(A13,swapCurve,I13,cContinuous,D13)</f>
        <v>-23.618351308343559</v>
      </c>
      <c r="M13" s="123" t="e">
        <f ca="1">_xll.INSTRUMENT.Z.SPREAD(A13,ustCurve,I13,cContinuous,D13)</f>
        <v>#VALUE!</v>
      </c>
      <c r="N13" s="123">
        <f ca="1">_xll.INSTRUMENT.Z.SPREAD(A13,oisCurve,I13,cContinuous,D13)</f>
        <v>-14.229806438618956</v>
      </c>
      <c r="O13" s="124" t="e">
        <f ca="1">1/_xll.CALENDRIER.FRAC.ANNEE(_xll.INSTRUMENT.DATE.REGLEMENT($AC13,,),_xll.INSTRUMENT.DATE.REGLEMENT($AC13,_xll.CALENDRIER.GAP.FINANCE(TODAY(),"1M","AUD","Unadjusted"),),"ACT/365")*(_xll.INSTRUMENT.ROLL.DOWN($A13,oisCurve,_xll.CALENDRIER.GAP.FINANCE(TODAY(),"1M","AUD","Unadjusted",TRUE),$N13)+100*$AA13*_xll.CALENDRIER.FRAC.ANNEE(_xll.INSTRUMENT.DATE.REGLEMENT($AC13,,),_xll.INSTRUMENT.DATE.REGLEMENT($AC13,_xll.CALENDRIER.GAP.FINANCE(TODAY(),"1M","AUD","Unadjusted"),),"ACT/365")-$I13)/$I13</f>
        <v>#NAME?</v>
      </c>
      <c r="P13" s="124" t="e">
        <f ca="1">1/_xll.CALENDRIER.FRAC.ANNEE(_xll.INSTRUMENT.DATE.REGLEMENT($AC13,,),_xll.INSTRUMENT.DATE.REGLEMENT($AC13,_xll.CALENDRIER.GAP.FINANCE(TODAY(),"3M","AUD","Unadjusted"),),"ACT/365")*(_xll.INSTRUMENT.ROLL.DOWN($A13,oisCurve,_xll.CALENDRIER.GAP.FINANCE(TODAY(),"3M","AUD","Unadjusted",TRUE),$N13)+100*$AA13*_xll.CALENDRIER.FRAC.ANNEE(_xll.INSTRUMENT.DATE.REGLEMENT($AC13,,),_xll.INSTRUMENT.DATE.REGLEMENT($AC13,_xll.CALENDRIER.GAP.FINANCE(TODAY(),"3M","AUD","Unadjusted"),),"ACT/365")-$I13)/$I13</f>
        <v>#NAME?</v>
      </c>
      <c r="Q13" s="371" t="e">
        <f ca="1">-(O13-curve!$T$3)/J13</f>
        <v>#NAME?</v>
      </c>
      <c r="R13" s="373">
        <f t="shared" ca="1" si="0"/>
        <v>-13.115367002634024</v>
      </c>
      <c r="S13" s="191" t="str">
        <f>IF(F13&lt;&gt;"","",IF(G13="","",-G13*(SUMIF('raw Data'!$A:$A,"RESINV1USD",'raw Data'!$G:$G)+SUMIF('raw Data'!$A:$A,"RESSWAPORUSD",'raw Data'!$G:$G))/(36500*J13)))</f>
        <v/>
      </c>
      <c r="T13" s="202" t="str">
        <f>IF(G13&lt;&gt;"","",IF(F13="","",-36500*J13*F13/(SUMIF('raw Data'!$A:$A,"RESINV1USD",'raw Data'!$G:$G)+SUMIF('raw Data'!$A:$A,"RESSWAPORUSD",'raw Data'!$G:$G))))</f>
        <v/>
      </c>
      <c r="U13" s="125">
        <f>SUMIF('raw Data'!$E:$E,A13,'raw Data'!$N:$N)</f>
        <v>-268027.65740465251</v>
      </c>
      <c r="V13" s="126">
        <v>40955</v>
      </c>
      <c r="W13" s="127" t="e">
        <v>#VALUE!</v>
      </c>
      <c r="X13" s="127" t="e">
        <v>#VALUE!</v>
      </c>
      <c r="Y13" s="127" t="e">
        <v>#VALUE!</v>
      </c>
      <c r="Z13" s="127">
        <v>41137</v>
      </c>
      <c r="AA13" s="128">
        <v>0</v>
      </c>
      <c r="AB13" s="129">
        <v>61000000000</v>
      </c>
      <c r="AC13" s="130" t="str">
        <f ca="1">IF(LEFT(B13,1)="B",_xll.INSTANCE.TBILL(A13,V13,Z13,TODAY()),_xll.INSTANCE.TNOTE(A13,V13,W13,X13,Y13,Z13,AA13,TODAY()))</f>
        <v>US9127956B27#0003</v>
      </c>
    </row>
    <row r="14" spans="1:29" x14ac:dyDescent="0.35">
      <c r="A14" s="131" t="s">
        <v>158</v>
      </c>
      <c r="B14" s="115" t="s">
        <v>990</v>
      </c>
      <c r="C14" s="364"/>
      <c r="D14" s="116"/>
      <c r="E14" s="117"/>
      <c r="F14" s="118"/>
      <c r="G14" s="369"/>
      <c r="H14" s="120">
        <v>3.0501322936024496E-4</v>
      </c>
      <c r="I14" s="121">
        <f ca="1">_xll.INSTRUMENT.PRIX(AC14,D14,H14,cTreasuries)</f>
        <v>99.995416677942842</v>
      </c>
      <c r="J14" s="122">
        <f ca="1">_xll.INSTRUMENT.DV01(A14,,,I14,cContinuous,I14)</f>
        <v>-1.5026632526881547E-3</v>
      </c>
      <c r="K14" s="123">
        <f ca="1">_xll.INSTRUMENT.CONVEXITE(A14,,,I14,cContinuous,I14)</f>
        <v>2.2582041864492836E-2</v>
      </c>
      <c r="L14" s="123">
        <f ca="1">_xll.INSTRUMENT.Z.SPREAD(A14,swapCurve,I14,cContinuous,D14)</f>
        <v>-26.212659477775293</v>
      </c>
      <c r="M14" s="123" t="e">
        <f ca="1">_xll.INSTRUMENT.Z.SPREAD(A14,ustCurve,I14,cContinuous,D14)</f>
        <v>#VALUE!</v>
      </c>
      <c r="N14" s="123">
        <f ca="1">_xll.INSTRUMENT.Z.SPREAD(A14,oisCurve,I14,cContinuous,D14)</f>
        <v>-14.678407656297733</v>
      </c>
      <c r="O14" s="124" t="e">
        <f ca="1">1/_xll.CALENDRIER.FRAC.ANNEE(_xll.INSTRUMENT.DATE.REGLEMENT($AC14,,),_xll.INSTRUMENT.DATE.REGLEMENT($AC14,_xll.CALENDRIER.GAP.FINANCE(TODAY(),"1M","AUD","Unadjusted"),),"ACT/365")*(_xll.INSTRUMENT.ROLL.DOWN($A14,oisCurve,_xll.CALENDRIER.GAP.FINANCE(TODAY(),"1M","AUD","Unadjusted",TRUE),$N14)+100*$AA14*_xll.CALENDRIER.FRAC.ANNEE(_xll.INSTRUMENT.DATE.REGLEMENT($AC14,,),_xll.INSTRUMENT.DATE.REGLEMENT($AC14,_xll.CALENDRIER.GAP.FINANCE(TODAY(),"1M","AUD","Unadjusted"),),"ACT/365")-$I14)/$I14</f>
        <v>#NAME?</v>
      </c>
      <c r="P14" s="124" t="e">
        <f ca="1">1/_xll.CALENDRIER.FRAC.ANNEE(_xll.INSTRUMENT.DATE.REGLEMENT($AC14,,),_xll.INSTRUMENT.DATE.REGLEMENT($AC14,_xll.CALENDRIER.GAP.FINANCE(TODAY(),"3M","AUD","Unadjusted"),),"ACT/365")*(_xll.INSTRUMENT.ROLL.DOWN($A14,oisCurve,_xll.CALENDRIER.GAP.FINANCE(TODAY(),"3M","AUD","Unadjusted",TRUE),$N14)+100*$AA14*_xll.CALENDRIER.FRAC.ANNEE(_xll.INSTRUMENT.DATE.REGLEMENT($AC14,,),_xll.INSTRUMENT.DATE.REGLEMENT($AC14,_xll.CALENDRIER.GAP.FINANCE(TODAY(),"3M","AUD","Unadjusted"),),"ACT/365")-$I14)/$I14</f>
        <v>#NAME?</v>
      </c>
      <c r="Q14" s="371" t="e">
        <f ca="1">-(O14-curve!$T$3)/J14</f>
        <v>#NAME?</v>
      </c>
      <c r="R14" s="373">
        <f t="shared" ca="1" si="0"/>
        <v>-15.028012313534129</v>
      </c>
      <c r="S14" s="191" t="str">
        <f>IF(F14&lt;&gt;"","",IF(G14="","",-G14*(SUMIF('raw Data'!$A:$A,"RESINV1USD",'raw Data'!$G:$G)+SUMIF('raw Data'!$A:$A,"RESSWAPORUSD",'raw Data'!$G:$G))/(36500*J14)))</f>
        <v/>
      </c>
      <c r="T14" s="202" t="str">
        <f>IF(G14&lt;&gt;"","",IF(F14="","",-36500*J14*F14/(SUMIF('raw Data'!$A:$A,"RESINV1USD",'raw Data'!$G:$G)+SUMIF('raw Data'!$A:$A,"RESSWAPORUSD",'raw Data'!$G:$G))))</f>
        <v/>
      </c>
      <c r="U14" s="125">
        <f>SUMIF('raw Data'!$E:$E,A14,'raw Data'!$N:$N)</f>
        <v>-268027.65740465251</v>
      </c>
      <c r="V14" s="126">
        <v>40780</v>
      </c>
      <c r="W14" s="127" t="e">
        <v>#VALUE!</v>
      </c>
      <c r="X14" s="127" t="e">
        <v>#VALUE!</v>
      </c>
      <c r="Y14" s="127" t="e">
        <v>#VALUE!</v>
      </c>
      <c r="Z14" s="127">
        <v>41144</v>
      </c>
      <c r="AA14" s="128">
        <v>0</v>
      </c>
      <c r="AB14" s="129">
        <v>86001000000</v>
      </c>
      <c r="AC14" s="130" t="str">
        <f ca="1">IF(LEFT(B14,1)="B",_xll.INSTANCE.TBILL(A14,V14,Z14,TODAY()),_xll.INSTANCE.TNOTE(A14,V14,W14,X14,Y14,Z14,AA14,TODAY()))</f>
        <v>US912795Y967#0003</v>
      </c>
    </row>
    <row r="15" spans="1:29" x14ac:dyDescent="0.35">
      <c r="A15" s="131" t="s">
        <v>160</v>
      </c>
      <c r="B15" s="115" t="s">
        <v>991</v>
      </c>
      <c r="C15" s="364"/>
      <c r="D15" s="116"/>
      <c r="E15" s="117"/>
      <c r="F15" s="118"/>
      <c r="G15" s="369"/>
      <c r="H15" s="120">
        <v>3.5488146901775847E-4</v>
      </c>
      <c r="I15" s="121">
        <f ca="1">_xll.INSTRUMENT.PRIX(AC15,D15,H15,cTreasuries)</f>
        <v>99.993988708077737</v>
      </c>
      <c r="J15" s="122">
        <f ca="1">_xll.INSTRUMENT.DV01(A15,,,I15,cContinuous,I15)</f>
        <v>-1.693887096714047E-3</v>
      </c>
      <c r="K15" s="123">
        <f ca="1">_xll.INSTRUMENT.CONVEXITE(A15,,,I15,cContinuous,I15)</f>
        <v>2.8695989727970366E-2</v>
      </c>
      <c r="L15" s="123">
        <f ca="1">_xll.INSTRUMENT.Z.SPREAD(A15,swapCurve,I15,cContinuous,D15)</f>
        <v>-28.28443645439221</v>
      </c>
      <c r="M15" s="123" t="e">
        <f ca="1">_xll.INSTRUMENT.Z.SPREAD(A15,ustCurve,I15,cContinuous,D15)</f>
        <v>#VALUE!</v>
      </c>
      <c r="N15" s="123">
        <f ca="1">_xll.INSTRUMENT.Z.SPREAD(A15,oisCurve,I15,cContinuous,D15)</f>
        <v>-14.130216598613854</v>
      </c>
      <c r="O15" s="124" t="e">
        <f ca="1">1/_xll.CALENDRIER.FRAC.ANNEE(_xll.INSTRUMENT.DATE.REGLEMENT($AC15,,),_xll.INSTRUMENT.DATE.REGLEMENT($AC15,_xll.CALENDRIER.GAP.FINANCE(TODAY(),"1M","AUD","Unadjusted"),),"ACT/365")*(_xll.INSTRUMENT.ROLL.DOWN($A15,oisCurve,_xll.CALENDRIER.GAP.FINANCE(TODAY(),"1M","AUD","Unadjusted",TRUE),$N15)+100*$AA15*_xll.CALENDRIER.FRAC.ANNEE(_xll.INSTRUMENT.DATE.REGLEMENT($AC15,,),_xll.INSTRUMENT.DATE.REGLEMENT($AC15,_xll.CALENDRIER.GAP.FINANCE(TODAY(),"1M","AUD","Unadjusted"),),"ACT/365")-$I15)/$I15</f>
        <v>#NAME?</v>
      </c>
      <c r="P15" s="124" t="e">
        <f ca="1">1/_xll.CALENDRIER.FRAC.ANNEE(_xll.INSTRUMENT.DATE.REGLEMENT($AC15,,),_xll.INSTRUMENT.DATE.REGLEMENT($AC15,_xll.CALENDRIER.GAP.FINANCE(TODAY(),"3M","AUD","Unadjusted"),),"ACT/365")*(_xll.INSTRUMENT.ROLL.DOWN($A15,oisCurve,_xll.CALENDRIER.GAP.FINANCE(TODAY(),"3M","AUD","Unadjusted",TRUE),$N15)+100*$AA15*_xll.CALENDRIER.FRAC.ANNEE(_xll.INSTRUMENT.DATE.REGLEMENT($AC15,,),_xll.INSTRUMENT.DATE.REGLEMENT($AC15,_xll.CALENDRIER.GAP.FINANCE(TODAY(),"3M","AUD","Unadjusted"),),"ACT/365")-$I15)/$I15</f>
        <v>#NAME?</v>
      </c>
      <c r="Q15" s="371" t="e">
        <f ca="1">-(O15-curve!$T$3)/J15</f>
        <v>#NAME?</v>
      </c>
      <c r="R15" s="373">
        <f t="shared" ca="1" si="0"/>
        <v>-16.94091051501449</v>
      </c>
      <c r="S15" s="191" t="str">
        <f>IF(F15&lt;&gt;"","",IF(G15="","",-G15*(SUMIF('raw Data'!$A:$A,"RESINV1USD",'raw Data'!$G:$G)+SUMIF('raw Data'!$A:$A,"RESSWAPORUSD",'raw Data'!$G:$G))/(36500*J15)))</f>
        <v/>
      </c>
      <c r="T15" s="202" t="str">
        <f>IF(G15&lt;&gt;"","",IF(F15="","",-36500*J15*F15/(SUMIF('raw Data'!$A:$A,"RESINV1USD",'raw Data'!$G:$G)+SUMIF('raw Data'!$A:$A,"RESSWAPORUSD",'raw Data'!$G:$G))))</f>
        <v/>
      </c>
      <c r="U15" s="125">
        <f>SUMIF('raw Data'!$E:$E,A15,'raw Data'!$N:$N)</f>
        <v>-268317.7306269519</v>
      </c>
      <c r="V15" s="126">
        <v>40969</v>
      </c>
      <c r="W15" s="127" t="e">
        <v>#VALUE!</v>
      </c>
      <c r="X15" s="127" t="e">
        <v>#VALUE!</v>
      </c>
      <c r="Y15" s="127" t="e">
        <v>#VALUE!</v>
      </c>
      <c r="Z15" s="127">
        <v>41151</v>
      </c>
      <c r="AA15" s="128">
        <v>0</v>
      </c>
      <c r="AB15" s="129">
        <v>61005000000</v>
      </c>
      <c r="AC15" s="130" t="str">
        <f ca="1">IF(LEFT(B15,1)="B",_xll.INSTANCE.TBILL(A15,V15,Z15,TODAY()),_xll.INSTANCE.TNOTE(A15,V15,W15,X15,Y15,Z15,AA15,TODAY()))</f>
        <v>US9127956C00#0003</v>
      </c>
    </row>
    <row r="16" spans="1:29" x14ac:dyDescent="0.35">
      <c r="A16" s="131" t="s">
        <v>172</v>
      </c>
      <c r="B16" s="115" t="s">
        <v>992</v>
      </c>
      <c r="C16" s="364"/>
      <c r="D16" s="116"/>
      <c r="E16" s="117"/>
      <c r="F16" s="118"/>
      <c r="G16" s="369"/>
      <c r="H16" s="120">
        <v>8.7348682649022178E-4</v>
      </c>
      <c r="I16" s="121">
        <f ca="1">_xll.INSTRUMENT.PRIX(AC16,D16,H16,cTreasuries)</f>
        <v>100.04913701369479</v>
      </c>
      <c r="J16" s="122">
        <f ca="1">_xll.INSTRUMENT.DV01(A16,,,I16,cContinuous,I16)</f>
        <v>-1.7242795340601301E-3</v>
      </c>
      <c r="K16" s="123">
        <f ca="1">_xll.INSTRUMENT.CONVEXITE(A16,,,I16,cContinuous,I16)</f>
        <v>2.9629131953775863E-2</v>
      </c>
      <c r="L16" s="123">
        <f ca="1">_xll.INSTRUMENT.Z.SPREAD(A16,swapCurve,I16,cContinuous,D16)</f>
        <v>-23.521243234841744</v>
      </c>
      <c r="M16" s="123" t="e">
        <f ca="1">_xll.INSTRUMENT.Z.SPREAD(A16,ustCurve,I16,cContinuous,D16)</f>
        <v>#VALUE!</v>
      </c>
      <c r="N16" s="123">
        <f ca="1">_xll.INSTRUMENT.Z.SPREAD(A16,oisCurve,I16,cContinuous,D16)</f>
        <v>-8.9550742111814063</v>
      </c>
      <c r="O16" s="124" t="e">
        <f ca="1">1/_xll.CALENDRIER.FRAC.ANNEE(_xll.INSTRUMENT.DATE.REGLEMENT($AC16,,),_xll.INSTRUMENT.DATE.REGLEMENT($AC16,_xll.CALENDRIER.GAP.FINANCE(TODAY(),"1M","AUD","Unadjusted"),),"ACT/365")*(_xll.INSTRUMENT.ROLL.DOWN($A16,oisCurve,_xll.CALENDRIER.GAP.FINANCE(TODAY(),"1M","AUD","Unadjusted",TRUE),$N16)+100*$AA16*_xll.CALENDRIER.FRAC.ANNEE(_xll.INSTRUMENT.DATE.REGLEMENT($AC16,,),_xll.INSTRUMENT.DATE.REGLEMENT($AC16,_xll.CALENDRIER.GAP.FINANCE(TODAY(),"1M","AUD","Unadjusted"),),"ACT/365")-$I16)/$I16</f>
        <v>#NAME?</v>
      </c>
      <c r="P16" s="124" t="e">
        <f ca="1">1/_xll.CALENDRIER.FRAC.ANNEE(_xll.INSTRUMENT.DATE.REGLEMENT($AC16,,),_xll.INSTRUMENT.DATE.REGLEMENT($AC16,_xll.CALENDRIER.GAP.FINANCE(TODAY(),"3M","AUD","Unadjusted"),),"ACT/365")*(_xll.INSTRUMENT.ROLL.DOWN($A16,oisCurve,_xll.CALENDRIER.GAP.FINANCE(TODAY(),"3M","AUD","Unadjusted",TRUE),$N16)+100*$AA16*_xll.CALENDRIER.FRAC.ANNEE(_xll.INSTRUMENT.DATE.REGLEMENT($AC16,,),_xll.INSTRUMENT.DATE.REGLEMENT($AC16,_xll.CALENDRIER.GAP.FINANCE(TODAY(),"3M","AUD","Unadjusted"),),"ACT/365")-$I16)/$I16</f>
        <v>#NAME?</v>
      </c>
      <c r="Q16" s="371" t="e">
        <f ca="1">-(O16-curve!$T$3)/J16</f>
        <v>#NAME?</v>
      </c>
      <c r="R16" s="373">
        <f t="shared" ca="1" si="0"/>
        <v>-17.183485257757876</v>
      </c>
      <c r="S16" s="191" t="str">
        <f>IF(F16&lt;&gt;"","",IF(G16="","",-G16*(SUMIF('raw Data'!$A:$A,"RESINV1USD",'raw Data'!$G:$G)+SUMIF('raw Data'!$A:$A,"RESSWAPORUSD",'raw Data'!$G:$G))/(36500*J16)))</f>
        <v/>
      </c>
      <c r="T16" s="202" t="str">
        <f>IF(G16&lt;&gt;"","",IF(F16="","",-36500*J16*F16/(SUMIF('raw Data'!$A:$A,"RESINV1USD",'raw Data'!$G:$G)+SUMIF('raw Data'!$A:$A,"RESSWAPORUSD",'raw Data'!$G:$G))))</f>
        <v/>
      </c>
      <c r="U16" s="125">
        <f>SUMIF('raw Data'!$E:$E,A16,'raw Data'!$N:$N)</f>
        <v>-431628.95478151832</v>
      </c>
      <c r="V16" s="126">
        <v>40421</v>
      </c>
      <c r="W16" s="127">
        <v>40421</v>
      </c>
      <c r="X16" s="127">
        <v>40602</v>
      </c>
      <c r="Y16" s="127">
        <v>40968</v>
      </c>
      <c r="Z16" s="127">
        <v>41152</v>
      </c>
      <c r="AA16" s="128">
        <v>3.7499999999999999E-3</v>
      </c>
      <c r="AB16" s="129">
        <v>37906000000</v>
      </c>
      <c r="AC16" s="130" t="str">
        <f ca="1">IF(LEFT(B16,1)="B",_xll.INSTANCE.TBILL(A16,V16,Z16,TODAY()),_xll.INSTANCE.TNOTE(A16,V16,W16,X16,Y16,Z16,AA16,TODAY()))</f>
        <v>US912828PH75#0003</v>
      </c>
    </row>
    <row r="17" spans="1:29" x14ac:dyDescent="0.35">
      <c r="A17" s="131" t="s">
        <v>406</v>
      </c>
      <c r="B17" s="115" t="s">
        <v>993</v>
      </c>
      <c r="C17" s="364"/>
      <c r="D17" s="116"/>
      <c r="E17" s="117"/>
      <c r="F17" s="118"/>
      <c r="G17" s="369"/>
      <c r="H17" s="120">
        <v>5.1035068858560349E-4</v>
      </c>
      <c r="I17" s="121">
        <f ca="1">_xll.INSTRUMENT.PRIX(AC17,D17,H17,cTreasuries)</f>
        <v>100.6972169428588</v>
      </c>
      <c r="J17" s="122">
        <f ca="1">_xll.INSTRUMENT.DV01(A17,,,I17,cContinuous,I17)</f>
        <v>-1.7566590562232791E-3</v>
      </c>
      <c r="K17" s="123">
        <f ca="1">_xll.INSTRUMENT.CONVEXITE(A17,,,I17,cContinuous,I17)</f>
        <v>2.962913195377586E-2</v>
      </c>
      <c r="L17" s="123">
        <f ca="1">_xll.INSTRUMENT.Z.SPREAD(A17,swapCurve,I17,cContinuous,D17)</f>
        <v>-27.142251522435949</v>
      </c>
      <c r="M17" s="123" t="e">
        <f ca="1">_xll.INSTRUMENT.Z.SPREAD(A17,ustCurve,I17,cContinuous,D17)</f>
        <v>#VALUE!</v>
      </c>
      <c r="N17" s="123">
        <f ca="1">_xll.INSTRUMENT.Z.SPREAD(A17,oisCurve,I17,cContinuous,D17)</f>
        <v>-12.576082497836785</v>
      </c>
      <c r="O17" s="124" t="e">
        <f ca="1">1/_xll.CALENDRIER.FRAC.ANNEE(_xll.INSTRUMENT.DATE.REGLEMENT($AC17,,),_xll.INSTRUMENT.DATE.REGLEMENT($AC17,_xll.CALENDRIER.GAP.FINANCE(TODAY(),"1M","AUD","Unadjusted"),),"ACT/365")*(_xll.INSTRUMENT.ROLL.DOWN($A17,oisCurve,_xll.CALENDRIER.GAP.FINANCE(TODAY(),"1M","AUD","Unadjusted",TRUE),$N17)+100*$AA17*_xll.CALENDRIER.FRAC.ANNEE(_xll.INSTRUMENT.DATE.REGLEMENT($AC17,,),_xll.INSTRUMENT.DATE.REGLEMENT($AC17,_xll.CALENDRIER.GAP.FINANCE(TODAY(),"1M","AUD","Unadjusted"),),"ACT/365")-$I17)/$I17</f>
        <v>#NAME?</v>
      </c>
      <c r="P17" s="124" t="e">
        <f ca="1">1/_xll.CALENDRIER.FRAC.ANNEE(_xll.INSTRUMENT.DATE.REGLEMENT($AC17,,),_xll.INSTRUMENT.DATE.REGLEMENT($AC17,_xll.CALENDRIER.GAP.FINANCE(TODAY(),"3M","AUD","Unadjusted"),),"ACT/365")*(_xll.INSTRUMENT.ROLL.DOWN($A17,oisCurve,_xll.CALENDRIER.GAP.FINANCE(TODAY(),"3M","AUD","Unadjusted",TRUE),$N17)+100*$AA17*_xll.CALENDRIER.FRAC.ANNEE(_xll.INSTRUMENT.DATE.REGLEMENT($AC17,,),_xll.INSTRUMENT.DATE.REGLEMENT($AC17,_xll.CALENDRIER.GAP.FINANCE(TODAY(),"3M","AUD","Unadjusted"),),"ACT/365")-$I17)/$I17</f>
        <v>#NAME?</v>
      </c>
      <c r="Q17" s="371" t="e">
        <f ca="1">-(O17-curve!$T$3)/J17</f>
        <v>#NAME?</v>
      </c>
      <c r="R17" s="373">
        <f t="shared" ca="1" si="0"/>
        <v>-16.86675160373856</v>
      </c>
      <c r="S17" s="191" t="str">
        <f>IF(F17&lt;&gt;"","",IF(G17="","",-G17*(SUMIF('raw Data'!$A:$A,"RESINV1USD",'raw Data'!$G:$G)+SUMIF('raw Data'!$A:$A,"RESSWAPORUSD",'raw Data'!$G:$G))/(36500*J17)))</f>
        <v/>
      </c>
      <c r="T17" s="202" t="str">
        <f>IF(G17&lt;&gt;"","",IF(F17="","",-36500*J17*F17/(SUMIF('raw Data'!$A:$A,"RESINV1USD",'raw Data'!$G:$G)+SUMIF('raw Data'!$A:$A,"RESSWAPORUSD",'raw Data'!$G:$G))))</f>
        <v/>
      </c>
      <c r="U17" s="125">
        <f>SUMIF('raw Data'!$E:$E,A17,'raw Data'!$N:$N)</f>
        <v>0</v>
      </c>
      <c r="V17" s="126">
        <v>39325</v>
      </c>
      <c r="W17" s="127">
        <v>39325</v>
      </c>
      <c r="X17" s="127">
        <v>39507</v>
      </c>
      <c r="Y17" s="127">
        <v>40968</v>
      </c>
      <c r="Z17" s="127">
        <v>41152</v>
      </c>
      <c r="AA17" s="128">
        <v>4.1250000000000002E-2</v>
      </c>
      <c r="AB17" s="129">
        <v>16091000000</v>
      </c>
      <c r="AC17" s="130" t="str">
        <f ca="1">IF(LEFT(B17,1)="B",_xll.INSTANCE.TBILL(A17,V17,Z17,TODAY()),_xll.INSTANCE.TNOTE(A17,V17,W17,X17,Y17,Z17,AA17,TODAY()))</f>
        <v>US912828HC70#0003</v>
      </c>
    </row>
    <row r="18" spans="1:29" x14ac:dyDescent="0.35">
      <c r="A18" s="131" t="s">
        <v>162</v>
      </c>
      <c r="B18" s="115" t="s">
        <v>994</v>
      </c>
      <c r="C18" s="364"/>
      <c r="D18" s="116"/>
      <c r="E18" s="117"/>
      <c r="F18" s="118"/>
      <c r="G18" s="369"/>
      <c r="H18" s="120">
        <v>6.5910629710182124E-4</v>
      </c>
      <c r="I18" s="121">
        <f ca="1">_xll.INSTRUMENT.PRIX(AC18,D18,H18,cTreasuries)</f>
        <v>99.987575769353327</v>
      </c>
      <c r="J18" s="122">
        <f ca="1">_xll.INSTRUMENT.DV01(A18,,,I18,cContinuous,I18)</f>
        <v>-1.8850114962605741E-3</v>
      </c>
      <c r="K18" s="123">
        <f ca="1">_xll.INSTRUMENT.CONVEXITE(A18,,,I18,cContinuous,I18)</f>
        <v>3.5541521096479435E-2</v>
      </c>
      <c r="L18" s="123">
        <f ca="1">_xll.INSTRUMENT.Z.SPREAD(A18,swapCurve,I18,cContinuous,D18)</f>
        <v>-28.327266416840377</v>
      </c>
      <c r="M18" s="123" t="e">
        <f ca="1">_xll.INSTRUMENT.Z.SPREAD(A18,ustCurve,I18,cContinuous,D18)</f>
        <v>#VALUE!</v>
      </c>
      <c r="N18" s="123">
        <f ca="1">_xll.INSTRUMENT.Z.SPREAD(A18,oisCurve,I18,cContinuous,D18)</f>
        <v>-11.085810545511988</v>
      </c>
      <c r="O18" s="124" t="e">
        <f ca="1">1/_xll.CALENDRIER.FRAC.ANNEE(_xll.INSTRUMENT.DATE.REGLEMENT($AC18,,),_xll.INSTRUMENT.DATE.REGLEMENT($AC18,_xll.CALENDRIER.GAP.FINANCE(TODAY(),"1M","AUD","Unadjusted"),),"ACT/365")*(_xll.INSTRUMENT.ROLL.DOWN($A18,oisCurve,_xll.CALENDRIER.GAP.FINANCE(TODAY(),"1M","AUD","Unadjusted",TRUE),$N18)+100*$AA18*_xll.CALENDRIER.FRAC.ANNEE(_xll.INSTRUMENT.DATE.REGLEMENT($AC18,,),_xll.INSTRUMENT.DATE.REGLEMENT($AC18,_xll.CALENDRIER.GAP.FINANCE(TODAY(),"1M","AUD","Unadjusted"),),"ACT/365")-$I18)/$I18</f>
        <v>#NAME?</v>
      </c>
      <c r="P18" s="124" t="e">
        <f ca="1">1/_xll.CALENDRIER.FRAC.ANNEE(_xll.INSTRUMENT.DATE.REGLEMENT($AC18,,),_xll.INSTRUMENT.DATE.REGLEMENT($AC18,_xll.CALENDRIER.GAP.FINANCE(TODAY(),"3M","AUD","Unadjusted"),),"ACT/365")*(_xll.INSTRUMENT.ROLL.DOWN($A18,oisCurve,_xll.CALENDRIER.GAP.FINANCE(TODAY(),"3M","AUD","Unadjusted",TRUE),$N18)+100*$AA18*_xll.CALENDRIER.FRAC.ANNEE(_xll.INSTRUMENT.DATE.REGLEMENT($AC18,,),_xll.INSTRUMENT.DATE.REGLEMENT($AC18,_xll.CALENDRIER.GAP.FINANCE(TODAY(),"3M","AUD","Unadjusted"),),"ACT/365")-$I18)/$I18</f>
        <v>#NAME?</v>
      </c>
      <c r="Q18" s="371" t="e">
        <f ca="1">-(O18-curve!$T$3)/J18</f>
        <v>#NAME?</v>
      </c>
      <c r="R18" s="373">
        <f t="shared" ca="1" si="0"/>
        <v>-18.85480336166945</v>
      </c>
      <c r="S18" s="191" t="str">
        <f>IF(F18&lt;&gt;"","",IF(G18="","",-G18*(SUMIF('raw Data'!$A:$A,"RESINV1USD",'raw Data'!$G:$G)+SUMIF('raw Data'!$A:$A,"RESSWAPORUSD",'raw Data'!$G:$G))/(36500*J18)))</f>
        <v/>
      </c>
      <c r="T18" s="202" t="str">
        <f>IF(G18&lt;&gt;"","",IF(F18="","",-36500*J18*F18/(SUMIF('raw Data'!$A:$A,"RESINV1USD",'raw Data'!$G:$G)+SUMIF('raw Data'!$A:$A,"RESSWAPORUSD",'raw Data'!$G:$G))))</f>
        <v/>
      </c>
      <c r="U18" s="125">
        <f>SUMIF('raw Data'!$E:$E,A18,'raw Data'!$N:$N)</f>
        <v>-268201.70133803214</v>
      </c>
      <c r="V18" s="126">
        <v>40976</v>
      </c>
      <c r="W18" s="127" t="e">
        <v>#VALUE!</v>
      </c>
      <c r="X18" s="127" t="e">
        <v>#VALUE!</v>
      </c>
      <c r="Y18" s="127" t="e">
        <v>#VALUE!</v>
      </c>
      <c r="Z18" s="127">
        <v>41158</v>
      </c>
      <c r="AA18" s="128">
        <v>0</v>
      </c>
      <c r="AB18" s="129">
        <v>61002000000</v>
      </c>
      <c r="AC18" s="130" t="str">
        <f ca="1">IF(LEFT(B18,1)="B",_xll.INSTANCE.TBILL(A18,V18,Z18,TODAY()),_xll.INSTANCE.TNOTE(A18,V18,W18,X18,Y18,Z18,AA18,TODAY()))</f>
        <v>US9127956G14#0003</v>
      </c>
    </row>
    <row r="19" spans="1:29" x14ac:dyDescent="0.35">
      <c r="A19" s="131" t="s">
        <v>164</v>
      </c>
      <c r="B19" s="115" t="s">
        <v>995</v>
      </c>
      <c r="C19" s="364"/>
      <c r="D19" s="116"/>
      <c r="E19" s="117"/>
      <c r="F19" s="118"/>
      <c r="G19" s="369"/>
      <c r="H19" s="120">
        <v>7.6053221005736307E-4</v>
      </c>
      <c r="I19" s="121">
        <f ca="1">_xll.INSTRUMENT.PRIX(AC19,D19,H19,cTreasuries)</f>
        <v>99.984210021506527</v>
      </c>
      <c r="J19" s="122">
        <f ca="1">_xll.INSTRUMENT.DV01(A19,,,I19,cContinuous,I19)</f>
        <v>-2.0761746386901538E-3</v>
      </c>
      <c r="K19" s="123">
        <f ca="1">_xll.INSTRUMENT.CONVEXITE(A19,,,I19,cContinuous,I19)</f>
        <v>4.3118635970020011E-2</v>
      </c>
      <c r="L19" s="123">
        <f ca="1">_xll.INSTRUMENT.Z.SPREAD(A19,swapCurve,I19,cContinuous,D19)</f>
        <v>-30.70593561071934</v>
      </c>
      <c r="M19" s="123" t="e">
        <f ca="1">_xll.INSTRUMENT.Z.SPREAD(A19,ustCurve,I19,cContinuous,D19)</f>
        <v>#VALUE!</v>
      </c>
      <c r="N19" s="123">
        <f ca="1">_xll.INSTRUMENT.Z.SPREAD(A19,oisCurve,I19,cContinuous,D19)</f>
        <v>-10.091675632432459</v>
      </c>
      <c r="O19" s="124" t="e">
        <f ca="1">1/_xll.CALENDRIER.FRAC.ANNEE(_xll.INSTRUMENT.DATE.REGLEMENT($AC19,,),_xll.INSTRUMENT.DATE.REGLEMENT($AC19,_xll.CALENDRIER.GAP.FINANCE(TODAY(),"1M","AUD","Unadjusted"),),"ACT/365")*(_xll.INSTRUMENT.ROLL.DOWN($A19,oisCurve,_xll.CALENDRIER.GAP.FINANCE(TODAY(),"1M","AUD","Unadjusted",TRUE),$N19)+100*$AA19*_xll.CALENDRIER.FRAC.ANNEE(_xll.INSTRUMENT.DATE.REGLEMENT($AC19,,),_xll.INSTRUMENT.DATE.REGLEMENT($AC19,_xll.CALENDRIER.GAP.FINANCE(TODAY(),"1M","AUD","Unadjusted"),),"ACT/365")-$I19)/$I19</f>
        <v>#NAME?</v>
      </c>
      <c r="P19" s="124" t="e">
        <f ca="1">1/_xll.CALENDRIER.FRAC.ANNEE(_xll.INSTRUMENT.DATE.REGLEMENT($AC19,,),_xll.INSTRUMENT.DATE.REGLEMENT($AC19,_xll.CALENDRIER.GAP.FINANCE(TODAY(),"3M","AUD","Unadjusted"),),"ACT/365")*(_xll.INSTRUMENT.ROLL.DOWN($A19,oisCurve,_xll.CALENDRIER.GAP.FINANCE(TODAY(),"3M","AUD","Unadjusted",TRUE),$N19)+100*$AA19*_xll.CALENDRIER.FRAC.ANNEE(_xll.INSTRUMENT.DATE.REGLEMENT($AC19,,),_xll.INSTRUMENT.DATE.REGLEMENT($AC19,_xll.CALENDRIER.GAP.FINANCE(TODAY(),"3M","AUD","Unadjusted"),),"ACT/365")-$I19)/$I19</f>
        <v>#NAME?</v>
      </c>
      <c r="Q19" s="371" t="e">
        <f ca="1">-(O19-curve!$T$3)/J19</f>
        <v>#NAME?</v>
      </c>
      <c r="R19" s="373">
        <f t="shared" ca="1" si="0"/>
        <v>-20.768308776386604</v>
      </c>
      <c r="S19" s="191" t="str">
        <f>IF(F19&lt;&gt;"","",IF(G19="","",-G19*(SUMIF('raw Data'!$A:$A,"RESINV1USD",'raw Data'!$G:$G)+SUMIF('raw Data'!$A:$A,"RESSWAPORUSD",'raw Data'!$G:$G))/(36500*J19)))</f>
        <v/>
      </c>
      <c r="T19" s="202" t="str">
        <f>IF(G19&lt;&gt;"","",IF(F19="","",-36500*J19*F19/(SUMIF('raw Data'!$A:$A,"RESINV1USD",'raw Data'!$G:$G)+SUMIF('raw Data'!$A:$A,"RESSWAPORUSD",'raw Data'!$G:$G))))</f>
        <v/>
      </c>
      <c r="U19" s="125">
        <f>SUMIF('raw Data'!$E:$E,A19,'raw Data'!$N:$N)</f>
        <v>-268027.65740465251</v>
      </c>
      <c r="V19" s="126">
        <v>40983</v>
      </c>
      <c r="W19" s="127" t="e">
        <v>#VALUE!</v>
      </c>
      <c r="X19" s="127" t="e">
        <v>#VALUE!</v>
      </c>
      <c r="Y19" s="127" t="e">
        <v>#VALUE!</v>
      </c>
      <c r="Z19" s="127">
        <v>41165</v>
      </c>
      <c r="AA19" s="128">
        <v>0</v>
      </c>
      <c r="AB19" s="129">
        <v>61001000000</v>
      </c>
      <c r="AC19" s="130" t="str">
        <f ca="1">IF(LEFT(B19,1)="B",_xll.INSTANCE.TBILL(A19,V19,Z19,TODAY()),_xll.INSTANCE.TNOTE(A19,V19,W19,X19,Y19,Z19,AA19,TODAY()))</f>
        <v>US9127956H96#0004</v>
      </c>
    </row>
    <row r="20" spans="1:29" x14ac:dyDescent="0.35">
      <c r="A20" s="131" t="s">
        <v>407</v>
      </c>
      <c r="B20" s="115" t="s">
        <v>996</v>
      </c>
      <c r="C20" s="364"/>
      <c r="D20" s="116"/>
      <c r="E20" s="117"/>
      <c r="F20" s="118"/>
      <c r="G20" s="369"/>
      <c r="H20" s="120">
        <v>9.0229707622872487E-4</v>
      </c>
      <c r="I20" s="121">
        <f ca="1">_xll.INSTRUMENT.PRIX(AC20,D20,H20,cTreasuries)</f>
        <v>100.27208245648389</v>
      </c>
      <c r="J20" s="122">
        <f ca="1">_xll.INSTRUMENT.DV01(A20,,,I20,cContinuous,I20)</f>
        <v>-2.1453864110050273E-3</v>
      </c>
      <c r="K20" s="123">
        <f ca="1">_xll.INSTRUMENT.CONVEXITE(A20,,,I20,cContinuous,I20)</f>
        <v>4.7776881961241011E-2</v>
      </c>
      <c r="L20" s="123">
        <f ca="1">_xll.INSTRUMENT.Z.SPREAD(A20,swapCurve,I20,cContinuous,D20)</f>
        <v>-31.410982743579943</v>
      </c>
      <c r="M20" s="123" t="e">
        <f ca="1">_xll.INSTRUMENT.Z.SPREAD(A20,ustCurve,I20,cContinuous,D20)</f>
        <v>#VALUE!</v>
      </c>
      <c r="N20" s="123">
        <f ca="1">_xll.INSTRUMENT.Z.SPREAD(A20,oisCurve,I20,cContinuous,D20)</f>
        <v>-8.9210677389035542</v>
      </c>
      <c r="O20" s="124" t="e">
        <f ca="1">1/_xll.CALENDRIER.FRAC.ANNEE(_xll.INSTRUMENT.DATE.REGLEMENT($AC20,,),_xll.INSTRUMENT.DATE.REGLEMENT($AC20,_xll.CALENDRIER.GAP.FINANCE(TODAY(),"1M","AUD","Unadjusted"),),"ACT/365")*(_xll.INSTRUMENT.ROLL.DOWN($A20,oisCurve,_xll.CALENDRIER.GAP.FINANCE(TODAY(),"1M","AUD","Unadjusted",TRUE),$N20)+100*$AA20*_xll.CALENDRIER.FRAC.ANNEE(_xll.INSTRUMENT.DATE.REGLEMENT($AC20,,),_xll.INSTRUMENT.DATE.REGLEMENT($AC20,_xll.CALENDRIER.GAP.FINANCE(TODAY(),"1M","AUD","Unadjusted"),),"ACT/365")-$I20)/$I20</f>
        <v>#NAME?</v>
      </c>
      <c r="P20" s="124" t="e">
        <f ca="1">1/_xll.CALENDRIER.FRAC.ANNEE(_xll.INSTRUMENT.DATE.REGLEMENT($AC20,,),_xll.INSTRUMENT.DATE.REGLEMENT($AC20,_xll.CALENDRIER.GAP.FINANCE(TODAY(),"3M","AUD","Unadjusted"),),"ACT/365")*(_xll.INSTRUMENT.ROLL.DOWN($A20,oisCurve,_xll.CALENDRIER.GAP.FINANCE(TODAY(),"3M","AUD","Unadjusted",TRUE),$N20)+100*$AA20*_xll.CALENDRIER.FRAC.ANNEE(_xll.INSTRUMENT.DATE.REGLEMENT($AC20,,),_xll.INSTRUMENT.DATE.REGLEMENT($AC20,_xll.CALENDRIER.GAP.FINANCE(TODAY(),"3M","AUD","Unadjusted"),),"ACT/365")-$I20)/$I20</f>
        <v>#NAME?</v>
      </c>
      <c r="Q20" s="371" t="e">
        <f ca="1">-(O20-curve!$T$3)/J20</f>
        <v>#NAME?</v>
      </c>
      <c r="R20" s="373">
        <f t="shared" ca="1" si="0"/>
        <v>-22.269592888331694</v>
      </c>
      <c r="S20" s="191" t="str">
        <f>IF(F20&lt;&gt;"","",IF(G20="","",-G20*(SUMIF('raw Data'!$A:$A,"RESINV1USD",'raw Data'!$G:$G)+SUMIF('raw Data'!$A:$A,"RESSWAPORUSD",'raw Data'!$G:$G))/(36500*J20)))</f>
        <v/>
      </c>
      <c r="T20" s="202" t="str">
        <f>IF(G20&lt;&gt;"","",IF(F20="","",-36500*J20*F20/(SUMIF('raw Data'!$A:$A,"RESINV1USD",'raw Data'!$G:$G)+SUMIF('raw Data'!$A:$A,"RESSWAPORUSD",'raw Data'!$G:$G))))</f>
        <v/>
      </c>
      <c r="U20" s="125">
        <f>SUMIF('raw Data'!$E:$E,A20,'raw Data'!$N:$N)</f>
        <v>0</v>
      </c>
      <c r="V20" s="126">
        <v>40071</v>
      </c>
      <c r="W20" s="127">
        <v>40071</v>
      </c>
      <c r="X20" s="127">
        <v>40252</v>
      </c>
      <c r="Y20" s="127">
        <v>40983</v>
      </c>
      <c r="Z20" s="127">
        <v>41167</v>
      </c>
      <c r="AA20" s="128">
        <v>1.375E-2</v>
      </c>
      <c r="AB20" s="129">
        <v>38082000000</v>
      </c>
      <c r="AC20" s="130" t="str">
        <f ca="1">IF(LEFT(B20,1)="B",_xll.INSTANCE.TBILL(A20,V20,Z20,TODAY()),_xll.INSTANCE.TNOTE(A20,V20,W20,X20,Y20,Z20,AA20,TODAY()))</f>
        <v>US912828LM07#0003</v>
      </c>
    </row>
    <row r="21" spans="1:29" x14ac:dyDescent="0.35">
      <c r="A21" s="131" t="s">
        <v>166</v>
      </c>
      <c r="B21" s="115" t="s">
        <v>997</v>
      </c>
      <c r="C21" s="364"/>
      <c r="D21" s="116"/>
      <c r="E21" s="117"/>
      <c r="F21" s="118"/>
      <c r="G21" s="369"/>
      <c r="H21" s="120">
        <v>7.1177731485289541E-4</v>
      </c>
      <c r="I21" s="121">
        <f ca="1">_xll.INSTRUMENT.PRIX(AC21,D21,H21,cTreasuries)</f>
        <v>99.983861206903129</v>
      </c>
      <c r="J21" s="122">
        <f ca="1">_xll.INSTRUMENT.DV01(A21,,,I21,cContinuous,I21)</f>
        <v>-2.2673933169666863E-3</v>
      </c>
      <c r="K21" s="123">
        <f ca="1">_xll.INSTRUMENT.CONVEXITE(A21,,,I21,cContinuous,I21)</f>
        <v>5.1427334348592091E-2</v>
      </c>
      <c r="L21" s="123">
        <f ca="1">_xll.INSTRUMENT.Z.SPREAD(A21,swapCurve,I21,cContinuous,D21)</f>
        <v>-34.42832669960714</v>
      </c>
      <c r="M21" s="123" t="e">
        <f ca="1">_xll.INSTRUMENT.Z.SPREAD(A21,ustCurve,I21,cContinuous,D21)</f>
        <v>#VALUE!</v>
      </c>
      <c r="N21" s="123">
        <f ca="1">_xll.INSTRUMENT.Z.SPREAD(A21,oisCurve,I21,cContinuous,D21)</f>
        <v>-10.611953460413719</v>
      </c>
      <c r="O21" s="124" t="e">
        <f ca="1">1/_xll.CALENDRIER.FRAC.ANNEE(_xll.INSTRUMENT.DATE.REGLEMENT($AC21,,),_xll.INSTRUMENT.DATE.REGLEMENT($AC21,_xll.CALENDRIER.GAP.FINANCE(TODAY(),"1M","AUD","Unadjusted"),),"ACT/365")*(_xll.INSTRUMENT.ROLL.DOWN($A21,oisCurve,_xll.CALENDRIER.GAP.FINANCE(TODAY(),"1M","AUD","Unadjusted",TRUE),$N21)+100*$AA21*_xll.CALENDRIER.FRAC.ANNEE(_xll.INSTRUMENT.DATE.REGLEMENT($AC21,,),_xll.INSTRUMENT.DATE.REGLEMENT($AC21,_xll.CALENDRIER.GAP.FINANCE(TODAY(),"1M","AUD","Unadjusted"),),"ACT/365")-$I21)/$I21</f>
        <v>#NAME?</v>
      </c>
      <c r="P21" s="124" t="e">
        <f ca="1">1/_xll.CALENDRIER.FRAC.ANNEE(_xll.INSTRUMENT.DATE.REGLEMENT($AC21,,),_xll.INSTRUMENT.DATE.REGLEMENT($AC21,_xll.CALENDRIER.GAP.FINANCE(TODAY(),"3M","AUD","Unadjusted"),),"ACT/365")*(_xll.INSTRUMENT.ROLL.DOWN($A21,oisCurve,_xll.CALENDRIER.GAP.FINANCE(TODAY(),"3M","AUD","Unadjusted",TRUE),$N21)+100*$AA21*_xll.CALENDRIER.FRAC.ANNEE(_xll.INSTRUMENT.DATE.REGLEMENT($AC21,,),_xll.INSTRUMENT.DATE.REGLEMENT($AC21,_xll.CALENDRIER.GAP.FINANCE(TODAY(),"3M","AUD","Unadjusted"),),"ACT/365")-$I21)/$I21</f>
        <v>#NAME?</v>
      </c>
      <c r="Q21" s="371" t="e">
        <f ca="1">-(O21-curve!$T$3)/J21</f>
        <v>#NAME?</v>
      </c>
      <c r="R21" s="373">
        <f t="shared" ca="1" si="0"/>
        <v>-22.681258678750744</v>
      </c>
      <c r="S21" s="191" t="str">
        <f>IF(F21&lt;&gt;"","",IF(G21="","",-G21*(SUMIF('raw Data'!$A:$A,"RESINV1USD",'raw Data'!$G:$G)+SUMIF('raw Data'!$A:$A,"RESSWAPORUSD",'raw Data'!$G:$G))/(36500*J21)))</f>
        <v/>
      </c>
      <c r="T21" s="202" t="str">
        <f>IF(G21&lt;&gt;"","",IF(F21="","",-36500*J21*F21/(SUMIF('raw Data'!$A:$A,"RESINV1USD",'raw Data'!$G:$G)+SUMIF('raw Data'!$A:$A,"RESSWAPORUSD",'raw Data'!$G:$G))))</f>
        <v/>
      </c>
      <c r="U21" s="125">
        <f>SUMIF('raw Data'!$E:$E,A21,'raw Data'!$N:$N)</f>
        <v>-268027.65740465251</v>
      </c>
      <c r="V21" s="126">
        <v>40808</v>
      </c>
      <c r="W21" s="127" t="e">
        <v>#VALUE!</v>
      </c>
      <c r="X21" s="127" t="e">
        <v>#VALUE!</v>
      </c>
      <c r="Y21" s="127" t="e">
        <v>#VALUE!</v>
      </c>
      <c r="Z21" s="127">
        <v>41172</v>
      </c>
      <c r="AA21" s="128">
        <v>0</v>
      </c>
      <c r="AB21" s="129">
        <v>86011000000</v>
      </c>
      <c r="AC21" s="130" t="str">
        <f ca="1">IF(LEFT(B21,1)="B",_xll.INSTANCE.TBILL(A21,V21,Z21,TODAY()),_xll.INSTANCE.TNOTE(A21,V21,W21,X21,Y21,Z21,AA21,TODAY()))</f>
        <v>US9127955C19#0004</v>
      </c>
    </row>
    <row r="22" spans="1:29" x14ac:dyDescent="0.35">
      <c r="A22" s="131" t="s">
        <v>168</v>
      </c>
      <c r="B22" s="115" t="s">
        <v>998</v>
      </c>
      <c r="C22" s="364"/>
      <c r="D22" s="116"/>
      <c r="E22" s="117"/>
      <c r="F22" s="118"/>
      <c r="G22" s="369"/>
      <c r="H22" s="120">
        <v>8.1126778697313212E-4</v>
      </c>
      <c r="I22" s="121">
        <f ca="1">_xll.INSTRUMENT.PRIX(AC22,D22,H22,cTreasuries)</f>
        <v>99.980054771038809</v>
      </c>
      <c r="J22" s="122">
        <f ca="1">_xll.INSTRUMENT.DV01(A22,,,I22,cContinuous,I22)</f>
        <v>-2.4585256327738659E-3</v>
      </c>
      <c r="K22" s="123">
        <f ca="1">_xll.INSTRUMENT.CONVEXITE(A22,,,I22,cContinuous,I22)</f>
        <v>6.0467616232195681E-2</v>
      </c>
      <c r="L22" s="123">
        <f ca="1">_xll.INSTRUMENT.Z.SPREAD(A22,swapCurve,I22,cContinuous,D22)</f>
        <v>-36.164954776375581</v>
      </c>
      <c r="M22" s="123" t="e">
        <f ca="1">_xll.INSTRUMENT.Z.SPREAD(A22,ustCurve,I22,cContinuous,D22)</f>
        <v>#VALUE!</v>
      </c>
      <c r="N22" s="123">
        <f ca="1">_xll.INSTRUMENT.Z.SPREAD(A22,oisCurve,I22,cContinuous,D22)</f>
        <v>-9.6632879058831005</v>
      </c>
      <c r="O22" s="124" t="e">
        <f ca="1">1/_xll.CALENDRIER.FRAC.ANNEE(_xll.INSTRUMENT.DATE.REGLEMENT($AC22,,),_xll.INSTRUMENT.DATE.REGLEMENT($AC22,_xll.CALENDRIER.GAP.FINANCE(TODAY(),"1M","AUD","Unadjusted"),),"ACT/365")*(_xll.INSTRUMENT.ROLL.DOWN($A22,oisCurve,_xll.CALENDRIER.GAP.FINANCE(TODAY(),"1M","AUD","Unadjusted",TRUE),$N22)+100*$AA22*_xll.CALENDRIER.FRAC.ANNEE(_xll.INSTRUMENT.DATE.REGLEMENT($AC22,,),_xll.INSTRUMENT.DATE.REGLEMENT($AC22,_xll.CALENDRIER.GAP.FINANCE(TODAY(),"1M","AUD","Unadjusted"),),"ACT/365")-$I22)/$I22</f>
        <v>#NAME?</v>
      </c>
      <c r="P22" s="124" t="e">
        <f ca="1">1/_xll.CALENDRIER.FRAC.ANNEE(_xll.INSTRUMENT.DATE.REGLEMENT($AC22,,),_xll.INSTRUMENT.DATE.REGLEMENT($AC22,_xll.CALENDRIER.GAP.FINANCE(TODAY(),"3M","AUD","Unadjusted"),),"ACT/365")*(_xll.INSTRUMENT.ROLL.DOWN($A22,oisCurve,_xll.CALENDRIER.GAP.FINANCE(TODAY(),"3M","AUD","Unadjusted",TRUE),$N22)+100*$AA22*_xll.CALENDRIER.FRAC.ANNEE(_xll.INSTRUMENT.DATE.REGLEMENT($AC22,,),_xll.INSTRUMENT.DATE.REGLEMENT($AC22,_xll.CALENDRIER.GAP.FINANCE(TODAY(),"3M","AUD","Unadjusted"),),"ACT/365")-$I22)/$I22</f>
        <v>#NAME?</v>
      </c>
      <c r="Q22" s="371" t="e">
        <f ca="1">-(O22-curve!$T$3)/J22</f>
        <v>#NAME?</v>
      </c>
      <c r="R22" s="373">
        <f t="shared" ca="1" si="0"/>
        <v>-24.595072520749863</v>
      </c>
      <c r="S22" s="191" t="str">
        <f>IF(F22&lt;&gt;"","",IF(G22="","",-G22*(SUMIF('raw Data'!$A:$A,"RESINV1USD",'raw Data'!$G:$G)+SUMIF('raw Data'!$A:$A,"RESSWAPORUSD",'raw Data'!$G:$G))/(36500*J22)))</f>
        <v/>
      </c>
      <c r="T22" s="202" t="str">
        <f>IF(G22&lt;&gt;"","",IF(F22="","",-36500*J22*F22/(SUMIF('raw Data'!$A:$A,"RESINV1USD",'raw Data'!$G:$G)+SUMIF('raw Data'!$A:$A,"RESSWAPORUSD",'raw Data'!$G:$G))))</f>
        <v/>
      </c>
      <c r="U22" s="125">
        <f>SUMIF('raw Data'!$E:$E,A22,'raw Data'!$N:$N)</f>
        <v>-268027.65740465251</v>
      </c>
      <c r="V22" s="126">
        <v>40997</v>
      </c>
      <c r="W22" s="127" t="e">
        <v>#VALUE!</v>
      </c>
      <c r="X22" s="127" t="e">
        <v>#VALUE!</v>
      </c>
      <c r="Y22" s="127" t="e">
        <v>#VALUE!</v>
      </c>
      <c r="Z22" s="127">
        <v>41179</v>
      </c>
      <c r="AA22" s="128">
        <v>0</v>
      </c>
      <c r="AB22" s="129">
        <v>59004000000</v>
      </c>
      <c r="AC22" s="130" t="str">
        <f ca="1">IF(LEFT(B22,1)="B",_xll.INSTANCE.TBILL(A22,V22,Z22,TODAY()),_xll.INSTANCE.TNOTE(A22,V22,W22,X22,Y22,Z22,AA22,TODAY()))</f>
        <v>US9127956J52#0003</v>
      </c>
    </row>
    <row r="23" spans="1:29" x14ac:dyDescent="0.35">
      <c r="A23" s="131" t="s">
        <v>408</v>
      </c>
      <c r="B23" s="115" t="s">
        <v>999</v>
      </c>
      <c r="C23" s="364"/>
      <c r="D23" s="116"/>
      <c r="E23" s="117"/>
      <c r="F23" s="118"/>
      <c r="G23" s="369"/>
      <c r="H23" s="120">
        <v>8.6207581400321587E-4</v>
      </c>
      <c r="I23" s="121">
        <f ca="1">_xll.INSTRUMENT.PRIX(AC23,D23,H23,cTreasuries)</f>
        <v>101.05755224134087</v>
      </c>
      <c r="J23" s="122">
        <f ca="1">_xll.INSTRUMENT.DV01(A23,,,I23,cContinuous,I23)</f>
        <v>-2.5944108695465503E-3</v>
      </c>
      <c r="K23" s="123">
        <f ca="1">_xll.INSTRUMENT.CONVEXITE(A23,,,I23,cContinuous,I23)</f>
        <v>6.5961957657738393E-2</v>
      </c>
      <c r="L23" s="123">
        <f ca="1">_xll.INSTRUMENT.Z.SPREAD(A23,swapCurve,I23,cContinuous,D23)</f>
        <v>-36.981192694105502</v>
      </c>
      <c r="M23" s="123" t="e">
        <f ca="1">_xll.INSTRUMENT.Z.SPREAD(A23,ustCurve,I23,cContinuous,D23)</f>
        <v>#VALUE!</v>
      </c>
      <c r="N23" s="123">
        <f ca="1">_xll.INSTRUMENT.Z.SPREAD(A23,oisCurve,I23,cContinuous,D23)</f>
        <v>-9.2749094113610564</v>
      </c>
      <c r="O23" s="124" t="e">
        <f ca="1">1/_xll.CALENDRIER.FRAC.ANNEE(_xll.INSTRUMENT.DATE.REGLEMENT($AC23,,),_xll.INSTRUMENT.DATE.REGLEMENT($AC23,_xll.CALENDRIER.GAP.FINANCE(TODAY(),"1M","AUD","Unadjusted"),),"ACT/365")*(_xll.INSTRUMENT.ROLL.DOWN($A23,oisCurve,_xll.CALENDRIER.GAP.FINANCE(TODAY(),"1M","AUD","Unadjusted",TRUE),$N23)+100*$AA23*_xll.CALENDRIER.FRAC.ANNEE(_xll.INSTRUMENT.DATE.REGLEMENT($AC23,,),_xll.INSTRUMENT.DATE.REGLEMENT($AC23,_xll.CALENDRIER.GAP.FINANCE(TODAY(),"1M","AUD","Unadjusted"),),"ACT/365")-$I23)/$I23</f>
        <v>#NAME?</v>
      </c>
      <c r="P23" s="124" t="e">
        <f ca="1">1/_xll.CALENDRIER.FRAC.ANNEE(_xll.INSTRUMENT.DATE.REGLEMENT($AC23,,),_xll.INSTRUMENT.DATE.REGLEMENT($AC23,_xll.CALENDRIER.GAP.FINANCE(TODAY(),"3M","AUD","Unadjusted"),),"ACT/365")*(_xll.INSTRUMENT.ROLL.DOWN($A23,oisCurve,_xll.CALENDRIER.GAP.FINANCE(TODAY(),"3M","AUD","Unadjusted",TRUE),$N23)+100*$AA23*_xll.CALENDRIER.FRAC.ANNEE(_xll.INSTRUMENT.DATE.REGLEMENT($AC23,,),_xll.INSTRUMENT.DATE.REGLEMENT($AC23,_xll.CALENDRIER.GAP.FINANCE(TODAY(),"3M","AUD","Unadjusted"),),"ACT/365")-$I23)/$I23</f>
        <v>#NAME?</v>
      </c>
      <c r="Q23" s="371" t="e">
        <f ca="1">-(O23-curve!$T$3)/J23</f>
        <v>#NAME?</v>
      </c>
      <c r="R23" s="373">
        <f t="shared" ca="1" si="0"/>
        <v>-25.424638183568504</v>
      </c>
      <c r="S23" s="191" t="str">
        <f>IF(F23&lt;&gt;"","",IF(G23="","",-G23*(SUMIF('raw Data'!$A:$A,"RESINV1USD",'raw Data'!$G:$G)+SUMIF('raw Data'!$A:$A,"RESSWAPORUSD",'raw Data'!$G:$G))/(36500*J23)))</f>
        <v/>
      </c>
      <c r="T23" s="202" t="str">
        <f>IF(G23&lt;&gt;"","",IF(F23="","",-36500*J23*F23/(SUMIF('raw Data'!$A:$A,"RESINV1USD",'raw Data'!$G:$G)+SUMIF('raw Data'!$A:$A,"RESSWAPORUSD",'raw Data'!$G:$G))))</f>
        <v/>
      </c>
      <c r="U23" s="125">
        <f>SUMIF('raw Data'!$E:$E,A23,'raw Data'!$N:$N)</f>
        <v>0</v>
      </c>
      <c r="V23" s="126">
        <v>39356</v>
      </c>
      <c r="W23" s="127">
        <v>39355</v>
      </c>
      <c r="X23" s="127">
        <v>39538</v>
      </c>
      <c r="Y23" s="127">
        <v>40999</v>
      </c>
      <c r="Z23" s="127">
        <v>41182</v>
      </c>
      <c r="AA23" s="128">
        <v>4.2500000000000003E-2</v>
      </c>
      <c r="AB23" s="129">
        <v>15874000000</v>
      </c>
      <c r="AC23" s="130" t="str">
        <f ca="1">IF(LEFT(B23,1)="B",_xll.INSTANCE.TBILL(A23,V23,Z23,TODAY()),_xll.INSTANCE.TNOTE(A23,V23,W23,X23,Y23,Z23,AA23,TODAY()))</f>
        <v>US912828HE37#0003</v>
      </c>
    </row>
    <row r="24" spans="1:29" x14ac:dyDescent="0.35">
      <c r="A24" s="131" t="s">
        <v>174</v>
      </c>
      <c r="B24" s="115" t="s">
        <v>1000</v>
      </c>
      <c r="C24" s="364"/>
      <c r="D24" s="116"/>
      <c r="E24" s="117"/>
      <c r="F24" s="118"/>
      <c r="G24" s="369"/>
      <c r="H24" s="120">
        <v>8.8915256881255298E-4</v>
      </c>
      <c r="I24" s="121">
        <f ca="1">_xll.INSTRUMENT.PRIX(AC24,D24,H24,cTreasuries)</f>
        <v>100.07265641489789</v>
      </c>
      <c r="J24" s="122">
        <f ca="1">_xll.INSTRUMENT.DV01(A24,,,I24,cContinuous,I24)</f>
        <v>-2.5451725932343775E-3</v>
      </c>
      <c r="K24" s="123">
        <f ca="1">_xll.INSTRUMENT.CONVEXITE(A24,,,I24,cContinuous,I24)</f>
        <v>6.5961957657738393E-2</v>
      </c>
      <c r="L24" s="123">
        <f ca="1">_xll.INSTRUMENT.Z.SPREAD(A24,swapCurve,I24,cContinuous,D24)</f>
        <v>-36.714097010334676</v>
      </c>
      <c r="M24" s="123" t="e">
        <f ca="1">_xll.INSTRUMENT.Z.SPREAD(A24,ustCurve,I24,cContinuous,D24)</f>
        <v>#VALUE!</v>
      </c>
      <c r="N24" s="123">
        <f ca="1">_xll.INSTRUMENT.Z.SPREAD(A24,oisCurve,I24,cContinuous,D24)</f>
        <v>-9.0078137275949306</v>
      </c>
      <c r="O24" s="124" t="e">
        <f ca="1">1/_xll.CALENDRIER.FRAC.ANNEE(_xll.INSTRUMENT.DATE.REGLEMENT($AC24,,),_xll.INSTRUMENT.DATE.REGLEMENT($AC24,_xll.CALENDRIER.GAP.FINANCE(TODAY(),"1M","AUD","Unadjusted"),),"ACT/365")*(_xll.INSTRUMENT.ROLL.DOWN($A24,oisCurve,_xll.CALENDRIER.GAP.FINANCE(TODAY(),"1M","AUD","Unadjusted",TRUE),$N24)+100*$AA24*_xll.CALENDRIER.FRAC.ANNEE(_xll.INSTRUMENT.DATE.REGLEMENT($AC24,,),_xll.INSTRUMENT.DATE.REGLEMENT($AC24,_xll.CALENDRIER.GAP.FINANCE(TODAY(),"1M","AUD","Unadjusted"),),"ACT/365")-$I24)/$I24</f>
        <v>#NAME?</v>
      </c>
      <c r="P24" s="124" t="e">
        <f ca="1">1/_xll.CALENDRIER.FRAC.ANNEE(_xll.INSTRUMENT.DATE.REGLEMENT($AC24,,),_xll.INSTRUMENT.DATE.REGLEMENT($AC24,_xll.CALENDRIER.GAP.FINANCE(TODAY(),"3M","AUD","Unadjusted"),),"ACT/365")*(_xll.INSTRUMENT.ROLL.DOWN($A24,oisCurve,_xll.CALENDRIER.GAP.FINANCE(TODAY(),"3M","AUD","Unadjusted",TRUE),$N24)+100*$AA24*_xll.CALENDRIER.FRAC.ANNEE(_xll.INSTRUMENT.DATE.REGLEMENT($AC24,,),_xll.INSTRUMENT.DATE.REGLEMENT($AC24,_xll.CALENDRIER.GAP.FINANCE(TODAY(),"3M","AUD","Unadjusted"),),"ACT/365")-$I24)/$I24</f>
        <v>#NAME?</v>
      </c>
      <c r="Q24" s="371" t="e">
        <f ca="1">-(O24-curve!$T$3)/J24</f>
        <v>#NAME?</v>
      </c>
      <c r="R24" s="373">
        <f t="shared" ca="1" si="0"/>
        <v>-25.916496913835875</v>
      </c>
      <c r="S24" s="191" t="str">
        <f>IF(F24&lt;&gt;"","",IF(G24="","",-G24*(SUMIF('raw Data'!$A:$A,"RESINV1USD",'raw Data'!$G:$G)+SUMIF('raw Data'!$A:$A,"RESSWAPORUSD",'raw Data'!$G:$G))/(36500*J24)))</f>
        <v/>
      </c>
      <c r="T24" s="202" t="str">
        <f>IF(G24&lt;&gt;"","",IF(F24="","",-36500*J24*F24/(SUMIF('raw Data'!$A:$A,"RESINV1USD",'raw Data'!$G:$G)+SUMIF('raw Data'!$A:$A,"RESSWAPORUSD",'raw Data'!$G:$G))))</f>
        <v/>
      </c>
      <c r="U24" s="125">
        <f>SUMIF('raw Data'!$E:$E,A24,'raw Data'!$N:$N)</f>
        <v>-431048.80833691946</v>
      </c>
      <c r="V24" s="126">
        <v>40451</v>
      </c>
      <c r="W24" s="127">
        <v>40451</v>
      </c>
      <c r="X24" s="127">
        <v>40633</v>
      </c>
      <c r="Y24" s="127">
        <v>40999</v>
      </c>
      <c r="Z24" s="127">
        <v>41182</v>
      </c>
      <c r="AA24" s="128">
        <v>3.7499999999999999E-3</v>
      </c>
      <c r="AB24" s="129">
        <v>37129000000</v>
      </c>
      <c r="AC24" s="130" t="str">
        <f ca="1">IF(LEFT(B24,1)="B",_xll.INSTANCE.TBILL(A24,V24,Z24,TODAY()),_xll.INSTANCE.TNOTE(A24,V24,W24,X24,Y24,Z24,AA24,TODAY()))</f>
        <v>US912828NX44#0003</v>
      </c>
    </row>
    <row r="25" spans="1:29" x14ac:dyDescent="0.35">
      <c r="A25" s="131" t="s">
        <v>42</v>
      </c>
      <c r="B25" s="115" t="s">
        <v>1001</v>
      </c>
      <c r="C25" s="364"/>
      <c r="D25" s="116"/>
      <c r="E25" s="117"/>
      <c r="F25" s="118"/>
      <c r="G25" s="369"/>
      <c r="H25" s="120">
        <v>8.6199665331852674E-4</v>
      </c>
      <c r="I25" s="121">
        <f ca="1">_xll.INSTRUMENT.PRIX(AC25,D25,H25,cTreasuries)</f>
        <v>99.977159951374929</v>
      </c>
      <c r="J25" s="122">
        <f ca="1">_xll.INSTRUMENT.DV01(A25,,,I25,cContinuous,I25)</f>
        <v>-2.64966755185556E-3</v>
      </c>
      <c r="K25" s="123">
        <f ca="1">_xll.INSTRUMENT.CONVEXITE(A25,,,I25,cContinuous,I25)</f>
        <v>7.0239481620830699E-2</v>
      </c>
      <c r="L25" s="123">
        <f ca="1">_xll.INSTRUMENT.Z.SPREAD(A25,swapCurve,I25,cContinuous,D25)</f>
        <v>-37.630244499885571</v>
      </c>
      <c r="M25" s="123" t="e">
        <f ca="1">_xll.INSTRUMENT.Z.SPREAD(A25,ustCurve,I25,cContinuous,D25)</f>
        <v>#VALUE!</v>
      </c>
      <c r="N25" s="123">
        <f ca="1">_xll.INSTRUMENT.Z.SPREAD(A25,oisCurve,I25,cContinuous,D25)</f>
        <v>-9.2047589592769921</v>
      </c>
      <c r="O25" s="124" t="e">
        <f ca="1">1/_xll.CALENDRIER.FRAC.ANNEE(_xll.INSTRUMENT.DATE.REGLEMENT($AC25,,),_xll.INSTRUMENT.DATE.REGLEMENT($AC25,_xll.CALENDRIER.GAP.FINANCE(TODAY(),"1M","AUD","Unadjusted"),),"ACT/365")*(_xll.INSTRUMENT.ROLL.DOWN($A25,oisCurve,_xll.CALENDRIER.GAP.FINANCE(TODAY(),"1M","AUD","Unadjusted",TRUE),$N25)+100*$AA25*_xll.CALENDRIER.FRAC.ANNEE(_xll.INSTRUMENT.DATE.REGLEMENT($AC25,,),_xll.INSTRUMENT.DATE.REGLEMENT($AC25,_xll.CALENDRIER.GAP.FINANCE(TODAY(),"1M","AUD","Unadjusted"),),"ACT/365")-$I25)/$I25</f>
        <v>#NAME?</v>
      </c>
      <c r="P25" s="124" t="e">
        <f ca="1">1/_xll.CALENDRIER.FRAC.ANNEE(_xll.INSTRUMENT.DATE.REGLEMENT($AC25,,),_xll.INSTRUMENT.DATE.REGLEMENT($AC25,_xll.CALENDRIER.GAP.FINANCE(TODAY(),"3M","AUD","Unadjusted"),),"ACT/365")*(_xll.INSTRUMENT.ROLL.DOWN($A25,oisCurve,_xll.CALENDRIER.GAP.FINANCE(TODAY(),"3M","AUD","Unadjusted",TRUE),$N25)+100*$AA25*_xll.CALENDRIER.FRAC.ANNEE(_xll.INSTRUMENT.DATE.REGLEMENT($AC25,,),_xll.INSTRUMENT.DATE.REGLEMENT($AC25,_xll.CALENDRIER.GAP.FINANCE(TODAY(),"3M","AUD","Unadjusted"),),"ACT/365")-$I25)/$I25</f>
        <v>#NAME?</v>
      </c>
      <c r="Q25" s="371" t="e">
        <f ca="1">-(O25-curve!$T$3)/J25</f>
        <v>#NAME?</v>
      </c>
      <c r="R25" s="373">
        <f t="shared" ca="1" si="0"/>
        <v>-26.508790346789748</v>
      </c>
      <c r="S25" s="191" t="str">
        <f>IF(F25&lt;&gt;"","",IF(G25="","",-G25*(SUMIF('raw Data'!$A:$A,"RESINV1USD",'raw Data'!$G:$G)+SUMIF('raw Data'!$A:$A,"RESSWAPORUSD",'raw Data'!$G:$G))/(36500*J25)))</f>
        <v/>
      </c>
      <c r="T25" s="202" t="str">
        <f>IF(G25&lt;&gt;"","",IF(F25="","",-36500*J25*F25/(SUMIF('raw Data'!$A:$A,"RESINV1USD",'raw Data'!$G:$G)+SUMIF('raw Data'!$A:$A,"RESSWAPORUSD",'raw Data'!$G:$G))))</f>
        <v/>
      </c>
      <c r="U25" s="125">
        <f>SUMIF('raw Data'!$E:$E,A25,'raw Data'!$N:$N)</f>
        <v>-268027.65740465251</v>
      </c>
      <c r="V25" s="126">
        <v>41004</v>
      </c>
      <c r="W25" s="127" t="e">
        <v>#VALUE!</v>
      </c>
      <c r="X25" s="127" t="e">
        <v>#VALUE!</v>
      </c>
      <c r="Y25" s="127" t="e">
        <v>#VALUE!</v>
      </c>
      <c r="Z25" s="127">
        <v>41186</v>
      </c>
      <c r="AA25" s="128">
        <v>0</v>
      </c>
      <c r="AB25" s="129">
        <v>29003000000</v>
      </c>
      <c r="AC25" s="130" t="str">
        <f ca="1">IF(LEFT(B25,1)="B",_xll.INSTANCE.TBILL(A25,V25,Z25,TODAY()),_xll.INSTANCE.TNOTE(A25,V25,W25,X25,Y25,Z25,AA25,TODAY()))</f>
        <v>US9127956K26#0003</v>
      </c>
    </row>
    <row r="26" spans="1:29" x14ac:dyDescent="0.35">
      <c r="A26" s="131" t="s">
        <v>44</v>
      </c>
      <c r="B26" s="115" t="s">
        <v>1002</v>
      </c>
      <c r="C26" s="364"/>
      <c r="D26" s="116"/>
      <c r="E26" s="117"/>
      <c r="F26" s="118"/>
      <c r="G26" s="369"/>
      <c r="H26" s="120">
        <v>9.1273080303532817E-4</v>
      </c>
      <c r="I26" s="121">
        <f ca="1">_xll.INSTRUMENT.PRIX(AC26,D26,H26,cTreasuries)</f>
        <v>99.974071204681664</v>
      </c>
      <c r="J26" s="122">
        <f ca="1">_xll.INSTRUMENT.DV01(A26,,,I26,cContinuous,I26)</f>
        <v>-2.8407928799726902E-3</v>
      </c>
      <c r="K26" s="123">
        <f ca="1">_xll.INSTRUMENT.CONVEXITE(A26,,,I26,cContinuous,I26)</f>
        <v>8.0742930514497283E-2</v>
      </c>
      <c r="L26" s="123">
        <f ca="1">_xll.INSTRUMENT.Z.SPREAD(A26,swapCurve,I26,cContinuous,D26)</f>
        <v>-38.29339605526819</v>
      </c>
      <c r="M26" s="123" t="e">
        <f ca="1">_xll.INSTRUMENT.Z.SPREAD(A26,ustCurve,I26,cContinuous,D26)</f>
        <v>#VALUE!</v>
      </c>
      <c r="N26" s="123">
        <f ca="1">_xll.INSTRUMENT.Z.SPREAD(A26,oisCurve,I26,cContinuous,D26)</f>
        <v>-8.7470395591065628</v>
      </c>
      <c r="O26" s="124" t="e">
        <f ca="1">1/_xll.CALENDRIER.FRAC.ANNEE(_xll.INSTRUMENT.DATE.REGLEMENT($AC26,,),_xll.INSTRUMENT.DATE.REGLEMENT($AC26,_xll.CALENDRIER.GAP.FINANCE(TODAY(),"1M","AUD","Unadjusted"),),"ACT/365")*(_xll.INSTRUMENT.ROLL.DOWN($A26,oisCurve,_xll.CALENDRIER.GAP.FINANCE(TODAY(),"1M","AUD","Unadjusted",TRUE),$N26)+100*$AA26*_xll.CALENDRIER.FRAC.ANNEE(_xll.INSTRUMENT.DATE.REGLEMENT($AC26,,),_xll.INSTRUMENT.DATE.REGLEMENT($AC26,_xll.CALENDRIER.GAP.FINANCE(TODAY(),"1M","AUD","Unadjusted"),),"ACT/365")-$I26)/$I26</f>
        <v>#NAME?</v>
      </c>
      <c r="P26" s="124" t="e">
        <f ca="1">1/_xll.CALENDRIER.FRAC.ANNEE(_xll.INSTRUMENT.DATE.REGLEMENT($AC26,,),_xll.INSTRUMENT.DATE.REGLEMENT($AC26,_xll.CALENDRIER.GAP.FINANCE(TODAY(),"3M","AUD","Unadjusted"),),"ACT/365")*(_xll.INSTRUMENT.ROLL.DOWN($A26,oisCurve,_xll.CALENDRIER.GAP.FINANCE(TODAY(),"3M","AUD","Unadjusted",TRUE),$N26)+100*$AA26*_xll.CALENDRIER.FRAC.ANNEE(_xll.INSTRUMENT.DATE.REGLEMENT($AC26,,),_xll.INSTRUMENT.DATE.REGLEMENT($AC26,_xll.CALENDRIER.GAP.FINANCE(TODAY(),"3M","AUD","Unadjusted"),),"ACT/365")-$I26)/$I26</f>
        <v>#NAME?</v>
      </c>
      <c r="Q26" s="371" t="e">
        <f ca="1">-(O26-curve!$T$3)/J26</f>
        <v>#NAME?</v>
      </c>
      <c r="R26" s="373">
        <f t="shared" ca="1" si="0"/>
        <v>-28.422674206108788</v>
      </c>
      <c r="S26" s="191" t="str">
        <f>IF(F26&lt;&gt;"","",IF(G26="","",-G26*(SUMIF('raw Data'!$A:$A,"RESINV1USD",'raw Data'!$G:$G)+SUMIF('raw Data'!$A:$A,"RESSWAPORUSD",'raw Data'!$G:$G))/(36500*J26)))</f>
        <v/>
      </c>
      <c r="T26" s="202" t="str">
        <f>IF(G26&lt;&gt;"","",IF(F26="","",-36500*J26*F26/(SUMIF('raw Data'!$A:$A,"RESINV1USD",'raw Data'!$G:$G)+SUMIF('raw Data'!$A:$A,"RESSWAPORUSD",'raw Data'!$G:$G))))</f>
        <v/>
      </c>
      <c r="U26" s="125">
        <f>SUMIF('raw Data'!$E:$E,A26,'raw Data'!$N:$N)</f>
        <v>-268027.65740465251</v>
      </c>
      <c r="V26" s="126">
        <v>41011</v>
      </c>
      <c r="W26" s="127" t="e">
        <v>#VALUE!</v>
      </c>
      <c r="X26" s="127" t="e">
        <v>#VALUE!</v>
      </c>
      <c r="Y26" s="127" t="e">
        <v>#VALUE!</v>
      </c>
      <c r="Z26" s="127">
        <v>41193</v>
      </c>
      <c r="AA26" s="128">
        <v>0</v>
      </c>
      <c r="AB26" s="129">
        <v>29001000000</v>
      </c>
      <c r="AC26" s="130" t="str">
        <f ca="1">IF(LEFT(B26,1)="B",_xll.INSTANCE.TBILL(A26,V26,Z26,TODAY()),_xll.INSTANCE.TNOTE(A26,V26,W26,X26,Y26,Z26,AA26,TODAY()))</f>
        <v>US9127956M81#0003</v>
      </c>
    </row>
    <row r="27" spans="1:29" x14ac:dyDescent="0.35">
      <c r="A27" s="131" t="s">
        <v>409</v>
      </c>
      <c r="B27" s="115" t="s">
        <v>1003</v>
      </c>
      <c r="C27" s="364"/>
      <c r="D27" s="116"/>
      <c r="E27" s="117"/>
      <c r="F27" s="118"/>
      <c r="G27" s="369"/>
      <c r="H27" s="120">
        <v>1.079965605565939E-3</v>
      </c>
      <c r="I27" s="121">
        <f ca="1">_xll.INSTRUMENT.PRIX(AC27,D27,H27,cTreasuries)</f>
        <v>100.37366099814645</v>
      </c>
      <c r="J27" s="122">
        <f ca="1">_xll.INSTRUMENT.DV01(A27,,,I27,cContinuous,I27)</f>
        <v>-2.9701595898356668E-3</v>
      </c>
      <c r="K27" s="123">
        <f ca="1">_xll.INSTRUMENT.CONVEXITE(A27,,,I27,cContinuous,I27)</f>
        <v>8.7073367374361735E-2</v>
      </c>
      <c r="L27" s="123">
        <f ca="1">_xll.INSTRUMENT.Z.SPREAD(A27,swapCurve,I27,cContinuous,D27)</f>
        <v>-37.009442807085797</v>
      </c>
      <c r="M27" s="123" t="e">
        <f ca="1">_xll.INSTRUMENT.Z.SPREAD(A27,ustCurve,I27,cContinuous,D27)</f>
        <v>#VALUE!</v>
      </c>
      <c r="N27" s="123">
        <f ca="1">_xll.INSTRUMENT.Z.SPREAD(A27,oisCurve,I27,cContinuous,D27)</f>
        <v>-7.1068274402511227</v>
      </c>
      <c r="O27" s="124" t="e">
        <f ca="1">1/_xll.CALENDRIER.FRAC.ANNEE(_xll.INSTRUMENT.DATE.REGLEMENT($AC27,,),_xll.INSTRUMENT.DATE.REGLEMENT($AC27,_xll.CALENDRIER.GAP.FINANCE(TODAY(),"1M","AUD","Unadjusted"),),"ACT/365")*(_xll.INSTRUMENT.ROLL.DOWN($A27,oisCurve,_xll.CALENDRIER.GAP.FINANCE(TODAY(),"1M","AUD","Unadjusted",TRUE),$N27)+100*$AA27*_xll.CALENDRIER.FRAC.ANNEE(_xll.INSTRUMENT.DATE.REGLEMENT($AC27,,),_xll.INSTRUMENT.DATE.REGLEMENT($AC27,_xll.CALENDRIER.GAP.FINANCE(TODAY(),"1M","AUD","Unadjusted"),),"ACT/365")-$I27)/$I27</f>
        <v>#NAME?</v>
      </c>
      <c r="P27" s="124" t="e">
        <f ca="1">1/_xll.CALENDRIER.FRAC.ANNEE(_xll.INSTRUMENT.DATE.REGLEMENT($AC27,,),_xll.INSTRUMENT.DATE.REGLEMENT($AC27,_xll.CALENDRIER.GAP.FINANCE(TODAY(),"3M","AUD","Unadjusted"),),"ACT/365")*(_xll.INSTRUMENT.ROLL.DOWN($A27,oisCurve,_xll.CALENDRIER.GAP.FINANCE(TODAY(),"3M","AUD","Unadjusted",TRUE),$N27)+100*$AA27*_xll.CALENDRIER.FRAC.ANNEE(_xll.INSTRUMENT.DATE.REGLEMENT($AC27,,),_xll.INSTRUMENT.DATE.REGLEMENT($AC27,_xll.CALENDRIER.GAP.FINANCE(TODAY(),"3M","AUD","Unadjusted"),),"ACT/365")-$I27)/$I27</f>
        <v>#NAME?</v>
      </c>
      <c r="Q27" s="371" t="e">
        <f ca="1">-(O27-curve!$T$3)/J27</f>
        <v>#NAME?</v>
      </c>
      <c r="R27" s="373">
        <f t="shared" ca="1" si="0"/>
        <v>-29.316056845005871</v>
      </c>
      <c r="S27" s="191" t="str">
        <f>IF(F27&lt;&gt;"","",IF(G27="","",-G27*(SUMIF('raw Data'!$A:$A,"RESINV1USD",'raw Data'!$G:$G)+SUMIF('raw Data'!$A:$A,"RESSWAPORUSD",'raw Data'!$G:$G))/(36500*J27)))</f>
        <v/>
      </c>
      <c r="T27" s="202" t="str">
        <f>IF(G27&lt;&gt;"","",IF(F27="","",-36500*J27*F27/(SUMIF('raw Data'!$A:$A,"RESINV1USD",'raw Data'!$G:$G)+SUMIF('raw Data'!$A:$A,"RESSWAPORUSD",'raw Data'!$G:$G))))</f>
        <v/>
      </c>
      <c r="U27" s="125">
        <f>SUMIF('raw Data'!$E:$E,A27,'raw Data'!$N:$N)</f>
        <v>0</v>
      </c>
      <c r="V27" s="126">
        <v>40101</v>
      </c>
      <c r="W27" s="127">
        <v>40101</v>
      </c>
      <c r="X27" s="127">
        <v>40283</v>
      </c>
      <c r="Y27" s="127">
        <v>41014</v>
      </c>
      <c r="Z27" s="127">
        <v>41197</v>
      </c>
      <c r="AA27" s="128">
        <v>1.375E-2</v>
      </c>
      <c r="AB27" s="129">
        <v>39306000000</v>
      </c>
      <c r="AC27" s="130" t="str">
        <f ca="1">IF(LEFT(B27,1)="B",_xll.INSTANCE.TBILL(A27,V27,Z27,TODAY()),_xll.INSTANCE.TNOTE(A27,V27,W27,X27,Y27,Z27,AA27,TODAY()))</f>
        <v>US912828LR93#0003</v>
      </c>
    </row>
    <row r="28" spans="1:29" x14ac:dyDescent="0.35">
      <c r="A28" s="131" t="s">
        <v>67</v>
      </c>
      <c r="B28" s="115" t="s">
        <v>1004</v>
      </c>
      <c r="C28" s="364"/>
      <c r="D28" s="116"/>
      <c r="E28" s="117"/>
      <c r="F28" s="118"/>
      <c r="G28" s="369"/>
      <c r="H28" s="120">
        <v>9.6610896534198465E-4</v>
      </c>
      <c r="I28" s="121">
        <f ca="1">_xll.INSTRUMENT.PRIX(AC28,D28,H28,cTreasuries)</f>
        <v>99.970708556402514</v>
      </c>
      <c r="J28" s="122">
        <f ca="1">_xll.INSTRUMENT.DV01(A28,,,I28,cContinuous,I28)</f>
        <v>-3.0318980814523886E-3</v>
      </c>
      <c r="K28" s="123">
        <f ca="1">_xll.INSTRUMENT.CONVEXITE(A28,,,I28,cContinuous,I28)</f>
        <v>9.1977962913195377E-2</v>
      </c>
      <c r="L28" s="123">
        <f ca="1">_xll.INSTRUMENT.Z.SPREAD(A28,swapCurve,I28,cContinuous,D28)</f>
        <v>-38.322785868603539</v>
      </c>
      <c r="M28" s="123" t="e">
        <f ca="1">_xll.INSTRUMENT.Z.SPREAD(A28,ustCurve,I28,cContinuous,D28)</f>
        <v>#VALUE!</v>
      </c>
      <c r="N28" s="123">
        <f ca="1">_xll.INSTRUMENT.Z.SPREAD(A28,oisCurve,I28,cContinuous,D28)</f>
        <v>-8.261812482716655</v>
      </c>
      <c r="O28" s="124" t="e">
        <f ca="1">1/_xll.CALENDRIER.FRAC.ANNEE(_xll.INSTRUMENT.DATE.REGLEMENT($AC28,,),_xll.INSTRUMENT.DATE.REGLEMENT($AC28,_xll.CALENDRIER.GAP.FINANCE(TODAY(),"1M","AUD","Unadjusted"),),"ACT/365")*(_xll.INSTRUMENT.ROLL.DOWN($A28,oisCurve,_xll.CALENDRIER.GAP.FINANCE(TODAY(),"1M","AUD","Unadjusted",TRUE),$N28)+100*$AA28*_xll.CALENDRIER.FRAC.ANNEE(_xll.INSTRUMENT.DATE.REGLEMENT($AC28,,),_xll.INSTRUMENT.DATE.REGLEMENT($AC28,_xll.CALENDRIER.GAP.FINANCE(TODAY(),"1M","AUD","Unadjusted"),),"ACT/365")-$I28)/$I28</f>
        <v>#NAME?</v>
      </c>
      <c r="P28" s="124" t="e">
        <f ca="1">1/_xll.CALENDRIER.FRAC.ANNEE(_xll.INSTRUMENT.DATE.REGLEMENT($AC28,,),_xll.INSTRUMENT.DATE.REGLEMENT($AC28,_xll.CALENDRIER.GAP.FINANCE(TODAY(),"3M","AUD","Unadjusted"),),"ACT/365")*(_xll.INSTRUMENT.ROLL.DOWN($A28,oisCurve,_xll.CALENDRIER.GAP.FINANCE(TODAY(),"3M","AUD","Unadjusted",TRUE),$N28)+100*$AA28*_xll.CALENDRIER.FRAC.ANNEE(_xll.INSTRUMENT.DATE.REGLEMENT($AC28,,),_xll.INSTRUMENT.DATE.REGLEMENT($AC28,_xll.CALENDRIER.GAP.FINANCE(TODAY(),"3M","AUD","Unadjusted"),),"ACT/365")-$I28)/$I28</f>
        <v>#NAME?</v>
      </c>
      <c r="Q28" s="371" t="e">
        <f ca="1">-(O28-curve!$T$3)/J28</f>
        <v>#NAME?</v>
      </c>
      <c r="R28" s="373">
        <f t="shared" ca="1" si="0"/>
        <v>-30.336759495930885</v>
      </c>
      <c r="S28" s="191" t="str">
        <f>IF(F28&lt;&gt;"","",IF(G28="","",-G28*(SUMIF('raw Data'!$A:$A,"RESINV1USD",'raw Data'!$G:$G)+SUMIF('raw Data'!$A:$A,"RESSWAPORUSD",'raw Data'!$G:$G))/(36500*J28)))</f>
        <v/>
      </c>
      <c r="T28" s="202" t="str">
        <f>IF(G28&lt;&gt;"","",IF(F28="","",-36500*J28*F28/(SUMIF('raw Data'!$A:$A,"RESINV1USD",'raw Data'!$G:$G)+SUMIF('raw Data'!$A:$A,"RESSWAPORUSD",'raw Data'!$G:$G))))</f>
        <v/>
      </c>
      <c r="U28" s="125">
        <f>SUMIF('raw Data'!$E:$E,A28,'raw Data'!$N:$N)</f>
        <v>-268027.65740465251</v>
      </c>
      <c r="V28" s="126">
        <v>40836</v>
      </c>
      <c r="W28" s="127" t="e">
        <v>#VALUE!</v>
      </c>
      <c r="X28" s="127" t="e">
        <v>#VALUE!</v>
      </c>
      <c r="Y28" s="127" t="e">
        <v>#VALUE!</v>
      </c>
      <c r="Z28" s="127">
        <v>41200</v>
      </c>
      <c r="AA28" s="128">
        <v>0</v>
      </c>
      <c r="AB28" s="129">
        <v>53001000000</v>
      </c>
      <c r="AC28" s="130" t="str">
        <f ca="1">IF(LEFT(B28,1)="B",_xll.INSTANCE.TBILL(A28,V28,Z28,TODAY()),_xll.INSTANCE.TNOTE(A28,V28,W28,X28,Y28,Z28,AA28,TODAY()))</f>
        <v>US9127955G23#0003</v>
      </c>
    </row>
    <row r="29" spans="1:29" x14ac:dyDescent="0.35">
      <c r="A29" s="131" t="s">
        <v>611</v>
      </c>
      <c r="B29" s="115" t="s">
        <v>1005</v>
      </c>
      <c r="C29" s="364"/>
      <c r="D29" s="116"/>
      <c r="E29" s="117"/>
      <c r="F29" s="118"/>
      <c r="G29" s="369"/>
      <c r="H29" s="120">
        <v>1.0142131154411516E-3</v>
      </c>
      <c r="I29" s="121">
        <f ca="1">_xll.INSTRUMENT.PRIX(AC29,D29,H29,cTreasuries)</f>
        <v>99.967312014324264</v>
      </c>
      <c r="J29" s="122">
        <f ca="1">_xll.INSTRUMENT.DV01(A29,,,I29,cContinuous,I29)</f>
        <v>-3.2229893190670188E-3</v>
      </c>
      <c r="K29" s="123">
        <f ca="1">_xll.INSTRUMENT.CONVEXITE(A29,,,I29,cContinuous,I29)</f>
        <v>0.10394457881692498</v>
      </c>
      <c r="L29" s="123">
        <f ca="1">_xll.INSTRUMENT.Z.SPREAD(A29,swapCurve,I29,cContinuous,D29)</f>
        <v>-37.967673775919913</v>
      </c>
      <c r="M29" s="123" t="e">
        <f ca="1">_xll.INSTRUMENT.Z.SPREAD(A29,ustCurve,I29,cContinuous,D29)</f>
        <v>#VALUE!</v>
      </c>
      <c r="N29" s="123">
        <f ca="1">_xll.INSTRUMENT.Z.SPREAD(A29,oisCurve,I29,cContinuous,D29)</f>
        <v>-7.8264865802656063</v>
      </c>
      <c r="O29" s="124" t="e">
        <f ca="1">1/_xll.CALENDRIER.FRAC.ANNEE(_xll.INSTRUMENT.DATE.REGLEMENT($AC29,,),_xll.INSTRUMENT.DATE.REGLEMENT($AC29,_xll.CALENDRIER.GAP.FINANCE(TODAY(),"1M","AUD","Unadjusted"),),"ACT/365")*(_xll.INSTRUMENT.ROLL.DOWN($A29,oisCurve,_xll.CALENDRIER.GAP.FINANCE(TODAY(),"1M","AUD","Unadjusted",TRUE),$N29)+100*$AA29*_xll.CALENDRIER.FRAC.ANNEE(_xll.INSTRUMENT.DATE.REGLEMENT($AC29,,),_xll.INSTRUMENT.DATE.REGLEMENT($AC29,_xll.CALENDRIER.GAP.FINANCE(TODAY(),"1M","AUD","Unadjusted"),),"ACT/365")-$I29)/$I29</f>
        <v>#NAME?</v>
      </c>
      <c r="P29" s="124" t="e">
        <f ca="1">1/_xll.CALENDRIER.FRAC.ANNEE(_xll.INSTRUMENT.DATE.REGLEMENT($AC29,,),_xll.INSTRUMENT.DATE.REGLEMENT($AC29,_xll.CALENDRIER.GAP.FINANCE(TODAY(),"3M","AUD","Unadjusted"),),"ACT/365")*(_xll.INSTRUMENT.ROLL.DOWN($A29,oisCurve,_xll.CALENDRIER.GAP.FINANCE(TODAY(),"3M","AUD","Unadjusted",TRUE),$N29)+100*$AA29*_xll.CALENDRIER.FRAC.ANNEE(_xll.INSTRUMENT.DATE.REGLEMENT($AC29,,),_xll.INSTRUMENT.DATE.REGLEMENT($AC29,_xll.CALENDRIER.GAP.FINANCE(TODAY(),"3M","AUD","Unadjusted"),),"ACT/365")-$I29)/$I29</f>
        <v>#NAME?</v>
      </c>
      <c r="Q29" s="371" t="e">
        <f ca="1">-(O29-curve!$T$3)/J29</f>
        <v>#NAME?</v>
      </c>
      <c r="R29" s="373">
        <f t="shared" ca="1" si="0"/>
        <v>-32.250984575715115</v>
      </c>
      <c r="S29" s="191" t="str">
        <f>IF(F29&lt;&gt;"","",IF(G29="","",-G29*(SUMIF('raw Data'!$A:$A,"RESINV1USD",'raw Data'!$G:$G)+SUMIF('raw Data'!$A:$A,"RESSWAPORUSD",'raw Data'!$G:$G))/(36500*J29)))</f>
        <v/>
      </c>
      <c r="T29" s="202" t="str">
        <f>IF(G29&lt;&gt;"","",IF(F29="","",-36500*J29*F29/(SUMIF('raw Data'!$A:$A,"RESINV1USD",'raw Data'!$G:$G)+SUMIF('raw Data'!$A:$A,"RESSWAPORUSD",'raw Data'!$G:$G))))</f>
        <v/>
      </c>
      <c r="U29" s="125">
        <f>SUMIF('raw Data'!$E:$E,A29,'raw Data'!$N:$N)</f>
        <v>-268027.65740465251</v>
      </c>
      <c r="V29" s="126">
        <v>41025</v>
      </c>
      <c r="W29" s="127" t="e">
        <v>#VALUE!</v>
      </c>
      <c r="X29" s="127" t="e">
        <v>#VALUE!</v>
      </c>
      <c r="Y29" s="127" t="e">
        <v>#VALUE!</v>
      </c>
      <c r="Z29" s="127">
        <v>41207</v>
      </c>
      <c r="AA29" s="128">
        <v>0</v>
      </c>
      <c r="AB29" s="129">
        <v>28003000000</v>
      </c>
      <c r="AC29" s="130" t="str">
        <f ca="1">IF(LEFT(B29,1)="B",_xll.INSTANCE.TBILL(A29,V29,Z29,TODAY()),_xll.INSTANCE.TNOTE(A29,V29,W29,X29,Y29,Z29,AA29,TODAY()))</f>
        <v>US9127956N64#0003</v>
      </c>
    </row>
    <row r="30" spans="1:29" x14ac:dyDescent="0.35">
      <c r="A30" s="131" t="s">
        <v>410</v>
      </c>
      <c r="B30" s="115" t="s">
        <v>1006</v>
      </c>
      <c r="C30" s="364"/>
      <c r="D30" s="116"/>
      <c r="E30" s="117"/>
      <c r="F30" s="118"/>
      <c r="G30" s="369"/>
      <c r="H30" s="120">
        <v>1.3028061203510578E-3</v>
      </c>
      <c r="I30" s="121">
        <f ca="1">_xll.INSTRUMENT.PRIX(AC30,D30,H30,cTreasuries)</f>
        <v>101.26073239719065</v>
      </c>
      <c r="J30" s="122">
        <f ca="1">_xll.INSTRUMENT.DV01(A30,,,I30,cContinuous,I30)</f>
        <v>-3.4520959190321937E-3</v>
      </c>
      <c r="K30" s="123">
        <f ca="1">_xll.INSTRUMENT.CONVEXITE(A30,,,I30,cContinuous,I30)</f>
        <v>0.11478395891188155</v>
      </c>
      <c r="L30" s="123">
        <f ca="1">_xll.INSTRUMENT.Z.SPREAD(A30,swapCurve,I30,cContinuous,D30)</f>
        <v>-34.950536802120638</v>
      </c>
      <c r="M30" s="123" t="e">
        <f ca="1">_xll.INSTRUMENT.Z.SPREAD(A30,ustCurve,I30,cContinuous,D30)</f>
        <v>#VALUE!</v>
      </c>
      <c r="N30" s="123">
        <f ca="1">_xll.INSTRUMENT.Z.SPREAD(A30,oisCurve,I30,cContinuous,D30)</f>
        <v>-4.984435345209036</v>
      </c>
      <c r="O30" s="124" t="e">
        <f ca="1">1/_xll.CALENDRIER.FRAC.ANNEE(_xll.INSTRUMENT.DATE.REGLEMENT($AC30,,),_xll.INSTRUMENT.DATE.REGLEMENT($AC30,_xll.CALENDRIER.GAP.FINANCE(TODAY(),"1M","AUD","Unadjusted"),),"ACT/365")*(_xll.INSTRUMENT.ROLL.DOWN($A30,oisCurve,_xll.CALENDRIER.GAP.FINANCE(TODAY(),"1M","AUD","Unadjusted",TRUE),$N30)+100*$AA30*_xll.CALENDRIER.FRAC.ANNEE(_xll.INSTRUMENT.DATE.REGLEMENT($AC30,,),_xll.INSTRUMENT.DATE.REGLEMENT($AC30,_xll.CALENDRIER.GAP.FINANCE(TODAY(),"1M","AUD","Unadjusted"),),"ACT/365")-$I30)/$I30</f>
        <v>#NAME?</v>
      </c>
      <c r="P30" s="124" t="e">
        <f ca="1">1/_xll.CALENDRIER.FRAC.ANNEE(_xll.INSTRUMENT.DATE.REGLEMENT($AC30,,),_xll.INSTRUMENT.DATE.REGLEMENT($AC30,_xll.CALENDRIER.GAP.FINANCE(TODAY(),"3M","AUD","Unadjusted"),),"ACT/365")*(_xll.INSTRUMENT.ROLL.DOWN($A30,oisCurve,_xll.CALENDRIER.GAP.FINANCE(TODAY(),"3M","AUD","Unadjusted",TRUE),$N30)+100*$AA30*_xll.CALENDRIER.FRAC.ANNEE(_xll.INSTRUMENT.DATE.REGLEMENT($AC30,,),_xll.INSTRUMENT.DATE.REGLEMENT($AC30,_xll.CALENDRIER.GAP.FINANCE(TODAY(),"3M","AUD","Unadjusted"),),"ACT/365")-$I30)/$I30</f>
        <v>#NAME?</v>
      </c>
      <c r="Q30" s="371" t="e">
        <f ca="1">-(O30-curve!$T$3)/J30</f>
        <v>#NAME?</v>
      </c>
      <c r="R30" s="373">
        <f t="shared" ca="1" si="0"/>
        <v>-33.250512617291818</v>
      </c>
      <c r="S30" s="191" t="str">
        <f>IF(F30&lt;&gt;"","",IF(G30="","",-G30*(SUMIF('raw Data'!$A:$A,"RESINV1USD",'raw Data'!$G:$G)+SUMIF('raw Data'!$A:$A,"RESSWAPORUSD",'raw Data'!$G:$G))/(36500*J30)))</f>
        <v/>
      </c>
      <c r="T30" s="202" t="str">
        <f>IF(G30&lt;&gt;"","",IF(F30="","",-36500*J30*F30/(SUMIF('raw Data'!$A:$A,"RESINV1USD",'raw Data'!$G:$G)+SUMIF('raw Data'!$A:$A,"RESSWAPORUSD",'raw Data'!$G:$G))))</f>
        <v/>
      </c>
      <c r="U30" s="125">
        <f>SUMIF('raw Data'!$E:$E,A30,'raw Data'!$N:$N)</f>
        <v>0</v>
      </c>
      <c r="V30" s="126">
        <v>39386</v>
      </c>
      <c r="W30" s="127">
        <v>39386</v>
      </c>
      <c r="X30" s="127">
        <v>39568</v>
      </c>
      <c r="Y30" s="127">
        <v>41029</v>
      </c>
      <c r="Z30" s="127">
        <v>41213</v>
      </c>
      <c r="AA30" s="128">
        <v>3.875E-2</v>
      </c>
      <c r="AB30" s="129">
        <v>15510000000</v>
      </c>
      <c r="AC30" s="130" t="str">
        <f ca="1">IF(LEFT(B30,1)="B",_xll.INSTANCE.TBILL(A30,V30,Z30,TODAY()),_xll.INSTANCE.TNOTE(A30,V30,W30,X30,Y30,Z30,AA30,TODAY()))</f>
        <v>US912828HG84#0003</v>
      </c>
    </row>
    <row r="31" spans="1:29" x14ac:dyDescent="0.35">
      <c r="A31" s="131" t="s">
        <v>177</v>
      </c>
      <c r="B31" s="115" t="s">
        <v>1007</v>
      </c>
      <c r="C31" s="364"/>
      <c r="D31" s="116"/>
      <c r="E31" s="117"/>
      <c r="F31" s="118"/>
      <c r="G31" s="369"/>
      <c r="H31" s="120">
        <v>1.2533325458421855E-3</v>
      </c>
      <c r="I31" s="121">
        <f ca="1">_xll.INSTRUMENT.PRIX(AC31,D31,H31,cTreasuries)</f>
        <v>100.08383450240719</v>
      </c>
      <c r="J31" s="122">
        <f ca="1">_xll.INSTRUMENT.DV01(A31,,,I31,cContinuous,I31)</f>
        <v>-3.392889311750173E-3</v>
      </c>
      <c r="K31" s="123">
        <f ca="1">_xll.INSTRUMENT.CONVEXITE(A31,,,I31,cContinuous,I31)</f>
        <v>0.11478395891188155</v>
      </c>
      <c r="L31" s="123">
        <f ca="1">_xll.INSTRUMENT.Z.SPREAD(A31,swapCurve,I31,cContinuous,D31)</f>
        <v>-35.443707263925077</v>
      </c>
      <c r="M31" s="123" t="e">
        <f ca="1">_xll.INSTRUMENT.Z.SPREAD(A31,ustCurve,I31,cContinuous,D31)</f>
        <v>#VALUE!</v>
      </c>
      <c r="N31" s="123">
        <f ca="1">_xll.INSTRUMENT.Z.SPREAD(A31,oisCurve,I31,cContinuous,D31)</f>
        <v>-5.4776058070241014</v>
      </c>
      <c r="O31" s="124" t="e">
        <f ca="1">1/_xll.CALENDRIER.FRAC.ANNEE(_xll.INSTRUMENT.DATE.REGLEMENT($AC31,,),_xll.INSTRUMENT.DATE.REGLEMENT($AC31,_xll.CALENDRIER.GAP.FINANCE(TODAY(),"1M","AUD","Unadjusted"),),"ACT/365")*(_xll.INSTRUMENT.ROLL.DOWN($A31,oisCurve,_xll.CALENDRIER.GAP.FINANCE(TODAY(),"1M","AUD","Unadjusted",TRUE),$N31)+100*$AA31*_xll.CALENDRIER.FRAC.ANNEE(_xll.INSTRUMENT.DATE.REGLEMENT($AC31,,),_xll.INSTRUMENT.DATE.REGLEMENT($AC31,_xll.CALENDRIER.GAP.FINANCE(TODAY(),"1M","AUD","Unadjusted"),),"ACT/365")-$I31)/$I31</f>
        <v>#NAME?</v>
      </c>
      <c r="P31" s="124" t="e">
        <f ca="1">1/_xll.CALENDRIER.FRAC.ANNEE(_xll.INSTRUMENT.DATE.REGLEMENT($AC31,,),_xll.INSTRUMENT.DATE.REGLEMENT($AC31,_xll.CALENDRIER.GAP.FINANCE(TODAY(),"3M","AUD","Unadjusted"),),"ACT/365")*(_xll.INSTRUMENT.ROLL.DOWN($A31,oisCurve,_xll.CALENDRIER.GAP.FINANCE(TODAY(),"3M","AUD","Unadjusted",TRUE),$N31)+100*$AA31*_xll.CALENDRIER.FRAC.ANNEE(_xll.INSTRUMENT.DATE.REGLEMENT($AC31,,),_xll.INSTRUMENT.DATE.REGLEMENT($AC31,_xll.CALENDRIER.GAP.FINANCE(TODAY(),"3M","AUD","Unadjusted"),),"ACT/365")-$I31)/$I31</f>
        <v>#NAME?</v>
      </c>
      <c r="Q31" s="371" t="e">
        <f ca="1">-(O31-curve!$T$3)/J31</f>
        <v>#NAME?</v>
      </c>
      <c r="R31" s="373">
        <f t="shared" ca="1" si="0"/>
        <v>-33.830740812665034</v>
      </c>
      <c r="S31" s="191" t="str">
        <f>IF(F31&lt;&gt;"","",IF(G31="","",-G31*(SUMIF('raw Data'!$A:$A,"RESINV1USD",'raw Data'!$G:$G)+SUMIF('raw Data'!$A:$A,"RESSWAPORUSD",'raw Data'!$G:$G))/(36500*J31)))</f>
        <v/>
      </c>
      <c r="T31" s="202" t="str">
        <f>IF(G31&lt;&gt;"","",IF(F31="","",-36500*J31*F31/(SUMIF('raw Data'!$A:$A,"RESINV1USD",'raw Data'!$G:$G)+SUMIF('raw Data'!$A:$A,"RESSWAPORUSD",'raw Data'!$G:$G))))</f>
        <v/>
      </c>
      <c r="U31" s="125">
        <f>SUMIF('raw Data'!$E:$E,A31,'raw Data'!$N:$N)</f>
        <v>-430468.66189232067</v>
      </c>
      <c r="V31" s="126">
        <v>40483</v>
      </c>
      <c r="W31" s="127">
        <v>40482</v>
      </c>
      <c r="X31" s="127">
        <v>40663</v>
      </c>
      <c r="Y31" s="127">
        <v>41029</v>
      </c>
      <c r="Z31" s="127">
        <v>41213</v>
      </c>
      <c r="AA31" s="128">
        <v>3.7499999999999999E-3</v>
      </c>
      <c r="AB31" s="129">
        <v>35717000000</v>
      </c>
      <c r="AC31" s="130" t="str">
        <f ca="1">IF(LEFT(B31,1)="B",_xll.INSTANCE.TBILL(A31,V31,Z31,TODAY()),_xll.INSTANCE.TNOTE(A31,V31,W31,X31,Y31,Z31,AA31,TODAY()))</f>
        <v>US912828PD61#0003</v>
      </c>
    </row>
    <row r="32" spans="1:29" x14ac:dyDescent="0.35">
      <c r="A32" s="131" t="s">
        <v>743</v>
      </c>
      <c r="B32" s="115" t="s">
        <v>1008</v>
      </c>
      <c r="C32" s="364"/>
      <c r="D32" s="116"/>
      <c r="E32" s="117"/>
      <c r="F32" s="118"/>
      <c r="G32" s="369"/>
      <c r="H32" s="120">
        <v>1.1156938287357856E-3</v>
      </c>
      <c r="I32" s="121">
        <f ca="1">_xll.INSTRUMENT.PRIX(AC32,D32,H32,cTreasuries)</f>
        <v>99.96191021641495</v>
      </c>
      <c r="J32" s="122">
        <f ca="1">_xll.INSTRUMENT.DV01(A32,,,I32,cContinuous,I32)</f>
        <v>-3.4139990852847554E-3</v>
      </c>
      <c r="K32" s="123">
        <f ca="1">_xll.INSTRUMENT.CONVEXITE(A32,,,I32,cContinuous,I32)</f>
        <v>0.11664277822568608</v>
      </c>
      <c r="L32" s="123">
        <f ca="1">_xll.INSTRUMENT.Z.SPREAD(A32,swapCurve,I32,cContinuous,D32)</f>
        <v>-36.775535821291889</v>
      </c>
      <c r="M32" s="123" t="e">
        <f ca="1">_xll.INSTRUMENT.Z.SPREAD(A32,ustCurve,I32,cContinuous,D32)</f>
        <v>#VALUE!</v>
      </c>
      <c r="N32" s="123">
        <f ca="1">_xll.INSTRUMENT.Z.SPREAD(A32,oisCurve,I32,cContinuous,D32)</f>
        <v>-6.8551571355556522</v>
      </c>
      <c r="O32" s="124" t="e">
        <f ca="1">1/_xll.CALENDRIER.FRAC.ANNEE(_xll.INSTRUMENT.DATE.REGLEMENT($AC32,,),_xll.INSTRUMENT.DATE.REGLEMENT($AC32,_xll.CALENDRIER.GAP.FINANCE(TODAY(),"1M","AUD","Unadjusted"),),"ACT/365")*(_xll.INSTRUMENT.ROLL.DOWN($A32,oisCurve,_xll.CALENDRIER.GAP.FINANCE(TODAY(),"1M","AUD","Unadjusted",TRUE),$N32)+100*$AA32*_xll.CALENDRIER.FRAC.ANNEE(_xll.INSTRUMENT.DATE.REGLEMENT($AC32,,),_xll.INSTRUMENT.DATE.REGLEMENT($AC32,_xll.CALENDRIER.GAP.FINANCE(TODAY(),"1M","AUD","Unadjusted"),),"ACT/365")-$I32)/$I32</f>
        <v>#NAME?</v>
      </c>
      <c r="P32" s="124" t="e">
        <f ca="1">1/_xll.CALENDRIER.FRAC.ANNEE(_xll.INSTRUMENT.DATE.REGLEMENT($AC32,,),_xll.INSTRUMENT.DATE.REGLEMENT($AC32,_xll.CALENDRIER.GAP.FINANCE(TODAY(),"3M","AUD","Unadjusted"),),"ACT/365")*(_xll.INSTRUMENT.ROLL.DOWN($A32,oisCurve,_xll.CALENDRIER.GAP.FINANCE(TODAY(),"3M","AUD","Unadjusted",TRUE),$N32)+100*$AA32*_xll.CALENDRIER.FRAC.ANNEE(_xll.INSTRUMENT.DATE.REGLEMENT($AC32,,),_xll.INSTRUMENT.DATE.REGLEMENT($AC32,_xll.CALENDRIER.GAP.FINANCE(TODAY(),"3M","AUD","Unadjusted"),),"ACT/365")-$I32)/$I32</f>
        <v>#NAME?</v>
      </c>
      <c r="Q32" s="371" t="e">
        <f ca="1">-(O32-curve!$T$3)/J32</f>
        <v>#NAME?</v>
      </c>
      <c r="R32" s="373">
        <f t="shared" ca="1" si="0"/>
        <v>-34.16602503745461</v>
      </c>
      <c r="S32" s="191" t="str">
        <f>IF(F32&lt;&gt;"","",IF(G32="","",-G32*(SUMIF('raw Data'!$A:$A,"RESINV1USD",'raw Data'!$G:$G)+SUMIF('raw Data'!$A:$A,"RESSWAPORUSD",'raw Data'!$G:$G))/(36500*J32)))</f>
        <v/>
      </c>
      <c r="T32" s="202" t="str">
        <f>IF(G32&lt;&gt;"","",IF(F32="","",-36500*J32*F32/(SUMIF('raw Data'!$A:$A,"RESINV1USD",'raw Data'!$G:$G)+SUMIF('raw Data'!$A:$A,"RESSWAPORUSD",'raw Data'!$G:$G))))</f>
        <v/>
      </c>
      <c r="U32" s="125">
        <f>SUMIF('raw Data'!$E:$E,A32,'raw Data'!$N:$N)</f>
        <v>-268027.65740465251</v>
      </c>
      <c r="V32" s="126">
        <v>41032</v>
      </c>
      <c r="W32" s="127" t="e">
        <v>#VALUE!</v>
      </c>
      <c r="X32" s="127" t="e">
        <v>#VALUE!</v>
      </c>
      <c r="Y32" s="127" t="e">
        <v>#VALUE!</v>
      </c>
      <c r="Z32" s="127">
        <v>41214</v>
      </c>
      <c r="AA32" s="128">
        <v>0</v>
      </c>
      <c r="AB32" s="129">
        <v>28000000000</v>
      </c>
      <c r="AC32" s="130" t="str">
        <f ca="1">IF(LEFT(B32,1)="B",_xll.INSTANCE.TBILL(A32,V32,Z32,TODAY()),_xll.INSTANCE.TNOTE(A32,V32,W32,X32,Y32,Z32,AA32,TODAY()))</f>
        <v>US9127956P13#0003</v>
      </c>
    </row>
    <row r="33" spans="1:29" x14ac:dyDescent="0.35">
      <c r="A33" s="131" t="s">
        <v>856</v>
      </c>
      <c r="B33" s="115" t="s">
        <v>1009</v>
      </c>
      <c r="C33" s="364"/>
      <c r="D33" s="116"/>
      <c r="E33" s="117"/>
      <c r="F33" s="118"/>
      <c r="G33" s="369"/>
      <c r="H33" s="120">
        <v>1.1157177016003432E-3</v>
      </c>
      <c r="I33" s="121">
        <f ca="1">_xll.INSTRUMENT.PRIX(AC33,D33,H33,cTreasuries)</f>
        <v>99.959777186183558</v>
      </c>
      <c r="J33" s="122">
        <f ca="1">_xll.INSTRUMENT.DV01(A33,,,I33,cContinuous,I33)</f>
        <v>-3.6051060727194254E-3</v>
      </c>
      <c r="K33" s="123">
        <f ca="1">_xll.INSTRUMENT.CONVEXITE(A33,,,I33,cContinuous,I33)</f>
        <v>0.1300725611394786</v>
      </c>
      <c r="L33" s="123">
        <f ca="1">_xll.INSTRUMENT.Z.SPREAD(A33,swapCurve,I33,cContinuous,D33)</f>
        <v>-36.394035533747008</v>
      </c>
      <c r="M33" s="123" t="e">
        <f ca="1">_xll.INSTRUMENT.Z.SPREAD(A33,ustCurve,I33,cContinuous,D33)</f>
        <v>#VALUE!</v>
      </c>
      <c r="N33" s="123">
        <f ca="1">_xll.INSTRUMENT.Z.SPREAD(A33,oisCurve,I33,cContinuous,D33)</f>
        <v>-6.8896365988045929</v>
      </c>
      <c r="O33" s="124" t="e">
        <f ca="1">1/_xll.CALENDRIER.FRAC.ANNEE(_xll.INSTRUMENT.DATE.REGLEMENT($AC33,,),_xll.INSTRUMENT.DATE.REGLEMENT($AC33,_xll.CALENDRIER.GAP.FINANCE(TODAY(),"1M","AUD","Unadjusted"),),"ACT/365")*(_xll.INSTRUMENT.ROLL.DOWN($A33,oisCurve,_xll.CALENDRIER.GAP.FINANCE(TODAY(),"1M","AUD","Unadjusted",TRUE),$N33)+100*$AA33*_xll.CALENDRIER.FRAC.ANNEE(_xll.INSTRUMENT.DATE.REGLEMENT($AC33,,),_xll.INSTRUMENT.DATE.REGLEMENT($AC33,_xll.CALENDRIER.GAP.FINANCE(TODAY(),"1M","AUD","Unadjusted"),),"ACT/365")-$I33)/$I33</f>
        <v>#NAME?</v>
      </c>
      <c r="P33" s="124" t="e">
        <f ca="1">1/_xll.CALENDRIER.FRAC.ANNEE(_xll.INSTRUMENT.DATE.REGLEMENT($AC33,,),_xll.INSTRUMENT.DATE.REGLEMENT($AC33,_xll.CALENDRIER.GAP.FINANCE(TODAY(),"3M","AUD","Unadjusted"),),"ACT/365")*(_xll.INSTRUMENT.ROLL.DOWN($A33,oisCurve,_xll.CALENDRIER.GAP.FINANCE(TODAY(),"3M","AUD","Unadjusted",TRUE),$N33)+100*$AA33*_xll.CALENDRIER.FRAC.ANNEE(_xll.INSTRUMENT.DATE.REGLEMENT($AC33,,),_xll.INSTRUMENT.DATE.REGLEMENT($AC33,_xll.CALENDRIER.GAP.FINANCE(TODAY(),"3M","AUD","Unadjusted"),),"ACT/365")-$I33)/$I33</f>
        <v>#NAME?</v>
      </c>
      <c r="Q33" s="371" t="e">
        <f ca="1">-(O33-curve!$T$3)/J33</f>
        <v>#NAME?</v>
      </c>
      <c r="R33" s="373">
        <f t="shared" ca="1" si="0"/>
        <v>-36.080092656292216</v>
      </c>
      <c r="S33" s="191" t="str">
        <f>IF(F33&lt;&gt;"","",IF(G33="","",-G33*(SUMIF('raw Data'!$A:$A,"RESINV1USD",'raw Data'!$G:$G)+SUMIF('raw Data'!$A:$A,"RESSWAPORUSD",'raw Data'!$G:$G))/(36500*J33)))</f>
        <v/>
      </c>
      <c r="T33" s="202" t="str">
        <f>IF(G33&lt;&gt;"","",IF(F33="","",-36500*J33*F33/(SUMIF('raw Data'!$A:$A,"RESINV1USD",'raw Data'!$G:$G)+SUMIF('raw Data'!$A:$A,"RESSWAPORUSD",'raw Data'!$G:$G))))</f>
        <v/>
      </c>
      <c r="U33" s="125">
        <f>SUMIF('raw Data'!$E:$E,A33,'raw Data'!$N:$N)</f>
        <v>-268027.65740465251</v>
      </c>
      <c r="V33" s="126">
        <v>41039</v>
      </c>
      <c r="W33" s="127" t="e">
        <v>#VALUE!</v>
      </c>
      <c r="X33" s="127" t="e">
        <v>#VALUE!</v>
      </c>
      <c r="Y33" s="127" t="e">
        <v>#VALUE!</v>
      </c>
      <c r="Z33" s="127">
        <v>41221</v>
      </c>
      <c r="AA33" s="128">
        <v>0</v>
      </c>
      <c r="AB33" s="129">
        <v>28001000000</v>
      </c>
      <c r="AC33" s="130" t="str">
        <f ca="1">IF(LEFT(B33,1)="B",_xll.INSTANCE.TBILL(A33,V33,Z33,TODAY()),_xll.INSTANCE.TNOTE(A33,V33,W33,X33,Y33,Z33,AA33,TODAY()))</f>
        <v>US9127956S51#0003</v>
      </c>
    </row>
    <row r="34" spans="1:29" x14ac:dyDescent="0.35">
      <c r="A34" s="131" t="s">
        <v>895</v>
      </c>
      <c r="B34" s="115" t="s">
        <v>1010</v>
      </c>
      <c r="C34" s="364"/>
      <c r="D34" s="116"/>
      <c r="E34" s="117"/>
      <c r="F34" s="118"/>
      <c r="G34" s="369"/>
      <c r="H34" s="120">
        <v>1.118798401720302E-3</v>
      </c>
      <c r="I34" s="121">
        <f ca="1">_xll.INSTRUMENT.PRIX(AC34,D34,H34,cTreasuries)</f>
        <v>99.95752816157966</v>
      </c>
      <c r="J34" s="122">
        <f ca="1">_xll.INSTRUMENT.DV01(A34,,,I34,cContinuous,I34)</f>
        <v>-3.7962004875169778E-3</v>
      </c>
      <c r="K34" s="123">
        <f ca="1">_xll.INSTRUMENT.CONVEXITE(A34,,,I34,cContinuous,I34)</f>
        <v>0.14423392755830272</v>
      </c>
      <c r="L34" s="123">
        <f ca="1">_xll.INSTRUMENT.Z.SPREAD(A34,swapCurve,I34,cContinuous,D34)</f>
        <v>-35.864407067692582</v>
      </c>
      <c r="M34" s="123" t="e">
        <f ca="1">_xll.INSTRUMENT.Z.SPREAD(A34,ustCurve,I34,cContinuous,D34)</f>
        <v>#VALUE!</v>
      </c>
      <c r="N34" s="123">
        <f ca="1">_xll.INSTRUMENT.Z.SPREAD(A34,oisCurve,I34,cContinuous,D34)</f>
        <v>-6.8857571009005465</v>
      </c>
      <c r="O34" s="124" t="e">
        <f ca="1">1/_xll.CALENDRIER.FRAC.ANNEE(_xll.INSTRUMENT.DATE.REGLEMENT($AC34,,),_xll.INSTRUMENT.DATE.REGLEMENT($AC34,_xll.CALENDRIER.GAP.FINANCE(TODAY(),"1M","AUD","Unadjusted"),),"ACT/365")*(_xll.INSTRUMENT.ROLL.DOWN($A34,oisCurve,_xll.CALENDRIER.GAP.FINANCE(TODAY(),"1M","AUD","Unadjusted",TRUE),$N34)+100*$AA34*_xll.CALENDRIER.FRAC.ANNEE(_xll.INSTRUMENT.DATE.REGLEMENT($AC34,,),_xll.INSTRUMENT.DATE.REGLEMENT($AC34,_xll.CALENDRIER.GAP.FINANCE(TODAY(),"1M","AUD","Unadjusted"),),"ACT/365")-$I34)/$I34</f>
        <v>#NAME?</v>
      </c>
      <c r="P34" s="124" t="e">
        <f ca="1">1/_xll.CALENDRIER.FRAC.ANNEE(_xll.INSTRUMENT.DATE.REGLEMENT($AC34,,),_xll.INSTRUMENT.DATE.REGLEMENT($AC34,_xll.CALENDRIER.GAP.FINANCE(TODAY(),"3M","AUD","Unadjusted"),),"ACT/365")*(_xll.INSTRUMENT.ROLL.DOWN($A34,oisCurve,_xll.CALENDRIER.GAP.FINANCE(TODAY(),"3M","AUD","Unadjusted",TRUE),$N34)+100*$AA34*_xll.CALENDRIER.FRAC.ANNEE(_xll.INSTRUMENT.DATE.REGLEMENT($AC34,,),_xll.INSTRUMENT.DATE.REGLEMENT($AC34,_xll.CALENDRIER.GAP.FINANCE(TODAY(),"3M","AUD","Unadjusted"),),"ACT/365")-$I34)/$I34</f>
        <v>#NAME?</v>
      </c>
      <c r="Q34" s="371" t="e">
        <f ca="1">-(O34-curve!$T$3)/J34</f>
        <v>#NAME?</v>
      </c>
      <c r="R34" s="373">
        <f t="shared" ca="1" si="0"/>
        <v>-37.994286137569986</v>
      </c>
      <c r="S34" s="191" t="str">
        <f>IF(F34&lt;&gt;"","",IF(G34="","",-G34*(SUMIF('raw Data'!$A:$A,"RESINV1USD",'raw Data'!$G:$G)+SUMIF('raw Data'!$A:$A,"RESSWAPORUSD",'raw Data'!$G:$G))/(36500*J34)))</f>
        <v/>
      </c>
      <c r="T34" s="202" t="str">
        <f>IF(G34&lt;&gt;"","",IF(F34="","",-36500*J34*F34/(SUMIF('raw Data'!$A:$A,"RESINV1USD",'raw Data'!$G:$G)+SUMIF('raw Data'!$A:$A,"RESSWAPORUSD",'raw Data'!$G:$G))))</f>
        <v/>
      </c>
      <c r="U34" s="125">
        <f>SUMIF('raw Data'!$E:$E,A34,'raw Data'!$N:$N)</f>
        <v>-268027.65740465251</v>
      </c>
      <c r="V34" s="126">
        <v>40864</v>
      </c>
      <c r="W34" s="127" t="e">
        <v>#VALUE!</v>
      </c>
      <c r="X34" s="127" t="e">
        <v>#VALUE!</v>
      </c>
      <c r="Y34" s="127" t="e">
        <v>#VALUE!</v>
      </c>
      <c r="Z34" s="127">
        <v>41228</v>
      </c>
      <c r="AA34" s="128">
        <v>0</v>
      </c>
      <c r="AB34" s="129">
        <v>52001000000</v>
      </c>
      <c r="AC34" s="130" t="str">
        <f ca="1">IF(LEFT(B34,1)="B",_xll.INSTANCE.TBILL(A34,V34,Z34,TODAY()),_xll.INSTANCE.TNOTE(A34,V34,W34,X34,Y34,Z34,AA34,TODAY()))</f>
        <v>US9127955L18#0003</v>
      </c>
    </row>
    <row r="35" spans="1:29" x14ac:dyDescent="0.35">
      <c r="A35" s="131" t="s">
        <v>412</v>
      </c>
      <c r="B35" s="115" t="s">
        <v>1011</v>
      </c>
      <c r="C35" s="364"/>
      <c r="D35" s="116"/>
      <c r="E35" s="117"/>
      <c r="F35" s="118"/>
      <c r="G35" s="369"/>
      <c r="H35" s="120">
        <v>1.2891808175067236E-3</v>
      </c>
      <c r="I35" s="121">
        <f ca="1">_xll.INSTRUMENT.PRIX(AC35,D35,H35,cTreasuries)</f>
        <v>101.46095409808106</v>
      </c>
      <c r="J35" s="122">
        <f ca="1">_xll.INSTRUMENT.DV01(A35,,,I35,cContinuous,I35)</f>
        <v>-3.8718740538992067E-3</v>
      </c>
      <c r="K35" s="123">
        <f ca="1">_xll.INSTRUMENT.CONVEXITE(A35,,,I35,cContinuous,I35)</f>
        <v>0.14423392755830269</v>
      </c>
      <c r="L35" s="123">
        <f ca="1">_xll.INSTRUMENT.Z.SPREAD(A35,swapCurve,I35,cContinuous,D35)</f>
        <v>-34.166014761011056</v>
      </c>
      <c r="M35" s="123" t="e">
        <f ca="1">_xll.INSTRUMENT.Z.SPREAD(A35,ustCurve,I35,cContinuous,D35)</f>
        <v>#VALUE!</v>
      </c>
      <c r="N35" s="123">
        <f ca="1">_xll.INSTRUMENT.Z.SPREAD(A35,oisCurve,I35,cContinuous,D35)</f>
        <v>-5.187364794210171</v>
      </c>
      <c r="O35" s="124" t="e">
        <f ca="1">1/_xll.CALENDRIER.FRAC.ANNEE(_xll.INSTRUMENT.DATE.REGLEMENT($AC35,,),_xll.INSTRUMENT.DATE.REGLEMENT($AC35,_xll.CALENDRIER.GAP.FINANCE(TODAY(),"1M","AUD","Unadjusted"),),"ACT/365")*(_xll.INSTRUMENT.ROLL.DOWN($A35,oisCurve,_xll.CALENDRIER.GAP.FINANCE(TODAY(),"1M","AUD","Unadjusted",TRUE),$N35)+100*$AA35*_xll.CALENDRIER.FRAC.ANNEE(_xll.INSTRUMENT.DATE.REGLEMENT($AC35,,),_xll.INSTRUMENT.DATE.REGLEMENT($AC35,_xll.CALENDRIER.GAP.FINANCE(TODAY(),"1M","AUD","Unadjusted"),),"ACT/365")-$I35)/$I35</f>
        <v>#NAME?</v>
      </c>
      <c r="P35" s="124" t="e">
        <f ca="1">1/_xll.CALENDRIER.FRAC.ANNEE(_xll.INSTRUMENT.DATE.REGLEMENT($AC35,,),_xll.INSTRUMENT.DATE.REGLEMENT($AC35,_xll.CALENDRIER.GAP.FINANCE(TODAY(),"3M","AUD","Unadjusted"),),"ACT/365")*(_xll.INSTRUMENT.ROLL.DOWN($A35,oisCurve,_xll.CALENDRIER.GAP.FINANCE(TODAY(),"3M","AUD","Unadjusted",TRUE),$N35)+100*$AA35*_xll.CALENDRIER.FRAC.ANNEE(_xll.INSTRUMENT.DATE.REGLEMENT($AC35,,),_xll.INSTRUMENT.DATE.REGLEMENT($AC35,_xll.CALENDRIER.GAP.FINANCE(TODAY(),"3M","AUD","Unadjusted"),),"ACT/365")-$I35)/$I35</f>
        <v>#NAME?</v>
      </c>
      <c r="Q35" s="371" t="e">
        <f ca="1">-(O35-curve!$T$3)/J35</f>
        <v>#NAME?</v>
      </c>
      <c r="R35" s="373">
        <f t="shared" ca="1" si="0"/>
        <v>-37.251709521142757</v>
      </c>
      <c r="S35" s="191" t="str">
        <f>IF(F35&lt;&gt;"","",IF(G35="","",-G35*(SUMIF('raw Data'!$A:$A,"RESINV1USD",'raw Data'!$G:$G)+SUMIF('raw Data'!$A:$A,"RESSWAPORUSD",'raw Data'!$G:$G))/(36500*J35)))</f>
        <v/>
      </c>
      <c r="T35" s="202" t="str">
        <f>IF(G35&lt;&gt;"","",IF(F35="","",-36500*J35*F35/(SUMIF('raw Data'!$A:$A,"RESINV1USD",'raw Data'!$G:$G)+SUMIF('raw Data'!$A:$A,"RESSWAPORUSD",'raw Data'!$G:$G))))</f>
        <v/>
      </c>
      <c r="U35" s="125">
        <f>SUMIF('raw Data'!$E:$E,A35,'raw Data'!$N:$N)</f>
        <v>0</v>
      </c>
      <c r="V35" s="126">
        <v>37575</v>
      </c>
      <c r="W35" s="127">
        <v>37575</v>
      </c>
      <c r="X35" s="127">
        <v>37756</v>
      </c>
      <c r="Y35" s="127">
        <v>41044</v>
      </c>
      <c r="Z35" s="127">
        <v>41228</v>
      </c>
      <c r="AA35" s="128">
        <v>0.04</v>
      </c>
      <c r="AB35" s="129">
        <v>18113000000</v>
      </c>
      <c r="AC35" s="130" t="str">
        <f ca="1">IF(LEFT(B35,1)="B",_xll.INSTANCE.TBILL(A35,V35,Z35,TODAY()),_xll.INSTANCE.TNOTE(A35,V35,W35,X35,Y35,Z35,AA35,TODAY()))</f>
        <v>US912828AP56#0003</v>
      </c>
    </row>
    <row r="36" spans="1:29" x14ac:dyDescent="0.35">
      <c r="A36" s="131" t="s">
        <v>411</v>
      </c>
      <c r="B36" s="115" t="s">
        <v>1012</v>
      </c>
      <c r="C36" s="364"/>
      <c r="D36" s="116"/>
      <c r="E36" s="117"/>
      <c r="F36" s="118"/>
      <c r="G36" s="369"/>
      <c r="H36" s="120">
        <v>1.4796124416109108E-3</v>
      </c>
      <c r="I36" s="121">
        <f ca="1">_xll.INSTRUMENT.PRIX(AC36,D36,H36,cTreasuries)</f>
        <v>100.46281393080156</v>
      </c>
      <c r="J36" s="122">
        <f ca="1">_xll.INSTRUMENT.DV01(A36,,,I36,cContinuous,I36)</f>
        <v>-3.8217758826439617E-3</v>
      </c>
      <c r="K36" s="123">
        <f ca="1">_xll.INSTRUMENT.CONVEXITE(A36,,,I36,cContinuous,I36)</f>
        <v>0.14423392755830272</v>
      </c>
      <c r="L36" s="123">
        <f ca="1">_xll.INSTRUMENT.Z.SPREAD(A36,swapCurve,I36,cContinuous,D36)</f>
        <v>-32.267899537166201</v>
      </c>
      <c r="M36" s="123" t="e">
        <f ca="1">_xll.INSTRUMENT.Z.SPREAD(A36,ustCurve,I36,cContinuous,D36)</f>
        <v>#VALUE!</v>
      </c>
      <c r="N36" s="123">
        <f ca="1">_xll.INSTRUMENT.Z.SPREAD(A36,oisCurve,I36,cContinuous,D36)</f>
        <v>-3.2892495703502327</v>
      </c>
      <c r="O36" s="124" t="e">
        <f ca="1">1/_xll.CALENDRIER.FRAC.ANNEE(_xll.INSTRUMENT.DATE.REGLEMENT($AC36,,),_xll.INSTRUMENT.DATE.REGLEMENT($AC36,_xll.CALENDRIER.GAP.FINANCE(TODAY(),"1M","AUD","Unadjusted"),),"ACT/365")*(_xll.INSTRUMENT.ROLL.DOWN($A36,oisCurve,_xll.CALENDRIER.GAP.FINANCE(TODAY(),"1M","AUD","Unadjusted",TRUE),$N36)+100*$AA36*_xll.CALENDRIER.FRAC.ANNEE(_xll.INSTRUMENT.DATE.REGLEMENT($AC36,,),_xll.INSTRUMENT.DATE.REGLEMENT($AC36,_xll.CALENDRIER.GAP.FINANCE(TODAY(),"1M","AUD","Unadjusted"),),"ACT/365")-$I36)/$I36</f>
        <v>#NAME?</v>
      </c>
      <c r="P36" s="124" t="e">
        <f ca="1">1/_xll.CALENDRIER.FRAC.ANNEE(_xll.INSTRUMENT.DATE.REGLEMENT($AC36,,),_xll.INSTRUMENT.DATE.REGLEMENT($AC36,_xll.CALENDRIER.GAP.FINANCE(TODAY(),"3M","AUD","Unadjusted"),),"ACT/365")*(_xll.INSTRUMENT.ROLL.DOWN($A36,oisCurve,_xll.CALENDRIER.GAP.FINANCE(TODAY(),"3M","AUD","Unadjusted",TRUE),$N36)+100*$AA36*_xll.CALENDRIER.FRAC.ANNEE(_xll.INSTRUMENT.DATE.REGLEMENT($AC36,,),_xll.INSTRUMENT.DATE.REGLEMENT($AC36,_xll.CALENDRIER.GAP.FINANCE(TODAY(),"3M","AUD","Unadjusted"),),"ACT/365")-$I36)/$I36</f>
        <v>#NAME?</v>
      </c>
      <c r="Q36" s="371" t="e">
        <f ca="1">-(O36-curve!$T$3)/J36</f>
        <v>#NAME?</v>
      </c>
      <c r="R36" s="373">
        <f t="shared" ca="1" si="0"/>
        <v>-37.74002766968102</v>
      </c>
      <c r="S36" s="191" t="str">
        <f>IF(F36&lt;&gt;"","",IF(G36="","",-G36*(SUMIF('raw Data'!$A:$A,"RESINV1USD",'raw Data'!$G:$G)+SUMIF('raw Data'!$A:$A,"RESSWAPORUSD",'raw Data'!$G:$G))/(36500*J36)))</f>
        <v/>
      </c>
      <c r="T36" s="202" t="str">
        <f>IF(G36&lt;&gt;"","",IF(F36="","",-36500*J36*F36/(SUMIF('raw Data'!$A:$A,"RESINV1USD",'raw Data'!$G:$G)+SUMIF('raw Data'!$A:$A,"RESSWAPORUSD",'raw Data'!$G:$G))))</f>
        <v/>
      </c>
      <c r="U36" s="125">
        <f>SUMIF('raw Data'!$E:$E,A36,'raw Data'!$N:$N)</f>
        <v>0</v>
      </c>
      <c r="V36" s="126">
        <v>40133</v>
      </c>
      <c r="W36" s="127">
        <v>40132</v>
      </c>
      <c r="X36" s="127">
        <v>40313</v>
      </c>
      <c r="Y36" s="127">
        <v>41044</v>
      </c>
      <c r="Z36" s="127">
        <v>41228</v>
      </c>
      <c r="AA36" s="128">
        <v>1.375E-2</v>
      </c>
      <c r="AB36" s="129">
        <v>44975000000.000008</v>
      </c>
      <c r="AC36" s="130" t="str">
        <f ca="1">IF(LEFT(B36,1)="B",_xll.INSTANCE.TBILL(A36,V36,Z36,TODAY()),_xll.INSTANCE.TNOTE(A36,V36,W36,X36,Y36,Z36,AA36,TODAY()))</f>
        <v>US912828LX61#0003</v>
      </c>
    </row>
    <row r="37" spans="1:29" x14ac:dyDescent="0.35">
      <c r="A37" s="131" t="s">
        <v>897</v>
      </c>
      <c r="B37" s="115" t="s">
        <v>1013</v>
      </c>
      <c r="C37" s="364"/>
      <c r="D37" s="116"/>
      <c r="E37" s="117"/>
      <c r="F37" s="118"/>
      <c r="G37" s="369"/>
      <c r="H37" s="120">
        <v>1.1665089130585787E-3</v>
      </c>
      <c r="I37" s="121">
        <f ca="1">_xll.INSTRUMENT.PRIX(AC37,D37,H37,cTreasuries)</f>
        <v>99.953170352941385</v>
      </c>
      <c r="J37" s="122">
        <f ca="1">_xll.INSTRUMENT.DV01(A37,,,I37,cContinuous,I37)</f>
        <v>-4.0145117690630425E-3</v>
      </c>
      <c r="K37" s="123">
        <f ca="1">_xll.INSTRUMENT.CONVEXITE(A37,,,I37,cContinuous,I37)</f>
        <v>0.16131416285944639</v>
      </c>
      <c r="L37" s="123">
        <f ca="1">_xll.INSTRUMENT.Z.SPREAD(A37,swapCurve,I37,cContinuous,D37)</f>
        <v>-34.760189985268681</v>
      </c>
      <c r="M37" s="123" t="e">
        <f ca="1">_xll.INSTRUMENT.Z.SPREAD(A37,ustCurve,I37,cContinuous,D37)</f>
        <v>#VALUE!</v>
      </c>
      <c r="N37" s="123">
        <f ca="1">_xll.INSTRUMENT.Z.SPREAD(A37,oisCurve,I37,cContinuous,D37)</f>
        <v>-6.4288031932765488</v>
      </c>
      <c r="O37" s="124" t="e">
        <f ca="1">1/_xll.CALENDRIER.FRAC.ANNEE(_xll.INSTRUMENT.DATE.REGLEMENT($AC37,,),_xll.INSTRUMENT.DATE.REGLEMENT($AC37,_xll.CALENDRIER.GAP.FINANCE(TODAY(),"1M","AUD","Unadjusted"),),"ACT/365")*(_xll.INSTRUMENT.ROLL.DOWN($A37,oisCurve,_xll.CALENDRIER.GAP.FINANCE(TODAY(),"1M","AUD","Unadjusted",TRUE),$N37)+100*$AA37*_xll.CALENDRIER.FRAC.ANNEE(_xll.INSTRUMENT.DATE.REGLEMENT($AC37,,),_xll.INSTRUMENT.DATE.REGLEMENT($AC37,_xll.CALENDRIER.GAP.FINANCE(TODAY(),"1M","AUD","Unadjusted"),),"ACT/365")-$I37)/$I37</f>
        <v>#NAME?</v>
      </c>
      <c r="P37" s="124" t="e">
        <f ca="1">1/_xll.CALENDRIER.FRAC.ANNEE(_xll.INSTRUMENT.DATE.REGLEMENT($AC37,,),_xll.INSTRUMENT.DATE.REGLEMENT($AC37,_xll.CALENDRIER.GAP.FINANCE(TODAY(),"3M","AUD","Unadjusted"),),"ACT/365")*(_xll.INSTRUMENT.ROLL.DOWN($A37,oisCurve,_xll.CALENDRIER.GAP.FINANCE(TODAY(),"3M","AUD","Unadjusted",TRUE),$N37)+100*$AA37*_xll.CALENDRIER.FRAC.ANNEE(_xll.INSTRUMENT.DATE.REGLEMENT($AC37,,),_xll.INSTRUMENT.DATE.REGLEMENT($AC37,_xll.CALENDRIER.GAP.FINANCE(TODAY(),"3M","AUD","Unadjusted"),),"ACT/365")-$I37)/$I37</f>
        <v>#NAME?</v>
      </c>
      <c r="Q37" s="371" t="e">
        <f ca="1">-(O37-curve!$T$3)/J37</f>
        <v>#NAME?</v>
      </c>
      <c r="R37" s="373">
        <f t="shared" ca="1" si="0"/>
        <v>-40.182759981569546</v>
      </c>
      <c r="S37" s="191" t="str">
        <f>IF(F37&lt;&gt;"","",IF(G37="","",-G37*(SUMIF('raw Data'!$A:$A,"RESINV1USD",'raw Data'!$G:$G)+SUMIF('raw Data'!$A:$A,"RESSWAPORUSD",'raw Data'!$G:$G))/(36500*J37)))</f>
        <v/>
      </c>
      <c r="T37" s="202" t="str">
        <f>IF(G37&lt;&gt;"","",IF(F37="","",-36500*J37*F37/(SUMIF('raw Data'!$A:$A,"RESINV1USD",'raw Data'!$G:$G)+SUMIF('raw Data'!$A:$A,"RESSWAPORUSD",'raw Data'!$G:$G))))</f>
        <v/>
      </c>
      <c r="U37" s="125">
        <f>SUMIF('raw Data'!$E:$E,A37,'raw Data'!$N:$N)</f>
        <v>-268027.65740465251</v>
      </c>
      <c r="V37" s="126">
        <v>41053</v>
      </c>
      <c r="W37" s="127" t="e">
        <v>#VALUE!</v>
      </c>
      <c r="X37" s="127" t="e">
        <v>#VALUE!</v>
      </c>
      <c r="Y37" s="127" t="e">
        <v>#VALUE!</v>
      </c>
      <c r="Z37" s="127">
        <v>41236</v>
      </c>
      <c r="AA37" s="128">
        <v>0</v>
      </c>
      <c r="AB37" s="129">
        <v>27000000000</v>
      </c>
      <c r="AC37" s="130" t="str">
        <f ca="1">IF(LEFT(B37,1)="B",_xll.INSTANCE.TBILL(A37,V37,Z37,TODAY()),_xll.INSTANCE.TNOTE(A37,V37,W37,X37,Y37,Z37,AA37,TODAY()))</f>
        <v>US9127956T35#0003</v>
      </c>
    </row>
    <row r="38" spans="1:29" x14ac:dyDescent="0.35">
      <c r="A38" s="131" t="s">
        <v>908</v>
      </c>
      <c r="B38" s="115" t="s">
        <v>1014</v>
      </c>
      <c r="C38" s="364"/>
      <c r="D38" s="116"/>
      <c r="E38" s="117"/>
      <c r="F38" s="118"/>
      <c r="G38" s="369"/>
      <c r="H38" s="120">
        <v>1.3695202583989213E-3</v>
      </c>
      <c r="I38" s="121">
        <f ca="1">_xll.INSTRUMENT.PRIX(AC38,D38,H38,cTreasuries)</f>
        <v>99.942782320340243</v>
      </c>
      <c r="J38" s="122">
        <f ca="1">_xll.INSTRUMENT.DV01(A38,,,I38,cContinuous,I38)</f>
        <v>-4.1779351116057349E-3</v>
      </c>
      <c r="K38" s="123">
        <f ca="1">_xll.INSTRUMENT.CONVEXITE(A38,,,I38,cContinuous,I38)</f>
        <v>0.17475141091104543</v>
      </c>
      <c r="L38" s="123">
        <f ca="1">_xll.INSTRUMENT.Z.SPREAD(A38,swapCurve,I38,cContinuous,D38)</f>
        <v>-32.271064116194864</v>
      </c>
      <c r="M38" s="123" t="e">
        <f ca="1">_xll.INSTRUMENT.Z.SPREAD(A38,ustCurve,I38,cContinuous,D38)</f>
        <v>#VALUE!</v>
      </c>
      <c r="N38" s="123">
        <f ca="1">_xll.INSTRUMENT.Z.SPREAD(A38,oisCurve,I38,cContinuous,D38)</f>
        <v>-4.4095731449414108</v>
      </c>
      <c r="O38" s="124" t="e">
        <f ca="1">1/_xll.CALENDRIER.FRAC.ANNEE(_xll.INSTRUMENT.DATE.REGLEMENT($AC38,,),_xll.INSTRUMENT.DATE.REGLEMENT($AC38,_xll.CALENDRIER.GAP.FINANCE(TODAY(),"1M","AUD","Unadjusted"),),"ACT/365")*(_xll.INSTRUMENT.ROLL.DOWN($A38,oisCurve,_xll.CALENDRIER.GAP.FINANCE(TODAY(),"1M","AUD","Unadjusted",TRUE),$N38)+100*$AA38*_xll.CALENDRIER.FRAC.ANNEE(_xll.INSTRUMENT.DATE.REGLEMENT($AC38,,),_xll.INSTRUMENT.DATE.REGLEMENT($AC38,_xll.CALENDRIER.GAP.FINANCE(TODAY(),"1M","AUD","Unadjusted"),),"ACT/365")-$I38)/$I38</f>
        <v>#NAME?</v>
      </c>
      <c r="P38" s="124" t="e">
        <f ca="1">1/_xll.CALENDRIER.FRAC.ANNEE(_xll.INSTRUMENT.DATE.REGLEMENT($AC38,,),_xll.INSTRUMENT.DATE.REGLEMENT($AC38,_xll.CALENDRIER.GAP.FINANCE(TODAY(),"3M","AUD","Unadjusted"),),"ACT/365")*(_xll.INSTRUMENT.ROLL.DOWN($A38,oisCurve,_xll.CALENDRIER.GAP.FINANCE(TODAY(),"3M","AUD","Unadjusted",TRUE),$N38)+100*$AA38*_xll.CALENDRIER.FRAC.ANNEE(_xll.INSTRUMENT.DATE.REGLEMENT($AC38,,),_xll.INSTRUMENT.DATE.REGLEMENT($AC38,_xll.CALENDRIER.GAP.FINANCE(TODAY(),"3M","AUD","Unadjusted"),),"ACT/365")-$I38)/$I38</f>
        <v>#NAME?</v>
      </c>
      <c r="Q38" s="371" t="e">
        <f ca="1">-(O38-curve!$T$3)/J38</f>
        <v>#NAME?</v>
      </c>
      <c r="R38" s="373">
        <f t="shared" ca="1" si="0"/>
        <v>-41.827219964620753</v>
      </c>
      <c r="S38" s="191" t="str">
        <f>IF(F38&lt;&gt;"","",IF(G38="","",-G38*(SUMIF('raw Data'!$A:$A,"RESINV1USD",'raw Data'!$G:$G)+SUMIF('raw Data'!$A:$A,"RESSWAPORUSD",'raw Data'!$G:$G))/(36500*J38)))</f>
        <v/>
      </c>
      <c r="T38" s="202" t="str">
        <f>IF(G38&lt;&gt;"","",IF(F38="","",-36500*J38*F38/(SUMIF('raw Data'!$A:$A,"RESINV1USD",'raw Data'!$G:$G)+SUMIF('raw Data'!$A:$A,"RESSWAPORUSD",'raw Data'!$G:$G))))</f>
        <v/>
      </c>
      <c r="U38" s="125">
        <f>SUMIF('raw Data'!$E:$E,A38,'raw Data'!$N:$N)</f>
        <v>-268027.65740465251</v>
      </c>
      <c r="V38" s="126">
        <v>41060</v>
      </c>
      <c r="W38" s="127" t="e">
        <v>#VALUE!</v>
      </c>
      <c r="X38" s="127" t="e">
        <v>#VALUE!</v>
      </c>
      <c r="Y38" s="127" t="e">
        <v>#VALUE!</v>
      </c>
      <c r="Z38" s="127">
        <v>41242</v>
      </c>
      <c r="AA38" s="128">
        <v>0</v>
      </c>
      <c r="AB38" s="129">
        <v>27000000000</v>
      </c>
      <c r="AC38" s="130" t="str">
        <f ca="1">IF(LEFT(B38,1)="B",_xll.INSTANCE.TBILL(A38,V38,Z38,TODAY()),_xll.INSTANCE.TNOTE(A38,V38,W38,X38,Y38,Z38,AA38,TODAY()))</f>
        <v>US9127956U08#0003</v>
      </c>
    </row>
    <row r="39" spans="1:29" x14ac:dyDescent="0.35">
      <c r="A39" s="131" t="s">
        <v>413</v>
      </c>
      <c r="B39" s="115" t="s">
        <v>1015</v>
      </c>
      <c r="C39" s="364"/>
      <c r="D39" s="116"/>
      <c r="E39" s="117"/>
      <c r="F39" s="118"/>
      <c r="G39" s="369"/>
      <c r="H39" s="120">
        <v>1.5334695426949554E-3</v>
      </c>
      <c r="I39" s="121">
        <f ca="1">_xll.INSTRUMENT.PRIX(AC39,D39,H39,cTreasuries)</f>
        <v>101.35451241305431</v>
      </c>
      <c r="J39" s="122">
        <f ca="1">_xll.INSTRUMENT.DV01(A39,,,I39,cContinuous,I39)</f>
        <v>-4.2758945381676777E-3</v>
      </c>
      <c r="K39" s="123">
        <f ca="1">_xll.INSTRUMENT.CONVEXITE(A39,,,I39,cContinuous,I39)</f>
        <v>0.17704320821762373</v>
      </c>
      <c r="L39" s="123">
        <f ca="1">_xll.INSTRUMENT.Z.SPREAD(A39,swapCurve,I39,cContinuous,D39)</f>
        <v>-30.562321545047304</v>
      </c>
      <c r="M39" s="123" t="e">
        <f ca="1">_xll.INSTRUMENT.Z.SPREAD(A39,ustCurve,I39,cContinuous,D39)</f>
        <v>#VALUE!</v>
      </c>
      <c r="N39" s="123">
        <f ca="1">_xll.INSTRUMENT.Z.SPREAD(A39,oisCurve,I39,cContinuous,D39)</f>
        <v>-2.7754318536556273</v>
      </c>
      <c r="O39" s="124" t="e">
        <f ca="1">1/_xll.CALENDRIER.FRAC.ANNEE(_xll.INSTRUMENT.DATE.REGLEMENT($AC39,,),_xll.INSTRUMENT.DATE.REGLEMENT($AC39,_xll.CALENDRIER.GAP.FINANCE(TODAY(),"1M","AUD","Unadjusted"),),"ACT/365")*(_xll.INSTRUMENT.ROLL.DOWN($A39,oisCurve,_xll.CALENDRIER.GAP.FINANCE(TODAY(),"1M","AUD","Unadjusted",TRUE),$N39)+100*$AA39*_xll.CALENDRIER.FRAC.ANNEE(_xll.INSTRUMENT.DATE.REGLEMENT($AC39,,),_xll.INSTRUMENT.DATE.REGLEMENT($AC39,_xll.CALENDRIER.GAP.FINANCE(TODAY(),"1M","AUD","Unadjusted"),),"ACT/365")-$I39)/$I39</f>
        <v>#NAME?</v>
      </c>
      <c r="P39" s="124" t="e">
        <f ca="1">1/_xll.CALENDRIER.FRAC.ANNEE(_xll.INSTRUMENT.DATE.REGLEMENT($AC39,,),_xll.INSTRUMENT.DATE.REGLEMENT($AC39,_xll.CALENDRIER.GAP.FINANCE(TODAY(),"3M","AUD","Unadjusted"),),"ACT/365")*(_xll.INSTRUMENT.ROLL.DOWN($A39,oisCurve,_xll.CALENDRIER.GAP.FINANCE(TODAY(),"3M","AUD","Unadjusted",TRUE),$N39)+100*$AA39*_xll.CALENDRIER.FRAC.ANNEE(_xll.INSTRUMENT.DATE.REGLEMENT($AC39,,),_xll.INSTRUMENT.DATE.REGLEMENT($AC39,_xll.CALENDRIER.GAP.FINANCE(TODAY(),"3M","AUD","Unadjusted"),),"ACT/365")-$I39)/$I39</f>
        <v>#NAME?</v>
      </c>
      <c r="Q39" s="371" t="e">
        <f ca="1">-(O39-curve!$T$3)/J39</f>
        <v>#NAME?</v>
      </c>
      <c r="R39" s="373">
        <f t="shared" ca="1" si="0"/>
        <v>-41.404952025194461</v>
      </c>
      <c r="S39" s="191" t="str">
        <f>IF(F39&lt;&gt;"","",IF(G39="","",-G39*(SUMIF('raw Data'!$A:$A,"RESINV1USD",'raw Data'!$G:$G)+SUMIF('raw Data'!$A:$A,"RESSWAPORUSD",'raw Data'!$G:$G))/(36500*J39)))</f>
        <v/>
      </c>
      <c r="T39" s="202" t="str">
        <f>IF(G39&lt;&gt;"","",IF(F39="","",-36500*J39*F39/(SUMIF('raw Data'!$A:$A,"RESINV1USD",'raw Data'!$G:$G)+SUMIF('raw Data'!$A:$A,"RESSWAPORUSD",'raw Data'!$G:$G))))</f>
        <v/>
      </c>
      <c r="U39" s="125">
        <f>SUMIF('raw Data'!$E:$E,A39,'raw Data'!$N:$N)</f>
        <v>0</v>
      </c>
      <c r="V39" s="126">
        <v>39416</v>
      </c>
      <c r="W39" s="127">
        <v>39416</v>
      </c>
      <c r="X39" s="127">
        <v>39599</v>
      </c>
      <c r="Y39" s="127">
        <v>41060</v>
      </c>
      <c r="Z39" s="127">
        <v>41243</v>
      </c>
      <c r="AA39" s="128">
        <v>3.3750000000000002E-2</v>
      </c>
      <c r="AB39" s="129">
        <v>15953000000</v>
      </c>
      <c r="AC39" s="130" t="str">
        <f ca="1">IF(LEFT(B39,1)="B",_xll.INSTANCE.TBILL(A39,V39,Z39,TODAY()),_xll.INSTANCE.TNOTE(A39,V39,W39,X39,Y39,Z39,AA39,TODAY()))</f>
        <v>US912828HK96#0003</v>
      </c>
    </row>
    <row r="40" spans="1:29" x14ac:dyDescent="0.35">
      <c r="A40" s="131" t="s">
        <v>179</v>
      </c>
      <c r="B40" s="115" t="s">
        <v>1016</v>
      </c>
      <c r="C40" s="364"/>
      <c r="D40" s="116"/>
      <c r="E40" s="117"/>
      <c r="F40" s="118"/>
      <c r="G40" s="369"/>
      <c r="H40" s="120">
        <v>1.5885451723086294E-3</v>
      </c>
      <c r="I40" s="121">
        <f ca="1">_xll.INSTRUMENT.PRIX(AC40,D40,H40,cTreasuries)</f>
        <v>100.14341974551405</v>
      </c>
      <c r="J40" s="122">
        <f ca="1">_xll.INSTRUMENT.DV01(A40,,,I40,cContinuous,I40)</f>
        <v>-4.2153509525156502E-3</v>
      </c>
      <c r="K40" s="123">
        <f ca="1">_xll.INSTRUMENT.CONVEXITE(A40,,,I40,cContinuous,I40)</f>
        <v>0.17704320821762373</v>
      </c>
      <c r="L40" s="123">
        <f ca="1">_xll.INSTRUMENT.Z.SPREAD(A40,swapCurve,I40,cContinuous,D40)</f>
        <v>-30.013430568403898</v>
      </c>
      <c r="M40" s="123" t="e">
        <f ca="1">_xll.INSTRUMENT.Z.SPREAD(A40,ustCurve,I40,cContinuous,D40)</f>
        <v>#VALUE!</v>
      </c>
      <c r="N40" s="123">
        <f ca="1">_xll.INSTRUMENT.Z.SPREAD(A40,oisCurve,I40,cContinuous,D40)</f>
        <v>-2.2265408770091963</v>
      </c>
      <c r="O40" s="124" t="e">
        <f ca="1">1/_xll.CALENDRIER.FRAC.ANNEE(_xll.INSTRUMENT.DATE.REGLEMENT($AC40,,),_xll.INSTRUMENT.DATE.REGLEMENT($AC40,_xll.CALENDRIER.GAP.FINANCE(TODAY(),"1M","AUD","Unadjusted"),),"ACT/365")*(_xll.INSTRUMENT.ROLL.DOWN($A40,oisCurve,_xll.CALENDRIER.GAP.FINANCE(TODAY(),"1M","AUD","Unadjusted",TRUE),$N40)+100*$AA40*_xll.CALENDRIER.FRAC.ANNEE(_xll.INSTRUMENT.DATE.REGLEMENT($AC40,,),_xll.INSTRUMENT.DATE.REGLEMENT($AC40,_xll.CALENDRIER.GAP.FINANCE(TODAY(),"1M","AUD","Unadjusted"),),"ACT/365")-$I40)/$I40</f>
        <v>#NAME?</v>
      </c>
      <c r="P40" s="124" t="e">
        <f ca="1">1/_xll.CALENDRIER.FRAC.ANNEE(_xll.INSTRUMENT.DATE.REGLEMENT($AC40,,),_xll.INSTRUMENT.DATE.REGLEMENT($AC40,_xll.CALENDRIER.GAP.FINANCE(TODAY(),"3M","AUD","Unadjusted"),),"ACT/365")*(_xll.INSTRUMENT.ROLL.DOWN($A40,oisCurve,_xll.CALENDRIER.GAP.FINANCE(TODAY(),"3M","AUD","Unadjusted",TRUE),$N40)+100*$AA40*_xll.CALENDRIER.FRAC.ANNEE(_xll.INSTRUMENT.DATE.REGLEMENT($AC40,,),_xll.INSTRUMENT.DATE.REGLEMENT($AC40,_xll.CALENDRIER.GAP.FINANCE(TODAY(),"3M","AUD","Unadjusted"),),"ACT/365")-$I40)/$I40</f>
        <v>#NAME?</v>
      </c>
      <c r="Q40" s="371" t="e">
        <f ca="1">-(O40-curve!$T$3)/J40</f>
        <v>#NAME?</v>
      </c>
      <c r="R40" s="373">
        <f t="shared" ca="1" si="0"/>
        <v>-41.999636616725198</v>
      </c>
      <c r="S40" s="191" t="str">
        <f>IF(F40&lt;&gt;"","",IF(G40="","",-G40*(SUMIF('raw Data'!$A:$A,"RESINV1USD",'raw Data'!$G:$G)+SUMIF('raw Data'!$A:$A,"RESSWAPORUSD",'raw Data'!$G:$G))/(36500*J40)))</f>
        <v/>
      </c>
      <c r="T40" s="202" t="str">
        <f>IF(G40&lt;&gt;"","",IF(F40="","",-36500*J40*F40/(SUMIF('raw Data'!$A:$A,"RESINV1USD",'raw Data'!$G:$G)+SUMIF('raw Data'!$A:$A,"RESSWAPORUSD",'raw Data'!$G:$G))))</f>
        <v/>
      </c>
      <c r="U40" s="125">
        <f>SUMIF('raw Data'!$E:$E,A40,'raw Data'!$N:$N)</f>
        <v>-430468.66189232067</v>
      </c>
      <c r="V40" s="126">
        <v>40512</v>
      </c>
      <c r="W40" s="127">
        <v>40512</v>
      </c>
      <c r="X40" s="127">
        <v>40694</v>
      </c>
      <c r="Y40" s="127">
        <v>41060</v>
      </c>
      <c r="Z40" s="127">
        <v>41243</v>
      </c>
      <c r="AA40" s="128">
        <v>5.0000000000000001E-3</v>
      </c>
      <c r="AB40" s="129">
        <v>36383000000</v>
      </c>
      <c r="AC40" s="130" t="str">
        <f ca="1">IF(LEFT(B40,1)="B",_xll.INSTANCE.TBILL(A40,V40,Z40,TODAY()),_xll.INSTANCE.TNOTE(A40,V40,W40,X40,Y40,Z40,AA40,TODAY()))</f>
        <v>US912828PV69#0003</v>
      </c>
    </row>
    <row r="41" spans="1:29" x14ac:dyDescent="0.35">
      <c r="A41" s="131" t="s">
        <v>414</v>
      </c>
      <c r="B41" s="115" t="s">
        <v>1017</v>
      </c>
      <c r="C41" s="364"/>
      <c r="D41" s="116"/>
      <c r="E41" s="117"/>
      <c r="F41" s="118"/>
      <c r="G41" s="369"/>
      <c r="H41" s="120">
        <v>1.3733445098568005E-3</v>
      </c>
      <c r="I41" s="121">
        <f ca="1">_xll.INSTRUMENT.PRIX(AC41,D41,H41,cTreasuries)</f>
        <v>99.937375708947215</v>
      </c>
      <c r="J41" s="122">
        <f ca="1">_xll.INSTRUMENT.DV01(A41,,,I41,cContinuous,I41)</f>
        <v>-4.5599830325074734E-3</v>
      </c>
      <c r="K41" s="123">
        <f ca="1">_xll.INSTRUMENT.CONVEXITE(A41,,,I41,cContinuous,I41)</f>
        <v>0.20819522828391418</v>
      </c>
      <c r="L41" s="123">
        <f ca="1">_xll.INSTRUMENT.Z.SPREAD(A41,swapCurve,I41,cContinuous,D41)</f>
        <v>-31.330232994102616</v>
      </c>
      <c r="M41" s="123" t="e">
        <f ca="1">_xll.INSTRUMENT.Z.SPREAD(A41,ustCurve,I41,cContinuous,D41)</f>
        <v>#VALUE!</v>
      </c>
      <c r="N41" s="123">
        <f ca="1">_xll.INSTRUMENT.Z.SPREAD(A41,oisCurve,I41,cContinuous,D41)</f>
        <v>-4.359468321915112</v>
      </c>
      <c r="O41" s="124" t="e">
        <f ca="1">1/_xll.CALENDRIER.FRAC.ANNEE(_xll.INSTRUMENT.DATE.REGLEMENT($AC41,,),_xll.INSTRUMENT.DATE.REGLEMENT($AC41,_xll.CALENDRIER.GAP.FINANCE(TODAY(),"1M","AUD","Unadjusted"),),"ACT/365")*(_xll.INSTRUMENT.ROLL.DOWN($A41,oisCurve,_xll.CALENDRIER.GAP.FINANCE(TODAY(),"1M","AUD","Unadjusted",TRUE),$N41)+100*$AA41*_xll.CALENDRIER.FRAC.ANNEE(_xll.INSTRUMENT.DATE.REGLEMENT($AC41,,),_xll.INSTRUMENT.DATE.REGLEMENT($AC41,_xll.CALENDRIER.GAP.FINANCE(TODAY(),"1M","AUD","Unadjusted"),),"ACT/365")-$I41)/$I41</f>
        <v>#NAME?</v>
      </c>
      <c r="P41" s="124" t="e">
        <f ca="1">1/_xll.CALENDRIER.FRAC.ANNEE(_xll.INSTRUMENT.DATE.REGLEMENT($AC41,,),_xll.INSTRUMENT.DATE.REGLEMENT($AC41,_xll.CALENDRIER.GAP.FINANCE(TODAY(),"3M","AUD","Unadjusted"),),"ACT/365")*(_xll.INSTRUMENT.ROLL.DOWN($A41,oisCurve,_xll.CALENDRIER.GAP.FINANCE(TODAY(),"3M","AUD","Unadjusted",TRUE),$N41)+100*$AA41*_xll.CALENDRIER.FRAC.ANNEE(_xll.INSTRUMENT.DATE.REGLEMENT($AC41,,),_xll.INSTRUMENT.DATE.REGLEMENT($AC41,_xll.CALENDRIER.GAP.FINANCE(TODAY(),"3M","AUD","Unadjusted"),),"ACT/365")-$I41)/$I41</f>
        <v>#NAME?</v>
      </c>
      <c r="Q41" s="371" t="e">
        <f ca="1">-(O41-curve!$T$3)/J41</f>
        <v>#NAME?</v>
      </c>
      <c r="R41" s="373">
        <f t="shared" ca="1" si="0"/>
        <v>-45.657018194962539</v>
      </c>
      <c r="S41" s="191" t="str">
        <f>IF(F41&lt;&gt;"","",IF(G41="","",-G41*(SUMIF('raw Data'!$A:$A,"RESINV1USD",'raw Data'!$G:$G)+SUMIF('raw Data'!$A:$A,"RESSWAPORUSD",'raw Data'!$G:$G))/(36500*J41)))</f>
        <v/>
      </c>
      <c r="T41" s="202" t="str">
        <f>IF(G41&lt;&gt;"","",IF(F41="","",-36500*J41*F41/(SUMIF('raw Data'!$A:$A,"RESINV1USD",'raw Data'!$G:$G)+SUMIF('raw Data'!$A:$A,"RESSWAPORUSD",'raw Data'!$G:$G))))</f>
        <v/>
      </c>
      <c r="U41" s="125">
        <f>SUMIF('raw Data'!$E:$E,A41,'raw Data'!$N:$N)</f>
        <v>-268027.65740465251</v>
      </c>
      <c r="V41" s="126">
        <v>40892</v>
      </c>
      <c r="W41" s="127" t="e">
        <v>#VALUE!</v>
      </c>
      <c r="X41" s="127" t="e">
        <v>#VALUE!</v>
      </c>
      <c r="Y41" s="127" t="e">
        <v>#VALUE!</v>
      </c>
      <c r="Z41" s="127">
        <v>41256</v>
      </c>
      <c r="AA41" s="128">
        <v>0</v>
      </c>
      <c r="AB41" s="129">
        <v>52002000000</v>
      </c>
      <c r="AC41" s="130" t="str">
        <f ca="1">IF(LEFT(B41,1)="B",_xll.INSTANCE.TBILL(A41,V41,Z41,TODAY()),_xll.INSTANCE.TNOTE(A41,V41,W41,X41,Y41,Z41,AA41,TODAY()))</f>
        <v>US9127955Q05#0003</v>
      </c>
    </row>
    <row r="42" spans="1:29" x14ac:dyDescent="0.35">
      <c r="A42" s="131" t="s">
        <v>415</v>
      </c>
      <c r="B42" s="115" t="s">
        <v>1018</v>
      </c>
      <c r="C42" s="364"/>
      <c r="D42" s="116"/>
      <c r="E42" s="117"/>
      <c r="F42" s="118"/>
      <c r="G42" s="369"/>
      <c r="H42" s="120">
        <v>1.5960987038348435E-3</v>
      </c>
      <c r="I42" s="121">
        <f ca="1">_xll.INSTRUMENT.PRIX(AC42,D42,H42,cTreasuries)</f>
        <v>100.44540759471053</v>
      </c>
      <c r="J42" s="122">
        <f ca="1">_xll.INSTRUMENT.DV01(A42,,,I42,cContinuous,I42)</f>
        <v>-4.6400389464156238E-3</v>
      </c>
      <c r="K42" s="123">
        <f ca="1">_xll.INSTRUMENT.CONVEXITE(A42,,,I42,cContinuous,I42)</f>
        <v>0.21828809459822626</v>
      </c>
      <c r="L42" s="123">
        <f ca="1">_xll.INSTRUMENT.Z.SPREAD(A42,swapCurve,I42,cContinuous,D42)</f>
        <v>-29.115075711142694</v>
      </c>
      <c r="M42" s="123" t="e">
        <f ca="1">_xll.INSTRUMENT.Z.SPREAD(A42,ustCurve,I42,cContinuous,D42)</f>
        <v>#VALUE!</v>
      </c>
      <c r="N42" s="123">
        <f ca="1">_xll.INSTRUMENT.Z.SPREAD(A42,oisCurve,I42,cContinuous,D42)</f>
        <v>-2.3222820810135003</v>
      </c>
      <c r="O42" s="124" t="e">
        <f ca="1">1/_xll.CALENDRIER.FRAC.ANNEE(_xll.INSTRUMENT.DATE.REGLEMENT($AC42,,),_xll.INSTRUMENT.DATE.REGLEMENT($AC42,_xll.CALENDRIER.GAP.FINANCE(TODAY(),"1M","AUD","Unadjusted"),),"ACT/365")*(_xll.INSTRUMENT.ROLL.DOWN($A42,oisCurve,_xll.CALENDRIER.GAP.FINANCE(TODAY(),"1M","AUD","Unadjusted",TRUE),$N42)+100*$AA42*_xll.CALENDRIER.FRAC.ANNEE(_xll.INSTRUMENT.DATE.REGLEMENT($AC42,,),_xll.INSTRUMENT.DATE.REGLEMENT($AC42,_xll.CALENDRIER.GAP.FINANCE(TODAY(),"1M","AUD","Unadjusted"),),"ACT/365")-$I42)/$I42</f>
        <v>#NAME?</v>
      </c>
      <c r="P42" s="124" t="e">
        <f ca="1">1/_xll.CALENDRIER.FRAC.ANNEE(_xll.INSTRUMENT.DATE.REGLEMENT($AC42,,),_xll.INSTRUMENT.DATE.REGLEMENT($AC42,_xll.CALENDRIER.GAP.FINANCE(TODAY(),"3M","AUD","Unadjusted"),),"ACT/365")*(_xll.INSTRUMENT.ROLL.DOWN($A42,oisCurve,_xll.CALENDRIER.GAP.FINANCE(TODAY(),"3M","AUD","Unadjusted",TRUE),$N42)+100*$AA42*_xll.CALENDRIER.FRAC.ANNEE(_xll.INSTRUMENT.DATE.REGLEMENT($AC42,,),_xll.INSTRUMENT.DATE.REGLEMENT($AC42,_xll.CALENDRIER.GAP.FINANCE(TODAY(),"3M","AUD","Unadjusted"),),"ACT/365")-$I42)/$I42</f>
        <v>#NAME?</v>
      </c>
      <c r="Q42" s="371" t="e">
        <f ca="1">-(O42-curve!$T$3)/J42</f>
        <v>#NAME?</v>
      </c>
      <c r="R42" s="373">
        <f t="shared" ca="1" si="0"/>
        <v>-47.044453100302377</v>
      </c>
      <c r="S42" s="191" t="str">
        <f>IF(F42&lt;&gt;"","",IF(G42="","",-G42*(SUMIF('raw Data'!$A:$A,"RESINV1USD",'raw Data'!$G:$G)+SUMIF('raw Data'!$A:$A,"RESSWAPORUSD",'raw Data'!$G:$G))/(36500*J42)))</f>
        <v/>
      </c>
      <c r="T42" s="202" t="str">
        <f>IF(G42&lt;&gt;"","",IF(F42="","",-36500*J42*F42/(SUMIF('raw Data'!$A:$A,"RESINV1USD",'raw Data'!$G:$G)+SUMIF('raw Data'!$A:$A,"RESSWAPORUSD",'raw Data'!$G:$G))))</f>
        <v/>
      </c>
      <c r="U42" s="125">
        <f>SUMIF('raw Data'!$E:$E,A42,'raw Data'!$N:$N)</f>
        <v>0</v>
      </c>
      <c r="V42" s="126">
        <v>40162</v>
      </c>
      <c r="W42" s="127">
        <v>40162</v>
      </c>
      <c r="X42" s="127">
        <v>40344</v>
      </c>
      <c r="Y42" s="127">
        <v>41075</v>
      </c>
      <c r="Z42" s="127">
        <v>41258</v>
      </c>
      <c r="AA42" s="128">
        <v>1.125E-2</v>
      </c>
      <c r="AB42" s="129">
        <v>40217000000</v>
      </c>
      <c r="AC42" s="130" t="str">
        <f ca="1">IF(LEFT(B42,1)="B",_xll.INSTANCE.TBILL(A42,V42,Z42,TODAY()),_xll.INSTANCE.TNOTE(A42,V42,W42,X42,Y42,Z42,AA42,TODAY()))</f>
        <v>US912828MB33#0003</v>
      </c>
    </row>
    <row r="43" spans="1:29" x14ac:dyDescent="0.35">
      <c r="A43" s="131" t="s">
        <v>416</v>
      </c>
      <c r="B43" s="115" t="s">
        <v>1019</v>
      </c>
      <c r="C43" s="364"/>
      <c r="D43" s="116"/>
      <c r="E43" s="117"/>
      <c r="F43" s="118"/>
      <c r="G43" s="369"/>
      <c r="H43" s="120">
        <v>1.6270612307275618E-3</v>
      </c>
      <c r="I43" s="121">
        <f ca="1">_xll.INSTRUMENT.PRIX(AC43,D43,H43,cTreasuries)</f>
        <v>101.7387861811513</v>
      </c>
      <c r="J43" s="122">
        <f ca="1">_xll.INSTRUMENT.DV01(A43,,,I43,cContinuous,I43)</f>
        <v>-5.1425252273258632E-3</v>
      </c>
      <c r="K43" s="123">
        <f ca="1">_xll.INSTRUMENT.CONVEXITE(A43,,,I43,cContinuous,I43)</f>
        <v>0.25102312563421664</v>
      </c>
      <c r="L43" s="123">
        <f ca="1">_xll.INSTRUMENT.Z.SPREAD(A43,swapCurve,I43,cContinuous,D43)</f>
        <v>-28.316335198828725</v>
      </c>
      <c r="M43" s="123" t="e">
        <f ca="1">_xll.INSTRUMENT.Z.SPREAD(A43,ustCurve,I43,cContinuous,D43)</f>
        <v>#VALUE!</v>
      </c>
      <c r="N43" s="123">
        <f ca="1">_xll.INSTRUMENT.Z.SPREAD(A43,oisCurve,I43,cContinuous,D43)</f>
        <v>-1.8422538480624859</v>
      </c>
      <c r="O43" s="124" t="e">
        <f ca="1">1/_xll.CALENDRIER.FRAC.ANNEE(_xll.INSTRUMENT.DATE.REGLEMENT($AC43,,),_xll.INSTRUMENT.DATE.REGLEMENT($AC43,_xll.CALENDRIER.GAP.FINANCE(TODAY(),"1M","AUD","Unadjusted"),),"ACT/365")*(_xll.INSTRUMENT.ROLL.DOWN($A43,oisCurve,_xll.CALENDRIER.GAP.FINANCE(TODAY(),"1M","AUD","Unadjusted",TRUE),$N43)+100*$AA43*_xll.CALENDRIER.FRAC.ANNEE(_xll.INSTRUMENT.DATE.REGLEMENT($AC43,,),_xll.INSTRUMENT.DATE.REGLEMENT($AC43,_xll.CALENDRIER.GAP.FINANCE(TODAY(),"1M","AUD","Unadjusted"),),"ACT/365")-$I43)/$I43</f>
        <v>#NAME?</v>
      </c>
      <c r="P43" s="124" t="e">
        <f ca="1">1/_xll.CALENDRIER.FRAC.ANNEE(_xll.INSTRUMENT.DATE.REGLEMENT($AC43,,),_xll.INSTRUMENT.DATE.REGLEMENT($AC43,_xll.CALENDRIER.GAP.FINANCE(TODAY(),"3M","AUD","Unadjusted"),),"ACT/365")*(_xll.INSTRUMENT.ROLL.DOWN($A43,oisCurve,_xll.CALENDRIER.GAP.FINANCE(TODAY(),"3M","AUD","Unadjusted",TRUE),$N43)+100*$AA43*_xll.CALENDRIER.FRAC.ANNEE(_xll.INSTRUMENT.DATE.REGLEMENT($AC43,,),_xll.INSTRUMENT.DATE.REGLEMENT($AC43,_xll.CALENDRIER.GAP.FINANCE(TODAY(),"3M","AUD","Unadjusted"),),"ACT/365")-$I43)/$I43</f>
        <v>#NAME?</v>
      </c>
      <c r="Q43" s="371" t="e">
        <f ca="1">-(O43-curve!$T$3)/J43</f>
        <v>#NAME?</v>
      </c>
      <c r="R43" s="373">
        <f t="shared" ca="1" si="0"/>
        <v>-48.813202568332329</v>
      </c>
      <c r="S43" s="191" t="str">
        <f>IF(F43&lt;&gt;"","",IF(G43="","",-G43*(SUMIF('raw Data'!$A:$A,"RESINV1USD",'raw Data'!$G:$G)+SUMIF('raw Data'!$A:$A,"RESSWAPORUSD",'raw Data'!$G:$G))/(36500*J43)))</f>
        <v/>
      </c>
      <c r="T43" s="202" t="str">
        <f>IF(G43&lt;&gt;"","",IF(F43="","",-36500*J43*F43/(SUMIF('raw Data'!$A:$A,"RESINV1USD",'raw Data'!$G:$G)+SUMIF('raw Data'!$A:$A,"RESSWAPORUSD",'raw Data'!$G:$G))))</f>
        <v/>
      </c>
      <c r="U43" s="125">
        <f>SUMIF('raw Data'!$E:$E,A43,'raw Data'!$N:$N)</f>
        <v>0</v>
      </c>
      <c r="V43" s="126">
        <v>39447</v>
      </c>
      <c r="W43" s="127">
        <v>39447</v>
      </c>
      <c r="X43" s="127">
        <v>39629</v>
      </c>
      <c r="Y43" s="127">
        <v>41090</v>
      </c>
      <c r="Z43" s="127">
        <v>41274</v>
      </c>
      <c r="AA43" s="128">
        <v>3.6249999999999998E-2</v>
      </c>
      <c r="AB43" s="129">
        <v>15657000000</v>
      </c>
      <c r="AC43" s="130" t="str">
        <f ca="1">IF(LEFT(B43,1)="B",_xll.INSTANCE.TBILL(A43,V43,Z43,TODAY()),_xll.INSTANCE.TNOTE(A43,V43,W43,X43,Y43,Z43,AA43,TODAY()))</f>
        <v>US912828HM52#0003</v>
      </c>
    </row>
    <row r="44" spans="1:29" x14ac:dyDescent="0.35">
      <c r="A44" s="131" t="s">
        <v>181</v>
      </c>
      <c r="B44" s="115" t="s">
        <v>1020</v>
      </c>
      <c r="C44" s="364"/>
      <c r="D44" s="116"/>
      <c r="E44" s="117"/>
      <c r="F44" s="118"/>
      <c r="G44" s="369"/>
      <c r="H44" s="120">
        <v>1.6651269307353615E-3</v>
      </c>
      <c r="I44" s="121">
        <f ca="1">_xll.INSTRUMENT.PRIX(AC44,D44,H44,cTreasuries)</f>
        <v>100.22985676889954</v>
      </c>
      <c r="J44" s="122">
        <f ca="1">_xll.INSTRUMENT.DV01(A44,,,I44,cContinuous,I44)</f>
        <v>-5.0662606353208788E-3</v>
      </c>
      <c r="K44" s="123">
        <f ca="1">_xll.INSTRUMENT.CONVEXITE(A44,,,I44,cContinuous,I44)</f>
        <v>0.25470043460854414</v>
      </c>
      <c r="L44" s="123">
        <f ca="1">_xll.INSTRUMENT.Z.SPREAD(A44,swapCurve,I44,cContinuous,D44)</f>
        <v>-27.940906846940592</v>
      </c>
      <c r="M44" s="123" t="e">
        <f ca="1">_xll.INSTRUMENT.Z.SPREAD(A44,ustCurve,I44,cContinuous,D44)</f>
        <v>#VALUE!</v>
      </c>
      <c r="N44" s="123">
        <f ca="1">_xll.INSTRUMENT.Z.SPREAD(A44,oisCurve,I44,cContinuous,D44)</f>
        <v>-1.4605622064499459</v>
      </c>
      <c r="O44" s="124" t="e">
        <f ca="1">1/_xll.CALENDRIER.FRAC.ANNEE(_xll.INSTRUMENT.DATE.REGLEMENT($AC44,,),_xll.INSTRUMENT.DATE.REGLEMENT($AC44,_xll.CALENDRIER.GAP.FINANCE(TODAY(),"1M","AUD","Unadjusted"),),"ACT/365")*(_xll.INSTRUMENT.ROLL.DOWN($A44,oisCurve,_xll.CALENDRIER.GAP.FINANCE(TODAY(),"1M","AUD","Unadjusted",TRUE),$N44)+100*$AA44*_xll.CALENDRIER.FRAC.ANNEE(_xll.INSTRUMENT.DATE.REGLEMENT($AC44,,),_xll.INSTRUMENT.DATE.REGLEMENT($AC44,_xll.CALENDRIER.GAP.FINANCE(TODAY(),"1M","AUD","Unadjusted"),),"ACT/365")-$I44)/$I44</f>
        <v>#NAME?</v>
      </c>
      <c r="P44" s="124" t="e">
        <f ca="1">1/_xll.CALENDRIER.FRAC.ANNEE(_xll.INSTRUMENT.DATE.REGLEMENT($AC44,,),_xll.INSTRUMENT.DATE.REGLEMENT($AC44,_xll.CALENDRIER.GAP.FINANCE(TODAY(),"3M","AUD","Unadjusted"),),"ACT/365")*(_xll.INSTRUMENT.ROLL.DOWN($A44,oisCurve,_xll.CALENDRIER.GAP.FINANCE(TODAY(),"3M","AUD","Unadjusted",TRUE),$N44)+100*$AA44*_xll.CALENDRIER.FRAC.ANNEE(_xll.INSTRUMENT.DATE.REGLEMENT($AC44,,),_xll.INSTRUMENT.DATE.REGLEMENT($AC44,_xll.CALENDRIER.GAP.FINANCE(TODAY(),"3M","AUD","Unadjusted"),),"ACT/365")-$I44)/$I44</f>
        <v>#NAME?</v>
      </c>
      <c r="Q44" s="371" t="e">
        <f ca="1">-(O44-curve!$T$3)/J44</f>
        <v>#NAME?</v>
      </c>
      <c r="R44" s="373">
        <f t="shared" ca="1" si="0"/>
        <v>-50.273851454231853</v>
      </c>
      <c r="S44" s="191" t="str">
        <f>IF(F44&lt;&gt;"","",IF(G44="","",-G44*(SUMIF('raw Data'!$A:$A,"RESINV1USD",'raw Data'!$G:$G)+SUMIF('raw Data'!$A:$A,"RESSWAPORUSD",'raw Data'!$G:$G))/(36500*J44)))</f>
        <v/>
      </c>
      <c r="T44" s="202" t="str">
        <f>IF(G44&lt;&gt;"","",IF(F44="","",-36500*J44*F44/(SUMIF('raw Data'!$A:$A,"RESINV1USD",'raw Data'!$G:$G)+SUMIF('raw Data'!$A:$A,"RESSWAPORUSD",'raw Data'!$G:$G))))</f>
        <v/>
      </c>
      <c r="U44" s="125">
        <f>SUMIF('raw Data'!$E:$E,A44,'raw Data'!$N:$N)</f>
        <v>-431628.95478151832</v>
      </c>
      <c r="V44" s="126">
        <v>40543</v>
      </c>
      <c r="W44" s="127">
        <v>40543</v>
      </c>
      <c r="X44" s="127">
        <v>40724</v>
      </c>
      <c r="Y44" s="127">
        <v>41090</v>
      </c>
      <c r="Z44" s="127">
        <v>41274</v>
      </c>
      <c r="AA44" s="128">
        <v>6.2500000000000003E-3</v>
      </c>
      <c r="AB44" s="129">
        <v>36755000000</v>
      </c>
      <c r="AC44" s="130" t="str">
        <f ca="1">IF(LEFT(B44,1)="B",_xll.INSTANCE.TBILL(A44,V44,Z44,TODAY()),_xll.INSTANCE.TNOTE(A44,V44,W44,X44,Y44,Z44,AA44,TODAY()))</f>
        <v>US912828PW43#0003</v>
      </c>
    </row>
    <row r="45" spans="1:29" x14ac:dyDescent="0.35">
      <c r="A45" s="131" t="s">
        <v>417</v>
      </c>
      <c r="B45" s="115" t="s">
        <v>1021</v>
      </c>
      <c r="C45" s="364"/>
      <c r="D45" s="116"/>
      <c r="E45" s="117"/>
      <c r="F45" s="118"/>
      <c r="G45" s="369"/>
      <c r="H45" s="120">
        <v>1.4243491880422752E-3</v>
      </c>
      <c r="I45" s="121">
        <f ca="1">_xll.INSTRUMENT.PRIX(AC45,D45,H45,cTreasuries)</f>
        <v>99.924158734563832</v>
      </c>
      <c r="J45" s="122">
        <f ca="1">_xll.INSTRUMENT.DV01(A45,,,I45,cContinuous,I45)</f>
        <v>-5.3244998989730175E-3</v>
      </c>
      <c r="K45" s="123">
        <f ca="1">_xll.INSTRUMENT.CONVEXITE(A45,,,I45,cContinuous,I45)</f>
        <v>0.28393365766632445</v>
      </c>
      <c r="L45" s="123">
        <f ca="1">_xll.INSTRUMENT.Z.SPREAD(A45,swapCurve,I45,cContinuous,D45)</f>
        <v>-30.380546744957226</v>
      </c>
      <c r="M45" s="123" t="e">
        <f ca="1">_xll.INSTRUMENT.Z.SPREAD(A45,ustCurve,I45,cContinuous,D45)</f>
        <v>#VALUE!</v>
      </c>
      <c r="N45" s="123">
        <f ca="1">_xll.INSTRUMENT.Z.SPREAD(A45,oisCurve,I45,cContinuous,D45)</f>
        <v>-3.8911750851703801</v>
      </c>
      <c r="O45" s="124" t="e">
        <f ca="1">1/_xll.CALENDRIER.FRAC.ANNEE(_xll.INSTRUMENT.DATE.REGLEMENT($AC45,,),_xll.INSTRUMENT.DATE.REGLEMENT($AC45,_xll.CALENDRIER.GAP.FINANCE(TODAY(),"1M","AUD","Unadjusted"),),"ACT/365")*(_xll.INSTRUMENT.ROLL.DOWN($A45,oisCurve,_xll.CALENDRIER.GAP.FINANCE(TODAY(),"1M","AUD","Unadjusted",TRUE),$N45)+100*$AA45*_xll.CALENDRIER.FRAC.ANNEE(_xll.INSTRUMENT.DATE.REGLEMENT($AC45,,),_xll.INSTRUMENT.DATE.REGLEMENT($AC45,_xll.CALENDRIER.GAP.FINANCE(TODAY(),"1M","AUD","Unadjusted"),),"ACT/365")-$I45)/$I45</f>
        <v>#NAME?</v>
      </c>
      <c r="P45" s="124" t="e">
        <f ca="1">1/_xll.CALENDRIER.FRAC.ANNEE(_xll.INSTRUMENT.DATE.REGLEMENT($AC45,,),_xll.INSTRUMENT.DATE.REGLEMENT($AC45,_xll.CALENDRIER.GAP.FINANCE(TODAY(),"3M","AUD","Unadjusted"),),"ACT/365")*(_xll.INSTRUMENT.ROLL.DOWN($A45,oisCurve,_xll.CALENDRIER.GAP.FINANCE(TODAY(),"3M","AUD","Unadjusted",TRUE),$N45)+100*$AA45*_xll.CALENDRIER.FRAC.ANNEE(_xll.INSTRUMENT.DATE.REGLEMENT($AC45,,),_xll.INSTRUMENT.DATE.REGLEMENT($AC45,_xll.CALENDRIER.GAP.FINANCE(TODAY(),"3M","AUD","Unadjusted"),),"ACT/365")-$I45)/$I45</f>
        <v>#NAME?</v>
      </c>
      <c r="Q45" s="371" t="e">
        <f ca="1">-(O45-curve!$T$3)/J45</f>
        <v>#NAME?</v>
      </c>
      <c r="R45" s="373">
        <f t="shared" ca="1" si="0"/>
        <v>-53.325882815978488</v>
      </c>
      <c r="S45" s="191" t="str">
        <f>IF(F45&lt;&gt;"","",IF(G45="","",-G45*(SUMIF('raw Data'!$A:$A,"RESINV1USD",'raw Data'!$G:$G)+SUMIF('raw Data'!$A:$A,"RESSWAPORUSD",'raw Data'!$G:$G))/(36500*J45)))</f>
        <v/>
      </c>
      <c r="T45" s="202" t="str">
        <f>IF(G45&lt;&gt;"","",IF(F45="","",-36500*J45*F45/(SUMIF('raw Data'!$A:$A,"RESINV1USD",'raw Data'!$G:$G)+SUMIF('raw Data'!$A:$A,"RESSWAPORUSD",'raw Data'!$G:$G))))</f>
        <v/>
      </c>
      <c r="U45" s="125">
        <f>SUMIF('raw Data'!$E:$E,A45,'raw Data'!$N:$N)</f>
        <v>0</v>
      </c>
      <c r="V45" s="126">
        <v>40920</v>
      </c>
      <c r="W45" s="127" t="e">
        <v>#VALUE!</v>
      </c>
      <c r="X45" s="127" t="e">
        <v>#VALUE!</v>
      </c>
      <c r="Y45" s="127" t="e">
        <v>#VALUE!</v>
      </c>
      <c r="Z45" s="127">
        <v>41284</v>
      </c>
      <c r="AA45" s="128">
        <v>0</v>
      </c>
      <c r="AB45" s="129">
        <v>25000000000</v>
      </c>
      <c r="AC45" s="130" t="str">
        <f ca="1">IF(LEFT(B45,1)="B",_xll.INSTANCE.TBILL(A45,V45,Z45,TODAY()),_xll.INSTANCE.TNOTE(A45,V45,W45,X45,Y45,Z45,AA45,TODAY()))</f>
        <v>US9127955V99#0003</v>
      </c>
    </row>
    <row r="46" spans="1:29" x14ac:dyDescent="0.35">
      <c r="A46" s="131" t="s">
        <v>418</v>
      </c>
      <c r="B46" s="115" t="s">
        <v>1022</v>
      </c>
      <c r="C46" s="364"/>
      <c r="D46" s="116"/>
      <c r="E46" s="117"/>
      <c r="F46" s="118"/>
      <c r="G46" s="369"/>
      <c r="H46" s="120">
        <v>1.6352349999999999E-3</v>
      </c>
      <c r="I46" s="121">
        <f ca="1">_xll.INSTRUMENT.PRIX(AC46,D46,H46,cTreasuries)</f>
        <v>100.65797598426067</v>
      </c>
      <c r="J46" s="122">
        <f ca="1">_xll.INSTRUMENT.DV01(A46,,,I46,cContinuous,I46)</f>
        <v>-5.5011938250264653E-3</v>
      </c>
      <c r="K46" s="123">
        <f ca="1">_xll.INSTRUMENT.CONVEXITE(A46,,,I46,cContinuous,I46)</f>
        <v>0.29670720932671224</v>
      </c>
      <c r="L46" s="123">
        <f ca="1">_xll.INSTRUMENT.Z.SPREAD(A46,swapCurve,I46,cContinuous,D46)</f>
        <v>-28.342557803247768</v>
      </c>
      <c r="M46" s="123" t="e">
        <f ca="1">_xll.INSTRUMENT.Z.SPREAD(A46,ustCurve,I46,cContinuous,D46)</f>
        <v>#VALUE!</v>
      </c>
      <c r="N46" s="123">
        <f ca="1">_xll.INSTRUMENT.Z.SPREAD(A46,oisCurve,I46,cContinuous,D46)</f>
        <v>-1.806832570458111</v>
      </c>
      <c r="O46" s="124" t="e">
        <f ca="1">1/_xll.CALENDRIER.FRAC.ANNEE(_xll.INSTRUMENT.DATE.REGLEMENT($AC46,,),_xll.INSTRUMENT.DATE.REGLEMENT($AC46,_xll.CALENDRIER.GAP.FINANCE(TODAY(),"1M","AUD","Unadjusted"),),"ACT/365")*(_xll.INSTRUMENT.ROLL.DOWN($A46,oisCurve,_xll.CALENDRIER.GAP.FINANCE(TODAY(),"1M","AUD","Unadjusted",TRUE),$N46)+100*$AA46*_xll.CALENDRIER.FRAC.ANNEE(_xll.INSTRUMENT.DATE.REGLEMENT($AC46,,),_xll.INSTRUMENT.DATE.REGLEMENT($AC46,_xll.CALENDRIER.GAP.FINANCE(TODAY(),"1M","AUD","Unadjusted"),),"ACT/365")-$I46)/$I46</f>
        <v>#NAME?</v>
      </c>
      <c r="P46" s="124" t="e">
        <f ca="1">1/_xll.CALENDRIER.FRAC.ANNEE(_xll.INSTRUMENT.DATE.REGLEMENT($AC46,,),_xll.INSTRUMENT.DATE.REGLEMENT($AC46,_xll.CALENDRIER.GAP.FINANCE(TODAY(),"3M","AUD","Unadjusted"),),"ACT/365")*(_xll.INSTRUMENT.ROLL.DOWN($A46,oisCurve,_xll.CALENDRIER.GAP.FINANCE(TODAY(),"3M","AUD","Unadjusted",TRUE),$N46)+100*$AA46*_xll.CALENDRIER.FRAC.ANNEE(_xll.INSTRUMENT.DATE.REGLEMENT($AC46,,),_xll.INSTRUMENT.DATE.REGLEMENT($AC46,_xll.CALENDRIER.GAP.FINANCE(TODAY(),"3M","AUD","Unadjusted"),),"ACT/365")-$I46)/$I46</f>
        <v>#NAME?</v>
      </c>
      <c r="Q46" s="371" t="e">
        <f ca="1">-(O46-curve!$T$3)/J46</f>
        <v>#NAME?</v>
      </c>
      <c r="R46" s="373">
        <f t="shared" ca="1" si="0"/>
        <v>-53.935058237160881</v>
      </c>
      <c r="S46" s="191" t="str">
        <f>IF(F46&lt;&gt;"","",IF(G46="","",-G46*(SUMIF('raw Data'!$A:$A,"RESINV1USD",'raw Data'!$G:$G)+SUMIF('raw Data'!$A:$A,"RESSWAPORUSD",'raw Data'!$G:$G))/(36500*J46)))</f>
        <v/>
      </c>
      <c r="T46" s="202" t="str">
        <f>IF(G46&lt;&gt;"","",IF(F46="","",-36500*J46*F46/(SUMIF('raw Data'!$A:$A,"RESINV1USD",'raw Data'!$G:$G)+SUMIF('raw Data'!$A:$A,"RESSWAPORUSD",'raw Data'!$G:$G))))</f>
        <v/>
      </c>
      <c r="U46" s="125">
        <f>SUMIF('raw Data'!$E:$E,A46,'raw Data'!$N:$N)</f>
        <v>0</v>
      </c>
      <c r="V46" s="126">
        <v>40193</v>
      </c>
      <c r="W46" s="127">
        <v>40193</v>
      </c>
      <c r="X46" s="127">
        <v>40374</v>
      </c>
      <c r="Y46" s="127">
        <v>41105</v>
      </c>
      <c r="Z46" s="127">
        <v>41289</v>
      </c>
      <c r="AA46" s="128">
        <v>1.375E-2</v>
      </c>
      <c r="AB46" s="129">
        <v>41552000000</v>
      </c>
      <c r="AC46" s="130" t="str">
        <f ca="1">IF(LEFT(B46,1)="B",_xll.INSTANCE.TBILL(A46,V46,Z46,TODAY()),_xll.INSTANCE.TNOTE(A46,V46,W46,X46,Y46,Z46,AA46,TODAY()))</f>
        <v>US912828MG20#0003</v>
      </c>
    </row>
    <row r="47" spans="1:29" x14ac:dyDescent="0.35">
      <c r="A47" s="131" t="s">
        <v>184</v>
      </c>
      <c r="B47" s="115" t="s">
        <v>1023</v>
      </c>
      <c r="C47" s="364"/>
      <c r="D47" s="116"/>
      <c r="E47" s="117"/>
      <c r="F47" s="118"/>
      <c r="G47" s="369"/>
      <c r="H47" s="120">
        <v>1.663239E-3</v>
      </c>
      <c r="I47" s="121">
        <f ca="1">_xll.INSTRUMENT.PRIX(AC47,D47,H47,cTreasuries)</f>
        <v>100.2689812835789</v>
      </c>
      <c r="J47" s="122">
        <f ca="1">_xll.INSTRUMENT.DV01(A47,,,I47,cContinuous,I47)</f>
        <v>-5.9192542398439881E-3</v>
      </c>
      <c r="K47" s="123">
        <f ca="1">_xll.INSTRUMENT.CONVEXITE(A47,,,I47,cContinuous,I47)</f>
        <v>0.34749896047220291</v>
      </c>
      <c r="L47" s="123">
        <f ca="1">_xll.INSTRUMENT.Z.SPREAD(A47,swapCurve,I47,cContinuous,D47)</f>
        <v>-28.488187444618525</v>
      </c>
      <c r="M47" s="123" t="e">
        <f ca="1">_xll.INSTRUMENT.Z.SPREAD(A47,ustCurve,I47,cContinuous,D47)</f>
        <v>#VALUE!</v>
      </c>
      <c r="N47" s="123">
        <f ca="1">_xll.INSTRUMENT.Z.SPREAD(A47,oisCurve,I47,cContinuous,D47)</f>
        <v>-1.57091986850712</v>
      </c>
      <c r="O47" s="124" t="e">
        <f ca="1">1/_xll.CALENDRIER.FRAC.ANNEE(_xll.INSTRUMENT.DATE.REGLEMENT($AC47,,),_xll.INSTRUMENT.DATE.REGLEMENT($AC47,_xll.CALENDRIER.GAP.FINANCE(TODAY(),"1M","AUD","Unadjusted"),),"ACT/365")*(_xll.INSTRUMENT.ROLL.DOWN($A47,oisCurve,_xll.CALENDRIER.GAP.FINANCE(TODAY(),"1M","AUD","Unadjusted",TRUE),$N47)+100*$AA47*_xll.CALENDRIER.FRAC.ANNEE(_xll.INSTRUMENT.DATE.REGLEMENT($AC47,,),_xll.INSTRUMENT.DATE.REGLEMENT($AC47,_xll.CALENDRIER.GAP.FINANCE(TODAY(),"1M","AUD","Unadjusted"),),"ACT/365")-$I47)/$I47</f>
        <v>#NAME?</v>
      </c>
      <c r="P47" s="124" t="e">
        <f ca="1">1/_xll.CALENDRIER.FRAC.ANNEE(_xll.INSTRUMENT.DATE.REGLEMENT($AC47,,),_xll.INSTRUMENT.DATE.REGLEMENT($AC47,_xll.CALENDRIER.GAP.FINANCE(TODAY(),"3M","AUD","Unadjusted"),),"ACT/365")*(_xll.INSTRUMENT.ROLL.DOWN($A47,oisCurve,_xll.CALENDRIER.GAP.FINANCE(TODAY(),"3M","AUD","Unadjusted",TRUE),$N47)+100*$AA47*_xll.CALENDRIER.FRAC.ANNEE(_xll.INSTRUMENT.DATE.REGLEMENT($AC47,,),_xll.INSTRUMENT.DATE.REGLEMENT($AC47,_xll.CALENDRIER.GAP.FINANCE(TODAY(),"3M","AUD","Unadjusted"),),"ACT/365")-$I47)/$I47</f>
        <v>#NAME?</v>
      </c>
      <c r="Q47" s="371" t="e">
        <f ca="1">-(O47-curve!$T$3)/J47</f>
        <v>#NAME?</v>
      </c>
      <c r="R47" s="373">
        <f t="shared" ca="1" si="0"/>
        <v>-58.706544167861566</v>
      </c>
      <c r="S47" s="191" t="str">
        <f>IF(F47&lt;&gt;"","",IF(G47="","",-G47*(SUMIF('raw Data'!$A:$A,"RESINV1USD",'raw Data'!$G:$G)+SUMIF('raw Data'!$A:$A,"RESSWAPORUSD",'raw Data'!$G:$G))/(36500*J47)))</f>
        <v/>
      </c>
      <c r="T47" s="202" t="str">
        <f>IF(G47&lt;&gt;"","",IF(F47="","",-36500*J47*F47/(SUMIF('raw Data'!$A:$A,"RESINV1USD",'raw Data'!$G:$G)+SUMIF('raw Data'!$A:$A,"RESSWAPORUSD",'raw Data'!$G:$G))))</f>
        <v/>
      </c>
      <c r="U47" s="125">
        <f>SUMIF('raw Data'!$E:$E,A47,'raw Data'!$N:$N)</f>
        <v>-430468.66189232067</v>
      </c>
      <c r="V47" s="126">
        <v>40574</v>
      </c>
      <c r="W47" s="127">
        <v>40574</v>
      </c>
      <c r="X47" s="127">
        <v>40755</v>
      </c>
      <c r="Y47" s="127">
        <v>41121</v>
      </c>
      <c r="Z47" s="127">
        <v>41305</v>
      </c>
      <c r="AA47" s="128">
        <v>6.2500000000000003E-3</v>
      </c>
      <c r="AB47" s="129">
        <v>35698000000</v>
      </c>
      <c r="AC47" s="130" t="str">
        <f ca="1">IF(LEFT(B47,1)="B",_xll.INSTANCE.TBILL(A47,V47,Z47,TODAY()),_xll.INSTANCE.TNOTE(A47,V47,W47,X47,Y47,Z47,AA47,TODAY()))</f>
        <v>US912828PR57#0003</v>
      </c>
    </row>
    <row r="48" spans="1:29" x14ac:dyDescent="0.35">
      <c r="A48" s="131" t="s">
        <v>419</v>
      </c>
      <c r="B48" s="115" t="s">
        <v>1024</v>
      </c>
      <c r="C48" s="364"/>
      <c r="D48" s="116"/>
      <c r="E48" s="117"/>
      <c r="F48" s="118"/>
      <c r="G48" s="369"/>
      <c r="H48" s="120">
        <v>1.701403E-3</v>
      </c>
      <c r="I48" s="121">
        <f ca="1">_xll.INSTRUMENT.PRIX(AC48,D48,H48,cTreasuries)</f>
        <v>101.58822976050286</v>
      </c>
      <c r="J48" s="122">
        <f ca="1">_xll.INSTRUMENT.DV01(A48,,,I48,cContinuous,I48)</f>
        <v>-5.995307662714046E-3</v>
      </c>
      <c r="K48" s="123">
        <f ca="1">_xll.INSTRUMENT.CONVEXITE(A48,,,I48,cContinuous,I48)</f>
        <v>0.34379087698592109</v>
      </c>
      <c r="L48" s="123">
        <f ca="1">_xll.INSTRUMENT.Z.SPREAD(A48,swapCurve,I48,cContinuous,D48)</f>
        <v>-28.07304727405516</v>
      </c>
      <c r="M48" s="123" t="e">
        <f ca="1">_xll.INSTRUMENT.Z.SPREAD(A48,ustCurve,I48,cContinuous,D48)</f>
        <v>#VALUE!</v>
      </c>
      <c r="N48" s="123">
        <f ca="1">_xll.INSTRUMENT.Z.SPREAD(A48,oisCurve,I48,cContinuous,D48)</f>
        <v>-1.1890958988708853</v>
      </c>
      <c r="O48" s="124" t="e">
        <f ca="1">1/_xll.CALENDRIER.FRAC.ANNEE(_xll.INSTRUMENT.DATE.REGLEMENT($AC48,,),_xll.INSTRUMENT.DATE.REGLEMENT($AC48,_xll.CALENDRIER.GAP.FINANCE(TODAY(),"1M","AUD","Unadjusted"),),"ACT/365")*(_xll.INSTRUMENT.ROLL.DOWN($A48,oisCurve,_xll.CALENDRIER.GAP.FINANCE(TODAY(),"1M","AUD","Unadjusted",TRUE),$N48)+100*$AA48*_xll.CALENDRIER.FRAC.ANNEE(_xll.INSTRUMENT.DATE.REGLEMENT($AC48,,),_xll.INSTRUMENT.DATE.REGLEMENT($AC48,_xll.CALENDRIER.GAP.FINANCE(TODAY(),"1M","AUD","Unadjusted"),),"ACT/365")-$I48)/$I48</f>
        <v>#NAME?</v>
      </c>
      <c r="P48" s="124" t="e">
        <f ca="1">1/_xll.CALENDRIER.FRAC.ANNEE(_xll.INSTRUMENT.DATE.REGLEMENT($AC48,,),_xll.INSTRUMENT.DATE.REGLEMENT($AC48,_xll.CALENDRIER.GAP.FINANCE(TODAY(),"3M","AUD","Unadjusted"),),"ACT/365")*(_xll.INSTRUMENT.ROLL.DOWN($A48,oisCurve,_xll.CALENDRIER.GAP.FINANCE(TODAY(),"3M","AUD","Unadjusted",TRUE),$N48)+100*$AA48*_xll.CALENDRIER.FRAC.ANNEE(_xll.INSTRUMENT.DATE.REGLEMENT($AC48,,),_xll.INSTRUMENT.DATE.REGLEMENT($AC48,_xll.CALENDRIER.GAP.FINANCE(TODAY(),"3M","AUD","Unadjusted"),),"ACT/365")-$I48)/$I48</f>
        <v>#NAME?</v>
      </c>
      <c r="Q48" s="371" t="e">
        <f ca="1">-(O48-curve!$T$3)/J48</f>
        <v>#NAME?</v>
      </c>
      <c r="R48" s="373">
        <f t="shared" ca="1" si="0"/>
        <v>-57.343325201477427</v>
      </c>
      <c r="S48" s="191" t="str">
        <f>IF(F48&lt;&gt;"","",IF(G48="","",-G48*(SUMIF('raw Data'!$A:$A,"RESINV1USD",'raw Data'!$G:$G)+SUMIF('raw Data'!$A:$A,"RESSWAPORUSD",'raw Data'!$G:$G))/(36500*J48)))</f>
        <v/>
      </c>
      <c r="T48" s="202" t="str">
        <f>IF(G48&lt;&gt;"","",IF(F48="","",-36500*J48*F48/(SUMIF('raw Data'!$A:$A,"RESINV1USD",'raw Data'!$G:$G)+SUMIF('raw Data'!$A:$A,"RESSWAPORUSD",'raw Data'!$G:$G))))</f>
        <v/>
      </c>
      <c r="U48" s="125">
        <f>SUMIF('raw Data'!$E:$E,A48,'raw Data'!$N:$N)</f>
        <v>0</v>
      </c>
      <c r="V48" s="126">
        <v>39478</v>
      </c>
      <c r="W48" s="127">
        <v>39478</v>
      </c>
      <c r="X48" s="127">
        <v>39660</v>
      </c>
      <c r="Y48" s="127">
        <v>41121</v>
      </c>
      <c r="Z48" s="127">
        <v>41305</v>
      </c>
      <c r="AA48" s="128">
        <v>2.8750000000000001E-2</v>
      </c>
      <c r="AB48" s="129">
        <v>15700000000</v>
      </c>
      <c r="AC48" s="130" t="str">
        <f ca="1">IF(LEFT(B48,1)="B",_xll.INSTANCE.TBILL(A48,V48,Z48,TODAY()),_xll.INSTANCE.TNOTE(A48,V48,W48,X48,Y48,Z48,AA48,TODAY()))</f>
        <v>US912828HQ66#0003</v>
      </c>
    </row>
    <row r="49" spans="1:29" x14ac:dyDescent="0.35">
      <c r="A49" s="131" t="s">
        <v>420</v>
      </c>
      <c r="B49" s="115" t="s">
        <v>1025</v>
      </c>
      <c r="C49" s="364"/>
      <c r="D49" s="116"/>
      <c r="E49" s="117"/>
      <c r="F49" s="118"/>
      <c r="G49" s="369"/>
      <c r="H49" s="120">
        <v>1.5771185690498873E-3</v>
      </c>
      <c r="I49" s="121">
        <f ca="1">_xll.INSTRUMENT.PRIX(AC49,D49,H49,cTreasuries)</f>
        <v>99.903948165918052</v>
      </c>
      <c r="J49" s="122">
        <f ca="1">_xll.INSTRUMENT.DV01(A49,,,I49,cContinuous,I49)</f>
        <v>-6.0898089718016716E-3</v>
      </c>
      <c r="K49" s="123">
        <f ca="1">_xll.INSTRUMENT.CONVEXITE(A49,,,I49,cContinuous,I49)</f>
        <v>0.37157142072585958</v>
      </c>
      <c r="L49" s="123">
        <f ca="1">_xll.INSTRUMENT.Z.SPREAD(A49,swapCurve,I49,cContinuous,D49)</f>
        <v>-29.595451305987346</v>
      </c>
      <c r="M49" s="123" t="e">
        <f ca="1">_xll.INSTRUMENT.Z.SPREAD(A49,ustCurve,I49,cContinuous,D49)</f>
        <v>#VALUE!</v>
      </c>
      <c r="N49" s="123">
        <f ca="1">_xll.INSTRUMENT.Z.SPREAD(A49,oisCurve,I49,cContinuous,D49)</f>
        <v>-2.4357898592557481</v>
      </c>
      <c r="O49" s="124" t="e">
        <f ca="1">1/_xll.CALENDRIER.FRAC.ANNEE(_xll.INSTRUMENT.DATE.REGLEMENT($AC49,,),_xll.INSTRUMENT.DATE.REGLEMENT($AC49,_xll.CALENDRIER.GAP.FINANCE(TODAY(),"1M","AUD","Unadjusted"),),"ACT/365")*(_xll.INSTRUMENT.ROLL.DOWN($A49,oisCurve,_xll.CALENDRIER.GAP.FINANCE(TODAY(),"1M","AUD","Unadjusted",TRUE),$N49)+100*$AA49*_xll.CALENDRIER.FRAC.ANNEE(_xll.INSTRUMENT.DATE.REGLEMENT($AC49,,),_xll.INSTRUMENT.DATE.REGLEMENT($AC49,_xll.CALENDRIER.GAP.FINANCE(TODAY(),"1M","AUD","Unadjusted"),),"ACT/365")-$I49)/$I49</f>
        <v>#NAME?</v>
      </c>
      <c r="P49" s="124" t="e">
        <f ca="1">1/_xll.CALENDRIER.FRAC.ANNEE(_xll.INSTRUMENT.DATE.REGLEMENT($AC49,,),_xll.INSTRUMENT.DATE.REGLEMENT($AC49,_xll.CALENDRIER.GAP.FINANCE(TODAY(),"3M","AUD","Unadjusted"),),"ACT/365")*(_xll.INSTRUMENT.ROLL.DOWN($A49,oisCurve,_xll.CALENDRIER.GAP.FINANCE(TODAY(),"3M","AUD","Unadjusted",TRUE),$N49)+100*$AA49*_xll.CALENDRIER.FRAC.ANNEE(_xll.INSTRUMENT.DATE.REGLEMENT($AC49,,),_xll.INSTRUMENT.DATE.REGLEMENT($AC49,_xll.CALENDRIER.GAP.FINANCE(TODAY(),"3M","AUD","Unadjusted"),),"ACT/365")-$I49)/$I49</f>
        <v>#NAME?</v>
      </c>
      <c r="Q49" s="371" t="e">
        <f ca="1">-(O49-curve!$T$3)/J49</f>
        <v>#NAME?</v>
      </c>
      <c r="R49" s="373">
        <f t="shared" ca="1" si="0"/>
        <v>-61.015283475456876</v>
      </c>
      <c r="S49" s="191" t="str">
        <f>IF(F49&lt;&gt;"","",IF(G49="","",-G49*(SUMIF('raw Data'!$A:$A,"RESINV1USD",'raw Data'!$G:$G)+SUMIF('raw Data'!$A:$A,"RESSWAPORUSD",'raw Data'!$G:$G))/(36500*J49)))</f>
        <v/>
      </c>
      <c r="T49" s="202" t="str">
        <f>IF(G49&lt;&gt;"","",IF(F49="","",-36500*J49*F49/(SUMIF('raw Data'!$A:$A,"RESINV1USD",'raw Data'!$G:$G)+SUMIF('raw Data'!$A:$A,"RESSWAPORUSD",'raw Data'!$G:$G))))</f>
        <v/>
      </c>
      <c r="U49" s="125">
        <f>SUMIF('raw Data'!$E:$E,A49,'raw Data'!$N:$N)</f>
        <v>0</v>
      </c>
      <c r="V49" s="126">
        <v>40948</v>
      </c>
      <c r="W49" s="127" t="e">
        <v>#VALUE!</v>
      </c>
      <c r="X49" s="127" t="e">
        <v>#VALUE!</v>
      </c>
      <c r="Y49" s="127" t="e">
        <v>#VALUE!</v>
      </c>
      <c r="Z49" s="127">
        <v>41312</v>
      </c>
      <c r="AA49" s="128">
        <v>0</v>
      </c>
      <c r="AB49" s="129">
        <v>26001000000</v>
      </c>
      <c r="AC49" s="130" t="str">
        <f ca="1">IF(LEFT(B49,1)="B",_xll.INSTANCE.TBILL(A49,V49,Z49,TODAY()),_xll.INSTANCE.TNOTE(A49,V49,W49,X49,Y49,Z49,AA49,TODAY()))</f>
        <v>US9127955Z04#0003</v>
      </c>
    </row>
    <row r="50" spans="1:29" x14ac:dyDescent="0.35">
      <c r="A50" s="131" t="s">
        <v>421</v>
      </c>
      <c r="B50" s="115" t="s">
        <v>1026</v>
      </c>
      <c r="C50" s="364"/>
      <c r="D50" s="116"/>
      <c r="E50" s="117"/>
      <c r="F50" s="118"/>
      <c r="G50" s="369"/>
      <c r="H50" s="120">
        <v>1.8412329999999998E-3</v>
      </c>
      <c r="I50" s="121">
        <f ca="1">_xll.INSTRUMENT.PRIX(AC50,D50,H50,cTreasuries)</f>
        <v>102.31897677600975</v>
      </c>
      <c r="J50" s="122">
        <f ca="1">_xll.INSTRUMENT.DV01(A50,,,I50,cContinuous,I50)</f>
        <v>-6.454589232605187E-3</v>
      </c>
      <c r="K50" s="123">
        <f ca="1">_xll.INSTRUMENT.CONVEXITE(A50,,,I50,cContinuous,I50)</f>
        <v>0.3916356449152637</v>
      </c>
      <c r="L50" s="123">
        <f ca="1">_xll.INSTRUMENT.Z.SPREAD(A50,swapCurve,I50,cContinuous,D50)</f>
        <v>-27.179958158317945</v>
      </c>
      <c r="M50" s="123" t="e">
        <f ca="1">_xll.INSTRUMENT.Z.SPREAD(A50,ustCurve,I50,cContinuous,D50)</f>
        <v>#VALUE!</v>
      </c>
      <c r="N50" s="123">
        <f ca="1">_xll.INSTRUMENT.Z.SPREAD(A50,oisCurve,I50,cContinuous,D50)</f>
        <v>0.20214268417788475</v>
      </c>
      <c r="O50" s="124" t="e">
        <f ca="1">1/_xll.CALENDRIER.FRAC.ANNEE(_xll.INSTRUMENT.DATE.REGLEMENT($AC50,,),_xll.INSTRUMENT.DATE.REGLEMENT($AC50,_xll.CALENDRIER.GAP.FINANCE(TODAY(),"1M","AUD","Unadjusted"),),"ACT/365")*(_xll.INSTRUMENT.ROLL.DOWN($A50,oisCurve,_xll.CALENDRIER.GAP.FINANCE(TODAY(),"1M","AUD","Unadjusted",TRUE),$N50)+100*$AA50*_xll.CALENDRIER.FRAC.ANNEE(_xll.INSTRUMENT.DATE.REGLEMENT($AC50,,),_xll.INSTRUMENT.DATE.REGLEMENT($AC50,_xll.CALENDRIER.GAP.FINANCE(TODAY(),"1M","AUD","Unadjusted"),),"ACT/365")-$I50)/$I50</f>
        <v>#NAME?</v>
      </c>
      <c r="P50" s="124" t="e">
        <f ca="1">1/_xll.CALENDRIER.FRAC.ANNEE(_xll.INSTRUMENT.DATE.REGLEMENT($AC50,,),_xll.INSTRUMENT.DATE.REGLEMENT($AC50,_xll.CALENDRIER.GAP.FINANCE(TODAY(),"3M","AUD","Unadjusted"),),"ACT/365")*(_xll.INSTRUMENT.ROLL.DOWN($A50,oisCurve,_xll.CALENDRIER.GAP.FINANCE(TODAY(),"3M","AUD","Unadjusted",TRUE),$N50)+100*$AA50*_xll.CALENDRIER.FRAC.ANNEE(_xll.INSTRUMENT.DATE.REGLEMENT($AC50,,),_xll.INSTRUMENT.DATE.REGLEMENT($AC50,_xll.CALENDRIER.GAP.FINANCE(TODAY(),"3M","AUD","Unadjusted"),),"ACT/365")-$I50)/$I50</f>
        <v>#NAME?</v>
      </c>
      <c r="Q50" s="371" t="e">
        <f ca="1">-(O50-curve!$T$3)/J50</f>
        <v>#NAME?</v>
      </c>
      <c r="R50" s="373">
        <f t="shared" ca="1" si="0"/>
        <v>-60.675533454077389</v>
      </c>
      <c r="S50" s="191" t="str">
        <f>IF(F50&lt;&gt;"","",IF(G50="","",-G50*(SUMIF('raw Data'!$A:$A,"RESINV1USD",'raw Data'!$G:$G)+SUMIF('raw Data'!$A:$A,"RESSWAPORUSD",'raw Data'!$G:$G))/(36500*J50)))</f>
        <v/>
      </c>
      <c r="T50" s="202" t="str">
        <f>IF(G50&lt;&gt;"","",IF(F50="","",-36500*J50*F50/(SUMIF('raw Data'!$A:$A,"RESINV1USD",'raw Data'!$G:$G)+SUMIF('raw Data'!$A:$A,"RESSWAPORUSD",'raw Data'!$G:$G))))</f>
        <v/>
      </c>
      <c r="U50" s="125">
        <f>SUMIF('raw Data'!$E:$E,A50,'raw Data'!$N:$N)</f>
        <v>0</v>
      </c>
      <c r="V50" s="126">
        <v>37670</v>
      </c>
      <c r="W50" s="127">
        <v>37667</v>
      </c>
      <c r="X50" s="127">
        <v>37848</v>
      </c>
      <c r="Y50" s="127">
        <v>41136</v>
      </c>
      <c r="Z50" s="127">
        <v>41320</v>
      </c>
      <c r="AA50" s="128">
        <v>3.875E-2</v>
      </c>
      <c r="AB50" s="129">
        <v>19498000000</v>
      </c>
      <c r="AC50" s="130" t="str">
        <f ca="1">IF(LEFT(B50,1)="B",_xll.INSTANCE.TBILL(A50,V50,Z50,TODAY()),_xll.INSTANCE.TNOTE(A50,V50,W50,X50,Y50,Z50,AA50,TODAY()))</f>
        <v>US912828AU42#0003</v>
      </c>
    </row>
    <row r="51" spans="1:29" x14ac:dyDescent="0.35">
      <c r="A51" s="131" t="s">
        <v>422</v>
      </c>
      <c r="B51" s="115" t="s">
        <v>1027</v>
      </c>
      <c r="C51" s="364"/>
      <c r="D51" s="116"/>
      <c r="E51" s="117"/>
      <c r="F51" s="118"/>
      <c r="G51" s="369"/>
      <c r="H51" s="120">
        <v>1.8458599999999999E-3</v>
      </c>
      <c r="I51" s="121">
        <f ca="1">_xll.INSTRUMENT.PRIX(AC51,D51,H51,cTreasuries)</f>
        <v>100.74762800428455</v>
      </c>
      <c r="J51" s="122">
        <f ca="1">_xll.INSTRUMENT.DV01(A51,,,I51,cContinuous,I51)</f>
        <v>-6.3596787471962108E-3</v>
      </c>
      <c r="K51" s="123">
        <f ca="1">_xll.INSTRUMENT.CONVEXITE(A51,,,I51,cContinuous,I51)</f>
        <v>0.39617760513290207</v>
      </c>
      <c r="L51" s="123">
        <f ca="1">_xll.INSTRUMENT.Z.SPREAD(A51,swapCurve,I51,cContinuous,D51)</f>
        <v>-27.179983841755131</v>
      </c>
      <c r="M51" s="123" t="e">
        <f ca="1">_xll.INSTRUMENT.Z.SPREAD(A51,ustCurve,I51,cContinuous,D51)</f>
        <v>#VALUE!</v>
      </c>
      <c r="N51" s="123">
        <f ca="1">_xll.INSTRUMENT.Z.SPREAD(A51,oisCurve,I51,cContinuous,D51)</f>
        <v>0.24734650024882038</v>
      </c>
      <c r="O51" s="124" t="e">
        <f ca="1">1/_xll.CALENDRIER.FRAC.ANNEE(_xll.INSTRUMENT.DATE.REGLEMENT($AC51,,),_xll.INSTRUMENT.DATE.REGLEMENT($AC51,_xll.CALENDRIER.GAP.FINANCE(TODAY(),"1M","AUD","Unadjusted"),),"ACT/365")*(_xll.INSTRUMENT.ROLL.DOWN($A51,oisCurve,_xll.CALENDRIER.GAP.FINANCE(TODAY(),"1M","AUD","Unadjusted",TRUE),$N51)+100*$AA51*_xll.CALENDRIER.FRAC.ANNEE(_xll.INSTRUMENT.DATE.REGLEMENT($AC51,,),_xll.INSTRUMENT.DATE.REGLEMENT($AC51,_xll.CALENDRIER.GAP.FINANCE(TODAY(),"1M","AUD","Unadjusted"),),"ACT/365")-$I51)/$I51</f>
        <v>#NAME?</v>
      </c>
      <c r="P51" s="124" t="e">
        <f ca="1">1/_xll.CALENDRIER.FRAC.ANNEE(_xll.INSTRUMENT.DATE.REGLEMENT($AC51,,),_xll.INSTRUMENT.DATE.REGLEMENT($AC51,_xll.CALENDRIER.GAP.FINANCE(TODAY(),"3M","AUD","Unadjusted"),),"ACT/365")*(_xll.INSTRUMENT.ROLL.DOWN($A51,oisCurve,_xll.CALENDRIER.GAP.FINANCE(TODAY(),"3M","AUD","Unadjusted",TRUE),$N51)+100*$AA51*_xll.CALENDRIER.FRAC.ANNEE(_xll.INSTRUMENT.DATE.REGLEMENT($AC51,,),_xll.INSTRUMENT.DATE.REGLEMENT($AC51,_xll.CALENDRIER.GAP.FINANCE(TODAY(),"3M","AUD","Unadjusted"),),"ACT/365")-$I51)/$I51</f>
        <v>#NAME?</v>
      </c>
      <c r="Q51" s="371" t="e">
        <f ca="1">-(O51-curve!$T$3)/J51</f>
        <v>#NAME?</v>
      </c>
      <c r="R51" s="373">
        <f t="shared" ca="1" si="0"/>
        <v>-62.295222900616601</v>
      </c>
      <c r="S51" s="191" t="str">
        <f>IF(F51&lt;&gt;"","",IF(G51="","",-G51*(SUMIF('raw Data'!$A:$A,"RESINV1USD",'raw Data'!$G:$G)+SUMIF('raw Data'!$A:$A,"RESSWAPORUSD",'raw Data'!$G:$G))/(36500*J51)))</f>
        <v/>
      </c>
      <c r="T51" s="202" t="str">
        <f>IF(G51&lt;&gt;"","",IF(F51="","",-36500*J51*F51/(SUMIF('raw Data'!$A:$A,"RESINV1USD",'raw Data'!$G:$G)+SUMIF('raw Data'!$A:$A,"RESSWAPORUSD",'raw Data'!$G:$G))))</f>
        <v/>
      </c>
      <c r="U51" s="125">
        <f>SUMIF('raw Data'!$E:$E,A51,'raw Data'!$N:$N)</f>
        <v>0</v>
      </c>
      <c r="V51" s="126">
        <v>40225</v>
      </c>
      <c r="W51" s="127">
        <v>40224</v>
      </c>
      <c r="X51" s="127">
        <v>40405</v>
      </c>
      <c r="Y51" s="127">
        <v>41136</v>
      </c>
      <c r="Z51" s="127">
        <v>41320</v>
      </c>
      <c r="AA51" s="128">
        <v>1.375E-2</v>
      </c>
      <c r="AB51" s="129">
        <v>44497000000</v>
      </c>
      <c r="AC51" s="130" t="str">
        <f ca="1">IF(LEFT(B51,1)="B",_xll.INSTANCE.TBILL(A51,V51,Z51,TODAY()),_xll.INSTANCE.TNOTE(A51,V51,W51,X51,Y51,Z51,AA51,TODAY()))</f>
        <v>US912828MN70#0003</v>
      </c>
    </row>
    <row r="52" spans="1:29" x14ac:dyDescent="0.35">
      <c r="A52" s="131" t="s">
        <v>46</v>
      </c>
      <c r="B52" s="115" t="s">
        <v>1028</v>
      </c>
      <c r="C52" s="364"/>
      <c r="D52" s="116"/>
      <c r="E52" s="117"/>
      <c r="F52" s="118"/>
      <c r="G52" s="369"/>
      <c r="H52" s="120">
        <v>1.826289E-3</v>
      </c>
      <c r="I52" s="121">
        <f ca="1">_xll.INSTRUMENT.PRIX(AC52,D52,H52,cTreasuries)</f>
        <v>100.29730673637719</v>
      </c>
      <c r="J52" s="122">
        <f ca="1">_xll.INSTRUMENT.DV01(A52,,,I52,cContinuous,I52)</f>
        <v>-6.6890855998364036E-3</v>
      </c>
      <c r="K52" s="123">
        <f ca="1">_xll.INSTRUMENT.CONVEXITE(A52,,,I52,cContinuous,I52)</f>
        <v>0.44373231129997648</v>
      </c>
      <c r="L52" s="123">
        <f ca="1">_xll.INSTRUMENT.Z.SPREAD(A52,swapCurve,I52,cContinuous,D52)</f>
        <v>-27.8697267852327</v>
      </c>
      <c r="M52" s="123" t="e">
        <f ca="1">_xll.INSTRUMENT.Z.SPREAD(A52,ustCurve,I52,cContinuous,D52)</f>
        <v>#VALUE!</v>
      </c>
      <c r="N52" s="123">
        <f ca="1">_xll.INSTRUMENT.Z.SPREAD(A52,oisCurve,I52,cContinuous,D52)</f>
        <v>6.5862234331614714E-2</v>
      </c>
      <c r="O52" s="124" t="e">
        <f ca="1">1/_xll.CALENDRIER.FRAC.ANNEE(_xll.INSTRUMENT.DATE.REGLEMENT($AC52,,),_xll.INSTRUMENT.DATE.REGLEMENT($AC52,_xll.CALENDRIER.GAP.FINANCE(TODAY(),"1M","AUD","Unadjusted"),),"ACT/365")*(_xll.INSTRUMENT.ROLL.DOWN($A52,oisCurve,_xll.CALENDRIER.GAP.FINANCE(TODAY(),"1M","AUD","Unadjusted",TRUE),$N52)+100*$AA52*_xll.CALENDRIER.FRAC.ANNEE(_xll.INSTRUMENT.DATE.REGLEMENT($AC52,,),_xll.INSTRUMENT.DATE.REGLEMENT($AC52,_xll.CALENDRIER.GAP.FINANCE(TODAY(),"1M","AUD","Unadjusted"),),"ACT/365")-$I52)/$I52</f>
        <v>#NAME?</v>
      </c>
      <c r="P52" s="124" t="e">
        <f ca="1">1/_xll.CALENDRIER.FRAC.ANNEE(_xll.INSTRUMENT.DATE.REGLEMENT($AC52,,),_xll.INSTRUMENT.DATE.REGLEMENT($AC52,_xll.CALENDRIER.GAP.FINANCE(TODAY(),"3M","AUD","Unadjusted"),),"ACT/365")*(_xll.INSTRUMENT.ROLL.DOWN($A52,oisCurve,_xll.CALENDRIER.GAP.FINANCE(TODAY(),"3M","AUD","Unadjusted",TRUE),$N52)+100*$AA52*_xll.CALENDRIER.FRAC.ANNEE(_xll.INSTRUMENT.DATE.REGLEMENT($AC52,,),_xll.INSTRUMENT.DATE.REGLEMENT($AC52,_xll.CALENDRIER.GAP.FINANCE(TODAY(),"3M","AUD","Unadjusted"),),"ACT/365")-$I52)/$I52</f>
        <v>#NAME?</v>
      </c>
      <c r="Q52" s="371" t="e">
        <f ca="1">-(O52-curve!$T$3)/J52</f>
        <v>#NAME?</v>
      </c>
      <c r="R52" s="373">
        <f t="shared" ca="1" si="0"/>
        <v>-66.336766763880092</v>
      </c>
      <c r="S52" s="191" t="str">
        <f>IF(F52&lt;&gt;"","",IF(G52="","",-G52*(SUMIF('raw Data'!$A:$A,"RESINV1USD",'raw Data'!$G:$G)+SUMIF('raw Data'!$A:$A,"RESSWAPORUSD",'raw Data'!$G:$G))/(36500*J52)))</f>
        <v/>
      </c>
      <c r="T52" s="202" t="str">
        <f>IF(G52&lt;&gt;"","",IF(F52="","",-36500*J52*F52/(SUMIF('raw Data'!$A:$A,"RESINV1USD",'raw Data'!$G:$G)+SUMIF('raw Data'!$A:$A,"RESSWAPORUSD",'raw Data'!$G:$G))))</f>
        <v/>
      </c>
      <c r="U52" s="125">
        <f>SUMIF('raw Data'!$E:$E,A52,'raw Data'!$N:$N)</f>
        <v>-431628.95478151832</v>
      </c>
      <c r="V52" s="126">
        <v>40602</v>
      </c>
      <c r="W52" s="127">
        <v>40602</v>
      </c>
      <c r="X52" s="127">
        <v>40786</v>
      </c>
      <c r="Y52" s="127">
        <v>41152</v>
      </c>
      <c r="Z52" s="127">
        <v>41333</v>
      </c>
      <c r="AA52" s="128">
        <v>6.2500000000000003E-3</v>
      </c>
      <c r="AB52" s="129">
        <v>36923000000</v>
      </c>
      <c r="AC52" s="130" t="str">
        <f ca="1">IF(LEFT(B52,1)="B",_xll.INSTANCE.TBILL(A52,V52,Z52,TODAY()),_xll.INSTANCE.TNOTE(A52,V52,W52,X52,Y52,Z52,AA52,TODAY()))</f>
        <v>US912828QK95#0003</v>
      </c>
    </row>
    <row r="53" spans="1:29" x14ac:dyDescent="0.35">
      <c r="A53" s="131" t="s">
        <v>423</v>
      </c>
      <c r="B53" s="115" t="s">
        <v>1029</v>
      </c>
      <c r="C53" s="364"/>
      <c r="D53" s="116"/>
      <c r="E53" s="117"/>
      <c r="F53" s="118"/>
      <c r="G53" s="369"/>
      <c r="H53" s="120">
        <v>1.9009200000000002E-3</v>
      </c>
      <c r="I53" s="121">
        <f ca="1">_xll.INSTRUMENT.PRIX(AC53,D53,H53,cTreasuries)</f>
        <v>101.71691578690347</v>
      </c>
      <c r="J53" s="122">
        <f ca="1">_xll.INSTRUMENT.DV01(A53,,,I53,cContinuous,I53)</f>
        <v>-6.7778256119096049E-3</v>
      </c>
      <c r="K53" s="123">
        <f ca="1">_xll.INSTRUMENT.CONVEXITE(A53,,,I53,cContinuous,I53)</f>
        <v>0.43945955229310563</v>
      </c>
      <c r="L53" s="123">
        <f ca="1">_xll.INSTRUMENT.Z.SPREAD(A53,swapCurve,I53,cContinuous,D53)</f>
        <v>-27.088274714954334</v>
      </c>
      <c r="M53" s="123" t="e">
        <f ca="1">_xll.INSTRUMENT.Z.SPREAD(A53,ustCurve,I53,cContinuous,D53)</f>
        <v>#VALUE!</v>
      </c>
      <c r="N53" s="123">
        <f ca="1">_xll.INSTRUMENT.Z.SPREAD(A53,oisCurve,I53,cContinuous,D53)</f>
        <v>0.81133488943340526</v>
      </c>
      <c r="O53" s="124" t="e">
        <f ca="1">1/_xll.CALENDRIER.FRAC.ANNEE(_xll.INSTRUMENT.DATE.REGLEMENT($AC53,,),_xll.INSTRUMENT.DATE.REGLEMENT($AC53,_xll.CALENDRIER.GAP.FINANCE(TODAY(),"1M","AUD","Unadjusted"),),"ACT/365")*(_xll.INSTRUMENT.ROLL.DOWN($A53,oisCurve,_xll.CALENDRIER.GAP.FINANCE(TODAY(),"1M","AUD","Unadjusted",TRUE),$N53)+100*$AA53*_xll.CALENDRIER.FRAC.ANNEE(_xll.INSTRUMENT.DATE.REGLEMENT($AC53,,),_xll.INSTRUMENT.DATE.REGLEMENT($AC53,_xll.CALENDRIER.GAP.FINANCE(TODAY(),"1M","AUD","Unadjusted"),),"ACT/365")-$I53)/$I53</f>
        <v>#NAME?</v>
      </c>
      <c r="P53" s="124" t="e">
        <f ca="1">1/_xll.CALENDRIER.FRAC.ANNEE(_xll.INSTRUMENT.DATE.REGLEMENT($AC53,,),_xll.INSTRUMENT.DATE.REGLEMENT($AC53,_xll.CALENDRIER.GAP.FINANCE(TODAY(),"3M","AUD","Unadjusted"),),"ACT/365")*(_xll.INSTRUMENT.ROLL.DOWN($A53,oisCurve,_xll.CALENDRIER.GAP.FINANCE(TODAY(),"3M","AUD","Unadjusted",TRUE),$N53)+100*$AA53*_xll.CALENDRIER.FRAC.ANNEE(_xll.INSTRUMENT.DATE.REGLEMENT($AC53,,),_xll.INSTRUMENT.DATE.REGLEMENT($AC53,_xll.CALENDRIER.GAP.FINANCE(TODAY(),"3M","AUD","Unadjusted"),),"ACT/365")-$I53)/$I53</f>
        <v>#NAME?</v>
      </c>
      <c r="Q53" s="371" t="e">
        <f ca="1">-(O53-curve!$T$3)/J53</f>
        <v>#NAME?</v>
      </c>
      <c r="R53" s="373">
        <f t="shared" ca="1" si="0"/>
        <v>-64.83783700792074</v>
      </c>
      <c r="S53" s="191" t="str">
        <f>IF(F53&lt;&gt;"","",IF(G53="","",-G53*(SUMIF('raw Data'!$A:$A,"RESINV1USD",'raw Data'!$G:$G)+SUMIF('raw Data'!$A:$A,"RESSWAPORUSD",'raw Data'!$G:$G))/(36500*J53)))</f>
        <v/>
      </c>
      <c r="T53" s="202" t="str">
        <f>IF(G53&lt;&gt;"","",IF(F53="","",-36500*J53*F53/(SUMIF('raw Data'!$A:$A,"RESINV1USD",'raw Data'!$G:$G)+SUMIF('raw Data'!$A:$A,"RESSWAPORUSD",'raw Data'!$G:$G))))</f>
        <v/>
      </c>
      <c r="U53" s="125">
        <f>SUMIF('raw Data'!$E:$E,A53,'raw Data'!$N:$N)</f>
        <v>0</v>
      </c>
      <c r="V53" s="126">
        <v>39507</v>
      </c>
      <c r="W53" s="127">
        <v>39507</v>
      </c>
      <c r="X53" s="127">
        <v>39691</v>
      </c>
      <c r="Y53" s="127">
        <v>41152</v>
      </c>
      <c r="Z53" s="127">
        <v>41333</v>
      </c>
      <c r="AA53" s="128">
        <v>2.75E-2</v>
      </c>
      <c r="AB53" s="129">
        <v>17784000000</v>
      </c>
      <c r="AC53" s="130" t="str">
        <f ca="1">IF(LEFT(B53,1)="B",_xll.INSTANCE.TBILL(A53,V53,Z53,TODAY()),_xll.INSTANCE.TNOTE(A53,V53,W53,X53,Y53,Z53,AA53,TODAY()))</f>
        <v>US912828HT06#0003</v>
      </c>
    </row>
    <row r="54" spans="1:29" x14ac:dyDescent="0.35">
      <c r="A54" s="131" t="s">
        <v>424</v>
      </c>
      <c r="B54" s="115" t="s">
        <v>1030</v>
      </c>
      <c r="C54" s="364"/>
      <c r="D54" s="116"/>
      <c r="E54" s="117"/>
      <c r="F54" s="118"/>
      <c r="G54" s="369"/>
      <c r="H54" s="120">
        <v>1.5728812270636937E-3</v>
      </c>
      <c r="I54" s="121">
        <f ca="1">_xll.INSTRUMENT.PRIX(AC54,D54,H54,cTreasuries)</f>
        <v>99.892157093754108</v>
      </c>
      <c r="J54" s="122">
        <f ca="1">_xll.INSTRUMENT.DV01(A54,,,I54,cContinuous,I54)</f>
        <v>-6.8553857678488568E-3</v>
      </c>
      <c r="K54" s="123">
        <f ca="1">_xll.INSTRUMENT.CONVEXITE(A54,,,I54,cContinuous,I54)</f>
        <v>0.47097874655514493</v>
      </c>
      <c r="L54" s="123">
        <f ca="1">_xll.INSTRUMENT.Z.SPREAD(A54,swapCurve,I54,cContinuous,D54)</f>
        <v>-30.655777249467281</v>
      </c>
      <c r="M54" s="123" t="e">
        <f ca="1">_xll.INSTRUMENT.Z.SPREAD(A54,ustCurve,I54,cContinuous,D54)</f>
        <v>#VALUE!</v>
      </c>
      <c r="N54" s="123">
        <f ca="1">_xll.INSTRUMENT.Z.SPREAD(A54,oisCurve,I54,cContinuous,D54)</f>
        <v>-2.4543443195329298</v>
      </c>
      <c r="O54" s="124" t="e">
        <f ca="1">1/_xll.CALENDRIER.FRAC.ANNEE(_xll.INSTRUMENT.DATE.REGLEMENT($AC54,,),_xll.INSTRUMENT.DATE.REGLEMENT($AC54,_xll.CALENDRIER.GAP.FINANCE(TODAY(),"1M","AUD","Unadjusted"),),"ACT/365")*(_xll.INSTRUMENT.ROLL.DOWN($A54,oisCurve,_xll.CALENDRIER.GAP.FINANCE(TODAY(),"1M","AUD","Unadjusted",TRUE),$N54)+100*$AA54*_xll.CALENDRIER.FRAC.ANNEE(_xll.INSTRUMENT.DATE.REGLEMENT($AC54,,),_xll.INSTRUMENT.DATE.REGLEMENT($AC54,_xll.CALENDRIER.GAP.FINANCE(TODAY(),"1M","AUD","Unadjusted"),),"ACT/365")-$I54)/$I54</f>
        <v>#NAME?</v>
      </c>
      <c r="P54" s="124" t="e">
        <f ca="1">1/_xll.CALENDRIER.FRAC.ANNEE(_xll.INSTRUMENT.DATE.REGLEMENT($AC54,,),_xll.INSTRUMENT.DATE.REGLEMENT($AC54,_xll.CALENDRIER.GAP.FINANCE(TODAY(),"3M","AUD","Unadjusted"),),"ACT/365")*(_xll.INSTRUMENT.ROLL.DOWN($A54,oisCurve,_xll.CALENDRIER.GAP.FINANCE(TODAY(),"3M","AUD","Unadjusted",TRUE),$N54)+100*$AA54*_xll.CALENDRIER.FRAC.ANNEE(_xll.INSTRUMENT.DATE.REGLEMENT($AC54,,),_xll.INSTRUMENT.DATE.REGLEMENT($AC54,_xll.CALENDRIER.GAP.FINANCE(TODAY(),"3M","AUD","Unadjusted"),),"ACT/365")-$I54)/$I54</f>
        <v>#NAME?</v>
      </c>
      <c r="Q54" s="371" t="e">
        <f ca="1">-(O54-curve!$T$3)/J54</f>
        <v>#NAME?</v>
      </c>
      <c r="R54" s="373">
        <f t="shared" ca="1" si="0"/>
        <v>-68.702004891393997</v>
      </c>
      <c r="S54" s="191" t="str">
        <f>IF(F54&lt;&gt;"","",IF(G54="","",-G54*(SUMIF('raw Data'!$A:$A,"RESINV1USD",'raw Data'!$G:$G)+SUMIF('raw Data'!$A:$A,"RESSWAPORUSD",'raw Data'!$G:$G))/(36500*J54)))</f>
        <v/>
      </c>
      <c r="T54" s="202" t="str">
        <f>IF(G54&lt;&gt;"","",IF(F54="","",-36500*J54*F54/(SUMIF('raw Data'!$A:$A,"RESINV1USD",'raw Data'!$G:$G)+SUMIF('raw Data'!$A:$A,"RESSWAPORUSD",'raw Data'!$G:$G))))</f>
        <v/>
      </c>
      <c r="U54" s="125">
        <f>SUMIF('raw Data'!$E:$E,A54,'raw Data'!$N:$N)</f>
        <v>0</v>
      </c>
      <c r="V54" s="126">
        <v>40976</v>
      </c>
      <c r="W54" s="127" t="e">
        <v>#VALUE!</v>
      </c>
      <c r="X54" s="127" t="e">
        <v>#VALUE!</v>
      </c>
      <c r="Y54" s="127" t="e">
        <v>#VALUE!</v>
      </c>
      <c r="Z54" s="127">
        <v>41340</v>
      </c>
      <c r="AA54" s="128">
        <v>0</v>
      </c>
      <c r="AB54" s="129">
        <v>26001000000</v>
      </c>
      <c r="AC54" s="130" t="str">
        <f ca="1">IF(LEFT(B54,1)="B",_xll.INSTANCE.TBILL(A54,V54,Z54,TODAY()),_xll.INSTANCE.TNOTE(A54,V54,W54,X54,Y54,Z54,AA54,TODAY()))</f>
        <v>US9127956E65#0003</v>
      </c>
    </row>
    <row r="55" spans="1:29" x14ac:dyDescent="0.35">
      <c r="A55" s="131" t="s">
        <v>425</v>
      </c>
      <c r="B55" s="115" t="s">
        <v>1031</v>
      </c>
      <c r="C55" s="364"/>
      <c r="D55" s="116"/>
      <c r="E55" s="117"/>
      <c r="F55" s="118"/>
      <c r="G55" s="369"/>
      <c r="H55" s="120">
        <v>1.913344E-3</v>
      </c>
      <c r="I55" s="121">
        <f ca="1">_xll.INSTRUMENT.PRIX(AC55,D55,H55,cTreasuries)</f>
        <v>100.84237185672305</v>
      </c>
      <c r="J55" s="122">
        <f ca="1">_xll.INSTRUMENT.DV01(A55,,,I55,cContinuous,I55)</f>
        <v>-7.1356469885486924E-3</v>
      </c>
      <c r="K55" s="123">
        <f ca="1">_xll.INSTRUMENT.CONVEXITE(A55,,,I55,cContinuous,I55)</f>
        <v>0.49846240651300006</v>
      </c>
      <c r="L55" s="123">
        <f ca="1">_xll.INSTRUMENT.Z.SPREAD(A55,swapCurve,I55,cContinuous,D55)</f>
        <v>-27.50698277680101</v>
      </c>
      <c r="M55" s="123" t="e">
        <f ca="1">_xll.INSTRUMENT.Z.SPREAD(A55,ustCurve,I55,cContinuous,D55)</f>
        <v>#VALUE!</v>
      </c>
      <c r="N55" s="123">
        <f ca="1">_xll.INSTRUMENT.Z.SPREAD(A55,oisCurve,I55,cContinuous,D55)</f>
        <v>0.94879379892638449</v>
      </c>
      <c r="O55" s="124" t="e">
        <f ca="1">1/_xll.CALENDRIER.FRAC.ANNEE(_xll.INSTRUMENT.DATE.REGLEMENT($AC55,,),_xll.INSTRUMENT.DATE.REGLEMENT($AC55,_xll.CALENDRIER.GAP.FINANCE(TODAY(),"1M","AUD","Unadjusted"),),"ACT/365")*(_xll.INSTRUMENT.ROLL.DOWN($A55,oisCurve,_xll.CALENDRIER.GAP.FINANCE(TODAY(),"1M","AUD","Unadjusted",TRUE),$N55)+100*$AA55*_xll.CALENDRIER.FRAC.ANNEE(_xll.INSTRUMENT.DATE.REGLEMENT($AC55,,),_xll.INSTRUMENT.DATE.REGLEMENT($AC55,_xll.CALENDRIER.GAP.FINANCE(TODAY(),"1M","AUD","Unadjusted"),),"ACT/365")-$I55)/$I55</f>
        <v>#NAME?</v>
      </c>
      <c r="P55" s="124" t="e">
        <f ca="1">1/_xll.CALENDRIER.FRAC.ANNEE(_xll.INSTRUMENT.DATE.REGLEMENT($AC55,,),_xll.INSTRUMENT.DATE.REGLEMENT($AC55,_xll.CALENDRIER.GAP.FINANCE(TODAY(),"3M","AUD","Unadjusted"),),"ACT/365")*(_xll.INSTRUMENT.ROLL.DOWN($A55,oisCurve,_xll.CALENDRIER.GAP.FINANCE(TODAY(),"3M","AUD","Unadjusted",TRUE),$N55)+100*$AA55*_xll.CALENDRIER.FRAC.ANNEE(_xll.INSTRUMENT.DATE.REGLEMENT($AC55,,),_xll.INSTRUMENT.DATE.REGLEMENT($AC55,_xll.CALENDRIER.GAP.FINANCE(TODAY(),"3M","AUD","Unadjusted"),),"ACT/365")-$I55)/$I55</f>
        <v>#NAME?</v>
      </c>
      <c r="Q55" s="371" t="e">
        <f ca="1">-(O55-curve!$T$3)/J55</f>
        <v>#NAME?</v>
      </c>
      <c r="R55" s="373">
        <f t="shared" ca="1" si="0"/>
        <v>-69.855250310579265</v>
      </c>
      <c r="S55" s="191" t="str">
        <f>IF(F55&lt;&gt;"","",IF(G55="","",-G55*(SUMIF('raw Data'!$A:$A,"RESINV1USD",'raw Data'!$G:$G)+SUMIF('raw Data'!$A:$A,"RESSWAPORUSD",'raw Data'!$G:$G))/(36500*J55)))</f>
        <v/>
      </c>
      <c r="T55" s="202" t="str">
        <f>IF(G55&lt;&gt;"","",IF(F55="","",-36500*J55*F55/(SUMIF('raw Data'!$A:$A,"RESINV1USD",'raw Data'!$G:$G)+SUMIF('raw Data'!$A:$A,"RESSWAPORUSD",'raw Data'!$G:$G))))</f>
        <v/>
      </c>
      <c r="U55" s="125">
        <f>SUMIF('raw Data'!$E:$E,A55,'raw Data'!$N:$N)</f>
        <v>0</v>
      </c>
      <c r="V55" s="126">
        <v>40252</v>
      </c>
      <c r="W55" s="127">
        <v>40252</v>
      </c>
      <c r="X55" s="127">
        <v>40436</v>
      </c>
      <c r="Y55" s="127">
        <v>41167</v>
      </c>
      <c r="Z55" s="127">
        <v>41348</v>
      </c>
      <c r="AA55" s="128">
        <v>1.375E-2</v>
      </c>
      <c r="AB55" s="129">
        <v>40473000000</v>
      </c>
      <c r="AC55" s="130" t="str">
        <f ca="1">IF(LEFT(B55,1)="B",_xll.INSTANCE.TBILL(A55,V55,Z55,TODAY()),_xll.INSTANCE.TNOTE(A55,V55,W55,X55,Y55,Z55,AA55,TODAY()))</f>
        <v>US912828MT41#0003</v>
      </c>
    </row>
    <row r="56" spans="1:29" x14ac:dyDescent="0.35">
      <c r="A56" s="131" t="s">
        <v>426</v>
      </c>
      <c r="B56" s="115" t="s">
        <v>1032</v>
      </c>
      <c r="C56" s="364"/>
      <c r="D56" s="116"/>
      <c r="E56" s="117"/>
      <c r="F56" s="118"/>
      <c r="G56" s="369"/>
      <c r="H56" s="120">
        <v>2.0310049999999998E-3</v>
      </c>
      <c r="I56" s="121">
        <f ca="1">_xll.INSTRUMENT.PRIX(AC56,D56,H56,cTreasuries)</f>
        <v>101.73013693296583</v>
      </c>
      <c r="J56" s="122">
        <f ca="1">_xll.INSTRUMENT.DV01(A56,,,I56,cContinuous,I56)</f>
        <v>-7.6344542626054666E-3</v>
      </c>
      <c r="K56" s="123">
        <f ca="1">_xll.INSTRUMENT.CONVEXITE(A56,,,I56,cContinuous,I56)</f>
        <v>0.56353181757693482</v>
      </c>
      <c r="L56" s="123">
        <f ca="1">_xll.INSTRUMENT.Z.SPREAD(A56,swapCurve,I56,cContinuous,D56)</f>
        <v>-26.860511355748319</v>
      </c>
      <c r="M56" s="123" t="e">
        <f ca="1">_xll.INSTRUMENT.Z.SPREAD(A56,ustCurve,I56,cContinuous,D56)</f>
        <v>#VALUE!</v>
      </c>
      <c r="N56" s="123">
        <f ca="1">_xll.INSTRUMENT.Z.SPREAD(A56,oisCurve,I56,cContinuous,D56)</f>
        <v>2.0389430269667046</v>
      </c>
      <c r="O56" s="124" t="e">
        <f ca="1">1/_xll.CALENDRIER.FRAC.ANNEE(_xll.INSTRUMENT.DATE.REGLEMENT($AC56,,),_xll.INSTRUMENT.DATE.REGLEMENT($AC56,_xll.CALENDRIER.GAP.FINANCE(TODAY(),"1M","AUD","Unadjusted"),),"ACT/365")*(_xll.INSTRUMENT.ROLL.DOWN($A56,oisCurve,_xll.CALENDRIER.GAP.FINANCE(TODAY(),"1M","AUD","Unadjusted",TRUE),$N56)+100*$AA56*_xll.CALENDRIER.FRAC.ANNEE(_xll.INSTRUMENT.DATE.REGLEMENT($AC56,,),_xll.INSTRUMENT.DATE.REGLEMENT($AC56,_xll.CALENDRIER.GAP.FINANCE(TODAY(),"1M","AUD","Unadjusted"),),"ACT/365")-$I56)/$I56</f>
        <v>#NAME?</v>
      </c>
      <c r="P56" s="124" t="e">
        <f ca="1">1/_xll.CALENDRIER.FRAC.ANNEE(_xll.INSTRUMENT.DATE.REGLEMENT($AC56,,),_xll.INSTRUMENT.DATE.REGLEMENT($AC56,_xll.CALENDRIER.GAP.FINANCE(TODAY(),"3M","AUD","Unadjusted"),),"ACT/365")*(_xll.INSTRUMENT.ROLL.DOWN($A56,oisCurve,_xll.CALENDRIER.GAP.FINANCE(TODAY(),"3M","AUD","Unadjusted",TRUE),$N56)+100*$AA56*_xll.CALENDRIER.FRAC.ANNEE(_xll.INSTRUMENT.DATE.REGLEMENT($AC56,,),_xll.INSTRUMENT.DATE.REGLEMENT($AC56,_xll.CALENDRIER.GAP.FINANCE(TODAY(),"3M","AUD","Unadjusted"),),"ACT/365")-$I56)/$I56</f>
        <v>#NAME?</v>
      </c>
      <c r="Q56" s="371" t="e">
        <f ca="1">-(O56-curve!$T$3)/J56</f>
        <v>#NAME?</v>
      </c>
      <c r="R56" s="373">
        <f t="shared" ca="1" si="0"/>
        <v>-73.814289560576157</v>
      </c>
      <c r="S56" s="191" t="str">
        <f>IF(F56&lt;&gt;"","",IF(G56="","",-G56*(SUMIF('raw Data'!$A:$A,"RESINV1USD",'raw Data'!$G:$G)+SUMIF('raw Data'!$A:$A,"RESSWAPORUSD",'raw Data'!$G:$G))/(36500*J56)))</f>
        <v/>
      </c>
      <c r="T56" s="202" t="str">
        <f>IF(G56&lt;&gt;"","",IF(F56="","",-36500*J56*F56/(SUMIF('raw Data'!$A:$A,"RESINV1USD",'raw Data'!$G:$G)+SUMIF('raw Data'!$A:$A,"RESSWAPORUSD",'raw Data'!$G:$G))))</f>
        <v/>
      </c>
      <c r="U56" s="125">
        <f>SUMIF('raw Data'!$E:$E,A56,'raw Data'!$N:$N)</f>
        <v>0</v>
      </c>
      <c r="V56" s="126">
        <v>39538</v>
      </c>
      <c r="W56" s="127">
        <v>39538</v>
      </c>
      <c r="X56" s="127">
        <v>39721</v>
      </c>
      <c r="Y56" s="127">
        <v>41182</v>
      </c>
      <c r="Z56" s="127">
        <v>41364</v>
      </c>
      <c r="AA56" s="128">
        <v>2.5000000000000001E-2</v>
      </c>
      <c r="AB56" s="129">
        <v>20571000000</v>
      </c>
      <c r="AC56" s="130" t="str">
        <f ca="1">IF(LEFT(B56,1)="B",_xll.INSTANCE.TBILL(A56,V56,Z56,TODAY()),_xll.INSTANCE.TNOTE(A56,V56,W56,X56,Y56,Z56,AA56,TODAY()))</f>
        <v>US912828HV51#0003</v>
      </c>
    </row>
    <row r="57" spans="1:29" x14ac:dyDescent="0.35">
      <c r="A57" s="131" t="s">
        <v>186</v>
      </c>
      <c r="B57" s="115" t="s">
        <v>1033</v>
      </c>
      <c r="C57" s="364"/>
      <c r="D57" s="116"/>
      <c r="E57" s="117"/>
      <c r="F57" s="118"/>
      <c r="G57" s="369"/>
      <c r="H57" s="120">
        <v>1.9937449999999999E-3</v>
      </c>
      <c r="I57" s="121">
        <f ca="1">_xll.INSTRUMENT.PRIX(AC57,D57,H57,cTreasuries)</f>
        <v>100.41506053965779</v>
      </c>
      <c r="J57" s="122">
        <f ca="1">_xll.INSTRUMENT.DV01(A57,,,I57,cContinuous,I57)</f>
        <v>-7.5467408363970902E-3</v>
      </c>
      <c r="K57" s="123">
        <f ca="1">_xll.INSTRUMENT.CONVEXITE(A57,,,I57,cContinuous,I57)</f>
        <v>0.56780412943590464</v>
      </c>
      <c r="L57" s="123">
        <f ca="1">_xll.INSTRUMENT.Z.SPREAD(A57,swapCurve,I57,cContinuous,D57)</f>
        <v>-27.234890842064207</v>
      </c>
      <c r="M57" s="123" t="e">
        <f ca="1">_xll.INSTRUMENT.Z.SPREAD(A57,ustCurve,I57,cContinuous,D57)</f>
        <v>#VALUE!</v>
      </c>
      <c r="N57" s="123">
        <f ca="1">_xll.INSTRUMENT.Z.SPREAD(A57,oisCurve,I57,cContinuous,D57)</f>
        <v>1.6680614576518711</v>
      </c>
      <c r="O57" s="124" t="e">
        <f ca="1">1/_xll.CALENDRIER.FRAC.ANNEE(_xll.INSTRUMENT.DATE.REGLEMENT($AC57,,),_xll.INSTRUMENT.DATE.REGLEMENT($AC57,_xll.CALENDRIER.GAP.FINANCE(TODAY(),"1M","AUD","Unadjusted"),),"ACT/365")*(_xll.INSTRUMENT.ROLL.DOWN($A57,oisCurve,_xll.CALENDRIER.GAP.FINANCE(TODAY(),"1M","AUD","Unadjusted",TRUE),$N57)+100*$AA57*_xll.CALENDRIER.FRAC.ANNEE(_xll.INSTRUMENT.DATE.REGLEMENT($AC57,,),_xll.INSTRUMENT.DATE.REGLEMENT($AC57,_xll.CALENDRIER.GAP.FINANCE(TODAY(),"1M","AUD","Unadjusted"),),"ACT/365")-$I57)/$I57</f>
        <v>#NAME?</v>
      </c>
      <c r="P57" s="124" t="e">
        <f ca="1">1/_xll.CALENDRIER.FRAC.ANNEE(_xll.INSTRUMENT.DATE.REGLEMENT($AC57,,),_xll.INSTRUMENT.DATE.REGLEMENT($AC57,_xll.CALENDRIER.GAP.FINANCE(TODAY(),"3M","AUD","Unadjusted"),),"ACT/365")*(_xll.INSTRUMENT.ROLL.DOWN($A57,oisCurve,_xll.CALENDRIER.GAP.FINANCE(TODAY(),"3M","AUD","Unadjusted",TRUE),$N57)+100*$AA57*_xll.CALENDRIER.FRAC.ANNEE(_xll.INSTRUMENT.DATE.REGLEMENT($AC57,,),_xll.INSTRUMENT.DATE.REGLEMENT($AC57,_xll.CALENDRIER.GAP.FINANCE(TODAY(),"3M","AUD","Unadjusted"),),"ACT/365")-$I57)/$I57</f>
        <v>#NAME?</v>
      </c>
      <c r="Q57" s="371" t="e">
        <f ca="1">-(O57-curve!$T$3)/J57</f>
        <v>#NAME?</v>
      </c>
      <c r="R57" s="373">
        <f t="shared" ca="1" si="0"/>
        <v>-75.238323634680626</v>
      </c>
      <c r="S57" s="191" t="str">
        <f>IF(F57&lt;&gt;"","",IF(G57="","",-G57*(SUMIF('raw Data'!$A:$A,"RESINV1USD",'raw Data'!$G:$G)+SUMIF('raw Data'!$A:$A,"RESSWAPORUSD",'raw Data'!$G:$G))/(36500*J57)))</f>
        <v/>
      </c>
      <c r="T57" s="202" t="str">
        <f>IF(G57&lt;&gt;"","",IF(F57="","",-36500*J57*F57/(SUMIF('raw Data'!$A:$A,"RESINV1USD",'raw Data'!$G:$G)+SUMIF('raw Data'!$A:$A,"RESSWAPORUSD",'raw Data'!$G:$G))))</f>
        <v/>
      </c>
      <c r="U57" s="125">
        <f>SUMIF('raw Data'!$E:$E,A57,'raw Data'!$N:$N)</f>
        <v>-431048.80833691946</v>
      </c>
      <c r="V57" s="126">
        <v>40633</v>
      </c>
      <c r="W57" s="127">
        <v>40633</v>
      </c>
      <c r="X57" s="127">
        <v>40816</v>
      </c>
      <c r="Y57" s="127">
        <v>41182</v>
      </c>
      <c r="Z57" s="127">
        <v>41364</v>
      </c>
      <c r="AA57" s="128">
        <v>7.4999999999999997E-3</v>
      </c>
      <c r="AB57" s="129">
        <v>36570000000</v>
      </c>
      <c r="AC57" s="130" t="str">
        <f ca="1">IF(LEFT(B57,1)="B",_xll.INSTANCE.TBILL(A57,V57,Z57,TODAY()),_xll.INSTANCE.TNOTE(A57,V57,W57,X57,Y57,Z57,AA57,TODAY()))</f>
        <v>US912828QL78#0003</v>
      </c>
    </row>
    <row r="58" spans="1:29" x14ac:dyDescent="0.35">
      <c r="A58" s="131" t="s">
        <v>427</v>
      </c>
      <c r="B58" s="115" t="s">
        <v>1034</v>
      </c>
      <c r="C58" s="364"/>
      <c r="D58" s="116"/>
      <c r="E58" s="117"/>
      <c r="F58" s="118"/>
      <c r="G58" s="369"/>
      <c r="H58" s="120">
        <v>1.7761550411144445E-3</v>
      </c>
      <c r="I58" s="121">
        <f ca="1">_xll.INSTRUMENT.PRIX(AC58,D58,H58,cTreasuries)</f>
        <v>99.864632770264791</v>
      </c>
      <c r="J58" s="122">
        <f ca="1">_xll.INSTRUMENT.DV01(A58,,,I58,cContinuous,I58)</f>
        <v>-7.6195810947578728E-3</v>
      </c>
      <c r="K58" s="123">
        <f ca="1">_xll.INSTRUMENT.CONVEXITE(A58,,,I58,cContinuous,I58)</f>
        <v>0.58215563515418101</v>
      </c>
      <c r="L58" s="123">
        <f ca="1">_xll.INSTRUMENT.Z.SPREAD(A58,swapCurve,I58,cContinuous,D58)</f>
        <v>-29.400909568392532</v>
      </c>
      <c r="M58" s="123" t="e">
        <f ca="1">_xll.INSTRUMENT.Z.SPREAD(A58,ustCurve,I58,cContinuous,D58)</f>
        <v>#VALUE!</v>
      </c>
      <c r="N58" s="123">
        <f ca="1">_xll.INSTRUMENT.Z.SPREAD(A58,oisCurve,I58,cContinuous,D58)</f>
        <v>-0.43808578496698503</v>
      </c>
      <c r="O58" s="124" t="e">
        <f ca="1">1/_xll.CALENDRIER.FRAC.ANNEE(_xll.INSTRUMENT.DATE.REGLEMENT($AC58,,),_xll.INSTRUMENT.DATE.REGLEMENT($AC58,_xll.CALENDRIER.GAP.FINANCE(TODAY(),"1M","AUD","Unadjusted"),),"ACT/365")*(_xll.INSTRUMENT.ROLL.DOWN($A58,oisCurve,_xll.CALENDRIER.GAP.FINANCE(TODAY(),"1M","AUD","Unadjusted",TRUE),$N58)+100*$AA58*_xll.CALENDRIER.FRAC.ANNEE(_xll.INSTRUMENT.DATE.REGLEMENT($AC58,,),_xll.INSTRUMENT.DATE.REGLEMENT($AC58,_xll.CALENDRIER.GAP.FINANCE(TODAY(),"1M","AUD","Unadjusted"),),"ACT/365")-$I58)/$I58</f>
        <v>#NAME?</v>
      </c>
      <c r="P58" s="124" t="e">
        <f ca="1">1/_xll.CALENDRIER.FRAC.ANNEE(_xll.INSTRUMENT.DATE.REGLEMENT($AC58,,),_xll.INSTRUMENT.DATE.REGLEMENT($AC58,_xll.CALENDRIER.GAP.FINANCE(TODAY(),"3M","AUD","Unadjusted"),),"ACT/365")*(_xll.INSTRUMENT.ROLL.DOWN($A58,oisCurve,_xll.CALENDRIER.GAP.FINANCE(TODAY(),"3M","AUD","Unadjusted",TRUE),$N58)+100*$AA58*_xll.CALENDRIER.FRAC.ANNEE(_xll.INSTRUMENT.DATE.REGLEMENT($AC58,,),_xll.INSTRUMENT.DATE.REGLEMENT($AC58,_xll.CALENDRIER.GAP.FINANCE(TODAY(),"3M","AUD","Unadjusted"),),"ACT/365")-$I58)/$I58</f>
        <v>#NAME?</v>
      </c>
      <c r="Q58" s="371" t="e">
        <f ca="1">-(O58-curve!$T$3)/J58</f>
        <v>#NAME?</v>
      </c>
      <c r="R58" s="373">
        <f t="shared" ca="1" si="0"/>
        <v>-76.40257750582812</v>
      </c>
      <c r="S58" s="191" t="str">
        <f>IF(F58&lt;&gt;"","",IF(G58="","",-G58*(SUMIF('raw Data'!$A:$A,"RESINV1USD",'raw Data'!$G:$G)+SUMIF('raw Data'!$A:$A,"RESSWAPORUSD",'raw Data'!$G:$G))/(36500*J58)))</f>
        <v/>
      </c>
      <c r="T58" s="202" t="str">
        <f>IF(G58&lt;&gt;"","",IF(F58="","",-36500*J58*F58/(SUMIF('raw Data'!$A:$A,"RESINV1USD",'raw Data'!$G:$G)+SUMIF('raw Data'!$A:$A,"RESSWAPORUSD",'raw Data'!$G:$G))))</f>
        <v/>
      </c>
      <c r="U58" s="125">
        <f>SUMIF('raw Data'!$E:$E,A58,'raw Data'!$N:$N)</f>
        <v>1000000</v>
      </c>
      <c r="V58" s="126">
        <v>41004</v>
      </c>
      <c r="W58" s="127" t="e">
        <v>#VALUE!</v>
      </c>
      <c r="X58" s="127" t="e">
        <v>#VALUE!</v>
      </c>
      <c r="Y58" s="127" t="e">
        <v>#VALUE!</v>
      </c>
      <c r="Z58" s="127">
        <v>41368</v>
      </c>
      <c r="AA58" s="128">
        <v>0</v>
      </c>
      <c r="AB58" s="129">
        <v>26000000000</v>
      </c>
      <c r="AC58" s="130" t="str">
        <f ca="1">IF(LEFT(B58,1)="B",_xll.INSTANCE.TBILL(A58,V58,Z58,TODAY()),_xll.INSTANCE.TNOTE(A58,V58,W58,X58,Y58,Z58,AA58,TODAY()))</f>
        <v>US9127956F31#0003</v>
      </c>
    </row>
    <row r="59" spans="1:29" x14ac:dyDescent="0.35">
      <c r="A59" s="131" t="s">
        <v>428</v>
      </c>
      <c r="B59" s="115" t="s">
        <v>1035</v>
      </c>
      <c r="C59" s="364"/>
      <c r="D59" s="116"/>
      <c r="E59" s="117"/>
      <c r="F59" s="118"/>
      <c r="G59" s="369"/>
      <c r="H59" s="120">
        <v>2.1872770000000001E-3</v>
      </c>
      <c r="I59" s="121">
        <f ca="1">_xll.INSTRUMENT.PRIX(AC59,D59,H59,cTreasuries)</f>
        <v>101.21606438116683</v>
      </c>
      <c r="J59" s="122">
        <f ca="1">_xll.INSTRUMENT.DV01(A59,,,I59,cContinuous,I59)</f>
        <v>-8.0126197918041608E-3</v>
      </c>
      <c r="K59" s="123">
        <f ca="1">_xll.INSTRUMENT.CONVEXITE(A59,,,I59,cContinuous,I59)</f>
        <v>0.62438659911035921</v>
      </c>
      <c r="L59" s="123">
        <f ca="1">_xll.INSTRUMENT.Z.SPREAD(A59,swapCurve,I59,cContinuous,D59)</f>
        <v>-25.510875249312949</v>
      </c>
      <c r="M59" s="123" t="e">
        <f ca="1">_xll.INSTRUMENT.Z.SPREAD(A59,ustCurve,I59,cContinuous,D59)</f>
        <v>#VALUE!</v>
      </c>
      <c r="N59" s="123">
        <f ca="1">_xll.INSTRUMENT.Z.SPREAD(A59,oisCurve,I59,cContinuous,D59)</f>
        <v>3.6320667282710266</v>
      </c>
      <c r="O59" s="124" t="e">
        <f ca="1">1/_xll.CALENDRIER.FRAC.ANNEE(_xll.INSTRUMENT.DATE.REGLEMENT($AC59,,),_xll.INSTRUMENT.DATE.REGLEMENT($AC59,_xll.CALENDRIER.GAP.FINANCE(TODAY(),"1M","AUD","Unadjusted"),),"ACT/365")*(_xll.INSTRUMENT.ROLL.DOWN($A59,oisCurve,_xll.CALENDRIER.GAP.FINANCE(TODAY(),"1M","AUD","Unadjusted",TRUE),$N59)+100*$AA59*_xll.CALENDRIER.FRAC.ANNEE(_xll.INSTRUMENT.DATE.REGLEMENT($AC59,,),_xll.INSTRUMENT.DATE.REGLEMENT($AC59,_xll.CALENDRIER.GAP.FINANCE(TODAY(),"1M","AUD","Unadjusted"),),"ACT/365")-$I59)/$I59</f>
        <v>#NAME?</v>
      </c>
      <c r="P59" s="124" t="e">
        <f ca="1">1/_xll.CALENDRIER.FRAC.ANNEE(_xll.INSTRUMENT.DATE.REGLEMENT($AC59,,),_xll.INSTRUMENT.DATE.REGLEMENT($AC59,_xll.CALENDRIER.GAP.FINANCE(TODAY(),"3M","AUD","Unadjusted"),),"ACT/365")*(_xll.INSTRUMENT.ROLL.DOWN($A59,oisCurve,_xll.CALENDRIER.GAP.FINANCE(TODAY(),"3M","AUD","Unadjusted",TRUE),$N59)+100*$AA59*_xll.CALENDRIER.FRAC.ANNEE(_xll.INSTRUMENT.DATE.REGLEMENT($AC59,,),_xll.INSTRUMENT.DATE.REGLEMENT($AC59,_xll.CALENDRIER.GAP.FINANCE(TODAY(),"3M","AUD","Unadjusted"),),"ACT/365")-$I59)/$I59</f>
        <v>#NAME?</v>
      </c>
      <c r="Q59" s="371" t="e">
        <f ca="1">-(O59-curve!$T$3)/J59</f>
        <v>#NAME?</v>
      </c>
      <c r="R59" s="373">
        <f t="shared" ca="1" si="0"/>
        <v>-77.925399598895638</v>
      </c>
      <c r="S59" s="191" t="str">
        <f>IF(F59&lt;&gt;"","",IF(G59="","",-G59*(SUMIF('raw Data'!$A:$A,"RESINV1USD",'raw Data'!$G:$G)+SUMIF('raw Data'!$A:$A,"RESSWAPORUSD",'raw Data'!$G:$G))/(36500*J59)))</f>
        <v/>
      </c>
      <c r="T59" s="202" t="str">
        <f>IF(G59&lt;&gt;"","",IF(F59="","",-36500*J59*F59/(SUMIF('raw Data'!$A:$A,"RESINV1USD",'raw Data'!$G:$G)+SUMIF('raw Data'!$A:$A,"RESSWAPORUSD",'raw Data'!$G:$G))))</f>
        <v/>
      </c>
      <c r="U59" s="125">
        <f>SUMIF('raw Data'!$E:$E,A59,'raw Data'!$N:$N)</f>
        <v>0</v>
      </c>
      <c r="V59" s="126">
        <v>40283</v>
      </c>
      <c r="W59" s="127">
        <v>40283</v>
      </c>
      <c r="X59" s="127">
        <v>40466</v>
      </c>
      <c r="Y59" s="127">
        <v>41197</v>
      </c>
      <c r="Z59" s="127">
        <v>41379</v>
      </c>
      <c r="AA59" s="128">
        <v>1.7500000000000002E-2</v>
      </c>
      <c r="AB59" s="129">
        <v>42928000000</v>
      </c>
      <c r="AC59" s="130" t="str">
        <f ca="1">IF(LEFT(B59,1)="B",_xll.INSTANCE.TBILL(A59,V59,Z59,TODAY()),_xll.INSTANCE.TNOTE(A59,V59,W59,X59,Y59,Z59,AA59,TODAY()))</f>
        <v>US912828MX52#0003</v>
      </c>
    </row>
    <row r="60" spans="1:29" x14ac:dyDescent="0.35">
      <c r="A60" s="131" t="s">
        <v>48</v>
      </c>
      <c r="B60" s="115" t="s">
        <v>1036</v>
      </c>
      <c r="C60" s="364"/>
      <c r="D60" s="116"/>
      <c r="E60" s="117"/>
      <c r="F60" s="118"/>
      <c r="G60" s="369"/>
      <c r="H60" s="120">
        <v>2.190357E-3</v>
      </c>
      <c r="I60" s="121">
        <f ca="1">_xll.INSTRUMENT.PRIX(AC60,D60,H60,cTreasuries)</f>
        <v>100.33982404714138</v>
      </c>
      <c r="J60" s="122">
        <f ca="1">_xll.INSTRUMENT.DV01(A60,,,I60,cContinuous,I60)</f>
        <v>-8.3636169699182941E-3</v>
      </c>
      <c r="K60" s="123">
        <f ca="1">_xll.INSTRUMENT.CONVEXITE(A60,,,I60,cContinuous,I60)</f>
        <v>0.69412312646303764</v>
      </c>
      <c r="L60" s="123">
        <f ca="1">_xll.INSTRUMENT.Z.SPREAD(A60,swapCurve,I60,cContinuous,D60)</f>
        <v>-25.712377940550805</v>
      </c>
      <c r="M60" s="123" t="e">
        <f ca="1">_xll.INSTRUMENT.Z.SPREAD(A60,ustCurve,I60,cContinuous,D60)</f>
        <v>#VALUE!</v>
      </c>
      <c r="N60" s="123">
        <f ca="1">_xll.INSTRUMENT.Z.SPREAD(A60,oisCurve,I60,cContinuous,D60)</f>
        <v>3.6071520344748729</v>
      </c>
      <c r="O60" s="124" t="e">
        <f ca="1">1/_xll.CALENDRIER.FRAC.ANNEE(_xll.INSTRUMENT.DATE.REGLEMENT($AC60,,),_xll.INSTRUMENT.DATE.REGLEMENT($AC60,_xll.CALENDRIER.GAP.FINANCE(TODAY(),"1M","AUD","Unadjusted"),),"ACT/365")*(_xll.INSTRUMENT.ROLL.DOWN($A60,oisCurve,_xll.CALENDRIER.GAP.FINANCE(TODAY(),"1M","AUD","Unadjusted",TRUE),$N60)+100*$AA60*_xll.CALENDRIER.FRAC.ANNEE(_xll.INSTRUMENT.DATE.REGLEMENT($AC60,,),_xll.INSTRUMENT.DATE.REGLEMENT($AC60,_xll.CALENDRIER.GAP.FINANCE(TODAY(),"1M","AUD","Unadjusted"),),"ACT/365")-$I60)/$I60</f>
        <v>#NAME?</v>
      </c>
      <c r="P60" s="124" t="e">
        <f ca="1">1/_xll.CALENDRIER.FRAC.ANNEE(_xll.INSTRUMENT.DATE.REGLEMENT($AC60,,),_xll.INSTRUMENT.DATE.REGLEMENT($AC60,_xll.CALENDRIER.GAP.FINANCE(TODAY(),"3M","AUD","Unadjusted"),),"ACT/365")*(_xll.INSTRUMENT.ROLL.DOWN($A60,oisCurve,_xll.CALENDRIER.GAP.FINANCE(TODAY(),"3M","AUD","Unadjusted",TRUE),$N60)+100*$AA60*_xll.CALENDRIER.FRAC.ANNEE(_xll.INSTRUMENT.DATE.REGLEMENT($AC60,,),_xll.INSTRUMENT.DATE.REGLEMENT($AC60,_xll.CALENDRIER.GAP.FINANCE(TODAY(),"3M","AUD","Unadjusted"),),"ACT/365")-$I60)/$I60</f>
        <v>#NAME?</v>
      </c>
      <c r="Q60" s="371" t="e">
        <f ca="1">-(O60-curve!$T$3)/J60</f>
        <v>#NAME?</v>
      </c>
      <c r="R60" s="373">
        <f t="shared" ca="1" si="0"/>
        <v>-82.993174957630643</v>
      </c>
      <c r="S60" s="191" t="str">
        <f>IF(F60&lt;&gt;"","",IF(G60="","",-G60*(SUMIF('raw Data'!$A:$A,"RESINV1USD",'raw Data'!$G:$G)+SUMIF('raw Data'!$A:$A,"RESSWAPORUSD",'raw Data'!$G:$G))/(36500*J60)))</f>
        <v/>
      </c>
      <c r="T60" s="202" t="str">
        <f>IF(G60&lt;&gt;"","",IF(F60="","",-36500*J60*F60/(SUMIF('raw Data'!$A:$A,"RESINV1USD",'raw Data'!$G:$G)+SUMIF('raw Data'!$A:$A,"RESSWAPORUSD",'raw Data'!$G:$G))))</f>
        <v/>
      </c>
      <c r="U60" s="125">
        <f>SUMIF('raw Data'!$E:$E,A60,'raw Data'!$N:$N)</f>
        <v>-179048.80833691946</v>
      </c>
      <c r="V60" s="126">
        <v>40665</v>
      </c>
      <c r="W60" s="127">
        <v>40663</v>
      </c>
      <c r="X60" s="127">
        <v>40847</v>
      </c>
      <c r="Y60" s="127">
        <v>41213</v>
      </c>
      <c r="Z60" s="127">
        <v>41394</v>
      </c>
      <c r="AA60" s="128">
        <v>6.2500000000000003E-3</v>
      </c>
      <c r="AB60" s="129">
        <v>37209000000</v>
      </c>
      <c r="AC60" s="130" t="str">
        <f ca="1">IF(LEFT(B60,1)="B",_xll.INSTANCE.TBILL(A60,V60,Z60,TODAY()),_xll.INSTANCE.TNOTE(A60,V60,W60,X60,Y60,Z60,AA60,TODAY()))</f>
        <v>US912828QE36#0003</v>
      </c>
    </row>
    <row r="61" spans="1:29" x14ac:dyDescent="0.35">
      <c r="A61" s="131" t="s">
        <v>429</v>
      </c>
      <c r="B61" s="115" t="s">
        <v>1037</v>
      </c>
      <c r="C61" s="364"/>
      <c r="D61" s="116"/>
      <c r="E61" s="117"/>
      <c r="F61" s="118"/>
      <c r="G61" s="369"/>
      <c r="H61" s="120">
        <v>2.1729850000000001E-3</v>
      </c>
      <c r="I61" s="121">
        <f ca="1">_xll.INSTRUMENT.PRIX(AC61,D61,H61,cTreasuries)</f>
        <v>102.43048451428204</v>
      </c>
      <c r="J61" s="122">
        <f ca="1">_xll.INSTRUMENT.DV01(A61,,,I61,cContinuous,I61)</f>
        <v>-8.5101457636653482E-3</v>
      </c>
      <c r="K61" s="123">
        <f ca="1">_xll.INSTRUMENT.CONVEXITE(A61,,,I61,cContinuous,I61)</f>
        <v>0.68711530260465703</v>
      </c>
      <c r="L61" s="123">
        <f ca="1">_xll.INSTRUMENT.Z.SPREAD(A61,swapCurve,I61,cContinuous,D61)</f>
        <v>-25.887591196801758</v>
      </c>
      <c r="M61" s="123" t="e">
        <f ca="1">_xll.INSTRUMENT.Z.SPREAD(A61,ustCurve,I61,cContinuous,D61)</f>
        <v>#VALUE!</v>
      </c>
      <c r="N61" s="123">
        <f ca="1">_xll.INSTRUMENT.Z.SPREAD(A61,oisCurve,I61,cContinuous,D61)</f>
        <v>3.4351473233476555</v>
      </c>
      <c r="O61" s="124" t="e">
        <f ca="1">1/_xll.CALENDRIER.FRAC.ANNEE(_xll.INSTRUMENT.DATE.REGLEMENT($AC61,,),_xll.INSTRUMENT.DATE.REGLEMENT($AC61,_xll.CALENDRIER.GAP.FINANCE(TODAY(),"1M","AUD","Unadjusted"),),"ACT/365")*(_xll.INSTRUMENT.ROLL.DOWN($A61,oisCurve,_xll.CALENDRIER.GAP.FINANCE(TODAY(),"1M","AUD","Unadjusted",TRUE),$N61)+100*$AA61*_xll.CALENDRIER.FRAC.ANNEE(_xll.INSTRUMENT.DATE.REGLEMENT($AC61,,),_xll.INSTRUMENT.DATE.REGLEMENT($AC61,_xll.CALENDRIER.GAP.FINANCE(TODAY(),"1M","AUD","Unadjusted"),),"ACT/365")-$I61)/$I61</f>
        <v>#NAME?</v>
      </c>
      <c r="P61" s="124" t="e">
        <f ca="1">1/_xll.CALENDRIER.FRAC.ANNEE(_xll.INSTRUMENT.DATE.REGLEMENT($AC61,,),_xll.INSTRUMENT.DATE.REGLEMENT($AC61,_xll.CALENDRIER.GAP.FINANCE(TODAY(),"3M","AUD","Unadjusted"),),"ACT/365")*(_xll.INSTRUMENT.ROLL.DOWN($A61,oisCurve,_xll.CALENDRIER.GAP.FINANCE(TODAY(),"3M","AUD","Unadjusted",TRUE),$N61)+100*$AA61*_xll.CALENDRIER.FRAC.ANNEE(_xll.INSTRUMENT.DATE.REGLEMENT($AC61,,),_xll.INSTRUMENT.DATE.REGLEMENT($AC61,_xll.CALENDRIER.GAP.FINANCE(TODAY(),"3M","AUD","Unadjusted"),),"ACT/365")-$I61)/$I61</f>
        <v>#NAME?</v>
      </c>
      <c r="Q61" s="371" t="e">
        <f ca="1">-(O61-curve!$T$3)/J61</f>
        <v>#NAME?</v>
      </c>
      <c r="R61" s="373">
        <f t="shared" ref="R61:R125" ca="1" si="1">K61/J61</f>
        <v>-80.740720745153737</v>
      </c>
      <c r="S61" s="191" t="str">
        <f>IF(F61&lt;&gt;"","",IF(G61="","",-G61*(SUMIF('raw Data'!$A:$A,"RESINV1USD",'raw Data'!$G:$G)+SUMIF('raw Data'!$A:$A,"RESSWAPORUSD",'raw Data'!$G:$G))/(36500*J61)))</f>
        <v/>
      </c>
      <c r="T61" s="202" t="str">
        <f>IF(G61&lt;&gt;"","",IF(F61="","",-36500*J61*F61/(SUMIF('raw Data'!$A:$A,"RESINV1USD",'raw Data'!$G:$G)+SUMIF('raw Data'!$A:$A,"RESSWAPORUSD",'raw Data'!$G:$G))))</f>
        <v/>
      </c>
      <c r="U61" s="125">
        <f>SUMIF('raw Data'!$E:$E,A61,'raw Data'!$N:$N)</f>
        <v>0</v>
      </c>
      <c r="V61" s="126">
        <v>39568</v>
      </c>
      <c r="W61" s="127">
        <v>39568</v>
      </c>
      <c r="X61" s="127">
        <v>39752</v>
      </c>
      <c r="Y61" s="127">
        <v>41213</v>
      </c>
      <c r="Z61" s="127">
        <v>41394</v>
      </c>
      <c r="AA61" s="128">
        <v>3.125E-2</v>
      </c>
      <c r="AB61" s="129">
        <v>20743000000</v>
      </c>
      <c r="AC61" s="130" t="str">
        <f ca="1">IF(LEFT(B61,1)="B",_xll.INSTANCE.TBILL(A61,V61,Z61,TODAY()),_xll.INSTANCE.TNOTE(A61,V61,W61,X61,Y61,Z61,AA61,TODAY()))</f>
        <v>US912828HY90#0003</v>
      </c>
    </row>
    <row r="62" spans="1:29" x14ac:dyDescent="0.35">
      <c r="A62" s="131" t="s">
        <v>746</v>
      </c>
      <c r="B62" s="115" t="s">
        <v>1038</v>
      </c>
      <c r="C62" s="364"/>
      <c r="D62" s="116"/>
      <c r="E62" s="117"/>
      <c r="F62" s="118"/>
      <c r="G62" s="369"/>
      <c r="H62" s="120">
        <v>1.8271111776562098E-3</v>
      </c>
      <c r="I62" s="121">
        <f ca="1">_xll.INSTRUMENT.PRIX(AC62,D62,H62,cTreasuries)</f>
        <v>99.84676438551169</v>
      </c>
      <c r="J62" s="122">
        <f ca="1">_xll.INSTRUMENT.DV01(A62,,,I62,cContinuous,I62)</f>
        <v>-8.3841649658033743E-3</v>
      </c>
      <c r="K62" s="123">
        <f ca="1">_xll.INSTRUMENT.CONVEXITE(A62,,,I62,cContinuous,I62)</f>
        <v>0.70510208652296724</v>
      </c>
      <c r="L62" s="123">
        <f ca="1">_xll.INSTRUMENT.Z.SPREAD(A62,swapCurve,I62,cContinuous,D62)</f>
        <v>-29.363984862729328</v>
      </c>
      <c r="M62" s="123" t="e">
        <f ca="1">_xll.INSTRUMENT.Z.SPREAD(A62,ustCurve,I62,cContinuous,D62)</f>
        <v>#VALUE!</v>
      </c>
      <c r="N62" s="123">
        <f ca="1">_xll.INSTRUMENT.Z.SPREAD(A62,oisCurve,I62,cContinuous,D62)</f>
        <v>-2.5006706317194375E-2</v>
      </c>
      <c r="O62" s="124" t="e">
        <f ca="1">1/_xll.CALENDRIER.FRAC.ANNEE(_xll.INSTRUMENT.DATE.REGLEMENT($AC62,,),_xll.INSTRUMENT.DATE.REGLEMENT($AC62,_xll.CALENDRIER.GAP.FINANCE(TODAY(),"1M","AUD","Unadjusted"),),"ACT/365")*(_xll.INSTRUMENT.ROLL.DOWN($A62,oisCurve,_xll.CALENDRIER.GAP.FINANCE(TODAY(),"1M","AUD","Unadjusted",TRUE),$N62)+100*$AA62*_xll.CALENDRIER.FRAC.ANNEE(_xll.INSTRUMENT.DATE.REGLEMENT($AC62,,),_xll.INSTRUMENT.DATE.REGLEMENT($AC62,_xll.CALENDRIER.GAP.FINANCE(TODAY(),"1M","AUD","Unadjusted"),),"ACT/365")-$I62)/$I62</f>
        <v>#NAME?</v>
      </c>
      <c r="P62" s="124" t="e">
        <f ca="1">1/_xll.CALENDRIER.FRAC.ANNEE(_xll.INSTRUMENT.DATE.REGLEMENT($AC62,,),_xll.INSTRUMENT.DATE.REGLEMENT($AC62,_xll.CALENDRIER.GAP.FINANCE(TODAY(),"3M","AUD","Unadjusted"),),"ACT/365")*(_xll.INSTRUMENT.ROLL.DOWN($A62,oisCurve,_xll.CALENDRIER.GAP.FINANCE(TODAY(),"3M","AUD","Unadjusted",TRUE),$N62)+100*$AA62*_xll.CALENDRIER.FRAC.ANNEE(_xll.INSTRUMENT.DATE.REGLEMENT($AC62,,),_xll.INSTRUMENT.DATE.REGLEMENT($AC62,_xll.CALENDRIER.GAP.FINANCE(TODAY(),"3M","AUD","Unadjusted"),),"ACT/365")-$I62)/$I62</f>
        <v>#NAME?</v>
      </c>
      <c r="Q62" s="371" t="e">
        <f ca="1">-(O62-curve!$T$3)/J62</f>
        <v>#NAME?</v>
      </c>
      <c r="R62" s="373">
        <f t="shared" ca="1" si="1"/>
        <v>-84.099262049217572</v>
      </c>
      <c r="S62" s="191" t="str">
        <f>IF(F62&lt;&gt;"","",IF(G62="","",-G62*(SUMIF('raw Data'!$A:$A,"RESINV1USD",'raw Data'!$G:$G)+SUMIF('raw Data'!$A:$A,"RESSWAPORUSD",'raw Data'!$G:$G))/(36500*J62)))</f>
        <v/>
      </c>
      <c r="T62" s="202" t="str">
        <f>IF(G62&lt;&gt;"","",IF(F62="","",-36500*J62*F62/(SUMIF('raw Data'!$A:$A,"RESINV1USD",'raw Data'!$G:$G)+SUMIF('raw Data'!$A:$A,"RESSWAPORUSD",'raw Data'!$G:$G))))</f>
        <v/>
      </c>
      <c r="U62" s="125">
        <f>SUMIF('raw Data'!$E:$E,A62,'raw Data'!$N:$N)</f>
        <v>478000</v>
      </c>
      <c r="V62" s="126">
        <v>41032</v>
      </c>
      <c r="W62" s="127" t="e">
        <v>#VALUE!</v>
      </c>
      <c r="X62" s="127" t="e">
        <v>#VALUE!</v>
      </c>
      <c r="Y62" s="127" t="e">
        <v>#VALUE!</v>
      </c>
      <c r="Z62" s="127">
        <v>41396</v>
      </c>
      <c r="AA62" s="128">
        <v>0</v>
      </c>
      <c r="AB62" s="129">
        <v>26000000000</v>
      </c>
      <c r="AC62" s="130" t="str">
        <f ca="1">IF(LEFT(B62,1)="B",_xll.INSTANCE.TBILL(A62,V62,Z62,TODAY()),_xll.INSTANCE.TNOTE(A62,V62,W62,X62,Y62,Z62,AA62,TODAY()))</f>
        <v>US9127956L09#0003</v>
      </c>
    </row>
    <row r="63" spans="1:29" x14ac:dyDescent="0.35">
      <c r="A63" s="131" t="s">
        <v>431</v>
      </c>
      <c r="B63" s="115" t="s">
        <v>1039</v>
      </c>
      <c r="C63" s="364"/>
      <c r="D63" s="116"/>
      <c r="E63" s="117"/>
      <c r="F63" s="118"/>
      <c r="G63" s="369"/>
      <c r="H63" s="120">
        <v>2.3208219999999997E-3</v>
      </c>
      <c r="I63" s="121">
        <f ca="1">_xll.INSTRUMENT.PRIX(AC63,D63,H63,cTreasuries)</f>
        <v>101.00202618580053</v>
      </c>
      <c r="J63" s="122">
        <f ca="1">_xll.INSTRUMENT.DV01(A63,,,I63,cContinuous,I63)</f>
        <v>-8.821584817022117E-3</v>
      </c>
      <c r="K63" s="123">
        <f ca="1">_xll.INSTRUMENT.CONVEXITE(A63,,,I63,cContinuous,I63)</f>
        <v>0.76196238187010124</v>
      </c>
      <c r="L63" s="123">
        <f ca="1">_xll.INSTRUMENT.Z.SPREAD(A63,swapCurve,I63,cContinuous,D63)</f>
        <v>-24.603611627386101</v>
      </c>
      <c r="M63" s="123" t="e">
        <f ca="1">_xll.INSTRUMENT.Z.SPREAD(A63,ustCurve,I63,cContinuous,D63)</f>
        <v>#VALUE!</v>
      </c>
      <c r="N63" s="123">
        <f ca="1">_xll.INSTRUMENT.Z.SPREAD(A63,oisCurve,I63,cContinuous,D63)</f>
        <v>4.8543308898932294</v>
      </c>
      <c r="O63" s="124" t="e">
        <f ca="1">1/_xll.CALENDRIER.FRAC.ANNEE(_xll.INSTRUMENT.DATE.REGLEMENT($AC63,,),_xll.INSTRUMENT.DATE.REGLEMENT($AC63,_xll.CALENDRIER.GAP.FINANCE(TODAY(),"1M","AUD","Unadjusted"),),"ACT/365")*(_xll.INSTRUMENT.ROLL.DOWN($A63,oisCurve,_xll.CALENDRIER.GAP.FINANCE(TODAY(),"1M","AUD","Unadjusted",TRUE),$N63)+100*$AA63*_xll.CALENDRIER.FRAC.ANNEE(_xll.INSTRUMENT.DATE.REGLEMENT($AC63,,),_xll.INSTRUMENT.DATE.REGLEMENT($AC63,_xll.CALENDRIER.GAP.FINANCE(TODAY(),"1M","AUD","Unadjusted"),),"ACT/365")-$I63)/$I63</f>
        <v>#NAME?</v>
      </c>
      <c r="P63" s="124" t="e">
        <f ca="1">1/_xll.CALENDRIER.FRAC.ANNEE(_xll.INSTRUMENT.DATE.REGLEMENT($AC63,,),_xll.INSTRUMENT.DATE.REGLEMENT($AC63,_xll.CALENDRIER.GAP.FINANCE(TODAY(),"3M","AUD","Unadjusted"),),"ACT/365")*(_xll.INSTRUMENT.ROLL.DOWN($A63,oisCurve,_xll.CALENDRIER.GAP.FINANCE(TODAY(),"3M","AUD","Unadjusted",TRUE),$N63)+100*$AA63*_xll.CALENDRIER.FRAC.ANNEE(_xll.INSTRUMENT.DATE.REGLEMENT($AC63,,),_xll.INSTRUMENT.DATE.REGLEMENT($AC63,_xll.CALENDRIER.GAP.FINANCE(TODAY(),"3M","AUD","Unadjusted"),),"ACT/365")-$I63)/$I63</f>
        <v>#NAME?</v>
      </c>
      <c r="Q63" s="371" t="e">
        <f ca="1">-(O63-curve!$T$3)/J63</f>
        <v>#NAME?</v>
      </c>
      <c r="R63" s="373">
        <f t="shared" ca="1" si="1"/>
        <v>-86.374772523846261</v>
      </c>
      <c r="S63" s="191" t="str">
        <f>IF(F63&lt;&gt;"","",IF(G63="","",-G63*(SUMIF('raw Data'!$A:$A,"RESINV1USD",'raw Data'!$G:$G)+SUMIF('raw Data'!$A:$A,"RESSWAPORUSD",'raw Data'!$G:$G))/(36500*J63)))</f>
        <v/>
      </c>
      <c r="T63" s="202" t="str">
        <f>IF(G63&lt;&gt;"","",IF(F63="","",-36500*J63*F63/(SUMIF('raw Data'!$A:$A,"RESINV1USD",'raw Data'!$G:$G)+SUMIF('raw Data'!$A:$A,"RESSWAPORUSD",'raw Data'!$G:$G))))</f>
        <v/>
      </c>
      <c r="U63" s="125">
        <f>SUMIF('raw Data'!$E:$E,A63,'raw Data'!$N:$N)</f>
        <v>0</v>
      </c>
      <c r="V63" s="126">
        <v>40315</v>
      </c>
      <c r="W63" s="127">
        <v>40313</v>
      </c>
      <c r="X63" s="127">
        <v>40497</v>
      </c>
      <c r="Y63" s="127">
        <v>41228</v>
      </c>
      <c r="Z63" s="127">
        <v>41409</v>
      </c>
      <c r="AA63" s="128">
        <v>1.375E-2</v>
      </c>
      <c r="AB63" s="129">
        <v>41317000000.000008</v>
      </c>
      <c r="AC63" s="130" t="str">
        <f ca="1">IF(LEFT(B63,1)="B",_xll.INSTANCE.TBILL(A63,V63,Z63,TODAY()),_xll.INSTANCE.TNOTE(A63,V63,W63,X63,Y63,Z63,AA63,TODAY()))</f>
        <v>US912828NC07#0003</v>
      </c>
    </row>
    <row r="64" spans="1:29" x14ac:dyDescent="0.35">
      <c r="A64" s="131" t="s">
        <v>430</v>
      </c>
      <c r="B64" s="115" t="s">
        <v>1040</v>
      </c>
      <c r="C64" s="364"/>
      <c r="D64" s="116"/>
      <c r="E64" s="117"/>
      <c r="F64" s="118"/>
      <c r="G64" s="369"/>
      <c r="H64" s="120">
        <v>2.3226900000000001E-3</v>
      </c>
      <c r="I64" s="121">
        <f ca="1">_xll.INSTRUMENT.PRIX(AC64,D64,H64,cTreasuries)</f>
        <v>102.97345046400814</v>
      </c>
      <c r="J64" s="122">
        <f ca="1">_xll.INSTRUMENT.DV01(A64,,,I64,cContinuous,I64)</f>
        <v>-8.9625317335735918E-3</v>
      </c>
      <c r="K64" s="123">
        <f ca="1">_xll.INSTRUMENT.CONVEXITE(A64,,,I64,cContinuous,I64)</f>
        <v>0.75529429665052139</v>
      </c>
      <c r="L64" s="123">
        <f ca="1">_xll.INSTRUMENT.Z.SPREAD(A64,swapCurve,I64,cContinuous,D64)</f>
        <v>-24.581577614946983</v>
      </c>
      <c r="M64" s="123" t="e">
        <f ca="1">_xll.INSTRUMENT.Z.SPREAD(A64,ustCurve,I64,cContinuous,D64)</f>
        <v>#VALUE!</v>
      </c>
      <c r="N64" s="123">
        <f ca="1">_xll.INSTRUMENT.Z.SPREAD(A64,oisCurve,I64,cContinuous,D64)</f>
        <v>4.8740959551815495</v>
      </c>
      <c r="O64" s="124" t="e">
        <f ca="1">1/_xll.CALENDRIER.FRAC.ANNEE(_xll.INSTRUMENT.DATE.REGLEMENT($AC64,,),_xll.INSTRUMENT.DATE.REGLEMENT($AC64,_xll.CALENDRIER.GAP.FINANCE(TODAY(),"1M","AUD","Unadjusted"),),"ACT/365")*(_xll.INSTRUMENT.ROLL.DOWN($A64,oisCurve,_xll.CALENDRIER.GAP.FINANCE(TODAY(),"1M","AUD","Unadjusted",TRUE),$N64)+100*$AA64*_xll.CALENDRIER.FRAC.ANNEE(_xll.INSTRUMENT.DATE.REGLEMENT($AC64,,),_xll.INSTRUMENT.DATE.REGLEMENT($AC64,_xll.CALENDRIER.GAP.FINANCE(TODAY(),"1M","AUD","Unadjusted"),),"ACT/365")-$I64)/$I64</f>
        <v>#NAME?</v>
      </c>
      <c r="P64" s="124" t="e">
        <f ca="1">1/_xll.CALENDRIER.FRAC.ANNEE(_xll.INSTRUMENT.DATE.REGLEMENT($AC64,,),_xll.INSTRUMENT.DATE.REGLEMENT($AC64,_xll.CALENDRIER.GAP.FINANCE(TODAY(),"3M","AUD","Unadjusted"),),"ACT/365")*(_xll.INSTRUMENT.ROLL.DOWN($A64,oisCurve,_xll.CALENDRIER.GAP.FINANCE(TODAY(),"3M","AUD","Unadjusted",TRUE),$N64)+100*$AA64*_xll.CALENDRIER.FRAC.ANNEE(_xll.INSTRUMENT.DATE.REGLEMENT($AC64,,),_xll.INSTRUMENT.DATE.REGLEMENT($AC64,_xll.CALENDRIER.GAP.FINANCE(TODAY(),"3M","AUD","Unadjusted"),),"ACT/365")-$I64)/$I64</f>
        <v>#NAME?</v>
      </c>
      <c r="Q64" s="371" t="e">
        <f ca="1">-(O64-curve!$T$3)/J64</f>
        <v>#NAME?</v>
      </c>
      <c r="R64" s="373">
        <f t="shared" ca="1" si="1"/>
        <v>-84.272426486501956</v>
      </c>
      <c r="S64" s="191" t="str">
        <f>IF(F64&lt;&gt;"","",IF(G64="","",-G64*(SUMIF('raw Data'!$A:$A,"RESINV1USD",'raw Data'!$G:$G)+SUMIF('raw Data'!$A:$A,"RESSWAPORUSD",'raw Data'!$G:$G))/(36500*J64)))</f>
        <v/>
      </c>
      <c r="T64" s="202" t="str">
        <f>IF(G64&lt;&gt;"","",IF(F64="","",-36500*J64*F64/(SUMIF('raw Data'!$A:$A,"RESINV1USD",'raw Data'!$G:$G)+SUMIF('raw Data'!$A:$A,"RESSWAPORUSD",'raw Data'!$G:$G))))</f>
        <v/>
      </c>
      <c r="U64" s="125">
        <f>SUMIF('raw Data'!$E:$E,A64,'raw Data'!$N:$N)</f>
        <v>0</v>
      </c>
      <c r="V64" s="126">
        <v>37756</v>
      </c>
      <c r="W64" s="127">
        <v>37756</v>
      </c>
      <c r="X64" s="127">
        <v>37940</v>
      </c>
      <c r="Y64" s="127">
        <v>41228</v>
      </c>
      <c r="Z64" s="127">
        <v>41409</v>
      </c>
      <c r="AA64" s="128">
        <v>3.6249999999999998E-2</v>
      </c>
      <c r="AB64" s="129">
        <v>18254000000</v>
      </c>
      <c r="AC64" s="130" t="str">
        <f ca="1">IF(LEFT(B64,1)="B",_xll.INSTANCE.TBILL(A64,V64,Z64,TODAY()),_xll.INSTANCE.TNOTE(A64,V64,W64,X64,Y64,Z64,AA64,TODAY()))</f>
        <v>US912828BA78#0003</v>
      </c>
    </row>
    <row r="65" spans="1:29" x14ac:dyDescent="0.35">
      <c r="A65" s="131" t="s">
        <v>910</v>
      </c>
      <c r="B65" s="115" t="s">
        <v>1041</v>
      </c>
      <c r="C65" s="364"/>
      <c r="D65" s="116"/>
      <c r="E65" s="117"/>
      <c r="F65" s="118"/>
      <c r="G65" s="369"/>
      <c r="H65" s="120">
        <v>1.8781059113381678E-3</v>
      </c>
      <c r="I65" s="121">
        <f ca="1">_xll.INSTRUMENT.PRIX(AC65,D65,H65,cTreasuries)</f>
        <v>99.828116039054208</v>
      </c>
      <c r="J65" s="122">
        <f ca="1">_xll.INSTRUMENT.DV01(A65,,,I65,cContinuous,I65)</f>
        <v>-9.1484030476921066E-3</v>
      </c>
      <c r="K65" s="123">
        <f ca="1">_xll.INSTRUMENT.CONVEXITE(A65,,,I65,cContinuous,I65)</f>
        <v>0.83981810066150386</v>
      </c>
      <c r="L65" s="123">
        <f ca="1">_xll.INSTRUMENT.Z.SPREAD(A65,swapCurve,I65,cContinuous,D65)</f>
        <v>-29.201112042604688</v>
      </c>
      <c r="M65" s="123" t="e">
        <f ca="1">_xll.INSTRUMENT.Z.SPREAD(A65,ustCurve,I65,cContinuous,D65)</f>
        <v>#VALUE!</v>
      </c>
      <c r="N65" s="123">
        <f ca="1">_xll.INSTRUMENT.Z.SPREAD(A65,oisCurve,I65,cContinuous,D65)</f>
        <v>0.38594108014210543</v>
      </c>
      <c r="O65" s="124" t="e">
        <f ca="1">1/_xll.CALENDRIER.FRAC.ANNEE(_xll.INSTRUMENT.DATE.REGLEMENT($AC65,,),_xll.INSTRUMENT.DATE.REGLEMENT($AC65,_xll.CALENDRIER.GAP.FINANCE(TODAY(),"1M","AUD","Unadjusted"),),"ACT/365")*(_xll.INSTRUMENT.ROLL.DOWN($A65,oisCurve,_xll.CALENDRIER.GAP.FINANCE(TODAY(),"1M","AUD","Unadjusted",TRUE),$N65)+100*$AA65*_xll.CALENDRIER.FRAC.ANNEE(_xll.INSTRUMENT.DATE.REGLEMENT($AC65,,),_xll.INSTRUMENT.DATE.REGLEMENT($AC65,_xll.CALENDRIER.GAP.FINANCE(TODAY(),"1M","AUD","Unadjusted"),),"ACT/365")-$I65)/$I65</f>
        <v>#NAME?</v>
      </c>
      <c r="P65" s="124" t="e">
        <f ca="1">1/_xll.CALENDRIER.FRAC.ANNEE(_xll.INSTRUMENT.DATE.REGLEMENT($AC65,,),_xll.INSTRUMENT.DATE.REGLEMENT($AC65,_xll.CALENDRIER.GAP.FINANCE(TODAY(),"3M","AUD","Unadjusted"),),"ACT/365")*(_xll.INSTRUMENT.ROLL.DOWN($A65,oisCurve,_xll.CALENDRIER.GAP.FINANCE(TODAY(),"3M","AUD","Unadjusted",TRUE),$N65)+100*$AA65*_xll.CALENDRIER.FRAC.ANNEE(_xll.INSTRUMENT.DATE.REGLEMENT($AC65,,),_xll.INSTRUMENT.DATE.REGLEMENT($AC65,_xll.CALENDRIER.GAP.FINANCE(TODAY(),"3M","AUD","Unadjusted"),),"ACT/365")-$I65)/$I65</f>
        <v>#NAME?</v>
      </c>
      <c r="Q65" s="371" t="e">
        <f ca="1">-(O65-curve!$T$3)/J65</f>
        <v>#NAME?</v>
      </c>
      <c r="R65" s="373">
        <f t="shared" ca="1" si="1"/>
        <v>-91.799420760475471</v>
      </c>
      <c r="S65" s="191" t="str">
        <f>IF(F65&lt;&gt;"","",IF(G65="","",-G65*(SUMIF('raw Data'!$A:$A,"RESINV1USD",'raw Data'!$G:$G)+SUMIF('raw Data'!$A:$A,"RESSWAPORUSD",'raw Data'!$G:$G))/(36500*J65)))</f>
        <v/>
      </c>
      <c r="T65" s="202" t="str">
        <f>IF(G65&lt;&gt;"","",IF(F65="","",-36500*J65*F65/(SUMIF('raw Data'!$A:$A,"RESINV1USD",'raw Data'!$G:$G)+SUMIF('raw Data'!$A:$A,"RESSWAPORUSD",'raw Data'!$G:$G))))</f>
        <v/>
      </c>
      <c r="U65" s="125">
        <f>SUMIF('raw Data'!$E:$E,A65,'raw Data'!$N:$N)</f>
        <v>0</v>
      </c>
      <c r="V65" s="126">
        <v>41060</v>
      </c>
      <c r="W65" s="127" t="e">
        <v>#VALUE!</v>
      </c>
      <c r="X65" s="127" t="e">
        <v>#VALUE!</v>
      </c>
      <c r="Y65" s="127" t="e">
        <v>#VALUE!</v>
      </c>
      <c r="Z65" s="127">
        <v>41424</v>
      </c>
      <c r="AA65" s="128">
        <v>0</v>
      </c>
      <c r="AB65" s="129">
        <v>25001000000</v>
      </c>
      <c r="AC65" s="130" t="str">
        <f ca="1">IF(LEFT(B65,1)="B",_xll.INSTANCE.TBILL(A65,V65,Z65,TODAY()),_xll.INSTANCE.TNOTE(A65,V65,W65,X65,Y65,Z65,AA65,TODAY()))</f>
        <v>US9127956R78#0003</v>
      </c>
    </row>
    <row r="66" spans="1:29" x14ac:dyDescent="0.35">
      <c r="A66" s="131" t="s">
        <v>188</v>
      </c>
      <c r="B66" s="115" t="s">
        <v>1042</v>
      </c>
      <c r="C66" s="364"/>
      <c r="D66" s="116"/>
      <c r="E66" s="117"/>
      <c r="F66" s="118"/>
      <c r="G66" s="369"/>
      <c r="H66" s="120">
        <v>2.3414679999999998E-3</v>
      </c>
      <c r="I66" s="121">
        <f ca="1">_xll.INSTRUMENT.PRIX(AC66,D66,H66,cTreasuries)</f>
        <v>100.24472964503448</v>
      </c>
      <c r="J66" s="122">
        <f ca="1">_xll.INSTRUMENT.DV01(A66,,,I66,cContinuous,I66)</f>
        <v>-9.2052404461939307E-3</v>
      </c>
      <c r="K66" s="123">
        <f ca="1">_xll.INSTRUMENT.CONVEXITE(A66,,,I66,cContinuous,I66)</f>
        <v>0.8431839263018861</v>
      </c>
      <c r="L66" s="123">
        <f ca="1">_xll.INSTRUMENT.Z.SPREAD(A66,swapCurve,I66,cContinuous,D66)</f>
        <v>-24.587738006040652</v>
      </c>
      <c r="M66" s="123" t="e">
        <f ca="1">_xll.INSTRUMENT.Z.SPREAD(A66,ustCurve,I66,cContinuous,D66)</f>
        <v>#VALUE!</v>
      </c>
      <c r="N66" s="123">
        <f ca="1">_xll.INSTRUMENT.Z.SPREAD(A66,oisCurve,I66,cContinuous,D66)</f>
        <v>5.0057746147140207</v>
      </c>
      <c r="O66" s="124" t="e">
        <f ca="1">1/_xll.CALENDRIER.FRAC.ANNEE(_xll.INSTRUMENT.DATE.REGLEMENT($AC66,,),_xll.INSTRUMENT.DATE.REGLEMENT($AC66,_xll.CALENDRIER.GAP.FINANCE(TODAY(),"1M","AUD","Unadjusted"),),"ACT/365")*(_xll.INSTRUMENT.ROLL.DOWN($A66,oisCurve,_xll.CALENDRIER.GAP.FINANCE(TODAY(),"1M","AUD","Unadjusted",TRUE),$N66)+100*$AA66*_xll.CALENDRIER.FRAC.ANNEE(_xll.INSTRUMENT.DATE.REGLEMENT($AC66,,),_xll.INSTRUMENT.DATE.REGLEMENT($AC66,_xll.CALENDRIER.GAP.FINANCE(TODAY(),"1M","AUD","Unadjusted"),),"ACT/365")-$I66)/$I66</f>
        <v>#NAME?</v>
      </c>
      <c r="P66" s="124" t="e">
        <f ca="1">1/_xll.CALENDRIER.FRAC.ANNEE(_xll.INSTRUMENT.DATE.REGLEMENT($AC66,,),_xll.INSTRUMENT.DATE.REGLEMENT($AC66,_xll.CALENDRIER.GAP.FINANCE(TODAY(),"3M","AUD","Unadjusted"),),"ACT/365")*(_xll.INSTRUMENT.ROLL.DOWN($A66,oisCurve,_xll.CALENDRIER.GAP.FINANCE(TODAY(),"3M","AUD","Unadjusted",TRUE),$N66)+100*$AA66*_xll.CALENDRIER.FRAC.ANNEE(_xll.INSTRUMENT.DATE.REGLEMENT($AC66,,),_xll.INSTRUMENT.DATE.REGLEMENT($AC66,_xll.CALENDRIER.GAP.FINANCE(TODAY(),"3M","AUD","Unadjusted"),),"ACT/365")-$I66)/$I66</f>
        <v>#NAME?</v>
      </c>
      <c r="Q66" s="371" t="e">
        <f ca="1">-(O66-curve!$T$3)/J66</f>
        <v>#NAME?</v>
      </c>
      <c r="R66" s="373">
        <f t="shared" ca="1" si="1"/>
        <v>-91.598251151659525</v>
      </c>
      <c r="S66" s="191" t="str">
        <f>IF(F66&lt;&gt;"","",IF(G66="","",-G66*(SUMIF('raw Data'!$A:$A,"RESINV1USD",'raw Data'!$G:$G)+SUMIF('raw Data'!$A:$A,"RESSWAPORUSD",'raw Data'!$G:$G))/(36500*J66)))</f>
        <v/>
      </c>
      <c r="T66" s="202" t="str">
        <f>IF(G66&lt;&gt;"","",IF(F66="","",-36500*J66*F66/(SUMIF('raw Data'!$A:$A,"RESINV1USD",'raw Data'!$G:$G)+SUMIF('raw Data'!$A:$A,"RESSWAPORUSD",'raw Data'!$G:$G))))</f>
        <v/>
      </c>
      <c r="U66" s="125">
        <f>SUMIF('raw Data'!$E:$E,A66,'raw Data'!$N:$N)</f>
        <v>24951.191663080535</v>
      </c>
      <c r="V66" s="126">
        <v>40694</v>
      </c>
      <c r="W66" s="127">
        <v>40694</v>
      </c>
      <c r="X66" s="127">
        <v>40877</v>
      </c>
      <c r="Y66" s="127">
        <v>41243</v>
      </c>
      <c r="Z66" s="127">
        <v>41425</v>
      </c>
      <c r="AA66" s="128">
        <v>5.0000000000000001E-3</v>
      </c>
      <c r="AB66" s="129">
        <v>37946000000</v>
      </c>
      <c r="AC66" s="130" t="str">
        <f ca="1">IF(LEFT(B66,1)="B",_xll.INSTANCE.TBILL(A66,V66,Z66,TODAY()),_xll.INSTANCE.TNOTE(A66,V66,W66,X66,Y66,Z66,AA66,TODAY()))</f>
        <v>US912828QZ64#0003</v>
      </c>
    </row>
    <row r="67" spans="1:29" x14ac:dyDescent="0.35">
      <c r="A67" s="131" t="s">
        <v>432</v>
      </c>
      <c r="B67" s="115" t="s">
        <v>1043</v>
      </c>
      <c r="C67" s="364"/>
      <c r="D67" s="116"/>
      <c r="E67" s="117"/>
      <c r="F67" s="118"/>
      <c r="G67" s="369"/>
      <c r="H67" s="120">
        <v>2.3273429999999999E-3</v>
      </c>
      <c r="I67" s="121">
        <f ca="1">_xll.INSTRUMENT.PRIX(AC67,D67,H67,cTreasuries)</f>
        <v>103.00365248061284</v>
      </c>
      <c r="J67" s="122">
        <f ca="1">_xll.INSTRUMENT.DV01(A67,,,I67,cContinuous,I67)</f>
        <v>-9.4059915948233683E-3</v>
      </c>
      <c r="K67" s="123">
        <f ca="1">_xll.INSTRUMENT.CONVEXITE(A67,,,I67,cContinuous,I67)</f>
        <v>0.83354281823474397</v>
      </c>
      <c r="L67" s="123">
        <f ca="1">_xll.INSTRUMENT.Z.SPREAD(A67,swapCurve,I67,cContinuous,D67)</f>
        <v>-24.714716626428043</v>
      </c>
      <c r="M67" s="123" t="e">
        <f ca="1">_xll.INSTRUMENT.Z.SPREAD(A67,ustCurve,I67,cContinuous,D67)</f>
        <v>#VALUE!</v>
      </c>
      <c r="N67" s="123">
        <f ca="1">_xll.INSTRUMENT.Z.SPREAD(A67,oisCurve,I67,cContinuous,D67)</f>
        <v>4.8667002682899296</v>
      </c>
      <c r="O67" s="124" t="e">
        <f ca="1">1/_xll.CALENDRIER.FRAC.ANNEE(_xll.INSTRUMENT.DATE.REGLEMENT($AC67,,),_xll.INSTRUMENT.DATE.REGLEMENT($AC67,_xll.CALENDRIER.GAP.FINANCE(TODAY(),"1M","AUD","Unadjusted"),),"ACT/365")*(_xll.INSTRUMENT.ROLL.DOWN($A67,oisCurve,_xll.CALENDRIER.GAP.FINANCE(TODAY(),"1M","AUD","Unadjusted",TRUE),$N67)+100*$AA67*_xll.CALENDRIER.FRAC.ANNEE(_xll.INSTRUMENT.DATE.REGLEMENT($AC67,,),_xll.INSTRUMENT.DATE.REGLEMENT($AC67,_xll.CALENDRIER.GAP.FINANCE(TODAY(),"1M","AUD","Unadjusted"),),"ACT/365")-$I67)/$I67</f>
        <v>#NAME?</v>
      </c>
      <c r="P67" s="124" t="e">
        <f ca="1">1/_xll.CALENDRIER.FRAC.ANNEE(_xll.INSTRUMENT.DATE.REGLEMENT($AC67,,),_xll.INSTRUMENT.DATE.REGLEMENT($AC67,_xll.CALENDRIER.GAP.FINANCE(TODAY(),"3M","AUD","Unadjusted"),),"ACT/365")*(_xll.INSTRUMENT.ROLL.DOWN($A67,oisCurve,_xll.CALENDRIER.GAP.FINANCE(TODAY(),"3M","AUD","Unadjusted",TRUE),$N67)+100*$AA67*_xll.CALENDRIER.FRAC.ANNEE(_xll.INSTRUMENT.DATE.REGLEMENT($AC67,,),_xll.INSTRUMENT.DATE.REGLEMENT($AC67,_xll.CALENDRIER.GAP.FINANCE(TODAY(),"3M","AUD","Unadjusted"),),"ACT/365")-$I67)/$I67</f>
        <v>#NAME?</v>
      </c>
      <c r="Q67" s="371" t="e">
        <f ca="1">-(O67-curve!$T$3)/J67</f>
        <v>#NAME?</v>
      </c>
      <c r="R67" s="373">
        <f t="shared" ca="1" si="1"/>
        <v>-88.618282275894032</v>
      </c>
      <c r="S67" s="191" t="str">
        <f>IF(F67&lt;&gt;"","",IF(G67="","",-G67*(SUMIF('raw Data'!$A:$A,"RESINV1USD",'raw Data'!$G:$G)+SUMIF('raw Data'!$A:$A,"RESSWAPORUSD",'raw Data'!$G:$G))/(36500*J67)))</f>
        <v/>
      </c>
      <c r="T67" s="202" t="str">
        <f>IF(G67&lt;&gt;"","",IF(F67="","",-36500*J67*F67/(SUMIF('raw Data'!$A:$A,"RESINV1USD",'raw Data'!$G:$G)+SUMIF('raw Data'!$A:$A,"RESSWAPORUSD",'raw Data'!$G:$G))))</f>
        <v/>
      </c>
      <c r="U67" s="125">
        <f>SUMIF('raw Data'!$E:$E,A67,'raw Data'!$N:$N)</f>
        <v>0</v>
      </c>
      <c r="V67" s="126">
        <v>39601</v>
      </c>
      <c r="W67" s="127">
        <v>39599</v>
      </c>
      <c r="X67" s="127">
        <v>39782</v>
      </c>
      <c r="Y67" s="127">
        <v>41243</v>
      </c>
      <c r="Z67" s="127">
        <v>41425</v>
      </c>
      <c r="AA67" s="128">
        <v>3.5000000000000003E-2</v>
      </c>
      <c r="AB67" s="129">
        <v>20518000000</v>
      </c>
      <c r="AC67" s="130" t="str">
        <f ca="1">IF(LEFT(B67,1)="B",_xll.INSTANCE.TBILL(A67,V67,Z67,TODAY()),_xll.INSTANCE.TNOTE(A67,V67,W67,X67,Y67,Z67,AA67,TODAY()))</f>
        <v>US912828JB79#0003</v>
      </c>
    </row>
    <row r="68" spans="1:29" x14ac:dyDescent="0.35">
      <c r="A68" s="131" t="s">
        <v>39</v>
      </c>
      <c r="B68" s="115" t="s">
        <v>1044</v>
      </c>
      <c r="C68" s="364"/>
      <c r="D68" s="116"/>
      <c r="E68" s="117"/>
      <c r="F68" s="118"/>
      <c r="G68" s="369"/>
      <c r="H68" s="120">
        <v>2.4674039999999999E-3</v>
      </c>
      <c r="I68" s="121">
        <f ca="1">_xll.INSTRUMENT.PRIX(AC68,D68,H68,cTreasuries)</f>
        <v>100.84348441941299</v>
      </c>
      <c r="J68" s="122">
        <f ca="1">_xll.INSTRUMENT.DV01(A68,,,I68,cContinuous,I68)</f>
        <v>-9.6596295500023296E-3</v>
      </c>
      <c r="K68" s="123">
        <f ca="1">_xll.INSTRUMENT.CONVEXITE(A68,,,I68,cContinuous,I68)</f>
        <v>0.92865793512908923</v>
      </c>
      <c r="L68" s="123">
        <f ca="1">_xll.INSTRUMENT.Z.SPREAD(A68,swapCurve,I68,cContinuous,D68)</f>
        <v>-23.670551368520542</v>
      </c>
      <c r="M68" s="123" t="e">
        <f ca="1">_xll.INSTRUMENT.Z.SPREAD(A68,ustCurve,I68,cContinuous,D68)</f>
        <v>#VALUE!</v>
      </c>
      <c r="N68" s="123">
        <f ca="1">_xll.INSTRUMENT.Z.SPREAD(A68,oisCurve,I68,cContinuous,D68)</f>
        <v>6.0706298222946682</v>
      </c>
      <c r="O68" s="124" t="e">
        <f ca="1">1/_xll.CALENDRIER.FRAC.ANNEE(_xll.INSTRUMENT.DATE.REGLEMENT($AC68,,),_xll.INSTRUMENT.DATE.REGLEMENT($AC68,_xll.CALENDRIER.GAP.FINANCE(TODAY(),"1M","AUD","Unadjusted"),),"ACT/365")*(_xll.INSTRUMENT.ROLL.DOWN($A68,oisCurve,_xll.CALENDRIER.GAP.FINANCE(TODAY(),"1M","AUD","Unadjusted",TRUE),$N68)+100*$AA68*_xll.CALENDRIER.FRAC.ANNEE(_xll.INSTRUMENT.DATE.REGLEMENT($AC68,,),_xll.INSTRUMENT.DATE.REGLEMENT($AC68,_xll.CALENDRIER.GAP.FINANCE(TODAY(),"1M","AUD","Unadjusted"),),"ACT/365")-$I68)/$I68</f>
        <v>#NAME?</v>
      </c>
      <c r="P68" s="124" t="e">
        <f ca="1">1/_xll.CALENDRIER.FRAC.ANNEE(_xll.INSTRUMENT.DATE.REGLEMENT($AC68,,),_xll.INSTRUMENT.DATE.REGLEMENT($AC68,_xll.CALENDRIER.GAP.FINANCE(TODAY(),"3M","AUD","Unadjusted"),),"ACT/365")*(_xll.INSTRUMENT.ROLL.DOWN($A68,oisCurve,_xll.CALENDRIER.GAP.FINANCE(TODAY(),"3M","AUD","Unadjusted",TRUE),$N68)+100*$AA68*_xll.CALENDRIER.FRAC.ANNEE(_xll.INSTRUMENT.DATE.REGLEMENT($AC68,,),_xll.INSTRUMENT.DATE.REGLEMENT($AC68,_xll.CALENDRIER.GAP.FINANCE(TODAY(),"3M","AUD","Unadjusted"),),"ACT/365")-$I68)/$I68</f>
        <v>#NAME?</v>
      </c>
      <c r="Q68" s="371" t="e">
        <f ca="1">-(O68-curve!$T$3)/J68</f>
        <v>#NAME?</v>
      </c>
      <c r="R68" s="373">
        <f t="shared" ca="1" si="1"/>
        <v>-96.138048599272139</v>
      </c>
      <c r="S68" s="191" t="str">
        <f>IF(F68&lt;&gt;"","",IF(G68="","",-G68*(SUMIF('raw Data'!$A:$A,"RESINV1USD",'raw Data'!$G:$G)+SUMIF('raw Data'!$A:$A,"RESSWAPORUSD",'raw Data'!$G:$G))/(36500*J68)))</f>
        <v/>
      </c>
      <c r="T68" s="202" t="str">
        <f>IF(G68&lt;&gt;"","",IF(F68="","",-36500*J68*F68/(SUMIF('raw Data'!$A:$A,"RESINV1USD",'raw Data'!$G:$G)+SUMIF('raw Data'!$A:$A,"RESSWAPORUSD",'raw Data'!$G:$G))))</f>
        <v/>
      </c>
      <c r="U68" s="125">
        <f>SUMIF('raw Data'!$E:$E,A68,'raw Data'!$N:$N)</f>
        <v>0</v>
      </c>
      <c r="V68" s="126">
        <v>40344</v>
      </c>
      <c r="W68" s="127">
        <v>40344</v>
      </c>
      <c r="X68" s="127">
        <v>40527</v>
      </c>
      <c r="Y68" s="127">
        <v>41258</v>
      </c>
      <c r="Z68" s="127">
        <v>41440</v>
      </c>
      <c r="AA68" s="128">
        <v>1.125E-2</v>
      </c>
      <c r="AB68" s="129">
        <v>36208000000</v>
      </c>
      <c r="AC68" s="130" t="str">
        <f ca="1">IF(LEFT(B68,1)="B",_xll.INSTANCE.TBILL(A68,V68,Z68,TODAY()),_xll.INSTANCE.TNOTE(A68,V68,W68,X68,Y68,Z68,AA68,TODAY()))</f>
        <v>US912828NH93#0003</v>
      </c>
    </row>
    <row r="69" spans="1:29" x14ac:dyDescent="0.35">
      <c r="A69" s="131" t="s">
        <v>190</v>
      </c>
      <c r="B69" s="115" t="s">
        <v>1045</v>
      </c>
      <c r="C69" s="364"/>
      <c r="D69" s="116"/>
      <c r="E69" s="117"/>
      <c r="F69" s="118"/>
      <c r="G69" s="369"/>
      <c r="H69" s="120">
        <v>2.4908169999999998E-3</v>
      </c>
      <c r="I69" s="121">
        <f ca="1">_xll.INSTRUMENT.PRIX(AC69,D69,H69,cTreasuries)</f>
        <v>100.12637360505752</v>
      </c>
      <c r="J69" s="122">
        <f ca="1">_xll.INSTRUMENT.DV01(A69,,,I69,cContinuous,I69)</f>
        <v>-1.0016785551151697E-2</v>
      </c>
      <c r="K69" s="123">
        <f ca="1">_xll.INSTRUMENT.CONVEXITE(A69,,,I69,cContinuous,I69)</f>
        <v>1.004901512487643</v>
      </c>
      <c r="L69" s="123">
        <f ca="1">_xll.INSTRUMENT.Z.SPREAD(A69,swapCurve,I69,cContinuous,D69)</f>
        <v>-23.554708986749723</v>
      </c>
      <c r="M69" s="123" t="e">
        <f ca="1">_xll.INSTRUMENT.Z.SPREAD(A69,ustCurve,I69,cContinuous,D69)</f>
        <v>#VALUE!</v>
      </c>
      <c r="N69" s="123">
        <f ca="1">_xll.INSTRUMENT.Z.SPREAD(A69,oisCurve,I69,cContinuous,D69)</f>
        <v>6.33820925896321</v>
      </c>
      <c r="O69" s="124" t="e">
        <f ca="1">1/_xll.CALENDRIER.FRAC.ANNEE(_xll.INSTRUMENT.DATE.REGLEMENT($AC69,,),_xll.INSTRUMENT.DATE.REGLEMENT($AC69,_xll.CALENDRIER.GAP.FINANCE(TODAY(),"1M","AUD","Unadjusted"),),"ACT/365")*(_xll.INSTRUMENT.ROLL.DOWN($A69,oisCurve,_xll.CALENDRIER.GAP.FINANCE(TODAY(),"1M","AUD","Unadjusted",TRUE),$N69)+100*$AA69*_xll.CALENDRIER.FRAC.ANNEE(_xll.INSTRUMENT.DATE.REGLEMENT($AC69,,),_xll.INSTRUMENT.DATE.REGLEMENT($AC69,_xll.CALENDRIER.GAP.FINANCE(TODAY(),"1M","AUD","Unadjusted"),),"ACT/365")-$I69)/$I69</f>
        <v>#NAME?</v>
      </c>
      <c r="P69" s="124" t="e">
        <f ca="1">1/_xll.CALENDRIER.FRAC.ANNEE(_xll.INSTRUMENT.DATE.REGLEMENT($AC69,,),_xll.INSTRUMENT.DATE.REGLEMENT($AC69,_xll.CALENDRIER.GAP.FINANCE(TODAY(),"3M","AUD","Unadjusted"),),"ACT/365")*(_xll.INSTRUMENT.ROLL.DOWN($A69,oisCurve,_xll.CALENDRIER.GAP.FINANCE(TODAY(),"3M","AUD","Unadjusted",TRUE),$N69)+100*$AA69*_xll.CALENDRIER.FRAC.ANNEE(_xll.INSTRUMENT.DATE.REGLEMENT($AC69,,),_xll.INSTRUMENT.DATE.REGLEMENT($AC69,_xll.CALENDRIER.GAP.FINANCE(TODAY(),"3M","AUD","Unadjusted"),),"ACT/365")-$I69)/$I69</f>
        <v>#NAME?</v>
      </c>
      <c r="Q69" s="371" t="e">
        <f ca="1">-(O69-curve!$T$3)/J69</f>
        <v>#NAME?</v>
      </c>
      <c r="R69" s="373">
        <f t="shared" ca="1" si="1"/>
        <v>-100.32175565265074</v>
      </c>
      <c r="S69" s="191" t="str">
        <f>IF(F69&lt;&gt;"","",IF(G69="","",-G69*(SUMIF('raw Data'!$A:$A,"RESINV1USD",'raw Data'!$G:$G)+SUMIF('raw Data'!$A:$A,"RESSWAPORUSD",'raw Data'!$G:$G))/(36500*J69)))</f>
        <v/>
      </c>
      <c r="T69" s="202" t="str">
        <f>IF(G69&lt;&gt;"","",IF(F69="","",-36500*J69*F69/(SUMIF('raw Data'!$A:$A,"RESINV1USD",'raw Data'!$G:$G)+SUMIF('raw Data'!$A:$A,"RESSWAPORUSD",'raw Data'!$G:$G))))</f>
        <v/>
      </c>
      <c r="U69" s="125">
        <f>SUMIF('raw Data'!$E:$E,A69,'raw Data'!$N:$N)</f>
        <v>-430613.6985034704</v>
      </c>
      <c r="V69" s="126">
        <v>40724</v>
      </c>
      <c r="W69" s="127">
        <v>40724</v>
      </c>
      <c r="X69" s="127">
        <v>40908</v>
      </c>
      <c r="Y69" s="127">
        <v>41274</v>
      </c>
      <c r="Z69" s="127">
        <v>41455</v>
      </c>
      <c r="AA69" s="128">
        <v>3.7499999999999999E-3</v>
      </c>
      <c r="AB69" s="129">
        <v>36127000000</v>
      </c>
      <c r="AC69" s="130" t="str">
        <f ca="1">IF(LEFT(B69,1)="B",_xll.INSTANCE.TBILL(A69,V69,Z69,TODAY()),_xll.INSTANCE.TNOTE(A69,V69,W69,X69,Y69,Z69,AA69,TODAY()))</f>
        <v>US912828RA05#0003</v>
      </c>
    </row>
    <row r="70" spans="1:29" x14ac:dyDescent="0.35">
      <c r="A70" s="131" t="s">
        <v>433</v>
      </c>
      <c r="B70" s="115" t="s">
        <v>1046</v>
      </c>
      <c r="C70" s="364"/>
      <c r="D70" s="116"/>
      <c r="E70" s="117"/>
      <c r="F70" s="118"/>
      <c r="G70" s="369"/>
      <c r="H70" s="120">
        <v>2.4679060000000002E-3</v>
      </c>
      <c r="I70" s="121">
        <f ca="1">_xll.INSTRUMENT.PRIX(AC70,D70,H70,cTreasuries)</f>
        <v>103.13132854778192</v>
      </c>
      <c r="J70" s="122">
        <f ca="1">_xll.INSTRUMENT.DV01(A70,,,I70,cContinuous,I70)</f>
        <v>-1.0242981495808139E-2</v>
      </c>
      <c r="K70" s="123">
        <f ca="1">_xll.INSTRUMENT.CONVEXITE(A70,,,I70,cContinuous,I70)</f>
        <v>0.97985588501766563</v>
      </c>
      <c r="L70" s="123">
        <f ca="1">_xll.INSTRUMENT.Z.SPREAD(A70,swapCurve,I70,cContinuous,D70)</f>
        <v>-23.7525767520812</v>
      </c>
      <c r="M70" s="123" t="e">
        <f ca="1">_xll.INSTRUMENT.Z.SPREAD(A70,ustCurve,I70,cContinuous,D70)</f>
        <v>#VALUE!</v>
      </c>
      <c r="N70" s="123">
        <f ca="1">_xll.INSTRUMENT.Z.SPREAD(A70,oisCurve,I70,cContinuous,D70)</f>
        <v>6.1116511133109883</v>
      </c>
      <c r="O70" s="124" t="e">
        <f ca="1">1/_xll.CALENDRIER.FRAC.ANNEE(_xll.INSTRUMENT.DATE.REGLEMENT($AC70,,),_xll.INSTRUMENT.DATE.REGLEMENT($AC70,_xll.CALENDRIER.GAP.FINANCE(TODAY(),"1M","AUD","Unadjusted"),),"ACT/365")*(_xll.INSTRUMENT.ROLL.DOWN($A70,oisCurve,_xll.CALENDRIER.GAP.FINANCE(TODAY(),"1M","AUD","Unadjusted",TRUE),$N70)+100*$AA70*_xll.CALENDRIER.FRAC.ANNEE(_xll.INSTRUMENT.DATE.REGLEMENT($AC70,,),_xll.INSTRUMENT.DATE.REGLEMENT($AC70,_xll.CALENDRIER.GAP.FINANCE(TODAY(),"1M","AUD","Unadjusted"),),"ACT/365")-$I70)/$I70</f>
        <v>#NAME?</v>
      </c>
      <c r="P70" s="124" t="e">
        <f ca="1">1/_xll.CALENDRIER.FRAC.ANNEE(_xll.INSTRUMENT.DATE.REGLEMENT($AC70,,),_xll.INSTRUMENT.DATE.REGLEMENT($AC70,_xll.CALENDRIER.GAP.FINANCE(TODAY(),"3M","AUD","Unadjusted"),),"ACT/365")*(_xll.INSTRUMENT.ROLL.DOWN($A70,oisCurve,_xll.CALENDRIER.GAP.FINANCE(TODAY(),"3M","AUD","Unadjusted",TRUE),$N70)+100*$AA70*_xll.CALENDRIER.FRAC.ANNEE(_xll.INSTRUMENT.DATE.REGLEMENT($AC70,,),_xll.INSTRUMENT.DATE.REGLEMENT($AC70,_xll.CALENDRIER.GAP.FINANCE(TODAY(),"3M","AUD","Unadjusted"),),"ACT/365")-$I70)/$I70</f>
        <v>#NAME?</v>
      </c>
      <c r="Q70" s="371" t="e">
        <f ca="1">-(O70-curve!$T$3)/J70</f>
        <v>#NAME?</v>
      </c>
      <c r="R70" s="373">
        <f t="shared" ca="1" si="1"/>
        <v>-95.661198394106648</v>
      </c>
      <c r="S70" s="191" t="str">
        <f>IF(F70&lt;&gt;"","",IF(G70="","",-G70*(SUMIF('raw Data'!$A:$A,"RESINV1USD",'raw Data'!$G:$G)+SUMIF('raw Data'!$A:$A,"RESSWAPORUSD",'raw Data'!$G:$G))/(36500*J70)))</f>
        <v/>
      </c>
      <c r="T70" s="202" t="str">
        <f>IF(G70&lt;&gt;"","",IF(F70="","",-36500*J70*F70/(SUMIF('raw Data'!$A:$A,"RESINV1USD",'raw Data'!$G:$G)+SUMIF('raw Data'!$A:$A,"RESSWAPORUSD",'raw Data'!$G:$G))))</f>
        <v/>
      </c>
      <c r="U70" s="125">
        <f>SUMIF('raw Data'!$E:$E,A70,'raw Data'!$N:$N)</f>
        <v>0</v>
      </c>
      <c r="V70" s="126">
        <v>39629</v>
      </c>
      <c r="W70" s="127">
        <v>39629</v>
      </c>
      <c r="X70" s="127">
        <v>39813</v>
      </c>
      <c r="Y70" s="127">
        <v>41274</v>
      </c>
      <c r="Z70" s="127">
        <v>41455</v>
      </c>
      <c r="AA70" s="128">
        <v>3.3750000000000002E-2</v>
      </c>
      <c r="AB70" s="129">
        <v>22145000000</v>
      </c>
      <c r="AC70" s="130" t="str">
        <f ca="1">IF(LEFT(B70,1)="B",_xll.INSTANCE.TBILL(A70,V70,Z70,TODAY()),_xll.INSTANCE.TNOTE(A70,V70,W70,X70,Y70,Z70,AA70,TODAY()))</f>
        <v>US912828JD36#0003</v>
      </c>
    </row>
    <row r="71" spans="1:29" x14ac:dyDescent="0.35">
      <c r="A71" s="131" t="s">
        <v>434</v>
      </c>
      <c r="B71" s="115" t="s">
        <v>1047</v>
      </c>
      <c r="C71" s="364"/>
      <c r="D71" s="116"/>
      <c r="E71" s="117"/>
      <c r="F71" s="118"/>
      <c r="G71" s="369"/>
      <c r="H71" s="120">
        <v>2.5176859999999999E-3</v>
      </c>
      <c r="I71" s="121">
        <f ca="1">_xll.INSTRUMENT.PRIX(AC71,D71,H71,cTreasuries)</f>
        <v>100.77995140668077</v>
      </c>
      <c r="J71" s="122">
        <f ca="1">_xll.INSTRUMENT.DV01(A71,,,I71,cContinuous,I71)</f>
        <v>-1.0478581726760406E-2</v>
      </c>
      <c r="K71" s="123">
        <f ca="1">_xll.INSTRUMENT.CONVEXITE(A71,,,I71,cContinuous,I71)</f>
        <v>1.0774458150292185</v>
      </c>
      <c r="L71" s="123">
        <f ca="1">_xll.INSTRUMENT.Z.SPREAD(A71,swapCurve,I71,cContinuous,D71)</f>
        <v>-23.404312540921129</v>
      </c>
      <c r="M71" s="123" t="e">
        <f ca="1">_xll.INSTRUMENT.Z.SPREAD(A71,ustCurve,I71,cContinuous,D71)</f>
        <v>#VALUE!</v>
      </c>
      <c r="N71" s="123">
        <f ca="1">_xll.INSTRUMENT.Z.SPREAD(A71,oisCurve,I71,cContinuous,D71)</f>
        <v>6.6427197909980205</v>
      </c>
      <c r="O71" s="124" t="e">
        <f ca="1">1/_xll.CALENDRIER.FRAC.ANNEE(_xll.INSTRUMENT.DATE.REGLEMENT($AC71,,),_xll.INSTRUMENT.DATE.REGLEMENT($AC71,_xll.CALENDRIER.GAP.FINANCE(TODAY(),"1M","AUD","Unadjusted"),),"ACT/365")*(_xll.INSTRUMENT.ROLL.DOWN($A71,oisCurve,_xll.CALENDRIER.GAP.FINANCE(TODAY(),"1M","AUD","Unadjusted",TRUE),$N71)+100*$AA71*_xll.CALENDRIER.FRAC.ANNEE(_xll.INSTRUMENT.DATE.REGLEMENT($AC71,,),_xll.INSTRUMENT.DATE.REGLEMENT($AC71,_xll.CALENDRIER.GAP.FINANCE(TODAY(),"1M","AUD","Unadjusted"),),"ACT/365")-$I71)/$I71</f>
        <v>#NAME?</v>
      </c>
      <c r="P71" s="124" t="e">
        <f ca="1">1/_xll.CALENDRIER.FRAC.ANNEE(_xll.INSTRUMENT.DATE.REGLEMENT($AC71,,),_xll.INSTRUMENT.DATE.REGLEMENT($AC71,_xll.CALENDRIER.GAP.FINANCE(TODAY(),"3M","AUD","Unadjusted"),),"ACT/365")*(_xll.INSTRUMENT.ROLL.DOWN($A71,oisCurve,_xll.CALENDRIER.GAP.FINANCE(TODAY(),"3M","AUD","Unadjusted",TRUE),$N71)+100*$AA71*_xll.CALENDRIER.FRAC.ANNEE(_xll.INSTRUMENT.DATE.REGLEMENT($AC71,,),_xll.INSTRUMENT.DATE.REGLEMENT($AC71,_xll.CALENDRIER.GAP.FINANCE(TODAY(),"3M","AUD","Unadjusted"),),"ACT/365")-$I71)/$I71</f>
        <v>#NAME?</v>
      </c>
      <c r="Q71" s="371" t="e">
        <f ca="1">-(O71-curve!$T$3)/J71</f>
        <v>#NAME?</v>
      </c>
      <c r="R71" s="373">
        <f t="shared" ca="1" si="1"/>
        <v>-102.82363044204889</v>
      </c>
      <c r="S71" s="191" t="str">
        <f>IF(F71&lt;&gt;"","",IF(G71="","",-G71*(SUMIF('raw Data'!$A:$A,"RESINV1USD",'raw Data'!$G:$G)+SUMIF('raw Data'!$A:$A,"RESSWAPORUSD",'raw Data'!$G:$G))/(36500*J71)))</f>
        <v/>
      </c>
      <c r="T71" s="202" t="str">
        <f>IF(G71&lt;&gt;"","",IF(F71="","",-36500*J71*F71/(SUMIF('raw Data'!$A:$A,"RESINV1USD",'raw Data'!$G:$G)+SUMIF('raw Data'!$A:$A,"RESSWAPORUSD",'raw Data'!$G:$G))))</f>
        <v/>
      </c>
      <c r="U71" s="125">
        <f>SUMIF('raw Data'!$E:$E,A71,'raw Data'!$N:$N)</f>
        <v>0</v>
      </c>
      <c r="V71" s="126">
        <v>40374</v>
      </c>
      <c r="W71" s="127">
        <v>40374</v>
      </c>
      <c r="X71" s="127">
        <v>40558</v>
      </c>
      <c r="Y71" s="127">
        <v>41289</v>
      </c>
      <c r="Z71" s="127">
        <v>41470</v>
      </c>
      <c r="AA71" s="128">
        <v>0.01</v>
      </c>
      <c r="AB71" s="129">
        <v>35010000000</v>
      </c>
      <c r="AC71" s="130" t="str">
        <f ca="1">IF(LEFT(B71,1)="B",_xll.INSTANCE.TBILL(A71,V71,Z71,TODAY()),_xll.INSTANCE.TNOTE(A71,V71,W71,X71,Y71,Z71,AA71,TODAY()))</f>
        <v>US912828NN61#0003</v>
      </c>
    </row>
    <row r="72" spans="1:29" x14ac:dyDescent="0.35">
      <c r="A72" s="131" t="s">
        <v>435</v>
      </c>
      <c r="B72" s="115" t="s">
        <v>1048</v>
      </c>
      <c r="C72" s="364"/>
      <c r="D72" s="116"/>
      <c r="E72" s="117"/>
      <c r="F72" s="118"/>
      <c r="G72" s="369"/>
      <c r="H72" s="120">
        <v>2.5706400000000003E-3</v>
      </c>
      <c r="I72" s="121">
        <f ca="1">_xll.INSTRUMENT.PRIX(AC72,D72,H72,cTreasuries)</f>
        <v>103.3853761421515</v>
      </c>
      <c r="J72" s="122">
        <f ca="1">_xll.INSTRUMENT.DV01(A72,,,I72,cContinuous,I72)</f>
        <v>-1.1129536520836925E-2</v>
      </c>
      <c r="K72" s="123">
        <f ca="1">_xll.INSTRUMENT.CONVEXITE(A72,,,I72,cContinuous,I72)</f>
        <v>1.1477536758146594</v>
      </c>
      <c r="L72" s="123">
        <f ca="1">_xll.INSTRUMENT.Z.SPREAD(A72,swapCurve,I72,cContinuous,D72)</f>
        <v>-23.060793174135831</v>
      </c>
      <c r="M72" s="123" t="e">
        <f ca="1">_xll.INSTRUMENT.Z.SPREAD(A72,ustCurve,I72,cContinuous,D72)</f>
        <v>#VALUE!</v>
      </c>
      <c r="N72" s="123">
        <f ca="1">_xll.INSTRUMENT.Z.SPREAD(A72,oisCurve,I72,cContinuous,D72)</f>
        <v>7.1400759678891603</v>
      </c>
      <c r="O72" s="124" t="e">
        <f ca="1">1/_xll.CALENDRIER.FRAC.ANNEE(_xll.INSTRUMENT.DATE.REGLEMENT($AC72,,),_xll.INSTRUMENT.DATE.REGLEMENT($AC72,_xll.CALENDRIER.GAP.FINANCE(TODAY(),"1M","AUD","Unadjusted"),),"ACT/365")*(_xll.INSTRUMENT.ROLL.DOWN($A72,oisCurve,_xll.CALENDRIER.GAP.FINANCE(TODAY(),"1M","AUD","Unadjusted",TRUE),$N72)+100*$AA72*_xll.CALENDRIER.FRAC.ANNEE(_xll.INSTRUMENT.DATE.REGLEMENT($AC72,,),_xll.INSTRUMENT.DATE.REGLEMENT($AC72,_xll.CALENDRIER.GAP.FINANCE(TODAY(),"1M","AUD","Unadjusted"),),"ACT/365")-$I72)/$I72</f>
        <v>#NAME?</v>
      </c>
      <c r="P72" s="124" t="e">
        <f ca="1">1/_xll.CALENDRIER.FRAC.ANNEE(_xll.INSTRUMENT.DATE.REGLEMENT($AC72,,),_xll.INSTRUMENT.DATE.REGLEMENT($AC72,_xll.CALENDRIER.GAP.FINANCE(TODAY(),"3M","AUD","Unadjusted"),),"ACT/365")*(_xll.INSTRUMENT.ROLL.DOWN($A72,oisCurve,_xll.CALENDRIER.GAP.FINANCE(TODAY(),"3M","AUD","Unadjusted",TRUE),$N72)+100*$AA72*_xll.CALENDRIER.FRAC.ANNEE(_xll.INSTRUMENT.DATE.REGLEMENT($AC72,,),_xll.INSTRUMENT.DATE.REGLEMENT($AC72,_xll.CALENDRIER.GAP.FINANCE(TODAY(),"3M","AUD","Unadjusted"),),"ACT/365")-$I72)/$I72</f>
        <v>#NAME?</v>
      </c>
      <c r="Q72" s="371" t="e">
        <f ca="1">-(O72-curve!$T$3)/J72</f>
        <v>#NAME?</v>
      </c>
      <c r="R72" s="373">
        <f t="shared" ca="1" si="1"/>
        <v>-103.1268169762338</v>
      </c>
      <c r="S72" s="191" t="str">
        <f>IF(F72&lt;&gt;"","",IF(G72="","",-G72*(SUMIF('raw Data'!$A:$A,"RESINV1USD",'raw Data'!$G:$G)+SUMIF('raw Data'!$A:$A,"RESSWAPORUSD",'raw Data'!$G:$G))/(36500*J72)))</f>
        <v/>
      </c>
      <c r="T72" s="202" t="str">
        <f>IF(G72&lt;&gt;"","",IF(F72="","",-36500*J72*F72/(SUMIF('raw Data'!$A:$A,"RESINV1USD",'raw Data'!$G:$G)+SUMIF('raw Data'!$A:$A,"RESSWAPORUSD",'raw Data'!$G:$G))))</f>
        <v/>
      </c>
      <c r="U72" s="125">
        <f>SUMIF('raw Data'!$E:$E,A72,'raw Data'!$N:$N)</f>
        <v>0</v>
      </c>
      <c r="V72" s="126">
        <v>39660</v>
      </c>
      <c r="W72" s="127">
        <v>39660</v>
      </c>
      <c r="X72" s="127">
        <v>39844</v>
      </c>
      <c r="Y72" s="127">
        <v>41305</v>
      </c>
      <c r="Z72" s="127">
        <v>41486</v>
      </c>
      <c r="AA72" s="128">
        <v>3.3750000000000002E-2</v>
      </c>
      <c r="AB72" s="129">
        <v>23314000000</v>
      </c>
      <c r="AC72" s="130" t="str">
        <f ca="1">IF(LEFT(B72,1)="B",_xll.INSTANCE.TBILL(A72,V72,Z72,TODAY()),_xll.INSTANCE.TNOTE(A72,V72,W72,X72,Y72,Z72,AA72,TODAY()))</f>
        <v>US912828JG66#0003</v>
      </c>
    </row>
    <row r="73" spans="1:29" x14ac:dyDescent="0.35">
      <c r="A73" s="131" t="s">
        <v>71</v>
      </c>
      <c r="B73" s="115" t="s">
        <v>1049</v>
      </c>
      <c r="C73" s="364"/>
      <c r="D73" s="116"/>
      <c r="E73" s="117"/>
      <c r="F73" s="118"/>
      <c r="G73" s="369"/>
      <c r="H73" s="120">
        <v>2.5535020000000005E-3</v>
      </c>
      <c r="I73" s="121">
        <f ca="1">_xll.INSTRUMENT.PRIX(AC73,D73,H73,cTreasuries)</f>
        <v>100.13029068866764</v>
      </c>
      <c r="J73" s="122">
        <f ca="1">_xll.INSTRUMENT.DV01(A73,,,I73,cContinuous,I73)</f>
        <v>-1.0865714907763838E-2</v>
      </c>
      <c r="K73" s="123">
        <f ca="1">_xll.INSTRUMENT.CONVEXITE(A73,,,I73,cContinuous,I73)</f>
        <v>1.1762582506075003</v>
      </c>
      <c r="L73" s="123">
        <f ca="1">_xll.INSTRUMENT.Z.SPREAD(A73,swapCurve,I73,cContinuous,D73)</f>
        <v>-23.29014806541468</v>
      </c>
      <c r="M73" s="123" t="e">
        <f ca="1">_xll.INSTRUMENT.Z.SPREAD(A73,ustCurve,I73,cContinuous,D73)</f>
        <v>#VALUE!</v>
      </c>
      <c r="N73" s="123">
        <f ca="1">_xll.INSTRUMENT.Z.SPREAD(A73,oisCurve,I73,cContinuous,D73)</f>
        <v>6.9650623828562228</v>
      </c>
      <c r="O73" s="124" t="e">
        <f ca="1">1/_xll.CALENDRIER.FRAC.ANNEE(_xll.INSTRUMENT.DATE.REGLEMENT($AC73,,),_xll.INSTRUMENT.DATE.REGLEMENT($AC73,_xll.CALENDRIER.GAP.FINANCE(TODAY(),"1M","AUD","Unadjusted"),),"ACT/365")*(_xll.INSTRUMENT.ROLL.DOWN($A73,oisCurve,_xll.CALENDRIER.GAP.FINANCE(TODAY(),"1M","AUD","Unadjusted",TRUE),$N73)+100*$AA73*_xll.CALENDRIER.FRAC.ANNEE(_xll.INSTRUMENT.DATE.REGLEMENT($AC73,,),_xll.INSTRUMENT.DATE.REGLEMENT($AC73,_xll.CALENDRIER.GAP.FINANCE(TODAY(),"1M","AUD","Unadjusted"),),"ACT/365")-$I73)/$I73</f>
        <v>#NAME?</v>
      </c>
      <c r="P73" s="124" t="e">
        <f ca="1">1/_xll.CALENDRIER.FRAC.ANNEE(_xll.INSTRUMENT.DATE.REGLEMENT($AC73,,),_xll.INSTRUMENT.DATE.REGLEMENT($AC73,_xll.CALENDRIER.GAP.FINANCE(TODAY(),"3M","AUD","Unadjusted"),),"ACT/365")*(_xll.INSTRUMENT.ROLL.DOWN($A73,oisCurve,_xll.CALENDRIER.GAP.FINANCE(TODAY(),"3M","AUD","Unadjusted",TRUE),$N73)+100*$AA73*_xll.CALENDRIER.FRAC.ANNEE(_xll.INSTRUMENT.DATE.REGLEMENT($AC73,,),_xll.INSTRUMENT.DATE.REGLEMENT($AC73,_xll.CALENDRIER.GAP.FINANCE(TODAY(),"3M","AUD","Unadjusted"),),"ACT/365")-$I73)/$I73</f>
        <v>#NAME?</v>
      </c>
      <c r="Q73" s="371" t="e">
        <f ca="1">-(O73-curve!$T$3)/J73</f>
        <v>#NAME?</v>
      </c>
      <c r="R73" s="373">
        <f t="shared" ca="1" si="1"/>
        <v>-108.25410574384139</v>
      </c>
      <c r="S73" s="191" t="str">
        <f>IF(F73&lt;&gt;"","",IF(G73="","",-G73*(SUMIF('raw Data'!$A:$A,"RESINV1USD",'raw Data'!$G:$G)+SUMIF('raw Data'!$A:$A,"RESSWAPORUSD",'raw Data'!$G:$G))/(36500*J73)))</f>
        <v/>
      </c>
      <c r="T73" s="202" t="str">
        <f>IF(G73&lt;&gt;"","",IF(F73="","",-36500*J73*F73/(SUMIF('raw Data'!$A:$A,"RESINV1USD",'raw Data'!$G:$G)+SUMIF('raw Data'!$A:$A,"RESSWAPORUSD",'raw Data'!$G:$G))))</f>
        <v/>
      </c>
      <c r="U73" s="125">
        <f>SUMIF('raw Data'!$E:$E,A73,'raw Data'!$N:$N)</f>
        <v>38951.191663080535</v>
      </c>
      <c r="V73" s="126">
        <v>40756</v>
      </c>
      <c r="W73" s="127">
        <v>40755</v>
      </c>
      <c r="X73" s="127">
        <v>40939</v>
      </c>
      <c r="Y73" s="127">
        <v>41305</v>
      </c>
      <c r="Z73" s="127">
        <v>41486</v>
      </c>
      <c r="AA73" s="128">
        <v>3.7499999999999999E-3</v>
      </c>
      <c r="AB73" s="129">
        <v>36042000000</v>
      </c>
      <c r="AC73" s="130" t="str">
        <f ca="1">IF(LEFT(B73,1)="B",_xll.INSTANCE.TBILL(A73,V73,Z73,TODAY()),_xll.INSTANCE.TNOTE(A73,V73,W73,X73,Y73,Z73,AA73,TODAY()))</f>
        <v>US912828QW34#0003</v>
      </c>
    </row>
    <row r="74" spans="1:29" x14ac:dyDescent="0.35">
      <c r="A74" s="131" t="s">
        <v>436</v>
      </c>
      <c r="B74" s="115" t="s">
        <v>1050</v>
      </c>
      <c r="C74" s="364"/>
      <c r="D74" s="116"/>
      <c r="E74" s="117"/>
      <c r="F74" s="118"/>
      <c r="G74" s="369"/>
      <c r="H74" s="120">
        <v>2.6102920000000002E-3</v>
      </c>
      <c r="I74" s="121">
        <f ca="1">_xll.INSTRUMENT.PRIX(AC74,D74,H74,cTreasuries)</f>
        <v>100.55132570656998</v>
      </c>
      <c r="J74" s="122">
        <f ca="1">_xll.INSTRUMENT.DV01(A74,,,I74,cContinuous,I74)</f>
        <v>-1.1311241963804196E-2</v>
      </c>
      <c r="K74" s="123">
        <f ca="1">_xll.INSTRUMENT.CONVEXITE(A74,,,I74,cContinuous,I74)</f>
        <v>1.2630713892685972</v>
      </c>
      <c r="L74" s="123">
        <f ca="1">_xll.INSTRUMENT.Z.SPREAD(A74,swapCurve,I74,cContinuous,D74)</f>
        <v>-22.93741506483725</v>
      </c>
      <c r="M74" s="123" t="e">
        <f ca="1">_xll.INSTRUMENT.Z.SPREAD(A74,ustCurve,I74,cContinuous,D74)</f>
        <v>#VALUE!</v>
      </c>
      <c r="N74" s="123">
        <f ca="1">_xll.INSTRUMENT.Z.SPREAD(A74,oisCurve,I74,cContinuous,D74)</f>
        <v>7.4996595328160245</v>
      </c>
      <c r="O74" s="124" t="e">
        <f ca="1">1/_xll.CALENDRIER.FRAC.ANNEE(_xll.INSTRUMENT.DATE.REGLEMENT($AC74,,),_xll.INSTRUMENT.DATE.REGLEMENT($AC74,_xll.CALENDRIER.GAP.FINANCE(TODAY(),"1M","AUD","Unadjusted"),),"ACT/365")*(_xll.INSTRUMENT.ROLL.DOWN($A74,oisCurve,_xll.CALENDRIER.GAP.FINANCE(TODAY(),"1M","AUD","Unadjusted",TRUE),$N74)+100*$AA74*_xll.CALENDRIER.FRAC.ANNEE(_xll.INSTRUMENT.DATE.REGLEMENT($AC74,,),_xll.INSTRUMENT.DATE.REGLEMENT($AC74,_xll.CALENDRIER.GAP.FINANCE(TODAY(),"1M","AUD","Unadjusted"),),"ACT/365")-$I74)/$I74</f>
        <v>#NAME?</v>
      </c>
      <c r="P74" s="124" t="e">
        <f ca="1">1/_xll.CALENDRIER.FRAC.ANNEE(_xll.INSTRUMENT.DATE.REGLEMENT($AC74,,),_xll.INSTRUMENT.DATE.REGLEMENT($AC74,_xll.CALENDRIER.GAP.FINANCE(TODAY(),"3M","AUD","Unadjusted"),),"ACT/365")*(_xll.INSTRUMENT.ROLL.DOWN($A74,oisCurve,_xll.CALENDRIER.GAP.FINANCE(TODAY(),"3M","AUD","Unadjusted",TRUE),$N74)+100*$AA74*_xll.CALENDRIER.FRAC.ANNEE(_xll.INSTRUMENT.DATE.REGLEMENT($AC74,,),_xll.INSTRUMENT.DATE.REGLEMENT($AC74,_xll.CALENDRIER.GAP.FINANCE(TODAY(),"3M","AUD","Unadjusted"),),"ACT/365")-$I74)/$I74</f>
        <v>#NAME?</v>
      </c>
      <c r="Q74" s="371" t="e">
        <f ca="1">-(O74-curve!$T$3)/J74</f>
        <v>#NAME?</v>
      </c>
      <c r="R74" s="373">
        <f t="shared" ca="1" si="1"/>
        <v>-111.66513750748209</v>
      </c>
      <c r="S74" s="191" t="str">
        <f>IF(F74&lt;&gt;"","",IF(G74="","",-G74*(SUMIF('raw Data'!$A:$A,"RESINV1USD",'raw Data'!$G:$G)+SUMIF('raw Data'!$A:$A,"RESSWAPORUSD",'raw Data'!$G:$G))/(36500*J74)))</f>
        <v/>
      </c>
      <c r="T74" s="202" t="str">
        <f>IF(G74&lt;&gt;"","",IF(F74="","",-36500*J74*F74/(SUMIF('raw Data'!$A:$A,"RESINV1USD",'raw Data'!$G:$G)+SUMIF('raw Data'!$A:$A,"RESSWAPORUSD",'raw Data'!$G:$G))))</f>
        <v/>
      </c>
      <c r="U74" s="125">
        <f>SUMIF('raw Data'!$E:$E,A74,'raw Data'!$N:$N)</f>
        <v>0</v>
      </c>
      <c r="V74" s="126">
        <v>40406</v>
      </c>
      <c r="W74" s="127">
        <v>40405</v>
      </c>
      <c r="X74" s="127">
        <v>40589</v>
      </c>
      <c r="Y74" s="127">
        <v>41320</v>
      </c>
      <c r="Z74" s="127">
        <v>41501</v>
      </c>
      <c r="AA74" s="128">
        <v>7.4999999999999997E-3</v>
      </c>
      <c r="AB74" s="129">
        <v>36036000000</v>
      </c>
      <c r="AC74" s="130" t="str">
        <f ca="1">IF(LEFT(B74,1)="B",_xll.INSTANCE.TBILL(A74,V74,Z74,TODAY()),_xll.INSTANCE.TNOTE(A74,V74,W74,X74,Y74,Z74,AA74,TODAY()))</f>
        <v>US912828NU05#0003</v>
      </c>
    </row>
    <row r="75" spans="1:29" x14ac:dyDescent="0.35">
      <c r="A75" s="131" t="s">
        <v>437</v>
      </c>
      <c r="B75" s="115" t="s">
        <v>1051</v>
      </c>
      <c r="C75" s="364"/>
      <c r="D75" s="116"/>
      <c r="E75" s="117"/>
      <c r="F75" s="118"/>
      <c r="G75" s="369"/>
      <c r="H75" s="120">
        <v>2.5810009999999999E-3</v>
      </c>
      <c r="I75" s="121">
        <f ca="1">_xll.INSTRUMENT.PRIX(AC75,D75,H75,cTreasuries)</f>
        <v>104.49804821107817</v>
      </c>
      <c r="J75" s="122">
        <f ca="1">_xll.INSTRUMENT.DV01(A75,,,I75,cContinuous,I75)</f>
        <v>-1.1641127294240886E-2</v>
      </c>
      <c r="K75" s="123">
        <f ca="1">_xll.INSTRUMENT.CONVEXITE(A75,,,I75,cContinuous,I75)</f>
        <v>1.2284065536787676</v>
      </c>
      <c r="L75" s="123">
        <f ca="1">_xll.INSTRUMENT.Z.SPREAD(A75,swapCurve,I75,cContinuous,D75)</f>
        <v>-23.155453685054901</v>
      </c>
      <c r="M75" s="123" t="e">
        <f ca="1">_xll.INSTRUMENT.Z.SPREAD(A75,ustCurve,I75,cContinuous,D75)</f>
        <v>#VALUE!</v>
      </c>
      <c r="N75" s="123">
        <f ca="1">_xll.INSTRUMENT.Z.SPREAD(A75,oisCurve,I75,cContinuous,D75)</f>
        <v>7.2123668132683116</v>
      </c>
      <c r="O75" s="124" t="e">
        <f ca="1">1/_xll.CALENDRIER.FRAC.ANNEE(_xll.INSTRUMENT.DATE.REGLEMENT($AC75,,),_xll.INSTRUMENT.DATE.REGLEMENT($AC75,_xll.CALENDRIER.GAP.FINANCE(TODAY(),"1M","AUD","Unadjusted"),),"ACT/365")*(_xll.INSTRUMENT.ROLL.DOWN($A75,oisCurve,_xll.CALENDRIER.GAP.FINANCE(TODAY(),"1M","AUD","Unadjusted",TRUE),$N75)+100*$AA75*_xll.CALENDRIER.FRAC.ANNEE(_xll.INSTRUMENT.DATE.REGLEMENT($AC75,,),_xll.INSTRUMENT.DATE.REGLEMENT($AC75,_xll.CALENDRIER.GAP.FINANCE(TODAY(),"1M","AUD","Unadjusted"),),"ACT/365")-$I75)/$I75</f>
        <v>#NAME?</v>
      </c>
      <c r="P75" s="124" t="e">
        <f ca="1">1/_xll.CALENDRIER.FRAC.ANNEE(_xll.INSTRUMENT.DATE.REGLEMENT($AC75,,),_xll.INSTRUMENT.DATE.REGLEMENT($AC75,_xll.CALENDRIER.GAP.FINANCE(TODAY(),"3M","AUD","Unadjusted"),),"ACT/365")*(_xll.INSTRUMENT.ROLL.DOWN($A75,oisCurve,_xll.CALENDRIER.GAP.FINANCE(TODAY(),"3M","AUD","Unadjusted",TRUE),$N75)+100*$AA75*_xll.CALENDRIER.FRAC.ANNEE(_xll.INSTRUMENT.DATE.REGLEMENT($AC75,,),_xll.INSTRUMENT.DATE.REGLEMENT($AC75,_xll.CALENDRIER.GAP.FINANCE(TODAY(),"3M","AUD","Unadjusted"),),"ACT/365")-$I75)/$I75</f>
        <v>#NAME?</v>
      </c>
      <c r="Q75" s="371" t="e">
        <f ca="1">-(O75-curve!$T$3)/J75</f>
        <v>#NAME?</v>
      </c>
      <c r="R75" s="373">
        <f t="shared" ca="1" si="1"/>
        <v>-105.52298953783338</v>
      </c>
      <c r="S75" s="191" t="str">
        <f>IF(F75&lt;&gt;"","",IF(G75="","",-G75*(SUMIF('raw Data'!$A:$A,"RESINV1USD",'raw Data'!$G:$G)+SUMIF('raw Data'!$A:$A,"RESSWAPORUSD",'raw Data'!$G:$G))/(36500*J75)))</f>
        <v/>
      </c>
      <c r="T75" s="202" t="str">
        <f>IF(G75&lt;&gt;"","",IF(F75="","",-36500*J75*F75/(SUMIF('raw Data'!$A:$A,"RESINV1USD",'raw Data'!$G:$G)+SUMIF('raw Data'!$A:$A,"RESSWAPORUSD",'raw Data'!$G:$G))))</f>
        <v/>
      </c>
      <c r="U75" s="125">
        <f>SUMIF('raw Data'!$E:$E,A75,'raw Data'!$N:$N)</f>
        <v>0</v>
      </c>
      <c r="V75" s="126">
        <v>37848</v>
      </c>
      <c r="W75" s="127">
        <v>37848</v>
      </c>
      <c r="X75" s="127">
        <v>38032</v>
      </c>
      <c r="Y75" s="127">
        <v>41320</v>
      </c>
      <c r="Z75" s="127">
        <v>41501</v>
      </c>
      <c r="AA75" s="128">
        <v>4.2500000000000003E-2</v>
      </c>
      <c r="AB75" s="129">
        <v>33521000000</v>
      </c>
      <c r="AC75" s="130" t="str">
        <f ca="1">IF(LEFT(B75,1)="B",_xll.INSTANCE.TBILL(A75,V75,Z75,TODAY()),_xll.INSTANCE.TNOTE(A75,V75,W75,X75,Y75,Z75,AA75,TODAY()))</f>
        <v>US912828BH22#0003</v>
      </c>
    </row>
    <row r="76" spans="1:29" x14ac:dyDescent="0.35">
      <c r="A76" s="131" t="s">
        <v>438</v>
      </c>
      <c r="B76" s="115" t="s">
        <v>1052</v>
      </c>
      <c r="C76" s="364"/>
      <c r="D76" s="116"/>
      <c r="E76" s="117"/>
      <c r="F76" s="118"/>
      <c r="G76" s="369"/>
      <c r="H76" s="120">
        <v>2.6040990000000003E-3</v>
      </c>
      <c r="I76" s="121">
        <f ca="1">_xll.INSTRUMENT.PRIX(AC76,D76,H76,cTreasuries)</f>
        <v>103.34746801122439</v>
      </c>
      <c r="J76" s="122">
        <f ca="1">_xll.INSTRUMENT.DV01(A76,,,I76,cContinuous,I76)</f>
        <v>-1.1989832982728014E-2</v>
      </c>
      <c r="K76" s="123">
        <f ca="1">_xll.INSTRUMENT.CONVEXITE(A76,,,I76,cContinuous,I76)</f>
        <v>1.3565443994651425</v>
      </c>
      <c r="L76" s="123">
        <f ca="1">_xll.INSTRUMENT.Z.SPREAD(A76,swapCurve,I76,cContinuous,D76)</f>
        <v>-23.406968265893472</v>
      </c>
      <c r="M76" s="123" t="e">
        <f ca="1">_xll.INSTRUMENT.Z.SPREAD(A76,ustCurve,I76,cContinuous,D76)</f>
        <v>#VALUE!</v>
      </c>
      <c r="N76" s="123">
        <f ca="1">_xll.INSTRUMENT.Z.SPREAD(A76,oisCurve,I76,cContinuous,D76)</f>
        <v>7.2184848914326354</v>
      </c>
      <c r="O76" s="124" t="e">
        <f ca="1">1/_xll.CALENDRIER.FRAC.ANNEE(_xll.INSTRUMENT.DATE.REGLEMENT($AC76,,),_xll.INSTRUMENT.DATE.REGLEMENT($AC76,_xll.CALENDRIER.GAP.FINANCE(TODAY(),"1M","AUD","Unadjusted"),),"ACT/365")*(_xll.INSTRUMENT.ROLL.DOWN($A76,oisCurve,_xll.CALENDRIER.GAP.FINANCE(TODAY(),"1M","AUD","Unadjusted",TRUE),$N76)+100*$AA76*_xll.CALENDRIER.FRAC.ANNEE(_xll.INSTRUMENT.DATE.REGLEMENT($AC76,,),_xll.INSTRUMENT.DATE.REGLEMENT($AC76,_xll.CALENDRIER.GAP.FINANCE(TODAY(),"1M","AUD","Unadjusted"),),"ACT/365")-$I76)/$I76</f>
        <v>#NAME?</v>
      </c>
      <c r="P76" s="124" t="e">
        <f ca="1">1/_xll.CALENDRIER.FRAC.ANNEE(_xll.INSTRUMENT.DATE.REGLEMENT($AC76,,),_xll.INSTRUMENT.DATE.REGLEMENT($AC76,_xll.CALENDRIER.GAP.FINANCE(TODAY(),"3M","AUD","Unadjusted"),),"ACT/365")*(_xll.INSTRUMENT.ROLL.DOWN($A76,oisCurve,_xll.CALENDRIER.GAP.FINANCE(TODAY(),"3M","AUD","Unadjusted",TRUE),$N76)+100*$AA76*_xll.CALENDRIER.FRAC.ANNEE(_xll.INSTRUMENT.DATE.REGLEMENT($AC76,,),_xll.INSTRUMENT.DATE.REGLEMENT($AC76,_xll.CALENDRIER.GAP.FINANCE(TODAY(),"3M","AUD","Unadjusted"),),"ACT/365")-$I76)/$I76</f>
        <v>#NAME?</v>
      </c>
      <c r="Q76" s="371" t="e">
        <f ca="1">-(O76-curve!$T$3)/J76</f>
        <v>#NAME?</v>
      </c>
      <c r="R76" s="373">
        <f t="shared" ca="1" si="1"/>
        <v>-113.14122568840752</v>
      </c>
      <c r="S76" s="191" t="str">
        <f>IF(F76&lt;&gt;"","",IF(G76="","",-G76*(SUMIF('raw Data'!$A:$A,"RESINV1USD",'raw Data'!$G:$G)+SUMIF('raw Data'!$A:$A,"RESSWAPORUSD",'raw Data'!$G:$G))/(36500*J76)))</f>
        <v/>
      </c>
      <c r="T76" s="202" t="str">
        <f>IF(G76&lt;&gt;"","",IF(F76="","",-36500*J76*F76/(SUMIF('raw Data'!$A:$A,"RESINV1USD",'raw Data'!$G:$G)+SUMIF('raw Data'!$A:$A,"RESSWAPORUSD",'raw Data'!$G:$G))))</f>
        <v/>
      </c>
      <c r="U76" s="125">
        <f>SUMIF('raw Data'!$E:$E,A76,'raw Data'!$N:$N)</f>
        <v>0</v>
      </c>
      <c r="V76" s="126">
        <v>39693</v>
      </c>
      <c r="W76" s="127">
        <v>39691</v>
      </c>
      <c r="X76" s="127">
        <v>39872</v>
      </c>
      <c r="Y76" s="127">
        <v>41333</v>
      </c>
      <c r="Z76" s="127">
        <v>41517</v>
      </c>
      <c r="AA76" s="128">
        <v>3.125E-2</v>
      </c>
      <c r="AB76" s="129">
        <v>23837000000</v>
      </c>
      <c r="AC76" s="130" t="str">
        <f ca="1">IF(LEFT(B76,1)="B",_xll.INSTANCE.TBILL(A76,V76,Z76,TODAY()),_xll.INSTANCE.TNOTE(A76,V76,W76,X76,Y76,Z76,AA76,TODAY()))</f>
        <v>US912828JK78#0003</v>
      </c>
    </row>
    <row r="77" spans="1:29" x14ac:dyDescent="0.35">
      <c r="A77" s="131" t="s">
        <v>192</v>
      </c>
      <c r="B77" s="115" t="s">
        <v>1053</v>
      </c>
      <c r="C77" s="364"/>
      <c r="D77" s="116"/>
      <c r="E77" s="117"/>
      <c r="F77" s="118"/>
      <c r="G77" s="369"/>
      <c r="H77" s="120">
        <v>2.6299790000000002E-3</v>
      </c>
      <c r="I77" s="121">
        <f ca="1">_xll.INSTRUMENT.PRIX(AC77,D77,H77,cTreasuries)</f>
        <v>99.838699036433113</v>
      </c>
      <c r="J77" s="122">
        <f ca="1">_xll.INSTRUMENT.DV01(A77,,,I77,cContinuous,I77)</f>
        <v>-1.1688632679631557E-2</v>
      </c>
      <c r="K77" s="123">
        <f ca="1">_xll.INSTRUMENT.CONVEXITE(A77,,,I77,cContinuous,I77)</f>
        <v>1.3896116726123577</v>
      </c>
      <c r="L77" s="123">
        <f ca="1">_xll.INSTRUMENT.Z.SPREAD(A77,swapCurve,I77,cContinuous,D77)</f>
        <v>-23.215081584324352</v>
      </c>
      <c r="M77" s="123" t="e">
        <f ca="1">_xll.INSTRUMENT.Z.SPREAD(A77,ustCurve,I77,cContinuous,D77)</f>
        <v>#VALUE!</v>
      </c>
      <c r="N77" s="123">
        <f ca="1">_xll.INSTRUMENT.Z.SPREAD(A77,oisCurve,I77,cContinuous,D77)</f>
        <v>7.4675086967001931</v>
      </c>
      <c r="O77" s="124" t="e">
        <f ca="1">1/_xll.CALENDRIER.FRAC.ANNEE(_xll.INSTRUMENT.DATE.REGLEMENT($AC77,,),_xll.INSTRUMENT.DATE.REGLEMENT($AC77,_xll.CALENDRIER.GAP.FINANCE(TODAY(),"1M","AUD","Unadjusted"),),"ACT/365")*(_xll.INSTRUMENT.ROLL.DOWN($A77,oisCurve,_xll.CALENDRIER.GAP.FINANCE(TODAY(),"1M","AUD","Unadjusted",TRUE),$N77)+100*$AA77*_xll.CALENDRIER.FRAC.ANNEE(_xll.INSTRUMENT.DATE.REGLEMENT($AC77,,),_xll.INSTRUMENT.DATE.REGLEMENT($AC77,_xll.CALENDRIER.GAP.FINANCE(TODAY(),"1M","AUD","Unadjusted"),),"ACT/365")-$I77)/$I77</f>
        <v>#NAME?</v>
      </c>
      <c r="P77" s="124" t="e">
        <f ca="1">1/_xll.CALENDRIER.FRAC.ANNEE(_xll.INSTRUMENT.DATE.REGLEMENT($AC77,,),_xll.INSTRUMENT.DATE.REGLEMENT($AC77,_xll.CALENDRIER.GAP.FINANCE(TODAY(),"3M","AUD","Unadjusted"),),"ACT/365")*(_xll.INSTRUMENT.ROLL.DOWN($A77,oisCurve,_xll.CALENDRIER.GAP.FINANCE(TODAY(),"3M","AUD","Unadjusted",TRUE),$N77)+100*$AA77*_xll.CALENDRIER.FRAC.ANNEE(_xll.INSTRUMENT.DATE.REGLEMENT($AC77,,),_xll.INSTRUMENT.DATE.REGLEMENT($AC77,_xll.CALENDRIER.GAP.FINANCE(TODAY(),"3M","AUD","Unadjusted"),),"ACT/365")-$I77)/$I77</f>
        <v>#NAME?</v>
      </c>
      <c r="Q77" s="371" t="e">
        <f ca="1">-(O77-curve!$T$3)/J77</f>
        <v>#NAME?</v>
      </c>
      <c r="R77" s="373">
        <f t="shared" ca="1" si="1"/>
        <v>-118.88573374658911</v>
      </c>
      <c r="S77" s="191" t="str">
        <f>IF(F77&lt;&gt;"","",IF(G77="","",-G77*(SUMIF('raw Data'!$A:$A,"RESINV1USD",'raw Data'!$G:$G)+SUMIF('raw Data'!$A:$A,"RESSWAPORUSD",'raw Data'!$G:$G))/(36500*J77)))</f>
        <v/>
      </c>
      <c r="T77" s="202" t="str">
        <f>IF(G77&lt;&gt;"","",IF(F77="","",-36500*J77*F77/(SUMIF('raw Data'!$A:$A,"RESINV1USD",'raw Data'!$G:$G)+SUMIF('raw Data'!$A:$A,"RESSWAPORUSD",'raw Data'!$G:$G))))</f>
        <v/>
      </c>
      <c r="U77" s="125">
        <f>SUMIF('raw Data'!$E:$E,A77,'raw Data'!$N:$N)</f>
        <v>-431048.80833691946</v>
      </c>
      <c r="V77" s="126">
        <v>40786</v>
      </c>
      <c r="W77" s="127">
        <v>40786</v>
      </c>
      <c r="X77" s="127">
        <v>40968</v>
      </c>
      <c r="Y77" s="127">
        <v>41333</v>
      </c>
      <c r="Z77" s="127">
        <v>41517</v>
      </c>
      <c r="AA77" s="128">
        <v>1.25E-3</v>
      </c>
      <c r="AB77" s="129">
        <v>36071000000</v>
      </c>
      <c r="AC77" s="130" t="str">
        <f ca="1">IF(LEFT(B77,1)="B",_xll.INSTANCE.TBILL(A77,V77,Z77,TODAY()),_xll.INSTANCE.TNOTE(A77,V77,W77,X77,Y77,Z77,AA77,TODAY()))</f>
        <v>US912828RD44#0003</v>
      </c>
    </row>
    <row r="78" spans="1:29" x14ac:dyDescent="0.35">
      <c r="A78" s="131" t="s">
        <v>439</v>
      </c>
      <c r="B78" s="115" t="s">
        <v>1054</v>
      </c>
      <c r="C78" s="364"/>
      <c r="D78" s="116"/>
      <c r="E78" s="117"/>
      <c r="F78" s="118"/>
      <c r="G78" s="369"/>
      <c r="H78" s="120">
        <v>2.783181E-3</v>
      </c>
      <c r="I78" s="121">
        <f ca="1">_xll.INSTRUMENT.PRIX(AC78,D78,H78,cTreasuries)</f>
        <v>100.57011578706681</v>
      </c>
      <c r="J78" s="122">
        <f ca="1">_xll.INSTRUMENT.DV01(A78,,,I78,cContinuous,I78)</f>
        <v>-1.2162046569244259E-2</v>
      </c>
      <c r="K78" s="123">
        <f ca="1">_xll.INSTRUMENT.CONVEXITE(A78,,,I78,cContinuous,I78)</f>
        <v>1.4674048914982425</v>
      </c>
      <c r="L78" s="123">
        <f ca="1">_xll.INSTRUMENT.Z.SPREAD(A78,swapCurve,I78,cContinuous,D78)</f>
        <v>-21.739411197461152</v>
      </c>
      <c r="M78" s="123" t="e">
        <f ca="1">_xll.INSTRUMENT.Z.SPREAD(A78,ustCurve,I78,cContinuous,D78)</f>
        <v>#VALUE!</v>
      </c>
      <c r="N78" s="123">
        <f ca="1">_xll.INSTRUMENT.Z.SPREAD(A78,oisCurve,I78,cContinuous,D78)</f>
        <v>9.0825227312387646</v>
      </c>
      <c r="O78" s="124" t="e">
        <f ca="1">1/_xll.CALENDRIER.FRAC.ANNEE(_xll.INSTRUMENT.DATE.REGLEMENT($AC78,,),_xll.INSTRUMENT.DATE.REGLEMENT($AC78,_xll.CALENDRIER.GAP.FINANCE(TODAY(),"1M","AUD","Unadjusted"),),"ACT/365")*(_xll.INSTRUMENT.ROLL.DOWN($A78,oisCurve,_xll.CALENDRIER.GAP.FINANCE(TODAY(),"1M","AUD","Unadjusted",TRUE),$N78)+100*$AA78*_xll.CALENDRIER.FRAC.ANNEE(_xll.INSTRUMENT.DATE.REGLEMENT($AC78,,),_xll.INSTRUMENT.DATE.REGLEMENT($AC78,_xll.CALENDRIER.GAP.FINANCE(TODAY(),"1M","AUD","Unadjusted"),),"ACT/365")-$I78)/$I78</f>
        <v>#NAME?</v>
      </c>
      <c r="P78" s="124" t="e">
        <f ca="1">1/_xll.CALENDRIER.FRAC.ANNEE(_xll.INSTRUMENT.DATE.REGLEMENT($AC78,,),_xll.INSTRUMENT.DATE.REGLEMENT($AC78,_xll.CALENDRIER.GAP.FINANCE(TODAY(),"3M","AUD","Unadjusted"),),"ACT/365")*(_xll.INSTRUMENT.ROLL.DOWN($A78,oisCurve,_xll.CALENDRIER.GAP.FINANCE(TODAY(),"3M","AUD","Unadjusted",TRUE),$N78)+100*$AA78*_xll.CALENDRIER.FRAC.ANNEE(_xll.INSTRUMENT.DATE.REGLEMENT($AC78,,),_xll.INSTRUMENT.DATE.REGLEMENT($AC78,_xll.CALENDRIER.GAP.FINANCE(TODAY(),"3M","AUD","Unadjusted"),),"ACT/365")-$I78)/$I78</f>
        <v>#NAME?</v>
      </c>
      <c r="Q78" s="371" t="e">
        <f ca="1">-(O78-curve!$T$3)/J78</f>
        <v>#NAME?</v>
      </c>
      <c r="R78" s="373">
        <f t="shared" ca="1" si="1"/>
        <v>-120.654437815512</v>
      </c>
      <c r="S78" s="191" t="str">
        <f>IF(F78&lt;&gt;"","",IF(G78="","",-G78*(SUMIF('raw Data'!$A:$A,"RESINV1USD",'raw Data'!$G:$G)+SUMIF('raw Data'!$A:$A,"RESSWAPORUSD",'raw Data'!$G:$G))/(36500*J78)))</f>
        <v/>
      </c>
      <c r="T78" s="202" t="str">
        <f>IF(G78&lt;&gt;"","",IF(F78="","",-36500*J78*F78/(SUMIF('raw Data'!$A:$A,"RESINV1USD",'raw Data'!$G:$G)+SUMIF('raw Data'!$A:$A,"RESSWAPORUSD",'raw Data'!$G:$G))))</f>
        <v/>
      </c>
      <c r="U78" s="125">
        <f>SUMIF('raw Data'!$E:$E,A78,'raw Data'!$N:$N)</f>
        <v>0</v>
      </c>
      <c r="V78" s="126">
        <v>40436</v>
      </c>
      <c r="W78" s="127">
        <v>40436</v>
      </c>
      <c r="X78" s="127">
        <v>40617</v>
      </c>
      <c r="Y78" s="127">
        <v>41348</v>
      </c>
      <c r="Z78" s="127">
        <v>41532</v>
      </c>
      <c r="AA78" s="128">
        <v>7.4999999999999997E-3</v>
      </c>
      <c r="AB78" s="129">
        <v>33357000000</v>
      </c>
      <c r="AC78" s="130" t="str">
        <f ca="1">IF(LEFT(B78,1)="B",_xll.INSTANCE.TBILL(A78,V78,Z78,TODAY()),_xll.INSTANCE.TNOTE(A78,V78,W78,X78,Y78,Z78,AA78,TODAY()))</f>
        <v>US912828NY27#0003</v>
      </c>
    </row>
    <row r="79" spans="1:29" x14ac:dyDescent="0.35">
      <c r="A79" s="131" t="s">
        <v>50</v>
      </c>
      <c r="B79" s="115" t="s">
        <v>1055</v>
      </c>
      <c r="C79" s="364"/>
      <c r="D79" s="116"/>
      <c r="E79" s="117"/>
      <c r="F79" s="118"/>
      <c r="G79" s="369"/>
      <c r="H79" s="120">
        <v>2.758473E-3</v>
      </c>
      <c r="I79" s="121">
        <f ca="1">_xll.INSTRUMENT.PRIX(AC79,D79,H79,cTreasuries)</f>
        <v>99.811436238992158</v>
      </c>
      <c r="J79" s="122">
        <f ca="1">_xll.INSTRUMENT.DV01(A79,,,I79,cContinuous,I79)</f>
        <v>-1.2504863932521929E-2</v>
      </c>
      <c r="K79" s="123">
        <f ca="1">_xll.INSTRUMENT.CONVEXITE(A79,,,I79,cContinuous,I79)</f>
        <v>1.569450075764107</v>
      </c>
      <c r="L79" s="123">
        <f ca="1">_xll.INSTRUMENT.Z.SPREAD(A79,swapCurve,I79,cContinuous,D79)</f>
        <v>-22.120950988708305</v>
      </c>
      <c r="M79" s="123" t="e">
        <f ca="1">_xll.INSTRUMENT.Z.SPREAD(A79,ustCurve,I79,cContinuous,D79)</f>
        <v>#VALUE!</v>
      </c>
      <c r="N79" s="123">
        <f ca="1">_xll.INSTRUMENT.Z.SPREAD(A79,oisCurve,I79,cContinuous,D79)</f>
        <v>8.8550090277055897</v>
      </c>
      <c r="O79" s="124" t="e">
        <f ca="1">1/_xll.CALENDRIER.FRAC.ANNEE(_xll.INSTRUMENT.DATE.REGLEMENT($AC79,,),_xll.INSTRUMENT.DATE.REGLEMENT($AC79,_xll.CALENDRIER.GAP.FINANCE(TODAY(),"1M","AUD","Unadjusted"),),"ACT/365")*(_xll.INSTRUMENT.ROLL.DOWN($A79,oisCurve,_xll.CALENDRIER.GAP.FINANCE(TODAY(),"1M","AUD","Unadjusted",TRUE),$N79)+100*$AA79*_xll.CALENDRIER.FRAC.ANNEE(_xll.INSTRUMENT.DATE.REGLEMENT($AC79,,),_xll.INSTRUMENT.DATE.REGLEMENT($AC79,_xll.CALENDRIER.GAP.FINANCE(TODAY(),"1M","AUD","Unadjusted"),),"ACT/365")-$I79)/$I79</f>
        <v>#NAME?</v>
      </c>
      <c r="P79" s="124" t="e">
        <f ca="1">1/_xll.CALENDRIER.FRAC.ANNEE(_xll.INSTRUMENT.DATE.REGLEMENT($AC79,,),_xll.INSTRUMENT.DATE.REGLEMENT($AC79,_xll.CALENDRIER.GAP.FINANCE(TODAY(),"3M","AUD","Unadjusted"),),"ACT/365")*(_xll.INSTRUMENT.ROLL.DOWN($A79,oisCurve,_xll.CALENDRIER.GAP.FINANCE(TODAY(),"3M","AUD","Unadjusted",TRUE),$N79)+100*$AA79*_xll.CALENDRIER.FRAC.ANNEE(_xll.INSTRUMENT.DATE.REGLEMENT($AC79,,),_xll.INSTRUMENT.DATE.REGLEMENT($AC79,_xll.CALENDRIER.GAP.FINANCE(TODAY(),"3M","AUD","Unadjusted"),),"ACT/365")-$I79)/$I79</f>
        <v>#NAME?</v>
      </c>
      <c r="Q79" s="371" t="e">
        <f ca="1">-(O79-curve!$T$3)/J79</f>
        <v>#NAME?</v>
      </c>
      <c r="R79" s="373">
        <f t="shared" ca="1" si="1"/>
        <v>-125.50716938889448</v>
      </c>
      <c r="S79" s="191" t="str">
        <f>IF(F79&lt;&gt;"","",IF(G79="","",-G79*(SUMIF('raw Data'!$A:$A,"RESINV1USD",'raw Data'!$G:$G)+SUMIF('raw Data'!$A:$A,"RESSWAPORUSD",'raw Data'!$G:$G))/(36500*J79)))</f>
        <v/>
      </c>
      <c r="T79" s="202" t="str">
        <f>IF(G79&lt;&gt;"","",IF(F79="","",-36500*J79*F79/(SUMIF('raw Data'!$A:$A,"RESINV1USD",'raw Data'!$G:$G)+SUMIF('raw Data'!$A:$A,"RESSWAPORUSD",'raw Data'!$G:$G))))</f>
        <v/>
      </c>
      <c r="U79" s="125">
        <f>SUMIF('raw Data'!$E:$E,A79,'raw Data'!$N:$N)</f>
        <v>1073371.0452184817</v>
      </c>
      <c r="V79" s="126">
        <v>40816</v>
      </c>
      <c r="W79" s="127">
        <v>40816</v>
      </c>
      <c r="X79" s="127">
        <v>40999</v>
      </c>
      <c r="Y79" s="127">
        <v>41364</v>
      </c>
      <c r="Z79" s="127">
        <v>41547</v>
      </c>
      <c r="AA79" s="128">
        <v>1.25E-3</v>
      </c>
      <c r="AB79" s="129">
        <v>36090000000</v>
      </c>
      <c r="AC79" s="130" t="str">
        <f ca="1">IF(LEFT(B79,1)="B",_xll.INSTANCE.TBILL(A79,V79,Z79,TODAY()),_xll.INSTANCE.TNOTE(A79,V79,W79,X79,Y79,Z79,AA79,TODAY()))</f>
        <v>US912828RK86#0003</v>
      </c>
    </row>
    <row r="80" spans="1:29" x14ac:dyDescent="0.35">
      <c r="A80" s="131" t="s">
        <v>440</v>
      </c>
      <c r="B80" s="115" t="s">
        <v>1056</v>
      </c>
      <c r="C80" s="364"/>
      <c r="D80" s="116"/>
      <c r="E80" s="117"/>
      <c r="F80" s="118"/>
      <c r="G80" s="369"/>
      <c r="H80" s="120">
        <v>2.7733950000000001E-3</v>
      </c>
      <c r="I80" s="121">
        <f ca="1">_xll.INSTRUMENT.PRIX(AC80,D80,H80,cTreasuries)</f>
        <v>103.56248590082302</v>
      </c>
      <c r="J80" s="122">
        <f ca="1">_xll.INSTRUMENT.DV01(A80,,,I80,cContinuous,I80)</f>
        <v>-1.2842646399001732E-2</v>
      </c>
      <c r="K80" s="123">
        <f ca="1">_xll.INSTRUMENT.CONVEXITE(A80,,,I80,cContinuous,I80)</f>
        <v>1.5335277696710614</v>
      </c>
      <c r="L80" s="123">
        <f ca="1">_xll.INSTRUMENT.Z.SPREAD(A80,swapCurve,I80,cContinuous,D80)</f>
        <v>-21.938724871815772</v>
      </c>
      <c r="M80" s="123" t="e">
        <f ca="1">_xll.INSTRUMENT.Z.SPREAD(A80,ustCurve,I80,cContinuous,D80)</f>
        <v>#VALUE!</v>
      </c>
      <c r="N80" s="123">
        <f ca="1">_xll.INSTRUMENT.Z.SPREAD(A80,oisCurve,I80,cContinuous,D80)</f>
        <v>9.0091983513523015</v>
      </c>
      <c r="O80" s="124" t="e">
        <f ca="1">1/_xll.CALENDRIER.FRAC.ANNEE(_xll.INSTRUMENT.DATE.REGLEMENT($AC80,,),_xll.INSTRUMENT.DATE.REGLEMENT($AC80,_xll.CALENDRIER.GAP.FINANCE(TODAY(),"1M","AUD","Unadjusted"),),"ACT/365")*(_xll.INSTRUMENT.ROLL.DOWN($A80,oisCurve,_xll.CALENDRIER.GAP.FINANCE(TODAY(),"1M","AUD","Unadjusted",TRUE),$N80)+100*$AA80*_xll.CALENDRIER.FRAC.ANNEE(_xll.INSTRUMENT.DATE.REGLEMENT($AC80,,),_xll.INSTRUMENT.DATE.REGLEMENT($AC80,_xll.CALENDRIER.GAP.FINANCE(TODAY(),"1M","AUD","Unadjusted"),),"ACT/365")-$I80)/$I80</f>
        <v>#NAME?</v>
      </c>
      <c r="P80" s="124" t="e">
        <f ca="1">1/_xll.CALENDRIER.FRAC.ANNEE(_xll.INSTRUMENT.DATE.REGLEMENT($AC80,,),_xll.INSTRUMENT.DATE.REGLEMENT($AC80,_xll.CALENDRIER.GAP.FINANCE(TODAY(),"3M","AUD","Unadjusted"),),"ACT/365")*(_xll.INSTRUMENT.ROLL.DOWN($A80,oisCurve,_xll.CALENDRIER.GAP.FINANCE(TODAY(),"3M","AUD","Unadjusted",TRUE),$N80)+100*$AA80*_xll.CALENDRIER.FRAC.ANNEE(_xll.INSTRUMENT.DATE.REGLEMENT($AC80,,),_xll.INSTRUMENT.DATE.REGLEMENT($AC80,_xll.CALENDRIER.GAP.FINANCE(TODAY(),"3M","AUD","Unadjusted"),),"ACT/365")-$I80)/$I80</f>
        <v>#NAME?</v>
      </c>
      <c r="Q80" s="371" t="e">
        <f ca="1">-(O80-curve!$T$3)/J80</f>
        <v>#NAME?</v>
      </c>
      <c r="R80" s="373">
        <f t="shared" ca="1" si="1"/>
        <v>-119.40901602572065</v>
      </c>
      <c r="S80" s="191" t="str">
        <f>IF(F80&lt;&gt;"","",IF(G80="","",-G80*(SUMIF('raw Data'!$A:$A,"RESINV1USD",'raw Data'!$G:$G)+SUMIF('raw Data'!$A:$A,"RESSWAPORUSD",'raw Data'!$G:$G))/(36500*J80)))</f>
        <v/>
      </c>
      <c r="T80" s="202" t="str">
        <f>IF(G80&lt;&gt;"","",IF(F80="","",-36500*J80*F80/(SUMIF('raw Data'!$A:$A,"RESINV1USD",'raw Data'!$G:$G)+SUMIF('raw Data'!$A:$A,"RESSWAPORUSD",'raw Data'!$G:$G))))</f>
        <v/>
      </c>
      <c r="U80" s="125">
        <f>SUMIF('raw Data'!$E:$E,A80,'raw Data'!$N:$N)</f>
        <v>0</v>
      </c>
      <c r="V80" s="126">
        <v>39721</v>
      </c>
      <c r="W80" s="127">
        <v>39721</v>
      </c>
      <c r="X80" s="127">
        <v>39903</v>
      </c>
      <c r="Y80" s="127">
        <v>41364</v>
      </c>
      <c r="Z80" s="127">
        <v>41547</v>
      </c>
      <c r="AA80" s="128">
        <v>3.125E-2</v>
      </c>
      <c r="AB80" s="129">
        <v>26220000000</v>
      </c>
      <c r="AC80" s="130" t="str">
        <f ca="1">IF(LEFT(B80,1)="B",_xll.INSTANCE.TBILL(A80,V80,Z80,TODAY()),_xll.INSTANCE.TNOTE(A80,V80,W80,X80,Y80,Z80,AA80,TODAY()))</f>
        <v>US912828JM35#0003</v>
      </c>
    </row>
    <row r="81" spans="1:29" x14ac:dyDescent="0.35">
      <c r="A81" s="131" t="s">
        <v>441</v>
      </c>
      <c r="B81" s="115" t="s">
        <v>1057</v>
      </c>
      <c r="C81" s="364"/>
      <c r="D81" s="116"/>
      <c r="E81" s="117"/>
      <c r="F81" s="118"/>
      <c r="G81" s="369"/>
      <c r="H81" s="120">
        <v>2.8390379999999999E-3</v>
      </c>
      <c r="I81" s="121">
        <f ca="1">_xll.INSTRUMENT.PRIX(AC81,D81,H81,cTreasuries)</f>
        <v>100.27924983834676</v>
      </c>
      <c r="J81" s="122">
        <f ca="1">_xll.INSTRUMENT.DV01(A81,,,I81,cContinuous,I81)</f>
        <v>-1.2956914081848942E-2</v>
      </c>
      <c r="K81" s="123">
        <f ca="1">_xll.INSTRUMENT.CONVEXITE(A81,,,I81,cContinuous,I81)</f>
        <v>1.6691712187705625</v>
      </c>
      <c r="L81" s="123">
        <f ca="1">_xll.INSTRUMENT.Z.SPREAD(A81,swapCurve,I81,cContinuous,D81)</f>
        <v>-21.505335747647489</v>
      </c>
      <c r="M81" s="123" t="e">
        <f ca="1">_xll.INSTRUMENT.Z.SPREAD(A81,ustCurve,I81,cContinuous,D81)</f>
        <v>#VALUE!</v>
      </c>
      <c r="N81" s="123">
        <f ca="1">_xll.INSTRUMENT.Z.SPREAD(A81,oisCurve,I81,cContinuous,D81)</f>
        <v>9.607208734798089</v>
      </c>
      <c r="O81" s="124" t="e">
        <f ca="1">1/_xll.CALENDRIER.FRAC.ANNEE(_xll.INSTRUMENT.DATE.REGLEMENT($AC81,,),_xll.INSTRUMENT.DATE.REGLEMENT($AC81,_xll.CALENDRIER.GAP.FINANCE(TODAY(),"1M","AUD","Unadjusted"),),"ACT/365")*(_xll.INSTRUMENT.ROLL.DOWN($A81,oisCurve,_xll.CALENDRIER.GAP.FINANCE(TODAY(),"1M","AUD","Unadjusted",TRUE),$N81)+100*$AA81*_xll.CALENDRIER.FRAC.ANNEE(_xll.INSTRUMENT.DATE.REGLEMENT($AC81,,),_xll.INSTRUMENT.DATE.REGLEMENT($AC81,_xll.CALENDRIER.GAP.FINANCE(TODAY(),"1M","AUD","Unadjusted"),),"ACT/365")-$I81)/$I81</f>
        <v>#NAME?</v>
      </c>
      <c r="P81" s="124" t="e">
        <f ca="1">1/_xll.CALENDRIER.FRAC.ANNEE(_xll.INSTRUMENT.DATE.REGLEMENT($AC81,,),_xll.INSTRUMENT.DATE.REGLEMENT($AC81,_xll.CALENDRIER.GAP.FINANCE(TODAY(),"3M","AUD","Unadjusted"),),"ACT/365")*(_xll.INSTRUMENT.ROLL.DOWN($A81,oisCurve,_xll.CALENDRIER.GAP.FINANCE(TODAY(),"3M","AUD","Unadjusted",TRUE),$N81)+100*$AA81*_xll.CALENDRIER.FRAC.ANNEE(_xll.INSTRUMENT.DATE.REGLEMENT($AC81,,),_xll.INSTRUMENT.DATE.REGLEMENT($AC81,_xll.CALENDRIER.GAP.FINANCE(TODAY(),"3M","AUD","Unadjusted"),),"ACT/365")-$I81)/$I81</f>
        <v>#NAME?</v>
      </c>
      <c r="Q81" s="371" t="e">
        <f ca="1">-(O81-curve!$T$3)/J81</f>
        <v>#NAME?</v>
      </c>
      <c r="R81" s="373">
        <f t="shared" ca="1" si="1"/>
        <v>-128.82475010842805</v>
      </c>
      <c r="S81" s="191" t="str">
        <f>IF(F81&lt;&gt;"","",IF(G81="","",-G81*(SUMIF('raw Data'!$A:$A,"RESINV1USD",'raw Data'!$G:$G)+SUMIF('raw Data'!$A:$A,"RESSWAPORUSD",'raw Data'!$G:$G))/(36500*J81)))</f>
        <v/>
      </c>
      <c r="T81" s="202" t="str">
        <f>IF(G81&lt;&gt;"","",IF(F81="","",-36500*J81*F81/(SUMIF('raw Data'!$A:$A,"RESINV1USD",'raw Data'!$G:$G)+SUMIF('raw Data'!$A:$A,"RESSWAPORUSD",'raw Data'!$G:$G))))</f>
        <v/>
      </c>
      <c r="U81" s="125">
        <f>SUMIF('raw Data'!$E:$E,A81,'raw Data'!$N:$N)</f>
        <v>0</v>
      </c>
      <c r="V81" s="126">
        <v>40466</v>
      </c>
      <c r="W81" s="127">
        <v>40466</v>
      </c>
      <c r="X81" s="127">
        <v>40648</v>
      </c>
      <c r="Y81" s="127">
        <v>41379</v>
      </c>
      <c r="Z81" s="127">
        <v>41562</v>
      </c>
      <c r="AA81" s="128">
        <v>5.0000000000000001E-3</v>
      </c>
      <c r="AB81" s="129">
        <v>32280000000.000004</v>
      </c>
      <c r="AC81" s="130" t="str">
        <f ca="1">IF(LEFT(B81,1)="B",_xll.INSTANCE.TBILL(A81,V81,Z81,TODAY()),_xll.INSTANCE.TNOTE(A81,V81,W81,X81,Y81,Z81,AA81,TODAY()))</f>
        <v>US912828PB06#0003</v>
      </c>
    </row>
    <row r="82" spans="1:29" x14ac:dyDescent="0.35">
      <c r="A82" s="131" t="s">
        <v>194</v>
      </c>
      <c r="B82" s="115" t="s">
        <v>1058</v>
      </c>
      <c r="C82" s="364"/>
      <c r="D82" s="116"/>
      <c r="E82" s="117"/>
      <c r="F82" s="118"/>
      <c r="G82" s="369"/>
      <c r="H82" s="120">
        <v>2.8535300000000004E-3</v>
      </c>
      <c r="I82" s="121">
        <f ca="1">_xll.INSTRUMENT.PRIX(AC82,D82,H82,cTreasuries)</f>
        <v>99.952424098774642</v>
      </c>
      <c r="J82" s="122">
        <f ca="1">_xll.INSTRUMENT.DV01(A82,,,I82,cContinuous,I82)</f>
        <v>-1.3363647686861263E-2</v>
      </c>
      <c r="K82" s="123">
        <f ca="1">_xll.INSTRUMENT.CONVEXITE(A82,,,I82,cContinuous,I82)</f>
        <v>1.787677703132045</v>
      </c>
      <c r="L82" s="123">
        <f ca="1">_xll.INSTRUMENT.Z.SPREAD(A82,swapCurve,I82,cContinuous,D82)</f>
        <v>-21.562600615016148</v>
      </c>
      <c r="M82" s="123" t="e">
        <f ca="1">_xll.INSTRUMENT.Z.SPREAD(A82,ustCurve,I82,cContinuous,D82)</f>
        <v>#VALUE!</v>
      </c>
      <c r="N82" s="123">
        <f ca="1">_xll.INSTRUMENT.Z.SPREAD(A82,oisCurve,I82,cContinuous,D82)</f>
        <v>9.6857385580312023</v>
      </c>
      <c r="O82" s="124" t="e">
        <f ca="1">1/_xll.CALENDRIER.FRAC.ANNEE(_xll.INSTRUMENT.DATE.REGLEMENT($AC82,,),_xll.INSTRUMENT.DATE.REGLEMENT($AC82,_xll.CALENDRIER.GAP.FINANCE(TODAY(),"1M","AUD","Unadjusted"),),"ACT/365")*(_xll.INSTRUMENT.ROLL.DOWN($A82,oisCurve,_xll.CALENDRIER.GAP.FINANCE(TODAY(),"1M","AUD","Unadjusted",TRUE),$N82)+100*$AA82*_xll.CALENDRIER.FRAC.ANNEE(_xll.INSTRUMENT.DATE.REGLEMENT($AC82,,),_xll.INSTRUMENT.DATE.REGLEMENT($AC82,_xll.CALENDRIER.GAP.FINANCE(TODAY(),"1M","AUD","Unadjusted"),),"ACT/365")-$I82)/$I82</f>
        <v>#NAME?</v>
      </c>
      <c r="P82" s="124" t="e">
        <f ca="1">1/_xll.CALENDRIER.FRAC.ANNEE(_xll.INSTRUMENT.DATE.REGLEMENT($AC82,,),_xll.INSTRUMENT.DATE.REGLEMENT($AC82,_xll.CALENDRIER.GAP.FINANCE(TODAY(),"3M","AUD","Unadjusted"),),"ACT/365")*(_xll.INSTRUMENT.ROLL.DOWN($A82,oisCurve,_xll.CALENDRIER.GAP.FINANCE(TODAY(),"3M","AUD","Unadjusted",TRUE),$N82)+100*$AA82*_xll.CALENDRIER.FRAC.ANNEE(_xll.INSTRUMENT.DATE.REGLEMENT($AC82,,),_xll.INSTRUMENT.DATE.REGLEMENT($AC82,_xll.CALENDRIER.GAP.FINANCE(TODAY(),"3M","AUD","Unadjusted"),),"ACT/365")-$I82)/$I82</f>
        <v>#NAME?</v>
      </c>
      <c r="Q82" s="371" t="e">
        <f ca="1">-(O82-curve!$T$3)/J82</f>
        <v>#NAME?</v>
      </c>
      <c r="R82" s="373">
        <f t="shared" ca="1" si="1"/>
        <v>-133.77168756773168</v>
      </c>
      <c r="S82" s="191" t="str">
        <f>IF(F82&lt;&gt;"","",IF(G82="","",-G82*(SUMIF('raw Data'!$A:$A,"RESINV1USD",'raw Data'!$G:$G)+SUMIF('raw Data'!$A:$A,"RESSWAPORUSD",'raw Data'!$G:$G))/(36500*J82)))</f>
        <v/>
      </c>
      <c r="T82" s="202" t="str">
        <f>IF(G82&lt;&gt;"","",IF(F82="","",-36500*J82*F82/(SUMIF('raw Data'!$A:$A,"RESINV1USD",'raw Data'!$G:$G)+SUMIF('raw Data'!$A:$A,"RESSWAPORUSD",'raw Data'!$G:$G))))</f>
        <v/>
      </c>
      <c r="U82" s="125">
        <f>SUMIF('raw Data'!$E:$E,A82,'raw Data'!$N:$N)</f>
        <v>2531.3381076793303</v>
      </c>
      <c r="V82" s="126">
        <v>40847</v>
      </c>
      <c r="W82" s="127">
        <v>40847</v>
      </c>
      <c r="X82" s="127">
        <v>41029</v>
      </c>
      <c r="Y82" s="127">
        <v>41394</v>
      </c>
      <c r="Z82" s="127">
        <v>41578</v>
      </c>
      <c r="AA82" s="128">
        <v>2.5000000000000001E-3</v>
      </c>
      <c r="AB82" s="129">
        <v>36332000000</v>
      </c>
      <c r="AC82" s="130" t="str">
        <f ca="1">IF(LEFT(B82,1)="B",_xll.INSTANCE.TBILL(A82,V82,Z82,TODAY()),_xll.INSTANCE.TNOTE(A82,V82,W82,X82,Y82,Z82,AA82,TODAY()))</f>
        <v>US912828RN26#0003</v>
      </c>
    </row>
    <row r="83" spans="1:29" x14ac:dyDescent="0.35">
      <c r="A83" s="131" t="s">
        <v>442</v>
      </c>
      <c r="B83" s="115" t="s">
        <v>1059</v>
      </c>
      <c r="C83" s="364"/>
      <c r="D83" s="116"/>
      <c r="E83" s="117"/>
      <c r="F83" s="118"/>
      <c r="G83" s="369"/>
      <c r="H83" s="120">
        <v>2.8872179999999996E-3</v>
      </c>
      <c r="I83" s="121">
        <f ca="1">_xll.INSTRUMENT.PRIX(AC83,D83,H83,cTreasuries)</f>
        <v>103.28127510312264</v>
      </c>
      <c r="J83" s="122">
        <f ca="1">_xll.INSTRUMENT.DV01(A83,,,I83,cContinuous,I83)</f>
        <v>-1.3676028560872737E-2</v>
      </c>
      <c r="K83" s="123">
        <f ca="1">_xll.INSTRUMENT.CONVEXITE(A83,,,I83,cContinuous,I83)</f>
        <v>1.7544549950333872</v>
      </c>
      <c r="L83" s="123">
        <f ca="1">_xll.INSTRUMENT.Z.SPREAD(A83,swapCurve,I83,cContinuous,D83)</f>
        <v>-21.201386324547187</v>
      </c>
      <c r="M83" s="123" t="e">
        <f ca="1">_xll.INSTRUMENT.Z.SPREAD(A83,ustCurve,I83,cContinuous,D83)</f>
        <v>#VALUE!</v>
      </c>
      <c r="N83" s="123">
        <f ca="1">_xll.INSTRUMENT.Z.SPREAD(A83,oisCurve,I83,cContinuous,D83)</f>
        <v>10.028313768037673</v>
      </c>
      <c r="O83" s="124" t="e">
        <f ca="1">1/_xll.CALENDRIER.FRAC.ANNEE(_xll.INSTRUMENT.DATE.REGLEMENT($AC83,,),_xll.INSTRUMENT.DATE.REGLEMENT($AC83,_xll.CALENDRIER.GAP.FINANCE(TODAY(),"1M","AUD","Unadjusted"),),"ACT/365")*(_xll.INSTRUMENT.ROLL.DOWN($A83,oisCurve,_xll.CALENDRIER.GAP.FINANCE(TODAY(),"1M","AUD","Unadjusted",TRUE),$N83)+100*$AA83*_xll.CALENDRIER.FRAC.ANNEE(_xll.INSTRUMENT.DATE.REGLEMENT($AC83,,),_xll.INSTRUMENT.DATE.REGLEMENT($AC83,_xll.CALENDRIER.GAP.FINANCE(TODAY(),"1M","AUD","Unadjusted"),),"ACT/365")-$I83)/$I83</f>
        <v>#NAME?</v>
      </c>
      <c r="P83" s="124" t="e">
        <f ca="1">1/_xll.CALENDRIER.FRAC.ANNEE(_xll.INSTRUMENT.DATE.REGLEMENT($AC83,,),_xll.INSTRUMENT.DATE.REGLEMENT($AC83,_xll.CALENDRIER.GAP.FINANCE(TODAY(),"3M","AUD","Unadjusted"),),"ACT/365")*(_xll.INSTRUMENT.ROLL.DOWN($A83,oisCurve,_xll.CALENDRIER.GAP.FINANCE(TODAY(),"3M","AUD","Unadjusted",TRUE),$N83)+100*$AA83*_xll.CALENDRIER.FRAC.ANNEE(_xll.INSTRUMENT.DATE.REGLEMENT($AC83,,),_xll.INSTRUMENT.DATE.REGLEMENT($AC83,_xll.CALENDRIER.GAP.FINANCE(TODAY(),"3M","AUD","Unadjusted"),),"ACT/365")-$I83)/$I83</f>
        <v>#NAME?</v>
      </c>
      <c r="Q83" s="371" t="e">
        <f ca="1">-(O83-curve!$T$3)/J83</f>
        <v>#NAME?</v>
      </c>
      <c r="R83" s="373">
        <f t="shared" ca="1" si="1"/>
        <v>-128.28687708746833</v>
      </c>
      <c r="S83" s="191" t="str">
        <f>IF(F83&lt;&gt;"","",IF(G83="","",-G83*(SUMIF('raw Data'!$A:$A,"RESINV1USD",'raw Data'!$G:$G)+SUMIF('raw Data'!$A:$A,"RESSWAPORUSD",'raw Data'!$G:$G))/(36500*J83)))</f>
        <v/>
      </c>
      <c r="T83" s="202" t="str">
        <f>IF(G83&lt;&gt;"","",IF(F83="","",-36500*J83*F83/(SUMIF('raw Data'!$A:$A,"RESINV1USD",'raw Data'!$G:$G)+SUMIF('raw Data'!$A:$A,"RESSWAPORUSD",'raw Data'!$G:$G))))</f>
        <v/>
      </c>
      <c r="U83" s="125">
        <f>SUMIF('raw Data'!$E:$E,A83,'raw Data'!$N:$N)</f>
        <v>0</v>
      </c>
      <c r="V83" s="126">
        <v>39752</v>
      </c>
      <c r="W83" s="127">
        <v>39752</v>
      </c>
      <c r="X83" s="127">
        <v>39933</v>
      </c>
      <c r="Y83" s="127">
        <v>41394</v>
      </c>
      <c r="Z83" s="127">
        <v>41578</v>
      </c>
      <c r="AA83" s="128">
        <v>2.75E-2</v>
      </c>
      <c r="AB83" s="129">
        <v>25063000000</v>
      </c>
      <c r="AC83" s="130" t="str">
        <f ca="1">IF(LEFT(B83,1)="B",_xll.INSTANCE.TBILL(A83,V83,Z83,TODAY()),_xll.INSTANCE.TNOTE(A83,V83,W83,X83,Y83,Z83,AA83,TODAY()))</f>
        <v>US912828JQ49#0003</v>
      </c>
    </row>
    <row r="84" spans="1:29" x14ac:dyDescent="0.35">
      <c r="A84" s="131" t="s">
        <v>444</v>
      </c>
      <c r="B84" s="115" t="s">
        <v>1060</v>
      </c>
      <c r="C84" s="364"/>
      <c r="D84" s="116"/>
      <c r="E84" s="117"/>
      <c r="F84" s="118"/>
      <c r="G84" s="369"/>
      <c r="H84" s="120">
        <v>2.9119800000000002E-3</v>
      </c>
      <c r="I84" s="121">
        <f ca="1">_xll.INSTRUMENT.PRIX(AC84,D84,H84,cTreasuries)</f>
        <v>100.28633432659488</v>
      </c>
      <c r="J84" s="122">
        <f ca="1">_xll.INSTRUMENT.DV01(A84,,,I84,cContinuous,I84)</f>
        <v>-1.3804684074217682E-2</v>
      </c>
      <c r="K84" s="123">
        <f ca="1">_xll.INSTRUMENT.CONVEXITE(A84,,,I84,cContinuous,I84)</f>
        <v>1.8956250401470811</v>
      </c>
      <c r="L84" s="123">
        <f ca="1">_xll.INSTRUMENT.Z.SPREAD(A84,swapCurve,I84,cContinuous,D84)</f>
        <v>-21.162425713230657</v>
      </c>
      <c r="M84" s="123" t="e">
        <f ca="1">_xll.INSTRUMENT.Z.SPREAD(A84,ustCurve,I84,cContinuous,D84)</f>
        <v>#VALUE!</v>
      </c>
      <c r="N84" s="123">
        <f ca="1">_xll.INSTRUMENT.Z.SPREAD(A84,oisCurve,I84,cContinuous,D84)</f>
        <v>10.198298874667445</v>
      </c>
      <c r="O84" s="124" t="e">
        <f ca="1">1/_xll.CALENDRIER.FRAC.ANNEE(_xll.INSTRUMENT.DATE.REGLEMENT($AC84,,),_xll.INSTRUMENT.DATE.REGLEMENT($AC84,_xll.CALENDRIER.GAP.FINANCE(TODAY(),"1M","AUD","Unadjusted"),),"ACT/365")*(_xll.INSTRUMENT.ROLL.DOWN($A84,oisCurve,_xll.CALENDRIER.GAP.FINANCE(TODAY(),"1M","AUD","Unadjusted",TRUE),$N84)+100*$AA84*_xll.CALENDRIER.FRAC.ANNEE(_xll.INSTRUMENT.DATE.REGLEMENT($AC84,,),_xll.INSTRUMENT.DATE.REGLEMENT($AC84,_xll.CALENDRIER.GAP.FINANCE(TODAY(),"1M","AUD","Unadjusted"),),"ACT/365")-$I84)/$I84</f>
        <v>#NAME?</v>
      </c>
      <c r="P84" s="124" t="e">
        <f ca="1">1/_xll.CALENDRIER.FRAC.ANNEE(_xll.INSTRUMENT.DATE.REGLEMENT($AC84,,),_xll.INSTRUMENT.DATE.REGLEMENT($AC84,_xll.CALENDRIER.GAP.FINANCE(TODAY(),"3M","AUD","Unadjusted"),),"ACT/365")*(_xll.INSTRUMENT.ROLL.DOWN($A84,oisCurve,_xll.CALENDRIER.GAP.FINANCE(TODAY(),"3M","AUD","Unadjusted",TRUE),$N84)+100*$AA84*_xll.CALENDRIER.FRAC.ANNEE(_xll.INSTRUMENT.DATE.REGLEMENT($AC84,,),_xll.INSTRUMENT.DATE.REGLEMENT($AC84,_xll.CALENDRIER.GAP.FINANCE(TODAY(),"3M","AUD","Unadjusted"),),"ACT/365")-$I84)/$I84</f>
        <v>#NAME?</v>
      </c>
      <c r="Q84" s="371" t="e">
        <f ca="1">-(O84-curve!$T$3)/J84</f>
        <v>#NAME?</v>
      </c>
      <c r="R84" s="373">
        <f t="shared" ca="1" si="1"/>
        <v>-137.31752425160133</v>
      </c>
      <c r="S84" s="191" t="str">
        <f>IF(F84&lt;&gt;"","",IF(G84="","",-G84*(SUMIF('raw Data'!$A:$A,"RESINV1USD",'raw Data'!$G:$G)+SUMIF('raw Data'!$A:$A,"RESSWAPORUSD",'raw Data'!$G:$G))/(36500*J84)))</f>
        <v/>
      </c>
      <c r="T84" s="202" t="str">
        <f>IF(G84&lt;&gt;"","",IF(F84="","",-36500*J84*F84/(SUMIF('raw Data'!$A:$A,"RESINV1USD",'raw Data'!$G:$G)+SUMIF('raw Data'!$A:$A,"RESSWAPORUSD",'raw Data'!$G:$G))))</f>
        <v/>
      </c>
      <c r="U84" s="125">
        <f>SUMIF('raw Data'!$E:$E,A84,'raw Data'!$N:$N)</f>
        <v>0</v>
      </c>
      <c r="V84" s="126">
        <v>40497</v>
      </c>
      <c r="W84" s="127">
        <v>40497</v>
      </c>
      <c r="X84" s="127">
        <v>40678</v>
      </c>
      <c r="Y84" s="127">
        <v>41409</v>
      </c>
      <c r="Z84" s="127">
        <v>41593</v>
      </c>
      <c r="AA84" s="128">
        <v>5.0000000000000001E-3</v>
      </c>
      <c r="AB84" s="129">
        <v>32853000000</v>
      </c>
      <c r="AC84" s="130" t="str">
        <f ca="1">IF(LEFT(B84,1)="B",_xll.INSTANCE.TBILL(A84,V84,Z84,TODAY()),_xll.INSTANCE.TNOTE(A84,V84,W84,X84,Y84,Z84,AA84,TODAY()))</f>
        <v>US912828PU86#0003</v>
      </c>
    </row>
    <row r="85" spans="1:29" x14ac:dyDescent="0.35">
      <c r="A85" s="131" t="s">
        <v>443</v>
      </c>
      <c r="B85" s="115" t="s">
        <v>1061</v>
      </c>
      <c r="C85" s="364"/>
      <c r="D85" s="116"/>
      <c r="E85" s="117"/>
      <c r="F85" s="118"/>
      <c r="G85" s="369"/>
      <c r="H85" s="120">
        <v>2.915965E-3</v>
      </c>
      <c r="I85" s="121">
        <f ca="1">_xll.INSTRUMENT.PRIX(AC85,D85,H85,cTreasuries)</f>
        <v>105.43785278273357</v>
      </c>
      <c r="J85" s="122">
        <f ca="1">_xll.INSTRUMENT.DV01(A85,,,I85,cContinuous,I85)</f>
        <v>-1.4297048237705987E-2</v>
      </c>
      <c r="K85" s="123">
        <f ca="1">_xll.INSTRUMENT.CONVEXITE(A85,,,I85,cContinuous,I85)</f>
        <v>1.8448586175494128</v>
      </c>
      <c r="L85" s="123">
        <f ca="1">_xll.INSTRUMENT.Z.SPREAD(A85,swapCurve,I85,cContinuous,D85)</f>
        <v>-21.078899912155652</v>
      </c>
      <c r="M85" s="123" t="e">
        <f ca="1">_xll.INSTRUMENT.Z.SPREAD(A85,ustCurve,I85,cContinuous,D85)</f>
        <v>#VALUE!</v>
      </c>
      <c r="N85" s="123">
        <f ca="1">_xll.INSTRUMENT.Z.SPREAD(A85,oisCurve,I85,cContinuous,D85)</f>
        <v>10.248250089392902</v>
      </c>
      <c r="O85" s="124" t="e">
        <f ca="1">1/_xll.CALENDRIER.FRAC.ANNEE(_xll.INSTRUMENT.DATE.REGLEMENT($AC85,,),_xll.INSTRUMENT.DATE.REGLEMENT($AC85,_xll.CALENDRIER.GAP.FINANCE(TODAY(),"1M","AUD","Unadjusted"),),"ACT/365")*(_xll.INSTRUMENT.ROLL.DOWN($A85,oisCurve,_xll.CALENDRIER.GAP.FINANCE(TODAY(),"1M","AUD","Unadjusted",TRUE),$N85)+100*$AA85*_xll.CALENDRIER.FRAC.ANNEE(_xll.INSTRUMENT.DATE.REGLEMENT($AC85,,),_xll.INSTRUMENT.DATE.REGLEMENT($AC85,_xll.CALENDRIER.GAP.FINANCE(TODAY(),"1M","AUD","Unadjusted"),),"ACT/365")-$I85)/$I85</f>
        <v>#NAME?</v>
      </c>
      <c r="P85" s="124" t="e">
        <f ca="1">1/_xll.CALENDRIER.FRAC.ANNEE(_xll.INSTRUMENT.DATE.REGLEMENT($AC85,,),_xll.INSTRUMENT.DATE.REGLEMENT($AC85,_xll.CALENDRIER.GAP.FINANCE(TODAY(),"3M","AUD","Unadjusted"),),"ACT/365")*(_xll.INSTRUMENT.ROLL.DOWN($A85,oisCurve,_xll.CALENDRIER.GAP.FINANCE(TODAY(),"3M","AUD","Unadjusted",TRUE),$N85)+100*$AA85*_xll.CALENDRIER.FRAC.ANNEE(_xll.INSTRUMENT.DATE.REGLEMENT($AC85,,),_xll.INSTRUMENT.DATE.REGLEMENT($AC85,_xll.CALENDRIER.GAP.FINANCE(TODAY(),"3M","AUD","Unadjusted"),),"ACT/365")-$I85)/$I85</f>
        <v>#NAME?</v>
      </c>
      <c r="Q85" s="371" t="e">
        <f ca="1">-(O85-curve!$T$3)/J85</f>
        <v>#NAME?</v>
      </c>
      <c r="R85" s="373">
        <f t="shared" ca="1" si="1"/>
        <v>-129.0377277096903</v>
      </c>
      <c r="S85" s="191" t="str">
        <f>IF(F85&lt;&gt;"","",IF(G85="","",-G85*(SUMIF('raw Data'!$A:$A,"RESINV1USD",'raw Data'!$G:$G)+SUMIF('raw Data'!$A:$A,"RESSWAPORUSD",'raw Data'!$G:$G))/(36500*J85)))</f>
        <v/>
      </c>
      <c r="T85" s="202" t="str">
        <f>IF(G85&lt;&gt;"","",IF(F85="","",-36500*J85*F85/(SUMIF('raw Data'!$A:$A,"RESINV1USD",'raw Data'!$G:$G)+SUMIF('raw Data'!$A:$A,"RESSWAPORUSD",'raw Data'!$G:$G))))</f>
        <v/>
      </c>
      <c r="U85" s="125">
        <f>SUMIF('raw Data'!$E:$E,A85,'raw Data'!$N:$N)</f>
        <v>0</v>
      </c>
      <c r="V85" s="126">
        <v>37942</v>
      </c>
      <c r="W85" s="127">
        <v>37940</v>
      </c>
      <c r="X85" s="127">
        <v>38122</v>
      </c>
      <c r="Y85" s="127">
        <v>41409</v>
      </c>
      <c r="Z85" s="127">
        <v>41593</v>
      </c>
      <c r="AA85" s="128">
        <v>4.2500000000000003E-2</v>
      </c>
      <c r="AB85" s="129">
        <v>30637000000</v>
      </c>
      <c r="AC85" s="130" t="str">
        <f ca="1">IF(LEFT(B85,1)="B",_xll.INSTANCE.TBILL(A85,V85,Z85,TODAY()),_xll.INSTANCE.TNOTE(A85,V85,W85,X85,Y85,Z85,AA85,TODAY()))</f>
        <v>US912828BR04#0003</v>
      </c>
    </row>
    <row r="86" spans="1:29" x14ac:dyDescent="0.35">
      <c r="A86" s="131" t="s">
        <v>52</v>
      </c>
      <c r="B86" s="115" t="s">
        <v>1062</v>
      </c>
      <c r="C86" s="364"/>
      <c r="D86" s="116"/>
      <c r="E86" s="117"/>
      <c r="F86" s="118"/>
      <c r="G86" s="369"/>
      <c r="H86" s="120">
        <v>2.9990960000000001E-3</v>
      </c>
      <c r="I86" s="121">
        <f ca="1">_xll.INSTRUMENT.PRIX(AC86,D86,H86,cTreasuries)</f>
        <v>99.929338299648222</v>
      </c>
      <c r="J86" s="122">
        <f ca="1">_xll.INSTRUMENT.DV01(A86,,,I86,cContinuous,I86)</f>
        <v>-1.4179289887284887E-2</v>
      </c>
      <c r="K86" s="123">
        <f ca="1">_xll.INSTRUMENT.CONVEXITE(A86,,,I86,cContinuous,I86)</f>
        <v>2.0296887442640794</v>
      </c>
      <c r="L86" s="123">
        <f ca="1">_xll.INSTRUMENT.Z.SPREAD(A86,swapCurve,I86,cContinuous,D86)</f>
        <v>-20.625656940133915</v>
      </c>
      <c r="M86" s="123" t="e">
        <f ca="1">_xll.INSTRUMENT.Z.SPREAD(A86,ustCurve,I86,cContinuous,D86)</f>
        <v>#VALUE!</v>
      </c>
      <c r="N86" s="123">
        <f ca="1">_xll.INSTRUMENT.Z.SPREAD(A86,oisCurve,I86,cContinuous,D86)</f>
        <v>10.85824799115835</v>
      </c>
      <c r="O86" s="124" t="e">
        <f ca="1">1/_xll.CALENDRIER.FRAC.ANNEE(_xll.INSTRUMENT.DATE.REGLEMENT($AC86,,),_xll.INSTRUMENT.DATE.REGLEMENT($AC86,_xll.CALENDRIER.GAP.FINANCE(TODAY(),"1M","AUD","Unadjusted"),),"ACT/365")*(_xll.INSTRUMENT.ROLL.DOWN($A86,oisCurve,_xll.CALENDRIER.GAP.FINANCE(TODAY(),"1M","AUD","Unadjusted",TRUE),$N86)+100*$AA86*_xll.CALENDRIER.FRAC.ANNEE(_xll.INSTRUMENT.DATE.REGLEMENT($AC86,,),_xll.INSTRUMENT.DATE.REGLEMENT($AC86,_xll.CALENDRIER.GAP.FINANCE(TODAY(),"1M","AUD","Unadjusted"),),"ACT/365")-$I86)/$I86</f>
        <v>#NAME?</v>
      </c>
      <c r="P86" s="124" t="e">
        <f ca="1">1/_xll.CALENDRIER.FRAC.ANNEE(_xll.INSTRUMENT.DATE.REGLEMENT($AC86,,),_xll.INSTRUMENT.DATE.REGLEMENT($AC86,_xll.CALENDRIER.GAP.FINANCE(TODAY(),"3M","AUD","Unadjusted"),),"ACT/365")*(_xll.INSTRUMENT.ROLL.DOWN($A86,oisCurve,_xll.CALENDRIER.GAP.FINANCE(TODAY(),"3M","AUD","Unadjusted",TRUE),$N86)+100*$AA86*_xll.CALENDRIER.FRAC.ANNEE(_xll.INSTRUMENT.DATE.REGLEMENT($AC86,,),_xll.INSTRUMENT.DATE.REGLEMENT($AC86,_xll.CALENDRIER.GAP.FINANCE(TODAY(),"3M","AUD","Unadjusted"),),"ACT/365")-$I86)/$I86</f>
        <v>#NAME?</v>
      </c>
      <c r="Q86" s="371" t="e">
        <f ca="1">-(O86-curve!$T$3)/J86</f>
        <v>#NAME?</v>
      </c>
      <c r="R86" s="373">
        <f t="shared" ca="1" si="1"/>
        <v>-143.14459753616993</v>
      </c>
      <c r="S86" s="191" t="str">
        <f>IF(F86&lt;&gt;"","",IF(G86="","",-G86*(SUMIF('raw Data'!$A:$A,"RESINV1USD",'raw Data'!$G:$G)+SUMIF('raw Data'!$A:$A,"RESSWAPORUSD",'raw Data'!$G:$G))/(36500*J86)))</f>
        <v/>
      </c>
      <c r="T86" s="202" t="str">
        <f>IF(G86&lt;&gt;"","",IF(F86="","",-36500*J86*F86/(SUMIF('raw Data'!$A:$A,"RESINV1USD",'raw Data'!$G:$G)+SUMIF('raw Data'!$A:$A,"RESSWAPORUSD",'raw Data'!$G:$G))))</f>
        <v/>
      </c>
      <c r="U86" s="125">
        <f>SUMIF('raw Data'!$E:$E,A86,'raw Data'!$N:$N)</f>
        <v>254531.33810767933</v>
      </c>
      <c r="V86" s="126">
        <v>40877</v>
      </c>
      <c r="W86" s="127">
        <v>40877</v>
      </c>
      <c r="X86" s="127">
        <v>41060</v>
      </c>
      <c r="Y86" s="127">
        <v>41425</v>
      </c>
      <c r="Z86" s="127">
        <v>41608</v>
      </c>
      <c r="AA86" s="128">
        <v>2.5000000000000001E-3</v>
      </c>
      <c r="AB86" s="129">
        <v>36586000000</v>
      </c>
      <c r="AC86" s="130" t="str">
        <f ca="1">IF(LEFT(B86,1)="B",_xll.INSTANCE.TBILL(A86,V86,Z86,TODAY()),_xll.INSTANCE.TNOTE(A86,V86,W86,X86,Y86,Z86,AA86,TODAY()))</f>
        <v>US912828RS13#0003</v>
      </c>
    </row>
    <row r="87" spans="1:29" x14ac:dyDescent="0.35">
      <c r="A87" s="131" t="s">
        <v>445</v>
      </c>
      <c r="B87" s="115" t="s">
        <v>1063</v>
      </c>
      <c r="C87" s="364"/>
      <c r="D87" s="116"/>
      <c r="E87" s="117"/>
      <c r="F87" s="118"/>
      <c r="G87" s="369"/>
      <c r="H87" s="120">
        <v>2.8898600000000002E-3</v>
      </c>
      <c r="I87" s="121">
        <f ca="1">_xll.INSTRUMENT.PRIX(AC87,D87,H87,cTreasuries)</f>
        <v>102.42418112579762</v>
      </c>
      <c r="J87" s="122">
        <f ca="1">_xll.INSTRUMENT.DV01(A87,,,I87,cContinuous,I87)</f>
        <v>-1.4422257982803719E-2</v>
      </c>
      <c r="K87" s="123">
        <f ca="1">_xll.INSTRUMENT.CONVEXITE(A87,,,I87,cContinuous,I87)</f>
        <v>2.0038580650917437</v>
      </c>
      <c r="L87" s="123">
        <f ca="1">_xll.INSTRUMENT.Z.SPREAD(A87,swapCurve,I87,cContinuous,D87)</f>
        <v>-21.685047164664432</v>
      </c>
      <c r="M87" s="123" t="e">
        <f ca="1">_xll.INSTRUMENT.Z.SPREAD(A87,ustCurve,I87,cContinuous,D87)</f>
        <v>#VALUE!</v>
      </c>
      <c r="N87" s="123">
        <f ca="1">_xll.INSTRUMENT.Z.SPREAD(A87,oisCurve,I87,cContinuous,D87)</f>
        <v>9.7790053765321456</v>
      </c>
      <c r="O87" s="124" t="e">
        <f ca="1">1/_xll.CALENDRIER.FRAC.ANNEE(_xll.INSTRUMENT.DATE.REGLEMENT($AC87,,),_xll.INSTRUMENT.DATE.REGLEMENT($AC87,_xll.CALENDRIER.GAP.FINANCE(TODAY(),"1M","AUD","Unadjusted"),),"ACT/365")*(_xll.INSTRUMENT.ROLL.DOWN($A87,oisCurve,_xll.CALENDRIER.GAP.FINANCE(TODAY(),"1M","AUD","Unadjusted",TRUE),$N87)+100*$AA87*_xll.CALENDRIER.FRAC.ANNEE(_xll.INSTRUMENT.DATE.REGLEMENT($AC87,,),_xll.INSTRUMENT.DATE.REGLEMENT($AC87,_xll.CALENDRIER.GAP.FINANCE(TODAY(),"1M","AUD","Unadjusted"),),"ACT/365")-$I87)/$I87</f>
        <v>#NAME?</v>
      </c>
      <c r="P87" s="124" t="e">
        <f ca="1">1/_xll.CALENDRIER.FRAC.ANNEE(_xll.INSTRUMENT.DATE.REGLEMENT($AC87,,),_xll.INSTRUMENT.DATE.REGLEMENT($AC87,_xll.CALENDRIER.GAP.FINANCE(TODAY(),"3M","AUD","Unadjusted"),),"ACT/365")*(_xll.INSTRUMENT.ROLL.DOWN($A87,oisCurve,_xll.CALENDRIER.GAP.FINANCE(TODAY(),"3M","AUD","Unadjusted",TRUE),$N87)+100*$AA87*_xll.CALENDRIER.FRAC.ANNEE(_xll.INSTRUMENT.DATE.REGLEMENT($AC87,,),_xll.INSTRUMENT.DATE.REGLEMENT($AC87,_xll.CALENDRIER.GAP.FINANCE(TODAY(),"3M","AUD","Unadjusted"),),"ACT/365")-$I87)/$I87</f>
        <v>#NAME?</v>
      </c>
      <c r="Q87" s="371" t="e">
        <f ca="1">-(O87-curve!$T$3)/J87</f>
        <v>#NAME?</v>
      </c>
      <c r="R87" s="373">
        <f t="shared" ca="1" si="1"/>
        <v>-138.94204828959724</v>
      </c>
      <c r="S87" s="191" t="str">
        <f>IF(F87&lt;&gt;"","",IF(G87="","",-G87*(SUMIF('raw Data'!$A:$A,"RESINV1USD",'raw Data'!$G:$G)+SUMIF('raw Data'!$A:$A,"RESSWAPORUSD",'raw Data'!$G:$G))/(36500*J87)))</f>
        <v/>
      </c>
      <c r="T87" s="202" t="str">
        <f>IF(G87&lt;&gt;"","",IF(F87="","",-36500*J87*F87/(SUMIF('raw Data'!$A:$A,"RESINV1USD",'raw Data'!$G:$G)+SUMIF('raw Data'!$A:$A,"RESSWAPORUSD",'raw Data'!$G:$G))))</f>
        <v/>
      </c>
      <c r="U87" s="125">
        <f>SUMIF('raw Data'!$E:$E,A87,'raw Data'!$N:$N)</f>
        <v>0</v>
      </c>
      <c r="V87" s="126">
        <v>39783</v>
      </c>
      <c r="W87" s="127">
        <v>39782</v>
      </c>
      <c r="X87" s="127">
        <v>39964</v>
      </c>
      <c r="Y87" s="127">
        <v>41425</v>
      </c>
      <c r="Z87" s="127">
        <v>41608</v>
      </c>
      <c r="AA87" s="128">
        <v>0.02</v>
      </c>
      <c r="AB87" s="129">
        <v>27819000000</v>
      </c>
      <c r="AC87" s="130" t="str">
        <f ca="1">IF(LEFT(B87,1)="B",_xll.INSTANCE.TBILL(A87,V87,Z87,TODAY()),_xll.INSTANCE.TNOTE(A87,V87,W87,X87,Y87,Z87,AA87,TODAY()))</f>
        <v>US912828JT87#0003</v>
      </c>
    </row>
    <row r="88" spans="1:29" x14ac:dyDescent="0.35">
      <c r="A88" s="131" t="s">
        <v>446</v>
      </c>
      <c r="B88" s="115" t="s">
        <v>1064</v>
      </c>
      <c r="C88" s="364"/>
      <c r="D88" s="116"/>
      <c r="E88" s="117"/>
      <c r="F88" s="118"/>
      <c r="G88" s="369"/>
      <c r="H88" s="120">
        <v>3.0255900000000003E-3</v>
      </c>
      <c r="I88" s="121">
        <f ca="1">_xll.INSTRUMENT.PRIX(AC88,D88,H88,cTreasuries)</f>
        <v>100.65212170382979</v>
      </c>
      <c r="J88" s="122">
        <f ca="1">_xll.INSTRUMENT.DV01(A88,,,I88,cContinuous,I88)</f>
        <v>-1.4659522073969367E-2</v>
      </c>
      <c r="K88" s="123">
        <f ca="1">_xll.INSTRUMENT.CONVEXITE(A88,,,I88,cContinuous,I88)</f>
        <v>2.1326895155369296</v>
      </c>
      <c r="L88" s="123">
        <f ca="1">_xll.INSTRUMENT.Z.SPREAD(A88,swapCurve,I88,cContinuous,D88)</f>
        <v>-20.47743848411065</v>
      </c>
      <c r="M88" s="123" t="e">
        <f ca="1">_xll.INSTRUMENT.Z.SPREAD(A88,ustCurve,I88,cContinuous,D88)</f>
        <v>#VALUE!</v>
      </c>
      <c r="N88" s="123">
        <f ca="1">_xll.INSTRUMENT.Z.SPREAD(A88,oisCurve,I88,cContinuous,D88)</f>
        <v>11.094049772465491</v>
      </c>
      <c r="O88" s="124" t="e">
        <f ca="1">1/_xll.CALENDRIER.FRAC.ANNEE(_xll.INSTRUMENT.DATE.REGLEMENT($AC88,,),_xll.INSTRUMENT.DATE.REGLEMENT($AC88,_xll.CALENDRIER.GAP.FINANCE(TODAY(),"1M","AUD","Unadjusted"),),"ACT/365")*(_xll.INSTRUMENT.ROLL.DOWN($A88,oisCurve,_xll.CALENDRIER.GAP.FINANCE(TODAY(),"1M","AUD","Unadjusted",TRUE),$N88)+100*$AA88*_xll.CALENDRIER.FRAC.ANNEE(_xll.INSTRUMENT.DATE.REGLEMENT($AC88,,),_xll.INSTRUMENT.DATE.REGLEMENT($AC88,_xll.CALENDRIER.GAP.FINANCE(TODAY(),"1M","AUD","Unadjusted"),),"ACT/365")-$I88)/$I88</f>
        <v>#NAME?</v>
      </c>
      <c r="P88" s="124" t="e">
        <f ca="1">1/_xll.CALENDRIER.FRAC.ANNEE(_xll.INSTRUMENT.DATE.REGLEMENT($AC88,,),_xll.INSTRUMENT.DATE.REGLEMENT($AC88,_xll.CALENDRIER.GAP.FINANCE(TODAY(),"3M","AUD","Unadjusted"),),"ACT/365")*(_xll.INSTRUMENT.ROLL.DOWN($A88,oisCurve,_xll.CALENDRIER.GAP.FINANCE(TODAY(),"3M","AUD","Unadjusted",TRUE),$N88)+100*$AA88*_xll.CALENDRIER.FRAC.ANNEE(_xll.INSTRUMENT.DATE.REGLEMENT($AC88,,),_xll.INSTRUMENT.DATE.REGLEMENT($AC88,_xll.CALENDRIER.GAP.FINANCE(TODAY(),"3M","AUD","Unadjusted"),),"ACT/365")-$I88)/$I88</f>
        <v>#NAME?</v>
      </c>
      <c r="Q88" s="371" t="e">
        <f ca="1">-(O88-curve!$T$3)/J88</f>
        <v>#NAME?</v>
      </c>
      <c r="R88" s="373">
        <f t="shared" ca="1" si="1"/>
        <v>-145.4815173902501</v>
      </c>
      <c r="S88" s="191" t="str">
        <f>IF(F88&lt;&gt;"","",IF(G88="","",-G88*(SUMIF('raw Data'!$A:$A,"RESINV1USD",'raw Data'!$G:$G)+SUMIF('raw Data'!$A:$A,"RESSWAPORUSD",'raw Data'!$G:$G))/(36500*J88)))</f>
        <v/>
      </c>
      <c r="T88" s="202" t="str">
        <f>IF(G88&lt;&gt;"","",IF(F88="","",-36500*J88*F88/(SUMIF('raw Data'!$A:$A,"RESINV1USD",'raw Data'!$G:$G)+SUMIF('raw Data'!$A:$A,"RESSWAPORUSD",'raw Data'!$G:$G))))</f>
        <v/>
      </c>
      <c r="U88" s="125">
        <f>SUMIF('raw Data'!$E:$E,A88,'raw Data'!$N:$N)</f>
        <v>0</v>
      </c>
      <c r="V88" s="126">
        <v>40527</v>
      </c>
      <c r="W88" s="127">
        <v>40527</v>
      </c>
      <c r="X88" s="127">
        <v>40709</v>
      </c>
      <c r="Y88" s="127">
        <v>41440</v>
      </c>
      <c r="Z88" s="127">
        <v>41623</v>
      </c>
      <c r="AA88" s="128">
        <v>7.4999999999999997E-3</v>
      </c>
      <c r="AB88" s="129">
        <v>32468000000.000004</v>
      </c>
      <c r="AC88" s="130" t="str">
        <f ca="1">IF(LEFT(B88,1)="B",_xll.INSTANCE.TBILL(A88,V88,Z88,TODAY()),_xll.INSTANCE.TNOTE(A88,V88,W88,X88,Y88,Z88,AA88,TODAY()))</f>
        <v>US912828PL87#0003</v>
      </c>
    </row>
    <row r="89" spans="1:29" x14ac:dyDescent="0.35">
      <c r="A89" s="131" t="s">
        <v>196</v>
      </c>
      <c r="B89" s="115" t="s">
        <v>1065</v>
      </c>
      <c r="C89" s="364"/>
      <c r="D89" s="116"/>
      <c r="E89" s="117"/>
      <c r="F89" s="118"/>
      <c r="G89" s="369"/>
      <c r="H89" s="120">
        <v>3.0063859999999998E-3</v>
      </c>
      <c r="I89" s="121">
        <f ca="1">_xll.INSTRUMENT.PRIX(AC89,D89,H89,cTreasuries)</f>
        <v>99.736037401920001</v>
      </c>
      <c r="J89" s="122">
        <f ca="1">_xll.INSTRUMENT.DV01(A89,,,I89,cContinuous,I89)</f>
        <v>-1.5005404297515162E-2</v>
      </c>
      <c r="K89" s="123">
        <f ca="1">_xll.INSTRUMENT.CONVEXITE(A89,,,I89,cContinuous,I89)</f>
        <v>2.2629461755786155</v>
      </c>
      <c r="L89" s="123">
        <f ca="1">_xll.INSTRUMENT.Z.SPREAD(A89,swapCurve,I89,cContinuous,D89)</f>
        <v>-20.826455758232754</v>
      </c>
      <c r="M89" s="123" t="e">
        <f ca="1">_xll.INSTRUMENT.Z.SPREAD(A89,ustCurve,I89,cContinuous,D89)</f>
        <v>#VALUE!</v>
      </c>
      <c r="N89" s="123">
        <f ca="1">_xll.INSTRUMENT.Z.SPREAD(A89,oisCurve,I89,cContinuous,D89)</f>
        <v>10.851285783782462</v>
      </c>
      <c r="O89" s="124" t="e">
        <f ca="1">1/_xll.CALENDRIER.FRAC.ANNEE(_xll.INSTRUMENT.DATE.REGLEMENT($AC89,,),_xll.INSTRUMENT.DATE.REGLEMENT($AC89,_xll.CALENDRIER.GAP.FINANCE(TODAY(),"1M","AUD","Unadjusted"),),"ACT/365")*(_xll.INSTRUMENT.ROLL.DOWN($A89,oisCurve,_xll.CALENDRIER.GAP.FINANCE(TODAY(),"1M","AUD","Unadjusted",TRUE),$N89)+100*$AA89*_xll.CALENDRIER.FRAC.ANNEE(_xll.INSTRUMENT.DATE.REGLEMENT($AC89,,),_xll.INSTRUMENT.DATE.REGLEMENT($AC89,_xll.CALENDRIER.GAP.FINANCE(TODAY(),"1M","AUD","Unadjusted"),),"ACT/365")-$I89)/$I89</f>
        <v>#NAME?</v>
      </c>
      <c r="P89" s="124" t="e">
        <f ca="1">1/_xll.CALENDRIER.FRAC.ANNEE(_xll.INSTRUMENT.DATE.REGLEMENT($AC89,,),_xll.INSTRUMENT.DATE.REGLEMENT($AC89,_xll.CALENDRIER.GAP.FINANCE(TODAY(),"3M","AUD","Unadjusted"),),"ACT/365")*(_xll.INSTRUMENT.ROLL.DOWN($A89,oisCurve,_xll.CALENDRIER.GAP.FINANCE(TODAY(),"3M","AUD","Unadjusted",TRUE),$N89)+100*$AA89*_xll.CALENDRIER.FRAC.ANNEE(_xll.INSTRUMENT.DATE.REGLEMENT($AC89,,),_xll.INSTRUMENT.DATE.REGLEMENT($AC89,_xll.CALENDRIER.GAP.FINANCE(TODAY(),"3M","AUD","Unadjusted"),),"ACT/365")-$I89)/$I89</f>
        <v>#NAME?</v>
      </c>
      <c r="Q89" s="371" t="e">
        <f ca="1">-(O89-curve!$T$3)/J89</f>
        <v>#NAME?</v>
      </c>
      <c r="R89" s="373">
        <f t="shared" ca="1" si="1"/>
        <v>-150.80874401720391</v>
      </c>
      <c r="S89" s="191" t="str">
        <f>IF(F89&lt;&gt;"","",IF(G89="","",-G89*(SUMIF('raw Data'!$A:$A,"RESINV1USD",'raw Data'!$G:$G)+SUMIF('raw Data'!$A:$A,"RESSWAPORUSD",'raw Data'!$G:$G))/(36500*J89)))</f>
        <v/>
      </c>
      <c r="T89" s="202" t="str">
        <f>IF(G89&lt;&gt;"","",IF(F89="","",-36500*J89*F89/(SUMIF('raw Data'!$A:$A,"RESINV1USD",'raw Data'!$G:$G)+SUMIF('raw Data'!$A:$A,"RESSWAPORUSD",'raw Data'!$G:$G))))</f>
        <v/>
      </c>
      <c r="U89" s="125">
        <f>SUMIF('raw Data'!$E:$E,A89,'raw Data'!$N:$N)</f>
        <v>-431628.95478151832</v>
      </c>
      <c r="V89" s="126">
        <v>40911</v>
      </c>
      <c r="W89" s="127">
        <v>40908</v>
      </c>
      <c r="X89" s="127">
        <v>41090</v>
      </c>
      <c r="Y89" s="127">
        <v>41455</v>
      </c>
      <c r="Z89" s="127">
        <v>41639</v>
      </c>
      <c r="AA89" s="128">
        <v>1.25E-3</v>
      </c>
      <c r="AB89" s="129">
        <v>36133000000</v>
      </c>
      <c r="AC89" s="130" t="str">
        <f ca="1">IF(LEFT(B89,1)="B",_xll.INSTANCE.TBILL(A89,V89,Z89,TODAY()),_xll.INSTANCE.TNOTE(A89,V89,W89,X89,Y89,Z89,AA89,TODAY()))</f>
        <v>US912828RW25#0003</v>
      </c>
    </row>
    <row r="90" spans="1:29" x14ac:dyDescent="0.35">
      <c r="A90" s="131" t="s">
        <v>447</v>
      </c>
      <c r="B90" s="115" t="s">
        <v>1066</v>
      </c>
      <c r="C90" s="364"/>
      <c r="D90" s="116"/>
      <c r="E90" s="117"/>
      <c r="F90" s="118"/>
      <c r="G90" s="369"/>
      <c r="H90" s="120">
        <v>3.0714679999999999E-3</v>
      </c>
      <c r="I90" s="121">
        <f ca="1">_xll.INSTRUMENT.PRIX(AC90,D90,H90,cTreasuries)</f>
        <v>101.78621582055484</v>
      </c>
      <c r="J90" s="122">
        <f ca="1">_xll.INSTRUMENT.DV01(A90,,,I90,cContinuous,I90)</f>
        <v>-1.5210475639310946E-2</v>
      </c>
      <c r="K90" s="123">
        <f ca="1">_xll.INSTRUMENT.CONVEXITE(A90,,,I90,cContinuous,I90)</f>
        <v>2.2259616812617331</v>
      </c>
      <c r="L90" s="123">
        <f ca="1">_xll.INSTRUMENT.Z.SPREAD(A90,swapCurve,I90,cContinuous,D90)</f>
        <v>-20.151654349173828</v>
      </c>
      <c r="M90" s="123" t="e">
        <f ca="1">_xll.INSTRUMENT.Z.SPREAD(A90,ustCurve,I90,cContinuous,D90)</f>
        <v>#VALUE!</v>
      </c>
      <c r="N90" s="123">
        <f ca="1">_xll.INSTRUMENT.Z.SPREAD(A90,oisCurve,I90,cContinuous,D90)</f>
        <v>11.504992099714737</v>
      </c>
      <c r="O90" s="124" t="e">
        <f ca="1">1/_xll.CALENDRIER.FRAC.ANNEE(_xll.INSTRUMENT.DATE.REGLEMENT($AC90,,),_xll.INSTRUMENT.DATE.REGLEMENT($AC90,_xll.CALENDRIER.GAP.FINANCE(TODAY(),"1M","AUD","Unadjusted"),),"ACT/365")*(_xll.INSTRUMENT.ROLL.DOWN($A90,oisCurve,_xll.CALENDRIER.GAP.FINANCE(TODAY(),"1M","AUD","Unadjusted",TRUE),$N90)+100*$AA90*_xll.CALENDRIER.FRAC.ANNEE(_xll.INSTRUMENT.DATE.REGLEMENT($AC90,,),_xll.INSTRUMENT.DATE.REGLEMENT($AC90,_xll.CALENDRIER.GAP.FINANCE(TODAY(),"1M","AUD","Unadjusted"),),"ACT/365")-$I90)/$I90</f>
        <v>#NAME?</v>
      </c>
      <c r="P90" s="124" t="e">
        <f ca="1">1/_xll.CALENDRIER.FRAC.ANNEE(_xll.INSTRUMENT.DATE.REGLEMENT($AC90,,),_xll.INSTRUMENT.DATE.REGLEMENT($AC90,_xll.CALENDRIER.GAP.FINANCE(TODAY(),"3M","AUD","Unadjusted"),),"ACT/365")*(_xll.INSTRUMENT.ROLL.DOWN($A90,oisCurve,_xll.CALENDRIER.GAP.FINANCE(TODAY(),"3M","AUD","Unadjusted",TRUE),$N90)+100*$AA90*_xll.CALENDRIER.FRAC.ANNEE(_xll.INSTRUMENT.DATE.REGLEMENT($AC90,,),_xll.INSTRUMENT.DATE.REGLEMENT($AC90,_xll.CALENDRIER.GAP.FINANCE(TODAY(),"3M","AUD","Unadjusted"),),"ACT/365")-$I90)/$I90</f>
        <v>#NAME?</v>
      </c>
      <c r="Q90" s="371" t="e">
        <f ca="1">-(O90-curve!$T$3)/J90</f>
        <v>#NAME?</v>
      </c>
      <c r="R90" s="373">
        <f t="shared" ca="1" si="1"/>
        <v>-146.34398910635065</v>
      </c>
      <c r="S90" s="191" t="str">
        <f>IF(F90&lt;&gt;"","",IF(G90="","",-G90*(SUMIF('raw Data'!$A:$A,"RESINV1USD",'raw Data'!$G:$G)+SUMIF('raw Data'!$A:$A,"RESSWAPORUSD",'raw Data'!$G:$G))/(36500*J90)))</f>
        <v/>
      </c>
      <c r="T90" s="202" t="str">
        <f>IF(G90&lt;&gt;"","",IF(F90="","",-36500*J90*F90/(SUMIF('raw Data'!$A:$A,"RESINV1USD",'raw Data'!$G:$G)+SUMIF('raw Data'!$A:$A,"RESSWAPORUSD",'raw Data'!$G:$G))))</f>
        <v/>
      </c>
      <c r="U90" s="125">
        <f>SUMIF('raw Data'!$E:$E,A90,'raw Data'!$N:$N)</f>
        <v>0</v>
      </c>
      <c r="V90" s="126">
        <v>39813</v>
      </c>
      <c r="W90" s="127">
        <v>39813</v>
      </c>
      <c r="X90" s="127">
        <v>39994</v>
      </c>
      <c r="Y90" s="127">
        <v>41455</v>
      </c>
      <c r="Z90" s="127">
        <v>41639</v>
      </c>
      <c r="AA90" s="128">
        <v>1.4999999999999999E-2</v>
      </c>
      <c r="AB90" s="129">
        <v>30044000000</v>
      </c>
      <c r="AC90" s="130" t="str">
        <f ca="1">IF(LEFT(B90,1)="B",_xll.INSTANCE.TBILL(A90,V90,Z90,TODAY()),_xll.INSTANCE.TNOTE(A90,V90,W90,X90,Y90,Z90,AA90,TODAY()))</f>
        <v>US912828JW17#0003</v>
      </c>
    </row>
    <row r="91" spans="1:29" x14ac:dyDescent="0.35">
      <c r="A91" s="131" t="s">
        <v>448</v>
      </c>
      <c r="B91" s="115" t="s">
        <v>1067</v>
      </c>
      <c r="C91" s="364"/>
      <c r="D91" s="116"/>
      <c r="E91" s="117"/>
      <c r="F91" s="118"/>
      <c r="G91" s="369"/>
      <c r="H91" s="120">
        <v>3.110345E-3</v>
      </c>
      <c r="I91" s="121">
        <f ca="1">_xll.INSTRUMENT.PRIX(AC91,D91,H91,cTreasuries)</f>
        <v>101.05950958286429</v>
      </c>
      <c r="J91" s="122">
        <f ca="1">_xll.INSTRUMENT.DV01(A91,,,I91,cContinuous,I91)</f>
        <v>-1.5549734605192891E-2</v>
      </c>
      <c r="K91" s="123">
        <f ca="1">_xll.INSTRUMENT.CONVEXITE(A91,,,I91,cContinuous,I91)</f>
        <v>2.3633583036126229</v>
      </c>
      <c r="L91" s="123">
        <f ca="1">_xll.INSTRUMENT.Z.SPREAD(A91,swapCurve,I91,cContinuous,D91)</f>
        <v>-19.977894343723559</v>
      </c>
      <c r="M91" s="123" t="e">
        <f ca="1">_xll.INSTRUMENT.Z.SPREAD(A91,ustCurve,I91,cContinuous,D91)</f>
        <v>#VALUE!</v>
      </c>
      <c r="N91" s="123">
        <f ca="1">_xll.INSTRUMENT.Z.SPREAD(A91,oisCurve,I91,cContinuous,D91)</f>
        <v>11.775624009396338</v>
      </c>
      <c r="O91" s="124" t="e">
        <f ca="1">1/_xll.CALENDRIER.FRAC.ANNEE(_xll.INSTRUMENT.DATE.REGLEMENT($AC91,,),_xll.INSTRUMENT.DATE.REGLEMENT($AC91,_xll.CALENDRIER.GAP.FINANCE(TODAY(),"1M","AUD","Unadjusted"),),"ACT/365")*(_xll.INSTRUMENT.ROLL.DOWN($A91,oisCurve,_xll.CALENDRIER.GAP.FINANCE(TODAY(),"1M","AUD","Unadjusted",TRUE),$N91)+100*$AA91*_xll.CALENDRIER.FRAC.ANNEE(_xll.INSTRUMENT.DATE.REGLEMENT($AC91,,),_xll.INSTRUMENT.DATE.REGLEMENT($AC91,_xll.CALENDRIER.GAP.FINANCE(TODAY(),"1M","AUD","Unadjusted"),),"ACT/365")-$I91)/$I91</f>
        <v>#NAME?</v>
      </c>
      <c r="P91" s="124" t="e">
        <f ca="1">1/_xll.CALENDRIER.FRAC.ANNEE(_xll.INSTRUMENT.DATE.REGLEMENT($AC91,,),_xll.INSTRUMENT.DATE.REGLEMENT($AC91,_xll.CALENDRIER.GAP.FINANCE(TODAY(),"3M","AUD","Unadjusted"),),"ACT/365")*(_xll.INSTRUMENT.ROLL.DOWN($A91,oisCurve,_xll.CALENDRIER.GAP.FINANCE(TODAY(),"3M","AUD","Unadjusted",TRUE),$N91)+100*$AA91*_xll.CALENDRIER.FRAC.ANNEE(_xll.INSTRUMENT.DATE.REGLEMENT($AC91,,),_xll.INSTRUMENT.DATE.REGLEMENT($AC91,_xll.CALENDRIER.GAP.FINANCE(TODAY(),"3M","AUD","Unadjusted"),),"ACT/365")-$I91)/$I91</f>
        <v>#NAME?</v>
      </c>
      <c r="Q91" s="371" t="e">
        <f ca="1">-(O91-curve!$T$3)/J91</f>
        <v>#NAME?</v>
      </c>
      <c r="R91" s="373">
        <f t="shared" ca="1" si="1"/>
        <v>-151.9870508158622</v>
      </c>
      <c r="S91" s="191" t="str">
        <f>IF(F91&lt;&gt;"","",IF(G91="","",-G91*(SUMIF('raw Data'!$A:$A,"RESINV1USD",'raw Data'!$G:$G)+SUMIF('raw Data'!$A:$A,"RESSWAPORUSD",'raw Data'!$G:$G))/(36500*J91)))</f>
        <v/>
      </c>
      <c r="T91" s="202" t="str">
        <f>IF(G91&lt;&gt;"","",IF(F91="","",-36500*J91*F91/(SUMIF('raw Data'!$A:$A,"RESINV1USD",'raw Data'!$G:$G)+SUMIF('raw Data'!$A:$A,"RESSWAPORUSD",'raw Data'!$G:$G))))</f>
        <v/>
      </c>
      <c r="U91" s="125">
        <f>SUMIF('raw Data'!$E:$E,A91,'raw Data'!$N:$N)</f>
        <v>0</v>
      </c>
      <c r="V91" s="126">
        <v>40561</v>
      </c>
      <c r="W91" s="127">
        <v>40558</v>
      </c>
      <c r="X91" s="127">
        <v>40739</v>
      </c>
      <c r="Y91" s="127">
        <v>41470</v>
      </c>
      <c r="Z91" s="127">
        <v>41654</v>
      </c>
      <c r="AA91" s="128">
        <v>0.01</v>
      </c>
      <c r="AB91" s="129">
        <v>32701000000.000004</v>
      </c>
      <c r="AC91" s="130" t="str">
        <f ca="1">IF(LEFT(B91,1)="B",_xll.INSTANCE.TBILL(A91,V91,Z91,TODAY()),_xll.INSTANCE.TNOTE(A91,V91,W91,X91,Y91,Z91,AA91,TODAY()))</f>
        <v>US912828PQ74#0003</v>
      </c>
    </row>
    <row r="92" spans="1:29" x14ac:dyDescent="0.35">
      <c r="A92" s="131" t="s">
        <v>449</v>
      </c>
      <c r="B92" s="115" t="s">
        <v>1068</v>
      </c>
      <c r="C92" s="364"/>
      <c r="D92" s="116"/>
      <c r="E92" s="117"/>
      <c r="F92" s="118"/>
      <c r="G92" s="369"/>
      <c r="H92" s="120">
        <v>3.1106129999999999E-3</v>
      </c>
      <c r="I92" s="121">
        <f ca="1">_xll.INSTRUMENT.PRIX(AC92,D92,H92,cTreasuries)</f>
        <v>102.27661702718778</v>
      </c>
      <c r="J92" s="122">
        <f ca="1">_xll.INSTRUMENT.DV01(A92,,,I92,cContinuous,I92)</f>
        <v>-1.6117860710507734E-2</v>
      </c>
      <c r="K92" s="123">
        <f ca="1">_xll.INSTRUMENT.CONVEXITE(A92,,,I92,cContinuous,I92)</f>
        <v>2.4780019631121384</v>
      </c>
      <c r="L92" s="123">
        <f ca="1">_xll.INSTRUMENT.Z.SPREAD(A92,swapCurve,I92,cContinuous,D92)</f>
        <v>-20.180172494513069</v>
      </c>
      <c r="M92" s="123" t="e">
        <f ca="1">_xll.INSTRUMENT.Z.SPREAD(A92,ustCurve,I92,cContinuous,D92)</f>
        <v>#VALUE!</v>
      </c>
      <c r="N92" s="123">
        <f ca="1">_xll.INSTRUMENT.Z.SPREAD(A92,oisCurve,I92,cContinuous,D92)</f>
        <v>11.648024133795101</v>
      </c>
      <c r="O92" s="124" t="e">
        <f ca="1">1/_xll.CALENDRIER.FRAC.ANNEE(_xll.INSTRUMENT.DATE.REGLEMENT($AC92,,),_xll.INSTRUMENT.DATE.REGLEMENT($AC92,_xll.CALENDRIER.GAP.FINANCE(TODAY(),"1M","AUD","Unadjusted"),),"ACT/365")*(_xll.INSTRUMENT.ROLL.DOWN($A92,oisCurve,_xll.CALENDRIER.GAP.FINANCE(TODAY(),"1M","AUD","Unadjusted",TRUE),$N92)+100*$AA92*_xll.CALENDRIER.FRAC.ANNEE(_xll.INSTRUMENT.DATE.REGLEMENT($AC92,,),_xll.INSTRUMENT.DATE.REGLEMENT($AC92,_xll.CALENDRIER.GAP.FINANCE(TODAY(),"1M","AUD","Unadjusted"),),"ACT/365")-$I92)/$I92</f>
        <v>#NAME?</v>
      </c>
      <c r="P92" s="124" t="e">
        <f ca="1">1/_xll.CALENDRIER.FRAC.ANNEE(_xll.INSTRUMENT.DATE.REGLEMENT($AC92,,),_xll.INSTRUMENT.DATE.REGLEMENT($AC92,_xll.CALENDRIER.GAP.FINANCE(TODAY(),"3M","AUD","Unadjusted"),),"ACT/365")*(_xll.INSTRUMENT.ROLL.DOWN($A92,oisCurve,_xll.CALENDRIER.GAP.FINANCE(TODAY(),"3M","AUD","Unadjusted",TRUE),$N92)+100*$AA92*_xll.CALENDRIER.FRAC.ANNEE(_xll.INSTRUMENT.DATE.REGLEMENT($AC92,,),_xll.INSTRUMENT.DATE.REGLEMENT($AC92,_xll.CALENDRIER.GAP.FINANCE(TODAY(),"3M","AUD","Unadjusted"),),"ACT/365")-$I92)/$I92</f>
        <v>#NAME?</v>
      </c>
      <c r="Q92" s="371" t="e">
        <f ca="1">-(O92-curve!$T$3)/J92</f>
        <v>#NAME?</v>
      </c>
      <c r="R92" s="373">
        <f t="shared" ca="1" si="1"/>
        <v>-153.7426093710223</v>
      </c>
      <c r="S92" s="191" t="str">
        <f>IF(F92&lt;&gt;"","",IF(G92="","",-G92*(SUMIF('raw Data'!$A:$A,"RESINV1USD",'raw Data'!$G:$G)+SUMIF('raw Data'!$A:$A,"RESSWAPORUSD",'raw Data'!$G:$G))/(36500*J92)))</f>
        <v/>
      </c>
      <c r="T92" s="202" t="str">
        <f>IF(G92&lt;&gt;"","",IF(F92="","",-36500*J92*F92/(SUMIF('raw Data'!$A:$A,"RESINV1USD",'raw Data'!$G:$G)+SUMIF('raw Data'!$A:$A,"RESSWAPORUSD",'raw Data'!$G:$G))))</f>
        <v/>
      </c>
      <c r="U92" s="125">
        <f>SUMIF('raw Data'!$E:$E,A92,'raw Data'!$N:$N)</f>
        <v>0</v>
      </c>
      <c r="V92" s="126">
        <v>39846</v>
      </c>
      <c r="W92" s="127">
        <v>39844</v>
      </c>
      <c r="X92" s="127">
        <v>40025</v>
      </c>
      <c r="Y92" s="127">
        <v>41486</v>
      </c>
      <c r="Z92" s="127">
        <v>41670</v>
      </c>
      <c r="AA92" s="128">
        <v>1.7500000000000002E-2</v>
      </c>
      <c r="AB92" s="129">
        <v>31273000000</v>
      </c>
      <c r="AC92" s="130" t="str">
        <f ca="1">IF(LEFT(B92,1)="B",_xll.INSTANCE.TBILL(A92,V92,Z92,TODAY()),_xll.INSTANCE.TNOTE(A92,V92,W92,X92,Y92,Z92,AA92,TODAY()))</f>
        <v>US912828JZ48#0003</v>
      </c>
    </row>
    <row r="93" spans="1:29" x14ac:dyDescent="0.35">
      <c r="A93" s="131" t="s">
        <v>54</v>
      </c>
      <c r="B93" s="115" t="s">
        <v>1069</v>
      </c>
      <c r="C93" s="364"/>
      <c r="D93" s="116"/>
      <c r="E93" s="117"/>
      <c r="F93" s="118"/>
      <c r="G93" s="369"/>
      <c r="H93" s="120">
        <v>3.070485E-3</v>
      </c>
      <c r="I93" s="121">
        <f ca="1">_xll.INSTRUMENT.PRIX(AC93,D93,H93,cTreasuries)</f>
        <v>99.908912581959186</v>
      </c>
      <c r="J93" s="122">
        <f ca="1">_xll.INSTRUMENT.DV01(A93,,,I93,cContinuous,I93)</f>
        <v>-1.5868230666991435E-2</v>
      </c>
      <c r="K93" s="123">
        <f ca="1">_xll.INSTRUMENT.CONVEXITE(A93,,,I93,cContinuous,I93)</f>
        <v>2.5217831277701985</v>
      </c>
      <c r="L93" s="123">
        <f ca="1">_xll.INSTRUMENT.Z.SPREAD(A93,swapCurve,I93,cContinuous,D93)</f>
        <v>-20.620995109577127</v>
      </c>
      <c r="M93" s="123" t="e">
        <f ca="1">_xll.INSTRUMENT.Z.SPREAD(A93,ustCurve,I93,cContinuous,D93)</f>
        <v>#VALUE!</v>
      </c>
      <c r="N93" s="123">
        <f ca="1">_xll.INSTRUMENT.Z.SPREAD(A93,oisCurve,I93,cContinuous,D93)</f>
        <v>11.239080607662775</v>
      </c>
      <c r="O93" s="124" t="e">
        <f ca="1">1/_xll.CALENDRIER.FRAC.ANNEE(_xll.INSTRUMENT.DATE.REGLEMENT($AC93,,),_xll.INSTRUMENT.DATE.REGLEMENT($AC93,_xll.CALENDRIER.GAP.FINANCE(TODAY(),"1M","AUD","Unadjusted"),),"ACT/365")*(_xll.INSTRUMENT.ROLL.DOWN($A93,oisCurve,_xll.CALENDRIER.GAP.FINANCE(TODAY(),"1M","AUD","Unadjusted",TRUE),$N93)+100*$AA93*_xll.CALENDRIER.FRAC.ANNEE(_xll.INSTRUMENT.DATE.REGLEMENT($AC93,,),_xll.INSTRUMENT.DATE.REGLEMENT($AC93,_xll.CALENDRIER.GAP.FINANCE(TODAY(),"1M","AUD","Unadjusted"),),"ACT/365")-$I93)/$I93</f>
        <v>#NAME?</v>
      </c>
      <c r="P93" s="124" t="e">
        <f ca="1">1/_xll.CALENDRIER.FRAC.ANNEE(_xll.INSTRUMENT.DATE.REGLEMENT($AC93,,),_xll.INSTRUMENT.DATE.REGLEMENT($AC93,_xll.CALENDRIER.GAP.FINANCE(TODAY(),"3M","AUD","Unadjusted"),),"ACT/365")*(_xll.INSTRUMENT.ROLL.DOWN($A93,oisCurve,_xll.CALENDRIER.GAP.FINANCE(TODAY(),"3M","AUD","Unadjusted",TRUE),$N93)+100*$AA93*_xll.CALENDRIER.FRAC.ANNEE(_xll.INSTRUMENT.DATE.REGLEMENT($AC93,,),_xll.INSTRUMENT.DATE.REGLEMENT($AC93,_xll.CALENDRIER.GAP.FINANCE(TODAY(),"3M","AUD","Unadjusted"),),"ACT/365")-$I93)/$I93</f>
        <v>#NAME?</v>
      </c>
      <c r="Q93" s="371" t="e">
        <f ca="1">-(O93-curve!$T$3)/J93</f>
        <v>#NAME?</v>
      </c>
      <c r="R93" s="373">
        <f t="shared" ca="1" si="1"/>
        <v>-158.92024641511722</v>
      </c>
      <c r="S93" s="191" t="str">
        <f>IF(F93&lt;&gt;"","",IF(G93="","",-G93*(SUMIF('raw Data'!$A:$A,"RESINV1USD",'raw Data'!$G:$G)+SUMIF('raw Data'!$A:$A,"RESSWAPORUSD",'raw Data'!$G:$G))/(36500*J93)))</f>
        <v/>
      </c>
      <c r="T93" s="202" t="str">
        <f>IF(G93&lt;&gt;"","",IF(F93="","",-36500*J93*F93/(SUMIF('raw Data'!$A:$A,"RESINV1USD",'raw Data'!$G:$G)+SUMIF('raw Data'!$A:$A,"RESSWAPORUSD",'raw Data'!$G:$G))))</f>
        <v/>
      </c>
      <c r="U93" s="125">
        <f>SUMIF('raw Data'!$E:$E,A93,'raw Data'!$N:$N)</f>
        <v>706531.33810767927</v>
      </c>
      <c r="V93" s="126">
        <v>40939</v>
      </c>
      <c r="W93" s="127">
        <v>40939</v>
      </c>
      <c r="X93" s="127">
        <v>41121</v>
      </c>
      <c r="Y93" s="127">
        <v>41486</v>
      </c>
      <c r="Z93" s="127">
        <v>41670</v>
      </c>
      <c r="AA93" s="128">
        <v>2.5000000000000001E-3</v>
      </c>
      <c r="AB93" s="129">
        <v>35660000000</v>
      </c>
      <c r="AC93" s="130" t="str">
        <f ca="1">IF(LEFT(B93,1)="B",_xll.INSTANCE.TBILL(A93,V93,Z93,TODAY()),_xll.INSTANCE.TNOTE(A93,V93,W93,X93,Y93,Z93,AA93,TODAY()))</f>
        <v>US912828SB78#0003</v>
      </c>
    </row>
    <row r="94" spans="1:29" x14ac:dyDescent="0.35">
      <c r="A94" s="131" t="s">
        <v>450</v>
      </c>
      <c r="B94" s="115" t="s">
        <v>1070</v>
      </c>
      <c r="C94" s="364"/>
      <c r="D94" s="116"/>
      <c r="E94" s="117"/>
      <c r="F94" s="118"/>
      <c r="G94" s="369"/>
      <c r="H94" s="120">
        <v>3.1896960000000001E-3</v>
      </c>
      <c r="I94" s="121">
        <f ca="1">_xll.INSTRUMENT.PRIX(AC94,D94,H94,cTreasuries)</f>
        <v>101.51075001171714</v>
      </c>
      <c r="J94" s="122">
        <f ca="1">_xll.INSTRUMENT.DV01(A94,,,I94,cContinuous,I94)</f>
        <v>-1.644927103493329E-2</v>
      </c>
      <c r="K94" s="123">
        <f ca="1">_xll.INSTRUMENT.CONVEXITE(A94,,,I94,cContinuous,I94)</f>
        <v>2.6495920786292029</v>
      </c>
      <c r="L94" s="123">
        <f ca="1">_xll.INSTRUMENT.Z.SPREAD(A94,swapCurve,I94,cContinuous,D94)</f>
        <v>-19.820353134155976</v>
      </c>
      <c r="M94" s="123" t="e">
        <f ca="1">_xll.INSTRUMENT.Z.SPREAD(A94,ustCurve,I94,cContinuous,D94)</f>
        <v>#VALUE!</v>
      </c>
      <c r="N94" s="123">
        <f ca="1">_xll.INSTRUMENT.Z.SPREAD(A94,oisCurve,I94,cContinuous,D94)</f>
        <v>12.114740723115109</v>
      </c>
      <c r="O94" s="124" t="e">
        <f ca="1">1/_xll.CALENDRIER.FRAC.ANNEE(_xll.INSTRUMENT.DATE.REGLEMENT($AC94,,),_xll.INSTRUMENT.DATE.REGLEMENT($AC94,_xll.CALENDRIER.GAP.FINANCE(TODAY(),"1M","AUD","Unadjusted"),),"ACT/365")*(_xll.INSTRUMENT.ROLL.DOWN($A94,oisCurve,_xll.CALENDRIER.GAP.FINANCE(TODAY(),"1M","AUD","Unadjusted",TRUE),$N94)+100*$AA94*_xll.CALENDRIER.FRAC.ANNEE(_xll.INSTRUMENT.DATE.REGLEMENT($AC94,,),_xll.INSTRUMENT.DATE.REGLEMENT($AC94,_xll.CALENDRIER.GAP.FINANCE(TODAY(),"1M","AUD","Unadjusted"),),"ACT/365")-$I94)/$I94</f>
        <v>#NAME?</v>
      </c>
      <c r="P94" s="124" t="e">
        <f ca="1">1/_xll.CALENDRIER.FRAC.ANNEE(_xll.INSTRUMENT.DATE.REGLEMENT($AC94,,),_xll.INSTRUMENT.DATE.REGLEMENT($AC94,_xll.CALENDRIER.GAP.FINANCE(TODAY(),"3M","AUD","Unadjusted"),),"ACT/365")*(_xll.INSTRUMENT.ROLL.DOWN($A94,oisCurve,_xll.CALENDRIER.GAP.FINANCE(TODAY(),"3M","AUD","Unadjusted",TRUE),$N94)+100*$AA94*_xll.CALENDRIER.FRAC.ANNEE(_xll.INSTRUMENT.DATE.REGLEMENT($AC94,,),_xll.INSTRUMENT.DATE.REGLEMENT($AC94,_xll.CALENDRIER.GAP.FINANCE(TODAY(),"3M","AUD","Unadjusted"),),"ACT/365")-$I94)/$I94</f>
        <v>#NAME?</v>
      </c>
      <c r="Q94" s="371" t="e">
        <f ca="1">-(O94-curve!$T$3)/J94</f>
        <v>#NAME?</v>
      </c>
      <c r="R94" s="373">
        <f t="shared" ca="1" si="1"/>
        <v>-161.07656521691862</v>
      </c>
      <c r="S94" s="191" t="str">
        <f>IF(F94&lt;&gt;"","",IF(G94="","",-G94*(SUMIF('raw Data'!$A:$A,"RESINV1USD",'raw Data'!$G:$G)+SUMIF('raw Data'!$A:$A,"RESSWAPORUSD",'raw Data'!$G:$G))/(36500*J94)))</f>
        <v/>
      </c>
      <c r="T94" s="202" t="str">
        <f>IF(G94&lt;&gt;"","",IF(F94="","",-36500*J94*F94/(SUMIF('raw Data'!$A:$A,"RESINV1USD",'raw Data'!$G:$G)+SUMIF('raw Data'!$A:$A,"RESSWAPORUSD",'raw Data'!$G:$G))))</f>
        <v/>
      </c>
      <c r="U94" s="125">
        <f>SUMIF('raw Data'!$E:$E,A94,'raw Data'!$N:$N)</f>
        <v>0</v>
      </c>
      <c r="V94" s="126">
        <v>40589</v>
      </c>
      <c r="W94" s="127">
        <v>40589</v>
      </c>
      <c r="X94" s="127">
        <v>40770</v>
      </c>
      <c r="Y94" s="127">
        <v>41501</v>
      </c>
      <c r="Z94" s="127">
        <v>41685</v>
      </c>
      <c r="AA94" s="128">
        <v>1.2500000000000001E-2</v>
      </c>
      <c r="AB94" s="129">
        <v>32735000000.000004</v>
      </c>
      <c r="AC94" s="130" t="str">
        <f ca="1">IF(LEFT(B94,1)="B",_xll.INSTANCE.TBILL(A94,V94,Z94,TODAY()),_xll.INSTANCE.TNOTE(A94,V94,W94,X94,Y94,Z94,AA94,TODAY()))</f>
        <v>US912828QH66#0003</v>
      </c>
    </row>
    <row r="95" spans="1:29" x14ac:dyDescent="0.35">
      <c r="A95" s="131" t="s">
        <v>451</v>
      </c>
      <c r="B95" s="115" t="s">
        <v>1071</v>
      </c>
      <c r="C95" s="364"/>
      <c r="D95" s="116"/>
      <c r="E95" s="117"/>
      <c r="F95" s="118"/>
      <c r="G95" s="369"/>
      <c r="H95" s="120">
        <v>3.2175749999999999E-3</v>
      </c>
      <c r="I95" s="121">
        <f ca="1">_xll.INSTRUMENT.PRIX(AC95,D95,H95,cTreasuries)</f>
        <v>105.97072792557022</v>
      </c>
      <c r="J95" s="122">
        <f ca="1">_xll.INSTRUMENT.DV01(A95,,,I95,cContinuous,I95)</f>
        <v>-1.6930437345250578E-2</v>
      </c>
      <c r="K95" s="123">
        <f ca="1">_xll.INSTRUMENT.CONVEXITE(A95,,,I95,cContinuous,I95)</f>
        <v>2.5700856479359193</v>
      </c>
      <c r="L95" s="123">
        <f ca="1">_xll.INSTRUMENT.Z.SPREAD(A95,swapCurve,I95,cContinuous,D95)</f>
        <v>-19.463708223276694</v>
      </c>
      <c r="M95" s="123" t="e">
        <f ca="1">_xll.INSTRUMENT.Z.SPREAD(A95,ustCurve,I95,cContinuous,D95)</f>
        <v>#VALUE!</v>
      </c>
      <c r="N95" s="123">
        <f ca="1">_xll.INSTRUMENT.Z.SPREAD(A95,oisCurve,I95,cContinuous,D95)</f>
        <v>12.411711834897051</v>
      </c>
      <c r="O95" s="124" t="e">
        <f ca="1">1/_xll.CALENDRIER.FRAC.ANNEE(_xll.INSTRUMENT.DATE.REGLEMENT($AC95,,),_xll.INSTRUMENT.DATE.REGLEMENT($AC95,_xll.CALENDRIER.GAP.FINANCE(TODAY(),"1M","AUD","Unadjusted"),),"ACT/365")*(_xll.INSTRUMENT.ROLL.DOWN($A95,oisCurve,_xll.CALENDRIER.GAP.FINANCE(TODAY(),"1M","AUD","Unadjusted",TRUE),$N95)+100*$AA95*_xll.CALENDRIER.FRAC.ANNEE(_xll.INSTRUMENT.DATE.REGLEMENT($AC95,,),_xll.INSTRUMENT.DATE.REGLEMENT($AC95,_xll.CALENDRIER.GAP.FINANCE(TODAY(),"1M","AUD","Unadjusted"),),"ACT/365")-$I95)/$I95</f>
        <v>#NAME?</v>
      </c>
      <c r="P95" s="124" t="e">
        <f ca="1">1/_xll.CALENDRIER.FRAC.ANNEE(_xll.INSTRUMENT.DATE.REGLEMENT($AC95,,),_xll.INSTRUMENT.DATE.REGLEMENT($AC95,_xll.CALENDRIER.GAP.FINANCE(TODAY(),"3M","AUD","Unadjusted"),),"ACT/365")*(_xll.INSTRUMENT.ROLL.DOWN($A95,oisCurve,_xll.CALENDRIER.GAP.FINANCE(TODAY(),"3M","AUD","Unadjusted",TRUE),$N95)+100*$AA95*_xll.CALENDRIER.FRAC.ANNEE(_xll.INSTRUMENT.DATE.REGLEMENT($AC95,,),_xll.INSTRUMENT.DATE.REGLEMENT($AC95,_xll.CALENDRIER.GAP.FINANCE(TODAY(),"3M","AUD","Unadjusted"),),"ACT/365")-$I95)/$I95</f>
        <v>#NAME?</v>
      </c>
      <c r="Q95" s="371" t="e">
        <f ca="1">-(O95-curve!$T$3)/J95</f>
        <v>#NAME?</v>
      </c>
      <c r="R95" s="373">
        <f t="shared" ca="1" si="1"/>
        <v>-151.80267322845586</v>
      </c>
      <c r="S95" s="191" t="str">
        <f>IF(F95&lt;&gt;"","",IF(G95="","",-G95*(SUMIF('raw Data'!$A:$A,"RESINV1USD",'raw Data'!$G:$G)+SUMIF('raw Data'!$A:$A,"RESSWAPORUSD",'raw Data'!$G:$G))/(36500*J95)))</f>
        <v/>
      </c>
      <c r="T95" s="202" t="str">
        <f>IF(G95&lt;&gt;"","",IF(F95="","",-36500*J95*F95/(SUMIF('raw Data'!$A:$A,"RESINV1USD",'raw Data'!$G:$G)+SUMIF('raw Data'!$A:$A,"RESSWAPORUSD",'raw Data'!$G:$G))))</f>
        <v/>
      </c>
      <c r="U95" s="125">
        <f>SUMIF('raw Data'!$E:$E,A95,'raw Data'!$N:$N)</f>
        <v>0</v>
      </c>
      <c r="V95" s="126">
        <v>38034</v>
      </c>
      <c r="W95" s="127">
        <v>38032</v>
      </c>
      <c r="X95" s="127">
        <v>38214</v>
      </c>
      <c r="Y95" s="127">
        <v>41501</v>
      </c>
      <c r="Z95" s="127">
        <v>41685</v>
      </c>
      <c r="AA95" s="128">
        <v>0.04</v>
      </c>
      <c r="AB95" s="129">
        <v>28081000000</v>
      </c>
      <c r="AC95" s="130" t="str">
        <f ca="1">IF(LEFT(B95,1)="B",_xll.INSTANCE.TBILL(A95,V95,Z95,TODAY()),_xll.INSTANCE.TNOTE(A95,V95,W95,X95,Y95,Z95,AA95,TODAY()))</f>
        <v>US912828CA69#0003</v>
      </c>
    </row>
    <row r="96" spans="1:29" x14ac:dyDescent="0.35">
      <c r="A96" s="131" t="s">
        <v>198</v>
      </c>
      <c r="B96" s="115" t="s">
        <v>1072</v>
      </c>
      <c r="C96" s="364" t="s">
        <v>934</v>
      </c>
      <c r="D96" s="116"/>
      <c r="E96" s="117"/>
      <c r="F96" s="118"/>
      <c r="G96" s="369"/>
      <c r="H96" s="120">
        <v>3.1126310000000003E-3</v>
      </c>
      <c r="I96" s="121">
        <f ca="1">_xll.INSTRUMENT.PRIX(AC96,D96,H96,cTreasuries)</f>
        <v>99.899180794227206</v>
      </c>
      <c r="J96" s="122">
        <f ca="1">_xll.INSTRUMENT.DV01(A96,,,I96,cContinuous,I96)</f>
        <v>-1.6630563209930262E-2</v>
      </c>
      <c r="K96" s="123">
        <f ca="1">_xll.INSTRUMENT.CONVEXITE(A96,,,I96,cContinuous,I96)</f>
        <v>2.7711479568661406</v>
      </c>
      <c r="L96" s="123">
        <f ca="1">_xll.INSTRUMENT.Z.SPREAD(A96,swapCurve,I96,cContinuous,D96)</f>
        <v>-20.604577590241469</v>
      </c>
      <c r="M96" s="123" t="e">
        <f ca="1">_xll.INSTRUMENT.Z.SPREAD(A96,ustCurve,I96,cContinuous,D96)</f>
        <v>#VALUE!</v>
      </c>
      <c r="N96" s="123">
        <f ca="1">_xll.INSTRUMENT.Z.SPREAD(A96,oisCurve,I96,cContinuous,D96)</f>
        <v>11.40480280443267</v>
      </c>
      <c r="O96" s="124" t="e">
        <f ca="1">1/_xll.CALENDRIER.FRAC.ANNEE(_xll.INSTRUMENT.DATE.REGLEMENT($AC96,,),_xll.INSTRUMENT.DATE.REGLEMENT($AC96,_xll.CALENDRIER.GAP.FINANCE(TODAY(),"1M","AUD","Unadjusted"),),"ACT/365")*(_xll.INSTRUMENT.ROLL.DOWN($A96,oisCurve,_xll.CALENDRIER.GAP.FINANCE(TODAY(),"1M","AUD","Unadjusted",TRUE),$N96)+100*$AA96*_xll.CALENDRIER.FRAC.ANNEE(_xll.INSTRUMENT.DATE.REGLEMENT($AC96,,),_xll.INSTRUMENT.DATE.REGLEMENT($AC96,_xll.CALENDRIER.GAP.FINANCE(TODAY(),"1M","AUD","Unadjusted"),),"ACT/365")-$I96)/$I96</f>
        <v>#NAME?</v>
      </c>
      <c r="P96" s="124" t="e">
        <f ca="1">1/_xll.CALENDRIER.FRAC.ANNEE(_xll.INSTRUMENT.DATE.REGLEMENT($AC96,,),_xll.INSTRUMENT.DATE.REGLEMENT($AC96,_xll.CALENDRIER.GAP.FINANCE(TODAY(),"3M","AUD","Unadjusted"),),"ACT/365")*(_xll.INSTRUMENT.ROLL.DOWN($A96,oisCurve,_xll.CALENDRIER.GAP.FINANCE(TODAY(),"3M","AUD","Unadjusted",TRUE),$N96)+100*$AA96*_xll.CALENDRIER.FRAC.ANNEE(_xll.INSTRUMENT.DATE.REGLEMENT($AC96,,),_xll.INSTRUMENT.DATE.REGLEMENT($AC96,_xll.CALENDRIER.GAP.FINANCE(TODAY(),"3M","AUD","Unadjusted"),),"ACT/365")-$I96)/$I96</f>
        <v>#NAME?</v>
      </c>
      <c r="Q96" s="371" t="e">
        <f ca="1">-(O96-curve!$T$3)/J96</f>
        <v>#NAME?</v>
      </c>
      <c r="R96" s="373">
        <f t="shared" ca="1" si="1"/>
        <v>-166.62983218821253</v>
      </c>
      <c r="S96" s="191" t="str">
        <f>IF(F96&lt;&gt;"","",IF(G96="","",-G96*(SUMIF('raw Data'!$A:$A,"RESINV1USD",'raw Data'!$G:$G)+SUMIF('raw Data'!$A:$A,"RESSWAPORUSD",'raw Data'!$G:$G))/(36500*J96)))</f>
        <v/>
      </c>
      <c r="T96" s="202" t="str">
        <f>IF(G96&lt;&gt;"","",IF(F96="","",-36500*J96*F96/(SUMIF('raw Data'!$A:$A,"RESINV1USD",'raw Data'!$G:$G)+SUMIF('raw Data'!$A:$A,"RESSWAPORUSD",'raw Data'!$G:$G))))</f>
        <v/>
      </c>
      <c r="U96" s="125">
        <f>SUMIF('raw Data'!$E:$E,A96,'raw Data'!$N:$N)</f>
        <v>-412484.12210975739</v>
      </c>
      <c r="V96" s="126">
        <v>40968</v>
      </c>
      <c r="W96" s="127">
        <v>40968</v>
      </c>
      <c r="X96" s="127">
        <v>41152</v>
      </c>
      <c r="Y96" s="127">
        <v>41517</v>
      </c>
      <c r="Z96" s="127">
        <v>41698</v>
      </c>
      <c r="AA96" s="128">
        <v>2.5000000000000001E-3</v>
      </c>
      <c r="AB96" s="129">
        <v>35496000000</v>
      </c>
      <c r="AC96" s="130" t="str">
        <f ca="1">IF(LEFT(B96,1)="B",_xll.INSTANCE.TBILL(A96,V96,Z96,TODAY()),_xll.INSTANCE.TNOTE(A96,V96,W96,X96,Y96,Z96,AA96,TODAY()))</f>
        <v>US912828SG65#0003</v>
      </c>
    </row>
    <row r="97" spans="1:29" x14ac:dyDescent="0.35">
      <c r="A97" s="131" t="s">
        <v>452</v>
      </c>
      <c r="B97" s="115" t="s">
        <v>1073</v>
      </c>
      <c r="C97" s="364"/>
      <c r="D97" s="116"/>
      <c r="E97" s="117"/>
      <c r="F97" s="118"/>
      <c r="G97" s="369"/>
      <c r="H97" s="120">
        <v>3.2393389999999999E-3</v>
      </c>
      <c r="I97" s="121">
        <f ca="1">_xll.INSTRUMENT.PRIX(AC97,D97,H97,cTreasuries)</f>
        <v>102.58418196808037</v>
      </c>
      <c r="J97" s="122">
        <f ca="1">_xll.INSTRUMENT.DV01(A97,,,I97,cContinuous,I97)</f>
        <v>-1.6924644657326994E-2</v>
      </c>
      <c r="K97" s="123">
        <f ca="1">_xll.INSTRUMENT.CONVEXITE(A97,,,I97,cContinuous,I97)</f>
        <v>2.7205399419516674</v>
      </c>
      <c r="L97" s="123">
        <f ca="1">_xll.INSTRUMENT.Z.SPREAD(A97,swapCurve,I97,cContinuous,D97)</f>
        <v>-19.294494090281646</v>
      </c>
      <c r="M97" s="123" t="e">
        <f ca="1">_xll.INSTRUMENT.Z.SPREAD(A97,ustCurve,I97,cContinuous,D97)</f>
        <v>#VALUE!</v>
      </c>
      <c r="N97" s="123">
        <f ca="1">_xll.INSTRUMENT.Z.SPREAD(A97,oisCurve,I97,cContinuous,D97)</f>
        <v>12.680017433878842</v>
      </c>
      <c r="O97" s="124" t="e">
        <f ca="1">1/_xll.CALENDRIER.FRAC.ANNEE(_xll.INSTRUMENT.DATE.REGLEMENT($AC97,,),_xll.INSTRUMENT.DATE.REGLEMENT($AC97,_xll.CALENDRIER.GAP.FINANCE(TODAY(),"1M","AUD","Unadjusted"),),"ACT/365")*(_xll.INSTRUMENT.ROLL.DOWN($A97,oisCurve,_xll.CALENDRIER.GAP.FINANCE(TODAY(),"1M","AUD","Unadjusted",TRUE),$N97)+100*$AA97*_xll.CALENDRIER.FRAC.ANNEE(_xll.INSTRUMENT.DATE.REGLEMENT($AC97,,),_xll.INSTRUMENT.DATE.REGLEMENT($AC97,_xll.CALENDRIER.GAP.FINANCE(TODAY(),"1M","AUD","Unadjusted"),),"ACT/365")-$I97)/$I97</f>
        <v>#NAME?</v>
      </c>
      <c r="P97" s="124" t="e">
        <f ca="1">1/_xll.CALENDRIER.FRAC.ANNEE(_xll.INSTRUMENT.DATE.REGLEMENT($AC97,,),_xll.INSTRUMENT.DATE.REGLEMENT($AC97,_xll.CALENDRIER.GAP.FINANCE(TODAY(),"3M","AUD","Unadjusted"),),"ACT/365")*(_xll.INSTRUMENT.ROLL.DOWN($A97,oisCurve,_xll.CALENDRIER.GAP.FINANCE(TODAY(),"3M","AUD","Unadjusted",TRUE),$N97)+100*$AA97*_xll.CALENDRIER.FRAC.ANNEE(_xll.INSTRUMENT.DATE.REGLEMENT($AC97,,),_xll.INSTRUMENT.DATE.REGLEMENT($AC97,_xll.CALENDRIER.GAP.FINANCE(TODAY(),"3M","AUD","Unadjusted"),),"ACT/365")-$I97)/$I97</f>
        <v>#NAME?</v>
      </c>
      <c r="Q97" s="371" t="e">
        <f ca="1">-(O97-curve!$T$3)/J97</f>
        <v>#NAME?</v>
      </c>
      <c r="R97" s="373">
        <f t="shared" ca="1" si="1"/>
        <v>-160.74428722341861</v>
      </c>
      <c r="S97" s="191" t="str">
        <f>IF(F97&lt;&gt;"","",IF(G97="","",-G97*(SUMIF('raw Data'!$A:$A,"RESINV1USD",'raw Data'!$G:$G)+SUMIF('raw Data'!$A:$A,"RESSWAPORUSD",'raw Data'!$G:$G))/(36500*J97)))</f>
        <v/>
      </c>
      <c r="T97" s="202" t="str">
        <f>IF(G97&lt;&gt;"","",IF(F97="","",-36500*J97*F97/(SUMIF('raw Data'!$A:$A,"RESINV1USD",'raw Data'!$G:$G)+SUMIF('raw Data'!$A:$A,"RESSWAPORUSD",'raw Data'!$G:$G))))</f>
        <v/>
      </c>
      <c r="U97" s="125">
        <f>SUMIF('raw Data'!$E:$E,A97,'raw Data'!$N:$N)</f>
        <v>0</v>
      </c>
      <c r="V97" s="126">
        <v>39874</v>
      </c>
      <c r="W97" s="127">
        <v>39872</v>
      </c>
      <c r="X97" s="127">
        <v>40056</v>
      </c>
      <c r="Y97" s="127">
        <v>41517</v>
      </c>
      <c r="Z97" s="127">
        <v>41698</v>
      </c>
      <c r="AA97" s="128">
        <v>1.8749999999999999E-2</v>
      </c>
      <c r="AB97" s="129">
        <v>33714000000</v>
      </c>
      <c r="AC97" s="130" t="str">
        <f ca="1">IF(LEFT(B97,1)="B",_xll.INSTANCE.TBILL(A97,V97,Z97,TODAY()),_xll.INSTANCE.TNOTE(A97,V97,W97,X97,Y97,Z97,AA97,TODAY()))</f>
        <v>US912828KF64#0003</v>
      </c>
    </row>
    <row r="98" spans="1:29" x14ac:dyDescent="0.35">
      <c r="A98" s="131" t="s">
        <v>453</v>
      </c>
      <c r="B98" s="115" t="s">
        <v>1074</v>
      </c>
      <c r="C98" s="364"/>
      <c r="D98" s="116"/>
      <c r="E98" s="117"/>
      <c r="F98" s="118"/>
      <c r="G98" s="369"/>
      <c r="H98" s="120">
        <v>3.204204E-3</v>
      </c>
      <c r="I98" s="121">
        <f ca="1">_xll.INSTRUMENT.PRIX(AC98,D98,H98,cTreasuries)</f>
        <v>101.58682930725701</v>
      </c>
      <c r="J98" s="122">
        <f ca="1">_xll.INSTRUMENT.DV01(A98,,,I98,cContinuous,I98)</f>
        <v>-1.7227908171180219E-2</v>
      </c>
      <c r="K98" s="123">
        <f ca="1">_xll.INSTRUMENT.CONVEXITE(A98,,,I98,cContinuous,I98)</f>
        <v>2.8951735239311844</v>
      </c>
      <c r="L98" s="123">
        <f ca="1">_xll.INSTRUMENT.Z.SPREAD(A98,swapCurve,I98,cContinuous,D98)</f>
        <v>-20.011012148376373</v>
      </c>
      <c r="M98" s="123" t="e">
        <f ca="1">_xll.INSTRUMENT.Z.SPREAD(A98,ustCurve,I98,cContinuous,D98)</f>
        <v>#VALUE!</v>
      </c>
      <c r="N98" s="123">
        <f ca="1">_xll.INSTRUMENT.Z.SPREAD(A98,oisCurve,I98,cContinuous,D98)</f>
        <v>12.064399823328792</v>
      </c>
      <c r="O98" s="124" t="e">
        <f ca="1">1/_xll.CALENDRIER.FRAC.ANNEE(_xll.INSTRUMENT.DATE.REGLEMENT($AC98,,),_xll.INSTRUMENT.DATE.REGLEMENT($AC98,_xll.CALENDRIER.GAP.FINANCE(TODAY(),"1M","AUD","Unadjusted"),),"ACT/365")*(_xll.INSTRUMENT.ROLL.DOWN($A98,oisCurve,_xll.CALENDRIER.GAP.FINANCE(TODAY(),"1M","AUD","Unadjusted",TRUE),$N98)+100*$AA98*_xll.CALENDRIER.FRAC.ANNEE(_xll.INSTRUMENT.DATE.REGLEMENT($AC98,,),_xll.INSTRUMENT.DATE.REGLEMENT($AC98,_xll.CALENDRIER.GAP.FINANCE(TODAY(),"1M","AUD","Unadjusted"),),"ACT/365")-$I98)/$I98</f>
        <v>#NAME?</v>
      </c>
      <c r="P98" s="124" t="e">
        <f ca="1">1/_xll.CALENDRIER.FRAC.ANNEE(_xll.INSTRUMENT.DATE.REGLEMENT($AC98,,),_xll.INSTRUMENT.DATE.REGLEMENT($AC98,_xll.CALENDRIER.GAP.FINANCE(TODAY(),"3M","AUD","Unadjusted"),),"ACT/365")*(_xll.INSTRUMENT.ROLL.DOWN($A98,oisCurve,_xll.CALENDRIER.GAP.FINANCE(TODAY(),"3M","AUD","Unadjusted",TRUE),$N98)+100*$AA98*_xll.CALENDRIER.FRAC.ANNEE(_xll.INSTRUMENT.DATE.REGLEMENT($AC98,,),_xll.INSTRUMENT.DATE.REGLEMENT($AC98,_xll.CALENDRIER.GAP.FINANCE(TODAY(),"3M","AUD","Unadjusted"),),"ACT/365")-$I98)/$I98</f>
        <v>#NAME?</v>
      </c>
      <c r="Q98" s="371" t="e">
        <f ca="1">-(O98-curve!$T$3)/J98</f>
        <v>#NAME?</v>
      </c>
      <c r="R98" s="373">
        <f t="shared" ca="1" si="1"/>
        <v>-168.05136730264141</v>
      </c>
      <c r="S98" s="191" t="str">
        <f>IF(F98&lt;&gt;"","",IF(G98="","",-G98*(SUMIF('raw Data'!$A:$A,"RESINV1USD",'raw Data'!$G:$G)+SUMIF('raw Data'!$A:$A,"RESSWAPORUSD",'raw Data'!$G:$G))/(36500*J98)))</f>
        <v/>
      </c>
      <c r="T98" s="202" t="str">
        <f>IF(G98&lt;&gt;"","",IF(F98="","",-36500*J98*F98/(SUMIF('raw Data'!$A:$A,"RESINV1USD",'raw Data'!$G:$G)+SUMIF('raw Data'!$A:$A,"RESSWAPORUSD",'raw Data'!$G:$G))))</f>
        <v/>
      </c>
      <c r="U98" s="125">
        <f>SUMIF('raw Data'!$E:$E,A98,'raw Data'!$N:$N)</f>
        <v>0</v>
      </c>
      <c r="V98" s="126">
        <v>40617</v>
      </c>
      <c r="W98" s="127">
        <v>40617</v>
      </c>
      <c r="X98" s="127">
        <v>40801</v>
      </c>
      <c r="Y98" s="127">
        <v>41532</v>
      </c>
      <c r="Z98" s="127">
        <v>41713</v>
      </c>
      <c r="AA98" s="128">
        <v>1.2500000000000001E-2</v>
      </c>
      <c r="AB98" s="129">
        <v>32000000000</v>
      </c>
      <c r="AC98" s="130" t="str">
        <f ca="1">IF(LEFT(B98,1)="B",_xll.INSTANCE.TBILL(A98,V98,Z98,TODAY()),_xll.INSTANCE.TNOTE(A98,V98,W98,X98,Y98,Z98,AA98,TODAY()))</f>
        <v>US912828PZ73#0003</v>
      </c>
    </row>
    <row r="99" spans="1:29" x14ac:dyDescent="0.35">
      <c r="A99" s="131" t="s">
        <v>56</v>
      </c>
      <c r="B99" s="115" t="s">
        <v>1075</v>
      </c>
      <c r="C99" s="364" t="s">
        <v>929</v>
      </c>
      <c r="D99" s="116"/>
      <c r="E99" s="117"/>
      <c r="F99" s="118"/>
      <c r="G99" s="369"/>
      <c r="H99" s="120">
        <v>3.1734659999999998E-3</v>
      </c>
      <c r="I99" s="121">
        <f ca="1">_xll.INSTRUMENT.PRIX(AC99,D99,H99,cTreasuries)</f>
        <v>99.882540416421378</v>
      </c>
      <c r="J99" s="122">
        <f ca="1">_xll.INSTRUMENT.DV01(A99,,,I99,cContinuous,I99)</f>
        <v>-1.7473155209709448E-2</v>
      </c>
      <c r="K99" s="123">
        <f ca="1">_xll.INSTRUMENT.CONVEXITE(A99,,,I99,cContinuous,I99)</f>
        <v>3.0608980083972641</v>
      </c>
      <c r="L99" s="123">
        <f ca="1">_xll.INSTRUMENT.Z.SPREAD(A99,swapCurve,I99,cContinuous,D99)</f>
        <v>-20.441058963635591</v>
      </c>
      <c r="M99" s="123" t="e">
        <f ca="1">_xll.INSTRUMENT.Z.SPREAD(A99,ustCurve,I99,cContinuous,D99)</f>
        <v>#VALUE!</v>
      </c>
      <c r="N99" s="123">
        <f ca="1">_xll.INSTRUMENT.Z.SPREAD(A99,oisCurve,I99,cContinuous,D99)</f>
        <v>11.717833957064414</v>
      </c>
      <c r="O99" s="124" t="e">
        <f ca="1">1/_xll.CALENDRIER.FRAC.ANNEE(_xll.INSTRUMENT.DATE.REGLEMENT($AC99,,),_xll.INSTRUMENT.DATE.REGLEMENT($AC99,_xll.CALENDRIER.GAP.FINANCE(TODAY(),"1M","AUD","Unadjusted"),),"ACT/365")*(_xll.INSTRUMENT.ROLL.DOWN($A99,oisCurve,_xll.CALENDRIER.GAP.FINANCE(TODAY(),"1M","AUD","Unadjusted",TRUE),$N99)+100*$AA99*_xll.CALENDRIER.FRAC.ANNEE(_xll.INSTRUMENT.DATE.REGLEMENT($AC99,,),_xll.INSTRUMENT.DATE.REGLEMENT($AC99,_xll.CALENDRIER.GAP.FINANCE(TODAY(),"1M","AUD","Unadjusted"),),"ACT/365")-$I99)/$I99</f>
        <v>#NAME?</v>
      </c>
      <c r="P99" s="124" t="e">
        <f ca="1">1/_xll.CALENDRIER.FRAC.ANNEE(_xll.INSTRUMENT.DATE.REGLEMENT($AC99,,),_xll.INSTRUMENT.DATE.REGLEMENT($AC99,_xll.CALENDRIER.GAP.FINANCE(TODAY(),"3M","AUD","Unadjusted"),),"ACT/365")*(_xll.INSTRUMENT.ROLL.DOWN($A99,oisCurve,_xll.CALENDRIER.GAP.FINANCE(TODAY(),"3M","AUD","Unadjusted",TRUE),$N99)+100*$AA99*_xll.CALENDRIER.FRAC.ANNEE(_xll.INSTRUMENT.DATE.REGLEMENT($AC99,,),_xll.INSTRUMENT.DATE.REGLEMENT($AC99,_xll.CALENDRIER.GAP.FINANCE(TODAY(),"3M","AUD","Unadjusted"),),"ACT/365")-$I99)/$I99</f>
        <v>#NAME?</v>
      </c>
      <c r="Q99" s="371" t="e">
        <f ca="1">-(O99-curve!$T$3)/J99</f>
        <v>#NAME?</v>
      </c>
      <c r="R99" s="373">
        <f t="shared" ca="1" si="1"/>
        <v>-175.17717731348202</v>
      </c>
      <c r="S99" s="191" t="str">
        <f>IF(F99&lt;&gt;"","",IF(G99="","",-G99*(SUMIF('raw Data'!$A:$A,"RESINV1USD",'raw Data'!$G:$G)+SUMIF('raw Data'!$A:$A,"RESSWAPORUSD",'raw Data'!$G:$G))/(36500*J99)))</f>
        <v/>
      </c>
      <c r="T99" s="202" t="str">
        <f>IF(G99&lt;&gt;"","",IF(F99="","",-36500*J99*F99/(SUMIF('raw Data'!$A:$A,"RESINV1USD",'raw Data'!$G:$G)+SUMIF('raw Data'!$A:$A,"RESSWAPORUSD",'raw Data'!$G:$G))))</f>
        <v/>
      </c>
      <c r="U99" s="125">
        <f>SUMIF('raw Data'!$E:$E,A99,'raw Data'!$N:$N)</f>
        <v>633515.87789024261</v>
      </c>
      <c r="V99" s="126">
        <v>41001</v>
      </c>
      <c r="W99" s="127">
        <v>40999</v>
      </c>
      <c r="X99" s="127">
        <v>41182</v>
      </c>
      <c r="Y99" s="127">
        <v>41547</v>
      </c>
      <c r="Z99" s="127">
        <v>41729</v>
      </c>
      <c r="AA99" s="128">
        <v>2.5000000000000001E-3</v>
      </c>
      <c r="AB99" s="129">
        <v>35830000000</v>
      </c>
      <c r="AC99" s="130" t="str">
        <f ca="1">IF(LEFT(B99,1)="B",_xll.INSTANCE.TBILL(A99,V99,Z99,TODAY()),_xll.INSTANCE.TNOTE(A99,V99,W99,X99,Y99,Z99,AA99,TODAY()))</f>
        <v>US912828SL50#0003</v>
      </c>
    </row>
    <row r="100" spans="1:29" x14ac:dyDescent="0.35">
      <c r="A100" s="131" t="s">
        <v>454</v>
      </c>
      <c r="B100" s="115" t="s">
        <v>1076</v>
      </c>
      <c r="C100" s="364"/>
      <c r="D100" s="116"/>
      <c r="E100" s="117"/>
      <c r="F100" s="118"/>
      <c r="G100" s="369"/>
      <c r="H100" s="120">
        <v>3.2619749999999999E-3</v>
      </c>
      <c r="I100" s="121">
        <f ca="1">_xll.INSTRUMENT.PRIX(AC100,D100,H100,cTreasuries)</f>
        <v>102.48880525385078</v>
      </c>
      <c r="J100" s="122">
        <f ca="1">_xll.INSTRUMENT.DV01(A100,,,I100,cContinuous,I100)</f>
        <v>-1.7770050706572071E-2</v>
      </c>
      <c r="K100" s="123">
        <f ca="1">_xll.INSTRUMENT.CONVEXITE(A100,,,I100,cContinuous,I100)</f>
        <v>3.0102114631689174</v>
      </c>
      <c r="L100" s="123">
        <f ca="1">_xll.INSTRUMENT.Z.SPREAD(A100,swapCurve,I100,cContinuous,D100)</f>
        <v>-19.522642798977675</v>
      </c>
      <c r="M100" s="123" t="e">
        <f ca="1">_xll.INSTRUMENT.Z.SPREAD(A100,ustCurve,I100,cContinuous,D100)</f>
        <v>#VALUE!</v>
      </c>
      <c r="N100" s="123">
        <f ca="1">_xll.INSTRUMENT.Z.SPREAD(A100,oisCurve,I100,cContinuous,D100)</f>
        <v>12.614855836586386</v>
      </c>
      <c r="O100" s="124" t="e">
        <f ca="1">1/_xll.CALENDRIER.FRAC.ANNEE(_xll.INSTRUMENT.DATE.REGLEMENT($AC100,,),_xll.INSTRUMENT.DATE.REGLEMENT($AC100,_xll.CALENDRIER.GAP.FINANCE(TODAY(),"1M","AUD","Unadjusted"),),"ACT/365")*(_xll.INSTRUMENT.ROLL.DOWN($A100,oisCurve,_xll.CALENDRIER.GAP.FINANCE(TODAY(),"1M","AUD","Unadjusted",TRUE),$N100)+100*$AA100*_xll.CALENDRIER.FRAC.ANNEE(_xll.INSTRUMENT.DATE.REGLEMENT($AC100,,),_xll.INSTRUMENT.DATE.REGLEMENT($AC100,_xll.CALENDRIER.GAP.FINANCE(TODAY(),"1M","AUD","Unadjusted"),),"ACT/365")-$I100)/$I100</f>
        <v>#NAME?</v>
      </c>
      <c r="P100" s="124" t="e">
        <f ca="1">1/_xll.CALENDRIER.FRAC.ANNEE(_xll.INSTRUMENT.DATE.REGLEMENT($AC100,,),_xll.INSTRUMENT.DATE.REGLEMENT($AC100,_xll.CALENDRIER.GAP.FINANCE(TODAY(),"3M","AUD","Unadjusted"),),"ACT/365")*(_xll.INSTRUMENT.ROLL.DOWN($A100,oisCurve,_xll.CALENDRIER.GAP.FINANCE(TODAY(),"3M","AUD","Unadjusted",TRUE),$N100)+100*$AA100*_xll.CALENDRIER.FRAC.ANNEE(_xll.INSTRUMENT.DATE.REGLEMENT($AC100,,),_xll.INSTRUMENT.DATE.REGLEMENT($AC100,_xll.CALENDRIER.GAP.FINANCE(TODAY(),"3M","AUD","Unadjusted"),),"ACT/365")-$I100)/$I100</f>
        <v>#NAME?</v>
      </c>
      <c r="Q100" s="371" t="e">
        <f ca="1">-(O100-curve!$T$3)/J100</f>
        <v>#NAME?</v>
      </c>
      <c r="R100" s="373">
        <f t="shared" ca="1" si="1"/>
        <v>-169.39802327382338</v>
      </c>
      <c r="S100" s="191" t="str">
        <f>IF(F100&lt;&gt;"","",IF(G100="","",-G100*(SUMIF('raw Data'!$A:$A,"RESINV1USD",'raw Data'!$G:$G)+SUMIF('raw Data'!$A:$A,"RESSWAPORUSD",'raw Data'!$G:$G))/(36500*J100)))</f>
        <v/>
      </c>
      <c r="T100" s="202" t="str">
        <f>IF(G100&lt;&gt;"","",IF(F100="","",-36500*J100*F100/(SUMIF('raw Data'!$A:$A,"RESINV1USD",'raw Data'!$G:$G)+SUMIF('raw Data'!$A:$A,"RESSWAPORUSD",'raw Data'!$G:$G))))</f>
        <v/>
      </c>
      <c r="U100" s="125">
        <f>SUMIF('raw Data'!$E:$E,A100,'raw Data'!$N:$N)</f>
        <v>0</v>
      </c>
      <c r="V100" s="126">
        <v>39903</v>
      </c>
      <c r="W100" s="127">
        <v>39903</v>
      </c>
      <c r="X100" s="127">
        <v>40086</v>
      </c>
      <c r="Y100" s="127">
        <v>41547</v>
      </c>
      <c r="Z100" s="127">
        <v>41729</v>
      </c>
      <c r="AA100" s="128">
        <v>1.7500000000000002E-2</v>
      </c>
      <c r="AB100" s="129">
        <v>35612000000</v>
      </c>
      <c r="AC100" s="130" t="str">
        <f ca="1">IF(LEFT(B100,1)="B",_xll.INSTANCE.TBILL(A100,V100,Z100,TODAY()),_xll.INSTANCE.TNOTE(A100,V100,W100,X100,Y100,Z100,AA100,TODAY()))</f>
        <v>US912828KJ86#0003</v>
      </c>
    </row>
    <row r="101" spans="1:29" x14ac:dyDescent="0.35">
      <c r="A101" s="131" t="s">
        <v>455</v>
      </c>
      <c r="B101" s="115" t="s">
        <v>1077</v>
      </c>
      <c r="C101" s="364"/>
      <c r="D101" s="116"/>
      <c r="E101" s="117"/>
      <c r="F101" s="118"/>
      <c r="G101" s="369"/>
      <c r="H101" s="120">
        <v>3.283322E-3</v>
      </c>
      <c r="I101" s="121">
        <f ca="1">_xll.INSTRUMENT.PRIX(AC101,D101,H101,cTreasuries)</f>
        <v>101.64874297269935</v>
      </c>
      <c r="J101" s="122">
        <f ca="1">_xll.INSTRUMENT.DV01(A101,,,I101,cContinuous,I101)</f>
        <v>-1.8085930233719693E-2</v>
      </c>
      <c r="K101" s="123">
        <f ca="1">_xll.INSTRUMENT.CONVEXITE(A101,,,I101,cContinuous,I101)</f>
        <v>3.1709181693777695</v>
      </c>
      <c r="L101" s="123">
        <f ca="1">_xll.INSTRUMENT.Z.SPREAD(A101,swapCurve,I101,cContinuous,D101)</f>
        <v>-19.532474018303141</v>
      </c>
      <c r="M101" s="123" t="e">
        <f ca="1">_xll.INSTRUMENT.Z.SPREAD(A101,ustCurve,I101,cContinuous,D101)</f>
        <v>#VALUE!</v>
      </c>
      <c r="N101" s="123">
        <f ca="1">_xll.INSTRUMENT.Z.SPREAD(A101,oisCurve,I101,cContinuous,D101)</f>
        <v>12.68267224511446</v>
      </c>
      <c r="O101" s="124" t="e">
        <f ca="1">1/_xll.CALENDRIER.FRAC.ANNEE(_xll.INSTRUMENT.DATE.REGLEMENT($AC101,,),_xll.INSTRUMENT.DATE.REGLEMENT($AC101,_xll.CALENDRIER.GAP.FINANCE(TODAY(),"1M","AUD","Unadjusted"),),"ACT/365")*(_xll.INSTRUMENT.ROLL.DOWN($A101,oisCurve,_xll.CALENDRIER.GAP.FINANCE(TODAY(),"1M","AUD","Unadjusted",TRUE),$N101)+100*$AA101*_xll.CALENDRIER.FRAC.ANNEE(_xll.INSTRUMENT.DATE.REGLEMENT($AC101,,),_xll.INSTRUMENT.DATE.REGLEMENT($AC101,_xll.CALENDRIER.GAP.FINANCE(TODAY(),"1M","AUD","Unadjusted"),),"ACT/365")-$I101)/$I101</f>
        <v>#NAME?</v>
      </c>
      <c r="P101" s="124" t="e">
        <f ca="1">1/_xll.CALENDRIER.FRAC.ANNEE(_xll.INSTRUMENT.DATE.REGLEMENT($AC101,,),_xll.INSTRUMENT.DATE.REGLEMENT($AC101,_xll.CALENDRIER.GAP.FINANCE(TODAY(),"3M","AUD","Unadjusted"),),"ACT/365")*(_xll.INSTRUMENT.ROLL.DOWN($A101,oisCurve,_xll.CALENDRIER.GAP.FINANCE(TODAY(),"3M","AUD","Unadjusted",TRUE),$N101)+100*$AA101*_xll.CALENDRIER.FRAC.ANNEE(_xll.INSTRUMENT.DATE.REGLEMENT($AC101,,),_xll.INSTRUMENT.DATE.REGLEMENT($AC101,_xll.CALENDRIER.GAP.FINANCE(TODAY(),"3M","AUD","Unadjusted"),),"ACT/365")-$I101)/$I101</f>
        <v>#NAME?</v>
      </c>
      <c r="Q101" s="371" t="e">
        <f ca="1">-(O101-curve!$T$3)/J101</f>
        <v>#NAME?</v>
      </c>
      <c r="R101" s="373">
        <f t="shared" ca="1" si="1"/>
        <v>-175.3251355280504</v>
      </c>
      <c r="S101" s="191" t="str">
        <f>IF(F101&lt;&gt;"","",IF(G101="","",-G101*(SUMIF('raw Data'!$A:$A,"RESINV1USD",'raw Data'!$G:$G)+SUMIF('raw Data'!$A:$A,"RESSWAPORUSD",'raw Data'!$G:$G))/(36500*J101)))</f>
        <v/>
      </c>
      <c r="T101" s="202" t="str">
        <f>IF(G101&lt;&gt;"","",IF(F101="","",-36500*J101*F101/(SUMIF('raw Data'!$A:$A,"RESINV1USD",'raw Data'!$G:$G)+SUMIF('raw Data'!$A:$A,"RESSWAPORUSD",'raw Data'!$G:$G))))</f>
        <v/>
      </c>
      <c r="U101" s="125">
        <f>SUMIF('raw Data'!$E:$E,A101,'raw Data'!$N:$N)</f>
        <v>0</v>
      </c>
      <c r="V101" s="126">
        <v>40648</v>
      </c>
      <c r="W101" s="127">
        <v>40648</v>
      </c>
      <c r="X101" s="127">
        <v>40831</v>
      </c>
      <c r="Y101" s="127">
        <v>41562</v>
      </c>
      <c r="Z101" s="127">
        <v>41744</v>
      </c>
      <c r="AA101" s="128">
        <v>1.2500000000000001E-2</v>
      </c>
      <c r="AB101" s="129">
        <v>33576000000</v>
      </c>
      <c r="AC101" s="130" t="str">
        <f ca="1">IF(LEFT(B101,1)="B",_xll.INSTANCE.TBILL(A101,V101,Z101,TODAY()),_xll.INSTANCE.TNOTE(A101,V101,W101,X101,Y101,Z101,AA101,TODAY()))</f>
        <v>US912828QC79#0003</v>
      </c>
    </row>
    <row r="102" spans="1:29" x14ac:dyDescent="0.35">
      <c r="A102" s="131" t="s">
        <v>456</v>
      </c>
      <c r="B102" s="115" t="s">
        <v>1078</v>
      </c>
      <c r="C102" s="364"/>
      <c r="D102" s="116"/>
      <c r="E102" s="117"/>
      <c r="F102" s="118"/>
      <c r="G102" s="369"/>
      <c r="H102" s="120">
        <v>3.3108110000000003E-3</v>
      </c>
      <c r="I102" s="121">
        <f ca="1">_xll.INSTRUMENT.PRIX(AC102,D102,H102,cTreasuries)</f>
        <v>102.8258761170315</v>
      </c>
      <c r="J102" s="122">
        <f ca="1">_xll.INSTRUMENT.DV01(A102,,,I102,cContinuous,I102)</f>
        <v>-1.863681135455366E-2</v>
      </c>
      <c r="K102" s="123">
        <f ca="1">_xll.INSTRUMENT.CONVEXITE(A102,,,I102,cContinuous,I102)</f>
        <v>3.2964430104319553</v>
      </c>
      <c r="L102" s="123">
        <f ca="1">_xll.INSTRUMENT.Z.SPREAD(A102,swapCurve,I102,cContinuous,D102)</f>
        <v>-19.453094151466189</v>
      </c>
      <c r="M102" s="123" t="e">
        <f ca="1">_xll.INSTRUMENT.Z.SPREAD(A102,ustCurve,I102,cContinuous,D102)</f>
        <v>#VALUE!</v>
      </c>
      <c r="N102" s="123">
        <f ca="1">_xll.INSTRUMENT.Z.SPREAD(A102,oisCurve,I102,cContinuous,D102)</f>
        <v>12.825152849421078</v>
      </c>
      <c r="O102" s="124" t="e">
        <f ca="1">1/_xll.CALENDRIER.FRAC.ANNEE(_xll.INSTRUMENT.DATE.REGLEMENT($AC102,,),_xll.INSTRUMENT.DATE.REGLEMENT($AC102,_xll.CALENDRIER.GAP.FINANCE(TODAY(),"1M","AUD","Unadjusted"),),"ACT/365")*(_xll.INSTRUMENT.ROLL.DOWN($A102,oisCurve,_xll.CALENDRIER.GAP.FINANCE(TODAY(),"1M","AUD","Unadjusted",TRUE),$N102)+100*$AA102*_xll.CALENDRIER.FRAC.ANNEE(_xll.INSTRUMENT.DATE.REGLEMENT($AC102,,),_xll.INSTRUMENT.DATE.REGLEMENT($AC102,_xll.CALENDRIER.GAP.FINANCE(TODAY(),"1M","AUD","Unadjusted"),),"ACT/365")-$I102)/$I102</f>
        <v>#NAME?</v>
      </c>
      <c r="P102" s="124" t="e">
        <f ca="1">1/_xll.CALENDRIER.FRAC.ANNEE(_xll.INSTRUMENT.DATE.REGLEMENT($AC102,,),_xll.INSTRUMENT.DATE.REGLEMENT($AC102,_xll.CALENDRIER.GAP.FINANCE(TODAY(),"3M","AUD","Unadjusted"),),"ACT/365")*(_xll.INSTRUMENT.ROLL.DOWN($A102,oisCurve,_xll.CALENDRIER.GAP.FINANCE(TODAY(),"3M","AUD","Unadjusted",TRUE),$N102)+100*$AA102*_xll.CALENDRIER.FRAC.ANNEE(_xll.INSTRUMENT.DATE.REGLEMENT($AC102,,),_xll.INSTRUMENT.DATE.REGLEMENT($AC102,_xll.CALENDRIER.GAP.FINANCE(TODAY(),"3M","AUD","Unadjusted"),),"ACT/365")-$I102)/$I102</f>
        <v>#NAME?</v>
      </c>
      <c r="Q102" s="371" t="e">
        <f ca="1">-(O102-curve!$T$3)/J102</f>
        <v>#NAME?</v>
      </c>
      <c r="R102" s="373">
        <f t="shared" ca="1" si="1"/>
        <v>-176.87805857553593</v>
      </c>
      <c r="S102" s="191" t="str">
        <f>IF(F102&lt;&gt;"","",IF(G102="","",-G102*(SUMIF('raw Data'!$A:$A,"RESINV1USD",'raw Data'!$G:$G)+SUMIF('raw Data'!$A:$A,"RESSWAPORUSD",'raw Data'!$G:$G))/(36500*J102)))</f>
        <v/>
      </c>
      <c r="T102" s="202" t="str">
        <f>IF(G102&lt;&gt;"","",IF(F102="","",-36500*J102*F102/(SUMIF('raw Data'!$A:$A,"RESINV1USD",'raw Data'!$G:$G)+SUMIF('raw Data'!$A:$A,"RESSWAPORUSD",'raw Data'!$G:$G))))</f>
        <v/>
      </c>
      <c r="U102" s="125">
        <f>SUMIF('raw Data'!$E:$E,A102,'raw Data'!$N:$N)</f>
        <v>0</v>
      </c>
      <c r="V102" s="126">
        <v>39933</v>
      </c>
      <c r="W102" s="127">
        <v>39933</v>
      </c>
      <c r="X102" s="127">
        <v>40117</v>
      </c>
      <c r="Y102" s="127">
        <v>41578</v>
      </c>
      <c r="Z102" s="127">
        <v>41759</v>
      </c>
      <c r="AA102" s="128">
        <v>1.8749999999999999E-2</v>
      </c>
      <c r="AB102" s="129">
        <v>36213000000</v>
      </c>
      <c r="AC102" s="130" t="str">
        <f ca="1">IF(LEFT(B102,1)="B",_xll.INSTANCE.TBILL(A102,V102,Z102,TODAY()),_xll.INSTANCE.TNOTE(A102,V102,W102,X102,Y102,Z102,AA102,TODAY()))</f>
        <v>US912828KN98#0003</v>
      </c>
    </row>
    <row r="103" spans="1:29" x14ac:dyDescent="0.35">
      <c r="A103" s="131" t="s">
        <v>643</v>
      </c>
      <c r="B103" s="115" t="s">
        <v>1079</v>
      </c>
      <c r="C103" s="364" t="s">
        <v>928</v>
      </c>
      <c r="D103" s="116"/>
      <c r="E103" s="117"/>
      <c r="F103" s="118"/>
      <c r="G103" s="369"/>
      <c r="H103" s="120">
        <v>3.1430130000000001E-3</v>
      </c>
      <c r="I103" s="121">
        <f ca="1">_xll.INSTRUMENT.PRIX(AC103,D103,H103,cTreasuries)</f>
        <v>99.883117296883938</v>
      </c>
      <c r="J103" s="122">
        <f ca="1">_xll.INSTRUMENT.DV01(A103,,,I103,cContinuous,I103)</f>
        <v>-1.829094886083938E-2</v>
      </c>
      <c r="K103" s="123">
        <f ca="1">_xll.INSTRUMENT.CONVEXITE(A103,,,I103,cContinuous,I103)</f>
        <v>3.3550281919923681</v>
      </c>
      <c r="L103" s="123">
        <f ca="1">_xll.INSTRUMENT.Z.SPREAD(A103,swapCurve,I103,cContinuous,D103)</f>
        <v>-21.166398988182586</v>
      </c>
      <c r="M103" s="123" t="e">
        <f ca="1">_xll.INSTRUMENT.Z.SPREAD(A103,ustCurve,I103,cContinuous,D103)</f>
        <v>#VALUE!</v>
      </c>
      <c r="N103" s="123">
        <f ca="1">_xll.INSTRUMENT.Z.SPREAD(A103,oisCurve,I103,cContinuous,D103)</f>
        <v>11.132185079558345</v>
      </c>
      <c r="O103" s="124" t="e">
        <f ca="1">1/_xll.CALENDRIER.FRAC.ANNEE(_xll.INSTRUMENT.DATE.REGLEMENT($AC103,,),_xll.INSTRUMENT.DATE.REGLEMENT($AC103,_xll.CALENDRIER.GAP.FINANCE(TODAY(),"1M","AUD","Unadjusted"),),"ACT/365")*(_xll.INSTRUMENT.ROLL.DOWN($A103,oisCurve,_xll.CALENDRIER.GAP.FINANCE(TODAY(),"1M","AUD","Unadjusted",TRUE),$N103)+100*$AA103*_xll.CALENDRIER.FRAC.ANNEE(_xll.INSTRUMENT.DATE.REGLEMENT($AC103,,),_xll.INSTRUMENT.DATE.REGLEMENT($AC103,_xll.CALENDRIER.GAP.FINANCE(TODAY(),"1M","AUD","Unadjusted"),),"ACT/365")-$I103)/$I103</f>
        <v>#NAME?</v>
      </c>
      <c r="P103" s="124" t="e">
        <f ca="1">1/_xll.CALENDRIER.FRAC.ANNEE(_xll.INSTRUMENT.DATE.REGLEMENT($AC103,,),_xll.INSTRUMENT.DATE.REGLEMENT($AC103,_xll.CALENDRIER.GAP.FINANCE(TODAY(),"3M","AUD","Unadjusted"),),"ACT/365")*(_xll.INSTRUMENT.ROLL.DOWN($A103,oisCurve,_xll.CALENDRIER.GAP.FINANCE(TODAY(),"3M","AUD","Unadjusted",TRUE),$N103)+100*$AA103*_xll.CALENDRIER.FRAC.ANNEE(_xll.INSTRUMENT.DATE.REGLEMENT($AC103,,),_xll.INSTRUMENT.DATE.REGLEMENT($AC103,_xll.CALENDRIER.GAP.FINANCE(TODAY(),"3M","AUD","Unadjusted"),),"ACT/365")-$I103)/$I103</f>
        <v>#NAME?</v>
      </c>
      <c r="Q103" s="371" t="e">
        <f ca="1">-(O103-curve!$T$3)/J103</f>
        <v>#NAME?</v>
      </c>
      <c r="R103" s="373">
        <f t="shared" ca="1" si="1"/>
        <v>-183.42559576968847</v>
      </c>
      <c r="S103" s="191" t="str">
        <f>IF(F103&lt;&gt;"","",IF(G103="","",-G103*(SUMIF('raw Data'!$A:$A,"RESINV1USD",'raw Data'!$G:$G)+SUMIF('raw Data'!$A:$A,"RESSWAPORUSD",'raw Data'!$G:$G))/(36500*J103)))</f>
        <v/>
      </c>
      <c r="T103" s="202" t="str">
        <f>IF(G103&lt;&gt;"","",IF(F103="","",-36500*J103*F103/(SUMIF('raw Data'!$A:$A,"RESINV1USD",'raw Data'!$G:$G)+SUMIF('raw Data'!$A:$A,"RESSWAPORUSD",'raw Data'!$G:$G))))</f>
        <v/>
      </c>
      <c r="U103" s="125">
        <f>SUMIF('raw Data'!$E:$E,A103,'raw Data'!$N:$N)</f>
        <v>-99903.975665158592</v>
      </c>
      <c r="V103" s="126">
        <v>41029</v>
      </c>
      <c r="W103" s="127">
        <v>41029</v>
      </c>
      <c r="X103" s="127">
        <v>41213</v>
      </c>
      <c r="Y103" s="127">
        <v>41578</v>
      </c>
      <c r="Z103" s="127">
        <v>41759</v>
      </c>
      <c r="AA103" s="128">
        <v>2.5000000000000001E-3</v>
      </c>
      <c r="AB103" s="129">
        <v>35940000000</v>
      </c>
      <c r="AC103" s="130" t="str">
        <f ca="1">IF(LEFT(B103,1)="B",_xll.INSTANCE.TBILL(A103,V103,Z103,TODAY()),_xll.INSTANCE.TNOTE(A103,V103,W103,X103,Y103,Z103,AA103,TODAY()))</f>
        <v>US912828SR21#0003</v>
      </c>
    </row>
    <row r="104" spans="1:29" x14ac:dyDescent="0.35">
      <c r="A104" s="131" t="s">
        <v>458</v>
      </c>
      <c r="B104" s="115" t="s">
        <v>1080</v>
      </c>
      <c r="C104" s="364"/>
      <c r="D104" s="116"/>
      <c r="E104" s="117"/>
      <c r="F104" s="118"/>
      <c r="G104" s="369"/>
      <c r="H104" s="120">
        <v>3.3290839999999999E-3</v>
      </c>
      <c r="I104" s="121">
        <f ca="1">_xll.INSTRUMENT.PRIX(AC104,D104,H104,cTreasuries)</f>
        <v>101.2483570901216</v>
      </c>
      <c r="J104" s="122">
        <f ca="1">_xll.INSTRUMENT.DV01(A104,,,I104,cContinuous,I104)</f>
        <v>-1.8861003101455061E-2</v>
      </c>
      <c r="K104" s="123">
        <f ca="1">_xll.INSTRUMENT.CONVEXITE(A104,,,I104,cContinuous,I104)</f>
        <v>3.4787589571108684</v>
      </c>
      <c r="L104" s="123">
        <f ca="1">_xll.INSTRUMENT.Z.SPREAD(A104,swapCurve,I104,cContinuous,D104)</f>
        <v>-19.50237934862659</v>
      </c>
      <c r="M104" s="123" t="e">
        <f ca="1">_xll.INSTRUMENT.Z.SPREAD(A104,ustCurve,I104,cContinuous,D104)</f>
        <v>#VALUE!</v>
      </c>
      <c r="N104" s="123">
        <f ca="1">_xll.INSTRUMENT.Z.SPREAD(A104,oisCurve,I104,cContinuous,D104)</f>
        <v>12.861861316129989</v>
      </c>
      <c r="O104" s="124" t="e">
        <f ca="1">1/_xll.CALENDRIER.FRAC.ANNEE(_xll.INSTRUMENT.DATE.REGLEMENT($AC104,,),_xll.INSTRUMENT.DATE.REGLEMENT($AC104,_xll.CALENDRIER.GAP.FINANCE(TODAY(),"1M","AUD","Unadjusted"),),"ACT/365")*(_xll.INSTRUMENT.ROLL.DOWN($A104,oisCurve,_xll.CALENDRIER.GAP.FINANCE(TODAY(),"1M","AUD","Unadjusted",TRUE),$N104)+100*$AA104*_xll.CALENDRIER.FRAC.ANNEE(_xll.INSTRUMENT.DATE.REGLEMENT($AC104,,),_xll.INSTRUMENT.DATE.REGLEMENT($AC104,_xll.CALENDRIER.GAP.FINANCE(TODAY(),"1M","AUD","Unadjusted"),),"ACT/365")-$I104)/$I104</f>
        <v>#NAME?</v>
      </c>
      <c r="P104" s="124" t="e">
        <f ca="1">1/_xll.CALENDRIER.FRAC.ANNEE(_xll.INSTRUMENT.DATE.REGLEMENT($AC104,,),_xll.INSTRUMENT.DATE.REGLEMENT($AC104,_xll.CALENDRIER.GAP.FINANCE(TODAY(),"3M","AUD","Unadjusted"),),"ACT/365")*(_xll.INSTRUMENT.ROLL.DOWN($A104,oisCurve,_xll.CALENDRIER.GAP.FINANCE(TODAY(),"3M","AUD","Unadjusted",TRUE),$N104)+100*$AA104*_xll.CALENDRIER.FRAC.ANNEE(_xll.INSTRUMENT.DATE.REGLEMENT($AC104,,),_xll.INSTRUMENT.DATE.REGLEMENT($AC104,_xll.CALENDRIER.GAP.FINANCE(TODAY(),"3M","AUD","Unadjusted"),),"ACT/365")-$I104)/$I104</f>
        <v>#NAME?</v>
      </c>
      <c r="Q104" s="371" t="e">
        <f ca="1">-(O104-curve!$T$3)/J104</f>
        <v>#NAME?</v>
      </c>
      <c r="R104" s="373">
        <f t="shared" ca="1" si="1"/>
        <v>-184.4418845804916</v>
      </c>
      <c r="S104" s="191" t="str">
        <f>IF(F104&lt;&gt;"","",IF(G104="","",-G104*(SUMIF('raw Data'!$A:$A,"RESINV1USD",'raw Data'!$G:$G)+SUMIF('raw Data'!$A:$A,"RESSWAPORUSD",'raw Data'!$G:$G))/(36500*J104)))</f>
        <v/>
      </c>
      <c r="T104" s="202" t="str">
        <f>IF(G104&lt;&gt;"","",IF(F104="","",-36500*J104*F104/(SUMIF('raw Data'!$A:$A,"RESINV1USD",'raw Data'!$G:$G)+SUMIF('raw Data'!$A:$A,"RESSWAPORUSD",'raw Data'!$G:$G))))</f>
        <v/>
      </c>
      <c r="U104" s="125">
        <f>SUMIF('raw Data'!$E:$E,A104,'raw Data'!$N:$N)</f>
        <v>0</v>
      </c>
      <c r="V104" s="126">
        <v>40679</v>
      </c>
      <c r="W104" s="127">
        <v>40678</v>
      </c>
      <c r="X104" s="127">
        <v>40862</v>
      </c>
      <c r="Y104" s="127">
        <v>41593</v>
      </c>
      <c r="Z104" s="127">
        <v>41774</v>
      </c>
      <c r="AA104" s="128">
        <v>0.01</v>
      </c>
      <c r="AB104" s="129">
        <v>32000000000</v>
      </c>
      <c r="AC104" s="130" t="str">
        <f ca="1">IF(LEFT(B104,1)="B",_xll.INSTANCE.TBILL(A104,V104,Z104,TODAY()),_xll.INSTANCE.TNOTE(A104,V104,W104,X104,Y104,Z104,AA104,TODAY()))</f>
        <v>US912828QM51#0003</v>
      </c>
    </row>
    <row r="105" spans="1:29" x14ac:dyDescent="0.35">
      <c r="A105" s="131" t="s">
        <v>457</v>
      </c>
      <c r="B105" s="115" t="s">
        <v>1081</v>
      </c>
      <c r="C105" s="364"/>
      <c r="D105" s="116"/>
      <c r="E105" s="117"/>
      <c r="F105" s="118"/>
      <c r="G105" s="369"/>
      <c r="H105" s="120">
        <v>3.2025669999999999E-3</v>
      </c>
      <c r="I105" s="121">
        <f ca="1">_xll.INSTRUMENT.PRIX(AC105,D105,H105,cTreasuries)</f>
        <v>108.28662538396128</v>
      </c>
      <c r="J105" s="122">
        <f ca="1">_xll.INSTRUMENT.DV01(A105,,,I105,cContinuous,I105)</f>
        <v>-1.9707266127918691E-2</v>
      </c>
      <c r="K105" s="123">
        <f ca="1">_xll.INSTRUMENT.CONVEXITE(A105,,,I105,cContinuous,I105)</f>
        <v>3.3484457697938343</v>
      </c>
      <c r="L105" s="123">
        <f ca="1">_xll.INSTRUMENT.Z.SPREAD(A105,swapCurve,I105,cContinuous,D105)</f>
        <v>-20.67086465367888</v>
      </c>
      <c r="M105" s="123" t="e">
        <f ca="1">_xll.INSTRUMENT.Z.SPREAD(A105,ustCurve,I105,cContinuous,D105)</f>
        <v>#VALUE!</v>
      </c>
      <c r="N105" s="123">
        <f ca="1">_xll.INSTRUMENT.Z.SPREAD(A105,oisCurve,I105,cContinuous,D105)</f>
        <v>11.644169359985723</v>
      </c>
      <c r="O105" s="124" t="e">
        <f ca="1">1/_xll.CALENDRIER.FRAC.ANNEE(_xll.INSTRUMENT.DATE.REGLEMENT($AC105,,),_xll.INSTRUMENT.DATE.REGLEMENT($AC105,_xll.CALENDRIER.GAP.FINANCE(TODAY(),"1M","AUD","Unadjusted"),),"ACT/365")*(_xll.INSTRUMENT.ROLL.DOWN($A105,oisCurve,_xll.CALENDRIER.GAP.FINANCE(TODAY(),"1M","AUD","Unadjusted",TRUE),$N105)+100*$AA105*_xll.CALENDRIER.FRAC.ANNEE(_xll.INSTRUMENT.DATE.REGLEMENT($AC105,,),_xll.INSTRUMENT.DATE.REGLEMENT($AC105,_xll.CALENDRIER.GAP.FINANCE(TODAY(),"1M","AUD","Unadjusted"),),"ACT/365")-$I105)/$I105</f>
        <v>#NAME?</v>
      </c>
      <c r="P105" s="124" t="e">
        <f ca="1">1/_xll.CALENDRIER.FRAC.ANNEE(_xll.INSTRUMENT.DATE.REGLEMENT($AC105,,),_xll.INSTRUMENT.DATE.REGLEMENT($AC105,_xll.CALENDRIER.GAP.FINANCE(TODAY(),"3M","AUD","Unadjusted"),),"ACT/365")*(_xll.INSTRUMENT.ROLL.DOWN($A105,oisCurve,_xll.CALENDRIER.GAP.FINANCE(TODAY(),"3M","AUD","Unadjusted",TRUE),$N105)+100*$AA105*_xll.CALENDRIER.FRAC.ANNEE(_xll.INSTRUMENT.DATE.REGLEMENT($AC105,,),_xll.INSTRUMENT.DATE.REGLEMENT($AC105,_xll.CALENDRIER.GAP.FINANCE(TODAY(),"3M","AUD","Unadjusted"),),"ACT/365")-$I105)/$I105</f>
        <v>#NAME?</v>
      </c>
      <c r="Q105" s="371" t="e">
        <f ca="1">-(O105-curve!$T$3)/J105</f>
        <v>#NAME?</v>
      </c>
      <c r="R105" s="373">
        <f t="shared" ca="1" si="1"/>
        <v>-169.90919735184335</v>
      </c>
      <c r="S105" s="191" t="str">
        <f>IF(F105&lt;&gt;"","",IF(G105="","",-G105*(SUMIF('raw Data'!$A:$A,"RESINV1USD",'raw Data'!$G:$G)+SUMIF('raw Data'!$A:$A,"RESSWAPORUSD",'raw Data'!$G:$G))/(36500*J105)))</f>
        <v/>
      </c>
      <c r="T105" s="202" t="str">
        <f>IF(G105&lt;&gt;"","",IF(F105="","",-36500*J105*F105/(SUMIF('raw Data'!$A:$A,"RESINV1USD",'raw Data'!$G:$G)+SUMIF('raw Data'!$A:$A,"RESSWAPORUSD",'raw Data'!$G:$G))))</f>
        <v/>
      </c>
      <c r="U105" s="125">
        <f>SUMIF('raw Data'!$E:$E,A105,'raw Data'!$N:$N)</f>
        <v>0</v>
      </c>
      <c r="V105" s="126">
        <v>38124</v>
      </c>
      <c r="W105" s="127">
        <v>38122</v>
      </c>
      <c r="X105" s="127">
        <v>38306</v>
      </c>
      <c r="Y105" s="127">
        <v>41593</v>
      </c>
      <c r="Z105" s="127">
        <v>41774</v>
      </c>
      <c r="AA105" s="128">
        <v>4.7500000000000001E-2</v>
      </c>
      <c r="AB105" s="129">
        <v>27303000000</v>
      </c>
      <c r="AC105" s="130" t="str">
        <f ca="1">IF(LEFT(B105,1)="B",_xll.INSTANCE.TBILL(A105,V105,Z105,TODAY()),_xll.INSTANCE.TNOTE(A105,V105,W105,X105,Y105,Z105,AA105,TODAY()))</f>
        <v>US912828CJ78#0003</v>
      </c>
    </row>
    <row r="106" spans="1:29" x14ac:dyDescent="0.35">
      <c r="A106" s="131" t="s">
        <v>459</v>
      </c>
      <c r="B106" s="115" t="s">
        <v>1082</v>
      </c>
      <c r="C106" s="364"/>
      <c r="D106" s="116"/>
      <c r="E106" s="117"/>
      <c r="F106" s="118"/>
      <c r="G106" s="369"/>
      <c r="H106" s="120">
        <v>3.3461139999999999E-3</v>
      </c>
      <c r="I106" s="121">
        <f ca="1">_xll.INSTRUMENT.PRIX(AC106,D106,H106,cTreasuries)</f>
        <v>103.66456157563438</v>
      </c>
      <c r="J106" s="122">
        <f ca="1">_xll.INSTRUMENT.DV01(A106,,,I106,cContinuous,I106)</f>
        <v>-1.9592721464515992E-2</v>
      </c>
      <c r="K106" s="123">
        <f ca="1">_xll.INSTRUMENT.CONVEXITE(A106,,,I106,cContinuous,I106)</f>
        <v>3.61716349562341</v>
      </c>
      <c r="L106" s="123">
        <f ca="1">_xll.INSTRUMENT.Z.SPREAD(A106,swapCurve,I106,cContinuous,D106)</f>
        <v>-19.648912669495424</v>
      </c>
      <c r="M106" s="123" t="e">
        <f ca="1">_xll.INSTRUMENT.Z.SPREAD(A106,ustCurve,I106,cContinuous,D106)</f>
        <v>#VALUE!</v>
      </c>
      <c r="N106" s="123">
        <f ca="1">_xll.INSTRUMENT.Z.SPREAD(A106,oisCurve,I106,cContinuous,D106)</f>
        <v>12.797477455684477</v>
      </c>
      <c r="O106" s="124" t="e">
        <f ca="1">1/_xll.CALENDRIER.FRAC.ANNEE(_xll.INSTRUMENT.DATE.REGLEMENT($AC106,,),_xll.INSTRUMENT.DATE.REGLEMENT($AC106,_xll.CALENDRIER.GAP.FINANCE(TODAY(),"1M","AUD","Unadjusted"),),"ACT/365")*(_xll.INSTRUMENT.ROLL.DOWN($A106,oisCurve,_xll.CALENDRIER.GAP.FINANCE(TODAY(),"1M","AUD","Unadjusted",TRUE),$N106)+100*$AA106*_xll.CALENDRIER.FRAC.ANNEE(_xll.INSTRUMENT.DATE.REGLEMENT($AC106,,),_xll.INSTRUMENT.DATE.REGLEMENT($AC106,_xll.CALENDRIER.GAP.FINANCE(TODAY(),"1M","AUD","Unadjusted"),),"ACT/365")-$I106)/$I106</f>
        <v>#NAME?</v>
      </c>
      <c r="P106" s="124" t="e">
        <f ca="1">1/_xll.CALENDRIER.FRAC.ANNEE(_xll.INSTRUMENT.DATE.REGLEMENT($AC106,,),_xll.INSTRUMENT.DATE.REGLEMENT($AC106,_xll.CALENDRIER.GAP.FINANCE(TODAY(),"3M","AUD","Unadjusted"),),"ACT/365")*(_xll.INSTRUMENT.ROLL.DOWN($A106,oisCurve,_xll.CALENDRIER.GAP.FINANCE(TODAY(),"3M","AUD","Unadjusted",TRUE),$N106)+100*$AA106*_xll.CALENDRIER.FRAC.ANNEE(_xll.INSTRUMENT.DATE.REGLEMENT($AC106,,),_xll.INSTRUMENT.DATE.REGLEMENT($AC106,_xll.CALENDRIER.GAP.FINANCE(TODAY(),"3M","AUD","Unadjusted"),),"ACT/365")-$I106)/$I106</f>
        <v>#NAME?</v>
      </c>
      <c r="Q106" s="371" t="e">
        <f ca="1">-(O106-curve!$T$3)/J106</f>
        <v>#NAME?</v>
      </c>
      <c r="R106" s="373">
        <f t="shared" ca="1" si="1"/>
        <v>-184.61771643997423</v>
      </c>
      <c r="S106" s="191" t="str">
        <f>IF(F106&lt;&gt;"","",IF(G106="","",-G106*(SUMIF('raw Data'!$A:$A,"RESINV1USD",'raw Data'!$G:$G)+SUMIF('raw Data'!$A:$A,"RESSWAPORUSD",'raw Data'!$G:$G))/(36500*J106)))</f>
        <v/>
      </c>
      <c r="T106" s="202" t="str">
        <f>IF(G106&lt;&gt;"","",IF(F106="","",-36500*J106*F106/(SUMIF('raw Data'!$A:$A,"RESINV1USD",'raw Data'!$G:$G)+SUMIF('raw Data'!$A:$A,"RESSWAPORUSD",'raw Data'!$G:$G))))</f>
        <v/>
      </c>
      <c r="U106" s="125">
        <f>SUMIF('raw Data'!$E:$E,A106,'raw Data'!$N:$N)</f>
        <v>0</v>
      </c>
      <c r="V106" s="126">
        <v>39965</v>
      </c>
      <c r="W106" s="127">
        <v>39964</v>
      </c>
      <c r="X106" s="127">
        <v>40147</v>
      </c>
      <c r="Y106" s="127">
        <v>41608</v>
      </c>
      <c r="Z106" s="127">
        <v>41790</v>
      </c>
      <c r="AA106" s="128">
        <v>2.2499999999999999E-2</v>
      </c>
      <c r="AB106" s="129">
        <v>36170000000</v>
      </c>
      <c r="AC106" s="130" t="str">
        <f ca="1">IF(LEFT(B106,1)="B",_xll.INSTANCE.TBILL(A106,V106,Z106,TODAY()),_xll.INSTANCE.TNOTE(A106,V106,W106,X106,Y106,Z106,AA106,TODAY()))</f>
        <v>US912828KV15#0003</v>
      </c>
    </row>
    <row r="107" spans="1:29" x14ac:dyDescent="0.35">
      <c r="A107" s="131" t="s">
        <v>903</v>
      </c>
      <c r="B107" s="115" t="s">
        <v>1083</v>
      </c>
      <c r="C107" s="364" t="s">
        <v>927</v>
      </c>
      <c r="D107" s="116"/>
      <c r="E107" s="117"/>
      <c r="F107" s="118"/>
      <c r="G107" s="369"/>
      <c r="H107" s="120">
        <v>3.1559870000000003E-3</v>
      </c>
      <c r="I107" s="121">
        <f ca="1">_xll.INSTRUMENT.PRIX(AC107,D107,H107,cTreasuries)</f>
        <v>99.874384747730915</v>
      </c>
      <c r="J107" s="122">
        <f ca="1">_xll.INSTRUMENT.DV01(A107,,,I107,cContinuous,I107)</f>
        <v>-1.9133939251374767E-2</v>
      </c>
      <c r="K107" s="123">
        <f ca="1">_xll.INSTRUMENT.CONVEXITE(A107,,,I107,cContinuous,I107)</f>
        <v>3.6941872746894058</v>
      </c>
      <c r="L107" s="123">
        <f ca="1">_xll.INSTRUMENT.Z.SPREAD(A107,swapCurve,I107,cContinuous,D107)</f>
        <v>-21.598030378462905</v>
      </c>
      <c r="M107" s="123" t="e">
        <f ca="1">_xll.INSTRUMENT.Z.SPREAD(A107,ustCurve,I107,cContinuous,D107)</f>
        <v>#VALUE!</v>
      </c>
      <c r="N107" s="123">
        <f ca="1">_xll.INSTRUMENT.Z.SPREAD(A107,oisCurve,I107,cContinuous,D107)</f>
        <v>10.878990565359869</v>
      </c>
      <c r="O107" s="124" t="e">
        <f ca="1">1/_xll.CALENDRIER.FRAC.ANNEE(_xll.INSTRUMENT.DATE.REGLEMENT($AC107,,),_xll.INSTRUMENT.DATE.REGLEMENT($AC107,_xll.CALENDRIER.GAP.FINANCE(TODAY(),"1M","AUD","Unadjusted"),),"ACT/365")*(_xll.INSTRUMENT.ROLL.DOWN($A107,oisCurve,_xll.CALENDRIER.GAP.FINANCE(TODAY(),"1M","AUD","Unadjusted",TRUE),$N107)+100*$AA107*_xll.CALENDRIER.FRAC.ANNEE(_xll.INSTRUMENT.DATE.REGLEMENT($AC107,,),_xll.INSTRUMENT.DATE.REGLEMENT($AC107,_xll.CALENDRIER.GAP.FINANCE(TODAY(),"1M","AUD","Unadjusted"),),"ACT/365")-$I107)/$I107</f>
        <v>#NAME?</v>
      </c>
      <c r="P107" s="124" t="e">
        <f ca="1">1/_xll.CALENDRIER.FRAC.ANNEE(_xll.INSTRUMENT.DATE.REGLEMENT($AC107,,),_xll.INSTRUMENT.DATE.REGLEMENT($AC107,_xll.CALENDRIER.GAP.FINANCE(TODAY(),"3M","AUD","Unadjusted"),),"ACT/365")*(_xll.INSTRUMENT.ROLL.DOWN($A107,oisCurve,_xll.CALENDRIER.GAP.FINANCE(TODAY(),"3M","AUD","Unadjusted",TRUE),$N107)+100*$AA107*_xll.CALENDRIER.FRAC.ANNEE(_xll.INSTRUMENT.DATE.REGLEMENT($AC107,,),_xll.INSTRUMENT.DATE.REGLEMENT($AC107,_xll.CALENDRIER.GAP.FINANCE(TODAY(),"3M","AUD","Unadjusted"),),"ACT/365")-$I107)/$I107</f>
        <v>#NAME?</v>
      </c>
      <c r="Q107" s="371" t="e">
        <f ca="1">-(O107-curve!$T$3)/J107</f>
        <v>#NAME?</v>
      </c>
      <c r="R107" s="373">
        <f t="shared" ca="1" si="1"/>
        <v>-193.06987579277381</v>
      </c>
      <c r="S107" s="191" t="str">
        <f>IF(F107&lt;&gt;"","",IF(G107="","",-G107*(SUMIF('raw Data'!$A:$A,"RESINV1USD",'raw Data'!$G:$G)+SUMIF('raw Data'!$A:$A,"RESSWAPORUSD",'raw Data'!$G:$G))/(36500*J107)))</f>
        <v/>
      </c>
      <c r="T107" s="202" t="str">
        <f>IF(G107&lt;&gt;"","",IF(F107="","",-36500*J107*F107/(SUMIF('raw Data'!$A:$A,"RESINV1USD",'raw Data'!$G:$G)+SUMIF('raw Data'!$A:$A,"RESSWAPORUSD",'raw Data'!$G:$G))))</f>
        <v/>
      </c>
      <c r="U107" s="125">
        <f>SUMIF('raw Data'!$E:$E,A107,'raw Data'!$N:$N)</f>
        <v>-412484.12210975739</v>
      </c>
      <c r="V107" s="126">
        <v>41060</v>
      </c>
      <c r="W107" s="127">
        <v>41060</v>
      </c>
      <c r="X107" s="127">
        <v>41243</v>
      </c>
      <c r="Y107" s="127">
        <v>41608</v>
      </c>
      <c r="Z107" s="127">
        <v>41790</v>
      </c>
      <c r="AA107" s="128">
        <v>2.5000000000000001E-3</v>
      </c>
      <c r="AB107" s="129">
        <v>35000000000</v>
      </c>
      <c r="AC107" s="130" t="str">
        <f ca="1">IF(LEFT(B107,1)="B",_xll.INSTANCE.TBILL(A107,V107,Z107,TODAY()),_xll.INSTANCE.TNOTE(A107,V107,W107,X107,Y107,Z107,AA107,TODAY()))</f>
        <v>US912828SW16#0003</v>
      </c>
    </row>
    <row r="108" spans="1:29" x14ac:dyDescent="0.35">
      <c r="A108" s="131" t="s">
        <v>460</v>
      </c>
      <c r="B108" s="115" t="s">
        <v>1084</v>
      </c>
      <c r="C108" s="364"/>
      <c r="D108" s="116"/>
      <c r="E108" s="117"/>
      <c r="F108" s="118"/>
      <c r="G108" s="369"/>
      <c r="H108" s="120">
        <v>3.2039730000000002E-3</v>
      </c>
      <c r="I108" s="121">
        <f ca="1">_xll.INSTRUMENT.PRIX(AC108,D108,H108,cTreasuries)</f>
        <v>100.83990832277762</v>
      </c>
      <c r="J108" s="122">
        <f ca="1">_xll.INSTRUMENT.DV01(A108,,,I108,cContinuous,I108)</f>
        <v>-1.9660655592667983E-2</v>
      </c>
      <c r="K108" s="123">
        <f ca="1">_xll.INSTRUMENT.CONVEXITE(A108,,,I108,cContinuous,I108)</f>
        <v>3.8226919399963251</v>
      </c>
      <c r="L108" s="123">
        <f ca="1">_xll.INSTRUMENT.Z.SPREAD(A108,swapCurve,I108,cContinuous,D108)</f>
        <v>-21.265268283058305</v>
      </c>
      <c r="M108" s="123" t="e">
        <f ca="1">_xll.INSTRUMENT.Z.SPREAD(A108,ustCurve,I108,cContinuous,D108)</f>
        <v>#VALUE!</v>
      </c>
      <c r="N108" s="123">
        <f ca="1">_xll.INSTRUMENT.Z.SPREAD(A108,oisCurve,I108,cContinuous,D108)</f>
        <v>11.293724436967553</v>
      </c>
      <c r="O108" s="124" t="e">
        <f ca="1">1/_xll.CALENDRIER.FRAC.ANNEE(_xll.INSTRUMENT.DATE.REGLEMENT($AC108,,),_xll.INSTRUMENT.DATE.REGLEMENT($AC108,_xll.CALENDRIER.GAP.FINANCE(TODAY(),"1M","AUD","Unadjusted"),),"ACT/365")*(_xll.INSTRUMENT.ROLL.DOWN($A108,oisCurve,_xll.CALENDRIER.GAP.FINANCE(TODAY(),"1M","AUD","Unadjusted",TRUE),$N108)+100*$AA108*_xll.CALENDRIER.FRAC.ANNEE(_xll.INSTRUMENT.DATE.REGLEMENT($AC108,,),_xll.INSTRUMENT.DATE.REGLEMENT($AC108,_xll.CALENDRIER.GAP.FINANCE(TODAY(),"1M","AUD","Unadjusted"),),"ACT/365")-$I108)/$I108</f>
        <v>#NAME?</v>
      </c>
      <c r="P108" s="124" t="e">
        <f ca="1">1/_xll.CALENDRIER.FRAC.ANNEE(_xll.INSTRUMENT.DATE.REGLEMENT($AC108,,),_xll.INSTRUMENT.DATE.REGLEMENT($AC108,_xll.CALENDRIER.GAP.FINANCE(TODAY(),"3M","AUD","Unadjusted"),),"ACT/365")*(_xll.INSTRUMENT.ROLL.DOWN($A108,oisCurve,_xll.CALENDRIER.GAP.FINANCE(TODAY(),"3M","AUD","Unadjusted",TRUE),$N108)+100*$AA108*_xll.CALENDRIER.FRAC.ANNEE(_xll.INSTRUMENT.DATE.REGLEMENT($AC108,,),_xll.INSTRUMENT.DATE.REGLEMENT($AC108,_xll.CALENDRIER.GAP.FINANCE(TODAY(),"3M","AUD","Unadjusted"),),"ACT/365")-$I108)/$I108</f>
        <v>#NAME?</v>
      </c>
      <c r="Q108" s="371" t="e">
        <f ca="1">-(O108-curve!$T$3)/J108</f>
        <v>#NAME?</v>
      </c>
      <c r="R108" s="373">
        <f t="shared" ca="1" si="1"/>
        <v>-194.43359464685986</v>
      </c>
      <c r="S108" s="191" t="str">
        <f>IF(F108&lt;&gt;"","",IF(G108="","",-G108*(SUMIF('raw Data'!$A:$A,"RESINV1USD",'raw Data'!$G:$G)+SUMIF('raw Data'!$A:$A,"RESSWAPORUSD",'raw Data'!$G:$G))/(36500*J108)))</f>
        <v/>
      </c>
      <c r="T108" s="202" t="str">
        <f>IF(G108&lt;&gt;"","",IF(F108="","",-36500*J108*F108/(SUMIF('raw Data'!$A:$A,"RESINV1USD",'raw Data'!$G:$G)+SUMIF('raw Data'!$A:$A,"RESSWAPORUSD",'raw Data'!$G:$G))))</f>
        <v/>
      </c>
      <c r="U108" s="125">
        <f>SUMIF('raw Data'!$E:$E,A108,'raw Data'!$N:$N)</f>
        <v>0</v>
      </c>
      <c r="V108" s="126">
        <v>40709</v>
      </c>
      <c r="W108" s="127">
        <v>40709</v>
      </c>
      <c r="X108" s="127">
        <v>40892</v>
      </c>
      <c r="Y108" s="127">
        <v>41623</v>
      </c>
      <c r="Z108" s="127">
        <v>41805</v>
      </c>
      <c r="AA108" s="128">
        <v>7.4999999999999997E-3</v>
      </c>
      <c r="AB108" s="129">
        <v>32000000000</v>
      </c>
      <c r="AC108" s="130" t="str">
        <f ca="1">IF(LEFT(B108,1)="B",_xll.INSTANCE.TBILL(A108,V108,Z108,TODAY()),_xll.INSTANCE.TNOTE(A108,V108,W108,X108,Y108,Z108,AA108,TODAY()))</f>
        <v>US912828QS22#0003</v>
      </c>
    </row>
    <row r="109" spans="1:29" x14ac:dyDescent="0.35">
      <c r="A109" s="131" t="s">
        <v>461</v>
      </c>
      <c r="B109" s="115" t="s">
        <v>1085</v>
      </c>
      <c r="C109" s="364"/>
      <c r="D109" s="116"/>
      <c r="E109" s="117"/>
      <c r="F109" s="118"/>
      <c r="G109" s="369"/>
      <c r="H109" s="120">
        <v>3.1286639999999998E-3</v>
      </c>
      <c r="I109" s="121">
        <f ca="1">_xll.INSTRUMENT.PRIX(AC109,D109,H109,cTreasuries)</f>
        <v>104.61296221527414</v>
      </c>
      <c r="J109" s="122">
        <f ca="1">_xll.INSTRUMENT.DV01(A109,,,I109,cContinuous,I109)</f>
        <v>-2.0543940809959176E-2</v>
      </c>
      <c r="K109" s="123">
        <f ca="1">_xll.INSTRUMENT.CONVEXITE(A109,,,I109,cContinuous,I109)</f>
        <v>3.850894624712462</v>
      </c>
      <c r="L109" s="123">
        <f ca="1">_xll.INSTRUMENT.Z.SPREAD(A109,swapCurve,I109,cContinuous,D109)</f>
        <v>-22.121275052670736</v>
      </c>
      <c r="M109" s="123" t="e">
        <f ca="1">_xll.INSTRUMENT.Z.SPREAD(A109,ustCurve,I109,cContinuous,D109)</f>
        <v>#VALUE!</v>
      </c>
      <c r="N109" s="123">
        <f ca="1">_xll.INSTRUMENT.Z.SPREAD(A109,oisCurve,I109,cContinuous,D109)</f>
        <v>10.50465682196111</v>
      </c>
      <c r="O109" s="124" t="e">
        <f ca="1">1/_xll.CALENDRIER.FRAC.ANNEE(_xll.INSTRUMENT.DATE.REGLEMENT($AC109,,),_xll.INSTRUMENT.DATE.REGLEMENT($AC109,_xll.CALENDRIER.GAP.FINANCE(TODAY(),"1M","AUD","Unadjusted"),),"ACT/365")*(_xll.INSTRUMENT.ROLL.DOWN($A109,oisCurve,_xll.CALENDRIER.GAP.FINANCE(TODAY(),"1M","AUD","Unadjusted",TRUE),$N109)+100*$AA109*_xll.CALENDRIER.FRAC.ANNEE(_xll.INSTRUMENT.DATE.REGLEMENT($AC109,,),_xll.INSTRUMENT.DATE.REGLEMENT($AC109,_xll.CALENDRIER.GAP.FINANCE(TODAY(),"1M","AUD","Unadjusted"),),"ACT/365")-$I109)/$I109</f>
        <v>#NAME?</v>
      </c>
      <c r="P109" s="124" t="e">
        <f ca="1">1/_xll.CALENDRIER.FRAC.ANNEE(_xll.INSTRUMENT.DATE.REGLEMENT($AC109,,),_xll.INSTRUMENT.DATE.REGLEMENT($AC109,_xll.CALENDRIER.GAP.FINANCE(TODAY(),"3M","AUD","Unadjusted"),),"ACT/365")*(_xll.INSTRUMENT.ROLL.DOWN($A109,oisCurve,_xll.CALENDRIER.GAP.FINANCE(TODAY(),"3M","AUD","Unadjusted",TRUE),$N109)+100*$AA109*_xll.CALENDRIER.FRAC.ANNEE(_xll.INSTRUMENT.DATE.REGLEMENT($AC109,,),_xll.INSTRUMENT.DATE.REGLEMENT($AC109,_xll.CALENDRIER.GAP.FINANCE(TODAY(),"3M","AUD","Unadjusted"),),"ACT/365")-$I109)/$I109</f>
        <v>#NAME?</v>
      </c>
      <c r="Q109" s="371" t="e">
        <f ca="1">-(O109-curve!$T$3)/J109</f>
        <v>#NAME?</v>
      </c>
      <c r="R109" s="373">
        <f t="shared" ca="1" si="1"/>
        <v>-187.44673479810879</v>
      </c>
      <c r="S109" s="191" t="str">
        <f>IF(F109&lt;&gt;"","",IF(G109="","",-G109*(SUMIF('raw Data'!$A:$A,"RESINV1USD",'raw Data'!$G:$G)+SUMIF('raw Data'!$A:$A,"RESSWAPORUSD",'raw Data'!$G:$G))/(36500*J109)))</f>
        <v/>
      </c>
      <c r="T109" s="202" t="str">
        <f>IF(G109&lt;&gt;"","",IF(F109="","",-36500*J109*F109/(SUMIF('raw Data'!$A:$A,"RESINV1USD",'raw Data'!$G:$G)+SUMIF('raw Data'!$A:$A,"RESSWAPORUSD",'raw Data'!$G:$G))))</f>
        <v/>
      </c>
      <c r="U109" s="125">
        <f>SUMIF('raw Data'!$E:$E,A109,'raw Data'!$N:$N)</f>
        <v>0</v>
      </c>
      <c r="V109" s="126">
        <v>39994</v>
      </c>
      <c r="W109" s="127">
        <v>39994</v>
      </c>
      <c r="X109" s="127">
        <v>40178</v>
      </c>
      <c r="Y109" s="127">
        <v>41639</v>
      </c>
      <c r="Z109" s="127">
        <v>41820</v>
      </c>
      <c r="AA109" s="128">
        <v>2.6249999999999999E-2</v>
      </c>
      <c r="AB109" s="129">
        <v>38075000000</v>
      </c>
      <c r="AC109" s="130" t="str">
        <f ca="1">IF(LEFT(B109,1)="B",_xll.INSTANCE.TBILL(A109,V109,Z109,TODAY()),_xll.INSTANCE.TNOTE(A109,V109,W109,X109,Y109,Z109,AA109,TODAY()))</f>
        <v>US912828KY53#0003</v>
      </c>
    </row>
    <row r="110" spans="1:29" x14ac:dyDescent="0.35">
      <c r="A110" s="131" t="s">
        <v>933</v>
      </c>
      <c r="B110" s="115" t="s">
        <v>1086</v>
      </c>
      <c r="C110" s="364" t="s">
        <v>911</v>
      </c>
      <c r="D110" s="116"/>
      <c r="E110" s="117"/>
      <c r="F110" s="118"/>
      <c r="G110" s="369"/>
      <c r="H110" s="120">
        <v>3.1291459999999998E-3</v>
      </c>
      <c r="I110" s="121">
        <f ca="1">_xll.INSTRUMENT.PRIX(AC110,D110,H110,cTreasuries)</f>
        <v>99.875435801434691</v>
      </c>
      <c r="J110" s="122">
        <f ca="1">_xll.INSTRUMENT.DV01(A110,,,I110,cContinuous,I110)</f>
        <v>-1.9869629911344885E-2</v>
      </c>
      <c r="K110" s="123">
        <f ca="1">_xll.INSTRUMENT.CONVEXITE(A110,,,I110,cContinuous,I110)</f>
        <v>3.9621192433016885</v>
      </c>
      <c r="L110" s="123">
        <f ca="1">_xll.INSTRUMENT.Z.SPREAD(A110,swapCurve,I110,cContinuous,D110)</f>
        <v>-22.342377617493881</v>
      </c>
      <c r="M110" s="123" t="e">
        <f ca="1">_xll.INSTRUMENT.Z.SPREAD(A110,ustCurve,I110,cContinuous,D110)</f>
        <v>#VALUE!</v>
      </c>
      <c r="N110" s="123">
        <f ca="1">_xll.INSTRUMENT.Z.SPREAD(A110,oisCurve,I110,cContinuous,D110)</f>
        <v>10.462018627814455</v>
      </c>
      <c r="O110" s="124" t="e">
        <f ca="1">1/_xll.CALENDRIER.FRAC.ANNEE(_xll.INSTRUMENT.DATE.REGLEMENT($AC110,,),_xll.INSTRUMENT.DATE.REGLEMENT($AC110,_xll.CALENDRIER.GAP.FINANCE(TODAY(),"1M","AUD","Unadjusted"),),"ACT/365")*(_xll.INSTRUMENT.ROLL.DOWN($A110,oisCurve,_xll.CALENDRIER.GAP.FINANCE(TODAY(),"1M","AUD","Unadjusted",TRUE),$N110)+100*$AA110*_xll.CALENDRIER.FRAC.ANNEE(_xll.INSTRUMENT.DATE.REGLEMENT($AC110,,),_xll.INSTRUMENT.DATE.REGLEMENT($AC110,_xll.CALENDRIER.GAP.FINANCE(TODAY(),"1M","AUD","Unadjusted"),),"ACT/365")-$I110)/$I110</f>
        <v>#NAME?</v>
      </c>
      <c r="P110" s="124" t="e">
        <f ca="1">1/_xll.CALENDRIER.FRAC.ANNEE(_xll.INSTRUMENT.DATE.REGLEMENT($AC110,,),_xll.INSTRUMENT.DATE.REGLEMENT($AC110,_xll.CALENDRIER.GAP.FINANCE(TODAY(),"3M","AUD","Unadjusted"),),"ACT/365")*(_xll.INSTRUMENT.ROLL.DOWN($A110,oisCurve,_xll.CALENDRIER.GAP.FINANCE(TODAY(),"3M","AUD","Unadjusted",TRUE),$N110)+100*$AA110*_xll.CALENDRIER.FRAC.ANNEE(_xll.INSTRUMENT.DATE.REGLEMENT($AC110,,),_xll.INSTRUMENT.DATE.REGLEMENT($AC110,_xll.CALENDRIER.GAP.FINANCE(TODAY(),"3M","AUD","Unadjusted"),),"ACT/365")-$I110)/$I110</f>
        <v>#NAME?</v>
      </c>
      <c r="Q110" s="371" t="e">
        <f ca="1">-(O110-curve!$T$3)/J110</f>
        <v>#NAME?</v>
      </c>
      <c r="R110" s="373">
        <f t="shared" ref="R110" ca="1" si="2">K110/J110</f>
        <v>-199.40578968908991</v>
      </c>
      <c r="S110" s="191" t="str">
        <f>IF(F110&lt;&gt;"","",IF(G110="","",-G110*(SUMIF('raw Data'!$A:$A,"RESINV1USD",'raw Data'!$G:$G)+SUMIF('raw Data'!$A:$A,"RESSWAPORUSD",'raw Data'!$G:$G))/(36500*J110)))</f>
        <v/>
      </c>
      <c r="T110" s="202" t="str">
        <f>IF(G110&lt;&gt;"","",IF(F110="","",-36500*J110*F110/(SUMIF('raw Data'!$A:$A,"RESINV1USD",'raw Data'!$G:$G)+SUMIF('raw Data'!$A:$A,"RESSWAPORUSD",'raw Data'!$G:$G))))</f>
        <v/>
      </c>
      <c r="U110" s="125">
        <f>SUMIF('raw Data'!$E:$E,A110,'raw Data'!$N:$N)</f>
        <v>-201484.12210975739</v>
      </c>
      <c r="V110" s="126">
        <v>41092</v>
      </c>
      <c r="W110" s="127">
        <v>41090</v>
      </c>
      <c r="X110" s="127">
        <v>41274</v>
      </c>
      <c r="Y110" s="127">
        <v>41639</v>
      </c>
      <c r="Z110" s="127">
        <v>41820</v>
      </c>
      <c r="AA110" s="128">
        <v>2.5000000000000001E-3</v>
      </c>
      <c r="AB110" s="129">
        <v>35000000000</v>
      </c>
      <c r="AC110" s="130" t="str">
        <f ca="1">IF(LEFT(B110,1)="B",_xll.INSTANCE.TBILL(A110,V110,Z110,TODAY()),_xll.INSTANCE.TNOTE(A110,V110,W110,X110,Y110,Z110,AA110,TODAY()))</f>
        <v>US912828TA86#0003</v>
      </c>
    </row>
    <row r="111" spans="1:29" x14ac:dyDescent="0.35">
      <c r="A111" s="131" t="s">
        <v>462</v>
      </c>
      <c r="B111" s="115" t="s">
        <v>1087</v>
      </c>
      <c r="C111" s="364"/>
      <c r="D111" s="116"/>
      <c r="E111" s="117"/>
      <c r="F111" s="118"/>
      <c r="G111" s="369"/>
      <c r="H111" s="120">
        <v>3.3593550000000001E-3</v>
      </c>
      <c r="I111" s="121">
        <f ca="1">_xll.INSTRUMENT.PRIX(AC111,D111,H111,cTreasuries)</f>
        <v>100.58878666283852</v>
      </c>
      <c r="J111" s="122">
        <f ca="1">_xll.INSTRUMENT.DV01(A111,,,I111,cContinuous,I111)</f>
        <v>-2.0447214760900657E-2</v>
      </c>
      <c r="K111" s="123">
        <f ca="1">_xll.INSTRUMENT.CONVEXITE(A111,,,I111,cContinuous,I111)</f>
        <v>4.1316758593175997</v>
      </c>
      <c r="L111" s="123">
        <f ca="1">_xll.INSTRUMENT.Z.SPREAD(A111,swapCurve,I111,cContinuous,D111)</f>
        <v>-20.114443773733164</v>
      </c>
      <c r="M111" s="123" t="e">
        <f ca="1">_xll.INSTRUMENT.Z.SPREAD(A111,ustCurve,I111,cContinuous,D111)</f>
        <v>#VALUE!</v>
      </c>
      <c r="N111" s="123">
        <f ca="1">_xll.INSTRUMENT.Z.SPREAD(A111,oisCurve,I111,cContinuous,D111)</f>
        <v>12.670337980016432</v>
      </c>
      <c r="O111" s="124" t="e">
        <f ca="1">1/_xll.CALENDRIER.FRAC.ANNEE(_xll.INSTRUMENT.DATE.REGLEMENT($AC111,,),_xll.INSTRUMENT.DATE.REGLEMENT($AC111,_xll.CALENDRIER.GAP.FINANCE(TODAY(),"1M","AUD","Unadjusted"),),"ACT/365")*(_xll.INSTRUMENT.ROLL.DOWN($A111,oisCurve,_xll.CALENDRIER.GAP.FINANCE(TODAY(),"1M","AUD","Unadjusted",TRUE),$N111)+100*$AA111*_xll.CALENDRIER.FRAC.ANNEE(_xll.INSTRUMENT.DATE.REGLEMENT($AC111,,),_xll.INSTRUMENT.DATE.REGLEMENT($AC111,_xll.CALENDRIER.GAP.FINANCE(TODAY(),"1M","AUD","Unadjusted"),),"ACT/365")-$I111)/$I111</f>
        <v>#NAME?</v>
      </c>
      <c r="P111" s="124" t="e">
        <f ca="1">1/_xll.CALENDRIER.FRAC.ANNEE(_xll.INSTRUMENT.DATE.REGLEMENT($AC111,,),_xll.INSTRUMENT.DATE.REGLEMENT($AC111,_xll.CALENDRIER.GAP.FINANCE(TODAY(),"3M","AUD","Unadjusted"),),"ACT/365")*(_xll.INSTRUMENT.ROLL.DOWN($A111,oisCurve,_xll.CALENDRIER.GAP.FINANCE(TODAY(),"3M","AUD","Unadjusted",TRUE),$N111)+100*$AA111*_xll.CALENDRIER.FRAC.ANNEE(_xll.INSTRUMENT.DATE.REGLEMENT($AC111,,),_xll.INSTRUMENT.DATE.REGLEMENT($AC111,_xll.CALENDRIER.GAP.FINANCE(TODAY(),"3M","AUD","Unadjusted"),),"ACT/365")-$I111)/$I111</f>
        <v>#NAME?</v>
      </c>
      <c r="Q111" s="371" t="e">
        <f ca="1">-(O111-curve!$T$3)/J111</f>
        <v>#NAME?</v>
      </c>
      <c r="R111" s="373">
        <f t="shared" ca="1" si="1"/>
        <v>-202.06546014365861</v>
      </c>
      <c r="S111" s="191" t="str">
        <f>IF(F111&lt;&gt;"","",IF(G111="","",-G111*(SUMIF('raw Data'!$A:$A,"RESINV1USD",'raw Data'!$G:$G)+SUMIF('raw Data'!$A:$A,"RESSWAPORUSD",'raw Data'!$G:$G))/(36500*J111)))</f>
        <v/>
      </c>
      <c r="T111" s="202" t="str">
        <f>IF(G111&lt;&gt;"","",IF(F111="","",-36500*J111*F111/(SUMIF('raw Data'!$A:$A,"RESINV1USD",'raw Data'!$G:$G)+SUMIF('raw Data'!$A:$A,"RESSWAPORUSD",'raw Data'!$G:$G))))</f>
        <v/>
      </c>
      <c r="U111" s="125">
        <f>SUMIF('raw Data'!$E:$E,A111,'raw Data'!$N:$N)</f>
        <v>0</v>
      </c>
      <c r="V111" s="126">
        <v>40739</v>
      </c>
      <c r="W111" s="127">
        <v>40739</v>
      </c>
      <c r="X111" s="127">
        <v>40923</v>
      </c>
      <c r="Y111" s="127">
        <v>41654</v>
      </c>
      <c r="Z111" s="127">
        <v>41835</v>
      </c>
      <c r="AA111" s="128">
        <v>6.2500000000000003E-3</v>
      </c>
      <c r="AB111" s="129">
        <v>32000000000</v>
      </c>
      <c r="AC111" s="130" t="str">
        <f ca="1">IF(LEFT(B111,1)="B",_xll.INSTANCE.TBILL(A111,V111,Z111,TODAY()),_xll.INSTANCE.TNOTE(A111,V111,W111,X111,Y111,Z111,AA111,TODAY()))</f>
        <v>US912828QU77#0003</v>
      </c>
    </row>
    <row r="112" spans="1:29" x14ac:dyDescent="0.35">
      <c r="A112" s="131" t="s">
        <v>463</v>
      </c>
      <c r="B112" s="115" t="s">
        <v>1088</v>
      </c>
      <c r="C112" s="364"/>
      <c r="D112" s="116"/>
      <c r="E112" s="117"/>
      <c r="F112" s="118"/>
      <c r="G112" s="369"/>
      <c r="H112" s="120">
        <v>3.4580749999999997E-3</v>
      </c>
      <c r="I112" s="121">
        <f ca="1">_xll.INSTRUMENT.PRIX(AC112,D112,H112,cTreasuries)</f>
        <v>104.73790079528443</v>
      </c>
      <c r="J112" s="122">
        <f ca="1">_xll.INSTRUMENT.DV01(A112,,,I112,cContinuous,I112)</f>
        <v>-2.1423212358472429E-2</v>
      </c>
      <c r="K112" s="123">
        <f ca="1">_xll.INSTRUMENT.CONVEXITE(A112,,,I112,cContinuous,I112)</f>
        <v>4.1874318204888743</v>
      </c>
      <c r="L112" s="123">
        <f ca="1">_xll.INSTRUMENT.Z.SPREAD(A112,swapCurve,I112,cContinuous,D112)</f>
        <v>-19.30071196082244</v>
      </c>
      <c r="M112" s="123" t="e">
        <f ca="1">_xll.INSTRUMENT.Z.SPREAD(A112,ustCurve,I112,cContinuous,D112)</f>
        <v>#VALUE!</v>
      </c>
      <c r="N112" s="123">
        <f ca="1">_xll.INSTRUMENT.Z.SPREAD(A112,oisCurve,I112,cContinuous,D112)</f>
        <v>13.578583337810247</v>
      </c>
      <c r="O112" s="124" t="e">
        <f ca="1">1/_xll.CALENDRIER.FRAC.ANNEE(_xll.INSTRUMENT.DATE.REGLEMENT($AC112,,),_xll.INSTRUMENT.DATE.REGLEMENT($AC112,_xll.CALENDRIER.GAP.FINANCE(TODAY(),"1M","AUD","Unadjusted"),),"ACT/365")*(_xll.INSTRUMENT.ROLL.DOWN($A112,oisCurve,_xll.CALENDRIER.GAP.FINANCE(TODAY(),"1M","AUD","Unadjusted",TRUE),$N112)+100*$AA112*_xll.CALENDRIER.FRAC.ANNEE(_xll.INSTRUMENT.DATE.REGLEMENT($AC112,,),_xll.INSTRUMENT.DATE.REGLEMENT($AC112,_xll.CALENDRIER.GAP.FINANCE(TODAY(),"1M","AUD","Unadjusted"),),"ACT/365")-$I112)/$I112</f>
        <v>#NAME?</v>
      </c>
      <c r="P112" s="124" t="e">
        <f ca="1">1/_xll.CALENDRIER.FRAC.ANNEE(_xll.INSTRUMENT.DATE.REGLEMENT($AC112,,),_xll.INSTRUMENT.DATE.REGLEMENT($AC112,_xll.CALENDRIER.GAP.FINANCE(TODAY(),"3M","AUD","Unadjusted"),),"ACT/365")*(_xll.INSTRUMENT.ROLL.DOWN($A112,oisCurve,_xll.CALENDRIER.GAP.FINANCE(TODAY(),"3M","AUD","Unadjusted",TRUE),$N112)+100*$AA112*_xll.CALENDRIER.FRAC.ANNEE(_xll.INSTRUMENT.DATE.REGLEMENT($AC112,,),_xll.INSTRUMENT.DATE.REGLEMENT($AC112,_xll.CALENDRIER.GAP.FINANCE(TODAY(),"3M","AUD","Unadjusted"),),"ACT/365")-$I112)/$I112</f>
        <v>#NAME?</v>
      </c>
      <c r="Q112" s="371" t="e">
        <f ca="1">-(O112-curve!$T$3)/J112</f>
        <v>#NAME?</v>
      </c>
      <c r="R112" s="373">
        <f t="shared" ca="1" si="1"/>
        <v>-195.46236812766472</v>
      </c>
      <c r="S112" s="191" t="str">
        <f>IF(F112&lt;&gt;"","",IF(G112="","",-G112*(SUMIF('raw Data'!$A:$A,"RESINV1USD",'raw Data'!$G:$G)+SUMIF('raw Data'!$A:$A,"RESSWAPORUSD",'raw Data'!$G:$G))/(36500*J112)))</f>
        <v/>
      </c>
      <c r="T112" s="202" t="str">
        <f>IF(G112&lt;&gt;"","",IF(F112="","",-36500*J112*F112/(SUMIF('raw Data'!$A:$A,"RESINV1USD",'raw Data'!$G:$G)+SUMIF('raw Data'!$A:$A,"RESSWAPORUSD",'raw Data'!$G:$G))))</f>
        <v/>
      </c>
      <c r="U112" s="125">
        <f>SUMIF('raw Data'!$E:$E,A112,'raw Data'!$N:$N)</f>
        <v>0</v>
      </c>
      <c r="V112" s="126">
        <v>40025</v>
      </c>
      <c r="W112" s="127">
        <v>40025</v>
      </c>
      <c r="X112" s="127">
        <v>40209</v>
      </c>
      <c r="Y112" s="127">
        <v>41670</v>
      </c>
      <c r="Z112" s="127">
        <v>41851</v>
      </c>
      <c r="AA112" s="128">
        <v>2.6249999999999999E-2</v>
      </c>
      <c r="AB112" s="129">
        <v>39976000000</v>
      </c>
      <c r="AC112" s="130" t="str">
        <f ca="1">IF(LEFT(B112,1)="B",_xll.INSTANCE.TBILL(A112,V112,Z112,TODAY()),_xll.INSTANCE.TNOTE(A112,V112,W112,X112,Y112,Z112,AA112,TODAY()))</f>
        <v>US912828LC25#0003</v>
      </c>
    </row>
    <row r="113" spans="1:29" x14ac:dyDescent="0.35">
      <c r="A113" s="131" t="s">
        <v>465</v>
      </c>
      <c r="B113" s="115" t="s">
        <v>1089</v>
      </c>
      <c r="C113" s="364"/>
      <c r="D113" s="116"/>
      <c r="E113" s="117"/>
      <c r="F113" s="118"/>
      <c r="G113" s="369"/>
      <c r="H113" s="120">
        <v>3.4599119999999999E-3</v>
      </c>
      <c r="I113" s="121">
        <f ca="1">_xll.INSTRUMENT.PRIX(AC113,D113,H113,cTreasuries)</f>
        <v>108.27464660355005</v>
      </c>
      <c r="J113" s="122">
        <f ca="1">_xll.INSTRUMENT.DV01(A113,,,I113,cContinuous,I113)</f>
        <v>-2.2311145094448946E-2</v>
      </c>
      <c r="K113" s="123">
        <f ca="1">_xll.INSTRUMENT.CONVEXITE(A113,,,I113,cContinuous,I113)</f>
        <v>4.2608214376892262</v>
      </c>
      <c r="L113" s="123">
        <f ca="1">_xll.INSTRUMENT.Z.SPREAD(A113,swapCurve,I113,cContinuous,D113)</f>
        <v>-19.457366561372972</v>
      </c>
      <c r="M113" s="123" t="e">
        <f ca="1">_xll.INSTRUMENT.Z.SPREAD(A113,ustCurve,I113,cContinuous,D113)</f>
        <v>#VALUE!</v>
      </c>
      <c r="N113" s="123">
        <f ca="1">_xll.INSTRUMENT.Z.SPREAD(A113,oisCurve,I113,cContinuous,D113)</f>
        <v>13.521661330602132</v>
      </c>
      <c r="O113" s="124" t="e">
        <f ca="1">1/_xll.CALENDRIER.FRAC.ANNEE(_xll.INSTRUMENT.DATE.REGLEMENT($AC113,,),_xll.INSTRUMENT.DATE.REGLEMENT($AC113,_xll.CALENDRIER.GAP.FINANCE(TODAY(),"1M","AUD","Unadjusted"),),"ACT/365")*(_xll.INSTRUMENT.ROLL.DOWN($A113,oisCurve,_xll.CALENDRIER.GAP.FINANCE(TODAY(),"1M","AUD","Unadjusted",TRUE),$N113)+100*$AA113*_xll.CALENDRIER.FRAC.ANNEE(_xll.INSTRUMENT.DATE.REGLEMENT($AC113,,),_xll.INSTRUMENT.DATE.REGLEMENT($AC113,_xll.CALENDRIER.GAP.FINANCE(TODAY(),"1M","AUD","Unadjusted"),),"ACT/365")-$I113)/$I113</f>
        <v>#NAME?</v>
      </c>
      <c r="P113" s="124" t="e">
        <f ca="1">1/_xll.CALENDRIER.FRAC.ANNEE(_xll.INSTRUMENT.DATE.REGLEMENT($AC113,,),_xll.INSTRUMENT.DATE.REGLEMENT($AC113,_xll.CALENDRIER.GAP.FINANCE(TODAY(),"3M","AUD","Unadjusted"),),"ACT/365")*(_xll.INSTRUMENT.ROLL.DOWN($A113,oisCurve,_xll.CALENDRIER.GAP.FINANCE(TODAY(),"3M","AUD","Unadjusted",TRUE),$N113)+100*$AA113*_xll.CALENDRIER.FRAC.ANNEE(_xll.INSTRUMENT.DATE.REGLEMENT($AC113,,),_xll.INSTRUMENT.DATE.REGLEMENT($AC113,_xll.CALENDRIER.GAP.FINANCE(TODAY(),"3M","AUD","Unadjusted"),),"ACT/365")-$I113)/$I113</f>
        <v>#NAME?</v>
      </c>
      <c r="Q113" s="371" t="e">
        <f ca="1">-(O113-curve!$T$3)/J113</f>
        <v>#NAME?</v>
      </c>
      <c r="R113" s="373">
        <f t="shared" ca="1" si="1"/>
        <v>-190.97278152475133</v>
      </c>
      <c r="S113" s="191" t="str">
        <f>IF(F113&lt;&gt;"","",IF(G113="","",-G113*(SUMIF('raw Data'!$A:$A,"RESINV1USD",'raw Data'!$G:$G)+SUMIF('raw Data'!$A:$A,"RESSWAPORUSD",'raw Data'!$G:$G))/(36500*J113)))</f>
        <v/>
      </c>
      <c r="T113" s="202" t="str">
        <f>IF(G113&lt;&gt;"","",IF(F113="","",-36500*J113*F113/(SUMIF('raw Data'!$A:$A,"RESINV1USD",'raw Data'!$G:$G)+SUMIF('raw Data'!$A:$A,"RESSWAPORUSD",'raw Data'!$G:$G))))</f>
        <v/>
      </c>
      <c r="U113" s="125">
        <f>SUMIF('raw Data'!$E:$E,A113,'raw Data'!$N:$N)</f>
        <v>0</v>
      </c>
      <c r="V113" s="126">
        <v>38215</v>
      </c>
      <c r="W113" s="127">
        <v>38214</v>
      </c>
      <c r="X113" s="127">
        <v>38398</v>
      </c>
      <c r="Y113" s="127">
        <v>41685</v>
      </c>
      <c r="Z113" s="127">
        <v>41866</v>
      </c>
      <c r="AA113" s="128">
        <v>4.2500000000000003E-2</v>
      </c>
      <c r="AB113" s="129">
        <v>24722000000</v>
      </c>
      <c r="AC113" s="130" t="str">
        <f ca="1">IF(LEFT(B113,1)="B",_xll.INSTANCE.TBILL(A113,V113,Z113,TODAY()),_xll.INSTANCE.TNOTE(A113,V113,W113,X113,Y113,Z113,AA113,TODAY()))</f>
        <v>US912828CT50#0003</v>
      </c>
    </row>
    <row r="114" spans="1:29" x14ac:dyDescent="0.35">
      <c r="A114" s="131" t="s">
        <v>464</v>
      </c>
      <c r="B114" s="115" t="s">
        <v>1090</v>
      </c>
      <c r="C114" s="364"/>
      <c r="D114" s="116"/>
      <c r="E114" s="117"/>
      <c r="F114" s="118"/>
      <c r="G114" s="369"/>
      <c r="H114" s="120">
        <v>3.4087790000000002E-3</v>
      </c>
      <c r="I114" s="121">
        <f ca="1">_xll.INSTRUMENT.PRIX(AC114,D114,H114,cTreasuries)</f>
        <v>100.33779641029813</v>
      </c>
      <c r="J114" s="122">
        <f ca="1">_xll.INSTRUMENT.DV01(A114,,,I114,cContinuous,I114)</f>
        <v>-2.1260535611200858E-2</v>
      </c>
      <c r="K114" s="123">
        <f ca="1">_xll.INSTRUMENT.CONVEXITE(A114,,,I114,cContinuous,I114)</f>
        <v>4.4916655421553084</v>
      </c>
      <c r="L114" s="123">
        <f ca="1">_xll.INSTRUMENT.Z.SPREAD(A114,swapCurve,I114,cContinuous,D114)</f>
        <v>-20.123488190618303</v>
      </c>
      <c r="M114" s="123" t="e">
        <f ca="1">_xll.INSTRUMENT.Z.SPREAD(A114,ustCurve,I114,cContinuous,D114)</f>
        <v>#VALUE!</v>
      </c>
      <c r="N114" s="123">
        <f ca="1">_xll.INSTRUMENT.Z.SPREAD(A114,oisCurve,I114,cContinuous,D114)</f>
        <v>12.950968221410413</v>
      </c>
      <c r="O114" s="124" t="e">
        <f ca="1">1/_xll.CALENDRIER.FRAC.ANNEE(_xll.INSTRUMENT.DATE.REGLEMENT($AC114,,),_xll.INSTRUMENT.DATE.REGLEMENT($AC114,_xll.CALENDRIER.GAP.FINANCE(TODAY(),"1M","AUD","Unadjusted"),),"ACT/365")*(_xll.INSTRUMENT.ROLL.DOWN($A114,oisCurve,_xll.CALENDRIER.GAP.FINANCE(TODAY(),"1M","AUD","Unadjusted",TRUE),$N114)+100*$AA114*_xll.CALENDRIER.FRAC.ANNEE(_xll.INSTRUMENT.DATE.REGLEMENT($AC114,,),_xll.INSTRUMENT.DATE.REGLEMENT($AC114,_xll.CALENDRIER.GAP.FINANCE(TODAY(),"1M","AUD","Unadjusted"),),"ACT/365")-$I114)/$I114</f>
        <v>#NAME?</v>
      </c>
      <c r="P114" s="124" t="e">
        <f ca="1">1/_xll.CALENDRIER.FRAC.ANNEE(_xll.INSTRUMENT.DATE.REGLEMENT($AC114,,),_xll.INSTRUMENT.DATE.REGLEMENT($AC114,_xll.CALENDRIER.GAP.FINANCE(TODAY(),"3M","AUD","Unadjusted"),),"ACT/365")*(_xll.INSTRUMENT.ROLL.DOWN($A114,oisCurve,_xll.CALENDRIER.GAP.FINANCE(TODAY(),"3M","AUD","Unadjusted",TRUE),$N114)+100*$AA114*_xll.CALENDRIER.FRAC.ANNEE(_xll.INSTRUMENT.DATE.REGLEMENT($AC114,,),_xll.INSTRUMENT.DATE.REGLEMENT($AC114,_xll.CALENDRIER.GAP.FINANCE(TODAY(),"3M","AUD","Unadjusted"),),"ACT/365")-$I114)/$I114</f>
        <v>#NAME?</v>
      </c>
      <c r="Q114" s="371" t="e">
        <f ca="1">-(O114-curve!$T$3)/J114</f>
        <v>#NAME?</v>
      </c>
      <c r="R114" s="373">
        <f t="shared" ca="1" si="1"/>
        <v>-211.26775093045768</v>
      </c>
      <c r="S114" s="191" t="str">
        <f>IF(F114&lt;&gt;"","",IF(G114="","",-G114*(SUMIF('raw Data'!$A:$A,"RESINV1USD",'raw Data'!$G:$G)+SUMIF('raw Data'!$A:$A,"RESSWAPORUSD",'raw Data'!$G:$G))/(36500*J114)))</f>
        <v/>
      </c>
      <c r="T114" s="202" t="str">
        <f>IF(G114&lt;&gt;"","",IF(F114="","",-36500*J114*F114/(SUMIF('raw Data'!$A:$A,"RESINV1USD",'raw Data'!$G:$G)+SUMIF('raw Data'!$A:$A,"RESSWAPORUSD",'raw Data'!$G:$G))))</f>
        <v/>
      </c>
      <c r="U114" s="125">
        <f>SUMIF('raw Data'!$E:$E,A114,'raw Data'!$N:$N)</f>
        <v>0</v>
      </c>
      <c r="V114" s="126">
        <v>40770</v>
      </c>
      <c r="W114" s="127">
        <v>40770</v>
      </c>
      <c r="X114" s="127">
        <v>40954</v>
      </c>
      <c r="Y114" s="127">
        <v>41685</v>
      </c>
      <c r="Z114" s="127">
        <v>41866</v>
      </c>
      <c r="AA114" s="128">
        <v>5.0000000000000001E-3</v>
      </c>
      <c r="AB114" s="129">
        <v>32980000000.000008</v>
      </c>
      <c r="AC114" s="130" t="str">
        <f ca="1">IF(LEFT(B114,1)="B",_xll.INSTANCE.TBILL(A114,V114,Z114,TODAY()),_xll.INSTANCE.TNOTE(A114,V114,W114,X114,Y114,Z114,AA114,TODAY()))</f>
        <v>US912828RB87#0003</v>
      </c>
    </row>
    <row r="115" spans="1:29" x14ac:dyDescent="0.35">
      <c r="A115" s="131" t="s">
        <v>466</v>
      </c>
      <c r="B115" s="115" t="s">
        <v>1091</v>
      </c>
      <c r="C115" s="364"/>
      <c r="D115" s="116"/>
      <c r="E115" s="117"/>
      <c r="F115" s="118"/>
      <c r="G115" s="369"/>
      <c r="H115" s="120">
        <v>3.4656789999999997E-3</v>
      </c>
      <c r="I115" s="121">
        <f ca="1">_xll.INSTRUMENT.PRIX(AC115,D115,H115,cTreasuries)</f>
        <v>104.38356644003396</v>
      </c>
      <c r="J115" s="122">
        <f ca="1">_xll.INSTRUMENT.DV01(A115,,,I115,cContinuous,I115)</f>
        <v>-2.2240159011469238E-2</v>
      </c>
      <c r="K115" s="123">
        <f ca="1">_xll.INSTRUMENT.CONVEXITE(A115,,,I115,cContinuous,I115)</f>
        <v>4.5768486124874519</v>
      </c>
      <c r="L115" s="123">
        <f ca="1">_xll.INSTRUMENT.Z.SPREAD(A115,swapCurve,I115,cContinuous,D115)</f>
        <v>-19.859945578625236</v>
      </c>
      <c r="M115" s="123" t="e">
        <f ca="1">_xll.INSTRUMENT.Z.SPREAD(A115,ustCurve,I115,cContinuous,D115)</f>
        <v>#VALUE!</v>
      </c>
      <c r="N115" s="123">
        <f ca="1">_xll.INSTRUMENT.Z.SPREAD(A115,oisCurve,I115,cContinuous,D115)</f>
        <v>13.345499488737728</v>
      </c>
      <c r="O115" s="124" t="e">
        <f ca="1">1/_xll.CALENDRIER.FRAC.ANNEE(_xll.INSTRUMENT.DATE.REGLEMENT($AC115,,),_xll.INSTRUMENT.DATE.REGLEMENT($AC115,_xll.CALENDRIER.GAP.FINANCE(TODAY(),"1M","AUD","Unadjusted"),),"ACT/365")*(_xll.INSTRUMENT.ROLL.DOWN($A115,oisCurve,_xll.CALENDRIER.GAP.FINANCE(TODAY(),"1M","AUD","Unadjusted",TRUE),$N115)+100*$AA115*_xll.CALENDRIER.FRAC.ANNEE(_xll.INSTRUMENT.DATE.REGLEMENT($AC115,,),_xll.INSTRUMENT.DATE.REGLEMENT($AC115,_xll.CALENDRIER.GAP.FINANCE(TODAY(),"1M","AUD","Unadjusted"),),"ACT/365")-$I115)/$I115</f>
        <v>#NAME?</v>
      </c>
      <c r="P115" s="124" t="e">
        <f ca="1">1/_xll.CALENDRIER.FRAC.ANNEE(_xll.INSTRUMENT.DATE.REGLEMENT($AC115,,),_xll.INSTRUMENT.DATE.REGLEMENT($AC115,_xll.CALENDRIER.GAP.FINANCE(TODAY(),"3M","AUD","Unadjusted"),),"ACT/365")*(_xll.INSTRUMENT.ROLL.DOWN($A115,oisCurve,_xll.CALENDRIER.GAP.FINANCE(TODAY(),"3M","AUD","Unadjusted",TRUE),$N115)+100*$AA115*_xll.CALENDRIER.FRAC.ANNEE(_xll.INSTRUMENT.DATE.REGLEMENT($AC115,,),_xll.INSTRUMENT.DATE.REGLEMENT($AC115,_xll.CALENDRIER.GAP.FINANCE(TODAY(),"3M","AUD","Unadjusted"),),"ACT/365")-$I115)/$I115</f>
        <v>#NAME?</v>
      </c>
      <c r="Q115" s="371" t="e">
        <f ca="1">-(O115-curve!$T$3)/J115</f>
        <v>#NAME?</v>
      </c>
      <c r="R115" s="373">
        <f t="shared" ca="1" si="1"/>
        <v>-205.79208134830213</v>
      </c>
      <c r="S115" s="191" t="str">
        <f>IF(F115&lt;&gt;"","",IF(G115="","",-G115*(SUMIF('raw Data'!$A:$A,"RESINV1USD",'raw Data'!$G:$G)+SUMIF('raw Data'!$A:$A,"RESSWAPORUSD",'raw Data'!$G:$G))/(36500*J115)))</f>
        <v/>
      </c>
      <c r="T115" s="202" t="str">
        <f>IF(G115&lt;&gt;"","",IF(F115="","",-36500*J115*F115/(SUMIF('raw Data'!$A:$A,"RESINV1USD",'raw Data'!$G:$G)+SUMIF('raw Data'!$A:$A,"RESSWAPORUSD",'raw Data'!$G:$G))))</f>
        <v/>
      </c>
      <c r="U115" s="125">
        <f>SUMIF('raw Data'!$E:$E,A115,'raw Data'!$N:$N)</f>
        <v>0</v>
      </c>
      <c r="V115" s="126">
        <v>40056</v>
      </c>
      <c r="W115" s="127">
        <v>40056</v>
      </c>
      <c r="X115" s="127">
        <v>40237</v>
      </c>
      <c r="Y115" s="127">
        <v>41698</v>
      </c>
      <c r="Z115" s="127">
        <v>41882</v>
      </c>
      <c r="AA115" s="128">
        <v>2.375E-2</v>
      </c>
      <c r="AB115" s="129">
        <v>40175000000</v>
      </c>
      <c r="AC115" s="130" t="str">
        <f ca="1">IF(LEFT(B115,1)="B",_xll.INSTANCE.TBILL(A115,V115,Z115,TODAY()),_xll.INSTANCE.TNOTE(A115,V115,W115,X115,Y115,Z115,AA115,TODAY()))</f>
        <v>US912828LK41#0003</v>
      </c>
    </row>
    <row r="116" spans="1:29" x14ac:dyDescent="0.35">
      <c r="A116" s="131" t="s">
        <v>467</v>
      </c>
      <c r="B116" s="115" t="s">
        <v>1092</v>
      </c>
      <c r="C116" s="364"/>
      <c r="D116" s="116"/>
      <c r="E116" s="117"/>
      <c r="F116" s="118"/>
      <c r="G116" s="369"/>
      <c r="H116" s="120">
        <v>3.425857E-3</v>
      </c>
      <c r="I116" s="121">
        <f ca="1">_xll.INSTRUMENT.PRIX(AC116,D116,H116,cTreasuries)</f>
        <v>99.795971412661487</v>
      </c>
      <c r="J116" s="122">
        <f ca="1">_xll.INSTRUMENT.DV01(A116,,,I116,cContinuous,I116)</f>
        <v>-2.2031391792735167E-2</v>
      </c>
      <c r="K116" s="123">
        <f ca="1">_xll.INSTRUMENT.CONVEXITE(A116,,,I116,cContinuous,I116)</f>
        <v>4.8760564297484548</v>
      </c>
      <c r="L116" s="123">
        <f ca="1">_xll.INSTRUMENT.Z.SPREAD(A116,swapCurve,I116,cContinuous,D116)</f>
        <v>-20.490004353267608</v>
      </c>
      <c r="M116" s="123" t="e">
        <f ca="1">_xll.INSTRUMENT.Z.SPREAD(A116,ustCurve,I116,cContinuous,D116)</f>
        <v>#VALUE!</v>
      </c>
      <c r="N116" s="123">
        <f ca="1">_xll.INSTRUMENT.Z.SPREAD(A116,oisCurve,I116,cContinuous,D116)</f>
        <v>12.905794834702133</v>
      </c>
      <c r="O116" s="124" t="e">
        <f ca="1">1/_xll.CALENDRIER.FRAC.ANNEE(_xll.INSTRUMENT.DATE.REGLEMENT($AC116,,),_xll.INSTRUMENT.DATE.REGLEMENT($AC116,_xll.CALENDRIER.GAP.FINANCE(TODAY(),"1M","AUD","Unadjusted"),),"ACT/365")*(_xll.INSTRUMENT.ROLL.DOWN($A116,oisCurve,_xll.CALENDRIER.GAP.FINANCE(TODAY(),"1M","AUD","Unadjusted",TRUE),$N116)+100*$AA116*_xll.CALENDRIER.FRAC.ANNEE(_xll.INSTRUMENT.DATE.REGLEMENT($AC116,,),_xll.INSTRUMENT.DATE.REGLEMENT($AC116,_xll.CALENDRIER.GAP.FINANCE(TODAY(),"1M","AUD","Unadjusted"),),"ACT/365")-$I116)/$I116</f>
        <v>#NAME?</v>
      </c>
      <c r="P116" s="124" t="e">
        <f ca="1">1/_xll.CALENDRIER.FRAC.ANNEE(_xll.INSTRUMENT.DATE.REGLEMENT($AC116,,),_xll.INSTRUMENT.DATE.REGLEMENT($AC116,_xll.CALENDRIER.GAP.FINANCE(TODAY(),"3M","AUD","Unadjusted"),),"ACT/365")*(_xll.INSTRUMENT.ROLL.DOWN($A116,oisCurve,_xll.CALENDRIER.GAP.FINANCE(TODAY(),"3M","AUD","Unadjusted",TRUE),$N116)+100*$AA116*_xll.CALENDRIER.FRAC.ANNEE(_xll.INSTRUMENT.DATE.REGLEMENT($AC116,,),_xll.INSTRUMENT.DATE.REGLEMENT($AC116,_xll.CALENDRIER.GAP.FINANCE(TODAY(),"3M","AUD","Unadjusted"),),"ACT/365")-$I116)/$I116</f>
        <v>#NAME?</v>
      </c>
      <c r="Q116" s="371" t="e">
        <f ca="1">-(O116-curve!$T$3)/J116</f>
        <v>#NAME?</v>
      </c>
      <c r="R116" s="373">
        <f t="shared" ca="1" si="1"/>
        <v>-221.3231227341856</v>
      </c>
      <c r="S116" s="191" t="str">
        <f>IF(F116&lt;&gt;"","",IF(G116="","",-G116*(SUMIF('raw Data'!$A:$A,"RESINV1USD",'raw Data'!$G:$G)+SUMIF('raw Data'!$A:$A,"RESSWAPORUSD",'raw Data'!$G:$G))/(36500*J116)))</f>
        <v/>
      </c>
      <c r="T116" s="202" t="str">
        <f>IF(G116&lt;&gt;"","",IF(F116="","",-36500*J116*F116/(SUMIF('raw Data'!$A:$A,"RESINV1USD",'raw Data'!$G:$G)+SUMIF('raw Data'!$A:$A,"RESSWAPORUSD",'raw Data'!$G:$G))))</f>
        <v/>
      </c>
      <c r="U116" s="125">
        <f>SUMIF('raw Data'!$E:$E,A116,'raw Data'!$N:$N)</f>
        <v>0</v>
      </c>
      <c r="V116" s="126">
        <v>40801</v>
      </c>
      <c r="W116" s="127">
        <v>40801</v>
      </c>
      <c r="X116" s="127">
        <v>40983</v>
      </c>
      <c r="Y116" s="127">
        <v>41713</v>
      </c>
      <c r="Z116" s="127">
        <v>41897</v>
      </c>
      <c r="AA116" s="128">
        <v>2.5000000000000001E-3</v>
      </c>
      <c r="AB116" s="129">
        <v>32000000000</v>
      </c>
      <c r="AC116" s="130" t="str">
        <f ca="1">IF(LEFT(B116,1)="B",_xll.INSTANCE.TBILL(A116,V116,Z116,TODAY()),_xll.INSTANCE.TNOTE(A116,V116,W116,X116,Y116,Z116,AA116,TODAY()))</f>
        <v>US912828RG74#0003</v>
      </c>
    </row>
    <row r="117" spans="1:29" x14ac:dyDescent="0.35">
      <c r="A117" s="131" t="s">
        <v>468</v>
      </c>
      <c r="B117" s="115" t="s">
        <v>1093</v>
      </c>
      <c r="C117" s="364"/>
      <c r="D117" s="116"/>
      <c r="E117" s="117"/>
      <c r="F117" s="118"/>
      <c r="G117" s="369"/>
      <c r="H117" s="120">
        <v>3.3408409999999998E-3</v>
      </c>
      <c r="I117" s="121">
        <f ca="1">_xll.INSTRUMENT.PRIX(AC117,D117,H117,cTreasuries)</f>
        <v>104.57930454200088</v>
      </c>
      <c r="J117" s="122">
        <f ca="1">_xll.INSTRUMENT.DV01(A117,,,I117,cContinuous,I117)</f>
        <v>-2.3104998578929194E-2</v>
      </c>
      <c r="K117" s="123">
        <f ca="1">_xll.INSTRUMENT.CONVEXITE(A117,,,I117,cContinuous,I117)</f>
        <v>4.9085209086902655</v>
      </c>
      <c r="L117" s="123">
        <f ca="1">_xll.INSTRUMENT.Z.SPREAD(A117,swapCurve,I117,cContinuous,D117)</f>
        <v>-21.511537515164953</v>
      </c>
      <c r="M117" s="123" t="e">
        <f ca="1">_xll.INSTRUMENT.Z.SPREAD(A117,ustCurve,I117,cContinuous,D117)</f>
        <v>#VALUE!</v>
      </c>
      <c r="N117" s="123">
        <f ca="1">_xll.INSTRUMENT.Z.SPREAD(A117,oisCurve,I117,cContinuous,D117)</f>
        <v>11.990606111783666</v>
      </c>
      <c r="O117" s="124" t="e">
        <f ca="1">1/_xll.CALENDRIER.FRAC.ANNEE(_xll.INSTRUMENT.DATE.REGLEMENT($AC117,,),_xll.INSTRUMENT.DATE.REGLEMENT($AC117,_xll.CALENDRIER.GAP.FINANCE(TODAY(),"1M","AUD","Unadjusted"),),"ACT/365")*(_xll.INSTRUMENT.ROLL.DOWN($A117,oisCurve,_xll.CALENDRIER.GAP.FINANCE(TODAY(),"1M","AUD","Unadjusted",TRUE),$N117)+100*$AA117*_xll.CALENDRIER.FRAC.ANNEE(_xll.INSTRUMENT.DATE.REGLEMENT($AC117,,),_xll.INSTRUMENT.DATE.REGLEMENT($AC117,_xll.CALENDRIER.GAP.FINANCE(TODAY(),"1M","AUD","Unadjusted"),),"ACT/365")-$I117)/$I117</f>
        <v>#NAME?</v>
      </c>
      <c r="P117" s="124" t="e">
        <f ca="1">1/_xll.CALENDRIER.FRAC.ANNEE(_xll.INSTRUMENT.DATE.REGLEMENT($AC117,,),_xll.INSTRUMENT.DATE.REGLEMENT($AC117,_xll.CALENDRIER.GAP.FINANCE(TODAY(),"3M","AUD","Unadjusted"),),"ACT/365")*(_xll.INSTRUMENT.ROLL.DOWN($A117,oisCurve,_xll.CALENDRIER.GAP.FINANCE(TODAY(),"3M","AUD","Unadjusted",TRUE),$N117)+100*$AA117*_xll.CALENDRIER.FRAC.ANNEE(_xll.INSTRUMENT.DATE.REGLEMENT($AC117,,),_xll.INSTRUMENT.DATE.REGLEMENT($AC117,_xll.CALENDRIER.GAP.FINANCE(TODAY(),"3M","AUD","Unadjusted"),),"ACT/365")-$I117)/$I117</f>
        <v>#NAME?</v>
      </c>
      <c r="Q117" s="371" t="e">
        <f ca="1">-(O117-curve!$T$3)/J117</f>
        <v>#NAME?</v>
      </c>
      <c r="R117" s="373">
        <f t="shared" ca="1" si="1"/>
        <v>-212.44411212241468</v>
      </c>
      <c r="S117" s="191" t="str">
        <f>IF(F117&lt;&gt;"","",IF(G117="","",-G117*(SUMIF('raw Data'!$A:$A,"RESINV1USD",'raw Data'!$G:$G)+SUMIF('raw Data'!$A:$A,"RESSWAPORUSD",'raw Data'!$G:$G))/(36500*J117)))</f>
        <v/>
      </c>
      <c r="T117" s="202" t="str">
        <f>IF(G117&lt;&gt;"","",IF(F117="","",-36500*J117*F117/(SUMIF('raw Data'!$A:$A,"RESINV1USD",'raw Data'!$G:$G)+SUMIF('raw Data'!$A:$A,"RESSWAPORUSD",'raw Data'!$G:$G))))</f>
        <v/>
      </c>
      <c r="U117" s="125">
        <f>SUMIF('raw Data'!$E:$E,A117,'raw Data'!$N:$N)</f>
        <v>0</v>
      </c>
      <c r="V117" s="126">
        <v>40086</v>
      </c>
      <c r="W117" s="127">
        <v>40086</v>
      </c>
      <c r="X117" s="127">
        <v>40268</v>
      </c>
      <c r="Y117" s="127">
        <v>41729</v>
      </c>
      <c r="Z117" s="127">
        <v>41912</v>
      </c>
      <c r="AA117" s="128">
        <v>2.375E-2</v>
      </c>
      <c r="AB117" s="129">
        <v>40709000000</v>
      </c>
      <c r="AC117" s="130" t="str">
        <f ca="1">IF(LEFT(B117,1)="B",_xll.INSTANCE.TBILL(A117,V117,Z117,TODAY()),_xll.INSTANCE.TNOTE(A117,V117,W117,X117,Y117,Z117,AA117,TODAY()))</f>
        <v>US912828LQ11#0003</v>
      </c>
    </row>
    <row r="118" spans="1:29" x14ac:dyDescent="0.35">
      <c r="A118" s="131" t="s">
        <v>469</v>
      </c>
      <c r="B118" s="115" t="s">
        <v>1094</v>
      </c>
      <c r="C118" s="364"/>
      <c r="D118" s="116"/>
      <c r="E118" s="117"/>
      <c r="F118" s="118"/>
      <c r="G118" s="369"/>
      <c r="H118" s="120">
        <v>3.4208119999999996E-3</v>
      </c>
      <c r="I118" s="121">
        <f ca="1">_xll.INSTRUMENT.PRIX(AC118,D118,H118,cTreasuries)</f>
        <v>100.36082457767435</v>
      </c>
      <c r="J118" s="122">
        <f ca="1">_xll.INSTRUMENT.DV01(A118,,,I118,cContinuous,I118)</f>
        <v>-2.2926540263474928E-2</v>
      </c>
      <c r="K118" s="123">
        <f ca="1">_xll.INSTRUMENT.CONVEXITE(A118,,,I118,cContinuous,I118)</f>
        <v>5.2263851242015624</v>
      </c>
      <c r="L118" s="123">
        <f ca="1">_xll.INSTRUMENT.Z.SPREAD(A118,swapCurve,I118,cContinuous,D118)</f>
        <v>-21.063578417929662</v>
      </c>
      <c r="M118" s="123" t="e">
        <f ca="1">_xll.INSTRUMENT.Z.SPREAD(A118,ustCurve,I118,cContinuous,D118)</f>
        <v>#VALUE!</v>
      </c>
      <c r="N118" s="123">
        <f ca="1">_xll.INSTRUMENT.Z.SPREAD(A118,oisCurve,I118,cContinuous,D118)</f>
        <v>12.636762477150748</v>
      </c>
      <c r="O118" s="124" t="e">
        <f ca="1">1/_xll.CALENDRIER.FRAC.ANNEE(_xll.INSTRUMENT.DATE.REGLEMENT($AC118,,),_xll.INSTRUMENT.DATE.REGLEMENT($AC118,_xll.CALENDRIER.GAP.FINANCE(TODAY(),"1M","AUD","Unadjusted"),),"ACT/365")*(_xll.INSTRUMENT.ROLL.DOWN($A118,oisCurve,_xll.CALENDRIER.GAP.FINANCE(TODAY(),"1M","AUD","Unadjusted",TRUE),$N118)+100*$AA118*_xll.CALENDRIER.FRAC.ANNEE(_xll.INSTRUMENT.DATE.REGLEMENT($AC118,,),_xll.INSTRUMENT.DATE.REGLEMENT($AC118,_xll.CALENDRIER.GAP.FINANCE(TODAY(),"1M","AUD","Unadjusted"),),"ACT/365")-$I118)/$I118</f>
        <v>#NAME?</v>
      </c>
      <c r="P118" s="124" t="e">
        <f ca="1">1/_xll.CALENDRIER.FRAC.ANNEE(_xll.INSTRUMENT.DATE.REGLEMENT($AC118,,),_xll.INSTRUMENT.DATE.REGLEMENT($AC118,_xll.CALENDRIER.GAP.FINANCE(TODAY(),"3M","AUD","Unadjusted"),),"ACT/365")*(_xll.INSTRUMENT.ROLL.DOWN($A118,oisCurve,_xll.CALENDRIER.GAP.FINANCE(TODAY(),"3M","AUD","Unadjusted",TRUE),$N118)+100*$AA118*_xll.CALENDRIER.FRAC.ANNEE(_xll.INSTRUMENT.DATE.REGLEMENT($AC118,,),_xll.INSTRUMENT.DATE.REGLEMENT($AC118,_xll.CALENDRIER.GAP.FINANCE(TODAY(),"3M","AUD","Unadjusted"),),"ACT/365")-$I118)/$I118</f>
        <v>#NAME?</v>
      </c>
      <c r="Q118" s="371" t="e">
        <f ca="1">-(O118-curve!$T$3)/J118</f>
        <v>#NAME?</v>
      </c>
      <c r="R118" s="373">
        <f t="shared" ca="1" si="1"/>
        <v>-227.96222474648297</v>
      </c>
      <c r="S118" s="191" t="str">
        <f>IF(F118&lt;&gt;"","",IF(G118="","",-G118*(SUMIF('raw Data'!$A:$A,"RESINV1USD",'raw Data'!$G:$G)+SUMIF('raw Data'!$A:$A,"RESSWAPORUSD",'raw Data'!$G:$G))/(36500*J118)))</f>
        <v/>
      </c>
      <c r="T118" s="202" t="str">
        <f>IF(G118&lt;&gt;"","",IF(F118="","",-36500*J118*F118/(SUMIF('raw Data'!$A:$A,"RESINV1USD",'raw Data'!$G:$G)+SUMIF('raw Data'!$A:$A,"RESSWAPORUSD",'raw Data'!$G:$G))))</f>
        <v/>
      </c>
      <c r="U118" s="125">
        <f>SUMIF('raw Data'!$E:$E,A118,'raw Data'!$N:$N)</f>
        <v>0</v>
      </c>
      <c r="V118" s="126">
        <v>40833</v>
      </c>
      <c r="W118" s="127">
        <v>40831</v>
      </c>
      <c r="X118" s="127">
        <v>41014</v>
      </c>
      <c r="Y118" s="127">
        <v>41744</v>
      </c>
      <c r="Z118" s="127">
        <v>41927</v>
      </c>
      <c r="AA118" s="128">
        <v>5.0000000000000001E-3</v>
      </c>
      <c r="AB118" s="129">
        <v>32000000000</v>
      </c>
      <c r="AC118" s="130" t="str">
        <f ca="1">IF(LEFT(B118,1)="B",_xll.INSTANCE.TBILL(A118,V118,Z118,TODAY()),_xll.INSTANCE.TNOTE(A118,V118,W118,X118,Y118,Z118,AA118,TODAY()))</f>
        <v>US912828RL69#0003</v>
      </c>
    </row>
    <row r="119" spans="1:29" x14ac:dyDescent="0.35">
      <c r="A119" s="131" t="s">
        <v>470</v>
      </c>
      <c r="B119" s="115" t="s">
        <v>1095</v>
      </c>
      <c r="C119" s="364"/>
      <c r="D119" s="116"/>
      <c r="E119" s="117"/>
      <c r="F119" s="118"/>
      <c r="G119" s="369"/>
      <c r="H119" s="120">
        <v>3.6186249999999999E-3</v>
      </c>
      <c r="I119" s="121">
        <f ca="1">_xll.INSTRUMENT.PRIX(AC119,D119,H119,cTreasuries)</f>
        <v>104.67979693634166</v>
      </c>
      <c r="J119" s="122">
        <f ca="1">_xll.INSTRUMENT.DV01(A119,,,I119,cContinuous,I119)</f>
        <v>-2.3975275673035125E-2</v>
      </c>
      <c r="K119" s="123">
        <f ca="1">_xll.INSTRUMENT.CONVEXITE(A119,,,I119,cContinuous,I119)</f>
        <v>5.2886356427922037</v>
      </c>
      <c r="L119" s="123">
        <f ca="1">_xll.INSTRUMENT.Z.SPREAD(A119,swapCurve,I119,cContinuous,D119)</f>
        <v>-19.302573126949667</v>
      </c>
      <c r="M119" s="123" t="e">
        <f ca="1">_xll.INSTRUMENT.Z.SPREAD(A119,ustCurve,I119,cContinuous,D119)</f>
        <v>#VALUE!</v>
      </c>
      <c r="N119" s="123">
        <f ca="1">_xll.INSTRUMENT.Z.SPREAD(A119,oisCurve,I119,cContinuous,D119)</f>
        <v>14.518048468418129</v>
      </c>
      <c r="O119" s="124" t="e">
        <f ca="1">1/_xll.CALENDRIER.FRAC.ANNEE(_xll.INSTRUMENT.DATE.REGLEMENT($AC119,,),_xll.INSTRUMENT.DATE.REGLEMENT($AC119,_xll.CALENDRIER.GAP.FINANCE(TODAY(),"1M","AUD","Unadjusted"),),"ACT/365")*(_xll.INSTRUMENT.ROLL.DOWN($A119,oisCurve,_xll.CALENDRIER.GAP.FINANCE(TODAY(),"1M","AUD","Unadjusted",TRUE),$N119)+100*$AA119*_xll.CALENDRIER.FRAC.ANNEE(_xll.INSTRUMENT.DATE.REGLEMENT($AC119,,),_xll.INSTRUMENT.DATE.REGLEMENT($AC119,_xll.CALENDRIER.GAP.FINANCE(TODAY(),"1M","AUD","Unadjusted"),),"ACT/365")-$I119)/$I119</f>
        <v>#NAME?</v>
      </c>
      <c r="P119" s="124" t="e">
        <f ca="1">1/_xll.CALENDRIER.FRAC.ANNEE(_xll.INSTRUMENT.DATE.REGLEMENT($AC119,,),_xll.INSTRUMENT.DATE.REGLEMENT($AC119,_xll.CALENDRIER.GAP.FINANCE(TODAY(),"3M","AUD","Unadjusted"),),"ACT/365")*(_xll.INSTRUMENT.ROLL.DOWN($A119,oisCurve,_xll.CALENDRIER.GAP.FINANCE(TODAY(),"3M","AUD","Unadjusted",TRUE),$N119)+100*$AA119*_xll.CALENDRIER.FRAC.ANNEE(_xll.INSTRUMENT.DATE.REGLEMENT($AC119,,),_xll.INSTRUMENT.DATE.REGLEMENT($AC119,_xll.CALENDRIER.GAP.FINANCE(TODAY(),"3M","AUD","Unadjusted"),),"ACT/365")-$I119)/$I119</f>
        <v>#NAME?</v>
      </c>
      <c r="Q119" s="371" t="e">
        <f ca="1">-(O119-curve!$T$3)/J119</f>
        <v>#NAME?</v>
      </c>
      <c r="R119" s="373">
        <f t="shared" ca="1" si="1"/>
        <v>-220.58706289414249</v>
      </c>
      <c r="S119" s="191" t="str">
        <f>IF(F119&lt;&gt;"","",IF(G119="","",-G119*(SUMIF('raw Data'!$A:$A,"RESINV1USD",'raw Data'!$G:$G)+SUMIF('raw Data'!$A:$A,"RESSWAPORUSD",'raw Data'!$G:$G))/(36500*J119)))</f>
        <v/>
      </c>
      <c r="T119" s="202" t="str">
        <f>IF(G119&lt;&gt;"","",IF(F119="","",-36500*J119*F119/(SUMIF('raw Data'!$A:$A,"RESINV1USD",'raw Data'!$G:$G)+SUMIF('raw Data'!$A:$A,"RESSWAPORUSD",'raw Data'!$G:$G))))</f>
        <v/>
      </c>
      <c r="U119" s="125">
        <f>SUMIF('raw Data'!$E:$E,A119,'raw Data'!$N:$N)</f>
        <v>0</v>
      </c>
      <c r="V119" s="126">
        <v>40119</v>
      </c>
      <c r="W119" s="127">
        <v>40117</v>
      </c>
      <c r="X119" s="127">
        <v>40298</v>
      </c>
      <c r="Y119" s="127">
        <v>41759</v>
      </c>
      <c r="Z119" s="127">
        <v>41943</v>
      </c>
      <c r="AA119" s="128">
        <v>2.375E-2</v>
      </c>
      <c r="AB119" s="129">
        <v>42011000000.000008</v>
      </c>
      <c r="AC119" s="130" t="str">
        <f ca="1">IF(LEFT(B119,1)="B",_xll.INSTANCE.TBILL(A119,V119,Z119,TODAY()),_xll.INSTANCE.TNOTE(A119,V119,W119,X119,Y119,Z119,AA119,TODAY()))</f>
        <v>US912828LS76#0003</v>
      </c>
    </row>
    <row r="120" spans="1:29" x14ac:dyDescent="0.35">
      <c r="A120" s="131" t="s">
        <v>472</v>
      </c>
      <c r="B120" s="115" t="s">
        <v>1096</v>
      </c>
      <c r="C120" s="364"/>
      <c r="D120" s="116"/>
      <c r="E120" s="117"/>
      <c r="F120" s="118"/>
      <c r="G120" s="369"/>
      <c r="H120" s="120">
        <v>3.6859029999999999E-3</v>
      </c>
      <c r="I120" s="121">
        <f ca="1">_xll.INSTRUMENT.PRIX(AC120,D120,H120,cTreasuries)</f>
        <v>109.1791235543818</v>
      </c>
      <c r="J120" s="122">
        <f ca="1">_xll.INSTRUMENT.DV01(A120,,,I120,cContinuous,I120)</f>
        <v>-2.5041298280467215E-2</v>
      </c>
      <c r="K120" s="123">
        <f ca="1">_xll.INSTRUMENT.CONVEXITE(A120,,,I120,cContinuous,I120)</f>
        <v>5.3708065083913583</v>
      </c>
      <c r="L120" s="123">
        <f ca="1">_xll.INSTRUMENT.Z.SPREAD(A120,swapCurve,I120,cContinuous,D120)</f>
        <v>-18.949692726159149</v>
      </c>
      <c r="M120" s="123" t="e">
        <f ca="1">_xll.INSTRUMENT.Z.SPREAD(A120,ustCurve,I120,cContinuous,D120)</f>
        <v>#VALUE!</v>
      </c>
      <c r="N120" s="123">
        <f ca="1">_xll.INSTRUMENT.Z.SPREAD(A120,oisCurve,I120,cContinuous,D120)</f>
        <v>14.99563091506492</v>
      </c>
      <c r="O120" s="124" t="e">
        <f ca="1">1/_xll.CALENDRIER.FRAC.ANNEE(_xll.INSTRUMENT.DATE.REGLEMENT($AC120,,),_xll.INSTRUMENT.DATE.REGLEMENT($AC120,_xll.CALENDRIER.GAP.FINANCE(TODAY(),"1M","AUD","Unadjusted"),),"ACT/365")*(_xll.INSTRUMENT.ROLL.DOWN($A120,oisCurve,_xll.CALENDRIER.GAP.FINANCE(TODAY(),"1M","AUD","Unadjusted",TRUE),$N120)+100*$AA120*_xll.CALENDRIER.FRAC.ANNEE(_xll.INSTRUMENT.DATE.REGLEMENT($AC120,,),_xll.INSTRUMENT.DATE.REGLEMENT($AC120,_xll.CALENDRIER.GAP.FINANCE(TODAY(),"1M","AUD","Unadjusted"),),"ACT/365")-$I120)/$I120</f>
        <v>#NAME?</v>
      </c>
      <c r="P120" s="124" t="e">
        <f ca="1">1/_xll.CALENDRIER.FRAC.ANNEE(_xll.INSTRUMENT.DATE.REGLEMENT($AC120,,),_xll.INSTRUMENT.DATE.REGLEMENT($AC120,_xll.CALENDRIER.GAP.FINANCE(TODAY(),"3M","AUD","Unadjusted"),),"ACT/365")*(_xll.INSTRUMENT.ROLL.DOWN($A120,oisCurve,_xll.CALENDRIER.GAP.FINANCE(TODAY(),"3M","AUD","Unadjusted",TRUE),$N120)+100*$AA120*_xll.CALENDRIER.FRAC.ANNEE(_xll.INSTRUMENT.DATE.REGLEMENT($AC120,,),_xll.INSTRUMENT.DATE.REGLEMENT($AC120,_xll.CALENDRIER.GAP.FINANCE(TODAY(),"3M","AUD","Unadjusted"),),"ACT/365")-$I120)/$I120</f>
        <v>#NAME?</v>
      </c>
      <c r="Q120" s="371" t="e">
        <f ca="1">-(O120-curve!$T$3)/J120</f>
        <v>#NAME?</v>
      </c>
      <c r="R120" s="373">
        <f t="shared" ca="1" si="1"/>
        <v>-214.47795750193632</v>
      </c>
      <c r="S120" s="191" t="str">
        <f>IF(F120&lt;&gt;"","",IF(G120="","",-G120*(SUMIF('raw Data'!$A:$A,"RESINV1USD",'raw Data'!$G:$G)+SUMIF('raw Data'!$A:$A,"RESSWAPORUSD",'raw Data'!$G:$G))/(36500*J120)))</f>
        <v/>
      </c>
      <c r="T120" s="202" t="str">
        <f>IF(G120&lt;&gt;"","",IF(F120="","",-36500*J120*F120/(SUMIF('raw Data'!$A:$A,"RESINV1USD",'raw Data'!$G:$G)+SUMIF('raw Data'!$A:$A,"RESSWAPORUSD",'raw Data'!$G:$G))))</f>
        <v/>
      </c>
      <c r="U120" s="125">
        <f>SUMIF('raw Data'!$E:$E,A120,'raw Data'!$N:$N)</f>
        <v>0</v>
      </c>
      <c r="V120" s="126">
        <v>38306</v>
      </c>
      <c r="W120" s="127">
        <v>38306</v>
      </c>
      <c r="X120" s="127">
        <v>38487</v>
      </c>
      <c r="Y120" s="127">
        <v>41774</v>
      </c>
      <c r="Z120" s="127">
        <v>41958</v>
      </c>
      <c r="AA120" s="128">
        <v>4.2500000000000003E-2</v>
      </c>
      <c r="AB120" s="129">
        <v>25473000000</v>
      </c>
      <c r="AC120" s="130" t="str">
        <f ca="1">IF(LEFT(B120,1)="B",_xll.INSTANCE.TBILL(A120,V120,Z120,TODAY()),_xll.INSTANCE.TNOTE(A120,V120,W120,X120,Y120,Z120,AA120,TODAY()))</f>
        <v>US912828DC17#0003</v>
      </c>
    </row>
    <row r="121" spans="1:29" x14ac:dyDescent="0.35">
      <c r="A121" s="131" t="s">
        <v>471</v>
      </c>
      <c r="B121" s="115" t="s">
        <v>1097</v>
      </c>
      <c r="C121" s="364"/>
      <c r="D121" s="116"/>
      <c r="E121" s="117"/>
      <c r="F121" s="118"/>
      <c r="G121" s="369"/>
      <c r="H121" s="120">
        <v>3.5179080000000001E-3</v>
      </c>
      <c r="I121" s="121">
        <f ca="1">_xll.INSTRUMENT.PRIX(AC121,D121,H121,cTreasuries)</f>
        <v>100.05424816026542</v>
      </c>
      <c r="J121" s="122">
        <f ca="1">_xll.INSTRUMENT.DV01(A121,,,I121,cContinuous,I121)</f>
        <v>-2.3724478729746073E-2</v>
      </c>
      <c r="K121" s="123">
        <f ca="1">_xll.INSTRUMENT.CONVEXITE(A121,,,I121,cContinuous,I121)</f>
        <v>5.6571350105855513</v>
      </c>
      <c r="L121" s="123">
        <f ca="1">_xll.INSTRUMENT.Z.SPREAD(A121,swapCurve,I121,cContinuous,D121)</f>
        <v>-20.808324668843444</v>
      </c>
      <c r="M121" s="123" t="e">
        <f ca="1">_xll.INSTRUMENT.Z.SPREAD(A121,ustCurve,I121,cContinuous,D121)</f>
        <v>#VALUE!</v>
      </c>
      <c r="N121" s="123">
        <f ca="1">_xll.INSTRUMENT.Z.SPREAD(A121,oisCurve,I121,cContinuous,D121)</f>
        <v>13.234961425771868</v>
      </c>
      <c r="O121" s="124" t="e">
        <f ca="1">1/_xll.CALENDRIER.FRAC.ANNEE(_xll.INSTRUMENT.DATE.REGLEMENT($AC121,,),_xll.INSTRUMENT.DATE.REGLEMENT($AC121,_xll.CALENDRIER.GAP.FINANCE(TODAY(),"1M","AUD","Unadjusted"),),"ACT/365")*(_xll.INSTRUMENT.ROLL.DOWN($A121,oisCurve,_xll.CALENDRIER.GAP.FINANCE(TODAY(),"1M","AUD","Unadjusted",TRUE),$N121)+100*$AA121*_xll.CALENDRIER.FRAC.ANNEE(_xll.INSTRUMENT.DATE.REGLEMENT($AC121,,),_xll.INSTRUMENT.DATE.REGLEMENT($AC121,_xll.CALENDRIER.GAP.FINANCE(TODAY(),"1M","AUD","Unadjusted"),),"ACT/365")-$I121)/$I121</f>
        <v>#NAME?</v>
      </c>
      <c r="P121" s="124" t="e">
        <f ca="1">1/_xll.CALENDRIER.FRAC.ANNEE(_xll.INSTRUMENT.DATE.REGLEMENT($AC121,,),_xll.INSTRUMENT.DATE.REGLEMENT($AC121,_xll.CALENDRIER.GAP.FINANCE(TODAY(),"3M","AUD","Unadjusted"),),"ACT/365")*(_xll.INSTRUMENT.ROLL.DOWN($A121,oisCurve,_xll.CALENDRIER.GAP.FINANCE(TODAY(),"3M","AUD","Unadjusted",TRUE),$N121)+100*$AA121*_xll.CALENDRIER.FRAC.ANNEE(_xll.INSTRUMENT.DATE.REGLEMENT($AC121,,),_xll.INSTRUMENT.DATE.REGLEMENT($AC121,_xll.CALENDRIER.GAP.FINANCE(TODAY(),"3M","AUD","Unadjusted"),),"ACT/365")-$I121)/$I121</f>
        <v>#NAME?</v>
      </c>
      <c r="Q121" s="371" t="e">
        <f ca="1">-(O121-curve!$T$3)/J121</f>
        <v>#NAME?</v>
      </c>
      <c r="R121" s="373">
        <f t="shared" ca="1" si="1"/>
        <v>-238.45139339110364</v>
      </c>
      <c r="S121" s="191" t="str">
        <f>IF(F121&lt;&gt;"","",IF(G121="","",-G121*(SUMIF('raw Data'!$A:$A,"RESINV1USD",'raw Data'!$G:$G)+SUMIF('raw Data'!$A:$A,"RESSWAPORUSD",'raw Data'!$G:$G))/(36500*J121)))</f>
        <v/>
      </c>
      <c r="T121" s="202" t="str">
        <f>IF(G121&lt;&gt;"","",IF(F121="","",-36500*J121*F121/(SUMIF('raw Data'!$A:$A,"RESINV1USD",'raw Data'!$G:$G)+SUMIF('raw Data'!$A:$A,"RESSWAPORUSD",'raw Data'!$G:$G))))</f>
        <v/>
      </c>
      <c r="U121" s="125">
        <f>SUMIF('raw Data'!$E:$E,A121,'raw Data'!$N:$N)</f>
        <v>0</v>
      </c>
      <c r="V121" s="126">
        <v>40862</v>
      </c>
      <c r="W121" s="127">
        <v>40862</v>
      </c>
      <c r="X121" s="127">
        <v>41044</v>
      </c>
      <c r="Y121" s="127">
        <v>41774</v>
      </c>
      <c r="Z121" s="127">
        <v>41958</v>
      </c>
      <c r="AA121" s="128">
        <v>3.7499999999999999E-3</v>
      </c>
      <c r="AB121" s="129">
        <v>34448000000</v>
      </c>
      <c r="AC121" s="130" t="str">
        <f ca="1">IF(LEFT(B121,1)="B",_xll.INSTANCE.TBILL(A121,V121,Z121,TODAY()),_xll.INSTANCE.TNOTE(A121,V121,W121,X121,Y121,Z121,AA121,TODAY()))</f>
        <v>US912828RQ56#0003</v>
      </c>
    </row>
    <row r="122" spans="1:29" x14ac:dyDescent="0.35">
      <c r="A122" s="131" t="s">
        <v>473</v>
      </c>
      <c r="B122" s="115" t="s">
        <v>1098</v>
      </c>
      <c r="C122" s="364"/>
      <c r="D122" s="116"/>
      <c r="E122" s="117"/>
      <c r="F122" s="118"/>
      <c r="G122" s="369"/>
      <c r="H122" s="120">
        <v>3.669313E-3</v>
      </c>
      <c r="I122" s="121">
        <f ca="1">_xll.INSTRUMENT.PRIX(AC122,D122,H122,cTreasuries)</f>
        <v>104.23310791731187</v>
      </c>
      <c r="J122" s="122">
        <f ca="1">_xll.INSTRUMENT.DV01(A122,,,I122,cContinuous,I122)</f>
        <v>-2.4740889249573145E-2</v>
      </c>
      <c r="K122" s="123">
        <f ca="1">_xll.INSTRUMENT.CONVEXITE(A122,,,I122,cContinuous,I122)</f>
        <v>5.7025782554827016</v>
      </c>
      <c r="L122" s="123">
        <f ca="1">_xll.INSTRUMENT.Z.SPREAD(A122,swapCurve,I122,cContinuous,D122)</f>
        <v>-19.451885095078261</v>
      </c>
      <c r="M122" s="123" t="e">
        <f ca="1">_xll.INSTRUMENT.Z.SPREAD(A122,ustCurve,I122,cContinuous,D122)</f>
        <v>#VALUE!</v>
      </c>
      <c r="N122" s="123">
        <f ca="1">_xll.INSTRUMENT.Z.SPREAD(A122,oisCurve,I122,cContinuous,D122)</f>
        <v>14.685681172283923</v>
      </c>
      <c r="O122" s="124" t="e">
        <f ca="1">1/_xll.CALENDRIER.FRAC.ANNEE(_xll.INSTRUMENT.DATE.REGLEMENT($AC122,,),_xll.INSTRUMENT.DATE.REGLEMENT($AC122,_xll.CALENDRIER.GAP.FINANCE(TODAY(),"1M","AUD","Unadjusted"),),"ACT/365")*(_xll.INSTRUMENT.ROLL.DOWN($A122,oisCurve,_xll.CALENDRIER.GAP.FINANCE(TODAY(),"1M","AUD","Unadjusted",TRUE),$N122)+100*$AA122*_xll.CALENDRIER.FRAC.ANNEE(_xll.INSTRUMENT.DATE.REGLEMENT($AC122,,),_xll.INSTRUMENT.DATE.REGLEMENT($AC122,_xll.CALENDRIER.GAP.FINANCE(TODAY(),"1M","AUD","Unadjusted"),),"ACT/365")-$I122)/$I122</f>
        <v>#NAME?</v>
      </c>
      <c r="P122" s="124" t="e">
        <f ca="1">1/_xll.CALENDRIER.FRAC.ANNEE(_xll.INSTRUMENT.DATE.REGLEMENT($AC122,,),_xll.INSTRUMENT.DATE.REGLEMENT($AC122,_xll.CALENDRIER.GAP.FINANCE(TODAY(),"3M","AUD","Unadjusted"),),"ACT/365")*(_xll.INSTRUMENT.ROLL.DOWN($A122,oisCurve,_xll.CALENDRIER.GAP.FINANCE(TODAY(),"3M","AUD","Unadjusted",TRUE),$N122)+100*$AA122*_xll.CALENDRIER.FRAC.ANNEE(_xll.INSTRUMENT.DATE.REGLEMENT($AC122,,),_xll.INSTRUMENT.DATE.REGLEMENT($AC122,_xll.CALENDRIER.GAP.FINANCE(TODAY(),"3M","AUD","Unadjusted"),),"ACT/365")-$I122)/$I122</f>
        <v>#NAME?</v>
      </c>
      <c r="Q122" s="371" t="e">
        <f ca="1">-(O122-curve!$T$3)/J122</f>
        <v>#NAME?</v>
      </c>
      <c r="R122" s="373">
        <f t="shared" ca="1" si="1"/>
        <v>-230.49204892993441</v>
      </c>
      <c r="S122" s="191" t="str">
        <f>IF(F122&lt;&gt;"","",IF(G122="","",-G122*(SUMIF('raw Data'!$A:$A,"RESINV1USD",'raw Data'!$G:$G)+SUMIF('raw Data'!$A:$A,"RESSWAPORUSD",'raw Data'!$G:$G))/(36500*J122)))</f>
        <v/>
      </c>
      <c r="T122" s="202" t="str">
        <f>IF(G122&lt;&gt;"","",IF(F122="","",-36500*J122*F122/(SUMIF('raw Data'!$A:$A,"RESINV1USD",'raw Data'!$G:$G)+SUMIF('raw Data'!$A:$A,"RESSWAPORUSD",'raw Data'!$G:$G))))</f>
        <v/>
      </c>
      <c r="U122" s="125">
        <f>SUMIF('raw Data'!$E:$E,A122,'raw Data'!$N:$N)</f>
        <v>0</v>
      </c>
      <c r="V122" s="126">
        <v>40147</v>
      </c>
      <c r="W122" s="127">
        <v>40147</v>
      </c>
      <c r="X122" s="127">
        <v>40329</v>
      </c>
      <c r="Y122" s="127">
        <v>41790</v>
      </c>
      <c r="Z122" s="127">
        <v>41973</v>
      </c>
      <c r="AA122" s="128">
        <v>2.1250000000000002E-2</v>
      </c>
      <c r="AB122" s="129">
        <v>43261000000</v>
      </c>
      <c r="AC122" s="130" t="str">
        <f ca="1">IF(LEFT(B122,1)="B",_xll.INSTANCE.TBILL(A122,V122,Z122,TODAY()),_xll.INSTANCE.TNOTE(A122,V122,W122,X122,Y122,Z122,AA122,TODAY()))</f>
        <v>US912828LZ10#0003</v>
      </c>
    </row>
    <row r="123" spans="1:29" x14ac:dyDescent="0.35">
      <c r="A123" s="131" t="s">
        <v>474</v>
      </c>
      <c r="B123" s="115" t="s">
        <v>1099</v>
      </c>
      <c r="C123" s="364"/>
      <c r="D123" s="116"/>
      <c r="E123" s="117"/>
      <c r="F123" s="118"/>
      <c r="G123" s="369"/>
      <c r="H123" s="120">
        <v>3.588319E-3</v>
      </c>
      <c r="I123" s="121">
        <f ca="1">_xll.INSTRUMENT.PRIX(AC123,D123,H123,cTreasuries)</f>
        <v>99.733527541185836</v>
      </c>
      <c r="J123" s="122">
        <f ca="1">_xll.INSTRUMENT.DV01(A123,,,I123,cContinuous,I123)</f>
        <v>-2.4490624928255825E-2</v>
      </c>
      <c r="K123" s="123">
        <f ca="1">_xll.INSTRUMENT.CONVEXITE(A123,,,I123,cContinuous,I123)</f>
        <v>6.0382421964582838</v>
      </c>
      <c r="L123" s="123">
        <f ca="1">_xll.INSTRUMENT.Z.SPREAD(A123,swapCurve,I123,cContinuous,D123)</f>
        <v>-20.610601404426426</v>
      </c>
      <c r="M123" s="123" t="e">
        <f ca="1">_xll.INSTRUMENT.Z.SPREAD(A123,ustCurve,I123,cContinuous,D123)</f>
        <v>#VALUE!</v>
      </c>
      <c r="N123" s="123">
        <f ca="1">_xll.INSTRUMENT.Z.SPREAD(A123,oisCurve,I123,cContinuous,D123)</f>
        <v>13.723537123574326</v>
      </c>
      <c r="O123" s="124" t="e">
        <f ca="1">1/_xll.CALENDRIER.FRAC.ANNEE(_xll.INSTRUMENT.DATE.REGLEMENT($AC123,,),_xll.INSTRUMENT.DATE.REGLEMENT($AC123,_xll.CALENDRIER.GAP.FINANCE(TODAY(),"1M","AUD","Unadjusted"),),"ACT/365")*(_xll.INSTRUMENT.ROLL.DOWN($A123,oisCurve,_xll.CALENDRIER.GAP.FINANCE(TODAY(),"1M","AUD","Unadjusted",TRUE),$N123)+100*$AA123*_xll.CALENDRIER.FRAC.ANNEE(_xll.INSTRUMENT.DATE.REGLEMENT($AC123,,),_xll.INSTRUMENT.DATE.REGLEMENT($AC123,_xll.CALENDRIER.GAP.FINANCE(TODAY(),"1M","AUD","Unadjusted"),),"ACT/365")-$I123)/$I123</f>
        <v>#NAME?</v>
      </c>
      <c r="P123" s="124" t="e">
        <f ca="1">1/_xll.CALENDRIER.FRAC.ANNEE(_xll.INSTRUMENT.DATE.REGLEMENT($AC123,,),_xll.INSTRUMENT.DATE.REGLEMENT($AC123,_xll.CALENDRIER.GAP.FINANCE(TODAY(),"3M","AUD","Unadjusted"),),"ACT/365")*(_xll.INSTRUMENT.ROLL.DOWN($A123,oisCurve,_xll.CALENDRIER.GAP.FINANCE(TODAY(),"3M","AUD","Unadjusted",TRUE),$N123)+100*$AA123*_xll.CALENDRIER.FRAC.ANNEE(_xll.INSTRUMENT.DATE.REGLEMENT($AC123,,),_xll.INSTRUMENT.DATE.REGLEMENT($AC123,_xll.CALENDRIER.GAP.FINANCE(TODAY(),"3M","AUD","Unadjusted"),),"ACT/365")-$I123)/$I123</f>
        <v>#NAME?</v>
      </c>
      <c r="Q123" s="371" t="e">
        <f ca="1">-(O123-curve!$T$3)/J123</f>
        <v>#NAME?</v>
      </c>
      <c r="R123" s="373">
        <f t="shared" ca="1" si="1"/>
        <v>-246.55321022419969</v>
      </c>
      <c r="S123" s="191" t="str">
        <f>IF(F123&lt;&gt;"","",IF(G123="","",-G123*(SUMIF('raw Data'!$A:$A,"RESINV1USD",'raw Data'!$G:$G)+SUMIF('raw Data'!$A:$A,"RESSWAPORUSD",'raw Data'!$G:$G))/(36500*J123)))</f>
        <v/>
      </c>
      <c r="T123" s="202" t="str">
        <f>IF(G123&lt;&gt;"","",IF(F123="","",-36500*J123*F123/(SUMIF('raw Data'!$A:$A,"RESINV1USD",'raw Data'!$G:$G)+SUMIF('raw Data'!$A:$A,"RESSWAPORUSD",'raw Data'!$G:$G))))</f>
        <v/>
      </c>
      <c r="U123" s="125">
        <f>SUMIF('raw Data'!$E:$E,A123,'raw Data'!$N:$N)</f>
        <v>0</v>
      </c>
      <c r="V123" s="126">
        <v>40892</v>
      </c>
      <c r="W123" s="127">
        <v>40892</v>
      </c>
      <c r="X123" s="127">
        <v>41075</v>
      </c>
      <c r="Y123" s="127">
        <v>41805</v>
      </c>
      <c r="Z123" s="127">
        <v>41988</v>
      </c>
      <c r="AA123" s="128">
        <v>2.5000000000000001E-3</v>
      </c>
      <c r="AB123" s="129">
        <v>33170000000</v>
      </c>
      <c r="AC123" s="130" t="str">
        <f ca="1">IF(LEFT(B123,1)="B",_xll.INSTANCE.TBILL(A123,V123,Z123,TODAY()),_xll.INSTANCE.TNOTE(A123,V123,W123,X123,Y123,Z123,AA123,TODAY()))</f>
        <v>US912828RV42#0003</v>
      </c>
    </row>
    <row r="124" spans="1:29" x14ac:dyDescent="0.35">
      <c r="A124" s="131" t="s">
        <v>475</v>
      </c>
      <c r="B124" s="115" t="s">
        <v>1100</v>
      </c>
      <c r="C124" s="364"/>
      <c r="D124" s="116"/>
      <c r="E124" s="117"/>
      <c r="F124" s="118"/>
      <c r="G124" s="369"/>
      <c r="H124" s="120">
        <v>3.671297E-3</v>
      </c>
      <c r="I124" s="121">
        <f ca="1">_xll.INSTRUMENT.PRIX(AC124,D124,H124,cTreasuries)</f>
        <v>105.61884344986966</v>
      </c>
      <c r="J124" s="122">
        <f ca="1">_xll.INSTRUMENT.DV01(A124,,,I124,cContinuous,I124)</f>
        <v>-2.5805959232573544E-2</v>
      </c>
      <c r="K124" s="123">
        <f ca="1">_xll.INSTRUMENT.CONVEXITE(A124,,,I124,cContinuous,I124)</f>
        <v>5.9853939620608827</v>
      </c>
      <c r="L124" s="123">
        <f ca="1">_xll.INSTRUMENT.Z.SPREAD(A124,swapCurve,I124,cContinuous,D124)</f>
        <v>-19.996658306993364</v>
      </c>
      <c r="M124" s="123" t="e">
        <f ca="1">_xll.INSTRUMENT.Z.SPREAD(A124,ustCurve,I124,cContinuous,D124)</f>
        <v>#VALUE!</v>
      </c>
      <c r="N124" s="123">
        <f ca="1">_xll.INSTRUMENT.Z.SPREAD(A124,oisCurve,I124,cContinuous,D124)</f>
        <v>14.423498754828968</v>
      </c>
      <c r="O124" s="124" t="e">
        <f ca="1">1/_xll.CALENDRIER.FRAC.ANNEE(_xll.INSTRUMENT.DATE.REGLEMENT($AC124,,),_xll.INSTRUMENT.DATE.REGLEMENT($AC124,_xll.CALENDRIER.GAP.FINANCE(TODAY(),"1M","AUD","Unadjusted"),),"ACT/365")*(_xll.INSTRUMENT.ROLL.DOWN($A124,oisCurve,_xll.CALENDRIER.GAP.FINANCE(TODAY(),"1M","AUD","Unadjusted",TRUE),$N124)+100*$AA124*_xll.CALENDRIER.FRAC.ANNEE(_xll.INSTRUMENT.DATE.REGLEMENT($AC124,,),_xll.INSTRUMENT.DATE.REGLEMENT($AC124,_xll.CALENDRIER.GAP.FINANCE(TODAY(),"1M","AUD","Unadjusted"),),"ACT/365")-$I124)/$I124</f>
        <v>#NAME?</v>
      </c>
      <c r="P124" s="124" t="e">
        <f ca="1">1/_xll.CALENDRIER.FRAC.ANNEE(_xll.INSTRUMENT.DATE.REGLEMENT($AC124,,),_xll.INSTRUMENT.DATE.REGLEMENT($AC124,_xll.CALENDRIER.GAP.FINANCE(TODAY(),"3M","AUD","Unadjusted"),),"ACT/365")*(_xll.INSTRUMENT.ROLL.DOWN($A124,oisCurve,_xll.CALENDRIER.GAP.FINANCE(TODAY(),"3M","AUD","Unadjusted",TRUE),$N124)+100*$AA124*_xll.CALENDRIER.FRAC.ANNEE(_xll.INSTRUMENT.DATE.REGLEMENT($AC124,,),_xll.INSTRUMENT.DATE.REGLEMENT($AC124,_xll.CALENDRIER.GAP.FINANCE(TODAY(),"3M","AUD","Unadjusted"),),"ACT/365")-$I124)/$I124</f>
        <v>#NAME?</v>
      </c>
      <c r="Q124" s="371" t="e">
        <f ca="1">-(O124-curve!$T$3)/J124</f>
        <v>#NAME?</v>
      </c>
      <c r="R124" s="373">
        <f t="shared" ca="1" si="1"/>
        <v>-231.93844135450024</v>
      </c>
      <c r="S124" s="191" t="str">
        <f>IF(F124&lt;&gt;"","",IF(G124="","",-G124*(SUMIF('raw Data'!$A:$A,"RESINV1USD",'raw Data'!$G:$G)+SUMIF('raw Data'!$A:$A,"RESSWAPORUSD",'raw Data'!$G:$G))/(36500*J124)))</f>
        <v/>
      </c>
      <c r="T124" s="202" t="str">
        <f>IF(G124&lt;&gt;"","",IF(F124="","",-36500*J124*F124/(SUMIF('raw Data'!$A:$A,"RESINV1USD",'raw Data'!$G:$G)+SUMIF('raw Data'!$A:$A,"RESSWAPORUSD",'raw Data'!$G:$G))))</f>
        <v/>
      </c>
      <c r="U124" s="125">
        <f>SUMIF('raw Data'!$E:$E,A124,'raw Data'!$N:$N)</f>
        <v>0</v>
      </c>
      <c r="V124" s="126">
        <v>40178</v>
      </c>
      <c r="W124" s="127">
        <v>40178</v>
      </c>
      <c r="X124" s="127">
        <v>40359</v>
      </c>
      <c r="Y124" s="127">
        <v>41820</v>
      </c>
      <c r="Z124" s="127">
        <v>42004</v>
      </c>
      <c r="AA124" s="128">
        <v>2.6249999999999999E-2</v>
      </c>
      <c r="AB124" s="129">
        <v>43245000000</v>
      </c>
      <c r="AC124" s="130" t="str">
        <f ca="1">IF(LEFT(B124,1)="B",_xll.INSTANCE.TBILL(A124,V124,Z124,TODAY()),_xll.INSTANCE.TNOTE(A124,V124,W124,X124,Y124,Z124,AA124,TODAY()))</f>
        <v>US912828ME71#0003</v>
      </c>
    </row>
    <row r="125" spans="1:29" x14ac:dyDescent="0.35">
      <c r="A125" s="131" t="s">
        <v>476</v>
      </c>
      <c r="B125" s="115" t="s">
        <v>1101</v>
      </c>
      <c r="C125" s="364"/>
      <c r="D125" s="116"/>
      <c r="E125" s="117"/>
      <c r="F125" s="118"/>
      <c r="G125" s="369"/>
      <c r="H125" s="120">
        <v>3.646252E-3</v>
      </c>
      <c r="I125" s="121">
        <f ca="1">_xll.INSTRUMENT.PRIX(AC125,D125,H125,cTreasuries)</f>
        <v>99.709045465245737</v>
      </c>
      <c r="J125" s="122">
        <f ca="1">_xll.INSTRUMENT.DV01(A125,,,I125,cContinuous,I125)</f>
        <v>-2.532679152256824E-2</v>
      </c>
      <c r="K125" s="123">
        <f ca="1">_xll.INSTRUMENT.CONVEXITE(A125,,,I125,cContinuous,I125)</f>
        <v>6.4543779318563796</v>
      </c>
      <c r="L125" s="123">
        <f ca="1">_xll.INSTRUMENT.Z.SPREAD(A125,swapCurve,I125,cContinuous,D125)</f>
        <v>-20.727753426968974</v>
      </c>
      <c r="M125" s="123" t="e">
        <f ca="1">_xll.INSTRUMENT.Z.SPREAD(A125,ustCurve,I125,cContinuous,D125)</f>
        <v>#VALUE!</v>
      </c>
      <c r="N125" s="123">
        <f ca="1">_xll.INSTRUMENT.Z.SPREAD(A125,oisCurve,I125,cContinuous,D125)</f>
        <v>13.918618437213331</v>
      </c>
      <c r="O125" s="124" t="e">
        <f ca="1">1/_xll.CALENDRIER.FRAC.ANNEE(_xll.INSTRUMENT.DATE.REGLEMENT($AC125,,),_xll.INSTRUMENT.DATE.REGLEMENT($AC125,_xll.CALENDRIER.GAP.FINANCE(TODAY(),"1M","AUD","Unadjusted"),),"ACT/365")*(_xll.INSTRUMENT.ROLL.DOWN($A125,oisCurve,_xll.CALENDRIER.GAP.FINANCE(TODAY(),"1M","AUD","Unadjusted",TRUE),$N125)+100*$AA125*_xll.CALENDRIER.FRAC.ANNEE(_xll.INSTRUMENT.DATE.REGLEMENT($AC125,,),_xll.INSTRUMENT.DATE.REGLEMENT($AC125,_xll.CALENDRIER.GAP.FINANCE(TODAY(),"1M","AUD","Unadjusted"),),"ACT/365")-$I125)/$I125</f>
        <v>#NAME?</v>
      </c>
      <c r="P125" s="124" t="e">
        <f ca="1">1/_xll.CALENDRIER.FRAC.ANNEE(_xll.INSTRUMENT.DATE.REGLEMENT($AC125,,),_xll.INSTRUMENT.DATE.REGLEMENT($AC125,_xll.CALENDRIER.GAP.FINANCE(TODAY(),"3M","AUD","Unadjusted"),),"ACT/365")*(_xll.INSTRUMENT.ROLL.DOWN($A125,oisCurve,_xll.CALENDRIER.GAP.FINANCE(TODAY(),"3M","AUD","Unadjusted",TRUE),$N125)+100*$AA125*_xll.CALENDRIER.FRAC.ANNEE(_xll.INSTRUMENT.DATE.REGLEMENT($AC125,,),_xll.INSTRUMENT.DATE.REGLEMENT($AC125,_xll.CALENDRIER.GAP.FINANCE(TODAY(),"3M","AUD","Unadjusted"),),"ACT/365")-$I125)/$I125</f>
        <v>#NAME?</v>
      </c>
      <c r="Q125" s="371" t="e">
        <f ca="1">-(O125-curve!$T$3)/J125</f>
        <v>#NAME?</v>
      </c>
      <c r="R125" s="373">
        <f t="shared" ca="1" si="1"/>
        <v>-254.84388443380212</v>
      </c>
      <c r="S125" s="191" t="str">
        <f>IF(F125&lt;&gt;"","",IF(G125="","",-G125*(SUMIF('raw Data'!$A:$A,"RESINV1USD",'raw Data'!$G:$G)+SUMIF('raw Data'!$A:$A,"RESSWAPORUSD",'raw Data'!$G:$G))/(36500*J125)))</f>
        <v/>
      </c>
      <c r="T125" s="202" t="str">
        <f>IF(G125&lt;&gt;"","",IF(F125="","",-36500*J125*F125/(SUMIF('raw Data'!$A:$A,"RESINV1USD",'raw Data'!$G:$G)+SUMIF('raw Data'!$A:$A,"RESSWAPORUSD",'raw Data'!$G:$G))))</f>
        <v/>
      </c>
      <c r="U125" s="125">
        <f>SUMIF('raw Data'!$E:$E,A125,'raw Data'!$N:$N)</f>
        <v>0</v>
      </c>
      <c r="V125" s="126">
        <v>40925</v>
      </c>
      <c r="W125" s="127">
        <v>40923</v>
      </c>
      <c r="X125" s="127">
        <v>41105</v>
      </c>
      <c r="Y125" s="127">
        <v>41835</v>
      </c>
      <c r="Z125" s="127">
        <v>42019</v>
      </c>
      <c r="AA125" s="128">
        <v>2.5000000000000001E-3</v>
      </c>
      <c r="AB125" s="129">
        <v>34271000000</v>
      </c>
      <c r="AC125" s="130" t="str">
        <f ca="1">IF(LEFT(B125,1)="B",_xll.INSTANCE.TBILL(A125,V125,Z125,TODAY()),_xll.INSTANCE.TNOTE(A125,V125,W125,X125,Y125,Z125,AA125,TODAY()))</f>
        <v>US912828RZ55#0003</v>
      </c>
    </row>
    <row r="126" spans="1:29" x14ac:dyDescent="0.35">
      <c r="A126" s="131" t="s">
        <v>200</v>
      </c>
      <c r="B126" s="115" t="s">
        <v>1102</v>
      </c>
      <c r="C126" s="364"/>
      <c r="D126" s="116"/>
      <c r="E126" s="117"/>
      <c r="F126" s="118"/>
      <c r="G126" s="369"/>
      <c r="H126" s="120">
        <v>3.8549230000000001E-3</v>
      </c>
      <c r="I126" s="121">
        <f ca="1">_xll.INSTRUMENT.PRIX(AC126,D126,H126,cTreasuries)</f>
        <v>104.79544674777846</v>
      </c>
      <c r="J126" s="122">
        <f ca="1">_xll.INSTRUMENT.DV01(A126,,,I126,cContinuous,I126)</f>
        <v>-2.6543684313312332E-2</v>
      </c>
      <c r="K126" s="123">
        <f ca="1">_xll.INSTRUMENT.CONVEXITE(A126,,,I126,cContinuous,I126)</f>
        <v>6.4704794700512993</v>
      </c>
      <c r="L126" s="123">
        <f ca="1">_xll.INSTRUMENT.Z.SPREAD(A126,swapCurve,I126,cContinuous,D126)</f>
        <v>-19.012138218524854</v>
      </c>
      <c r="M126" s="123" t="e">
        <f ca="1">_xll.INSTRUMENT.Z.SPREAD(A126,ustCurve,I126,cContinuous,D126)</f>
        <v>#VALUE!</v>
      </c>
      <c r="N126" s="123">
        <f ca="1">_xll.INSTRUMENT.Z.SPREAD(A126,oisCurve,I126,cContinuous,D126)</f>
        <v>15.726887996010353</v>
      </c>
      <c r="O126" s="124" t="e">
        <f ca="1">1/_xll.CALENDRIER.FRAC.ANNEE(_xll.INSTRUMENT.DATE.REGLEMENT($AC126,,),_xll.INSTRUMENT.DATE.REGLEMENT($AC126,_xll.CALENDRIER.GAP.FINANCE(TODAY(),"1M","AUD","Unadjusted"),),"ACT/365")*(_xll.INSTRUMENT.ROLL.DOWN($A126,oisCurve,_xll.CALENDRIER.GAP.FINANCE(TODAY(),"1M","AUD","Unadjusted",TRUE),$N126)+100*$AA126*_xll.CALENDRIER.FRAC.ANNEE(_xll.INSTRUMENT.DATE.REGLEMENT($AC126,,),_xll.INSTRUMENT.DATE.REGLEMENT($AC126,_xll.CALENDRIER.GAP.FINANCE(TODAY(),"1M","AUD","Unadjusted"),),"ACT/365")-$I126)/$I126</f>
        <v>#NAME?</v>
      </c>
      <c r="P126" s="124" t="e">
        <f ca="1">1/_xll.CALENDRIER.FRAC.ANNEE(_xll.INSTRUMENT.DATE.REGLEMENT($AC126,,),_xll.INSTRUMENT.DATE.REGLEMENT($AC126,_xll.CALENDRIER.GAP.FINANCE(TODAY(),"3M","AUD","Unadjusted"),),"ACT/365")*(_xll.INSTRUMENT.ROLL.DOWN($A126,oisCurve,_xll.CALENDRIER.GAP.FINANCE(TODAY(),"3M","AUD","Unadjusted",TRUE),$N126)+100*$AA126*_xll.CALENDRIER.FRAC.ANNEE(_xll.INSTRUMENT.DATE.REGLEMENT($AC126,,),_xll.INSTRUMENT.DATE.REGLEMENT($AC126,_xll.CALENDRIER.GAP.FINANCE(TODAY(),"3M","AUD","Unadjusted"),),"ACT/365")-$I126)/$I126</f>
        <v>#NAME?</v>
      </c>
      <c r="Q126" s="371" t="e">
        <f ca="1">-(O126-curve!$T$3)/J126</f>
        <v>#NAME?</v>
      </c>
      <c r="R126" s="373">
        <f t="shared" ref="R126:R189" ca="1" si="3">K126/J126</f>
        <v>-243.76719500111707</v>
      </c>
      <c r="S126" s="191" t="str">
        <f>IF(F126&lt;&gt;"","",IF(G126="","",-G126*(SUMIF('raw Data'!$A:$A,"RESINV1USD",'raw Data'!$G:$G)+SUMIF('raw Data'!$A:$A,"RESSWAPORUSD",'raw Data'!$G:$G))/(36500*J126)))</f>
        <v/>
      </c>
      <c r="T126" s="202" t="str">
        <f>IF(G126&lt;&gt;"","",IF(F126="","",-36500*J126*F126/(SUMIF('raw Data'!$A:$A,"RESINV1USD",'raw Data'!$G:$G)+SUMIF('raw Data'!$A:$A,"RESSWAPORUSD",'raw Data'!$G:$G))))</f>
        <v/>
      </c>
      <c r="U126" s="125">
        <f>SUMIF('raw Data'!$E:$E,A126,'raw Data'!$N:$N)</f>
        <v>0</v>
      </c>
      <c r="V126" s="126">
        <v>40210</v>
      </c>
      <c r="W126" s="127">
        <v>40209</v>
      </c>
      <c r="X126" s="127">
        <v>40390</v>
      </c>
      <c r="Y126" s="127">
        <v>41851</v>
      </c>
      <c r="Z126" s="127">
        <v>42035</v>
      </c>
      <c r="AA126" s="128">
        <v>2.2499999999999999E-2</v>
      </c>
      <c r="AB126" s="129">
        <v>42685000000</v>
      </c>
      <c r="AC126" s="130" t="str">
        <f ca="1">IF(LEFT(B126,1)="B",_xll.INSTANCE.TBILL(A126,V126,Z126,TODAY()),_xll.INSTANCE.TNOTE(A126,V126,W126,X126,Y126,Z126,AA126,TODAY()))</f>
        <v>US912828MH03#0003</v>
      </c>
    </row>
    <row r="127" spans="1:29" x14ac:dyDescent="0.35">
      <c r="A127" s="131" t="s">
        <v>477</v>
      </c>
      <c r="B127" s="115" t="s">
        <v>1103</v>
      </c>
      <c r="C127" s="364"/>
      <c r="D127" s="116"/>
      <c r="E127" s="117"/>
      <c r="F127" s="118"/>
      <c r="G127" s="369"/>
      <c r="H127" s="120">
        <v>4.0291070000000005E-3</v>
      </c>
      <c r="I127" s="121">
        <f ca="1">_xll.INSTRUMENT.PRIX(AC127,D127,H127,cTreasuries)</f>
        <v>128.33726261816474</v>
      </c>
      <c r="J127" s="122">
        <f ca="1">_xll.INSTRUMENT.DV01(A127,,,I127,cContinuous,I127)</f>
        <v>-3.0658084241646559E-2</v>
      </c>
      <c r="K127" s="123">
        <f ca="1">_xll.INSTRUMENT.CONVEXITE(A127,,,I127,cContinuous,I127)</f>
        <v>5.8595180394561046</v>
      </c>
      <c r="L127" s="123">
        <f ca="1">_xll.INSTRUMENT.Z.SPREAD(A127,swapCurve,I127,cContinuous,D127)</f>
        <v>-17.066051578985931</v>
      </c>
      <c r="M127" s="123" t="e">
        <f ca="1">_xll.INSTRUMENT.Z.SPREAD(A127,ustCurve,I127,cContinuous,D127)</f>
        <v>#VALUE!</v>
      </c>
      <c r="N127" s="123">
        <f ca="1">_xll.INSTRUMENT.Z.SPREAD(A127,oisCurve,I127,cContinuous,D127)</f>
        <v>17.489821359499242</v>
      </c>
      <c r="O127" s="124" t="e">
        <f ca="1">1/_xll.CALENDRIER.FRAC.ANNEE(_xll.INSTRUMENT.DATE.REGLEMENT($AC127,,),_xll.INSTRUMENT.DATE.REGLEMENT($AC127,_xll.CALENDRIER.GAP.FINANCE(TODAY(),"1M","AUD","Unadjusted"),),"ACT/365")*(_xll.INSTRUMENT.ROLL.DOWN($A127,oisCurve,_xll.CALENDRIER.GAP.FINANCE(TODAY(),"1M","AUD","Unadjusted",TRUE),$N127)+100*$AA127*_xll.CALENDRIER.FRAC.ANNEE(_xll.INSTRUMENT.DATE.REGLEMENT($AC127,,),_xll.INSTRUMENT.DATE.REGLEMENT($AC127,_xll.CALENDRIER.GAP.FINANCE(TODAY(),"1M","AUD","Unadjusted"),),"ACT/365")-$I127)/$I127</f>
        <v>#NAME?</v>
      </c>
      <c r="P127" s="124" t="e">
        <f ca="1">1/_xll.CALENDRIER.FRAC.ANNEE(_xll.INSTRUMENT.DATE.REGLEMENT($AC127,,),_xll.INSTRUMENT.DATE.REGLEMENT($AC127,_xll.CALENDRIER.GAP.FINANCE(TODAY(),"3M","AUD","Unadjusted"),),"ACT/365")*(_xll.INSTRUMENT.ROLL.DOWN($A127,oisCurve,_xll.CALENDRIER.GAP.FINANCE(TODAY(),"3M","AUD","Unadjusted",TRUE),$N127)+100*$AA127*_xll.CALENDRIER.FRAC.ANNEE(_xll.INSTRUMENT.DATE.REGLEMENT($AC127,,),_xll.INSTRUMENT.DATE.REGLEMENT($AC127,_xll.CALENDRIER.GAP.FINANCE(TODAY(),"3M","AUD","Unadjusted"),),"ACT/365")-$I127)/$I127</f>
        <v>#NAME?</v>
      </c>
      <c r="Q127" s="371" t="e">
        <f ca="1">-(O127-curve!$T$3)/J127</f>
        <v>#NAME?</v>
      </c>
      <c r="R127" s="373">
        <f t="shared" ca="1" si="3"/>
        <v>-191.12472890580742</v>
      </c>
      <c r="S127" s="191" t="str">
        <f>IF(F127&lt;&gt;"","",IF(G127="","",-G127*(SUMIF('raw Data'!$A:$A,"RESINV1USD",'raw Data'!$G:$G)+SUMIF('raw Data'!$A:$A,"RESSWAPORUSD",'raw Data'!$G:$G))/(36500*J127)))</f>
        <v/>
      </c>
      <c r="T127" s="202" t="str">
        <f>IF(G127&lt;&gt;"","",IF(F127="","",-36500*J127*F127/(SUMIF('raw Data'!$A:$A,"RESINV1USD",'raw Data'!$G:$G)+SUMIF('raw Data'!$A:$A,"RESSWAPORUSD",'raw Data'!$G:$G))))</f>
        <v/>
      </c>
      <c r="U127" s="125">
        <f>SUMIF('raw Data'!$E:$E,A127,'raw Data'!$N:$N)</f>
        <v>0</v>
      </c>
      <c r="V127" s="126">
        <v>31093</v>
      </c>
      <c r="W127" s="127">
        <v>31093</v>
      </c>
      <c r="X127" s="127">
        <v>31274</v>
      </c>
      <c r="Y127" s="127">
        <v>41866</v>
      </c>
      <c r="Z127" s="127">
        <v>42050</v>
      </c>
      <c r="AA127" s="128">
        <v>0.1125</v>
      </c>
      <c r="AB127" s="129">
        <v>10520000000</v>
      </c>
      <c r="AC127" s="130" t="str">
        <f ca="1">IF(LEFT(B127,1)="B",_xll.INSTANCE.TBILL(A127,V127,Z127,TODAY()),_xll.INSTANCE.TNOTE(A127,V127,W127,X127,Y127,Z127,AA127,TODAY()))</f>
        <v>US912810DP04#0003</v>
      </c>
    </row>
    <row r="128" spans="1:29" x14ac:dyDescent="0.35">
      <c r="A128" s="131" t="s">
        <v>479</v>
      </c>
      <c r="B128" s="115" t="s">
        <v>1104</v>
      </c>
      <c r="C128" s="364"/>
      <c r="D128" s="116"/>
      <c r="E128" s="117"/>
      <c r="F128" s="118"/>
      <c r="G128" s="369"/>
      <c r="H128" s="120">
        <v>4.0043240000000001E-3</v>
      </c>
      <c r="I128" s="121">
        <f ca="1">_xll.INSTRUMENT.PRIX(AC128,D128,H128,cTreasuries)</f>
        <v>109.40330670714012</v>
      </c>
      <c r="J128" s="122">
        <f ca="1">_xll.INSTRUMENT.DV01(A128,,,I128,cContinuous,I128)</f>
        <v>-2.7682176120561668E-2</v>
      </c>
      <c r="K128" s="123">
        <f ca="1">_xll.INSTRUMENT.CONVEXITE(A128,,,I128,cContinuous,I128)</f>
        <v>6.4887133220816295</v>
      </c>
      <c r="L128" s="123">
        <f ca="1">_xll.INSTRUMENT.Z.SPREAD(A128,swapCurve,I128,cContinuous,D128)</f>
        <v>-17.759556464444291</v>
      </c>
      <c r="M128" s="123" t="e">
        <f ca="1">_xll.INSTRUMENT.Z.SPREAD(A128,ustCurve,I128,cContinuous,D128)</f>
        <v>#VALUE!</v>
      </c>
      <c r="N128" s="123">
        <f ca="1">_xll.INSTRUMENT.Z.SPREAD(A128,oisCurve,I128,cContinuous,D128)</f>
        <v>17.0400173890764</v>
      </c>
      <c r="O128" s="124" t="e">
        <f ca="1">1/_xll.CALENDRIER.FRAC.ANNEE(_xll.INSTRUMENT.DATE.REGLEMENT($AC128,,),_xll.INSTRUMENT.DATE.REGLEMENT($AC128,_xll.CALENDRIER.GAP.FINANCE(TODAY(),"1M","AUD","Unadjusted"),),"ACT/365")*(_xll.INSTRUMENT.ROLL.DOWN($A128,oisCurve,_xll.CALENDRIER.GAP.FINANCE(TODAY(),"1M","AUD","Unadjusted",TRUE),$N128)+100*$AA128*_xll.CALENDRIER.FRAC.ANNEE(_xll.INSTRUMENT.DATE.REGLEMENT($AC128,,),_xll.INSTRUMENT.DATE.REGLEMENT($AC128,_xll.CALENDRIER.GAP.FINANCE(TODAY(),"1M","AUD","Unadjusted"),),"ACT/365")-$I128)/$I128</f>
        <v>#NAME?</v>
      </c>
      <c r="P128" s="124" t="e">
        <f ca="1">1/_xll.CALENDRIER.FRAC.ANNEE(_xll.INSTRUMENT.DATE.REGLEMENT($AC128,,),_xll.INSTRUMENT.DATE.REGLEMENT($AC128,_xll.CALENDRIER.GAP.FINANCE(TODAY(),"3M","AUD","Unadjusted"),),"ACT/365")*(_xll.INSTRUMENT.ROLL.DOWN($A128,oisCurve,_xll.CALENDRIER.GAP.FINANCE(TODAY(),"3M","AUD","Unadjusted",TRUE),$N128)+100*$AA128*_xll.CALENDRIER.FRAC.ANNEE(_xll.INSTRUMENT.DATE.REGLEMENT($AC128,,),_xll.INSTRUMENT.DATE.REGLEMENT($AC128,_xll.CALENDRIER.GAP.FINANCE(TODAY(),"3M","AUD","Unadjusted"),),"ACT/365")-$I128)/$I128</f>
        <v>#NAME?</v>
      </c>
      <c r="Q128" s="371" t="e">
        <f ca="1">-(O128-curve!$T$3)/J128</f>
        <v>#NAME?</v>
      </c>
      <c r="R128" s="373">
        <f t="shared" ca="1" si="3"/>
        <v>-234.4004060165619</v>
      </c>
      <c r="S128" s="191" t="str">
        <f>IF(F128&lt;&gt;"","",IF(G128="","",-G128*(SUMIF('raw Data'!$A:$A,"RESINV1USD",'raw Data'!$G:$G)+SUMIF('raw Data'!$A:$A,"RESSWAPORUSD",'raw Data'!$G:$G))/(36500*J128)))</f>
        <v/>
      </c>
      <c r="T128" s="202" t="str">
        <f>IF(G128&lt;&gt;"","",IF(F128="","",-36500*J128*F128/(SUMIF('raw Data'!$A:$A,"RESINV1USD",'raw Data'!$G:$G)+SUMIF('raw Data'!$A:$A,"RESSWAPORUSD",'raw Data'!$G:$G))))</f>
        <v/>
      </c>
      <c r="U128" s="125">
        <f>SUMIF('raw Data'!$E:$E,A128,'raw Data'!$N:$N)</f>
        <v>0</v>
      </c>
      <c r="V128" s="126">
        <v>38398</v>
      </c>
      <c r="W128" s="127">
        <v>38398</v>
      </c>
      <c r="X128" s="127">
        <v>38579</v>
      </c>
      <c r="Y128" s="127">
        <v>41866</v>
      </c>
      <c r="Z128" s="127">
        <v>42050</v>
      </c>
      <c r="AA128" s="128">
        <v>0.04</v>
      </c>
      <c r="AB128" s="129">
        <v>34215000000</v>
      </c>
      <c r="AC128" s="130" t="str">
        <f ca="1">IF(LEFT(B128,1)="B",_xll.INSTANCE.TBILL(A128,V128,Z128,TODAY()),_xll.INSTANCE.TNOTE(A128,V128,W128,X128,Y128,Z128,AA128,TODAY()))</f>
        <v>US912828DM98#0003</v>
      </c>
    </row>
    <row r="129" spans="1:29" x14ac:dyDescent="0.35">
      <c r="A129" s="131" t="s">
        <v>478</v>
      </c>
      <c r="B129" s="115" t="s">
        <v>1105</v>
      </c>
      <c r="C129" s="364"/>
      <c r="D129" s="116"/>
      <c r="E129" s="117"/>
      <c r="F129" s="118"/>
      <c r="G129" s="369"/>
      <c r="H129" s="120">
        <v>3.8794269999999995E-3</v>
      </c>
      <c r="I129" s="121">
        <f ca="1">_xll.INSTRUMENT.PRIX(AC129,D129,H129,cTreasuries)</f>
        <v>99.638552812198697</v>
      </c>
      <c r="J129" s="122">
        <f ca="1">_xll.INSTRUMENT.DV01(A129,,,I129,cContinuous,I129)</f>
        <v>-2.615049231368036E-2</v>
      </c>
      <c r="K129" s="123">
        <f ca="1">_xll.INSTRUMENT.CONVEXITE(A129,,,I129,cContinuous,I129)</f>
        <v>6.9212706952585537</v>
      </c>
      <c r="L129" s="123">
        <f ca="1">_xll.INSTRUMENT.Z.SPREAD(A129,swapCurve,I129,cContinuous,D129)</f>
        <v>-19.273946404391445</v>
      </c>
      <c r="M129" s="123" t="e">
        <f ca="1">_xll.INSTRUMENT.Z.SPREAD(A129,ustCurve,I129,cContinuous,D129)</f>
        <v>#VALUE!</v>
      </c>
      <c r="N129" s="123">
        <f ca="1">_xll.INSTRUMENT.Z.SPREAD(A129,oisCurve,I129,cContinuous,D129)</f>
        <v>15.673457084216951</v>
      </c>
      <c r="O129" s="124" t="e">
        <f ca="1">1/_xll.CALENDRIER.FRAC.ANNEE(_xll.INSTRUMENT.DATE.REGLEMENT($AC129,,),_xll.INSTRUMENT.DATE.REGLEMENT($AC129,_xll.CALENDRIER.GAP.FINANCE(TODAY(),"1M","AUD","Unadjusted"),),"ACT/365")*(_xll.INSTRUMENT.ROLL.DOWN($A129,oisCurve,_xll.CALENDRIER.GAP.FINANCE(TODAY(),"1M","AUD","Unadjusted",TRUE),$N129)+100*$AA129*_xll.CALENDRIER.FRAC.ANNEE(_xll.INSTRUMENT.DATE.REGLEMENT($AC129,,),_xll.INSTRUMENT.DATE.REGLEMENT($AC129,_xll.CALENDRIER.GAP.FINANCE(TODAY(),"1M","AUD","Unadjusted"),),"ACT/365")-$I129)/$I129</f>
        <v>#NAME?</v>
      </c>
      <c r="P129" s="124" t="e">
        <f ca="1">1/_xll.CALENDRIER.FRAC.ANNEE(_xll.INSTRUMENT.DATE.REGLEMENT($AC129,,),_xll.INSTRUMENT.DATE.REGLEMENT($AC129,_xll.CALENDRIER.GAP.FINANCE(TODAY(),"3M","AUD","Unadjusted"),),"ACT/365")*(_xll.INSTRUMENT.ROLL.DOWN($A129,oisCurve,_xll.CALENDRIER.GAP.FINANCE(TODAY(),"3M","AUD","Unadjusted",TRUE),$N129)+100*$AA129*_xll.CALENDRIER.FRAC.ANNEE(_xll.INSTRUMENT.DATE.REGLEMENT($AC129,,),_xll.INSTRUMENT.DATE.REGLEMENT($AC129,_xll.CALENDRIER.GAP.FINANCE(TODAY(),"3M","AUD","Unadjusted"),),"ACT/365")-$I129)/$I129</f>
        <v>#NAME?</v>
      </c>
      <c r="Q129" s="371" t="e">
        <f ca="1">-(O129-curve!$T$3)/J129</f>
        <v>#NAME?</v>
      </c>
      <c r="R129" s="373">
        <f t="shared" ca="1" si="3"/>
        <v>-264.67076077331677</v>
      </c>
      <c r="S129" s="191" t="str">
        <f>IF(F129&lt;&gt;"","",IF(G129="","",-G129*(SUMIF('raw Data'!$A:$A,"RESINV1USD",'raw Data'!$G:$G)+SUMIF('raw Data'!$A:$A,"RESSWAPORUSD",'raw Data'!$G:$G))/(36500*J129)))</f>
        <v/>
      </c>
      <c r="T129" s="202" t="str">
        <f>IF(G129&lt;&gt;"","",IF(F129="","",-36500*J129*F129/(SUMIF('raw Data'!$A:$A,"RESINV1USD",'raw Data'!$G:$G)+SUMIF('raw Data'!$A:$A,"RESSWAPORUSD",'raw Data'!$G:$G))))</f>
        <v/>
      </c>
      <c r="U129" s="125">
        <f>SUMIF('raw Data'!$E:$E,A129,'raw Data'!$N:$N)</f>
        <v>0</v>
      </c>
      <c r="V129" s="126">
        <v>40954</v>
      </c>
      <c r="W129" s="127">
        <v>40954</v>
      </c>
      <c r="X129" s="127">
        <v>41136</v>
      </c>
      <c r="Y129" s="127">
        <v>41866</v>
      </c>
      <c r="Z129" s="127">
        <v>42050</v>
      </c>
      <c r="AA129" s="128">
        <v>2.5000000000000001E-3</v>
      </c>
      <c r="AB129" s="129">
        <v>35901000000</v>
      </c>
      <c r="AC129" s="130" t="str">
        <f ca="1">IF(LEFT(B129,1)="B",_xll.INSTANCE.TBILL(A129,V129,Z129,TODAY()),_xll.INSTANCE.TNOTE(A129,V129,W129,X129,Y129,Z129,AA129,TODAY()))</f>
        <v>US912828SE18#0003</v>
      </c>
    </row>
    <row r="130" spans="1:29" x14ac:dyDescent="0.35">
      <c r="A130" s="131" t="s">
        <v>202</v>
      </c>
      <c r="B130" s="115" t="s">
        <v>1106</v>
      </c>
      <c r="C130" s="364"/>
      <c r="D130" s="116"/>
      <c r="E130" s="117"/>
      <c r="F130" s="118"/>
      <c r="G130" s="369"/>
      <c r="H130" s="120">
        <v>3.9984510000000001E-3</v>
      </c>
      <c r="I130" s="121">
        <f ca="1">_xll.INSTRUMENT.PRIX(AC130,D130,H130,cTreasuries)</f>
        <v>105.24408998298519</v>
      </c>
      <c r="J130" s="122">
        <f ca="1">_xll.INSTRUMENT.DV01(A130,,,I130,cContinuous,I130)</f>
        <v>-2.7391811016331643E-2</v>
      </c>
      <c r="K130" s="123">
        <f ca="1">_xll.INSTRUMENT.CONVEXITE(A130,,,I130,cContinuous,I130)</f>
        <v>6.8488871163424054</v>
      </c>
      <c r="L130" s="123">
        <f ca="1">_xll.INSTRUMENT.Z.SPREAD(A130,swapCurve,I130,cContinuous,D130)</f>
        <v>-18.248998127107036</v>
      </c>
      <c r="M130" s="123" t="e">
        <f ca="1">_xll.INSTRUMENT.Z.SPREAD(A130,ustCurve,I130,cContinuous,D130)</f>
        <v>#VALUE!</v>
      </c>
      <c r="N130" s="123">
        <f ca="1">_xll.INSTRUMENT.Z.SPREAD(A130,oisCurve,I130,cContinuous,D130)</f>
        <v>16.715858443270694</v>
      </c>
      <c r="O130" s="124" t="e">
        <f ca="1">1/_xll.CALENDRIER.FRAC.ANNEE(_xll.INSTRUMENT.DATE.REGLEMENT($AC130,,),_xll.INSTRUMENT.DATE.REGLEMENT($AC130,_xll.CALENDRIER.GAP.FINANCE(TODAY(),"1M","AUD","Unadjusted"),),"ACT/365")*(_xll.INSTRUMENT.ROLL.DOWN($A130,oisCurve,_xll.CALENDRIER.GAP.FINANCE(TODAY(),"1M","AUD","Unadjusted",TRUE),$N130)+100*$AA130*_xll.CALENDRIER.FRAC.ANNEE(_xll.INSTRUMENT.DATE.REGLEMENT($AC130,,),_xll.INSTRUMENT.DATE.REGLEMENT($AC130,_xll.CALENDRIER.GAP.FINANCE(TODAY(),"1M","AUD","Unadjusted"),),"ACT/365")-$I130)/$I130</f>
        <v>#NAME?</v>
      </c>
      <c r="P130" s="124" t="e">
        <f ca="1">1/_xll.CALENDRIER.FRAC.ANNEE(_xll.INSTRUMENT.DATE.REGLEMENT($AC130,,),_xll.INSTRUMENT.DATE.REGLEMENT($AC130,_xll.CALENDRIER.GAP.FINANCE(TODAY(),"3M","AUD","Unadjusted"),),"ACT/365")*(_xll.INSTRUMENT.ROLL.DOWN($A130,oisCurve,_xll.CALENDRIER.GAP.FINANCE(TODAY(),"3M","AUD","Unadjusted",TRUE),$N130)+100*$AA130*_xll.CALENDRIER.FRAC.ANNEE(_xll.INSTRUMENT.DATE.REGLEMENT($AC130,,),_xll.INSTRUMENT.DATE.REGLEMENT($AC130,_xll.CALENDRIER.GAP.FINANCE(TODAY(),"3M","AUD","Unadjusted"),),"ACT/365")-$I130)/$I130</f>
        <v>#NAME?</v>
      </c>
      <c r="Q130" s="371" t="e">
        <f ca="1">-(O130-curve!$T$3)/J130</f>
        <v>#NAME?</v>
      </c>
      <c r="R130" s="373">
        <f t="shared" ca="1" si="3"/>
        <v>-250.03411100707936</v>
      </c>
      <c r="S130" s="191" t="str">
        <f>IF(F130&lt;&gt;"","",IF(G130="","",-G130*(SUMIF('raw Data'!$A:$A,"RESINV1USD",'raw Data'!$G:$G)+SUMIF('raw Data'!$A:$A,"RESSWAPORUSD",'raw Data'!$G:$G))/(36500*J130)))</f>
        <v/>
      </c>
      <c r="T130" s="202" t="str">
        <f>IF(G130&lt;&gt;"","",IF(F130="","",-36500*J130*F130/(SUMIF('raw Data'!$A:$A,"RESINV1USD",'raw Data'!$G:$G)+SUMIF('raw Data'!$A:$A,"RESSWAPORUSD",'raw Data'!$G:$G))))</f>
        <v/>
      </c>
      <c r="U130" s="125">
        <f>SUMIF('raw Data'!$E:$E,A130,'raw Data'!$N:$N)</f>
        <v>0</v>
      </c>
      <c r="V130" s="126">
        <v>40238</v>
      </c>
      <c r="W130" s="127">
        <v>40237</v>
      </c>
      <c r="X130" s="127">
        <v>40421</v>
      </c>
      <c r="Y130" s="127">
        <v>41882</v>
      </c>
      <c r="Z130" s="127">
        <v>42063</v>
      </c>
      <c r="AA130" s="128">
        <v>2.375E-2</v>
      </c>
      <c r="AB130" s="129">
        <v>43033000000</v>
      </c>
      <c r="AC130" s="130" t="str">
        <f ca="1">IF(LEFT(B130,1)="B",_xll.INSTANCE.TBILL(A130,V130,Z130,TODAY()),_xll.INSTANCE.TNOTE(A130,V130,W130,X130,Y130,Z130,AA130,TODAY()))</f>
        <v>US912828MR84#0003</v>
      </c>
    </row>
    <row r="131" spans="1:29" x14ac:dyDescent="0.35">
      <c r="A131" s="131" t="s">
        <v>57</v>
      </c>
      <c r="B131" s="115" t="s">
        <v>1107</v>
      </c>
      <c r="C131" s="364"/>
      <c r="D131" s="116"/>
      <c r="E131" s="117"/>
      <c r="F131" s="118"/>
      <c r="G131" s="369"/>
      <c r="H131" s="120">
        <v>4.011555E-3</v>
      </c>
      <c r="I131" s="121">
        <f ca="1">_xll.INSTRUMENT.PRIX(AC131,D131,H131,cTreasuries)</f>
        <v>99.930919450761749</v>
      </c>
      <c r="J131" s="122">
        <f ca="1">_xll.INSTRUMENT.DV01(A131,,,I131,cContinuous,I131)</f>
        <v>-2.6952589122550764E-2</v>
      </c>
      <c r="K131" s="123">
        <f ca="1">_xll.INSTRUMENT.CONVEXITE(A131,,,I131,cContinuous,I131)</f>
        <v>7.2989772158915471</v>
      </c>
      <c r="L131" s="123">
        <f ca="1">_xll.INSTRUMENT.Z.SPREAD(A131,swapCurve,I131,cContinuous,D131)</f>
        <v>-18.583289904302223</v>
      </c>
      <c r="M131" s="123" t="e">
        <f ca="1">_xll.INSTRUMENT.Z.SPREAD(A131,ustCurve,I131,cContinuous,D131)</f>
        <v>#VALUE!</v>
      </c>
      <c r="N131" s="123">
        <f ca="1">_xll.INSTRUMENT.Z.SPREAD(A131,oisCurve,I131,cContinuous,D131)</f>
        <v>16.562077478379848</v>
      </c>
      <c r="O131" s="124" t="e">
        <f ca="1">1/_xll.CALENDRIER.FRAC.ANNEE(_xll.INSTRUMENT.DATE.REGLEMENT($AC131,,),_xll.INSTRUMENT.DATE.REGLEMENT($AC131,_xll.CALENDRIER.GAP.FINANCE(TODAY(),"1M","AUD","Unadjusted"),),"ACT/365")*(_xll.INSTRUMENT.ROLL.DOWN($A131,oisCurve,_xll.CALENDRIER.GAP.FINANCE(TODAY(),"1M","AUD","Unadjusted",TRUE),$N131)+100*$AA131*_xll.CALENDRIER.FRAC.ANNEE(_xll.INSTRUMENT.DATE.REGLEMENT($AC131,,),_xll.INSTRUMENT.DATE.REGLEMENT($AC131,_xll.CALENDRIER.GAP.FINANCE(TODAY(),"1M","AUD","Unadjusted"),),"ACT/365")-$I131)/$I131</f>
        <v>#NAME?</v>
      </c>
      <c r="P131" s="124" t="e">
        <f ca="1">1/_xll.CALENDRIER.FRAC.ANNEE(_xll.INSTRUMENT.DATE.REGLEMENT($AC131,,),_xll.INSTRUMENT.DATE.REGLEMENT($AC131,_xll.CALENDRIER.GAP.FINANCE(TODAY(),"3M","AUD","Unadjusted"),),"ACT/365")*(_xll.INSTRUMENT.ROLL.DOWN($A131,oisCurve,_xll.CALENDRIER.GAP.FINANCE(TODAY(),"3M","AUD","Unadjusted",TRUE),$N131)+100*$AA131*_xll.CALENDRIER.FRAC.ANNEE(_xll.INSTRUMENT.DATE.REGLEMENT($AC131,,),_xll.INSTRUMENT.DATE.REGLEMENT($AC131,_xll.CALENDRIER.GAP.FINANCE(TODAY(),"3M","AUD","Unadjusted"),),"ACT/365")-$I131)/$I131</f>
        <v>#NAME?</v>
      </c>
      <c r="Q131" s="371" t="e">
        <f ca="1">-(O131-curve!$T$3)/J131</f>
        <v>#NAME?</v>
      </c>
      <c r="R131" s="373">
        <f t="shared" ca="1" si="3"/>
        <v>-270.80801709638422</v>
      </c>
      <c r="S131" s="191" t="str">
        <f>IF(F131&lt;&gt;"","",IF(G131="","",-G131*(SUMIF('raw Data'!$A:$A,"RESINV1USD",'raw Data'!$G:$G)+SUMIF('raw Data'!$A:$A,"RESSWAPORUSD",'raw Data'!$G:$G))/(36500*J131)))</f>
        <v/>
      </c>
      <c r="T131" s="202" t="str">
        <f>IF(G131&lt;&gt;"","",IF(F131="","",-36500*J131*F131/(SUMIF('raw Data'!$A:$A,"RESINV1USD",'raw Data'!$G:$G)+SUMIF('raw Data'!$A:$A,"RESSWAPORUSD",'raw Data'!$G:$G))))</f>
        <v/>
      </c>
      <c r="U131" s="125">
        <f>SUMIF('raw Data'!$E:$E,A131,'raw Data'!$N:$N)</f>
        <v>0</v>
      </c>
      <c r="V131" s="126">
        <v>40983</v>
      </c>
      <c r="W131" s="127">
        <v>40983</v>
      </c>
      <c r="X131" s="127">
        <v>41167</v>
      </c>
      <c r="Y131" s="127">
        <v>41897</v>
      </c>
      <c r="Z131" s="127">
        <v>42078</v>
      </c>
      <c r="AA131" s="128">
        <v>3.7499999999999999E-3</v>
      </c>
      <c r="AB131" s="129">
        <v>34222000000</v>
      </c>
      <c r="AC131" s="130" t="str">
        <f ca="1">IF(LEFT(B131,1)="B",_xll.INSTANCE.TBILL(A131,V131,Z131,TODAY()),_xll.INSTANCE.TNOTE(A131,V131,W131,X131,Y131,Z131,AA131,TODAY()))</f>
        <v>US912828SK77#0003</v>
      </c>
    </row>
    <row r="132" spans="1:29" x14ac:dyDescent="0.35">
      <c r="A132" s="131" t="s">
        <v>35</v>
      </c>
      <c r="B132" s="115" t="s">
        <v>1108</v>
      </c>
      <c r="C132" s="364"/>
      <c r="D132" s="116"/>
      <c r="E132" s="117"/>
      <c r="F132" s="118"/>
      <c r="G132" s="369"/>
      <c r="H132" s="120">
        <v>3.9249919999999995E-3</v>
      </c>
      <c r="I132" s="121">
        <f ca="1">_xll.INSTRUMENT.PRIX(AC132,D132,H132,cTreasuries)</f>
        <v>105.76785798357871</v>
      </c>
      <c r="J132" s="122">
        <f ca="1">_xll.INSTRUMENT.DV01(A132,,,I132,cContinuous,I132)</f>
        <v>-2.834327113633819E-2</v>
      </c>
      <c r="K132" s="123">
        <f ca="1">_xll.INSTRUMENT.CONVEXITE(A132,,,I132,cContinuous,I132)</f>
        <v>7.2516858136068603</v>
      </c>
      <c r="L132" s="123">
        <f ca="1">_xll.INSTRUMENT.Z.SPREAD(A132,swapCurve,I132,cContinuous,D132)</f>
        <v>-19.623422046443732</v>
      </c>
      <c r="M132" s="123" t="e">
        <f ca="1">_xll.INSTRUMENT.Z.SPREAD(A132,ustCurve,I132,cContinuous,D132)</f>
        <v>#VALUE!</v>
      </c>
      <c r="N132" s="123">
        <f ca="1">_xll.INSTRUMENT.Z.SPREAD(A132,oisCurve,I132,cContinuous,D132)</f>
        <v>15.533184319597837</v>
      </c>
      <c r="O132" s="124" t="e">
        <f ca="1">1/_xll.CALENDRIER.FRAC.ANNEE(_xll.INSTRUMENT.DATE.REGLEMENT($AC132,,),_xll.INSTRUMENT.DATE.REGLEMENT($AC132,_xll.CALENDRIER.GAP.FINANCE(TODAY(),"1M","AUD","Unadjusted"),),"ACT/365")*(_xll.INSTRUMENT.ROLL.DOWN($A132,oisCurve,_xll.CALENDRIER.GAP.FINANCE(TODAY(),"1M","AUD","Unadjusted",TRUE),$N132)+100*$AA132*_xll.CALENDRIER.FRAC.ANNEE(_xll.INSTRUMENT.DATE.REGLEMENT($AC132,,),_xll.INSTRUMENT.DATE.REGLEMENT($AC132,_xll.CALENDRIER.GAP.FINANCE(TODAY(),"1M","AUD","Unadjusted"),),"ACT/365")-$I132)/$I132</f>
        <v>#NAME?</v>
      </c>
      <c r="P132" s="124" t="e">
        <f ca="1">1/_xll.CALENDRIER.FRAC.ANNEE(_xll.INSTRUMENT.DATE.REGLEMENT($AC132,,),_xll.INSTRUMENT.DATE.REGLEMENT($AC132,_xll.CALENDRIER.GAP.FINANCE(TODAY(),"3M","AUD","Unadjusted"),),"ACT/365")*(_xll.INSTRUMENT.ROLL.DOWN($A132,oisCurve,_xll.CALENDRIER.GAP.FINANCE(TODAY(),"3M","AUD","Unadjusted",TRUE),$N132)+100*$AA132*_xll.CALENDRIER.FRAC.ANNEE(_xll.INSTRUMENT.DATE.REGLEMENT($AC132,,),_xll.INSTRUMENT.DATE.REGLEMENT($AC132,_xll.CALENDRIER.GAP.FINANCE(TODAY(),"3M","AUD","Unadjusted"),),"ACT/365")-$I132)/$I132</f>
        <v>#NAME?</v>
      </c>
      <c r="Q132" s="371" t="e">
        <f ca="1">-(O132-curve!$T$3)/J132</f>
        <v>#NAME?</v>
      </c>
      <c r="R132" s="373">
        <f t="shared" ca="1" si="3"/>
        <v>-255.85211314263785</v>
      </c>
      <c r="S132" s="191" t="str">
        <f>IF(F132&lt;&gt;"","",IF(G132="","",-G132*(SUMIF('raw Data'!$A:$A,"RESINV1USD",'raw Data'!$G:$G)+SUMIF('raw Data'!$A:$A,"RESSWAPORUSD",'raw Data'!$G:$G))/(36500*J132)))</f>
        <v/>
      </c>
      <c r="T132" s="202" t="str">
        <f>IF(G132&lt;&gt;"","",IF(F132="","",-36500*J132*F132/(SUMIF('raw Data'!$A:$A,"RESINV1USD",'raw Data'!$G:$G)+SUMIF('raw Data'!$A:$A,"RESSWAPORUSD",'raw Data'!$G:$G))))</f>
        <v/>
      </c>
      <c r="U132" s="125">
        <f>SUMIF('raw Data'!$E:$E,A132,'raw Data'!$N:$N)</f>
        <v>0</v>
      </c>
      <c r="V132" s="126">
        <v>40268</v>
      </c>
      <c r="W132" s="127">
        <v>40268</v>
      </c>
      <c r="X132" s="127">
        <v>40451</v>
      </c>
      <c r="Y132" s="127">
        <v>41912</v>
      </c>
      <c r="Z132" s="127">
        <v>42094</v>
      </c>
      <c r="AA132" s="128">
        <v>2.5000000000000001E-2</v>
      </c>
      <c r="AB132" s="129">
        <v>43421000000.000008</v>
      </c>
      <c r="AC132" s="130" t="str">
        <f ca="1">IF(LEFT(B132,1)="B",_xll.INSTANCE.TBILL(A132,V132,Z132,TODAY()),_xll.INSTANCE.TNOTE(A132,V132,W132,X132,Y132,Z132,AA132,TODAY()))</f>
        <v>US912828MW79#0003</v>
      </c>
    </row>
    <row r="133" spans="1:29" x14ac:dyDescent="0.35">
      <c r="A133" s="131" t="s">
        <v>480</v>
      </c>
      <c r="B133" s="115" t="s">
        <v>1109</v>
      </c>
      <c r="C133" s="364"/>
      <c r="D133" s="116"/>
      <c r="E133" s="117"/>
      <c r="F133" s="118"/>
      <c r="G133" s="369"/>
      <c r="H133" s="120">
        <v>4.0037950000000001E-3</v>
      </c>
      <c r="I133" s="121">
        <f ca="1">_xll.INSTRUMENT.PRIX(AC133,D133,H133,cTreasuries)</f>
        <v>99.930210223844725</v>
      </c>
      <c r="J133" s="122">
        <f ca="1">_xll.INSTRUMENT.DV01(A133,,,I133,cContinuous,I133)</f>
        <v>-2.7793215542102102E-2</v>
      </c>
      <c r="K133" s="123">
        <f ca="1">_xll.INSTRUMENT.CONVEXITE(A133,,,I133,cContinuous,I133)</f>
        <v>7.7490380007903124</v>
      </c>
      <c r="L133" s="123">
        <f ca="1">_xll.INSTRUMENT.Z.SPREAD(A133,swapCurve,I133,cContinuous,D133)</f>
        <v>-19.39362491762629</v>
      </c>
      <c r="M133" s="123" t="e">
        <f ca="1">_xll.INSTRUMENT.Z.SPREAD(A133,ustCurve,I133,cContinuous,D133)</f>
        <v>#VALUE!</v>
      </c>
      <c r="N133" s="123">
        <f ca="1">_xll.INSTRUMENT.Z.SPREAD(A133,oisCurve,I133,cContinuous,D133)</f>
        <v>15.914494073642384</v>
      </c>
      <c r="O133" s="124" t="e">
        <f ca="1">1/_xll.CALENDRIER.FRAC.ANNEE(_xll.INSTRUMENT.DATE.REGLEMENT($AC133,,),_xll.INSTRUMENT.DATE.REGLEMENT($AC133,_xll.CALENDRIER.GAP.FINANCE(TODAY(),"1M","AUD","Unadjusted"),),"ACT/365")*(_xll.INSTRUMENT.ROLL.DOWN($A133,oisCurve,_xll.CALENDRIER.GAP.FINANCE(TODAY(),"1M","AUD","Unadjusted",TRUE),$N133)+100*$AA133*_xll.CALENDRIER.FRAC.ANNEE(_xll.INSTRUMENT.DATE.REGLEMENT($AC133,,),_xll.INSTRUMENT.DATE.REGLEMENT($AC133,_xll.CALENDRIER.GAP.FINANCE(TODAY(),"1M","AUD","Unadjusted"),),"ACT/365")-$I133)/$I133</f>
        <v>#NAME?</v>
      </c>
      <c r="P133" s="124" t="e">
        <f ca="1">1/_xll.CALENDRIER.FRAC.ANNEE(_xll.INSTRUMENT.DATE.REGLEMENT($AC133,,),_xll.INSTRUMENT.DATE.REGLEMENT($AC133,_xll.CALENDRIER.GAP.FINANCE(TODAY(),"3M","AUD","Unadjusted"),),"ACT/365")*(_xll.INSTRUMENT.ROLL.DOWN($A133,oisCurve,_xll.CALENDRIER.GAP.FINANCE(TODAY(),"3M","AUD","Unadjusted",TRUE),$N133)+100*$AA133*_xll.CALENDRIER.FRAC.ANNEE(_xll.INSTRUMENT.DATE.REGLEMENT($AC133,,),_xll.INSTRUMENT.DATE.REGLEMENT($AC133,_xll.CALENDRIER.GAP.FINANCE(TODAY(),"3M","AUD","Unadjusted"),),"ACT/365")-$I133)/$I133</f>
        <v>#NAME?</v>
      </c>
      <c r="Q133" s="371" t="e">
        <f ca="1">-(O133-curve!$T$3)/J133</f>
        <v>#NAME?</v>
      </c>
      <c r="R133" s="373">
        <f t="shared" ca="1" si="3"/>
        <v>-278.8104164864194</v>
      </c>
      <c r="S133" s="191" t="str">
        <f>IF(F133&lt;&gt;"","",IF(G133="","",-G133*(SUMIF('raw Data'!$A:$A,"RESINV1USD",'raw Data'!$G:$G)+SUMIF('raw Data'!$A:$A,"RESSWAPORUSD",'raw Data'!$G:$G))/(36500*J133)))</f>
        <v/>
      </c>
      <c r="T133" s="202" t="str">
        <f>IF(G133&lt;&gt;"","",IF(F133="","",-36500*J133*F133/(SUMIF('raw Data'!$A:$A,"RESINV1USD",'raw Data'!$G:$G)+SUMIF('raw Data'!$A:$A,"RESSWAPORUSD",'raw Data'!$G:$G))))</f>
        <v/>
      </c>
      <c r="U133" s="125">
        <f>SUMIF('raw Data'!$E:$E,A133,'raw Data'!$N:$N)</f>
        <v>0</v>
      </c>
      <c r="V133" s="126">
        <v>41015</v>
      </c>
      <c r="W133" s="127">
        <v>41014</v>
      </c>
      <c r="X133" s="127">
        <v>41197</v>
      </c>
      <c r="Y133" s="127">
        <v>41927</v>
      </c>
      <c r="Z133" s="127">
        <v>42109</v>
      </c>
      <c r="AA133" s="128">
        <v>3.7499999999999999E-3</v>
      </c>
      <c r="AB133" s="129">
        <v>37823000000</v>
      </c>
      <c r="AC133" s="130" t="str">
        <f ca="1">IF(LEFT(B133,1)="B",_xll.INSTANCE.TBILL(A133,V133,Z133,TODAY()),_xll.INSTANCE.TNOTE(A133,V133,W133,X133,Y133,Z133,AA133,TODAY()))</f>
        <v>US912828SP64#0003</v>
      </c>
    </row>
    <row r="134" spans="1:29" x14ac:dyDescent="0.35">
      <c r="A134" s="131" t="s">
        <v>36</v>
      </c>
      <c r="B134" s="115" t="s">
        <v>1110</v>
      </c>
      <c r="C134" s="364"/>
      <c r="D134" s="116"/>
      <c r="E134" s="117"/>
      <c r="F134" s="118"/>
      <c r="G134" s="369"/>
      <c r="H134" s="120">
        <v>4.1695320000000001E-3</v>
      </c>
      <c r="I134" s="121">
        <f ca="1">_xll.INSTRUMENT.PRIX(AC134,D134,H134,cTreasuries)</f>
        <v>105.86942161244275</v>
      </c>
      <c r="J134" s="122">
        <f ca="1">_xll.INSTRUMENT.DV01(A134,,,I134,cContinuous,I134)</f>
        <v>-2.9189249606194723E-2</v>
      </c>
      <c r="K134" s="123">
        <f ca="1">_xll.INSTRUMENT.CONVEXITE(A134,,,I134,cContinuous,I134)</f>
        <v>7.6964602994355316</v>
      </c>
      <c r="L134" s="123">
        <f ca="1">_xll.INSTRUMENT.Z.SPREAD(A134,swapCurve,I134,cContinuous,D134)</f>
        <v>-17.953920679996475</v>
      </c>
      <c r="M134" s="123" t="e">
        <f ca="1">_xll.INSTRUMENT.Z.SPREAD(A134,ustCurve,I134,cContinuous,D134)</f>
        <v>#VALUE!</v>
      </c>
      <c r="N134" s="123">
        <f ca="1">_xll.INSTRUMENT.Z.SPREAD(A134,oisCurve,I134,cContinuous,D134)</f>
        <v>17.330917763583642</v>
      </c>
      <c r="O134" s="124" t="e">
        <f ca="1">1/_xll.CALENDRIER.FRAC.ANNEE(_xll.INSTRUMENT.DATE.REGLEMENT($AC134,,),_xll.INSTRUMENT.DATE.REGLEMENT($AC134,_xll.CALENDRIER.GAP.FINANCE(TODAY(),"1M","AUD","Unadjusted"),),"ACT/365")*(_xll.INSTRUMENT.ROLL.DOWN($A134,oisCurve,_xll.CALENDRIER.GAP.FINANCE(TODAY(),"1M","AUD","Unadjusted",TRUE),$N134)+100*$AA134*_xll.CALENDRIER.FRAC.ANNEE(_xll.INSTRUMENT.DATE.REGLEMENT($AC134,,),_xll.INSTRUMENT.DATE.REGLEMENT($AC134,_xll.CALENDRIER.GAP.FINANCE(TODAY(),"1M","AUD","Unadjusted"),),"ACT/365")-$I134)/$I134</f>
        <v>#NAME?</v>
      </c>
      <c r="P134" s="124" t="e">
        <f ca="1">1/_xll.CALENDRIER.FRAC.ANNEE(_xll.INSTRUMENT.DATE.REGLEMENT($AC134,,),_xll.INSTRUMENT.DATE.REGLEMENT($AC134,_xll.CALENDRIER.GAP.FINANCE(TODAY(),"3M","AUD","Unadjusted"),),"ACT/365")*(_xll.INSTRUMENT.ROLL.DOWN($A134,oisCurve,_xll.CALENDRIER.GAP.FINANCE(TODAY(),"3M","AUD","Unadjusted",TRUE),$N134)+100*$AA134*_xll.CALENDRIER.FRAC.ANNEE(_xll.INSTRUMENT.DATE.REGLEMENT($AC134,,),_xll.INSTRUMENT.DATE.REGLEMENT($AC134,_xll.CALENDRIER.GAP.FINANCE(TODAY(),"3M","AUD","Unadjusted"),),"ACT/365")-$I134)/$I134</f>
        <v>#NAME?</v>
      </c>
      <c r="Q134" s="371" t="e">
        <f ca="1">-(O134-curve!$T$3)/J134</f>
        <v>#NAME?</v>
      </c>
      <c r="R134" s="373">
        <f t="shared" ca="1" si="3"/>
        <v>-263.67448301247668</v>
      </c>
      <c r="S134" s="191" t="str">
        <f>IF(F134&lt;&gt;"","",IF(G134="","",-G134*(SUMIF('raw Data'!$A:$A,"RESINV1USD",'raw Data'!$G:$G)+SUMIF('raw Data'!$A:$A,"RESSWAPORUSD",'raw Data'!$G:$G))/(36500*J134)))</f>
        <v/>
      </c>
      <c r="T134" s="202" t="str">
        <f>IF(G134&lt;&gt;"","",IF(F134="","",-36500*J134*F134/(SUMIF('raw Data'!$A:$A,"RESINV1USD",'raw Data'!$G:$G)+SUMIF('raw Data'!$A:$A,"RESSWAPORUSD",'raw Data'!$G:$G))))</f>
        <v/>
      </c>
      <c r="U134" s="125">
        <f>SUMIF('raw Data'!$E:$E,A134,'raw Data'!$N:$N)</f>
        <v>0</v>
      </c>
      <c r="V134" s="126">
        <v>40298</v>
      </c>
      <c r="W134" s="127">
        <v>40298</v>
      </c>
      <c r="X134" s="127">
        <v>40482</v>
      </c>
      <c r="Y134" s="127">
        <v>41943</v>
      </c>
      <c r="Z134" s="127">
        <v>42124</v>
      </c>
      <c r="AA134" s="128">
        <v>2.5000000000000001E-2</v>
      </c>
      <c r="AB134" s="129">
        <v>42892000000</v>
      </c>
      <c r="AC134" s="130" t="str">
        <f ca="1">IF(LEFT(B134,1)="B",_xll.INSTANCE.TBILL(A134,V134,Z134,TODAY()),_xll.INSTANCE.TNOTE(A134,V134,W134,X134,Y134,Z134,AA134,TODAY()))</f>
        <v>US912828MZ01#0003</v>
      </c>
    </row>
    <row r="135" spans="1:29" x14ac:dyDescent="0.35">
      <c r="A135" s="131" t="s">
        <v>898</v>
      </c>
      <c r="B135" s="115" t="s">
        <v>1111</v>
      </c>
      <c r="C135" s="364"/>
      <c r="D135" s="116"/>
      <c r="E135" s="117"/>
      <c r="F135" s="118"/>
      <c r="G135" s="369"/>
      <c r="H135" s="120">
        <v>4.0349169999999998E-3</v>
      </c>
      <c r="I135" s="121">
        <f ca="1">_xll.INSTRUMENT.PRIX(AC135,D135,H135,cTreasuries)</f>
        <v>99.562179393443088</v>
      </c>
      <c r="J135" s="122">
        <f ca="1">_xll.INSTRUMENT.DV01(A135,,,I135,cContinuous,I135)</f>
        <v>-2.8542862749440793E-2</v>
      </c>
      <c r="K135" s="123">
        <f ca="1">_xll.INSTRUMENT.CONVEXITE(A135,,,I135,cContinuous,I135)</f>
        <v>8.2308348922236938</v>
      </c>
      <c r="L135" s="123">
        <f ca="1">_xll.INSTRUMENT.Z.SPREAD(A135,swapCurve,I135,cContinuous,D135)</f>
        <v>-19.891641223162186</v>
      </c>
      <c r="M135" s="123" t="e">
        <f ca="1">_xll.INSTRUMENT.Z.SPREAD(A135,ustCurve,I135,cContinuous,D135)</f>
        <v>#VALUE!</v>
      </c>
      <c r="N135" s="123">
        <f ca="1">_xll.INSTRUMENT.Z.SPREAD(A135,oisCurve,I135,cContinuous,D135)</f>
        <v>15.511896609843561</v>
      </c>
      <c r="O135" s="124" t="e">
        <f ca="1">1/_xll.CALENDRIER.FRAC.ANNEE(_xll.INSTRUMENT.DATE.REGLEMENT($AC135,,),_xll.INSTRUMENT.DATE.REGLEMENT($AC135,_xll.CALENDRIER.GAP.FINANCE(TODAY(),"1M","AUD","Unadjusted"),),"ACT/365")*(_xll.INSTRUMENT.ROLL.DOWN($A135,oisCurve,_xll.CALENDRIER.GAP.FINANCE(TODAY(),"1M","AUD","Unadjusted",TRUE),$N135)+100*$AA135*_xll.CALENDRIER.FRAC.ANNEE(_xll.INSTRUMENT.DATE.REGLEMENT($AC135,,),_xll.INSTRUMENT.DATE.REGLEMENT($AC135,_xll.CALENDRIER.GAP.FINANCE(TODAY(),"1M","AUD","Unadjusted"),),"ACT/365")-$I135)/$I135</f>
        <v>#NAME?</v>
      </c>
      <c r="P135" s="124" t="e">
        <f ca="1">1/_xll.CALENDRIER.FRAC.ANNEE(_xll.INSTRUMENT.DATE.REGLEMENT($AC135,,),_xll.INSTRUMENT.DATE.REGLEMENT($AC135,_xll.CALENDRIER.GAP.FINANCE(TODAY(),"3M","AUD","Unadjusted"),),"ACT/365")*(_xll.INSTRUMENT.ROLL.DOWN($A135,oisCurve,_xll.CALENDRIER.GAP.FINANCE(TODAY(),"3M","AUD","Unadjusted",TRUE),$N135)+100*$AA135*_xll.CALENDRIER.FRAC.ANNEE(_xll.INSTRUMENT.DATE.REGLEMENT($AC135,,),_xll.INSTRUMENT.DATE.REGLEMENT($AC135,_xll.CALENDRIER.GAP.FINANCE(TODAY(),"3M","AUD","Unadjusted"),),"ACT/365")-$I135)/$I135</f>
        <v>#NAME?</v>
      </c>
      <c r="Q135" s="371" t="e">
        <f ca="1">-(O135-curve!$T$3)/J135</f>
        <v>#NAME?</v>
      </c>
      <c r="R135" s="373">
        <f t="shared" ca="1" si="3"/>
        <v>-288.36753217351861</v>
      </c>
      <c r="S135" s="191" t="str">
        <f>IF(F135&lt;&gt;"","",IF(G135="","",-G135*(SUMIF('raw Data'!$A:$A,"RESINV1USD",'raw Data'!$G:$G)+SUMIF('raw Data'!$A:$A,"RESSWAPORUSD",'raw Data'!$G:$G))/(36500*J135)))</f>
        <v/>
      </c>
      <c r="T135" s="202" t="str">
        <f>IF(G135&lt;&gt;"","",IF(F135="","",-36500*J135*F135/(SUMIF('raw Data'!$A:$A,"RESINV1USD",'raw Data'!$G:$G)+SUMIF('raw Data'!$A:$A,"RESSWAPORUSD",'raw Data'!$G:$G))))</f>
        <v/>
      </c>
      <c r="U135" s="125">
        <f>SUMIF('raw Data'!$E:$E,A135,'raw Data'!$N:$N)</f>
        <v>0</v>
      </c>
      <c r="V135" s="126">
        <v>41044</v>
      </c>
      <c r="W135" s="127">
        <v>41044</v>
      </c>
      <c r="X135" s="127">
        <v>41228</v>
      </c>
      <c r="Y135" s="127">
        <v>41958</v>
      </c>
      <c r="Z135" s="127">
        <v>42139</v>
      </c>
      <c r="AA135" s="128">
        <v>2.5000000000000001E-3</v>
      </c>
      <c r="AB135" s="129">
        <v>34002000000</v>
      </c>
      <c r="AC135" s="130" t="str">
        <f ca="1">IF(LEFT(B135,1)="B",_xll.INSTANCE.TBILL(A135,V135,Z135,TODAY()),_xll.INSTANCE.TNOTE(A135,V135,W135,X135,Y135,Z135,AA135,TODAY()))</f>
        <v>US912828SU59#0003</v>
      </c>
    </row>
    <row r="136" spans="1:29" x14ac:dyDescent="0.35">
      <c r="A136" s="131" t="s">
        <v>481</v>
      </c>
      <c r="B136" s="115" t="s">
        <v>1112</v>
      </c>
      <c r="C136" s="364"/>
      <c r="D136" s="116"/>
      <c r="E136" s="117"/>
      <c r="F136" s="118"/>
      <c r="G136" s="369"/>
      <c r="H136" s="120">
        <v>4.3092140000000004E-3</v>
      </c>
      <c r="I136" s="121">
        <f ca="1">_xll.INSTRUMENT.PRIX(AC136,D136,H136,cTreasuries)</f>
        <v>110.55414902552596</v>
      </c>
      <c r="J136" s="122">
        <f ca="1">_xll.INSTRUMENT.DV01(A136,,,I136,cContinuous,I136)</f>
        <v>-3.039550816070178E-2</v>
      </c>
      <c r="K136" s="123">
        <f ca="1">_xll.INSTRUMENT.CONVEXITE(A136,,,I136,cContinuous,I136)</f>
        <v>7.7256337080986883</v>
      </c>
      <c r="L136" s="123">
        <f ca="1">_xll.INSTRUMENT.Z.SPREAD(A136,swapCurve,I136,cContinuous,D136)</f>
        <v>-16.817388381603486</v>
      </c>
      <c r="M136" s="123" t="e">
        <f ca="1">_xll.INSTRUMENT.Z.SPREAD(A136,ustCurve,I136,cContinuous,D136)</f>
        <v>#VALUE!</v>
      </c>
      <c r="N136" s="123">
        <f ca="1">_xll.INSTRUMENT.Z.SPREAD(A136,oisCurve,I136,cContinuous,D136)</f>
        <v>18.446041948583986</v>
      </c>
      <c r="O136" s="124" t="e">
        <f ca="1">1/_xll.CALENDRIER.FRAC.ANNEE(_xll.INSTRUMENT.DATE.REGLEMENT($AC136,,),_xll.INSTRUMENT.DATE.REGLEMENT($AC136,_xll.CALENDRIER.GAP.FINANCE(TODAY(),"1M","AUD","Unadjusted"),),"ACT/365")*(_xll.INSTRUMENT.ROLL.DOWN($A136,oisCurve,_xll.CALENDRIER.GAP.FINANCE(TODAY(),"1M","AUD","Unadjusted",TRUE),$N136)+100*$AA136*_xll.CALENDRIER.FRAC.ANNEE(_xll.INSTRUMENT.DATE.REGLEMENT($AC136,,),_xll.INSTRUMENT.DATE.REGLEMENT($AC136,_xll.CALENDRIER.GAP.FINANCE(TODAY(),"1M","AUD","Unadjusted"),),"ACT/365")-$I136)/$I136</f>
        <v>#NAME?</v>
      </c>
      <c r="P136" s="124" t="e">
        <f ca="1">1/_xll.CALENDRIER.FRAC.ANNEE(_xll.INSTRUMENT.DATE.REGLEMENT($AC136,,),_xll.INSTRUMENT.DATE.REGLEMENT($AC136,_xll.CALENDRIER.GAP.FINANCE(TODAY(),"3M","AUD","Unadjusted"),),"ACT/365")*(_xll.INSTRUMENT.ROLL.DOWN($A136,oisCurve,_xll.CALENDRIER.GAP.FINANCE(TODAY(),"3M","AUD","Unadjusted",TRUE),$N136)+100*$AA136*_xll.CALENDRIER.FRAC.ANNEE(_xll.INSTRUMENT.DATE.REGLEMENT($AC136,,),_xll.INSTRUMENT.DATE.REGLEMENT($AC136,_xll.CALENDRIER.GAP.FINANCE(TODAY(),"3M","AUD","Unadjusted"),),"ACT/365")-$I136)/$I136</f>
        <v>#NAME?</v>
      </c>
      <c r="Q136" s="371" t="e">
        <f ca="1">-(O136-curve!$T$3)/J136</f>
        <v>#NAME?</v>
      </c>
      <c r="R136" s="373">
        <f t="shared" ca="1" si="3"/>
        <v>-254.17024342060932</v>
      </c>
      <c r="S136" s="191" t="str">
        <f>IF(F136&lt;&gt;"","",IF(G136="","",-G136*(SUMIF('raw Data'!$A:$A,"RESINV1USD",'raw Data'!$G:$G)+SUMIF('raw Data'!$A:$A,"RESSWAPORUSD",'raw Data'!$G:$G))/(36500*J136)))</f>
        <v/>
      </c>
      <c r="T136" s="202" t="str">
        <f>IF(G136&lt;&gt;"","",IF(F136="","",-36500*J136*F136/(SUMIF('raw Data'!$A:$A,"RESINV1USD",'raw Data'!$G:$G)+SUMIF('raw Data'!$A:$A,"RESSWAPORUSD",'raw Data'!$G:$G))))</f>
        <v/>
      </c>
      <c r="U136" s="125">
        <f>SUMIF('raw Data'!$E:$E,A136,'raw Data'!$N:$N)</f>
        <v>0</v>
      </c>
      <c r="V136" s="126">
        <v>38488</v>
      </c>
      <c r="W136" s="127">
        <v>38487</v>
      </c>
      <c r="X136" s="127">
        <v>38671</v>
      </c>
      <c r="Y136" s="127">
        <v>41958</v>
      </c>
      <c r="Z136" s="127">
        <v>42139</v>
      </c>
      <c r="AA136" s="128">
        <v>4.1250000000000002E-2</v>
      </c>
      <c r="AB136" s="129">
        <v>34472000000</v>
      </c>
      <c r="AC136" s="130" t="str">
        <f ca="1">IF(LEFT(B136,1)="B",_xll.INSTANCE.TBILL(A136,V136,Z136,TODAY()),_xll.INSTANCE.TNOTE(A136,V136,W136,X136,Y136,Z136,AA136,TODAY()))</f>
        <v>US912828DV97#0003</v>
      </c>
    </row>
    <row r="137" spans="1:29" x14ac:dyDescent="0.35">
      <c r="A137" s="131" t="s">
        <v>204</v>
      </c>
      <c r="B137" s="115" t="s">
        <v>1113</v>
      </c>
      <c r="C137" s="364"/>
      <c r="D137" s="116"/>
      <c r="E137" s="117"/>
      <c r="F137" s="118"/>
      <c r="G137" s="369"/>
      <c r="H137" s="120">
        <v>4.2810740000000002E-3</v>
      </c>
      <c r="I137" s="121">
        <f ca="1">_xll.INSTRUMENT.PRIX(AC137,D137,H137,cTreasuries)</f>
        <v>104.92065396237496</v>
      </c>
      <c r="J137" s="122">
        <f ca="1">_xll.INSTRUMENT.DV01(A137,,,I137,cContinuous,I137)</f>
        <v>-2.9884355902308261E-2</v>
      </c>
      <c r="K137" s="123">
        <f ca="1">_xll.INSTRUMENT.CONVEXITE(A137,,,I137,cContinuous,I137)</f>
        <v>8.2351283240138056</v>
      </c>
      <c r="L137" s="123">
        <f ca="1">_xll.INSTRUMENT.Z.SPREAD(A137,swapCurve,I137,cContinuous,D137)</f>
        <v>-17.762145376086075</v>
      </c>
      <c r="M137" s="123" t="e">
        <f ca="1">_xll.INSTRUMENT.Z.SPREAD(A137,ustCurve,I137,cContinuous,D137)</f>
        <v>#VALUE!</v>
      </c>
      <c r="N137" s="123">
        <f ca="1">_xll.INSTRUMENT.Z.SPREAD(A137,oisCurve,I137,cContinuous,D137)</f>
        <v>17.589585946463497</v>
      </c>
      <c r="O137" s="124" t="e">
        <f ca="1">1/_xll.CALENDRIER.FRAC.ANNEE(_xll.INSTRUMENT.DATE.REGLEMENT($AC137,,),_xll.INSTRUMENT.DATE.REGLEMENT($AC137,_xll.CALENDRIER.GAP.FINANCE(TODAY(),"1M","AUD","Unadjusted"),),"ACT/365")*(_xll.INSTRUMENT.ROLL.DOWN($A137,oisCurve,_xll.CALENDRIER.GAP.FINANCE(TODAY(),"1M","AUD","Unadjusted",TRUE),$N137)+100*$AA137*_xll.CALENDRIER.FRAC.ANNEE(_xll.INSTRUMENT.DATE.REGLEMENT($AC137,,),_xll.INSTRUMENT.DATE.REGLEMENT($AC137,_xll.CALENDRIER.GAP.FINANCE(TODAY(),"1M","AUD","Unadjusted"),),"ACT/365")-$I137)/$I137</f>
        <v>#NAME?</v>
      </c>
      <c r="P137" s="124" t="e">
        <f ca="1">1/_xll.CALENDRIER.FRAC.ANNEE(_xll.INSTRUMENT.DATE.REGLEMENT($AC137,,),_xll.INSTRUMENT.DATE.REGLEMENT($AC137,_xll.CALENDRIER.GAP.FINANCE(TODAY(),"3M","AUD","Unadjusted"),),"ACT/365")*(_xll.INSTRUMENT.ROLL.DOWN($A137,oisCurve,_xll.CALENDRIER.GAP.FINANCE(TODAY(),"3M","AUD","Unadjusted",TRUE),$N137)+100*$AA137*_xll.CALENDRIER.FRAC.ANNEE(_xll.INSTRUMENT.DATE.REGLEMENT($AC137,,),_xll.INSTRUMENT.DATE.REGLEMENT($AC137,_xll.CALENDRIER.GAP.FINANCE(TODAY(),"3M","AUD","Unadjusted"),),"ACT/365")-$I137)/$I137</f>
        <v>#NAME?</v>
      </c>
      <c r="Q137" s="371" t="e">
        <f ca="1">-(O137-curve!$T$3)/J137</f>
        <v>#NAME?</v>
      </c>
      <c r="R137" s="373">
        <f t="shared" ca="1" si="3"/>
        <v>-275.5665322329308</v>
      </c>
      <c r="S137" s="191" t="str">
        <f>IF(F137&lt;&gt;"","",IF(G137="","",-G137*(SUMIF('raw Data'!$A:$A,"RESINV1USD",'raw Data'!$G:$G)+SUMIF('raw Data'!$A:$A,"RESSWAPORUSD",'raw Data'!$G:$G))/(36500*J137)))</f>
        <v/>
      </c>
      <c r="T137" s="202" t="str">
        <f>IF(G137&lt;&gt;"","",IF(F137="","",-36500*J137*F137/(SUMIF('raw Data'!$A:$A,"RESINV1USD",'raw Data'!$G:$G)+SUMIF('raw Data'!$A:$A,"RESSWAPORUSD",'raw Data'!$G:$G))))</f>
        <v/>
      </c>
      <c r="U137" s="125">
        <f>SUMIF('raw Data'!$E:$E,A137,'raw Data'!$N:$N)</f>
        <v>0</v>
      </c>
      <c r="V137" s="126">
        <v>40330</v>
      </c>
      <c r="W137" s="127">
        <v>40329</v>
      </c>
      <c r="X137" s="127">
        <v>40512</v>
      </c>
      <c r="Y137" s="127">
        <v>41973</v>
      </c>
      <c r="Z137" s="127">
        <v>42155</v>
      </c>
      <c r="AA137" s="128">
        <v>2.1250000000000002E-2</v>
      </c>
      <c r="AB137" s="129">
        <v>40866000000</v>
      </c>
      <c r="AC137" s="130" t="str">
        <f ca="1">IF(LEFT(B137,1)="B",_xll.INSTANCE.TBILL(A137,V137,Z137,TODAY()),_xll.INSTANCE.TNOTE(A137,V137,W137,X137,Y137,Z137,AA137,TODAY()))</f>
        <v>US912828NF38#0003</v>
      </c>
    </row>
    <row r="138" spans="1:29" x14ac:dyDescent="0.35">
      <c r="A138" s="131" t="s">
        <v>206</v>
      </c>
      <c r="B138" s="115" t="s">
        <v>1114</v>
      </c>
      <c r="C138" s="364"/>
      <c r="D138" s="116"/>
      <c r="E138" s="117"/>
      <c r="F138" s="118"/>
      <c r="G138" s="369"/>
      <c r="H138" s="120">
        <v>4.3957990000000006E-3</v>
      </c>
      <c r="I138" s="121">
        <f ca="1">_xll.INSTRUMENT.PRIX(AC138,D138,H138,cTreasuries)</f>
        <v>104.27779207480717</v>
      </c>
      <c r="J138" s="122">
        <f ca="1">_xll.INSTRUMENT.DV01(A138,,,I138,cContinuous,I138)</f>
        <v>-3.0597681495223426E-2</v>
      </c>
      <c r="K138" s="123">
        <f ca="1">_xll.INSTRUMENT.CONVEXITE(A138,,,I138,cContinuous,I138)</f>
        <v>8.6510981939947591</v>
      </c>
      <c r="L138" s="123">
        <f ca="1">_xll.INSTRUMENT.Z.SPREAD(A138,swapCurve,I138,cContinuous,D138)</f>
        <v>-17.402153965827583</v>
      </c>
      <c r="M138" s="123" t="e">
        <f ca="1">_xll.INSTRUMENT.Z.SPREAD(A138,ustCurve,I138,cContinuous,D138)</f>
        <v>#VALUE!</v>
      </c>
      <c r="N138" s="123">
        <f ca="1">_xll.INSTRUMENT.Z.SPREAD(A138,oisCurve,I138,cContinuous,D138)</f>
        <v>17.937274456670877</v>
      </c>
      <c r="O138" s="124" t="e">
        <f ca="1">1/_xll.CALENDRIER.FRAC.ANNEE(_xll.INSTRUMENT.DATE.REGLEMENT($AC138,,),_xll.INSTRUMENT.DATE.REGLEMENT($AC138,_xll.CALENDRIER.GAP.FINANCE(TODAY(),"1M","AUD","Unadjusted"),),"ACT/365")*(_xll.INSTRUMENT.ROLL.DOWN($A138,oisCurve,_xll.CALENDRIER.GAP.FINANCE(TODAY(),"1M","AUD","Unadjusted",TRUE),$N138)+100*$AA138*_xll.CALENDRIER.FRAC.ANNEE(_xll.INSTRUMENT.DATE.REGLEMENT($AC138,,),_xll.INSTRUMENT.DATE.REGLEMENT($AC138,_xll.CALENDRIER.GAP.FINANCE(TODAY(),"1M","AUD","Unadjusted"),),"ACT/365")-$I138)/$I138</f>
        <v>#NAME?</v>
      </c>
      <c r="P138" s="124" t="e">
        <f ca="1">1/_xll.CALENDRIER.FRAC.ANNEE(_xll.INSTRUMENT.DATE.REGLEMENT($AC138,,),_xll.INSTRUMENT.DATE.REGLEMENT($AC138,_xll.CALENDRIER.GAP.FINANCE(TODAY(),"3M","AUD","Unadjusted"),),"ACT/365")*(_xll.INSTRUMENT.ROLL.DOWN($A138,oisCurve,_xll.CALENDRIER.GAP.FINANCE(TODAY(),"3M","AUD","Unadjusted",TRUE),$N138)+100*$AA138*_xll.CALENDRIER.FRAC.ANNEE(_xll.INSTRUMENT.DATE.REGLEMENT($AC138,,),_xll.INSTRUMENT.DATE.REGLEMENT($AC138,_xll.CALENDRIER.GAP.FINANCE(TODAY(),"3M","AUD","Unadjusted"),),"ACT/365")-$I138)/$I138</f>
        <v>#NAME?</v>
      </c>
      <c r="Q138" s="371" t="e">
        <f ca="1">-(O138-curve!$T$3)/J138</f>
        <v>#NAME?</v>
      </c>
      <c r="R138" s="373">
        <f t="shared" ca="1" si="3"/>
        <v>-282.73704971225595</v>
      </c>
      <c r="S138" s="191" t="str">
        <f>IF(F138&lt;&gt;"","",IF(G138="","",-G138*(SUMIF('raw Data'!$A:$A,"RESINV1USD",'raw Data'!$G:$G)+SUMIF('raw Data'!$A:$A,"RESSWAPORUSD",'raw Data'!$G:$G))/(36500*J138)))</f>
        <v/>
      </c>
      <c r="T138" s="202" t="str">
        <f>IF(G138&lt;&gt;"","",IF(F138="","",-36500*J138*F138/(SUMIF('raw Data'!$A:$A,"RESINV1USD",'raw Data'!$G:$G)+SUMIF('raw Data'!$A:$A,"RESSWAPORUSD",'raw Data'!$G:$G))))</f>
        <v/>
      </c>
      <c r="U138" s="125">
        <f>SUMIF('raw Data'!$E:$E,A138,'raw Data'!$N:$N)</f>
        <v>0</v>
      </c>
      <c r="V138" s="126">
        <v>40359</v>
      </c>
      <c r="W138" s="127">
        <v>40359</v>
      </c>
      <c r="X138" s="127">
        <v>40543</v>
      </c>
      <c r="Y138" s="127">
        <v>42004</v>
      </c>
      <c r="Z138" s="127">
        <v>42185</v>
      </c>
      <c r="AA138" s="128">
        <v>1.8749999999999999E-2</v>
      </c>
      <c r="AB138" s="129">
        <v>39132000000</v>
      </c>
      <c r="AC138" s="130" t="str">
        <f ca="1">IF(LEFT(B138,1)="B",_xll.INSTANCE.TBILL(A138,V138,Z138,TODAY()),_xll.INSTANCE.TNOTE(A138,V138,W138,X138,Y138,Z138,AA138,TODAY()))</f>
        <v>US912828NL06#0003</v>
      </c>
    </row>
    <row r="139" spans="1:29" x14ac:dyDescent="0.35">
      <c r="A139" s="131" t="s">
        <v>208</v>
      </c>
      <c r="B139" s="115" t="s">
        <v>1115</v>
      </c>
      <c r="C139" s="364"/>
      <c r="D139" s="116"/>
      <c r="E139" s="117"/>
      <c r="F139" s="118"/>
      <c r="G139" s="369"/>
      <c r="H139" s="120">
        <v>4.5084460000000002E-3</v>
      </c>
      <c r="I139" s="121">
        <f ca="1">_xll.INSTRUMENT.PRIX(AC139,D139,H139,cTreasuries)</f>
        <v>103.97995960734364</v>
      </c>
      <c r="J139" s="122">
        <f ca="1">_xll.INSTRUMENT.DV01(A139,,,I139,cContinuous,I139)</f>
        <v>-3.1399858051723128E-2</v>
      </c>
      <c r="K139" s="123">
        <f ca="1">_xll.INSTRUMENT.CONVEXITE(A139,,,I139,cContinuous,I139)</f>
        <v>9.1758352901917331</v>
      </c>
      <c r="L139" s="123">
        <f ca="1">_xll.INSTRUMENT.Z.SPREAD(A139,swapCurve,I139,cContinuous,D139)</f>
        <v>-17.188727852969365</v>
      </c>
      <c r="M139" s="123" t="e">
        <f ca="1">_xll.INSTRUMENT.Z.SPREAD(A139,ustCurve,I139,cContinuous,D139)</f>
        <v>#VALUE!</v>
      </c>
      <c r="N139" s="123">
        <f ca="1">_xll.INSTRUMENT.Z.SPREAD(A139,oisCurve,I139,cContinuous,D139)</f>
        <v>18.068436373789872</v>
      </c>
      <c r="O139" s="124" t="e">
        <f ca="1">1/_xll.CALENDRIER.FRAC.ANNEE(_xll.INSTRUMENT.DATE.REGLEMENT($AC139,,),_xll.INSTRUMENT.DATE.REGLEMENT($AC139,_xll.CALENDRIER.GAP.FINANCE(TODAY(),"1M","AUD","Unadjusted"),),"ACT/365")*(_xll.INSTRUMENT.ROLL.DOWN($A139,oisCurve,_xll.CALENDRIER.GAP.FINANCE(TODAY(),"1M","AUD","Unadjusted",TRUE),$N139)+100*$AA139*_xll.CALENDRIER.FRAC.ANNEE(_xll.INSTRUMENT.DATE.REGLEMENT($AC139,,),_xll.INSTRUMENT.DATE.REGLEMENT($AC139,_xll.CALENDRIER.GAP.FINANCE(TODAY(),"1M","AUD","Unadjusted"),),"ACT/365")-$I139)/$I139</f>
        <v>#NAME?</v>
      </c>
      <c r="P139" s="124" t="e">
        <f ca="1">1/_xll.CALENDRIER.FRAC.ANNEE(_xll.INSTRUMENT.DATE.REGLEMENT($AC139,,),_xll.INSTRUMENT.DATE.REGLEMENT($AC139,_xll.CALENDRIER.GAP.FINANCE(TODAY(),"3M","AUD","Unadjusted"),),"ACT/365")*(_xll.INSTRUMENT.ROLL.DOWN($A139,oisCurve,_xll.CALENDRIER.GAP.FINANCE(TODAY(),"3M","AUD","Unadjusted",TRUE),$N139)+100*$AA139*_xll.CALENDRIER.FRAC.ANNEE(_xll.INSTRUMENT.DATE.REGLEMENT($AC139,,),_xll.INSTRUMENT.DATE.REGLEMENT($AC139,_xll.CALENDRIER.GAP.FINANCE(TODAY(),"3M","AUD","Unadjusted"),),"ACT/365")-$I139)/$I139</f>
        <v>#NAME?</v>
      </c>
      <c r="Q139" s="371" t="e">
        <f ca="1">-(O139-curve!$T$3)/J139</f>
        <v>#NAME?</v>
      </c>
      <c r="R139" s="373">
        <f t="shared" ca="1" si="3"/>
        <v>-292.22537487516416</v>
      </c>
      <c r="S139" s="191" t="str">
        <f>IF(F139&lt;&gt;"","",IF(G139="","",-G139*(SUMIF('raw Data'!$A:$A,"RESINV1USD",'raw Data'!$G:$G)+SUMIF('raw Data'!$A:$A,"RESSWAPORUSD",'raw Data'!$G:$G))/(36500*J139)))</f>
        <v/>
      </c>
      <c r="T139" s="202" t="str">
        <f>IF(G139&lt;&gt;"","",IF(F139="","",-36500*J139*F139/(SUMIF('raw Data'!$A:$A,"RESINV1USD",'raw Data'!$G:$G)+SUMIF('raw Data'!$A:$A,"RESSWAPORUSD",'raw Data'!$G:$G))))</f>
        <v/>
      </c>
      <c r="U139" s="125">
        <f>SUMIF('raw Data'!$E:$E,A139,'raw Data'!$N:$N)</f>
        <v>0</v>
      </c>
      <c r="V139" s="126">
        <v>40392</v>
      </c>
      <c r="W139" s="127">
        <v>40390</v>
      </c>
      <c r="X139" s="127">
        <v>40574</v>
      </c>
      <c r="Y139" s="127">
        <v>42035</v>
      </c>
      <c r="Z139" s="127">
        <v>42216</v>
      </c>
      <c r="AA139" s="128">
        <v>1.7500000000000002E-2</v>
      </c>
      <c r="AB139" s="129">
        <v>38214000000</v>
      </c>
      <c r="AC139" s="130" t="str">
        <f ca="1">IF(LEFT(B139,1)="B",_xll.INSTANCE.TBILL(A139,V139,Z139,TODAY()),_xll.INSTANCE.TNOTE(A139,V139,W139,X139,Y139,Z139,AA139,TODAY()))</f>
        <v>US912828NP10#0003</v>
      </c>
    </row>
    <row r="140" spans="1:29" x14ac:dyDescent="0.35">
      <c r="A140" s="131" t="s">
        <v>483</v>
      </c>
      <c r="B140" s="115" t="s">
        <v>1116</v>
      </c>
      <c r="C140" s="364"/>
      <c r="D140" s="116"/>
      <c r="E140" s="117"/>
      <c r="F140" s="118"/>
      <c r="G140" s="369"/>
      <c r="H140" s="120">
        <v>4.5861640000000002E-3</v>
      </c>
      <c r="I140" s="121">
        <f ca="1">_xll.INSTRUMENT.PRIX(AC140,D140,H140,cTreasuries)</f>
        <v>111.76583691250897</v>
      </c>
      <c r="J140" s="122">
        <f ca="1">_xll.INSTRUMENT.DV01(A140,,,I140,cContinuous,I140)</f>
        <v>-3.32276414244509E-2</v>
      </c>
      <c r="K140" s="123">
        <f ca="1">_xll.INSTRUMENT.CONVEXITE(A140,,,I140,cContinuous,I140)</f>
        <v>9.0119713530012842</v>
      </c>
      <c r="L140" s="123">
        <f ca="1">_xll.INSTRUMENT.Z.SPREAD(A140,swapCurve,I140,cContinuous,D140)</f>
        <v>-16.719800602145938</v>
      </c>
      <c r="M140" s="123" t="e">
        <f ca="1">_xll.INSTRUMENT.Z.SPREAD(A140,ustCurve,I140,cContinuous,D140)</f>
        <v>#VALUE!</v>
      </c>
      <c r="N140" s="123">
        <f ca="1">_xll.INSTRUMENT.Z.SPREAD(A140,oisCurve,I140,cContinuous,D140)</f>
        <v>18.387430617560742</v>
      </c>
      <c r="O140" s="124" t="e">
        <f ca="1">1/_xll.CALENDRIER.FRAC.ANNEE(_xll.INSTRUMENT.DATE.REGLEMENT($AC140,,),_xll.INSTRUMENT.DATE.REGLEMENT($AC140,_xll.CALENDRIER.GAP.FINANCE(TODAY(),"1M","AUD","Unadjusted"),),"ACT/365")*(_xll.INSTRUMENT.ROLL.DOWN($A140,oisCurve,_xll.CALENDRIER.GAP.FINANCE(TODAY(),"1M","AUD","Unadjusted",TRUE),$N140)+100*$AA140*_xll.CALENDRIER.FRAC.ANNEE(_xll.INSTRUMENT.DATE.REGLEMENT($AC140,,),_xll.INSTRUMENT.DATE.REGLEMENT($AC140,_xll.CALENDRIER.GAP.FINANCE(TODAY(),"1M","AUD","Unadjusted"),),"ACT/365")-$I140)/$I140</f>
        <v>#NAME?</v>
      </c>
      <c r="P140" s="124" t="e">
        <f ca="1">1/_xll.CALENDRIER.FRAC.ANNEE(_xll.INSTRUMENT.DATE.REGLEMENT($AC140,,),_xll.INSTRUMENT.DATE.REGLEMENT($AC140,_xll.CALENDRIER.GAP.FINANCE(TODAY(),"3M","AUD","Unadjusted"),),"ACT/365")*(_xll.INSTRUMENT.ROLL.DOWN($A140,oisCurve,_xll.CALENDRIER.GAP.FINANCE(TODAY(),"3M","AUD","Unadjusted",TRUE),$N140)+100*$AA140*_xll.CALENDRIER.FRAC.ANNEE(_xll.INSTRUMENT.DATE.REGLEMENT($AC140,,),_xll.INSTRUMENT.DATE.REGLEMENT($AC140,_xll.CALENDRIER.GAP.FINANCE(TODAY(),"3M","AUD","Unadjusted"),),"ACT/365")-$I140)/$I140</f>
        <v>#NAME?</v>
      </c>
      <c r="Q140" s="371" t="e">
        <f ca="1">-(O140-curve!$T$3)/J140</f>
        <v>#NAME?</v>
      </c>
      <c r="R140" s="373">
        <f t="shared" ca="1" si="3"/>
        <v>-271.21911055563913</v>
      </c>
      <c r="S140" s="191" t="str">
        <f>IF(F140&lt;&gt;"","",IF(G140="","",-G140*(SUMIF('raw Data'!$A:$A,"RESINV1USD",'raw Data'!$G:$G)+SUMIF('raw Data'!$A:$A,"RESSWAPORUSD",'raw Data'!$G:$G))/(36500*J140)))</f>
        <v/>
      </c>
      <c r="T140" s="202" t="str">
        <f>IF(G140&lt;&gt;"","",IF(F140="","",-36500*J140*F140/(SUMIF('raw Data'!$A:$A,"RESINV1USD",'raw Data'!$G:$G)+SUMIF('raw Data'!$A:$A,"RESSWAPORUSD",'raw Data'!$G:$G))))</f>
        <v/>
      </c>
      <c r="U140" s="125">
        <f>SUMIF('raw Data'!$E:$E,A140,'raw Data'!$N:$N)</f>
        <v>0</v>
      </c>
      <c r="V140" s="126">
        <v>38579</v>
      </c>
      <c r="W140" s="127">
        <v>38579</v>
      </c>
      <c r="X140" s="127">
        <v>38763</v>
      </c>
      <c r="Y140" s="127">
        <v>42050</v>
      </c>
      <c r="Z140" s="127">
        <v>42231</v>
      </c>
      <c r="AA140" s="128">
        <v>4.2500000000000003E-2</v>
      </c>
      <c r="AB140" s="129">
        <v>32470000000</v>
      </c>
      <c r="AC140" s="130" t="str">
        <f ca="1">IF(LEFT(B140,1)="B",_xll.INSTANCE.TBILL(A140,V140,Z140,TODAY()),_xll.INSTANCE.TNOTE(A140,V140,W140,X140,Y140,Z140,AA140,TODAY()))</f>
        <v>US912828EE63#0003</v>
      </c>
    </row>
    <row r="141" spans="1:29" x14ac:dyDescent="0.35">
      <c r="A141" s="131" t="s">
        <v>482</v>
      </c>
      <c r="B141" s="115" t="s">
        <v>1117</v>
      </c>
      <c r="C141" s="364"/>
      <c r="D141" s="116"/>
      <c r="E141" s="117"/>
      <c r="F141" s="118"/>
      <c r="G141" s="369"/>
      <c r="H141" s="120">
        <v>4.3419560000000001E-3</v>
      </c>
      <c r="I141" s="121">
        <f ca="1">_xll.INSTRUMENT.PRIX(AC141,D141,H141,cTreasuries)</f>
        <v>131.63806306338645</v>
      </c>
      <c r="J141" s="122">
        <f ca="1">_xll.INSTRUMENT.DV01(A141,,,I141,cContinuous,I141)</f>
        <v>-3.6852619309134305E-2</v>
      </c>
      <c r="K141" s="123">
        <f ca="1">_xll.INSTRUMENT.CONVEXITE(A141,,,I141,cContinuous,I141)</f>
        <v>8.1364958462993986</v>
      </c>
      <c r="L141" s="123">
        <f ca="1">_xll.INSTRUMENT.Z.SPREAD(A141,swapCurve,I141,cContinuous,D141)</f>
        <v>-18.500477928298327</v>
      </c>
      <c r="M141" s="123" t="e">
        <f ca="1">_xll.INSTRUMENT.Z.SPREAD(A141,ustCurve,I141,cContinuous,D141)</f>
        <v>#VALUE!</v>
      </c>
      <c r="N141" s="123">
        <f ca="1">_xll.INSTRUMENT.Z.SPREAD(A141,oisCurve,I141,cContinuous,D141)</f>
        <v>16.410726751326148</v>
      </c>
      <c r="O141" s="124" t="e">
        <f ca="1">1/_xll.CALENDRIER.FRAC.ANNEE(_xll.INSTRUMENT.DATE.REGLEMENT($AC141,,),_xll.INSTRUMENT.DATE.REGLEMENT($AC141,_xll.CALENDRIER.GAP.FINANCE(TODAY(),"1M","AUD","Unadjusted"),),"ACT/365")*(_xll.INSTRUMENT.ROLL.DOWN($A141,oisCurve,_xll.CALENDRIER.GAP.FINANCE(TODAY(),"1M","AUD","Unadjusted",TRUE),$N141)+100*$AA141*_xll.CALENDRIER.FRAC.ANNEE(_xll.INSTRUMENT.DATE.REGLEMENT($AC141,,),_xll.INSTRUMENT.DATE.REGLEMENT($AC141,_xll.CALENDRIER.GAP.FINANCE(TODAY(),"1M","AUD","Unadjusted"),),"ACT/365")-$I141)/$I141</f>
        <v>#NAME?</v>
      </c>
      <c r="P141" s="124" t="e">
        <f ca="1">1/_xll.CALENDRIER.FRAC.ANNEE(_xll.INSTRUMENT.DATE.REGLEMENT($AC141,,),_xll.INSTRUMENT.DATE.REGLEMENT($AC141,_xll.CALENDRIER.GAP.FINANCE(TODAY(),"3M","AUD","Unadjusted"),),"ACT/365")*(_xll.INSTRUMENT.ROLL.DOWN($A141,oisCurve,_xll.CALENDRIER.GAP.FINANCE(TODAY(),"3M","AUD","Unadjusted",TRUE),$N141)+100*$AA141*_xll.CALENDRIER.FRAC.ANNEE(_xll.INSTRUMENT.DATE.REGLEMENT($AC141,,),_xll.INSTRUMENT.DATE.REGLEMENT($AC141,_xll.CALENDRIER.GAP.FINANCE(TODAY(),"3M","AUD","Unadjusted"),),"ACT/365")-$I141)/$I141</f>
        <v>#NAME?</v>
      </c>
      <c r="Q141" s="371" t="e">
        <f ca="1">-(O141-curve!$T$3)/J141</f>
        <v>#NAME?</v>
      </c>
      <c r="R141" s="373">
        <f t="shared" ca="1" si="3"/>
        <v>-220.78473657590692</v>
      </c>
      <c r="S141" s="191" t="str">
        <f>IF(F141&lt;&gt;"","",IF(G141="","",-G141*(SUMIF('raw Data'!$A:$A,"RESINV1USD",'raw Data'!$G:$G)+SUMIF('raw Data'!$A:$A,"RESSWAPORUSD",'raw Data'!$G:$G))/(36500*J141)))</f>
        <v/>
      </c>
      <c r="T141" s="202" t="str">
        <f>IF(G141&lt;&gt;"","",IF(F141="","",-36500*J141*F141/(SUMIF('raw Data'!$A:$A,"RESINV1USD",'raw Data'!$G:$G)+SUMIF('raw Data'!$A:$A,"RESSWAPORUSD",'raw Data'!$G:$G))))</f>
        <v/>
      </c>
      <c r="U141" s="125">
        <f>SUMIF('raw Data'!$E:$E,A141,'raw Data'!$N:$N)</f>
        <v>0</v>
      </c>
      <c r="V141" s="126">
        <v>31274</v>
      </c>
      <c r="W141" s="127">
        <v>31274</v>
      </c>
      <c r="X141" s="127">
        <v>31458</v>
      </c>
      <c r="Y141" s="127">
        <v>42050</v>
      </c>
      <c r="Z141" s="127">
        <v>42231</v>
      </c>
      <c r="AA141" s="128">
        <v>0.10625</v>
      </c>
      <c r="AB141" s="129">
        <v>4024000000</v>
      </c>
      <c r="AC141" s="130" t="str">
        <f ca="1">IF(LEFT(B141,1)="B",_xll.INSTANCE.TBILL(A141,V141,Z141,TODAY()),_xll.INSTANCE.TNOTE(A141,V141,W141,X141,Y141,Z141,AA141,TODAY()))</f>
        <v>US912810DS43#0003</v>
      </c>
    </row>
    <row r="142" spans="1:29" x14ac:dyDescent="0.35">
      <c r="A142" s="131" t="s">
        <v>210</v>
      </c>
      <c r="B142" s="115" t="s">
        <v>1118</v>
      </c>
      <c r="C142" s="364"/>
      <c r="D142" s="116"/>
      <c r="E142" s="117"/>
      <c r="F142" s="118"/>
      <c r="G142" s="369"/>
      <c r="H142" s="120">
        <v>4.5300169999999999E-3</v>
      </c>
      <c r="I142" s="121">
        <f ca="1">_xll.INSTRUMENT.PRIX(AC142,D142,H142,cTreasuries)</f>
        <v>102.50635249163905</v>
      </c>
      <c r="J142" s="122">
        <f ca="1">_xll.INSTRUMENT.DV01(A142,,,I142,cContinuous,I142)</f>
        <v>-3.1983220731471355E-2</v>
      </c>
      <c r="K142" s="123">
        <f ca="1">_xll.INSTRUMENT.CONVEXITE(A142,,,I142,cContinuous,I142)</f>
        <v>9.7918660064840211</v>
      </c>
      <c r="L142" s="123">
        <f ca="1">_xll.INSTRUMENT.Z.SPREAD(A142,swapCurve,I142,cContinuous,D142)</f>
        <v>-18.011579953053158</v>
      </c>
      <c r="M142" s="123" t="e">
        <f ca="1">_xll.INSTRUMENT.Z.SPREAD(A142,ustCurve,I142,cContinuous,D142)</f>
        <v>#VALUE!</v>
      </c>
      <c r="N142" s="123">
        <f ca="1">_xll.INSTRUMENT.Z.SPREAD(A142,oisCurve,I142,cContinuous,D142)</f>
        <v>17.151814092323971</v>
      </c>
      <c r="O142" s="124" t="e">
        <f ca="1">1/_xll.CALENDRIER.FRAC.ANNEE(_xll.INSTRUMENT.DATE.REGLEMENT($AC142,,),_xll.INSTRUMENT.DATE.REGLEMENT($AC142,_xll.CALENDRIER.GAP.FINANCE(TODAY(),"1M","AUD","Unadjusted"),),"ACT/365")*(_xll.INSTRUMENT.ROLL.DOWN($A142,oisCurve,_xll.CALENDRIER.GAP.FINANCE(TODAY(),"1M","AUD","Unadjusted",TRUE),$N142)+100*$AA142*_xll.CALENDRIER.FRAC.ANNEE(_xll.INSTRUMENT.DATE.REGLEMENT($AC142,,),_xll.INSTRUMENT.DATE.REGLEMENT($AC142,_xll.CALENDRIER.GAP.FINANCE(TODAY(),"1M","AUD","Unadjusted"),),"ACT/365")-$I142)/$I142</f>
        <v>#NAME?</v>
      </c>
      <c r="P142" s="124" t="e">
        <f ca="1">1/_xll.CALENDRIER.FRAC.ANNEE(_xll.INSTRUMENT.DATE.REGLEMENT($AC142,,),_xll.INSTRUMENT.DATE.REGLEMENT($AC142,_xll.CALENDRIER.GAP.FINANCE(TODAY(),"3M","AUD","Unadjusted"),),"ACT/365")*(_xll.INSTRUMENT.ROLL.DOWN($A142,oisCurve,_xll.CALENDRIER.GAP.FINANCE(TODAY(),"3M","AUD","Unadjusted",TRUE),$N142)+100*$AA142*_xll.CALENDRIER.FRAC.ANNEE(_xll.INSTRUMENT.DATE.REGLEMENT($AC142,,),_xll.INSTRUMENT.DATE.REGLEMENT($AC142,_xll.CALENDRIER.GAP.FINANCE(TODAY(),"3M","AUD","Unadjusted"),),"ACT/365")-$I142)/$I142</f>
        <v>#NAME?</v>
      </c>
      <c r="Q142" s="371" t="e">
        <f ca="1">-(O142-curve!$T$3)/J142</f>
        <v>#NAME?</v>
      </c>
      <c r="R142" s="373">
        <f t="shared" ca="1" si="3"/>
        <v>-306.1563464385207</v>
      </c>
      <c r="S142" s="191" t="str">
        <f>IF(F142&lt;&gt;"","",IF(G142="","",-G142*(SUMIF('raw Data'!$A:$A,"RESINV1USD",'raw Data'!$G:$G)+SUMIF('raw Data'!$A:$A,"RESSWAPORUSD",'raw Data'!$G:$G))/(36500*J142)))</f>
        <v/>
      </c>
      <c r="T142" s="202" t="str">
        <f>IF(G142&lt;&gt;"","",IF(F142="","",-36500*J142*F142/(SUMIF('raw Data'!$A:$A,"RESINV1USD",'raw Data'!$G:$G)+SUMIF('raw Data'!$A:$A,"RESSWAPORUSD",'raw Data'!$G:$G))))</f>
        <v/>
      </c>
      <c r="U142" s="125">
        <f>SUMIF('raw Data'!$E:$E,A142,'raw Data'!$N:$N)</f>
        <v>0</v>
      </c>
      <c r="V142" s="126">
        <v>40421</v>
      </c>
      <c r="W142" s="127">
        <v>40421</v>
      </c>
      <c r="X142" s="127">
        <v>40602</v>
      </c>
      <c r="Y142" s="127">
        <v>42063</v>
      </c>
      <c r="Z142" s="127">
        <v>42247</v>
      </c>
      <c r="AA142" s="128">
        <v>1.2500000000000001E-2</v>
      </c>
      <c r="AB142" s="129">
        <v>36881000000</v>
      </c>
      <c r="AC142" s="130" t="str">
        <f ca="1">IF(LEFT(B142,1)="B",_xll.INSTANCE.TBILL(A142,V142,Z142,TODAY()),_xll.INSTANCE.TNOTE(A142,V142,W142,X142,Y142,Z142,AA142,TODAY()))</f>
        <v>US912828NV87#0003</v>
      </c>
    </row>
    <row r="143" spans="1:29" x14ac:dyDescent="0.35">
      <c r="A143" s="131" t="s">
        <v>212</v>
      </c>
      <c r="B143" s="115" t="s">
        <v>1119</v>
      </c>
      <c r="C143" s="364"/>
      <c r="D143" s="116"/>
      <c r="E143" s="117"/>
      <c r="F143" s="118"/>
      <c r="G143" s="369"/>
      <c r="H143" s="120">
        <v>4.7769099999999997E-3</v>
      </c>
      <c r="I143" s="121">
        <f ca="1">_xll.INSTRUMENT.PRIX(AC143,D143,H143,cTreasuries)</f>
        <v>102.49087624958501</v>
      </c>
      <c r="J143" s="122">
        <f ca="1">_xll.INSTRUMENT.DV01(A143,,,I143,cContinuous,I143)</f>
        <v>-3.27912810652429E-2</v>
      </c>
      <c r="K143" s="123">
        <f ca="1">_xll.INSTRUMENT.CONVEXITE(A143,,,I143,cContinuous,I143)</f>
        <v>10.309106733447122</v>
      </c>
      <c r="L143" s="123">
        <f ca="1">_xll.INSTRUMENT.Z.SPREAD(A143,swapCurve,I143,cContinuous,D143)</f>
        <v>-16.587180527357035</v>
      </c>
      <c r="M143" s="123" t="e">
        <f ca="1">_xll.INSTRUMENT.Z.SPREAD(A143,ustCurve,I143,cContinuous,D143)</f>
        <v>#VALUE!</v>
      </c>
      <c r="N143" s="123">
        <f ca="1">_xll.INSTRUMENT.Z.SPREAD(A143,oisCurve,I143,cContinuous,D143)</f>
        <v>18.476021952964171</v>
      </c>
      <c r="O143" s="124" t="e">
        <f ca="1">1/_xll.CALENDRIER.FRAC.ANNEE(_xll.INSTRUMENT.DATE.REGLEMENT($AC143,,),_xll.INSTRUMENT.DATE.REGLEMENT($AC143,_xll.CALENDRIER.GAP.FINANCE(TODAY(),"1M","AUD","Unadjusted"),),"ACT/365")*(_xll.INSTRUMENT.ROLL.DOWN($A143,oisCurve,_xll.CALENDRIER.GAP.FINANCE(TODAY(),"1M","AUD","Unadjusted",TRUE),$N143)+100*$AA143*_xll.CALENDRIER.FRAC.ANNEE(_xll.INSTRUMENT.DATE.REGLEMENT($AC143,,),_xll.INSTRUMENT.DATE.REGLEMENT($AC143,_xll.CALENDRIER.GAP.FINANCE(TODAY(),"1M","AUD","Unadjusted"),),"ACT/365")-$I143)/$I143</f>
        <v>#NAME?</v>
      </c>
      <c r="P143" s="124" t="e">
        <f ca="1">1/_xll.CALENDRIER.FRAC.ANNEE(_xll.INSTRUMENT.DATE.REGLEMENT($AC143,,),_xll.INSTRUMENT.DATE.REGLEMENT($AC143,_xll.CALENDRIER.GAP.FINANCE(TODAY(),"3M","AUD","Unadjusted"),),"ACT/365")*(_xll.INSTRUMENT.ROLL.DOWN($A143,oisCurve,_xll.CALENDRIER.GAP.FINANCE(TODAY(),"3M","AUD","Unadjusted",TRUE),$N143)+100*$AA143*_xll.CALENDRIER.FRAC.ANNEE(_xll.INSTRUMENT.DATE.REGLEMENT($AC143,,),_xll.INSTRUMENT.DATE.REGLEMENT($AC143,_xll.CALENDRIER.GAP.FINANCE(TODAY(),"3M","AUD","Unadjusted"),),"ACT/365")-$I143)/$I143</f>
        <v>#NAME?</v>
      </c>
      <c r="Q143" s="371" t="e">
        <f ca="1">-(O143-curve!$T$3)/J143</f>
        <v>#NAME?</v>
      </c>
      <c r="R143" s="373">
        <f t="shared" ca="1" si="3"/>
        <v>-314.38560490929564</v>
      </c>
      <c r="S143" s="191" t="str">
        <f>IF(F143&lt;&gt;"","",IF(G143="","",-G143*(SUMIF('raw Data'!$A:$A,"RESINV1USD",'raw Data'!$G:$G)+SUMIF('raw Data'!$A:$A,"RESSWAPORUSD",'raw Data'!$G:$G))/(36500*J143)))</f>
        <v/>
      </c>
      <c r="T143" s="202" t="str">
        <f>IF(G143&lt;&gt;"","",IF(F143="","",-36500*J143*F143/(SUMIF('raw Data'!$A:$A,"RESINV1USD",'raw Data'!$G:$G)+SUMIF('raw Data'!$A:$A,"RESSWAPORUSD",'raw Data'!$G:$G))))</f>
        <v/>
      </c>
      <c r="U143" s="125">
        <f>SUMIF('raw Data'!$E:$E,A143,'raw Data'!$N:$N)</f>
        <v>0</v>
      </c>
      <c r="V143" s="126">
        <v>40451</v>
      </c>
      <c r="W143" s="127">
        <v>40451</v>
      </c>
      <c r="X143" s="127">
        <v>40633</v>
      </c>
      <c r="Y143" s="127">
        <v>42094</v>
      </c>
      <c r="Z143" s="127">
        <v>42277</v>
      </c>
      <c r="AA143" s="128">
        <v>1.2500000000000001E-2</v>
      </c>
      <c r="AB143" s="129">
        <v>36103000000</v>
      </c>
      <c r="AC143" s="130" t="str">
        <f ca="1">IF(LEFT(B143,1)="B",_xll.INSTANCE.TBILL(A143,V143,Z143,TODAY()),_xll.INSTANCE.TNOTE(A143,V143,W143,X143,Y143,Z143,AA143,TODAY()))</f>
        <v>US912828NZ91#0003</v>
      </c>
    </row>
    <row r="144" spans="1:29" x14ac:dyDescent="0.35">
      <c r="A144" s="131" t="s">
        <v>214</v>
      </c>
      <c r="B144" s="115" t="s">
        <v>1120</v>
      </c>
      <c r="C144" s="364"/>
      <c r="D144" s="116"/>
      <c r="E144" s="117"/>
      <c r="F144" s="118"/>
      <c r="G144" s="369"/>
      <c r="H144" s="120">
        <v>4.8950440000000003E-3</v>
      </c>
      <c r="I144" s="121">
        <f ca="1">_xll.INSTRUMENT.PRIX(AC144,D144,H144,cTreasuries)</f>
        <v>102.51317818450603</v>
      </c>
      <c r="J144" s="122">
        <f ca="1">_xll.INSTRUMENT.DV01(A144,,,I144,cContinuous,I144)</f>
        <v>-3.3637054743398266E-2</v>
      </c>
      <c r="K144" s="123">
        <f ca="1">_xll.INSTRUMENT.CONVEXITE(A144,,,I144,cContinuous,I144)</f>
        <v>10.893155823981139</v>
      </c>
      <c r="L144" s="123">
        <f ca="1">_xll.INSTRUMENT.Z.SPREAD(A144,swapCurve,I144,cContinuous,D144)</f>
        <v>-16.730738380510772</v>
      </c>
      <c r="M144" s="123" t="e">
        <f ca="1">_xll.INSTRUMENT.Z.SPREAD(A144,ustCurve,I144,cContinuous,D144)</f>
        <v>#VALUE!</v>
      </c>
      <c r="N144" s="123">
        <f ca="1">_xll.INSTRUMENT.Z.SPREAD(A144,oisCurve,I144,cContinuous,D144)</f>
        <v>18.240421703995036</v>
      </c>
      <c r="O144" s="124" t="e">
        <f ca="1">1/_xll.CALENDRIER.FRAC.ANNEE(_xll.INSTRUMENT.DATE.REGLEMENT($AC144,,),_xll.INSTRUMENT.DATE.REGLEMENT($AC144,_xll.CALENDRIER.GAP.FINANCE(TODAY(),"1M","AUD","Unadjusted"),),"ACT/365")*(_xll.INSTRUMENT.ROLL.DOWN($A144,oisCurve,_xll.CALENDRIER.GAP.FINANCE(TODAY(),"1M","AUD","Unadjusted",TRUE),$N144)+100*$AA144*_xll.CALENDRIER.FRAC.ANNEE(_xll.INSTRUMENT.DATE.REGLEMENT($AC144,,),_xll.INSTRUMENT.DATE.REGLEMENT($AC144,_xll.CALENDRIER.GAP.FINANCE(TODAY(),"1M","AUD","Unadjusted"),),"ACT/365")-$I144)/$I144</f>
        <v>#NAME?</v>
      </c>
      <c r="P144" s="124" t="e">
        <f ca="1">1/_xll.CALENDRIER.FRAC.ANNEE(_xll.INSTRUMENT.DATE.REGLEMENT($AC144,,),_xll.INSTRUMENT.DATE.REGLEMENT($AC144,_xll.CALENDRIER.GAP.FINANCE(TODAY(),"3M","AUD","Unadjusted"),),"ACT/365")*(_xll.INSTRUMENT.ROLL.DOWN($A144,oisCurve,_xll.CALENDRIER.GAP.FINANCE(TODAY(),"3M","AUD","Unadjusted",TRUE),$N144)+100*$AA144*_xll.CALENDRIER.FRAC.ANNEE(_xll.INSTRUMENT.DATE.REGLEMENT($AC144,,),_xll.INSTRUMENT.DATE.REGLEMENT($AC144,_xll.CALENDRIER.GAP.FINANCE(TODAY(),"3M","AUD","Unadjusted"),),"ACT/365")-$I144)/$I144</f>
        <v>#NAME?</v>
      </c>
      <c r="Q144" s="371" t="e">
        <f ca="1">-(O144-curve!$T$3)/J144</f>
        <v>#NAME?</v>
      </c>
      <c r="R144" s="373">
        <f t="shared" ca="1" si="3"/>
        <v>-323.84392471576518</v>
      </c>
      <c r="S144" s="191" t="str">
        <f>IF(F144&lt;&gt;"","",IF(G144="","",-G144*(SUMIF('raw Data'!$A:$A,"RESINV1USD",'raw Data'!$G:$G)+SUMIF('raw Data'!$A:$A,"RESSWAPORUSD",'raw Data'!$G:$G))/(36500*J144)))</f>
        <v/>
      </c>
      <c r="T144" s="202" t="str">
        <f>IF(G144&lt;&gt;"","",IF(F144="","",-36500*J144*F144/(SUMIF('raw Data'!$A:$A,"RESINV1USD",'raw Data'!$G:$G)+SUMIF('raw Data'!$A:$A,"RESSWAPORUSD",'raw Data'!$G:$G))))</f>
        <v/>
      </c>
      <c r="U144" s="125">
        <f>SUMIF('raw Data'!$E:$E,A144,'raw Data'!$N:$N)</f>
        <v>0</v>
      </c>
      <c r="V144" s="126">
        <v>40483</v>
      </c>
      <c r="W144" s="127">
        <v>40482</v>
      </c>
      <c r="X144" s="127">
        <v>40663</v>
      </c>
      <c r="Y144" s="127">
        <v>42124</v>
      </c>
      <c r="Z144" s="127">
        <v>42308</v>
      </c>
      <c r="AA144" s="128">
        <v>1.2500000000000001E-2</v>
      </c>
      <c r="AB144" s="129">
        <v>35718000000</v>
      </c>
      <c r="AC144" s="130" t="str">
        <f ca="1">IF(LEFT(B144,1)="B",_xll.INSTANCE.TBILL(A144,V144,Z144,TODAY()),_xll.INSTANCE.TNOTE(A144,V144,W144,X144,Y144,Z144,AA144,TODAY()))</f>
        <v>US912828PE45#0003</v>
      </c>
    </row>
    <row r="145" spans="1:29" x14ac:dyDescent="0.35">
      <c r="A145" s="131" t="s">
        <v>485</v>
      </c>
      <c r="B145" s="115" t="s">
        <v>1121</v>
      </c>
      <c r="C145" s="364"/>
      <c r="D145" s="116"/>
      <c r="E145" s="117"/>
      <c r="F145" s="118"/>
      <c r="G145" s="369"/>
      <c r="H145" s="120">
        <v>4.7126410000000001E-3</v>
      </c>
      <c r="I145" s="121">
        <f ca="1">_xll.INSTRUMENT.PRIX(AC145,D145,H145,cTreasuries)</f>
        <v>131.47298004036219</v>
      </c>
      <c r="J145" s="122">
        <f ca="1">_xll.INSTRUMENT.DV01(A145,,,I145,cContinuous,I145)</f>
        <v>-3.9677588866234639E-2</v>
      </c>
      <c r="K145" s="123">
        <f ca="1">_xll.INSTRUMENT.CONVEXITE(A145,,,I145,cContinuous,I145)</f>
        <v>9.6510611042676722</v>
      </c>
      <c r="L145" s="123">
        <f ca="1">_xll.INSTRUMENT.Z.SPREAD(A145,swapCurve,I145,cContinuous,D145)</f>
        <v>-17.872153719984556</v>
      </c>
      <c r="M145" s="123" t="e">
        <f ca="1">_xll.INSTRUMENT.Z.SPREAD(A145,ustCurve,I145,cContinuous,D145)</f>
        <v>#VALUE!</v>
      </c>
      <c r="N145" s="123">
        <f ca="1">_xll.INSTRUMENT.Z.SPREAD(A145,oisCurve,I145,cContinuous,D145)</f>
        <v>16.87669119963688</v>
      </c>
      <c r="O145" s="124" t="e">
        <f ca="1">1/_xll.CALENDRIER.FRAC.ANNEE(_xll.INSTRUMENT.DATE.REGLEMENT($AC145,,),_xll.INSTRUMENT.DATE.REGLEMENT($AC145,_xll.CALENDRIER.GAP.FINANCE(TODAY(),"1M","AUD","Unadjusted"),),"ACT/365")*(_xll.INSTRUMENT.ROLL.DOWN($A145,oisCurve,_xll.CALENDRIER.GAP.FINANCE(TODAY(),"1M","AUD","Unadjusted",TRUE),$N145)+100*$AA145*_xll.CALENDRIER.FRAC.ANNEE(_xll.INSTRUMENT.DATE.REGLEMENT($AC145,,),_xll.INSTRUMENT.DATE.REGLEMENT($AC145,_xll.CALENDRIER.GAP.FINANCE(TODAY(),"1M","AUD","Unadjusted"),),"ACT/365")-$I145)/$I145</f>
        <v>#NAME?</v>
      </c>
      <c r="P145" s="124" t="e">
        <f ca="1">1/_xll.CALENDRIER.FRAC.ANNEE(_xll.INSTRUMENT.DATE.REGLEMENT($AC145,,),_xll.INSTRUMENT.DATE.REGLEMENT($AC145,_xll.CALENDRIER.GAP.FINANCE(TODAY(),"3M","AUD","Unadjusted"),),"ACT/365")*(_xll.INSTRUMENT.ROLL.DOWN($A145,oisCurve,_xll.CALENDRIER.GAP.FINANCE(TODAY(),"3M","AUD","Unadjusted",TRUE),$N145)+100*$AA145*_xll.CALENDRIER.FRAC.ANNEE(_xll.INSTRUMENT.DATE.REGLEMENT($AC145,,),_xll.INSTRUMENT.DATE.REGLEMENT($AC145,_xll.CALENDRIER.GAP.FINANCE(TODAY(),"3M","AUD","Unadjusted"),),"ACT/365")-$I145)/$I145</f>
        <v>#NAME?</v>
      </c>
      <c r="Q145" s="371" t="e">
        <f ca="1">-(O145-curve!$T$3)/J145</f>
        <v>#NAME?</v>
      </c>
      <c r="R145" s="373">
        <f t="shared" ca="1" si="3"/>
        <v>-243.23708622528372</v>
      </c>
      <c r="S145" s="191" t="str">
        <f>IF(F145&lt;&gt;"","",IF(G145="","",-G145*(SUMIF('raw Data'!$A:$A,"RESINV1USD",'raw Data'!$G:$G)+SUMIF('raw Data'!$A:$A,"RESSWAPORUSD",'raw Data'!$G:$G))/(36500*J145)))</f>
        <v/>
      </c>
      <c r="T145" s="202" t="str">
        <f>IF(G145&lt;&gt;"","",IF(F145="","",-36500*J145*F145/(SUMIF('raw Data'!$A:$A,"RESINV1USD",'raw Data'!$G:$G)+SUMIF('raw Data'!$A:$A,"RESSWAPORUSD",'raw Data'!$G:$G))))</f>
        <v/>
      </c>
      <c r="U145" s="125">
        <f>SUMIF('raw Data'!$E:$E,A145,'raw Data'!$N:$N)</f>
        <v>0</v>
      </c>
      <c r="V145" s="126">
        <v>31380</v>
      </c>
      <c r="W145" s="127">
        <v>31366</v>
      </c>
      <c r="X145" s="127">
        <v>31547</v>
      </c>
      <c r="Y145" s="127">
        <v>42139</v>
      </c>
      <c r="Z145" s="127">
        <v>42323</v>
      </c>
      <c r="AA145" s="128">
        <v>9.8750000000000004E-2</v>
      </c>
      <c r="AB145" s="129">
        <v>5585000000</v>
      </c>
      <c r="AC145" s="130" t="str">
        <f ca="1">IF(LEFT(B145,1)="B",_xll.INSTANCE.TBILL(A145,V145,Z145,TODAY()),_xll.INSTANCE.TNOTE(A145,V145,W145,X145,Y145,Z145,AA145,TODAY()))</f>
        <v>US912810DT26#0003</v>
      </c>
    </row>
    <row r="146" spans="1:29" x14ac:dyDescent="0.35">
      <c r="A146" s="131" t="s">
        <v>484</v>
      </c>
      <c r="B146" s="115" t="s">
        <v>1122</v>
      </c>
      <c r="C146" s="364"/>
      <c r="D146" s="116"/>
      <c r="E146" s="117"/>
      <c r="F146" s="118"/>
      <c r="G146" s="369"/>
      <c r="H146" s="120">
        <v>4.9256789999999996E-3</v>
      </c>
      <c r="I146" s="121">
        <f ca="1">_xll.INSTRUMENT.PRIX(AC146,D146,H146,cTreasuries)</f>
        <v>113.40621469288668</v>
      </c>
      <c r="J146" s="122">
        <f ca="1">_xll.INSTRUMENT.DV01(A146,,,I146,cContinuous,I146)</f>
        <v>-3.6159582657876069E-2</v>
      </c>
      <c r="K146" s="123">
        <f ca="1">_xll.INSTRUMENT.CONVEXITE(A146,,,I146,cContinuous,I146)</f>
        <v>10.490670899571729</v>
      </c>
      <c r="L146" s="123">
        <f ca="1">_xll.INSTRUMENT.Z.SPREAD(A146,swapCurve,I146,cContinuous,D146)</f>
        <v>-16.448863578756061</v>
      </c>
      <c r="M146" s="123" t="e">
        <f ca="1">_xll.INSTRUMENT.Z.SPREAD(A146,ustCurve,I146,cContinuous,D146)</f>
        <v>#VALUE!</v>
      </c>
      <c r="N146" s="123">
        <f ca="1">_xll.INSTRUMENT.Z.SPREAD(A146,oisCurve,I146,cContinuous,D146)</f>
        <v>18.410571818553478</v>
      </c>
      <c r="O146" s="124" t="e">
        <f ca="1">1/_xll.CALENDRIER.FRAC.ANNEE(_xll.INSTRUMENT.DATE.REGLEMENT($AC146,,),_xll.INSTRUMENT.DATE.REGLEMENT($AC146,_xll.CALENDRIER.GAP.FINANCE(TODAY(),"1M","AUD","Unadjusted"),),"ACT/365")*(_xll.INSTRUMENT.ROLL.DOWN($A146,oisCurve,_xll.CALENDRIER.GAP.FINANCE(TODAY(),"1M","AUD","Unadjusted",TRUE),$N146)+100*$AA146*_xll.CALENDRIER.FRAC.ANNEE(_xll.INSTRUMENT.DATE.REGLEMENT($AC146,,),_xll.INSTRUMENT.DATE.REGLEMENT($AC146,_xll.CALENDRIER.GAP.FINANCE(TODAY(),"1M","AUD","Unadjusted"),),"ACT/365")-$I146)/$I146</f>
        <v>#NAME?</v>
      </c>
      <c r="P146" s="124" t="e">
        <f ca="1">1/_xll.CALENDRIER.FRAC.ANNEE(_xll.INSTRUMENT.DATE.REGLEMENT($AC146,,),_xll.INSTRUMENT.DATE.REGLEMENT($AC146,_xll.CALENDRIER.GAP.FINANCE(TODAY(),"3M","AUD","Unadjusted"),),"ACT/365")*(_xll.INSTRUMENT.ROLL.DOWN($A146,oisCurve,_xll.CALENDRIER.GAP.FINANCE(TODAY(),"3M","AUD","Unadjusted",TRUE),$N146)+100*$AA146*_xll.CALENDRIER.FRAC.ANNEE(_xll.INSTRUMENT.DATE.REGLEMENT($AC146,,),_xll.INSTRUMENT.DATE.REGLEMENT($AC146,_xll.CALENDRIER.GAP.FINANCE(TODAY(),"3M","AUD","Unadjusted"),),"ACT/365")-$I146)/$I146</f>
        <v>#NAME?</v>
      </c>
      <c r="Q146" s="371" t="e">
        <f ca="1">-(O146-curve!$T$3)/J146</f>
        <v>#NAME?</v>
      </c>
      <c r="R146" s="373">
        <f t="shared" ca="1" si="3"/>
        <v>-290.12145960945463</v>
      </c>
      <c r="S146" s="191" t="str">
        <f>IF(F146&lt;&gt;"","",IF(G146="","",-G146*(SUMIF('raw Data'!$A:$A,"RESINV1USD",'raw Data'!$G:$G)+SUMIF('raw Data'!$A:$A,"RESSWAPORUSD",'raw Data'!$G:$G))/(36500*J146)))</f>
        <v/>
      </c>
      <c r="T146" s="202" t="str">
        <f>IF(G146&lt;&gt;"","",IF(F146="","",-36500*J146*F146/(SUMIF('raw Data'!$A:$A,"RESINV1USD",'raw Data'!$G:$G)+SUMIF('raw Data'!$A:$A,"RESSWAPORUSD",'raw Data'!$G:$G))))</f>
        <v/>
      </c>
      <c r="U146" s="125">
        <f>SUMIF('raw Data'!$E:$E,A146,'raw Data'!$N:$N)</f>
        <v>0</v>
      </c>
      <c r="V146" s="126">
        <v>38671</v>
      </c>
      <c r="W146" s="127">
        <v>38671</v>
      </c>
      <c r="X146" s="127">
        <v>38852</v>
      </c>
      <c r="Y146" s="127">
        <v>42139</v>
      </c>
      <c r="Z146" s="127">
        <v>42323</v>
      </c>
      <c r="AA146" s="128">
        <v>4.4999999999999998E-2</v>
      </c>
      <c r="AB146" s="129">
        <v>23221000000</v>
      </c>
      <c r="AC146" s="130" t="str">
        <f ca="1">IF(LEFT(B146,1)="B",_xll.INSTANCE.TBILL(A146,V146,Z146,TODAY()),_xll.INSTANCE.TNOTE(A146,V146,W146,X146,Y146,Z146,AA146,TODAY()))</f>
        <v>US912828EN62#0003</v>
      </c>
    </row>
    <row r="147" spans="1:29" x14ac:dyDescent="0.35">
      <c r="A147" s="131" t="s">
        <v>216</v>
      </c>
      <c r="B147" s="115" t="s">
        <v>1123</v>
      </c>
      <c r="C147" s="364"/>
      <c r="D147" s="116"/>
      <c r="E147" s="117"/>
      <c r="F147" s="118"/>
      <c r="G147" s="369"/>
      <c r="H147" s="120">
        <v>4.9427430000000003E-3</v>
      </c>
      <c r="I147" s="121">
        <f ca="1">_xll.INSTRUMENT.PRIX(AC147,D147,H147,cTreasuries)</f>
        <v>102.98375168155775</v>
      </c>
      <c r="J147" s="122">
        <f ca="1">_xll.INSTRUMENT.DV01(A147,,,I147,cContinuous,I147)</f>
        <v>-3.4545371212174124E-2</v>
      </c>
      <c r="K147" s="123">
        <f ca="1">_xll.INSTRUMENT.CONVEXITE(A147,,,I147,cContinuous,I147)</f>
        <v>11.375228679166487</v>
      </c>
      <c r="L147" s="123">
        <f ca="1">_xll.INSTRUMENT.Z.SPREAD(A147,swapCurve,I147,cContinuous,D147)</f>
        <v>-17.283540069112888</v>
      </c>
      <c r="M147" s="123" t="e">
        <f ca="1">_xll.INSTRUMENT.Z.SPREAD(A147,ustCurve,I147,cContinuous,D147)</f>
        <v>#VALUE!</v>
      </c>
      <c r="N147" s="123">
        <f ca="1">_xll.INSTRUMENT.Z.SPREAD(A147,oisCurve,I147,cContinuous,D147)</f>
        <v>17.619897750841858</v>
      </c>
      <c r="O147" s="124" t="e">
        <f ca="1">1/_xll.CALENDRIER.FRAC.ANNEE(_xll.INSTRUMENT.DATE.REGLEMENT($AC147,,),_xll.INSTRUMENT.DATE.REGLEMENT($AC147,_xll.CALENDRIER.GAP.FINANCE(TODAY(),"1M","AUD","Unadjusted"),),"ACT/365")*(_xll.INSTRUMENT.ROLL.DOWN($A147,oisCurve,_xll.CALENDRIER.GAP.FINANCE(TODAY(),"1M","AUD","Unadjusted",TRUE),$N147)+100*$AA147*_xll.CALENDRIER.FRAC.ANNEE(_xll.INSTRUMENT.DATE.REGLEMENT($AC147,,),_xll.INSTRUMENT.DATE.REGLEMENT($AC147,_xll.CALENDRIER.GAP.FINANCE(TODAY(),"1M","AUD","Unadjusted"),),"ACT/365")-$I147)/$I147</f>
        <v>#NAME?</v>
      </c>
      <c r="P147" s="124" t="e">
        <f ca="1">1/_xll.CALENDRIER.FRAC.ANNEE(_xll.INSTRUMENT.DATE.REGLEMENT($AC147,,),_xll.INSTRUMENT.DATE.REGLEMENT($AC147,_xll.CALENDRIER.GAP.FINANCE(TODAY(),"3M","AUD","Unadjusted"),),"ACT/365")*(_xll.INSTRUMENT.ROLL.DOWN($A147,oisCurve,_xll.CALENDRIER.GAP.FINANCE(TODAY(),"3M","AUD","Unadjusted",TRUE),$N147)+100*$AA147*_xll.CALENDRIER.FRAC.ANNEE(_xll.INSTRUMENT.DATE.REGLEMENT($AC147,,),_xll.INSTRUMENT.DATE.REGLEMENT($AC147,_xll.CALENDRIER.GAP.FINANCE(TODAY(),"3M","AUD","Unadjusted"),),"ACT/365")-$I147)/$I147</f>
        <v>#NAME?</v>
      </c>
      <c r="Q147" s="371" t="e">
        <f ca="1">-(O147-curve!$T$3)/J147</f>
        <v>#NAME?</v>
      </c>
      <c r="R147" s="373">
        <f t="shared" ca="1" si="3"/>
        <v>-329.28372977383856</v>
      </c>
      <c r="S147" s="191" t="str">
        <f>IF(F147&lt;&gt;"","",IF(G147="","",-G147*(SUMIF('raw Data'!$A:$A,"RESINV1USD",'raw Data'!$G:$G)+SUMIF('raw Data'!$A:$A,"RESSWAPORUSD",'raw Data'!$G:$G))/(36500*J147)))</f>
        <v/>
      </c>
      <c r="T147" s="202" t="str">
        <f>IF(G147&lt;&gt;"","",IF(F147="","",-36500*J147*F147/(SUMIF('raw Data'!$A:$A,"RESINV1USD",'raw Data'!$G:$G)+SUMIF('raw Data'!$A:$A,"RESSWAPORUSD",'raw Data'!$G:$G))))</f>
        <v/>
      </c>
      <c r="U147" s="125">
        <f>SUMIF('raw Data'!$E:$E,A147,'raw Data'!$N:$N)</f>
        <v>0</v>
      </c>
      <c r="V147" s="126">
        <v>40512</v>
      </c>
      <c r="W147" s="127">
        <v>40512</v>
      </c>
      <c r="X147" s="127">
        <v>40694</v>
      </c>
      <c r="Y147" s="127">
        <v>42155</v>
      </c>
      <c r="Z147" s="127">
        <v>42338</v>
      </c>
      <c r="AA147" s="128">
        <v>1.375E-2</v>
      </c>
      <c r="AB147" s="129">
        <v>36379000000</v>
      </c>
      <c r="AC147" s="130" t="str">
        <f ca="1">IF(LEFT(B147,1)="B",_xll.INSTANCE.TBILL(A147,V147,Z147,TODAY()),_xll.INSTANCE.TNOTE(A147,V147,W147,X147,Y147,Z147,AA147,TODAY()))</f>
        <v>US912828PJ32#0003</v>
      </c>
    </row>
    <row r="148" spans="1:29" x14ac:dyDescent="0.35">
      <c r="A148" s="131" t="s">
        <v>218</v>
      </c>
      <c r="B148" s="115" t="s">
        <v>1124</v>
      </c>
      <c r="C148" s="364"/>
      <c r="D148" s="116"/>
      <c r="E148" s="117"/>
      <c r="F148" s="118"/>
      <c r="G148" s="369"/>
      <c r="H148" s="120">
        <v>5.0801339999999992E-3</v>
      </c>
      <c r="I148" s="121">
        <f ca="1">_xll.INSTRUMENT.PRIX(AC148,D148,H148,cTreasuries)</f>
        <v>105.60534216869218</v>
      </c>
      <c r="J148" s="122">
        <f ca="1">_xll.INSTRUMENT.DV01(A148,,,I148,cContinuous,I148)</f>
        <v>-3.5908298940146403E-2</v>
      </c>
      <c r="K148" s="123">
        <f ca="1">_xll.INSTRUMENT.CONVEXITE(A148,,,I148,cContinuous,I148)</f>
        <v>11.662429455002764</v>
      </c>
      <c r="L148" s="123">
        <f ca="1">_xll.INSTRUMENT.Z.SPREAD(A148,swapCurve,I148,cContinuous,D148)</f>
        <v>-17.087460362265968</v>
      </c>
      <c r="M148" s="123" t="e">
        <f ca="1">_xll.INSTRUMENT.Z.SPREAD(A148,ustCurve,I148,cContinuous,D148)</f>
        <v>#VALUE!</v>
      </c>
      <c r="N148" s="123">
        <f ca="1">_xll.INSTRUMENT.Z.SPREAD(A148,oisCurve,I148,cContinuous,D148)</f>
        <v>17.740512859890007</v>
      </c>
      <c r="O148" s="124" t="e">
        <f ca="1">1/_xll.CALENDRIER.FRAC.ANNEE(_xll.INSTRUMENT.DATE.REGLEMENT($AC148,,),_xll.INSTRUMENT.DATE.REGLEMENT($AC148,_xll.CALENDRIER.GAP.FINANCE(TODAY(),"1M","AUD","Unadjusted"),),"ACT/365")*(_xll.INSTRUMENT.ROLL.DOWN($A148,oisCurve,_xll.CALENDRIER.GAP.FINANCE(TODAY(),"1M","AUD","Unadjusted",TRUE),$N148)+100*$AA148*_xll.CALENDRIER.FRAC.ANNEE(_xll.INSTRUMENT.DATE.REGLEMENT($AC148,,),_xll.INSTRUMENT.DATE.REGLEMENT($AC148,_xll.CALENDRIER.GAP.FINANCE(TODAY(),"1M","AUD","Unadjusted"),),"ACT/365")-$I148)/$I148</f>
        <v>#NAME?</v>
      </c>
      <c r="P148" s="124" t="e">
        <f ca="1">1/_xll.CALENDRIER.FRAC.ANNEE(_xll.INSTRUMENT.DATE.REGLEMENT($AC148,,),_xll.INSTRUMENT.DATE.REGLEMENT($AC148,_xll.CALENDRIER.GAP.FINANCE(TODAY(),"3M","AUD","Unadjusted"),),"ACT/365")*(_xll.INSTRUMENT.ROLL.DOWN($A148,oisCurve,_xll.CALENDRIER.GAP.FINANCE(TODAY(),"3M","AUD","Unadjusted",TRUE),$N148)+100*$AA148*_xll.CALENDRIER.FRAC.ANNEE(_xll.INSTRUMENT.DATE.REGLEMENT($AC148,,),_xll.INSTRUMENT.DATE.REGLEMENT($AC148,_xll.CALENDRIER.GAP.FINANCE(TODAY(),"3M","AUD","Unadjusted"),),"ACT/365")-$I148)/$I148</f>
        <v>#NAME?</v>
      </c>
      <c r="Q148" s="371" t="e">
        <f ca="1">-(O148-curve!$T$3)/J148</f>
        <v>#NAME?</v>
      </c>
      <c r="R148" s="373">
        <f t="shared" ca="1" si="3"/>
        <v>-324.78367951771361</v>
      </c>
      <c r="S148" s="191" t="str">
        <f>IF(F148&lt;&gt;"","",IF(G148="","",-G148*(SUMIF('raw Data'!$A:$A,"RESINV1USD",'raw Data'!$G:$G)+SUMIF('raw Data'!$A:$A,"RESSWAPORUSD",'raw Data'!$G:$G))/(36500*J148)))</f>
        <v/>
      </c>
      <c r="T148" s="202" t="str">
        <f>IF(G148&lt;&gt;"","",IF(F148="","",-36500*J148*F148/(SUMIF('raw Data'!$A:$A,"RESINV1USD",'raw Data'!$G:$G)+SUMIF('raw Data'!$A:$A,"RESSWAPORUSD",'raw Data'!$G:$G))))</f>
        <v/>
      </c>
      <c r="U148" s="125">
        <f>SUMIF('raw Data'!$E:$E,A148,'raw Data'!$N:$N)</f>
        <v>0</v>
      </c>
      <c r="V148" s="126">
        <v>40543</v>
      </c>
      <c r="W148" s="127">
        <v>40543</v>
      </c>
      <c r="X148" s="127">
        <v>40724</v>
      </c>
      <c r="Y148" s="127">
        <v>42185</v>
      </c>
      <c r="Z148" s="127">
        <v>42369</v>
      </c>
      <c r="AA148" s="128">
        <v>2.1250000000000002E-2</v>
      </c>
      <c r="AB148" s="129">
        <v>36757000000</v>
      </c>
      <c r="AC148" s="130" t="str">
        <f ca="1">IF(LEFT(B148,1)="B",_xll.INSTANCE.TBILL(A148,V148,Z148,TODAY()),_xll.INSTANCE.TNOTE(A148,V148,W148,X148,Y148,Z148,AA148,TODAY()))</f>
        <v>US912828PM60#0003</v>
      </c>
    </row>
    <row r="149" spans="1:29" x14ac:dyDescent="0.35">
      <c r="A149" s="131" t="s">
        <v>220</v>
      </c>
      <c r="B149" s="115" t="s">
        <v>1125</v>
      </c>
      <c r="C149" s="364"/>
      <c r="D149" s="116"/>
      <c r="E149" s="117"/>
      <c r="F149" s="118"/>
      <c r="G149" s="369"/>
      <c r="H149" s="120">
        <v>5.1352200000000002E-3</v>
      </c>
      <c r="I149" s="121">
        <f ca="1">_xll.INSTRUMENT.PRIX(AC149,D149,H149,cTreasuries)</f>
        <v>105.27640936473973</v>
      </c>
      <c r="J149" s="122">
        <f ca="1">_xll.INSTRUMENT.DV01(A149,,,I149,cContinuous,I149)</f>
        <v>-3.6698204518425467E-2</v>
      </c>
      <c r="K149" s="123">
        <f ca="1">_xll.INSTRUMENT.CONVEXITE(A149,,,I149,cContinuous,I149)</f>
        <v>12.293803676373068</v>
      </c>
      <c r="L149" s="123">
        <f ca="1">_xll.INSTRUMENT.Z.SPREAD(A149,swapCurve,I149,cContinuous,D149)</f>
        <v>-17.998488169193024</v>
      </c>
      <c r="M149" s="123" t="e">
        <f ca="1">_xll.INSTRUMENT.Z.SPREAD(A149,ustCurve,I149,cContinuous,D149)</f>
        <v>#VALUE!</v>
      </c>
      <c r="N149" s="123">
        <f ca="1">_xll.INSTRUMENT.Z.SPREAD(A149,oisCurve,I149,cContinuous,D149)</f>
        <v>16.784752428336407</v>
      </c>
      <c r="O149" s="124" t="e">
        <f ca="1">1/_xll.CALENDRIER.FRAC.ANNEE(_xll.INSTRUMENT.DATE.REGLEMENT($AC149,,),_xll.INSTRUMENT.DATE.REGLEMENT($AC149,_xll.CALENDRIER.GAP.FINANCE(TODAY(),"1M","AUD","Unadjusted"),),"ACT/365")*(_xll.INSTRUMENT.ROLL.DOWN($A149,oisCurve,_xll.CALENDRIER.GAP.FINANCE(TODAY(),"1M","AUD","Unadjusted",TRUE),$N149)+100*$AA149*_xll.CALENDRIER.FRAC.ANNEE(_xll.INSTRUMENT.DATE.REGLEMENT($AC149,,),_xll.INSTRUMENT.DATE.REGLEMENT($AC149,_xll.CALENDRIER.GAP.FINANCE(TODAY(),"1M","AUD","Unadjusted"),),"ACT/365")-$I149)/$I149</f>
        <v>#NAME?</v>
      </c>
      <c r="P149" s="124" t="e">
        <f ca="1">1/_xll.CALENDRIER.FRAC.ANNEE(_xll.INSTRUMENT.DATE.REGLEMENT($AC149,,),_xll.INSTRUMENT.DATE.REGLEMENT($AC149,_xll.CALENDRIER.GAP.FINANCE(TODAY(),"3M","AUD","Unadjusted"),),"ACT/365")*(_xll.INSTRUMENT.ROLL.DOWN($A149,oisCurve,_xll.CALENDRIER.GAP.FINANCE(TODAY(),"3M","AUD","Unadjusted",TRUE),$N149)+100*$AA149*_xll.CALENDRIER.FRAC.ANNEE(_xll.INSTRUMENT.DATE.REGLEMENT($AC149,,),_xll.INSTRUMENT.DATE.REGLEMENT($AC149,_xll.CALENDRIER.GAP.FINANCE(TODAY(),"3M","AUD","Unadjusted"),),"ACT/365")-$I149)/$I149</f>
        <v>#NAME?</v>
      </c>
      <c r="Q149" s="371" t="e">
        <f ca="1">-(O149-curve!$T$3)/J149</f>
        <v>#NAME?</v>
      </c>
      <c r="R149" s="373">
        <f t="shared" ca="1" si="3"/>
        <v>-334.99741575096908</v>
      </c>
      <c r="S149" s="191" t="str">
        <f>IF(F149&lt;&gt;"","",IF(G149="","",-G149*(SUMIF('raw Data'!$A:$A,"RESINV1USD",'raw Data'!$G:$G)+SUMIF('raw Data'!$A:$A,"RESSWAPORUSD",'raw Data'!$G:$G))/(36500*J149)))</f>
        <v/>
      </c>
      <c r="T149" s="202" t="str">
        <f>IF(G149&lt;&gt;"","",IF(F149="","",-36500*J149*F149/(SUMIF('raw Data'!$A:$A,"RESINV1USD",'raw Data'!$G:$G)+SUMIF('raw Data'!$A:$A,"RESSWAPORUSD",'raw Data'!$G:$G))))</f>
        <v/>
      </c>
      <c r="U149" s="125">
        <f>SUMIF('raw Data'!$E:$E,A149,'raw Data'!$N:$N)</f>
        <v>0</v>
      </c>
      <c r="V149" s="126">
        <v>40574</v>
      </c>
      <c r="W149" s="127">
        <v>40574</v>
      </c>
      <c r="X149" s="127">
        <v>40755</v>
      </c>
      <c r="Y149" s="127">
        <v>42216</v>
      </c>
      <c r="Z149" s="127">
        <v>42400</v>
      </c>
      <c r="AA149" s="128">
        <v>0.02</v>
      </c>
      <c r="AB149" s="129">
        <v>35698000000</v>
      </c>
      <c r="AC149" s="130" t="str">
        <f ca="1">IF(LEFT(B149,1)="B",_xll.INSTANCE.TBILL(A149,V149,Z149,TODAY()),_xll.INSTANCE.TNOTE(A149,V149,W149,X149,Y149,Z149,AA149,TODAY()))</f>
        <v>US912828PS31#0003</v>
      </c>
    </row>
    <row r="150" spans="1:29" x14ac:dyDescent="0.35">
      <c r="A150" s="131" t="s">
        <v>486</v>
      </c>
      <c r="B150" s="115" t="s">
        <v>1126</v>
      </c>
      <c r="C150" s="364"/>
      <c r="D150" s="116"/>
      <c r="E150" s="117"/>
      <c r="F150" s="118"/>
      <c r="G150" s="369"/>
      <c r="H150" s="120">
        <v>5.3473619999999996E-3</v>
      </c>
      <c r="I150" s="121">
        <f ca="1">_xll.INSTRUMENT.PRIX(AC150,D150,H150,cTreasuries)</f>
        <v>131.28000377036383</v>
      </c>
      <c r="J150" s="122">
        <f ca="1">_xll.INSTRUMENT.DV01(A150,,,I150,cContinuous,I150)</f>
        <v>-4.2473238737215931E-2</v>
      </c>
      <c r="K150" s="123">
        <f ca="1">_xll.INSTRUMENT.CONVEXITE(A150,,,I150,cContinuous,I150)</f>
        <v>10.92845734035137</v>
      </c>
      <c r="L150" s="123">
        <f ca="1">_xll.INSTRUMENT.Z.SPREAD(A150,swapCurve,I150,cContinuous,D150)</f>
        <v>-15.218503048409247</v>
      </c>
      <c r="M150" s="123" t="e">
        <f ca="1">_xll.INSTRUMENT.Z.SPREAD(A150,ustCurve,I150,cContinuous,D150)</f>
        <v>#VALUE!</v>
      </c>
      <c r="N150" s="123">
        <f ca="1">_xll.INSTRUMENT.Z.SPREAD(A150,oisCurve,I150,cContinuous,D150)</f>
        <v>19.388291481395903</v>
      </c>
      <c r="O150" s="124" t="e">
        <f ca="1">1/_xll.CALENDRIER.FRAC.ANNEE(_xll.INSTRUMENT.DATE.REGLEMENT($AC150,,),_xll.INSTRUMENT.DATE.REGLEMENT($AC150,_xll.CALENDRIER.GAP.FINANCE(TODAY(),"1M","AUD","Unadjusted"),),"ACT/365")*(_xll.INSTRUMENT.ROLL.DOWN($A150,oisCurve,_xll.CALENDRIER.GAP.FINANCE(TODAY(),"1M","AUD","Unadjusted",TRUE),$N150)+100*$AA150*_xll.CALENDRIER.FRAC.ANNEE(_xll.INSTRUMENT.DATE.REGLEMENT($AC150,,),_xll.INSTRUMENT.DATE.REGLEMENT($AC150,_xll.CALENDRIER.GAP.FINANCE(TODAY(),"1M","AUD","Unadjusted"),),"ACT/365")-$I150)/$I150</f>
        <v>#NAME?</v>
      </c>
      <c r="P150" s="124" t="e">
        <f ca="1">1/_xll.CALENDRIER.FRAC.ANNEE(_xll.INSTRUMENT.DATE.REGLEMENT($AC150,,),_xll.INSTRUMENT.DATE.REGLEMENT($AC150,_xll.CALENDRIER.GAP.FINANCE(TODAY(),"3M","AUD","Unadjusted"),),"ACT/365")*(_xll.INSTRUMENT.ROLL.DOWN($A150,oisCurve,_xll.CALENDRIER.GAP.FINANCE(TODAY(),"3M","AUD","Unadjusted",TRUE),$N150)+100*$AA150*_xll.CALENDRIER.FRAC.ANNEE(_xll.INSTRUMENT.DATE.REGLEMENT($AC150,,),_xll.INSTRUMENT.DATE.REGLEMENT($AC150,_xll.CALENDRIER.GAP.FINANCE(TODAY(),"3M","AUD","Unadjusted"),),"ACT/365")-$I150)/$I150</f>
        <v>#NAME?</v>
      </c>
      <c r="Q150" s="371" t="e">
        <f ca="1">-(O150-curve!$T$3)/J150</f>
        <v>#NAME?</v>
      </c>
      <c r="R150" s="373">
        <f t="shared" ca="1" si="3"/>
        <v>-257.30218992637424</v>
      </c>
      <c r="S150" s="191" t="str">
        <f>IF(F150&lt;&gt;"","",IF(G150="","",-G150*(SUMIF('raw Data'!$A:$A,"RESINV1USD",'raw Data'!$G:$G)+SUMIF('raw Data'!$A:$A,"RESSWAPORUSD",'raw Data'!$G:$G))/(36500*J150)))</f>
        <v/>
      </c>
      <c r="T150" s="202" t="str">
        <f>IF(G150&lt;&gt;"","",IF(F150="","",-36500*J150*F150/(SUMIF('raw Data'!$A:$A,"RESINV1USD",'raw Data'!$G:$G)+SUMIF('raw Data'!$A:$A,"RESSWAPORUSD",'raw Data'!$G:$G))))</f>
        <v/>
      </c>
      <c r="U150" s="125">
        <f>SUMIF('raw Data'!$E:$E,A150,'raw Data'!$N:$N)</f>
        <v>0</v>
      </c>
      <c r="V150" s="126">
        <v>31461</v>
      </c>
      <c r="W150" s="127">
        <v>31458</v>
      </c>
      <c r="X150" s="127">
        <v>31639</v>
      </c>
      <c r="Y150" s="127">
        <v>42231</v>
      </c>
      <c r="Z150" s="127">
        <v>42415</v>
      </c>
      <c r="AA150" s="128">
        <v>9.2499999999999999E-2</v>
      </c>
      <c r="AB150" s="129">
        <v>5432000000</v>
      </c>
      <c r="AC150" s="130" t="str">
        <f ca="1">IF(LEFT(B150,1)="B",_xll.INSTANCE.TBILL(A150,V150,Z150,TODAY()),_xll.INSTANCE.TNOTE(A150,V150,W150,X150,Y150,Z150,AA150,TODAY()))</f>
        <v>US912810DV71#0003</v>
      </c>
    </row>
    <row r="151" spans="1:29" x14ac:dyDescent="0.35">
      <c r="A151" s="131" t="s">
        <v>487</v>
      </c>
      <c r="B151" s="115" t="s">
        <v>1127</v>
      </c>
      <c r="C151" s="364"/>
      <c r="D151" s="116"/>
      <c r="E151" s="117"/>
      <c r="F151" s="118"/>
      <c r="G151" s="369"/>
      <c r="H151" s="120">
        <v>5.1585899999999994E-3</v>
      </c>
      <c r="I151" s="121">
        <f ca="1">_xll.INSTRUMENT.PRIX(AC151,D151,H151,cTreasuries)</f>
        <v>114.30445770087086</v>
      </c>
      <c r="J151" s="122">
        <f ca="1">_xll.INSTRUMENT.DV01(A151,,,I151,cContinuous,I151)</f>
        <v>-3.8976926313192557E-2</v>
      </c>
      <c r="K151" s="123">
        <f ca="1">_xll.INSTRUMENT.CONVEXITE(A151,,,I151,cContinuous,I151)</f>
        <v>11.918283781571811</v>
      </c>
      <c r="L151" s="123">
        <f ca="1">_xll.INSTRUMENT.Z.SPREAD(A151,swapCurve,I151,cContinuous,D151)</f>
        <v>-17.93787357741931</v>
      </c>
      <c r="M151" s="123" t="e">
        <f ca="1">_xll.INSTRUMENT.Z.SPREAD(A151,ustCurve,I151,cContinuous,D151)</f>
        <v>#VALUE!</v>
      </c>
      <c r="N151" s="123">
        <f ca="1">_xll.INSTRUMENT.Z.SPREAD(A151,oisCurve,I151,cContinuous,D151)</f>
        <v>16.768229813886297</v>
      </c>
      <c r="O151" s="124" t="e">
        <f ca="1">1/_xll.CALENDRIER.FRAC.ANNEE(_xll.INSTRUMENT.DATE.REGLEMENT($AC151,,),_xll.INSTRUMENT.DATE.REGLEMENT($AC151,_xll.CALENDRIER.GAP.FINANCE(TODAY(),"1M","AUD","Unadjusted"),),"ACT/365")*(_xll.INSTRUMENT.ROLL.DOWN($A151,oisCurve,_xll.CALENDRIER.GAP.FINANCE(TODAY(),"1M","AUD","Unadjusted",TRUE),$N151)+100*$AA151*_xll.CALENDRIER.FRAC.ANNEE(_xll.INSTRUMENT.DATE.REGLEMENT($AC151,,),_xll.INSTRUMENT.DATE.REGLEMENT($AC151,_xll.CALENDRIER.GAP.FINANCE(TODAY(),"1M","AUD","Unadjusted"),),"ACT/365")-$I151)/$I151</f>
        <v>#NAME?</v>
      </c>
      <c r="P151" s="124" t="e">
        <f ca="1">1/_xll.CALENDRIER.FRAC.ANNEE(_xll.INSTRUMENT.DATE.REGLEMENT($AC151,,),_xll.INSTRUMENT.DATE.REGLEMENT($AC151,_xll.CALENDRIER.GAP.FINANCE(TODAY(),"3M","AUD","Unadjusted"),),"ACT/365")*(_xll.INSTRUMENT.ROLL.DOWN($A151,oisCurve,_xll.CALENDRIER.GAP.FINANCE(TODAY(),"3M","AUD","Unadjusted",TRUE),$N151)+100*$AA151*_xll.CALENDRIER.FRAC.ANNEE(_xll.INSTRUMENT.DATE.REGLEMENT($AC151,,),_xll.INSTRUMENT.DATE.REGLEMENT($AC151,_xll.CALENDRIER.GAP.FINANCE(TODAY(),"3M","AUD","Unadjusted"),),"ACT/365")-$I151)/$I151</f>
        <v>#NAME?</v>
      </c>
      <c r="Q151" s="371" t="e">
        <f ca="1">-(O151-curve!$T$3)/J151</f>
        <v>#NAME?</v>
      </c>
      <c r="R151" s="373">
        <f t="shared" ca="1" si="3"/>
        <v>-305.77792835187768</v>
      </c>
      <c r="S151" s="191" t="str">
        <f>IF(F151&lt;&gt;"","",IF(G151="","",-G151*(SUMIF('raw Data'!$A:$A,"RESINV1USD",'raw Data'!$G:$G)+SUMIF('raw Data'!$A:$A,"RESSWAPORUSD",'raw Data'!$G:$G))/(36500*J151)))</f>
        <v/>
      </c>
      <c r="T151" s="202" t="str">
        <f>IF(G151&lt;&gt;"","",IF(F151="","",-36500*J151*F151/(SUMIF('raw Data'!$A:$A,"RESINV1USD",'raw Data'!$G:$G)+SUMIF('raw Data'!$A:$A,"RESSWAPORUSD",'raw Data'!$G:$G))))</f>
        <v/>
      </c>
      <c r="U151" s="125">
        <f>SUMIF('raw Data'!$E:$E,A151,'raw Data'!$N:$N)</f>
        <v>0</v>
      </c>
      <c r="V151" s="126">
        <v>38763</v>
      </c>
      <c r="W151" s="127">
        <v>38763</v>
      </c>
      <c r="X151" s="127">
        <v>38944</v>
      </c>
      <c r="Y151" s="127">
        <v>42231</v>
      </c>
      <c r="Z151" s="127">
        <v>42415</v>
      </c>
      <c r="AA151" s="128">
        <v>4.4999999999999998E-2</v>
      </c>
      <c r="AB151" s="129">
        <v>21842000000</v>
      </c>
      <c r="AC151" s="130" t="str">
        <f ca="1">IF(LEFT(B151,1)="B",_xll.INSTANCE.TBILL(A151,V151,Z151,TODAY()),_xll.INSTANCE.TNOTE(A151,V151,W151,X151,Y151,Z151,AA151,TODAY()))</f>
        <v>US912828EW61#0003</v>
      </c>
    </row>
    <row r="152" spans="1:29" x14ac:dyDescent="0.35">
      <c r="A152" s="131" t="s">
        <v>488</v>
      </c>
      <c r="B152" s="115" t="s">
        <v>1128</v>
      </c>
      <c r="C152" s="364"/>
      <c r="D152" s="116"/>
      <c r="E152" s="117"/>
      <c r="F152" s="118"/>
      <c r="G152" s="369"/>
      <c r="H152" s="120">
        <v>5.1034650000000006E-3</v>
      </c>
      <c r="I152" s="121">
        <f ca="1">_xll.INSTRUMENT.PRIX(AC152,D152,H152,cTreasuries)</f>
        <v>107.68184740628256</v>
      </c>
      <c r="J152" s="122">
        <f ca="1">_xll.INSTRUMENT.DV01(A152,,,I152,cContinuous,I152)</f>
        <v>-3.8002979039759459E-2</v>
      </c>
      <c r="K152" s="123">
        <f ca="1">_xll.INSTRUMENT.CONVEXITE(A152,,,I152,cContinuous,I152)</f>
        <v>12.651751294734362</v>
      </c>
      <c r="L152" s="123">
        <f ca="1">_xll.INSTRUMENT.Z.SPREAD(A152,swapCurve,I152,cContinuous,D152)</f>
        <v>-19.414307675702627</v>
      </c>
      <c r="M152" s="123" t="e">
        <f ca="1">_xll.INSTRUMENT.Z.SPREAD(A152,ustCurve,I152,cContinuous,D152)</f>
        <v>#VALUE!</v>
      </c>
      <c r="N152" s="123">
        <f ca="1">_xll.INSTRUMENT.Z.SPREAD(A152,oisCurve,I152,cContinuous,D152)</f>
        <v>15.325232926057014</v>
      </c>
      <c r="O152" s="124" t="e">
        <f ca="1">1/_xll.CALENDRIER.FRAC.ANNEE(_xll.INSTRUMENT.DATE.REGLEMENT($AC152,,),_xll.INSTRUMENT.DATE.REGLEMENT($AC152,_xll.CALENDRIER.GAP.FINANCE(TODAY(),"1M","AUD","Unadjusted"),),"ACT/365")*(_xll.INSTRUMENT.ROLL.DOWN($A152,oisCurve,_xll.CALENDRIER.GAP.FINANCE(TODAY(),"1M","AUD","Unadjusted",TRUE),$N152)+100*$AA152*_xll.CALENDRIER.FRAC.ANNEE(_xll.INSTRUMENT.DATE.REGLEMENT($AC152,,),_xll.INSTRUMENT.DATE.REGLEMENT($AC152,_xll.CALENDRIER.GAP.FINANCE(TODAY(),"1M","AUD","Unadjusted"),),"ACT/365")-$I152)/$I152</f>
        <v>#NAME?</v>
      </c>
      <c r="P152" s="124" t="e">
        <f ca="1">1/_xll.CALENDRIER.FRAC.ANNEE(_xll.INSTRUMENT.DATE.REGLEMENT($AC152,,),_xll.INSTRUMENT.DATE.REGLEMENT($AC152,_xll.CALENDRIER.GAP.FINANCE(TODAY(),"3M","AUD","Unadjusted"),),"ACT/365")*(_xll.INSTRUMENT.ROLL.DOWN($A152,oisCurve,_xll.CALENDRIER.GAP.FINANCE(TODAY(),"3M","AUD","Unadjusted",TRUE),$N152)+100*$AA152*_xll.CALENDRIER.FRAC.ANNEE(_xll.INSTRUMENT.DATE.REGLEMENT($AC152,,),_xll.INSTRUMENT.DATE.REGLEMENT($AC152,_xll.CALENDRIER.GAP.FINANCE(TODAY(),"3M","AUD","Unadjusted"),),"ACT/365")-$I152)/$I152</f>
        <v>#NAME?</v>
      </c>
      <c r="Q152" s="371" t="e">
        <f ca="1">-(O152-curve!$T$3)/J152</f>
        <v>#NAME?</v>
      </c>
      <c r="R152" s="373">
        <f t="shared" ca="1" si="3"/>
        <v>-332.91472443509895</v>
      </c>
      <c r="S152" s="191" t="str">
        <f>IF(F152&lt;&gt;"","",IF(G152="","",-G152*(SUMIF('raw Data'!$A:$A,"RESINV1USD",'raw Data'!$G:$G)+SUMIF('raw Data'!$A:$A,"RESSWAPORUSD",'raw Data'!$G:$G))/(36500*J152)))</f>
        <v/>
      </c>
      <c r="T152" s="202" t="str">
        <f>IF(G152&lt;&gt;"","",IF(F152="","",-36500*J152*F152/(SUMIF('raw Data'!$A:$A,"RESINV1USD",'raw Data'!$G:$G)+SUMIF('raw Data'!$A:$A,"RESSWAPORUSD",'raw Data'!$G:$G))))</f>
        <v/>
      </c>
      <c r="U152" s="125">
        <f>SUMIF('raw Data'!$E:$E,A152,'raw Data'!$N:$N)</f>
        <v>0</v>
      </c>
      <c r="V152" s="126">
        <v>39874</v>
      </c>
      <c r="W152" s="127">
        <v>39872</v>
      </c>
      <c r="X152" s="127">
        <v>40056</v>
      </c>
      <c r="Y152" s="127">
        <v>42247</v>
      </c>
      <c r="Z152" s="127">
        <v>42429</v>
      </c>
      <c r="AA152" s="128">
        <v>2.6249999999999999E-2</v>
      </c>
      <c r="AB152" s="129">
        <v>23179000000</v>
      </c>
      <c r="AC152" s="130" t="str">
        <f ca="1">IF(LEFT(B152,1)="B",_xll.INSTANCE.TBILL(A152,V152,Z152,TODAY()),_xll.INSTANCE.TNOTE(A152,V152,W152,X152,Y152,Z152,AA152,TODAY()))</f>
        <v>US912828KS85#0003</v>
      </c>
    </row>
    <row r="153" spans="1:29" x14ac:dyDescent="0.35">
      <c r="A153" s="131" t="s">
        <v>222</v>
      </c>
      <c r="B153" s="115" t="s">
        <v>1129</v>
      </c>
      <c r="C153" s="364"/>
      <c r="D153" s="116"/>
      <c r="E153" s="117"/>
      <c r="F153" s="118"/>
      <c r="G153" s="369"/>
      <c r="H153" s="120">
        <v>5.208697E-3</v>
      </c>
      <c r="I153" s="121">
        <f ca="1">_xll.INSTRUMENT.PRIX(AC153,D153,H153,cTreasuries)</f>
        <v>105.82620277572089</v>
      </c>
      <c r="J153" s="122">
        <f ca="1">_xll.INSTRUMENT.DV01(A153,,,I153,cContinuous,I153)</f>
        <v>-3.7609814285746612E-2</v>
      </c>
      <c r="K153" s="123">
        <f ca="1">_xll.INSTRUMENT.CONVEXITE(A153,,,I153,cContinuous,I153)</f>
        <v>12.794175075386034</v>
      </c>
      <c r="L153" s="123">
        <f ca="1">_xll.INSTRUMENT.Z.SPREAD(A153,swapCurve,I153,cContinuous,D153)</f>
        <v>-18.473448823941862</v>
      </c>
      <c r="M153" s="123" t="e">
        <f ca="1">_xll.INSTRUMENT.Z.SPREAD(A153,ustCurve,I153,cContinuous,D153)</f>
        <v>#VALUE!</v>
      </c>
      <c r="N153" s="123">
        <f ca="1">_xll.INSTRUMENT.Z.SPREAD(A153,oisCurve,I153,cContinuous,D153)</f>
        <v>16.277982730617953</v>
      </c>
      <c r="O153" s="124" t="e">
        <f ca="1">1/_xll.CALENDRIER.FRAC.ANNEE(_xll.INSTRUMENT.DATE.REGLEMENT($AC153,,),_xll.INSTRUMENT.DATE.REGLEMENT($AC153,_xll.CALENDRIER.GAP.FINANCE(TODAY(),"1M","AUD","Unadjusted"),),"ACT/365")*(_xll.INSTRUMENT.ROLL.DOWN($A153,oisCurve,_xll.CALENDRIER.GAP.FINANCE(TODAY(),"1M","AUD","Unadjusted",TRUE),$N153)+100*$AA153*_xll.CALENDRIER.FRAC.ANNEE(_xll.INSTRUMENT.DATE.REGLEMENT($AC153,,),_xll.INSTRUMENT.DATE.REGLEMENT($AC153,_xll.CALENDRIER.GAP.FINANCE(TODAY(),"1M","AUD","Unadjusted"),),"ACT/365")-$I153)/$I153</f>
        <v>#NAME?</v>
      </c>
      <c r="P153" s="124" t="e">
        <f ca="1">1/_xll.CALENDRIER.FRAC.ANNEE(_xll.INSTRUMENT.DATE.REGLEMENT($AC153,,),_xll.INSTRUMENT.DATE.REGLEMENT($AC153,_xll.CALENDRIER.GAP.FINANCE(TODAY(),"3M","AUD","Unadjusted"),),"ACT/365")*(_xll.INSTRUMENT.ROLL.DOWN($A153,oisCurve,_xll.CALENDRIER.GAP.FINANCE(TODAY(),"3M","AUD","Unadjusted",TRUE),$N153)+100*$AA153*_xll.CALENDRIER.FRAC.ANNEE(_xll.INSTRUMENT.DATE.REGLEMENT($AC153,,),_xll.INSTRUMENT.DATE.REGLEMENT($AC153,_xll.CALENDRIER.GAP.FINANCE(TODAY(),"3M","AUD","Unadjusted"),),"ACT/365")-$I153)/$I153</f>
        <v>#NAME?</v>
      </c>
      <c r="Q153" s="371" t="e">
        <f ca="1">-(O153-curve!$T$3)/J153</f>
        <v>#NAME?</v>
      </c>
      <c r="R153" s="373">
        <f t="shared" ca="1" si="3"/>
        <v>-340.18182004782665</v>
      </c>
      <c r="S153" s="191" t="str">
        <f>IF(F153&lt;&gt;"","",IF(G153="","",-G153*(SUMIF('raw Data'!$A:$A,"RESINV1USD",'raw Data'!$G:$G)+SUMIF('raw Data'!$A:$A,"RESSWAPORUSD",'raw Data'!$G:$G))/(36500*J153)))</f>
        <v/>
      </c>
      <c r="T153" s="202" t="str">
        <f>IF(G153&lt;&gt;"","",IF(F153="","",-36500*J153*F153/(SUMIF('raw Data'!$A:$A,"RESINV1USD",'raw Data'!$G:$G)+SUMIF('raw Data'!$A:$A,"RESSWAPORUSD",'raw Data'!$G:$G))))</f>
        <v/>
      </c>
      <c r="U153" s="125">
        <f>SUMIF('raw Data'!$E:$E,A153,'raw Data'!$N:$N)</f>
        <v>0</v>
      </c>
      <c r="V153" s="126">
        <v>40602</v>
      </c>
      <c r="W153" s="127">
        <v>40602</v>
      </c>
      <c r="X153" s="127">
        <v>40786</v>
      </c>
      <c r="Y153" s="127">
        <v>42247</v>
      </c>
      <c r="Z153" s="127">
        <v>42429</v>
      </c>
      <c r="AA153" s="128">
        <v>2.1250000000000002E-2</v>
      </c>
      <c r="AB153" s="129">
        <v>36923000000</v>
      </c>
      <c r="AC153" s="130" t="str">
        <f ca="1">IF(LEFT(B153,1)="B",_xll.INSTANCE.TBILL(A153,V153,Z153,TODAY()),_xll.INSTANCE.TNOTE(A153,V153,W153,X153,Y153,Z153,AA153,TODAY()))</f>
        <v>US912828QJ23#0003</v>
      </c>
    </row>
    <row r="154" spans="1:29" x14ac:dyDescent="0.35">
      <c r="A154" s="131" t="s">
        <v>489</v>
      </c>
      <c r="B154" s="115" t="s">
        <v>1130</v>
      </c>
      <c r="C154" s="364"/>
      <c r="D154" s="116"/>
      <c r="E154" s="117"/>
      <c r="F154" s="118"/>
      <c r="G154" s="369"/>
      <c r="H154" s="120">
        <v>5.3550350000000002E-3</v>
      </c>
      <c r="I154" s="121">
        <f ca="1">_xll.INSTRUMENT.PRIX(AC154,D154,H154,cTreasuries)</f>
        <v>106.82721110920049</v>
      </c>
      <c r="J154" s="122">
        <f ca="1">_xll.INSTRUMENT.DV01(A154,,,I154,cContinuous,I154)</f>
        <v>-3.867077181317629E-2</v>
      </c>
      <c r="K154" s="123">
        <f ca="1">_xll.INSTRUMENT.CONVEXITE(A154,,,I154,cContinuous,I154)</f>
        <v>13.323600332138994</v>
      </c>
      <c r="L154" s="123">
        <f ca="1">_xll.INSTRUMENT.Z.SPREAD(A154,swapCurve,I154,cContinuous,D154)</f>
        <v>-18.40472754614575</v>
      </c>
      <c r="M154" s="123" t="e">
        <f ca="1">_xll.INSTRUMENT.Z.SPREAD(A154,ustCurve,I154,cContinuous,D154)</f>
        <v>#VALUE!</v>
      </c>
      <c r="N154" s="123">
        <f ca="1">_xll.INSTRUMENT.Z.SPREAD(A154,oisCurve,I154,cContinuous,D154)</f>
        <v>16.324914264770186</v>
      </c>
      <c r="O154" s="124" t="e">
        <f ca="1">1/_xll.CALENDRIER.FRAC.ANNEE(_xll.INSTRUMENT.DATE.REGLEMENT($AC154,,),_xll.INSTRUMENT.DATE.REGLEMENT($AC154,_xll.CALENDRIER.GAP.FINANCE(TODAY(),"1M","AUD","Unadjusted"),),"ACT/365")*(_xll.INSTRUMENT.ROLL.DOWN($A154,oisCurve,_xll.CALENDRIER.GAP.FINANCE(TODAY(),"1M","AUD","Unadjusted",TRUE),$N154)+100*$AA154*_xll.CALENDRIER.FRAC.ANNEE(_xll.INSTRUMENT.DATE.REGLEMENT($AC154,,),_xll.INSTRUMENT.DATE.REGLEMENT($AC154,_xll.CALENDRIER.GAP.FINANCE(TODAY(),"1M","AUD","Unadjusted"),),"ACT/365")-$I154)/$I154</f>
        <v>#NAME?</v>
      </c>
      <c r="P154" s="124" t="e">
        <f ca="1">1/_xll.CALENDRIER.FRAC.ANNEE(_xll.INSTRUMENT.DATE.REGLEMENT($AC154,,),_xll.INSTRUMENT.DATE.REGLEMENT($AC154,_xll.CALENDRIER.GAP.FINANCE(TODAY(),"3M","AUD","Unadjusted"),),"ACT/365")*(_xll.INSTRUMENT.ROLL.DOWN($A154,oisCurve,_xll.CALENDRIER.GAP.FINANCE(TODAY(),"3M","AUD","Unadjusted",TRUE),$N154)+100*$AA154*_xll.CALENDRIER.FRAC.ANNEE(_xll.INSTRUMENT.DATE.REGLEMENT($AC154,,),_xll.INSTRUMENT.DATE.REGLEMENT($AC154,_xll.CALENDRIER.GAP.FINANCE(TODAY(),"3M","AUD","Unadjusted"),),"ACT/365")-$I154)/$I154</f>
        <v>#NAME?</v>
      </c>
      <c r="Q154" s="371" t="e">
        <f ca="1">-(O154-curve!$T$3)/J154</f>
        <v>#NAME?</v>
      </c>
      <c r="R154" s="373">
        <f t="shared" ca="1" si="3"/>
        <v>-344.53929175520733</v>
      </c>
      <c r="S154" s="191" t="str">
        <f>IF(F154&lt;&gt;"","",IF(G154="","",-G154*(SUMIF('raw Data'!$A:$A,"RESINV1USD",'raw Data'!$G:$G)+SUMIF('raw Data'!$A:$A,"RESSWAPORUSD",'raw Data'!$G:$G))/(36500*J154)))</f>
        <v/>
      </c>
      <c r="T154" s="202" t="str">
        <f>IF(G154&lt;&gt;"","",IF(F154="","",-36500*J154*F154/(SUMIF('raw Data'!$A:$A,"RESINV1USD",'raw Data'!$G:$G)+SUMIF('raw Data'!$A:$A,"RESSWAPORUSD",'raw Data'!$G:$G))))</f>
        <v/>
      </c>
      <c r="U154" s="125">
        <f>SUMIF('raw Data'!$E:$E,A154,'raw Data'!$N:$N)</f>
        <v>0</v>
      </c>
      <c r="V154" s="126">
        <v>39903</v>
      </c>
      <c r="W154" s="127">
        <v>39903</v>
      </c>
      <c r="X154" s="127">
        <v>40086</v>
      </c>
      <c r="Y154" s="127">
        <v>42277</v>
      </c>
      <c r="Z154" s="127">
        <v>42460</v>
      </c>
      <c r="AA154" s="128">
        <v>2.375E-2</v>
      </c>
      <c r="AB154" s="129">
        <v>25138000000</v>
      </c>
      <c r="AC154" s="130" t="str">
        <f ca="1">IF(LEFT(B154,1)="B",_xll.INSTANCE.TBILL(A154,V154,Z154,TODAY()),_xll.INSTANCE.TNOTE(A154,V154,W154,X154,Y154,Z154,AA154,TODAY()))</f>
        <v>US912828KT68#0003</v>
      </c>
    </row>
    <row r="155" spans="1:29" x14ac:dyDescent="0.35">
      <c r="A155" s="131" t="s">
        <v>224</v>
      </c>
      <c r="B155" s="115" t="s">
        <v>1131</v>
      </c>
      <c r="C155" s="364"/>
      <c r="D155" s="116"/>
      <c r="E155" s="117"/>
      <c r="F155" s="118"/>
      <c r="G155" s="369"/>
      <c r="H155" s="120">
        <v>5.2277349999999998E-3</v>
      </c>
      <c r="I155" s="121">
        <f ca="1">_xll.INSTRUMENT.PRIX(AC155,D155,H155,cTreasuries)</f>
        <v>106.41225635044107</v>
      </c>
      <c r="J155" s="122">
        <f ca="1">_xll.INSTRUMENT.DV01(A155,,,I155,cContinuous,I155)</f>
        <v>-3.8590173139307272E-2</v>
      </c>
      <c r="K155" s="123">
        <f ca="1">_xll.INSTRUMENT.CONVEXITE(A155,,,I155,cContinuous,I155)</f>
        <v>13.360940157850113</v>
      </c>
      <c r="L155" s="123">
        <f ca="1">_xll.INSTRUMENT.Z.SPREAD(A155,swapCurve,I155,cContinuous,D155)</f>
        <v>-19.70323455268818</v>
      </c>
      <c r="M155" s="123" t="e">
        <f ca="1">_xll.INSTRUMENT.Z.SPREAD(A155,ustCurve,I155,cContinuous,D155)</f>
        <v>#VALUE!</v>
      </c>
      <c r="N155" s="123">
        <f ca="1">_xll.INSTRUMENT.Z.SPREAD(A155,oisCurve,I155,cContinuous,D155)</f>
        <v>15.028884518723041</v>
      </c>
      <c r="O155" s="124" t="e">
        <f ca="1">1/_xll.CALENDRIER.FRAC.ANNEE(_xll.INSTRUMENT.DATE.REGLEMENT($AC155,,),_xll.INSTRUMENT.DATE.REGLEMENT($AC155,_xll.CALENDRIER.GAP.FINANCE(TODAY(),"1M","AUD","Unadjusted"),),"ACT/365")*(_xll.INSTRUMENT.ROLL.DOWN($A155,oisCurve,_xll.CALENDRIER.GAP.FINANCE(TODAY(),"1M","AUD","Unadjusted",TRUE),$N155)+100*$AA155*_xll.CALENDRIER.FRAC.ANNEE(_xll.INSTRUMENT.DATE.REGLEMENT($AC155,,),_xll.INSTRUMENT.DATE.REGLEMENT($AC155,_xll.CALENDRIER.GAP.FINANCE(TODAY(),"1M","AUD","Unadjusted"),),"ACT/365")-$I155)/$I155</f>
        <v>#NAME?</v>
      </c>
      <c r="P155" s="124" t="e">
        <f ca="1">1/_xll.CALENDRIER.FRAC.ANNEE(_xll.INSTRUMENT.DATE.REGLEMENT($AC155,,),_xll.INSTRUMENT.DATE.REGLEMENT($AC155,_xll.CALENDRIER.GAP.FINANCE(TODAY(),"3M","AUD","Unadjusted"),),"ACT/365")*(_xll.INSTRUMENT.ROLL.DOWN($A155,oisCurve,_xll.CALENDRIER.GAP.FINANCE(TODAY(),"3M","AUD","Unadjusted",TRUE),$N155)+100*$AA155*_xll.CALENDRIER.FRAC.ANNEE(_xll.INSTRUMENT.DATE.REGLEMENT($AC155,,),_xll.INSTRUMENT.DATE.REGLEMENT($AC155,_xll.CALENDRIER.GAP.FINANCE(TODAY(),"3M","AUD","Unadjusted"),),"ACT/365")-$I155)/$I155</f>
        <v>#NAME?</v>
      </c>
      <c r="Q155" s="371" t="e">
        <f ca="1">-(O155-curve!$T$3)/J155</f>
        <v>#NAME?</v>
      </c>
      <c r="R155" s="373">
        <f t="shared" ca="1" si="3"/>
        <v>-346.22648904989995</v>
      </c>
      <c r="S155" s="191" t="str">
        <f>IF(F155&lt;&gt;"","",IF(G155="","",-G155*(SUMIF('raw Data'!$A:$A,"RESINV1USD",'raw Data'!$G:$G)+SUMIF('raw Data'!$A:$A,"RESSWAPORUSD",'raw Data'!$G:$G))/(36500*J155)))</f>
        <v/>
      </c>
      <c r="T155" s="202" t="str">
        <f>IF(G155&lt;&gt;"","",IF(F155="","",-36500*J155*F155/(SUMIF('raw Data'!$A:$A,"RESINV1USD",'raw Data'!$G:$G)+SUMIF('raw Data'!$A:$A,"RESSWAPORUSD",'raw Data'!$G:$G))))</f>
        <v/>
      </c>
      <c r="U155" s="125">
        <f>SUMIF('raw Data'!$E:$E,A155,'raw Data'!$N:$N)</f>
        <v>0</v>
      </c>
      <c r="V155" s="126">
        <v>40633</v>
      </c>
      <c r="W155" s="127">
        <v>40633</v>
      </c>
      <c r="X155" s="127">
        <v>40816</v>
      </c>
      <c r="Y155" s="127">
        <v>42277</v>
      </c>
      <c r="Z155" s="127">
        <v>42460</v>
      </c>
      <c r="AA155" s="128">
        <v>2.2499999999999999E-2</v>
      </c>
      <c r="AB155" s="129">
        <v>36570000000</v>
      </c>
      <c r="AC155" s="130" t="str">
        <f ca="1">IF(LEFT(B155,1)="B",_xll.INSTANCE.TBILL(A155,V155,Z155,TODAY()),_xll.INSTANCE.TNOTE(A155,V155,W155,X155,Y155,Z155,AA155,TODAY()))</f>
        <v>US912828QA14#0003</v>
      </c>
    </row>
    <row r="156" spans="1:29" x14ac:dyDescent="0.35">
      <c r="A156" s="131" t="s">
        <v>226</v>
      </c>
      <c r="B156" s="115" t="s">
        <v>1132</v>
      </c>
      <c r="C156" s="364"/>
      <c r="D156" s="116"/>
      <c r="E156" s="117"/>
      <c r="F156" s="118"/>
      <c r="G156" s="369"/>
      <c r="H156" s="120">
        <v>5.4239630000000004E-3</v>
      </c>
      <c r="I156" s="121">
        <f ca="1">_xll.INSTRUMENT.PRIX(AC156,D156,H156,cTreasuries)</f>
        <v>105.52764828369712</v>
      </c>
      <c r="J156" s="122">
        <f ca="1">_xll.INSTRUMENT.DV01(A156,,,I156,cContinuous,I156)</f>
        <v>-3.921659534179605E-2</v>
      </c>
      <c r="K156" s="123">
        <f ca="1">_xll.INSTRUMENT.CONVEXITE(A156,,,I156,cContinuous,I156)</f>
        <v>14.076456750030591</v>
      </c>
      <c r="L156" s="123">
        <f ca="1">_xll.INSTRUMENT.Z.SPREAD(A156,swapCurve,I156,cContinuous,D156)</f>
        <v>-19.409956737200307</v>
      </c>
      <c r="M156" s="123" t="e">
        <f ca="1">_xll.INSTRUMENT.Z.SPREAD(A156,ustCurve,I156,cContinuous,D156)</f>
        <v>#VALUE!</v>
      </c>
      <c r="N156" s="123">
        <f ca="1">_xll.INSTRUMENT.Z.SPREAD(A156,oisCurve,I156,cContinuous,D156)</f>
        <v>15.310631894723491</v>
      </c>
      <c r="O156" s="124" t="e">
        <f ca="1">1/_xll.CALENDRIER.FRAC.ANNEE(_xll.INSTRUMENT.DATE.REGLEMENT($AC156,,),_xll.INSTRUMENT.DATE.REGLEMENT($AC156,_xll.CALENDRIER.GAP.FINANCE(TODAY(),"1M","AUD","Unadjusted"),),"ACT/365")*(_xll.INSTRUMENT.ROLL.DOWN($A156,oisCurve,_xll.CALENDRIER.GAP.FINANCE(TODAY(),"1M","AUD","Unadjusted",TRUE),$N156)+100*$AA156*_xll.CALENDRIER.FRAC.ANNEE(_xll.INSTRUMENT.DATE.REGLEMENT($AC156,,),_xll.INSTRUMENT.DATE.REGLEMENT($AC156,_xll.CALENDRIER.GAP.FINANCE(TODAY(),"1M","AUD","Unadjusted"),),"ACT/365")-$I156)/$I156</f>
        <v>#NAME?</v>
      </c>
      <c r="P156" s="124" t="e">
        <f ca="1">1/_xll.CALENDRIER.FRAC.ANNEE(_xll.INSTRUMENT.DATE.REGLEMENT($AC156,,),_xll.INSTRUMENT.DATE.REGLEMENT($AC156,_xll.CALENDRIER.GAP.FINANCE(TODAY(),"3M","AUD","Unadjusted"),),"ACT/365")*(_xll.INSTRUMENT.ROLL.DOWN($A156,oisCurve,_xll.CALENDRIER.GAP.FINANCE(TODAY(),"3M","AUD","Unadjusted",TRUE),$N156)+100*$AA156*_xll.CALENDRIER.FRAC.ANNEE(_xll.INSTRUMENT.DATE.REGLEMENT($AC156,,),_xll.INSTRUMENT.DATE.REGLEMENT($AC156,_xll.CALENDRIER.GAP.FINANCE(TODAY(),"3M","AUD","Unadjusted"),),"ACT/365")-$I156)/$I156</f>
        <v>#NAME?</v>
      </c>
      <c r="Q156" s="371" t="e">
        <f ca="1">-(O156-curve!$T$3)/J156</f>
        <v>#NAME?</v>
      </c>
      <c r="R156" s="373">
        <f t="shared" ca="1" si="3"/>
        <v>-358.94132642943282</v>
      </c>
      <c r="S156" s="191" t="str">
        <f>IF(F156&lt;&gt;"","",IF(G156="","",-G156*(SUMIF('raw Data'!$A:$A,"RESINV1USD",'raw Data'!$G:$G)+SUMIF('raw Data'!$A:$A,"RESSWAPORUSD",'raw Data'!$G:$G))/(36500*J156)))</f>
        <v/>
      </c>
      <c r="T156" s="202" t="str">
        <f>IF(G156&lt;&gt;"","",IF(F156="","",-36500*J156*F156/(SUMIF('raw Data'!$A:$A,"RESINV1USD",'raw Data'!$G:$G)+SUMIF('raw Data'!$A:$A,"RESSWAPORUSD",'raw Data'!$G:$G))))</f>
        <v/>
      </c>
      <c r="U156" s="125">
        <f>SUMIF('raw Data'!$E:$E,A156,'raw Data'!$N:$N)</f>
        <v>0</v>
      </c>
      <c r="V156" s="126">
        <v>40665</v>
      </c>
      <c r="W156" s="127">
        <v>40663</v>
      </c>
      <c r="X156" s="127">
        <v>40847</v>
      </c>
      <c r="Y156" s="127">
        <v>42308</v>
      </c>
      <c r="Z156" s="127">
        <v>42490</v>
      </c>
      <c r="AA156" s="128">
        <v>0.02</v>
      </c>
      <c r="AB156" s="129">
        <v>37209000000</v>
      </c>
      <c r="AC156" s="130" t="str">
        <f ca="1">IF(LEFT(B156,1)="B",_xll.INSTANCE.TBILL(A156,V156,Z156,TODAY()),_xll.INSTANCE.TNOTE(A156,V156,W156,X156,Y156,Z156,AA156,TODAY()))</f>
        <v>US912828QF01#0003</v>
      </c>
    </row>
    <row r="157" spans="1:29" x14ac:dyDescent="0.35">
      <c r="A157" s="131" t="s">
        <v>490</v>
      </c>
      <c r="B157" s="115" t="s">
        <v>1133</v>
      </c>
      <c r="C157" s="364"/>
      <c r="D157" s="116"/>
      <c r="E157" s="117"/>
      <c r="F157" s="118"/>
      <c r="G157" s="369"/>
      <c r="H157" s="120">
        <v>5.4580910000000009E-3</v>
      </c>
      <c r="I157" s="121">
        <f ca="1">_xll.INSTRUMENT.PRIX(AC157,D157,H157,cTreasuries)</f>
        <v>107.88417239831372</v>
      </c>
      <c r="J157" s="122">
        <f ca="1">_xll.INSTRUMENT.DV01(A157,,,I157,cContinuous,I157)</f>
        <v>-3.9725522234298948E-2</v>
      </c>
      <c r="K157" s="123">
        <f ca="1">_xll.INSTRUMENT.CONVEXITE(A157,,,I157,cContinuous,I157)</f>
        <v>13.884005136890805</v>
      </c>
      <c r="L157" s="123">
        <f ca="1">_xll.INSTRUMENT.Z.SPREAD(A157,swapCurve,I157,cContinuous,D157)</f>
        <v>-18.910582641883426</v>
      </c>
      <c r="M157" s="123" t="e">
        <f ca="1">_xll.INSTRUMENT.Z.SPREAD(A157,ustCurve,I157,cContinuous,D157)</f>
        <v>#VALUE!</v>
      </c>
      <c r="N157" s="123">
        <f ca="1">_xll.INSTRUMENT.Z.SPREAD(A157,oisCurve,I157,cContinuous,D157)</f>
        <v>15.798855116169893</v>
      </c>
      <c r="O157" s="124" t="e">
        <f ca="1">1/_xll.CALENDRIER.FRAC.ANNEE(_xll.INSTRUMENT.DATE.REGLEMENT($AC157,,),_xll.INSTRUMENT.DATE.REGLEMENT($AC157,_xll.CALENDRIER.GAP.FINANCE(TODAY(),"1M","AUD","Unadjusted"),),"ACT/365")*(_xll.INSTRUMENT.ROLL.DOWN($A157,oisCurve,_xll.CALENDRIER.GAP.FINANCE(TODAY(),"1M","AUD","Unadjusted",TRUE),$N157)+100*$AA157*_xll.CALENDRIER.FRAC.ANNEE(_xll.INSTRUMENT.DATE.REGLEMENT($AC157,,),_xll.INSTRUMENT.DATE.REGLEMENT($AC157,_xll.CALENDRIER.GAP.FINANCE(TODAY(),"1M","AUD","Unadjusted"),),"ACT/365")-$I157)/$I157</f>
        <v>#NAME?</v>
      </c>
      <c r="P157" s="124" t="e">
        <f ca="1">1/_xll.CALENDRIER.FRAC.ANNEE(_xll.INSTRUMENT.DATE.REGLEMENT($AC157,,),_xll.INSTRUMENT.DATE.REGLEMENT($AC157,_xll.CALENDRIER.GAP.FINANCE(TODAY(),"3M","AUD","Unadjusted"),),"ACT/365")*(_xll.INSTRUMENT.ROLL.DOWN($A157,oisCurve,_xll.CALENDRIER.GAP.FINANCE(TODAY(),"3M","AUD","Unadjusted",TRUE),$N157)+100*$AA157*_xll.CALENDRIER.FRAC.ANNEE(_xll.INSTRUMENT.DATE.REGLEMENT($AC157,,),_xll.INSTRUMENT.DATE.REGLEMENT($AC157,_xll.CALENDRIER.GAP.FINANCE(TODAY(),"3M","AUD","Unadjusted"),),"ACT/365")-$I157)/$I157</f>
        <v>#NAME?</v>
      </c>
      <c r="Q157" s="371" t="e">
        <f ca="1">-(O157-curve!$T$3)/J157</f>
        <v>#NAME?</v>
      </c>
      <c r="R157" s="373">
        <f t="shared" ca="1" si="3"/>
        <v>-349.49836669241768</v>
      </c>
      <c r="S157" s="191" t="str">
        <f>IF(F157&lt;&gt;"","",IF(G157="","",-G157*(SUMIF('raw Data'!$A:$A,"RESINV1USD",'raw Data'!$G:$G)+SUMIF('raw Data'!$A:$A,"RESSWAPORUSD",'raw Data'!$G:$G))/(36500*J157)))</f>
        <v/>
      </c>
      <c r="T157" s="202" t="str">
        <f>IF(G157&lt;&gt;"","",IF(F157="","",-36500*J157*F157/(SUMIF('raw Data'!$A:$A,"RESINV1USD",'raw Data'!$G:$G)+SUMIF('raw Data'!$A:$A,"RESSWAPORUSD",'raw Data'!$G:$G))))</f>
        <v/>
      </c>
      <c r="U157" s="125">
        <f>SUMIF('raw Data'!$E:$E,A157,'raw Data'!$N:$N)</f>
        <v>0</v>
      </c>
      <c r="V157" s="126">
        <v>39933</v>
      </c>
      <c r="W157" s="127">
        <v>39933</v>
      </c>
      <c r="X157" s="127">
        <v>40117</v>
      </c>
      <c r="Y157" s="127">
        <v>42308</v>
      </c>
      <c r="Z157" s="127">
        <v>42490</v>
      </c>
      <c r="AA157" s="128">
        <v>2.6249999999999999E-2</v>
      </c>
      <c r="AB157" s="129">
        <v>26901000000</v>
      </c>
      <c r="AC157" s="130" t="str">
        <f ca="1">IF(LEFT(B157,1)="B",_xll.INSTANCE.TBILL(A157,V157,Z157,TODAY()),_xll.INSTANCE.TNOTE(A157,V157,W157,X157,Y157,Z157,AA157,TODAY()))</f>
        <v>US912828KR03#0003</v>
      </c>
    </row>
    <row r="158" spans="1:29" x14ac:dyDescent="0.35">
      <c r="A158" s="131" t="s">
        <v>491</v>
      </c>
      <c r="B158" s="115" t="s">
        <v>1134</v>
      </c>
      <c r="C158" s="364"/>
      <c r="D158" s="116"/>
      <c r="E158" s="117"/>
      <c r="F158" s="118"/>
      <c r="G158" s="369"/>
      <c r="H158" s="120">
        <v>5.8371039999999992E-3</v>
      </c>
      <c r="I158" s="121">
        <f ca="1">_xll.INSTRUMENT.PRIX(AC158,D158,H158,cTreasuries)</f>
        <v>125.52212864926649</v>
      </c>
      <c r="J158" s="122">
        <f ca="1">_xll.INSTRUMENT.DV01(A158,,,I158,cContinuous,I158)</f>
        <v>-4.3976394616831262E-2</v>
      </c>
      <c r="K158" s="123">
        <f ca="1">_xll.INSTRUMENT.CONVEXITE(A158,,,I158,cContinuous,I158)</f>
        <v>12.959393675037816</v>
      </c>
      <c r="L158" s="123">
        <f ca="1">_xll.INSTRUMENT.Z.SPREAD(A158,swapCurve,I158,cContinuous,D158)</f>
        <v>-14.665821946560332</v>
      </c>
      <c r="M158" s="123" t="e">
        <f ca="1">_xll.INSTRUMENT.Z.SPREAD(A158,ustCurve,I158,cContinuous,D158)</f>
        <v>#VALUE!</v>
      </c>
      <c r="N158" s="123">
        <f ca="1">_xll.INSTRUMENT.Z.SPREAD(A158,oisCurve,I158,cContinuous,D158)</f>
        <v>19.962213531458261</v>
      </c>
      <c r="O158" s="124" t="e">
        <f ca="1">1/_xll.CALENDRIER.FRAC.ANNEE(_xll.INSTRUMENT.DATE.REGLEMENT($AC158,,),_xll.INSTRUMENT.DATE.REGLEMENT($AC158,_xll.CALENDRIER.GAP.FINANCE(TODAY(),"1M","AUD","Unadjusted"),),"ACT/365")*(_xll.INSTRUMENT.ROLL.DOWN($A158,oisCurve,_xll.CALENDRIER.GAP.FINANCE(TODAY(),"1M","AUD","Unadjusted",TRUE),$N158)+100*$AA158*_xll.CALENDRIER.FRAC.ANNEE(_xll.INSTRUMENT.DATE.REGLEMENT($AC158,,),_xll.INSTRUMENT.DATE.REGLEMENT($AC158,_xll.CALENDRIER.GAP.FINANCE(TODAY(),"1M","AUD","Unadjusted"),),"ACT/365")-$I158)/$I158</f>
        <v>#NAME?</v>
      </c>
      <c r="P158" s="124" t="e">
        <f ca="1">1/_xll.CALENDRIER.FRAC.ANNEE(_xll.INSTRUMENT.DATE.REGLEMENT($AC158,,),_xll.INSTRUMENT.DATE.REGLEMENT($AC158,_xll.CALENDRIER.GAP.FINANCE(TODAY(),"3M","AUD","Unadjusted"),),"ACT/365")*(_xll.INSTRUMENT.ROLL.DOWN($A158,oisCurve,_xll.CALENDRIER.GAP.FINANCE(TODAY(),"3M","AUD","Unadjusted",TRUE),$N158)+100*$AA158*_xll.CALENDRIER.FRAC.ANNEE(_xll.INSTRUMENT.DATE.REGLEMENT($AC158,,),_xll.INSTRUMENT.DATE.REGLEMENT($AC158,_xll.CALENDRIER.GAP.FINANCE(TODAY(),"3M","AUD","Unadjusted"),),"ACT/365")-$I158)/$I158</f>
        <v>#NAME?</v>
      </c>
      <c r="Q158" s="371" t="e">
        <f ca="1">-(O158-curve!$T$3)/J158</f>
        <v>#NAME?</v>
      </c>
      <c r="R158" s="373">
        <f t="shared" ca="1" si="3"/>
        <v>-294.68977136379016</v>
      </c>
      <c r="S158" s="191" t="str">
        <f>IF(F158&lt;&gt;"","",IF(G158="","",-G158*(SUMIF('raw Data'!$A:$A,"RESINV1USD",'raw Data'!$G:$G)+SUMIF('raw Data'!$A:$A,"RESSWAPORUSD",'raw Data'!$G:$G))/(36500*J158)))</f>
        <v/>
      </c>
      <c r="T158" s="202" t="str">
        <f>IF(G158&lt;&gt;"","",IF(F158="","",-36500*J158*F158/(SUMIF('raw Data'!$A:$A,"RESINV1USD",'raw Data'!$G:$G)+SUMIF('raw Data'!$A:$A,"RESSWAPORUSD",'raw Data'!$G:$G))))</f>
        <v/>
      </c>
      <c r="U158" s="125">
        <f>SUMIF('raw Data'!$E:$E,A158,'raw Data'!$N:$N)</f>
        <v>0</v>
      </c>
      <c r="V158" s="126">
        <v>31547</v>
      </c>
      <c r="W158" s="127">
        <v>31547</v>
      </c>
      <c r="X158" s="127">
        <v>31731</v>
      </c>
      <c r="Y158" s="127">
        <v>42323</v>
      </c>
      <c r="Z158" s="127">
        <v>42505</v>
      </c>
      <c r="AA158" s="128">
        <v>7.2499999999999995E-2</v>
      </c>
      <c r="AB158" s="129">
        <v>18824000000</v>
      </c>
      <c r="AC158" s="130" t="str">
        <f ca="1">IF(LEFT(B158,1)="B",_xll.INSTANCE.TBILL(A158,V158,Z158,TODAY()),_xll.INSTANCE.TNOTE(A158,V158,W158,X158,Y158,Z158,AA158,TODAY()))</f>
        <v>US912810DW54#0003</v>
      </c>
    </row>
    <row r="159" spans="1:29" x14ac:dyDescent="0.35">
      <c r="A159" s="131" t="s">
        <v>492</v>
      </c>
      <c r="B159" s="115" t="s">
        <v>1135</v>
      </c>
      <c r="C159" s="364"/>
      <c r="D159" s="116"/>
      <c r="E159" s="117"/>
      <c r="F159" s="118"/>
      <c r="G159" s="369"/>
      <c r="H159" s="120">
        <v>5.5361000000000004E-3</v>
      </c>
      <c r="I159" s="121">
        <f ca="1">_xll.INSTRUMENT.PRIX(AC159,D159,H159,cTreasuries)</f>
        <v>117.51329355928107</v>
      </c>
      <c r="J159" s="122">
        <f ca="1">_xll.INSTRUMENT.DV01(A159,,,I159,cContinuous,I159)</f>
        <v>-4.2244247399296234E-2</v>
      </c>
      <c r="K159" s="123">
        <f ca="1">_xll.INSTRUMENT.CONVEXITE(A159,,,I159,cContinuous,I159)</f>
        <v>13.468660914956544</v>
      </c>
      <c r="L159" s="123">
        <f ca="1">_xll.INSTRUMENT.Z.SPREAD(A159,swapCurve,I159,cContinuous,D159)</f>
        <v>-18.145201592620577</v>
      </c>
      <c r="M159" s="123" t="e">
        <f ca="1">_xll.INSTRUMENT.Z.SPREAD(A159,ustCurve,I159,cContinuous,D159)</f>
        <v>#VALUE!</v>
      </c>
      <c r="N159" s="123">
        <f ca="1">_xll.INSTRUMENT.Z.SPREAD(A159,oisCurve,I159,cContinuous,D159)</f>
        <v>16.515280550911264</v>
      </c>
      <c r="O159" s="124" t="e">
        <f ca="1">1/_xll.CALENDRIER.FRAC.ANNEE(_xll.INSTRUMENT.DATE.REGLEMENT($AC159,,),_xll.INSTRUMENT.DATE.REGLEMENT($AC159,_xll.CALENDRIER.GAP.FINANCE(TODAY(),"1M","AUD","Unadjusted"),),"ACT/365")*(_xll.INSTRUMENT.ROLL.DOWN($A159,oisCurve,_xll.CALENDRIER.GAP.FINANCE(TODAY(),"1M","AUD","Unadjusted",TRUE),$N159)+100*$AA159*_xll.CALENDRIER.FRAC.ANNEE(_xll.INSTRUMENT.DATE.REGLEMENT($AC159,,),_xll.INSTRUMENT.DATE.REGLEMENT($AC159,_xll.CALENDRIER.GAP.FINANCE(TODAY(),"1M","AUD","Unadjusted"),),"ACT/365")-$I159)/$I159</f>
        <v>#NAME?</v>
      </c>
      <c r="P159" s="124" t="e">
        <f ca="1">1/_xll.CALENDRIER.FRAC.ANNEE(_xll.INSTRUMENT.DATE.REGLEMENT($AC159,,),_xll.INSTRUMENT.DATE.REGLEMENT($AC159,_xll.CALENDRIER.GAP.FINANCE(TODAY(),"3M","AUD","Unadjusted"),),"ACT/365")*(_xll.INSTRUMENT.ROLL.DOWN($A159,oisCurve,_xll.CALENDRIER.GAP.FINANCE(TODAY(),"3M","AUD","Unadjusted",TRUE),$N159)+100*$AA159*_xll.CALENDRIER.FRAC.ANNEE(_xll.INSTRUMENT.DATE.REGLEMENT($AC159,,),_xll.INSTRUMENT.DATE.REGLEMENT($AC159,_xll.CALENDRIER.GAP.FINANCE(TODAY(),"3M","AUD","Unadjusted"),),"ACT/365")-$I159)/$I159</f>
        <v>#NAME?</v>
      </c>
      <c r="Q159" s="371" t="e">
        <f ca="1">-(O159-curve!$T$3)/J159</f>
        <v>#NAME?</v>
      </c>
      <c r="R159" s="373">
        <f t="shared" ca="1" si="3"/>
        <v>-318.82828418387032</v>
      </c>
      <c r="S159" s="191" t="str">
        <f>IF(F159&lt;&gt;"","",IF(G159="","",-G159*(SUMIF('raw Data'!$A:$A,"RESINV1USD",'raw Data'!$G:$G)+SUMIF('raw Data'!$A:$A,"RESSWAPORUSD",'raw Data'!$G:$G))/(36500*J159)))</f>
        <v/>
      </c>
      <c r="T159" s="202" t="str">
        <f>IF(G159&lt;&gt;"","",IF(F159="","",-36500*J159*F159/(SUMIF('raw Data'!$A:$A,"RESINV1USD",'raw Data'!$G:$G)+SUMIF('raw Data'!$A:$A,"RESSWAPORUSD",'raw Data'!$G:$G))))</f>
        <v/>
      </c>
      <c r="U159" s="125">
        <f>SUMIF('raw Data'!$E:$E,A159,'raw Data'!$N:$N)</f>
        <v>0</v>
      </c>
      <c r="V159" s="126">
        <v>38852</v>
      </c>
      <c r="W159" s="127">
        <v>38852</v>
      </c>
      <c r="X159" s="127">
        <v>39036</v>
      </c>
      <c r="Y159" s="127">
        <v>42323</v>
      </c>
      <c r="Z159" s="127">
        <v>42505</v>
      </c>
      <c r="AA159" s="128">
        <v>5.1249999999999997E-2</v>
      </c>
      <c r="AB159" s="129">
        <v>23294000000</v>
      </c>
      <c r="AC159" s="130" t="str">
        <f ca="1">IF(LEFT(B159,1)="B",_xll.INSTANCE.TBILL(A159,V159,Z159,TODAY()),_xll.INSTANCE.TNOTE(A159,V159,W159,X159,Y159,Z159,AA159,TODAY()))</f>
        <v>US912828FF20#0003</v>
      </c>
    </row>
    <row r="160" spans="1:29" x14ac:dyDescent="0.35">
      <c r="A160" s="131" t="s">
        <v>228</v>
      </c>
      <c r="B160" s="115" t="s">
        <v>1136</v>
      </c>
      <c r="C160" s="364"/>
      <c r="D160" s="116"/>
      <c r="E160" s="117"/>
      <c r="F160" s="118"/>
      <c r="G160" s="369"/>
      <c r="H160" s="120">
        <v>5.5535849999999998E-3</v>
      </c>
      <c r="I160" s="121">
        <f ca="1">_xll.INSTRUMENT.PRIX(AC160,D160,H160,cTreasuries)</f>
        <v>104.62673872127441</v>
      </c>
      <c r="J160" s="122">
        <f ca="1">_xll.INSTRUMENT.DV01(A160,,,I160,cContinuous,I160)</f>
        <v>-3.9860089133129488E-2</v>
      </c>
      <c r="K160" s="123">
        <f ca="1">_xll.INSTRUMENT.CONVEXITE(A160,,,I160,cContinuous,I160)</f>
        <v>14.753568969184464</v>
      </c>
      <c r="L160" s="123">
        <f ca="1">_xll.INSTRUMENT.Z.SPREAD(A160,swapCurve,I160,cContinuous,D160)</f>
        <v>-19.517173588193103</v>
      </c>
      <c r="M160" s="123" t="e">
        <f ca="1">_xll.INSTRUMENT.Z.SPREAD(A160,ustCurve,I160,cContinuous,D160)</f>
        <v>#VALUE!</v>
      </c>
      <c r="N160" s="123">
        <f ca="1">_xll.INSTRUMENT.Z.SPREAD(A160,oisCurve,I160,cContinuous,D160)</f>
        <v>15.19325717396922</v>
      </c>
      <c r="O160" s="124" t="e">
        <f ca="1">1/_xll.CALENDRIER.FRAC.ANNEE(_xll.INSTRUMENT.DATE.REGLEMENT($AC160,,),_xll.INSTRUMENT.DATE.REGLEMENT($AC160,_xll.CALENDRIER.GAP.FINANCE(TODAY(),"1M","AUD","Unadjusted"),),"ACT/365")*(_xll.INSTRUMENT.ROLL.DOWN($A160,oisCurve,_xll.CALENDRIER.GAP.FINANCE(TODAY(),"1M","AUD","Unadjusted",TRUE),$N160)+100*$AA160*_xll.CALENDRIER.FRAC.ANNEE(_xll.INSTRUMENT.DATE.REGLEMENT($AC160,,),_xll.INSTRUMENT.DATE.REGLEMENT($AC160,_xll.CALENDRIER.GAP.FINANCE(TODAY(),"1M","AUD","Unadjusted"),),"ACT/365")-$I160)/$I160</f>
        <v>#NAME?</v>
      </c>
      <c r="P160" s="124" t="e">
        <f ca="1">1/_xll.CALENDRIER.FRAC.ANNEE(_xll.INSTRUMENT.DATE.REGLEMENT($AC160,,),_xll.INSTRUMENT.DATE.REGLEMENT($AC160,_xll.CALENDRIER.GAP.FINANCE(TODAY(),"3M","AUD","Unadjusted"),),"ACT/365")*(_xll.INSTRUMENT.ROLL.DOWN($A160,oisCurve,_xll.CALENDRIER.GAP.FINANCE(TODAY(),"3M","AUD","Unadjusted",TRUE),$N160)+100*$AA160*_xll.CALENDRIER.FRAC.ANNEE(_xll.INSTRUMENT.DATE.REGLEMENT($AC160,,),_xll.INSTRUMENT.DATE.REGLEMENT($AC160,_xll.CALENDRIER.GAP.FINANCE(TODAY(),"3M","AUD","Unadjusted"),),"ACT/365")-$I160)/$I160</f>
        <v>#NAME?</v>
      </c>
      <c r="Q160" s="371" t="e">
        <f ca="1">-(O160-curve!$T$3)/J160</f>
        <v>#NAME?</v>
      </c>
      <c r="R160" s="373">
        <f t="shared" ca="1" si="3"/>
        <v>-370.13386798781937</v>
      </c>
      <c r="S160" s="191" t="str">
        <f>IF(F160&lt;&gt;"","",IF(G160="","",-G160*(SUMIF('raw Data'!$A:$A,"RESINV1USD",'raw Data'!$G:$G)+SUMIF('raw Data'!$A:$A,"RESSWAPORUSD",'raw Data'!$G:$G))/(36500*J160)))</f>
        <v/>
      </c>
      <c r="T160" s="202" t="str">
        <f>IF(G160&lt;&gt;"","",IF(F160="","",-36500*J160*F160/(SUMIF('raw Data'!$A:$A,"RESINV1USD",'raw Data'!$G:$G)+SUMIF('raw Data'!$A:$A,"RESSWAPORUSD",'raw Data'!$G:$G))))</f>
        <v/>
      </c>
      <c r="U160" s="125">
        <f>SUMIF('raw Data'!$E:$E,A160,'raw Data'!$N:$N)</f>
        <v>0</v>
      </c>
      <c r="V160" s="126">
        <v>40694</v>
      </c>
      <c r="W160" s="127">
        <v>40694</v>
      </c>
      <c r="X160" s="127">
        <v>40877</v>
      </c>
      <c r="Y160" s="127">
        <v>42338</v>
      </c>
      <c r="Z160" s="127">
        <v>42521</v>
      </c>
      <c r="AA160" s="128">
        <v>1.7500000000000002E-2</v>
      </c>
      <c r="AB160" s="129">
        <v>37946000000</v>
      </c>
      <c r="AC160" s="130" t="str">
        <f ca="1">IF(LEFT(B160,1)="B",_xll.INSTANCE.TBILL(A160,V160,Z160,TODAY()),_xll.INSTANCE.TNOTE(A160,V160,W160,X160,Y160,Z160,AA160,TODAY()))</f>
        <v>US912828QP82#0003</v>
      </c>
    </row>
    <row r="161" spans="1:29" x14ac:dyDescent="0.35">
      <c r="A161" s="131" t="s">
        <v>493</v>
      </c>
      <c r="B161" s="115" t="s">
        <v>1137</v>
      </c>
      <c r="C161" s="364"/>
      <c r="D161" s="116"/>
      <c r="E161" s="117"/>
      <c r="F161" s="118"/>
      <c r="G161" s="369"/>
      <c r="H161" s="120">
        <v>5.6122239999999999E-3</v>
      </c>
      <c r="I161" s="121">
        <f ca="1">_xll.INSTRUMENT.PRIX(AC161,D161,H161,cTreasuries)</f>
        <v>110.41216883323331</v>
      </c>
      <c r="J161" s="122">
        <f ca="1">_xll.INSTRUMENT.DV01(A161,,,I161,cContinuous,I161)</f>
        <v>-4.1133018531776006E-2</v>
      </c>
      <c r="K161" s="123">
        <f ca="1">_xll.INSTRUMENT.CONVEXITE(A161,,,I161,cContinuous,I161)</f>
        <v>14.284555549544127</v>
      </c>
      <c r="L161" s="123">
        <f ca="1">_xll.INSTRUMENT.Z.SPREAD(A161,swapCurve,I161,cContinuous,D161)</f>
        <v>-18.524617209651993</v>
      </c>
      <c r="M161" s="123" t="e">
        <f ca="1">_xll.INSTRUMENT.Z.SPREAD(A161,ustCurve,I161,cContinuous,D161)</f>
        <v>#VALUE!</v>
      </c>
      <c r="N161" s="123">
        <f ca="1">_xll.INSTRUMENT.Z.SPREAD(A161,oisCurve,I161,cContinuous,D161)</f>
        <v>16.159008999516796</v>
      </c>
      <c r="O161" s="124" t="e">
        <f ca="1">1/_xll.CALENDRIER.FRAC.ANNEE(_xll.INSTRUMENT.DATE.REGLEMENT($AC161,,),_xll.INSTRUMENT.DATE.REGLEMENT($AC161,_xll.CALENDRIER.GAP.FINANCE(TODAY(),"1M","AUD","Unadjusted"),),"ACT/365")*(_xll.INSTRUMENT.ROLL.DOWN($A161,oisCurve,_xll.CALENDRIER.GAP.FINANCE(TODAY(),"1M","AUD","Unadjusted",TRUE),$N161)+100*$AA161*_xll.CALENDRIER.FRAC.ANNEE(_xll.INSTRUMENT.DATE.REGLEMENT($AC161,,),_xll.INSTRUMENT.DATE.REGLEMENT($AC161,_xll.CALENDRIER.GAP.FINANCE(TODAY(),"1M","AUD","Unadjusted"),),"ACT/365")-$I161)/$I161</f>
        <v>#NAME?</v>
      </c>
      <c r="P161" s="124" t="e">
        <f ca="1">1/_xll.CALENDRIER.FRAC.ANNEE(_xll.INSTRUMENT.DATE.REGLEMENT($AC161,,),_xll.INSTRUMENT.DATE.REGLEMENT($AC161,_xll.CALENDRIER.GAP.FINANCE(TODAY(),"3M","AUD","Unadjusted"),),"ACT/365")*(_xll.INSTRUMENT.ROLL.DOWN($A161,oisCurve,_xll.CALENDRIER.GAP.FINANCE(TODAY(),"3M","AUD","Unadjusted",TRUE),$N161)+100*$AA161*_xll.CALENDRIER.FRAC.ANNEE(_xll.INSTRUMENT.DATE.REGLEMENT($AC161,,),_xll.INSTRUMENT.DATE.REGLEMENT($AC161,_xll.CALENDRIER.GAP.FINANCE(TODAY(),"3M","AUD","Unadjusted"),),"ACT/365")-$I161)/$I161</f>
        <v>#NAME?</v>
      </c>
      <c r="Q161" s="371" t="e">
        <f ca="1">-(O161-curve!$T$3)/J161</f>
        <v>#NAME?</v>
      </c>
      <c r="R161" s="373">
        <f t="shared" ca="1" si="3"/>
        <v>-347.27710387967386</v>
      </c>
      <c r="S161" s="191" t="str">
        <f>IF(F161&lt;&gt;"","",IF(G161="","",-G161*(SUMIF('raw Data'!$A:$A,"RESINV1USD",'raw Data'!$G:$G)+SUMIF('raw Data'!$A:$A,"RESSWAPORUSD",'raw Data'!$G:$G))/(36500*J161)))</f>
        <v/>
      </c>
      <c r="T161" s="202" t="str">
        <f>IF(G161&lt;&gt;"","",IF(F161="","",-36500*J161*F161/(SUMIF('raw Data'!$A:$A,"RESINV1USD",'raw Data'!$G:$G)+SUMIF('raw Data'!$A:$A,"RESSWAPORUSD",'raw Data'!$G:$G))))</f>
        <v/>
      </c>
      <c r="U161" s="125">
        <f>SUMIF('raw Data'!$E:$E,A161,'raw Data'!$N:$N)</f>
        <v>0</v>
      </c>
      <c r="V161" s="126">
        <v>39965</v>
      </c>
      <c r="W161" s="127">
        <v>39964</v>
      </c>
      <c r="X161" s="127">
        <v>40147</v>
      </c>
      <c r="Y161" s="127">
        <v>42338</v>
      </c>
      <c r="Z161" s="127">
        <v>42521</v>
      </c>
      <c r="AA161" s="128">
        <v>3.2500000000000001E-2</v>
      </c>
      <c r="AB161" s="129">
        <v>26896000000.000004</v>
      </c>
      <c r="AC161" s="130" t="str">
        <f ca="1">IF(LEFT(B161,1)="B",_xll.INSTANCE.TBILL(A161,V161,Z161,TODAY()),_xll.INSTANCE.TNOTE(A161,V161,W161,X161,Y161,Z161,AA161,TODAY()))</f>
        <v>US912828KW97#0003</v>
      </c>
    </row>
    <row r="162" spans="1:29" x14ac:dyDescent="0.35">
      <c r="A162" s="131" t="s">
        <v>494</v>
      </c>
      <c r="B162" s="115" t="s">
        <v>1138</v>
      </c>
      <c r="C162" s="364"/>
      <c r="D162" s="116"/>
      <c r="E162" s="117"/>
      <c r="F162" s="118"/>
      <c r="G162" s="369"/>
      <c r="H162" s="120">
        <v>5.716914E-3</v>
      </c>
      <c r="I162" s="121">
        <f ca="1">_xll.INSTRUMENT.PRIX(AC162,D162,H162,cTreasuries)</f>
        <v>110.58383360383856</v>
      </c>
      <c r="J162" s="122">
        <f ca="1">_xll.INSTRUMENT.DV01(A162,,,I162,cContinuous,I162)</f>
        <v>-4.2006048791541364E-2</v>
      </c>
      <c r="K162" s="123">
        <f ca="1">_xll.INSTRUMENT.CONVEXITE(A162,,,I162,cContinuous,I162)</f>
        <v>14.684380880897789</v>
      </c>
      <c r="L162" s="123">
        <f ca="1">_xll.INSTRUMENT.Z.SPREAD(A162,swapCurve,I162,cContinuous,D162)</f>
        <v>-18.920126648018428</v>
      </c>
      <c r="M162" s="123" t="e">
        <f ca="1">_xll.INSTRUMENT.Z.SPREAD(A162,ustCurve,I162,cContinuous,D162)</f>
        <v>#VALUE!</v>
      </c>
      <c r="N162" s="123">
        <f ca="1">_xll.INSTRUMENT.Z.SPREAD(A162,oisCurve,I162,cContinuous,D162)</f>
        <v>15.749679028988275</v>
      </c>
      <c r="O162" s="124" t="e">
        <f ca="1">1/_xll.CALENDRIER.FRAC.ANNEE(_xll.INSTRUMENT.DATE.REGLEMENT($AC162,,),_xll.INSTRUMENT.DATE.REGLEMENT($AC162,_xll.CALENDRIER.GAP.FINANCE(TODAY(),"1M","AUD","Unadjusted"),),"ACT/365")*(_xll.INSTRUMENT.ROLL.DOWN($A162,oisCurve,_xll.CALENDRIER.GAP.FINANCE(TODAY(),"1M","AUD","Unadjusted",TRUE),$N162)+100*$AA162*_xll.CALENDRIER.FRAC.ANNEE(_xll.INSTRUMENT.DATE.REGLEMENT($AC162,,),_xll.INSTRUMENT.DATE.REGLEMENT($AC162,_xll.CALENDRIER.GAP.FINANCE(TODAY(),"1M","AUD","Unadjusted"),),"ACT/365")-$I162)/$I162</f>
        <v>#NAME?</v>
      </c>
      <c r="P162" s="124" t="e">
        <f ca="1">1/_xll.CALENDRIER.FRAC.ANNEE(_xll.INSTRUMENT.DATE.REGLEMENT($AC162,,),_xll.INSTRUMENT.DATE.REGLEMENT($AC162,_xll.CALENDRIER.GAP.FINANCE(TODAY(),"3M","AUD","Unadjusted"),),"ACT/365")*(_xll.INSTRUMENT.ROLL.DOWN($A162,oisCurve,_xll.CALENDRIER.GAP.FINANCE(TODAY(),"3M","AUD","Unadjusted",TRUE),$N162)+100*$AA162*_xll.CALENDRIER.FRAC.ANNEE(_xll.INSTRUMENT.DATE.REGLEMENT($AC162,,),_xll.INSTRUMENT.DATE.REGLEMENT($AC162,_xll.CALENDRIER.GAP.FINANCE(TODAY(),"3M","AUD","Unadjusted"),),"ACT/365")-$I162)/$I162</f>
        <v>#NAME?</v>
      </c>
      <c r="Q162" s="371" t="e">
        <f ca="1">-(O162-curve!$T$3)/J162</f>
        <v>#NAME?</v>
      </c>
      <c r="R162" s="373">
        <f t="shared" ca="1" si="3"/>
        <v>-349.57777042469036</v>
      </c>
      <c r="S162" s="191" t="str">
        <f>IF(F162&lt;&gt;"","",IF(G162="","",-G162*(SUMIF('raw Data'!$A:$A,"RESINV1USD",'raw Data'!$G:$G)+SUMIF('raw Data'!$A:$A,"RESSWAPORUSD",'raw Data'!$G:$G))/(36500*J162)))</f>
        <v/>
      </c>
      <c r="T162" s="202" t="str">
        <f>IF(G162&lt;&gt;"","",IF(F162="","",-36500*J162*F162/(SUMIF('raw Data'!$A:$A,"RESINV1USD",'raw Data'!$G:$G)+SUMIF('raw Data'!$A:$A,"RESSWAPORUSD",'raw Data'!$G:$G))))</f>
        <v/>
      </c>
      <c r="U162" s="125">
        <f>SUMIF('raw Data'!$E:$E,A162,'raw Data'!$N:$N)</f>
        <v>0</v>
      </c>
      <c r="V162" s="126">
        <v>39994</v>
      </c>
      <c r="W162" s="127">
        <v>39994</v>
      </c>
      <c r="X162" s="127">
        <v>40178</v>
      </c>
      <c r="Y162" s="127">
        <v>42369</v>
      </c>
      <c r="Z162" s="127">
        <v>42551</v>
      </c>
      <c r="AA162" s="128">
        <v>3.2500000000000001E-2</v>
      </c>
      <c r="AB162" s="129">
        <v>27784000000.000004</v>
      </c>
      <c r="AC162" s="130" t="str">
        <f ca="1">IF(LEFT(B162,1)="B",_xll.INSTANCE.TBILL(A162,V162,Z162,TODAY()),_xll.INSTANCE.TNOTE(A162,V162,W162,X162,Y162,Z162,AA162,TODAY()))</f>
        <v>US912828KZ29#0003</v>
      </c>
    </row>
    <row r="163" spans="1:29" x14ac:dyDescent="0.35">
      <c r="A163" s="131" t="s">
        <v>230</v>
      </c>
      <c r="B163" s="115" t="s">
        <v>1139</v>
      </c>
      <c r="C163" s="364"/>
      <c r="D163" s="116"/>
      <c r="E163" s="117"/>
      <c r="F163" s="118"/>
      <c r="G163" s="369"/>
      <c r="H163" s="120">
        <v>5.74809E-3</v>
      </c>
      <c r="I163" s="121">
        <f ca="1">_xll.INSTRUMENT.PRIX(AC163,D163,H163,cTreasuries)</f>
        <v>103.65579629472367</v>
      </c>
      <c r="J163" s="122">
        <f ca="1">_xll.INSTRUMENT.DV01(A163,,,I163,cContinuous,I163)</f>
        <v>-4.0448631938847998E-2</v>
      </c>
      <c r="K163" s="123">
        <f ca="1">_xll.INSTRUMENT.CONVEXITE(A163,,,I163,cContinuous,I163)</f>
        <v>15.358484035365951</v>
      </c>
      <c r="L163" s="123">
        <f ca="1">_xll.INSTRUMENT.Z.SPREAD(A163,swapCurve,I163,cContinuous,D163)</f>
        <v>-19.126097352498729</v>
      </c>
      <c r="M163" s="123" t="e">
        <f ca="1">_xll.INSTRUMENT.Z.SPREAD(A163,ustCurve,I163,cContinuous,D163)</f>
        <v>#VALUE!</v>
      </c>
      <c r="N163" s="123">
        <f ca="1">_xll.INSTRUMENT.Z.SPREAD(A163,oisCurve,I163,cContinuous,D163)</f>
        <v>15.575918257527203</v>
      </c>
      <c r="O163" s="124" t="e">
        <f ca="1">1/_xll.CALENDRIER.FRAC.ANNEE(_xll.INSTRUMENT.DATE.REGLEMENT($AC163,,),_xll.INSTRUMENT.DATE.REGLEMENT($AC163,_xll.CALENDRIER.GAP.FINANCE(TODAY(),"1M","AUD","Unadjusted"),),"ACT/365")*(_xll.INSTRUMENT.ROLL.DOWN($A163,oisCurve,_xll.CALENDRIER.GAP.FINANCE(TODAY(),"1M","AUD","Unadjusted",TRUE),$N163)+100*$AA163*_xll.CALENDRIER.FRAC.ANNEE(_xll.INSTRUMENT.DATE.REGLEMENT($AC163,,),_xll.INSTRUMENT.DATE.REGLEMENT($AC163,_xll.CALENDRIER.GAP.FINANCE(TODAY(),"1M","AUD","Unadjusted"),),"ACT/365")-$I163)/$I163</f>
        <v>#NAME?</v>
      </c>
      <c r="P163" s="124" t="e">
        <f ca="1">1/_xll.CALENDRIER.FRAC.ANNEE(_xll.INSTRUMENT.DATE.REGLEMENT($AC163,,),_xll.INSTRUMENT.DATE.REGLEMENT($AC163,_xll.CALENDRIER.GAP.FINANCE(TODAY(),"3M","AUD","Unadjusted"),),"ACT/365")*(_xll.INSTRUMENT.ROLL.DOWN($A163,oisCurve,_xll.CALENDRIER.GAP.FINANCE(TODAY(),"3M","AUD","Unadjusted",TRUE),$N163)+100*$AA163*_xll.CALENDRIER.FRAC.ANNEE(_xll.INSTRUMENT.DATE.REGLEMENT($AC163,,),_xll.INSTRUMENT.DATE.REGLEMENT($AC163,_xll.CALENDRIER.GAP.FINANCE(TODAY(),"3M","AUD","Unadjusted"),),"ACT/365")-$I163)/$I163</f>
        <v>#NAME?</v>
      </c>
      <c r="Q163" s="371" t="e">
        <f ca="1">-(O163-curve!$T$3)/J163</f>
        <v>#NAME?</v>
      </c>
      <c r="R163" s="373">
        <f t="shared" ca="1" si="3"/>
        <v>-379.70342380393919</v>
      </c>
      <c r="S163" s="191" t="str">
        <f>IF(F163&lt;&gt;"","",IF(G163="","",-G163*(SUMIF('raw Data'!$A:$A,"RESINV1USD",'raw Data'!$G:$G)+SUMIF('raw Data'!$A:$A,"RESSWAPORUSD",'raw Data'!$G:$G))/(36500*J163)))</f>
        <v/>
      </c>
      <c r="T163" s="202" t="str">
        <f>IF(G163&lt;&gt;"","",IF(F163="","",-36500*J163*F163/(SUMIF('raw Data'!$A:$A,"RESINV1USD",'raw Data'!$G:$G)+SUMIF('raw Data'!$A:$A,"RESSWAPORUSD",'raw Data'!$G:$G))))</f>
        <v/>
      </c>
      <c r="U163" s="125">
        <f>SUMIF('raw Data'!$E:$E,A163,'raw Data'!$N:$N)</f>
        <v>0</v>
      </c>
      <c r="V163" s="126">
        <v>40724</v>
      </c>
      <c r="W163" s="127">
        <v>40724</v>
      </c>
      <c r="X163" s="127">
        <v>40908</v>
      </c>
      <c r="Y163" s="127">
        <v>42369</v>
      </c>
      <c r="Z163" s="127">
        <v>42551</v>
      </c>
      <c r="AA163" s="128">
        <v>1.4999999999999999E-2</v>
      </c>
      <c r="AB163" s="129">
        <v>36127000000</v>
      </c>
      <c r="AC163" s="130" t="str">
        <f ca="1">IF(LEFT(B163,1)="B",_xll.INSTANCE.TBILL(A163,V163,Z163,TODAY()),_xll.INSTANCE.TNOTE(A163,V163,W163,X163,Y163,Z163,AA163,TODAY()))</f>
        <v>US912828QR49#0003</v>
      </c>
    </row>
    <row r="164" spans="1:29" x14ac:dyDescent="0.35">
      <c r="A164" s="131" t="s">
        <v>232</v>
      </c>
      <c r="B164" s="115" t="s">
        <v>1140</v>
      </c>
      <c r="C164" s="364"/>
      <c r="D164" s="116"/>
      <c r="E164" s="117"/>
      <c r="F164" s="118"/>
      <c r="G164" s="369"/>
      <c r="H164" s="120">
        <v>5.8966669999999995E-3</v>
      </c>
      <c r="I164" s="121">
        <f ca="1">_xll.INSTRUMENT.PRIX(AC164,D164,H164,cTreasuries)</f>
        <v>103.67154518660114</v>
      </c>
      <c r="J164" s="122">
        <f ca="1">_xll.INSTRUMENT.DV01(A164,,,I164,cContinuous,I164)</f>
        <v>-4.1288131114701102E-2</v>
      </c>
      <c r="K164" s="123">
        <f ca="1">_xll.INSTRUMENT.CONVEXITE(A164,,,I164,cContinuous,I164)</f>
        <v>16.043104887709919</v>
      </c>
      <c r="L164" s="123">
        <f ca="1">_xll.INSTRUMENT.Z.SPREAD(A164,swapCurve,I164,cContinuous,D164)</f>
        <v>-19.26394120089779</v>
      </c>
      <c r="M164" s="123" t="e">
        <f ca="1">_xll.INSTRUMENT.Z.SPREAD(A164,ustCurve,I164,cContinuous,D164)</f>
        <v>#VALUE!</v>
      </c>
      <c r="N164" s="123">
        <f ca="1">_xll.INSTRUMENT.Z.SPREAD(A164,oisCurve,I164,cContinuous,D164)</f>
        <v>15.423434720257402</v>
      </c>
      <c r="O164" s="124" t="e">
        <f ca="1">1/_xll.CALENDRIER.FRAC.ANNEE(_xll.INSTRUMENT.DATE.REGLEMENT($AC164,,),_xll.INSTRUMENT.DATE.REGLEMENT($AC164,_xll.CALENDRIER.GAP.FINANCE(TODAY(),"1M","AUD","Unadjusted"),),"ACT/365")*(_xll.INSTRUMENT.ROLL.DOWN($A164,oisCurve,_xll.CALENDRIER.GAP.FINANCE(TODAY(),"1M","AUD","Unadjusted",TRUE),$N164)+100*$AA164*_xll.CALENDRIER.FRAC.ANNEE(_xll.INSTRUMENT.DATE.REGLEMENT($AC164,,),_xll.INSTRUMENT.DATE.REGLEMENT($AC164,_xll.CALENDRIER.GAP.FINANCE(TODAY(),"1M","AUD","Unadjusted"),),"ACT/365")-$I164)/$I164</f>
        <v>#NAME?</v>
      </c>
      <c r="P164" s="124" t="e">
        <f ca="1">1/_xll.CALENDRIER.FRAC.ANNEE(_xll.INSTRUMENT.DATE.REGLEMENT($AC164,,),_xll.INSTRUMENT.DATE.REGLEMENT($AC164,_xll.CALENDRIER.GAP.FINANCE(TODAY(),"3M","AUD","Unadjusted"),),"ACT/365")*(_xll.INSTRUMENT.ROLL.DOWN($A164,oisCurve,_xll.CALENDRIER.GAP.FINANCE(TODAY(),"3M","AUD","Unadjusted",TRUE),$N164)+100*$AA164*_xll.CALENDRIER.FRAC.ANNEE(_xll.INSTRUMENT.DATE.REGLEMENT($AC164,,),_xll.INSTRUMENT.DATE.REGLEMENT($AC164,_xll.CALENDRIER.GAP.FINANCE(TODAY(),"3M","AUD","Unadjusted"),),"ACT/365")-$I164)/$I164</f>
        <v>#NAME?</v>
      </c>
      <c r="Q164" s="371" t="e">
        <f ca="1">-(O164-curve!$T$3)/J164</f>
        <v>#NAME?</v>
      </c>
      <c r="R164" s="373">
        <f t="shared" ca="1" si="3"/>
        <v>-388.56456939504324</v>
      </c>
      <c r="S164" s="191" t="str">
        <f>IF(F164&lt;&gt;"","",IF(G164="","",-G164*(SUMIF('raw Data'!$A:$A,"RESINV1USD",'raw Data'!$G:$G)+SUMIF('raw Data'!$A:$A,"RESSWAPORUSD",'raw Data'!$G:$G))/(36500*J164)))</f>
        <v/>
      </c>
      <c r="T164" s="202" t="str">
        <f>IF(G164&lt;&gt;"","",IF(F164="","",-36500*J164*F164/(SUMIF('raw Data'!$A:$A,"RESINV1USD",'raw Data'!$G:$G)+SUMIF('raw Data'!$A:$A,"RESSWAPORUSD",'raw Data'!$G:$G))))</f>
        <v/>
      </c>
      <c r="U164" s="125">
        <f>SUMIF('raw Data'!$E:$E,A164,'raw Data'!$N:$N)</f>
        <v>0</v>
      </c>
      <c r="V164" s="126">
        <v>40756</v>
      </c>
      <c r="W164" s="127">
        <v>40755</v>
      </c>
      <c r="X164" s="127">
        <v>40939</v>
      </c>
      <c r="Y164" s="127">
        <v>42400</v>
      </c>
      <c r="Z164" s="127">
        <v>42582</v>
      </c>
      <c r="AA164" s="128">
        <v>1.4999999999999999E-2</v>
      </c>
      <c r="AB164" s="129">
        <v>36041000000</v>
      </c>
      <c r="AC164" s="130" t="str">
        <f ca="1">IF(LEFT(B164,1)="B",_xll.INSTANCE.TBILL(A164,V164,Z164,TODAY()),_xll.INSTANCE.TNOTE(A164,V164,W164,X164,Y164,Z164,AA164,TODAY()))</f>
        <v>US912828QX17#0003</v>
      </c>
    </row>
    <row r="165" spans="1:29" x14ac:dyDescent="0.35">
      <c r="A165" s="131" t="s">
        <v>495</v>
      </c>
      <c r="B165" s="115" t="s">
        <v>1141</v>
      </c>
      <c r="C165" s="364"/>
      <c r="D165" s="116"/>
      <c r="E165" s="117"/>
      <c r="F165" s="118"/>
      <c r="G165" s="369"/>
      <c r="H165" s="120">
        <v>5.852884E-3</v>
      </c>
      <c r="I165" s="121">
        <f ca="1">_xll.INSTRUMENT.PRIX(AC165,D165,H165,cTreasuries)</f>
        <v>110.74810475821238</v>
      </c>
      <c r="J165" s="122">
        <f ca="1">_xll.INSTRUMENT.DV01(A165,,,I165,cContinuous,I165)</f>
        <v>-4.2912506518981458E-2</v>
      </c>
      <c r="K165" s="123">
        <f ca="1">_xll.INSTRUMENT.CONVEXITE(A165,,,I165,cContinuous,I165)</f>
        <v>15.345746070077873</v>
      </c>
      <c r="L165" s="123">
        <f ca="1">_xll.INSTRUMENT.Z.SPREAD(A165,swapCurve,I165,cContinuous,D165)</f>
        <v>-19.13797540260013</v>
      </c>
      <c r="M165" s="123" t="e">
        <f ca="1">_xll.INSTRUMENT.Z.SPREAD(A165,ustCurve,I165,cContinuous,D165)</f>
        <v>#VALUE!</v>
      </c>
      <c r="N165" s="123">
        <f ca="1">_xll.INSTRUMENT.Z.SPREAD(A165,oisCurve,I165,cContinuous,D165)</f>
        <v>15.514828756775842</v>
      </c>
      <c r="O165" s="124" t="e">
        <f ca="1">1/_xll.CALENDRIER.FRAC.ANNEE(_xll.INSTRUMENT.DATE.REGLEMENT($AC165,,),_xll.INSTRUMENT.DATE.REGLEMENT($AC165,_xll.CALENDRIER.GAP.FINANCE(TODAY(),"1M","AUD","Unadjusted"),),"ACT/365")*(_xll.INSTRUMENT.ROLL.DOWN($A165,oisCurve,_xll.CALENDRIER.GAP.FINANCE(TODAY(),"1M","AUD","Unadjusted",TRUE),$N165)+100*$AA165*_xll.CALENDRIER.FRAC.ANNEE(_xll.INSTRUMENT.DATE.REGLEMENT($AC165,,),_xll.INSTRUMENT.DATE.REGLEMENT($AC165,_xll.CALENDRIER.GAP.FINANCE(TODAY(),"1M","AUD","Unadjusted"),),"ACT/365")-$I165)/$I165</f>
        <v>#NAME?</v>
      </c>
      <c r="P165" s="124" t="e">
        <f ca="1">1/_xll.CALENDRIER.FRAC.ANNEE(_xll.INSTRUMENT.DATE.REGLEMENT($AC165,,),_xll.INSTRUMENT.DATE.REGLEMENT($AC165,_xll.CALENDRIER.GAP.FINANCE(TODAY(),"3M","AUD","Unadjusted"),),"ACT/365")*(_xll.INSTRUMENT.ROLL.DOWN($A165,oisCurve,_xll.CALENDRIER.GAP.FINANCE(TODAY(),"3M","AUD","Unadjusted",TRUE),$N165)+100*$AA165*_xll.CALENDRIER.FRAC.ANNEE(_xll.INSTRUMENT.DATE.REGLEMENT($AC165,,),_xll.INSTRUMENT.DATE.REGLEMENT($AC165,_xll.CALENDRIER.GAP.FINANCE(TODAY(),"3M","AUD","Unadjusted"),),"ACT/365")-$I165)/$I165</f>
        <v>#NAME?</v>
      </c>
      <c r="Q165" s="371" t="e">
        <f ca="1">-(O165-curve!$T$3)/J165</f>
        <v>#NAME?</v>
      </c>
      <c r="R165" s="373">
        <f t="shared" ca="1" si="3"/>
        <v>-357.60544687106545</v>
      </c>
      <c r="S165" s="191" t="str">
        <f>IF(F165&lt;&gt;"","",IF(G165="","",-G165*(SUMIF('raw Data'!$A:$A,"RESINV1USD",'raw Data'!$G:$G)+SUMIF('raw Data'!$A:$A,"RESSWAPORUSD",'raw Data'!$G:$G))/(36500*J165)))</f>
        <v/>
      </c>
      <c r="T165" s="202" t="str">
        <f>IF(G165&lt;&gt;"","",IF(F165="","",-36500*J165*F165/(SUMIF('raw Data'!$A:$A,"RESINV1USD",'raw Data'!$G:$G)+SUMIF('raw Data'!$A:$A,"RESSWAPORUSD",'raw Data'!$G:$G))))</f>
        <v/>
      </c>
      <c r="U165" s="125">
        <f>SUMIF('raw Data'!$E:$E,A165,'raw Data'!$N:$N)</f>
        <v>0</v>
      </c>
      <c r="V165" s="126">
        <v>40025</v>
      </c>
      <c r="W165" s="127">
        <v>40025</v>
      </c>
      <c r="X165" s="127">
        <v>40209</v>
      </c>
      <c r="Y165" s="127">
        <v>42400</v>
      </c>
      <c r="Z165" s="127">
        <v>42582</v>
      </c>
      <c r="AA165" s="128">
        <v>3.2500000000000001E-2</v>
      </c>
      <c r="AB165" s="129">
        <v>28701000000</v>
      </c>
      <c r="AC165" s="130" t="str">
        <f ca="1">IF(LEFT(B165,1)="B",_xll.INSTANCE.TBILL(A165,V165,Z165,TODAY()),_xll.INSTANCE.TNOTE(A165,V165,W165,X165,Y165,Z165,AA165,TODAY()))</f>
        <v>US912828LD08#0003</v>
      </c>
    </row>
    <row r="166" spans="1:29" x14ac:dyDescent="0.35">
      <c r="A166" s="131" t="s">
        <v>496</v>
      </c>
      <c r="B166" s="115" t="s">
        <v>1142</v>
      </c>
      <c r="C166" s="364"/>
      <c r="D166" s="116"/>
      <c r="E166" s="117"/>
      <c r="F166" s="118"/>
      <c r="G166" s="369"/>
      <c r="H166" s="120">
        <v>5.9810540000000004E-3</v>
      </c>
      <c r="I166" s="121">
        <f ca="1">_xll.INSTRUMENT.PRIX(AC166,D166,H166,cTreasuries)</f>
        <v>117.41738248588835</v>
      </c>
      <c r="J166" s="122">
        <f ca="1">_xll.INSTRUMENT.DV01(A166,,,I166,cContinuous,I166)</f>
        <v>-4.4869493518982485E-2</v>
      </c>
      <c r="K166" s="123">
        <f ca="1">_xll.INSTRUMENT.CONVEXITE(A166,,,I166,cContinuous,I166)</f>
        <v>15.06840401704102</v>
      </c>
      <c r="L166" s="123">
        <f ca="1">_xll.INSTRUMENT.Z.SPREAD(A166,swapCurve,I166,cContinuous,D166)</f>
        <v>-18.003033978782621</v>
      </c>
      <c r="M166" s="123" t="e">
        <f ca="1">_xll.INSTRUMENT.Z.SPREAD(A166,ustCurve,I166,cContinuous,D166)</f>
        <v>#VALUE!</v>
      </c>
      <c r="N166" s="123">
        <f ca="1">_xll.INSTRUMENT.Z.SPREAD(A166,oisCurve,I166,cContinuous,D166)</f>
        <v>16.613234997783721</v>
      </c>
      <c r="O166" s="124" t="e">
        <f ca="1">1/_xll.CALENDRIER.FRAC.ANNEE(_xll.INSTRUMENT.DATE.REGLEMENT($AC166,,),_xll.INSTRUMENT.DATE.REGLEMENT($AC166,_xll.CALENDRIER.GAP.FINANCE(TODAY(),"1M","AUD","Unadjusted"),),"ACT/365")*(_xll.INSTRUMENT.ROLL.DOWN($A166,oisCurve,_xll.CALENDRIER.GAP.FINANCE(TODAY(),"1M","AUD","Unadjusted",TRUE),$N166)+100*$AA166*_xll.CALENDRIER.FRAC.ANNEE(_xll.INSTRUMENT.DATE.REGLEMENT($AC166,,),_xll.INSTRUMENT.DATE.REGLEMENT($AC166,_xll.CALENDRIER.GAP.FINANCE(TODAY(),"1M","AUD","Unadjusted"),),"ACT/365")-$I166)/$I166</f>
        <v>#NAME?</v>
      </c>
      <c r="P166" s="124" t="e">
        <f ca="1">1/_xll.CALENDRIER.FRAC.ANNEE(_xll.INSTRUMENT.DATE.REGLEMENT($AC166,,),_xll.INSTRUMENT.DATE.REGLEMENT($AC166,_xll.CALENDRIER.GAP.FINANCE(TODAY(),"3M","AUD","Unadjusted"),),"ACT/365")*(_xll.INSTRUMENT.ROLL.DOWN($A166,oisCurve,_xll.CALENDRIER.GAP.FINANCE(TODAY(),"3M","AUD","Unadjusted",TRUE),$N166)+100*$AA166*_xll.CALENDRIER.FRAC.ANNEE(_xll.INSTRUMENT.DATE.REGLEMENT($AC166,,),_xll.INSTRUMENT.DATE.REGLEMENT($AC166,_xll.CALENDRIER.GAP.FINANCE(TODAY(),"3M","AUD","Unadjusted"),),"ACT/365")-$I166)/$I166</f>
        <v>#NAME?</v>
      </c>
      <c r="Q166" s="371" t="e">
        <f ca="1">-(O166-curve!$T$3)/J166</f>
        <v>#NAME?</v>
      </c>
      <c r="R166" s="373">
        <f t="shared" ca="1" si="3"/>
        <v>-335.82737034163716</v>
      </c>
      <c r="S166" s="191" t="str">
        <f>IF(F166&lt;&gt;"","",IF(G166="","",-G166*(SUMIF('raw Data'!$A:$A,"RESINV1USD",'raw Data'!$G:$G)+SUMIF('raw Data'!$A:$A,"RESSWAPORUSD",'raw Data'!$G:$G))/(36500*J166)))</f>
        <v/>
      </c>
      <c r="T166" s="202" t="str">
        <f>IF(G166&lt;&gt;"","",IF(F166="","",-36500*J166*F166/(SUMIF('raw Data'!$A:$A,"RESINV1USD",'raw Data'!$G:$G)+SUMIF('raw Data'!$A:$A,"RESSWAPORUSD",'raw Data'!$G:$G))))</f>
        <v/>
      </c>
      <c r="U166" s="125">
        <f>SUMIF('raw Data'!$E:$E,A166,'raw Data'!$N:$N)</f>
        <v>0</v>
      </c>
      <c r="V166" s="126">
        <v>38944</v>
      </c>
      <c r="W166" s="127">
        <v>38944</v>
      </c>
      <c r="X166" s="127">
        <v>39128</v>
      </c>
      <c r="Y166" s="127">
        <v>42415</v>
      </c>
      <c r="Z166" s="127">
        <v>42597</v>
      </c>
      <c r="AA166" s="128">
        <v>4.8750000000000002E-2</v>
      </c>
      <c r="AB166" s="129">
        <v>22557000000</v>
      </c>
      <c r="AC166" s="130" t="str">
        <f ca="1">IF(LEFT(B166,1)="B",_xll.INSTANCE.TBILL(A166,V166,Z166,TODAY()),_xll.INSTANCE.TNOTE(A166,V166,W166,X166,Y166,Z166,AA166,TODAY()))</f>
        <v>US912828FQ84#0003</v>
      </c>
    </row>
    <row r="167" spans="1:29" x14ac:dyDescent="0.35">
      <c r="A167" s="131" t="s">
        <v>497</v>
      </c>
      <c r="B167" s="115" t="s">
        <v>1143</v>
      </c>
      <c r="C167" s="364"/>
      <c r="D167" s="116"/>
      <c r="E167" s="117"/>
      <c r="F167" s="118"/>
      <c r="G167" s="369"/>
      <c r="H167" s="120">
        <v>5.9660519999999995E-3</v>
      </c>
      <c r="I167" s="121">
        <f ca="1">_xll.INSTRUMENT.PRIX(AC167,D167,H167,cTreasuries)</f>
        <v>109.88569843323125</v>
      </c>
      <c r="J167" s="122">
        <f ca="1">_xll.INSTRUMENT.DV01(A167,,,I167,cContinuous,I167)</f>
        <v>-4.3575521796093898E-2</v>
      </c>
      <c r="K167" s="123">
        <f ca="1">_xll.INSTRUMENT.CONVEXITE(A167,,,I167,cContinuous,I167)</f>
        <v>16.076537831967812</v>
      </c>
      <c r="L167" s="123">
        <f ca="1">_xll.INSTRUMENT.Z.SPREAD(A167,swapCurve,I167,cContinuous,D167)</f>
        <v>-19.509016719651679</v>
      </c>
      <c r="M167" s="123" t="e">
        <f ca="1">_xll.INSTRUMENT.Z.SPREAD(A167,ustCurve,I167,cContinuous,D167)</f>
        <v>#VALUE!</v>
      </c>
      <c r="N167" s="123">
        <f ca="1">_xll.INSTRUMENT.Z.SPREAD(A167,oisCurve,I167,cContinuous,D167)</f>
        <v>15.13699820722948</v>
      </c>
      <c r="O167" s="124" t="e">
        <f ca="1">1/_xll.CALENDRIER.FRAC.ANNEE(_xll.INSTRUMENT.DATE.REGLEMENT($AC167,,),_xll.INSTRUMENT.DATE.REGLEMENT($AC167,_xll.CALENDRIER.GAP.FINANCE(TODAY(),"1M","AUD","Unadjusted"),),"ACT/365")*(_xll.INSTRUMENT.ROLL.DOWN($A167,oisCurve,_xll.CALENDRIER.GAP.FINANCE(TODAY(),"1M","AUD","Unadjusted",TRUE),$N167)+100*$AA167*_xll.CALENDRIER.FRAC.ANNEE(_xll.INSTRUMENT.DATE.REGLEMENT($AC167,,),_xll.INSTRUMENT.DATE.REGLEMENT($AC167,_xll.CALENDRIER.GAP.FINANCE(TODAY(),"1M","AUD","Unadjusted"),),"ACT/365")-$I167)/$I167</f>
        <v>#NAME?</v>
      </c>
      <c r="P167" s="124" t="e">
        <f ca="1">1/_xll.CALENDRIER.FRAC.ANNEE(_xll.INSTRUMENT.DATE.REGLEMENT($AC167,,),_xll.INSTRUMENT.DATE.REGLEMENT($AC167,_xll.CALENDRIER.GAP.FINANCE(TODAY(),"3M","AUD","Unadjusted"),),"ACT/365")*(_xll.INSTRUMENT.ROLL.DOWN($A167,oisCurve,_xll.CALENDRIER.GAP.FINANCE(TODAY(),"3M","AUD","Unadjusted",TRUE),$N167)+100*$AA167*_xll.CALENDRIER.FRAC.ANNEE(_xll.INSTRUMENT.DATE.REGLEMENT($AC167,,),_xll.INSTRUMENT.DATE.REGLEMENT($AC167,_xll.CALENDRIER.GAP.FINANCE(TODAY(),"3M","AUD","Unadjusted"),),"ACT/365")-$I167)/$I167</f>
        <v>#NAME?</v>
      </c>
      <c r="Q167" s="371" t="e">
        <f ca="1">-(O167-curve!$T$3)/J167</f>
        <v>#NAME?</v>
      </c>
      <c r="R167" s="373">
        <f t="shared" ca="1" si="3"/>
        <v>-368.93506191838441</v>
      </c>
      <c r="S167" s="191" t="str">
        <f>IF(F167&lt;&gt;"","",IF(G167="","",-G167*(SUMIF('raw Data'!$A:$A,"RESINV1USD",'raw Data'!$G:$G)+SUMIF('raw Data'!$A:$A,"RESSWAPORUSD",'raw Data'!$G:$G))/(36500*J167)))</f>
        <v/>
      </c>
      <c r="T167" s="202" t="str">
        <f>IF(G167&lt;&gt;"","",IF(F167="","",-36500*J167*F167/(SUMIF('raw Data'!$A:$A,"RESINV1USD",'raw Data'!$G:$G)+SUMIF('raw Data'!$A:$A,"RESSWAPORUSD",'raw Data'!$G:$G))))</f>
        <v/>
      </c>
      <c r="U167" s="125">
        <f>SUMIF('raw Data'!$E:$E,A167,'raw Data'!$N:$N)</f>
        <v>0</v>
      </c>
      <c r="V167" s="126">
        <v>40056</v>
      </c>
      <c r="W167" s="127">
        <v>40056</v>
      </c>
      <c r="X167" s="127">
        <v>40237</v>
      </c>
      <c r="Y167" s="127">
        <v>42429</v>
      </c>
      <c r="Z167" s="127">
        <v>42613</v>
      </c>
      <c r="AA167" s="128">
        <v>0.03</v>
      </c>
      <c r="AB167" s="129">
        <v>28843000000.000004</v>
      </c>
      <c r="AC167" s="130" t="str">
        <f ca="1">IF(LEFT(B167,1)="B",_xll.INSTANCE.TBILL(A167,V167,Z167,TODAY()),_xll.INSTANCE.TNOTE(A167,V167,W167,X167,Y167,Z167,AA167,TODAY()))</f>
        <v>US912828LL24#0003</v>
      </c>
    </row>
    <row r="168" spans="1:29" x14ac:dyDescent="0.35">
      <c r="A168" s="131" t="s">
        <v>234</v>
      </c>
      <c r="B168" s="115" t="s">
        <v>1144</v>
      </c>
      <c r="C168" s="364"/>
      <c r="D168" s="116"/>
      <c r="E168" s="117"/>
      <c r="F168" s="118"/>
      <c r="G168" s="369"/>
      <c r="H168" s="120">
        <v>6.0221650000000003E-3</v>
      </c>
      <c r="I168" s="121">
        <f ca="1">_xll.INSTRUMENT.PRIX(AC168,D168,H168,cTreasuries)</f>
        <v>101.63533602896045</v>
      </c>
      <c r="J168" s="122">
        <f ca="1">_xll.INSTRUMENT.DV01(A168,,,I168,cContinuous,I168)</f>
        <v>-4.1646860002036844E-2</v>
      </c>
      <c r="K168" s="123">
        <f ca="1">_xll.INSTRUMENT.CONVEXITE(A168,,,I168,cContinuous,I168)</f>
        <v>16.924603961332995</v>
      </c>
      <c r="L168" s="123">
        <f ca="1">_xll.INSTRUMENT.Z.SPREAD(A168,swapCurve,I168,cContinuous,D168)</f>
        <v>-19.646775926378705</v>
      </c>
      <c r="M168" s="123" t="e">
        <f ca="1">_xll.INSTRUMENT.Z.SPREAD(A168,ustCurve,I168,cContinuous,D168)</f>
        <v>#VALUE!</v>
      </c>
      <c r="N168" s="123">
        <f ca="1">_xll.INSTRUMENT.Z.SPREAD(A168,oisCurve,I168,cContinuous,D168)</f>
        <v>15.038248851766147</v>
      </c>
      <c r="O168" s="124" t="e">
        <f ca="1">1/_xll.CALENDRIER.FRAC.ANNEE(_xll.INSTRUMENT.DATE.REGLEMENT($AC168,,),_xll.INSTRUMENT.DATE.REGLEMENT($AC168,_xll.CALENDRIER.GAP.FINANCE(TODAY(),"1M","AUD","Unadjusted"),),"ACT/365")*(_xll.INSTRUMENT.ROLL.DOWN($A168,oisCurve,_xll.CALENDRIER.GAP.FINANCE(TODAY(),"1M","AUD","Unadjusted",TRUE),$N168)+100*$AA168*_xll.CALENDRIER.FRAC.ANNEE(_xll.INSTRUMENT.DATE.REGLEMENT($AC168,,),_xll.INSTRUMENT.DATE.REGLEMENT($AC168,_xll.CALENDRIER.GAP.FINANCE(TODAY(),"1M","AUD","Unadjusted"),),"ACT/365")-$I168)/$I168</f>
        <v>#NAME?</v>
      </c>
      <c r="P168" s="124" t="e">
        <f ca="1">1/_xll.CALENDRIER.FRAC.ANNEE(_xll.INSTRUMENT.DATE.REGLEMENT($AC168,,),_xll.INSTRUMENT.DATE.REGLEMENT($AC168,_xll.CALENDRIER.GAP.FINANCE(TODAY(),"3M","AUD","Unadjusted"),),"ACT/365")*(_xll.INSTRUMENT.ROLL.DOWN($A168,oisCurve,_xll.CALENDRIER.GAP.FINANCE(TODAY(),"3M","AUD","Unadjusted",TRUE),$N168)+100*$AA168*_xll.CALENDRIER.FRAC.ANNEE(_xll.INSTRUMENT.DATE.REGLEMENT($AC168,,),_xll.INSTRUMENT.DATE.REGLEMENT($AC168,_xll.CALENDRIER.GAP.FINANCE(TODAY(),"3M","AUD","Unadjusted"),),"ACT/365")-$I168)/$I168</f>
        <v>#NAME?</v>
      </c>
      <c r="Q168" s="371" t="e">
        <f ca="1">-(O168-curve!$T$3)/J168</f>
        <v>#NAME?</v>
      </c>
      <c r="R168" s="373">
        <f t="shared" ca="1" si="3"/>
        <v>-406.38367359520635</v>
      </c>
      <c r="S168" s="191" t="str">
        <f>IF(F168&lt;&gt;"","",IF(G168="","",-G168*(SUMIF('raw Data'!$A:$A,"RESINV1USD",'raw Data'!$G:$G)+SUMIF('raw Data'!$A:$A,"RESSWAPORUSD",'raw Data'!$G:$G))/(36500*J168)))</f>
        <v/>
      </c>
      <c r="T168" s="202" t="str">
        <f>IF(G168&lt;&gt;"","",IF(F168="","",-36500*J168*F168/(SUMIF('raw Data'!$A:$A,"RESINV1USD",'raw Data'!$G:$G)+SUMIF('raw Data'!$A:$A,"RESSWAPORUSD",'raw Data'!$G:$G))))</f>
        <v/>
      </c>
      <c r="U168" s="125">
        <f>SUMIF('raw Data'!$E:$E,A168,'raw Data'!$N:$N)</f>
        <v>0</v>
      </c>
      <c r="V168" s="126">
        <v>40786</v>
      </c>
      <c r="W168" s="127">
        <v>40786</v>
      </c>
      <c r="X168" s="127">
        <v>40968</v>
      </c>
      <c r="Y168" s="127">
        <v>42429</v>
      </c>
      <c r="Z168" s="127">
        <v>42613</v>
      </c>
      <c r="AA168" s="128">
        <v>0.01</v>
      </c>
      <c r="AB168" s="129">
        <v>36070000000</v>
      </c>
      <c r="AC168" s="130" t="str">
        <f ca="1">IF(LEFT(B168,1)="B",_xll.INSTANCE.TBILL(A168,V168,Z168,TODAY()),_xll.INSTANCE.TNOTE(A168,V168,W168,X168,Y168,Z168,AA168,TODAY()))</f>
        <v>US912828RF91#0003</v>
      </c>
    </row>
    <row r="169" spans="1:29" x14ac:dyDescent="0.35">
      <c r="A169" s="131" t="s">
        <v>498</v>
      </c>
      <c r="B169" s="115" t="s">
        <v>1145</v>
      </c>
      <c r="C169" s="364"/>
      <c r="D169" s="116"/>
      <c r="E169" s="117"/>
      <c r="F169" s="118"/>
      <c r="G169" s="369"/>
      <c r="H169" s="120">
        <v>6.1570820000000004E-3</v>
      </c>
      <c r="I169" s="121">
        <f ca="1">_xll.INSTRUMENT.PRIX(AC169,D169,H169,cTreasuries)</f>
        <v>109.99551239608871</v>
      </c>
      <c r="J169" s="122">
        <f ca="1">_xll.INSTRUMENT.DV01(A169,,,I169,cContinuous,I169)</f>
        <v>-4.4429093009620099E-2</v>
      </c>
      <c r="K169" s="123">
        <f ca="1">_xll.INSTRUMENT.CONVEXITE(A169,,,I169,cContinuous,I169)</f>
        <v>16.72676220982984</v>
      </c>
      <c r="L169" s="123">
        <f ca="1">_xll.INSTRUMENT.Z.SPREAD(A169,swapCurve,I169,cContinuous,D169)</f>
        <v>-19.075262453610641</v>
      </c>
      <c r="M169" s="123" t="e">
        <f ca="1">_xll.INSTRUMENT.Z.SPREAD(A169,ustCurve,I169,cContinuous,D169)</f>
        <v>#VALUE!</v>
      </c>
      <c r="N169" s="123">
        <f ca="1">_xll.INSTRUMENT.Z.SPREAD(A169,oisCurve,I169,cContinuous,D169)</f>
        <v>15.564818555860651</v>
      </c>
      <c r="O169" s="124" t="e">
        <f ca="1">1/_xll.CALENDRIER.FRAC.ANNEE(_xll.INSTRUMENT.DATE.REGLEMENT($AC169,,),_xll.INSTRUMENT.DATE.REGLEMENT($AC169,_xll.CALENDRIER.GAP.FINANCE(TODAY(),"1M","AUD","Unadjusted"),),"ACT/365")*(_xll.INSTRUMENT.ROLL.DOWN($A169,oisCurve,_xll.CALENDRIER.GAP.FINANCE(TODAY(),"1M","AUD","Unadjusted",TRUE),$N169)+100*$AA169*_xll.CALENDRIER.FRAC.ANNEE(_xll.INSTRUMENT.DATE.REGLEMENT($AC169,,),_xll.INSTRUMENT.DATE.REGLEMENT($AC169,_xll.CALENDRIER.GAP.FINANCE(TODAY(),"1M","AUD","Unadjusted"),),"ACT/365")-$I169)/$I169</f>
        <v>#NAME?</v>
      </c>
      <c r="P169" s="124" t="e">
        <f ca="1">1/_xll.CALENDRIER.FRAC.ANNEE(_xll.INSTRUMENT.DATE.REGLEMENT($AC169,,),_xll.INSTRUMENT.DATE.REGLEMENT($AC169,_xll.CALENDRIER.GAP.FINANCE(TODAY(),"3M","AUD","Unadjusted"),),"ACT/365")*(_xll.INSTRUMENT.ROLL.DOWN($A169,oisCurve,_xll.CALENDRIER.GAP.FINANCE(TODAY(),"3M","AUD","Unadjusted",TRUE),$N169)+100*$AA169*_xll.CALENDRIER.FRAC.ANNEE(_xll.INSTRUMENT.DATE.REGLEMENT($AC169,,),_xll.INSTRUMENT.DATE.REGLEMENT($AC169,_xll.CALENDRIER.GAP.FINANCE(TODAY(),"3M","AUD","Unadjusted"),),"ACT/365")-$I169)/$I169</f>
        <v>#NAME?</v>
      </c>
      <c r="Q169" s="371" t="e">
        <f ca="1">-(O169-curve!$T$3)/J169</f>
        <v>#NAME?</v>
      </c>
      <c r="R169" s="373">
        <f t="shared" ca="1" si="3"/>
        <v>-376.48218941152015</v>
      </c>
      <c r="S169" s="191" t="str">
        <f>IF(F169&lt;&gt;"","",IF(G169="","",-G169*(SUMIF('raw Data'!$A:$A,"RESINV1USD",'raw Data'!$G:$G)+SUMIF('raw Data'!$A:$A,"RESSWAPORUSD",'raw Data'!$G:$G))/(36500*J169)))</f>
        <v/>
      </c>
      <c r="T169" s="202" t="str">
        <f>IF(G169&lt;&gt;"","",IF(F169="","",-36500*J169*F169/(SUMIF('raw Data'!$A:$A,"RESINV1USD",'raw Data'!$G:$G)+SUMIF('raw Data'!$A:$A,"RESSWAPORUSD",'raw Data'!$G:$G))))</f>
        <v/>
      </c>
      <c r="U169" s="125">
        <f>SUMIF('raw Data'!$E:$E,A169,'raw Data'!$N:$N)</f>
        <v>0</v>
      </c>
      <c r="V169" s="126">
        <v>40086</v>
      </c>
      <c r="W169" s="127">
        <v>40086</v>
      </c>
      <c r="X169" s="127">
        <v>40268</v>
      </c>
      <c r="Y169" s="127">
        <v>42460</v>
      </c>
      <c r="Z169" s="127">
        <v>42643</v>
      </c>
      <c r="AA169" s="128">
        <v>0.03</v>
      </c>
      <c r="AB169" s="129">
        <v>29514000000</v>
      </c>
      <c r="AC169" s="130" t="str">
        <f ca="1">IF(LEFT(B169,1)="B",_xll.INSTANCE.TBILL(A169,V169,Z169,TODAY()),_xll.INSTANCE.TNOTE(A169,V169,W169,X169,Y169,Z169,AA169,TODAY()))</f>
        <v>US912828LP38#0003</v>
      </c>
    </row>
    <row r="170" spans="1:29" x14ac:dyDescent="0.35">
      <c r="A170" s="131" t="s">
        <v>236</v>
      </c>
      <c r="B170" s="115" t="s">
        <v>1146</v>
      </c>
      <c r="C170" s="364"/>
      <c r="D170" s="116"/>
      <c r="E170" s="117"/>
      <c r="F170" s="118"/>
      <c r="G170" s="369"/>
      <c r="H170" s="120">
        <v>6.1350610000000007E-3</v>
      </c>
      <c r="I170" s="121">
        <f ca="1">_xll.INSTRUMENT.PRIX(AC170,D170,H170,cTreasuries)</f>
        <v>101.62017054843587</v>
      </c>
      <c r="J170" s="122">
        <f ca="1">_xll.INSTRUMENT.DV01(A170,,,I170,cContinuous,I170)</f>
        <v>-4.2442108244522388E-2</v>
      </c>
      <c r="K170" s="123">
        <f ca="1">_xll.INSTRUMENT.CONVEXITE(A170,,,I170,cContinuous,I170)</f>
        <v>17.600703519851589</v>
      </c>
      <c r="L170" s="123">
        <f ca="1">_xll.INSTRUMENT.Z.SPREAD(A170,swapCurve,I170,cContinuous,D170)</f>
        <v>-20.032740037586329</v>
      </c>
      <c r="M170" s="123" t="e">
        <f ca="1">_xll.INSTRUMENT.Z.SPREAD(A170,ustCurve,I170,cContinuous,D170)</f>
        <v>#VALUE!</v>
      </c>
      <c r="N170" s="123">
        <f ca="1">_xll.INSTRUMENT.Z.SPREAD(A170,oisCurve,I170,cContinuous,D170)</f>
        <v>14.639320088427967</v>
      </c>
      <c r="O170" s="124" t="e">
        <f ca="1">1/_xll.CALENDRIER.FRAC.ANNEE(_xll.INSTRUMENT.DATE.REGLEMENT($AC170,,),_xll.INSTRUMENT.DATE.REGLEMENT($AC170,_xll.CALENDRIER.GAP.FINANCE(TODAY(),"1M","AUD","Unadjusted"),),"ACT/365")*(_xll.INSTRUMENT.ROLL.DOWN($A170,oisCurve,_xll.CALENDRIER.GAP.FINANCE(TODAY(),"1M","AUD","Unadjusted",TRUE),$N170)+100*$AA170*_xll.CALENDRIER.FRAC.ANNEE(_xll.INSTRUMENT.DATE.REGLEMENT($AC170,,),_xll.INSTRUMENT.DATE.REGLEMENT($AC170,_xll.CALENDRIER.GAP.FINANCE(TODAY(),"1M","AUD","Unadjusted"),),"ACT/365")-$I170)/$I170</f>
        <v>#NAME?</v>
      </c>
      <c r="P170" s="124" t="e">
        <f ca="1">1/_xll.CALENDRIER.FRAC.ANNEE(_xll.INSTRUMENT.DATE.REGLEMENT($AC170,,),_xll.INSTRUMENT.DATE.REGLEMENT($AC170,_xll.CALENDRIER.GAP.FINANCE(TODAY(),"3M","AUD","Unadjusted"),),"ACT/365")*(_xll.INSTRUMENT.ROLL.DOWN($A170,oisCurve,_xll.CALENDRIER.GAP.FINANCE(TODAY(),"3M","AUD","Unadjusted",TRUE),$N170)+100*$AA170*_xll.CALENDRIER.FRAC.ANNEE(_xll.INSTRUMENT.DATE.REGLEMENT($AC170,,),_xll.INSTRUMENT.DATE.REGLEMENT($AC170,_xll.CALENDRIER.GAP.FINANCE(TODAY(),"3M","AUD","Unadjusted"),),"ACT/365")-$I170)/$I170</f>
        <v>#NAME?</v>
      </c>
      <c r="Q170" s="371" t="e">
        <f ca="1">-(O170-curve!$T$3)/J170</f>
        <v>#NAME?</v>
      </c>
      <c r="R170" s="373">
        <f t="shared" ca="1" si="3"/>
        <v>-414.69908654038528</v>
      </c>
      <c r="S170" s="191" t="str">
        <f>IF(F170&lt;&gt;"","",IF(G170="","",-G170*(SUMIF('raw Data'!$A:$A,"RESINV1USD",'raw Data'!$G:$G)+SUMIF('raw Data'!$A:$A,"RESSWAPORUSD",'raw Data'!$G:$G))/(36500*J170)))</f>
        <v/>
      </c>
      <c r="T170" s="202" t="str">
        <f>IF(G170&lt;&gt;"","",IF(F170="","",-36500*J170*F170/(SUMIF('raw Data'!$A:$A,"RESINV1USD",'raw Data'!$G:$G)+SUMIF('raw Data'!$A:$A,"RESSWAPORUSD",'raw Data'!$G:$G))))</f>
        <v/>
      </c>
      <c r="U170" s="125">
        <f>SUMIF('raw Data'!$E:$E,A170,'raw Data'!$N:$N)</f>
        <v>0</v>
      </c>
      <c r="V170" s="126">
        <v>40816</v>
      </c>
      <c r="W170" s="127">
        <v>40816</v>
      </c>
      <c r="X170" s="127">
        <v>40999</v>
      </c>
      <c r="Y170" s="127">
        <v>42460</v>
      </c>
      <c r="Z170" s="127">
        <v>42643</v>
      </c>
      <c r="AA170" s="128">
        <v>0.01</v>
      </c>
      <c r="AB170" s="129">
        <v>36090000000</v>
      </c>
      <c r="AC170" s="130" t="str">
        <f ca="1">IF(LEFT(B170,1)="B",_xll.INSTANCE.TBILL(A170,V170,Z170,TODAY()),_xll.INSTANCE.TNOTE(A170,V170,W170,X170,Y170,Z170,AA170,TODAY()))</f>
        <v>US912828RJ14#0003</v>
      </c>
    </row>
    <row r="171" spans="1:29" x14ac:dyDescent="0.35">
      <c r="A171" s="131" t="s">
        <v>238</v>
      </c>
      <c r="B171" s="115" t="s">
        <v>1147</v>
      </c>
      <c r="C171" s="364"/>
      <c r="D171" s="116"/>
      <c r="E171" s="117"/>
      <c r="F171" s="118"/>
      <c r="G171" s="369"/>
      <c r="H171" s="120">
        <v>6.2801280000000003E-3</v>
      </c>
      <c r="I171" s="121">
        <f ca="1">_xll.INSTRUMENT.PRIX(AC171,D171,H171,cTreasuries)</f>
        <v>101.58764467205629</v>
      </c>
      <c r="J171" s="122">
        <f ca="1">_xll.INSTRUMENT.DV01(A171,,,I171,cContinuous,I171)</f>
        <v>-4.3255021936067534E-2</v>
      </c>
      <c r="K171" s="123">
        <f ca="1">_xll.INSTRUMENT.CONVEXITE(A171,,,I171,cContinuous,I171)</f>
        <v>18.313609009869804</v>
      </c>
      <c r="L171" s="123">
        <f ca="1">_xll.INSTRUMENT.Z.SPREAD(A171,swapCurve,I171,cContinuous,D171)</f>
        <v>-20.151657926514837</v>
      </c>
      <c r="M171" s="123" t="e">
        <f ca="1">_xll.INSTRUMENT.Z.SPREAD(A171,ustCurve,I171,cContinuous,D171)</f>
        <v>#VALUE!</v>
      </c>
      <c r="N171" s="123">
        <f ca="1">_xll.INSTRUMENT.Z.SPREAD(A171,oisCurve,I171,cContinuous,D171)</f>
        <v>14.499659555554498</v>
      </c>
      <c r="O171" s="124" t="e">
        <f ca="1">1/_xll.CALENDRIER.FRAC.ANNEE(_xll.INSTRUMENT.DATE.REGLEMENT($AC171,,),_xll.INSTRUMENT.DATE.REGLEMENT($AC171,_xll.CALENDRIER.GAP.FINANCE(TODAY(),"1M","AUD","Unadjusted"),),"ACT/365")*(_xll.INSTRUMENT.ROLL.DOWN($A171,oisCurve,_xll.CALENDRIER.GAP.FINANCE(TODAY(),"1M","AUD","Unadjusted",TRUE),$N171)+100*$AA171*_xll.CALENDRIER.FRAC.ANNEE(_xll.INSTRUMENT.DATE.REGLEMENT($AC171,,),_xll.INSTRUMENT.DATE.REGLEMENT($AC171,_xll.CALENDRIER.GAP.FINANCE(TODAY(),"1M","AUD","Unadjusted"),),"ACT/365")-$I171)/$I171</f>
        <v>#NAME?</v>
      </c>
      <c r="P171" s="124" t="e">
        <f ca="1">1/_xll.CALENDRIER.FRAC.ANNEE(_xll.INSTRUMENT.DATE.REGLEMENT($AC171,,),_xll.INSTRUMENT.DATE.REGLEMENT($AC171,_xll.CALENDRIER.GAP.FINANCE(TODAY(),"3M","AUD","Unadjusted"),),"ACT/365")*(_xll.INSTRUMENT.ROLL.DOWN($A171,oisCurve,_xll.CALENDRIER.GAP.FINANCE(TODAY(),"3M","AUD","Unadjusted",TRUE),$N171)+100*$AA171*_xll.CALENDRIER.FRAC.ANNEE(_xll.INSTRUMENT.DATE.REGLEMENT($AC171,,),_xll.INSTRUMENT.DATE.REGLEMENT($AC171,_xll.CALENDRIER.GAP.FINANCE(TODAY(),"3M","AUD","Unadjusted"),),"ACT/365")-$I171)/$I171</f>
        <v>#NAME?</v>
      </c>
      <c r="Q171" s="371" t="e">
        <f ca="1">-(O171-curve!$T$3)/J171</f>
        <v>#NAME?</v>
      </c>
      <c r="R171" s="373">
        <f t="shared" ca="1" si="3"/>
        <v>-423.38688527167949</v>
      </c>
      <c r="S171" s="191" t="str">
        <f>IF(F171&lt;&gt;"","",IF(G171="","",-G171*(SUMIF('raw Data'!$A:$A,"RESINV1USD",'raw Data'!$G:$G)+SUMIF('raw Data'!$A:$A,"RESSWAPORUSD",'raw Data'!$G:$G))/(36500*J171)))</f>
        <v/>
      </c>
      <c r="T171" s="202" t="str">
        <f>IF(G171&lt;&gt;"","",IF(F171="","",-36500*J171*F171/(SUMIF('raw Data'!$A:$A,"RESINV1USD",'raw Data'!$G:$G)+SUMIF('raw Data'!$A:$A,"RESSWAPORUSD",'raw Data'!$G:$G))))</f>
        <v/>
      </c>
      <c r="U171" s="125">
        <f>SUMIF('raw Data'!$E:$E,A171,'raw Data'!$N:$N)</f>
        <v>0</v>
      </c>
      <c r="V171" s="126">
        <v>40847</v>
      </c>
      <c r="W171" s="127">
        <v>40847</v>
      </c>
      <c r="X171" s="127">
        <v>41029</v>
      </c>
      <c r="Y171" s="127">
        <v>42490</v>
      </c>
      <c r="Z171" s="127">
        <v>42674</v>
      </c>
      <c r="AA171" s="128">
        <v>0.01</v>
      </c>
      <c r="AB171" s="129">
        <v>36331000000</v>
      </c>
      <c r="AC171" s="130" t="str">
        <f ca="1">IF(LEFT(B171,1)="B",_xll.INSTANCE.TBILL(A171,V171,Z171,TODAY()),_xll.INSTANCE.TNOTE(A171,V171,W171,X171,Y171,Z171,AA171,TODAY()))</f>
        <v>US912828RM43#0003</v>
      </c>
    </row>
    <row r="172" spans="1:29" x14ac:dyDescent="0.35">
      <c r="A172" s="131" t="s">
        <v>499</v>
      </c>
      <c r="B172" s="115" t="s">
        <v>1148</v>
      </c>
      <c r="C172" s="364"/>
      <c r="D172" s="116"/>
      <c r="E172" s="117"/>
      <c r="F172" s="118"/>
      <c r="G172" s="369"/>
      <c r="H172" s="120">
        <v>6.3446250000000004E-3</v>
      </c>
      <c r="I172" s="121">
        <f ca="1">_xll.INSTRUMENT.PRIX(AC172,D172,H172,cTreasuries)</f>
        <v>110.63566336297106</v>
      </c>
      <c r="J172" s="122">
        <f ca="1">_xll.INSTRUMENT.DV01(A172,,,I172,cContinuous,I172)</f>
        <v>-4.5434899658198816E-2</v>
      </c>
      <c r="K172" s="123">
        <f ca="1">_xll.INSTRUMENT.CONVEXITE(A172,,,I172,cContinuous,I172)</f>
        <v>17.361827196317662</v>
      </c>
      <c r="L172" s="123">
        <f ca="1">_xll.INSTRUMENT.Z.SPREAD(A172,swapCurve,I172,cContinuous,D172)</f>
        <v>-18.681925692061892</v>
      </c>
      <c r="M172" s="123" t="e">
        <f ca="1">_xll.INSTRUMENT.Z.SPREAD(A172,ustCurve,I172,cContinuous,D172)</f>
        <v>#VALUE!</v>
      </c>
      <c r="N172" s="123">
        <f ca="1">_xll.INSTRUMENT.Z.SPREAD(A172,oisCurve,I172,cContinuous,D172)</f>
        <v>15.939034682637581</v>
      </c>
      <c r="O172" s="124" t="e">
        <f ca="1">1/_xll.CALENDRIER.FRAC.ANNEE(_xll.INSTRUMENT.DATE.REGLEMENT($AC172,,),_xll.INSTRUMENT.DATE.REGLEMENT($AC172,_xll.CALENDRIER.GAP.FINANCE(TODAY(),"1M","AUD","Unadjusted"),),"ACT/365")*(_xll.INSTRUMENT.ROLL.DOWN($A172,oisCurve,_xll.CALENDRIER.GAP.FINANCE(TODAY(),"1M","AUD","Unadjusted",TRUE),$N172)+100*$AA172*_xll.CALENDRIER.FRAC.ANNEE(_xll.INSTRUMENT.DATE.REGLEMENT($AC172,,),_xll.INSTRUMENT.DATE.REGLEMENT($AC172,_xll.CALENDRIER.GAP.FINANCE(TODAY(),"1M","AUD","Unadjusted"),),"ACT/365")-$I172)/$I172</f>
        <v>#NAME?</v>
      </c>
      <c r="P172" s="124" t="e">
        <f ca="1">1/_xll.CALENDRIER.FRAC.ANNEE(_xll.INSTRUMENT.DATE.REGLEMENT($AC172,,),_xll.INSTRUMENT.DATE.REGLEMENT($AC172,_xll.CALENDRIER.GAP.FINANCE(TODAY(),"3M","AUD","Unadjusted"),),"ACT/365")*(_xll.INSTRUMENT.ROLL.DOWN($A172,oisCurve,_xll.CALENDRIER.GAP.FINANCE(TODAY(),"3M","AUD","Unadjusted",TRUE),$N172)+100*$AA172*_xll.CALENDRIER.FRAC.ANNEE(_xll.INSTRUMENT.DATE.REGLEMENT($AC172,,),_xll.INSTRUMENT.DATE.REGLEMENT($AC172,_xll.CALENDRIER.GAP.FINANCE(TODAY(),"3M","AUD","Unadjusted"),),"ACT/365")-$I172)/$I172</f>
        <v>#NAME?</v>
      </c>
      <c r="Q172" s="371" t="e">
        <f ca="1">-(O172-curve!$T$3)/J172</f>
        <v>#NAME?</v>
      </c>
      <c r="R172" s="373">
        <f t="shared" ca="1" si="3"/>
        <v>-382.12535577119269</v>
      </c>
      <c r="S172" s="191" t="str">
        <f>IF(F172&lt;&gt;"","",IF(G172="","",-G172*(SUMIF('raw Data'!$A:$A,"RESINV1USD",'raw Data'!$G:$G)+SUMIF('raw Data'!$A:$A,"RESSWAPORUSD",'raw Data'!$G:$G))/(36500*J172)))</f>
        <v/>
      </c>
      <c r="T172" s="202" t="str">
        <f>IF(G172&lt;&gt;"","",IF(F172="","",-36500*J172*F172/(SUMIF('raw Data'!$A:$A,"RESINV1USD",'raw Data'!$G:$G)+SUMIF('raw Data'!$A:$A,"RESSWAPORUSD",'raw Data'!$G:$G))))</f>
        <v/>
      </c>
      <c r="U172" s="125">
        <f>SUMIF('raw Data'!$E:$E,A172,'raw Data'!$N:$N)</f>
        <v>0</v>
      </c>
      <c r="V172" s="126">
        <v>40119</v>
      </c>
      <c r="W172" s="127">
        <v>40117</v>
      </c>
      <c r="X172" s="127">
        <v>40298</v>
      </c>
      <c r="Y172" s="127">
        <v>42490</v>
      </c>
      <c r="Z172" s="127">
        <v>42674</v>
      </c>
      <c r="AA172" s="128">
        <v>3.125E-2</v>
      </c>
      <c r="AB172" s="129">
        <v>31764000000.000004</v>
      </c>
      <c r="AC172" s="130" t="str">
        <f ca="1">IF(LEFT(B172,1)="B",_xll.INSTANCE.TBILL(A172,V172,Z172,TODAY()),_xll.INSTANCE.TNOTE(A172,V172,W172,X172,Y172,Z172,AA172,TODAY()))</f>
        <v>US912828LU23#0003</v>
      </c>
    </row>
    <row r="173" spans="1:29" x14ac:dyDescent="0.35">
      <c r="A173" s="131" t="s">
        <v>501</v>
      </c>
      <c r="B173" s="115" t="s">
        <v>1149</v>
      </c>
      <c r="C173" s="364"/>
      <c r="D173" s="116"/>
      <c r="E173" s="117"/>
      <c r="F173" s="118"/>
      <c r="G173" s="369"/>
      <c r="H173" s="120">
        <v>6.4563090000000004E-3</v>
      </c>
      <c r="I173" s="121">
        <f ca="1">_xll.INSTRUMENT.PRIX(AC173,D173,H173,cTreasuries)</f>
        <v>117.14726293964991</v>
      </c>
      <c r="J173" s="122">
        <f ca="1">_xll.INSTRUMENT.DV01(A173,,,I173,cContinuous,I173)</f>
        <v>-4.7430277704238355E-2</v>
      </c>
      <c r="K173" s="123">
        <f ca="1">_xll.INSTRUMENT.CONVEXITE(A173,,,I173,cContinuous,I173)</f>
        <v>17.109590626642234</v>
      </c>
      <c r="L173" s="123">
        <f ca="1">_xll.INSTRUMENT.Z.SPREAD(A173,swapCurve,I173,cContinuous,D173)</f>
        <v>-17.747000231596047</v>
      </c>
      <c r="M173" s="123" t="e">
        <f ca="1">_xll.INSTRUMENT.Z.SPREAD(A173,ustCurve,I173,cContinuous,D173)</f>
        <v>#VALUE!</v>
      </c>
      <c r="N173" s="123">
        <f ca="1">_xll.INSTRUMENT.Z.SPREAD(A173,oisCurve,I173,cContinuous,D173)</f>
        <v>16.841625664915149</v>
      </c>
      <c r="O173" s="124" t="e">
        <f ca="1">1/_xll.CALENDRIER.FRAC.ANNEE(_xll.INSTRUMENT.DATE.REGLEMENT($AC173,,),_xll.INSTRUMENT.DATE.REGLEMENT($AC173,_xll.CALENDRIER.GAP.FINANCE(TODAY(),"1M","AUD","Unadjusted"),),"ACT/365")*(_xll.INSTRUMENT.ROLL.DOWN($A173,oisCurve,_xll.CALENDRIER.GAP.FINANCE(TODAY(),"1M","AUD","Unadjusted",TRUE),$N173)+100*$AA173*_xll.CALENDRIER.FRAC.ANNEE(_xll.INSTRUMENT.DATE.REGLEMENT($AC173,,),_xll.INSTRUMENT.DATE.REGLEMENT($AC173,_xll.CALENDRIER.GAP.FINANCE(TODAY(),"1M","AUD","Unadjusted"),),"ACT/365")-$I173)/$I173</f>
        <v>#NAME?</v>
      </c>
      <c r="P173" s="124" t="e">
        <f ca="1">1/_xll.CALENDRIER.FRAC.ANNEE(_xll.INSTRUMENT.DATE.REGLEMENT($AC173,,),_xll.INSTRUMENT.DATE.REGLEMENT($AC173,_xll.CALENDRIER.GAP.FINANCE(TODAY(),"3M","AUD","Unadjusted"),),"ACT/365")*(_xll.INSTRUMENT.ROLL.DOWN($A173,oisCurve,_xll.CALENDRIER.GAP.FINANCE(TODAY(),"3M","AUD","Unadjusted",TRUE),$N173)+100*$AA173*_xll.CALENDRIER.FRAC.ANNEE(_xll.INSTRUMENT.DATE.REGLEMENT($AC173,,),_xll.INSTRUMENT.DATE.REGLEMENT($AC173,_xll.CALENDRIER.GAP.FINANCE(TODAY(),"3M","AUD","Unadjusted"),),"ACT/365")-$I173)/$I173</f>
        <v>#NAME?</v>
      </c>
      <c r="Q173" s="371" t="e">
        <f ca="1">-(O173-curve!$T$3)/J173</f>
        <v>#NAME?</v>
      </c>
      <c r="R173" s="373">
        <f t="shared" ca="1" si="3"/>
        <v>-360.73140312044444</v>
      </c>
      <c r="S173" s="191" t="str">
        <f>IF(F173&lt;&gt;"","",IF(G173="","",-G173*(SUMIF('raw Data'!$A:$A,"RESINV1USD",'raw Data'!$G:$G)+SUMIF('raw Data'!$A:$A,"RESSWAPORUSD",'raw Data'!$G:$G))/(36500*J173)))</f>
        <v/>
      </c>
      <c r="T173" s="202" t="str">
        <f>IF(G173&lt;&gt;"","",IF(F173="","",-36500*J173*F173/(SUMIF('raw Data'!$A:$A,"RESINV1USD",'raw Data'!$G:$G)+SUMIF('raw Data'!$A:$A,"RESSWAPORUSD",'raw Data'!$G:$G))))</f>
        <v/>
      </c>
      <c r="U173" s="125">
        <f>SUMIF('raw Data'!$E:$E,A173,'raw Data'!$N:$N)</f>
        <v>0</v>
      </c>
      <c r="V173" s="126">
        <v>39036</v>
      </c>
      <c r="W173" s="127">
        <v>39036</v>
      </c>
      <c r="X173" s="127">
        <v>39217</v>
      </c>
      <c r="Y173" s="127">
        <v>42505</v>
      </c>
      <c r="Z173" s="127">
        <v>42689</v>
      </c>
      <c r="AA173" s="128">
        <v>4.6249999999999999E-2</v>
      </c>
      <c r="AB173" s="129">
        <v>23294000000</v>
      </c>
      <c r="AC173" s="130" t="str">
        <f ca="1">IF(LEFT(B173,1)="B",_xll.INSTANCE.TBILL(A173,V173,Z173,TODAY()),_xll.INSTANCE.TNOTE(A173,V173,W173,X173,Y173,Z173,AA173,TODAY()))</f>
        <v>US912828FY19#0003</v>
      </c>
    </row>
    <row r="174" spans="1:29" x14ac:dyDescent="0.35">
      <c r="A174" s="131" t="s">
        <v>500</v>
      </c>
      <c r="B174" s="115" t="s">
        <v>1150</v>
      </c>
      <c r="C174" s="364"/>
      <c r="D174" s="116"/>
      <c r="E174" s="117"/>
      <c r="F174" s="118"/>
      <c r="G174" s="369"/>
      <c r="H174" s="120">
        <v>6.5646580000000001E-3</v>
      </c>
      <c r="I174" s="121">
        <f ca="1">_xll.INSTRUMENT.PRIX(AC174,D174,H174,cTreasuries)</f>
        <v>129.4823668837696</v>
      </c>
      <c r="J174" s="122">
        <f ca="1">_xll.INSTRUMENT.DV01(A174,,,I174,cContinuous,I174)</f>
        <v>-5.0423515348608838E-2</v>
      </c>
      <c r="K174" s="123">
        <f ca="1">_xll.INSTRUMENT.CONVEXITE(A174,,,I174,cContinuous,I174)</f>
        <v>16.148628601803111</v>
      </c>
      <c r="L174" s="123">
        <f ca="1">_xll.INSTRUMENT.Z.SPREAD(A174,swapCurve,I174,cContinuous,D174)</f>
        <v>-15.703330038053316</v>
      </c>
      <c r="M174" s="123" t="e">
        <f ca="1">_xll.INSTRUMENT.Z.SPREAD(A174,ustCurve,I174,cContinuous,D174)</f>
        <v>#VALUE!</v>
      </c>
      <c r="N174" s="123">
        <f ca="1">_xll.INSTRUMENT.Z.SPREAD(A174,oisCurve,I174,cContinuous,D174)</f>
        <v>18.85126660093529</v>
      </c>
      <c r="O174" s="124" t="e">
        <f ca="1">1/_xll.CALENDRIER.FRAC.ANNEE(_xll.INSTRUMENT.DATE.REGLEMENT($AC174,,),_xll.INSTRUMENT.DATE.REGLEMENT($AC174,_xll.CALENDRIER.GAP.FINANCE(TODAY(),"1M","AUD","Unadjusted"),),"ACT/365")*(_xll.INSTRUMENT.ROLL.DOWN($A174,oisCurve,_xll.CALENDRIER.GAP.FINANCE(TODAY(),"1M","AUD","Unadjusted",TRUE),$N174)+100*$AA174*_xll.CALENDRIER.FRAC.ANNEE(_xll.INSTRUMENT.DATE.REGLEMENT($AC174,,),_xll.INSTRUMENT.DATE.REGLEMENT($AC174,_xll.CALENDRIER.GAP.FINANCE(TODAY(),"1M","AUD","Unadjusted"),),"ACT/365")-$I174)/$I174</f>
        <v>#NAME?</v>
      </c>
      <c r="P174" s="124" t="e">
        <f ca="1">1/_xll.CALENDRIER.FRAC.ANNEE(_xll.INSTRUMENT.DATE.REGLEMENT($AC174,,),_xll.INSTRUMENT.DATE.REGLEMENT($AC174,_xll.CALENDRIER.GAP.FINANCE(TODAY(),"3M","AUD","Unadjusted"),),"ACT/365")*(_xll.INSTRUMENT.ROLL.DOWN($A174,oisCurve,_xll.CALENDRIER.GAP.FINANCE(TODAY(),"3M","AUD","Unadjusted",TRUE),$N174)+100*$AA174*_xll.CALENDRIER.FRAC.ANNEE(_xll.INSTRUMENT.DATE.REGLEMENT($AC174,,),_xll.INSTRUMENT.DATE.REGLEMENT($AC174,_xll.CALENDRIER.GAP.FINANCE(TODAY(),"3M","AUD","Unadjusted"),),"ACT/365")-$I174)/$I174</f>
        <v>#NAME?</v>
      </c>
      <c r="Q174" s="371" t="e">
        <f ca="1">-(O174-curve!$T$3)/J174</f>
        <v>#NAME?</v>
      </c>
      <c r="R174" s="373">
        <f t="shared" ca="1" si="3"/>
        <v>-320.25987260423415</v>
      </c>
      <c r="S174" s="191" t="str">
        <f>IF(F174&lt;&gt;"","",IF(G174="","",-G174*(SUMIF('raw Data'!$A:$A,"RESINV1USD",'raw Data'!$G:$G)+SUMIF('raw Data'!$A:$A,"RESSWAPORUSD",'raw Data'!$G:$G))/(36500*J174)))</f>
        <v/>
      </c>
      <c r="T174" s="202" t="str">
        <f>IF(G174&lt;&gt;"","",IF(F174="","",-36500*J174*F174/(SUMIF('raw Data'!$A:$A,"RESINV1USD",'raw Data'!$G:$G)+SUMIF('raw Data'!$A:$A,"RESSWAPORUSD",'raw Data'!$G:$G))))</f>
        <v/>
      </c>
      <c r="U174" s="125">
        <f>SUMIF('raw Data'!$E:$E,A174,'raw Data'!$N:$N)</f>
        <v>0</v>
      </c>
      <c r="V174" s="126">
        <v>31731</v>
      </c>
      <c r="W174" s="127">
        <v>31731</v>
      </c>
      <c r="X174" s="127">
        <v>31912</v>
      </c>
      <c r="Y174" s="127">
        <v>42505</v>
      </c>
      <c r="Z174" s="127">
        <v>42689</v>
      </c>
      <c r="AA174" s="128">
        <v>7.4999999999999997E-2</v>
      </c>
      <c r="AB174" s="129">
        <v>18787000000</v>
      </c>
      <c r="AC174" s="130" t="str">
        <f ca="1">IF(LEFT(B174,1)="B",_xll.INSTANCE.TBILL(A174,V174,Z174,TODAY()),_xll.INSTANCE.TNOTE(A174,V174,W174,X174,Y174,Z174,AA174,TODAY()))</f>
        <v>US912810DX38#0003</v>
      </c>
    </row>
    <row r="175" spans="1:29" x14ac:dyDescent="0.35">
      <c r="A175" s="131" t="s">
        <v>502</v>
      </c>
      <c r="B175" s="115" t="s">
        <v>1151</v>
      </c>
      <c r="C175" s="364"/>
      <c r="D175" s="116"/>
      <c r="E175" s="117"/>
      <c r="F175" s="118"/>
      <c r="G175" s="369"/>
      <c r="H175" s="120">
        <v>6.4373840000000009E-3</v>
      </c>
      <c r="I175" s="121">
        <f ca="1">_xll.INSTRUMENT.PRIX(AC175,D175,H175,cTreasuries)</f>
        <v>109.16518457916189</v>
      </c>
      <c r="J175" s="122">
        <f ca="1">_xll.INSTRUMENT.DV01(A175,,,I175,cContinuous,I175)</f>
        <v>-4.5904900364700282E-2</v>
      </c>
      <c r="K175" s="123">
        <f ca="1">_xll.INSTRUMENT.CONVEXITE(A175,,,I175,cContinuous,I175)</f>
        <v>18.199421045084922</v>
      </c>
      <c r="L175" s="123">
        <f ca="1">_xll.INSTRUMENT.Z.SPREAD(A175,swapCurve,I175,cContinuous,D175)</f>
        <v>-19.369255589258273</v>
      </c>
      <c r="M175" s="123" t="e">
        <f ca="1">_xll.INSTRUMENT.Z.SPREAD(A175,ustCurve,I175,cContinuous,D175)</f>
        <v>#VALUE!</v>
      </c>
      <c r="N175" s="123">
        <f ca="1">_xll.INSTRUMENT.Z.SPREAD(A175,oisCurve,I175,cContinuous,D175)</f>
        <v>15.228764606486001</v>
      </c>
      <c r="O175" s="124" t="e">
        <f ca="1">1/_xll.CALENDRIER.FRAC.ANNEE(_xll.INSTRUMENT.DATE.REGLEMENT($AC175,,),_xll.INSTRUMENT.DATE.REGLEMENT($AC175,_xll.CALENDRIER.GAP.FINANCE(TODAY(),"1M","AUD","Unadjusted"),),"ACT/365")*(_xll.INSTRUMENT.ROLL.DOWN($A175,oisCurve,_xll.CALENDRIER.GAP.FINANCE(TODAY(),"1M","AUD","Unadjusted",TRUE),$N175)+100*$AA175*_xll.CALENDRIER.FRAC.ANNEE(_xll.INSTRUMENT.DATE.REGLEMENT($AC175,,),_xll.INSTRUMENT.DATE.REGLEMENT($AC175,_xll.CALENDRIER.GAP.FINANCE(TODAY(),"1M","AUD","Unadjusted"),),"ACT/365")-$I175)/$I175</f>
        <v>#NAME?</v>
      </c>
      <c r="P175" s="124" t="e">
        <f ca="1">1/_xll.CALENDRIER.FRAC.ANNEE(_xll.INSTRUMENT.DATE.REGLEMENT($AC175,,),_xll.INSTRUMENT.DATE.REGLEMENT($AC175,_xll.CALENDRIER.GAP.FINANCE(TODAY(),"3M","AUD","Unadjusted"),),"ACT/365")*(_xll.INSTRUMENT.ROLL.DOWN($A175,oisCurve,_xll.CALENDRIER.GAP.FINANCE(TODAY(),"3M","AUD","Unadjusted",TRUE),$N175)+100*$AA175*_xll.CALENDRIER.FRAC.ANNEE(_xll.INSTRUMENT.DATE.REGLEMENT($AC175,,),_xll.INSTRUMENT.DATE.REGLEMENT($AC175,_xll.CALENDRIER.GAP.FINANCE(TODAY(),"3M","AUD","Unadjusted"),),"ACT/365")-$I175)/$I175</f>
        <v>#NAME?</v>
      </c>
      <c r="Q175" s="371" t="e">
        <f ca="1">-(O175-curve!$T$3)/J175</f>
        <v>#NAME?</v>
      </c>
      <c r="R175" s="373">
        <f t="shared" ca="1" si="3"/>
        <v>-396.45922113970693</v>
      </c>
      <c r="S175" s="191" t="str">
        <f>IF(F175&lt;&gt;"","",IF(G175="","",-G175*(SUMIF('raw Data'!$A:$A,"RESINV1USD",'raw Data'!$G:$G)+SUMIF('raw Data'!$A:$A,"RESSWAPORUSD",'raw Data'!$G:$G))/(36500*J175)))</f>
        <v/>
      </c>
      <c r="T175" s="202" t="str">
        <f>IF(G175&lt;&gt;"","",IF(F175="","",-36500*J175*F175/(SUMIF('raw Data'!$A:$A,"RESINV1USD",'raw Data'!$G:$G)+SUMIF('raw Data'!$A:$A,"RESSWAPORUSD",'raw Data'!$G:$G))))</f>
        <v/>
      </c>
      <c r="U175" s="125">
        <f>SUMIF('raw Data'!$E:$E,A175,'raw Data'!$N:$N)</f>
        <v>0</v>
      </c>
      <c r="V175" s="126">
        <v>40147</v>
      </c>
      <c r="W175" s="127">
        <v>40147</v>
      </c>
      <c r="X175" s="127">
        <v>40329</v>
      </c>
      <c r="Y175" s="127">
        <v>42521</v>
      </c>
      <c r="Z175" s="127">
        <v>42704</v>
      </c>
      <c r="AA175" s="128">
        <v>2.75E-2</v>
      </c>
      <c r="AB175" s="129">
        <v>32961000000</v>
      </c>
      <c r="AC175" s="130" t="str">
        <f ca="1">IF(LEFT(B175,1)="B",_xll.INSTANCE.TBILL(A175,V175,Z175,TODAY()),_xll.INSTANCE.TNOTE(A175,V175,W175,X175,Y175,Z175,AA175,TODAY()))</f>
        <v>US912828MA59#0003</v>
      </c>
    </row>
    <row r="176" spans="1:29" x14ac:dyDescent="0.35">
      <c r="A176" s="131" t="s">
        <v>240</v>
      </c>
      <c r="B176" s="115" t="s">
        <v>1152</v>
      </c>
      <c r="C176" s="364"/>
      <c r="D176" s="116"/>
      <c r="E176" s="117"/>
      <c r="F176" s="118"/>
      <c r="G176" s="369"/>
      <c r="H176" s="120">
        <v>6.3044360000000001E-3</v>
      </c>
      <c r="I176" s="121">
        <f ca="1">_xll.INSTRUMENT.PRIX(AC176,D176,H176,cTreasuries)</f>
        <v>101.06439821803787</v>
      </c>
      <c r="J176" s="122">
        <f ca="1">_xll.INSTRUMENT.DV01(A176,,,I176,cContinuous,I176)</f>
        <v>-4.3928820635600198E-2</v>
      </c>
      <c r="K176" s="123">
        <f ca="1">_xll.INSTRUMENT.CONVEXITE(A176,,,I176,cContinuous,I176)</f>
        <v>19.080627450262863</v>
      </c>
      <c r="L176" s="123">
        <f ca="1">_xll.INSTRUMENT.Z.SPREAD(A176,swapCurve,I176,cContinuous,D176)</f>
        <v>-21.476450579932674</v>
      </c>
      <c r="M176" s="123" t="e">
        <f ca="1">_xll.INSTRUMENT.Z.SPREAD(A176,ustCurve,I176,cContinuous,D176)</f>
        <v>#VALUE!</v>
      </c>
      <c r="N176" s="123">
        <f ca="1">_xll.INSTRUMENT.Z.SPREAD(A176,oisCurve,I176,cContinuous,D176)</f>
        <v>13.148476601687463</v>
      </c>
      <c r="O176" s="124" t="e">
        <f ca="1">1/_xll.CALENDRIER.FRAC.ANNEE(_xll.INSTRUMENT.DATE.REGLEMENT($AC176,,),_xll.INSTRUMENT.DATE.REGLEMENT($AC176,_xll.CALENDRIER.GAP.FINANCE(TODAY(),"1M","AUD","Unadjusted"),),"ACT/365")*(_xll.INSTRUMENT.ROLL.DOWN($A176,oisCurve,_xll.CALENDRIER.GAP.FINANCE(TODAY(),"1M","AUD","Unadjusted",TRUE),$N176)+100*$AA176*_xll.CALENDRIER.FRAC.ANNEE(_xll.INSTRUMENT.DATE.REGLEMENT($AC176,,),_xll.INSTRUMENT.DATE.REGLEMENT($AC176,_xll.CALENDRIER.GAP.FINANCE(TODAY(),"1M","AUD","Unadjusted"),),"ACT/365")-$I176)/$I176</f>
        <v>#NAME?</v>
      </c>
      <c r="P176" s="124" t="e">
        <f ca="1">1/_xll.CALENDRIER.FRAC.ANNEE(_xll.INSTRUMENT.DATE.REGLEMENT($AC176,,),_xll.INSTRUMENT.DATE.REGLEMENT($AC176,_xll.CALENDRIER.GAP.FINANCE(TODAY(),"3M","AUD","Unadjusted"),),"ACT/365")*(_xll.INSTRUMENT.ROLL.DOWN($A176,oisCurve,_xll.CALENDRIER.GAP.FINANCE(TODAY(),"3M","AUD","Unadjusted",TRUE),$N176)+100*$AA176*_xll.CALENDRIER.FRAC.ANNEE(_xll.INSTRUMENT.DATE.REGLEMENT($AC176,,),_xll.INSTRUMENT.DATE.REGLEMENT($AC176,_xll.CALENDRIER.GAP.FINANCE(TODAY(),"3M","AUD","Unadjusted"),),"ACT/365")-$I176)/$I176</f>
        <v>#NAME?</v>
      </c>
      <c r="Q176" s="371" t="e">
        <f ca="1">-(O176-curve!$T$3)/J176</f>
        <v>#NAME?</v>
      </c>
      <c r="R176" s="373">
        <f t="shared" ca="1" si="3"/>
        <v>-434.35328274667592</v>
      </c>
      <c r="S176" s="191" t="str">
        <f>IF(F176&lt;&gt;"","",IF(G176="","",-G176*(SUMIF('raw Data'!$A:$A,"RESINV1USD",'raw Data'!$G:$G)+SUMIF('raw Data'!$A:$A,"RESSWAPORUSD",'raw Data'!$G:$G))/(36500*J176)))</f>
        <v/>
      </c>
      <c r="T176" s="202" t="str">
        <f>IF(G176&lt;&gt;"","",IF(F176="","",-36500*J176*F176/(SUMIF('raw Data'!$A:$A,"RESINV1USD",'raw Data'!$G:$G)+SUMIF('raw Data'!$A:$A,"RESSWAPORUSD",'raw Data'!$G:$G))))</f>
        <v/>
      </c>
      <c r="U176" s="125">
        <f>SUMIF('raw Data'!$E:$E,A176,'raw Data'!$N:$N)</f>
        <v>0</v>
      </c>
      <c r="V176" s="126">
        <v>40877</v>
      </c>
      <c r="W176" s="127">
        <v>40877</v>
      </c>
      <c r="X176" s="127">
        <v>41060</v>
      </c>
      <c r="Y176" s="127">
        <v>42521</v>
      </c>
      <c r="Z176" s="127">
        <v>42704</v>
      </c>
      <c r="AA176" s="128">
        <v>8.7500000000000008E-3</v>
      </c>
      <c r="AB176" s="129">
        <v>36586000000</v>
      </c>
      <c r="AC176" s="130" t="str">
        <f ca="1">IF(LEFT(B176,1)="B",_xll.INSTANCE.TBILL(A176,V176,Z176,TODAY()),_xll.INSTANCE.TNOTE(A176,V176,W176,X176,Y176,Z176,AA176,TODAY()))</f>
        <v>US912828RU68#0003</v>
      </c>
    </row>
    <row r="177" spans="1:29" x14ac:dyDescent="0.35">
      <c r="A177" s="131" t="s">
        <v>242</v>
      </c>
      <c r="B177" s="115" t="s">
        <v>1153</v>
      </c>
      <c r="C177" s="364"/>
      <c r="D177" s="116"/>
      <c r="E177" s="117"/>
      <c r="F177" s="118"/>
      <c r="G177" s="369"/>
      <c r="H177" s="120">
        <v>6.5767159999999998E-3</v>
      </c>
      <c r="I177" s="121">
        <f ca="1">_xll.INSTRUMENT.PRIX(AC177,D177,H177,cTreasuries)</f>
        <v>100.96087435681079</v>
      </c>
      <c r="J177" s="122">
        <f ca="1">_xll.INSTRUMENT.DV01(A177,,,I177,cContinuous,I177)</f>
        <v>-4.4706930897444902E-2</v>
      </c>
      <c r="K177" s="123">
        <f ca="1">_xll.INSTRUMENT.CONVEXITE(A177,,,I177,cContinuous,I177)</f>
        <v>19.808937409601025</v>
      </c>
      <c r="L177" s="123">
        <f ca="1">_xll.INSTRUMENT.Z.SPREAD(A177,swapCurve,I177,cContinuous,D177)</f>
        <v>-20.598474837623073</v>
      </c>
      <c r="M177" s="123" t="e">
        <f ca="1">_xll.INSTRUMENT.Z.SPREAD(A177,ustCurve,I177,cContinuous,D177)</f>
        <v>#VALUE!</v>
      </c>
      <c r="N177" s="123">
        <f ca="1">_xll.INSTRUMENT.Z.SPREAD(A177,oisCurve,I177,cContinuous,D177)</f>
        <v>13.984935726607027</v>
      </c>
      <c r="O177" s="124" t="e">
        <f ca="1">1/_xll.CALENDRIER.FRAC.ANNEE(_xll.INSTRUMENT.DATE.REGLEMENT($AC177,,),_xll.INSTRUMENT.DATE.REGLEMENT($AC177,_xll.CALENDRIER.GAP.FINANCE(TODAY(),"1M","AUD","Unadjusted"),),"ACT/365")*(_xll.INSTRUMENT.ROLL.DOWN($A177,oisCurve,_xll.CALENDRIER.GAP.FINANCE(TODAY(),"1M","AUD","Unadjusted",TRUE),$N177)+100*$AA177*_xll.CALENDRIER.FRAC.ANNEE(_xll.INSTRUMENT.DATE.REGLEMENT($AC177,,),_xll.INSTRUMENT.DATE.REGLEMENT($AC177,_xll.CALENDRIER.GAP.FINANCE(TODAY(),"1M","AUD","Unadjusted"),),"ACT/365")-$I177)/$I177</f>
        <v>#NAME?</v>
      </c>
      <c r="P177" s="124" t="e">
        <f ca="1">1/_xll.CALENDRIER.FRAC.ANNEE(_xll.INSTRUMENT.DATE.REGLEMENT($AC177,,),_xll.INSTRUMENT.DATE.REGLEMENT($AC177,_xll.CALENDRIER.GAP.FINANCE(TODAY(),"3M","AUD","Unadjusted"),),"ACT/365")*(_xll.INSTRUMENT.ROLL.DOWN($A177,oisCurve,_xll.CALENDRIER.GAP.FINANCE(TODAY(),"3M","AUD","Unadjusted",TRUE),$N177)+100*$AA177*_xll.CALENDRIER.FRAC.ANNEE(_xll.INSTRUMENT.DATE.REGLEMENT($AC177,,),_xll.INSTRUMENT.DATE.REGLEMENT($AC177,_xll.CALENDRIER.GAP.FINANCE(TODAY(),"3M","AUD","Unadjusted"),),"ACT/365")-$I177)/$I177</f>
        <v>#NAME?</v>
      </c>
      <c r="Q177" s="371" t="e">
        <f ca="1">-(O177-curve!$T$3)/J177</f>
        <v>#NAME?</v>
      </c>
      <c r="R177" s="373">
        <f t="shared" ca="1" si="3"/>
        <v>-443.08426035868075</v>
      </c>
      <c r="S177" s="191" t="str">
        <f>IF(F177&lt;&gt;"","",IF(G177="","",-G177*(SUMIF('raw Data'!$A:$A,"RESINV1USD",'raw Data'!$G:$G)+SUMIF('raw Data'!$A:$A,"RESSWAPORUSD",'raw Data'!$G:$G))/(36500*J177)))</f>
        <v/>
      </c>
      <c r="T177" s="202" t="str">
        <f>IF(G177&lt;&gt;"","",IF(F177="","",-36500*J177*F177/(SUMIF('raw Data'!$A:$A,"RESINV1USD",'raw Data'!$G:$G)+SUMIF('raw Data'!$A:$A,"RESSWAPORUSD",'raw Data'!$G:$G))))</f>
        <v/>
      </c>
      <c r="U177" s="125">
        <f>SUMIF('raw Data'!$E:$E,A177,'raw Data'!$N:$N)</f>
        <v>0</v>
      </c>
      <c r="V177" s="126">
        <v>40911</v>
      </c>
      <c r="W177" s="127">
        <v>40908</v>
      </c>
      <c r="X177" s="127">
        <v>41090</v>
      </c>
      <c r="Y177" s="127">
        <v>42551</v>
      </c>
      <c r="Z177" s="127">
        <v>42735</v>
      </c>
      <c r="AA177" s="128">
        <v>8.7500000000000008E-3</v>
      </c>
      <c r="AB177" s="129">
        <v>36133000000</v>
      </c>
      <c r="AC177" s="130" t="str">
        <f ca="1">IF(LEFT(B177,1)="B",_xll.INSTANCE.TBILL(A177,V177,Z177,TODAY()),_xll.INSTANCE.TNOTE(A177,V177,W177,X177,Y177,Z177,AA177,TODAY()))</f>
        <v>US912828RX08#0003</v>
      </c>
    </row>
    <row r="178" spans="1:29" x14ac:dyDescent="0.35">
      <c r="A178" s="131" t="s">
        <v>503</v>
      </c>
      <c r="B178" s="115" t="s">
        <v>1154</v>
      </c>
      <c r="C178" s="364"/>
      <c r="D178" s="116"/>
      <c r="E178" s="117"/>
      <c r="F178" s="118"/>
      <c r="G178" s="369"/>
      <c r="H178" s="120">
        <v>6.6127790000000001E-3</v>
      </c>
      <c r="I178" s="121">
        <f ca="1">_xll.INSTRUMENT.PRIX(AC178,D178,H178,cTreasuries)</f>
        <v>111.46399389963021</v>
      </c>
      <c r="J178" s="122">
        <f ca="1">_xll.INSTRUMENT.DV01(A178,,,I178,cContinuous,I178)</f>
        <v>-4.7320637005281802E-2</v>
      </c>
      <c r="K178" s="123">
        <f ca="1">_xll.INSTRUMENT.CONVEXITE(A178,,,I178,cContinuous,I178)</f>
        <v>18.492308053244209</v>
      </c>
      <c r="L178" s="123">
        <f ca="1">_xll.INSTRUMENT.Z.SPREAD(A178,swapCurve,I178,cContinuous,D178)</f>
        <v>-19.191366991341731</v>
      </c>
      <c r="M178" s="123" t="e">
        <f ca="1">_xll.INSTRUMENT.Z.SPREAD(A178,ustCurve,I178,cContinuous,D178)</f>
        <v>#VALUE!</v>
      </c>
      <c r="N178" s="123">
        <f ca="1">_xll.INSTRUMENT.Z.SPREAD(A178,oisCurve,I178,cContinuous,D178)</f>
        <v>15.358713781679249</v>
      </c>
      <c r="O178" s="124" t="e">
        <f ca="1">1/_xll.CALENDRIER.FRAC.ANNEE(_xll.INSTRUMENT.DATE.REGLEMENT($AC178,,),_xll.INSTRUMENT.DATE.REGLEMENT($AC178,_xll.CALENDRIER.GAP.FINANCE(TODAY(),"1M","AUD","Unadjusted"),),"ACT/365")*(_xll.INSTRUMENT.ROLL.DOWN($A178,oisCurve,_xll.CALENDRIER.GAP.FINANCE(TODAY(),"1M","AUD","Unadjusted",TRUE),$N178)+100*$AA178*_xll.CALENDRIER.FRAC.ANNEE(_xll.INSTRUMENT.DATE.REGLEMENT($AC178,,),_xll.INSTRUMENT.DATE.REGLEMENT($AC178,_xll.CALENDRIER.GAP.FINANCE(TODAY(),"1M","AUD","Unadjusted"),),"ACT/365")-$I178)/$I178</f>
        <v>#NAME?</v>
      </c>
      <c r="P178" s="124" t="e">
        <f ca="1">1/_xll.CALENDRIER.FRAC.ANNEE(_xll.INSTRUMENT.DATE.REGLEMENT($AC178,,),_xll.INSTRUMENT.DATE.REGLEMENT($AC178,_xll.CALENDRIER.GAP.FINANCE(TODAY(),"3M","AUD","Unadjusted"),),"ACT/365")*(_xll.INSTRUMENT.ROLL.DOWN($A178,oisCurve,_xll.CALENDRIER.GAP.FINANCE(TODAY(),"3M","AUD","Unadjusted",TRUE),$N178)+100*$AA178*_xll.CALENDRIER.FRAC.ANNEE(_xll.INSTRUMENT.DATE.REGLEMENT($AC178,,),_xll.INSTRUMENT.DATE.REGLEMENT($AC178,_xll.CALENDRIER.GAP.FINANCE(TODAY(),"3M","AUD","Unadjusted"),),"ACT/365")-$I178)/$I178</f>
        <v>#NAME?</v>
      </c>
      <c r="Q178" s="371" t="e">
        <f ca="1">-(O178-curve!$T$3)/J178</f>
        <v>#NAME?</v>
      </c>
      <c r="R178" s="373">
        <f t="shared" ca="1" si="3"/>
        <v>-390.78738629786722</v>
      </c>
      <c r="S178" s="191" t="str">
        <f>IF(F178&lt;&gt;"","",IF(G178="","",-G178*(SUMIF('raw Data'!$A:$A,"RESINV1USD",'raw Data'!$G:$G)+SUMIF('raw Data'!$A:$A,"RESSWAPORUSD",'raw Data'!$G:$G))/(36500*J178)))</f>
        <v/>
      </c>
      <c r="T178" s="202" t="str">
        <f>IF(G178&lt;&gt;"","",IF(F178="","",-36500*J178*F178/(SUMIF('raw Data'!$A:$A,"RESINV1USD",'raw Data'!$G:$G)+SUMIF('raw Data'!$A:$A,"RESSWAPORUSD",'raw Data'!$G:$G))))</f>
        <v/>
      </c>
      <c r="U178" s="125">
        <f>SUMIF('raw Data'!$E:$E,A178,'raw Data'!$N:$N)</f>
        <v>0</v>
      </c>
      <c r="V178" s="126">
        <v>40178</v>
      </c>
      <c r="W178" s="127">
        <v>40178</v>
      </c>
      <c r="X178" s="127">
        <v>40359</v>
      </c>
      <c r="Y178" s="127">
        <v>42551</v>
      </c>
      <c r="Z178" s="127">
        <v>42735</v>
      </c>
      <c r="AA178" s="128">
        <v>3.2500000000000001E-2</v>
      </c>
      <c r="AB178" s="129">
        <v>32948000000</v>
      </c>
      <c r="AC178" s="130" t="str">
        <f ca="1">IF(LEFT(B178,1)="B",_xll.INSTANCE.TBILL(A178,V178,Z178,TODAY()),_xll.INSTANCE.TNOTE(A178,V178,W178,X178,Y178,Z178,AA178,TODAY()))</f>
        <v>US912828MD98#0003</v>
      </c>
    </row>
    <row r="179" spans="1:29" x14ac:dyDescent="0.35">
      <c r="A179" s="131" t="s">
        <v>504</v>
      </c>
      <c r="B179" s="115" t="s">
        <v>1155</v>
      </c>
      <c r="C179" s="364"/>
      <c r="D179" s="116"/>
      <c r="E179" s="117"/>
      <c r="F179" s="118"/>
      <c r="G179" s="369"/>
      <c r="H179" s="120">
        <v>6.7798040000000004E-3</v>
      </c>
      <c r="I179" s="121">
        <f ca="1">_xll.INSTRUMENT.PRIX(AC179,D179,H179,cTreasuries)</f>
        <v>111.03331389709162</v>
      </c>
      <c r="J179" s="122">
        <f ca="1">_xll.INSTRUMENT.DV01(A179,,,I179,cContinuous,I179)</f>
        <v>-4.8074736503990946E-2</v>
      </c>
      <c r="K179" s="123">
        <f ca="1">_xll.INSTRUMENT.CONVEXITE(A179,,,I179,cContinuous,I179)</f>
        <v>19.209702235975794</v>
      </c>
      <c r="L179" s="123">
        <f ca="1">_xll.INSTRUMENT.Z.SPREAD(A179,swapCurve,I179,cContinuous,D179)</f>
        <v>-18.815325129393344</v>
      </c>
      <c r="M179" s="123" t="e">
        <f ca="1">_xll.INSTRUMENT.Z.SPREAD(A179,ustCurve,I179,cContinuous,D179)</f>
        <v>#VALUE!</v>
      </c>
      <c r="N179" s="123">
        <f ca="1">_xll.INSTRUMENT.Z.SPREAD(A179,oisCurve,I179,cContinuous,D179)</f>
        <v>15.691075567293806</v>
      </c>
      <c r="O179" s="124" t="e">
        <f ca="1">1/_xll.CALENDRIER.FRAC.ANNEE(_xll.INSTRUMENT.DATE.REGLEMENT($AC179,,),_xll.INSTRUMENT.DATE.REGLEMENT($AC179,_xll.CALENDRIER.GAP.FINANCE(TODAY(),"1M","AUD","Unadjusted"),),"ACT/365")*(_xll.INSTRUMENT.ROLL.DOWN($A179,oisCurve,_xll.CALENDRIER.GAP.FINANCE(TODAY(),"1M","AUD","Unadjusted",TRUE),$N179)+100*$AA179*_xll.CALENDRIER.FRAC.ANNEE(_xll.INSTRUMENT.DATE.REGLEMENT($AC179,,),_xll.INSTRUMENT.DATE.REGLEMENT($AC179,_xll.CALENDRIER.GAP.FINANCE(TODAY(),"1M","AUD","Unadjusted"),),"ACT/365")-$I179)/$I179</f>
        <v>#NAME?</v>
      </c>
      <c r="P179" s="124" t="e">
        <f ca="1">1/_xll.CALENDRIER.FRAC.ANNEE(_xll.INSTRUMENT.DATE.REGLEMENT($AC179,,),_xll.INSTRUMENT.DATE.REGLEMENT($AC179,_xll.CALENDRIER.GAP.FINANCE(TODAY(),"3M","AUD","Unadjusted"),),"ACT/365")*(_xll.INSTRUMENT.ROLL.DOWN($A179,oisCurve,_xll.CALENDRIER.GAP.FINANCE(TODAY(),"3M","AUD","Unadjusted",TRUE),$N179)+100*$AA179*_xll.CALENDRIER.FRAC.ANNEE(_xll.INSTRUMENT.DATE.REGLEMENT($AC179,,),_xll.INSTRUMENT.DATE.REGLEMENT($AC179,_xll.CALENDRIER.GAP.FINANCE(TODAY(),"3M","AUD","Unadjusted"),),"ACT/365")-$I179)/$I179</f>
        <v>#NAME?</v>
      </c>
      <c r="Q179" s="371" t="e">
        <f ca="1">-(O179-curve!$T$3)/J179</f>
        <v>#NAME?</v>
      </c>
      <c r="R179" s="373">
        <f t="shared" ca="1" si="3"/>
        <v>-399.5799796922671</v>
      </c>
      <c r="S179" s="191" t="str">
        <f>IF(F179&lt;&gt;"","",IF(G179="","",-G179*(SUMIF('raw Data'!$A:$A,"RESINV1USD",'raw Data'!$G:$G)+SUMIF('raw Data'!$A:$A,"RESSWAPORUSD",'raw Data'!$G:$G))/(36500*J179)))</f>
        <v/>
      </c>
      <c r="T179" s="202" t="str">
        <f>IF(G179&lt;&gt;"","",IF(F179="","",-36500*J179*F179/(SUMIF('raw Data'!$A:$A,"RESINV1USD",'raw Data'!$G:$G)+SUMIF('raw Data'!$A:$A,"RESSWAPORUSD",'raw Data'!$G:$G))))</f>
        <v/>
      </c>
      <c r="U179" s="125">
        <f>SUMIF('raw Data'!$E:$E,A179,'raw Data'!$N:$N)</f>
        <v>0</v>
      </c>
      <c r="V179" s="126">
        <v>40210</v>
      </c>
      <c r="W179" s="127">
        <v>40209</v>
      </c>
      <c r="X179" s="127">
        <v>40390</v>
      </c>
      <c r="Y179" s="127">
        <v>42582</v>
      </c>
      <c r="Z179" s="127">
        <v>42766</v>
      </c>
      <c r="AA179" s="128">
        <v>3.125E-2</v>
      </c>
      <c r="AB179" s="129">
        <v>32521000000</v>
      </c>
      <c r="AC179" s="130" t="str">
        <f ca="1">IF(LEFT(B179,1)="B",_xll.INSTANCE.TBILL(A179,V179,Z179,TODAY()),_xll.INSTANCE.TNOTE(A179,V179,W179,X179,Y179,Z179,AA179,TODAY()))</f>
        <v>US912828MK32#0003</v>
      </c>
    </row>
    <row r="180" spans="1:29" x14ac:dyDescent="0.35">
      <c r="A180" s="131" t="s">
        <v>244</v>
      </c>
      <c r="B180" s="115" t="s">
        <v>1156</v>
      </c>
      <c r="C180" s="364"/>
      <c r="D180" s="116"/>
      <c r="E180" s="117"/>
      <c r="F180" s="118"/>
      <c r="G180" s="369"/>
      <c r="H180" s="120">
        <v>6.7196489999999994E-3</v>
      </c>
      <c r="I180" s="121">
        <f ca="1">_xll.INSTRUMENT.PRIX(AC180,D180,H180,cTreasuries)</f>
        <v>100.91394652219502</v>
      </c>
      <c r="J180" s="122">
        <f ca="1">_xll.INSTRUMENT.DV01(A180,,,I180,cContinuous,I180)</f>
        <v>-4.5512982656783815E-2</v>
      </c>
      <c r="K180" s="123">
        <f ca="1">_xll.INSTRUMENT.CONVEXITE(A180,,,I180,cContinuous,I180)</f>
        <v>20.493394426160041</v>
      </c>
      <c r="L180" s="123">
        <f ca="1">_xll.INSTRUMENT.Z.SPREAD(A180,swapCurve,I180,cContinuous,D180)</f>
        <v>-20.460908856918827</v>
      </c>
      <c r="M180" s="123" t="e">
        <f ca="1">_xll.INSTRUMENT.Z.SPREAD(A180,ustCurve,I180,cContinuous,D180)</f>
        <v>#VALUE!</v>
      </c>
      <c r="N180" s="123">
        <f ca="1">_xll.INSTRUMENT.Z.SPREAD(A180,oisCurve,I180,cContinuous,D180)</f>
        <v>14.078690113917542</v>
      </c>
      <c r="O180" s="124" t="e">
        <f ca="1">1/_xll.CALENDRIER.FRAC.ANNEE(_xll.INSTRUMENT.DATE.REGLEMENT($AC180,,),_xll.INSTRUMENT.DATE.REGLEMENT($AC180,_xll.CALENDRIER.GAP.FINANCE(TODAY(),"1M","AUD","Unadjusted"),),"ACT/365")*(_xll.INSTRUMENT.ROLL.DOWN($A180,oisCurve,_xll.CALENDRIER.GAP.FINANCE(TODAY(),"1M","AUD","Unadjusted",TRUE),$N180)+100*$AA180*_xll.CALENDRIER.FRAC.ANNEE(_xll.INSTRUMENT.DATE.REGLEMENT($AC180,,),_xll.INSTRUMENT.DATE.REGLEMENT($AC180,_xll.CALENDRIER.GAP.FINANCE(TODAY(),"1M","AUD","Unadjusted"),),"ACT/365")-$I180)/$I180</f>
        <v>#NAME?</v>
      </c>
      <c r="P180" s="124" t="e">
        <f ca="1">1/_xll.CALENDRIER.FRAC.ANNEE(_xll.INSTRUMENT.DATE.REGLEMENT($AC180,,),_xll.INSTRUMENT.DATE.REGLEMENT($AC180,_xll.CALENDRIER.GAP.FINANCE(TODAY(),"3M","AUD","Unadjusted"),),"ACT/365")*(_xll.INSTRUMENT.ROLL.DOWN($A180,oisCurve,_xll.CALENDRIER.GAP.FINANCE(TODAY(),"3M","AUD","Unadjusted",TRUE),$N180)+100*$AA180*_xll.CALENDRIER.FRAC.ANNEE(_xll.INSTRUMENT.DATE.REGLEMENT($AC180,,),_xll.INSTRUMENT.DATE.REGLEMENT($AC180,_xll.CALENDRIER.GAP.FINANCE(TODAY(),"3M","AUD","Unadjusted"),),"ACT/365")-$I180)/$I180</f>
        <v>#NAME?</v>
      </c>
      <c r="Q180" s="371" t="e">
        <f ca="1">-(O180-curve!$T$3)/J180</f>
        <v>#NAME?</v>
      </c>
      <c r="R180" s="373">
        <f t="shared" ca="1" si="3"/>
        <v>-450.27579450685494</v>
      </c>
      <c r="S180" s="191" t="str">
        <f>IF(F180&lt;&gt;"","",IF(G180="","",-G180*(SUMIF('raw Data'!$A:$A,"RESINV1USD",'raw Data'!$G:$G)+SUMIF('raw Data'!$A:$A,"RESSWAPORUSD",'raw Data'!$G:$G))/(36500*J180)))</f>
        <v/>
      </c>
      <c r="T180" s="202" t="str">
        <f>IF(G180&lt;&gt;"","",IF(F180="","",-36500*J180*F180/(SUMIF('raw Data'!$A:$A,"RESINV1USD",'raw Data'!$G:$G)+SUMIF('raw Data'!$A:$A,"RESSWAPORUSD",'raw Data'!$G:$G))))</f>
        <v/>
      </c>
      <c r="U180" s="125">
        <f>SUMIF('raw Data'!$E:$E,A180,'raw Data'!$N:$N)</f>
        <v>0</v>
      </c>
      <c r="V180" s="126">
        <v>40939</v>
      </c>
      <c r="W180" s="127">
        <v>40939</v>
      </c>
      <c r="X180" s="127">
        <v>41121</v>
      </c>
      <c r="Y180" s="127">
        <v>42582</v>
      </c>
      <c r="Z180" s="127">
        <v>42766</v>
      </c>
      <c r="AA180" s="128">
        <v>8.7500000000000008E-3</v>
      </c>
      <c r="AB180" s="129">
        <v>35659000000</v>
      </c>
      <c r="AC180" s="130" t="str">
        <f ca="1">IF(LEFT(B180,1)="B",_xll.INSTANCE.TBILL(A180,V180,Z180,TODAY()),_xll.INSTANCE.TNOTE(A180,V180,W180,X180,Y180,Z180,AA180,TODAY()))</f>
        <v>US912828SC51#0003</v>
      </c>
    </row>
    <row r="181" spans="1:29" x14ac:dyDescent="0.35">
      <c r="A181" s="131" t="s">
        <v>37</v>
      </c>
      <c r="B181" s="115" t="s">
        <v>1157</v>
      </c>
      <c r="C181" s="364"/>
      <c r="D181" s="116"/>
      <c r="E181" s="117"/>
      <c r="F181" s="118"/>
      <c r="G181" s="369"/>
      <c r="H181" s="120">
        <v>6.8649360000000003E-3</v>
      </c>
      <c r="I181" s="121">
        <f ca="1">_xll.INSTRUMENT.PRIX(AC181,D181,H181,cTreasuries)</f>
        <v>117.91237620845125</v>
      </c>
      <c r="J181" s="122">
        <f ca="1">_xll.INSTRUMENT.DV01(A181,,,I181,cContinuous,I181)</f>
        <v>-5.0249609024933237E-2</v>
      </c>
      <c r="K181" s="123">
        <f ca="1">_xll.INSTRUMENT.CONVEXITE(A181,,,I181,cContinuous,I181)</f>
        <v>18.829659007098471</v>
      </c>
      <c r="L181" s="123">
        <f ca="1">_xll.INSTRUMENT.Z.SPREAD(A181,swapCurve,I181,cContinuous,D181)</f>
        <v>-18.038182005811663</v>
      </c>
      <c r="M181" s="123" t="e">
        <f ca="1">_xll.INSTRUMENT.Z.SPREAD(A181,ustCurve,I181,cContinuous,D181)</f>
        <v>#VALUE!</v>
      </c>
      <c r="N181" s="123">
        <f ca="1">_xll.INSTRUMENT.Z.SPREAD(A181,oisCurve,I181,cContinuous,D181)</f>
        <v>16.422524976472822</v>
      </c>
      <c r="O181" s="124" t="e">
        <f ca="1">1/_xll.CALENDRIER.FRAC.ANNEE(_xll.INSTRUMENT.DATE.REGLEMENT($AC181,,),_xll.INSTRUMENT.DATE.REGLEMENT($AC181,_xll.CALENDRIER.GAP.FINANCE(TODAY(),"1M","AUD","Unadjusted"),),"ACT/365")*(_xll.INSTRUMENT.ROLL.DOWN($A181,oisCurve,_xll.CALENDRIER.GAP.FINANCE(TODAY(),"1M","AUD","Unadjusted",TRUE),$N181)+100*$AA181*_xll.CALENDRIER.FRAC.ANNEE(_xll.INSTRUMENT.DATE.REGLEMENT($AC181,,),_xll.INSTRUMENT.DATE.REGLEMENT($AC181,_xll.CALENDRIER.GAP.FINANCE(TODAY(),"1M","AUD","Unadjusted"),),"ACT/365")-$I181)/$I181</f>
        <v>#NAME?</v>
      </c>
      <c r="P181" s="124" t="e">
        <f ca="1">1/_xll.CALENDRIER.FRAC.ANNEE(_xll.INSTRUMENT.DATE.REGLEMENT($AC181,,),_xll.INSTRUMENT.DATE.REGLEMENT($AC181,_xll.CALENDRIER.GAP.FINANCE(TODAY(),"3M","AUD","Unadjusted"),),"ACT/365")*(_xll.INSTRUMENT.ROLL.DOWN($A181,oisCurve,_xll.CALENDRIER.GAP.FINANCE(TODAY(),"3M","AUD","Unadjusted",TRUE),$N181)+100*$AA181*_xll.CALENDRIER.FRAC.ANNEE(_xll.INSTRUMENT.DATE.REGLEMENT($AC181,,),_xll.INSTRUMENT.DATE.REGLEMENT($AC181,_xll.CALENDRIER.GAP.FINANCE(TODAY(),"3M","AUD","Unadjusted"),),"ACT/365")-$I181)/$I181</f>
        <v>#NAME?</v>
      </c>
      <c r="Q181" s="371" t="e">
        <f ca="1">-(O181-curve!$T$3)/J181</f>
        <v>#NAME?</v>
      </c>
      <c r="R181" s="373">
        <f t="shared" ca="1" si="3"/>
        <v>-374.72249779606096</v>
      </c>
      <c r="S181" s="191" t="str">
        <f>IF(F181&lt;&gt;"","",IF(G181="","",-G181*(SUMIF('raw Data'!$A:$A,"RESINV1USD",'raw Data'!$G:$G)+SUMIF('raw Data'!$A:$A,"RESSWAPORUSD",'raw Data'!$G:$G))/(36500*J181)))</f>
        <v/>
      </c>
      <c r="T181" s="202" t="str">
        <f>IF(G181&lt;&gt;"","",IF(F181="","",-36500*J181*F181/(SUMIF('raw Data'!$A:$A,"RESINV1USD",'raw Data'!$G:$G)+SUMIF('raw Data'!$A:$A,"RESSWAPORUSD",'raw Data'!$G:$G))))</f>
        <v/>
      </c>
      <c r="U181" s="125">
        <f>SUMIF('raw Data'!$E:$E,A181,'raw Data'!$N:$N)</f>
        <v>0</v>
      </c>
      <c r="V181" s="126">
        <v>39128</v>
      </c>
      <c r="W181" s="127">
        <v>39128</v>
      </c>
      <c r="X181" s="127">
        <v>39309</v>
      </c>
      <c r="Y181" s="127">
        <v>42597</v>
      </c>
      <c r="Z181" s="127">
        <v>42781</v>
      </c>
      <c r="AA181" s="128">
        <v>4.6249999999999999E-2</v>
      </c>
      <c r="AB181" s="129">
        <v>22193000000</v>
      </c>
      <c r="AC181" s="130" t="str">
        <f ca="1">IF(LEFT(B181,1)="B",_xll.INSTANCE.TBILL(A181,V181,Z181,TODAY()),_xll.INSTANCE.TNOTE(A181,V181,W181,X181,Y181,Z181,AA181,TODAY()))</f>
        <v>US912828GH76#0003</v>
      </c>
    </row>
    <row r="182" spans="1:29" x14ac:dyDescent="0.35">
      <c r="A182" s="131" t="s">
        <v>505</v>
      </c>
      <c r="B182" s="115" t="s">
        <v>1158</v>
      </c>
      <c r="C182" s="364"/>
      <c r="D182" s="116"/>
      <c r="E182" s="117"/>
      <c r="F182" s="118"/>
      <c r="G182" s="369"/>
      <c r="H182" s="120">
        <v>6.8429090000000003E-3</v>
      </c>
      <c r="I182" s="121">
        <f ca="1">_xll.INSTRUMENT.PRIX(AC182,D182,H182,cTreasuries)</f>
        <v>110.63031750716119</v>
      </c>
      <c r="J182" s="122">
        <f ca="1">_xll.INSTRUMENT.DV01(A182,,,I182,cContinuous,I182)</f>
        <v>-4.8755569628573886E-2</v>
      </c>
      <c r="K182" s="123">
        <f ca="1">_xll.INSTRUMENT.CONVEXITE(A182,,,I182,cContinuous,I182)</f>
        <v>19.940904539237504</v>
      </c>
      <c r="L182" s="123">
        <f ca="1">_xll.INSTRUMENT.Z.SPREAD(A182,swapCurve,I182,cContinuous,D182)</f>
        <v>-19.59543170110177</v>
      </c>
      <c r="M182" s="123" t="e">
        <f ca="1">_xll.INSTRUMENT.Z.SPREAD(A182,ustCurve,I182,cContinuous,D182)</f>
        <v>#VALUE!</v>
      </c>
      <c r="N182" s="123">
        <f ca="1">_xll.INSTRUMENT.Z.SPREAD(A182,oisCurve,I182,cContinuous,D182)</f>
        <v>14.864507905935312</v>
      </c>
      <c r="O182" s="124" t="e">
        <f ca="1">1/_xll.CALENDRIER.FRAC.ANNEE(_xll.INSTRUMENT.DATE.REGLEMENT($AC182,,),_xll.INSTRUMENT.DATE.REGLEMENT($AC182,_xll.CALENDRIER.GAP.FINANCE(TODAY(),"1M","AUD","Unadjusted"),),"ACT/365")*(_xll.INSTRUMENT.ROLL.DOWN($A182,oisCurve,_xll.CALENDRIER.GAP.FINANCE(TODAY(),"1M","AUD","Unadjusted",TRUE),$N182)+100*$AA182*_xll.CALENDRIER.FRAC.ANNEE(_xll.INSTRUMENT.DATE.REGLEMENT($AC182,,),_xll.INSTRUMENT.DATE.REGLEMENT($AC182,_xll.CALENDRIER.GAP.FINANCE(TODAY(),"1M","AUD","Unadjusted"),),"ACT/365")-$I182)/$I182</f>
        <v>#NAME?</v>
      </c>
      <c r="P182" s="124" t="e">
        <f ca="1">1/_xll.CALENDRIER.FRAC.ANNEE(_xll.INSTRUMENT.DATE.REGLEMENT($AC182,,),_xll.INSTRUMENT.DATE.REGLEMENT($AC182,_xll.CALENDRIER.GAP.FINANCE(TODAY(),"3M","AUD","Unadjusted"),),"ACT/365")*(_xll.INSTRUMENT.ROLL.DOWN($A182,oisCurve,_xll.CALENDRIER.GAP.FINANCE(TODAY(),"3M","AUD","Unadjusted",TRUE),$N182)+100*$AA182*_xll.CALENDRIER.FRAC.ANNEE(_xll.INSTRUMENT.DATE.REGLEMENT($AC182,,),_xll.INSTRUMENT.DATE.REGLEMENT($AC182,_xll.CALENDRIER.GAP.FINANCE(TODAY(),"3M","AUD","Unadjusted"),),"ACT/365")-$I182)/$I182</f>
        <v>#NAME?</v>
      </c>
      <c r="Q182" s="371" t="e">
        <f ca="1">-(O182-curve!$T$3)/J182</f>
        <v>#NAME?</v>
      </c>
      <c r="R182" s="373">
        <f t="shared" ca="1" si="3"/>
        <v>-408.99746821029566</v>
      </c>
      <c r="S182" s="191" t="str">
        <f>IF(F182&lt;&gt;"","",IF(G182="","",-G182*(SUMIF('raw Data'!$A:$A,"RESINV1USD",'raw Data'!$G:$G)+SUMIF('raw Data'!$A:$A,"RESSWAPORUSD",'raw Data'!$G:$G))/(36500*J182)))</f>
        <v/>
      </c>
      <c r="T182" s="202" t="str">
        <f>IF(G182&lt;&gt;"","",IF(F182="","",-36500*J182*F182/(SUMIF('raw Data'!$A:$A,"RESINV1USD",'raw Data'!$G:$G)+SUMIF('raw Data'!$A:$A,"RESSWAPORUSD",'raw Data'!$G:$G))))</f>
        <v/>
      </c>
      <c r="U182" s="125">
        <f>SUMIF('raw Data'!$E:$E,A182,'raw Data'!$N:$N)</f>
        <v>0</v>
      </c>
      <c r="V182" s="126">
        <v>40238</v>
      </c>
      <c r="W182" s="127">
        <v>40237</v>
      </c>
      <c r="X182" s="127">
        <v>40421</v>
      </c>
      <c r="Y182" s="127">
        <v>42613</v>
      </c>
      <c r="Z182" s="127">
        <v>42794</v>
      </c>
      <c r="AA182" s="128">
        <v>0.03</v>
      </c>
      <c r="AB182" s="129">
        <v>32786000000</v>
      </c>
      <c r="AC182" s="130" t="str">
        <f ca="1">IF(LEFT(B182,1)="B",_xll.INSTANCE.TBILL(A182,V182,Z182,TODAY()),_xll.INSTANCE.TNOTE(A182,V182,W182,X182,Y182,Z182,AA182,TODAY()))</f>
        <v>US912828MS67#0003</v>
      </c>
    </row>
    <row r="183" spans="1:29" x14ac:dyDescent="0.35">
      <c r="A183" s="131" t="s">
        <v>59</v>
      </c>
      <c r="B183" s="115" t="s">
        <v>1159</v>
      </c>
      <c r="C183" s="364" t="s">
        <v>944</v>
      </c>
      <c r="D183" s="116"/>
      <c r="E183" s="117"/>
      <c r="F183" s="118"/>
      <c r="G183" s="369"/>
      <c r="H183" s="120">
        <v>6.7042020000000003E-3</v>
      </c>
      <c r="I183" s="121">
        <f ca="1">_xll.INSTRUMENT.PRIX(AC183,D183,H183,cTreasuries)</f>
        <v>100.94166296053793</v>
      </c>
      <c r="J183" s="122">
        <f ca="1">_xll.INSTRUMENT.DV01(A183,,,I183,cContinuous,I183)</f>
        <v>-4.62711736173511E-2</v>
      </c>
      <c r="K183" s="123">
        <f ca="1">_xll.INSTRUMENT.CONVEXITE(A183,,,I183,cContinuous,I183)</f>
        <v>21.189659372070771</v>
      </c>
      <c r="L183" s="123">
        <f ca="1">_xll.INSTRUMENT.Z.SPREAD(A183,swapCurve,I183,cContinuous,D183)</f>
        <v>-22.016839686564577</v>
      </c>
      <c r="M183" s="123" t="e">
        <f ca="1">_xll.INSTRUMENT.Z.SPREAD(A183,ustCurve,I183,cContinuous,D183)</f>
        <v>#VALUE!</v>
      </c>
      <c r="N183" s="123">
        <f ca="1">_xll.INSTRUMENT.Z.SPREAD(A183,oisCurve,I183,cContinuous,D183)</f>
        <v>12.471743794647114</v>
      </c>
      <c r="O183" s="124" t="e">
        <f ca="1">1/_xll.CALENDRIER.FRAC.ANNEE(_xll.INSTRUMENT.DATE.REGLEMENT($AC183,,),_xll.INSTRUMENT.DATE.REGLEMENT($AC183,_xll.CALENDRIER.GAP.FINANCE(TODAY(),"1M","AUD","Unadjusted"),),"ACT/365")*(_xll.INSTRUMENT.ROLL.DOWN($A183,oisCurve,_xll.CALENDRIER.GAP.FINANCE(TODAY(),"1M","AUD","Unadjusted",TRUE),$N183)+100*$AA183*_xll.CALENDRIER.FRAC.ANNEE(_xll.INSTRUMENT.DATE.REGLEMENT($AC183,,),_xll.INSTRUMENT.DATE.REGLEMENT($AC183,_xll.CALENDRIER.GAP.FINANCE(TODAY(),"1M","AUD","Unadjusted"),),"ACT/365")-$I183)/$I183</f>
        <v>#NAME?</v>
      </c>
      <c r="P183" s="124" t="e">
        <f ca="1">1/_xll.CALENDRIER.FRAC.ANNEE(_xll.INSTRUMENT.DATE.REGLEMENT($AC183,,),_xll.INSTRUMENT.DATE.REGLEMENT($AC183,_xll.CALENDRIER.GAP.FINANCE(TODAY(),"3M","AUD","Unadjusted"),),"ACT/365")*(_xll.INSTRUMENT.ROLL.DOWN($A183,oisCurve,_xll.CALENDRIER.GAP.FINANCE(TODAY(),"3M","AUD","Unadjusted",TRUE),$N183)+100*$AA183*_xll.CALENDRIER.FRAC.ANNEE(_xll.INSTRUMENT.DATE.REGLEMENT($AC183,,),_xll.INSTRUMENT.DATE.REGLEMENT($AC183,_xll.CALENDRIER.GAP.FINANCE(TODAY(),"3M","AUD","Unadjusted"),),"ACT/365")-$I183)/$I183</f>
        <v>#NAME?</v>
      </c>
      <c r="Q183" s="371" t="e">
        <f ca="1">-(O183-curve!$T$3)/J183</f>
        <v>#NAME?</v>
      </c>
      <c r="R183" s="373">
        <f t="shared" ca="1" si="3"/>
        <v>-457.9451463086495</v>
      </c>
      <c r="S183" s="191" t="str">
        <f>IF(F183&lt;&gt;"","",IF(G183="","",-G183*(SUMIF('raw Data'!$A:$A,"RESINV1USD",'raw Data'!$G:$G)+SUMIF('raw Data'!$A:$A,"RESSWAPORUSD",'raw Data'!$G:$G))/(36500*J183)))</f>
        <v/>
      </c>
      <c r="T183" s="202" t="str">
        <f>IF(G183&lt;&gt;"","",IF(F183="","",-36500*J183*F183/(SUMIF('raw Data'!$A:$A,"RESINV1USD",'raw Data'!$G:$G)+SUMIF('raw Data'!$A:$A,"RESSWAPORUSD",'raw Data'!$G:$G))))</f>
        <v/>
      </c>
      <c r="U183" s="125">
        <f>SUMIF('raw Data'!$E:$E,A183,'raw Data'!$N:$N)</f>
        <v>0</v>
      </c>
      <c r="V183" s="126">
        <v>40968</v>
      </c>
      <c r="W183" s="127">
        <v>40968</v>
      </c>
      <c r="X183" s="127">
        <v>41152</v>
      </c>
      <c r="Y183" s="127">
        <v>42613</v>
      </c>
      <c r="Z183" s="127">
        <v>42794</v>
      </c>
      <c r="AA183" s="128">
        <v>8.7500000000000008E-3</v>
      </c>
      <c r="AB183" s="129">
        <v>35497000000</v>
      </c>
      <c r="AC183" s="130" t="str">
        <f ca="1">IF(LEFT(B183,1)="B",_xll.INSTANCE.TBILL(A183,V183,Z183,TODAY()),_xll.INSTANCE.TNOTE(A183,V183,W183,X183,Y183,Z183,AA183,TODAY()))</f>
        <v>US912828SJ05#0003</v>
      </c>
    </row>
    <row r="184" spans="1:29" x14ac:dyDescent="0.35">
      <c r="A184" s="131" t="s">
        <v>506</v>
      </c>
      <c r="B184" s="115" t="s">
        <v>1160</v>
      </c>
      <c r="C184" s="364"/>
      <c r="D184" s="116"/>
      <c r="E184" s="117"/>
      <c r="F184" s="118"/>
      <c r="G184" s="369"/>
      <c r="H184" s="120">
        <v>7.0614229999999998E-3</v>
      </c>
      <c r="I184" s="121">
        <f ca="1">_xll.INSTRUMENT.PRIX(AC184,D184,H184,cTreasuries)</f>
        <v>111.87303282285863</v>
      </c>
      <c r="J184" s="122">
        <f ca="1">_xll.INSTRUMENT.DV01(A184,,,I184,cContinuous,I184)</f>
        <v>-4.99280285815141E-2</v>
      </c>
      <c r="K184" s="123">
        <f ca="1">_xll.INSTRUMENT.CONVEXITE(A184,,,I184,cContinuous,I184)</f>
        <v>20.551703205022967</v>
      </c>
      <c r="L184" s="123">
        <f ca="1">_xll.INSTRUMENT.Z.SPREAD(A184,swapCurve,I184,cContinuous,D184)</f>
        <v>-18.800218809293515</v>
      </c>
      <c r="M184" s="123" t="e">
        <f ca="1">_xll.INSTRUMENT.Z.SPREAD(A184,ustCurve,I184,cContinuous,D184)</f>
        <v>#VALUE!</v>
      </c>
      <c r="N184" s="123">
        <f ca="1">_xll.INSTRUMENT.Z.SPREAD(A184,oisCurve,I184,cContinuous,D184)</f>
        <v>15.601136851285261</v>
      </c>
      <c r="O184" s="124" t="e">
        <f ca="1">1/_xll.CALENDRIER.FRAC.ANNEE(_xll.INSTRUMENT.DATE.REGLEMENT($AC184,,),_xll.INSTRUMENT.DATE.REGLEMENT($AC184,_xll.CALENDRIER.GAP.FINANCE(TODAY(),"1M","AUD","Unadjusted"),),"ACT/365")*(_xll.INSTRUMENT.ROLL.DOWN($A184,oisCurve,_xll.CALENDRIER.GAP.FINANCE(TODAY(),"1M","AUD","Unadjusted",TRUE),$N184)+100*$AA184*_xll.CALENDRIER.FRAC.ANNEE(_xll.INSTRUMENT.DATE.REGLEMENT($AC184,,),_xll.INSTRUMENT.DATE.REGLEMENT($AC184,_xll.CALENDRIER.GAP.FINANCE(TODAY(),"1M","AUD","Unadjusted"),),"ACT/365")-$I184)/$I184</f>
        <v>#NAME?</v>
      </c>
      <c r="P184" s="124" t="e">
        <f ca="1">1/_xll.CALENDRIER.FRAC.ANNEE(_xll.INSTRUMENT.DATE.REGLEMENT($AC184,,),_xll.INSTRUMENT.DATE.REGLEMENT($AC184,_xll.CALENDRIER.GAP.FINANCE(TODAY(),"3M","AUD","Unadjusted"),),"ACT/365")*(_xll.INSTRUMENT.ROLL.DOWN($A184,oisCurve,_xll.CALENDRIER.GAP.FINANCE(TODAY(),"3M","AUD","Unadjusted",TRUE),$N184)+100*$AA184*_xll.CALENDRIER.FRAC.ANNEE(_xll.INSTRUMENT.DATE.REGLEMENT($AC184,,),_xll.INSTRUMENT.DATE.REGLEMENT($AC184,_xll.CALENDRIER.GAP.FINANCE(TODAY(),"3M","AUD","Unadjusted"),),"ACT/365")-$I184)/$I184</f>
        <v>#NAME?</v>
      </c>
      <c r="Q184" s="371" t="e">
        <f ca="1">-(O184-curve!$T$3)/J184</f>
        <v>#NAME?</v>
      </c>
      <c r="R184" s="373">
        <f t="shared" ca="1" si="3"/>
        <v>-411.62657106457942</v>
      </c>
      <c r="S184" s="191" t="str">
        <f>IF(F184&lt;&gt;"","",IF(G184="","",-G184*(SUMIF('raw Data'!$A:$A,"RESINV1USD",'raw Data'!$G:$G)+SUMIF('raw Data'!$A:$A,"RESSWAPORUSD",'raw Data'!$G:$G))/(36500*J184)))</f>
        <v/>
      </c>
      <c r="T184" s="202" t="str">
        <f>IF(G184&lt;&gt;"","",IF(F184="","",-36500*J184*F184/(SUMIF('raw Data'!$A:$A,"RESINV1USD",'raw Data'!$G:$G)+SUMIF('raw Data'!$A:$A,"RESSWAPORUSD",'raw Data'!$G:$G))))</f>
        <v/>
      </c>
      <c r="U184" s="125">
        <f>SUMIF('raw Data'!$E:$E,A184,'raw Data'!$N:$N)</f>
        <v>0</v>
      </c>
      <c r="V184" s="126">
        <v>40268</v>
      </c>
      <c r="W184" s="127">
        <v>40268</v>
      </c>
      <c r="X184" s="127">
        <v>40451</v>
      </c>
      <c r="Y184" s="127">
        <v>42643</v>
      </c>
      <c r="Z184" s="127">
        <v>42825</v>
      </c>
      <c r="AA184" s="128">
        <v>3.2500000000000001E-2</v>
      </c>
      <c r="AB184" s="129">
        <v>33083000000</v>
      </c>
      <c r="AC184" s="130" t="str">
        <f ca="1">IF(LEFT(B184,1)="B",_xll.INSTANCE.TBILL(A184,V184,Z184,TODAY()),_xll.INSTANCE.TNOTE(A184,V184,W184,X184,Y184,Z184,AA184,TODAY()))</f>
        <v>US912828MV96#0003</v>
      </c>
    </row>
    <row r="185" spans="1:29" x14ac:dyDescent="0.35">
      <c r="A185" s="131" t="s">
        <v>61</v>
      </c>
      <c r="B185" s="115" t="s">
        <v>1161</v>
      </c>
      <c r="C185" s="364" t="s">
        <v>924</v>
      </c>
      <c r="D185" s="116"/>
      <c r="E185" s="117"/>
      <c r="F185" s="118"/>
      <c r="G185" s="369"/>
      <c r="H185" s="120">
        <v>6.8987720000000001E-3</v>
      </c>
      <c r="I185" s="121">
        <f ca="1">_xll.INSTRUMENT.PRIX(AC185,D185,H185,cTreasuries)</f>
        <v>101.44764571239678</v>
      </c>
      <c r="J185" s="122">
        <f ca="1">_xll.INSTRUMENT.DV01(A185,,,I185,cContinuous,I185)</f>
        <v>-4.7213274236883387E-2</v>
      </c>
      <c r="K185" s="123">
        <f ca="1">_xll.INSTRUMENT.CONVEXITE(A185,,,I185,cContinuous,I185)</f>
        <v>21.890119742995598</v>
      </c>
      <c r="L185" s="123">
        <f ca="1">_xll.INSTRUMENT.Z.SPREAD(A185,swapCurve,I185,cContinuous,D185)</f>
        <v>-21.562634215296601</v>
      </c>
      <c r="M185" s="123" t="e">
        <f ca="1">_xll.INSTRUMENT.Z.SPREAD(A185,ustCurve,I185,cContinuous,D185)</f>
        <v>#VALUE!</v>
      </c>
      <c r="N185" s="123">
        <f ca="1">_xll.INSTRUMENT.Z.SPREAD(A185,oisCurve,I185,cContinuous,D185)</f>
        <v>12.85939947216672</v>
      </c>
      <c r="O185" s="124" t="e">
        <f ca="1">1/_xll.CALENDRIER.FRAC.ANNEE(_xll.INSTRUMENT.DATE.REGLEMENT($AC185,,),_xll.INSTRUMENT.DATE.REGLEMENT($AC185,_xll.CALENDRIER.GAP.FINANCE(TODAY(),"1M","AUD","Unadjusted"),),"ACT/365")*(_xll.INSTRUMENT.ROLL.DOWN($A185,oisCurve,_xll.CALENDRIER.GAP.FINANCE(TODAY(),"1M","AUD","Unadjusted",TRUE),$N185)+100*$AA185*_xll.CALENDRIER.FRAC.ANNEE(_xll.INSTRUMENT.DATE.REGLEMENT($AC185,,),_xll.INSTRUMENT.DATE.REGLEMENT($AC185,_xll.CALENDRIER.GAP.FINANCE(TODAY(),"1M","AUD","Unadjusted"),),"ACT/365")-$I185)/$I185</f>
        <v>#NAME?</v>
      </c>
      <c r="P185" s="124" t="e">
        <f ca="1">1/_xll.CALENDRIER.FRAC.ANNEE(_xll.INSTRUMENT.DATE.REGLEMENT($AC185,,),_xll.INSTRUMENT.DATE.REGLEMENT($AC185,_xll.CALENDRIER.GAP.FINANCE(TODAY(),"3M","AUD","Unadjusted"),),"ACT/365")*(_xll.INSTRUMENT.ROLL.DOWN($A185,oisCurve,_xll.CALENDRIER.GAP.FINANCE(TODAY(),"3M","AUD","Unadjusted",TRUE),$N185)+100*$AA185*_xll.CALENDRIER.FRAC.ANNEE(_xll.INSTRUMENT.DATE.REGLEMENT($AC185,,),_xll.INSTRUMENT.DATE.REGLEMENT($AC185,_xll.CALENDRIER.GAP.FINANCE(TODAY(),"3M","AUD","Unadjusted"),),"ACT/365")-$I185)/$I185</f>
        <v>#NAME?</v>
      </c>
      <c r="Q185" s="371" t="e">
        <f ca="1">-(O185-curve!$T$3)/J185</f>
        <v>#NAME?</v>
      </c>
      <c r="R185" s="373">
        <f t="shared" ca="1" si="3"/>
        <v>-463.64333117771486</v>
      </c>
      <c r="S185" s="191" t="str">
        <f>IF(F185&lt;&gt;"","",IF(G185="","",-G185*(SUMIF('raw Data'!$A:$A,"RESINV1USD",'raw Data'!$G:$G)+SUMIF('raw Data'!$A:$A,"RESSWAPORUSD",'raw Data'!$G:$G))/(36500*J185)))</f>
        <v/>
      </c>
      <c r="T185" s="202" t="str">
        <f>IF(G185&lt;&gt;"","",IF(F185="","",-36500*J185*F185/(SUMIF('raw Data'!$A:$A,"RESINV1USD",'raw Data'!$G:$G)+SUMIF('raw Data'!$A:$A,"RESSWAPORUSD",'raw Data'!$G:$G))))</f>
        <v/>
      </c>
      <c r="U185" s="125">
        <f>SUMIF('raw Data'!$E:$E,A185,'raw Data'!$N:$N)</f>
        <v>33000</v>
      </c>
      <c r="V185" s="126">
        <v>41001</v>
      </c>
      <c r="W185" s="127">
        <v>40999</v>
      </c>
      <c r="X185" s="127">
        <v>41182</v>
      </c>
      <c r="Y185" s="127">
        <v>42643</v>
      </c>
      <c r="Z185" s="127">
        <v>42825</v>
      </c>
      <c r="AA185" s="128">
        <v>0.01</v>
      </c>
      <c r="AB185" s="129">
        <v>35831000000</v>
      </c>
      <c r="AC185" s="130" t="str">
        <f ca="1">IF(LEFT(B185,1)="B",_xll.INSTANCE.TBILL(A185,V185,Z185,TODAY()),_xll.INSTANCE.TNOTE(A185,V185,W185,X185,Y185,Z185,AA185,TODAY()))</f>
        <v>US912828SM34#0003</v>
      </c>
    </row>
    <row r="186" spans="1:29" x14ac:dyDescent="0.35">
      <c r="A186" s="131" t="s">
        <v>608</v>
      </c>
      <c r="B186" s="115" t="s">
        <v>1162</v>
      </c>
      <c r="C186" s="364" t="s">
        <v>923</v>
      </c>
      <c r="D186" s="116"/>
      <c r="E186" s="117"/>
      <c r="F186" s="118"/>
      <c r="G186" s="369"/>
      <c r="H186" s="120">
        <v>7.0189159999999992E-3</v>
      </c>
      <c r="I186" s="121">
        <f ca="1">_xll.INSTRUMENT.PRIX(AC186,D186,H186,cTreasuries)</f>
        <v>100.82338223166084</v>
      </c>
      <c r="J186" s="122">
        <f ca="1">_xll.INSTRUMENT.DV01(A186,,,I186,cContinuous,I186)</f>
        <v>-4.7837184464391898E-2</v>
      </c>
      <c r="K186" s="123">
        <f ca="1">_xll.INSTRUMENT.CONVEXITE(A186,,,I186,cContinuous,I186)</f>
        <v>22.7702945372926</v>
      </c>
      <c r="L186" s="123">
        <f ca="1">_xll.INSTRUMENT.Z.SPREAD(A186,swapCurve,I186,cContinuous,D186)</f>
        <v>-22.017007375641274</v>
      </c>
      <c r="M186" s="123" t="e">
        <f ca="1">_xll.INSTRUMENT.Z.SPREAD(A186,ustCurve,I186,cContinuous,D186)</f>
        <v>#VALUE!</v>
      </c>
      <c r="N186" s="123">
        <f ca="1">_xll.INSTRUMENT.Z.SPREAD(A186,oisCurve,I186,cContinuous,D186)</f>
        <v>12.326274550791009</v>
      </c>
      <c r="O186" s="124" t="e">
        <f ca="1">1/_xll.CALENDRIER.FRAC.ANNEE(_xll.INSTRUMENT.DATE.REGLEMENT($AC186,,),_xll.INSTRUMENT.DATE.REGLEMENT($AC186,_xll.CALENDRIER.GAP.FINANCE(TODAY(),"1M","AUD","Unadjusted"),),"ACT/365")*(_xll.INSTRUMENT.ROLL.DOWN($A186,oisCurve,_xll.CALENDRIER.GAP.FINANCE(TODAY(),"1M","AUD","Unadjusted",TRUE),$N186)+100*$AA186*_xll.CALENDRIER.FRAC.ANNEE(_xll.INSTRUMENT.DATE.REGLEMENT($AC186,,),_xll.INSTRUMENT.DATE.REGLEMENT($AC186,_xll.CALENDRIER.GAP.FINANCE(TODAY(),"1M","AUD","Unadjusted"),),"ACT/365")-$I186)/$I186</f>
        <v>#NAME?</v>
      </c>
      <c r="P186" s="124" t="e">
        <f ca="1">1/_xll.CALENDRIER.FRAC.ANNEE(_xll.INSTRUMENT.DATE.REGLEMENT($AC186,,),_xll.INSTRUMENT.DATE.REGLEMENT($AC186,_xll.CALENDRIER.GAP.FINANCE(TODAY(),"3M","AUD","Unadjusted"),),"ACT/365")*(_xll.INSTRUMENT.ROLL.DOWN($A186,oisCurve,_xll.CALENDRIER.GAP.FINANCE(TODAY(),"3M","AUD","Unadjusted",TRUE),$N186)+100*$AA186*_xll.CALENDRIER.FRAC.ANNEE(_xll.INSTRUMENT.DATE.REGLEMENT($AC186,,),_xll.INSTRUMENT.DATE.REGLEMENT($AC186,_xll.CALENDRIER.GAP.FINANCE(TODAY(),"3M","AUD","Unadjusted"),),"ACT/365")-$I186)/$I186</f>
        <v>#NAME?</v>
      </c>
      <c r="Q186" s="371" t="e">
        <f ca="1">-(O186-curve!$T$3)/J186</f>
        <v>#NAME?</v>
      </c>
      <c r="R186" s="373">
        <f t="shared" ca="1" si="3"/>
        <v>-475.99570903345921</v>
      </c>
      <c r="S186" s="191" t="str">
        <f>IF(F186&lt;&gt;"","",IF(G186="","",-G186*(SUMIF('raw Data'!$A:$A,"RESINV1USD",'raw Data'!$G:$G)+SUMIF('raw Data'!$A:$A,"RESSWAPORUSD",'raw Data'!$G:$G))/(36500*J186)))</f>
        <v/>
      </c>
      <c r="T186" s="202" t="str">
        <f>IF(G186&lt;&gt;"","",IF(F186="","",-36500*J186*F186/(SUMIF('raw Data'!$A:$A,"RESINV1USD",'raw Data'!$G:$G)+SUMIF('raw Data'!$A:$A,"RESSWAPORUSD",'raw Data'!$G:$G))))</f>
        <v/>
      </c>
      <c r="U186" s="125">
        <f>SUMIF('raw Data'!$E:$E,A186,'raw Data'!$N:$N)</f>
        <v>-221035.79539214849</v>
      </c>
      <c r="V186" s="126">
        <v>41029</v>
      </c>
      <c r="W186" s="127">
        <v>41029</v>
      </c>
      <c r="X186" s="127">
        <v>41213</v>
      </c>
      <c r="Y186" s="127">
        <v>42674</v>
      </c>
      <c r="Z186" s="127">
        <v>42855</v>
      </c>
      <c r="AA186" s="128">
        <v>8.7500000000000008E-3</v>
      </c>
      <c r="AB186" s="129">
        <v>35940000000</v>
      </c>
      <c r="AC186" s="130" t="str">
        <f ca="1">IF(LEFT(B186,1)="B",_xll.INSTANCE.TBILL(A186,V186,Z186,TODAY()),_xll.INSTANCE.TNOTE(A186,V186,W186,X186,Y186,Z186,AA186,TODAY()))</f>
        <v>US912828SS04#0003</v>
      </c>
    </row>
    <row r="187" spans="1:29" x14ac:dyDescent="0.35">
      <c r="A187" s="131" t="s">
        <v>507</v>
      </c>
      <c r="B187" s="115" t="s">
        <v>1163</v>
      </c>
      <c r="C187" s="364"/>
      <c r="D187" s="116"/>
      <c r="E187" s="117"/>
      <c r="F187" s="118"/>
      <c r="G187" s="369"/>
      <c r="H187" s="120">
        <v>7.1270880000000002E-3</v>
      </c>
      <c r="I187" s="121">
        <f ca="1">_xll.INSTRUMENT.PRIX(AC187,D187,H187,cTreasuries)</f>
        <v>111.45041071340152</v>
      </c>
      <c r="J187" s="122">
        <f ca="1">_xll.INSTRUMENT.DV01(A187,,,I187,cContinuous,I187)</f>
        <v>-5.0653189797771413E-2</v>
      </c>
      <c r="K187" s="123">
        <f ca="1">_xll.INSTRUMENT.CONVEXITE(A187,,,I187,cContinuous,I187)</f>
        <v>21.380685874609238</v>
      </c>
      <c r="L187" s="123">
        <f ca="1">_xll.INSTRUMENT.Z.SPREAD(A187,swapCurve,I187,cContinuous,D187)</f>
        <v>-19.738102573836134</v>
      </c>
      <c r="M187" s="123" t="e">
        <f ca="1">_xll.INSTRUMENT.Z.SPREAD(A187,ustCurve,I187,cContinuous,D187)</f>
        <v>#VALUE!</v>
      </c>
      <c r="N187" s="123">
        <f ca="1">_xll.INSTRUMENT.Z.SPREAD(A187,oisCurve,I187,cContinuous,D187)</f>
        <v>14.590590798794357</v>
      </c>
      <c r="O187" s="124" t="e">
        <f ca="1">1/_xll.CALENDRIER.FRAC.ANNEE(_xll.INSTRUMENT.DATE.REGLEMENT($AC187,,),_xll.INSTRUMENT.DATE.REGLEMENT($AC187,_xll.CALENDRIER.GAP.FINANCE(TODAY(),"1M","AUD","Unadjusted"),),"ACT/365")*(_xll.INSTRUMENT.ROLL.DOWN($A187,oisCurve,_xll.CALENDRIER.GAP.FINANCE(TODAY(),"1M","AUD","Unadjusted",TRUE),$N187)+100*$AA187*_xll.CALENDRIER.FRAC.ANNEE(_xll.INSTRUMENT.DATE.REGLEMENT($AC187,,),_xll.INSTRUMENT.DATE.REGLEMENT($AC187,_xll.CALENDRIER.GAP.FINANCE(TODAY(),"1M","AUD","Unadjusted"),),"ACT/365")-$I187)/$I187</f>
        <v>#NAME?</v>
      </c>
      <c r="P187" s="124" t="e">
        <f ca="1">1/_xll.CALENDRIER.FRAC.ANNEE(_xll.INSTRUMENT.DATE.REGLEMENT($AC187,,),_xll.INSTRUMENT.DATE.REGLEMENT($AC187,_xll.CALENDRIER.GAP.FINANCE(TODAY(),"3M","AUD","Unadjusted"),),"ACT/365")*(_xll.INSTRUMENT.ROLL.DOWN($A187,oisCurve,_xll.CALENDRIER.GAP.FINANCE(TODAY(),"3M","AUD","Unadjusted",TRUE),$N187)+100*$AA187*_xll.CALENDRIER.FRAC.ANNEE(_xll.INSTRUMENT.DATE.REGLEMENT($AC187,,),_xll.INSTRUMENT.DATE.REGLEMENT($AC187,_xll.CALENDRIER.GAP.FINANCE(TODAY(),"3M","AUD","Unadjusted"),),"ACT/365")-$I187)/$I187</f>
        <v>#NAME?</v>
      </c>
      <c r="Q187" s="371" t="e">
        <f ca="1">-(O187-curve!$T$3)/J187</f>
        <v>#NAME?</v>
      </c>
      <c r="R187" s="373">
        <f t="shared" ca="1" si="3"/>
        <v>-422.09949580608492</v>
      </c>
      <c r="S187" s="191" t="str">
        <f>IF(F187&lt;&gt;"","",IF(G187="","",-G187*(SUMIF('raw Data'!$A:$A,"RESINV1USD",'raw Data'!$G:$G)+SUMIF('raw Data'!$A:$A,"RESSWAPORUSD",'raw Data'!$G:$G))/(36500*J187)))</f>
        <v/>
      </c>
      <c r="T187" s="202" t="str">
        <f>IF(G187&lt;&gt;"","",IF(F187="","",-36500*J187*F187/(SUMIF('raw Data'!$A:$A,"RESINV1USD",'raw Data'!$G:$G)+SUMIF('raw Data'!$A:$A,"RESSWAPORUSD",'raw Data'!$G:$G))))</f>
        <v/>
      </c>
      <c r="U187" s="125">
        <f>SUMIF('raw Data'!$E:$E,A187,'raw Data'!$N:$N)</f>
        <v>0</v>
      </c>
      <c r="V187" s="126">
        <v>40298</v>
      </c>
      <c r="W187" s="127">
        <v>40298</v>
      </c>
      <c r="X187" s="127">
        <v>40482</v>
      </c>
      <c r="Y187" s="127">
        <v>42674</v>
      </c>
      <c r="Z187" s="127">
        <v>42855</v>
      </c>
      <c r="AA187" s="128">
        <v>3.125E-2</v>
      </c>
      <c r="AB187" s="129">
        <v>32682000000</v>
      </c>
      <c r="AC187" s="130" t="str">
        <f ca="1">IF(LEFT(B187,1)="B",_xll.INSTANCE.TBILL(A187,V187,Z187,TODAY()),_xll.INSTANCE.TNOTE(A187,V187,W187,X187,Y187,Z187,AA187,TODAY()))</f>
        <v>US912828NA41#0003</v>
      </c>
    </row>
    <row r="188" spans="1:29" x14ac:dyDescent="0.35">
      <c r="A188" s="131" t="s">
        <v>508</v>
      </c>
      <c r="B188" s="115" t="s">
        <v>1164</v>
      </c>
      <c r="C188" s="364"/>
      <c r="D188" s="116"/>
      <c r="E188" s="117"/>
      <c r="F188" s="118"/>
      <c r="G188" s="369"/>
      <c r="H188" s="120">
        <v>7.1863429999999996E-3</v>
      </c>
      <c r="I188" s="121">
        <f ca="1">_xll.INSTRUMENT.PRIX(AC188,D188,H188,cTreasuries)</f>
        <v>118.09375606873716</v>
      </c>
      <c r="J188" s="122">
        <f ca="1">_xll.INSTRUMENT.DV01(A188,,,I188,cContinuous,I188)</f>
        <v>-5.2846821379300156E-2</v>
      </c>
      <c r="K188" s="123">
        <f ca="1">_xll.INSTRUMENT.CONVEXITE(A188,,,I188,cContinuous,I188)</f>
        <v>21.000616797420758</v>
      </c>
      <c r="L188" s="123">
        <f ca="1">_xll.INSTRUMENT.Z.SPREAD(A188,swapCurve,I188,cContinuous,D188)</f>
        <v>-19.095233058944103</v>
      </c>
      <c r="M188" s="123" t="e">
        <f ca="1">_xll.INSTRUMENT.Z.SPREAD(A188,ustCurve,I188,cContinuous,D188)</f>
        <v>#VALUE!</v>
      </c>
      <c r="N188" s="123">
        <f ca="1">_xll.INSTRUMENT.Z.SPREAD(A188,oisCurve,I188,cContinuous,D188)</f>
        <v>15.186747219355734</v>
      </c>
      <c r="O188" s="124" t="e">
        <f ca="1">1/_xll.CALENDRIER.FRAC.ANNEE(_xll.INSTRUMENT.DATE.REGLEMENT($AC188,,),_xll.INSTRUMENT.DATE.REGLEMENT($AC188,_xll.CALENDRIER.GAP.FINANCE(TODAY(),"1M","AUD","Unadjusted"),),"ACT/365")*(_xll.INSTRUMENT.ROLL.DOWN($A188,oisCurve,_xll.CALENDRIER.GAP.FINANCE(TODAY(),"1M","AUD","Unadjusted",TRUE),$N188)+100*$AA188*_xll.CALENDRIER.FRAC.ANNEE(_xll.INSTRUMENT.DATE.REGLEMENT($AC188,,),_xll.INSTRUMENT.DATE.REGLEMENT($AC188,_xll.CALENDRIER.GAP.FINANCE(TODAY(),"1M","AUD","Unadjusted"),),"ACT/365")-$I188)/$I188</f>
        <v>#NAME?</v>
      </c>
      <c r="P188" s="124" t="e">
        <f ca="1">1/_xll.CALENDRIER.FRAC.ANNEE(_xll.INSTRUMENT.DATE.REGLEMENT($AC188,,),_xll.INSTRUMENT.DATE.REGLEMENT($AC188,_xll.CALENDRIER.GAP.FINANCE(TODAY(),"3M","AUD","Unadjusted"),),"ACT/365")*(_xll.INSTRUMENT.ROLL.DOWN($A188,oisCurve,_xll.CALENDRIER.GAP.FINANCE(TODAY(),"3M","AUD","Unadjusted",TRUE),$N188)+100*$AA188*_xll.CALENDRIER.FRAC.ANNEE(_xll.INSTRUMENT.DATE.REGLEMENT($AC188,,),_xll.INSTRUMENT.DATE.REGLEMENT($AC188,_xll.CALENDRIER.GAP.FINANCE(TODAY(),"3M","AUD","Unadjusted"),),"ACT/365")-$I188)/$I188</f>
        <v>#NAME?</v>
      </c>
      <c r="Q188" s="371" t="e">
        <f ca="1">-(O188-curve!$T$3)/J188</f>
        <v>#NAME?</v>
      </c>
      <c r="R188" s="373">
        <f t="shared" ca="1" si="3"/>
        <v>-397.38656458998685</v>
      </c>
      <c r="S188" s="191" t="str">
        <f>IF(F188&lt;&gt;"","",IF(G188="","",-G188*(SUMIF('raw Data'!$A:$A,"RESINV1USD",'raw Data'!$G:$G)+SUMIF('raw Data'!$A:$A,"RESSWAPORUSD",'raw Data'!$G:$G))/(36500*J188)))</f>
        <v/>
      </c>
      <c r="T188" s="202" t="str">
        <f>IF(G188&lt;&gt;"","",IF(F188="","",-36500*J188*F188/(SUMIF('raw Data'!$A:$A,"RESINV1USD",'raw Data'!$G:$G)+SUMIF('raw Data'!$A:$A,"RESSWAPORUSD",'raw Data'!$G:$G))))</f>
        <v/>
      </c>
      <c r="U188" s="125">
        <f>SUMIF('raw Data'!$E:$E,A188,'raw Data'!$N:$N)</f>
        <v>0</v>
      </c>
      <c r="V188" s="126">
        <v>39217</v>
      </c>
      <c r="W188" s="127">
        <v>39217</v>
      </c>
      <c r="X188" s="127">
        <v>39401</v>
      </c>
      <c r="Y188" s="127">
        <v>42689</v>
      </c>
      <c r="Z188" s="127">
        <v>42870</v>
      </c>
      <c r="AA188" s="128">
        <v>4.4999999999999998E-2</v>
      </c>
      <c r="AB188" s="129">
        <v>25587000000</v>
      </c>
      <c r="AC188" s="130" t="str">
        <f ca="1">IF(LEFT(B188,1)="B",_xll.INSTANCE.TBILL(A188,V188,Z188,TODAY()),_xll.INSTANCE.TNOTE(A188,V188,W188,X188,Y188,Z188,AA188,TODAY()))</f>
        <v>US912828GS32#0003</v>
      </c>
    </row>
    <row r="189" spans="1:29" x14ac:dyDescent="0.35">
      <c r="A189" s="131" t="s">
        <v>509</v>
      </c>
      <c r="B189" s="115" t="s">
        <v>1165</v>
      </c>
      <c r="C189" s="364"/>
      <c r="D189" s="116"/>
      <c r="E189" s="117"/>
      <c r="F189" s="118"/>
      <c r="G189" s="369"/>
      <c r="H189" s="120">
        <v>7.0187119999999999E-3</v>
      </c>
      <c r="I189" s="121">
        <f ca="1">_xll.INSTRUMENT.PRIX(AC189,D189,H189,cTreasuries)</f>
        <v>138.52576394243945</v>
      </c>
      <c r="J189" s="122">
        <f ca="1">_xll.INSTRUMENT.DV01(A189,,,I189,cContinuous,I189)</f>
        <v>-5.8340407823226893E-2</v>
      </c>
      <c r="K189" s="123">
        <f ca="1">_xll.INSTRUMENT.CONVEXITE(A189,,,I189,cContinuous,I189)</f>
        <v>19.192674039947377</v>
      </c>
      <c r="L189" s="123">
        <f ca="1">_xll.INSTRUMENT.Z.SPREAD(A189,swapCurve,I189,cContinuous,D189)</f>
        <v>-18.914731582561913</v>
      </c>
      <c r="M189" s="123" t="e">
        <f ca="1">_xll.INSTRUMENT.Z.SPREAD(A189,ustCurve,I189,cContinuous,D189)</f>
        <v>#VALUE!</v>
      </c>
      <c r="N189" s="123">
        <f ca="1">_xll.INSTRUMENT.Z.SPREAD(A189,oisCurve,I189,cContinuous,D189)</f>
        <v>15.347825688810373</v>
      </c>
      <c r="O189" s="124" t="e">
        <f ca="1">1/_xll.CALENDRIER.FRAC.ANNEE(_xll.INSTRUMENT.DATE.REGLEMENT($AC189,,),_xll.INSTRUMENT.DATE.REGLEMENT($AC189,_xll.CALENDRIER.GAP.FINANCE(TODAY(),"1M","AUD","Unadjusted"),),"ACT/365")*(_xll.INSTRUMENT.ROLL.DOWN($A189,oisCurve,_xll.CALENDRIER.GAP.FINANCE(TODAY(),"1M","AUD","Unadjusted",TRUE),$N189)+100*$AA189*_xll.CALENDRIER.FRAC.ANNEE(_xll.INSTRUMENT.DATE.REGLEMENT($AC189,,),_xll.INSTRUMENT.DATE.REGLEMENT($AC189,_xll.CALENDRIER.GAP.FINANCE(TODAY(),"1M","AUD","Unadjusted"),),"ACT/365")-$I189)/$I189</f>
        <v>#NAME?</v>
      </c>
      <c r="P189" s="124" t="e">
        <f ca="1">1/_xll.CALENDRIER.FRAC.ANNEE(_xll.INSTRUMENT.DATE.REGLEMENT($AC189,,),_xll.INSTRUMENT.DATE.REGLEMENT($AC189,_xll.CALENDRIER.GAP.FINANCE(TODAY(),"3M","AUD","Unadjusted"),),"ACT/365")*(_xll.INSTRUMENT.ROLL.DOWN($A189,oisCurve,_xll.CALENDRIER.GAP.FINANCE(TODAY(),"3M","AUD","Unadjusted",TRUE),$N189)+100*$AA189*_xll.CALENDRIER.FRAC.ANNEE(_xll.INSTRUMENT.DATE.REGLEMENT($AC189,,),_xll.INSTRUMENT.DATE.REGLEMENT($AC189,_xll.CALENDRIER.GAP.FINANCE(TODAY(),"3M","AUD","Unadjusted"),),"ACT/365")-$I189)/$I189</f>
        <v>#NAME?</v>
      </c>
      <c r="Q189" s="371" t="e">
        <f ca="1">-(O189-curve!$T$3)/J189</f>
        <v>#NAME?</v>
      </c>
      <c r="R189" s="373">
        <f t="shared" ca="1" si="3"/>
        <v>-328.97737187751119</v>
      </c>
      <c r="S189" s="191" t="str">
        <f>IF(F189&lt;&gt;"","",IF(G189="","",-G189*(SUMIF('raw Data'!$A:$A,"RESINV1USD",'raw Data'!$G:$G)+SUMIF('raw Data'!$A:$A,"RESSWAPORUSD",'raw Data'!$G:$G))/(36500*J189)))</f>
        <v/>
      </c>
      <c r="T189" s="202" t="str">
        <f>IF(G189&lt;&gt;"","",IF(F189="","",-36500*J189*F189/(SUMIF('raw Data'!$A:$A,"RESINV1USD",'raw Data'!$G:$G)+SUMIF('raw Data'!$A:$A,"RESSWAPORUSD",'raw Data'!$G:$G))))</f>
        <v/>
      </c>
      <c r="U189" s="125">
        <f>SUMIF('raw Data'!$E:$E,A189,'raw Data'!$N:$N)</f>
        <v>0</v>
      </c>
      <c r="V189" s="126">
        <v>31912</v>
      </c>
      <c r="W189" s="127">
        <v>31912</v>
      </c>
      <c r="X189" s="127">
        <v>32096</v>
      </c>
      <c r="Y189" s="127">
        <v>42689</v>
      </c>
      <c r="Z189" s="127">
        <v>42870</v>
      </c>
      <c r="AA189" s="128">
        <v>8.7499999999999994E-2</v>
      </c>
      <c r="AB189" s="129">
        <v>15559000000</v>
      </c>
      <c r="AC189" s="130" t="str">
        <f ca="1">IF(LEFT(B189,1)="B",_xll.INSTANCE.TBILL(A189,V189,Z189,TODAY()),_xll.INSTANCE.TNOTE(A189,V189,W189,X189,Y189,Z189,AA189,TODAY()))</f>
        <v>US912810DY11#0003</v>
      </c>
    </row>
    <row r="190" spans="1:29" x14ac:dyDescent="0.35">
      <c r="A190" s="131" t="s">
        <v>905</v>
      </c>
      <c r="B190" s="115" t="s">
        <v>1166</v>
      </c>
      <c r="C190" s="364" t="s">
        <v>922</v>
      </c>
      <c r="D190" s="116"/>
      <c r="E190" s="117"/>
      <c r="F190" s="118"/>
      <c r="G190" s="369"/>
      <c r="H190" s="120">
        <v>7.0765059999999998E-3</v>
      </c>
      <c r="I190" s="121">
        <f ca="1">_xll.INSTRUMENT.PRIX(AC190,D190,H190,cTreasuries)</f>
        <v>99.600514405142732</v>
      </c>
      <c r="J190" s="122">
        <f ca="1">_xll.INSTRUMENT.DV01(A190,,,I190,cContinuous,I190)</f>
        <v>-4.8325697772430808E-2</v>
      </c>
      <c r="K190" s="123">
        <f ca="1">_xll.INSTRUMENT.CONVEXITE(A190,,,I190,cContinuous,I190)</f>
        <v>23.73449035882523</v>
      </c>
      <c r="L190" s="123">
        <f ca="1">_xll.INSTRUMENT.Z.SPREAD(A190,swapCurve,I190,cContinuous,D190)</f>
        <v>-23.039768476731119</v>
      </c>
      <c r="M190" s="123" t="e">
        <f ca="1">_xll.INSTRUMENT.Z.SPREAD(A190,ustCurve,I190,cContinuous,D190)</f>
        <v>#VALUE!</v>
      </c>
      <c r="N190" s="123">
        <f ca="1">_xll.INSTRUMENT.Z.SPREAD(A190,oisCurve,I190,cContinuous,D190)</f>
        <v>11.212815994441211</v>
      </c>
      <c r="O190" s="124" t="e">
        <f ca="1">1/_xll.CALENDRIER.FRAC.ANNEE(_xll.INSTRUMENT.DATE.REGLEMENT($AC190,,),_xll.INSTRUMENT.DATE.REGLEMENT($AC190,_xll.CALENDRIER.GAP.FINANCE(TODAY(),"1M","AUD","Unadjusted"),),"ACT/365")*(_xll.INSTRUMENT.ROLL.DOWN($A190,oisCurve,_xll.CALENDRIER.GAP.FINANCE(TODAY(),"1M","AUD","Unadjusted",TRUE),$N190)+100*$AA190*_xll.CALENDRIER.FRAC.ANNEE(_xll.INSTRUMENT.DATE.REGLEMENT($AC190,,),_xll.INSTRUMENT.DATE.REGLEMENT($AC190,_xll.CALENDRIER.GAP.FINANCE(TODAY(),"1M","AUD","Unadjusted"),),"ACT/365")-$I190)/$I190</f>
        <v>#NAME?</v>
      </c>
      <c r="P190" s="124" t="e">
        <f ca="1">1/_xll.CALENDRIER.FRAC.ANNEE(_xll.INSTRUMENT.DATE.REGLEMENT($AC190,,),_xll.INSTRUMENT.DATE.REGLEMENT($AC190,_xll.CALENDRIER.GAP.FINANCE(TODAY(),"3M","AUD","Unadjusted"),),"ACT/365")*(_xll.INSTRUMENT.ROLL.DOWN($A190,oisCurve,_xll.CALENDRIER.GAP.FINANCE(TODAY(),"3M","AUD","Unadjusted",TRUE),$N190)+100*$AA190*_xll.CALENDRIER.FRAC.ANNEE(_xll.INSTRUMENT.DATE.REGLEMENT($AC190,,),_xll.INSTRUMENT.DATE.REGLEMENT($AC190,_xll.CALENDRIER.GAP.FINANCE(TODAY(),"3M","AUD","Unadjusted"),),"ACT/365")-$I190)/$I190</f>
        <v>#NAME?</v>
      </c>
      <c r="Q190" s="371" t="e">
        <f ca="1">-(O190-curve!$T$3)/J190</f>
        <v>#NAME?</v>
      </c>
      <c r="R190" s="373">
        <f t="shared" ref="R190:R254" ca="1" si="4">K190/J190</f>
        <v>-491.13600947041994</v>
      </c>
      <c r="S190" s="191" t="str">
        <f>IF(F190&lt;&gt;"","",IF(G190="","",-G190*(SUMIF('raw Data'!$A:$A,"RESINV1USD",'raw Data'!$G:$G)+SUMIF('raw Data'!$A:$A,"RESSWAPORUSD",'raw Data'!$G:$G))/(36500*J190)))</f>
        <v/>
      </c>
      <c r="T190" s="202" t="str">
        <f>IF(G190&lt;&gt;"","",IF(F190="","",-36500*J190*F190/(SUMIF('raw Data'!$A:$A,"RESINV1USD",'raw Data'!$G:$G)+SUMIF('raw Data'!$A:$A,"RESSWAPORUSD",'raw Data'!$G:$G))))</f>
        <v/>
      </c>
      <c r="U190" s="125">
        <f>SUMIF('raw Data'!$E:$E,A190,'raw Data'!$N:$N)</f>
        <v>254803.91171865389</v>
      </c>
      <c r="V190" s="126">
        <v>41060</v>
      </c>
      <c r="W190" s="127">
        <v>41060</v>
      </c>
      <c r="X190" s="127">
        <v>41243</v>
      </c>
      <c r="Y190" s="127">
        <v>42704</v>
      </c>
      <c r="Z190" s="127">
        <v>42886</v>
      </c>
      <c r="AA190" s="128">
        <v>6.2500000000000003E-3</v>
      </c>
      <c r="AB190" s="129">
        <v>35001000000</v>
      </c>
      <c r="AC190" s="130" t="str">
        <f ca="1">IF(LEFT(B190,1)="B",_xll.INSTANCE.TBILL(A190,V190,Z190,TODAY()),_xll.INSTANCE.TNOTE(A190,V190,W190,X190,Y190,Z190,AA190,TODAY()))</f>
        <v>US912828SY71#0003</v>
      </c>
    </row>
    <row r="191" spans="1:29" x14ac:dyDescent="0.35">
      <c r="A191" s="131" t="s">
        <v>510</v>
      </c>
      <c r="B191" s="115" t="s">
        <v>1167</v>
      </c>
      <c r="C191" s="364"/>
      <c r="D191" s="116"/>
      <c r="E191" s="117"/>
      <c r="F191" s="118"/>
      <c r="G191" s="369"/>
      <c r="H191" s="120">
        <v>7.2140309999999992E-3</v>
      </c>
      <c r="I191" s="121">
        <f ca="1">_xll.INSTRUMENT.PRIX(AC191,D191,H191,cTreasuries)</f>
        <v>109.7905701105821</v>
      </c>
      <c r="J191" s="122">
        <f ca="1">_xll.INSTRUMENT.DV01(A191,,,I191,cContinuous,I191)</f>
        <v>-5.1060930395518844E-2</v>
      </c>
      <c r="K191" s="123">
        <f ca="1">_xll.INSTRUMENT.CONVEXITE(A191,,,I191,cContinuous,I191)</f>
        <v>22.34918210554391</v>
      </c>
      <c r="L191" s="123">
        <f ca="1">_xll.INSTRUMENT.Z.SPREAD(A191,swapCurve,I191,cContinuous,D191)</f>
        <v>-20.465277970051453</v>
      </c>
      <c r="M191" s="123" t="e">
        <f ca="1">_xll.INSTRUMENT.Z.SPREAD(A191,ustCurve,I191,cContinuous,D191)</f>
        <v>#VALUE!</v>
      </c>
      <c r="N191" s="123">
        <f ca="1">_xll.INSTRUMENT.Z.SPREAD(A191,oisCurve,I191,cContinuous,D191)</f>
        <v>13.776519860414487</v>
      </c>
      <c r="O191" s="124" t="e">
        <f ca="1">1/_xll.CALENDRIER.FRAC.ANNEE(_xll.INSTRUMENT.DATE.REGLEMENT($AC191,,),_xll.INSTRUMENT.DATE.REGLEMENT($AC191,_xll.CALENDRIER.GAP.FINANCE(TODAY(),"1M","AUD","Unadjusted"),),"ACT/365")*(_xll.INSTRUMENT.ROLL.DOWN($A191,oisCurve,_xll.CALENDRIER.GAP.FINANCE(TODAY(),"1M","AUD","Unadjusted",TRUE),$N191)+100*$AA191*_xll.CALENDRIER.FRAC.ANNEE(_xll.INSTRUMENT.DATE.REGLEMENT($AC191,,),_xll.INSTRUMENT.DATE.REGLEMENT($AC191,_xll.CALENDRIER.GAP.FINANCE(TODAY(),"1M","AUD","Unadjusted"),),"ACT/365")-$I191)/$I191</f>
        <v>#NAME?</v>
      </c>
      <c r="P191" s="124" t="e">
        <f ca="1">1/_xll.CALENDRIER.FRAC.ANNEE(_xll.INSTRUMENT.DATE.REGLEMENT($AC191,,),_xll.INSTRUMENT.DATE.REGLEMENT($AC191,_xll.CALENDRIER.GAP.FINANCE(TODAY(),"3M","AUD","Unadjusted"),),"ACT/365")*(_xll.INSTRUMENT.ROLL.DOWN($A191,oisCurve,_xll.CALENDRIER.GAP.FINANCE(TODAY(),"3M","AUD","Unadjusted",TRUE),$N191)+100*$AA191*_xll.CALENDRIER.FRAC.ANNEE(_xll.INSTRUMENT.DATE.REGLEMENT($AC191,,),_xll.INSTRUMENT.DATE.REGLEMENT($AC191,_xll.CALENDRIER.GAP.FINANCE(TODAY(),"3M","AUD","Unadjusted"),),"ACT/365")-$I191)/$I191</f>
        <v>#NAME?</v>
      </c>
      <c r="Q191" s="371" t="e">
        <f ca="1">-(O191-curve!$T$3)/J191</f>
        <v>#NAME?</v>
      </c>
      <c r="R191" s="373">
        <f t="shared" ca="1" si="4"/>
        <v>-437.69633519065871</v>
      </c>
      <c r="S191" s="191" t="str">
        <f>IF(F191&lt;&gt;"","",IF(G191="","",-G191*(SUMIF('raw Data'!$A:$A,"RESINV1USD",'raw Data'!$G:$G)+SUMIF('raw Data'!$A:$A,"RESSWAPORUSD",'raw Data'!$G:$G))/(36500*J191)))</f>
        <v/>
      </c>
      <c r="T191" s="202" t="str">
        <f>IF(G191&lt;&gt;"","",IF(F191="","",-36500*J191*F191/(SUMIF('raw Data'!$A:$A,"RESINV1USD",'raw Data'!$G:$G)+SUMIF('raw Data'!$A:$A,"RESSWAPORUSD",'raw Data'!$G:$G))))</f>
        <v/>
      </c>
      <c r="U191" s="125">
        <f>SUMIF('raw Data'!$E:$E,A191,'raw Data'!$N:$N)</f>
        <v>0</v>
      </c>
      <c r="V191" s="126">
        <v>40330</v>
      </c>
      <c r="W191" s="127">
        <v>40329</v>
      </c>
      <c r="X191" s="127">
        <v>40512</v>
      </c>
      <c r="Y191" s="127">
        <v>42704</v>
      </c>
      <c r="Z191" s="127">
        <v>42886</v>
      </c>
      <c r="AA191" s="128">
        <v>2.75E-2</v>
      </c>
      <c r="AB191" s="129">
        <v>31674000000.000004</v>
      </c>
      <c r="AC191" s="130" t="str">
        <f ca="1">IF(LEFT(B191,1)="B",_xll.INSTANCE.TBILL(A191,V191,Z191,TODAY()),_xll.INSTANCE.TNOTE(A191,V191,W191,X191,Y191,Z191,AA191,TODAY()))</f>
        <v>US912828NG11#0003</v>
      </c>
    </row>
    <row r="192" spans="1:29" x14ac:dyDescent="0.35">
      <c r="A192" s="131" t="s">
        <v>511</v>
      </c>
      <c r="B192" s="115" t="s">
        <v>1168</v>
      </c>
      <c r="C192" s="364"/>
      <c r="D192" s="116"/>
      <c r="E192" s="117"/>
      <c r="F192" s="118"/>
      <c r="G192" s="369"/>
      <c r="H192" s="120">
        <v>7.3943950000000007E-3</v>
      </c>
      <c r="I192" s="121">
        <f ca="1">_xll.INSTRUMENT.PRIX(AC192,D192,H192,cTreasuries)</f>
        <v>108.63195024693337</v>
      </c>
      <c r="J192" s="122">
        <f ca="1">_xll.INSTRUMENT.DV01(A192,,,I192,cContinuous,I192)</f>
        <v>-5.1555380601972595E-2</v>
      </c>
      <c r="K192" s="123">
        <f ca="1">_xll.INSTRUMENT.CONVEXITE(A192,,,I192,cContinuous,I192)</f>
        <v>23.007020390249693</v>
      </c>
      <c r="L192" s="123">
        <f ca="1">_xll.INSTRUMENT.Z.SPREAD(A192,swapCurve,I192,cContinuous,D192)</f>
        <v>-20.244794625891583</v>
      </c>
      <c r="M192" s="123" t="e">
        <f ca="1">_xll.INSTRUMENT.Z.SPREAD(A192,ustCurve,I192,cContinuous,D192)</f>
        <v>#VALUE!</v>
      </c>
      <c r="N192" s="123">
        <f ca="1">_xll.INSTRUMENT.Z.SPREAD(A192,oisCurve,I192,cContinuous,D192)</f>
        <v>13.894586219056011</v>
      </c>
      <c r="O192" s="124" t="e">
        <f ca="1">1/_xll.CALENDRIER.FRAC.ANNEE(_xll.INSTRUMENT.DATE.REGLEMENT($AC192,,),_xll.INSTRUMENT.DATE.REGLEMENT($AC192,_xll.CALENDRIER.GAP.FINANCE(TODAY(),"1M","AUD","Unadjusted"),),"ACT/365")*(_xll.INSTRUMENT.ROLL.DOWN($A192,oisCurve,_xll.CALENDRIER.GAP.FINANCE(TODAY(),"1M","AUD","Unadjusted",TRUE),$N192)+100*$AA192*_xll.CALENDRIER.FRAC.ANNEE(_xll.INSTRUMENT.DATE.REGLEMENT($AC192,,),_xll.INSTRUMENT.DATE.REGLEMENT($AC192,_xll.CALENDRIER.GAP.FINANCE(TODAY(),"1M","AUD","Unadjusted"),),"ACT/365")-$I192)/$I192</f>
        <v>#NAME?</v>
      </c>
      <c r="P192" s="124" t="e">
        <f ca="1">1/_xll.CALENDRIER.FRAC.ANNEE(_xll.INSTRUMENT.DATE.REGLEMENT($AC192,,),_xll.INSTRUMENT.DATE.REGLEMENT($AC192,_xll.CALENDRIER.GAP.FINANCE(TODAY(),"3M","AUD","Unadjusted"),),"ACT/365")*(_xll.INSTRUMENT.ROLL.DOWN($A192,oisCurve,_xll.CALENDRIER.GAP.FINANCE(TODAY(),"3M","AUD","Unadjusted",TRUE),$N192)+100*$AA192*_xll.CALENDRIER.FRAC.ANNEE(_xll.INSTRUMENT.DATE.REGLEMENT($AC192,,),_xll.INSTRUMENT.DATE.REGLEMENT($AC192,_xll.CALENDRIER.GAP.FINANCE(TODAY(),"3M","AUD","Unadjusted"),),"ACT/365")-$I192)/$I192</f>
        <v>#NAME?</v>
      </c>
      <c r="Q192" s="371" t="e">
        <f ca="1">-(O192-curve!$T$3)/J192</f>
        <v>#NAME?</v>
      </c>
      <c r="R192" s="373">
        <f t="shared" ca="1" si="4"/>
        <v>-446.25837539388482</v>
      </c>
      <c r="S192" s="191" t="str">
        <f>IF(F192&lt;&gt;"","",IF(G192="","",-G192*(SUMIF('raw Data'!$A:$A,"RESINV1USD",'raw Data'!$G:$G)+SUMIF('raw Data'!$A:$A,"RESSWAPORUSD",'raw Data'!$G:$G))/(36500*J192)))</f>
        <v/>
      </c>
      <c r="T192" s="202" t="str">
        <f>IF(G192&lt;&gt;"","",IF(F192="","",-36500*J192*F192/(SUMIF('raw Data'!$A:$A,"RESINV1USD",'raw Data'!$G:$G)+SUMIF('raw Data'!$A:$A,"RESSWAPORUSD",'raw Data'!$G:$G))))</f>
        <v/>
      </c>
      <c r="U192" s="125">
        <f>SUMIF('raw Data'!$E:$E,A192,'raw Data'!$N:$N)</f>
        <v>0</v>
      </c>
      <c r="V192" s="126">
        <v>40359</v>
      </c>
      <c r="W192" s="127">
        <v>40359</v>
      </c>
      <c r="X192" s="127">
        <v>40543</v>
      </c>
      <c r="Y192" s="127">
        <v>42735</v>
      </c>
      <c r="Z192" s="127">
        <v>42916</v>
      </c>
      <c r="AA192" s="128">
        <v>2.5000000000000001E-2</v>
      </c>
      <c r="AB192" s="129">
        <v>30893000000</v>
      </c>
      <c r="AC192" s="130" t="str">
        <f ca="1">IF(LEFT(B192,1)="B",_xll.INSTANCE.TBILL(A192,V192,Z192,TODAY()),_xll.INSTANCE.TNOTE(A192,V192,W192,X192,Y192,Z192,AA192,TODAY()))</f>
        <v>US912828NK23#0003</v>
      </c>
    </row>
    <row r="193" spans="1:29" x14ac:dyDescent="0.35">
      <c r="A193" s="131" t="s">
        <v>943</v>
      </c>
      <c r="B193" s="115" t="s">
        <v>1169</v>
      </c>
      <c r="C193" s="364" t="s">
        <v>921</v>
      </c>
      <c r="D193" s="116"/>
      <c r="E193" s="117"/>
      <c r="F193" s="118"/>
      <c r="G193" s="369"/>
      <c r="H193" s="120">
        <v>7.1650029999999996E-3</v>
      </c>
      <c r="I193" s="121">
        <f ca="1">_xll.INSTRUMENT.PRIX(AC193,D193,H193,cTreasuries)</f>
        <v>100.16499057012371</v>
      </c>
      <c r="J193" s="122">
        <f ca="1">_xll.INSTRUMENT.DV01(A193,,,I193,cContinuous,I193)</f>
        <v>-4.9183798864617864E-2</v>
      </c>
      <c r="K193" s="123">
        <f ca="1">_xll.INSTRUMENT.CONVEXITE(A193,,,I193,cContinuous,I193)</f>
        <v>24.365996728186914</v>
      </c>
      <c r="L193" s="123">
        <f ca="1">_xll.INSTRUMENT.Z.SPREAD(A193,swapCurve,I193,cContinuous,D193)</f>
        <v>-23.695402991777389</v>
      </c>
      <c r="M193" s="123" t="e">
        <f ca="1">_xll.INSTRUMENT.Z.SPREAD(A193,ustCurve,I193,cContinuous,D193)</f>
        <v>#VALUE!</v>
      </c>
      <c r="N193" s="123">
        <f ca="1">_xll.INSTRUMENT.Z.SPREAD(A193,oisCurve,I193,cContinuous,D193)</f>
        <v>10.507075959657998</v>
      </c>
      <c r="O193" s="124" t="e">
        <f ca="1">1/_xll.CALENDRIER.FRAC.ANNEE(_xll.INSTRUMENT.DATE.REGLEMENT($AC193,,),_xll.INSTRUMENT.DATE.REGLEMENT($AC193,_xll.CALENDRIER.GAP.FINANCE(TODAY(),"1M","AUD","Unadjusted"),),"ACT/365")*(_xll.INSTRUMENT.ROLL.DOWN($A193,oisCurve,_xll.CALENDRIER.GAP.FINANCE(TODAY(),"1M","AUD","Unadjusted",TRUE),$N193)+100*$AA193*_xll.CALENDRIER.FRAC.ANNEE(_xll.INSTRUMENT.DATE.REGLEMENT($AC193,,),_xll.INSTRUMENT.DATE.REGLEMENT($AC193,_xll.CALENDRIER.GAP.FINANCE(TODAY(),"1M","AUD","Unadjusted"),),"ACT/365")-$I193)/$I193</f>
        <v>#NAME?</v>
      </c>
      <c r="P193" s="124" t="e">
        <f ca="1">1/_xll.CALENDRIER.FRAC.ANNEE(_xll.INSTRUMENT.DATE.REGLEMENT($AC193,,),_xll.INSTRUMENT.DATE.REGLEMENT($AC193,_xll.CALENDRIER.GAP.FINANCE(TODAY(),"3M","AUD","Unadjusted"),),"ACT/365")*(_xll.INSTRUMENT.ROLL.DOWN($A193,oisCurve,_xll.CALENDRIER.GAP.FINANCE(TODAY(),"3M","AUD","Unadjusted",TRUE),$N193)+100*$AA193*_xll.CALENDRIER.FRAC.ANNEE(_xll.INSTRUMENT.DATE.REGLEMENT($AC193,,),_xll.INSTRUMENT.DATE.REGLEMENT($AC193,_xll.CALENDRIER.GAP.FINANCE(TODAY(),"3M","AUD","Unadjusted"),),"ACT/365")-$I193)/$I193</f>
        <v>#NAME?</v>
      </c>
      <c r="Q193" s="371" t="e">
        <f ca="1">-(O193-curve!$T$3)/J193</f>
        <v>#NAME?</v>
      </c>
      <c r="R193" s="373">
        <f t="shared" ref="R193" ca="1" si="5">K193/J193</f>
        <v>-495.40696917812647</v>
      </c>
      <c r="S193" s="191" t="str">
        <f>IF(F193&lt;&gt;"","",IF(G193="","",-G193*(SUMIF('raw Data'!$A:$A,"RESINV1USD",'raw Data'!$G:$G)+SUMIF('raw Data'!$A:$A,"RESSWAPORUSD",'raw Data'!$G:$G))/(36500*J193)))</f>
        <v/>
      </c>
      <c r="T193" s="202" t="str">
        <f>IF(G193&lt;&gt;"","",IF(F193="","",-36500*J193*F193/(SUMIF('raw Data'!$A:$A,"RESINV1USD",'raw Data'!$G:$G)+SUMIF('raw Data'!$A:$A,"RESSWAPORUSD",'raw Data'!$G:$G))))</f>
        <v/>
      </c>
      <c r="U193" s="125">
        <f>SUMIF('raw Data'!$E:$E,A193,'raw Data'!$N:$N)</f>
        <v>124964.20460785151</v>
      </c>
      <c r="V193" s="126">
        <v>41092</v>
      </c>
      <c r="W193" s="127">
        <v>41090</v>
      </c>
      <c r="X193" s="127">
        <v>41274</v>
      </c>
      <c r="Y193" s="127">
        <v>42735</v>
      </c>
      <c r="Z193" s="127">
        <v>42916</v>
      </c>
      <c r="AA193" s="128">
        <v>7.4999999999999997E-3</v>
      </c>
      <c r="AB193" s="129">
        <v>35000000000</v>
      </c>
      <c r="AC193" s="130" t="str">
        <f ca="1">IF(LEFT(B193,1)="B",_xll.INSTANCE.TBILL(A193,V193,Z193,TODAY()),_xll.INSTANCE.TNOTE(A193,V193,W193,X193,Y193,Z193,AA193,TODAY()))</f>
        <v>US912828TB69#0003</v>
      </c>
    </row>
    <row r="194" spans="1:29" x14ac:dyDescent="0.35">
      <c r="A194" s="131" t="s">
        <v>512</v>
      </c>
      <c r="B194" s="115" t="s">
        <v>1170</v>
      </c>
      <c r="C194" s="364"/>
      <c r="D194" s="116"/>
      <c r="E194" s="117"/>
      <c r="F194" s="118"/>
      <c r="G194" s="369"/>
      <c r="H194" s="120">
        <v>7.5414469999999997E-3</v>
      </c>
      <c r="I194" s="121">
        <f ca="1">_xll.INSTRUMENT.PRIX(AC194,D194,H194,cTreasuries)</f>
        <v>108.07631171788935</v>
      </c>
      <c r="J194" s="122">
        <f ca="1">_xll.INSTRUMENT.DV01(A194,,,I194,cContinuous,I194)</f>
        <v>-5.2243982885830334E-2</v>
      </c>
      <c r="K194" s="123">
        <f ca="1">_xll.INSTRUMENT.CONVEXITE(A194,,,I194,cContinuous,I194)</f>
        <v>23.901122315868381</v>
      </c>
      <c r="L194" s="123">
        <f ca="1">_xll.INSTRUMENT.Z.SPREAD(A194,swapCurve,I194,cContinuous,D194)</f>
        <v>-20.318612388619098</v>
      </c>
      <c r="M194" s="123" t="e">
        <f ca="1">_xll.INSTRUMENT.Z.SPREAD(A194,ustCurve,I194,cContinuous,D194)</f>
        <v>#VALUE!</v>
      </c>
      <c r="N194" s="123">
        <f ca="1">_xll.INSTRUMENT.Z.SPREAD(A194,oisCurve,I194,cContinuous,D194)</f>
        <v>13.698177611911159</v>
      </c>
      <c r="O194" s="124" t="e">
        <f ca="1">1/_xll.CALENDRIER.FRAC.ANNEE(_xll.INSTRUMENT.DATE.REGLEMENT($AC194,,),_xll.INSTRUMENT.DATE.REGLEMENT($AC194,_xll.CALENDRIER.GAP.FINANCE(TODAY(),"1M","AUD","Unadjusted"),),"ACT/365")*(_xll.INSTRUMENT.ROLL.DOWN($A194,oisCurve,_xll.CALENDRIER.GAP.FINANCE(TODAY(),"1M","AUD","Unadjusted",TRUE),$N194)+100*$AA194*_xll.CALENDRIER.FRAC.ANNEE(_xll.INSTRUMENT.DATE.REGLEMENT($AC194,,),_xll.INSTRUMENT.DATE.REGLEMENT($AC194,_xll.CALENDRIER.GAP.FINANCE(TODAY(),"1M","AUD","Unadjusted"),),"ACT/365")-$I194)/$I194</f>
        <v>#NAME?</v>
      </c>
      <c r="P194" s="124" t="e">
        <f ca="1">1/_xll.CALENDRIER.FRAC.ANNEE(_xll.INSTRUMENT.DATE.REGLEMENT($AC194,,),_xll.INSTRUMENT.DATE.REGLEMENT($AC194,_xll.CALENDRIER.GAP.FINANCE(TODAY(),"3M","AUD","Unadjusted"),),"ACT/365")*(_xll.INSTRUMENT.ROLL.DOWN($A194,oisCurve,_xll.CALENDRIER.GAP.FINANCE(TODAY(),"3M","AUD","Unadjusted",TRUE),$N194)+100*$AA194*_xll.CALENDRIER.FRAC.ANNEE(_xll.INSTRUMENT.DATE.REGLEMENT($AC194,,),_xll.INSTRUMENT.DATE.REGLEMENT($AC194,_xll.CALENDRIER.GAP.FINANCE(TODAY(),"3M","AUD","Unadjusted"),),"ACT/365")-$I194)/$I194</f>
        <v>#NAME?</v>
      </c>
      <c r="Q194" s="371" t="e">
        <f ca="1">-(O194-curve!$T$3)/J194</f>
        <v>#NAME?</v>
      </c>
      <c r="R194" s="373">
        <f t="shared" ca="1" si="4"/>
        <v>-457.49043230681531</v>
      </c>
      <c r="S194" s="191" t="str">
        <f>IF(F194&lt;&gt;"","",IF(G194="","",-G194*(SUMIF('raw Data'!$A:$A,"RESINV1USD",'raw Data'!$G:$G)+SUMIF('raw Data'!$A:$A,"RESSWAPORUSD",'raw Data'!$G:$G))/(36500*J194)))</f>
        <v/>
      </c>
      <c r="T194" s="202" t="str">
        <f>IF(G194&lt;&gt;"","",IF(F194="","",-36500*J194*F194/(SUMIF('raw Data'!$A:$A,"RESINV1USD",'raw Data'!$G:$G)+SUMIF('raw Data'!$A:$A,"RESSWAPORUSD",'raw Data'!$G:$G))))</f>
        <v/>
      </c>
      <c r="U194" s="125">
        <f>SUMIF('raw Data'!$E:$E,A194,'raw Data'!$N:$N)</f>
        <v>0</v>
      </c>
      <c r="V194" s="126">
        <v>40392</v>
      </c>
      <c r="W194" s="127">
        <v>40390</v>
      </c>
      <c r="X194" s="127">
        <v>40574</v>
      </c>
      <c r="Y194" s="127">
        <v>42766</v>
      </c>
      <c r="Z194" s="127">
        <v>42947</v>
      </c>
      <c r="AA194" s="128">
        <v>2.375E-2</v>
      </c>
      <c r="AB194" s="129">
        <v>29952000000</v>
      </c>
      <c r="AC194" s="130" t="str">
        <f ca="1">IF(LEFT(B194,1)="B",_xll.INSTANCE.TBILL(A194,V194,Z194,TODAY()),_xll.INSTANCE.TNOTE(A194,V194,W194,X194,Y194,Z194,AA194,TODAY()))</f>
        <v>US912828NR75#0003</v>
      </c>
    </row>
    <row r="195" spans="1:29" x14ac:dyDescent="0.35">
      <c r="A195" s="131" t="s">
        <v>514</v>
      </c>
      <c r="B195" s="115" t="s">
        <v>1171</v>
      </c>
      <c r="C195" s="364"/>
      <c r="D195" s="116"/>
      <c r="E195" s="117"/>
      <c r="F195" s="118"/>
      <c r="G195" s="369"/>
      <c r="H195" s="120">
        <v>7.3090529999999994E-3</v>
      </c>
      <c r="I195" s="121">
        <f ca="1">_xll.INSTRUMENT.PRIX(AC195,D195,H195,cTreasuries)</f>
        <v>140.92476413953449</v>
      </c>
      <c r="J195" s="122">
        <f ca="1">_xll.INSTRUMENT.DV01(A195,,,I195,cContinuous,I195)</f>
        <v>-6.1895284982610238E-2</v>
      </c>
      <c r="K195" s="123">
        <f ca="1">_xll.INSTRUMENT.CONVEXITE(A195,,,I195,cContinuous,I195)</f>
        <v>20.657588442563441</v>
      </c>
      <c r="L195" s="123">
        <f ca="1">_xll.INSTRUMENT.Z.SPREAD(A195,swapCurve,I195,cContinuous,D195)</f>
        <v>-19.972194496897558</v>
      </c>
      <c r="M195" s="123" t="e">
        <f ca="1">_xll.INSTRUMENT.Z.SPREAD(A195,ustCurve,I195,cContinuous,D195)</f>
        <v>#VALUE!</v>
      </c>
      <c r="N195" s="123">
        <f ca="1">_xll.INSTRUMENT.Z.SPREAD(A195,oisCurve,I195,cContinuous,D195)</f>
        <v>13.97734459888019</v>
      </c>
      <c r="O195" s="124" t="e">
        <f ca="1">1/_xll.CALENDRIER.FRAC.ANNEE(_xll.INSTRUMENT.DATE.REGLEMENT($AC195,,),_xll.INSTRUMENT.DATE.REGLEMENT($AC195,_xll.CALENDRIER.GAP.FINANCE(TODAY(),"1M","AUD","Unadjusted"),),"ACT/365")*(_xll.INSTRUMENT.ROLL.DOWN($A195,oisCurve,_xll.CALENDRIER.GAP.FINANCE(TODAY(),"1M","AUD","Unadjusted",TRUE),$N195)+100*$AA195*_xll.CALENDRIER.FRAC.ANNEE(_xll.INSTRUMENT.DATE.REGLEMENT($AC195,,),_xll.INSTRUMENT.DATE.REGLEMENT($AC195,_xll.CALENDRIER.GAP.FINANCE(TODAY(),"1M","AUD","Unadjusted"),),"ACT/365")-$I195)/$I195</f>
        <v>#NAME?</v>
      </c>
      <c r="P195" s="124" t="e">
        <f ca="1">1/_xll.CALENDRIER.FRAC.ANNEE(_xll.INSTRUMENT.DATE.REGLEMENT($AC195,,),_xll.INSTRUMENT.DATE.REGLEMENT($AC195,_xll.CALENDRIER.GAP.FINANCE(TODAY(),"3M","AUD","Unadjusted"),),"ACT/365")*(_xll.INSTRUMENT.ROLL.DOWN($A195,oisCurve,_xll.CALENDRIER.GAP.FINANCE(TODAY(),"3M","AUD","Unadjusted",TRUE),$N195)+100*$AA195*_xll.CALENDRIER.FRAC.ANNEE(_xll.INSTRUMENT.DATE.REGLEMENT($AC195,,),_xll.INSTRUMENT.DATE.REGLEMENT($AC195,_xll.CALENDRIER.GAP.FINANCE(TODAY(),"3M","AUD","Unadjusted"),),"ACT/365")-$I195)/$I195</f>
        <v>#NAME?</v>
      </c>
      <c r="Q195" s="371" t="e">
        <f ca="1">-(O195-curve!$T$3)/J195</f>
        <v>#NAME?</v>
      </c>
      <c r="R195" s="373">
        <f t="shared" ca="1" si="4"/>
        <v>-333.75059907014378</v>
      </c>
      <c r="S195" s="191" t="str">
        <f>IF(F195&lt;&gt;"","",IF(G195="","",-G195*(SUMIF('raw Data'!$A:$A,"RESINV1USD",'raw Data'!$G:$G)+SUMIF('raw Data'!$A:$A,"RESSWAPORUSD",'raw Data'!$G:$G))/(36500*J195)))</f>
        <v/>
      </c>
      <c r="T195" s="202" t="str">
        <f>IF(G195&lt;&gt;"","",IF(F195="","",-36500*J195*F195/(SUMIF('raw Data'!$A:$A,"RESINV1USD",'raw Data'!$G:$G)+SUMIF('raw Data'!$A:$A,"RESSWAPORUSD",'raw Data'!$G:$G))))</f>
        <v/>
      </c>
      <c r="U195" s="125">
        <f>SUMIF('raw Data'!$E:$E,A195,'raw Data'!$N:$N)</f>
        <v>0</v>
      </c>
      <c r="V195" s="126">
        <v>32004</v>
      </c>
      <c r="W195" s="127">
        <v>32004</v>
      </c>
      <c r="X195" s="127">
        <v>32188</v>
      </c>
      <c r="Y195" s="127">
        <v>42781</v>
      </c>
      <c r="Z195" s="127">
        <v>42962</v>
      </c>
      <c r="AA195" s="128">
        <v>8.8749999999999996E-2</v>
      </c>
      <c r="AB195" s="129">
        <v>10968000000</v>
      </c>
      <c r="AC195" s="130" t="str">
        <f ca="1">IF(LEFT(B195,1)="B",_xll.INSTANCE.TBILL(A195,V195,Z195,TODAY()),_xll.INSTANCE.TNOTE(A195,V195,W195,X195,Y195,Z195,AA195,TODAY()))</f>
        <v>US912810DZ85#0003</v>
      </c>
    </row>
    <row r="196" spans="1:29" x14ac:dyDescent="0.35">
      <c r="A196" s="131" t="s">
        <v>513</v>
      </c>
      <c r="B196" s="115" t="s">
        <v>1172</v>
      </c>
      <c r="C196" s="364"/>
      <c r="D196" s="116"/>
      <c r="E196" s="117"/>
      <c r="F196" s="118"/>
      <c r="G196" s="369"/>
      <c r="H196" s="120">
        <v>7.4909749999999995E-3</v>
      </c>
      <c r="I196" s="121">
        <f ca="1">_xll.INSTRUMENT.PRIX(AC196,D196,H196,cTreasuries)</f>
        <v>120.09515031316319</v>
      </c>
      <c r="J196" s="122">
        <f ca="1">_xll.INSTRUMENT.DV01(A196,,,I196,cContinuous,I196)</f>
        <v>-5.6033192050494292E-2</v>
      </c>
      <c r="K196" s="123">
        <f ca="1">_xll.INSTRUMENT.CONVEXITE(A196,,,I196,cContinuous,I196)</f>
        <v>22.723520056735477</v>
      </c>
      <c r="L196" s="123">
        <f ca="1">_xll.INSTRUMENT.Z.SPREAD(A196,swapCurve,I196,cContinuous,D196)</f>
        <v>-20.171759328269214</v>
      </c>
      <c r="M196" s="123" t="e">
        <f ca="1">_xll.INSTRUMENT.Z.SPREAD(A196,ustCurve,I196,cContinuous,D196)</f>
        <v>#VALUE!</v>
      </c>
      <c r="N196" s="123">
        <f ca="1">_xll.INSTRUMENT.Z.SPREAD(A196,oisCurve,I196,cContinuous,D196)</f>
        <v>13.780702244059274</v>
      </c>
      <c r="O196" s="124" t="e">
        <f ca="1">1/_xll.CALENDRIER.FRAC.ANNEE(_xll.INSTRUMENT.DATE.REGLEMENT($AC196,,),_xll.INSTRUMENT.DATE.REGLEMENT($AC196,_xll.CALENDRIER.GAP.FINANCE(TODAY(),"1M","AUD","Unadjusted"),),"ACT/365")*(_xll.INSTRUMENT.ROLL.DOWN($A196,oisCurve,_xll.CALENDRIER.GAP.FINANCE(TODAY(),"1M","AUD","Unadjusted",TRUE),$N196)+100*$AA196*_xll.CALENDRIER.FRAC.ANNEE(_xll.INSTRUMENT.DATE.REGLEMENT($AC196,,),_xll.INSTRUMENT.DATE.REGLEMENT($AC196,_xll.CALENDRIER.GAP.FINANCE(TODAY(),"1M","AUD","Unadjusted"),),"ACT/365")-$I196)/$I196</f>
        <v>#NAME?</v>
      </c>
      <c r="P196" s="124" t="e">
        <f ca="1">1/_xll.CALENDRIER.FRAC.ANNEE(_xll.INSTRUMENT.DATE.REGLEMENT($AC196,,),_xll.INSTRUMENT.DATE.REGLEMENT($AC196,_xll.CALENDRIER.GAP.FINANCE(TODAY(),"3M","AUD","Unadjusted"),),"ACT/365")*(_xll.INSTRUMENT.ROLL.DOWN($A196,oisCurve,_xll.CALENDRIER.GAP.FINANCE(TODAY(),"3M","AUD","Unadjusted",TRUE),$N196)+100*$AA196*_xll.CALENDRIER.FRAC.ANNEE(_xll.INSTRUMENT.DATE.REGLEMENT($AC196,,),_xll.INSTRUMENT.DATE.REGLEMENT($AC196,_xll.CALENDRIER.GAP.FINANCE(TODAY(),"3M","AUD","Unadjusted"),),"ACT/365")-$I196)/$I196</f>
        <v>#NAME?</v>
      </c>
      <c r="Q196" s="371" t="e">
        <f ca="1">-(O196-curve!$T$3)/J196</f>
        <v>#NAME?</v>
      </c>
      <c r="R196" s="373">
        <f t="shared" ca="1" si="4"/>
        <v>-405.53677606405478</v>
      </c>
      <c r="S196" s="191" t="str">
        <f>IF(F196&lt;&gt;"","",IF(G196="","",-G196*(SUMIF('raw Data'!$A:$A,"RESINV1USD",'raw Data'!$G:$G)+SUMIF('raw Data'!$A:$A,"RESSWAPORUSD",'raw Data'!$G:$G))/(36500*J196)))</f>
        <v/>
      </c>
      <c r="T196" s="202" t="str">
        <f>IF(G196&lt;&gt;"","",IF(F196="","",-36500*J196*F196/(SUMIF('raw Data'!$A:$A,"RESINV1USD",'raw Data'!$G:$G)+SUMIF('raw Data'!$A:$A,"RESSWAPORUSD",'raw Data'!$G:$G))))</f>
        <v/>
      </c>
      <c r="U196" s="125">
        <f>SUMIF('raw Data'!$E:$E,A196,'raw Data'!$N:$N)</f>
        <v>0</v>
      </c>
      <c r="V196" s="126">
        <v>39309</v>
      </c>
      <c r="W196" s="127">
        <v>39309</v>
      </c>
      <c r="X196" s="127">
        <v>39493</v>
      </c>
      <c r="Y196" s="127">
        <v>42781</v>
      </c>
      <c r="Z196" s="127">
        <v>42962</v>
      </c>
      <c r="AA196" s="128">
        <v>4.7500000000000001E-2</v>
      </c>
      <c r="AB196" s="129">
        <v>28000000000</v>
      </c>
      <c r="AC196" s="130" t="str">
        <f ca="1">IF(LEFT(B196,1)="B",_xll.INSTANCE.TBILL(A196,V196,Z196,TODAY()),_xll.INSTANCE.TNOTE(A196,V196,W196,X196,Y196,Z196,AA196,TODAY()))</f>
        <v>US912828HA15#0003</v>
      </c>
    </row>
    <row r="197" spans="1:29" x14ac:dyDescent="0.35">
      <c r="A197" s="131" t="s">
        <v>515</v>
      </c>
      <c r="B197" s="115" t="s">
        <v>1173</v>
      </c>
      <c r="C197" s="364"/>
      <c r="D197" s="116"/>
      <c r="E197" s="117"/>
      <c r="F197" s="118"/>
      <c r="G197" s="369"/>
      <c r="H197" s="120">
        <v>7.7380550000000006E-3</v>
      </c>
      <c r="I197" s="121">
        <f ca="1">_xll.INSTRUMENT.PRIX(AC197,D197,H197,cTreasuries)</f>
        <v>105.57099482381216</v>
      </c>
      <c r="J197" s="122">
        <f ca="1">_xll.INSTRUMENT.DV01(A197,,,I197,cContinuous,I197)</f>
        <v>-5.2364944388422083E-2</v>
      </c>
      <c r="K197" s="123">
        <f ca="1">_xll.INSTRUMENT.CONVEXITE(A197,,,I197,cContinuous,I197)</f>
        <v>25.10405409546798</v>
      </c>
      <c r="L197" s="123">
        <f ca="1">_xll.INSTRUMENT.Z.SPREAD(A197,swapCurve,I197,cContinuous,D197)</f>
        <v>-20.143957423106631</v>
      </c>
      <c r="M197" s="123" t="e">
        <f ca="1">_xll.INSTRUMENT.Z.SPREAD(A197,ustCurve,I197,cContinuous,D197)</f>
        <v>#VALUE!</v>
      </c>
      <c r="N197" s="123">
        <f ca="1">_xll.INSTRUMENT.Z.SPREAD(A197,oisCurve,I197,cContinuous,D197)</f>
        <v>13.743318468969774</v>
      </c>
      <c r="O197" s="124" t="e">
        <f ca="1">1/_xll.CALENDRIER.FRAC.ANNEE(_xll.INSTRUMENT.DATE.REGLEMENT($AC197,,),_xll.INSTRUMENT.DATE.REGLEMENT($AC197,_xll.CALENDRIER.GAP.FINANCE(TODAY(),"1M","AUD","Unadjusted"),),"ACT/365")*(_xll.INSTRUMENT.ROLL.DOWN($A197,oisCurve,_xll.CALENDRIER.GAP.FINANCE(TODAY(),"1M","AUD","Unadjusted",TRUE),$N197)+100*$AA197*_xll.CALENDRIER.FRAC.ANNEE(_xll.INSTRUMENT.DATE.REGLEMENT($AC197,,),_xll.INSTRUMENT.DATE.REGLEMENT($AC197,_xll.CALENDRIER.GAP.FINANCE(TODAY(),"1M","AUD","Unadjusted"),),"ACT/365")-$I197)/$I197</f>
        <v>#NAME?</v>
      </c>
      <c r="P197" s="124" t="e">
        <f ca="1">1/_xll.CALENDRIER.FRAC.ANNEE(_xll.INSTRUMENT.DATE.REGLEMENT($AC197,,),_xll.INSTRUMENT.DATE.REGLEMENT($AC197,_xll.CALENDRIER.GAP.FINANCE(TODAY(),"3M","AUD","Unadjusted"),),"ACT/365")*(_xll.INSTRUMENT.ROLL.DOWN($A197,oisCurve,_xll.CALENDRIER.GAP.FINANCE(TODAY(),"3M","AUD","Unadjusted",TRUE),$N197)+100*$AA197*_xll.CALENDRIER.FRAC.ANNEE(_xll.INSTRUMENT.DATE.REGLEMENT($AC197,,),_xll.INSTRUMENT.DATE.REGLEMENT($AC197,_xll.CALENDRIER.GAP.FINANCE(TODAY(),"3M","AUD","Unadjusted"),),"ACT/365")-$I197)/$I197</f>
        <v>#NAME?</v>
      </c>
      <c r="Q197" s="371" t="e">
        <f ca="1">-(O197-curve!$T$3)/J197</f>
        <v>#NAME?</v>
      </c>
      <c r="R197" s="373">
        <f t="shared" ca="1" si="4"/>
        <v>-479.40572435742911</v>
      </c>
      <c r="S197" s="191" t="str">
        <f>IF(F197&lt;&gt;"","",IF(G197="","",-G197*(SUMIF('raw Data'!$A:$A,"RESINV1USD",'raw Data'!$G:$G)+SUMIF('raw Data'!$A:$A,"RESSWAPORUSD",'raw Data'!$G:$G))/(36500*J197)))</f>
        <v/>
      </c>
      <c r="T197" s="202" t="str">
        <f>IF(G197&lt;&gt;"","",IF(F197="","",-36500*J197*F197/(SUMIF('raw Data'!$A:$A,"RESINV1USD",'raw Data'!$G:$G)+SUMIF('raw Data'!$A:$A,"RESSWAPORUSD",'raw Data'!$G:$G))))</f>
        <v/>
      </c>
      <c r="U197" s="125">
        <f>SUMIF('raw Data'!$E:$E,A197,'raw Data'!$N:$N)</f>
        <v>0</v>
      </c>
      <c r="V197" s="126">
        <v>40421</v>
      </c>
      <c r="W197" s="127">
        <v>40421</v>
      </c>
      <c r="X197" s="127">
        <v>40602</v>
      </c>
      <c r="Y197" s="127">
        <v>42794</v>
      </c>
      <c r="Z197" s="127">
        <v>42978</v>
      </c>
      <c r="AA197" s="128">
        <v>1.8749999999999999E-2</v>
      </c>
      <c r="AB197" s="129">
        <v>29710000000.000004</v>
      </c>
      <c r="AC197" s="130" t="str">
        <f ca="1">IF(LEFT(B197,1)="B",_xll.INSTANCE.TBILL(A197,V197,Z197,TODAY()),_xll.INSTANCE.TNOTE(A197,V197,W197,X197,Y197,Z197,AA197,TODAY()))</f>
        <v>US912828NW60#0003</v>
      </c>
    </row>
    <row r="198" spans="1:29" x14ac:dyDescent="0.35">
      <c r="A198" s="131" t="s">
        <v>516</v>
      </c>
      <c r="B198" s="115" t="s">
        <v>1174</v>
      </c>
      <c r="C198" s="364"/>
      <c r="D198" s="116"/>
      <c r="E198" s="117"/>
      <c r="F198" s="118"/>
      <c r="G198" s="369"/>
      <c r="H198" s="120">
        <v>7.932873E-3</v>
      </c>
      <c r="I198" s="121">
        <f ca="1">_xll.INSTRUMENT.PRIX(AC198,D198,H198,cTreasuries)</f>
        <v>105.5557541229489</v>
      </c>
      <c r="J198" s="122">
        <f ca="1">_xll.INSTRUMENT.DV01(A198,,,I198,cContinuous,I198)</f>
        <v>-5.3151741103098171E-2</v>
      </c>
      <c r="K198" s="123">
        <f ca="1">_xll.INSTRUMENT.CONVEXITE(A198,,,I198,cContinuous,I198)</f>
        <v>25.973024836952369</v>
      </c>
      <c r="L198" s="123">
        <f ca="1">_xll.INSTRUMENT.Z.SPREAD(A198,swapCurve,I198,cContinuous,D198)</f>
        <v>-19.815928220481975</v>
      </c>
      <c r="M198" s="123" t="e">
        <f ca="1">_xll.INSTRUMENT.Z.SPREAD(A198,ustCurve,I198,cContinuous,D198)</f>
        <v>#VALUE!</v>
      </c>
      <c r="N198" s="123">
        <f ca="1">_xll.INSTRUMENT.Z.SPREAD(A198,oisCurve,I198,cContinuous,D198)</f>
        <v>13.936836413884249</v>
      </c>
      <c r="O198" s="124" t="e">
        <f ca="1">1/_xll.CALENDRIER.FRAC.ANNEE(_xll.INSTRUMENT.DATE.REGLEMENT($AC198,,),_xll.INSTRUMENT.DATE.REGLEMENT($AC198,_xll.CALENDRIER.GAP.FINANCE(TODAY(),"1M","AUD","Unadjusted"),),"ACT/365")*(_xll.INSTRUMENT.ROLL.DOWN($A198,oisCurve,_xll.CALENDRIER.GAP.FINANCE(TODAY(),"1M","AUD","Unadjusted",TRUE),$N198)+100*$AA198*_xll.CALENDRIER.FRAC.ANNEE(_xll.INSTRUMENT.DATE.REGLEMENT($AC198,,),_xll.INSTRUMENT.DATE.REGLEMENT($AC198,_xll.CALENDRIER.GAP.FINANCE(TODAY(),"1M","AUD","Unadjusted"),),"ACT/365")-$I198)/$I198</f>
        <v>#NAME?</v>
      </c>
      <c r="P198" s="124" t="e">
        <f ca="1">1/_xll.CALENDRIER.FRAC.ANNEE(_xll.INSTRUMENT.DATE.REGLEMENT($AC198,,),_xll.INSTRUMENT.DATE.REGLEMENT($AC198,_xll.CALENDRIER.GAP.FINANCE(TODAY(),"3M","AUD","Unadjusted"),),"ACT/365")*(_xll.INSTRUMENT.ROLL.DOWN($A198,oisCurve,_xll.CALENDRIER.GAP.FINANCE(TODAY(),"3M","AUD","Unadjusted",TRUE),$N198)+100*$AA198*_xll.CALENDRIER.FRAC.ANNEE(_xll.INSTRUMENT.DATE.REGLEMENT($AC198,,),_xll.INSTRUMENT.DATE.REGLEMENT($AC198,_xll.CALENDRIER.GAP.FINANCE(TODAY(),"3M","AUD","Unadjusted"),),"ACT/365")-$I198)/$I198</f>
        <v>#NAME?</v>
      </c>
      <c r="Q198" s="371" t="e">
        <f ca="1">-(O198-curve!$T$3)/J198</f>
        <v>#NAME?</v>
      </c>
      <c r="R198" s="373">
        <f t="shared" ca="1" si="4"/>
        <v>-488.65802507903965</v>
      </c>
      <c r="S198" s="191" t="str">
        <f>IF(F198&lt;&gt;"","",IF(G198="","",-G198*(SUMIF('raw Data'!$A:$A,"RESINV1USD",'raw Data'!$G:$G)+SUMIF('raw Data'!$A:$A,"RESSWAPORUSD",'raw Data'!$G:$G))/(36500*J198)))</f>
        <v/>
      </c>
      <c r="T198" s="202" t="str">
        <f>IF(G198&lt;&gt;"","",IF(F198="","",-36500*J198*F198/(SUMIF('raw Data'!$A:$A,"RESINV1USD",'raw Data'!$G:$G)+SUMIF('raw Data'!$A:$A,"RESSWAPORUSD",'raw Data'!$G:$G))))</f>
        <v/>
      </c>
      <c r="U198" s="125">
        <f>SUMIF('raw Data'!$E:$E,A198,'raw Data'!$N:$N)</f>
        <v>0</v>
      </c>
      <c r="V198" s="126">
        <v>40451</v>
      </c>
      <c r="W198" s="127">
        <v>40451</v>
      </c>
      <c r="X198" s="127">
        <v>40633</v>
      </c>
      <c r="Y198" s="127">
        <v>42825</v>
      </c>
      <c r="Z198" s="127">
        <v>43008</v>
      </c>
      <c r="AA198" s="128">
        <v>1.8749999999999999E-2</v>
      </c>
      <c r="AB198" s="129">
        <v>29914000000</v>
      </c>
      <c r="AC198" s="130" t="str">
        <f ca="1">IF(LEFT(B198,1)="B",_xll.INSTANCE.TBILL(A198,V198,Z198,TODAY()),_xll.INSTANCE.TNOTE(A198,V198,W198,X198,Y198,Z198,AA198,TODAY()))</f>
        <v>US912828PA23#0003</v>
      </c>
    </row>
    <row r="199" spans="1:29" x14ac:dyDescent="0.35">
      <c r="A199" s="131" t="s">
        <v>517</v>
      </c>
      <c r="B199" s="115" t="s">
        <v>1175</v>
      </c>
      <c r="C199" s="364"/>
      <c r="D199" s="116"/>
      <c r="E199" s="117"/>
      <c r="F199" s="118"/>
      <c r="G199" s="369"/>
      <c r="H199" s="120">
        <v>8.0200610000000002E-3</v>
      </c>
      <c r="I199" s="121">
        <f ca="1">_xll.INSTRUMENT.PRIX(AC199,D199,H199,cTreasuries)</f>
        <v>105.59305887275937</v>
      </c>
      <c r="J199" s="122">
        <f ca="1">_xll.INSTRUMENT.DV01(A199,,,I199,cContinuous,I199)</f>
        <v>-5.3989901087639916E-2</v>
      </c>
      <c r="K199" s="123">
        <f ca="1">_xll.INSTRUMENT.CONVEXITE(A199,,,I199,cContinuous,I199)</f>
        <v>26.778989176221938</v>
      </c>
      <c r="L199" s="123">
        <f ca="1">_xll.INSTRUMENT.Z.SPREAD(A199,swapCurve,I199,cContinuous,D199)</f>
        <v>-20.261591381213812</v>
      </c>
      <c r="M199" s="123" t="e">
        <f ca="1">_xll.INSTRUMENT.Z.SPREAD(A199,ustCurve,I199,cContinuous,D199)</f>
        <v>#VALUE!</v>
      </c>
      <c r="N199" s="123">
        <f ca="1">_xll.INSTRUMENT.Z.SPREAD(A199,oisCurve,I199,cContinuous,D199)</f>
        <v>13.367839562440597</v>
      </c>
      <c r="O199" s="124" t="e">
        <f ca="1">1/_xll.CALENDRIER.FRAC.ANNEE(_xll.INSTRUMENT.DATE.REGLEMENT($AC199,,),_xll.INSTRUMENT.DATE.REGLEMENT($AC199,_xll.CALENDRIER.GAP.FINANCE(TODAY(),"1M","AUD","Unadjusted"),),"ACT/365")*(_xll.INSTRUMENT.ROLL.DOWN($A199,oisCurve,_xll.CALENDRIER.GAP.FINANCE(TODAY(),"1M","AUD","Unadjusted",TRUE),$N199)+100*$AA199*_xll.CALENDRIER.FRAC.ANNEE(_xll.INSTRUMENT.DATE.REGLEMENT($AC199,,),_xll.INSTRUMENT.DATE.REGLEMENT($AC199,_xll.CALENDRIER.GAP.FINANCE(TODAY(),"1M","AUD","Unadjusted"),),"ACT/365")-$I199)/$I199</f>
        <v>#NAME?</v>
      </c>
      <c r="P199" s="124" t="e">
        <f ca="1">1/_xll.CALENDRIER.FRAC.ANNEE(_xll.INSTRUMENT.DATE.REGLEMENT($AC199,,),_xll.INSTRUMENT.DATE.REGLEMENT($AC199,_xll.CALENDRIER.GAP.FINANCE(TODAY(),"3M","AUD","Unadjusted"),),"ACT/365")*(_xll.INSTRUMENT.ROLL.DOWN($A199,oisCurve,_xll.CALENDRIER.GAP.FINANCE(TODAY(),"3M","AUD","Unadjusted",TRUE),$N199)+100*$AA199*_xll.CALENDRIER.FRAC.ANNEE(_xll.INSTRUMENT.DATE.REGLEMENT($AC199,,),_xll.INSTRUMENT.DATE.REGLEMENT($AC199,_xll.CALENDRIER.GAP.FINANCE(TODAY(),"3M","AUD","Unadjusted"),),"ACT/365")-$I199)/$I199</f>
        <v>#NAME?</v>
      </c>
      <c r="Q199" s="371" t="e">
        <f ca="1">-(O199-curve!$T$3)/J199</f>
        <v>#NAME?</v>
      </c>
      <c r="R199" s="373">
        <f t="shared" ca="1" si="4"/>
        <v>-495.99996734116149</v>
      </c>
      <c r="S199" s="191" t="str">
        <f>IF(F199&lt;&gt;"","",IF(G199="","",-G199*(SUMIF('raw Data'!$A:$A,"RESINV1USD",'raw Data'!$G:$G)+SUMIF('raw Data'!$A:$A,"RESSWAPORUSD",'raw Data'!$G:$G))/(36500*J199)))</f>
        <v/>
      </c>
      <c r="T199" s="202" t="str">
        <f>IF(G199&lt;&gt;"","",IF(F199="","",-36500*J199*F199/(SUMIF('raw Data'!$A:$A,"RESINV1USD",'raw Data'!$G:$G)+SUMIF('raw Data'!$A:$A,"RESSWAPORUSD",'raw Data'!$G:$G))))</f>
        <v/>
      </c>
      <c r="U199" s="125">
        <f>SUMIF('raw Data'!$E:$E,A199,'raw Data'!$N:$N)</f>
        <v>0</v>
      </c>
      <c r="V199" s="126">
        <v>40483</v>
      </c>
      <c r="W199" s="127">
        <v>40482</v>
      </c>
      <c r="X199" s="127">
        <v>40663</v>
      </c>
      <c r="Y199" s="127">
        <v>42855</v>
      </c>
      <c r="Z199" s="127">
        <v>43039</v>
      </c>
      <c r="AA199" s="128">
        <v>1.8749999999999999E-2</v>
      </c>
      <c r="AB199" s="129">
        <v>29595000000</v>
      </c>
      <c r="AC199" s="130" t="str">
        <f ca="1">IF(LEFT(B199,1)="B",_xll.INSTANCE.TBILL(A199,V199,Z199,TODAY()),_xll.INSTANCE.TNOTE(A199,V199,W199,X199,Y199,Z199,AA199,TODAY()))</f>
        <v>US912828PF10#0003</v>
      </c>
    </row>
    <row r="200" spans="1:29" x14ac:dyDescent="0.35">
      <c r="A200" s="131" t="s">
        <v>518</v>
      </c>
      <c r="B200" s="115" t="s">
        <v>1176</v>
      </c>
      <c r="C200" s="364"/>
      <c r="D200" s="116"/>
      <c r="E200" s="117"/>
      <c r="F200" s="118"/>
      <c r="G200" s="369"/>
      <c r="H200" s="120">
        <v>8.0725129999999999E-3</v>
      </c>
      <c r="I200" s="121">
        <f ca="1">_xll.INSTRUMENT.PRIX(AC200,D200,H200,cTreasuries)</f>
        <v>118.08000235344842</v>
      </c>
      <c r="J200" s="122">
        <f ca="1">_xll.INSTRUMENT.DV01(A200,,,I200,cContinuous,I200)</f>
        <v>-5.8039671322215297E-2</v>
      </c>
      <c r="K200" s="123">
        <f ca="1">_xll.INSTRUMENT.CONVEXITE(A200,,,I200,cContinuous,I200)</f>
        <v>25.420397693479401</v>
      </c>
      <c r="L200" s="123">
        <f ca="1">_xll.INSTRUMENT.Z.SPREAD(A200,swapCurve,I200,cContinuous,D200)</f>
        <v>-18.900408420853413</v>
      </c>
      <c r="M200" s="123" t="e">
        <f ca="1">_xll.INSTRUMENT.Z.SPREAD(A200,ustCurve,I200,cContinuous,D200)</f>
        <v>#VALUE!</v>
      </c>
      <c r="N200" s="123">
        <f ca="1">_xll.INSTRUMENT.Z.SPREAD(A200,oisCurve,I200,cContinuous,D200)</f>
        <v>14.692534917840943</v>
      </c>
      <c r="O200" s="124" t="e">
        <f ca="1">1/_xll.CALENDRIER.FRAC.ANNEE(_xll.INSTRUMENT.DATE.REGLEMENT($AC200,,),_xll.INSTRUMENT.DATE.REGLEMENT($AC200,_xll.CALENDRIER.GAP.FINANCE(TODAY(),"1M","AUD","Unadjusted"),),"ACT/365")*(_xll.INSTRUMENT.ROLL.DOWN($A200,oisCurve,_xll.CALENDRIER.GAP.FINANCE(TODAY(),"1M","AUD","Unadjusted",TRUE),$N200)+100*$AA200*_xll.CALENDRIER.FRAC.ANNEE(_xll.INSTRUMENT.DATE.REGLEMENT($AC200,,),_xll.INSTRUMENT.DATE.REGLEMENT($AC200,_xll.CALENDRIER.GAP.FINANCE(TODAY(),"1M","AUD","Unadjusted"),),"ACT/365")-$I200)/$I200</f>
        <v>#NAME?</v>
      </c>
      <c r="P200" s="124" t="e">
        <f ca="1">1/_xll.CALENDRIER.FRAC.ANNEE(_xll.INSTRUMENT.DATE.REGLEMENT($AC200,,),_xll.INSTRUMENT.DATE.REGLEMENT($AC200,_xll.CALENDRIER.GAP.FINANCE(TODAY(),"3M","AUD","Unadjusted"),),"ACT/365")*(_xll.INSTRUMENT.ROLL.DOWN($A200,oisCurve,_xll.CALENDRIER.GAP.FINANCE(TODAY(),"3M","AUD","Unadjusted",TRUE),$N200)+100*$AA200*_xll.CALENDRIER.FRAC.ANNEE(_xll.INSTRUMENT.DATE.REGLEMENT($AC200,,),_xll.INSTRUMENT.DATE.REGLEMENT($AC200,_xll.CALENDRIER.GAP.FINANCE(TODAY(),"3M","AUD","Unadjusted"),),"ACT/365")-$I200)/$I200</f>
        <v>#NAME?</v>
      </c>
      <c r="Q200" s="371" t="e">
        <f ca="1">-(O200-curve!$T$3)/J200</f>
        <v>#NAME?</v>
      </c>
      <c r="R200" s="373">
        <f t="shared" ca="1" si="4"/>
        <v>-437.98314350118443</v>
      </c>
      <c r="S200" s="191" t="str">
        <f>IF(F200&lt;&gt;"","",IF(G200="","",-G200*(SUMIF('raw Data'!$A:$A,"RESINV1USD",'raw Data'!$G:$G)+SUMIF('raw Data'!$A:$A,"RESSWAPORUSD",'raw Data'!$G:$G))/(36500*J200)))</f>
        <v/>
      </c>
      <c r="T200" s="202" t="str">
        <f>IF(G200&lt;&gt;"","",IF(F200="","",-36500*J200*F200/(SUMIF('raw Data'!$A:$A,"RESINV1USD",'raw Data'!$G:$G)+SUMIF('raw Data'!$A:$A,"RESSWAPORUSD",'raw Data'!$G:$G))))</f>
        <v/>
      </c>
      <c r="U200" s="125">
        <f>SUMIF('raw Data'!$E:$E,A200,'raw Data'!$N:$N)</f>
        <v>0</v>
      </c>
      <c r="V200" s="126">
        <v>39401</v>
      </c>
      <c r="W200" s="127">
        <v>39401</v>
      </c>
      <c r="X200" s="127">
        <v>39583</v>
      </c>
      <c r="Y200" s="127">
        <v>42870</v>
      </c>
      <c r="Z200" s="127">
        <v>43054</v>
      </c>
      <c r="AA200" s="128">
        <v>4.2500000000000003E-2</v>
      </c>
      <c r="AB200" s="129">
        <v>27674000000</v>
      </c>
      <c r="AC200" s="130" t="str">
        <f ca="1">IF(LEFT(B200,1)="B",_xll.INSTANCE.TBILL(A200,V200,Z200,TODAY()),_xll.INSTANCE.TNOTE(A200,V200,W200,X200,Y200,Z200,AA200,TODAY()))</f>
        <v>US912828HH67#0003</v>
      </c>
    </row>
    <row r="201" spans="1:29" x14ac:dyDescent="0.35">
      <c r="A201" s="131" t="s">
        <v>519</v>
      </c>
      <c r="B201" s="115" t="s">
        <v>1177</v>
      </c>
      <c r="C201" s="364"/>
      <c r="D201" s="116"/>
      <c r="E201" s="117"/>
      <c r="F201" s="118"/>
      <c r="G201" s="369"/>
      <c r="H201" s="120">
        <v>8.1442730000000005E-3</v>
      </c>
      <c r="I201" s="121">
        <f ca="1">_xll.INSTRUMENT.PRIX(AC201,D201,H201,cTreasuries)</f>
        <v>107.59732333935459</v>
      </c>
      <c r="J201" s="122">
        <f ca="1">_xll.INSTRUMENT.DV01(A201,,,I201,cContinuous,I201)</f>
        <v>-5.5373373816795947E-2</v>
      </c>
      <c r="K201" s="123">
        <f ca="1">_xll.INSTRUMENT.CONVEXITE(A201,,,I201,cContinuous,I201)</f>
        <v>27.311230731089541</v>
      </c>
      <c r="L201" s="123">
        <f ca="1">_xll.INSTRUMENT.Z.SPREAD(A201,swapCurve,I201,cContinuous,D201)</f>
        <v>-20.203071933519073</v>
      </c>
      <c r="M201" s="123" t="e">
        <f ca="1">_xll.INSTRUMENT.Z.SPREAD(A201,ustCurve,I201,cContinuous,D201)</f>
        <v>#VALUE!</v>
      </c>
      <c r="N201" s="123">
        <f ca="1">_xll.INSTRUMENT.Z.SPREAD(A201,oisCurve,I201,cContinuous,D201)</f>
        <v>13.306657790529261</v>
      </c>
      <c r="O201" s="124" t="e">
        <f ca="1">1/_xll.CALENDRIER.FRAC.ANNEE(_xll.INSTRUMENT.DATE.REGLEMENT($AC201,,),_xll.INSTRUMENT.DATE.REGLEMENT($AC201,_xll.CALENDRIER.GAP.FINANCE(TODAY(),"1M","AUD","Unadjusted"),),"ACT/365")*(_xll.INSTRUMENT.ROLL.DOWN($A201,oisCurve,_xll.CALENDRIER.GAP.FINANCE(TODAY(),"1M","AUD","Unadjusted",TRUE),$N201)+100*$AA201*_xll.CALENDRIER.FRAC.ANNEE(_xll.INSTRUMENT.DATE.REGLEMENT($AC201,,),_xll.INSTRUMENT.DATE.REGLEMENT($AC201,_xll.CALENDRIER.GAP.FINANCE(TODAY(),"1M","AUD","Unadjusted"),),"ACT/365")-$I201)/$I201</f>
        <v>#NAME?</v>
      </c>
      <c r="P201" s="124" t="e">
        <f ca="1">1/_xll.CALENDRIER.FRAC.ANNEE(_xll.INSTRUMENT.DATE.REGLEMENT($AC201,,),_xll.INSTRUMENT.DATE.REGLEMENT($AC201,_xll.CALENDRIER.GAP.FINANCE(TODAY(),"3M","AUD","Unadjusted"),),"ACT/365")*(_xll.INSTRUMENT.ROLL.DOWN($A201,oisCurve,_xll.CALENDRIER.GAP.FINANCE(TODAY(),"3M","AUD","Unadjusted",TRUE),$N201)+100*$AA201*_xll.CALENDRIER.FRAC.ANNEE(_xll.INSTRUMENT.DATE.REGLEMENT($AC201,,),_xll.INSTRUMENT.DATE.REGLEMENT($AC201,_xll.CALENDRIER.GAP.FINANCE(TODAY(),"3M","AUD","Unadjusted"),),"ACT/365")-$I201)/$I201</f>
        <v>#NAME?</v>
      </c>
      <c r="Q201" s="371" t="e">
        <f ca="1">-(O201-curve!$T$3)/J201</f>
        <v>#NAME?</v>
      </c>
      <c r="R201" s="373">
        <f t="shared" ca="1" si="4"/>
        <v>-493.21955388612156</v>
      </c>
      <c r="S201" s="191" t="str">
        <f>IF(F201&lt;&gt;"","",IF(G201="","",-G201*(SUMIF('raw Data'!$A:$A,"RESINV1USD",'raw Data'!$G:$G)+SUMIF('raw Data'!$A:$A,"RESSWAPORUSD",'raw Data'!$G:$G))/(36500*J201)))</f>
        <v/>
      </c>
      <c r="T201" s="202" t="str">
        <f>IF(G201&lt;&gt;"","",IF(F201="","",-36500*J201*F201/(SUMIF('raw Data'!$A:$A,"RESINV1USD",'raw Data'!$G:$G)+SUMIF('raw Data'!$A:$A,"RESSWAPORUSD",'raw Data'!$G:$G))))</f>
        <v/>
      </c>
      <c r="U201" s="125">
        <f>SUMIF('raw Data'!$E:$E,A201,'raw Data'!$N:$N)</f>
        <v>0</v>
      </c>
      <c r="V201" s="126">
        <v>40512</v>
      </c>
      <c r="W201" s="127">
        <v>40512</v>
      </c>
      <c r="X201" s="127">
        <v>40694</v>
      </c>
      <c r="Y201" s="127">
        <v>42886</v>
      </c>
      <c r="Z201" s="127">
        <v>43069</v>
      </c>
      <c r="AA201" s="128">
        <v>2.2499999999999999E-2</v>
      </c>
      <c r="AB201" s="129">
        <v>30144000000</v>
      </c>
      <c r="AC201" s="130" t="str">
        <f ca="1">IF(LEFT(B201,1)="B",_xll.INSTANCE.TBILL(A201,V201,Z201,TODAY()),_xll.INSTANCE.TNOTE(A201,V201,W201,X201,Y201,Z201,AA201,TODAY()))</f>
        <v>US912828PK05#0003</v>
      </c>
    </row>
    <row r="202" spans="1:29" x14ac:dyDescent="0.35">
      <c r="A202" s="131" t="s">
        <v>520</v>
      </c>
      <c r="B202" s="115" t="s">
        <v>1178</v>
      </c>
      <c r="C202" s="364"/>
      <c r="D202" s="116"/>
      <c r="E202" s="117"/>
      <c r="F202" s="118"/>
      <c r="G202" s="369"/>
      <c r="H202" s="120">
        <v>8.2633540000000005E-3</v>
      </c>
      <c r="I202" s="121">
        <f ca="1">_xll.INSTRUMENT.PRIX(AC202,D202,H202,cTreasuries)</f>
        <v>110.32523421987668</v>
      </c>
      <c r="J202" s="122">
        <f ca="1">_xll.INSTRUMENT.DV01(A202,,,I202,cContinuous,I202)</f>
        <v>-5.7013117269284444E-2</v>
      </c>
      <c r="K202" s="123">
        <f ca="1">_xll.INSTRUMENT.CONVEXITE(A202,,,I202,cContinuous,I202)</f>
        <v>27.491706783059975</v>
      </c>
      <c r="L202" s="123">
        <f ca="1">_xll.INSTRUMENT.Z.SPREAD(A202,swapCurve,I202,cContinuous,D202)</f>
        <v>-20.327410863046577</v>
      </c>
      <c r="M202" s="123" t="e">
        <f ca="1">_xll.INSTRUMENT.Z.SPREAD(A202,ustCurve,I202,cContinuous,D202)</f>
        <v>#VALUE!</v>
      </c>
      <c r="N202" s="123">
        <f ca="1">_xll.INSTRUMENT.Z.SPREAD(A202,oisCurve,I202,cContinuous,D202)</f>
        <v>13.065041698924523</v>
      </c>
      <c r="O202" s="124" t="e">
        <f ca="1">1/_xll.CALENDRIER.FRAC.ANNEE(_xll.INSTRUMENT.DATE.REGLEMENT($AC202,,),_xll.INSTRUMENT.DATE.REGLEMENT($AC202,_xll.CALENDRIER.GAP.FINANCE(TODAY(),"1M","AUD","Unadjusted"),),"ACT/365")*(_xll.INSTRUMENT.ROLL.DOWN($A202,oisCurve,_xll.CALENDRIER.GAP.FINANCE(TODAY(),"1M","AUD","Unadjusted",TRUE),$N202)+100*$AA202*_xll.CALENDRIER.FRAC.ANNEE(_xll.INSTRUMENT.DATE.REGLEMENT($AC202,,),_xll.INSTRUMENT.DATE.REGLEMENT($AC202,_xll.CALENDRIER.GAP.FINANCE(TODAY(),"1M","AUD","Unadjusted"),),"ACT/365")-$I202)/$I202</f>
        <v>#NAME?</v>
      </c>
      <c r="P202" s="124" t="e">
        <f ca="1">1/_xll.CALENDRIER.FRAC.ANNEE(_xll.INSTRUMENT.DATE.REGLEMENT($AC202,,),_xll.INSTRUMENT.DATE.REGLEMENT($AC202,_xll.CALENDRIER.GAP.FINANCE(TODAY(),"3M","AUD","Unadjusted"),),"ACT/365")*(_xll.INSTRUMENT.ROLL.DOWN($A202,oisCurve,_xll.CALENDRIER.GAP.FINANCE(TODAY(),"3M","AUD","Unadjusted",TRUE),$N202)+100*$AA202*_xll.CALENDRIER.FRAC.ANNEE(_xll.INSTRUMENT.DATE.REGLEMENT($AC202,,),_xll.INSTRUMENT.DATE.REGLEMENT($AC202,_xll.CALENDRIER.GAP.FINANCE(TODAY(),"3M","AUD","Unadjusted"),),"ACT/365")-$I202)/$I202</f>
        <v>#NAME?</v>
      </c>
      <c r="Q202" s="371" t="e">
        <f ca="1">-(O202-curve!$T$3)/J202</f>
        <v>#NAME?</v>
      </c>
      <c r="R202" s="373">
        <f t="shared" ca="1" si="4"/>
        <v>-482.19967789537105</v>
      </c>
      <c r="S202" s="191" t="str">
        <f>IF(F202&lt;&gt;"","",IF(G202="","",-G202*(SUMIF('raw Data'!$A:$A,"RESINV1USD",'raw Data'!$G:$G)+SUMIF('raw Data'!$A:$A,"RESSWAPORUSD",'raw Data'!$G:$G))/(36500*J202)))</f>
        <v/>
      </c>
      <c r="T202" s="202" t="str">
        <f>IF(G202&lt;&gt;"","",IF(F202="","",-36500*J202*F202/(SUMIF('raw Data'!$A:$A,"RESINV1USD",'raw Data'!$G:$G)+SUMIF('raw Data'!$A:$A,"RESSWAPORUSD",'raw Data'!$G:$G))))</f>
        <v/>
      </c>
      <c r="U202" s="125">
        <f>SUMIF('raw Data'!$E:$E,A202,'raw Data'!$N:$N)</f>
        <v>0</v>
      </c>
      <c r="V202" s="126">
        <v>40543</v>
      </c>
      <c r="W202" s="127">
        <v>40543</v>
      </c>
      <c r="X202" s="127">
        <v>40724</v>
      </c>
      <c r="Y202" s="127">
        <v>42916</v>
      </c>
      <c r="Z202" s="127">
        <v>43100</v>
      </c>
      <c r="AA202" s="128">
        <v>2.75E-2</v>
      </c>
      <c r="AB202" s="129">
        <v>30454000000.000004</v>
      </c>
      <c r="AC202" s="130" t="str">
        <f ca="1">IF(LEFT(B202,1)="B",_xll.INSTANCE.TBILL(A202,V202,Z202,TODAY()),_xll.INSTANCE.TNOTE(A202,V202,W202,X202,Y202,Z202,AA202,TODAY()))</f>
        <v>US912828PN44#0003</v>
      </c>
    </row>
    <row r="203" spans="1:29" x14ac:dyDescent="0.35">
      <c r="A203" s="131" t="s">
        <v>521</v>
      </c>
      <c r="B203" s="115" t="s">
        <v>1179</v>
      </c>
      <c r="C203" s="364"/>
      <c r="D203" s="116"/>
      <c r="E203" s="117"/>
      <c r="F203" s="118"/>
      <c r="G203" s="369"/>
      <c r="H203" s="120">
        <v>8.4522659999999999E-3</v>
      </c>
      <c r="I203" s="121">
        <f ca="1">_xll.INSTRUMENT.PRIX(AC203,D203,H203,cTreasuries)</f>
        <v>109.69137484421721</v>
      </c>
      <c r="J203" s="122">
        <f ca="1">_xll.INSTRUMENT.DV01(A203,,,I203,cContinuous,I203)</f>
        <v>-5.7655535935556057E-2</v>
      </c>
      <c r="K203" s="123">
        <f ca="1">_xll.INSTRUMENT.CONVEXITE(A203,,,I203,cContinuous,I203)</f>
        <v>28.426916602327097</v>
      </c>
      <c r="L203" s="123">
        <f ca="1">_xll.INSTRUMENT.Z.SPREAD(A203,swapCurve,I203,cContinuous,D203)</f>
        <v>-19.842653400585263</v>
      </c>
      <c r="M203" s="123" t="e">
        <f ca="1">_xll.INSTRUMENT.Z.SPREAD(A203,ustCurve,I203,cContinuous,D203)</f>
        <v>#VALUE!</v>
      </c>
      <c r="N203" s="123">
        <f ca="1">_xll.INSTRUMENT.Z.SPREAD(A203,oisCurve,I203,cContinuous,D203)</f>
        <v>13.451520640678947</v>
      </c>
      <c r="O203" s="124" t="e">
        <f ca="1">1/_xll.CALENDRIER.FRAC.ANNEE(_xll.INSTRUMENT.DATE.REGLEMENT($AC203,,),_xll.INSTRUMENT.DATE.REGLEMENT($AC203,_xll.CALENDRIER.GAP.FINANCE(TODAY(),"1M","AUD","Unadjusted"),),"ACT/365")*(_xll.INSTRUMENT.ROLL.DOWN($A203,oisCurve,_xll.CALENDRIER.GAP.FINANCE(TODAY(),"1M","AUD","Unadjusted",TRUE),$N203)+100*$AA203*_xll.CALENDRIER.FRAC.ANNEE(_xll.INSTRUMENT.DATE.REGLEMENT($AC203,,),_xll.INSTRUMENT.DATE.REGLEMENT($AC203,_xll.CALENDRIER.GAP.FINANCE(TODAY(),"1M","AUD","Unadjusted"),),"ACT/365")-$I203)/$I203</f>
        <v>#NAME?</v>
      </c>
      <c r="P203" s="124" t="e">
        <f ca="1">1/_xll.CALENDRIER.FRAC.ANNEE(_xll.INSTRUMENT.DATE.REGLEMENT($AC203,,),_xll.INSTRUMENT.DATE.REGLEMENT($AC203,_xll.CALENDRIER.GAP.FINANCE(TODAY(),"3M","AUD","Unadjusted"),),"ACT/365")*(_xll.INSTRUMENT.ROLL.DOWN($A203,oisCurve,_xll.CALENDRIER.GAP.FINANCE(TODAY(),"3M","AUD","Unadjusted",TRUE),$N203)+100*$AA203*_xll.CALENDRIER.FRAC.ANNEE(_xll.INSTRUMENT.DATE.REGLEMENT($AC203,,),_xll.INSTRUMENT.DATE.REGLEMENT($AC203,_xll.CALENDRIER.GAP.FINANCE(TODAY(),"3M","AUD","Unadjusted"),),"ACT/365")-$I203)/$I203</f>
        <v>#NAME?</v>
      </c>
      <c r="Q203" s="371" t="e">
        <f ca="1">-(O203-curve!$T$3)/J203</f>
        <v>#NAME?</v>
      </c>
      <c r="R203" s="373">
        <f t="shared" ca="1" si="4"/>
        <v>-493.04747828727187</v>
      </c>
      <c r="S203" s="191" t="str">
        <f>IF(F203&lt;&gt;"","",IF(G203="","",-G203*(SUMIF('raw Data'!$A:$A,"RESINV1USD",'raw Data'!$G:$G)+SUMIF('raw Data'!$A:$A,"RESSWAPORUSD",'raw Data'!$G:$G))/(36500*J203)))</f>
        <v/>
      </c>
      <c r="T203" s="202" t="str">
        <f>IF(G203&lt;&gt;"","",IF(F203="","",-36500*J203*F203/(SUMIF('raw Data'!$A:$A,"RESINV1USD",'raw Data'!$G:$G)+SUMIF('raw Data'!$A:$A,"RESSWAPORUSD",'raw Data'!$G:$G))))</f>
        <v/>
      </c>
      <c r="U203" s="125">
        <f>SUMIF('raw Data'!$E:$E,A203,'raw Data'!$N:$N)</f>
        <v>0</v>
      </c>
      <c r="V203" s="126">
        <v>40574</v>
      </c>
      <c r="W203" s="127">
        <v>40574</v>
      </c>
      <c r="X203" s="127">
        <v>40755</v>
      </c>
      <c r="Y203" s="127">
        <v>42947</v>
      </c>
      <c r="Z203" s="127">
        <v>43131</v>
      </c>
      <c r="AA203" s="128">
        <v>2.6249999999999999E-2</v>
      </c>
      <c r="AB203" s="129">
        <v>29578000000</v>
      </c>
      <c r="AC203" s="130" t="str">
        <f ca="1">IF(LEFT(B203,1)="B",_xll.INSTANCE.TBILL(A203,V203,Z203,TODAY()),_xll.INSTANCE.TNOTE(A203,V203,W203,X203,Y203,Z203,AA203,TODAY()))</f>
        <v>US912828PT14#0003</v>
      </c>
    </row>
    <row r="204" spans="1:29" x14ac:dyDescent="0.35">
      <c r="A204" s="131" t="s">
        <v>522</v>
      </c>
      <c r="B204" s="115" t="s">
        <v>1180</v>
      </c>
      <c r="C204" s="364"/>
      <c r="D204" s="116"/>
      <c r="E204" s="117"/>
      <c r="F204" s="118"/>
      <c r="G204" s="369"/>
      <c r="H204" s="120">
        <v>8.5110080000000005E-3</v>
      </c>
      <c r="I204" s="121">
        <f ca="1">_xll.INSTRUMENT.PRIX(AC204,D204,H204,cTreasuries)</f>
        <v>114.52632333050184</v>
      </c>
      <c r="J204" s="122">
        <f ca="1">_xll.INSTRUMENT.DV01(A204,,,I204,cContinuous,I204)</f>
        <v>-5.9534307745360497E-2</v>
      </c>
      <c r="K204" s="123">
        <f ca="1">_xll.INSTRUMENT.CONVEXITE(A204,,,I204,cContinuous,I204)</f>
        <v>28.072431163586185</v>
      </c>
      <c r="L204" s="123">
        <f ca="1">_xll.INSTRUMENT.Z.SPREAD(A204,swapCurve,I204,cContinuous,D204)</f>
        <v>-19.342292563450791</v>
      </c>
      <c r="M204" s="123" t="e">
        <f ca="1">_xll.INSTRUMENT.Z.SPREAD(A204,ustCurve,I204,cContinuous,D204)</f>
        <v>#VALUE!</v>
      </c>
      <c r="N204" s="123">
        <f ca="1">_xll.INSTRUMENT.Z.SPREAD(A204,oisCurve,I204,cContinuous,D204)</f>
        <v>13.923315187468333</v>
      </c>
      <c r="O204" s="124" t="e">
        <f ca="1">1/_xll.CALENDRIER.FRAC.ANNEE(_xll.INSTRUMENT.DATE.REGLEMENT($AC204,,),_xll.INSTRUMENT.DATE.REGLEMENT($AC204,_xll.CALENDRIER.GAP.FINANCE(TODAY(),"1M","AUD","Unadjusted"),),"ACT/365")*(_xll.INSTRUMENT.ROLL.DOWN($A204,oisCurve,_xll.CALENDRIER.GAP.FINANCE(TODAY(),"1M","AUD","Unadjusted",TRUE),$N204)+100*$AA204*_xll.CALENDRIER.FRAC.ANNEE(_xll.INSTRUMENT.DATE.REGLEMENT($AC204,,),_xll.INSTRUMENT.DATE.REGLEMENT($AC204,_xll.CALENDRIER.GAP.FINANCE(TODAY(),"1M","AUD","Unadjusted"),),"ACT/365")-$I204)/$I204</f>
        <v>#NAME?</v>
      </c>
      <c r="P204" s="124" t="e">
        <f ca="1">1/_xll.CALENDRIER.FRAC.ANNEE(_xll.INSTRUMENT.DATE.REGLEMENT($AC204,,),_xll.INSTRUMENT.DATE.REGLEMENT($AC204,_xll.CALENDRIER.GAP.FINANCE(TODAY(),"3M","AUD","Unadjusted"),),"ACT/365")*(_xll.INSTRUMENT.ROLL.DOWN($A204,oisCurve,_xll.CALENDRIER.GAP.FINANCE(TODAY(),"3M","AUD","Unadjusted",TRUE),$N204)+100*$AA204*_xll.CALENDRIER.FRAC.ANNEE(_xll.INSTRUMENT.DATE.REGLEMENT($AC204,,),_xll.INSTRUMENT.DATE.REGLEMENT($AC204,_xll.CALENDRIER.GAP.FINANCE(TODAY(),"3M","AUD","Unadjusted"),),"ACT/365")-$I204)/$I204</f>
        <v>#NAME?</v>
      </c>
      <c r="Q204" s="371" t="e">
        <f ca="1">-(O204-curve!$T$3)/J204</f>
        <v>#NAME?</v>
      </c>
      <c r="R204" s="373">
        <f t="shared" ca="1" si="4"/>
        <v>-471.5336790957121</v>
      </c>
      <c r="S204" s="191" t="str">
        <f>IF(F204&lt;&gt;"","",IF(G204="","",-G204*(SUMIF('raw Data'!$A:$A,"RESINV1USD",'raw Data'!$G:$G)+SUMIF('raw Data'!$A:$A,"RESSWAPORUSD",'raw Data'!$G:$G))/(36500*J204)))</f>
        <v/>
      </c>
      <c r="T204" s="202" t="str">
        <f>IF(G204&lt;&gt;"","",IF(F204="","",-36500*J204*F204/(SUMIF('raw Data'!$A:$A,"RESINV1USD",'raw Data'!$G:$G)+SUMIF('raw Data'!$A:$A,"RESSWAPORUSD",'raw Data'!$G:$G))))</f>
        <v/>
      </c>
      <c r="U204" s="125">
        <f>SUMIF('raw Data'!$E:$E,A204,'raw Data'!$N:$N)</f>
        <v>0</v>
      </c>
      <c r="V204" s="126">
        <v>39493</v>
      </c>
      <c r="W204" s="127">
        <v>39493</v>
      </c>
      <c r="X204" s="127">
        <v>39675</v>
      </c>
      <c r="Y204" s="127">
        <v>42962</v>
      </c>
      <c r="Z204" s="127">
        <v>43146</v>
      </c>
      <c r="AA204" s="128">
        <v>3.5000000000000003E-2</v>
      </c>
      <c r="AB204" s="129">
        <v>39205000000</v>
      </c>
      <c r="AC204" s="130" t="str">
        <f ca="1">IF(LEFT(B204,1)="B",_xll.INSTANCE.TBILL(A204,V204,Z204,TODAY()),_xll.INSTANCE.TNOTE(A204,V204,W204,X204,Y204,Z204,AA204,TODAY()))</f>
        <v>US912828HR40#0003</v>
      </c>
    </row>
    <row r="205" spans="1:29" x14ac:dyDescent="0.35">
      <c r="A205" s="131" t="s">
        <v>523</v>
      </c>
      <c r="B205" s="115" t="s">
        <v>1181</v>
      </c>
      <c r="C205" s="364"/>
      <c r="D205" s="116"/>
      <c r="E205" s="117"/>
      <c r="F205" s="118"/>
      <c r="G205" s="369"/>
      <c r="H205" s="120">
        <v>8.5638050000000007E-3</v>
      </c>
      <c r="I205" s="121">
        <f ca="1">_xll.INSTRUMENT.PRIX(AC205,D205,H205,cTreasuries)</f>
        <v>110.46326424321707</v>
      </c>
      <c r="J205" s="122">
        <f ca="1">_xll.INSTRUMENT.DV01(A205,,,I205,cContinuous,I205)</f>
        <v>-5.8649639090082202E-2</v>
      </c>
      <c r="K205" s="123">
        <f ca="1">_xll.INSTRUMENT.CONVEXITE(A205,,,I205,cContinuous,I205)</f>
        <v>29.116271866248074</v>
      </c>
      <c r="L205" s="123">
        <f ca="1">_xll.INSTRUMENT.Z.SPREAD(A205,swapCurve,I205,cContinuous,D205)</f>
        <v>-19.994148157401145</v>
      </c>
      <c r="M205" s="123" t="e">
        <f ca="1">_xll.INSTRUMENT.Z.SPREAD(A205,ustCurve,I205,cContinuous,D205)</f>
        <v>#VALUE!</v>
      </c>
      <c r="N205" s="123">
        <f ca="1">_xll.INSTRUMENT.Z.SPREAD(A205,oisCurve,I205,cContinuous,D205)</f>
        <v>13.228647131780154</v>
      </c>
      <c r="O205" s="124" t="e">
        <f ca="1">1/_xll.CALENDRIER.FRAC.ANNEE(_xll.INSTRUMENT.DATE.REGLEMENT($AC205,,),_xll.INSTRUMENT.DATE.REGLEMENT($AC205,_xll.CALENDRIER.GAP.FINANCE(TODAY(),"1M","AUD","Unadjusted"),),"ACT/365")*(_xll.INSTRUMENT.ROLL.DOWN($A205,oisCurve,_xll.CALENDRIER.GAP.FINANCE(TODAY(),"1M","AUD","Unadjusted",TRUE),$N205)+100*$AA205*_xll.CALENDRIER.FRAC.ANNEE(_xll.INSTRUMENT.DATE.REGLEMENT($AC205,,),_xll.INSTRUMENT.DATE.REGLEMENT($AC205,_xll.CALENDRIER.GAP.FINANCE(TODAY(),"1M","AUD","Unadjusted"),),"ACT/365")-$I205)/$I205</f>
        <v>#NAME?</v>
      </c>
      <c r="P205" s="124" t="e">
        <f ca="1">1/_xll.CALENDRIER.FRAC.ANNEE(_xll.INSTRUMENT.DATE.REGLEMENT($AC205,,),_xll.INSTRUMENT.DATE.REGLEMENT($AC205,_xll.CALENDRIER.GAP.FINANCE(TODAY(),"3M","AUD","Unadjusted"),),"ACT/365")*(_xll.INSTRUMENT.ROLL.DOWN($A205,oisCurve,_xll.CALENDRIER.GAP.FINANCE(TODAY(),"3M","AUD","Unadjusted",TRUE),$N205)+100*$AA205*_xll.CALENDRIER.FRAC.ANNEE(_xll.INSTRUMENT.DATE.REGLEMENT($AC205,,),_xll.INSTRUMENT.DATE.REGLEMENT($AC205,_xll.CALENDRIER.GAP.FINANCE(TODAY(),"3M","AUD","Unadjusted"),),"ACT/365")-$I205)/$I205</f>
        <v>#NAME?</v>
      </c>
      <c r="Q205" s="371" t="e">
        <f ca="1">-(O205-curve!$T$3)/J205</f>
        <v>#NAME?</v>
      </c>
      <c r="R205" s="373">
        <f t="shared" ca="1" si="4"/>
        <v>-496.44417796889235</v>
      </c>
      <c r="S205" s="191" t="str">
        <f>IF(F205&lt;&gt;"","",IF(G205="","",-G205*(SUMIF('raw Data'!$A:$A,"RESINV1USD",'raw Data'!$G:$G)+SUMIF('raw Data'!$A:$A,"RESSWAPORUSD",'raw Data'!$G:$G))/(36500*J205)))</f>
        <v/>
      </c>
      <c r="T205" s="202" t="str">
        <f>IF(G205&lt;&gt;"","",IF(F205="","",-36500*J205*F205/(SUMIF('raw Data'!$A:$A,"RESINV1USD",'raw Data'!$G:$G)+SUMIF('raw Data'!$A:$A,"RESSWAPORUSD",'raw Data'!$G:$G))))</f>
        <v/>
      </c>
      <c r="U205" s="125">
        <f>SUMIF('raw Data'!$E:$E,A205,'raw Data'!$N:$N)</f>
        <v>0</v>
      </c>
      <c r="V205" s="126">
        <v>40602</v>
      </c>
      <c r="W205" s="127">
        <v>40602</v>
      </c>
      <c r="X205" s="127">
        <v>40786</v>
      </c>
      <c r="Y205" s="127">
        <v>42978</v>
      </c>
      <c r="Z205" s="127">
        <v>43159</v>
      </c>
      <c r="AA205" s="128">
        <v>2.75E-2</v>
      </c>
      <c r="AB205" s="129">
        <v>30593000000.000004</v>
      </c>
      <c r="AC205" s="130" t="str">
        <f ca="1">IF(LEFT(B205,1)="B",_xll.INSTANCE.TBILL(A205,V205,Z205,TODAY()),_xll.INSTANCE.TNOTE(A205,V205,W205,X205,Y205,Z205,AA205,TODAY()))</f>
        <v>US912828PY09#0003</v>
      </c>
    </row>
    <row r="206" spans="1:29" x14ac:dyDescent="0.35">
      <c r="A206" s="131" t="s">
        <v>524</v>
      </c>
      <c r="B206" s="115" t="s">
        <v>1182</v>
      </c>
      <c r="C206" s="364"/>
      <c r="D206" s="116"/>
      <c r="E206" s="117"/>
      <c r="F206" s="118"/>
      <c r="G206" s="369"/>
      <c r="H206" s="120">
        <v>8.6636339999999999E-3</v>
      </c>
      <c r="I206" s="121">
        <f ca="1">_xll.INSTRUMENT.PRIX(AC206,D206,H206,cTreasuries)</f>
        <v>111.2515876762168</v>
      </c>
      <c r="J206" s="122">
        <f ca="1">_xll.INSTRUMENT.DV01(A206,,,I206,cContinuous,I206)</f>
        <v>-5.9734410190634316E-2</v>
      </c>
      <c r="K206" s="123">
        <f ca="1">_xll.INSTRUMENT.CONVEXITE(A206,,,I206,cContinuous,I206)</f>
        <v>29.951373210651269</v>
      </c>
      <c r="L206" s="123">
        <f ca="1">_xll.INSTRUMENT.Z.SPREAD(A206,swapCurve,I206,cContinuous,D206)</f>
        <v>-20.605352460778128</v>
      </c>
      <c r="M206" s="123" t="e">
        <f ca="1">_xll.INSTRUMENT.Z.SPREAD(A206,ustCurve,I206,cContinuous,D206)</f>
        <v>#VALUE!</v>
      </c>
      <c r="N206" s="123">
        <f ca="1">_xll.INSTRUMENT.Z.SPREAD(A206,oisCurve,I206,cContinuous,D206)</f>
        <v>12.563404073334944</v>
      </c>
      <c r="O206" s="124" t="e">
        <f ca="1">1/_xll.CALENDRIER.FRAC.ANNEE(_xll.INSTRUMENT.DATE.REGLEMENT($AC206,,),_xll.INSTRUMENT.DATE.REGLEMENT($AC206,_xll.CALENDRIER.GAP.FINANCE(TODAY(),"1M","AUD","Unadjusted"),),"ACT/365")*(_xll.INSTRUMENT.ROLL.DOWN($A206,oisCurve,_xll.CALENDRIER.GAP.FINANCE(TODAY(),"1M","AUD","Unadjusted",TRUE),$N206)+100*$AA206*_xll.CALENDRIER.FRAC.ANNEE(_xll.INSTRUMENT.DATE.REGLEMENT($AC206,,),_xll.INSTRUMENT.DATE.REGLEMENT($AC206,_xll.CALENDRIER.GAP.FINANCE(TODAY(),"1M","AUD","Unadjusted"),),"ACT/365")-$I206)/$I206</f>
        <v>#NAME?</v>
      </c>
      <c r="P206" s="124" t="e">
        <f ca="1">1/_xll.CALENDRIER.FRAC.ANNEE(_xll.INSTRUMENT.DATE.REGLEMENT($AC206,,),_xll.INSTRUMENT.DATE.REGLEMENT($AC206,_xll.CALENDRIER.GAP.FINANCE(TODAY(),"3M","AUD","Unadjusted"),),"ACT/365")*(_xll.INSTRUMENT.ROLL.DOWN($A206,oisCurve,_xll.CALENDRIER.GAP.FINANCE(TODAY(),"3M","AUD","Unadjusted",TRUE),$N206)+100*$AA206*_xll.CALENDRIER.FRAC.ANNEE(_xll.INSTRUMENT.DATE.REGLEMENT($AC206,,),_xll.INSTRUMENT.DATE.REGLEMENT($AC206,_xll.CALENDRIER.GAP.FINANCE(TODAY(),"3M","AUD","Unadjusted"),),"ACT/365")-$I206)/$I206</f>
        <v>#NAME?</v>
      </c>
      <c r="Q206" s="371" t="e">
        <f ca="1">-(O206-curve!$T$3)/J206</f>
        <v>#NAME?</v>
      </c>
      <c r="R206" s="373">
        <f t="shared" ca="1" si="4"/>
        <v>-501.40903902902028</v>
      </c>
      <c r="S206" s="191" t="str">
        <f>IF(F206&lt;&gt;"","",IF(G206="","",-G206*(SUMIF('raw Data'!$A:$A,"RESINV1USD",'raw Data'!$G:$G)+SUMIF('raw Data'!$A:$A,"RESSWAPORUSD",'raw Data'!$G:$G))/(36500*J206)))</f>
        <v/>
      </c>
      <c r="T206" s="202" t="str">
        <f>IF(G206&lt;&gt;"","",IF(F206="","",-36500*J206*F206/(SUMIF('raw Data'!$A:$A,"RESINV1USD",'raw Data'!$G:$G)+SUMIF('raw Data'!$A:$A,"RESSWAPORUSD",'raw Data'!$G:$G))))</f>
        <v/>
      </c>
      <c r="U206" s="125">
        <f>SUMIF('raw Data'!$E:$E,A206,'raw Data'!$N:$N)</f>
        <v>0</v>
      </c>
      <c r="V206" s="126">
        <v>40633</v>
      </c>
      <c r="W206" s="127">
        <v>40633</v>
      </c>
      <c r="X206" s="127">
        <v>40816</v>
      </c>
      <c r="Y206" s="127">
        <v>43008</v>
      </c>
      <c r="Z206" s="127">
        <v>43190</v>
      </c>
      <c r="AA206" s="128">
        <v>2.8750000000000001E-2</v>
      </c>
      <c r="AB206" s="129">
        <v>30300000000</v>
      </c>
      <c r="AC206" s="130" t="str">
        <f ca="1">IF(LEFT(B206,1)="B",_xll.INSTANCE.TBILL(A206,V206,Z206,TODAY()),_xll.INSTANCE.TNOTE(A206,V206,W206,X206,Y206,Z206,AA206,TODAY()))</f>
        <v>US912828QB96#0003</v>
      </c>
    </row>
    <row r="207" spans="1:29" x14ac:dyDescent="0.35">
      <c r="A207" s="131" t="s">
        <v>525</v>
      </c>
      <c r="B207" s="115" t="s">
        <v>1183</v>
      </c>
      <c r="C207" s="364"/>
      <c r="D207" s="116"/>
      <c r="E207" s="117"/>
      <c r="F207" s="118"/>
      <c r="G207" s="369"/>
      <c r="H207" s="120">
        <v>8.8953910000000008E-3</v>
      </c>
      <c r="I207" s="121">
        <f ca="1">_xll.INSTRUMENT.PRIX(AC207,D207,H207,cTreasuries)</f>
        <v>109.85143592050115</v>
      </c>
      <c r="J207" s="122">
        <f ca="1">_xll.INSTRUMENT.DV01(A207,,,I207,cContinuous,I207)</f>
        <v>-6.0087611568252888E-2</v>
      </c>
      <c r="K207" s="123">
        <f ca="1">_xll.INSTRUMENT.CONVEXITE(A207,,,I207,cContinuous,I207)</f>
        <v>31.024146221243548</v>
      </c>
      <c r="L207" s="123">
        <f ca="1">_xll.INSTRUMENT.Z.SPREAD(A207,swapCurve,I207,cContinuous,D207)</f>
        <v>-19.818111353438134</v>
      </c>
      <c r="M207" s="123" t="e">
        <f ca="1">_xll.INSTRUMENT.Z.SPREAD(A207,ustCurve,I207,cContinuous,D207)</f>
        <v>#VALUE!</v>
      </c>
      <c r="N207" s="123">
        <f ca="1">_xll.INSTRUMENT.Z.SPREAD(A207,oisCurve,I207,cContinuous,D207)</f>
        <v>13.317859661428471</v>
      </c>
      <c r="O207" s="124" t="e">
        <f ca="1">1/_xll.CALENDRIER.FRAC.ANNEE(_xll.INSTRUMENT.DATE.REGLEMENT($AC207,,),_xll.INSTRUMENT.DATE.REGLEMENT($AC207,_xll.CALENDRIER.GAP.FINANCE(TODAY(),"1M","AUD","Unadjusted"),),"ACT/365")*(_xll.INSTRUMENT.ROLL.DOWN($A207,oisCurve,_xll.CALENDRIER.GAP.FINANCE(TODAY(),"1M","AUD","Unadjusted",TRUE),$N207)+100*$AA207*_xll.CALENDRIER.FRAC.ANNEE(_xll.INSTRUMENT.DATE.REGLEMENT($AC207,,),_xll.INSTRUMENT.DATE.REGLEMENT($AC207,_xll.CALENDRIER.GAP.FINANCE(TODAY(),"1M","AUD","Unadjusted"),),"ACT/365")-$I207)/$I207</f>
        <v>#NAME?</v>
      </c>
      <c r="P207" s="124" t="e">
        <f ca="1">1/_xll.CALENDRIER.FRAC.ANNEE(_xll.INSTRUMENT.DATE.REGLEMENT($AC207,,),_xll.INSTRUMENT.DATE.REGLEMENT($AC207,_xll.CALENDRIER.GAP.FINANCE(TODAY(),"3M","AUD","Unadjusted"),),"ACT/365")*(_xll.INSTRUMENT.ROLL.DOWN($A207,oisCurve,_xll.CALENDRIER.GAP.FINANCE(TODAY(),"3M","AUD","Unadjusted",TRUE),$N207)+100*$AA207*_xll.CALENDRIER.FRAC.ANNEE(_xll.INSTRUMENT.DATE.REGLEMENT($AC207,,),_xll.INSTRUMENT.DATE.REGLEMENT($AC207,_xll.CALENDRIER.GAP.FINANCE(TODAY(),"3M","AUD","Unadjusted"),),"ACT/365")-$I207)/$I207</f>
        <v>#NAME?</v>
      </c>
      <c r="Q207" s="371" t="e">
        <f ca="1">-(O207-curve!$T$3)/J207</f>
        <v>#NAME?</v>
      </c>
      <c r="R207" s="373">
        <f t="shared" ca="1" si="4"/>
        <v>-516.31518397105106</v>
      </c>
      <c r="S207" s="191" t="str">
        <f>IF(F207&lt;&gt;"","",IF(G207="","",-G207*(SUMIF('raw Data'!$A:$A,"RESINV1USD",'raw Data'!$G:$G)+SUMIF('raw Data'!$A:$A,"RESSWAPORUSD",'raw Data'!$G:$G))/(36500*J207)))</f>
        <v/>
      </c>
      <c r="T207" s="202" t="str">
        <f>IF(G207&lt;&gt;"","",IF(F207="","",-36500*J207*F207/(SUMIF('raw Data'!$A:$A,"RESINV1USD",'raw Data'!$G:$G)+SUMIF('raw Data'!$A:$A,"RESSWAPORUSD",'raw Data'!$G:$G))))</f>
        <v/>
      </c>
      <c r="U207" s="125">
        <f>SUMIF('raw Data'!$E:$E,A207,'raw Data'!$N:$N)</f>
        <v>0</v>
      </c>
      <c r="V207" s="126">
        <v>40665</v>
      </c>
      <c r="W207" s="127">
        <v>40663</v>
      </c>
      <c r="X207" s="127">
        <v>40847</v>
      </c>
      <c r="Y207" s="127">
        <v>43039</v>
      </c>
      <c r="Z207" s="127">
        <v>43220</v>
      </c>
      <c r="AA207" s="128">
        <v>2.6249999999999999E-2</v>
      </c>
      <c r="AB207" s="129">
        <v>30830000000.000004</v>
      </c>
      <c r="AC207" s="130" t="str">
        <f ca="1">IF(LEFT(B207,1)="B",_xll.INSTANCE.TBILL(A207,V207,Z207,TODAY()),_xll.INSTANCE.TNOTE(A207,V207,W207,X207,Y207,Z207,AA207,TODAY()))</f>
        <v>US912828QG83#0003</v>
      </c>
    </row>
    <row r="208" spans="1:29" x14ac:dyDescent="0.35">
      <c r="A208" s="131" t="s">
        <v>526</v>
      </c>
      <c r="B208" s="115" t="s">
        <v>1184</v>
      </c>
      <c r="C208" s="364"/>
      <c r="D208" s="116"/>
      <c r="E208" s="117"/>
      <c r="F208" s="118"/>
      <c r="G208" s="369"/>
      <c r="H208" s="120">
        <v>8.421182000000001E-3</v>
      </c>
      <c r="I208" s="121">
        <f ca="1">_xll.INSTRUMENT.PRIX(AC208,D208,H208,cTreasuries)</f>
        <v>147.40184047223553</v>
      </c>
      <c r="J208" s="122">
        <f ca="1">_xll.INSTRUMENT.DV01(A208,,,I208,cContinuous,I208)</f>
        <v>-7.2470027765074441E-2</v>
      </c>
      <c r="K208" s="123">
        <f ca="1">_xll.INSTRUMENT.CONVEXITE(A208,,,I208,cContinuous,I208)</f>
        <v>26.651096530630056</v>
      </c>
      <c r="L208" s="123">
        <f ca="1">_xll.INSTRUMENT.Z.SPREAD(A208,swapCurve,I208,cContinuous,D208)</f>
        <v>-20.788210784975558</v>
      </c>
      <c r="M208" s="123" t="e">
        <f ca="1">_xll.INSTRUMENT.Z.SPREAD(A208,ustCurve,I208,cContinuous,D208)</f>
        <v>#VALUE!</v>
      </c>
      <c r="N208" s="123">
        <f ca="1">_xll.INSTRUMENT.Z.SPREAD(A208,oisCurve,I208,cContinuous,D208)</f>
        <v>12.458813578893887</v>
      </c>
      <c r="O208" s="124" t="e">
        <f ca="1">1/_xll.CALENDRIER.FRAC.ANNEE(_xll.INSTRUMENT.DATE.REGLEMENT($AC208,,),_xll.INSTRUMENT.DATE.REGLEMENT($AC208,_xll.CALENDRIER.GAP.FINANCE(TODAY(),"1M","AUD","Unadjusted"),),"ACT/365")*(_xll.INSTRUMENT.ROLL.DOWN($A208,oisCurve,_xll.CALENDRIER.GAP.FINANCE(TODAY(),"1M","AUD","Unadjusted",TRUE),$N208)+100*$AA208*_xll.CALENDRIER.FRAC.ANNEE(_xll.INSTRUMENT.DATE.REGLEMENT($AC208,,),_xll.INSTRUMENT.DATE.REGLEMENT($AC208,_xll.CALENDRIER.GAP.FINANCE(TODAY(),"1M","AUD","Unadjusted"),),"ACT/365")-$I208)/$I208</f>
        <v>#NAME?</v>
      </c>
      <c r="P208" s="124" t="e">
        <f ca="1">1/_xll.CALENDRIER.FRAC.ANNEE(_xll.INSTRUMENT.DATE.REGLEMENT($AC208,,),_xll.INSTRUMENT.DATE.REGLEMENT($AC208,_xll.CALENDRIER.GAP.FINANCE(TODAY(),"3M","AUD","Unadjusted"),),"ACT/365")*(_xll.INSTRUMENT.ROLL.DOWN($A208,oisCurve,_xll.CALENDRIER.GAP.FINANCE(TODAY(),"3M","AUD","Unadjusted",TRUE),$N208)+100*$AA208*_xll.CALENDRIER.FRAC.ANNEE(_xll.INSTRUMENT.DATE.REGLEMENT($AC208,,),_xll.INSTRUMENT.DATE.REGLEMENT($AC208,_xll.CALENDRIER.GAP.FINANCE(TODAY(),"3M","AUD","Unadjusted"),),"ACT/365")-$I208)/$I208</f>
        <v>#NAME?</v>
      </c>
      <c r="Q208" s="371" t="e">
        <f ca="1">-(O208-curve!$T$3)/J208</f>
        <v>#NAME?</v>
      </c>
      <c r="R208" s="373">
        <f t="shared" ca="1" si="4"/>
        <v>-367.75336442570051</v>
      </c>
      <c r="S208" s="191" t="str">
        <f>IF(F208&lt;&gt;"","",IF(G208="","",-G208*(SUMIF('raw Data'!$A:$A,"RESINV1USD",'raw Data'!$G:$G)+SUMIF('raw Data'!$A:$A,"RESSWAPORUSD",'raw Data'!$G:$G))/(36500*J208)))</f>
        <v/>
      </c>
      <c r="T208" s="202" t="str">
        <f>IF(G208&lt;&gt;"","",IF(F208="","",-36500*J208*F208/(SUMIF('raw Data'!$A:$A,"RESINV1USD",'raw Data'!$G:$G)+SUMIF('raw Data'!$A:$A,"RESSWAPORUSD",'raw Data'!$G:$G))))</f>
        <v/>
      </c>
      <c r="U208" s="125">
        <f>SUMIF('raw Data'!$E:$E,A208,'raw Data'!$N:$N)</f>
        <v>0</v>
      </c>
      <c r="V208" s="126">
        <v>32278</v>
      </c>
      <c r="W208" s="127">
        <v>32278</v>
      </c>
      <c r="X208" s="127">
        <v>32462</v>
      </c>
      <c r="Y208" s="127">
        <v>43054</v>
      </c>
      <c r="Z208" s="127">
        <v>43235</v>
      </c>
      <c r="AA208" s="128">
        <v>9.1249999999999998E-2</v>
      </c>
      <c r="AB208" s="129">
        <v>6717000000</v>
      </c>
      <c r="AC208" s="130" t="str">
        <f ca="1">IF(LEFT(B208,1)="B",_xll.INSTANCE.TBILL(A208,V208,Z208,TODAY()),_xll.INSTANCE.TNOTE(A208,V208,W208,X208,Y208,Z208,AA208,TODAY()))</f>
        <v>US912810EA26#0003</v>
      </c>
    </row>
    <row r="209" spans="1:29" x14ac:dyDescent="0.35">
      <c r="A209" s="131" t="s">
        <v>527</v>
      </c>
      <c r="B209" s="115" t="s">
        <v>1185</v>
      </c>
      <c r="C209" s="364"/>
      <c r="D209" s="116"/>
      <c r="E209" s="117"/>
      <c r="F209" s="118"/>
      <c r="G209" s="369"/>
      <c r="H209" s="120">
        <v>8.6529850000000002E-3</v>
      </c>
      <c r="I209" s="121">
        <f ca="1">_xll.INSTRUMENT.PRIX(AC209,D209,H209,cTreasuries)</f>
        <v>117.21255323760688</v>
      </c>
      <c r="J209" s="122">
        <f ca="1">_xll.INSTRUMENT.DV01(A209,,,I209,cContinuous,I209)</f>
        <v>-6.2867171634838431E-2</v>
      </c>
      <c r="K209" s="123">
        <f ca="1">_xll.INSTRUMENT.CONVEXITE(A209,,,I209,cContinuous,I209)</f>
        <v>30.304902228927208</v>
      </c>
      <c r="L209" s="123">
        <f ca="1">_xll.INSTRUMENT.Z.SPREAD(A209,swapCurve,I209,cContinuous,D209)</f>
        <v>-21.98866947142286</v>
      </c>
      <c r="M209" s="123" t="e">
        <f ca="1">_xll.INSTRUMENT.Z.SPREAD(A209,ustCurve,I209,cContinuous,D209)</f>
        <v>#VALUE!</v>
      </c>
      <c r="N209" s="123">
        <f ca="1">_xll.INSTRUMENT.Z.SPREAD(A209,oisCurve,I209,cContinuous,D209)</f>
        <v>11.166793313833322</v>
      </c>
      <c r="O209" s="124" t="e">
        <f ca="1">1/_xll.CALENDRIER.FRAC.ANNEE(_xll.INSTRUMENT.DATE.REGLEMENT($AC209,,),_xll.INSTRUMENT.DATE.REGLEMENT($AC209,_xll.CALENDRIER.GAP.FINANCE(TODAY(),"1M","AUD","Unadjusted"),),"ACT/365")*(_xll.INSTRUMENT.ROLL.DOWN($A209,oisCurve,_xll.CALENDRIER.GAP.FINANCE(TODAY(),"1M","AUD","Unadjusted",TRUE),$N209)+100*$AA209*_xll.CALENDRIER.FRAC.ANNEE(_xll.INSTRUMENT.DATE.REGLEMENT($AC209,,),_xll.INSTRUMENT.DATE.REGLEMENT($AC209,_xll.CALENDRIER.GAP.FINANCE(TODAY(),"1M","AUD","Unadjusted"),),"ACT/365")-$I209)/$I209</f>
        <v>#NAME?</v>
      </c>
      <c r="P209" s="124" t="e">
        <f ca="1">1/_xll.CALENDRIER.FRAC.ANNEE(_xll.INSTRUMENT.DATE.REGLEMENT($AC209,,),_xll.INSTRUMENT.DATE.REGLEMENT($AC209,_xll.CALENDRIER.GAP.FINANCE(TODAY(),"3M","AUD","Unadjusted"),),"ACT/365")*(_xll.INSTRUMENT.ROLL.DOWN($A209,oisCurve,_xll.CALENDRIER.GAP.FINANCE(TODAY(),"3M","AUD","Unadjusted",TRUE),$N209)+100*$AA209*_xll.CALENDRIER.FRAC.ANNEE(_xll.INSTRUMENT.DATE.REGLEMENT($AC209,,),_xll.INSTRUMENT.DATE.REGLEMENT($AC209,_xll.CALENDRIER.GAP.FINANCE(TODAY(),"3M","AUD","Unadjusted"),),"ACT/365")-$I209)/$I209</f>
        <v>#NAME?</v>
      </c>
      <c r="Q209" s="371" t="e">
        <f ca="1">-(O209-curve!$T$3)/J209</f>
        <v>#NAME?</v>
      </c>
      <c r="R209" s="373">
        <f t="shared" ca="1" si="4"/>
        <v>-482.04653463578859</v>
      </c>
      <c r="S209" s="191" t="str">
        <f>IF(F209&lt;&gt;"","",IF(G209="","",-G209*(SUMIF('raw Data'!$A:$A,"RESINV1USD",'raw Data'!$G:$G)+SUMIF('raw Data'!$A:$A,"RESSWAPORUSD",'raw Data'!$G:$G))/(36500*J209)))</f>
        <v/>
      </c>
      <c r="T209" s="202" t="str">
        <f>IF(G209&lt;&gt;"","",IF(F209="","",-36500*J209*F209/(SUMIF('raw Data'!$A:$A,"RESINV1USD",'raw Data'!$G:$G)+SUMIF('raw Data'!$A:$A,"RESSWAPORUSD",'raw Data'!$G:$G))))</f>
        <v/>
      </c>
      <c r="U209" s="125">
        <f>SUMIF('raw Data'!$E:$E,A209,'raw Data'!$N:$N)</f>
        <v>0</v>
      </c>
      <c r="V209" s="126">
        <v>39583</v>
      </c>
      <c r="W209" s="127">
        <v>39583</v>
      </c>
      <c r="X209" s="127">
        <v>39767</v>
      </c>
      <c r="Y209" s="127">
        <v>43054</v>
      </c>
      <c r="Z209" s="127">
        <v>43235</v>
      </c>
      <c r="AA209" s="128">
        <v>3.875E-2</v>
      </c>
      <c r="AB209" s="129">
        <v>34078000000</v>
      </c>
      <c r="AC209" s="130" t="str">
        <f ca="1">IF(LEFT(B209,1)="B",_xll.INSTANCE.TBILL(A209,V209,Z209,TODAY()),_xll.INSTANCE.TNOTE(A209,V209,W209,X209,Y209,Z209,AA209,TODAY()))</f>
        <v>US912828HZ65#0003</v>
      </c>
    </row>
    <row r="210" spans="1:29" x14ac:dyDescent="0.35">
      <c r="A210" s="131" t="s">
        <v>528</v>
      </c>
      <c r="B210" s="115" t="s">
        <v>1186</v>
      </c>
      <c r="C210" s="364"/>
      <c r="D210" s="116"/>
      <c r="E210" s="117"/>
      <c r="F210" s="118"/>
      <c r="G210" s="369"/>
      <c r="H210" s="120">
        <v>9.0609139999999998E-3</v>
      </c>
      <c r="I210" s="121">
        <f ca="1">_xll.INSTRUMENT.PRIX(AC210,D210,H210,cTreasuries)</f>
        <v>108.45022656673058</v>
      </c>
      <c r="J210" s="122">
        <f ca="1">_xll.INSTRUMENT.DV01(A210,,,I210,cContinuous,I210)</f>
        <v>-6.0459983800855301E-2</v>
      </c>
      <c r="K210" s="123">
        <f ca="1">_xll.INSTRUMENT.CONVEXITE(A210,,,I210,cContinuous,I210)</f>
        <v>32.209816846453165</v>
      </c>
      <c r="L210" s="123">
        <f ca="1">_xll.INSTRUMENT.Z.SPREAD(A210,swapCurve,I210,cContinuous,D210)</f>
        <v>-19.953684455209331</v>
      </c>
      <c r="M210" s="123" t="e">
        <f ca="1">_xll.INSTRUMENT.Z.SPREAD(A210,ustCurve,I210,cContinuous,D210)</f>
        <v>#VALUE!</v>
      </c>
      <c r="N210" s="123">
        <f ca="1">_xll.INSTRUMENT.Z.SPREAD(A210,oisCurve,I210,cContinuous,D210)</f>
        <v>13.171051649980706</v>
      </c>
      <c r="O210" s="124" t="e">
        <f ca="1">1/_xll.CALENDRIER.FRAC.ANNEE(_xll.INSTRUMENT.DATE.REGLEMENT($AC210,,),_xll.INSTRUMENT.DATE.REGLEMENT($AC210,_xll.CALENDRIER.GAP.FINANCE(TODAY(),"1M","AUD","Unadjusted"),),"ACT/365")*(_xll.INSTRUMENT.ROLL.DOWN($A210,oisCurve,_xll.CALENDRIER.GAP.FINANCE(TODAY(),"1M","AUD","Unadjusted",TRUE),$N210)+100*$AA210*_xll.CALENDRIER.FRAC.ANNEE(_xll.INSTRUMENT.DATE.REGLEMENT($AC210,,),_xll.INSTRUMENT.DATE.REGLEMENT($AC210,_xll.CALENDRIER.GAP.FINANCE(TODAY(),"1M","AUD","Unadjusted"),),"ACT/365")-$I210)/$I210</f>
        <v>#NAME?</v>
      </c>
      <c r="P210" s="124" t="e">
        <f ca="1">1/_xll.CALENDRIER.FRAC.ANNEE(_xll.INSTRUMENT.DATE.REGLEMENT($AC210,,),_xll.INSTRUMENT.DATE.REGLEMENT($AC210,_xll.CALENDRIER.GAP.FINANCE(TODAY(),"3M","AUD","Unadjusted"),),"ACT/365")*(_xll.INSTRUMENT.ROLL.DOWN($A210,oisCurve,_xll.CALENDRIER.GAP.FINANCE(TODAY(),"3M","AUD","Unadjusted",TRUE),$N210)+100*$AA210*_xll.CALENDRIER.FRAC.ANNEE(_xll.INSTRUMENT.DATE.REGLEMENT($AC210,,),_xll.INSTRUMENT.DATE.REGLEMENT($AC210,_xll.CALENDRIER.GAP.FINANCE(TODAY(),"3M","AUD","Unadjusted"),),"ACT/365")-$I210)/$I210</f>
        <v>#NAME?</v>
      </c>
      <c r="Q210" s="371" t="e">
        <f ca="1">-(O210-curve!$T$3)/J210</f>
        <v>#NAME?</v>
      </c>
      <c r="R210" s="373">
        <f t="shared" ca="1" si="4"/>
        <v>-532.74603831431239</v>
      </c>
      <c r="S210" s="191" t="str">
        <f>IF(F210&lt;&gt;"","",IF(G210="","",-G210*(SUMIF('raw Data'!$A:$A,"RESINV1USD",'raw Data'!$G:$G)+SUMIF('raw Data'!$A:$A,"RESSWAPORUSD",'raw Data'!$G:$G))/(36500*J210)))</f>
        <v/>
      </c>
      <c r="T210" s="202" t="str">
        <f>IF(G210&lt;&gt;"","",IF(F210="","",-36500*J210*F210/(SUMIF('raw Data'!$A:$A,"RESINV1USD",'raw Data'!$G:$G)+SUMIF('raw Data'!$A:$A,"RESSWAPORUSD",'raw Data'!$G:$G))))</f>
        <v/>
      </c>
      <c r="U210" s="125">
        <f>SUMIF('raw Data'!$E:$E,A210,'raw Data'!$N:$N)</f>
        <v>0</v>
      </c>
      <c r="V210" s="126">
        <v>40694</v>
      </c>
      <c r="W210" s="127">
        <v>40694</v>
      </c>
      <c r="X210" s="127">
        <v>40877</v>
      </c>
      <c r="Y210" s="127">
        <v>43069</v>
      </c>
      <c r="Z210" s="127">
        <v>43251</v>
      </c>
      <c r="AA210" s="128">
        <v>2.375E-2</v>
      </c>
      <c r="AB210" s="129">
        <v>31441000000.000004</v>
      </c>
      <c r="AC210" s="130" t="str">
        <f ca="1">IF(LEFT(B210,1)="B",_xll.INSTANCE.TBILL(A210,V210,Z210,TODAY()),_xll.INSTANCE.TNOTE(A210,V210,W210,X210,Y210,Z210,AA210,TODAY()))</f>
        <v>US912828QQ65#0003</v>
      </c>
    </row>
    <row r="211" spans="1:29" x14ac:dyDescent="0.35">
      <c r="A211" s="131" t="s">
        <v>529</v>
      </c>
      <c r="B211" s="115" t="s">
        <v>1187</v>
      </c>
      <c r="C211" s="364"/>
      <c r="D211" s="116"/>
      <c r="E211" s="117"/>
      <c r="F211" s="118"/>
      <c r="G211" s="369"/>
      <c r="H211" s="120">
        <v>9.145803000000001E-3</v>
      </c>
      <c r="I211" s="121">
        <f ca="1">_xll.INSTRUMENT.PRIX(AC211,D211,H211,cTreasuries)</f>
        <v>108.51235798600072</v>
      </c>
      <c r="J211" s="122">
        <f ca="1">_xll.INSTRUMENT.DV01(A211,,,I211,cContinuous,I211)</f>
        <v>-6.1279099815949888E-2</v>
      </c>
      <c r="K211" s="123">
        <f ca="1">_xll.INSTRUMENT.CONVEXITE(A211,,,I211,cContinuous,I211)</f>
        <v>32.83104722188002</v>
      </c>
      <c r="L211" s="123">
        <f ca="1">_xll.INSTRUMENT.Z.SPREAD(A211,swapCurve,I211,cContinuous,D211)</f>
        <v>-20.8494208239002</v>
      </c>
      <c r="M211" s="123" t="e">
        <f ca="1">_xll.INSTRUMENT.Z.SPREAD(A211,ustCurve,I211,cContinuous,D211)</f>
        <v>#VALUE!</v>
      </c>
      <c r="N211" s="123">
        <f ca="1">_xll.INSTRUMENT.Z.SPREAD(A211,oisCurve,I211,cContinuous,D211)</f>
        <v>12.303692794162517</v>
      </c>
      <c r="O211" s="124" t="e">
        <f ca="1">1/_xll.CALENDRIER.FRAC.ANNEE(_xll.INSTRUMENT.DATE.REGLEMENT($AC211,,),_xll.INSTRUMENT.DATE.REGLEMENT($AC211,_xll.CALENDRIER.GAP.FINANCE(TODAY(),"1M","AUD","Unadjusted"),),"ACT/365")*(_xll.INSTRUMENT.ROLL.DOWN($A211,oisCurve,_xll.CALENDRIER.GAP.FINANCE(TODAY(),"1M","AUD","Unadjusted",TRUE),$N211)+100*$AA211*_xll.CALENDRIER.FRAC.ANNEE(_xll.INSTRUMENT.DATE.REGLEMENT($AC211,,),_xll.INSTRUMENT.DATE.REGLEMENT($AC211,_xll.CALENDRIER.GAP.FINANCE(TODAY(),"1M","AUD","Unadjusted"),),"ACT/365")-$I211)/$I211</f>
        <v>#NAME?</v>
      </c>
      <c r="P211" s="124" t="e">
        <f ca="1">1/_xll.CALENDRIER.FRAC.ANNEE(_xll.INSTRUMENT.DATE.REGLEMENT($AC211,,),_xll.INSTRUMENT.DATE.REGLEMENT($AC211,_xll.CALENDRIER.GAP.FINANCE(TODAY(),"3M","AUD","Unadjusted"),),"ACT/365")*(_xll.INSTRUMENT.ROLL.DOWN($A211,oisCurve,_xll.CALENDRIER.GAP.FINANCE(TODAY(),"3M","AUD","Unadjusted",TRUE),$N211)+100*$AA211*_xll.CALENDRIER.FRAC.ANNEE(_xll.INSTRUMENT.DATE.REGLEMENT($AC211,,),_xll.INSTRUMENT.DATE.REGLEMENT($AC211,_xll.CALENDRIER.GAP.FINANCE(TODAY(),"3M","AUD","Unadjusted"),),"ACT/365")-$I211)/$I211</f>
        <v>#NAME?</v>
      </c>
      <c r="Q211" s="371" t="e">
        <f ca="1">-(O211-curve!$T$3)/J211</f>
        <v>#NAME?</v>
      </c>
      <c r="R211" s="373">
        <f t="shared" ca="1" si="4"/>
        <v>-535.76255722566384</v>
      </c>
      <c r="S211" s="191" t="str">
        <f>IF(F211&lt;&gt;"","",IF(G211="","",-G211*(SUMIF('raw Data'!$A:$A,"RESINV1USD",'raw Data'!$G:$G)+SUMIF('raw Data'!$A:$A,"RESSWAPORUSD",'raw Data'!$G:$G))/(36500*J211)))</f>
        <v/>
      </c>
      <c r="T211" s="202" t="str">
        <f>IF(G211&lt;&gt;"","",IF(F211="","",-36500*J211*F211/(SUMIF('raw Data'!$A:$A,"RESINV1USD",'raw Data'!$G:$G)+SUMIF('raw Data'!$A:$A,"RESSWAPORUSD",'raw Data'!$G:$G))))</f>
        <v/>
      </c>
      <c r="U211" s="125">
        <f>SUMIF('raw Data'!$E:$E,A211,'raw Data'!$N:$N)</f>
        <v>0</v>
      </c>
      <c r="V211" s="126">
        <v>40724</v>
      </c>
      <c r="W211" s="127">
        <v>40724</v>
      </c>
      <c r="X211" s="127">
        <v>40908</v>
      </c>
      <c r="Y211" s="127">
        <v>43100</v>
      </c>
      <c r="Z211" s="127">
        <v>43281</v>
      </c>
      <c r="AA211" s="128">
        <v>2.375E-2</v>
      </c>
      <c r="AB211" s="129">
        <v>29934000000</v>
      </c>
      <c r="AC211" s="130" t="str">
        <f ca="1">IF(LEFT(B211,1)="B",_xll.INSTANCE.TBILL(A211,V211,Z211,TODAY()),_xll.INSTANCE.TNOTE(A211,V211,W211,X211,Y211,Z211,AA211,TODAY()))</f>
        <v>US912828QT05#0003</v>
      </c>
    </row>
    <row r="212" spans="1:29" x14ac:dyDescent="0.35">
      <c r="A212" s="131" t="s">
        <v>530</v>
      </c>
      <c r="B212" s="115" t="s">
        <v>1188</v>
      </c>
      <c r="C212" s="364"/>
      <c r="D212" s="116"/>
      <c r="E212" s="117"/>
      <c r="F212" s="118"/>
      <c r="G212" s="369"/>
      <c r="H212" s="120">
        <v>9.3435189999999998E-3</v>
      </c>
      <c r="I212" s="121">
        <f ca="1">_xll.INSTRUMENT.PRIX(AC212,D212,H212,cTreasuries)</f>
        <v>107.76916655855126</v>
      </c>
      <c r="J212" s="122">
        <f ca="1">_xll.INSTRUMENT.DV01(A212,,,I212,cContinuous,I212)</f>
        <v>-6.1848380738338773E-2</v>
      </c>
      <c r="K212" s="123">
        <f ca="1">_xll.INSTRUMENT.CONVEXITE(A212,,,I212,cContinuous,I212)</f>
        <v>33.87852024873559</v>
      </c>
      <c r="L212" s="123">
        <f ca="1">_xll.INSTRUMENT.Z.SPREAD(A212,swapCurve,I212,cContinuous,D212)</f>
        <v>-20.431463720039755</v>
      </c>
      <c r="M212" s="123" t="e">
        <f ca="1">_xll.INSTRUMENT.Z.SPREAD(A212,ustCurve,I212,cContinuous,D212)</f>
        <v>#VALUE!</v>
      </c>
      <c r="N212" s="123">
        <f ca="1">_xll.INSTRUMENT.Z.SPREAD(A212,oisCurve,I212,cContinuous,D212)</f>
        <v>12.776254906178563</v>
      </c>
      <c r="O212" s="124" t="e">
        <f ca="1">1/_xll.CALENDRIER.FRAC.ANNEE(_xll.INSTRUMENT.DATE.REGLEMENT($AC212,,),_xll.INSTRUMENT.DATE.REGLEMENT($AC212,_xll.CALENDRIER.GAP.FINANCE(TODAY(),"1M","AUD","Unadjusted"),),"ACT/365")*(_xll.INSTRUMENT.ROLL.DOWN($A212,oisCurve,_xll.CALENDRIER.GAP.FINANCE(TODAY(),"1M","AUD","Unadjusted",TRUE),$N212)+100*$AA212*_xll.CALENDRIER.FRAC.ANNEE(_xll.INSTRUMENT.DATE.REGLEMENT($AC212,,),_xll.INSTRUMENT.DATE.REGLEMENT($AC212,_xll.CALENDRIER.GAP.FINANCE(TODAY(),"1M","AUD","Unadjusted"),),"ACT/365")-$I212)/$I212</f>
        <v>#NAME?</v>
      </c>
      <c r="P212" s="124" t="e">
        <f ca="1">1/_xll.CALENDRIER.FRAC.ANNEE(_xll.INSTRUMENT.DATE.REGLEMENT($AC212,,),_xll.INSTRUMENT.DATE.REGLEMENT($AC212,_xll.CALENDRIER.GAP.FINANCE(TODAY(),"3M","AUD","Unadjusted"),),"ACT/365")*(_xll.INSTRUMENT.ROLL.DOWN($A212,oisCurve,_xll.CALENDRIER.GAP.FINANCE(TODAY(),"3M","AUD","Unadjusted",TRUE),$N212)+100*$AA212*_xll.CALENDRIER.FRAC.ANNEE(_xll.INSTRUMENT.DATE.REGLEMENT($AC212,,),_xll.INSTRUMENT.DATE.REGLEMENT($AC212,_xll.CALENDRIER.GAP.FINANCE(TODAY(),"3M","AUD","Unadjusted"),),"ACT/365")-$I212)/$I212</f>
        <v>#NAME?</v>
      </c>
      <c r="Q212" s="371" t="e">
        <f ca="1">-(O212-curve!$T$3)/J212</f>
        <v>#NAME?</v>
      </c>
      <c r="R212" s="373">
        <f t="shared" ca="1" si="4"/>
        <v>-547.76729551037158</v>
      </c>
      <c r="S212" s="191" t="str">
        <f>IF(F212&lt;&gt;"","",IF(G212="","",-G212*(SUMIF('raw Data'!$A:$A,"RESINV1USD",'raw Data'!$G:$G)+SUMIF('raw Data'!$A:$A,"RESSWAPORUSD",'raw Data'!$G:$G))/(36500*J212)))</f>
        <v/>
      </c>
      <c r="T212" s="202" t="str">
        <f>IF(G212&lt;&gt;"","",IF(F212="","",-36500*J212*F212/(SUMIF('raw Data'!$A:$A,"RESINV1USD",'raw Data'!$G:$G)+SUMIF('raw Data'!$A:$A,"RESSWAPORUSD",'raw Data'!$G:$G))))</f>
        <v/>
      </c>
      <c r="U212" s="125">
        <f>SUMIF('raw Data'!$E:$E,A212,'raw Data'!$N:$N)</f>
        <v>0</v>
      </c>
      <c r="V212" s="126">
        <v>40756</v>
      </c>
      <c r="W212" s="127">
        <v>40755</v>
      </c>
      <c r="X212" s="127">
        <v>40939</v>
      </c>
      <c r="Y212" s="127">
        <v>43131</v>
      </c>
      <c r="Z212" s="127">
        <v>43312</v>
      </c>
      <c r="AA212" s="128">
        <v>2.2499999999999999E-2</v>
      </c>
      <c r="AB212" s="129">
        <v>29864000000</v>
      </c>
      <c r="AC212" s="130" t="str">
        <f ca="1">IF(LEFT(B212,1)="B",_xll.INSTANCE.TBILL(A212,V212,Z212,TODAY()),_xll.INSTANCE.TNOTE(A212,V212,W212,X212,Y212,Z212,AA212,TODAY()))</f>
        <v>US912828QY99#0003</v>
      </c>
    </row>
    <row r="213" spans="1:29" x14ac:dyDescent="0.35">
      <c r="A213" s="131" t="s">
        <v>531</v>
      </c>
      <c r="B213" s="115" t="s">
        <v>1189</v>
      </c>
      <c r="C213" s="364"/>
      <c r="D213" s="116"/>
      <c r="E213" s="117"/>
      <c r="F213" s="118"/>
      <c r="G213" s="369"/>
      <c r="H213" s="120">
        <v>8.950075E-3</v>
      </c>
      <c r="I213" s="121">
        <f ca="1">_xll.INSTRUMENT.PRIX(AC213,D213,H213,cTreasuries)</f>
        <v>118.47839687431835</v>
      </c>
      <c r="J213" s="122">
        <f ca="1">_xll.INSTRUMENT.DV01(A213,,,I213,cContinuous,I213)</f>
        <v>-6.5844985291888786E-2</v>
      </c>
      <c r="K213" s="123">
        <f ca="1">_xll.INSTRUMENT.CONVEXITE(A213,,,I213,cContinuous,I213)</f>
        <v>32.393353340857011</v>
      </c>
      <c r="L213" s="123">
        <f ca="1">_xll.INSTRUMENT.Z.SPREAD(A213,swapCurve,I213,cContinuous,D213)</f>
        <v>-23.578010850152232</v>
      </c>
      <c r="M213" s="123" t="e">
        <f ca="1">_xll.INSTRUMENT.Z.SPREAD(A213,ustCurve,I213,cContinuous,D213)</f>
        <v>#VALUE!</v>
      </c>
      <c r="N213" s="123">
        <f ca="1">_xll.INSTRUMENT.Z.SPREAD(A213,oisCurve,I213,cContinuous,D213)</f>
        <v>9.6957493441899647</v>
      </c>
      <c r="O213" s="124" t="e">
        <f ca="1">1/_xll.CALENDRIER.FRAC.ANNEE(_xll.INSTRUMENT.DATE.REGLEMENT($AC213,,),_xll.INSTRUMENT.DATE.REGLEMENT($AC213,_xll.CALENDRIER.GAP.FINANCE(TODAY(),"1M","AUD","Unadjusted"),),"ACT/365")*(_xll.INSTRUMENT.ROLL.DOWN($A213,oisCurve,_xll.CALENDRIER.GAP.FINANCE(TODAY(),"1M","AUD","Unadjusted",TRUE),$N213)+100*$AA213*_xll.CALENDRIER.FRAC.ANNEE(_xll.INSTRUMENT.DATE.REGLEMENT($AC213,,),_xll.INSTRUMENT.DATE.REGLEMENT($AC213,_xll.CALENDRIER.GAP.FINANCE(TODAY(),"1M","AUD","Unadjusted"),),"ACT/365")-$I213)/$I213</f>
        <v>#NAME?</v>
      </c>
      <c r="P213" s="124" t="e">
        <f ca="1">1/_xll.CALENDRIER.FRAC.ANNEE(_xll.INSTRUMENT.DATE.REGLEMENT($AC213,,),_xll.INSTRUMENT.DATE.REGLEMENT($AC213,_xll.CALENDRIER.GAP.FINANCE(TODAY(),"3M","AUD","Unadjusted"),),"ACT/365")*(_xll.INSTRUMENT.ROLL.DOWN($A213,oisCurve,_xll.CALENDRIER.GAP.FINANCE(TODAY(),"3M","AUD","Unadjusted",TRUE),$N213)+100*$AA213*_xll.CALENDRIER.FRAC.ANNEE(_xll.INSTRUMENT.DATE.REGLEMENT($AC213,,),_xll.INSTRUMENT.DATE.REGLEMENT($AC213,_xll.CALENDRIER.GAP.FINANCE(TODAY(),"3M","AUD","Unadjusted"),),"ACT/365")-$I213)/$I213</f>
        <v>#NAME?</v>
      </c>
      <c r="Q213" s="371" t="e">
        <f ca="1">-(O213-curve!$T$3)/J213</f>
        <v>#NAME?</v>
      </c>
      <c r="R213" s="373">
        <f t="shared" ca="1" si="4"/>
        <v>-491.96386326549055</v>
      </c>
      <c r="S213" s="191" t="str">
        <f>IF(F213&lt;&gt;"","",IF(G213="","",-G213*(SUMIF('raw Data'!$A:$A,"RESINV1USD",'raw Data'!$G:$G)+SUMIF('raw Data'!$A:$A,"RESSWAPORUSD",'raw Data'!$G:$G))/(36500*J213)))</f>
        <v/>
      </c>
      <c r="T213" s="202" t="str">
        <f>IF(G213&lt;&gt;"","",IF(F213="","",-36500*J213*F213/(SUMIF('raw Data'!$A:$A,"RESINV1USD",'raw Data'!$G:$G)+SUMIF('raw Data'!$A:$A,"RESSWAPORUSD",'raw Data'!$G:$G))))</f>
        <v/>
      </c>
      <c r="U213" s="125">
        <f>SUMIF('raw Data'!$E:$E,A213,'raw Data'!$N:$N)</f>
        <v>0</v>
      </c>
      <c r="V213" s="126">
        <v>39675</v>
      </c>
      <c r="W213" s="127">
        <v>39675</v>
      </c>
      <c r="X213" s="127">
        <v>39859</v>
      </c>
      <c r="Y213" s="127">
        <v>43146</v>
      </c>
      <c r="Z213" s="127">
        <v>43327</v>
      </c>
      <c r="AA213" s="128">
        <v>0.04</v>
      </c>
      <c r="AB213" s="129">
        <v>36803000000</v>
      </c>
      <c r="AC213" s="130" t="str">
        <f ca="1">IF(LEFT(B213,1)="B",_xll.INSTANCE.TBILL(A213,V213,Z213,TODAY()),_xll.INSTANCE.TNOTE(A213,V213,W213,X213,Y213,Z213,AA213,TODAY()))</f>
        <v>US912828JH40#0003</v>
      </c>
    </row>
    <row r="214" spans="1:29" x14ac:dyDescent="0.35">
      <c r="A214" s="131" t="s">
        <v>532</v>
      </c>
      <c r="B214" s="115" t="s">
        <v>1190</v>
      </c>
      <c r="C214" s="364"/>
      <c r="D214" s="116"/>
      <c r="E214" s="117"/>
      <c r="F214" s="118"/>
      <c r="G214" s="369"/>
      <c r="H214" s="120">
        <v>9.5051670000000001E-3</v>
      </c>
      <c r="I214" s="121">
        <f ca="1">_xll.INSTRUMENT.PRIX(AC214,D214,H214,cTreasuries)</f>
        <v>103.28526540716027</v>
      </c>
      <c r="J214" s="122">
        <f ca="1">_xll.INSTRUMENT.DV01(A214,,,I214,cContinuous,I214)</f>
        <v>-6.1171959604444638E-2</v>
      </c>
      <c r="K214" s="123">
        <f ca="1">_xll.INSTRUMENT.CONVEXITE(A214,,,I214,cContinuous,I214)</f>
        <v>35.82786650260163</v>
      </c>
      <c r="L214" s="123">
        <f ca="1">_xll.INSTRUMENT.Z.SPREAD(A214,swapCurve,I214,cContinuous,D214)</f>
        <v>-21.215048914948994</v>
      </c>
      <c r="M214" s="123" t="e">
        <f ca="1">_xll.INSTRUMENT.Z.SPREAD(A214,ustCurve,I214,cContinuous,D214)</f>
        <v>#VALUE!</v>
      </c>
      <c r="N214" s="123">
        <f ca="1">_xll.INSTRUMENT.Z.SPREAD(A214,oisCurve,I214,cContinuous,D214)</f>
        <v>12.075600121682163</v>
      </c>
      <c r="O214" s="124" t="e">
        <f ca="1">1/_xll.CALENDRIER.FRAC.ANNEE(_xll.INSTRUMENT.DATE.REGLEMENT($AC214,,),_xll.INSTRUMENT.DATE.REGLEMENT($AC214,_xll.CALENDRIER.GAP.FINANCE(TODAY(),"1M","AUD","Unadjusted"),),"ACT/365")*(_xll.INSTRUMENT.ROLL.DOWN($A214,oisCurve,_xll.CALENDRIER.GAP.FINANCE(TODAY(),"1M","AUD","Unadjusted",TRUE),$N214)+100*$AA214*_xll.CALENDRIER.FRAC.ANNEE(_xll.INSTRUMENT.DATE.REGLEMENT($AC214,,),_xll.INSTRUMENT.DATE.REGLEMENT($AC214,_xll.CALENDRIER.GAP.FINANCE(TODAY(),"1M","AUD","Unadjusted"),),"ACT/365")-$I214)/$I214</f>
        <v>#NAME?</v>
      </c>
      <c r="P214" s="124" t="e">
        <f ca="1">1/_xll.CALENDRIER.FRAC.ANNEE(_xll.INSTRUMENT.DATE.REGLEMENT($AC214,,),_xll.INSTRUMENT.DATE.REGLEMENT($AC214,_xll.CALENDRIER.GAP.FINANCE(TODAY(),"3M","AUD","Unadjusted"),),"ACT/365")*(_xll.INSTRUMENT.ROLL.DOWN($A214,oisCurve,_xll.CALENDRIER.GAP.FINANCE(TODAY(),"3M","AUD","Unadjusted",TRUE),$N214)+100*$AA214*_xll.CALENDRIER.FRAC.ANNEE(_xll.INSTRUMENT.DATE.REGLEMENT($AC214,,),_xll.INSTRUMENT.DATE.REGLEMENT($AC214,_xll.CALENDRIER.GAP.FINANCE(TODAY(),"3M","AUD","Unadjusted"),),"ACT/365")-$I214)/$I214</f>
        <v>#NAME?</v>
      </c>
      <c r="Q214" s="371" t="e">
        <f ca="1">-(O214-curve!$T$3)/J214</f>
        <v>#NAME?</v>
      </c>
      <c r="R214" s="373">
        <f t="shared" ca="1" si="4"/>
        <v>-585.69100506628934</v>
      </c>
      <c r="S214" s="191" t="str">
        <f>IF(F214&lt;&gt;"","",IF(G214="","",-G214*(SUMIF('raw Data'!$A:$A,"RESINV1USD",'raw Data'!$G:$G)+SUMIF('raw Data'!$A:$A,"RESSWAPORUSD",'raw Data'!$G:$G))/(36500*J214)))</f>
        <v/>
      </c>
      <c r="T214" s="202" t="str">
        <f>IF(G214&lt;&gt;"","",IF(F214="","",-36500*J214*F214/(SUMIF('raw Data'!$A:$A,"RESINV1USD",'raw Data'!$G:$G)+SUMIF('raw Data'!$A:$A,"RESSWAPORUSD",'raw Data'!$G:$G))))</f>
        <v/>
      </c>
      <c r="U214" s="125">
        <f>SUMIF('raw Data'!$E:$E,A214,'raw Data'!$N:$N)</f>
        <v>0</v>
      </c>
      <c r="V214" s="126">
        <v>40786</v>
      </c>
      <c r="W214" s="127">
        <v>40786</v>
      </c>
      <c r="X214" s="127">
        <v>40968</v>
      </c>
      <c r="Y214" s="127">
        <v>43159</v>
      </c>
      <c r="Z214" s="127">
        <v>43343</v>
      </c>
      <c r="AA214" s="128">
        <v>1.4999999999999999E-2</v>
      </c>
      <c r="AB214" s="129">
        <v>29887000000.000004</v>
      </c>
      <c r="AC214" s="130" t="str">
        <f ca="1">IF(LEFT(B214,1)="B",_xll.INSTANCE.TBILL(A214,V214,Z214,TODAY()),_xll.INSTANCE.TNOTE(A214,V214,W214,X214,Y214,Z214,AA214,TODAY()))</f>
        <v>US912828RE27#0003</v>
      </c>
    </row>
    <row r="215" spans="1:29" x14ac:dyDescent="0.35">
      <c r="A215" s="131" t="s">
        <v>533</v>
      </c>
      <c r="B215" s="115" t="s">
        <v>1191</v>
      </c>
      <c r="C215" s="364"/>
      <c r="D215" s="116"/>
      <c r="E215" s="117"/>
      <c r="F215" s="118"/>
      <c r="G215" s="369"/>
      <c r="H215" s="120">
        <v>9.6921520000000008E-3</v>
      </c>
      <c r="I215" s="121">
        <f ca="1">_xll.INSTRUMENT.PRIX(AC215,D215,H215,cTreasuries)</f>
        <v>102.45665179680061</v>
      </c>
      <c r="J215" s="122">
        <f ca="1">_xll.INSTRUMENT.DV01(A215,,,I215,cContinuous,I215)</f>
        <v>-6.1653233409028486E-2</v>
      </c>
      <c r="K215" s="123">
        <f ca="1">_xll.INSTRUMENT.CONVEXITE(A215,,,I215,cContinuous,I215)</f>
        <v>37.010301038330262</v>
      </c>
      <c r="L215" s="123">
        <f ca="1">_xll.INSTRUMENT.Z.SPREAD(A215,swapCurve,I215,cContinuous,D215)</f>
        <v>-21.227788978602266</v>
      </c>
      <c r="M215" s="123" t="e">
        <f ca="1">_xll.INSTRUMENT.Z.SPREAD(A215,ustCurve,I215,cContinuous,D215)</f>
        <v>#VALUE!</v>
      </c>
      <c r="N215" s="123">
        <f ca="1">_xll.INSTRUMENT.Z.SPREAD(A215,oisCurve,I215,cContinuous,D215)</f>
        <v>12.183386426922535</v>
      </c>
      <c r="O215" s="124" t="e">
        <f ca="1">1/_xll.CALENDRIER.FRAC.ANNEE(_xll.INSTRUMENT.DATE.REGLEMENT($AC215,,),_xll.INSTRUMENT.DATE.REGLEMENT($AC215,_xll.CALENDRIER.GAP.FINANCE(TODAY(),"1M","AUD","Unadjusted"),),"ACT/365")*(_xll.INSTRUMENT.ROLL.DOWN($A215,oisCurve,_xll.CALENDRIER.GAP.FINANCE(TODAY(),"1M","AUD","Unadjusted",TRUE),$N215)+100*$AA215*_xll.CALENDRIER.FRAC.ANNEE(_xll.INSTRUMENT.DATE.REGLEMENT($AC215,,),_xll.INSTRUMENT.DATE.REGLEMENT($AC215,_xll.CALENDRIER.GAP.FINANCE(TODAY(),"1M","AUD","Unadjusted"),),"ACT/365")-$I215)/$I215</f>
        <v>#NAME?</v>
      </c>
      <c r="P215" s="124" t="e">
        <f ca="1">1/_xll.CALENDRIER.FRAC.ANNEE(_xll.INSTRUMENT.DATE.REGLEMENT($AC215,,),_xll.INSTRUMENT.DATE.REGLEMENT($AC215,_xll.CALENDRIER.GAP.FINANCE(TODAY(),"3M","AUD","Unadjusted"),),"ACT/365")*(_xll.INSTRUMENT.ROLL.DOWN($A215,oisCurve,_xll.CALENDRIER.GAP.FINANCE(TODAY(),"3M","AUD","Unadjusted",TRUE),$N215)+100*$AA215*_xll.CALENDRIER.FRAC.ANNEE(_xll.INSTRUMENT.DATE.REGLEMENT($AC215,,),_xll.INSTRUMENT.DATE.REGLEMENT($AC215,_xll.CALENDRIER.GAP.FINANCE(TODAY(),"3M","AUD","Unadjusted"),),"ACT/365")-$I215)/$I215</f>
        <v>#NAME?</v>
      </c>
      <c r="Q215" s="371" t="e">
        <f ca="1">-(O215-curve!$T$3)/J215</f>
        <v>#NAME?</v>
      </c>
      <c r="R215" s="373">
        <f t="shared" ca="1" si="4"/>
        <v>-600.29781070509887</v>
      </c>
      <c r="S215" s="191" t="str">
        <f>IF(F215&lt;&gt;"","",IF(G215="","",-G215*(SUMIF('raw Data'!$A:$A,"RESINV1USD",'raw Data'!$G:$G)+SUMIF('raw Data'!$A:$A,"RESSWAPORUSD",'raw Data'!$G:$G))/(36500*J215)))</f>
        <v/>
      </c>
      <c r="T215" s="202" t="str">
        <f>IF(G215&lt;&gt;"","",IF(F215="","",-36500*J215*F215/(SUMIF('raw Data'!$A:$A,"RESINV1USD",'raw Data'!$G:$G)+SUMIF('raw Data'!$A:$A,"RESSWAPORUSD",'raw Data'!$G:$G))))</f>
        <v/>
      </c>
      <c r="U215" s="125">
        <f>SUMIF('raw Data'!$E:$E,A215,'raw Data'!$N:$N)</f>
        <v>0</v>
      </c>
      <c r="V215" s="126">
        <v>40816</v>
      </c>
      <c r="W215" s="127">
        <v>40816</v>
      </c>
      <c r="X215" s="127">
        <v>40999</v>
      </c>
      <c r="Y215" s="127">
        <v>43190</v>
      </c>
      <c r="Z215" s="127">
        <v>43373</v>
      </c>
      <c r="AA215" s="128">
        <v>1.375E-2</v>
      </c>
      <c r="AB215" s="129">
        <v>29903000000</v>
      </c>
      <c r="AC215" s="130" t="str">
        <f ca="1">IF(LEFT(B215,1)="B",_xll.INSTANCE.TBILL(A215,V215,Z215,TODAY()),_xll.INSTANCE.TNOTE(A215,V215,W215,X215,Y215,Z215,AA215,TODAY()))</f>
        <v>US912828RH57#0003</v>
      </c>
    </row>
    <row r="216" spans="1:29" x14ac:dyDescent="0.35">
      <c r="A216" s="131" t="s">
        <v>534</v>
      </c>
      <c r="B216" s="115" t="s">
        <v>1192</v>
      </c>
      <c r="C216" s="364"/>
      <c r="D216" s="116"/>
      <c r="E216" s="117"/>
      <c r="F216" s="118"/>
      <c r="G216" s="369"/>
      <c r="H216" s="120">
        <v>9.7915880000000004E-3</v>
      </c>
      <c r="I216" s="121">
        <f ca="1">_xll.INSTRUMENT.PRIX(AC216,D216,H216,cTreasuries)</f>
        <v>104.7230931055559</v>
      </c>
      <c r="J216" s="122">
        <f ca="1">_xll.INSTRUMENT.DV01(A216,,,I216,cContinuous,I216)</f>
        <v>-6.3214524428422778E-2</v>
      </c>
      <c r="K216" s="123">
        <f ca="1">_xll.INSTRUMENT.CONVEXITE(A216,,,I216,cContinuous,I216)</f>
        <v>37.47299287242754</v>
      </c>
      <c r="L216" s="123">
        <f ca="1">_xll.INSTRUMENT.Z.SPREAD(A216,swapCurve,I216,cContinuous,D216)</f>
        <v>-21.448394451704871</v>
      </c>
      <c r="M216" s="123" t="e">
        <f ca="1">_xll.INSTRUMENT.Z.SPREAD(A216,ustCurve,I216,cContinuous,D216)</f>
        <v>#VALUE!</v>
      </c>
      <c r="N216" s="123">
        <f ca="1">_xll.INSTRUMENT.Z.SPREAD(A216,oisCurve,I216,cContinuous,D216)</f>
        <v>12.098609503862386</v>
      </c>
      <c r="O216" s="124" t="e">
        <f ca="1">1/_xll.CALENDRIER.FRAC.ANNEE(_xll.INSTRUMENT.DATE.REGLEMENT($AC216,,),_xll.INSTRUMENT.DATE.REGLEMENT($AC216,_xll.CALENDRIER.GAP.FINANCE(TODAY(),"1M","AUD","Unadjusted"),),"ACT/365")*(_xll.INSTRUMENT.ROLL.DOWN($A216,oisCurve,_xll.CALENDRIER.GAP.FINANCE(TODAY(),"1M","AUD","Unadjusted",TRUE),$N216)+100*$AA216*_xll.CALENDRIER.FRAC.ANNEE(_xll.INSTRUMENT.DATE.REGLEMENT($AC216,,),_xll.INSTRUMENT.DATE.REGLEMENT($AC216,_xll.CALENDRIER.GAP.FINANCE(TODAY(),"1M","AUD","Unadjusted"),),"ACT/365")-$I216)/$I216</f>
        <v>#NAME?</v>
      </c>
      <c r="P216" s="124" t="e">
        <f ca="1">1/_xll.CALENDRIER.FRAC.ANNEE(_xll.INSTRUMENT.DATE.REGLEMENT($AC216,,),_xll.INSTRUMENT.DATE.REGLEMENT($AC216,_xll.CALENDRIER.GAP.FINANCE(TODAY(),"3M","AUD","Unadjusted"),),"ACT/365")*(_xll.INSTRUMENT.ROLL.DOWN($A216,oisCurve,_xll.CALENDRIER.GAP.FINANCE(TODAY(),"3M","AUD","Unadjusted",TRUE),$N216)+100*$AA216*_xll.CALENDRIER.FRAC.ANNEE(_xll.INSTRUMENT.DATE.REGLEMENT($AC216,,),_xll.INSTRUMENT.DATE.REGLEMENT($AC216,_xll.CALENDRIER.GAP.FINANCE(TODAY(),"3M","AUD","Unadjusted"),),"ACT/365")-$I216)/$I216</f>
        <v>#NAME?</v>
      </c>
      <c r="Q216" s="371" t="e">
        <f ca="1">-(O216-curve!$T$3)/J216</f>
        <v>#NAME?</v>
      </c>
      <c r="R216" s="373">
        <f t="shared" ca="1" si="4"/>
        <v>-592.79086904873998</v>
      </c>
      <c r="S216" s="191" t="str">
        <f>IF(F216&lt;&gt;"","",IF(G216="","",-G216*(SUMIF('raw Data'!$A:$A,"RESINV1USD",'raw Data'!$G:$G)+SUMIF('raw Data'!$A:$A,"RESSWAPORUSD",'raw Data'!$G:$G))/(36500*J216)))</f>
        <v/>
      </c>
      <c r="T216" s="202" t="str">
        <f>IF(G216&lt;&gt;"","",IF(F216="","",-36500*J216*F216/(SUMIF('raw Data'!$A:$A,"RESINV1USD",'raw Data'!$G:$G)+SUMIF('raw Data'!$A:$A,"RESSWAPORUSD",'raw Data'!$G:$G))))</f>
        <v/>
      </c>
      <c r="U216" s="125">
        <f>SUMIF('raw Data'!$E:$E,A216,'raw Data'!$N:$N)</f>
        <v>0</v>
      </c>
      <c r="V216" s="126">
        <v>40847</v>
      </c>
      <c r="W216" s="127">
        <v>40847</v>
      </c>
      <c r="X216" s="127">
        <v>41029</v>
      </c>
      <c r="Y216" s="127">
        <v>43220</v>
      </c>
      <c r="Z216" s="127">
        <v>43404</v>
      </c>
      <c r="AA216" s="128">
        <v>1.7500000000000002E-2</v>
      </c>
      <c r="AB216" s="129">
        <v>30103000000.000004</v>
      </c>
      <c r="AC216" s="130" t="str">
        <f ca="1">IF(LEFT(B216,1)="B",_xll.INSTANCE.TBILL(A216,V216,Z216,TODAY()),_xll.INSTANCE.TNOTE(A216,V216,W216,X216,Y216,Z216,AA216,TODAY()))</f>
        <v>US912828RP73#0003</v>
      </c>
    </row>
    <row r="217" spans="1:29" x14ac:dyDescent="0.35">
      <c r="A217" s="131" t="s">
        <v>535</v>
      </c>
      <c r="B217" s="115" t="s">
        <v>1193</v>
      </c>
      <c r="C217" s="364"/>
      <c r="D217" s="116"/>
      <c r="E217" s="117"/>
      <c r="F217" s="118"/>
      <c r="G217" s="369"/>
      <c r="H217" s="120">
        <v>9.4995200000000009E-3</v>
      </c>
      <c r="I217" s="121">
        <f ca="1">_xll.INSTRUMENT.PRIX(AC217,D217,H217,cTreasuries)</f>
        <v>117.28527299341269</v>
      </c>
      <c r="J217" s="122">
        <f ca="1">_xll.INSTRUMENT.DV01(A217,,,I217,cContinuous,I217)</f>
        <v>-6.7948057089805516E-2</v>
      </c>
      <c r="K217" s="123">
        <f ca="1">_xll.INSTRUMENT.CONVEXITE(A217,,,I217,cContinuous,I217)</f>
        <v>35.482131029701215</v>
      </c>
      <c r="L217" s="123">
        <f ca="1">_xll.INSTRUMENT.Z.SPREAD(A217,swapCurve,I217,cContinuous,D217)</f>
        <v>-23.14885032949336</v>
      </c>
      <c r="M217" s="123" t="e">
        <f ca="1">_xll.INSTRUMENT.Z.SPREAD(A217,ustCurve,I217,cContinuous,D217)</f>
        <v>#VALUE!</v>
      </c>
      <c r="N217" s="123">
        <f ca="1">_xll.INSTRUMENT.Z.SPREAD(A217,oisCurve,I217,cContinuous,D217)</f>
        <v>10.478845304256119</v>
      </c>
      <c r="O217" s="124" t="e">
        <f ca="1">1/_xll.CALENDRIER.FRAC.ANNEE(_xll.INSTRUMENT.DATE.REGLEMENT($AC217,,),_xll.INSTRUMENT.DATE.REGLEMENT($AC217,_xll.CALENDRIER.GAP.FINANCE(TODAY(),"1M","AUD","Unadjusted"),),"ACT/365")*(_xll.INSTRUMENT.ROLL.DOWN($A217,oisCurve,_xll.CALENDRIER.GAP.FINANCE(TODAY(),"1M","AUD","Unadjusted",TRUE),$N217)+100*$AA217*_xll.CALENDRIER.FRAC.ANNEE(_xll.INSTRUMENT.DATE.REGLEMENT($AC217,,),_xll.INSTRUMENT.DATE.REGLEMENT($AC217,_xll.CALENDRIER.GAP.FINANCE(TODAY(),"1M","AUD","Unadjusted"),),"ACT/365")-$I217)/$I217</f>
        <v>#NAME?</v>
      </c>
      <c r="P217" s="124" t="e">
        <f ca="1">1/_xll.CALENDRIER.FRAC.ANNEE(_xll.INSTRUMENT.DATE.REGLEMENT($AC217,,),_xll.INSTRUMENT.DATE.REGLEMENT($AC217,_xll.CALENDRIER.GAP.FINANCE(TODAY(),"3M","AUD","Unadjusted"),),"ACT/365")*(_xll.INSTRUMENT.ROLL.DOWN($A217,oisCurve,_xll.CALENDRIER.GAP.FINANCE(TODAY(),"3M","AUD","Unadjusted",TRUE),$N217)+100*$AA217*_xll.CALENDRIER.FRAC.ANNEE(_xll.INSTRUMENT.DATE.REGLEMENT($AC217,,),_xll.INSTRUMENT.DATE.REGLEMENT($AC217,_xll.CALENDRIER.GAP.FINANCE(TODAY(),"3M","AUD","Unadjusted"),),"ACT/365")-$I217)/$I217</f>
        <v>#NAME?</v>
      </c>
      <c r="Q217" s="371" t="e">
        <f ca="1">-(O217-curve!$T$3)/J217</f>
        <v>#NAME?</v>
      </c>
      <c r="R217" s="373">
        <f t="shared" ca="1" si="4"/>
        <v>-522.19493167855012</v>
      </c>
      <c r="S217" s="191" t="str">
        <f>IF(F217&lt;&gt;"","",IF(G217="","",-G217*(SUMIF('raw Data'!$A:$A,"RESINV1USD",'raw Data'!$G:$G)+SUMIF('raw Data'!$A:$A,"RESSWAPORUSD",'raw Data'!$G:$G))/(36500*J217)))</f>
        <v/>
      </c>
      <c r="T217" s="202" t="str">
        <f>IF(G217&lt;&gt;"","",IF(F217="","",-36500*J217*F217/(SUMIF('raw Data'!$A:$A,"RESINV1USD",'raw Data'!$G:$G)+SUMIF('raw Data'!$A:$A,"RESSWAPORUSD",'raw Data'!$G:$G))))</f>
        <v/>
      </c>
      <c r="U217" s="125">
        <f>SUMIF('raw Data'!$E:$E,A217,'raw Data'!$N:$N)</f>
        <v>0</v>
      </c>
      <c r="V217" s="126">
        <v>39769</v>
      </c>
      <c r="W217" s="127">
        <v>39767</v>
      </c>
      <c r="X217" s="127">
        <v>39948</v>
      </c>
      <c r="Y217" s="127">
        <v>43235</v>
      </c>
      <c r="Z217" s="127">
        <v>43419</v>
      </c>
      <c r="AA217" s="128">
        <v>3.7499999999999999E-2</v>
      </c>
      <c r="AB217" s="129">
        <v>57351000000</v>
      </c>
      <c r="AC217" s="130" t="str">
        <f ca="1">IF(LEFT(B217,1)="B",_xll.INSTANCE.TBILL(A217,V217,Z217,TODAY()),_xll.INSTANCE.TNOTE(A217,V217,W217,X217,Y217,Z217,AA217,TODAY()))</f>
        <v>US912828JR22#0003</v>
      </c>
    </row>
    <row r="218" spans="1:29" x14ac:dyDescent="0.35">
      <c r="A218" s="131" t="s">
        <v>536</v>
      </c>
      <c r="B218" s="115" t="s">
        <v>1194</v>
      </c>
      <c r="C218" s="364"/>
      <c r="D218" s="116"/>
      <c r="E218" s="117"/>
      <c r="F218" s="118"/>
      <c r="G218" s="369"/>
      <c r="H218" s="120">
        <v>9.0397080000000005E-3</v>
      </c>
      <c r="I218" s="121">
        <f ca="1">_xll.INSTRUMENT.PRIX(AC218,D218,H218,cTreasuries)</f>
        <v>150.06045552956431</v>
      </c>
      <c r="J218" s="122">
        <f ca="1">_xll.INSTRUMENT.DV01(A218,,,I218,cContinuous,I218)</f>
        <v>-7.9217201146581193E-2</v>
      </c>
      <c r="K218" s="123">
        <f ca="1">_xll.INSTRUMENT.CONVEXITE(A218,,,I218,cContinuous,I218)</f>
        <v>30.937142954217173</v>
      </c>
      <c r="L218" s="123">
        <f ca="1">_xll.INSTRUMENT.Z.SPREAD(A218,swapCurve,I218,cContinuous,D218)</f>
        <v>-23.441798295369999</v>
      </c>
      <c r="M218" s="123" t="e">
        <f ca="1">_xll.INSTRUMENT.Z.SPREAD(A218,ustCurve,I218,cContinuous,D218)</f>
        <v>#VALUE!</v>
      </c>
      <c r="N218" s="123">
        <f ca="1">_xll.INSTRUMENT.Z.SPREAD(A218,oisCurve,I218,cContinuous,D218)</f>
        <v>10.212020385505015</v>
      </c>
      <c r="O218" s="124" t="e">
        <f ca="1">1/_xll.CALENDRIER.FRAC.ANNEE(_xll.INSTRUMENT.DATE.REGLEMENT($AC218,,),_xll.INSTRUMENT.DATE.REGLEMENT($AC218,_xll.CALENDRIER.GAP.FINANCE(TODAY(),"1M","AUD","Unadjusted"),),"ACT/365")*(_xll.INSTRUMENT.ROLL.DOWN($A218,oisCurve,_xll.CALENDRIER.GAP.FINANCE(TODAY(),"1M","AUD","Unadjusted",TRUE),$N218)+100*$AA218*_xll.CALENDRIER.FRAC.ANNEE(_xll.INSTRUMENT.DATE.REGLEMENT($AC218,,),_xll.INSTRUMENT.DATE.REGLEMENT($AC218,_xll.CALENDRIER.GAP.FINANCE(TODAY(),"1M","AUD","Unadjusted"),),"ACT/365")-$I218)/$I218</f>
        <v>#NAME?</v>
      </c>
      <c r="P218" s="124" t="e">
        <f ca="1">1/_xll.CALENDRIER.FRAC.ANNEE(_xll.INSTRUMENT.DATE.REGLEMENT($AC218,,),_xll.INSTRUMENT.DATE.REGLEMENT($AC218,_xll.CALENDRIER.GAP.FINANCE(TODAY(),"3M","AUD","Unadjusted"),),"ACT/365")*(_xll.INSTRUMENT.ROLL.DOWN($A218,oisCurve,_xll.CALENDRIER.GAP.FINANCE(TODAY(),"3M","AUD","Unadjusted",TRUE),$N218)+100*$AA218*_xll.CALENDRIER.FRAC.ANNEE(_xll.INSTRUMENT.DATE.REGLEMENT($AC218,,),_xll.INSTRUMENT.DATE.REGLEMENT($AC218,_xll.CALENDRIER.GAP.FINANCE(TODAY(),"3M","AUD","Unadjusted"),),"ACT/365")-$I218)/$I218</f>
        <v>#NAME?</v>
      </c>
      <c r="Q218" s="371" t="e">
        <f ca="1">-(O218-curve!$T$3)/J218</f>
        <v>#NAME?</v>
      </c>
      <c r="R218" s="373">
        <f t="shared" ca="1" si="4"/>
        <v>-390.53567288967946</v>
      </c>
      <c r="S218" s="191" t="str">
        <f>IF(F218&lt;&gt;"","",IF(G218="","",-G218*(SUMIF('raw Data'!$A:$A,"RESINV1USD",'raw Data'!$G:$G)+SUMIF('raw Data'!$A:$A,"RESSWAPORUSD",'raw Data'!$G:$G))/(36500*J218)))</f>
        <v/>
      </c>
      <c r="T218" s="202" t="str">
        <f>IF(G218&lt;&gt;"","",IF(F218="","",-36500*J218*F218/(SUMIF('raw Data'!$A:$A,"RESINV1USD",'raw Data'!$G:$G)+SUMIF('raw Data'!$A:$A,"RESSWAPORUSD",'raw Data'!$G:$G))))</f>
        <v/>
      </c>
      <c r="U218" s="125">
        <f>SUMIF('raw Data'!$E:$E,A218,'raw Data'!$N:$N)</f>
        <v>0</v>
      </c>
      <c r="V218" s="126">
        <v>32469</v>
      </c>
      <c r="W218" s="127">
        <v>32462</v>
      </c>
      <c r="X218" s="127">
        <v>32643</v>
      </c>
      <c r="Y218" s="127">
        <v>43235</v>
      </c>
      <c r="Z218" s="127">
        <v>43419</v>
      </c>
      <c r="AA218" s="128">
        <v>0.09</v>
      </c>
      <c r="AB218" s="129">
        <v>7174000000</v>
      </c>
      <c r="AC218" s="130" t="str">
        <f ca="1">IF(LEFT(B218,1)="B",_xll.INSTANCE.TBILL(A218,V218,Z218,TODAY()),_xll.INSTANCE.TNOTE(A218,V218,W218,X218,Y218,Z218,AA218,TODAY()))</f>
        <v>US912810EB09#0003</v>
      </c>
    </row>
    <row r="219" spans="1:29" x14ac:dyDescent="0.35">
      <c r="A219" s="131" t="s">
        <v>537</v>
      </c>
      <c r="B219" s="115" t="s">
        <v>1195</v>
      </c>
      <c r="C219" s="364"/>
      <c r="D219" s="116"/>
      <c r="E219" s="117"/>
      <c r="F219" s="118"/>
      <c r="G219" s="369"/>
      <c r="H219" s="120">
        <v>9.892864999999999E-3</v>
      </c>
      <c r="I219" s="121">
        <f ca="1">_xll.INSTRUMENT.PRIX(AC219,D219,H219,cTreasuries)</f>
        <v>102.393702325593</v>
      </c>
      <c r="J219" s="122">
        <f ca="1">_xll.INSTRUMENT.DV01(A219,,,I219,cContinuous,I219)</f>
        <v>-6.318892359822699E-2</v>
      </c>
      <c r="K219" s="123">
        <f ca="1">_xll.INSTRUMENT.CONVEXITE(A219,,,I219,cContinuous,I219)</f>
        <v>39.009368788928995</v>
      </c>
      <c r="L219" s="123">
        <f ca="1">_xll.INSTRUMENT.Z.SPREAD(A219,swapCurve,I219,cContinuous,D219)</f>
        <v>-22.500664906786213</v>
      </c>
      <c r="M219" s="123" t="e">
        <f ca="1">_xll.INSTRUMENT.Z.SPREAD(A219,ustCurve,I219,cContinuous,D219)</f>
        <v>#VALUE!</v>
      </c>
      <c r="N219" s="123">
        <f ca="1">_xll.INSTRUMENT.Z.SPREAD(A219,oisCurve,I219,cContinuous,D219)</f>
        <v>11.182852003014542</v>
      </c>
      <c r="O219" s="124" t="e">
        <f ca="1">1/_xll.CALENDRIER.FRAC.ANNEE(_xll.INSTRUMENT.DATE.REGLEMENT($AC219,,),_xll.INSTRUMENT.DATE.REGLEMENT($AC219,_xll.CALENDRIER.GAP.FINANCE(TODAY(),"1M","AUD","Unadjusted"),),"ACT/365")*(_xll.INSTRUMENT.ROLL.DOWN($A219,oisCurve,_xll.CALENDRIER.GAP.FINANCE(TODAY(),"1M","AUD","Unadjusted",TRUE),$N219)+100*$AA219*_xll.CALENDRIER.FRAC.ANNEE(_xll.INSTRUMENT.DATE.REGLEMENT($AC219,,),_xll.INSTRUMENT.DATE.REGLEMENT($AC219,_xll.CALENDRIER.GAP.FINANCE(TODAY(),"1M","AUD","Unadjusted"),),"ACT/365")-$I219)/$I219</f>
        <v>#NAME?</v>
      </c>
      <c r="P219" s="124" t="e">
        <f ca="1">1/_xll.CALENDRIER.FRAC.ANNEE(_xll.INSTRUMENT.DATE.REGLEMENT($AC219,,),_xll.INSTRUMENT.DATE.REGLEMENT($AC219,_xll.CALENDRIER.GAP.FINANCE(TODAY(),"3M","AUD","Unadjusted"),),"ACT/365")*(_xll.INSTRUMENT.ROLL.DOWN($A219,oisCurve,_xll.CALENDRIER.GAP.FINANCE(TODAY(),"3M","AUD","Unadjusted",TRUE),$N219)+100*$AA219*_xll.CALENDRIER.FRAC.ANNEE(_xll.INSTRUMENT.DATE.REGLEMENT($AC219,,),_xll.INSTRUMENT.DATE.REGLEMENT($AC219,_xll.CALENDRIER.GAP.FINANCE(TODAY(),"3M","AUD","Unadjusted"),),"ACT/365")-$I219)/$I219</f>
        <v>#NAME?</v>
      </c>
      <c r="Q219" s="371" t="e">
        <f ca="1">-(O219-curve!$T$3)/J219</f>
        <v>#NAME?</v>
      </c>
      <c r="R219" s="373">
        <f t="shared" ca="1" si="4"/>
        <v>-617.34504352315878</v>
      </c>
      <c r="S219" s="191" t="str">
        <f>IF(F219&lt;&gt;"","",IF(G219="","",-G219*(SUMIF('raw Data'!$A:$A,"RESINV1USD",'raw Data'!$G:$G)+SUMIF('raw Data'!$A:$A,"RESSWAPORUSD",'raw Data'!$G:$G))/(36500*J219)))</f>
        <v/>
      </c>
      <c r="T219" s="202" t="str">
        <f>IF(G219&lt;&gt;"","",IF(F219="","",-36500*J219*F219/(SUMIF('raw Data'!$A:$A,"RESINV1USD",'raw Data'!$G:$G)+SUMIF('raw Data'!$A:$A,"RESSWAPORUSD",'raw Data'!$G:$G))))</f>
        <v/>
      </c>
      <c r="U219" s="125">
        <f>SUMIF('raw Data'!$E:$E,A219,'raw Data'!$N:$N)</f>
        <v>0</v>
      </c>
      <c r="V219" s="126">
        <v>40877</v>
      </c>
      <c r="W219" s="127">
        <v>40877</v>
      </c>
      <c r="X219" s="127">
        <v>41060</v>
      </c>
      <c r="Y219" s="127">
        <v>43251</v>
      </c>
      <c r="Z219" s="127">
        <v>43434</v>
      </c>
      <c r="AA219" s="128">
        <v>1.375E-2</v>
      </c>
      <c r="AB219" s="129">
        <v>30314000000.000004</v>
      </c>
      <c r="AC219" s="130" t="str">
        <f ca="1">IF(LEFT(B219,1)="B",_xll.INSTANCE.TBILL(A219,V219,Z219,TODAY()),_xll.INSTANCE.TNOTE(A219,V219,W219,X219,Y219,Z219,AA219,TODAY()))</f>
        <v>US912828RT95#0003</v>
      </c>
    </row>
    <row r="220" spans="1:29" x14ac:dyDescent="0.35">
      <c r="A220" s="131" t="s">
        <v>538</v>
      </c>
      <c r="B220" s="115" t="s">
        <v>1196</v>
      </c>
      <c r="C220" s="364"/>
      <c r="D220" s="116"/>
      <c r="E220" s="117"/>
      <c r="F220" s="118"/>
      <c r="G220" s="369"/>
      <c r="H220" s="120">
        <v>1.0013542E-2</v>
      </c>
      <c r="I220" s="121">
        <f ca="1">_xll.INSTRUMENT.PRIX(AC220,D220,H220,cTreasuries)</f>
        <v>102.34391750725847</v>
      </c>
      <c r="J220" s="122">
        <f ca="1">_xll.INSTRUMENT.DV01(A220,,,I220,cContinuous,I220)</f>
        <v>-6.3955738435569717E-2</v>
      </c>
      <c r="K220" s="123">
        <f ca="1">_xll.INSTRUMENT.CONVEXITE(A220,,,I220,cContinuous,I220)</f>
        <v>39.796930245884319</v>
      </c>
      <c r="L220" s="123">
        <f ca="1">_xll.INSTRUMENT.Z.SPREAD(A220,swapCurve,I220,cContinuous,D220)</f>
        <v>-23.008863431608503</v>
      </c>
      <c r="M220" s="123" t="e">
        <f ca="1">_xll.INSTRUMENT.Z.SPREAD(A220,ustCurve,I220,cContinuous,D220)</f>
        <v>#VALUE!</v>
      </c>
      <c r="N220" s="123">
        <f ca="1">_xll.INSTRUMENT.Z.SPREAD(A220,oisCurve,I220,cContinuous,D220)</f>
        <v>10.82255016842962</v>
      </c>
      <c r="O220" s="124" t="e">
        <f ca="1">1/_xll.CALENDRIER.FRAC.ANNEE(_xll.INSTRUMENT.DATE.REGLEMENT($AC220,,),_xll.INSTRUMENT.DATE.REGLEMENT($AC220,_xll.CALENDRIER.GAP.FINANCE(TODAY(),"1M","AUD","Unadjusted"),),"ACT/365")*(_xll.INSTRUMENT.ROLL.DOWN($A220,oisCurve,_xll.CALENDRIER.GAP.FINANCE(TODAY(),"1M","AUD","Unadjusted",TRUE),$N220)+100*$AA220*_xll.CALENDRIER.FRAC.ANNEE(_xll.INSTRUMENT.DATE.REGLEMENT($AC220,,),_xll.INSTRUMENT.DATE.REGLEMENT($AC220,_xll.CALENDRIER.GAP.FINANCE(TODAY(),"1M","AUD","Unadjusted"),),"ACT/365")-$I220)/$I220</f>
        <v>#NAME?</v>
      </c>
      <c r="P220" s="124" t="e">
        <f ca="1">1/_xll.CALENDRIER.FRAC.ANNEE(_xll.INSTRUMENT.DATE.REGLEMENT($AC220,,),_xll.INSTRUMENT.DATE.REGLEMENT($AC220,_xll.CALENDRIER.GAP.FINANCE(TODAY(),"3M","AUD","Unadjusted"),),"ACT/365")*(_xll.INSTRUMENT.ROLL.DOWN($A220,oisCurve,_xll.CALENDRIER.GAP.FINANCE(TODAY(),"3M","AUD","Unadjusted",TRUE),$N220)+100*$AA220*_xll.CALENDRIER.FRAC.ANNEE(_xll.INSTRUMENT.DATE.REGLEMENT($AC220,,),_xll.INSTRUMENT.DATE.REGLEMENT($AC220,_xll.CALENDRIER.GAP.FINANCE(TODAY(),"3M","AUD","Unadjusted"),),"ACT/365")-$I220)/$I220</f>
        <v>#NAME?</v>
      </c>
      <c r="Q220" s="371" t="e">
        <f ca="1">-(O220-curve!$T$3)/J220</f>
        <v>#NAME?</v>
      </c>
      <c r="R220" s="373">
        <f t="shared" ca="1" si="4"/>
        <v>-622.25738017201593</v>
      </c>
      <c r="S220" s="191" t="str">
        <f>IF(F220&lt;&gt;"","",IF(G220="","",-G220*(SUMIF('raw Data'!$A:$A,"RESINV1USD",'raw Data'!$G:$G)+SUMIF('raw Data'!$A:$A,"RESSWAPORUSD",'raw Data'!$G:$G))/(36500*J220)))</f>
        <v/>
      </c>
      <c r="T220" s="202" t="str">
        <f>IF(G220&lt;&gt;"","",IF(F220="","",-36500*J220*F220/(SUMIF('raw Data'!$A:$A,"RESINV1USD",'raw Data'!$G:$G)+SUMIF('raw Data'!$A:$A,"RESSWAPORUSD",'raw Data'!$G:$G))))</f>
        <v/>
      </c>
      <c r="U220" s="125">
        <f>SUMIF('raw Data'!$E:$E,A220,'raw Data'!$N:$N)</f>
        <v>0</v>
      </c>
      <c r="V220" s="126">
        <v>40911</v>
      </c>
      <c r="W220" s="127">
        <v>40908</v>
      </c>
      <c r="X220" s="127">
        <v>41090</v>
      </c>
      <c r="Y220" s="127">
        <v>43281</v>
      </c>
      <c r="Z220" s="127">
        <v>43465</v>
      </c>
      <c r="AA220" s="128">
        <v>1.375E-2</v>
      </c>
      <c r="AB220" s="129">
        <v>29939000000</v>
      </c>
      <c r="AC220" s="130" t="str">
        <f ca="1">IF(LEFT(B220,1)="B",_xll.INSTANCE.TBILL(A220,V220,Z220,TODAY()),_xll.INSTANCE.TNOTE(A220,V220,W220,X220,Y220,Z220,AA220,TODAY()))</f>
        <v>US912828RY80#0003</v>
      </c>
    </row>
    <row r="221" spans="1:29" x14ac:dyDescent="0.35">
      <c r="A221" s="131" t="s">
        <v>539</v>
      </c>
      <c r="B221" s="115" t="s">
        <v>1197</v>
      </c>
      <c r="C221" s="364"/>
      <c r="D221" s="116"/>
      <c r="E221" s="117"/>
      <c r="F221" s="118"/>
      <c r="G221" s="369"/>
      <c r="H221" s="120">
        <v>1.0161681000000001E-2</v>
      </c>
      <c r="I221" s="121">
        <f ca="1">_xll.INSTRUMENT.PRIX(AC221,D221,H221,cTreasuries)</f>
        <v>101.48351173692814</v>
      </c>
      <c r="J221" s="122">
        <f ca="1">_xll.INSTRUMENT.DV01(A221,,,I221,cContinuous,I221)</f>
        <v>-6.4434691010325382E-2</v>
      </c>
      <c r="K221" s="123">
        <f ca="1">_xll.INSTRUMENT.CONVEXITE(A221,,,I221,cContinuous,I221)</f>
        <v>41.06971564377951</v>
      </c>
      <c r="L221" s="123">
        <f ca="1">_xll.INSTRUMENT.Z.SPREAD(A221,swapCurve,I221,cContinuous,D221)</f>
        <v>-23.365758493006169</v>
      </c>
      <c r="M221" s="123" t="e">
        <f ca="1">_xll.INSTRUMENT.Z.SPREAD(A221,ustCurve,I221,cContinuous,D221)</f>
        <v>#VALUE!</v>
      </c>
      <c r="N221" s="123">
        <f ca="1">_xll.INSTRUMENT.Z.SPREAD(A221,oisCurve,I221,cContinuous,D221)</f>
        <v>10.611394913312617</v>
      </c>
      <c r="O221" s="124" t="e">
        <f ca="1">1/_xll.CALENDRIER.FRAC.ANNEE(_xll.INSTRUMENT.DATE.REGLEMENT($AC221,,),_xll.INSTRUMENT.DATE.REGLEMENT($AC221,_xll.CALENDRIER.GAP.FINANCE(TODAY(),"1M","AUD","Unadjusted"),),"ACT/365")*(_xll.INSTRUMENT.ROLL.DOWN($A221,oisCurve,_xll.CALENDRIER.GAP.FINANCE(TODAY(),"1M","AUD","Unadjusted",TRUE),$N221)+100*$AA221*_xll.CALENDRIER.FRAC.ANNEE(_xll.INSTRUMENT.DATE.REGLEMENT($AC221,,),_xll.INSTRUMENT.DATE.REGLEMENT($AC221,_xll.CALENDRIER.GAP.FINANCE(TODAY(),"1M","AUD","Unadjusted"),),"ACT/365")-$I221)/$I221</f>
        <v>#NAME?</v>
      </c>
      <c r="P221" s="124" t="e">
        <f ca="1">1/_xll.CALENDRIER.FRAC.ANNEE(_xll.INSTRUMENT.DATE.REGLEMENT($AC221,,),_xll.INSTRUMENT.DATE.REGLEMENT($AC221,_xll.CALENDRIER.GAP.FINANCE(TODAY(),"3M","AUD","Unadjusted"),),"ACT/365")*(_xll.INSTRUMENT.ROLL.DOWN($A221,oisCurve,_xll.CALENDRIER.GAP.FINANCE(TODAY(),"3M","AUD","Unadjusted",TRUE),$N221)+100*$AA221*_xll.CALENDRIER.FRAC.ANNEE(_xll.INSTRUMENT.DATE.REGLEMENT($AC221,,),_xll.INSTRUMENT.DATE.REGLEMENT($AC221,_xll.CALENDRIER.GAP.FINANCE(TODAY(),"3M","AUD","Unadjusted"),),"ACT/365")-$I221)/$I221</f>
        <v>#NAME?</v>
      </c>
      <c r="Q221" s="371" t="e">
        <f ca="1">-(O221-curve!$T$3)/J221</f>
        <v>#NAME?</v>
      </c>
      <c r="R221" s="373">
        <f t="shared" ca="1" si="4"/>
        <v>-637.38515696766922</v>
      </c>
      <c r="S221" s="191" t="str">
        <f>IF(F221&lt;&gt;"","",IF(G221="","",-G221*(SUMIF('raw Data'!$A:$A,"RESINV1USD",'raw Data'!$G:$G)+SUMIF('raw Data'!$A:$A,"RESSWAPORUSD",'raw Data'!$G:$G))/(36500*J221)))</f>
        <v/>
      </c>
      <c r="T221" s="202" t="str">
        <f>IF(G221&lt;&gt;"","",IF(F221="","",-36500*J221*F221/(SUMIF('raw Data'!$A:$A,"RESINV1USD",'raw Data'!$G:$G)+SUMIF('raw Data'!$A:$A,"RESSWAPORUSD",'raw Data'!$G:$G))))</f>
        <v/>
      </c>
      <c r="U221" s="125">
        <f>SUMIF('raw Data'!$E:$E,A221,'raw Data'!$N:$N)</f>
        <v>0</v>
      </c>
      <c r="V221" s="126">
        <v>40939</v>
      </c>
      <c r="W221" s="127">
        <v>40939</v>
      </c>
      <c r="X221" s="127">
        <v>41121</v>
      </c>
      <c r="Y221" s="127">
        <v>43312</v>
      </c>
      <c r="Z221" s="127">
        <v>43496</v>
      </c>
      <c r="AA221" s="128">
        <v>1.2500000000000001E-2</v>
      </c>
      <c r="AB221" s="129">
        <v>29546000000</v>
      </c>
      <c r="AC221" s="130" t="str">
        <f ca="1">IF(LEFT(B221,1)="B",_xll.INSTANCE.TBILL(A221,V221,Z221,TODAY()),_xll.INSTANCE.TNOTE(A221,V221,W221,X221,Y221,Z221,AA221,TODAY()))</f>
        <v>US912828SD35#0003</v>
      </c>
    </row>
    <row r="222" spans="1:29" x14ac:dyDescent="0.35">
      <c r="A222" s="131" t="s">
        <v>541</v>
      </c>
      <c r="B222" s="115" t="s">
        <v>1198</v>
      </c>
      <c r="C222" s="364"/>
      <c r="D222" s="116"/>
      <c r="E222" s="117"/>
      <c r="F222" s="118"/>
      <c r="G222" s="369"/>
      <c r="H222" s="120">
        <v>9.5590060000000001E-3</v>
      </c>
      <c r="I222" s="121">
        <f ca="1">_xll.INSTRUMENT.PRIX(AC222,D222,H222,cTreasuries)</f>
        <v>150.74577626673917</v>
      </c>
      <c r="J222" s="122">
        <f ca="1">_xll.INSTRUMENT.DV01(A222,,,I222,cContinuous,I222)</f>
        <v>-8.2350756282003224E-2</v>
      </c>
      <c r="K222" s="123">
        <f ca="1">_xll.INSTRUMENT.CONVEXITE(A222,,,I222,cContinuous,I222)</f>
        <v>32.748989026602985</v>
      </c>
      <c r="L222" s="123">
        <f ca="1">_xll.INSTRUMENT.Z.SPREAD(A222,swapCurve,I222,cContinuous,D222)</f>
        <v>-22.743954179805993</v>
      </c>
      <c r="M222" s="123" t="e">
        <f ca="1">_xll.INSTRUMENT.Z.SPREAD(A222,ustCurve,I222,cContinuous,D222)</f>
        <v>#VALUE!</v>
      </c>
      <c r="N222" s="123">
        <f ca="1">_xll.INSTRUMENT.Z.SPREAD(A222,oisCurve,I222,cContinuous,D222)</f>
        <v>11.242354579021915</v>
      </c>
      <c r="O222" s="124" t="e">
        <f ca="1">1/_xll.CALENDRIER.FRAC.ANNEE(_xll.INSTRUMENT.DATE.REGLEMENT($AC222,,),_xll.INSTRUMENT.DATE.REGLEMENT($AC222,_xll.CALENDRIER.GAP.FINANCE(TODAY(),"1M","AUD","Unadjusted"),),"ACT/365")*(_xll.INSTRUMENT.ROLL.DOWN($A222,oisCurve,_xll.CALENDRIER.GAP.FINANCE(TODAY(),"1M","AUD","Unadjusted",TRUE),$N222)+100*$AA222*_xll.CALENDRIER.FRAC.ANNEE(_xll.INSTRUMENT.DATE.REGLEMENT($AC222,,),_xll.INSTRUMENT.DATE.REGLEMENT($AC222,_xll.CALENDRIER.GAP.FINANCE(TODAY(),"1M","AUD","Unadjusted"),),"ACT/365")-$I222)/$I222</f>
        <v>#NAME?</v>
      </c>
      <c r="P222" s="124" t="e">
        <f ca="1">1/_xll.CALENDRIER.FRAC.ANNEE(_xll.INSTRUMENT.DATE.REGLEMENT($AC222,,),_xll.INSTRUMENT.DATE.REGLEMENT($AC222,_xll.CALENDRIER.GAP.FINANCE(TODAY(),"3M","AUD","Unadjusted"),),"ACT/365")*(_xll.INSTRUMENT.ROLL.DOWN($A222,oisCurve,_xll.CALENDRIER.GAP.FINANCE(TODAY(),"3M","AUD","Unadjusted",TRUE),$N222)+100*$AA222*_xll.CALENDRIER.FRAC.ANNEE(_xll.INSTRUMENT.DATE.REGLEMENT($AC222,,),_xll.INSTRUMENT.DATE.REGLEMENT($AC222,_xll.CALENDRIER.GAP.FINANCE(TODAY(),"3M","AUD","Unadjusted"),),"ACT/365")-$I222)/$I222</f>
        <v>#NAME?</v>
      </c>
      <c r="Q222" s="371" t="e">
        <f ca="1">-(O222-curve!$T$3)/J222</f>
        <v>#NAME?</v>
      </c>
      <c r="R222" s="373">
        <f t="shared" ca="1" si="4"/>
        <v>-397.67684603231612</v>
      </c>
      <c r="S222" s="191" t="str">
        <f>IF(F222&lt;&gt;"","",IF(G222="","",-G222*(SUMIF('raw Data'!$A:$A,"RESINV1USD",'raw Data'!$G:$G)+SUMIF('raw Data'!$A:$A,"RESSWAPORUSD",'raw Data'!$G:$G))/(36500*J222)))</f>
        <v/>
      </c>
      <c r="T222" s="202" t="str">
        <f>IF(G222&lt;&gt;"","",IF(F222="","",-36500*J222*F222/(SUMIF('raw Data'!$A:$A,"RESINV1USD",'raw Data'!$G:$G)+SUMIF('raw Data'!$A:$A,"RESSWAPORUSD",'raw Data'!$G:$G))))</f>
        <v/>
      </c>
      <c r="U222" s="125">
        <f>SUMIF('raw Data'!$E:$E,A222,'raw Data'!$N:$N)</f>
        <v>0</v>
      </c>
      <c r="V222" s="126">
        <v>32554</v>
      </c>
      <c r="W222" s="127">
        <v>32554</v>
      </c>
      <c r="X222" s="127">
        <v>32735</v>
      </c>
      <c r="Y222" s="127">
        <v>43327</v>
      </c>
      <c r="Z222" s="127">
        <v>43511</v>
      </c>
      <c r="AA222" s="128">
        <v>8.8749999999999996E-2</v>
      </c>
      <c r="AB222" s="129">
        <v>13090000000</v>
      </c>
      <c r="AC222" s="130" t="str">
        <f ca="1">IF(LEFT(B222,1)="B",_xll.INSTANCE.TBILL(A222,V222,Z222,TODAY()),_xll.INSTANCE.TNOTE(A222,V222,W222,X222,Y222,Z222,AA222,TODAY()))</f>
        <v>US912810EC81#0003</v>
      </c>
    </row>
    <row r="223" spans="1:29" x14ac:dyDescent="0.35">
      <c r="A223" s="131" t="s">
        <v>540</v>
      </c>
      <c r="B223" s="115" t="s">
        <v>1199</v>
      </c>
      <c r="C223" s="364"/>
      <c r="D223" s="116"/>
      <c r="E223" s="117"/>
      <c r="F223" s="118"/>
      <c r="G223" s="369"/>
      <c r="H223" s="120">
        <v>1.0063434E-2</v>
      </c>
      <c r="I223" s="121">
        <f ca="1">_xll.INSTRUMENT.PRIX(AC223,D223,H223,cTreasuries)</f>
        <v>111.15137939430866</v>
      </c>
      <c r="J223" s="122">
        <f ca="1">_xll.INSTRUMENT.DV01(A223,,,I223,cContinuous,I223)</f>
        <v>-6.8257701799395457E-2</v>
      </c>
      <c r="K223" s="123">
        <f ca="1">_xll.INSTRUMENT.CONVEXITE(A223,,,I223,cContinuous,I223)</f>
        <v>39.204891010590693</v>
      </c>
      <c r="L223" s="123">
        <f ca="1">_xll.INSTRUMENT.Z.SPREAD(A223,swapCurve,I223,cContinuous,D223)</f>
        <v>-23.393801407250624</v>
      </c>
      <c r="M223" s="123" t="e">
        <f ca="1">_xll.INSTRUMENT.Z.SPREAD(A223,ustCurve,I223,cContinuous,D223)</f>
        <v>#VALUE!</v>
      </c>
      <c r="N223" s="123">
        <f ca="1">_xll.INSTRUMENT.Z.SPREAD(A223,oisCurve,I223,cContinuous,D223)</f>
        <v>10.637622950881484</v>
      </c>
      <c r="O223" s="124" t="e">
        <f ca="1">1/_xll.CALENDRIER.FRAC.ANNEE(_xll.INSTRUMENT.DATE.REGLEMENT($AC223,,),_xll.INSTRUMENT.DATE.REGLEMENT($AC223,_xll.CALENDRIER.GAP.FINANCE(TODAY(),"1M","AUD","Unadjusted"),),"ACT/365")*(_xll.INSTRUMENT.ROLL.DOWN($A223,oisCurve,_xll.CALENDRIER.GAP.FINANCE(TODAY(),"1M","AUD","Unadjusted",TRUE),$N223)+100*$AA223*_xll.CALENDRIER.FRAC.ANNEE(_xll.INSTRUMENT.DATE.REGLEMENT($AC223,,),_xll.INSTRUMENT.DATE.REGLEMENT($AC223,_xll.CALENDRIER.GAP.FINANCE(TODAY(),"1M","AUD","Unadjusted"),),"ACT/365")-$I223)/$I223</f>
        <v>#NAME?</v>
      </c>
      <c r="P223" s="124" t="e">
        <f ca="1">1/_xll.CALENDRIER.FRAC.ANNEE(_xll.INSTRUMENT.DATE.REGLEMENT($AC223,,),_xll.INSTRUMENT.DATE.REGLEMENT($AC223,_xll.CALENDRIER.GAP.FINANCE(TODAY(),"3M","AUD","Unadjusted"),),"ACT/365")*(_xll.INSTRUMENT.ROLL.DOWN($A223,oisCurve,_xll.CALENDRIER.GAP.FINANCE(TODAY(),"3M","AUD","Unadjusted",TRUE),$N223)+100*$AA223*_xll.CALENDRIER.FRAC.ANNEE(_xll.INSTRUMENT.DATE.REGLEMENT($AC223,,),_xll.INSTRUMENT.DATE.REGLEMENT($AC223,_xll.CALENDRIER.GAP.FINANCE(TODAY(),"3M","AUD","Unadjusted"),),"ACT/365")-$I223)/$I223</f>
        <v>#NAME?</v>
      </c>
      <c r="Q223" s="371" t="e">
        <f ca="1">-(O223-curve!$T$3)/J223</f>
        <v>#NAME?</v>
      </c>
      <c r="R223" s="373">
        <f t="shared" ca="1" si="4"/>
        <v>-574.36582212819133</v>
      </c>
      <c r="S223" s="191" t="str">
        <f>IF(F223&lt;&gt;"","",IF(G223="","",-G223*(SUMIF('raw Data'!$A:$A,"RESINV1USD",'raw Data'!$G:$G)+SUMIF('raw Data'!$A:$A,"RESSWAPORUSD",'raw Data'!$G:$G))/(36500*J223)))</f>
        <v/>
      </c>
      <c r="T223" s="202" t="str">
        <f>IF(G223&lt;&gt;"","",IF(F223="","",-36500*J223*F223/(SUMIF('raw Data'!$A:$A,"RESINV1USD",'raw Data'!$G:$G)+SUMIF('raw Data'!$A:$A,"RESSWAPORUSD",'raw Data'!$G:$G))))</f>
        <v/>
      </c>
      <c r="U223" s="125">
        <f>SUMIF('raw Data'!$E:$E,A223,'raw Data'!$N:$N)</f>
        <v>0</v>
      </c>
      <c r="V223" s="126">
        <v>39861</v>
      </c>
      <c r="W223" s="127">
        <v>39859</v>
      </c>
      <c r="X223" s="127">
        <v>40040</v>
      </c>
      <c r="Y223" s="127">
        <v>43327</v>
      </c>
      <c r="Z223" s="127">
        <v>43511</v>
      </c>
      <c r="AA223" s="128">
        <v>2.75E-2</v>
      </c>
      <c r="AB223" s="129">
        <v>58677000000</v>
      </c>
      <c r="AC223" s="130" t="str">
        <f ca="1">IF(LEFT(B223,1)="B",_xll.INSTANCE.TBILL(A223,V223,Z223,TODAY()),_xll.INSTANCE.TNOTE(A223,V223,W223,X223,Y223,Z223,AA223,TODAY()))</f>
        <v>US912828KD17#0003</v>
      </c>
    </row>
    <row r="224" spans="1:29" x14ac:dyDescent="0.35">
      <c r="A224" s="131" t="s">
        <v>542</v>
      </c>
      <c r="B224" s="115" t="s">
        <v>1200</v>
      </c>
      <c r="C224" s="364"/>
      <c r="D224" s="116"/>
      <c r="E224" s="117"/>
      <c r="F224" s="118"/>
      <c r="G224" s="369"/>
      <c r="H224" s="120">
        <v>1.0319413E-2</v>
      </c>
      <c r="I224" s="121">
        <f ca="1">_xll.INSTRUMENT.PRIX(AC224,D224,H224,cTreasuries)</f>
        <v>102.20944154068918</v>
      </c>
      <c r="J224" s="122">
        <f ca="1">_xll.INSTRUMENT.DV01(A224,,,I224,cContinuous,I224)</f>
        <v>-6.5388021484651421E-2</v>
      </c>
      <c r="K224" s="123">
        <f ca="1">_xll.INSTRUMENT.CONVEXITE(A224,,,I224,cContinuous,I224)</f>
        <v>41.827014001148321</v>
      </c>
      <c r="L224" s="123">
        <f ca="1">_xll.INSTRUMENT.Z.SPREAD(A224,swapCurve,I224,cContinuous,D224)</f>
        <v>-23.150849028360653</v>
      </c>
      <c r="M224" s="123" t="e">
        <f ca="1">_xll.INSTRUMENT.Z.SPREAD(A224,ustCurve,I224,cContinuous,D224)</f>
        <v>#VALUE!</v>
      </c>
      <c r="N224" s="123">
        <f ca="1">_xll.INSTRUMENT.Z.SPREAD(A224,oisCurve,I224,cContinuous,D224)</f>
        <v>10.951001534049123</v>
      </c>
      <c r="O224" s="124" t="e">
        <f ca="1">1/_xll.CALENDRIER.FRAC.ANNEE(_xll.INSTRUMENT.DATE.REGLEMENT($AC224,,),_xll.INSTRUMENT.DATE.REGLEMENT($AC224,_xll.CALENDRIER.GAP.FINANCE(TODAY(),"1M","AUD","Unadjusted"),),"ACT/365")*(_xll.INSTRUMENT.ROLL.DOWN($A224,oisCurve,_xll.CALENDRIER.GAP.FINANCE(TODAY(),"1M","AUD","Unadjusted",TRUE),$N224)+100*$AA224*_xll.CALENDRIER.FRAC.ANNEE(_xll.INSTRUMENT.DATE.REGLEMENT($AC224,,),_xll.INSTRUMENT.DATE.REGLEMENT($AC224,_xll.CALENDRIER.GAP.FINANCE(TODAY(),"1M","AUD","Unadjusted"),),"ACT/365")-$I224)/$I224</f>
        <v>#NAME?</v>
      </c>
      <c r="P224" s="124" t="e">
        <f ca="1">1/_xll.CALENDRIER.FRAC.ANNEE(_xll.INSTRUMENT.DATE.REGLEMENT($AC224,,),_xll.INSTRUMENT.DATE.REGLEMENT($AC224,_xll.CALENDRIER.GAP.FINANCE(TODAY(),"3M","AUD","Unadjusted"),),"ACT/365")*(_xll.INSTRUMENT.ROLL.DOWN($A224,oisCurve,_xll.CALENDRIER.GAP.FINANCE(TODAY(),"3M","AUD","Unadjusted",TRUE),$N224)+100*$AA224*_xll.CALENDRIER.FRAC.ANNEE(_xll.INSTRUMENT.DATE.REGLEMENT($AC224,,),_xll.INSTRUMENT.DATE.REGLEMENT($AC224,_xll.CALENDRIER.GAP.FINANCE(TODAY(),"3M","AUD","Unadjusted"),),"ACT/365")-$I224)/$I224</f>
        <v>#NAME?</v>
      </c>
      <c r="Q224" s="371" t="e">
        <f ca="1">-(O224-curve!$T$3)/J224</f>
        <v>#NAME?</v>
      </c>
      <c r="R224" s="373">
        <f t="shared" ca="1" si="4"/>
        <v>-639.67395023515746</v>
      </c>
      <c r="S224" s="191" t="str">
        <f>IF(F224&lt;&gt;"","",IF(G224="","",-G224*(SUMIF('raw Data'!$A:$A,"RESINV1USD",'raw Data'!$G:$G)+SUMIF('raw Data'!$A:$A,"RESSWAPORUSD",'raw Data'!$G:$G))/(36500*J224)))</f>
        <v/>
      </c>
      <c r="T224" s="202" t="str">
        <f>IF(G224&lt;&gt;"","",IF(F224="","",-36500*J224*F224/(SUMIF('raw Data'!$A:$A,"RESINV1USD",'raw Data'!$G:$G)+SUMIF('raw Data'!$A:$A,"RESSWAPORUSD",'raw Data'!$G:$G))))</f>
        <v/>
      </c>
      <c r="U224" s="125">
        <f>SUMIF('raw Data'!$E:$E,A224,'raw Data'!$N:$N)</f>
        <v>0</v>
      </c>
      <c r="V224" s="126">
        <v>40968</v>
      </c>
      <c r="W224" s="127">
        <v>40968</v>
      </c>
      <c r="X224" s="127">
        <v>41152</v>
      </c>
      <c r="Y224" s="127">
        <v>43343</v>
      </c>
      <c r="Z224" s="127">
        <v>43524</v>
      </c>
      <c r="AA224" s="128">
        <v>1.375E-2</v>
      </c>
      <c r="AB224" s="129">
        <v>29412000000</v>
      </c>
      <c r="AC224" s="130" t="str">
        <f ca="1">IF(LEFT(B224,1)="B",_xll.INSTANCE.TBILL(A224,V224,Z224,TODAY()),_xll.INSTANCE.TNOTE(A224,V224,W224,X224,Y224,Z224,AA224,TODAY()))</f>
        <v>US912828SH49#0003</v>
      </c>
    </row>
    <row r="225" spans="1:29" x14ac:dyDescent="0.35">
      <c r="A225" s="131" t="s">
        <v>543</v>
      </c>
      <c r="B225" s="115" t="s">
        <v>1201</v>
      </c>
      <c r="C225" s="364"/>
      <c r="D225" s="116"/>
      <c r="E225" s="117"/>
      <c r="F225" s="118"/>
      <c r="G225" s="369"/>
      <c r="H225" s="120">
        <v>1.0524999E-2</v>
      </c>
      <c r="I225" s="121">
        <f ca="1">_xll.INSTRUMENT.PRIX(AC225,D225,H225,cTreasuries)</f>
        <v>102.90935674940182</v>
      </c>
      <c r="J225" s="122">
        <f ca="1">_xll.INSTRUMENT.DV01(A225,,,I225,cContinuous,I225)</f>
        <v>-6.6402602103420749E-2</v>
      </c>
      <c r="K225" s="123">
        <f ca="1">_xll.INSTRUMENT.CONVEXITE(A225,,,I225,cContinuous,I225)</f>
        <v>42.729409073702939</v>
      </c>
      <c r="L225" s="123">
        <f ca="1">_xll.INSTRUMENT.Z.SPREAD(A225,swapCurve,I225,cContinuous,D225)</f>
        <v>-22.691815484939241</v>
      </c>
      <c r="M225" s="123" t="e">
        <f ca="1">_xll.INSTRUMENT.Z.SPREAD(A225,ustCurve,I225,cContinuous,D225)</f>
        <v>#VALUE!</v>
      </c>
      <c r="N225" s="123">
        <f ca="1">_xll.INSTRUMENT.Z.SPREAD(A225,oisCurve,I225,cContinuous,D225)</f>
        <v>11.541310297130435</v>
      </c>
      <c r="O225" s="124" t="e">
        <f ca="1">1/_xll.CALENDRIER.FRAC.ANNEE(_xll.INSTRUMENT.DATE.REGLEMENT($AC225,,),_xll.INSTRUMENT.DATE.REGLEMENT($AC225,_xll.CALENDRIER.GAP.FINANCE(TODAY(),"1M","AUD","Unadjusted"),),"ACT/365")*(_xll.INSTRUMENT.ROLL.DOWN($A225,oisCurve,_xll.CALENDRIER.GAP.FINANCE(TODAY(),"1M","AUD","Unadjusted",TRUE),$N225)+100*$AA225*_xll.CALENDRIER.FRAC.ANNEE(_xll.INSTRUMENT.DATE.REGLEMENT($AC225,,),_xll.INSTRUMENT.DATE.REGLEMENT($AC225,_xll.CALENDRIER.GAP.FINANCE(TODAY(),"1M","AUD","Unadjusted"),),"ACT/365")-$I225)/$I225</f>
        <v>#NAME?</v>
      </c>
      <c r="P225" s="124" t="e">
        <f ca="1">1/_xll.CALENDRIER.FRAC.ANNEE(_xll.INSTRUMENT.DATE.REGLEMENT($AC225,,),_xll.INSTRUMENT.DATE.REGLEMENT($AC225,_xll.CALENDRIER.GAP.FINANCE(TODAY(),"3M","AUD","Unadjusted"),),"ACT/365")*(_xll.INSTRUMENT.ROLL.DOWN($A225,oisCurve,_xll.CALENDRIER.GAP.FINANCE(TODAY(),"3M","AUD","Unadjusted",TRUE),$N225)+100*$AA225*_xll.CALENDRIER.FRAC.ANNEE(_xll.INSTRUMENT.DATE.REGLEMENT($AC225,,),_xll.INSTRUMENT.DATE.REGLEMENT($AC225,_xll.CALENDRIER.GAP.FINANCE(TODAY(),"3M","AUD","Unadjusted"),),"ACT/365")-$I225)/$I225</f>
        <v>#NAME?</v>
      </c>
      <c r="Q225" s="371" t="e">
        <f ca="1">-(O225-curve!$T$3)/J225</f>
        <v>#NAME?</v>
      </c>
      <c r="R225" s="373">
        <f t="shared" ca="1" si="4"/>
        <v>-643.48997961183397</v>
      </c>
      <c r="S225" s="191" t="str">
        <f>IF(F225&lt;&gt;"","",IF(G225="","",-G225*(SUMIF('raw Data'!$A:$A,"RESINV1USD",'raw Data'!$G:$G)+SUMIF('raw Data'!$A:$A,"RESSWAPORUSD",'raw Data'!$G:$G))/(36500*J225)))</f>
        <v/>
      </c>
      <c r="T225" s="202" t="str">
        <f>IF(G225&lt;&gt;"","",IF(F225="","",-36500*J225*F225/(SUMIF('raw Data'!$A:$A,"RESINV1USD",'raw Data'!$G:$G)+SUMIF('raw Data'!$A:$A,"RESSWAPORUSD",'raw Data'!$G:$G))))</f>
        <v/>
      </c>
      <c r="U225" s="125">
        <f>SUMIF('raw Data'!$E:$E,A225,'raw Data'!$N:$N)</f>
        <v>0</v>
      </c>
      <c r="V225" s="126">
        <v>41001</v>
      </c>
      <c r="W225" s="127">
        <v>40999</v>
      </c>
      <c r="X225" s="127">
        <v>41182</v>
      </c>
      <c r="Y225" s="127">
        <v>43373</v>
      </c>
      <c r="Z225" s="127">
        <v>43555</v>
      </c>
      <c r="AA225" s="128">
        <v>1.4999999999999999E-2</v>
      </c>
      <c r="AB225" s="129">
        <v>29688000000.000004</v>
      </c>
      <c r="AC225" s="130" t="str">
        <f ca="1">IF(LEFT(B225,1)="B",_xll.INSTANCE.TBILL(A225,V225,Z225,TODAY()),_xll.INSTANCE.TNOTE(A225,V225,W225,X225,Y225,Z225,AA225,TODAY()))</f>
        <v>US912828SN17#0003</v>
      </c>
    </row>
    <row r="226" spans="1:29" x14ac:dyDescent="0.35">
      <c r="A226" s="131" t="s">
        <v>741</v>
      </c>
      <c r="B226" s="115" t="s">
        <v>1202</v>
      </c>
      <c r="C226" s="364"/>
      <c r="D226" s="116"/>
      <c r="E226" s="117"/>
      <c r="F226" s="118"/>
      <c r="G226" s="369"/>
      <c r="H226" s="120">
        <v>1.0667945999999999E-2</v>
      </c>
      <c r="I226" s="121">
        <f ca="1">_xll.INSTRUMENT.PRIX(AC226,D226,H226,cTreasuries)</f>
        <v>101.20687559552698</v>
      </c>
      <c r="J226" s="122">
        <f ca="1">_xll.INSTRUMENT.DV01(A226,,,I226,cContinuous,I226)</f>
        <v>-6.6533698498387972E-2</v>
      </c>
      <c r="K226" s="123">
        <f ca="1">_xll.INSTRUMENT.CONVEXITE(A226,,,I226,cContinuous,I226)</f>
        <v>44.20751440357494</v>
      </c>
      <c r="L226" s="123">
        <f ca="1">_xll.INSTRUMENT.Z.SPREAD(A226,swapCurve,I226,cContinuous,D226)</f>
        <v>-23.065914370137357</v>
      </c>
      <c r="M226" s="123" t="e">
        <f ca="1">_xll.INSTRUMENT.Z.SPREAD(A226,ustCurve,I226,cContinuous,D226)</f>
        <v>#VALUE!</v>
      </c>
      <c r="N226" s="123">
        <f ca="1">_xll.INSTRUMENT.Z.SPREAD(A226,oisCurve,I226,cContinuous,D226)</f>
        <v>11.273155252542939</v>
      </c>
      <c r="O226" s="124" t="e">
        <f ca="1">1/_xll.CALENDRIER.FRAC.ANNEE(_xll.INSTRUMENT.DATE.REGLEMENT($AC226,,),_xll.INSTRUMENT.DATE.REGLEMENT($AC226,_xll.CALENDRIER.GAP.FINANCE(TODAY(),"1M","AUD","Unadjusted"),),"ACT/365")*(_xll.INSTRUMENT.ROLL.DOWN($A226,oisCurve,_xll.CALENDRIER.GAP.FINANCE(TODAY(),"1M","AUD","Unadjusted",TRUE),$N226)+100*$AA226*_xll.CALENDRIER.FRAC.ANNEE(_xll.INSTRUMENT.DATE.REGLEMENT($AC226,,),_xll.INSTRUMENT.DATE.REGLEMENT($AC226,_xll.CALENDRIER.GAP.FINANCE(TODAY(),"1M","AUD","Unadjusted"),),"ACT/365")-$I226)/$I226</f>
        <v>#NAME?</v>
      </c>
      <c r="P226" s="124" t="e">
        <f ca="1">1/_xll.CALENDRIER.FRAC.ANNEE(_xll.INSTRUMENT.DATE.REGLEMENT($AC226,,),_xll.INSTRUMENT.DATE.REGLEMENT($AC226,_xll.CALENDRIER.GAP.FINANCE(TODAY(),"3M","AUD","Unadjusted"),),"ACT/365")*(_xll.INSTRUMENT.ROLL.DOWN($A226,oisCurve,_xll.CALENDRIER.GAP.FINANCE(TODAY(),"3M","AUD","Unadjusted",TRUE),$N226)+100*$AA226*_xll.CALENDRIER.FRAC.ANNEE(_xll.INSTRUMENT.DATE.REGLEMENT($AC226,,),_xll.INSTRUMENT.DATE.REGLEMENT($AC226,_xll.CALENDRIER.GAP.FINANCE(TODAY(),"3M","AUD","Unadjusted"),),"ACT/365")-$I226)/$I226</f>
        <v>#NAME?</v>
      </c>
      <c r="Q226" s="371" t="e">
        <f ca="1">-(O226-curve!$T$3)/J226</f>
        <v>#NAME?</v>
      </c>
      <c r="R226" s="373">
        <f t="shared" ca="1" si="4"/>
        <v>-664.43795251583731</v>
      </c>
      <c r="S226" s="191" t="str">
        <f>IF(F226&lt;&gt;"","",IF(G226="","",-G226*(SUMIF('raw Data'!$A:$A,"RESINV1USD",'raw Data'!$G:$G)+SUMIF('raw Data'!$A:$A,"RESSWAPORUSD",'raw Data'!$G:$G))/(36500*J226)))</f>
        <v/>
      </c>
      <c r="T226" s="202" t="str">
        <f>IF(G226&lt;&gt;"","",IF(F226="","",-36500*J226*F226/(SUMIF('raw Data'!$A:$A,"RESINV1USD",'raw Data'!$G:$G)+SUMIF('raw Data'!$A:$A,"RESSWAPORUSD",'raw Data'!$G:$G))))</f>
        <v/>
      </c>
      <c r="U226" s="125">
        <f>SUMIF('raw Data'!$E:$E,A226,'raw Data'!$N:$N)</f>
        <v>0</v>
      </c>
      <c r="V226" s="126">
        <v>41029</v>
      </c>
      <c r="W226" s="127">
        <v>41029</v>
      </c>
      <c r="X226" s="127">
        <v>41213</v>
      </c>
      <c r="Y226" s="127">
        <v>43404</v>
      </c>
      <c r="Z226" s="127">
        <v>43585</v>
      </c>
      <c r="AA226" s="128">
        <v>1.2500000000000001E-2</v>
      </c>
      <c r="AB226" s="129">
        <v>29779000000</v>
      </c>
      <c r="AC226" s="130" t="str">
        <f ca="1">IF(LEFT(B226,1)="B",_xll.INSTANCE.TBILL(A226,V226,Z226,TODAY()),_xll.INSTANCE.TNOTE(A226,V226,W226,X226,Y226,Z226,AA226,TODAY()))</f>
        <v>US912828ST86#0003</v>
      </c>
    </row>
    <row r="227" spans="1:29" x14ac:dyDescent="0.35">
      <c r="A227" s="131" t="s">
        <v>544</v>
      </c>
      <c r="B227" s="115" t="s">
        <v>1203</v>
      </c>
      <c r="C227" s="364"/>
      <c r="D227" s="116"/>
      <c r="E227" s="117"/>
      <c r="F227" s="118"/>
      <c r="G227" s="369"/>
      <c r="H227" s="120">
        <v>1.0343654000000001E-2</v>
      </c>
      <c r="I227" s="121">
        <f ca="1">_xll.INSTRUMENT.PRIX(AC227,D227,H227,cTreasuries)</f>
        <v>113.84597975192013</v>
      </c>
      <c r="J227" s="122">
        <f ca="1">_xll.INSTRUMENT.DV01(A227,,,I227,cContinuous,I227)</f>
        <v>-7.1601946959541682E-2</v>
      </c>
      <c r="K227" s="123">
        <f ca="1">_xll.INSTRUMENT.CONVEXITE(A227,,,I227,cContinuous,I227)</f>
        <v>41.670621937396142</v>
      </c>
      <c r="L227" s="123">
        <f ca="1">_xll.INSTRUMENT.Z.SPREAD(A227,swapCurve,I227,cContinuous,D227)</f>
        <v>-24.70882136638599</v>
      </c>
      <c r="M227" s="123" t="e">
        <f ca="1">_xll.INSTRUMENT.Z.SPREAD(A227,ustCurve,I227,cContinuous,D227)</f>
        <v>#VALUE!</v>
      </c>
      <c r="N227" s="123">
        <f ca="1">_xll.INSTRUMENT.Z.SPREAD(A227,oisCurve,I227,cContinuous,D227)</f>
        <v>9.643276913859582</v>
      </c>
      <c r="O227" s="124" t="e">
        <f ca="1">1/_xll.CALENDRIER.FRAC.ANNEE(_xll.INSTRUMENT.DATE.REGLEMENT($AC227,,),_xll.INSTRUMENT.DATE.REGLEMENT($AC227,_xll.CALENDRIER.GAP.FINANCE(TODAY(),"1M","AUD","Unadjusted"),),"ACT/365")*(_xll.INSTRUMENT.ROLL.DOWN($A227,oisCurve,_xll.CALENDRIER.GAP.FINANCE(TODAY(),"1M","AUD","Unadjusted",TRUE),$N227)+100*$AA227*_xll.CALENDRIER.FRAC.ANNEE(_xll.INSTRUMENT.DATE.REGLEMENT($AC227,,),_xll.INSTRUMENT.DATE.REGLEMENT($AC227,_xll.CALENDRIER.GAP.FINANCE(TODAY(),"1M","AUD","Unadjusted"),),"ACT/365")-$I227)/$I227</f>
        <v>#NAME?</v>
      </c>
      <c r="P227" s="124" t="e">
        <f ca="1">1/_xll.CALENDRIER.FRAC.ANNEE(_xll.INSTRUMENT.DATE.REGLEMENT($AC227,,),_xll.INSTRUMENT.DATE.REGLEMENT($AC227,_xll.CALENDRIER.GAP.FINANCE(TODAY(),"3M","AUD","Unadjusted"),),"ACT/365")*(_xll.INSTRUMENT.ROLL.DOWN($A227,oisCurve,_xll.CALENDRIER.GAP.FINANCE(TODAY(),"3M","AUD","Unadjusted",TRUE),$N227)+100*$AA227*_xll.CALENDRIER.FRAC.ANNEE(_xll.INSTRUMENT.DATE.REGLEMENT($AC227,,),_xll.INSTRUMENT.DATE.REGLEMENT($AC227,_xll.CALENDRIER.GAP.FINANCE(TODAY(),"3M","AUD","Unadjusted"),),"ACT/365")-$I227)/$I227</f>
        <v>#NAME?</v>
      </c>
      <c r="Q227" s="371" t="e">
        <f ca="1">-(O227-curve!$T$3)/J227</f>
        <v>#NAME?</v>
      </c>
      <c r="R227" s="373">
        <f t="shared" ca="1" si="4"/>
        <v>-581.97610130548424</v>
      </c>
      <c r="S227" s="191" t="str">
        <f>IF(F227&lt;&gt;"","",IF(G227="","",-G227*(SUMIF('raw Data'!$A:$A,"RESINV1USD",'raw Data'!$G:$G)+SUMIF('raw Data'!$A:$A,"RESSWAPORUSD",'raw Data'!$G:$G))/(36500*J227)))</f>
        <v/>
      </c>
      <c r="T227" s="202" t="str">
        <f>IF(G227&lt;&gt;"","",IF(F227="","",-36500*J227*F227/(SUMIF('raw Data'!$A:$A,"RESINV1USD",'raw Data'!$G:$G)+SUMIF('raw Data'!$A:$A,"RESSWAPORUSD",'raw Data'!$G:$G))))</f>
        <v/>
      </c>
      <c r="U227" s="125">
        <f>SUMIF('raw Data'!$E:$E,A227,'raw Data'!$N:$N)</f>
        <v>0</v>
      </c>
      <c r="V227" s="126">
        <v>39948</v>
      </c>
      <c r="W227" s="127">
        <v>39948</v>
      </c>
      <c r="X227" s="127">
        <v>40132</v>
      </c>
      <c r="Y227" s="127">
        <v>43419</v>
      </c>
      <c r="Z227" s="127">
        <v>43600</v>
      </c>
      <c r="AA227" s="128">
        <v>3.125E-2</v>
      </c>
      <c r="AB227" s="129">
        <v>64411000000.000008</v>
      </c>
      <c r="AC227" s="130" t="str">
        <f ca="1">IF(LEFT(B227,1)="B",_xll.INSTANCE.TBILL(A227,V227,Z227,TODAY()),_xll.INSTANCE.TNOTE(A227,V227,W227,X227,Y227,Z227,AA227,TODAY()))</f>
        <v>US912828KQ20#0003</v>
      </c>
    </row>
    <row r="228" spans="1:29" x14ac:dyDescent="0.35">
      <c r="A228" s="131" t="s">
        <v>906</v>
      </c>
      <c r="B228" s="115" t="s">
        <v>1204</v>
      </c>
      <c r="C228" s="364"/>
      <c r="D228" s="116"/>
      <c r="E228" s="117"/>
      <c r="F228" s="118"/>
      <c r="G228" s="369"/>
      <c r="H228" s="120">
        <v>1.0849774999999999E-2</v>
      </c>
      <c r="I228" s="121">
        <f ca="1">_xll.INSTRUMENT.PRIX(AC228,D228,H228,cTreasuries)</f>
        <v>100.26484553678294</v>
      </c>
      <c r="J228" s="122">
        <f ca="1">_xll.INSTRUMENT.DV01(A228,,,I228,cContinuous,I228)</f>
        <v>-6.6944943800566897E-2</v>
      </c>
      <c r="K228" s="123">
        <f ca="1">_xll.INSTRUMENT.CONVEXITE(A228,,,I228,cContinuous,I228)</f>
        <v>45.563294947908808</v>
      </c>
      <c r="L228" s="123">
        <f ca="1">_xll.INSTRUMENT.Z.SPREAD(A228,swapCurve,I228,cContinuous,D228)</f>
        <v>-23.018327146263456</v>
      </c>
      <c r="M228" s="123" t="e">
        <f ca="1">_xll.INSTRUMENT.Z.SPREAD(A228,ustCurve,I228,cContinuous,D228)</f>
        <v>#VALUE!</v>
      </c>
      <c r="N228" s="123">
        <f ca="1">_xll.INSTRUMENT.Z.SPREAD(A228,oisCurve,I228,cContinuous,D228)</f>
        <v>11.408840805838764</v>
      </c>
      <c r="O228" s="124" t="e">
        <f ca="1">1/_xll.CALENDRIER.FRAC.ANNEE(_xll.INSTRUMENT.DATE.REGLEMENT($AC228,,),_xll.INSTRUMENT.DATE.REGLEMENT($AC228,_xll.CALENDRIER.GAP.FINANCE(TODAY(),"1M","AUD","Unadjusted"),),"ACT/365")*(_xll.INSTRUMENT.ROLL.DOWN($A228,oisCurve,_xll.CALENDRIER.GAP.FINANCE(TODAY(),"1M","AUD","Unadjusted",TRUE),$N228)+100*$AA228*_xll.CALENDRIER.FRAC.ANNEE(_xll.INSTRUMENT.DATE.REGLEMENT($AC228,,),_xll.INSTRUMENT.DATE.REGLEMENT($AC228,_xll.CALENDRIER.GAP.FINANCE(TODAY(),"1M","AUD","Unadjusted"),),"ACT/365")-$I228)/$I228</f>
        <v>#NAME?</v>
      </c>
      <c r="P228" s="124" t="e">
        <f ca="1">1/_xll.CALENDRIER.FRAC.ANNEE(_xll.INSTRUMENT.DATE.REGLEMENT($AC228,,),_xll.INSTRUMENT.DATE.REGLEMENT($AC228,_xll.CALENDRIER.GAP.FINANCE(TODAY(),"3M","AUD","Unadjusted"),),"ACT/365")*(_xll.INSTRUMENT.ROLL.DOWN($A228,oisCurve,_xll.CALENDRIER.GAP.FINANCE(TODAY(),"3M","AUD","Unadjusted",TRUE),$N228)+100*$AA228*_xll.CALENDRIER.FRAC.ANNEE(_xll.INSTRUMENT.DATE.REGLEMENT($AC228,,),_xll.INSTRUMENT.DATE.REGLEMENT($AC228,_xll.CALENDRIER.GAP.FINANCE(TODAY(),"3M","AUD","Unadjusted"),),"ACT/365")-$I228)/$I228</f>
        <v>#NAME?</v>
      </c>
      <c r="Q228" s="371" t="e">
        <f ca="1">-(O228-curve!$T$3)/J228</f>
        <v>#NAME?</v>
      </c>
      <c r="R228" s="373">
        <f t="shared" ca="1" si="4"/>
        <v>-680.60845765506451</v>
      </c>
      <c r="S228" s="191" t="str">
        <f>IF(F228&lt;&gt;"","",IF(G228="","",-G228*(SUMIF('raw Data'!$A:$A,"RESINV1USD",'raw Data'!$G:$G)+SUMIF('raw Data'!$A:$A,"RESSWAPORUSD",'raw Data'!$G:$G))/(36500*J228)))</f>
        <v/>
      </c>
      <c r="T228" s="202" t="str">
        <f>IF(G228&lt;&gt;"","",IF(F228="","",-36500*J228*F228/(SUMIF('raw Data'!$A:$A,"RESINV1USD",'raw Data'!$G:$G)+SUMIF('raw Data'!$A:$A,"RESSWAPORUSD",'raw Data'!$G:$G))))</f>
        <v/>
      </c>
      <c r="U228" s="125">
        <f>SUMIF('raw Data'!$E:$E,A228,'raw Data'!$N:$N)</f>
        <v>0</v>
      </c>
      <c r="V228" s="126">
        <v>41060</v>
      </c>
      <c r="W228" s="127">
        <v>41060</v>
      </c>
      <c r="X228" s="127">
        <v>41243</v>
      </c>
      <c r="Y228" s="127">
        <v>43434</v>
      </c>
      <c r="Z228" s="127">
        <v>43616</v>
      </c>
      <c r="AA228" s="128">
        <v>1.125E-2</v>
      </c>
      <c r="AB228" s="129">
        <v>29000000000</v>
      </c>
      <c r="AC228" s="130" t="str">
        <f ca="1">IF(LEFT(B228,1)="B",_xll.INSTANCE.TBILL(A228,V228,Z228,TODAY()),_xll.INSTANCE.TNOTE(A228,V228,W228,X228,Y228,Z228,AA228,TODAY()))</f>
        <v>US912828SX98#0003</v>
      </c>
    </row>
    <row r="229" spans="1:29" x14ac:dyDescent="0.35">
      <c r="A229" s="131" t="s">
        <v>246</v>
      </c>
      <c r="B229" s="115" t="s">
        <v>1205</v>
      </c>
      <c r="C229" s="364"/>
      <c r="D229" s="116"/>
      <c r="E229" s="117"/>
      <c r="F229" s="118"/>
      <c r="G229" s="369"/>
      <c r="H229" s="120">
        <v>1.0683708E-2</v>
      </c>
      <c r="I229" s="121">
        <f ca="1">_xll.INSTRUMENT.PRIX(AC229,D229,H229,cTreasuries)</f>
        <v>117.50505455540969</v>
      </c>
      <c r="J229" s="122">
        <f ca="1">_xll.INSTRUMENT.DV01(A229,,,I229,cContinuous,I229)</f>
        <v>-7.5426405832221904E-2</v>
      </c>
      <c r="K229" s="123">
        <f ca="1">_xll.INSTRUMENT.CONVEXITE(A229,,,I229,cContinuous,I229)</f>
        <v>43.466188382874527</v>
      </c>
      <c r="L229" s="123">
        <f ca="1">_xll.INSTRUMENT.Z.SPREAD(A229,swapCurve,I229,cContinuous,D229)</f>
        <v>-25.043335958249255</v>
      </c>
      <c r="M229" s="123" t="e">
        <f ca="1">_xll.INSTRUMENT.Z.SPREAD(A229,ustCurve,I229,cContinuous,D229)</f>
        <v>#VALUE!</v>
      </c>
      <c r="N229" s="123">
        <f ca="1">_xll.INSTRUMENT.Z.SPREAD(A229,oisCurve,I229,cContinuous,D229)</f>
        <v>9.4130075787164227</v>
      </c>
      <c r="O229" s="124" t="e">
        <f ca="1">1/_xll.CALENDRIER.FRAC.ANNEE(_xll.INSTRUMENT.DATE.REGLEMENT($AC229,,),_xll.INSTRUMENT.DATE.REGLEMENT($AC229,_xll.CALENDRIER.GAP.FINANCE(TODAY(),"1M","AUD","Unadjusted"),),"ACT/365")*(_xll.INSTRUMENT.ROLL.DOWN($A229,oisCurve,_xll.CALENDRIER.GAP.FINANCE(TODAY(),"1M","AUD","Unadjusted",TRUE),$N229)+100*$AA229*_xll.CALENDRIER.FRAC.ANNEE(_xll.INSTRUMENT.DATE.REGLEMENT($AC229,,),_xll.INSTRUMENT.DATE.REGLEMENT($AC229,_xll.CALENDRIER.GAP.FINANCE(TODAY(),"1M","AUD","Unadjusted"),),"ACT/365")-$I229)/$I229</f>
        <v>#NAME?</v>
      </c>
      <c r="P229" s="124" t="e">
        <f ca="1">1/_xll.CALENDRIER.FRAC.ANNEE(_xll.INSTRUMENT.DATE.REGLEMENT($AC229,,),_xll.INSTRUMENT.DATE.REGLEMENT($AC229,_xll.CALENDRIER.GAP.FINANCE(TODAY(),"3M","AUD","Unadjusted"),),"ACT/365")*(_xll.INSTRUMENT.ROLL.DOWN($A229,oisCurve,_xll.CALENDRIER.GAP.FINANCE(TODAY(),"3M","AUD","Unadjusted",TRUE),$N229)+100*$AA229*_xll.CALENDRIER.FRAC.ANNEE(_xll.INSTRUMENT.DATE.REGLEMENT($AC229,,),_xll.INSTRUMENT.DATE.REGLEMENT($AC229,_xll.CALENDRIER.GAP.FINANCE(TODAY(),"3M","AUD","Unadjusted"),),"ACT/365")-$I229)/$I229</f>
        <v>#NAME?</v>
      </c>
      <c r="Q229" s="371" t="e">
        <f ca="1">-(O229-curve!$T$3)/J229</f>
        <v>#NAME?</v>
      </c>
      <c r="R229" s="373">
        <f t="shared" ca="1" si="4"/>
        <v>-576.27283049334847</v>
      </c>
      <c r="S229" s="191" t="str">
        <f>IF(F229&lt;&gt;"","",IF(G229="","",-G229*(SUMIF('raw Data'!$A:$A,"RESINV1USD",'raw Data'!$G:$G)+SUMIF('raw Data'!$A:$A,"RESSWAPORUSD",'raw Data'!$G:$G))/(36500*J229)))</f>
        <v/>
      </c>
      <c r="T229" s="202" t="str">
        <f>IF(G229&lt;&gt;"","",IF(F229="","",-36500*J229*F229/(SUMIF('raw Data'!$A:$A,"RESINV1USD",'raw Data'!$G:$G)+SUMIF('raw Data'!$A:$A,"RESSWAPORUSD",'raw Data'!$G:$G))))</f>
        <v/>
      </c>
      <c r="U229" s="125">
        <f>SUMIF('raw Data'!$E:$E,A229,'raw Data'!$N:$N)</f>
        <v>0</v>
      </c>
      <c r="V229" s="126">
        <v>40042</v>
      </c>
      <c r="W229" s="127">
        <v>40040</v>
      </c>
      <c r="X229" s="127">
        <v>40224</v>
      </c>
      <c r="Y229" s="127">
        <v>43511</v>
      </c>
      <c r="Z229" s="127">
        <v>43692</v>
      </c>
      <c r="AA229" s="128">
        <v>3.6249999999999998E-2</v>
      </c>
      <c r="AB229" s="129">
        <v>66753000000</v>
      </c>
      <c r="AC229" s="130" t="str">
        <f ca="1">IF(LEFT(B229,1)="B",_xll.INSTANCE.TBILL(A229,V229,Z229,TODAY()),_xll.INSTANCE.TNOTE(A229,V229,W229,X229,Y229,Z229,AA229,TODAY()))</f>
        <v>US912828LJ77#0003</v>
      </c>
    </row>
    <row r="230" spans="1:29" x14ac:dyDescent="0.35">
      <c r="A230" s="131" t="s">
        <v>545</v>
      </c>
      <c r="B230" s="115" t="s">
        <v>1206</v>
      </c>
      <c r="C230" s="364"/>
      <c r="D230" s="116"/>
      <c r="E230" s="117"/>
      <c r="F230" s="118"/>
      <c r="G230" s="369"/>
      <c r="H230" s="120">
        <v>1.0333924999999999E-2</v>
      </c>
      <c r="I230" s="121">
        <f ca="1">_xll.INSTRUMENT.PRIX(AC230,D230,H230,cTreasuries)</f>
        <v>148.61760848446065</v>
      </c>
      <c r="J230" s="122">
        <f ca="1">_xll.INSTRUMENT.DV01(A230,,,I230,cContinuous,I230)</f>
        <v>-8.7252325923702245E-2</v>
      </c>
      <c r="K230" s="123">
        <f ca="1">_xll.INSTRUMENT.CONVEXITE(A230,,,I230,cContinuous,I230)</f>
        <v>37.904726107004329</v>
      </c>
      <c r="L230" s="123">
        <f ca="1">_xll.INSTRUMENT.Z.SPREAD(A230,swapCurve,I230,cContinuous,D230)</f>
        <v>-23.764535860293172</v>
      </c>
      <c r="M230" s="123" t="e">
        <f ca="1">_xll.INSTRUMENT.Z.SPREAD(A230,ustCurve,I230,cContinuous,D230)</f>
        <v>#VALUE!</v>
      </c>
      <c r="N230" s="123">
        <f ca="1">_xll.INSTRUMENT.Z.SPREAD(A230,oisCurve,I230,cContinuous,D230)</f>
        <v>10.611681650989908</v>
      </c>
      <c r="O230" s="124" t="e">
        <f ca="1">1/_xll.CALENDRIER.FRAC.ANNEE(_xll.INSTRUMENT.DATE.REGLEMENT($AC230,,),_xll.INSTRUMENT.DATE.REGLEMENT($AC230,_xll.CALENDRIER.GAP.FINANCE(TODAY(),"1M","AUD","Unadjusted"),),"ACT/365")*(_xll.INSTRUMENT.ROLL.DOWN($A230,oisCurve,_xll.CALENDRIER.GAP.FINANCE(TODAY(),"1M","AUD","Unadjusted",TRUE),$N230)+100*$AA230*_xll.CALENDRIER.FRAC.ANNEE(_xll.INSTRUMENT.DATE.REGLEMENT($AC230,,),_xll.INSTRUMENT.DATE.REGLEMENT($AC230,_xll.CALENDRIER.GAP.FINANCE(TODAY(),"1M","AUD","Unadjusted"),),"ACT/365")-$I230)/$I230</f>
        <v>#NAME?</v>
      </c>
      <c r="P230" s="124" t="e">
        <f ca="1">1/_xll.CALENDRIER.FRAC.ANNEE(_xll.INSTRUMENT.DATE.REGLEMENT($AC230,,),_xll.INSTRUMENT.DATE.REGLEMENT($AC230,_xll.CALENDRIER.GAP.FINANCE(TODAY(),"3M","AUD","Unadjusted"),),"ACT/365")*(_xll.INSTRUMENT.ROLL.DOWN($A230,oisCurve,_xll.CALENDRIER.GAP.FINANCE(TODAY(),"3M","AUD","Unadjusted",TRUE),$N230)+100*$AA230*_xll.CALENDRIER.FRAC.ANNEE(_xll.INSTRUMENT.DATE.REGLEMENT($AC230,,),_xll.INSTRUMENT.DATE.REGLEMENT($AC230,_xll.CALENDRIER.GAP.FINANCE(TODAY(),"3M","AUD","Unadjusted"),),"ACT/365")-$I230)/$I230</f>
        <v>#NAME?</v>
      </c>
      <c r="Q230" s="371" t="e">
        <f ca="1">-(O230-curve!$T$3)/J230</f>
        <v>#NAME?</v>
      </c>
      <c r="R230" s="373">
        <f t="shared" ca="1" si="4"/>
        <v>-434.42654056179657</v>
      </c>
      <c r="S230" s="191" t="str">
        <f>IF(F230&lt;&gt;"","",IF(G230="","",-G230*(SUMIF('raw Data'!$A:$A,"RESINV1USD",'raw Data'!$G:$G)+SUMIF('raw Data'!$A:$A,"RESSWAPORUSD",'raw Data'!$G:$G))/(36500*J230)))</f>
        <v/>
      </c>
      <c r="T230" s="202" t="str">
        <f>IF(G230&lt;&gt;"","",IF(F230="","",-36500*J230*F230/(SUMIF('raw Data'!$A:$A,"RESINV1USD",'raw Data'!$G:$G)+SUMIF('raw Data'!$A:$A,"RESSWAPORUSD",'raw Data'!$G:$G))))</f>
        <v/>
      </c>
      <c r="U230" s="125">
        <f>SUMIF('raw Data'!$E:$E,A230,'raw Data'!$N:$N)</f>
        <v>0</v>
      </c>
      <c r="V230" s="126">
        <v>32735</v>
      </c>
      <c r="W230" s="127">
        <v>32735</v>
      </c>
      <c r="X230" s="127">
        <v>32919</v>
      </c>
      <c r="Y230" s="127">
        <v>43511</v>
      </c>
      <c r="Z230" s="127">
        <v>43692</v>
      </c>
      <c r="AA230" s="128">
        <v>8.1250000000000003E-2</v>
      </c>
      <c r="AB230" s="129">
        <v>18941000000</v>
      </c>
      <c r="AC230" s="130" t="str">
        <f ca="1">IF(LEFT(B230,1)="B",_xll.INSTANCE.TBILL(A230,V230,Z230,TODAY()),_xll.INSTANCE.TNOTE(A230,V230,W230,X230,Y230,Z230,AA230,TODAY()))</f>
        <v>US912810ED64#0003</v>
      </c>
    </row>
    <row r="231" spans="1:29" x14ac:dyDescent="0.35">
      <c r="A231" s="131" t="s">
        <v>248</v>
      </c>
      <c r="B231" s="115" t="s">
        <v>1207</v>
      </c>
      <c r="C231" s="364"/>
      <c r="D231" s="116"/>
      <c r="E231" s="117"/>
      <c r="F231" s="118"/>
      <c r="G231" s="369"/>
      <c r="H231" s="120">
        <v>1.1221904E-2</v>
      </c>
      <c r="I231" s="121">
        <f ca="1">_xll.INSTRUMENT.PRIX(AC231,D231,H231,cTreasuries)</f>
        <v>115.90535173161334</v>
      </c>
      <c r="J231" s="122">
        <f ca="1">_xll.INSTRUMENT.DV01(A231,,,I231,cContinuous,I231)</f>
        <v>-7.7219337917657657E-2</v>
      </c>
      <c r="K231" s="123">
        <f ca="1">_xll.INSTRUMENT.CONVEXITE(A231,,,I231,cContinuous,I231)</f>
        <v>47.129053854227337</v>
      </c>
      <c r="L231" s="123">
        <f ca="1">_xll.INSTRUMENT.Z.SPREAD(A231,swapCurve,I231,cContinuous,D231)</f>
        <v>-23.993434464185309</v>
      </c>
      <c r="M231" s="123" t="e">
        <f ca="1">_xll.INSTRUMENT.Z.SPREAD(A231,ustCurve,I231,cContinuous,D231)</f>
        <v>#VALUE!</v>
      </c>
      <c r="N231" s="123">
        <f ca="1">_xll.INSTRUMENT.Z.SPREAD(A231,oisCurve,I231,cContinuous,D231)</f>
        <v>10.376776901145501</v>
      </c>
      <c r="O231" s="124" t="e">
        <f ca="1">1/_xll.CALENDRIER.FRAC.ANNEE(_xll.INSTRUMENT.DATE.REGLEMENT($AC231,,),_xll.INSTRUMENT.DATE.REGLEMENT($AC231,_xll.CALENDRIER.GAP.FINANCE(TODAY(),"1M","AUD","Unadjusted"),),"ACT/365")*(_xll.INSTRUMENT.ROLL.DOWN($A231,oisCurve,_xll.CALENDRIER.GAP.FINANCE(TODAY(),"1M","AUD","Unadjusted",TRUE),$N231)+100*$AA231*_xll.CALENDRIER.FRAC.ANNEE(_xll.INSTRUMENT.DATE.REGLEMENT($AC231,,),_xll.INSTRUMENT.DATE.REGLEMENT($AC231,_xll.CALENDRIER.GAP.FINANCE(TODAY(),"1M","AUD","Unadjusted"),),"ACT/365")-$I231)/$I231</f>
        <v>#NAME?</v>
      </c>
      <c r="P231" s="124" t="e">
        <f ca="1">1/_xll.CALENDRIER.FRAC.ANNEE(_xll.INSTRUMENT.DATE.REGLEMENT($AC231,,),_xll.INSTRUMENT.DATE.REGLEMENT($AC231,_xll.CALENDRIER.GAP.FINANCE(TODAY(),"3M","AUD","Unadjusted"),),"ACT/365")*(_xll.INSTRUMENT.ROLL.DOWN($A231,oisCurve,_xll.CALENDRIER.GAP.FINANCE(TODAY(),"3M","AUD","Unadjusted",TRUE),$N231)+100*$AA231*_xll.CALENDRIER.FRAC.ANNEE(_xll.INSTRUMENT.DATE.REGLEMENT($AC231,,),_xll.INSTRUMENT.DATE.REGLEMENT($AC231,_xll.CALENDRIER.GAP.FINANCE(TODAY(),"3M","AUD","Unadjusted"),),"ACT/365")-$I231)/$I231</f>
        <v>#NAME?</v>
      </c>
      <c r="Q231" s="371" t="e">
        <f ca="1">-(O231-curve!$T$3)/J231</f>
        <v>#NAME?</v>
      </c>
      <c r="R231" s="373">
        <f t="shared" ca="1" si="4"/>
        <v>-610.32709066326231</v>
      </c>
      <c r="S231" s="191" t="str">
        <f>IF(F231&lt;&gt;"","",IF(G231="","",-G231*(SUMIF('raw Data'!$A:$A,"RESINV1USD",'raw Data'!$G:$G)+SUMIF('raw Data'!$A:$A,"RESSWAPORUSD",'raw Data'!$G:$G))/(36500*J231)))</f>
        <v/>
      </c>
      <c r="T231" s="202" t="str">
        <f>IF(G231&lt;&gt;"","",IF(F231="","",-36500*J231*F231/(SUMIF('raw Data'!$A:$A,"RESINV1USD",'raw Data'!$G:$G)+SUMIF('raw Data'!$A:$A,"RESSWAPORUSD",'raw Data'!$G:$G))))</f>
        <v/>
      </c>
      <c r="U231" s="125">
        <f>SUMIF('raw Data'!$E:$E,A231,'raw Data'!$N:$N)</f>
        <v>0</v>
      </c>
      <c r="V231" s="126">
        <v>40133</v>
      </c>
      <c r="W231" s="127">
        <v>40132</v>
      </c>
      <c r="X231" s="127">
        <v>40313</v>
      </c>
      <c r="Y231" s="127">
        <v>43600</v>
      </c>
      <c r="Z231" s="127">
        <v>43784</v>
      </c>
      <c r="AA231" s="128">
        <v>3.3750000000000002E-2</v>
      </c>
      <c r="AB231" s="129">
        <v>71037000000</v>
      </c>
      <c r="AC231" s="130" t="str">
        <f ca="1">IF(LEFT(B231,1)="B",_xll.INSTANCE.TBILL(A231,V231,Z231,TODAY()),_xll.INSTANCE.TNOTE(A231,V231,W231,X231,Y231,Z231,AA231,TODAY()))</f>
        <v>US912828LY45#0003</v>
      </c>
    </row>
    <row r="232" spans="1:29" x14ac:dyDescent="0.35">
      <c r="A232" s="131" t="s">
        <v>546</v>
      </c>
      <c r="B232" s="115" t="s">
        <v>1208</v>
      </c>
      <c r="C232" s="364"/>
      <c r="D232" s="116"/>
      <c r="E232" s="117"/>
      <c r="F232" s="118"/>
      <c r="G232" s="369"/>
      <c r="H232" s="120">
        <v>1.1462026E-2</v>
      </c>
      <c r="I232" s="121">
        <f ca="1">_xll.INSTRUMENT.PRIX(AC232,D232,H232,cTreasuries)</f>
        <v>153.56790201429772</v>
      </c>
      <c r="J232" s="122">
        <f ca="1">_xll.INSTRUMENT.DV01(A232,,,I232,cContinuous,I232)</f>
        <v>-9.478715018811279E-2</v>
      </c>
      <c r="K232" s="123">
        <f ca="1">_xll.INSTRUMENT.CONVEXITE(A232,,,I232,cContinuous,I232)</f>
        <v>42.393263005905744</v>
      </c>
      <c r="L232" s="123">
        <f ca="1">_xll.INSTRUMENT.Z.SPREAD(A232,swapCurve,I232,cContinuous,D232)</f>
        <v>-19.542590572382483</v>
      </c>
      <c r="M232" s="123" t="e">
        <f ca="1">_xll.INSTRUMENT.Z.SPREAD(A232,ustCurve,I232,cContinuous,D232)</f>
        <v>#VALUE!</v>
      </c>
      <c r="N232" s="123">
        <f ca="1">_xll.INSTRUMENT.Z.SPREAD(A232,oisCurve,I232,cContinuous,D232)</f>
        <v>14.540800441508727</v>
      </c>
      <c r="O232" s="124" t="e">
        <f ca="1">1/_xll.CALENDRIER.FRAC.ANNEE(_xll.INSTRUMENT.DATE.REGLEMENT($AC232,,),_xll.INSTRUMENT.DATE.REGLEMENT($AC232,_xll.CALENDRIER.GAP.FINANCE(TODAY(),"1M","AUD","Unadjusted"),),"ACT/365")*(_xll.INSTRUMENT.ROLL.DOWN($A232,oisCurve,_xll.CALENDRIER.GAP.FINANCE(TODAY(),"1M","AUD","Unadjusted",TRUE),$N232)+100*$AA232*_xll.CALENDRIER.FRAC.ANNEE(_xll.INSTRUMENT.DATE.REGLEMENT($AC232,,),_xll.INSTRUMENT.DATE.REGLEMENT($AC232,_xll.CALENDRIER.GAP.FINANCE(TODAY(),"1M","AUD","Unadjusted"),),"ACT/365")-$I232)/$I232</f>
        <v>#NAME?</v>
      </c>
      <c r="P232" s="124" t="e">
        <f ca="1">1/_xll.CALENDRIER.FRAC.ANNEE(_xll.INSTRUMENT.DATE.REGLEMENT($AC232,,),_xll.INSTRUMENT.DATE.REGLEMENT($AC232,_xll.CALENDRIER.GAP.FINANCE(TODAY(),"3M","AUD","Unadjusted"),),"ACT/365")*(_xll.INSTRUMENT.ROLL.DOWN($A232,oisCurve,_xll.CALENDRIER.GAP.FINANCE(TODAY(),"3M","AUD","Unadjusted",TRUE),$N232)+100*$AA232*_xll.CALENDRIER.FRAC.ANNEE(_xll.INSTRUMENT.DATE.REGLEMENT($AC232,,),_xll.INSTRUMENT.DATE.REGLEMENT($AC232,_xll.CALENDRIER.GAP.FINANCE(TODAY(),"3M","AUD","Unadjusted"),),"ACT/365")-$I232)/$I232</f>
        <v>#NAME?</v>
      </c>
      <c r="Q232" s="371" t="e">
        <f ca="1">-(O232-curve!$T$3)/J232</f>
        <v>#NAME?</v>
      </c>
      <c r="R232" s="373">
        <f t="shared" ca="1" si="4"/>
        <v>-447.24694140263608</v>
      </c>
      <c r="S232" s="191" t="str">
        <f>IF(F232&lt;&gt;"","",IF(G232="","",-G232*(SUMIF('raw Data'!$A:$A,"RESINV1USD",'raw Data'!$G:$G)+SUMIF('raw Data'!$A:$A,"RESSWAPORUSD",'raw Data'!$G:$G))/(36500*J232)))</f>
        <v/>
      </c>
      <c r="T232" s="202" t="str">
        <f>IF(G232&lt;&gt;"","",IF(F232="","",-36500*J232*F232/(SUMIF('raw Data'!$A:$A,"RESINV1USD",'raw Data'!$G:$G)+SUMIF('raw Data'!$A:$A,"RESSWAPORUSD",'raw Data'!$G:$G))))</f>
        <v/>
      </c>
      <c r="U232" s="125">
        <f>SUMIF('raw Data'!$E:$E,A232,'raw Data'!$N:$N)</f>
        <v>0</v>
      </c>
      <c r="V232" s="126">
        <v>32919</v>
      </c>
      <c r="W232" s="127">
        <v>32919</v>
      </c>
      <c r="X232" s="127">
        <v>33100</v>
      </c>
      <c r="Y232" s="127">
        <v>43692</v>
      </c>
      <c r="Z232" s="127">
        <v>43876</v>
      </c>
      <c r="AA232" s="128">
        <v>8.5000000000000006E-2</v>
      </c>
      <c r="AB232" s="129">
        <v>9476000000</v>
      </c>
      <c r="AC232" s="130" t="str">
        <f ca="1">IF(LEFT(B232,1)="B",_xll.INSTANCE.TBILL(A232,V232,Z232,TODAY()),_xll.INSTANCE.TNOTE(A232,V232,W232,X232,Y232,Z232,AA232,TODAY()))</f>
        <v>US912810EE48#0003</v>
      </c>
    </row>
    <row r="233" spans="1:29" x14ac:dyDescent="0.35">
      <c r="A233" s="131" t="s">
        <v>250</v>
      </c>
      <c r="B233" s="115" t="s">
        <v>1209</v>
      </c>
      <c r="C233" s="364"/>
      <c r="D233" s="116"/>
      <c r="E233" s="117"/>
      <c r="F233" s="118"/>
      <c r="G233" s="369"/>
      <c r="H233" s="120">
        <v>1.1706038E-2</v>
      </c>
      <c r="I233" s="121">
        <f ca="1">_xll.INSTRUMENT.PRIX(AC233,D233,H233,cTreasuries)</f>
        <v>117.85938182185724</v>
      </c>
      <c r="J233" s="122">
        <f ca="1">_xll.INSTRUMENT.DV01(A233,,,I233,cContinuous,I233)</f>
        <v>-8.0392171860820621E-2</v>
      </c>
      <c r="K233" s="123">
        <f ca="1">_xll.INSTRUMENT.CONVEXITE(A233,,,I233,cContinuous,I233)</f>
        <v>49.413241007114188</v>
      </c>
      <c r="L233" s="123">
        <f ca="1">_xll.INSTRUMENT.Z.SPREAD(A233,swapCurve,I233,cContinuous,D233)</f>
        <v>-22.803786566983312</v>
      </c>
      <c r="M233" s="123" t="e">
        <f ca="1">_xll.INSTRUMENT.Z.SPREAD(A233,ustCurve,I233,cContinuous,D233)</f>
        <v>#VALUE!</v>
      </c>
      <c r="N233" s="123">
        <f ca="1">_xll.INSTRUMENT.Z.SPREAD(A233,oisCurve,I233,cContinuous,D233)</f>
        <v>11.313115594894779</v>
      </c>
      <c r="O233" s="124" t="e">
        <f ca="1">1/_xll.CALENDRIER.FRAC.ANNEE(_xll.INSTRUMENT.DATE.REGLEMENT($AC233,,),_xll.INSTRUMENT.DATE.REGLEMENT($AC233,_xll.CALENDRIER.GAP.FINANCE(TODAY(),"1M","AUD","Unadjusted"),),"ACT/365")*(_xll.INSTRUMENT.ROLL.DOWN($A233,oisCurve,_xll.CALENDRIER.GAP.FINANCE(TODAY(),"1M","AUD","Unadjusted",TRUE),$N233)+100*$AA233*_xll.CALENDRIER.FRAC.ANNEE(_xll.INSTRUMENT.DATE.REGLEMENT($AC233,,),_xll.INSTRUMENT.DATE.REGLEMENT($AC233,_xll.CALENDRIER.GAP.FINANCE(TODAY(),"1M","AUD","Unadjusted"),),"ACT/365")-$I233)/$I233</f>
        <v>#NAME?</v>
      </c>
      <c r="P233" s="124" t="e">
        <f ca="1">1/_xll.CALENDRIER.FRAC.ANNEE(_xll.INSTRUMENT.DATE.REGLEMENT($AC233,,),_xll.INSTRUMENT.DATE.REGLEMENT($AC233,_xll.CALENDRIER.GAP.FINANCE(TODAY(),"3M","AUD","Unadjusted"),),"ACT/365")*(_xll.INSTRUMENT.ROLL.DOWN($A233,oisCurve,_xll.CALENDRIER.GAP.FINANCE(TODAY(),"3M","AUD","Unadjusted",TRUE),$N233)+100*$AA233*_xll.CALENDRIER.FRAC.ANNEE(_xll.INSTRUMENT.DATE.REGLEMENT($AC233,,),_xll.INSTRUMENT.DATE.REGLEMENT($AC233,_xll.CALENDRIER.GAP.FINANCE(TODAY(),"3M","AUD","Unadjusted"),),"ACT/365")-$I233)/$I233</f>
        <v>#NAME?</v>
      </c>
      <c r="Q233" s="371" t="e">
        <f ca="1">-(O233-curve!$T$3)/J233</f>
        <v>#NAME?</v>
      </c>
      <c r="R233" s="373">
        <f t="shared" ca="1" si="4"/>
        <v>-614.65239541806545</v>
      </c>
      <c r="S233" s="191" t="str">
        <f>IF(F233&lt;&gt;"","",IF(G233="","",-G233*(SUMIF('raw Data'!$A:$A,"RESINV1USD",'raw Data'!$G:$G)+SUMIF('raw Data'!$A:$A,"RESSWAPORUSD",'raw Data'!$G:$G))/(36500*J233)))</f>
        <v/>
      </c>
      <c r="T233" s="202" t="str">
        <f>IF(G233&lt;&gt;"","",IF(F233="","",-36500*J233*F233/(SUMIF('raw Data'!$A:$A,"RESINV1USD",'raw Data'!$G:$G)+SUMIF('raw Data'!$A:$A,"RESSWAPORUSD",'raw Data'!$G:$G))))</f>
        <v/>
      </c>
      <c r="U233" s="125">
        <f>SUMIF('raw Data'!$E:$E,A233,'raw Data'!$N:$N)</f>
        <v>0</v>
      </c>
      <c r="V233" s="126">
        <v>40225</v>
      </c>
      <c r="W233" s="127">
        <v>40224</v>
      </c>
      <c r="X233" s="127">
        <v>40405</v>
      </c>
      <c r="Y233" s="127">
        <v>43692</v>
      </c>
      <c r="Z233" s="127">
        <v>43876</v>
      </c>
      <c r="AA233" s="128">
        <v>3.6249999999999998E-2</v>
      </c>
      <c r="AB233" s="129">
        <v>71595000000</v>
      </c>
      <c r="AC233" s="130" t="str">
        <f ca="1">IF(LEFT(B233,1)="B",_xll.INSTANCE.TBILL(A233,V233,Z233,TODAY()),_xll.INSTANCE.TNOTE(A233,V233,W233,X233,Y233,Z233,AA233,TODAY()))</f>
        <v>US912828MP29#0003</v>
      </c>
    </row>
    <row r="234" spans="1:29" x14ac:dyDescent="0.35">
      <c r="A234" s="131" t="s">
        <v>547</v>
      </c>
      <c r="B234" s="115" t="s">
        <v>1210</v>
      </c>
      <c r="C234" s="364"/>
      <c r="D234" s="116"/>
      <c r="E234" s="117"/>
      <c r="F234" s="118"/>
      <c r="G234" s="369"/>
      <c r="H234" s="120">
        <v>1.1841506999999999E-2</v>
      </c>
      <c r="I234" s="121">
        <f ca="1">_xll.INSTRUMENT.PRIX(AC234,D234,H234,cTreasuries)</f>
        <v>156.74379109940875</v>
      </c>
      <c r="J234" s="122">
        <f ca="1">_xll.INSTRUMENT.DV01(A234,,,I234,cContinuous,I234)</f>
        <v>-9.8885358527100509E-2</v>
      </c>
      <c r="K234" s="123">
        <f ca="1">_xll.INSTRUMENT.CONVEXITE(A234,,,I234,cContinuous,I234)</f>
        <v>45.054355625006998</v>
      </c>
      <c r="L234" s="123">
        <f ca="1">_xll.INSTRUMENT.Z.SPREAD(A234,swapCurve,I234,cContinuous,D234)</f>
        <v>-18.579305768545137</v>
      </c>
      <c r="M234" s="123" t="e">
        <f ca="1">_xll.INSTRUMENT.Z.SPREAD(A234,ustCurve,I234,cContinuous,D234)</f>
        <v>#VALUE!</v>
      </c>
      <c r="N234" s="123">
        <f ca="1">_xll.INSTRUMENT.Z.SPREAD(A234,oisCurve,I234,cContinuous,D234)</f>
        <v>15.287087773770372</v>
      </c>
      <c r="O234" s="124" t="e">
        <f ca="1">1/_xll.CALENDRIER.FRAC.ANNEE(_xll.INSTRUMENT.DATE.REGLEMENT($AC234,,),_xll.INSTRUMENT.DATE.REGLEMENT($AC234,_xll.CALENDRIER.GAP.FINANCE(TODAY(),"1M","AUD","Unadjusted"),),"ACT/365")*(_xll.INSTRUMENT.ROLL.DOWN($A234,oisCurve,_xll.CALENDRIER.GAP.FINANCE(TODAY(),"1M","AUD","Unadjusted",TRUE),$N234)+100*$AA234*_xll.CALENDRIER.FRAC.ANNEE(_xll.INSTRUMENT.DATE.REGLEMENT($AC234,,),_xll.INSTRUMENT.DATE.REGLEMENT($AC234,_xll.CALENDRIER.GAP.FINANCE(TODAY(),"1M","AUD","Unadjusted"),),"ACT/365")-$I234)/$I234</f>
        <v>#NAME?</v>
      </c>
      <c r="P234" s="124" t="e">
        <f ca="1">1/_xll.CALENDRIER.FRAC.ANNEE(_xll.INSTRUMENT.DATE.REGLEMENT($AC234,,),_xll.INSTRUMENT.DATE.REGLEMENT($AC234,_xll.CALENDRIER.GAP.FINANCE(TODAY(),"3M","AUD","Unadjusted"),),"ACT/365")*(_xll.INSTRUMENT.ROLL.DOWN($A234,oisCurve,_xll.CALENDRIER.GAP.FINANCE(TODAY(),"3M","AUD","Unadjusted",TRUE),$N234)+100*$AA234*_xll.CALENDRIER.FRAC.ANNEE(_xll.INSTRUMENT.DATE.REGLEMENT($AC234,,),_xll.INSTRUMENT.DATE.REGLEMENT($AC234,_xll.CALENDRIER.GAP.FINANCE(TODAY(),"3M","AUD","Unadjusted"),),"ACT/365")-$I234)/$I234</f>
        <v>#NAME?</v>
      </c>
      <c r="Q234" s="371" t="e">
        <f ca="1">-(O234-curve!$T$3)/J234</f>
        <v>#NAME?</v>
      </c>
      <c r="R234" s="373">
        <f t="shared" ca="1" si="4"/>
        <v>-455.62210923935123</v>
      </c>
      <c r="S234" s="191" t="str">
        <f>IF(F234&lt;&gt;"","",IF(G234="","",-G234*(SUMIF('raw Data'!$A:$A,"RESINV1USD",'raw Data'!$G:$G)+SUMIF('raw Data'!$A:$A,"RESSWAPORUSD",'raw Data'!$G:$G))/(36500*J234)))</f>
        <v/>
      </c>
      <c r="T234" s="202" t="str">
        <f>IF(G234&lt;&gt;"","",IF(F234="","",-36500*J234*F234/(SUMIF('raw Data'!$A:$A,"RESINV1USD",'raw Data'!$G:$G)+SUMIF('raw Data'!$A:$A,"RESSWAPORUSD",'raw Data'!$G:$G))))</f>
        <v/>
      </c>
      <c r="U234" s="125">
        <f>SUMIF('raw Data'!$E:$E,A234,'raw Data'!$N:$N)</f>
        <v>0</v>
      </c>
      <c r="V234" s="126">
        <v>33008</v>
      </c>
      <c r="W234" s="127">
        <v>33008</v>
      </c>
      <c r="X234" s="127">
        <v>33192</v>
      </c>
      <c r="Y234" s="127">
        <v>43784</v>
      </c>
      <c r="Z234" s="127">
        <v>43966</v>
      </c>
      <c r="AA234" s="128">
        <v>8.7499999999999994E-2</v>
      </c>
      <c r="AB234" s="129">
        <v>7582000000</v>
      </c>
      <c r="AC234" s="130" t="str">
        <f ca="1">IF(LEFT(B234,1)="B",_xll.INSTANCE.TBILL(A234,V234,Z234,TODAY()),_xll.INSTANCE.TNOTE(A234,V234,W234,X234,Y234,Z234,AA234,TODAY()))</f>
        <v>US912810EF13#0003</v>
      </c>
    </row>
    <row r="235" spans="1:29" x14ac:dyDescent="0.35">
      <c r="A235" s="131" t="s">
        <v>252</v>
      </c>
      <c r="B235" s="115" t="s">
        <v>1211</v>
      </c>
      <c r="C235" s="364"/>
      <c r="D235" s="116"/>
      <c r="E235" s="117"/>
      <c r="F235" s="118"/>
      <c r="G235" s="369"/>
      <c r="H235" s="120">
        <v>1.2213175999999999E-2</v>
      </c>
      <c r="I235" s="121">
        <f ca="1">_xll.INSTRUMENT.PRIX(AC235,D235,H235,cTreasuries)</f>
        <v>117.06399676087864</v>
      </c>
      <c r="J235" s="122">
        <f ca="1">_xll.INSTRUMENT.DV01(A235,,,I235,cContinuous,I235)</f>
        <v>-8.2388750120014009E-2</v>
      </c>
      <c r="K235" s="123">
        <f ca="1">_xll.INSTRUMENT.CONVEXITE(A235,,,I235,cContinuous,I235)</f>
        <v>52.927761150311596</v>
      </c>
      <c r="L235" s="123">
        <f ca="1">_xll.INSTRUMENT.Z.SPREAD(A235,swapCurve,I235,cContinuous,D235)</f>
        <v>-21.215048260435964</v>
      </c>
      <c r="M235" s="123" t="e">
        <f ca="1">_xll.INSTRUMENT.Z.SPREAD(A235,ustCurve,I235,cContinuous,D235)</f>
        <v>#VALUE!</v>
      </c>
      <c r="N235" s="123">
        <f ca="1">_xll.INSTRUMENT.Z.SPREAD(A235,oisCurve,I235,cContinuous,D235)</f>
        <v>12.636255379047602</v>
      </c>
      <c r="O235" s="124" t="e">
        <f ca="1">1/_xll.CALENDRIER.FRAC.ANNEE(_xll.INSTRUMENT.DATE.REGLEMENT($AC235,,),_xll.INSTRUMENT.DATE.REGLEMENT($AC235,_xll.CALENDRIER.GAP.FINANCE(TODAY(),"1M","AUD","Unadjusted"),),"ACT/365")*(_xll.INSTRUMENT.ROLL.DOWN($A235,oisCurve,_xll.CALENDRIER.GAP.FINANCE(TODAY(),"1M","AUD","Unadjusted",TRUE),$N235)+100*$AA235*_xll.CALENDRIER.FRAC.ANNEE(_xll.INSTRUMENT.DATE.REGLEMENT($AC235,,),_xll.INSTRUMENT.DATE.REGLEMENT($AC235,_xll.CALENDRIER.GAP.FINANCE(TODAY(),"1M","AUD","Unadjusted"),),"ACT/365")-$I235)/$I235</f>
        <v>#NAME?</v>
      </c>
      <c r="P235" s="124" t="e">
        <f ca="1">1/_xll.CALENDRIER.FRAC.ANNEE(_xll.INSTRUMENT.DATE.REGLEMENT($AC235,,),_xll.INSTRUMENT.DATE.REGLEMENT($AC235,_xll.CALENDRIER.GAP.FINANCE(TODAY(),"3M","AUD","Unadjusted"),),"ACT/365")*(_xll.INSTRUMENT.ROLL.DOWN($A235,oisCurve,_xll.CALENDRIER.GAP.FINANCE(TODAY(),"3M","AUD","Unadjusted",TRUE),$N235)+100*$AA235*_xll.CALENDRIER.FRAC.ANNEE(_xll.INSTRUMENT.DATE.REGLEMENT($AC235,,),_xll.INSTRUMENT.DATE.REGLEMENT($AC235,_xll.CALENDRIER.GAP.FINANCE(TODAY(),"3M","AUD","Unadjusted"),),"ACT/365")-$I235)/$I235</f>
        <v>#NAME?</v>
      </c>
      <c r="Q235" s="371" t="e">
        <f ca="1">-(O235-curve!$T$3)/J235</f>
        <v>#NAME?</v>
      </c>
      <c r="R235" s="373">
        <f t="shared" ca="1" si="4"/>
        <v>-642.41490583620714</v>
      </c>
      <c r="S235" s="191" t="str">
        <f>IF(F235&lt;&gt;"","",IF(G235="","",-G235*(SUMIF('raw Data'!$A:$A,"RESINV1USD",'raw Data'!$G:$G)+SUMIF('raw Data'!$A:$A,"RESSWAPORUSD",'raw Data'!$G:$G))/(36500*J235)))</f>
        <v/>
      </c>
      <c r="T235" s="202" t="str">
        <f>IF(G235&lt;&gt;"","",IF(F235="","",-36500*J235*F235/(SUMIF('raw Data'!$A:$A,"RESINV1USD",'raw Data'!$G:$G)+SUMIF('raw Data'!$A:$A,"RESSWAPORUSD",'raw Data'!$G:$G))))</f>
        <v/>
      </c>
      <c r="U235" s="125">
        <f>SUMIF('raw Data'!$E:$E,A235,'raw Data'!$N:$N)</f>
        <v>0</v>
      </c>
      <c r="V235" s="126">
        <v>40315</v>
      </c>
      <c r="W235" s="127">
        <v>40313</v>
      </c>
      <c r="X235" s="127">
        <v>40497</v>
      </c>
      <c r="Y235" s="127">
        <v>43784</v>
      </c>
      <c r="Z235" s="127">
        <v>43966</v>
      </c>
      <c r="AA235" s="128">
        <v>3.5000000000000003E-2</v>
      </c>
      <c r="AB235" s="129">
        <v>68219000000.000015</v>
      </c>
      <c r="AC235" s="130" t="str">
        <f ca="1">IF(LEFT(B235,1)="B",_xll.INSTANCE.TBILL(A235,V235,Z235,TODAY()),_xll.INSTANCE.TNOTE(A235,V235,W235,X235,Y235,Z235,AA235,TODAY()))</f>
        <v>US912828ND89#0003</v>
      </c>
    </row>
    <row r="236" spans="1:29" x14ac:dyDescent="0.35">
      <c r="A236" s="131" t="s">
        <v>548</v>
      </c>
      <c r="B236" s="115" t="s">
        <v>1212</v>
      </c>
      <c r="C236" s="364"/>
      <c r="D236" s="116"/>
      <c r="E236" s="117"/>
      <c r="F236" s="118"/>
      <c r="G236" s="369"/>
      <c r="H236" s="120">
        <v>1.2277941000000001E-2</v>
      </c>
      <c r="I236" s="121">
        <f ca="1">_xll.INSTRUMENT.PRIX(AC236,D236,H236,cTreasuries)</f>
        <v>158.02437278295221</v>
      </c>
      <c r="J236" s="122">
        <f ca="1">_xll.INSTRUMENT.DV01(A236,,,I236,cContinuous,I236)</f>
        <v>-0.10227783748283921</v>
      </c>
      <c r="K236" s="123">
        <f ca="1">_xll.INSTRUMENT.CONVEXITE(A236,,,I236,cContinuous,I236)</f>
        <v>46.993441973062616</v>
      </c>
      <c r="L236" s="123">
        <f ca="1">_xll.INSTRUMENT.Z.SPREAD(A236,swapCurve,I236,cContinuous,D236)</f>
        <v>-17.58771248701175</v>
      </c>
      <c r="M236" s="123" t="e">
        <f ca="1">_xll.INSTRUMENT.Z.SPREAD(A236,ustCurve,I236,cContinuous,D236)</f>
        <v>#VALUE!</v>
      </c>
      <c r="N236" s="123">
        <f ca="1">_xll.INSTRUMENT.Z.SPREAD(A236,oisCurve,I236,cContinuous,D236)</f>
        <v>16.022022057073162</v>
      </c>
      <c r="O236" s="124" t="e">
        <f ca="1">1/_xll.CALENDRIER.FRAC.ANNEE(_xll.INSTRUMENT.DATE.REGLEMENT($AC236,,),_xll.INSTRUMENT.DATE.REGLEMENT($AC236,_xll.CALENDRIER.GAP.FINANCE(TODAY(),"1M","AUD","Unadjusted"),),"ACT/365")*(_xll.INSTRUMENT.ROLL.DOWN($A236,oisCurve,_xll.CALENDRIER.GAP.FINANCE(TODAY(),"1M","AUD","Unadjusted",TRUE),$N236)+100*$AA236*_xll.CALENDRIER.FRAC.ANNEE(_xll.INSTRUMENT.DATE.REGLEMENT($AC236,,),_xll.INSTRUMENT.DATE.REGLEMENT($AC236,_xll.CALENDRIER.GAP.FINANCE(TODAY(),"1M","AUD","Unadjusted"),),"ACT/365")-$I236)/$I236</f>
        <v>#NAME?</v>
      </c>
      <c r="P236" s="124" t="e">
        <f ca="1">1/_xll.CALENDRIER.FRAC.ANNEE(_xll.INSTRUMENT.DATE.REGLEMENT($AC236,,),_xll.INSTRUMENT.DATE.REGLEMENT($AC236,_xll.CALENDRIER.GAP.FINANCE(TODAY(),"3M","AUD","Unadjusted"),),"ACT/365")*(_xll.INSTRUMENT.ROLL.DOWN($A236,oisCurve,_xll.CALENDRIER.GAP.FINANCE(TODAY(),"3M","AUD","Unadjusted",TRUE),$N236)+100*$AA236*_xll.CALENDRIER.FRAC.ANNEE(_xll.INSTRUMENT.DATE.REGLEMENT($AC236,,),_xll.INSTRUMENT.DATE.REGLEMENT($AC236,_xll.CALENDRIER.GAP.FINANCE(TODAY(),"3M","AUD","Unadjusted"),),"ACT/365")-$I236)/$I236</f>
        <v>#NAME?</v>
      </c>
      <c r="Q236" s="371" t="e">
        <f ca="1">-(O236-curve!$T$3)/J236</f>
        <v>#NAME?</v>
      </c>
      <c r="R236" s="373">
        <f t="shared" ca="1" si="4"/>
        <v>-459.46847459448344</v>
      </c>
      <c r="S236" s="191" t="str">
        <f>IF(F236&lt;&gt;"","",IF(G236="","",-G236*(SUMIF('raw Data'!$A:$A,"RESINV1USD",'raw Data'!$G:$G)+SUMIF('raw Data'!$A:$A,"RESSWAPORUSD",'raw Data'!$G:$G))/(36500*J236)))</f>
        <v/>
      </c>
      <c r="T236" s="202" t="str">
        <f>IF(G236&lt;&gt;"","",IF(F236="","",-36500*J236*F236/(SUMIF('raw Data'!$A:$A,"RESINV1USD",'raw Data'!$G:$G)+SUMIF('raw Data'!$A:$A,"RESSWAPORUSD",'raw Data'!$G:$G))))</f>
        <v/>
      </c>
      <c r="U236" s="125">
        <f>SUMIF('raw Data'!$E:$E,A236,'raw Data'!$N:$N)</f>
        <v>0</v>
      </c>
      <c r="V236" s="126">
        <v>33100</v>
      </c>
      <c r="W236" s="127">
        <v>33100</v>
      </c>
      <c r="X236" s="127">
        <v>33284</v>
      </c>
      <c r="Y236" s="127">
        <v>43876</v>
      </c>
      <c r="Z236" s="127">
        <v>44058</v>
      </c>
      <c r="AA236" s="128">
        <v>8.7499999999999994E-2</v>
      </c>
      <c r="AB236" s="129">
        <v>17059000000</v>
      </c>
      <c r="AC236" s="130" t="str">
        <f ca="1">IF(LEFT(B236,1)="B",_xll.INSTANCE.TBILL(A236,V236,Z236,TODAY()),_xll.INSTANCE.TNOTE(A236,V236,W236,X236,Y236,Z236,AA236,TODAY()))</f>
        <v>US912810EG95#0003</v>
      </c>
    </row>
    <row r="237" spans="1:29" x14ac:dyDescent="0.35">
      <c r="A237" s="131" t="s">
        <v>254</v>
      </c>
      <c r="B237" s="115" t="s">
        <v>1213</v>
      </c>
      <c r="C237" s="364"/>
      <c r="D237" s="116"/>
      <c r="E237" s="117"/>
      <c r="F237" s="118"/>
      <c r="G237" s="369"/>
      <c r="H237" s="120">
        <v>1.289393E-2</v>
      </c>
      <c r="I237" s="121">
        <f ca="1">_xll.INSTRUMENT.PRIX(AC237,D237,H237,cTreasuries)</f>
        <v>110.27563917474772</v>
      </c>
      <c r="J237" s="122">
        <f ca="1">_xll.INSTRUMENT.DV01(A237,,,I237,cContinuous,I237)</f>
        <v>-8.1798778857502988E-2</v>
      </c>
      <c r="K237" s="123">
        <f ca="1">_xll.INSTRUMENT.CONVEXITE(A237,,,I237,cContinuous,I237)</f>
        <v>57.839534203886714</v>
      </c>
      <c r="L237" s="123">
        <f ca="1">_xll.INSTRUMENT.Z.SPREAD(A237,swapCurve,I237,cContinuous,D237)</f>
        <v>-19.461363930282463</v>
      </c>
      <c r="M237" s="123" t="e">
        <f ca="1">_xll.INSTRUMENT.Z.SPREAD(A237,ustCurve,I237,cContinuous,D237)</f>
        <v>#VALUE!</v>
      </c>
      <c r="N237" s="123">
        <f ca="1">_xll.INSTRUMENT.Z.SPREAD(A237,oisCurve,I237,cContinuous,D237)</f>
        <v>14.087259760943052</v>
      </c>
      <c r="O237" s="124" t="e">
        <f ca="1">1/_xll.CALENDRIER.FRAC.ANNEE(_xll.INSTRUMENT.DATE.REGLEMENT($AC237,,),_xll.INSTRUMENT.DATE.REGLEMENT($AC237,_xll.CALENDRIER.GAP.FINANCE(TODAY(),"1M","AUD","Unadjusted"),),"ACT/365")*(_xll.INSTRUMENT.ROLL.DOWN($A237,oisCurve,_xll.CALENDRIER.GAP.FINANCE(TODAY(),"1M","AUD","Unadjusted",TRUE),$N237)+100*$AA237*_xll.CALENDRIER.FRAC.ANNEE(_xll.INSTRUMENT.DATE.REGLEMENT($AC237,,),_xll.INSTRUMENT.DATE.REGLEMENT($AC237,_xll.CALENDRIER.GAP.FINANCE(TODAY(),"1M","AUD","Unadjusted"),),"ACT/365")-$I237)/$I237</f>
        <v>#NAME?</v>
      </c>
      <c r="P237" s="124" t="e">
        <f ca="1">1/_xll.CALENDRIER.FRAC.ANNEE(_xll.INSTRUMENT.DATE.REGLEMENT($AC237,,),_xll.INSTRUMENT.DATE.REGLEMENT($AC237,_xll.CALENDRIER.GAP.FINANCE(TODAY(),"3M","AUD","Unadjusted"),),"ACT/365")*(_xll.INSTRUMENT.ROLL.DOWN($A237,oisCurve,_xll.CALENDRIER.GAP.FINANCE(TODAY(),"3M","AUD","Unadjusted",TRUE),$N237)+100*$AA237*_xll.CALENDRIER.FRAC.ANNEE(_xll.INSTRUMENT.DATE.REGLEMENT($AC237,,),_xll.INSTRUMENT.DATE.REGLEMENT($AC237,_xll.CALENDRIER.GAP.FINANCE(TODAY(),"3M","AUD","Unadjusted"),),"ACT/365")-$I237)/$I237</f>
        <v>#NAME?</v>
      </c>
      <c r="Q237" s="371" t="e">
        <f ca="1">-(O237-curve!$T$3)/J237</f>
        <v>#NAME?</v>
      </c>
      <c r="R237" s="373">
        <f t="shared" ca="1" si="4"/>
        <v>-707.09532601514366</v>
      </c>
      <c r="S237" s="191" t="str">
        <f>IF(F237&lt;&gt;"","",IF(G237="","",-G237*(SUMIF('raw Data'!$A:$A,"RESINV1USD",'raw Data'!$G:$G)+SUMIF('raw Data'!$A:$A,"RESSWAPORUSD",'raw Data'!$G:$G))/(36500*J237)))</f>
        <v/>
      </c>
      <c r="T237" s="202" t="str">
        <f>IF(G237&lt;&gt;"","",IF(F237="","",-36500*J237*F237/(SUMIF('raw Data'!$A:$A,"RESINV1USD",'raw Data'!$G:$G)+SUMIF('raw Data'!$A:$A,"RESSWAPORUSD",'raw Data'!$G:$G))))</f>
        <v/>
      </c>
      <c r="U237" s="125">
        <f>SUMIF('raw Data'!$E:$E,A237,'raw Data'!$N:$N)</f>
        <v>0</v>
      </c>
      <c r="V237" s="126">
        <v>40406</v>
      </c>
      <c r="W237" s="127">
        <v>40405</v>
      </c>
      <c r="X237" s="127">
        <v>40589</v>
      </c>
      <c r="Y237" s="127">
        <v>43876</v>
      </c>
      <c r="Z237" s="127">
        <v>44058</v>
      </c>
      <c r="AA237" s="128">
        <v>2.6249999999999999E-2</v>
      </c>
      <c r="AB237" s="129">
        <v>67850000000</v>
      </c>
      <c r="AC237" s="130" t="str">
        <f ca="1">IF(LEFT(B237,1)="B",_xll.INSTANCE.TBILL(A237,V237,Z237,TODAY()),_xll.INSTANCE.TNOTE(A237,V237,W237,X237,Y237,Z237,AA237,TODAY()))</f>
        <v>US912828NT32#0003</v>
      </c>
    </row>
    <row r="238" spans="1:29" x14ac:dyDescent="0.35">
      <c r="A238" s="131" t="s">
        <v>256</v>
      </c>
      <c r="B238" s="115" t="s">
        <v>1214</v>
      </c>
      <c r="C238" s="364"/>
      <c r="D238" s="116"/>
      <c r="E238" s="117"/>
      <c r="F238" s="118"/>
      <c r="G238" s="369"/>
      <c r="H238" s="120">
        <v>1.341898E-2</v>
      </c>
      <c r="I238" s="121">
        <f ca="1">_xll.INSTRUMENT.PRIX(AC238,D238,H238,cTreasuries)</f>
        <v>110.13129231991819</v>
      </c>
      <c r="J238" s="122">
        <f ca="1">_xll.INSTRUMENT.DV01(A238,,,I238,cContinuous,I238)</f>
        <v>-8.3961118624176337E-2</v>
      </c>
      <c r="K238" s="123">
        <f ca="1">_xll.INSTRUMENT.CONVEXITE(A238,,,I238,cContinuous,I238)</f>
        <v>61.536786762470129</v>
      </c>
      <c r="L238" s="123">
        <f ca="1">_xll.INSTRUMENT.Z.SPREAD(A238,swapCurve,I238,cContinuous,D238)</f>
        <v>-17.66492474594115</v>
      </c>
      <c r="M238" s="123" t="e">
        <f ca="1">_xll.INSTRUMENT.Z.SPREAD(A238,ustCurve,I238,cContinuous,D238)</f>
        <v>#VALUE!</v>
      </c>
      <c r="N238" s="123">
        <f ca="1">_xll.INSTRUMENT.Z.SPREAD(A238,oisCurve,I238,cContinuous,D238)</f>
        <v>15.650822459251383</v>
      </c>
      <c r="O238" s="124" t="e">
        <f ca="1">1/_xll.CALENDRIER.FRAC.ANNEE(_xll.INSTRUMENT.DATE.REGLEMENT($AC238,,),_xll.INSTRUMENT.DATE.REGLEMENT($AC238,_xll.CALENDRIER.GAP.FINANCE(TODAY(),"1M","AUD","Unadjusted"),),"ACT/365")*(_xll.INSTRUMENT.ROLL.DOWN($A238,oisCurve,_xll.CALENDRIER.GAP.FINANCE(TODAY(),"1M","AUD","Unadjusted",TRUE),$N238)+100*$AA238*_xll.CALENDRIER.FRAC.ANNEE(_xll.INSTRUMENT.DATE.REGLEMENT($AC238,,),_xll.INSTRUMENT.DATE.REGLEMENT($AC238,_xll.CALENDRIER.GAP.FINANCE(TODAY(),"1M","AUD","Unadjusted"),),"ACT/365")-$I238)/$I238</f>
        <v>#NAME?</v>
      </c>
      <c r="P238" s="124" t="e">
        <f ca="1">1/_xll.CALENDRIER.FRAC.ANNEE(_xll.INSTRUMENT.DATE.REGLEMENT($AC238,,),_xll.INSTRUMENT.DATE.REGLEMENT($AC238,_xll.CALENDRIER.GAP.FINANCE(TODAY(),"3M","AUD","Unadjusted"),),"ACT/365")*(_xll.INSTRUMENT.ROLL.DOWN($A238,oisCurve,_xll.CALENDRIER.GAP.FINANCE(TODAY(),"3M","AUD","Unadjusted",TRUE),$N238)+100*$AA238*_xll.CALENDRIER.FRAC.ANNEE(_xll.INSTRUMENT.DATE.REGLEMENT($AC238,,),_xll.INSTRUMENT.DATE.REGLEMENT($AC238,_xll.CALENDRIER.GAP.FINANCE(TODAY(),"3M","AUD","Unadjusted"),),"ACT/365")-$I238)/$I238</f>
        <v>#NAME?</v>
      </c>
      <c r="Q238" s="371" t="e">
        <f ca="1">-(O238-curve!$T$3)/J238</f>
        <v>#NAME?</v>
      </c>
      <c r="R238" s="373">
        <f t="shared" ca="1" si="4"/>
        <v>-732.92004407324328</v>
      </c>
      <c r="S238" s="191" t="str">
        <f>IF(F238&lt;&gt;"","",IF(G238="","",-G238*(SUMIF('raw Data'!$A:$A,"RESINV1USD",'raw Data'!$G:$G)+SUMIF('raw Data'!$A:$A,"RESSWAPORUSD",'raw Data'!$G:$G))/(36500*J238)))</f>
        <v/>
      </c>
      <c r="T238" s="202" t="str">
        <f>IF(G238&lt;&gt;"","",IF(F238="","",-36500*J238*F238/(SUMIF('raw Data'!$A:$A,"RESINV1USD",'raw Data'!$G:$G)+SUMIF('raw Data'!$A:$A,"RESSWAPORUSD",'raw Data'!$G:$G))))</f>
        <v/>
      </c>
      <c r="U238" s="125">
        <f>SUMIF('raw Data'!$E:$E,A238,'raw Data'!$N:$N)</f>
        <v>0</v>
      </c>
      <c r="V238" s="126">
        <v>40497</v>
      </c>
      <c r="W238" s="127">
        <v>40497</v>
      </c>
      <c r="X238" s="127">
        <v>40678</v>
      </c>
      <c r="Y238" s="127">
        <v>43966</v>
      </c>
      <c r="Z238" s="127">
        <v>44150</v>
      </c>
      <c r="AA238" s="128">
        <v>2.6249999999999999E-2</v>
      </c>
      <c r="AB238" s="129">
        <v>67410000000</v>
      </c>
      <c r="AC238" s="130" t="str">
        <f ca="1">IF(LEFT(B238,1)="B",_xll.INSTANCE.TBILL(A238,V238,Z238,TODAY()),_xll.INSTANCE.TNOTE(A238,V238,W238,X238,Y238,Z238,AA238,TODAY()))</f>
        <v>US912828PC88#0003</v>
      </c>
    </row>
    <row r="239" spans="1:29" x14ac:dyDescent="0.35">
      <c r="A239" s="131" t="s">
        <v>258</v>
      </c>
      <c r="B239" s="115" t="s">
        <v>1215</v>
      </c>
      <c r="C239" s="364"/>
      <c r="D239" s="116"/>
      <c r="E239" s="117"/>
      <c r="F239" s="118"/>
      <c r="G239" s="369"/>
      <c r="H239" s="120">
        <v>1.3694041000000001E-2</v>
      </c>
      <c r="I239" s="121">
        <f ca="1">_xll.INSTRUMENT.PRIX(AC239,D239,H239,cTreasuries)</f>
        <v>118.29393997005756</v>
      </c>
      <c r="J239" s="122">
        <f ca="1">_xll.INSTRUMENT.DV01(A239,,,I239,cContinuous,I239)</f>
        <v>-8.9907713576245038E-2</v>
      </c>
      <c r="K239" s="123">
        <f ca="1">_xll.INSTRUMENT.CONVEXITE(A239,,,I239,cContinuous,I239)</f>
        <v>61.846964986874454</v>
      </c>
      <c r="L239" s="123">
        <f ca="1">_xll.INSTRUMENT.Z.SPREAD(A239,swapCurve,I239,cContinuous,D239)</f>
        <v>-16.665058248288663</v>
      </c>
      <c r="M239" s="123" t="e">
        <f ca="1">_xll.INSTRUMENT.Z.SPREAD(A239,ustCurve,I239,cContinuous,D239)</f>
        <v>#VALUE!</v>
      </c>
      <c r="N239" s="123">
        <f ca="1">_xll.INSTRUMENT.Z.SPREAD(A239,oisCurve,I239,cContinuous,D239)</f>
        <v>16.478211155418126</v>
      </c>
      <c r="O239" s="124" t="e">
        <f ca="1">1/_xll.CALENDRIER.FRAC.ANNEE(_xll.INSTRUMENT.DATE.REGLEMENT($AC239,,),_xll.INSTRUMENT.DATE.REGLEMENT($AC239,_xll.CALENDRIER.GAP.FINANCE(TODAY(),"1M","AUD","Unadjusted"),),"ACT/365")*(_xll.INSTRUMENT.ROLL.DOWN($A239,oisCurve,_xll.CALENDRIER.GAP.FINANCE(TODAY(),"1M","AUD","Unadjusted",TRUE),$N239)+100*$AA239*_xll.CALENDRIER.FRAC.ANNEE(_xll.INSTRUMENT.DATE.REGLEMENT($AC239,,),_xll.INSTRUMENT.DATE.REGLEMENT($AC239,_xll.CALENDRIER.GAP.FINANCE(TODAY(),"1M","AUD","Unadjusted"),),"ACT/365")-$I239)/$I239</f>
        <v>#NAME?</v>
      </c>
      <c r="P239" s="124" t="e">
        <f ca="1">1/_xll.CALENDRIER.FRAC.ANNEE(_xll.INSTRUMENT.DATE.REGLEMENT($AC239,,),_xll.INSTRUMENT.DATE.REGLEMENT($AC239,_xll.CALENDRIER.GAP.FINANCE(TODAY(),"3M","AUD","Unadjusted"),),"ACT/365")*(_xll.INSTRUMENT.ROLL.DOWN($A239,oisCurve,_xll.CALENDRIER.GAP.FINANCE(TODAY(),"3M","AUD","Unadjusted",TRUE),$N239)+100*$AA239*_xll.CALENDRIER.FRAC.ANNEE(_xll.INSTRUMENT.DATE.REGLEMENT($AC239,,),_xll.INSTRUMENT.DATE.REGLEMENT($AC239,_xll.CALENDRIER.GAP.FINANCE(TODAY(),"3M","AUD","Unadjusted"),),"ACT/365")-$I239)/$I239</f>
        <v>#NAME?</v>
      </c>
      <c r="Q239" s="371" t="e">
        <f ca="1">-(O239-curve!$T$3)/J239</f>
        <v>#NAME?</v>
      </c>
      <c r="R239" s="373">
        <f t="shared" ca="1" si="4"/>
        <v>-687.89386946678337</v>
      </c>
      <c r="S239" s="191" t="str">
        <f>IF(F239&lt;&gt;"","",IF(G239="","",-G239*(SUMIF('raw Data'!$A:$A,"RESINV1USD",'raw Data'!$G:$G)+SUMIF('raw Data'!$A:$A,"RESSWAPORUSD",'raw Data'!$G:$G))/(36500*J239)))</f>
        <v/>
      </c>
      <c r="T239" s="202" t="str">
        <f>IF(G239&lt;&gt;"","",IF(F239="","",-36500*J239*F239/(SUMIF('raw Data'!$A:$A,"RESINV1USD",'raw Data'!$G:$G)+SUMIF('raw Data'!$A:$A,"RESSWAPORUSD",'raw Data'!$G:$G))))</f>
        <v/>
      </c>
      <c r="U239" s="125">
        <f>SUMIF('raw Data'!$E:$E,A239,'raw Data'!$N:$N)</f>
        <v>0</v>
      </c>
      <c r="V239" s="126">
        <v>40589</v>
      </c>
      <c r="W239" s="127">
        <v>40589</v>
      </c>
      <c r="X239" s="127">
        <v>40770</v>
      </c>
      <c r="Y239" s="127">
        <v>44058</v>
      </c>
      <c r="Z239" s="127">
        <v>44242</v>
      </c>
      <c r="AA239" s="128">
        <v>3.6249999999999998E-2</v>
      </c>
      <c r="AB239" s="129">
        <v>67585000000</v>
      </c>
      <c r="AC239" s="130" t="str">
        <f ca="1">IF(LEFT(B239,1)="B",_xll.INSTANCE.TBILL(A239,V239,Z239,TODAY()),_xll.INSTANCE.TNOTE(A239,V239,W239,X239,Y239,Z239,AA239,TODAY()))</f>
        <v>US912828PX26#0003</v>
      </c>
    </row>
    <row r="240" spans="1:29" x14ac:dyDescent="0.35">
      <c r="A240" s="131" t="s">
        <v>549</v>
      </c>
      <c r="B240" s="115" t="s">
        <v>1216</v>
      </c>
      <c r="C240" s="364"/>
      <c r="D240" s="116"/>
      <c r="E240" s="117"/>
      <c r="F240" s="118"/>
      <c r="G240" s="369"/>
      <c r="H240" s="120">
        <v>1.3195277E-2</v>
      </c>
      <c r="I240" s="121">
        <f ca="1">_xll.INSTRUMENT.PRIX(AC240,D240,H240,cTreasuries)</f>
        <v>153.29400356876366</v>
      </c>
      <c r="J240" s="122">
        <f ca="1">_xll.INSTRUMENT.DV01(A240,,,I240,cContinuous,I240)</f>
        <v>-0.10577838739232495</v>
      </c>
      <c r="K240" s="123">
        <f ca="1">_xll.INSTRUMENT.CONVEXITE(A240,,,I240,cContinuous,I240)</f>
        <v>53.382777439109255</v>
      </c>
      <c r="L240" s="123">
        <f ca="1">_xll.INSTRUMENT.Z.SPREAD(A240,swapCurve,I240,cContinuous,D240)</f>
        <v>-15.693715558952487</v>
      </c>
      <c r="M240" s="123" t="e">
        <f ca="1">_xll.INSTRUMENT.Z.SPREAD(A240,ustCurve,I240,cContinuous,D240)</f>
        <v>#VALUE!</v>
      </c>
      <c r="N240" s="123">
        <f ca="1">_xll.INSTRUMENT.Z.SPREAD(A240,oisCurve,I240,cContinuous,D240)</f>
        <v>17.543074226565821</v>
      </c>
      <c r="O240" s="124" t="e">
        <f ca="1">1/_xll.CALENDRIER.FRAC.ANNEE(_xll.INSTRUMENT.DATE.REGLEMENT($AC240,,),_xll.INSTRUMENT.DATE.REGLEMENT($AC240,_xll.CALENDRIER.GAP.FINANCE(TODAY(),"1M","AUD","Unadjusted"),),"ACT/365")*(_xll.INSTRUMENT.ROLL.DOWN($A240,oisCurve,_xll.CALENDRIER.GAP.FINANCE(TODAY(),"1M","AUD","Unadjusted",TRUE),$N240)+100*$AA240*_xll.CALENDRIER.FRAC.ANNEE(_xll.INSTRUMENT.DATE.REGLEMENT($AC240,,),_xll.INSTRUMENT.DATE.REGLEMENT($AC240,_xll.CALENDRIER.GAP.FINANCE(TODAY(),"1M","AUD","Unadjusted"),),"ACT/365")-$I240)/$I240</f>
        <v>#NAME?</v>
      </c>
      <c r="P240" s="124" t="e">
        <f ca="1">1/_xll.CALENDRIER.FRAC.ANNEE(_xll.INSTRUMENT.DATE.REGLEMENT($AC240,,),_xll.INSTRUMENT.DATE.REGLEMENT($AC240,_xll.CALENDRIER.GAP.FINANCE(TODAY(),"3M","AUD","Unadjusted"),),"ACT/365")*(_xll.INSTRUMENT.ROLL.DOWN($A240,oisCurve,_xll.CALENDRIER.GAP.FINANCE(TODAY(),"3M","AUD","Unadjusted",TRUE),$N240)+100*$AA240*_xll.CALENDRIER.FRAC.ANNEE(_xll.INSTRUMENT.DATE.REGLEMENT($AC240,,),_xll.INSTRUMENT.DATE.REGLEMENT($AC240,_xll.CALENDRIER.GAP.FINANCE(TODAY(),"3M","AUD","Unadjusted"),),"ACT/365")-$I240)/$I240</f>
        <v>#NAME?</v>
      </c>
      <c r="Q240" s="371" t="e">
        <f ca="1">-(O240-curve!$T$3)/J240</f>
        <v>#NAME?</v>
      </c>
      <c r="R240" s="373">
        <f t="shared" ca="1" si="4"/>
        <v>-504.6662059718883</v>
      </c>
      <c r="S240" s="191" t="str">
        <f>IF(F240&lt;&gt;"","",IF(G240="","",-G240*(SUMIF('raw Data'!$A:$A,"RESINV1USD",'raw Data'!$G:$G)+SUMIF('raw Data'!$A:$A,"RESSWAPORUSD",'raw Data'!$G:$G))/(36500*J240)))</f>
        <v/>
      </c>
      <c r="T240" s="202" t="str">
        <f>IF(G240&lt;&gt;"","",IF(F240="","",-36500*J240*F240/(SUMIF('raw Data'!$A:$A,"RESINV1USD",'raw Data'!$G:$G)+SUMIF('raw Data'!$A:$A,"RESSWAPORUSD",'raw Data'!$G:$G))))</f>
        <v/>
      </c>
      <c r="U240" s="125">
        <f>SUMIF('raw Data'!$E:$E,A240,'raw Data'!$N:$N)</f>
        <v>0</v>
      </c>
      <c r="V240" s="126">
        <v>33284</v>
      </c>
      <c r="W240" s="127">
        <v>33284</v>
      </c>
      <c r="X240" s="127">
        <v>33465</v>
      </c>
      <c r="Y240" s="127">
        <v>44058</v>
      </c>
      <c r="Z240" s="127">
        <v>44242</v>
      </c>
      <c r="AA240" s="128">
        <v>7.8750000000000001E-2</v>
      </c>
      <c r="AB240" s="129">
        <v>10076000000</v>
      </c>
      <c r="AC240" s="130" t="str">
        <f ca="1">IF(LEFT(B240,1)="B",_xll.INSTANCE.TBILL(A240,V240,Z240,TODAY()),_xll.INSTANCE.TNOTE(A240,V240,W240,X240,Y240,Z240,AA240,TODAY()))</f>
        <v>US912810EH78#0003</v>
      </c>
    </row>
    <row r="241" spans="1:29" x14ac:dyDescent="0.35">
      <c r="A241" s="131" t="s">
        <v>260</v>
      </c>
      <c r="B241" s="115" t="s">
        <v>1217</v>
      </c>
      <c r="C241" s="364"/>
      <c r="D241" s="116"/>
      <c r="E241" s="117"/>
      <c r="F241" s="118"/>
      <c r="G241" s="369"/>
      <c r="H241" s="120">
        <v>1.4309907E-2</v>
      </c>
      <c r="I241" s="121">
        <f ca="1">_xll.INSTRUMENT.PRIX(AC241,D241,H241,cTreasuries)</f>
        <v>114.07700818485796</v>
      </c>
      <c r="J241" s="122">
        <f ca="1">_xll.INSTRUMENT.DV01(A241,,,I241,cContinuous,I241)</f>
        <v>-9.0141644817084504E-2</v>
      </c>
      <c r="K241" s="123">
        <f ca="1">_xll.INSTRUMENT.CONVEXITE(A241,,,I241,cContinuous,I241)</f>
        <v>66.990808544917854</v>
      </c>
      <c r="L241" s="123">
        <f ca="1">_xll.INSTRUMENT.Z.SPREAD(A241,swapCurve,I241,cContinuous,D241)</f>
        <v>-14.698629266289023</v>
      </c>
      <c r="M241" s="123" t="e">
        <f ca="1">_xll.INSTRUMENT.Z.SPREAD(A241,ustCurve,I241,cContinuous,D241)</f>
        <v>#VALUE!</v>
      </c>
      <c r="N241" s="123">
        <f ca="1">_xll.INSTRUMENT.Z.SPREAD(A241,oisCurve,I241,cContinuous,D241)</f>
        <v>18.296452883464781</v>
      </c>
      <c r="O241" s="124" t="e">
        <f ca="1">1/_xll.CALENDRIER.FRAC.ANNEE(_xll.INSTRUMENT.DATE.REGLEMENT($AC241,,),_xll.INSTRUMENT.DATE.REGLEMENT($AC241,_xll.CALENDRIER.GAP.FINANCE(TODAY(),"1M","AUD","Unadjusted"),),"ACT/365")*(_xll.INSTRUMENT.ROLL.DOWN($A241,oisCurve,_xll.CALENDRIER.GAP.FINANCE(TODAY(),"1M","AUD","Unadjusted",TRUE),$N241)+100*$AA241*_xll.CALENDRIER.FRAC.ANNEE(_xll.INSTRUMENT.DATE.REGLEMENT($AC241,,),_xll.INSTRUMENT.DATE.REGLEMENT($AC241,_xll.CALENDRIER.GAP.FINANCE(TODAY(),"1M","AUD","Unadjusted"),),"ACT/365")-$I241)/$I241</f>
        <v>#NAME?</v>
      </c>
      <c r="P241" s="124" t="e">
        <f ca="1">1/_xll.CALENDRIER.FRAC.ANNEE(_xll.INSTRUMENT.DATE.REGLEMENT($AC241,,),_xll.INSTRUMENT.DATE.REGLEMENT($AC241,_xll.CALENDRIER.GAP.FINANCE(TODAY(),"3M","AUD","Unadjusted"),),"ACT/365")*(_xll.INSTRUMENT.ROLL.DOWN($A241,oisCurve,_xll.CALENDRIER.GAP.FINANCE(TODAY(),"3M","AUD","Unadjusted",TRUE),$N241)+100*$AA241*_xll.CALENDRIER.FRAC.ANNEE(_xll.INSTRUMENT.DATE.REGLEMENT($AC241,,),_xll.INSTRUMENT.DATE.REGLEMENT($AC241,_xll.CALENDRIER.GAP.FINANCE(TODAY(),"3M","AUD","Unadjusted"),),"ACT/365")-$I241)/$I241</f>
        <v>#NAME?</v>
      </c>
      <c r="Q241" s="371" t="e">
        <f ca="1">-(O241-curve!$T$3)/J241</f>
        <v>#NAME?</v>
      </c>
      <c r="R241" s="373">
        <f t="shared" ca="1" si="4"/>
        <v>-743.17268872623367</v>
      </c>
      <c r="S241" s="191" t="str">
        <f>IF(F241&lt;&gt;"","",IF(G241="","",-G241*(SUMIF('raw Data'!$A:$A,"RESINV1USD",'raw Data'!$G:$G)+SUMIF('raw Data'!$A:$A,"RESSWAPORUSD",'raw Data'!$G:$G))/(36500*J241)))</f>
        <v/>
      </c>
      <c r="T241" s="202" t="str">
        <f>IF(G241&lt;&gt;"","",IF(F241="","",-36500*J241*F241/(SUMIF('raw Data'!$A:$A,"RESINV1USD",'raw Data'!$G:$G)+SUMIF('raw Data'!$A:$A,"RESSWAPORUSD",'raw Data'!$G:$G))))</f>
        <v/>
      </c>
      <c r="U241" s="125">
        <f>SUMIF('raw Data'!$E:$E,A241,'raw Data'!$N:$N)</f>
        <v>0</v>
      </c>
      <c r="V241" s="126">
        <v>40679</v>
      </c>
      <c r="W241" s="127">
        <v>40678</v>
      </c>
      <c r="X241" s="127">
        <v>40862</v>
      </c>
      <c r="Y241" s="127">
        <v>44150</v>
      </c>
      <c r="Z241" s="127">
        <v>44331</v>
      </c>
      <c r="AA241" s="128">
        <v>3.125E-2</v>
      </c>
      <c r="AB241" s="129">
        <v>66000000000</v>
      </c>
      <c r="AC241" s="130" t="str">
        <f ca="1">IF(LEFT(B241,1)="B",_xll.INSTANCE.TBILL(A241,V241,Z241,TODAY()),_xll.INSTANCE.TNOTE(A241,V241,W241,X241,Y241,Z241,AA241,TODAY()))</f>
        <v>US912828QN35#0003</v>
      </c>
    </row>
    <row r="242" spans="1:29" x14ac:dyDescent="0.35">
      <c r="A242" s="131" t="s">
        <v>550</v>
      </c>
      <c r="B242" s="115" t="s">
        <v>1218</v>
      </c>
      <c r="C242" s="364"/>
      <c r="D242" s="116"/>
      <c r="E242" s="117"/>
      <c r="F242" s="118"/>
      <c r="G242" s="369"/>
      <c r="H242" s="120">
        <v>1.3655911999999999E-2</v>
      </c>
      <c r="I242" s="121">
        <f ca="1">_xll.INSTRUMENT.PRIX(AC242,D242,H242,cTreasuries)</f>
        <v>156.33214515639267</v>
      </c>
      <c r="J242" s="122">
        <f ca="1">_xll.INSTRUMENT.DV01(A242,,,I242,cContinuous,I242)</f>
        <v>-0.10981868784416435</v>
      </c>
      <c r="K242" s="123">
        <f ca="1">_xll.INSTRUMENT.CONVEXITE(A242,,,I242,cContinuous,I242)</f>
        <v>56.352428748421332</v>
      </c>
      <c r="L242" s="123">
        <f ca="1">_xll.INSTRUMENT.Z.SPREAD(A242,swapCurve,I242,cContinuous,D242)</f>
        <v>-13.867273678167662</v>
      </c>
      <c r="M242" s="123" t="e">
        <f ca="1">_xll.INSTRUMENT.Z.SPREAD(A242,ustCurve,I242,cContinuous,D242)</f>
        <v>#VALUE!</v>
      </c>
      <c r="N242" s="123">
        <f ca="1">_xll.INSTRUMENT.Z.SPREAD(A242,oisCurve,I242,cContinuous,D242)</f>
        <v>19.265285533418115</v>
      </c>
      <c r="O242" s="124" t="e">
        <f ca="1">1/_xll.CALENDRIER.FRAC.ANNEE(_xll.INSTRUMENT.DATE.REGLEMENT($AC242,,),_xll.INSTRUMENT.DATE.REGLEMENT($AC242,_xll.CALENDRIER.GAP.FINANCE(TODAY(),"1M","AUD","Unadjusted"),),"ACT/365")*(_xll.INSTRUMENT.ROLL.DOWN($A242,oisCurve,_xll.CALENDRIER.GAP.FINANCE(TODAY(),"1M","AUD","Unadjusted",TRUE),$N242)+100*$AA242*_xll.CALENDRIER.FRAC.ANNEE(_xll.INSTRUMENT.DATE.REGLEMENT($AC242,,),_xll.INSTRUMENT.DATE.REGLEMENT($AC242,_xll.CALENDRIER.GAP.FINANCE(TODAY(),"1M","AUD","Unadjusted"),),"ACT/365")-$I242)/$I242</f>
        <v>#NAME?</v>
      </c>
      <c r="P242" s="124" t="e">
        <f ca="1">1/_xll.CALENDRIER.FRAC.ANNEE(_xll.INSTRUMENT.DATE.REGLEMENT($AC242,,),_xll.INSTRUMENT.DATE.REGLEMENT($AC242,_xll.CALENDRIER.GAP.FINANCE(TODAY(),"3M","AUD","Unadjusted"),),"ACT/365")*(_xll.INSTRUMENT.ROLL.DOWN($A242,oisCurve,_xll.CALENDRIER.GAP.FINANCE(TODAY(),"3M","AUD","Unadjusted",TRUE),$N242)+100*$AA242*_xll.CALENDRIER.FRAC.ANNEE(_xll.INSTRUMENT.DATE.REGLEMENT($AC242,,),_xll.INSTRUMENT.DATE.REGLEMENT($AC242,_xll.CALENDRIER.GAP.FINANCE(TODAY(),"3M","AUD","Unadjusted"),),"ACT/365")-$I242)/$I242</f>
        <v>#NAME?</v>
      </c>
      <c r="Q242" s="371" t="e">
        <f ca="1">-(O242-curve!$T$3)/J242</f>
        <v>#NAME?</v>
      </c>
      <c r="R242" s="373">
        <f t="shared" ca="1" si="4"/>
        <v>-513.14061253752129</v>
      </c>
      <c r="S242" s="191" t="str">
        <f>IF(F242&lt;&gt;"","",IF(G242="","",-G242*(SUMIF('raw Data'!$A:$A,"RESINV1USD",'raw Data'!$G:$G)+SUMIF('raw Data'!$A:$A,"RESSWAPORUSD",'raw Data'!$G:$G))/(36500*J242)))</f>
        <v/>
      </c>
      <c r="T242" s="202" t="str">
        <f>IF(G242&lt;&gt;"","",IF(F242="","",-36500*J242*F242/(SUMIF('raw Data'!$A:$A,"RESINV1USD",'raw Data'!$G:$G)+SUMIF('raw Data'!$A:$A,"RESSWAPORUSD",'raw Data'!$G:$G))))</f>
        <v/>
      </c>
      <c r="U242" s="125">
        <f>SUMIF('raw Data'!$E:$E,A242,'raw Data'!$N:$N)</f>
        <v>0</v>
      </c>
      <c r="V242" s="126">
        <v>33373</v>
      </c>
      <c r="W242" s="127">
        <v>33373</v>
      </c>
      <c r="X242" s="127">
        <v>33557</v>
      </c>
      <c r="Y242" s="127">
        <v>44150</v>
      </c>
      <c r="Z242" s="127">
        <v>44331</v>
      </c>
      <c r="AA242" s="128">
        <v>8.1250000000000003E-2</v>
      </c>
      <c r="AB242" s="129">
        <v>10067000000</v>
      </c>
      <c r="AC242" s="130" t="str">
        <f ca="1">IF(LEFT(B242,1)="B",_xll.INSTANCE.TBILL(A242,V242,Z242,TODAY()),_xll.INSTANCE.TNOTE(A242,V242,W242,X242,Y242,Z242,AA242,TODAY()))</f>
        <v>US912810EJ35#0003</v>
      </c>
    </row>
    <row r="243" spans="1:29" x14ac:dyDescent="0.35">
      <c r="A243" s="131" t="s">
        <v>262</v>
      </c>
      <c r="B243" s="115" t="s">
        <v>1219</v>
      </c>
      <c r="C243" s="364"/>
      <c r="D243" s="116"/>
      <c r="E243" s="117"/>
      <c r="F243" s="118"/>
      <c r="G243" s="369"/>
      <c r="H243" s="120">
        <v>1.4941830999999999E-2</v>
      </c>
      <c r="I243" s="121">
        <f ca="1">_xll.INSTRUMENT.PRIX(AC243,D243,H243,cTreasuries)</f>
        <v>105.36529770361636</v>
      </c>
      <c r="J243" s="122">
        <f ca="1">_xll.INSTRUMENT.DV01(A243,,,I243,cContinuous,I243)</f>
        <v>-8.8196813730920767E-2</v>
      </c>
      <c r="K243" s="123">
        <f ca="1">_xll.INSTRUMENT.CONVEXITE(A243,,,I243,cContinuous,I243)</f>
        <v>73.51068018369395</v>
      </c>
      <c r="L243" s="123">
        <f ca="1">_xll.INSTRUMENT.Z.SPREAD(A243,swapCurve,I243,cContinuous,D243)</f>
        <v>-13.587396419900971</v>
      </c>
      <c r="M243" s="123" t="e">
        <f ca="1">_xll.INSTRUMENT.Z.SPREAD(A243,ustCurve,I243,cContinuous,D243)</f>
        <v>#VALUE!</v>
      </c>
      <c r="N243" s="123">
        <f ca="1">_xll.INSTRUMENT.Z.SPREAD(A243,oisCurve,I243,cContinuous,D243)</f>
        <v>19.266625892255426</v>
      </c>
      <c r="O243" s="124" t="e">
        <f ca="1">1/_xll.CALENDRIER.FRAC.ANNEE(_xll.INSTRUMENT.DATE.REGLEMENT($AC243,,),_xll.INSTRUMENT.DATE.REGLEMENT($AC243,_xll.CALENDRIER.GAP.FINANCE(TODAY(),"1M","AUD","Unadjusted"),),"ACT/365")*(_xll.INSTRUMENT.ROLL.DOWN($A243,oisCurve,_xll.CALENDRIER.GAP.FINANCE(TODAY(),"1M","AUD","Unadjusted",TRUE),$N243)+100*$AA243*_xll.CALENDRIER.FRAC.ANNEE(_xll.INSTRUMENT.DATE.REGLEMENT($AC243,,),_xll.INSTRUMENT.DATE.REGLEMENT($AC243,_xll.CALENDRIER.GAP.FINANCE(TODAY(),"1M","AUD","Unadjusted"),),"ACT/365")-$I243)/$I243</f>
        <v>#NAME?</v>
      </c>
      <c r="P243" s="124" t="e">
        <f ca="1">1/_xll.CALENDRIER.FRAC.ANNEE(_xll.INSTRUMENT.DATE.REGLEMENT($AC243,,),_xll.INSTRUMENT.DATE.REGLEMENT($AC243,_xll.CALENDRIER.GAP.FINANCE(TODAY(),"3M","AUD","Unadjusted"),),"ACT/365")*(_xll.INSTRUMENT.ROLL.DOWN($A243,oisCurve,_xll.CALENDRIER.GAP.FINANCE(TODAY(),"3M","AUD","Unadjusted",TRUE),$N243)+100*$AA243*_xll.CALENDRIER.FRAC.ANNEE(_xll.INSTRUMENT.DATE.REGLEMENT($AC243,,),_xll.INSTRUMENT.DATE.REGLEMENT($AC243,_xll.CALENDRIER.GAP.FINANCE(TODAY(),"3M","AUD","Unadjusted"),),"ACT/365")-$I243)/$I243</f>
        <v>#NAME?</v>
      </c>
      <c r="Q243" s="371" t="e">
        <f ca="1">-(O243-curve!$T$3)/J243</f>
        <v>#NAME?</v>
      </c>
      <c r="R243" s="373">
        <f t="shared" ca="1" si="4"/>
        <v>-833.48453389673841</v>
      </c>
      <c r="S243" s="191" t="str">
        <f>IF(F243&lt;&gt;"","",IF(G243="","",-G243*(SUMIF('raw Data'!$A:$A,"RESINV1USD",'raw Data'!$G:$G)+SUMIF('raw Data'!$A:$A,"RESSWAPORUSD",'raw Data'!$G:$G))/(36500*J243)))</f>
        <v/>
      </c>
      <c r="T243" s="202" t="str">
        <f>IF(G243&lt;&gt;"","",IF(F243="","",-36500*J243*F243/(SUMIF('raw Data'!$A:$A,"RESINV1USD",'raw Data'!$G:$G)+SUMIF('raw Data'!$A:$A,"RESSWAPORUSD",'raw Data'!$G:$G))))</f>
        <v/>
      </c>
      <c r="U243" s="125">
        <f>SUMIF('raw Data'!$E:$E,A243,'raw Data'!$N:$N)</f>
        <v>0</v>
      </c>
      <c r="V243" s="126">
        <v>40770</v>
      </c>
      <c r="W243" s="127">
        <v>40770</v>
      </c>
      <c r="X243" s="127">
        <v>40954</v>
      </c>
      <c r="Y243" s="127">
        <v>44242</v>
      </c>
      <c r="Z243" s="127">
        <v>44423</v>
      </c>
      <c r="AA243" s="128">
        <v>2.1250000000000002E-2</v>
      </c>
      <c r="AB243" s="129">
        <v>66735000000</v>
      </c>
      <c r="AC243" s="130" t="str">
        <f ca="1">IF(LEFT(B243,1)="B",_xll.INSTANCE.TBILL(A243,V243,Z243,TODAY()),_xll.INSTANCE.TNOTE(A243,V243,W243,X243,Y243,Z243,AA243,TODAY()))</f>
        <v>US912828RC60#0003</v>
      </c>
    </row>
    <row r="244" spans="1:29" x14ac:dyDescent="0.35">
      <c r="A244" s="131" t="s">
        <v>551</v>
      </c>
      <c r="B244" s="115" t="s">
        <v>1220</v>
      </c>
      <c r="C244" s="364"/>
      <c r="D244" s="116"/>
      <c r="E244" s="117"/>
      <c r="F244" s="118"/>
      <c r="G244" s="369"/>
      <c r="H244" s="120">
        <v>1.4001682E-2</v>
      </c>
      <c r="I244" s="121">
        <f ca="1">_xll.INSTRUMENT.PRIX(AC244,D244,H244,cTreasuries)</f>
        <v>157.43999926503577</v>
      </c>
      <c r="J244" s="122">
        <f ca="1">_xll.INSTRUMENT.DV01(A244,,,I244,cContinuous,I244)</f>
        <v>-0.11312350927251971</v>
      </c>
      <c r="K244" s="123">
        <f ca="1">_xll.INSTRUMENT.CONVEXITE(A244,,,I244,cContinuous,I244)</f>
        <v>58.370525999277824</v>
      </c>
      <c r="L244" s="123">
        <f ca="1">_xll.INSTRUMENT.Z.SPREAD(A244,swapCurve,I244,cContinuous,D244)</f>
        <v>-13.401634062853455</v>
      </c>
      <c r="M244" s="123" t="e">
        <f ca="1">_xll.INSTRUMENT.Z.SPREAD(A244,ustCurve,I244,cContinuous,D244)</f>
        <v>#VALUE!</v>
      </c>
      <c r="N244" s="123">
        <f ca="1">_xll.INSTRUMENT.Z.SPREAD(A244,oisCurve,I244,cContinuous,D244)</f>
        <v>19.630784618316753</v>
      </c>
      <c r="O244" s="124" t="e">
        <f ca="1">1/_xll.CALENDRIER.FRAC.ANNEE(_xll.INSTRUMENT.DATE.REGLEMENT($AC244,,),_xll.INSTRUMENT.DATE.REGLEMENT($AC244,_xll.CALENDRIER.GAP.FINANCE(TODAY(),"1M","AUD","Unadjusted"),),"ACT/365")*(_xll.INSTRUMENT.ROLL.DOWN($A244,oisCurve,_xll.CALENDRIER.GAP.FINANCE(TODAY(),"1M","AUD","Unadjusted",TRUE),$N244)+100*$AA244*_xll.CALENDRIER.FRAC.ANNEE(_xll.INSTRUMENT.DATE.REGLEMENT($AC244,,),_xll.INSTRUMENT.DATE.REGLEMENT($AC244,_xll.CALENDRIER.GAP.FINANCE(TODAY(),"1M","AUD","Unadjusted"),),"ACT/365")-$I244)/$I244</f>
        <v>#NAME?</v>
      </c>
      <c r="P244" s="124" t="e">
        <f ca="1">1/_xll.CALENDRIER.FRAC.ANNEE(_xll.INSTRUMENT.DATE.REGLEMENT($AC244,,),_xll.INSTRUMENT.DATE.REGLEMENT($AC244,_xll.CALENDRIER.GAP.FINANCE(TODAY(),"3M","AUD","Unadjusted"),),"ACT/365")*(_xll.INSTRUMENT.ROLL.DOWN($A244,oisCurve,_xll.CALENDRIER.GAP.FINANCE(TODAY(),"3M","AUD","Unadjusted",TRUE),$N244)+100*$AA244*_xll.CALENDRIER.FRAC.ANNEE(_xll.INSTRUMENT.DATE.REGLEMENT($AC244,,),_xll.INSTRUMENT.DATE.REGLEMENT($AC244,_xll.CALENDRIER.GAP.FINANCE(TODAY(),"3M","AUD","Unadjusted"),),"ACT/365")-$I244)/$I244</f>
        <v>#NAME?</v>
      </c>
      <c r="Q244" s="371" t="e">
        <f ca="1">-(O244-curve!$T$3)/J244</f>
        <v>#NAME?</v>
      </c>
      <c r="R244" s="373">
        <f t="shared" ca="1" si="4"/>
        <v>-515.98934982347976</v>
      </c>
      <c r="S244" s="191" t="str">
        <f>IF(F244&lt;&gt;"","",IF(G244="","",-G244*(SUMIF('raw Data'!$A:$A,"RESINV1USD",'raw Data'!$G:$G)+SUMIF('raw Data'!$A:$A,"RESSWAPORUSD",'raw Data'!$G:$G))/(36500*J244)))</f>
        <v/>
      </c>
      <c r="T244" s="202" t="str">
        <f>IF(G244&lt;&gt;"","",IF(F244="","",-36500*J244*F244/(SUMIF('raw Data'!$A:$A,"RESINV1USD",'raw Data'!$G:$G)+SUMIF('raw Data'!$A:$A,"RESSWAPORUSD",'raw Data'!$G:$G))))</f>
        <v/>
      </c>
      <c r="U244" s="125">
        <f>SUMIF('raw Data'!$E:$E,A244,'raw Data'!$N:$N)</f>
        <v>0</v>
      </c>
      <c r="V244" s="126">
        <v>33465</v>
      </c>
      <c r="W244" s="127">
        <v>33465</v>
      </c>
      <c r="X244" s="127">
        <v>33649</v>
      </c>
      <c r="Y244" s="127">
        <v>44242</v>
      </c>
      <c r="Z244" s="127">
        <v>44423</v>
      </c>
      <c r="AA244" s="128">
        <v>8.1250000000000003E-2</v>
      </c>
      <c r="AB244" s="129">
        <v>9506000000</v>
      </c>
      <c r="AC244" s="130" t="str">
        <f ca="1">IF(LEFT(B244,1)="B",_xll.INSTANCE.TBILL(A244,V244,Z244,TODAY()),_xll.INSTANCE.TNOTE(A244,V244,W244,X244,Y244,Z244,AA244,TODAY()))</f>
        <v>US912810EK08#0003</v>
      </c>
    </row>
    <row r="245" spans="1:29" x14ac:dyDescent="0.35">
      <c r="A245" s="131" t="s">
        <v>552</v>
      </c>
      <c r="B245" s="115" t="s">
        <v>1221</v>
      </c>
      <c r="C245" s="364"/>
      <c r="D245" s="116"/>
      <c r="E245" s="117"/>
      <c r="F245" s="118"/>
      <c r="G245" s="369"/>
      <c r="H245" s="120">
        <v>1.4364557E-2</v>
      </c>
      <c r="I245" s="121">
        <f ca="1">_xll.INSTRUMENT.PRIX(AC245,D245,H245,cTreasuries)</f>
        <v>157.38738504833498</v>
      </c>
      <c r="J245" s="122">
        <f ca="1">_xll.INSTRUMENT.DV01(A245,,,I245,cContinuous,I245)</f>
        <v>-0.11584595087602316</v>
      </c>
      <c r="K245" s="123">
        <f ca="1">_xll.INSTRUMENT.CONVEXITE(A245,,,I245,cContinuous,I245)</f>
        <v>62.125207058751556</v>
      </c>
      <c r="L245" s="123">
        <f ca="1">_xll.INSTRUMENT.Z.SPREAD(A245,swapCurve,I245,cContinuous,D245)</f>
        <v>-12.865754180123794</v>
      </c>
      <c r="M245" s="123" t="e">
        <f ca="1">_xll.INSTRUMENT.Z.SPREAD(A245,ustCurve,I245,cContinuous,D245)</f>
        <v>#VALUE!</v>
      </c>
      <c r="N245" s="123">
        <f ca="1">_xll.INSTRUMENT.Z.SPREAD(A245,oisCurve,I245,cContinuous,D245)</f>
        <v>20.109573223865905</v>
      </c>
      <c r="O245" s="124" t="e">
        <f ca="1">1/_xll.CALENDRIER.FRAC.ANNEE(_xll.INSTRUMENT.DATE.REGLEMENT($AC245,,),_xll.INSTRUMENT.DATE.REGLEMENT($AC245,_xll.CALENDRIER.GAP.FINANCE(TODAY(),"1M","AUD","Unadjusted"),),"ACT/365")*(_xll.INSTRUMENT.ROLL.DOWN($A245,oisCurve,_xll.CALENDRIER.GAP.FINANCE(TODAY(),"1M","AUD","Unadjusted",TRUE),$N245)+100*$AA245*_xll.CALENDRIER.FRAC.ANNEE(_xll.INSTRUMENT.DATE.REGLEMENT($AC245,,),_xll.INSTRUMENT.DATE.REGLEMENT($AC245,_xll.CALENDRIER.GAP.FINANCE(TODAY(),"1M","AUD","Unadjusted"),),"ACT/365")-$I245)/$I245</f>
        <v>#NAME?</v>
      </c>
      <c r="P245" s="124" t="e">
        <f ca="1">1/_xll.CALENDRIER.FRAC.ANNEE(_xll.INSTRUMENT.DATE.REGLEMENT($AC245,,),_xll.INSTRUMENT.DATE.REGLEMENT($AC245,_xll.CALENDRIER.GAP.FINANCE(TODAY(),"3M","AUD","Unadjusted"),),"ACT/365")*(_xll.INSTRUMENT.ROLL.DOWN($A245,oisCurve,_xll.CALENDRIER.GAP.FINANCE(TODAY(),"3M","AUD","Unadjusted",TRUE),$N245)+100*$AA245*_xll.CALENDRIER.FRAC.ANNEE(_xll.INSTRUMENT.DATE.REGLEMENT($AC245,,),_xll.INSTRUMENT.DATE.REGLEMENT($AC245,_xll.CALENDRIER.GAP.FINANCE(TODAY(),"3M","AUD","Unadjusted"),),"ACT/365")-$I245)/$I245</f>
        <v>#NAME?</v>
      </c>
      <c r="Q245" s="371" t="e">
        <f ca="1">-(O245-curve!$T$3)/J245</f>
        <v>#NAME?</v>
      </c>
      <c r="R245" s="373">
        <f t="shared" ca="1" si="4"/>
        <v>-536.27430729311504</v>
      </c>
      <c r="S245" s="191" t="str">
        <f>IF(F245&lt;&gt;"","",IF(G245="","",-G245*(SUMIF('raw Data'!$A:$A,"RESINV1USD",'raw Data'!$G:$G)+SUMIF('raw Data'!$A:$A,"RESSWAPORUSD",'raw Data'!$G:$G))/(36500*J245)))</f>
        <v/>
      </c>
      <c r="T245" s="202" t="str">
        <f>IF(G245&lt;&gt;"","",IF(F245="","",-36500*J245*F245/(SUMIF('raw Data'!$A:$A,"RESINV1USD",'raw Data'!$G:$G)+SUMIF('raw Data'!$A:$A,"RESSWAPORUSD",'raw Data'!$G:$G))))</f>
        <v/>
      </c>
      <c r="U245" s="125">
        <f>SUMIF('raw Data'!$E:$E,A245,'raw Data'!$N:$N)</f>
        <v>0</v>
      </c>
      <c r="V245" s="126">
        <v>33557</v>
      </c>
      <c r="W245" s="127">
        <v>33557</v>
      </c>
      <c r="X245" s="127">
        <v>33739</v>
      </c>
      <c r="Y245" s="127">
        <v>44331</v>
      </c>
      <c r="Z245" s="127">
        <v>44515</v>
      </c>
      <c r="AA245" s="128">
        <v>0.08</v>
      </c>
      <c r="AB245" s="129">
        <v>30632000000</v>
      </c>
      <c r="AC245" s="130" t="str">
        <f ca="1">IF(LEFT(B245,1)="B",_xll.INSTANCE.TBILL(A245,V245,Z245,TODAY()),_xll.INSTANCE.TNOTE(A245,V245,W245,X245,Y245,Z245,AA245,TODAY()))</f>
        <v>US912810EL80#0003</v>
      </c>
    </row>
    <row r="246" spans="1:29" x14ac:dyDescent="0.35">
      <c r="A246" s="131" t="s">
        <v>63</v>
      </c>
      <c r="B246" s="115" t="s">
        <v>1222</v>
      </c>
      <c r="C246" s="364" t="s">
        <v>926</v>
      </c>
      <c r="D246" s="116"/>
      <c r="E246" s="117"/>
      <c r="F246" s="118"/>
      <c r="G246" s="369"/>
      <c r="H246" s="120">
        <v>1.5486211999999999E-2</v>
      </c>
      <c r="I246" s="121">
        <f ca="1">_xll.INSTRUMENT.PRIX(AC246,D246,H246,cTreasuries)</f>
        <v>103.92203263183262</v>
      </c>
      <c r="J246" s="122">
        <f ca="1">_xll.INSTRUMENT.DV01(A246,,,I246,cContinuous,I246)</f>
        <v>-8.9557587576671246E-2</v>
      </c>
      <c r="K246" s="123">
        <f ca="1">_xll.INSTRUMENT.CONVEXITE(A246,,,I246,cContinuous,I246)</f>
        <v>78.187644062127987</v>
      </c>
      <c r="L246" s="123">
        <f ca="1">_xll.INSTRUMENT.Z.SPREAD(A246,swapCurve,I246,cContinuous,D246)</f>
        <v>-11.686293705521372</v>
      </c>
      <c r="M246" s="123" t="e">
        <f ca="1">_xll.INSTRUMENT.Z.SPREAD(A246,ustCurve,I246,cContinuous,D246)</f>
        <v>#VALUE!</v>
      </c>
      <c r="N246" s="123">
        <f ca="1">_xll.INSTRUMENT.Z.SPREAD(A246,oisCurve,I246,cContinuous,D246)</f>
        <v>21.090402648715841</v>
      </c>
      <c r="O246" s="124" t="e">
        <f ca="1">1/_xll.CALENDRIER.FRAC.ANNEE(_xll.INSTRUMENT.DATE.REGLEMENT($AC246,,),_xll.INSTRUMENT.DATE.REGLEMENT($AC246,_xll.CALENDRIER.GAP.FINANCE(TODAY(),"1M","AUD","Unadjusted"),),"ACT/365")*(_xll.INSTRUMENT.ROLL.DOWN($A246,oisCurve,_xll.CALENDRIER.GAP.FINANCE(TODAY(),"1M","AUD","Unadjusted",TRUE),$N246)+100*$AA246*_xll.CALENDRIER.FRAC.ANNEE(_xll.INSTRUMENT.DATE.REGLEMENT($AC246,,),_xll.INSTRUMENT.DATE.REGLEMENT($AC246,_xll.CALENDRIER.GAP.FINANCE(TODAY(),"1M","AUD","Unadjusted"),),"ACT/365")-$I246)/$I246</f>
        <v>#NAME?</v>
      </c>
      <c r="P246" s="124" t="e">
        <f ca="1">1/_xll.CALENDRIER.FRAC.ANNEE(_xll.INSTRUMENT.DATE.REGLEMENT($AC246,,),_xll.INSTRUMENT.DATE.REGLEMENT($AC246,_xll.CALENDRIER.GAP.FINANCE(TODAY(),"3M","AUD","Unadjusted"),),"ACT/365")*(_xll.INSTRUMENT.ROLL.DOWN($A246,oisCurve,_xll.CALENDRIER.GAP.FINANCE(TODAY(),"3M","AUD","Unadjusted",TRUE),$N246)+100*$AA246*_xll.CALENDRIER.FRAC.ANNEE(_xll.INSTRUMENT.DATE.REGLEMENT($AC246,,),_xll.INSTRUMENT.DATE.REGLEMENT($AC246,_xll.CALENDRIER.GAP.FINANCE(TODAY(),"3M","AUD","Unadjusted"),),"ACT/365")-$I246)/$I246</f>
        <v>#NAME?</v>
      </c>
      <c r="Q246" s="371" t="e">
        <f ca="1">-(O246-curve!$T$3)/J246</f>
        <v>#NAME?</v>
      </c>
      <c r="R246" s="373">
        <f t="shared" ca="1" si="4"/>
        <v>-873.04321362152234</v>
      </c>
      <c r="S246" s="191" t="str">
        <f>IF(F246&lt;&gt;"","",IF(G246="","",-G246*(SUMIF('raw Data'!$A:$A,"RESINV1USD",'raw Data'!$G:$G)+SUMIF('raw Data'!$A:$A,"RESSWAPORUSD",'raw Data'!$G:$G))/(36500*J246)))</f>
        <v/>
      </c>
      <c r="T246" s="202" t="str">
        <f>IF(G246&lt;&gt;"","",IF(F246="","",-36500*J246*F246/(SUMIF('raw Data'!$A:$A,"RESINV1USD",'raw Data'!$G:$G)+SUMIF('raw Data'!$A:$A,"RESSWAPORUSD",'raw Data'!$G:$G))))</f>
        <v/>
      </c>
      <c r="U246" s="125">
        <f>SUMIF('raw Data'!$E:$E,A246,'raw Data'!$N:$N)</f>
        <v>-115449.14247516418</v>
      </c>
      <c r="V246" s="126">
        <v>40862</v>
      </c>
      <c r="W246" s="127">
        <v>40862</v>
      </c>
      <c r="X246" s="127">
        <v>41044</v>
      </c>
      <c r="Y246" s="127">
        <v>44331</v>
      </c>
      <c r="Z246" s="127">
        <v>44515</v>
      </c>
      <c r="AA246" s="128">
        <v>0.02</v>
      </c>
      <c r="AB246" s="129">
        <v>70092000000</v>
      </c>
      <c r="AC246" s="130" t="str">
        <f ca="1">IF(LEFT(B246,1)="B",_xll.INSTANCE.TBILL(A246,V246,Z246,TODAY()),_xll.INSTANCE.TNOTE(A246,V246,W246,X246,Y246,Z246,AA246,TODAY()))</f>
        <v>US912828RR30#0003</v>
      </c>
    </row>
    <row r="247" spans="1:29" x14ac:dyDescent="0.35">
      <c r="A247" s="131" t="s">
        <v>65</v>
      </c>
      <c r="B247" s="115" t="s">
        <v>1223</v>
      </c>
      <c r="C247" s="364" t="s">
        <v>925</v>
      </c>
      <c r="D247" s="116"/>
      <c r="E247" s="117"/>
      <c r="F247" s="118"/>
      <c r="G247" s="369"/>
      <c r="H247" s="120">
        <v>1.5937702000000002E-2</v>
      </c>
      <c r="I247" s="121">
        <f ca="1">_xll.INSTRUMENT.PRIX(AC247,D247,H247,cTreasuries)</f>
        <v>103.60802865150488</v>
      </c>
      <c r="J247" s="122">
        <f ca="1">_xll.INSTRUMENT.DV01(A247,,,I247,cContinuous,I247)</f>
        <v>-9.1454821173097389E-2</v>
      </c>
      <c r="K247" s="123">
        <f ca="1">_xll.INSTRUMENT.CONVEXITE(A247,,,I247,cContinuous,I247)</f>
        <v>81.774255945981977</v>
      </c>
      <c r="L247" s="123">
        <f ca="1">_xll.INSTRUMENT.Z.SPREAD(A247,swapCurve,I247,cContinuous,D247)</f>
        <v>-10.421716732194341</v>
      </c>
      <c r="M247" s="123" t="e">
        <f ca="1">_xll.INSTRUMENT.Z.SPREAD(A247,ustCurve,I247,cContinuous,D247)</f>
        <v>#VALUE!</v>
      </c>
      <c r="N247" s="123">
        <f ca="1">_xll.INSTRUMENT.Z.SPREAD(A247,oisCurve,I247,cContinuous,D247)</f>
        <v>22.257343002892075</v>
      </c>
      <c r="O247" s="124" t="e">
        <f ca="1">1/_xll.CALENDRIER.FRAC.ANNEE(_xll.INSTRUMENT.DATE.REGLEMENT($AC247,,),_xll.INSTRUMENT.DATE.REGLEMENT($AC247,_xll.CALENDRIER.GAP.FINANCE(TODAY(),"1M","AUD","Unadjusted"),),"ACT/365")*(_xll.INSTRUMENT.ROLL.DOWN($A247,oisCurve,_xll.CALENDRIER.GAP.FINANCE(TODAY(),"1M","AUD","Unadjusted",TRUE),$N247)+100*$AA247*_xll.CALENDRIER.FRAC.ANNEE(_xll.INSTRUMENT.DATE.REGLEMENT($AC247,,),_xll.INSTRUMENT.DATE.REGLEMENT($AC247,_xll.CALENDRIER.GAP.FINANCE(TODAY(),"1M","AUD","Unadjusted"),),"ACT/365")-$I247)/$I247</f>
        <v>#NAME?</v>
      </c>
      <c r="P247" s="124" t="e">
        <f ca="1">1/_xll.CALENDRIER.FRAC.ANNEE(_xll.INSTRUMENT.DATE.REGLEMENT($AC247,,),_xll.INSTRUMENT.DATE.REGLEMENT($AC247,_xll.CALENDRIER.GAP.FINANCE(TODAY(),"3M","AUD","Unadjusted"),),"ACT/365")*(_xll.INSTRUMENT.ROLL.DOWN($A247,oisCurve,_xll.CALENDRIER.GAP.FINANCE(TODAY(),"3M","AUD","Unadjusted",TRUE),$N247)+100*$AA247*_xll.CALENDRIER.FRAC.ANNEE(_xll.INSTRUMENT.DATE.REGLEMENT($AC247,,),_xll.INSTRUMENT.DATE.REGLEMENT($AC247,_xll.CALENDRIER.GAP.FINANCE(TODAY(),"3M","AUD","Unadjusted"),),"ACT/365")-$I247)/$I247</f>
        <v>#NAME?</v>
      </c>
      <c r="Q247" s="371" t="e">
        <f ca="1">-(O247-curve!$T$3)/J247</f>
        <v>#NAME?</v>
      </c>
      <c r="R247" s="373">
        <f t="shared" ca="1" si="4"/>
        <v>-894.14920828730374</v>
      </c>
      <c r="S247" s="191" t="str">
        <f>IF(F247&lt;&gt;"","",IF(G247="","",-G247*(SUMIF('raw Data'!$A:$A,"RESINV1USD",'raw Data'!$G:$G)+SUMIF('raw Data'!$A:$A,"RESSWAPORUSD",'raw Data'!$G:$G))/(36500*J247)))</f>
        <v/>
      </c>
      <c r="T247" s="202" t="str">
        <f>IF(G247&lt;&gt;"","",IF(F247="","",-36500*J247*F247/(SUMIF('raw Data'!$A:$A,"RESINV1USD",'raw Data'!$G:$G)+SUMIF('raw Data'!$A:$A,"RESSWAPORUSD",'raw Data'!$G:$G))))</f>
        <v/>
      </c>
      <c r="U247" s="125">
        <f>SUMIF('raw Data'!$E:$E,A247,'raw Data'!$N:$N)</f>
        <v>89589.100189650053</v>
      </c>
      <c r="V247" s="126">
        <v>40954</v>
      </c>
      <c r="W247" s="127">
        <v>40954</v>
      </c>
      <c r="X247" s="127">
        <v>41136</v>
      </c>
      <c r="Y247" s="127">
        <v>44423</v>
      </c>
      <c r="Z247" s="127">
        <v>44607</v>
      </c>
      <c r="AA247" s="128">
        <v>0.02</v>
      </c>
      <c r="AB247" s="129">
        <v>74200000000</v>
      </c>
      <c r="AC247" s="130" t="str">
        <f ca="1">IF(LEFT(B247,1)="B",_xll.INSTANCE.TBILL(A247,V247,Z247,TODAY()),_xll.INSTANCE.TNOTE(A247,V247,W247,X247,Y247,Z247,AA247,TODAY()))</f>
        <v>US912828SF82#0003</v>
      </c>
    </row>
    <row r="248" spans="1:29" x14ac:dyDescent="0.35">
      <c r="A248" s="131" t="s">
        <v>858</v>
      </c>
      <c r="B248" s="115" t="s">
        <v>1224</v>
      </c>
      <c r="C248" s="364" t="s">
        <v>918</v>
      </c>
      <c r="D248" s="116"/>
      <c r="E248" s="117"/>
      <c r="F248" s="118"/>
      <c r="G248" s="369"/>
      <c r="H248" s="120">
        <v>1.6312142999999998E-2</v>
      </c>
      <c r="I248" s="121">
        <f ca="1">_xll.INSTRUMENT.PRIX(AC248,D248,H248,cTreasuries)</f>
        <v>101.08147623816035</v>
      </c>
      <c r="J248" s="122">
        <f ca="1">_xll.INSTRUMENT.DV01(A248,,,I248,cContinuous,I248)</f>
        <v>-9.2161727196989632E-2</v>
      </c>
      <c r="K248" s="123">
        <f ca="1">_xll.INSTRUMENT.CONVEXITE(A248,,,I248,cContinuous,I248)</f>
        <v>87.338124653069443</v>
      </c>
      <c r="L248" s="123">
        <f ca="1">_xll.INSTRUMENT.Z.SPREAD(A248,swapCurve,I248,cContinuous,D248)</f>
        <v>-10.340544590824448</v>
      </c>
      <c r="M248" s="123" t="e">
        <f ca="1">_xll.INSTRUMENT.Z.SPREAD(A248,ustCurve,I248,cContinuous,D248)</f>
        <v>#VALUE!</v>
      </c>
      <c r="N248" s="123">
        <f ca="1">_xll.INSTRUMENT.Z.SPREAD(A248,oisCurve,I248,cContinuous,D248)</f>
        <v>22.184350309832496</v>
      </c>
      <c r="O248" s="124" t="e">
        <f ca="1">1/_xll.CALENDRIER.FRAC.ANNEE(_xll.INSTRUMENT.DATE.REGLEMENT($AC248,,),_xll.INSTRUMENT.DATE.REGLEMENT($AC248,_xll.CALENDRIER.GAP.FINANCE(TODAY(),"1M","AUD","Unadjusted"),),"ACT/365")*(_xll.INSTRUMENT.ROLL.DOWN($A248,oisCurve,_xll.CALENDRIER.GAP.FINANCE(TODAY(),"1M","AUD","Unadjusted",TRUE),$N248)+100*$AA248*_xll.CALENDRIER.FRAC.ANNEE(_xll.INSTRUMENT.DATE.REGLEMENT($AC248,,),_xll.INSTRUMENT.DATE.REGLEMENT($AC248,_xll.CALENDRIER.GAP.FINANCE(TODAY(),"1M","AUD","Unadjusted"),),"ACT/365")-$I248)/$I248</f>
        <v>#NAME?</v>
      </c>
      <c r="P248" s="124" t="e">
        <f ca="1">1/_xll.CALENDRIER.FRAC.ANNEE(_xll.INSTRUMENT.DATE.REGLEMENT($AC248,,),_xll.INSTRUMENT.DATE.REGLEMENT($AC248,_xll.CALENDRIER.GAP.FINANCE(TODAY(),"3M","AUD","Unadjusted"),),"ACT/365")*(_xll.INSTRUMENT.ROLL.DOWN($A248,oisCurve,_xll.CALENDRIER.GAP.FINANCE(TODAY(),"3M","AUD","Unadjusted",TRUE),$N248)+100*$AA248*_xll.CALENDRIER.FRAC.ANNEE(_xll.INSTRUMENT.DATE.REGLEMENT($AC248,,),_xll.INSTRUMENT.DATE.REGLEMENT($AC248,_xll.CALENDRIER.GAP.FINANCE(TODAY(),"3M","AUD","Unadjusted"),),"ACT/365")-$I248)/$I248</f>
        <v>#NAME?</v>
      </c>
      <c r="Q248" s="371" t="e">
        <f ca="1">-(O248-curve!$T$3)/J248</f>
        <v>#NAME?</v>
      </c>
      <c r="R248" s="373">
        <f t="shared" ca="1" si="4"/>
        <v>-947.66154356449874</v>
      </c>
      <c r="S248" s="191" t="str">
        <f>IF(F248&lt;&gt;"","",IF(G248="","",-G248*(SUMIF('raw Data'!$A:$A,"RESINV1USD",'raw Data'!$G:$G)+SUMIF('raw Data'!$A:$A,"RESSWAPORUSD",'raw Data'!$G:$G))/(36500*J248)))</f>
        <v/>
      </c>
      <c r="T248" s="202" t="str">
        <f>IF(G248&lt;&gt;"","",IF(F248="","",-36500*J248*F248/(SUMIF('raw Data'!$A:$A,"RESINV1USD",'raw Data'!$G:$G)+SUMIF('raw Data'!$A:$A,"RESSWAPORUSD",'raw Data'!$G:$G))))</f>
        <v/>
      </c>
      <c r="U248" s="125">
        <f>SUMIF('raw Data'!$E:$E,A248,'raw Data'!$N:$N)</f>
        <v>144428.80730045243</v>
      </c>
      <c r="V248" s="126">
        <v>41044</v>
      </c>
      <c r="W248" s="127">
        <v>41044</v>
      </c>
      <c r="X248" s="127">
        <v>41228</v>
      </c>
      <c r="Y248" s="127">
        <v>44515</v>
      </c>
      <c r="Z248" s="127">
        <v>44696</v>
      </c>
      <c r="AA248" s="128">
        <v>1.7500000000000002E-2</v>
      </c>
      <c r="AB248" s="129">
        <v>46501000000</v>
      </c>
      <c r="AC248" s="130" t="str">
        <f ca="1">IF(LEFT(B248,1)="B",_xll.INSTANCE.TBILL(A248,V248,Z248,TODAY()),_xll.INSTANCE.TNOTE(A248,V248,W248,X248,Y248,Z248,AA248,TODAY()))</f>
        <v>US912828SV33#0003</v>
      </c>
    </row>
    <row r="249" spans="1:29" x14ac:dyDescent="0.35">
      <c r="A249" s="131" t="s">
        <v>553</v>
      </c>
      <c r="B249" s="115" t="s">
        <v>1225</v>
      </c>
      <c r="C249" s="364"/>
      <c r="D249" s="116"/>
      <c r="E249" s="117"/>
      <c r="F249" s="118"/>
      <c r="G249" s="369"/>
      <c r="H249" s="120">
        <v>1.5496546E-2</v>
      </c>
      <c r="I249" s="121">
        <f ca="1">_xll.INSTRUMENT.PRIX(AC249,D249,H249,cTreasuries)</f>
        <v>153.24382939371034</v>
      </c>
      <c r="J249" s="122">
        <f ca="1">_xll.INSTRUMENT.DV01(A249,,,I249,cContinuous,I249)</f>
        <v>-0.12173395287793105</v>
      </c>
      <c r="K249" s="123">
        <f ca="1">_xll.INSTRUMENT.CONVEXITE(A249,,,I249,cContinuous,I249)</f>
        <v>71.63099064695065</v>
      </c>
      <c r="L249" s="123">
        <f ca="1">_xll.INSTRUMENT.Z.SPREAD(A249,swapCurve,I249,cContinuous,D249)</f>
        <v>-10.847177532309303</v>
      </c>
      <c r="M249" s="123" t="e">
        <f ca="1">_xll.INSTRUMENT.Z.SPREAD(A249,ustCurve,I249,cContinuous,D249)</f>
        <v>#VALUE!</v>
      </c>
      <c r="N249" s="123">
        <f ca="1">_xll.INSTRUMENT.Z.SPREAD(A249,oisCurve,I249,cContinuous,D249)</f>
        <v>21.699700997374791</v>
      </c>
      <c r="O249" s="124" t="e">
        <f ca="1">1/_xll.CALENDRIER.FRAC.ANNEE(_xll.INSTRUMENT.DATE.REGLEMENT($AC249,,),_xll.INSTRUMENT.DATE.REGLEMENT($AC249,_xll.CALENDRIER.GAP.FINANCE(TODAY(),"1M","AUD","Unadjusted"),),"ACT/365")*(_xll.INSTRUMENT.ROLL.DOWN($A249,oisCurve,_xll.CALENDRIER.GAP.FINANCE(TODAY(),"1M","AUD","Unadjusted",TRUE),$N249)+100*$AA249*_xll.CALENDRIER.FRAC.ANNEE(_xll.INSTRUMENT.DATE.REGLEMENT($AC249,,),_xll.INSTRUMENT.DATE.REGLEMENT($AC249,_xll.CALENDRIER.GAP.FINANCE(TODAY(),"1M","AUD","Unadjusted"),),"ACT/365")-$I249)/$I249</f>
        <v>#NAME?</v>
      </c>
      <c r="P249" s="124" t="e">
        <f ca="1">1/_xll.CALENDRIER.FRAC.ANNEE(_xll.INSTRUMENT.DATE.REGLEMENT($AC249,,),_xll.INSTRUMENT.DATE.REGLEMENT($AC249,_xll.CALENDRIER.GAP.FINANCE(TODAY(),"3M","AUD","Unadjusted"),),"ACT/365")*(_xll.INSTRUMENT.ROLL.DOWN($A249,oisCurve,_xll.CALENDRIER.GAP.FINANCE(TODAY(),"3M","AUD","Unadjusted",TRUE),$N249)+100*$AA249*_xll.CALENDRIER.FRAC.ANNEE(_xll.INSTRUMENT.DATE.REGLEMENT($AC249,,),_xll.INSTRUMENT.DATE.REGLEMENT($AC249,_xll.CALENDRIER.GAP.FINANCE(TODAY(),"3M","AUD","Unadjusted"),),"ACT/365")-$I249)/$I249</f>
        <v>#NAME?</v>
      </c>
      <c r="Q249" s="371" t="e">
        <f ca="1">-(O249-curve!$T$3)/J249</f>
        <v>#NAME?</v>
      </c>
      <c r="R249" s="373">
        <f t="shared" ca="1" si="4"/>
        <v>-588.42244873768914</v>
      </c>
      <c r="S249" s="191" t="str">
        <f>IF(F249&lt;&gt;"","",IF(G249="","",-G249*(SUMIF('raw Data'!$A:$A,"RESINV1USD",'raw Data'!$G:$G)+SUMIF('raw Data'!$A:$A,"RESSWAPORUSD",'raw Data'!$G:$G))/(36500*J249)))</f>
        <v/>
      </c>
      <c r="T249" s="202" t="str">
        <f>IF(G249&lt;&gt;"","",IF(F249="","",-36500*J249*F249/(SUMIF('raw Data'!$A:$A,"RESINV1USD",'raw Data'!$G:$G)+SUMIF('raw Data'!$A:$A,"RESSWAPORUSD",'raw Data'!$G:$G))))</f>
        <v/>
      </c>
      <c r="U249" s="125">
        <f>SUMIF('raw Data'!$E:$E,A249,'raw Data'!$N:$N)</f>
        <v>0</v>
      </c>
      <c r="V249" s="126">
        <v>33833</v>
      </c>
      <c r="W249" s="127">
        <v>33831</v>
      </c>
      <c r="X249" s="127">
        <v>34015</v>
      </c>
      <c r="Y249" s="127">
        <v>44607</v>
      </c>
      <c r="Z249" s="127">
        <v>44788</v>
      </c>
      <c r="AA249" s="128">
        <v>7.2499999999999995E-2</v>
      </c>
      <c r="AB249" s="129">
        <v>10128000000</v>
      </c>
      <c r="AC249" s="130" t="str">
        <f ca="1">IF(LEFT(B249,1)="B",_xll.INSTANCE.TBILL(A249,V249,Z249,TODAY()),_xll.INSTANCE.TNOTE(A249,V249,W249,X249,Y249,Z249,AA249,TODAY()))</f>
        <v>US912810EM63#0003</v>
      </c>
    </row>
    <row r="250" spans="1:29" x14ac:dyDescent="0.35">
      <c r="A250" s="131" t="s">
        <v>554</v>
      </c>
      <c r="B250" s="115" t="s">
        <v>1226</v>
      </c>
      <c r="C250" s="364"/>
      <c r="D250" s="116"/>
      <c r="E250" s="117"/>
      <c r="F250" s="118"/>
      <c r="G250" s="369"/>
      <c r="H250" s="120">
        <v>1.5859742999999999E-2</v>
      </c>
      <c r="I250" s="121">
        <f ca="1">_xll.INSTRUMENT.PRIX(AC250,D250,H250,cTreasuries)</f>
        <v>157.56954089322582</v>
      </c>
      <c r="J250" s="122">
        <f ca="1">_xll.INSTRUMENT.DV01(A250,,,I250,cContinuous,I250)</f>
        <v>-0.12662398505047426</v>
      </c>
      <c r="K250" s="123">
        <f ca="1">_xll.INSTRUMENT.CONVEXITE(A250,,,I250,cContinuous,I250)</f>
        <v>74.66771162226955</v>
      </c>
      <c r="L250" s="123">
        <f ca="1">_xll.INSTRUMENT.Z.SPREAD(A250,swapCurve,I250,cContinuous,D250)</f>
        <v>-9.1737214431351592</v>
      </c>
      <c r="M250" s="123" t="e">
        <f ca="1">_xll.INSTRUMENT.Z.SPREAD(A250,ustCurve,I250,cContinuous,D250)</f>
        <v>#VALUE!</v>
      </c>
      <c r="N250" s="123">
        <f ca="1">_xll.INSTRUMENT.Z.SPREAD(A250,oisCurve,I250,cContinuous,D250)</f>
        <v>23.147917204248362</v>
      </c>
      <c r="O250" s="124" t="e">
        <f ca="1">1/_xll.CALENDRIER.FRAC.ANNEE(_xll.INSTRUMENT.DATE.REGLEMENT($AC250,,),_xll.INSTRUMENT.DATE.REGLEMENT($AC250,_xll.CALENDRIER.GAP.FINANCE(TODAY(),"1M","AUD","Unadjusted"),),"ACT/365")*(_xll.INSTRUMENT.ROLL.DOWN($A250,oisCurve,_xll.CALENDRIER.GAP.FINANCE(TODAY(),"1M","AUD","Unadjusted",TRUE),$N250)+100*$AA250*_xll.CALENDRIER.FRAC.ANNEE(_xll.INSTRUMENT.DATE.REGLEMENT($AC250,,),_xll.INSTRUMENT.DATE.REGLEMENT($AC250,_xll.CALENDRIER.GAP.FINANCE(TODAY(),"1M","AUD","Unadjusted"),),"ACT/365")-$I250)/$I250</f>
        <v>#NAME?</v>
      </c>
      <c r="P250" s="124" t="e">
        <f ca="1">1/_xll.CALENDRIER.FRAC.ANNEE(_xll.INSTRUMENT.DATE.REGLEMENT($AC250,,),_xll.INSTRUMENT.DATE.REGLEMENT($AC250,_xll.CALENDRIER.GAP.FINANCE(TODAY(),"3M","AUD","Unadjusted"),),"ACT/365")*(_xll.INSTRUMENT.ROLL.DOWN($A250,oisCurve,_xll.CALENDRIER.GAP.FINANCE(TODAY(),"3M","AUD","Unadjusted",TRUE),$N250)+100*$AA250*_xll.CALENDRIER.FRAC.ANNEE(_xll.INSTRUMENT.DATE.REGLEMENT($AC250,,),_xll.INSTRUMENT.DATE.REGLEMENT($AC250,_xll.CALENDRIER.GAP.FINANCE(TODAY(),"3M","AUD","Unadjusted"),),"ACT/365")-$I250)/$I250</f>
        <v>#NAME?</v>
      </c>
      <c r="Q250" s="371" t="e">
        <f ca="1">-(O250-curve!$T$3)/J250</f>
        <v>#NAME?</v>
      </c>
      <c r="R250" s="373">
        <f t="shared" ca="1" si="4"/>
        <v>-589.68063272140625</v>
      </c>
      <c r="S250" s="191" t="str">
        <f>IF(F250&lt;&gt;"","",IF(G250="","",-G250*(SUMIF('raw Data'!$A:$A,"RESINV1USD",'raw Data'!$G:$G)+SUMIF('raw Data'!$A:$A,"RESSWAPORUSD",'raw Data'!$G:$G))/(36500*J250)))</f>
        <v/>
      </c>
      <c r="T250" s="202" t="str">
        <f>IF(G250&lt;&gt;"","",IF(F250="","",-36500*J250*F250/(SUMIF('raw Data'!$A:$A,"RESINV1USD",'raw Data'!$G:$G)+SUMIF('raw Data'!$A:$A,"RESSWAPORUSD",'raw Data'!$G:$G))))</f>
        <v/>
      </c>
      <c r="U250" s="125">
        <f>SUMIF('raw Data'!$E:$E,A250,'raw Data'!$N:$N)</f>
        <v>0</v>
      </c>
      <c r="V250" s="126">
        <v>33924</v>
      </c>
      <c r="W250" s="127">
        <v>33923</v>
      </c>
      <c r="X250" s="127">
        <v>34104</v>
      </c>
      <c r="Y250" s="127">
        <v>44696</v>
      </c>
      <c r="Z250" s="127">
        <v>44880</v>
      </c>
      <c r="AA250" s="128">
        <v>7.6249999999999998E-2</v>
      </c>
      <c r="AB250" s="129">
        <v>7424000000</v>
      </c>
      <c r="AC250" s="130" t="str">
        <f ca="1">IF(LEFT(B250,1)="B",_xll.INSTANCE.TBILL(A250,V250,Z250,TODAY()),_xll.INSTANCE.TNOTE(A250,V250,W250,X250,Y250,Z250,AA250,TODAY()))</f>
        <v>US912810EN47#0003</v>
      </c>
    </row>
    <row r="251" spans="1:29" x14ac:dyDescent="0.35">
      <c r="A251" s="131" t="s">
        <v>555</v>
      </c>
      <c r="B251" s="115" t="s">
        <v>1227</v>
      </c>
      <c r="C251" s="364"/>
      <c r="D251" s="116"/>
      <c r="E251" s="117"/>
      <c r="F251" s="118"/>
      <c r="G251" s="369"/>
      <c r="H251" s="120">
        <v>1.6372133000000001E-2</v>
      </c>
      <c r="I251" s="121">
        <f ca="1">_xll.INSTRUMENT.PRIX(AC251,D251,H251,cTreasuries)</f>
        <v>153.3296178030597</v>
      </c>
      <c r="J251" s="122">
        <f ca="1">_xll.INSTRUMENT.DV01(A251,,,I251,cContinuous,I251)</f>
        <v>-0.12688626999268085</v>
      </c>
      <c r="K251" s="123">
        <f ca="1">_xll.INSTRUMENT.CONVEXITE(A251,,,I251,cContinuous,I251)</f>
        <v>78.110216719906546</v>
      </c>
      <c r="L251" s="123">
        <f ca="1">_xll.INSTRUMENT.Z.SPREAD(A251,swapCurve,I251,cContinuous,D251)</f>
        <v>-7.2317645178292915</v>
      </c>
      <c r="M251" s="123" t="e">
        <f ca="1">_xll.INSTRUMENT.Z.SPREAD(A251,ustCurve,I251,cContinuous,D251)</f>
        <v>#VALUE!</v>
      </c>
      <c r="N251" s="123">
        <f ca="1">_xll.INSTRUMENT.Z.SPREAD(A251,oisCurve,I251,cContinuous,D251)</f>
        <v>24.796156207427263</v>
      </c>
      <c r="O251" s="124" t="e">
        <f ca="1">1/_xll.CALENDRIER.FRAC.ANNEE(_xll.INSTRUMENT.DATE.REGLEMENT($AC251,,),_xll.INSTRUMENT.DATE.REGLEMENT($AC251,_xll.CALENDRIER.GAP.FINANCE(TODAY(),"1M","AUD","Unadjusted"),),"ACT/365")*(_xll.INSTRUMENT.ROLL.DOWN($A251,oisCurve,_xll.CALENDRIER.GAP.FINANCE(TODAY(),"1M","AUD","Unadjusted",TRUE),$N251)+100*$AA251*_xll.CALENDRIER.FRAC.ANNEE(_xll.INSTRUMENT.DATE.REGLEMENT($AC251,,),_xll.INSTRUMENT.DATE.REGLEMENT($AC251,_xll.CALENDRIER.GAP.FINANCE(TODAY(),"1M","AUD","Unadjusted"),),"ACT/365")-$I251)/$I251</f>
        <v>#NAME?</v>
      </c>
      <c r="P251" s="124" t="e">
        <f ca="1">1/_xll.CALENDRIER.FRAC.ANNEE(_xll.INSTRUMENT.DATE.REGLEMENT($AC251,,),_xll.INSTRUMENT.DATE.REGLEMENT($AC251,_xll.CALENDRIER.GAP.FINANCE(TODAY(),"3M","AUD","Unadjusted"),),"ACT/365")*(_xll.INSTRUMENT.ROLL.DOWN($A251,oisCurve,_xll.CALENDRIER.GAP.FINANCE(TODAY(),"3M","AUD","Unadjusted",TRUE),$N251)+100*$AA251*_xll.CALENDRIER.FRAC.ANNEE(_xll.INSTRUMENT.DATE.REGLEMENT($AC251,,),_xll.INSTRUMENT.DATE.REGLEMENT($AC251,_xll.CALENDRIER.GAP.FINANCE(TODAY(),"3M","AUD","Unadjusted"),),"ACT/365")-$I251)/$I251</f>
        <v>#NAME?</v>
      </c>
      <c r="Q251" s="371" t="e">
        <f ca="1">-(O251-curve!$T$3)/J251</f>
        <v>#NAME?</v>
      </c>
      <c r="R251" s="373">
        <f t="shared" ca="1" si="4"/>
        <v>-615.5923467874984</v>
      </c>
      <c r="S251" s="191" t="str">
        <f>IF(F251&lt;&gt;"","",IF(G251="","",-G251*(SUMIF('raw Data'!$A:$A,"RESINV1USD",'raw Data'!$G:$G)+SUMIF('raw Data'!$A:$A,"RESSWAPORUSD",'raw Data'!$G:$G))/(36500*J251)))</f>
        <v/>
      </c>
      <c r="T251" s="202" t="str">
        <f>IF(G251&lt;&gt;"","",IF(F251="","",-36500*J251*F251/(SUMIF('raw Data'!$A:$A,"RESINV1USD",'raw Data'!$G:$G)+SUMIF('raw Data'!$A:$A,"RESSWAPORUSD",'raw Data'!$G:$G))))</f>
        <v/>
      </c>
      <c r="U251" s="125">
        <f>SUMIF('raw Data'!$E:$E,A251,'raw Data'!$N:$N)</f>
        <v>0</v>
      </c>
      <c r="V251" s="126">
        <v>34016</v>
      </c>
      <c r="W251" s="127">
        <v>34015</v>
      </c>
      <c r="X251" s="127">
        <v>34196</v>
      </c>
      <c r="Y251" s="127">
        <v>44788</v>
      </c>
      <c r="Z251" s="127">
        <v>44972</v>
      </c>
      <c r="AA251" s="128">
        <v>7.1249999999999994E-2</v>
      </c>
      <c r="AB251" s="129">
        <v>15782000000</v>
      </c>
      <c r="AC251" s="130" t="str">
        <f ca="1">IF(LEFT(B251,1)="B",_xll.INSTANCE.TBILL(A251,V251,Z251,TODAY()),_xll.INSTANCE.TNOTE(A251,V251,W251,X251,Y251,Z251,AA251,TODAY()))</f>
        <v>US912810EP94#0003</v>
      </c>
    </row>
    <row r="252" spans="1:29" x14ac:dyDescent="0.35">
      <c r="A252" s="131" t="s">
        <v>556</v>
      </c>
      <c r="B252" s="115" t="s">
        <v>1228</v>
      </c>
      <c r="C252" s="364"/>
      <c r="D252" s="116"/>
      <c r="E252" s="117"/>
      <c r="F252" s="118"/>
      <c r="G252" s="369"/>
      <c r="H252" s="120">
        <v>1.7224936E-2</v>
      </c>
      <c r="I252" s="121">
        <f ca="1">_xll.INSTRUMENT.PRIX(AC252,D252,H252,cTreasuries)</f>
        <v>145.67193218328248</v>
      </c>
      <c r="J252" s="122">
        <f ca="1">_xll.INSTRUMENT.DV01(A252,,,I252,cContinuous,I252)</f>
        <v>-0.12750361082211198</v>
      </c>
      <c r="K252" s="123">
        <f ca="1">_xll.INSTRUMENT.CONVEXITE(A252,,,I252,cContinuous,I252)</f>
        <v>87.062601887031974</v>
      </c>
      <c r="L252" s="123">
        <f ca="1">_xll.INSTRUMENT.Z.SPREAD(A252,swapCurve,I252,cContinuous,D252)</f>
        <v>-4.8987939360432433</v>
      </c>
      <c r="M252" s="123" t="e">
        <f ca="1">_xll.INSTRUMENT.Z.SPREAD(A252,ustCurve,I252,cContinuous,D252)</f>
        <v>#VALUE!</v>
      </c>
      <c r="N252" s="123">
        <f ca="1">_xll.INSTRUMENT.Z.SPREAD(A252,oisCurve,I252,cContinuous,D252)</f>
        <v>26.716511806238696</v>
      </c>
      <c r="O252" s="124" t="e">
        <f ca="1">1/_xll.CALENDRIER.FRAC.ANNEE(_xll.INSTRUMENT.DATE.REGLEMENT($AC252,,),_xll.INSTRUMENT.DATE.REGLEMENT($AC252,_xll.CALENDRIER.GAP.FINANCE(TODAY(),"1M","AUD","Unadjusted"),),"ACT/365")*(_xll.INSTRUMENT.ROLL.DOWN($A252,oisCurve,_xll.CALENDRIER.GAP.FINANCE(TODAY(),"1M","AUD","Unadjusted",TRUE),$N252)+100*$AA252*_xll.CALENDRIER.FRAC.ANNEE(_xll.INSTRUMENT.DATE.REGLEMENT($AC252,,),_xll.INSTRUMENT.DATE.REGLEMENT($AC252,_xll.CALENDRIER.GAP.FINANCE(TODAY(),"1M","AUD","Unadjusted"),),"ACT/365")-$I252)/$I252</f>
        <v>#NAME?</v>
      </c>
      <c r="P252" s="124" t="e">
        <f ca="1">1/_xll.CALENDRIER.FRAC.ANNEE(_xll.INSTRUMENT.DATE.REGLEMENT($AC252,,),_xll.INSTRUMENT.DATE.REGLEMENT($AC252,_xll.CALENDRIER.GAP.FINANCE(TODAY(),"3M","AUD","Unadjusted"),),"ACT/365")*(_xll.INSTRUMENT.ROLL.DOWN($A252,oisCurve,_xll.CALENDRIER.GAP.FINANCE(TODAY(),"3M","AUD","Unadjusted",TRUE),$N252)+100*$AA252*_xll.CALENDRIER.FRAC.ANNEE(_xll.INSTRUMENT.DATE.REGLEMENT($AC252,,),_xll.INSTRUMENT.DATE.REGLEMENT($AC252,_xll.CALENDRIER.GAP.FINANCE(TODAY(),"3M","AUD","Unadjusted"),),"ACT/365")-$I252)/$I252</f>
        <v>#NAME?</v>
      </c>
      <c r="Q252" s="371" t="e">
        <f ca="1">-(O252-curve!$T$3)/J252</f>
        <v>#NAME?</v>
      </c>
      <c r="R252" s="373">
        <f t="shared" ca="1" si="4"/>
        <v>-682.8245986578238</v>
      </c>
      <c r="S252" s="191" t="str">
        <f>IF(F252&lt;&gt;"","",IF(G252="","",-G252*(SUMIF('raw Data'!$A:$A,"RESINV1USD",'raw Data'!$G:$G)+SUMIF('raw Data'!$A:$A,"RESSWAPORUSD",'raw Data'!$G:$G))/(36500*J252)))</f>
        <v/>
      </c>
      <c r="T252" s="202" t="str">
        <f>IF(G252&lt;&gt;"","",IF(F252="","",-36500*J252*F252/(SUMIF('raw Data'!$A:$A,"RESINV1USD",'raw Data'!$G:$G)+SUMIF('raw Data'!$A:$A,"RESSWAPORUSD",'raw Data'!$G:$G))))</f>
        <v/>
      </c>
      <c r="U252" s="125">
        <f>SUMIF('raw Data'!$E:$E,A252,'raw Data'!$N:$N)</f>
        <v>0</v>
      </c>
      <c r="V252" s="126">
        <v>34197</v>
      </c>
      <c r="W252" s="127">
        <v>34196</v>
      </c>
      <c r="X252" s="127">
        <v>34380</v>
      </c>
      <c r="Y252" s="127">
        <v>44972</v>
      </c>
      <c r="Z252" s="127">
        <v>45153</v>
      </c>
      <c r="AA252" s="128">
        <v>6.25E-2</v>
      </c>
      <c r="AB252" s="129">
        <v>22659000000</v>
      </c>
      <c r="AC252" s="130" t="str">
        <f ca="1">IF(LEFT(B252,1)="B",_xll.INSTANCE.TBILL(A252,V252,Z252,TODAY()),_xll.INSTANCE.TNOTE(A252,V252,W252,X252,Y252,Z252,AA252,TODAY()))</f>
        <v>US912810EQ77#0003</v>
      </c>
    </row>
    <row r="253" spans="1:29" x14ac:dyDescent="0.35">
      <c r="A253" s="131" t="s">
        <v>557</v>
      </c>
      <c r="B253" s="115" t="s">
        <v>1229</v>
      </c>
      <c r="C253" s="364"/>
      <c r="D253" s="116"/>
      <c r="E253" s="117"/>
      <c r="F253" s="118"/>
      <c r="G253" s="369"/>
      <c r="H253" s="120">
        <v>1.8535673999999999E-2</v>
      </c>
      <c r="I253" s="121">
        <f ca="1">_xll.INSTRUMENT.PRIX(AC253,D253,H253,cTreasuries)</f>
        <v>162.18809670862328</v>
      </c>
      <c r="J253" s="122">
        <f ca="1">_xll.INSTRUMENT.DV01(A253,,,I253,cContinuous,I253)</f>
        <v>-0.14978482158201012</v>
      </c>
      <c r="K253" s="123">
        <f ca="1">_xll.INSTRUMENT.CONVEXITE(A253,,,I253,cContinuous,I253)</f>
        <v>100.71410498801023</v>
      </c>
      <c r="L253" s="123">
        <f ca="1">_xll.INSTRUMENT.Z.SPREAD(A253,swapCurve,I253,cContinuous,D253)</f>
        <v>-0.95897533971930093</v>
      </c>
      <c r="M253" s="123" t="e">
        <f ca="1">_xll.INSTRUMENT.Z.SPREAD(A253,ustCurve,I253,cContinuous,D253)</f>
        <v>#VALUE!</v>
      </c>
      <c r="N253" s="123">
        <f ca="1">_xll.INSTRUMENT.Z.SPREAD(A253,oisCurve,I253,cContinuous,D253)</f>
        <v>30.50892530452359</v>
      </c>
      <c r="O253" s="124" t="e">
        <f ca="1">1/_xll.CALENDRIER.FRAC.ANNEE(_xll.INSTRUMENT.DATE.REGLEMENT($AC253,,),_xll.INSTRUMENT.DATE.REGLEMENT($AC253,_xll.CALENDRIER.GAP.FINANCE(TODAY(),"1M","AUD","Unadjusted"),),"ACT/365")*(_xll.INSTRUMENT.ROLL.DOWN($A253,oisCurve,_xll.CALENDRIER.GAP.FINANCE(TODAY(),"1M","AUD","Unadjusted",TRUE),$N253)+100*$AA253*_xll.CALENDRIER.FRAC.ANNEE(_xll.INSTRUMENT.DATE.REGLEMENT($AC253,,),_xll.INSTRUMENT.DATE.REGLEMENT($AC253,_xll.CALENDRIER.GAP.FINANCE(TODAY(),"1M","AUD","Unadjusted"),),"ACT/365")-$I253)/$I253</f>
        <v>#NAME?</v>
      </c>
      <c r="P253" s="124" t="e">
        <f ca="1">1/_xll.CALENDRIER.FRAC.ANNEE(_xll.INSTRUMENT.DATE.REGLEMENT($AC253,,),_xll.INSTRUMENT.DATE.REGLEMENT($AC253,_xll.CALENDRIER.GAP.FINANCE(TODAY(),"3M","AUD","Unadjusted"),),"ACT/365")*(_xll.INSTRUMENT.ROLL.DOWN($A253,oisCurve,_xll.CALENDRIER.GAP.FINANCE(TODAY(),"3M","AUD","Unadjusted",TRUE),$N253)+100*$AA253*_xll.CALENDRIER.FRAC.ANNEE(_xll.INSTRUMENT.DATE.REGLEMENT($AC253,,),_xll.INSTRUMENT.DATE.REGLEMENT($AC253,_xll.CALENDRIER.GAP.FINANCE(TODAY(),"3M","AUD","Unadjusted"),),"ACT/365")-$I253)/$I253</f>
        <v>#NAME?</v>
      </c>
      <c r="Q253" s="371" t="e">
        <f ca="1">-(O253-curve!$T$3)/J253</f>
        <v>#NAME?</v>
      </c>
      <c r="R253" s="373">
        <f t="shared" ca="1" si="4"/>
        <v>-672.39192812916156</v>
      </c>
      <c r="S253" s="191" t="str">
        <f>IF(F253&lt;&gt;"","",IF(G253="","",-G253*(SUMIF('raw Data'!$A:$A,"RESINV1USD",'raw Data'!$G:$G)+SUMIF('raw Data'!$A:$A,"RESSWAPORUSD",'raw Data'!$G:$G))/(36500*J253)))</f>
        <v/>
      </c>
      <c r="T253" s="202" t="str">
        <f>IF(G253&lt;&gt;"","",IF(F253="","",-36500*J253*F253/(SUMIF('raw Data'!$A:$A,"RESINV1USD",'raw Data'!$G:$G)+SUMIF('raw Data'!$A:$A,"RESSWAPORUSD",'raw Data'!$G:$G))))</f>
        <v/>
      </c>
      <c r="U253" s="125">
        <f>SUMIF('raw Data'!$E:$E,A253,'raw Data'!$N:$N)</f>
        <v>0</v>
      </c>
      <c r="V253" s="126">
        <v>34561</v>
      </c>
      <c r="W253" s="127">
        <v>34561</v>
      </c>
      <c r="X253" s="127">
        <v>34653</v>
      </c>
      <c r="Y253" s="127">
        <v>45427</v>
      </c>
      <c r="Z253" s="127">
        <v>45611</v>
      </c>
      <c r="AA253" s="128">
        <v>7.4999999999999997E-2</v>
      </c>
      <c r="AB253" s="129">
        <v>9604000000</v>
      </c>
      <c r="AC253" s="130" t="str">
        <f ca="1">IF(LEFT(B253,1)="B",_xll.INSTANCE.TBILL(A253,V253,Z253,TODAY()),_xll.INSTANCE.TNOTE(A253,V253,W253,X253,Y253,Z253,AA253,TODAY()))</f>
        <v>US912810ES34#0003</v>
      </c>
    </row>
    <row r="254" spans="1:29" x14ac:dyDescent="0.35">
      <c r="A254" s="131" t="s">
        <v>558</v>
      </c>
      <c r="B254" s="115" t="s">
        <v>1230</v>
      </c>
      <c r="C254" s="364"/>
      <c r="D254" s="116"/>
      <c r="E254" s="117"/>
      <c r="F254" s="118"/>
      <c r="G254" s="369"/>
      <c r="H254" s="120">
        <v>1.8817271999999999E-2</v>
      </c>
      <c r="I254" s="121">
        <f ca="1">_xll.INSTRUMENT.PRIX(AC254,D254,H254,cTreasuries)</f>
        <v>164.28097547767933</v>
      </c>
      <c r="J254" s="122">
        <f ca="1">_xll.INSTRUMENT.DV01(A254,,,I254,cContinuous,I254)</f>
        <v>-0.15363393892094773</v>
      </c>
      <c r="K254" s="123">
        <f ca="1">_xll.INSTRUMENT.CONVEXITE(A254,,,I254,cContinuous,I254)</f>
        <v>102.6089345583879</v>
      </c>
      <c r="L254" s="123">
        <f ca="1">_xll.INSTRUMENT.Z.SPREAD(A254,swapCurve,I254,cContinuous,D254)</f>
        <v>-1.61641012643048E-2</v>
      </c>
      <c r="M254" s="123" t="e">
        <f ca="1">_xll.INSTRUMENT.Z.SPREAD(A254,ustCurve,I254,cContinuous,D254)</f>
        <v>#VALUE!</v>
      </c>
      <c r="N254" s="123">
        <f ca="1">_xll.INSTRUMENT.Z.SPREAD(A254,oisCurve,I254,cContinuous,D254)</f>
        <v>31.31512622983351</v>
      </c>
      <c r="O254" s="124" t="e">
        <f ca="1">1/_xll.CALENDRIER.FRAC.ANNEE(_xll.INSTRUMENT.DATE.REGLEMENT($AC254,,),_xll.INSTRUMENT.DATE.REGLEMENT($AC254,_xll.CALENDRIER.GAP.FINANCE(TODAY(),"1M","AUD","Unadjusted"),),"ACT/365")*(_xll.INSTRUMENT.ROLL.DOWN($A254,oisCurve,_xll.CALENDRIER.GAP.FINANCE(TODAY(),"1M","AUD","Unadjusted",TRUE),$N254)+100*$AA254*_xll.CALENDRIER.FRAC.ANNEE(_xll.INSTRUMENT.DATE.REGLEMENT($AC254,,),_xll.INSTRUMENT.DATE.REGLEMENT($AC254,_xll.CALENDRIER.GAP.FINANCE(TODAY(),"1M","AUD","Unadjusted"),),"ACT/365")-$I254)/$I254</f>
        <v>#NAME?</v>
      </c>
      <c r="P254" s="124" t="e">
        <f ca="1">1/_xll.CALENDRIER.FRAC.ANNEE(_xll.INSTRUMENT.DATE.REGLEMENT($AC254,,),_xll.INSTRUMENT.DATE.REGLEMENT($AC254,_xll.CALENDRIER.GAP.FINANCE(TODAY(),"3M","AUD","Unadjusted"),),"ACT/365")*(_xll.INSTRUMENT.ROLL.DOWN($A254,oisCurve,_xll.CALENDRIER.GAP.FINANCE(TODAY(),"3M","AUD","Unadjusted",TRUE),$N254)+100*$AA254*_xll.CALENDRIER.FRAC.ANNEE(_xll.INSTRUMENT.DATE.REGLEMENT($AC254,,),_xll.INSTRUMENT.DATE.REGLEMENT($AC254,_xll.CALENDRIER.GAP.FINANCE(TODAY(),"3M","AUD","Unadjusted"),),"ACT/365")-$I254)/$I254</f>
        <v>#NAME?</v>
      </c>
      <c r="Q254" s="371" t="e">
        <f ca="1">-(O254-curve!$T$3)/J254</f>
        <v>#NAME?</v>
      </c>
      <c r="R254" s="373">
        <f t="shared" ca="1" si="4"/>
        <v>-667.87934540417712</v>
      </c>
      <c r="S254" s="191" t="str">
        <f>IF(F254&lt;&gt;"","",IF(G254="","",-G254*(SUMIF('raw Data'!$A:$A,"RESINV1USD",'raw Data'!$G:$G)+SUMIF('raw Data'!$A:$A,"RESSWAPORUSD",'raw Data'!$G:$G))/(36500*J254)))</f>
        <v/>
      </c>
      <c r="T254" s="202" t="str">
        <f>IF(G254&lt;&gt;"","",IF(F254="","",-36500*J254*F254/(SUMIF('raw Data'!$A:$A,"RESINV1USD",'raw Data'!$G:$G)+SUMIF('raw Data'!$A:$A,"RESSWAPORUSD",'raw Data'!$G:$G))))</f>
        <v/>
      </c>
      <c r="U254" s="125">
        <f>SUMIF('raw Data'!$E:$E,A254,'raw Data'!$N:$N)</f>
        <v>0</v>
      </c>
      <c r="V254" s="126">
        <v>34745</v>
      </c>
      <c r="W254" s="127">
        <v>34745</v>
      </c>
      <c r="X254" s="127">
        <v>34926</v>
      </c>
      <c r="Y254" s="127">
        <v>45519</v>
      </c>
      <c r="Z254" s="127">
        <v>45703</v>
      </c>
      <c r="AA254" s="128">
        <v>7.6249999999999998E-2</v>
      </c>
      <c r="AB254" s="129">
        <v>9509000000</v>
      </c>
      <c r="AC254" s="130" t="str">
        <f ca="1">IF(LEFT(B254,1)="B",_xll.INSTANCE.TBILL(A254,V254,Z254,TODAY()),_xll.INSTANCE.TNOTE(A254,V254,W254,X254,Y254,Z254,AA254,TODAY()))</f>
        <v>US912810ET17#0003</v>
      </c>
    </row>
    <row r="255" spans="1:29" x14ac:dyDescent="0.35">
      <c r="A255" s="131" t="s">
        <v>559</v>
      </c>
      <c r="B255" s="115" t="s">
        <v>1231</v>
      </c>
      <c r="C255" s="364"/>
      <c r="D255" s="116"/>
      <c r="E255" s="117"/>
      <c r="F255" s="118"/>
      <c r="G255" s="369"/>
      <c r="H255" s="120">
        <v>1.9482424000000002E-2</v>
      </c>
      <c r="I255" s="121">
        <f ca="1">_xll.INSTRUMENT.PRIX(AC255,D255,H255,cTreasuries)</f>
        <v>156.82817402095975</v>
      </c>
      <c r="J255" s="122">
        <f ca="1">_xll.INSTRUMENT.DV01(A255,,,I255,cContinuous,I255)</f>
        <v>-0.15363094131126387</v>
      </c>
      <c r="K255" s="123">
        <f ca="1">_xll.INSTRUMENT.CONVEXITE(A255,,,I255,cContinuous,I255)</f>
        <v>112.21724727748813</v>
      </c>
      <c r="L255" s="123">
        <f ca="1">_xll.INSTRUMENT.Z.SPREAD(A255,swapCurve,I255,cContinuous,D255)</f>
        <v>1.8708351466580888</v>
      </c>
      <c r="M255" s="123" t="e">
        <f ca="1">_xll.INSTRUMENT.Z.SPREAD(A255,ustCurve,I255,cContinuous,D255)</f>
        <v>#VALUE!</v>
      </c>
      <c r="N255" s="123">
        <f ca="1">_xll.INSTRUMENT.Z.SPREAD(A255,oisCurve,I255,cContinuous,D255)</f>
        <v>32.813747328900639</v>
      </c>
      <c r="O255" s="124" t="e">
        <f ca="1">1/_xll.CALENDRIER.FRAC.ANNEE(_xll.INSTRUMENT.DATE.REGLEMENT($AC255,,),_xll.INSTRUMENT.DATE.REGLEMENT($AC255,_xll.CALENDRIER.GAP.FINANCE(TODAY(),"1M","AUD","Unadjusted"),),"ACT/365")*(_xll.INSTRUMENT.ROLL.DOWN($A255,oisCurve,_xll.CALENDRIER.GAP.FINANCE(TODAY(),"1M","AUD","Unadjusted",TRUE),$N255)+100*$AA255*_xll.CALENDRIER.FRAC.ANNEE(_xll.INSTRUMENT.DATE.REGLEMENT($AC255,,),_xll.INSTRUMENT.DATE.REGLEMENT($AC255,_xll.CALENDRIER.GAP.FINANCE(TODAY(),"1M","AUD","Unadjusted"),),"ACT/365")-$I255)/$I255</f>
        <v>#NAME?</v>
      </c>
      <c r="P255" s="124" t="e">
        <f ca="1">1/_xll.CALENDRIER.FRAC.ANNEE(_xll.INSTRUMENT.DATE.REGLEMENT($AC255,,),_xll.INSTRUMENT.DATE.REGLEMENT($AC255,_xll.CALENDRIER.GAP.FINANCE(TODAY(),"3M","AUD","Unadjusted"),),"ACT/365")*(_xll.INSTRUMENT.ROLL.DOWN($A255,oisCurve,_xll.CALENDRIER.GAP.FINANCE(TODAY(),"3M","AUD","Unadjusted",TRUE),$N255)+100*$AA255*_xll.CALENDRIER.FRAC.ANNEE(_xll.INSTRUMENT.DATE.REGLEMENT($AC255,,),_xll.INSTRUMENT.DATE.REGLEMENT($AC255,_xll.CALENDRIER.GAP.FINANCE(TODAY(),"3M","AUD","Unadjusted"),),"ACT/365")-$I255)/$I255</f>
        <v>#NAME?</v>
      </c>
      <c r="Q255" s="371" t="e">
        <f ca="1">-(O255-curve!$T$3)/J255</f>
        <v>#NAME?</v>
      </c>
      <c r="R255" s="373">
        <f t="shared" ref="R255:R286" ca="1" si="6">K255/J255</f>
        <v>-730.43389775325556</v>
      </c>
      <c r="S255" s="191" t="str">
        <f>IF(F255&lt;&gt;"","",IF(G255="","",-G255*(SUMIF('raw Data'!$A:$A,"RESINV1USD",'raw Data'!$G:$G)+SUMIF('raw Data'!$A:$A,"RESSWAPORUSD",'raw Data'!$G:$G))/(36500*J255)))</f>
        <v/>
      </c>
      <c r="T255" s="202" t="str">
        <f>IF(G255&lt;&gt;"","",IF(F255="","",-36500*J255*F255/(SUMIF('raw Data'!$A:$A,"RESINV1USD",'raw Data'!$G:$G)+SUMIF('raw Data'!$A:$A,"RESSWAPORUSD",'raw Data'!$G:$G))))</f>
        <v/>
      </c>
      <c r="U255" s="125">
        <f>SUMIF('raw Data'!$E:$E,A255,'raw Data'!$N:$N)</f>
        <v>0</v>
      </c>
      <c r="V255" s="126">
        <v>34926</v>
      </c>
      <c r="W255" s="127">
        <v>34926</v>
      </c>
      <c r="X255" s="127">
        <v>35110</v>
      </c>
      <c r="Y255" s="127">
        <v>45703</v>
      </c>
      <c r="Z255" s="127">
        <v>45884</v>
      </c>
      <c r="AA255" s="128">
        <v>6.8750000000000006E-2</v>
      </c>
      <c r="AB255" s="129">
        <v>11187000000</v>
      </c>
      <c r="AC255" s="130" t="str">
        <f ca="1">IF(LEFT(B255,1)="B",_xll.INSTANCE.TBILL(A255,V255,Z255,TODAY()),_xll.INSTANCE.TNOTE(A255,V255,W255,X255,Y255,Z255,AA255,TODAY()))</f>
        <v>US912810EV62#0003</v>
      </c>
    </row>
    <row r="256" spans="1:29" x14ac:dyDescent="0.35">
      <c r="A256" s="131" t="s">
        <v>560</v>
      </c>
      <c r="B256" s="115" t="s">
        <v>1232</v>
      </c>
      <c r="C256" s="364"/>
      <c r="D256" s="116"/>
      <c r="E256" s="117"/>
      <c r="F256" s="118"/>
      <c r="G256" s="369"/>
      <c r="H256" s="120">
        <v>2.0197143999999997E-2</v>
      </c>
      <c r="I256" s="121">
        <f ca="1">_xll.INSTRUMENT.PRIX(AC256,D256,H256,cTreasuries)</f>
        <v>147.20598539237497</v>
      </c>
      <c r="J256" s="122">
        <f ca="1">_xll.INSTRUMENT.DV01(A256,,,I256,cContinuous,I256)</f>
        <v>-0.15173742121743616</v>
      </c>
      <c r="K256" s="123">
        <f ca="1">_xll.INSTRUMENT.CONVEXITE(A256,,,I256,cContinuous,I256)</f>
        <v>123.7044099007262</v>
      </c>
      <c r="L256" s="123">
        <f ca="1">_xll.INSTRUMENT.Z.SPREAD(A256,swapCurve,I256,cContinuous,D256)</f>
        <v>3.9271573320503785</v>
      </c>
      <c r="M256" s="123" t="e">
        <f ca="1">_xll.INSTRUMENT.Z.SPREAD(A256,ustCurve,I256,cContinuous,D256)</f>
        <v>#VALUE!</v>
      </c>
      <c r="N256" s="123">
        <f ca="1">_xll.INSTRUMENT.Z.SPREAD(A256,oisCurve,I256,cContinuous,D256)</f>
        <v>34.364512220265816</v>
      </c>
      <c r="O256" s="124" t="e">
        <f ca="1">1/_xll.CALENDRIER.FRAC.ANNEE(_xll.INSTRUMENT.DATE.REGLEMENT($AC256,,),_xll.INSTRUMENT.DATE.REGLEMENT($AC256,_xll.CALENDRIER.GAP.FINANCE(TODAY(),"1M","AUD","Unadjusted"),),"ACT/365")*(_xll.INSTRUMENT.ROLL.DOWN($A256,oisCurve,_xll.CALENDRIER.GAP.FINANCE(TODAY(),"1M","AUD","Unadjusted",TRUE),$N256)+100*$AA256*_xll.CALENDRIER.FRAC.ANNEE(_xll.INSTRUMENT.DATE.REGLEMENT($AC256,,),_xll.INSTRUMENT.DATE.REGLEMENT($AC256,_xll.CALENDRIER.GAP.FINANCE(TODAY(),"1M","AUD","Unadjusted"),),"ACT/365")-$I256)/$I256</f>
        <v>#NAME?</v>
      </c>
      <c r="P256" s="124" t="e">
        <f ca="1">1/_xll.CALENDRIER.FRAC.ANNEE(_xll.INSTRUMENT.DATE.REGLEMENT($AC256,,),_xll.INSTRUMENT.DATE.REGLEMENT($AC256,_xll.CALENDRIER.GAP.FINANCE(TODAY(),"3M","AUD","Unadjusted"),),"ACT/365")*(_xll.INSTRUMENT.ROLL.DOWN($A256,oisCurve,_xll.CALENDRIER.GAP.FINANCE(TODAY(),"3M","AUD","Unadjusted",TRUE),$N256)+100*$AA256*_xll.CALENDRIER.FRAC.ANNEE(_xll.INSTRUMENT.DATE.REGLEMENT($AC256,,),_xll.INSTRUMENT.DATE.REGLEMENT($AC256,_xll.CALENDRIER.GAP.FINANCE(TODAY(),"3M","AUD","Unadjusted"),),"ACT/365")-$I256)/$I256</f>
        <v>#NAME?</v>
      </c>
      <c r="Q256" s="371" t="e">
        <f ca="1">-(O256-curve!$T$3)/J256</f>
        <v>#NAME?</v>
      </c>
      <c r="R256" s="373">
        <f t="shared" ca="1" si="6"/>
        <v>-815.25314525716556</v>
      </c>
      <c r="S256" s="191" t="str">
        <f>IF(F256&lt;&gt;"","",IF(G256="","",-G256*(SUMIF('raw Data'!$A:$A,"RESINV1USD",'raw Data'!$G:$G)+SUMIF('raw Data'!$A:$A,"RESSWAPORUSD",'raw Data'!$G:$G))/(36500*J256)))</f>
        <v/>
      </c>
      <c r="T256" s="202" t="str">
        <f>IF(G256&lt;&gt;"","",IF(F256="","",-36500*J256*F256/(SUMIF('raw Data'!$A:$A,"RESINV1USD",'raw Data'!$G:$G)+SUMIF('raw Data'!$A:$A,"RESSWAPORUSD",'raw Data'!$G:$G))))</f>
        <v/>
      </c>
      <c r="U256" s="125">
        <f>SUMIF('raw Data'!$E:$E,A256,'raw Data'!$N:$N)</f>
        <v>0</v>
      </c>
      <c r="V256" s="126">
        <v>35110</v>
      </c>
      <c r="W256" s="127">
        <v>35110</v>
      </c>
      <c r="X256" s="127">
        <v>35292</v>
      </c>
      <c r="Y256" s="127">
        <v>45884</v>
      </c>
      <c r="Z256" s="127">
        <v>46068</v>
      </c>
      <c r="AA256" s="128">
        <v>0.06</v>
      </c>
      <c r="AB256" s="129">
        <v>12838000000</v>
      </c>
      <c r="AC256" s="130" t="str">
        <f ca="1">IF(LEFT(B256,1)="B",_xll.INSTANCE.TBILL(A256,V256,Z256,TODAY()),_xll.INSTANCE.TNOTE(A256,V256,W256,X256,Y256,Z256,AA256,TODAY()))</f>
        <v>US912810EW46#0003</v>
      </c>
    </row>
    <row r="257" spans="1:29" x14ac:dyDescent="0.35">
      <c r="A257" s="131" t="s">
        <v>561</v>
      </c>
      <c r="B257" s="115" t="s">
        <v>1233</v>
      </c>
      <c r="C257" s="364"/>
      <c r="D257" s="116"/>
      <c r="E257" s="117"/>
      <c r="F257" s="118"/>
      <c r="G257" s="369"/>
      <c r="H257" s="120">
        <v>2.0409581E-2</v>
      </c>
      <c r="I257" s="121">
        <f ca="1">_xll.INSTRUMENT.PRIX(AC257,D257,H257,cTreasuries)</f>
        <v>157.5443290583064</v>
      </c>
      <c r="J257" s="122">
        <f ca="1">_xll.INSTRUMENT.DV01(A257,,,I257,cContinuous,I257)</f>
        <v>-0.16361441778511446</v>
      </c>
      <c r="K257" s="123">
        <f ca="1">_xll.INSTRUMENT.CONVEXITE(A257,,,I257,cContinuous,I257)</f>
        <v>127.31025562155217</v>
      </c>
      <c r="L257" s="123">
        <f ca="1">_xll.INSTRUMENT.Z.SPREAD(A257,swapCurve,I257,cContinuous,D257)</f>
        <v>4.614973529659971</v>
      </c>
      <c r="M257" s="123" t="e">
        <f ca="1">_xll.INSTRUMENT.Z.SPREAD(A257,ustCurve,I257,cContinuous,D257)</f>
        <v>#VALUE!</v>
      </c>
      <c r="N257" s="123">
        <f ca="1">_xll.INSTRUMENT.Z.SPREAD(A257,oisCurve,I257,cContinuous,D257)</f>
        <v>34.69422704222869</v>
      </c>
      <c r="O257" s="124" t="e">
        <f ca="1">1/_xll.CALENDRIER.FRAC.ANNEE(_xll.INSTRUMENT.DATE.REGLEMENT($AC257,,),_xll.INSTRUMENT.DATE.REGLEMENT($AC257,_xll.CALENDRIER.GAP.FINANCE(TODAY(),"1M","AUD","Unadjusted"),),"ACT/365")*(_xll.INSTRUMENT.ROLL.DOWN($A257,oisCurve,_xll.CALENDRIER.GAP.FINANCE(TODAY(),"1M","AUD","Unadjusted",TRUE),$N257)+100*$AA257*_xll.CALENDRIER.FRAC.ANNEE(_xll.INSTRUMENT.DATE.REGLEMENT($AC257,,),_xll.INSTRUMENT.DATE.REGLEMENT($AC257,_xll.CALENDRIER.GAP.FINANCE(TODAY(),"1M","AUD","Unadjusted"),),"ACT/365")-$I257)/$I257</f>
        <v>#NAME?</v>
      </c>
      <c r="P257" s="124" t="e">
        <f ca="1">1/_xll.CALENDRIER.FRAC.ANNEE(_xll.INSTRUMENT.DATE.REGLEMENT($AC257,,),_xll.INSTRUMENT.DATE.REGLEMENT($AC257,_xll.CALENDRIER.GAP.FINANCE(TODAY(),"3M","AUD","Unadjusted"),),"ACT/365")*(_xll.INSTRUMENT.ROLL.DOWN($A257,oisCurve,_xll.CALENDRIER.GAP.FINANCE(TODAY(),"3M","AUD","Unadjusted",TRUE),$N257)+100*$AA257*_xll.CALENDRIER.FRAC.ANNEE(_xll.INSTRUMENT.DATE.REGLEMENT($AC257,,),_xll.INSTRUMENT.DATE.REGLEMENT($AC257,_xll.CALENDRIER.GAP.FINANCE(TODAY(),"3M","AUD","Unadjusted"),),"ACT/365")-$I257)/$I257</f>
        <v>#NAME?</v>
      </c>
      <c r="Q257" s="371" t="e">
        <f ca="1">-(O257-curve!$T$3)/J257</f>
        <v>#NAME?</v>
      </c>
      <c r="R257" s="373">
        <f t="shared" ca="1" si="6"/>
        <v>-778.11147296784736</v>
      </c>
      <c r="S257" s="191" t="str">
        <f>IF(F257&lt;&gt;"","",IF(G257="","",-G257*(SUMIF('raw Data'!$A:$A,"RESINV1USD",'raw Data'!$G:$G)+SUMIF('raw Data'!$A:$A,"RESSWAPORUSD",'raw Data'!$G:$G))/(36500*J257)))</f>
        <v/>
      </c>
      <c r="T257" s="202" t="str">
        <f>IF(G257&lt;&gt;"","",IF(F257="","",-36500*J257*F257/(SUMIF('raw Data'!$A:$A,"RESINV1USD",'raw Data'!$G:$G)+SUMIF('raw Data'!$A:$A,"RESSWAPORUSD",'raw Data'!$G:$G))))</f>
        <v/>
      </c>
      <c r="U257" s="125">
        <f>SUMIF('raw Data'!$E:$E,A257,'raw Data'!$N:$N)</f>
        <v>0</v>
      </c>
      <c r="V257" s="126">
        <v>35292</v>
      </c>
      <c r="W257" s="127">
        <v>35292</v>
      </c>
      <c r="X257" s="127">
        <v>35476</v>
      </c>
      <c r="Y257" s="127">
        <v>46068</v>
      </c>
      <c r="Z257" s="127">
        <v>46249</v>
      </c>
      <c r="AA257" s="128">
        <v>6.7500000000000004E-2</v>
      </c>
      <c r="AB257" s="129">
        <v>8810000000</v>
      </c>
      <c r="AC257" s="130" t="str">
        <f ca="1">IF(LEFT(B257,1)="B",_xll.INSTANCE.TBILL(A257,V257,Z257,TODAY()),_xll.INSTANCE.TNOTE(A257,V257,W257,X257,Y257,Z257,AA257,TODAY()))</f>
        <v>US912810EX29#0003</v>
      </c>
    </row>
    <row r="258" spans="1:29" x14ac:dyDescent="0.35">
      <c r="A258" s="131" t="s">
        <v>562</v>
      </c>
      <c r="B258" s="115" t="s">
        <v>1234</v>
      </c>
      <c r="C258" s="364"/>
      <c r="D258" s="116"/>
      <c r="E258" s="117"/>
      <c r="F258" s="118"/>
      <c r="G258" s="369"/>
      <c r="H258" s="120">
        <v>2.0683018000000001E-2</v>
      </c>
      <c r="I258" s="121">
        <f ca="1">_xll.INSTRUMENT.PRIX(AC258,D258,H258,cTreasuries)</f>
        <v>154.86593102655704</v>
      </c>
      <c r="J258" s="122">
        <f ca="1">_xll.INSTRUMENT.DV01(A258,,,I258,cContinuous,I258)</f>
        <v>-0.1640012040029426</v>
      </c>
      <c r="K258" s="123">
        <f ca="1">_xll.INSTRUMENT.CONVEXITE(A258,,,I258,cContinuous,I258)</f>
        <v>133.66664582934368</v>
      </c>
      <c r="L258" s="123">
        <f ca="1">_xll.INSTRUMENT.Z.SPREAD(A258,swapCurve,I258,cContinuous,D258)</f>
        <v>5.5129946619367054</v>
      </c>
      <c r="M258" s="123" t="e">
        <f ca="1">_xll.INSTRUMENT.Z.SPREAD(A258,ustCurve,I258,cContinuous,D258)</f>
        <v>#VALUE!</v>
      </c>
      <c r="N258" s="123">
        <f ca="1">_xll.INSTRUMENT.Z.SPREAD(A258,oisCurve,I258,cContinuous,D258)</f>
        <v>35.358640025159588</v>
      </c>
      <c r="O258" s="124" t="e">
        <f ca="1">1/_xll.CALENDRIER.FRAC.ANNEE(_xll.INSTRUMENT.DATE.REGLEMENT($AC258,,),_xll.INSTRUMENT.DATE.REGLEMENT($AC258,_xll.CALENDRIER.GAP.FINANCE(TODAY(),"1M","AUD","Unadjusted"),),"ACT/365")*(_xll.INSTRUMENT.ROLL.DOWN($A258,oisCurve,_xll.CALENDRIER.GAP.FINANCE(TODAY(),"1M","AUD","Unadjusted",TRUE),$N258)+100*$AA258*_xll.CALENDRIER.FRAC.ANNEE(_xll.INSTRUMENT.DATE.REGLEMENT($AC258,,),_xll.INSTRUMENT.DATE.REGLEMENT($AC258,_xll.CALENDRIER.GAP.FINANCE(TODAY(),"1M","AUD","Unadjusted"),),"ACT/365")-$I258)/$I258</f>
        <v>#NAME?</v>
      </c>
      <c r="P258" s="124" t="e">
        <f ca="1">1/_xll.CALENDRIER.FRAC.ANNEE(_xll.INSTRUMENT.DATE.REGLEMENT($AC258,,),_xll.INSTRUMENT.DATE.REGLEMENT($AC258,_xll.CALENDRIER.GAP.FINANCE(TODAY(),"3M","AUD","Unadjusted"),),"ACT/365")*(_xll.INSTRUMENT.ROLL.DOWN($A258,oisCurve,_xll.CALENDRIER.GAP.FINANCE(TODAY(),"3M","AUD","Unadjusted",TRUE),$N258)+100*$AA258*_xll.CALENDRIER.FRAC.ANNEE(_xll.INSTRUMENT.DATE.REGLEMENT($AC258,,),_xll.INSTRUMENT.DATE.REGLEMENT($AC258,_xll.CALENDRIER.GAP.FINANCE(TODAY(),"3M","AUD","Unadjusted"),),"ACT/365")-$I258)/$I258</f>
        <v>#NAME?</v>
      </c>
      <c r="Q258" s="371" t="e">
        <f ca="1">-(O258-curve!$T$3)/J258</f>
        <v>#NAME?</v>
      </c>
      <c r="R258" s="373">
        <f t="shared" ca="1" si="6"/>
        <v>-815.03453978877712</v>
      </c>
      <c r="S258" s="191" t="str">
        <f>IF(F258&lt;&gt;"","",IF(G258="","",-G258*(SUMIF('raw Data'!$A:$A,"RESINV1USD",'raw Data'!$G:$G)+SUMIF('raw Data'!$A:$A,"RESSWAPORUSD",'raw Data'!$G:$G))/(36500*J258)))</f>
        <v/>
      </c>
      <c r="T258" s="202" t="str">
        <f>IF(G258&lt;&gt;"","",IF(F258="","",-36500*J258*F258/(SUMIF('raw Data'!$A:$A,"RESINV1USD",'raw Data'!$G:$G)+SUMIF('raw Data'!$A:$A,"RESSWAPORUSD",'raw Data'!$G:$G))))</f>
        <v/>
      </c>
      <c r="U258" s="125">
        <f>SUMIF('raw Data'!$E:$E,A258,'raw Data'!$N:$N)</f>
        <v>0</v>
      </c>
      <c r="V258" s="126">
        <v>35384</v>
      </c>
      <c r="W258" s="127">
        <v>35384</v>
      </c>
      <c r="X258" s="127">
        <v>35565</v>
      </c>
      <c r="Y258" s="127">
        <v>46157</v>
      </c>
      <c r="Z258" s="127">
        <v>46341</v>
      </c>
      <c r="AA258" s="128">
        <v>6.5000000000000002E-2</v>
      </c>
      <c r="AB258" s="129">
        <v>10860000000</v>
      </c>
      <c r="AC258" s="130" t="str">
        <f ca="1">IF(LEFT(B258,1)="B",_xll.INSTANCE.TBILL(A258,V258,Z258,TODAY()),_xll.INSTANCE.TNOTE(A258,V258,W258,X258,Y258,Z258,AA258,TODAY()))</f>
        <v>US912810EY02#0003</v>
      </c>
    </row>
    <row r="259" spans="1:29" x14ac:dyDescent="0.35">
      <c r="A259" s="131" t="s">
        <v>563</v>
      </c>
      <c r="B259" s="115" t="s">
        <v>1235</v>
      </c>
      <c r="C259" s="364"/>
      <c r="D259" s="116"/>
      <c r="E259" s="117"/>
      <c r="F259" s="118"/>
      <c r="G259" s="369"/>
      <c r="H259" s="120">
        <v>2.0843994000000001E-2</v>
      </c>
      <c r="I259" s="121">
        <f ca="1">_xll.INSTRUMENT.PRIX(AC259,D259,H259,cTreasuries)</f>
        <v>156.98946916754744</v>
      </c>
      <c r="J259" s="122">
        <f ca="1">_xll.INSTRUMENT.DV01(A259,,,I259,cContinuous,I259)</f>
        <v>-0.1678832712998925</v>
      </c>
      <c r="K259" s="123">
        <f ca="1">_xll.INSTRUMENT.CONVEXITE(A259,,,I259,cContinuous,I259)</f>
        <v>135.43756334620463</v>
      </c>
      <c r="L259" s="123">
        <f ca="1">_xll.INSTRUMENT.Z.SPREAD(A259,swapCurve,I259,cContinuous,D259)</f>
        <v>6.0317058768231631</v>
      </c>
      <c r="M259" s="123" t="e">
        <f ca="1">_xll.INSTRUMENT.Z.SPREAD(A259,ustCurve,I259,cContinuous,D259)</f>
        <v>#VALUE!</v>
      </c>
      <c r="N259" s="123">
        <f ca="1">_xll.INSTRUMENT.Z.SPREAD(A259,oisCurve,I259,cContinuous,D259)</f>
        <v>35.679359606454952</v>
      </c>
      <c r="O259" s="124" t="e">
        <f ca="1">1/_xll.CALENDRIER.FRAC.ANNEE(_xll.INSTRUMENT.DATE.REGLEMENT($AC259,,),_xll.INSTRUMENT.DATE.REGLEMENT($AC259,_xll.CALENDRIER.GAP.FINANCE(TODAY(),"1M","AUD","Unadjusted"),),"ACT/365")*(_xll.INSTRUMENT.ROLL.DOWN($A259,oisCurve,_xll.CALENDRIER.GAP.FINANCE(TODAY(),"1M","AUD","Unadjusted",TRUE),$N259)+100*$AA259*_xll.CALENDRIER.FRAC.ANNEE(_xll.INSTRUMENT.DATE.REGLEMENT($AC259,,),_xll.INSTRUMENT.DATE.REGLEMENT($AC259,_xll.CALENDRIER.GAP.FINANCE(TODAY(),"1M","AUD","Unadjusted"),),"ACT/365")-$I259)/$I259</f>
        <v>#NAME?</v>
      </c>
      <c r="P259" s="124" t="e">
        <f ca="1">1/_xll.CALENDRIER.FRAC.ANNEE(_xll.INSTRUMENT.DATE.REGLEMENT($AC259,,),_xll.INSTRUMENT.DATE.REGLEMENT($AC259,_xll.CALENDRIER.GAP.FINANCE(TODAY(),"3M","AUD","Unadjusted"),),"ACT/365")*(_xll.INSTRUMENT.ROLL.DOWN($A259,oisCurve,_xll.CALENDRIER.GAP.FINANCE(TODAY(),"3M","AUD","Unadjusted",TRUE),$N259)+100*$AA259*_xll.CALENDRIER.FRAC.ANNEE(_xll.INSTRUMENT.DATE.REGLEMENT($AC259,,),_xll.INSTRUMENT.DATE.REGLEMENT($AC259,_xll.CALENDRIER.GAP.FINANCE(TODAY(),"3M","AUD","Unadjusted"),),"ACT/365")-$I259)/$I259</f>
        <v>#NAME?</v>
      </c>
      <c r="Q259" s="371" t="e">
        <f ca="1">-(O259-curve!$T$3)/J259</f>
        <v>#NAME?</v>
      </c>
      <c r="R259" s="373">
        <f t="shared" ca="1" si="6"/>
        <v>-806.73650386684687</v>
      </c>
      <c r="S259" s="191" t="str">
        <f>IF(F259&lt;&gt;"","",IF(G259="","",-G259*(SUMIF('raw Data'!$A:$A,"RESINV1USD",'raw Data'!$G:$G)+SUMIF('raw Data'!$A:$A,"RESSWAPORUSD",'raw Data'!$G:$G))/(36500*J259)))</f>
        <v/>
      </c>
      <c r="T259" s="202" t="str">
        <f>IF(G259&lt;&gt;"","",IF(F259="","",-36500*J259*F259/(SUMIF('raw Data'!$A:$A,"RESINV1USD",'raw Data'!$G:$G)+SUMIF('raw Data'!$A:$A,"RESSWAPORUSD",'raw Data'!$G:$G))))</f>
        <v/>
      </c>
      <c r="U259" s="125">
        <f>SUMIF('raw Data'!$E:$E,A259,'raw Data'!$N:$N)</f>
        <v>0</v>
      </c>
      <c r="V259" s="126">
        <v>35479</v>
      </c>
      <c r="W259" s="127">
        <v>35476</v>
      </c>
      <c r="X259" s="127">
        <v>35657</v>
      </c>
      <c r="Y259" s="127">
        <v>46249</v>
      </c>
      <c r="Z259" s="127">
        <v>46433</v>
      </c>
      <c r="AA259" s="128">
        <v>6.6250000000000003E-2</v>
      </c>
      <c r="AB259" s="129">
        <v>9522000000</v>
      </c>
      <c r="AC259" s="130" t="str">
        <f ca="1">IF(LEFT(B259,1)="B",_xll.INSTANCE.TBILL(A259,V259,Z259,TODAY()),_xll.INSTANCE.TNOTE(A259,V259,W259,X259,Y259,Z259,AA259,TODAY()))</f>
        <v>US912810EZ76#0003</v>
      </c>
    </row>
    <row r="260" spans="1:29" x14ac:dyDescent="0.35">
      <c r="A260" s="131" t="s">
        <v>564</v>
      </c>
      <c r="B260" s="115" t="s">
        <v>1236</v>
      </c>
      <c r="C260" s="364"/>
      <c r="D260" s="116"/>
      <c r="E260" s="117"/>
      <c r="F260" s="118"/>
      <c r="G260" s="369"/>
      <c r="H260" s="120">
        <v>2.1200014999999999E-2</v>
      </c>
      <c r="I260" s="121">
        <f ca="1">_xll.INSTRUMENT.PRIX(AC260,D260,H260,cTreasuries)</f>
        <v>154.82177683561949</v>
      </c>
      <c r="J260" s="122">
        <f ca="1">_xll.INSTRUMENT.DV01(A260,,,I260,cContinuous,I260)</f>
        <v>-0.17086426303574431</v>
      </c>
      <c r="K260" s="123">
        <f ca="1">_xll.INSTRUMENT.CONVEXITE(A260,,,I260,cContinuous,I260)</f>
        <v>144.50087422747694</v>
      </c>
      <c r="L260" s="123">
        <f ca="1">_xll.INSTRUMENT.Z.SPREAD(A260,swapCurve,I260,cContinuous,D260)</f>
        <v>6.6179278751379105</v>
      </c>
      <c r="M260" s="123" t="e">
        <f ca="1">_xll.INSTRUMENT.Z.SPREAD(A260,ustCurve,I260,cContinuous,D260)</f>
        <v>#VALUE!</v>
      </c>
      <c r="N260" s="123">
        <f ca="1">_xll.INSTRUMENT.Z.SPREAD(A260,oisCurve,I260,cContinuous,D260)</f>
        <v>35.86903502494544</v>
      </c>
      <c r="O260" s="124" t="e">
        <f ca="1">1/_xll.CALENDRIER.FRAC.ANNEE(_xll.INSTRUMENT.DATE.REGLEMENT($AC260,,),_xll.INSTRUMENT.DATE.REGLEMENT($AC260,_xll.CALENDRIER.GAP.FINANCE(TODAY(),"1M","AUD","Unadjusted"),),"ACT/365")*(_xll.INSTRUMENT.ROLL.DOWN($A260,oisCurve,_xll.CALENDRIER.GAP.FINANCE(TODAY(),"1M","AUD","Unadjusted",TRUE),$N260)+100*$AA260*_xll.CALENDRIER.FRAC.ANNEE(_xll.INSTRUMENT.DATE.REGLEMENT($AC260,,),_xll.INSTRUMENT.DATE.REGLEMENT($AC260,_xll.CALENDRIER.GAP.FINANCE(TODAY(),"1M","AUD","Unadjusted"),),"ACT/365")-$I260)/$I260</f>
        <v>#NAME?</v>
      </c>
      <c r="P260" s="124" t="e">
        <f ca="1">1/_xll.CALENDRIER.FRAC.ANNEE(_xll.INSTRUMENT.DATE.REGLEMENT($AC260,,),_xll.INSTRUMENT.DATE.REGLEMENT($AC260,_xll.CALENDRIER.GAP.FINANCE(TODAY(),"3M","AUD","Unadjusted"),),"ACT/365")*(_xll.INSTRUMENT.ROLL.DOWN($A260,oisCurve,_xll.CALENDRIER.GAP.FINANCE(TODAY(),"3M","AUD","Unadjusted",TRUE),$N260)+100*$AA260*_xll.CALENDRIER.FRAC.ANNEE(_xll.INSTRUMENT.DATE.REGLEMENT($AC260,,),_xll.INSTRUMENT.DATE.REGLEMENT($AC260,_xll.CALENDRIER.GAP.FINANCE(TODAY(),"3M","AUD","Unadjusted"),),"ACT/365")-$I260)/$I260</f>
        <v>#NAME?</v>
      </c>
      <c r="Q260" s="371" t="e">
        <f ca="1">-(O260-curve!$T$3)/J260</f>
        <v>#NAME?</v>
      </c>
      <c r="R260" s="373">
        <f t="shared" ca="1" si="6"/>
        <v>-845.70565933525711</v>
      </c>
      <c r="S260" s="191" t="str">
        <f>IF(F260&lt;&gt;"","",IF(G260="","",-G260*(SUMIF('raw Data'!$A:$A,"RESINV1USD",'raw Data'!$G:$G)+SUMIF('raw Data'!$A:$A,"RESSWAPORUSD",'raw Data'!$G:$G))/(36500*J260)))</f>
        <v/>
      </c>
      <c r="T260" s="202" t="str">
        <f>IF(G260&lt;&gt;"","",IF(F260="","",-36500*J260*F260/(SUMIF('raw Data'!$A:$A,"RESINV1USD",'raw Data'!$G:$G)+SUMIF('raw Data'!$A:$A,"RESSWAPORUSD",'raw Data'!$G:$G))))</f>
        <v/>
      </c>
      <c r="U260" s="125">
        <f>SUMIF('raw Data'!$E:$E,A260,'raw Data'!$N:$N)</f>
        <v>0</v>
      </c>
      <c r="V260" s="126">
        <v>35657</v>
      </c>
      <c r="W260" s="127">
        <v>35657</v>
      </c>
      <c r="X260" s="127">
        <v>35841</v>
      </c>
      <c r="Y260" s="127">
        <v>46433</v>
      </c>
      <c r="Z260" s="127">
        <v>46614</v>
      </c>
      <c r="AA260" s="128">
        <v>6.3750000000000001E-2</v>
      </c>
      <c r="AB260" s="129">
        <v>9197000000</v>
      </c>
      <c r="AC260" s="130" t="str">
        <f ca="1">IF(LEFT(B260,1)="B",_xll.INSTANCE.TBILL(A260,V260,Z260,TODAY()),_xll.INSTANCE.TNOTE(A260,V260,W260,X260,Y260,Z260,AA260,TODAY()))</f>
        <v>US912810FA17#0003</v>
      </c>
    </row>
    <row r="261" spans="1:29" x14ac:dyDescent="0.35">
      <c r="A261" s="131" t="s">
        <v>565</v>
      </c>
      <c r="B261" s="115" t="s">
        <v>1237</v>
      </c>
      <c r="C261" s="364"/>
      <c r="D261" s="116"/>
      <c r="E261" s="117"/>
      <c r="F261" s="118"/>
      <c r="G261" s="369"/>
      <c r="H261" s="120">
        <v>2.1439227000000002E-2</v>
      </c>
      <c r="I261" s="121">
        <f ca="1">_xll.INSTRUMENT.PRIX(AC261,D261,H261,cTreasuries)</f>
        <v>151.90918430982811</v>
      </c>
      <c r="J261" s="122">
        <f ca="1">_xll.INSTRUMENT.DV01(A261,,,I261,cContinuous,I261)</f>
        <v>-0.17086581345447344</v>
      </c>
      <c r="K261" s="123">
        <f ca="1">_xll.INSTRUMENT.CONVEXITE(A261,,,I261,cContinuous,I261)</f>
        <v>151.45574843267744</v>
      </c>
      <c r="L261" s="123">
        <f ca="1">_xll.INSTRUMENT.Z.SPREAD(A261,swapCurve,I261,cContinuous,D261)</f>
        <v>7.3535335913692386</v>
      </c>
      <c r="M261" s="123" t="e">
        <f ca="1">_xll.INSTRUMENT.Z.SPREAD(A261,ustCurve,I261,cContinuous,D261)</f>
        <v>#VALUE!</v>
      </c>
      <c r="N261" s="123">
        <f ca="1">_xll.INSTRUMENT.Z.SPREAD(A261,oisCurve,I261,cContinuous,D261)</f>
        <v>36.417636226840223</v>
      </c>
      <c r="O261" s="124" t="e">
        <f ca="1">1/_xll.CALENDRIER.FRAC.ANNEE(_xll.INSTRUMENT.DATE.REGLEMENT($AC261,,),_xll.INSTRUMENT.DATE.REGLEMENT($AC261,_xll.CALENDRIER.GAP.FINANCE(TODAY(),"1M","AUD","Unadjusted"),),"ACT/365")*(_xll.INSTRUMENT.ROLL.DOWN($A261,oisCurve,_xll.CALENDRIER.GAP.FINANCE(TODAY(),"1M","AUD","Unadjusted",TRUE),$N261)+100*$AA261*_xll.CALENDRIER.FRAC.ANNEE(_xll.INSTRUMENT.DATE.REGLEMENT($AC261,,),_xll.INSTRUMENT.DATE.REGLEMENT($AC261,_xll.CALENDRIER.GAP.FINANCE(TODAY(),"1M","AUD","Unadjusted"),),"ACT/365")-$I261)/$I261</f>
        <v>#NAME?</v>
      </c>
      <c r="P261" s="124" t="e">
        <f ca="1">1/_xll.CALENDRIER.FRAC.ANNEE(_xll.INSTRUMENT.DATE.REGLEMENT($AC261,,),_xll.INSTRUMENT.DATE.REGLEMENT($AC261,_xll.CALENDRIER.GAP.FINANCE(TODAY(),"3M","AUD","Unadjusted"),),"ACT/365")*(_xll.INSTRUMENT.ROLL.DOWN($A261,oisCurve,_xll.CALENDRIER.GAP.FINANCE(TODAY(),"3M","AUD","Unadjusted",TRUE),$N261)+100*$AA261*_xll.CALENDRIER.FRAC.ANNEE(_xll.INSTRUMENT.DATE.REGLEMENT($AC261,,),_xll.INSTRUMENT.DATE.REGLEMENT($AC261,_xll.CALENDRIER.GAP.FINANCE(TODAY(),"3M","AUD","Unadjusted"),),"ACT/365")-$I261)/$I261</f>
        <v>#NAME?</v>
      </c>
      <c r="Q261" s="371" t="e">
        <f ca="1">-(O261-curve!$T$3)/J261</f>
        <v>#NAME?</v>
      </c>
      <c r="R261" s="373">
        <f t="shared" ca="1" si="6"/>
        <v>-886.40170535361221</v>
      </c>
      <c r="S261" s="191" t="str">
        <f>IF(F261&lt;&gt;"","",IF(G261="","",-G261*(SUMIF('raw Data'!$A:$A,"RESINV1USD",'raw Data'!$G:$G)+SUMIF('raw Data'!$A:$A,"RESSWAPORUSD",'raw Data'!$G:$G))/(36500*J261)))</f>
        <v/>
      </c>
      <c r="T261" s="202" t="str">
        <f>IF(G261&lt;&gt;"","",IF(F261="","",-36500*J261*F261/(SUMIF('raw Data'!$A:$A,"RESINV1USD",'raw Data'!$G:$G)+SUMIF('raw Data'!$A:$A,"RESSWAPORUSD",'raw Data'!$G:$G))))</f>
        <v/>
      </c>
      <c r="U261" s="125">
        <f>SUMIF('raw Data'!$E:$E,A261,'raw Data'!$N:$N)</f>
        <v>0</v>
      </c>
      <c r="V261" s="126">
        <v>35751</v>
      </c>
      <c r="W261" s="127">
        <v>35749</v>
      </c>
      <c r="X261" s="127">
        <v>35930</v>
      </c>
      <c r="Y261" s="127">
        <v>46522</v>
      </c>
      <c r="Z261" s="127">
        <v>46706</v>
      </c>
      <c r="AA261" s="128">
        <v>6.1249999999999999E-2</v>
      </c>
      <c r="AB261" s="129">
        <v>22021000000</v>
      </c>
      <c r="AC261" s="130" t="str">
        <f ca="1">IF(LEFT(B261,1)="B",_xll.INSTANCE.TBILL(A261,V261,Z261,TODAY()),_xll.INSTANCE.TNOTE(A261,V261,W261,X261,Y261,Z261,AA261,TODAY()))</f>
        <v>US912810FB99#0003</v>
      </c>
    </row>
    <row r="262" spans="1:29" x14ac:dyDescent="0.35">
      <c r="A262" s="131" t="s">
        <v>566</v>
      </c>
      <c r="B262" s="115" t="s">
        <v>1238</v>
      </c>
      <c r="C262" s="364"/>
      <c r="D262" s="116"/>
      <c r="E262" s="117"/>
      <c r="F262" s="118"/>
      <c r="G262" s="369"/>
      <c r="H262" s="120">
        <v>2.1919133999999996E-2</v>
      </c>
      <c r="I262" s="121">
        <f ca="1">_xll.INSTRUMENT.PRIX(AC262,D262,H262,cTreasuries)</f>
        <v>144.73576595777234</v>
      </c>
      <c r="J262" s="122">
        <f ca="1">_xll.INSTRUMENT.DV01(A262,,,I262,cContinuous,I262)</f>
        <v>-0.17182773060679188</v>
      </c>
      <c r="K262" s="123">
        <f ca="1">_xll.INSTRUMENT.CONVEXITE(A262,,,I262,cContinuous,I262)</f>
        <v>166.79344066001997</v>
      </c>
      <c r="L262" s="123">
        <f ca="1">_xll.INSTRUMENT.Z.SPREAD(A262,swapCurve,I262,cContinuous,D262)</f>
        <v>7.5045283284207969</v>
      </c>
      <c r="M262" s="123" t="e">
        <f ca="1">_xll.INSTRUMENT.Z.SPREAD(A262,ustCurve,I262,cContinuous,D262)</f>
        <v>#VALUE!</v>
      </c>
      <c r="N262" s="123">
        <f ca="1">_xll.INSTRUMENT.Z.SPREAD(A262,oisCurve,I262,cContinuous,D262)</f>
        <v>36.072353455678737</v>
      </c>
      <c r="O262" s="124" t="e">
        <f ca="1">1/_xll.CALENDRIER.FRAC.ANNEE(_xll.INSTRUMENT.DATE.REGLEMENT($AC262,,),_xll.INSTRUMENT.DATE.REGLEMENT($AC262,_xll.CALENDRIER.GAP.FINANCE(TODAY(),"1M","AUD","Unadjusted"),),"ACT/365")*(_xll.INSTRUMENT.ROLL.DOWN($A262,oisCurve,_xll.CALENDRIER.GAP.FINANCE(TODAY(),"1M","AUD","Unadjusted",TRUE),$N262)+100*$AA262*_xll.CALENDRIER.FRAC.ANNEE(_xll.INSTRUMENT.DATE.REGLEMENT($AC262,,),_xll.INSTRUMENT.DATE.REGLEMENT($AC262,_xll.CALENDRIER.GAP.FINANCE(TODAY(),"1M","AUD","Unadjusted"),),"ACT/365")-$I262)/$I262</f>
        <v>#NAME?</v>
      </c>
      <c r="P262" s="124" t="e">
        <f ca="1">1/_xll.CALENDRIER.FRAC.ANNEE(_xll.INSTRUMENT.DATE.REGLEMENT($AC262,,),_xll.INSTRUMENT.DATE.REGLEMENT($AC262,_xll.CALENDRIER.GAP.FINANCE(TODAY(),"3M","AUD","Unadjusted"),),"ACT/365")*(_xll.INSTRUMENT.ROLL.DOWN($A262,oisCurve,_xll.CALENDRIER.GAP.FINANCE(TODAY(),"3M","AUD","Unadjusted",TRUE),$N262)+100*$AA262*_xll.CALENDRIER.FRAC.ANNEE(_xll.INSTRUMENT.DATE.REGLEMENT($AC262,,),_xll.INSTRUMENT.DATE.REGLEMENT($AC262,_xll.CALENDRIER.GAP.FINANCE(TODAY(),"3M","AUD","Unadjusted"),),"ACT/365")-$I262)/$I262</f>
        <v>#NAME?</v>
      </c>
      <c r="Q262" s="371" t="e">
        <f ca="1">-(O262-curve!$T$3)/J262</f>
        <v>#NAME?</v>
      </c>
      <c r="R262" s="373">
        <f t="shared" ca="1" si="6"/>
        <v>-970.70152804210454</v>
      </c>
      <c r="S262" s="191" t="str">
        <f>IF(F262&lt;&gt;"","",IF(G262="","",-G262*(SUMIF('raw Data'!$A:$A,"RESINV1USD",'raw Data'!$G:$G)+SUMIF('raw Data'!$A:$A,"RESSWAPORUSD",'raw Data'!$G:$G))/(36500*J262)))</f>
        <v/>
      </c>
      <c r="T262" s="202" t="str">
        <f>IF(G262&lt;&gt;"","",IF(F262="","",-36500*J262*F262/(SUMIF('raw Data'!$A:$A,"RESINV1USD",'raw Data'!$G:$G)+SUMIF('raw Data'!$A:$A,"RESSWAPORUSD",'raw Data'!$G:$G))))</f>
        <v/>
      </c>
      <c r="U262" s="125">
        <f>SUMIF('raw Data'!$E:$E,A262,'raw Data'!$N:$N)</f>
        <v>0</v>
      </c>
      <c r="V262" s="126">
        <v>36024</v>
      </c>
      <c r="W262" s="127">
        <v>36022</v>
      </c>
      <c r="X262" s="127">
        <v>36206</v>
      </c>
      <c r="Y262" s="127">
        <v>46798</v>
      </c>
      <c r="Z262" s="127">
        <v>46980</v>
      </c>
      <c r="AA262" s="128">
        <v>5.5E-2</v>
      </c>
      <c r="AB262" s="129">
        <v>11776000000</v>
      </c>
      <c r="AC262" s="130" t="str">
        <f ca="1">IF(LEFT(B262,1)="B",_xll.INSTANCE.TBILL(A262,V262,Z262,TODAY()),_xll.INSTANCE.TNOTE(A262,V262,W262,X262,Y262,Z262,AA262,TODAY()))</f>
        <v>US912810FE39#0003</v>
      </c>
    </row>
    <row r="263" spans="1:29" x14ac:dyDescent="0.35">
      <c r="A263" s="131" t="s">
        <v>567</v>
      </c>
      <c r="B263" s="115" t="s">
        <v>1239</v>
      </c>
      <c r="C263" s="364"/>
      <c r="D263" s="116"/>
      <c r="E263" s="117"/>
      <c r="F263" s="118"/>
      <c r="G263" s="369"/>
      <c r="H263" s="120">
        <v>2.2146439E-2</v>
      </c>
      <c r="I263" s="121">
        <f ca="1">_xll.INSTRUMENT.PRIX(AC263,D263,H263,cTreasuries)</f>
        <v>141.49618558306389</v>
      </c>
      <c r="J263" s="122">
        <f ca="1">_xll.INSTRUMENT.DV01(A263,,,I263,cContinuous,I263)</f>
        <v>-0.17125480054695527</v>
      </c>
      <c r="K263" s="123">
        <f ca="1">_xll.INSTRUMENT.CONVEXITE(A263,,,I263,cContinuous,I263)</f>
        <v>174.70895132669486</v>
      </c>
      <c r="L263" s="123">
        <f ca="1">_xll.INSTRUMENT.Z.SPREAD(A263,swapCurve,I263,cContinuous,D263)</f>
        <v>8.1869356897025973</v>
      </c>
      <c r="M263" s="123" t="e">
        <f ca="1">_xll.INSTRUMENT.Z.SPREAD(A263,ustCurve,I263,cContinuous,D263)</f>
        <v>#VALUE!</v>
      </c>
      <c r="N263" s="123">
        <f ca="1">_xll.INSTRUMENT.Z.SPREAD(A263,oisCurve,I263,cContinuous,D263)</f>
        <v>36.611154860941134</v>
      </c>
      <c r="O263" s="124" t="e">
        <f ca="1">1/_xll.CALENDRIER.FRAC.ANNEE(_xll.INSTRUMENT.DATE.REGLEMENT($AC263,,),_xll.INSTRUMENT.DATE.REGLEMENT($AC263,_xll.CALENDRIER.GAP.FINANCE(TODAY(),"1M","AUD","Unadjusted"),),"ACT/365")*(_xll.INSTRUMENT.ROLL.DOWN($A263,oisCurve,_xll.CALENDRIER.GAP.FINANCE(TODAY(),"1M","AUD","Unadjusted",TRUE),$N263)+100*$AA263*_xll.CALENDRIER.FRAC.ANNEE(_xll.INSTRUMENT.DATE.REGLEMENT($AC263,,),_xll.INSTRUMENT.DATE.REGLEMENT($AC263,_xll.CALENDRIER.GAP.FINANCE(TODAY(),"1M","AUD","Unadjusted"),),"ACT/365")-$I263)/$I263</f>
        <v>#NAME?</v>
      </c>
      <c r="P263" s="124" t="e">
        <f ca="1">1/_xll.CALENDRIER.FRAC.ANNEE(_xll.INSTRUMENT.DATE.REGLEMENT($AC263,,),_xll.INSTRUMENT.DATE.REGLEMENT($AC263,_xll.CALENDRIER.GAP.FINANCE(TODAY(),"3M","AUD","Unadjusted"),),"ACT/365")*(_xll.INSTRUMENT.ROLL.DOWN($A263,oisCurve,_xll.CALENDRIER.GAP.FINANCE(TODAY(),"3M","AUD","Unadjusted",TRUE),$N263)+100*$AA263*_xll.CALENDRIER.FRAC.ANNEE(_xll.INSTRUMENT.DATE.REGLEMENT($AC263,,),_xll.INSTRUMENT.DATE.REGLEMENT($AC263,_xll.CALENDRIER.GAP.FINANCE(TODAY(),"3M","AUD","Unadjusted"),),"ACT/365")-$I263)/$I263</f>
        <v>#NAME?</v>
      </c>
      <c r="Q263" s="371" t="e">
        <f ca="1">-(O263-curve!$T$3)/J263</f>
        <v>#NAME?</v>
      </c>
      <c r="R263" s="373">
        <f t="shared" ca="1" si="6"/>
        <v>-1020.1696581275835</v>
      </c>
      <c r="S263" s="191" t="str">
        <f>IF(F263&lt;&gt;"","",IF(G263="","",-G263*(SUMIF('raw Data'!$A:$A,"RESINV1USD",'raw Data'!$G:$G)+SUMIF('raw Data'!$A:$A,"RESSWAPORUSD",'raw Data'!$G:$G))/(36500*J263)))</f>
        <v/>
      </c>
      <c r="T263" s="202" t="str">
        <f>IF(G263&lt;&gt;"","",IF(F263="","",-36500*J263*F263/(SUMIF('raw Data'!$A:$A,"RESINV1USD",'raw Data'!$G:$G)+SUMIF('raw Data'!$A:$A,"RESSWAPORUSD",'raw Data'!$G:$G))))</f>
        <v/>
      </c>
      <c r="U263" s="125">
        <f>SUMIF('raw Data'!$E:$E,A263,'raw Data'!$N:$N)</f>
        <v>0</v>
      </c>
      <c r="V263" s="126">
        <v>36115</v>
      </c>
      <c r="W263" s="127">
        <v>36114</v>
      </c>
      <c r="X263" s="127">
        <v>36295</v>
      </c>
      <c r="Y263" s="127">
        <v>46888</v>
      </c>
      <c r="Z263" s="127">
        <v>47072</v>
      </c>
      <c r="AA263" s="128">
        <v>5.2499999999999998E-2</v>
      </c>
      <c r="AB263" s="129">
        <v>10947000000</v>
      </c>
      <c r="AC263" s="130" t="str">
        <f ca="1">IF(LEFT(B263,1)="B",_xll.INSTANCE.TBILL(A263,V263,Z263,TODAY()),_xll.INSTANCE.TNOTE(A263,V263,W263,X263,Y263,Z263,AA263,TODAY()))</f>
        <v>US912810FF04#0003</v>
      </c>
    </row>
    <row r="264" spans="1:29" x14ac:dyDescent="0.35">
      <c r="A264" s="131" t="s">
        <v>568</v>
      </c>
      <c r="B264" s="115" t="s">
        <v>1240</v>
      </c>
      <c r="C264" s="364"/>
      <c r="D264" s="116"/>
      <c r="E264" s="117"/>
      <c r="F264" s="118"/>
      <c r="G264" s="369"/>
      <c r="H264" s="120">
        <v>2.2244413000000001E-2</v>
      </c>
      <c r="I264" s="121">
        <f ca="1">_xll.INSTRUMENT.PRIX(AC264,D264,H264,cTreasuries)</f>
        <v>141.85405350489603</v>
      </c>
      <c r="J264" s="122">
        <f ca="1">_xll.INSTRUMENT.DV01(A264,,,I264,cContinuous,I264)</f>
        <v>-0.17365290630921945</v>
      </c>
      <c r="K264" s="123">
        <f ca="1">_xll.INSTRUMENT.CONVEXITE(A264,,,I264,cContinuous,I264)</f>
        <v>177.49898262851238</v>
      </c>
      <c r="L264" s="123">
        <f ca="1">_xll.INSTRUMENT.Z.SPREAD(A264,swapCurve,I264,cContinuous,D264)</f>
        <v>8.1787075355223919</v>
      </c>
      <c r="M264" s="123" t="e">
        <f ca="1">_xll.INSTRUMENT.Z.SPREAD(A264,ustCurve,I264,cContinuous,D264)</f>
        <v>#VALUE!</v>
      </c>
      <c r="N264" s="123">
        <f ca="1">_xll.INSTRUMENT.Z.SPREAD(A264,oisCurve,I264,cContinuous,D264)</f>
        <v>36.501122533654083</v>
      </c>
      <c r="O264" s="124" t="e">
        <f ca="1">1/_xll.CALENDRIER.FRAC.ANNEE(_xll.INSTRUMENT.DATE.REGLEMENT($AC264,,),_xll.INSTRUMENT.DATE.REGLEMENT($AC264,_xll.CALENDRIER.GAP.FINANCE(TODAY(),"1M","AUD","Unadjusted"),),"ACT/365")*(_xll.INSTRUMENT.ROLL.DOWN($A264,oisCurve,_xll.CALENDRIER.GAP.FINANCE(TODAY(),"1M","AUD","Unadjusted",TRUE),$N264)+100*$AA264*_xll.CALENDRIER.FRAC.ANNEE(_xll.INSTRUMENT.DATE.REGLEMENT($AC264,,),_xll.INSTRUMENT.DATE.REGLEMENT($AC264,_xll.CALENDRIER.GAP.FINANCE(TODAY(),"1M","AUD","Unadjusted"),),"ACT/365")-$I264)/$I264</f>
        <v>#NAME?</v>
      </c>
      <c r="P264" s="124" t="e">
        <f ca="1">1/_xll.CALENDRIER.FRAC.ANNEE(_xll.INSTRUMENT.DATE.REGLEMENT($AC264,,),_xll.INSTRUMENT.DATE.REGLEMENT($AC264,_xll.CALENDRIER.GAP.FINANCE(TODAY(),"3M","AUD","Unadjusted"),),"ACT/365")*(_xll.INSTRUMENT.ROLL.DOWN($A264,oisCurve,_xll.CALENDRIER.GAP.FINANCE(TODAY(),"3M","AUD","Unadjusted",TRUE),$N264)+100*$AA264*_xll.CALENDRIER.FRAC.ANNEE(_xll.INSTRUMENT.DATE.REGLEMENT($AC264,,),_xll.INSTRUMENT.DATE.REGLEMENT($AC264,_xll.CALENDRIER.GAP.FINANCE(TODAY(),"3M","AUD","Unadjusted"),),"ACT/365")-$I264)/$I264</f>
        <v>#NAME?</v>
      </c>
      <c r="Q264" s="371" t="e">
        <f ca="1">-(O264-curve!$T$3)/J264</f>
        <v>#NAME?</v>
      </c>
      <c r="R264" s="373">
        <f t="shared" ca="1" si="6"/>
        <v>-1022.1480676657626</v>
      </c>
      <c r="S264" s="191" t="str">
        <f>IF(F264&lt;&gt;"","",IF(G264="","",-G264*(SUMIF('raw Data'!$A:$A,"RESINV1USD",'raw Data'!$G:$G)+SUMIF('raw Data'!$A:$A,"RESSWAPORUSD",'raw Data'!$G:$G))/(36500*J264)))</f>
        <v/>
      </c>
      <c r="T264" s="202" t="str">
        <f>IF(G264&lt;&gt;"","",IF(F264="","",-36500*J264*F264/(SUMIF('raw Data'!$A:$A,"RESINV1USD",'raw Data'!$G:$G)+SUMIF('raw Data'!$A:$A,"RESSWAPORUSD",'raw Data'!$G:$G))))</f>
        <v/>
      </c>
      <c r="U264" s="125">
        <f>SUMIF('raw Data'!$E:$E,A264,'raw Data'!$N:$N)</f>
        <v>0</v>
      </c>
      <c r="V264" s="126">
        <v>36207</v>
      </c>
      <c r="W264" s="127">
        <v>36206</v>
      </c>
      <c r="X264" s="127">
        <v>36387</v>
      </c>
      <c r="Y264" s="127">
        <v>46980</v>
      </c>
      <c r="Z264" s="127">
        <v>47164</v>
      </c>
      <c r="AA264" s="128">
        <v>5.2499999999999998E-2</v>
      </c>
      <c r="AB264" s="129">
        <v>11350000000</v>
      </c>
      <c r="AC264" s="130" t="str">
        <f ca="1">IF(LEFT(B264,1)="B",_xll.INSTANCE.TBILL(A264,V264,Z264,TODAY()),_xll.INSTANCE.TNOTE(A264,V264,W264,X264,Y264,Z264,AA264,TODAY()))</f>
        <v>US912810FG86#0003</v>
      </c>
    </row>
    <row r="265" spans="1:29" x14ac:dyDescent="0.35">
      <c r="A265" s="131" t="s">
        <v>569</v>
      </c>
      <c r="B265" s="115" t="s">
        <v>1241</v>
      </c>
      <c r="C265" s="364"/>
      <c r="D265" s="116"/>
      <c r="E265" s="117"/>
      <c r="F265" s="118"/>
      <c r="G265" s="369"/>
      <c r="H265" s="120">
        <v>2.2227464999999998E-2</v>
      </c>
      <c r="I265" s="121">
        <f ca="1">_xll.INSTRUMENT.PRIX(AC265,D265,H265,cTreasuries)</f>
        <v>155.33350394098613</v>
      </c>
      <c r="J265" s="122">
        <f ca="1">_xll.INSTRUMENT.DV01(A265,,,I265,cContinuous,I265)</f>
        <v>-0.18918604815629056</v>
      </c>
      <c r="K265" s="123">
        <f ca="1">_xll.INSTRUMENT.CONVEXITE(A265,,,I265,cContinuous,I265)</f>
        <v>178.59468656686391</v>
      </c>
      <c r="L265" s="123">
        <f ca="1">_xll.INSTRUMENT.Z.SPREAD(A265,swapCurve,I265,cContinuous,D265)</f>
        <v>8.0835745833214006</v>
      </c>
      <c r="M265" s="123" t="e">
        <f ca="1">_xll.INSTRUMENT.Z.SPREAD(A265,ustCurve,I265,cContinuous,D265)</f>
        <v>#VALUE!</v>
      </c>
      <c r="N265" s="123">
        <f ca="1">_xll.INSTRUMENT.Z.SPREAD(A265,oisCurve,I265,cContinuous,D265)</f>
        <v>36.390691328946339</v>
      </c>
      <c r="O265" s="124" t="e">
        <f ca="1">1/_xll.CALENDRIER.FRAC.ANNEE(_xll.INSTRUMENT.DATE.REGLEMENT($AC265,,),_xll.INSTRUMENT.DATE.REGLEMENT($AC265,_xll.CALENDRIER.GAP.FINANCE(TODAY(),"1M","AUD","Unadjusted"),),"ACT/365")*(_xll.INSTRUMENT.ROLL.DOWN($A265,oisCurve,_xll.CALENDRIER.GAP.FINANCE(TODAY(),"1M","AUD","Unadjusted",TRUE),$N265)+100*$AA265*_xll.CALENDRIER.FRAC.ANNEE(_xll.INSTRUMENT.DATE.REGLEMENT($AC265,,),_xll.INSTRUMENT.DATE.REGLEMENT($AC265,_xll.CALENDRIER.GAP.FINANCE(TODAY(),"1M","AUD","Unadjusted"),),"ACT/365")-$I265)/$I265</f>
        <v>#NAME?</v>
      </c>
      <c r="P265" s="124" t="e">
        <f ca="1">1/_xll.CALENDRIER.FRAC.ANNEE(_xll.INSTRUMENT.DATE.REGLEMENT($AC265,,),_xll.INSTRUMENT.DATE.REGLEMENT($AC265,_xll.CALENDRIER.GAP.FINANCE(TODAY(),"3M","AUD","Unadjusted"),),"ACT/365")*(_xll.INSTRUMENT.ROLL.DOWN($A265,oisCurve,_xll.CALENDRIER.GAP.FINANCE(TODAY(),"3M","AUD","Unadjusted",TRUE),$N265)+100*$AA265*_xll.CALENDRIER.FRAC.ANNEE(_xll.INSTRUMENT.DATE.REGLEMENT($AC265,,),_xll.INSTRUMENT.DATE.REGLEMENT($AC265,_xll.CALENDRIER.GAP.FINANCE(TODAY(),"3M","AUD","Unadjusted"),),"ACT/365")-$I265)/$I265</f>
        <v>#NAME?</v>
      </c>
      <c r="Q265" s="371" t="e">
        <f ca="1">-(O265-curve!$T$3)/J265</f>
        <v>#NAME?</v>
      </c>
      <c r="R265" s="373">
        <f t="shared" ca="1" si="6"/>
        <v>-944.01615926414991</v>
      </c>
      <c r="S265" s="191" t="str">
        <f>IF(F265&lt;&gt;"","",IF(G265="","",-G265*(SUMIF('raw Data'!$A:$A,"RESINV1USD",'raw Data'!$G:$G)+SUMIF('raw Data'!$A:$A,"RESSWAPORUSD",'raw Data'!$G:$G))/(36500*J265)))</f>
        <v/>
      </c>
      <c r="T265" s="202" t="str">
        <f>IF(G265&lt;&gt;"","",IF(F265="","",-36500*J265*F265/(SUMIF('raw Data'!$A:$A,"RESINV1USD",'raw Data'!$G:$G)+SUMIF('raw Data'!$A:$A,"RESSWAPORUSD",'raw Data'!$G:$G))))</f>
        <v/>
      </c>
      <c r="U265" s="125">
        <f>SUMIF('raw Data'!$E:$E,A265,'raw Data'!$N:$N)</f>
        <v>0</v>
      </c>
      <c r="V265" s="126">
        <v>36388</v>
      </c>
      <c r="W265" s="127">
        <v>36387</v>
      </c>
      <c r="X265" s="127">
        <v>36571</v>
      </c>
      <c r="Y265" s="127">
        <v>47164</v>
      </c>
      <c r="Z265" s="127">
        <v>47345</v>
      </c>
      <c r="AA265" s="128">
        <v>6.1249999999999999E-2</v>
      </c>
      <c r="AB265" s="129">
        <v>11179000000</v>
      </c>
      <c r="AC265" s="130" t="str">
        <f ca="1">IF(LEFT(B265,1)="B",_xll.INSTANCE.TBILL(A265,V265,Z265,TODAY()),_xll.INSTANCE.TNOTE(A265,V265,W265,X265,Y265,Z265,AA265,TODAY()))</f>
        <v>US912810FJ26#0003</v>
      </c>
    </row>
    <row r="266" spans="1:29" x14ac:dyDescent="0.35">
      <c r="A266" s="131" t="s">
        <v>570</v>
      </c>
      <c r="B266" s="115" t="s">
        <v>1242</v>
      </c>
      <c r="C266" s="364"/>
      <c r="D266" s="116"/>
      <c r="E266" s="117"/>
      <c r="F266" s="118"/>
      <c r="G266" s="369"/>
      <c r="H266" s="120">
        <v>2.2439841000000002E-2</v>
      </c>
      <c r="I266" s="121">
        <f ca="1">_xll.INSTRUMENT.PRIX(AC266,D266,H266,cTreasuries)</f>
        <v>158.7260955204037</v>
      </c>
      <c r="J266" s="122">
        <f ca="1">_xll.INSTRUMENT.DV01(A266,,,I266,cContinuous,I266)</f>
        <v>-0.19872947607283303</v>
      </c>
      <c r="K266" s="123">
        <f ca="1">_xll.INSTRUMENT.CONVEXITE(A266,,,I266,cContinuous,I266)</f>
        <v>192.07214496223131</v>
      </c>
      <c r="L266" s="123">
        <f ca="1">_xll.INSTRUMENT.Z.SPREAD(A266,swapCurve,I266,cContinuous,D266)</f>
        <v>7.9219920599633369</v>
      </c>
      <c r="M266" s="123" t="e">
        <f ca="1">_xll.INSTRUMENT.Z.SPREAD(A266,ustCurve,I266,cContinuous,D266)</f>
        <v>#VALUE!</v>
      </c>
      <c r="N266" s="123">
        <f ca="1">_xll.INSTRUMENT.Z.SPREAD(A266,oisCurve,I266,cContinuous,D266)</f>
        <v>36.052285271643825</v>
      </c>
      <c r="O266" s="124" t="e">
        <f ca="1">1/_xll.CALENDRIER.FRAC.ANNEE(_xll.INSTRUMENT.DATE.REGLEMENT($AC266,,),_xll.INSTRUMENT.DATE.REGLEMENT($AC266,_xll.CALENDRIER.GAP.FINANCE(TODAY(),"1M","AUD","Unadjusted"),),"ACT/365")*(_xll.INSTRUMENT.ROLL.DOWN($A266,oisCurve,_xll.CALENDRIER.GAP.FINANCE(TODAY(),"1M","AUD","Unadjusted",TRUE),$N266)+100*$AA266*_xll.CALENDRIER.FRAC.ANNEE(_xll.INSTRUMENT.DATE.REGLEMENT($AC266,,),_xll.INSTRUMENT.DATE.REGLEMENT($AC266,_xll.CALENDRIER.GAP.FINANCE(TODAY(),"1M","AUD","Unadjusted"),),"ACT/365")-$I266)/$I266</f>
        <v>#NAME?</v>
      </c>
      <c r="P266" s="124" t="e">
        <f ca="1">1/_xll.CALENDRIER.FRAC.ANNEE(_xll.INSTRUMENT.DATE.REGLEMENT($AC266,,),_xll.INSTRUMENT.DATE.REGLEMENT($AC266,_xll.CALENDRIER.GAP.FINANCE(TODAY(),"3M","AUD","Unadjusted"),),"ACT/365")*(_xll.INSTRUMENT.ROLL.DOWN($A266,oisCurve,_xll.CALENDRIER.GAP.FINANCE(TODAY(),"3M","AUD","Unadjusted",TRUE),$N266)+100*$AA266*_xll.CALENDRIER.FRAC.ANNEE(_xll.INSTRUMENT.DATE.REGLEMENT($AC266,,),_xll.INSTRUMENT.DATE.REGLEMENT($AC266,_xll.CALENDRIER.GAP.FINANCE(TODAY(),"3M","AUD","Unadjusted"),),"ACT/365")-$I266)/$I266</f>
        <v>#NAME?</v>
      </c>
      <c r="Q266" s="371" t="e">
        <f ca="1">-(O266-curve!$T$3)/J266</f>
        <v>#NAME?</v>
      </c>
      <c r="R266" s="373">
        <f t="shared" ca="1" si="6"/>
        <v>-966.50053508840404</v>
      </c>
      <c r="S266" s="191" t="str">
        <f>IF(F266&lt;&gt;"","",IF(G266="","",-G266*(SUMIF('raw Data'!$A:$A,"RESINV1USD",'raw Data'!$G:$G)+SUMIF('raw Data'!$A:$A,"RESSWAPORUSD",'raw Data'!$G:$G))/(36500*J266)))</f>
        <v/>
      </c>
      <c r="T266" s="202" t="str">
        <f>IF(G266&lt;&gt;"","",IF(F266="","",-36500*J266*F266/(SUMIF('raw Data'!$A:$A,"RESINV1USD",'raw Data'!$G:$G)+SUMIF('raw Data'!$A:$A,"RESSWAPORUSD",'raw Data'!$G:$G))))</f>
        <v/>
      </c>
      <c r="U266" s="125">
        <f>SUMIF('raw Data'!$E:$E,A266,'raw Data'!$N:$N)</f>
        <v>0</v>
      </c>
      <c r="V266" s="126">
        <v>36571</v>
      </c>
      <c r="W266" s="127">
        <v>36479</v>
      </c>
      <c r="X266" s="127">
        <v>36661</v>
      </c>
      <c r="Y266" s="127">
        <v>47437</v>
      </c>
      <c r="Z266" s="127">
        <v>47618</v>
      </c>
      <c r="AA266" s="128">
        <v>6.25E-2</v>
      </c>
      <c r="AB266" s="129">
        <v>17043000000</v>
      </c>
      <c r="AC266" s="130" t="str">
        <f ca="1">IF(LEFT(B266,1)="B",_xll.INSTANCE.TBILL(A266,V266,Z266,TODAY()),_xll.INSTANCE.TNOTE(A266,V266,W266,X266,Y266,Z266,AA266,TODAY()))</f>
        <v>US912810FM54#0003</v>
      </c>
    </row>
    <row r="267" spans="1:29" x14ac:dyDescent="0.35">
      <c r="A267" s="131" t="s">
        <v>571</v>
      </c>
      <c r="B267" s="115" t="s">
        <v>1243</v>
      </c>
      <c r="C267" s="364"/>
      <c r="D267" s="116"/>
      <c r="E267" s="117"/>
      <c r="F267" s="118"/>
      <c r="G267" s="369"/>
      <c r="H267" s="120">
        <v>2.2894253E-2</v>
      </c>
      <c r="I267" s="121">
        <f ca="1">_xll.INSTRUMENT.PRIX(AC267,D267,H267,cTreasuries)</f>
        <v>146.57188678330758</v>
      </c>
      <c r="J267" s="122">
        <f ca="1">_xll.INSTRUMENT.DV01(A267,,,I267,cContinuous,I267)</f>
        <v>-0.1942112008304995</v>
      </c>
      <c r="K267" s="123">
        <f ca="1">_xll.INSTRUMENT.CONVEXITE(A267,,,I267,cContinuous,I267)</f>
        <v>212.02517885664386</v>
      </c>
      <c r="L267" s="123">
        <f ca="1">_xll.INSTRUMENT.Z.SPREAD(A267,swapCurve,I267,cContinuous,D267)</f>
        <v>8.2310299173034434</v>
      </c>
      <c r="M267" s="123" t="e">
        <f ca="1">_xll.INSTRUMENT.Z.SPREAD(A267,ustCurve,I267,cContinuous,D267)</f>
        <v>#VALUE!</v>
      </c>
      <c r="N267" s="123">
        <f ca="1">_xll.INSTRUMENT.Z.SPREAD(A267,oisCurve,I267,cContinuous,D267)</f>
        <v>36.035268726148203</v>
      </c>
      <c r="O267" s="124" t="e">
        <f ca="1">1/_xll.CALENDRIER.FRAC.ANNEE(_xll.INSTRUMENT.DATE.REGLEMENT($AC267,,),_xll.INSTRUMENT.DATE.REGLEMENT($AC267,_xll.CALENDRIER.GAP.FINANCE(TODAY(),"1M","AUD","Unadjusted"),),"ACT/365")*(_xll.INSTRUMENT.ROLL.DOWN($A267,oisCurve,_xll.CALENDRIER.GAP.FINANCE(TODAY(),"1M","AUD","Unadjusted",TRUE),$N267)+100*$AA267*_xll.CALENDRIER.FRAC.ANNEE(_xll.INSTRUMENT.DATE.REGLEMENT($AC267,,),_xll.INSTRUMENT.DATE.REGLEMENT($AC267,_xll.CALENDRIER.GAP.FINANCE(TODAY(),"1M","AUD","Unadjusted"),),"ACT/365")-$I267)/$I267</f>
        <v>#NAME?</v>
      </c>
      <c r="P267" s="124" t="e">
        <f ca="1">1/_xll.CALENDRIER.FRAC.ANNEE(_xll.INSTRUMENT.DATE.REGLEMENT($AC267,,),_xll.INSTRUMENT.DATE.REGLEMENT($AC267,_xll.CALENDRIER.GAP.FINANCE(TODAY(),"3M","AUD","Unadjusted"),),"ACT/365")*(_xll.INSTRUMENT.ROLL.DOWN($A267,oisCurve,_xll.CALENDRIER.GAP.FINANCE(TODAY(),"3M","AUD","Unadjusted",TRUE),$N267)+100*$AA267*_xll.CALENDRIER.FRAC.ANNEE(_xll.INSTRUMENT.DATE.REGLEMENT($AC267,,),_xll.INSTRUMENT.DATE.REGLEMENT($AC267,_xll.CALENDRIER.GAP.FINANCE(TODAY(),"3M","AUD","Unadjusted"),),"ACT/365")-$I267)/$I267</f>
        <v>#NAME?</v>
      </c>
      <c r="Q267" s="371" t="e">
        <f ca="1">-(O267-curve!$T$3)/J267</f>
        <v>#NAME?</v>
      </c>
      <c r="R267" s="373">
        <f t="shared" ca="1" si="6"/>
        <v>-1091.7247715372077</v>
      </c>
      <c r="S267" s="191" t="str">
        <f>IF(F267&lt;&gt;"","",IF(G267="","",-G267*(SUMIF('raw Data'!$A:$A,"RESINV1USD",'raw Data'!$G:$G)+SUMIF('raw Data'!$A:$A,"RESSWAPORUSD",'raw Data'!$G:$G))/(36500*J267)))</f>
        <v/>
      </c>
      <c r="T267" s="202" t="str">
        <f>IF(G267&lt;&gt;"","",IF(F267="","",-36500*J267*F267/(SUMIF('raw Data'!$A:$A,"RESINV1USD",'raw Data'!$G:$G)+SUMIF('raw Data'!$A:$A,"RESSWAPORUSD",'raw Data'!$G:$G))))</f>
        <v/>
      </c>
      <c r="U267" s="125">
        <f>SUMIF('raw Data'!$E:$E,A267,'raw Data'!$N:$N)</f>
        <v>0</v>
      </c>
      <c r="V267" s="126">
        <v>36937</v>
      </c>
      <c r="W267" s="127">
        <v>36937</v>
      </c>
      <c r="X267" s="127">
        <v>37118</v>
      </c>
      <c r="Y267" s="127">
        <v>47710</v>
      </c>
      <c r="Z267" s="127">
        <v>47894</v>
      </c>
      <c r="AA267" s="128">
        <v>5.3749999999999999E-2</v>
      </c>
      <c r="AB267" s="129">
        <v>16428000000</v>
      </c>
      <c r="AC267" s="130" t="str">
        <f ca="1">IF(LEFT(B267,1)="B",_xll.INSTANCE.TBILL(A267,V267,Z267,TODAY()),_xll.INSTANCE.TNOTE(A267,V267,W267,X267,Y267,Z267,AA267,TODAY()))</f>
        <v>US912810FP85#0003</v>
      </c>
    </row>
    <row r="268" spans="1:29" x14ac:dyDescent="0.35">
      <c r="A268" s="131" t="s">
        <v>572</v>
      </c>
      <c r="B268" s="115" t="s">
        <v>1244</v>
      </c>
      <c r="C268" s="364"/>
      <c r="D268" s="116"/>
      <c r="E268" s="117"/>
      <c r="F268" s="118"/>
      <c r="G268" s="369"/>
      <c r="H268" s="120">
        <v>2.5186815000000001E-2</v>
      </c>
      <c r="I268" s="121">
        <f ca="1">_xll.INSTRUMENT.PRIX(AC268,D268,H268,cTreasuries)</f>
        <v>135.11134276988162</v>
      </c>
      <c r="J268" s="122">
        <f ca="1">_xll.INSTRUMENT.DV01(A268,,,I268,cContinuous,I268)</f>
        <v>-0.21780885974944428</v>
      </c>
      <c r="K268" s="123">
        <f ca="1">_xll.INSTRUMENT.CONVEXITE(A268,,,I268,cContinuous,I268)</f>
        <v>322.03260578006848</v>
      </c>
      <c r="L268" s="123">
        <f ca="1">_xll.INSTRUMENT.Z.SPREAD(A268,swapCurve,I268,cContinuous,D268)</f>
        <v>18.860474204625859</v>
      </c>
      <c r="M268" s="123" t="e">
        <f ca="1">_xll.INSTRUMENT.Z.SPREAD(A268,ustCurve,I268,cContinuous,D268)</f>
        <v>#VALUE!</v>
      </c>
      <c r="N268" s="123">
        <f ca="1">_xll.INSTRUMENT.Z.SPREAD(A268,oisCurve,I268,cContinuous,D268)</f>
        <v>45.153209267000335</v>
      </c>
      <c r="O268" s="124" t="e">
        <f ca="1">1/_xll.CALENDRIER.FRAC.ANNEE(_xll.INSTRUMENT.DATE.REGLEMENT($AC268,,),_xll.INSTRUMENT.DATE.REGLEMENT($AC268,_xll.CALENDRIER.GAP.FINANCE(TODAY(),"1M","AUD","Unadjusted"),),"ACT/365")*(_xll.INSTRUMENT.ROLL.DOWN($A268,oisCurve,_xll.CALENDRIER.GAP.FINANCE(TODAY(),"1M","AUD","Unadjusted",TRUE),$N268)+100*$AA268*_xll.CALENDRIER.FRAC.ANNEE(_xll.INSTRUMENT.DATE.REGLEMENT($AC268,,),_xll.INSTRUMENT.DATE.REGLEMENT($AC268,_xll.CALENDRIER.GAP.FINANCE(TODAY(),"1M","AUD","Unadjusted"),),"ACT/365")-$I268)/$I268</f>
        <v>#NAME?</v>
      </c>
      <c r="P268" s="124" t="e">
        <f ca="1">1/_xll.CALENDRIER.FRAC.ANNEE(_xll.INSTRUMENT.DATE.REGLEMENT($AC268,,),_xll.INSTRUMENT.DATE.REGLEMENT($AC268,_xll.CALENDRIER.GAP.FINANCE(TODAY(),"3M","AUD","Unadjusted"),),"ACT/365")*(_xll.INSTRUMENT.ROLL.DOWN($A268,oisCurve,_xll.CALENDRIER.GAP.FINANCE(TODAY(),"3M","AUD","Unadjusted",TRUE),$N268)+100*$AA268*_xll.CALENDRIER.FRAC.ANNEE(_xll.INSTRUMENT.DATE.REGLEMENT($AC268,,),_xll.INSTRUMENT.DATE.REGLEMENT($AC268,_xll.CALENDRIER.GAP.FINANCE(TODAY(),"3M","AUD","Unadjusted"),),"ACT/365")-$I268)/$I268</f>
        <v>#NAME?</v>
      </c>
      <c r="Q268" s="371" t="e">
        <f ca="1">-(O268-curve!$T$3)/J268</f>
        <v>#NAME?</v>
      </c>
      <c r="R268" s="373">
        <f t="shared" ca="1" si="6"/>
        <v>-1478.510131087035</v>
      </c>
      <c r="S268" s="191" t="str">
        <f>IF(F268&lt;&gt;"","",IF(G268="","",-G268*(SUMIF('raw Data'!$A:$A,"RESINV1USD",'raw Data'!$G:$G)+SUMIF('raw Data'!$A:$A,"RESSWAPORUSD",'raw Data'!$G:$G))/(36500*J268)))</f>
        <v/>
      </c>
      <c r="T268" s="202" t="str">
        <f>IF(G268&lt;&gt;"","",IF(F268="","",-36500*J268*F268/(SUMIF('raw Data'!$A:$A,"RESINV1USD",'raw Data'!$G:$G)+SUMIF('raw Data'!$A:$A,"RESSWAPORUSD",'raw Data'!$G:$G))))</f>
        <v/>
      </c>
      <c r="U268" s="125">
        <f>SUMIF('raw Data'!$E:$E,A268,'raw Data'!$N:$N)</f>
        <v>0</v>
      </c>
      <c r="V268" s="126">
        <v>38763</v>
      </c>
      <c r="W268" s="127">
        <v>38763</v>
      </c>
      <c r="X268" s="127">
        <v>38944</v>
      </c>
      <c r="Y268" s="127">
        <v>49536</v>
      </c>
      <c r="Z268" s="127">
        <v>49720</v>
      </c>
      <c r="AA268" s="128">
        <v>4.4999999999999998E-2</v>
      </c>
      <c r="AB268" s="129">
        <v>26397000000</v>
      </c>
      <c r="AC268" s="130" t="str">
        <f ca="1">IF(LEFT(B268,1)="B",_xll.INSTANCE.TBILL(A268,V268,Z268,TODAY()),_xll.INSTANCE.TNOTE(A268,V268,W268,X268,Y268,Z268,AA268,TODAY()))</f>
        <v>US912810FT08#0003</v>
      </c>
    </row>
    <row r="269" spans="1:29" x14ac:dyDescent="0.35">
      <c r="A269" s="131" t="s">
        <v>573</v>
      </c>
      <c r="B269" s="115" t="s">
        <v>1245</v>
      </c>
      <c r="C269" s="364"/>
      <c r="D269" s="116"/>
      <c r="E269" s="117"/>
      <c r="F269" s="118"/>
      <c r="G269" s="369"/>
      <c r="H269" s="120">
        <v>2.5428009000000001E-2</v>
      </c>
      <c r="I269" s="121">
        <f ca="1">_xll.INSTRUMENT.PRIX(AC269,D269,H269,cTreasuries)</f>
        <v>140.2050981351141</v>
      </c>
      <c r="J269" s="122">
        <f ca="1">_xll.INSTRUMENT.DV01(A269,,,I269,cContinuous,I269)</f>
        <v>-0.22995483179229009</v>
      </c>
      <c r="K269" s="123">
        <f ca="1">_xll.INSTRUMENT.CONVEXITE(A269,,,I269,cContinuous,I269)</f>
        <v>337.46144684407375</v>
      </c>
      <c r="L269" s="123">
        <f ca="1">_xll.INSTRUMENT.Z.SPREAD(A269,swapCurve,I269,cContinuous,D269)</f>
        <v>20.350410386528669</v>
      </c>
      <c r="M269" s="123" t="e">
        <f ca="1">_xll.INSTRUMENT.Z.SPREAD(A269,ustCurve,I269,cContinuous,D269)</f>
        <v>#VALUE!</v>
      </c>
      <c r="N269" s="123">
        <f ca="1">_xll.INSTRUMENT.Z.SPREAD(A269,oisCurve,I269,cContinuous,D269)</f>
        <v>46.422870375353888</v>
      </c>
      <c r="O269" s="124" t="e">
        <f ca="1">1/_xll.CALENDRIER.FRAC.ANNEE(_xll.INSTRUMENT.DATE.REGLEMENT($AC269,,),_xll.INSTRUMENT.DATE.REGLEMENT($AC269,_xll.CALENDRIER.GAP.FINANCE(TODAY(),"1M","AUD","Unadjusted"),),"ACT/365")*(_xll.INSTRUMENT.ROLL.DOWN($A269,oisCurve,_xll.CALENDRIER.GAP.FINANCE(TODAY(),"1M","AUD","Unadjusted",TRUE),$N269)+100*$AA269*_xll.CALENDRIER.FRAC.ANNEE(_xll.INSTRUMENT.DATE.REGLEMENT($AC269,,),_xll.INSTRUMENT.DATE.REGLEMENT($AC269,_xll.CALENDRIER.GAP.FINANCE(TODAY(),"1M","AUD","Unadjusted"),),"ACT/365")-$I269)/$I269</f>
        <v>#NAME?</v>
      </c>
      <c r="P269" s="124" t="e">
        <f ca="1">1/_xll.CALENDRIER.FRAC.ANNEE(_xll.INSTRUMENT.DATE.REGLEMENT($AC269,,),_xll.INSTRUMENT.DATE.REGLEMENT($AC269,_xll.CALENDRIER.GAP.FINANCE(TODAY(),"3M","AUD","Unadjusted"),),"ACT/365")*(_xll.INSTRUMENT.ROLL.DOWN($A269,oisCurve,_xll.CALENDRIER.GAP.FINANCE(TODAY(),"3M","AUD","Unadjusted",TRUE),$N269)+100*$AA269*_xll.CALENDRIER.FRAC.ANNEE(_xll.INSTRUMENT.DATE.REGLEMENT($AC269,,),_xll.INSTRUMENT.DATE.REGLEMENT($AC269,_xll.CALENDRIER.GAP.FINANCE(TODAY(),"3M","AUD","Unadjusted"),),"ACT/365")-$I269)/$I269</f>
        <v>#NAME?</v>
      </c>
      <c r="Q269" s="371" t="e">
        <f ca="1">-(O269-curve!$T$3)/J269</f>
        <v>#NAME?</v>
      </c>
      <c r="R269" s="373">
        <f t="shared" ca="1" si="6"/>
        <v>-1467.5118770667559</v>
      </c>
      <c r="S269" s="191" t="str">
        <f>IF(F269&lt;&gt;"","",IF(G269="","",-G269*(SUMIF('raw Data'!$A:$A,"RESINV1USD",'raw Data'!$G:$G)+SUMIF('raw Data'!$A:$A,"RESSWAPORUSD",'raw Data'!$G:$G))/(36500*J269)))</f>
        <v/>
      </c>
      <c r="T269" s="202" t="str">
        <f>IF(G269&lt;&gt;"","",IF(F269="","",-36500*J269*F269/(SUMIF('raw Data'!$A:$A,"RESINV1USD",'raw Data'!$G:$G)+SUMIF('raw Data'!$A:$A,"RESSWAPORUSD",'raw Data'!$G:$G))))</f>
        <v/>
      </c>
      <c r="U269" s="125">
        <f>SUMIF('raw Data'!$E:$E,A269,'raw Data'!$N:$N)</f>
        <v>0</v>
      </c>
      <c r="V269" s="126">
        <v>39128</v>
      </c>
      <c r="W269" s="127">
        <v>39128</v>
      </c>
      <c r="X269" s="127">
        <v>39309</v>
      </c>
      <c r="Y269" s="127">
        <v>49902</v>
      </c>
      <c r="Z269" s="127">
        <v>50086</v>
      </c>
      <c r="AA269" s="128">
        <v>4.7500000000000001E-2</v>
      </c>
      <c r="AB269" s="129">
        <v>16589000000</v>
      </c>
      <c r="AC269" s="130" t="str">
        <f ca="1">IF(LEFT(B269,1)="B",_xll.INSTANCE.TBILL(A269,V269,Z269,TODAY()),_xll.INSTANCE.TNOTE(A269,V269,W269,X269,Y269,Z269,AA269,TODAY()))</f>
        <v>US912810PT97#0003</v>
      </c>
    </row>
    <row r="270" spans="1:29" x14ac:dyDescent="0.35">
      <c r="A270" s="131" t="s">
        <v>574</v>
      </c>
      <c r="B270" s="115" t="s">
        <v>1246</v>
      </c>
      <c r="C270" s="364"/>
      <c r="D270" s="116"/>
      <c r="E270" s="117"/>
      <c r="F270" s="118"/>
      <c r="G270" s="369"/>
      <c r="H270" s="120">
        <v>2.5416202999999998E-2</v>
      </c>
      <c r="I270" s="121">
        <f ca="1">_xll.INSTRUMENT.PRIX(AC270,D270,H270,cTreasuries)</f>
        <v>145.12000490387123</v>
      </c>
      <c r="J270" s="122">
        <f ca="1">_xll.INSTRUMENT.DV01(A270,,,I270,cContinuous,I270)</f>
        <v>-0.23729587827509108</v>
      </c>
      <c r="K270" s="123">
        <f ca="1">_xll.INSTRUMENT.CONVEXITE(A270,,,I270,cContinuous,I270)</f>
        <v>340.15186568024524</v>
      </c>
      <c r="L270" s="123">
        <f ca="1">_xll.INSTRUMENT.Z.SPREAD(A270,swapCurve,I270,cContinuous,D270)</f>
        <v>20.46634502157179</v>
      </c>
      <c r="M270" s="123" t="e">
        <f ca="1">_xll.INSTRUMENT.Z.SPREAD(A270,ustCurve,I270,cContinuous,D270)</f>
        <v>#VALUE!</v>
      </c>
      <c r="N270" s="123">
        <f ca="1">_xll.INSTRUMENT.Z.SPREAD(A270,oisCurve,I270,cContinuous,D270)</f>
        <v>46.535389366582272</v>
      </c>
      <c r="O270" s="124" t="e">
        <f ca="1">1/_xll.CALENDRIER.FRAC.ANNEE(_xll.INSTRUMENT.DATE.REGLEMENT($AC270,,),_xll.INSTRUMENT.DATE.REGLEMENT($AC270,_xll.CALENDRIER.GAP.FINANCE(TODAY(),"1M","AUD","Unadjusted"),),"ACT/365")*(_xll.INSTRUMENT.ROLL.DOWN($A270,oisCurve,_xll.CALENDRIER.GAP.FINANCE(TODAY(),"1M","AUD","Unadjusted",TRUE),$N270)+100*$AA270*_xll.CALENDRIER.FRAC.ANNEE(_xll.INSTRUMENT.DATE.REGLEMENT($AC270,,),_xll.INSTRUMENT.DATE.REGLEMENT($AC270,_xll.CALENDRIER.GAP.FINANCE(TODAY(),"1M","AUD","Unadjusted"),),"ACT/365")-$I270)/$I270</f>
        <v>#NAME?</v>
      </c>
      <c r="P270" s="124" t="e">
        <f ca="1">1/_xll.CALENDRIER.FRAC.ANNEE(_xll.INSTRUMENT.DATE.REGLEMENT($AC270,,),_xll.INSTRUMENT.DATE.REGLEMENT($AC270,_xll.CALENDRIER.GAP.FINANCE(TODAY(),"3M","AUD","Unadjusted"),),"ACT/365")*(_xll.INSTRUMENT.ROLL.DOWN($A270,oisCurve,_xll.CALENDRIER.GAP.FINANCE(TODAY(),"3M","AUD","Unadjusted",TRUE),$N270)+100*$AA270*_xll.CALENDRIER.FRAC.ANNEE(_xll.INSTRUMENT.DATE.REGLEMENT($AC270,,),_xll.INSTRUMENT.DATE.REGLEMENT($AC270,_xll.CALENDRIER.GAP.FINANCE(TODAY(),"3M","AUD","Unadjusted"),),"ACT/365")-$I270)/$I270</f>
        <v>#NAME?</v>
      </c>
      <c r="Q270" s="371" t="e">
        <f ca="1">-(O270-curve!$T$3)/J270</f>
        <v>#NAME?</v>
      </c>
      <c r="R270" s="373">
        <f t="shared" ca="1" si="6"/>
        <v>-1433.450374919348</v>
      </c>
      <c r="S270" s="191" t="str">
        <f>IF(F270&lt;&gt;"","",IF(G270="","",-G270*(SUMIF('raw Data'!$A:$A,"RESINV1USD",'raw Data'!$G:$G)+SUMIF('raw Data'!$A:$A,"RESSWAPORUSD",'raw Data'!$G:$G))/(36500*J270)))</f>
        <v/>
      </c>
      <c r="T270" s="202" t="str">
        <f>IF(G270&lt;&gt;"","",IF(F270="","",-36500*J270*F270/(SUMIF('raw Data'!$A:$A,"RESINV1USD",'raw Data'!$G:$G)+SUMIF('raw Data'!$A:$A,"RESSWAPORUSD",'raw Data'!$G:$G))))</f>
        <v/>
      </c>
      <c r="U270" s="125">
        <f>SUMIF('raw Data'!$E:$E,A270,'raw Data'!$N:$N)</f>
        <v>0</v>
      </c>
      <c r="V270" s="126">
        <v>39309</v>
      </c>
      <c r="W270" s="127">
        <v>39217</v>
      </c>
      <c r="X270" s="127">
        <v>39401</v>
      </c>
      <c r="Y270" s="127">
        <v>49994</v>
      </c>
      <c r="Z270" s="127">
        <v>50175</v>
      </c>
      <c r="AA270" s="128">
        <v>0.05</v>
      </c>
      <c r="AB270" s="129">
        <v>21413000000</v>
      </c>
      <c r="AC270" s="130" t="str">
        <f ca="1">IF(LEFT(B270,1)="B",_xll.INSTANCE.TBILL(A270,V270,Z270,TODAY()),_xll.INSTANCE.TNOTE(A270,V270,W270,X270,Y270,Z270,AA270,TODAY()))</f>
        <v>US912810PU60#0003</v>
      </c>
    </row>
    <row r="271" spans="1:29" x14ac:dyDescent="0.35">
      <c r="A271" s="131" t="s">
        <v>575</v>
      </c>
      <c r="B271" s="115" t="s">
        <v>1247</v>
      </c>
      <c r="C271" s="364"/>
      <c r="D271" s="116"/>
      <c r="E271" s="117"/>
      <c r="F271" s="118"/>
      <c r="G271" s="369"/>
      <c r="H271" s="120">
        <v>2.5784473999999998E-2</v>
      </c>
      <c r="I271" s="121">
        <f ca="1">_xll.INSTRUMENT.PRIX(AC271,D271,H271,cTreasuries)</f>
        <v>133.53128657020818</v>
      </c>
      <c r="J271" s="122">
        <f ca="1">_xll.INSTRUMENT.DV01(A271,,,I271,cContinuous,I271)</f>
        <v>-0.22826483366140637</v>
      </c>
      <c r="K271" s="123">
        <f ca="1">_xll.INSTRUMENT.CONVEXITE(A271,,,I271,cContinuous,I271)</f>
        <v>366.8558967517161</v>
      </c>
      <c r="L271" s="123" t="e">
        <f ca="1">_xll.INSTRUMENT.Z.SPREAD(A271,swapCurve,I271,cContinuous,D271)</f>
        <v>#VALUE!</v>
      </c>
      <c r="M271" s="123" t="e">
        <f ca="1">_xll.INSTRUMENT.Z.SPREAD(A271,ustCurve,I271,cContinuous,D271)</f>
        <v>#VALUE!</v>
      </c>
      <c r="N271" s="123">
        <f ca="1">_xll.INSTRUMENT.Z.SPREAD(A271,oisCurve,I271,cContinuous,D271)</f>
        <v>47.529362349691716</v>
      </c>
      <c r="O271" s="124" t="e">
        <f ca="1">1/_xll.CALENDRIER.FRAC.ANNEE(_xll.INSTRUMENT.DATE.REGLEMENT($AC271,,),_xll.INSTRUMENT.DATE.REGLEMENT($AC271,_xll.CALENDRIER.GAP.FINANCE(TODAY(),"1M","AUD","Unadjusted"),),"ACT/365")*(_xll.INSTRUMENT.ROLL.DOWN($A271,oisCurve,_xll.CALENDRIER.GAP.FINANCE(TODAY(),"1M","AUD","Unadjusted",TRUE),$N271)+100*$AA271*_xll.CALENDRIER.FRAC.ANNEE(_xll.INSTRUMENT.DATE.REGLEMENT($AC271,,),_xll.INSTRUMENT.DATE.REGLEMENT($AC271,_xll.CALENDRIER.GAP.FINANCE(TODAY(),"1M","AUD","Unadjusted"),),"ACT/365")-$I271)/$I271</f>
        <v>#NAME?</v>
      </c>
      <c r="P271" s="124" t="e">
        <f ca="1">1/_xll.CALENDRIER.FRAC.ANNEE(_xll.INSTRUMENT.DATE.REGLEMENT($AC271,,),_xll.INSTRUMENT.DATE.REGLEMENT($AC271,_xll.CALENDRIER.GAP.FINANCE(TODAY(),"3M","AUD","Unadjusted"),),"ACT/365")*(_xll.INSTRUMENT.ROLL.DOWN($A271,oisCurve,_xll.CALENDRIER.GAP.FINANCE(TODAY(),"3M","AUD","Unadjusted",TRUE),$N271)+100*$AA271*_xll.CALENDRIER.FRAC.ANNEE(_xll.INSTRUMENT.DATE.REGLEMENT($AC271,,),_xll.INSTRUMENT.DATE.REGLEMENT($AC271,_xll.CALENDRIER.GAP.FINANCE(TODAY(),"3M","AUD","Unadjusted"),),"ACT/365")-$I271)/$I271</f>
        <v>#NAME?</v>
      </c>
      <c r="Q271" s="371" t="e">
        <f ca="1">-(O271-curve!$T$3)/J271</f>
        <v>#NAME?</v>
      </c>
      <c r="R271" s="373">
        <f t="shared" ca="1" si="6"/>
        <v>-1607.1503037383627</v>
      </c>
      <c r="S271" s="191" t="str">
        <f>IF(F271&lt;&gt;"","",IF(G271="","",-G271*(SUMIF('raw Data'!$A:$A,"RESINV1USD",'raw Data'!$G:$G)+SUMIF('raw Data'!$A:$A,"RESSWAPORUSD",'raw Data'!$G:$G))/(36500*J271)))</f>
        <v/>
      </c>
      <c r="T271" s="202" t="str">
        <f>IF(G271&lt;&gt;"","",IF(F271="","",-36500*J271*F271/(SUMIF('raw Data'!$A:$A,"RESINV1USD",'raw Data'!$G:$G)+SUMIF('raw Data'!$A:$A,"RESSWAPORUSD",'raw Data'!$G:$G))))</f>
        <v/>
      </c>
      <c r="U271" s="125">
        <f>SUMIF('raw Data'!$E:$E,A271,'raw Data'!$N:$N)</f>
        <v>0</v>
      </c>
      <c r="V271" s="126">
        <v>39493</v>
      </c>
      <c r="W271" s="127">
        <v>39493</v>
      </c>
      <c r="X271" s="127">
        <v>39675</v>
      </c>
      <c r="Y271" s="127">
        <v>50267</v>
      </c>
      <c r="Z271" s="127">
        <v>50451</v>
      </c>
      <c r="AA271" s="128">
        <v>4.3749999999999997E-2</v>
      </c>
      <c r="AB271" s="129">
        <v>22525000000</v>
      </c>
      <c r="AC271" s="130" t="str">
        <f ca="1">IF(LEFT(B271,1)="B",_xll.INSTANCE.TBILL(A271,V271,Z271,TODAY()),_xll.INSTANCE.TNOTE(A271,V271,W271,X271,Y271,Z271,AA271,TODAY()))</f>
        <v>US912810PW27#0003</v>
      </c>
    </row>
    <row r="272" spans="1:29" x14ac:dyDescent="0.35">
      <c r="A272" s="131" t="s">
        <v>576</v>
      </c>
      <c r="B272" s="115" t="s">
        <v>1248</v>
      </c>
      <c r="C272" s="364"/>
      <c r="D272" s="116"/>
      <c r="E272" s="117"/>
      <c r="F272" s="118"/>
      <c r="G272" s="369"/>
      <c r="H272" s="120">
        <v>2.5771051E-2</v>
      </c>
      <c r="I272" s="121">
        <f ca="1">_xll.INSTRUMENT.PRIX(AC272,D272,H272,cTreasuries)</f>
        <v>136.14864437990337</v>
      </c>
      <c r="J272" s="122">
        <f ca="1">_xll.INSTRUMENT.DV01(A272,,,I272,cContinuous,I272)</f>
        <v>-0.23297642619018216</v>
      </c>
      <c r="K272" s="123">
        <f ca="1">_xll.INSTRUMENT.CONVEXITE(A272,,,I272,cContinuous,I272)</f>
        <v>372.12223046789836</v>
      </c>
      <c r="L272" s="123" t="e">
        <f ca="1">_xll.INSTRUMENT.Z.SPREAD(A272,swapCurve,I272,cContinuous,D272)</f>
        <v>#VALUE!</v>
      </c>
      <c r="M272" s="123" t="e">
        <f ca="1">_xll.INSTRUMENT.Z.SPREAD(A272,ustCurve,I272,cContinuous,D272)</f>
        <v>#VALUE!</v>
      </c>
      <c r="N272" s="123">
        <f ca="1">_xll.INSTRUMENT.Z.SPREAD(A272,oisCurve,I272,cContinuous,D272)</f>
        <v>47.330796288131118</v>
      </c>
      <c r="O272" s="124" t="e">
        <f ca="1">1/_xll.CALENDRIER.FRAC.ANNEE(_xll.INSTRUMENT.DATE.REGLEMENT($AC272,,),_xll.INSTRUMENT.DATE.REGLEMENT($AC272,_xll.CALENDRIER.GAP.FINANCE(TODAY(),"1M","AUD","Unadjusted"),),"ACT/365")*(_xll.INSTRUMENT.ROLL.DOWN($A272,oisCurve,_xll.CALENDRIER.GAP.FINANCE(TODAY(),"1M","AUD","Unadjusted",TRUE),$N272)+100*$AA272*_xll.CALENDRIER.FRAC.ANNEE(_xll.INSTRUMENT.DATE.REGLEMENT($AC272,,),_xll.INSTRUMENT.DATE.REGLEMENT($AC272,_xll.CALENDRIER.GAP.FINANCE(TODAY(),"1M","AUD","Unadjusted"),),"ACT/365")-$I272)/$I272</f>
        <v>#NAME?</v>
      </c>
      <c r="P272" s="124" t="e">
        <f ca="1">1/_xll.CALENDRIER.FRAC.ANNEE(_xll.INSTRUMENT.DATE.REGLEMENT($AC272,,),_xll.INSTRUMENT.DATE.REGLEMENT($AC272,_xll.CALENDRIER.GAP.FINANCE(TODAY(),"3M","AUD","Unadjusted"),),"ACT/365")*(_xll.INSTRUMENT.ROLL.DOWN($A272,oisCurve,_xll.CALENDRIER.GAP.FINANCE(TODAY(),"3M","AUD","Unadjusted",TRUE),$N272)+100*$AA272*_xll.CALENDRIER.FRAC.ANNEE(_xll.INSTRUMENT.DATE.REGLEMENT($AC272,,),_xll.INSTRUMENT.DATE.REGLEMENT($AC272,_xll.CALENDRIER.GAP.FINANCE(TODAY(),"3M","AUD","Unadjusted"),),"ACT/365")-$I272)/$I272</f>
        <v>#NAME?</v>
      </c>
      <c r="Q272" s="371" t="e">
        <f ca="1">-(O272-curve!$T$3)/J272</f>
        <v>#NAME?</v>
      </c>
      <c r="R272" s="373">
        <f t="shared" ca="1" si="6"/>
        <v>-1597.2527201706209</v>
      </c>
      <c r="S272" s="191" t="str">
        <f>IF(F272&lt;&gt;"","",IF(G272="","",-G272*(SUMIF('raw Data'!$A:$A,"RESINV1USD",'raw Data'!$G:$G)+SUMIF('raw Data'!$A:$A,"RESSWAPORUSD",'raw Data'!$G:$G))/(36500*J272)))</f>
        <v/>
      </c>
      <c r="T272" s="202" t="str">
        <f>IF(G272&lt;&gt;"","",IF(F272="","",-36500*J272*F272/(SUMIF('raw Data'!$A:$A,"RESINV1USD",'raw Data'!$G:$G)+SUMIF('raw Data'!$A:$A,"RESSWAPORUSD",'raw Data'!$G:$G))))</f>
        <v/>
      </c>
      <c r="U272" s="125">
        <f>SUMIF('raw Data'!$E:$E,A272,'raw Data'!$N:$N)</f>
        <v>0</v>
      </c>
      <c r="V272" s="126">
        <v>39675</v>
      </c>
      <c r="W272" s="127">
        <v>39583</v>
      </c>
      <c r="X272" s="127">
        <v>39767</v>
      </c>
      <c r="Y272" s="127">
        <v>50359</v>
      </c>
      <c r="Z272" s="127">
        <v>50540</v>
      </c>
      <c r="AA272" s="128">
        <v>4.4999999999999998E-2</v>
      </c>
      <c r="AB272" s="129">
        <v>25500000000</v>
      </c>
      <c r="AC272" s="130" t="str">
        <f ca="1">IF(LEFT(B272,1)="B",_xll.INSTANCE.TBILL(A272,V272,Z272,TODAY()),_xll.INSTANCE.TNOTE(A272,V272,W272,X272,Y272,Z272,AA272,TODAY()))</f>
        <v>US912810PX00#0003</v>
      </c>
    </row>
    <row r="273" spans="1:29" x14ac:dyDescent="0.35">
      <c r="A273" s="131" t="s">
        <v>577</v>
      </c>
      <c r="B273" s="115" t="s">
        <v>1249</v>
      </c>
      <c r="C273" s="364"/>
      <c r="D273" s="116"/>
      <c r="E273" s="117"/>
      <c r="F273" s="118"/>
      <c r="G273" s="369"/>
      <c r="H273" s="120">
        <v>2.6351884000000003E-2</v>
      </c>
      <c r="I273" s="121">
        <f ca="1">_xll.INSTRUMENT.PRIX(AC273,D273,H273,cTreasuries)</f>
        <v>116.46513208924858</v>
      </c>
      <c r="J273" s="122">
        <f ca="1">_xll.INSTRUMENT.DV01(A273,,,I273,cContinuous,I273)</f>
        <v>-0.21282998908729292</v>
      </c>
      <c r="K273" s="123">
        <f ca="1">_xll.INSTRUMENT.CONVEXITE(A273,,,I273,cContinuous,I273)</f>
        <v>414.51713559059101</v>
      </c>
      <c r="L273" s="123" t="e">
        <f ca="1">_xll.INSTRUMENT.Z.SPREAD(A273,swapCurve,I273,cContinuous,D273)</f>
        <v>#VALUE!</v>
      </c>
      <c r="M273" s="123" t="e">
        <f ca="1">_xll.INSTRUMENT.Z.SPREAD(A273,ustCurve,I273,cContinuous,D273)</f>
        <v>#VALUE!</v>
      </c>
      <c r="N273" s="123">
        <f ca="1">_xll.INSTRUMENT.Z.SPREAD(A273,oisCurve,I273,cContinuous,D273)</f>
        <v>49.429911333558778</v>
      </c>
      <c r="O273" s="124" t="e">
        <f ca="1">1/_xll.CALENDRIER.FRAC.ANNEE(_xll.INSTRUMENT.DATE.REGLEMENT($AC273,,),_xll.INSTRUMENT.DATE.REGLEMENT($AC273,_xll.CALENDRIER.GAP.FINANCE(TODAY(),"1M","AUD","Unadjusted"),),"ACT/365")*(_xll.INSTRUMENT.ROLL.DOWN($A273,oisCurve,_xll.CALENDRIER.GAP.FINANCE(TODAY(),"1M","AUD","Unadjusted",TRUE),$N273)+100*$AA273*_xll.CALENDRIER.FRAC.ANNEE(_xll.INSTRUMENT.DATE.REGLEMENT($AC273,,),_xll.INSTRUMENT.DATE.REGLEMENT($AC273,_xll.CALENDRIER.GAP.FINANCE(TODAY(),"1M","AUD","Unadjusted"),),"ACT/365")-$I273)/$I273</f>
        <v>#NAME?</v>
      </c>
      <c r="P273" s="124" t="e">
        <f ca="1">1/_xll.CALENDRIER.FRAC.ANNEE(_xll.INSTRUMENT.DATE.REGLEMENT($AC273,,),_xll.INSTRUMENT.DATE.REGLEMENT($AC273,_xll.CALENDRIER.GAP.FINANCE(TODAY(),"3M","AUD","Unadjusted"),),"ACT/365")*(_xll.INSTRUMENT.ROLL.DOWN($A273,oisCurve,_xll.CALENDRIER.GAP.FINANCE(TODAY(),"3M","AUD","Unadjusted",TRUE),$N273)+100*$AA273*_xll.CALENDRIER.FRAC.ANNEE(_xll.INSTRUMENT.DATE.REGLEMENT($AC273,,),_xll.INSTRUMENT.DATE.REGLEMENT($AC273,_xll.CALENDRIER.GAP.FINANCE(TODAY(),"3M","AUD","Unadjusted"),),"ACT/365")-$I273)/$I273</f>
        <v>#NAME?</v>
      </c>
      <c r="Q273" s="371" t="e">
        <f ca="1">-(O273-curve!$T$3)/J273</f>
        <v>#NAME?</v>
      </c>
      <c r="R273" s="373">
        <f t="shared" ca="1" si="6"/>
        <v>-1947.6443962066617</v>
      </c>
      <c r="S273" s="191" t="str">
        <f>IF(F273&lt;&gt;"","",IF(G273="","",-G273*(SUMIF('raw Data'!$A:$A,"RESINV1USD",'raw Data'!$G:$G)+SUMIF('raw Data'!$A:$A,"RESSWAPORUSD",'raw Data'!$G:$G))/(36500*J273)))</f>
        <v/>
      </c>
      <c r="T273" s="202" t="str">
        <f>IF(G273&lt;&gt;"","",IF(F273="","",-36500*J273*F273/(SUMIF('raw Data'!$A:$A,"RESINV1USD",'raw Data'!$G:$G)+SUMIF('raw Data'!$A:$A,"RESSWAPORUSD",'raw Data'!$G:$G))))</f>
        <v/>
      </c>
      <c r="U273" s="125">
        <f>SUMIF('raw Data'!$E:$E,A273,'raw Data'!$N:$N)</f>
        <v>0</v>
      </c>
      <c r="V273" s="126">
        <v>39861</v>
      </c>
      <c r="W273" s="127">
        <v>39859</v>
      </c>
      <c r="X273" s="127">
        <v>40040</v>
      </c>
      <c r="Y273" s="127">
        <v>50632</v>
      </c>
      <c r="Z273" s="127">
        <v>50816</v>
      </c>
      <c r="AA273" s="128">
        <v>3.5000000000000003E-2</v>
      </c>
      <c r="AB273" s="129">
        <v>25909000000</v>
      </c>
      <c r="AC273" s="130" t="str">
        <f ca="1">IF(LEFT(B273,1)="B",_xll.INSTANCE.TBILL(A273,V273,Z273,TODAY()),_xll.INSTANCE.TNOTE(A273,V273,W273,X273,Y273,Z273,AA273,TODAY()))</f>
        <v>US912810QA97#0003</v>
      </c>
    </row>
    <row r="274" spans="1:29" x14ac:dyDescent="0.35">
      <c r="A274" s="131" t="s">
        <v>578</v>
      </c>
      <c r="B274" s="115" t="s">
        <v>1250</v>
      </c>
      <c r="C274" s="364"/>
      <c r="D274" s="116"/>
      <c r="E274" s="117"/>
      <c r="F274" s="118"/>
      <c r="G274" s="369"/>
      <c r="H274" s="120">
        <v>2.6125869000000003E-2</v>
      </c>
      <c r="I274" s="121">
        <f ca="1">_xll.INSTRUMENT.PRIX(AC274,D274,H274,cTreasuries)</f>
        <v>131.47525383564169</v>
      </c>
      <c r="J274" s="122">
        <f ca="1">_xll.INSTRUMENT.DV01(A274,,,I274,cContinuous,I274)</f>
        <v>-0.23296090659692517</v>
      </c>
      <c r="K274" s="123">
        <f ca="1">_xll.INSTRUMENT.CONVEXITE(A274,,,I274,cContinuous,I274)</f>
        <v>400.0183153680594</v>
      </c>
      <c r="L274" s="123" t="e">
        <f ca="1">_xll.INSTRUMENT.Z.SPREAD(A274,swapCurve,I274,cContinuous,D274)</f>
        <v>#VALUE!</v>
      </c>
      <c r="M274" s="123" t="e">
        <f ca="1">_xll.INSTRUMENT.Z.SPREAD(A274,ustCurve,I274,cContinuous,D274)</f>
        <v>#VALUE!</v>
      </c>
      <c r="N274" s="123">
        <f ca="1">_xll.INSTRUMENT.Z.SPREAD(A274,oisCurve,I274,cContinuous,D274)</f>
        <v>48.893456362653311</v>
      </c>
      <c r="O274" s="124" t="e">
        <f ca="1">1/_xll.CALENDRIER.FRAC.ANNEE(_xll.INSTRUMENT.DATE.REGLEMENT($AC274,,),_xll.INSTRUMENT.DATE.REGLEMENT($AC274,_xll.CALENDRIER.GAP.FINANCE(TODAY(),"1M","AUD","Unadjusted"),),"ACT/365")*(_xll.INSTRUMENT.ROLL.DOWN($A274,oisCurve,_xll.CALENDRIER.GAP.FINANCE(TODAY(),"1M","AUD","Unadjusted",TRUE),$N274)+100*$AA274*_xll.CALENDRIER.FRAC.ANNEE(_xll.INSTRUMENT.DATE.REGLEMENT($AC274,,),_xll.INSTRUMENT.DATE.REGLEMENT($AC274,_xll.CALENDRIER.GAP.FINANCE(TODAY(),"1M","AUD","Unadjusted"),),"ACT/365")-$I274)/$I274</f>
        <v>#NAME?</v>
      </c>
      <c r="P274" s="124" t="e">
        <f ca="1">1/_xll.CALENDRIER.FRAC.ANNEE(_xll.INSTRUMENT.DATE.REGLEMENT($AC274,,),_xll.INSTRUMENT.DATE.REGLEMENT($AC274,_xll.CALENDRIER.GAP.FINANCE(TODAY(),"3M","AUD","Unadjusted"),),"ACT/365")*(_xll.INSTRUMENT.ROLL.DOWN($A274,oisCurve,_xll.CALENDRIER.GAP.FINANCE(TODAY(),"3M","AUD","Unadjusted",TRUE),$N274)+100*$AA274*_xll.CALENDRIER.FRAC.ANNEE(_xll.INSTRUMENT.DATE.REGLEMENT($AC274,,),_xll.INSTRUMENT.DATE.REGLEMENT($AC274,_xll.CALENDRIER.GAP.FINANCE(TODAY(),"3M","AUD","Unadjusted"),),"ACT/365")-$I274)/$I274</f>
        <v>#NAME?</v>
      </c>
      <c r="Q274" s="371" t="e">
        <f ca="1">-(O274-curve!$T$3)/J274</f>
        <v>#NAME?</v>
      </c>
      <c r="R274" s="373">
        <f t="shared" ca="1" si="6"/>
        <v>-1717.1049049022683</v>
      </c>
      <c r="S274" s="191" t="str">
        <f>IF(F274&lt;&gt;"","",IF(G274="","",-G274*(SUMIF('raw Data'!$A:$A,"RESINV1USD",'raw Data'!$G:$G)+SUMIF('raw Data'!$A:$A,"RESSWAPORUSD",'raw Data'!$G:$G))/(36500*J274)))</f>
        <v/>
      </c>
      <c r="T274" s="202" t="str">
        <f>IF(G274&lt;&gt;"","",IF(F274="","",-36500*J274*F274/(SUMIF('raw Data'!$A:$A,"RESINV1USD",'raw Data'!$G:$G)+SUMIF('raw Data'!$A:$A,"RESSWAPORUSD",'raw Data'!$G:$G))))</f>
        <v/>
      </c>
      <c r="U274" s="125">
        <f>SUMIF('raw Data'!$E:$E,A274,'raw Data'!$N:$N)</f>
        <v>0</v>
      </c>
      <c r="V274" s="126">
        <v>39948</v>
      </c>
      <c r="W274" s="127">
        <v>39948</v>
      </c>
      <c r="X274" s="127">
        <v>40132</v>
      </c>
      <c r="Y274" s="127">
        <v>50724</v>
      </c>
      <c r="Z274" s="127">
        <v>50905</v>
      </c>
      <c r="AA274" s="128">
        <v>4.2500000000000003E-2</v>
      </c>
      <c r="AB274" s="129">
        <v>38779000000</v>
      </c>
      <c r="AC274" s="130" t="str">
        <f ca="1">IF(LEFT(B274,1)="B",_xll.INSTANCE.TBILL(A274,V274,Z274,TODAY()),_xll.INSTANCE.TNOTE(A274,V274,W274,X274,Y274,Z274,AA274,TODAY()))</f>
        <v>US912810QB70#0003</v>
      </c>
    </row>
    <row r="275" spans="1:29" x14ac:dyDescent="0.35">
      <c r="A275" s="131" t="s">
        <v>579</v>
      </c>
      <c r="B275" s="115" t="s">
        <v>1251</v>
      </c>
      <c r="C275" s="364"/>
      <c r="D275" s="116"/>
      <c r="E275" s="117"/>
      <c r="F275" s="118"/>
      <c r="G275" s="369"/>
      <c r="H275" s="120">
        <v>2.6102777000000001E-2</v>
      </c>
      <c r="I275" s="121">
        <f ca="1">_xll.INSTRUMENT.PRIX(AC275,D275,H275,cTreasuries)</f>
        <v>136.56770515154275</v>
      </c>
      <c r="J275" s="122">
        <f ca="1">_xll.INSTRUMENT.DV01(A275,,,I275,cContinuous,I275)</f>
        <v>-0.24081673917218685</v>
      </c>
      <c r="K275" s="123">
        <f ca="1">_xll.INSTRUMENT.CONVEXITE(A275,,,I275,cContinuous,I275)</f>
        <v>395.48543413893481</v>
      </c>
      <c r="L275" s="123" t="e">
        <f ca="1">_xll.INSTRUMENT.Z.SPREAD(A275,swapCurve,I275,cContinuous,D275)</f>
        <v>#VALUE!</v>
      </c>
      <c r="M275" s="123" t="e">
        <f ca="1">_xll.INSTRUMENT.Z.SPREAD(A275,ustCurve,I275,cContinuous,D275)</f>
        <v>#VALUE!</v>
      </c>
      <c r="N275" s="123">
        <f ca="1">_xll.INSTRUMENT.Z.SPREAD(A275,oisCurve,I275,cContinuous,D275)</f>
        <v>48.958519267734694</v>
      </c>
      <c r="O275" s="124" t="e">
        <f ca="1">1/_xll.CALENDRIER.FRAC.ANNEE(_xll.INSTRUMENT.DATE.REGLEMENT($AC275,,),_xll.INSTRUMENT.DATE.REGLEMENT($AC275,_xll.CALENDRIER.GAP.FINANCE(TODAY(),"1M","AUD","Unadjusted"),),"ACT/365")*(_xll.INSTRUMENT.ROLL.DOWN($A275,oisCurve,_xll.CALENDRIER.GAP.FINANCE(TODAY(),"1M","AUD","Unadjusted",TRUE),$N275)+100*$AA275*_xll.CALENDRIER.FRAC.ANNEE(_xll.INSTRUMENT.DATE.REGLEMENT($AC275,,),_xll.INSTRUMENT.DATE.REGLEMENT($AC275,_xll.CALENDRIER.GAP.FINANCE(TODAY(),"1M","AUD","Unadjusted"),),"ACT/365")-$I275)/$I275</f>
        <v>#NAME?</v>
      </c>
      <c r="P275" s="124" t="e">
        <f ca="1">1/_xll.CALENDRIER.FRAC.ANNEE(_xll.INSTRUMENT.DATE.REGLEMENT($AC275,,),_xll.INSTRUMENT.DATE.REGLEMENT($AC275,_xll.CALENDRIER.GAP.FINANCE(TODAY(),"3M","AUD","Unadjusted"),),"ACT/365")*(_xll.INSTRUMENT.ROLL.DOWN($A275,oisCurve,_xll.CALENDRIER.GAP.FINANCE(TODAY(),"3M","AUD","Unadjusted",TRUE),$N275)+100*$AA275*_xll.CALENDRIER.FRAC.ANNEE(_xll.INSTRUMENT.DATE.REGLEMENT($AC275,,),_xll.INSTRUMENT.DATE.REGLEMENT($AC275,_xll.CALENDRIER.GAP.FINANCE(TODAY(),"3M","AUD","Unadjusted"),),"ACT/365")-$I275)/$I275</f>
        <v>#NAME?</v>
      </c>
      <c r="Q275" s="371" t="e">
        <f ca="1">-(O275-curve!$T$3)/J275</f>
        <v>#NAME?</v>
      </c>
      <c r="R275" s="373">
        <f t="shared" ca="1" si="6"/>
        <v>-1642.2672090753542</v>
      </c>
      <c r="S275" s="191" t="str">
        <f>IF(F275&lt;&gt;"","",IF(G275="","",-G275*(SUMIF('raw Data'!$A:$A,"RESINV1USD",'raw Data'!$G:$G)+SUMIF('raw Data'!$A:$A,"RESSWAPORUSD",'raw Data'!$G:$G))/(36500*J275)))</f>
        <v/>
      </c>
      <c r="T275" s="202" t="str">
        <f>IF(G275&lt;&gt;"","",IF(F275="","",-36500*J275*F275/(SUMIF('raw Data'!$A:$A,"RESINV1USD",'raw Data'!$G:$G)+SUMIF('raw Data'!$A:$A,"RESSWAPORUSD",'raw Data'!$G:$G))))</f>
        <v/>
      </c>
      <c r="U275" s="125">
        <f>SUMIF('raw Data'!$E:$E,A275,'raw Data'!$N:$N)</f>
        <v>0</v>
      </c>
      <c r="V275" s="126">
        <v>40042</v>
      </c>
      <c r="W275" s="127">
        <v>40040</v>
      </c>
      <c r="X275" s="127">
        <v>40224</v>
      </c>
      <c r="Y275" s="127">
        <v>50816</v>
      </c>
      <c r="Z275" s="127">
        <v>50997</v>
      </c>
      <c r="AA275" s="128">
        <v>4.4999999999999998E-2</v>
      </c>
      <c r="AB275" s="129">
        <v>41431000000</v>
      </c>
      <c r="AC275" s="130" t="str">
        <f ca="1">IF(LEFT(B275,1)="B",_xll.INSTANCE.TBILL(A275,V275,Z275,TODAY()),_xll.INSTANCE.TNOTE(A275,V275,W275,X275,Y275,Z275,AA275,TODAY()))</f>
        <v>US912810QC53#0003</v>
      </c>
    </row>
    <row r="276" spans="1:29" x14ac:dyDescent="0.35">
      <c r="A276" s="131" t="s">
        <v>580</v>
      </c>
      <c r="B276" s="115" t="s">
        <v>1252</v>
      </c>
      <c r="C276" s="364"/>
      <c r="D276" s="116"/>
      <c r="E276" s="117"/>
      <c r="F276" s="118"/>
      <c r="G276" s="369"/>
      <c r="H276" s="120">
        <v>2.6221622E-2</v>
      </c>
      <c r="I276" s="121">
        <f ca="1">_xll.INSTRUMENT.PRIX(AC276,D276,H276,cTreasuries)</f>
        <v>134.07957526530296</v>
      </c>
      <c r="J276" s="122">
        <f ca="1">_xll.INSTRUMENT.DV01(A276,,,I276,cContinuous,I276)</f>
        <v>-0.23903911770601441</v>
      </c>
      <c r="K276" s="123">
        <f ca="1">_xll.INSTRUMENT.CONVEXITE(A276,,,I276,cContinuous,I276)</f>
        <v>407.40149243106475</v>
      </c>
      <c r="L276" s="123" t="e">
        <f ca="1">_xll.INSTRUMENT.Z.SPREAD(A276,swapCurve,I276,cContinuous,D276)</f>
        <v>#VALUE!</v>
      </c>
      <c r="M276" s="123" t="e">
        <f ca="1">_xll.INSTRUMENT.Z.SPREAD(A276,ustCurve,I276,cContinuous,D276)</f>
        <v>#VALUE!</v>
      </c>
      <c r="N276" s="123">
        <f ca="1">_xll.INSTRUMENT.Z.SPREAD(A276,oisCurve,I276,cContinuous,D276)</f>
        <v>49.529557986929355</v>
      </c>
      <c r="O276" s="124" t="e">
        <f ca="1">1/_xll.CALENDRIER.FRAC.ANNEE(_xll.INSTRUMENT.DATE.REGLEMENT($AC276,,),_xll.INSTRUMENT.DATE.REGLEMENT($AC276,_xll.CALENDRIER.GAP.FINANCE(TODAY(),"1M","AUD","Unadjusted"),),"ACT/365")*(_xll.INSTRUMENT.ROLL.DOWN($A276,oisCurve,_xll.CALENDRIER.GAP.FINANCE(TODAY(),"1M","AUD","Unadjusted",TRUE),$N276)+100*$AA276*_xll.CALENDRIER.FRAC.ANNEE(_xll.INSTRUMENT.DATE.REGLEMENT($AC276,,),_xll.INSTRUMENT.DATE.REGLEMENT($AC276,_xll.CALENDRIER.GAP.FINANCE(TODAY(),"1M","AUD","Unadjusted"),),"ACT/365")-$I276)/$I276</f>
        <v>#NAME?</v>
      </c>
      <c r="P276" s="124" t="e">
        <f ca="1">1/_xll.CALENDRIER.FRAC.ANNEE(_xll.INSTRUMENT.DATE.REGLEMENT($AC276,,),_xll.INSTRUMENT.DATE.REGLEMENT($AC276,_xll.CALENDRIER.GAP.FINANCE(TODAY(),"3M","AUD","Unadjusted"),),"ACT/365")*(_xll.INSTRUMENT.ROLL.DOWN($A276,oisCurve,_xll.CALENDRIER.GAP.FINANCE(TODAY(),"3M","AUD","Unadjusted",TRUE),$N276)+100*$AA276*_xll.CALENDRIER.FRAC.ANNEE(_xll.INSTRUMENT.DATE.REGLEMENT($AC276,,),_xll.INSTRUMENT.DATE.REGLEMENT($AC276,_xll.CALENDRIER.GAP.FINANCE(TODAY(),"3M","AUD","Unadjusted"),),"ACT/365")-$I276)/$I276</f>
        <v>#NAME?</v>
      </c>
      <c r="Q276" s="371" t="e">
        <f ca="1">-(O276-curve!$T$3)/J276</f>
        <v>#NAME?</v>
      </c>
      <c r="R276" s="373">
        <f t="shared" ca="1" si="6"/>
        <v>-1704.329803175199</v>
      </c>
      <c r="S276" s="191" t="str">
        <f>IF(F276&lt;&gt;"","",IF(G276="","",-G276*(SUMIF('raw Data'!$A:$A,"RESINV1USD",'raw Data'!$G:$G)+SUMIF('raw Data'!$A:$A,"RESSWAPORUSD",'raw Data'!$G:$G))/(36500*J276)))</f>
        <v/>
      </c>
      <c r="T276" s="202" t="str">
        <f>IF(G276&lt;&gt;"","",IF(F276="","",-36500*J276*F276/(SUMIF('raw Data'!$A:$A,"RESINV1USD",'raw Data'!$G:$G)+SUMIF('raw Data'!$A:$A,"RESSWAPORUSD",'raw Data'!$G:$G))))</f>
        <v/>
      </c>
      <c r="U276" s="125">
        <f>SUMIF('raw Data'!$E:$E,A276,'raw Data'!$N:$N)</f>
        <v>0</v>
      </c>
      <c r="V276" s="126">
        <v>40133</v>
      </c>
      <c r="W276" s="127">
        <v>40132</v>
      </c>
      <c r="X276" s="127">
        <v>40313</v>
      </c>
      <c r="Y276" s="127">
        <v>50905</v>
      </c>
      <c r="Z276" s="127">
        <v>51089</v>
      </c>
      <c r="AA276" s="128">
        <v>4.3749999999999997E-2</v>
      </c>
      <c r="AB276" s="129">
        <v>44564000000</v>
      </c>
      <c r="AC276" s="130" t="str">
        <f ca="1">IF(LEFT(B276,1)="B",_xll.INSTANCE.TBILL(A276,V276,Z276,TODAY()),_xll.INSTANCE.TNOTE(A276,V276,W276,X276,Y276,Z276,AA276,TODAY()))</f>
        <v>US912810QD37#0003</v>
      </c>
    </row>
    <row r="277" spans="1:29" x14ac:dyDescent="0.35">
      <c r="A277" s="131" t="s">
        <v>581</v>
      </c>
      <c r="B277" s="115" t="s">
        <v>1253</v>
      </c>
      <c r="C277" s="364"/>
      <c r="D277" s="116"/>
      <c r="E277" s="117"/>
      <c r="F277" s="118"/>
      <c r="G277" s="369"/>
      <c r="H277" s="120">
        <v>2.6181421999999999E-2</v>
      </c>
      <c r="I277" s="121">
        <f ca="1">_xll.INSTRUMENT.PRIX(AC277,D277,H277,cTreasuries)</f>
        <v>139.2818159637614</v>
      </c>
      <c r="J277" s="122">
        <f ca="1">_xll.INSTRUMENT.DV01(A277,,,I277,cContinuous,I277)</f>
        <v>-0.24717472377872071</v>
      </c>
      <c r="K277" s="123">
        <f ca="1">_xll.INSTRUMENT.CONVEXITE(A277,,,I277,cContinuous,I277)</f>
        <v>402.87458424207841</v>
      </c>
      <c r="L277" s="123" t="e">
        <f ca="1">_xll.INSTRUMENT.Z.SPREAD(A277,swapCurve,I277,cContinuous,D277)</f>
        <v>#VALUE!</v>
      </c>
      <c r="M277" s="123" t="e">
        <f ca="1">_xll.INSTRUMENT.Z.SPREAD(A277,ustCurve,I277,cContinuous,D277)</f>
        <v>#VALUE!</v>
      </c>
      <c r="N277" s="123">
        <f ca="1">_xll.INSTRUMENT.Z.SPREAD(A277,oisCurve,I277,cContinuous,D277)</f>
        <v>49.392137093358656</v>
      </c>
      <c r="O277" s="124" t="e">
        <f ca="1">1/_xll.CALENDRIER.FRAC.ANNEE(_xll.INSTRUMENT.DATE.REGLEMENT($AC277,,),_xll.INSTRUMENT.DATE.REGLEMENT($AC277,_xll.CALENDRIER.GAP.FINANCE(TODAY(),"1M","AUD","Unadjusted"),),"ACT/365")*(_xll.INSTRUMENT.ROLL.DOWN($A277,oisCurve,_xll.CALENDRIER.GAP.FINANCE(TODAY(),"1M","AUD","Unadjusted",TRUE),$N277)+100*$AA277*_xll.CALENDRIER.FRAC.ANNEE(_xll.INSTRUMENT.DATE.REGLEMENT($AC277,,),_xll.INSTRUMENT.DATE.REGLEMENT($AC277,_xll.CALENDRIER.GAP.FINANCE(TODAY(),"1M","AUD","Unadjusted"),),"ACT/365")-$I277)/$I277</f>
        <v>#NAME?</v>
      </c>
      <c r="P277" s="124" t="e">
        <f ca="1">1/_xll.CALENDRIER.FRAC.ANNEE(_xll.INSTRUMENT.DATE.REGLEMENT($AC277,,),_xll.INSTRUMENT.DATE.REGLEMENT($AC277,_xll.CALENDRIER.GAP.FINANCE(TODAY(),"3M","AUD","Unadjusted"),),"ACT/365")*(_xll.INSTRUMENT.ROLL.DOWN($A277,oisCurve,_xll.CALENDRIER.GAP.FINANCE(TODAY(),"3M","AUD","Unadjusted",TRUE),$N277)+100*$AA277*_xll.CALENDRIER.FRAC.ANNEE(_xll.INSTRUMENT.DATE.REGLEMENT($AC277,,),_xll.INSTRUMENT.DATE.REGLEMENT($AC277,_xll.CALENDRIER.GAP.FINANCE(TODAY(),"3M","AUD","Unadjusted"),),"ACT/365")-$I277)/$I277</f>
        <v>#NAME?</v>
      </c>
      <c r="Q277" s="371" t="e">
        <f ca="1">-(O277-curve!$T$3)/J277</f>
        <v>#NAME?</v>
      </c>
      <c r="R277" s="373">
        <f t="shared" ca="1" si="6"/>
        <v>-1629.9182136549914</v>
      </c>
      <c r="S277" s="191" t="str">
        <f>IF(F277&lt;&gt;"","",IF(G277="","",-G277*(SUMIF('raw Data'!$A:$A,"RESINV1USD",'raw Data'!$G:$G)+SUMIF('raw Data'!$A:$A,"RESSWAPORUSD",'raw Data'!$G:$G))/(36500*J277)))</f>
        <v/>
      </c>
      <c r="T277" s="202" t="str">
        <f>IF(G277&lt;&gt;"","",IF(F277="","",-36500*J277*F277/(SUMIF('raw Data'!$A:$A,"RESINV1USD",'raw Data'!$G:$G)+SUMIF('raw Data'!$A:$A,"RESSWAPORUSD",'raw Data'!$G:$G))))</f>
        <v/>
      </c>
      <c r="U277" s="125">
        <f>SUMIF('raw Data'!$E:$E,A277,'raw Data'!$N:$N)</f>
        <v>0</v>
      </c>
      <c r="V277" s="126">
        <v>40225</v>
      </c>
      <c r="W277" s="127">
        <v>40224</v>
      </c>
      <c r="X277" s="127">
        <v>40405</v>
      </c>
      <c r="Y277" s="127">
        <v>50997</v>
      </c>
      <c r="Z277" s="127">
        <v>51181</v>
      </c>
      <c r="AA277" s="128">
        <v>4.6249999999999999E-2</v>
      </c>
      <c r="AB277" s="129">
        <v>44902000000</v>
      </c>
      <c r="AC277" s="130" t="str">
        <f ca="1">IF(LEFT(B277,1)="B",_xll.INSTANCE.TBILL(A277,V277,Z277,TODAY()),_xll.INSTANCE.TNOTE(A277,V277,W277,X277,Y277,Z277,AA277,TODAY()))</f>
        <v>US912810QE10#0003</v>
      </c>
    </row>
    <row r="278" spans="1:29" x14ac:dyDescent="0.35">
      <c r="A278" s="131" t="s">
        <v>582</v>
      </c>
      <c r="B278" s="115" t="s">
        <v>1254</v>
      </c>
      <c r="C278" s="364"/>
      <c r="D278" s="116"/>
      <c r="E278" s="117"/>
      <c r="F278" s="118"/>
      <c r="G278" s="369"/>
      <c r="H278" s="120">
        <v>2.6359761000000002E-2</v>
      </c>
      <c r="I278" s="121">
        <f ca="1">_xll.INSTRUMENT.PRIX(AC278,D278,H278,cTreasuries)</f>
        <v>134.17614161115412</v>
      </c>
      <c r="J278" s="122">
        <f ca="1">_xll.INSTRUMENT.DV01(A278,,,I278,cContinuous,I278)</f>
        <v>-0.24189830917773811</v>
      </c>
      <c r="K278" s="123">
        <f ca="1">_xll.INSTRUMENT.CONVEXITE(A278,,,I278,cContinuous,I278)</f>
        <v>418.12810204936466</v>
      </c>
      <c r="L278" s="123" t="e">
        <f ca="1">_xll.INSTRUMENT.Z.SPREAD(A278,swapCurve,I278,cContinuous,D278)</f>
        <v>#VALUE!</v>
      </c>
      <c r="M278" s="123" t="e">
        <f ca="1">_xll.INSTRUMENT.Z.SPREAD(A278,ustCurve,I278,cContinuous,D278)</f>
        <v>#VALUE!</v>
      </c>
      <c r="N278" s="123">
        <f ca="1">_xll.INSTRUMENT.Z.SPREAD(A278,oisCurve,I278,cContinuous,D278)</f>
        <v>50.285122312578217</v>
      </c>
      <c r="O278" s="124" t="e">
        <f ca="1">1/_xll.CALENDRIER.FRAC.ANNEE(_xll.INSTRUMENT.DATE.REGLEMENT($AC278,,),_xll.INSTRUMENT.DATE.REGLEMENT($AC278,_xll.CALENDRIER.GAP.FINANCE(TODAY(),"1M","AUD","Unadjusted"),),"ACT/365")*(_xll.INSTRUMENT.ROLL.DOWN($A278,oisCurve,_xll.CALENDRIER.GAP.FINANCE(TODAY(),"1M","AUD","Unadjusted",TRUE),$N278)+100*$AA278*_xll.CALENDRIER.FRAC.ANNEE(_xll.INSTRUMENT.DATE.REGLEMENT($AC278,,),_xll.INSTRUMENT.DATE.REGLEMENT($AC278,_xll.CALENDRIER.GAP.FINANCE(TODAY(),"1M","AUD","Unadjusted"),),"ACT/365")-$I278)/$I278</f>
        <v>#NAME?</v>
      </c>
      <c r="P278" s="124" t="e">
        <f ca="1">1/_xll.CALENDRIER.FRAC.ANNEE(_xll.INSTRUMENT.DATE.REGLEMENT($AC278,,),_xll.INSTRUMENT.DATE.REGLEMENT($AC278,_xll.CALENDRIER.GAP.FINANCE(TODAY(),"3M","AUD","Unadjusted"),),"ACT/365")*(_xll.INSTRUMENT.ROLL.DOWN($A278,oisCurve,_xll.CALENDRIER.GAP.FINANCE(TODAY(),"3M","AUD","Unadjusted",TRUE),$N278)+100*$AA278*_xll.CALENDRIER.FRAC.ANNEE(_xll.INSTRUMENT.DATE.REGLEMENT($AC278,,),_xll.INSTRUMENT.DATE.REGLEMENT($AC278,_xll.CALENDRIER.GAP.FINANCE(TODAY(),"3M","AUD","Unadjusted"),),"ACT/365")-$I278)/$I278</f>
        <v>#NAME?</v>
      </c>
      <c r="Q278" s="371" t="e">
        <f ca="1">-(O278-curve!$T$3)/J278</f>
        <v>#NAME?</v>
      </c>
      <c r="R278" s="373">
        <f t="shared" ca="1" si="6"/>
        <v>-1728.5284195274771</v>
      </c>
      <c r="S278" s="191" t="str">
        <f>IF(F278&lt;&gt;"","",IF(G278="","",-G278*(SUMIF('raw Data'!$A:$A,"RESINV1USD",'raw Data'!$G:$G)+SUMIF('raw Data'!$A:$A,"RESSWAPORUSD",'raw Data'!$G:$G))/(36500*J278)))</f>
        <v/>
      </c>
      <c r="T278" s="202" t="str">
        <f>IF(G278&lt;&gt;"","",IF(F278="","",-36500*J278*F278/(SUMIF('raw Data'!$A:$A,"RESINV1USD",'raw Data'!$G:$G)+SUMIF('raw Data'!$A:$A,"RESSWAPORUSD",'raw Data'!$G:$G))))</f>
        <v/>
      </c>
      <c r="U278" s="125">
        <f>SUMIF('raw Data'!$E:$E,A278,'raw Data'!$N:$N)</f>
        <v>0</v>
      </c>
      <c r="V278" s="126">
        <v>40315</v>
      </c>
      <c r="W278" s="127">
        <v>40313</v>
      </c>
      <c r="X278" s="127">
        <v>40497</v>
      </c>
      <c r="Y278" s="127">
        <v>51089</v>
      </c>
      <c r="Z278" s="127">
        <v>51271</v>
      </c>
      <c r="AA278" s="128">
        <v>4.3749999999999997E-2</v>
      </c>
      <c r="AB278" s="129">
        <v>43473000000</v>
      </c>
      <c r="AC278" s="130" t="str">
        <f ca="1">IF(LEFT(B278,1)="B",_xll.INSTANCE.TBILL(A278,V278,Z278,TODAY()),_xll.INSTANCE.TNOTE(A278,V278,W278,X278,Y278,Z278,AA278,TODAY()))</f>
        <v>US912810QH41#0003</v>
      </c>
    </row>
    <row r="279" spans="1:29" x14ac:dyDescent="0.35">
      <c r="A279" s="131" t="s">
        <v>583</v>
      </c>
      <c r="B279" s="115" t="s">
        <v>1255</v>
      </c>
      <c r="C279" s="364"/>
      <c r="D279" s="116"/>
      <c r="E279" s="117"/>
      <c r="F279" s="118"/>
      <c r="G279" s="369"/>
      <c r="H279" s="120">
        <v>2.6604839999999998E-2</v>
      </c>
      <c r="I279" s="121">
        <f ca="1">_xll.INSTRUMENT.PRIX(AC279,D279,H279,cTreasuries)</f>
        <v>123.93866013505152</v>
      </c>
      <c r="J279" s="122">
        <f ca="1">_xll.INSTRUMENT.DV01(A279,,,I279,cContinuous,I279)</f>
        <v>-0.22991713032332725</v>
      </c>
      <c r="K279" s="123">
        <f ca="1">_xll.INSTRUMENT.CONVEXITE(A279,,,I279,cContinuous,I279)</f>
        <v>435.72225665084397</v>
      </c>
      <c r="L279" s="123" t="e">
        <f ca="1">_xll.INSTRUMENT.Z.SPREAD(A279,swapCurve,I279,cContinuous,D279)</f>
        <v>#VALUE!</v>
      </c>
      <c r="M279" s="123" t="e">
        <f ca="1">_xll.INSTRUMENT.Z.SPREAD(A279,ustCurve,I279,cContinuous,D279)</f>
        <v>#VALUE!</v>
      </c>
      <c r="N279" s="123">
        <f ca="1">_xll.INSTRUMENT.Z.SPREAD(A279,oisCurve,I279,cContinuous,D279)</f>
        <v>51.152151659586224</v>
      </c>
      <c r="O279" s="124" t="e">
        <f ca="1">1/_xll.CALENDRIER.FRAC.ANNEE(_xll.INSTRUMENT.DATE.REGLEMENT($AC279,,),_xll.INSTRUMENT.DATE.REGLEMENT($AC279,_xll.CALENDRIER.GAP.FINANCE(TODAY(),"1M","AUD","Unadjusted"),),"ACT/365")*(_xll.INSTRUMENT.ROLL.DOWN($A279,oisCurve,_xll.CALENDRIER.GAP.FINANCE(TODAY(),"1M","AUD","Unadjusted",TRUE),$N279)+100*$AA279*_xll.CALENDRIER.FRAC.ANNEE(_xll.INSTRUMENT.DATE.REGLEMENT($AC279,,),_xll.INSTRUMENT.DATE.REGLEMENT($AC279,_xll.CALENDRIER.GAP.FINANCE(TODAY(),"1M","AUD","Unadjusted"),),"ACT/365")-$I279)/$I279</f>
        <v>#NAME?</v>
      </c>
      <c r="P279" s="124" t="e">
        <f ca="1">1/_xll.CALENDRIER.FRAC.ANNEE(_xll.INSTRUMENT.DATE.REGLEMENT($AC279,,),_xll.INSTRUMENT.DATE.REGLEMENT($AC279,_xll.CALENDRIER.GAP.FINANCE(TODAY(),"3M","AUD","Unadjusted"),),"ACT/365")*(_xll.INSTRUMENT.ROLL.DOWN($A279,oisCurve,_xll.CALENDRIER.GAP.FINANCE(TODAY(),"3M","AUD","Unadjusted",TRUE),$N279)+100*$AA279*_xll.CALENDRIER.FRAC.ANNEE(_xll.INSTRUMENT.DATE.REGLEMENT($AC279,,),_xll.INSTRUMENT.DATE.REGLEMENT($AC279,_xll.CALENDRIER.GAP.FINANCE(TODAY(),"3M","AUD","Unadjusted"),),"ACT/365")-$I279)/$I279</f>
        <v>#NAME?</v>
      </c>
      <c r="Q279" s="371" t="e">
        <f ca="1">-(O279-curve!$T$3)/J279</f>
        <v>#NAME?</v>
      </c>
      <c r="R279" s="373">
        <f t="shared" ca="1" si="6"/>
        <v>-1895.1274141169804</v>
      </c>
      <c r="S279" s="191" t="str">
        <f>IF(F279&lt;&gt;"","",IF(G279="","",-G279*(SUMIF('raw Data'!$A:$A,"RESINV1USD",'raw Data'!$G:$G)+SUMIF('raw Data'!$A:$A,"RESSWAPORUSD",'raw Data'!$G:$G))/(36500*J279)))</f>
        <v/>
      </c>
      <c r="T279" s="202" t="str">
        <f>IF(G279&lt;&gt;"","",IF(F279="","",-36500*J279*F279/(SUMIF('raw Data'!$A:$A,"RESINV1USD",'raw Data'!$G:$G)+SUMIF('raw Data'!$A:$A,"RESSWAPORUSD",'raw Data'!$G:$G))))</f>
        <v/>
      </c>
      <c r="U279" s="125">
        <f>SUMIF('raw Data'!$E:$E,A279,'raw Data'!$N:$N)</f>
        <v>0</v>
      </c>
      <c r="V279" s="126">
        <v>40406</v>
      </c>
      <c r="W279" s="127">
        <v>40405</v>
      </c>
      <c r="X279" s="127">
        <v>40589</v>
      </c>
      <c r="Y279" s="127">
        <v>51181</v>
      </c>
      <c r="Z279" s="127">
        <v>51363</v>
      </c>
      <c r="AA279" s="128">
        <v>3.875E-2</v>
      </c>
      <c r="AB279" s="129">
        <v>43213000000</v>
      </c>
      <c r="AC279" s="130" t="str">
        <f ca="1">IF(LEFT(B279,1)="B",_xll.INSTANCE.TBILL(A279,V279,Z279,TODAY()),_xll.INSTANCE.TNOTE(A279,V279,W279,X279,Y279,Z279,AA279,TODAY()))</f>
        <v>US912810QK79#0003</v>
      </c>
    </row>
    <row r="280" spans="1:29" x14ac:dyDescent="0.35">
      <c r="A280" s="131" t="s">
        <v>584</v>
      </c>
      <c r="B280" s="115" t="s">
        <v>1256</v>
      </c>
      <c r="C280" s="364"/>
      <c r="D280" s="116"/>
      <c r="E280" s="117"/>
      <c r="F280" s="118"/>
      <c r="G280" s="369"/>
      <c r="H280" s="120">
        <v>2.6519252E-2</v>
      </c>
      <c r="I280" s="121">
        <f ca="1">_xll.INSTRUMENT.PRIX(AC280,D280,H280,cTreasuries)</f>
        <v>131.71889154316472</v>
      </c>
      <c r="J280" s="122">
        <f ca="1">_xll.INSTRUMENT.DV01(A280,,,I280,cContinuous,I280)</f>
        <v>-0.24142421753071397</v>
      </c>
      <c r="K280" s="123">
        <f ca="1">_xll.INSTRUMENT.CONVEXITE(A280,,,I280,cContinuous,I280)</f>
        <v>432.72949129863844</v>
      </c>
      <c r="L280" s="123" t="e">
        <f ca="1">_xll.INSTRUMENT.Z.SPREAD(A280,swapCurve,I280,cContinuous,D280)</f>
        <v>#VALUE!</v>
      </c>
      <c r="M280" s="123" t="e">
        <f ca="1">_xll.INSTRUMENT.Z.SPREAD(A280,ustCurve,I280,cContinuous,D280)</f>
        <v>#VALUE!</v>
      </c>
      <c r="N280" s="123">
        <f ca="1">_xll.INSTRUMENT.Z.SPREAD(A280,oisCurve,I280,cContinuous,D280)</f>
        <v>50.966518299170922</v>
      </c>
      <c r="O280" s="124" t="e">
        <f ca="1">1/_xll.CALENDRIER.FRAC.ANNEE(_xll.INSTRUMENT.DATE.REGLEMENT($AC280,,),_xll.INSTRUMENT.DATE.REGLEMENT($AC280,_xll.CALENDRIER.GAP.FINANCE(TODAY(),"1M","AUD","Unadjusted"),),"ACT/365")*(_xll.INSTRUMENT.ROLL.DOWN($A280,oisCurve,_xll.CALENDRIER.GAP.FINANCE(TODAY(),"1M","AUD","Unadjusted",TRUE),$N280)+100*$AA280*_xll.CALENDRIER.FRAC.ANNEE(_xll.INSTRUMENT.DATE.REGLEMENT($AC280,,),_xll.INSTRUMENT.DATE.REGLEMENT($AC280,_xll.CALENDRIER.GAP.FINANCE(TODAY(),"1M","AUD","Unadjusted"),),"ACT/365")-$I280)/$I280</f>
        <v>#NAME?</v>
      </c>
      <c r="P280" s="124" t="e">
        <f ca="1">1/_xll.CALENDRIER.FRAC.ANNEE(_xll.INSTRUMENT.DATE.REGLEMENT($AC280,,),_xll.INSTRUMENT.DATE.REGLEMENT($AC280,_xll.CALENDRIER.GAP.FINANCE(TODAY(),"3M","AUD","Unadjusted"),),"ACT/365")*(_xll.INSTRUMENT.ROLL.DOWN($A280,oisCurve,_xll.CALENDRIER.GAP.FINANCE(TODAY(),"3M","AUD","Unadjusted",TRUE),$N280)+100*$AA280*_xll.CALENDRIER.FRAC.ANNEE(_xll.INSTRUMENT.DATE.REGLEMENT($AC280,,),_xll.INSTRUMENT.DATE.REGLEMENT($AC280,_xll.CALENDRIER.GAP.FINANCE(TODAY(),"3M","AUD","Unadjusted"),),"ACT/365")-$I280)/$I280</f>
        <v>#NAME?</v>
      </c>
      <c r="Q280" s="371" t="e">
        <f ca="1">-(O280-curve!$T$3)/J280</f>
        <v>#NAME?</v>
      </c>
      <c r="R280" s="373">
        <f t="shared" ca="1" si="6"/>
        <v>-1792.4029980280939</v>
      </c>
      <c r="S280" s="191" t="str">
        <f>IF(F280&lt;&gt;"","",IF(G280="","",-G280*(SUMIF('raw Data'!$A:$A,"RESINV1USD",'raw Data'!$G:$G)+SUMIF('raw Data'!$A:$A,"RESSWAPORUSD",'raw Data'!$G:$G))/(36500*J280)))</f>
        <v/>
      </c>
      <c r="T280" s="202" t="str">
        <f>IF(G280&lt;&gt;"","",IF(F280="","",-36500*J280*F280/(SUMIF('raw Data'!$A:$A,"RESINV1USD",'raw Data'!$G:$G)+SUMIF('raw Data'!$A:$A,"RESSWAPORUSD",'raw Data'!$G:$G))))</f>
        <v/>
      </c>
      <c r="U280" s="125">
        <f>SUMIF('raw Data'!$E:$E,A280,'raw Data'!$N:$N)</f>
        <v>0</v>
      </c>
      <c r="V280" s="126">
        <v>40497</v>
      </c>
      <c r="W280" s="127">
        <v>40497</v>
      </c>
      <c r="X280" s="127">
        <v>40678</v>
      </c>
      <c r="Y280" s="127">
        <v>51271</v>
      </c>
      <c r="Z280" s="127">
        <v>51455</v>
      </c>
      <c r="AA280" s="128">
        <v>4.2500000000000003E-2</v>
      </c>
      <c r="AB280" s="129">
        <v>42903000000</v>
      </c>
      <c r="AC280" s="130" t="str">
        <f ca="1">IF(LEFT(B280,1)="B",_xll.INSTANCE.TBILL(A280,V280,Z280,TODAY()),_xll.INSTANCE.TNOTE(A280,V280,W280,X280,Y280,Z280,AA280,TODAY()))</f>
        <v>US912810QL52#0003</v>
      </c>
    </row>
    <row r="281" spans="1:29" x14ac:dyDescent="0.35">
      <c r="A281" s="131" t="s">
        <v>585</v>
      </c>
      <c r="B281" s="115" t="s">
        <v>1257</v>
      </c>
      <c r="C281" s="364"/>
      <c r="D281" s="116"/>
      <c r="E281" s="117"/>
      <c r="F281" s="118"/>
      <c r="G281" s="369"/>
      <c r="H281" s="120">
        <v>2.6389553999999999E-2</v>
      </c>
      <c r="I281" s="121">
        <f ca="1">_xll.INSTRUMENT.PRIX(AC281,D281,H281,cTreasuries)</f>
        <v>142.21886710891334</v>
      </c>
      <c r="J281" s="122">
        <f ca="1">_xll.INSTRUMENT.DV01(A281,,,I281,cContinuous,I281)</f>
        <v>-0.25670199425511581</v>
      </c>
      <c r="K281" s="123">
        <f ca="1">_xll.INSTRUMENT.CONVEXITE(A281,,,I281,cContinuous,I281)</f>
        <v>420.59294059030867</v>
      </c>
      <c r="L281" s="123" t="e">
        <f ca="1">_xll.INSTRUMENT.Z.SPREAD(A281,swapCurve,I281,cContinuous,D281)</f>
        <v>#VALUE!</v>
      </c>
      <c r="M281" s="123" t="e">
        <f ca="1">_xll.INSTRUMENT.Z.SPREAD(A281,ustCurve,I281,cContinuous,D281)</f>
        <v>#VALUE!</v>
      </c>
      <c r="N281" s="123">
        <f ca="1">_xll.INSTRUMENT.Z.SPREAD(A281,oisCurve,I281,cContinuous,D281)</f>
        <v>50.52877403452527</v>
      </c>
      <c r="O281" s="124" t="e">
        <f ca="1">1/_xll.CALENDRIER.FRAC.ANNEE(_xll.INSTRUMENT.DATE.REGLEMENT($AC281,,),_xll.INSTRUMENT.DATE.REGLEMENT($AC281,_xll.CALENDRIER.GAP.FINANCE(TODAY(),"1M","AUD","Unadjusted"),),"ACT/365")*(_xll.INSTRUMENT.ROLL.DOWN($A281,oisCurve,_xll.CALENDRIER.GAP.FINANCE(TODAY(),"1M","AUD","Unadjusted",TRUE),$N281)+100*$AA281*_xll.CALENDRIER.FRAC.ANNEE(_xll.INSTRUMENT.DATE.REGLEMENT($AC281,,),_xll.INSTRUMENT.DATE.REGLEMENT($AC281,_xll.CALENDRIER.GAP.FINANCE(TODAY(),"1M","AUD","Unadjusted"),),"ACT/365")-$I281)/$I281</f>
        <v>#NAME?</v>
      </c>
      <c r="P281" s="124" t="e">
        <f ca="1">1/_xll.CALENDRIER.FRAC.ANNEE(_xll.INSTRUMENT.DATE.REGLEMENT($AC281,,),_xll.INSTRUMENT.DATE.REGLEMENT($AC281,_xll.CALENDRIER.GAP.FINANCE(TODAY(),"3M","AUD","Unadjusted"),),"ACT/365")*(_xll.INSTRUMENT.ROLL.DOWN($A281,oisCurve,_xll.CALENDRIER.GAP.FINANCE(TODAY(),"3M","AUD","Unadjusted",TRUE),$N281)+100*$AA281*_xll.CALENDRIER.FRAC.ANNEE(_xll.INSTRUMENT.DATE.REGLEMENT($AC281,,),_xll.INSTRUMENT.DATE.REGLEMENT($AC281,_xll.CALENDRIER.GAP.FINANCE(TODAY(),"3M","AUD","Unadjusted"),),"ACT/365")-$I281)/$I281</f>
        <v>#NAME?</v>
      </c>
      <c r="Q281" s="371" t="e">
        <f ca="1">-(O281-curve!$T$3)/J281</f>
        <v>#NAME?</v>
      </c>
      <c r="R281" s="373">
        <f t="shared" ca="1" si="6"/>
        <v>-1638.4482785603707</v>
      </c>
      <c r="S281" s="191" t="str">
        <f>IF(F281&lt;&gt;"","",IF(G281="","",-G281*(SUMIF('raw Data'!$A:$A,"RESINV1USD",'raw Data'!$G:$G)+SUMIF('raw Data'!$A:$A,"RESSWAPORUSD",'raw Data'!$G:$G))/(36500*J281)))</f>
        <v/>
      </c>
      <c r="T281" s="202" t="str">
        <f>IF(G281&lt;&gt;"","",IF(F281="","",-36500*J281*F281/(SUMIF('raw Data'!$A:$A,"RESINV1USD",'raw Data'!$G:$G)+SUMIF('raw Data'!$A:$A,"RESSWAPORUSD",'raw Data'!$G:$G))))</f>
        <v/>
      </c>
      <c r="U281" s="125">
        <f>SUMIF('raw Data'!$E:$E,A281,'raw Data'!$N:$N)</f>
        <v>0</v>
      </c>
      <c r="V281" s="126">
        <v>40589</v>
      </c>
      <c r="W281" s="127">
        <v>40589</v>
      </c>
      <c r="X281" s="127">
        <v>40770</v>
      </c>
      <c r="Y281" s="127">
        <v>51363</v>
      </c>
      <c r="Z281" s="127">
        <v>51547</v>
      </c>
      <c r="AA281" s="128">
        <v>4.7500000000000001E-2</v>
      </c>
      <c r="AB281" s="129">
        <v>43005000000</v>
      </c>
      <c r="AC281" s="130" t="str">
        <f ca="1">IF(LEFT(B281,1)="B",_xll.INSTANCE.TBILL(A281,V281,Z281,TODAY()),_xll.INSTANCE.TNOTE(A281,V281,W281,X281,Y281,Z281,AA281,TODAY()))</f>
        <v>US912810QN19#0003</v>
      </c>
    </row>
    <row r="282" spans="1:29" x14ac:dyDescent="0.35">
      <c r="A282" s="131" t="s">
        <v>586</v>
      </c>
      <c r="B282" s="115" t="s">
        <v>1258</v>
      </c>
      <c r="C282" s="364"/>
      <c r="D282" s="116"/>
      <c r="E282" s="117"/>
      <c r="F282" s="118"/>
      <c r="G282" s="369"/>
      <c r="H282" s="120">
        <v>2.6567563000000002E-2</v>
      </c>
      <c r="I282" s="121">
        <f ca="1">_xll.INSTRUMENT.PRIX(AC282,D282,H282,cTreasuries)</f>
        <v>134.49036274385031</v>
      </c>
      <c r="J282" s="122">
        <f ca="1">_xll.INSTRUMENT.DV01(A282,,,I282,cContinuous,I282)</f>
        <v>-0.24781423028649385</v>
      </c>
      <c r="K282" s="123">
        <f ca="1">_xll.INSTRUMENT.CONVEXITE(A282,,,I282,cContinuous,I282)</f>
        <v>439.87701539041444</v>
      </c>
      <c r="L282" s="123" t="e">
        <f ca="1">_xll.INSTRUMENT.Z.SPREAD(A282,swapCurve,I282,cContinuous,D282)</f>
        <v>#VALUE!</v>
      </c>
      <c r="M282" s="123" t="e">
        <f ca="1">_xll.INSTRUMENT.Z.SPREAD(A282,ustCurve,I282,cContinuous,D282)</f>
        <v>#VALUE!</v>
      </c>
      <c r="N282" s="123">
        <f ca="1">_xll.INSTRUMENT.Z.SPREAD(A282,oisCurve,I282,cContinuous,D282)</f>
        <v>51.174589272900903</v>
      </c>
      <c r="O282" s="124" t="e">
        <f ca="1">1/_xll.CALENDRIER.FRAC.ANNEE(_xll.INSTRUMENT.DATE.REGLEMENT($AC282,,),_xll.INSTRUMENT.DATE.REGLEMENT($AC282,_xll.CALENDRIER.GAP.FINANCE(TODAY(),"1M","AUD","Unadjusted"),),"ACT/365")*(_xll.INSTRUMENT.ROLL.DOWN($A282,oisCurve,_xll.CALENDRIER.GAP.FINANCE(TODAY(),"1M","AUD","Unadjusted",TRUE),$N282)+100*$AA282*_xll.CALENDRIER.FRAC.ANNEE(_xll.INSTRUMENT.DATE.REGLEMENT($AC282,,),_xll.INSTRUMENT.DATE.REGLEMENT($AC282,_xll.CALENDRIER.GAP.FINANCE(TODAY(),"1M","AUD","Unadjusted"),),"ACT/365")-$I282)/$I282</f>
        <v>#NAME?</v>
      </c>
      <c r="P282" s="124" t="e">
        <f ca="1">1/_xll.CALENDRIER.FRAC.ANNEE(_xll.INSTRUMENT.DATE.REGLEMENT($AC282,,),_xll.INSTRUMENT.DATE.REGLEMENT($AC282,_xll.CALENDRIER.GAP.FINANCE(TODAY(),"3M","AUD","Unadjusted"),),"ACT/365")*(_xll.INSTRUMENT.ROLL.DOWN($A282,oisCurve,_xll.CALENDRIER.GAP.FINANCE(TODAY(),"3M","AUD","Unadjusted",TRUE),$N282)+100*$AA282*_xll.CALENDRIER.FRAC.ANNEE(_xll.INSTRUMENT.DATE.REGLEMENT($AC282,,),_xll.INSTRUMENT.DATE.REGLEMENT($AC282,_xll.CALENDRIER.GAP.FINANCE(TODAY(),"3M","AUD","Unadjusted"),),"ACT/365")-$I282)/$I282</f>
        <v>#NAME?</v>
      </c>
      <c r="Q282" s="371" t="e">
        <f ca="1">-(O282-curve!$T$3)/J282</f>
        <v>#NAME?</v>
      </c>
      <c r="R282" s="373">
        <f t="shared" ca="1" si="6"/>
        <v>-1775.0272649067813</v>
      </c>
      <c r="S282" s="191" t="str">
        <f>IF(F282&lt;&gt;"","",IF(G282="","",-G282*(SUMIF('raw Data'!$A:$A,"RESINV1USD",'raw Data'!$G:$G)+SUMIF('raw Data'!$A:$A,"RESSWAPORUSD",'raw Data'!$G:$G))/(36500*J282)))</f>
        <v/>
      </c>
      <c r="T282" s="202" t="str">
        <f>IF(G282&lt;&gt;"","",IF(F282="","",-36500*J282*F282/(SUMIF('raw Data'!$A:$A,"RESINV1USD",'raw Data'!$G:$G)+SUMIF('raw Data'!$A:$A,"RESSWAPORUSD",'raw Data'!$G:$G))))</f>
        <v/>
      </c>
      <c r="U282" s="125">
        <f>SUMIF('raw Data'!$E:$E,A282,'raw Data'!$N:$N)</f>
        <v>0</v>
      </c>
      <c r="V282" s="126">
        <v>40679</v>
      </c>
      <c r="W282" s="127">
        <v>40678</v>
      </c>
      <c r="X282" s="127">
        <v>40862</v>
      </c>
      <c r="Y282" s="127">
        <v>51455</v>
      </c>
      <c r="Z282" s="127">
        <v>51636</v>
      </c>
      <c r="AA282" s="128">
        <v>4.3749999999999997E-2</v>
      </c>
      <c r="AB282" s="129">
        <v>42000000000</v>
      </c>
      <c r="AC282" s="130" t="str">
        <f ca="1">IF(LEFT(B282,1)="B",_xll.INSTANCE.TBILL(A282,V282,Z282,TODAY()),_xll.INSTANCE.TNOTE(A282,V282,W282,X282,Y282,Z282,AA282,TODAY()))</f>
        <v>US912810QQ40#0003</v>
      </c>
    </row>
    <row r="283" spans="1:29" x14ac:dyDescent="0.35">
      <c r="A283" s="131" t="s">
        <v>587</v>
      </c>
      <c r="B283" s="115" t="s">
        <v>1259</v>
      </c>
      <c r="C283" s="364"/>
      <c r="D283" s="116"/>
      <c r="E283" s="117"/>
      <c r="F283" s="118"/>
      <c r="G283" s="369"/>
      <c r="H283" s="120">
        <v>2.6842214999999999E-2</v>
      </c>
      <c r="I283" s="121">
        <f ca="1">_xll.INSTRUMENT.PRIX(AC283,D283,H283,cTreasuries)</f>
        <v>121.43917290616092</v>
      </c>
      <c r="J283" s="122">
        <f ca="1">_xll.INSTRUMENT.DV01(A283,,,I283,cContinuous,I283)</f>
        <v>-0.23166741786477901</v>
      </c>
      <c r="K283" s="123">
        <f ca="1">_xll.INSTRUMENT.CONVEXITE(A283,,,I283,cContinuous,I283)</f>
        <v>462.84312793429825</v>
      </c>
      <c r="L283" s="123" t="e">
        <f ca="1">_xll.INSTRUMENT.Z.SPREAD(A283,swapCurve,I283,cContinuous,D283)</f>
        <v>#VALUE!</v>
      </c>
      <c r="M283" s="123" t="e">
        <f ca="1">_xll.INSTRUMENT.Z.SPREAD(A283,ustCurve,I283,cContinuous,D283)</f>
        <v>#VALUE!</v>
      </c>
      <c r="N283" s="123">
        <f ca="1">_xll.INSTRUMENT.Z.SPREAD(A283,oisCurve,I283,cContinuous,D283)</f>
        <v>52.049723620095278</v>
      </c>
      <c r="O283" s="124" t="e">
        <f ca="1">1/_xll.CALENDRIER.FRAC.ANNEE(_xll.INSTRUMENT.DATE.REGLEMENT($AC283,,),_xll.INSTRUMENT.DATE.REGLEMENT($AC283,_xll.CALENDRIER.GAP.FINANCE(TODAY(),"1M","AUD","Unadjusted"),),"ACT/365")*(_xll.INSTRUMENT.ROLL.DOWN($A283,oisCurve,_xll.CALENDRIER.GAP.FINANCE(TODAY(),"1M","AUD","Unadjusted",TRUE),$N283)+100*$AA283*_xll.CALENDRIER.FRAC.ANNEE(_xll.INSTRUMENT.DATE.REGLEMENT($AC283,,),_xll.INSTRUMENT.DATE.REGLEMENT($AC283,_xll.CALENDRIER.GAP.FINANCE(TODAY(),"1M","AUD","Unadjusted"),),"ACT/365")-$I283)/$I283</f>
        <v>#NAME?</v>
      </c>
      <c r="P283" s="124" t="e">
        <f ca="1">1/_xll.CALENDRIER.FRAC.ANNEE(_xll.INSTRUMENT.DATE.REGLEMENT($AC283,,),_xll.INSTRUMENT.DATE.REGLEMENT($AC283,_xll.CALENDRIER.GAP.FINANCE(TODAY(),"3M","AUD","Unadjusted"),),"ACT/365")*(_xll.INSTRUMENT.ROLL.DOWN($A283,oisCurve,_xll.CALENDRIER.GAP.FINANCE(TODAY(),"3M","AUD","Unadjusted",TRUE),$N283)+100*$AA283*_xll.CALENDRIER.FRAC.ANNEE(_xll.INSTRUMENT.DATE.REGLEMENT($AC283,,),_xll.INSTRUMENT.DATE.REGLEMENT($AC283,_xll.CALENDRIER.GAP.FINANCE(TODAY(),"3M","AUD","Unadjusted"),),"ACT/365")-$I283)/$I283</f>
        <v>#NAME?</v>
      </c>
      <c r="Q283" s="371" t="e">
        <f ca="1">-(O283-curve!$T$3)/J283</f>
        <v>#NAME?</v>
      </c>
      <c r="R283" s="373">
        <f t="shared" ca="1" si="6"/>
        <v>-1997.8775271905229</v>
      </c>
      <c r="S283" s="191" t="str">
        <f>IF(F283&lt;&gt;"","",IF(G283="","",-G283*(SUMIF('raw Data'!$A:$A,"RESINV1USD",'raw Data'!$G:$G)+SUMIF('raw Data'!$A:$A,"RESSWAPORUSD",'raw Data'!$G:$G))/(36500*J283)))</f>
        <v/>
      </c>
      <c r="T283" s="202" t="str">
        <f>IF(G283&lt;&gt;"","",IF(F283="","",-36500*J283*F283/(SUMIF('raw Data'!$A:$A,"RESINV1USD",'raw Data'!$G:$G)+SUMIF('raw Data'!$A:$A,"RESSWAPORUSD",'raw Data'!$G:$G))))</f>
        <v/>
      </c>
      <c r="U283" s="125">
        <f>SUMIF('raw Data'!$E:$E,A283,'raw Data'!$N:$N)</f>
        <v>0</v>
      </c>
      <c r="V283" s="126">
        <v>40770</v>
      </c>
      <c r="W283" s="127">
        <v>40770</v>
      </c>
      <c r="X283" s="127">
        <v>40954</v>
      </c>
      <c r="Y283" s="127">
        <v>51547</v>
      </c>
      <c r="Z283" s="127">
        <v>51728</v>
      </c>
      <c r="AA283" s="128">
        <v>3.7499999999999999E-2</v>
      </c>
      <c r="AB283" s="129">
        <v>42490000000</v>
      </c>
      <c r="AC283" s="130" t="str">
        <f ca="1">IF(LEFT(B283,1)="B",_xll.INSTANCE.TBILL(A283,V283,Z283,TODAY()),_xll.INSTANCE.TNOTE(A283,V283,W283,X283,Y283,Z283,AA283,TODAY()))</f>
        <v>US912810QS06#0003</v>
      </c>
    </row>
    <row r="284" spans="1:29" x14ac:dyDescent="0.35">
      <c r="A284" s="131" t="s">
        <v>588</v>
      </c>
      <c r="B284" s="115" t="s">
        <v>1260</v>
      </c>
      <c r="C284" s="364"/>
      <c r="D284" s="116"/>
      <c r="E284" s="117"/>
      <c r="F284" s="118"/>
      <c r="G284" s="369"/>
      <c r="H284" s="120">
        <v>2.7139723000000001E-2</v>
      </c>
      <c r="I284" s="121">
        <f ca="1">_xll.INSTRUMENT.PRIX(AC284,D284,H284,cTreasuries)</f>
        <v>108.27760377842606</v>
      </c>
      <c r="J284" s="122">
        <f ca="1">_xll.INSTRUMENT.DV01(A284,,,I284,cContinuous,I284)</f>
        <v>-0.21508290391629725</v>
      </c>
      <c r="K284" s="123">
        <f ca="1">_xll.INSTRUMENT.CONVEXITE(A284,,,I284,cContinuous,I284)</f>
        <v>498.48263437221368</v>
      </c>
      <c r="L284" s="123" t="e">
        <f ca="1">_xll.INSTRUMENT.Z.SPREAD(A284,swapCurve,I284,cContinuous,D284)</f>
        <v>#VALUE!</v>
      </c>
      <c r="M284" s="123" t="e">
        <f ca="1">_xll.INSTRUMENT.Z.SPREAD(A284,ustCurve,I284,cContinuous,D284)</f>
        <v>#VALUE!</v>
      </c>
      <c r="N284" s="123">
        <f ca="1">_xll.INSTRUMENT.Z.SPREAD(A284,oisCurve,I284,cContinuous,D284)</f>
        <v>52.932039343368075</v>
      </c>
      <c r="O284" s="124" t="e">
        <f ca="1">1/_xll.CALENDRIER.FRAC.ANNEE(_xll.INSTRUMENT.DATE.REGLEMENT($AC284,,),_xll.INSTRUMENT.DATE.REGLEMENT($AC284,_xll.CALENDRIER.GAP.FINANCE(TODAY(),"1M","AUD","Unadjusted"),),"ACT/365")*(_xll.INSTRUMENT.ROLL.DOWN($A284,oisCurve,_xll.CALENDRIER.GAP.FINANCE(TODAY(),"1M","AUD","Unadjusted",TRUE),$N284)+100*$AA284*_xll.CALENDRIER.FRAC.ANNEE(_xll.INSTRUMENT.DATE.REGLEMENT($AC284,,),_xll.INSTRUMENT.DATE.REGLEMENT($AC284,_xll.CALENDRIER.GAP.FINANCE(TODAY(),"1M","AUD","Unadjusted"),),"ACT/365")-$I284)/$I284</f>
        <v>#NAME?</v>
      </c>
      <c r="P284" s="124" t="e">
        <f ca="1">1/_xll.CALENDRIER.FRAC.ANNEE(_xll.INSTRUMENT.DATE.REGLEMENT($AC284,,),_xll.INSTRUMENT.DATE.REGLEMENT($AC284,_xll.CALENDRIER.GAP.FINANCE(TODAY(),"3M","AUD","Unadjusted"),),"ACT/365")*(_xll.INSTRUMENT.ROLL.DOWN($A284,oisCurve,_xll.CALENDRIER.GAP.FINANCE(TODAY(),"3M","AUD","Unadjusted",TRUE),$N284)+100*$AA284*_xll.CALENDRIER.FRAC.ANNEE(_xll.INSTRUMENT.DATE.REGLEMENT($AC284,,),_xll.INSTRUMENT.DATE.REGLEMENT($AC284,_xll.CALENDRIER.GAP.FINANCE(TODAY(),"3M","AUD","Unadjusted"),),"ACT/365")-$I284)/$I284</f>
        <v>#NAME?</v>
      </c>
      <c r="Q284" s="371" t="e">
        <f ca="1">-(O284-curve!$T$3)/J284</f>
        <v>#NAME?</v>
      </c>
      <c r="R284" s="373">
        <f t="shared" ca="1" si="6"/>
        <v>-2317.6302034968139</v>
      </c>
      <c r="S284" s="191" t="str">
        <f>IF(F284&lt;&gt;"","",IF(G284="","",-G284*(SUMIF('raw Data'!$A:$A,"RESINV1USD",'raw Data'!$G:$G)+SUMIF('raw Data'!$A:$A,"RESSWAPORUSD",'raw Data'!$G:$G))/(36500*J284)))</f>
        <v/>
      </c>
      <c r="T284" s="202" t="str">
        <f>IF(G284&lt;&gt;"","",IF(F284="","",-36500*J284*F284/(SUMIF('raw Data'!$A:$A,"RESINV1USD",'raw Data'!$G:$G)+SUMIF('raw Data'!$A:$A,"RESSWAPORUSD",'raw Data'!$G:$G))))</f>
        <v/>
      </c>
      <c r="U284" s="125">
        <f>SUMIF('raw Data'!$E:$E,A284,'raw Data'!$N:$N)</f>
        <v>0</v>
      </c>
      <c r="V284" s="126">
        <v>40862</v>
      </c>
      <c r="W284" s="127">
        <v>40862</v>
      </c>
      <c r="X284" s="127">
        <v>41044</v>
      </c>
      <c r="Y284" s="127">
        <v>51636</v>
      </c>
      <c r="Z284" s="127">
        <v>51820</v>
      </c>
      <c r="AA284" s="128">
        <v>3.125E-2</v>
      </c>
      <c r="AB284" s="129">
        <v>44622000000</v>
      </c>
      <c r="AC284" s="130" t="str">
        <f ca="1">IF(LEFT(B284,1)="B",_xll.INSTANCE.TBILL(A284,V284,Z284,TODAY()),_xll.INSTANCE.TNOTE(A284,V284,W284,X284,Y284,Z284,AA284,TODAY()))</f>
        <v>US912810QT88#0003</v>
      </c>
    </row>
    <row r="285" spans="1:29" x14ac:dyDescent="0.35">
      <c r="A285" s="131" t="s">
        <v>589</v>
      </c>
      <c r="B285" s="115" t="s">
        <v>1261</v>
      </c>
      <c r="C285" s="364"/>
      <c r="D285" s="116"/>
      <c r="E285" s="117"/>
      <c r="F285" s="118"/>
      <c r="G285" s="369"/>
      <c r="H285" s="120">
        <v>2.7212787000000002E-2</v>
      </c>
      <c r="I285" s="121">
        <f ca="1">_xll.INSTRUMENT.PRIX(AC285,D285,H285,cTreasuries)</f>
        <v>108.16636125981296</v>
      </c>
      <c r="J285" s="122">
        <f ca="1">_xll.INSTRUMENT.DV01(A285,,,I285,cContinuous,I285)</f>
        <v>-0.21597041087346505</v>
      </c>
      <c r="K285" s="123">
        <f ca="1">_xll.INSTRUMENT.CONVEXITE(A285,,,I285,cContinuous,I285)</f>
        <v>501.19365884124539</v>
      </c>
      <c r="L285" s="123" t="e">
        <f ca="1">_xll.INSTRUMENT.Z.SPREAD(A285,swapCurve,I285,cContinuous,D285)</f>
        <v>#VALUE!</v>
      </c>
      <c r="M285" s="123" t="e">
        <f ca="1">_xll.INSTRUMENT.Z.SPREAD(A285,ustCurve,I285,cContinuous,D285)</f>
        <v>#VALUE!</v>
      </c>
      <c r="N285" s="123">
        <f ca="1">_xll.INSTRUMENT.Z.SPREAD(A285,oisCurve,I285,cContinuous,D285)</f>
        <v>53.347260734056199</v>
      </c>
      <c r="O285" s="124" t="e">
        <f ca="1">1/_xll.CALENDRIER.FRAC.ANNEE(_xll.INSTRUMENT.DATE.REGLEMENT($AC285,,),_xll.INSTRUMENT.DATE.REGLEMENT($AC285,_xll.CALENDRIER.GAP.FINANCE(TODAY(),"1M","AUD","Unadjusted"),),"ACT/365")*(_xll.INSTRUMENT.ROLL.DOWN($A285,oisCurve,_xll.CALENDRIER.GAP.FINANCE(TODAY(),"1M","AUD","Unadjusted",TRUE),$N285)+100*$AA285*_xll.CALENDRIER.FRAC.ANNEE(_xll.INSTRUMENT.DATE.REGLEMENT($AC285,,),_xll.INSTRUMENT.DATE.REGLEMENT($AC285,_xll.CALENDRIER.GAP.FINANCE(TODAY(),"1M","AUD","Unadjusted"),),"ACT/365")-$I285)/$I285</f>
        <v>#NAME?</v>
      </c>
      <c r="P285" s="124" t="e">
        <f ca="1">1/_xll.CALENDRIER.FRAC.ANNEE(_xll.INSTRUMENT.DATE.REGLEMENT($AC285,,),_xll.INSTRUMENT.DATE.REGLEMENT($AC285,_xll.CALENDRIER.GAP.FINANCE(TODAY(),"3M","AUD","Unadjusted"),),"ACT/365")*(_xll.INSTRUMENT.ROLL.DOWN($A285,oisCurve,_xll.CALENDRIER.GAP.FINANCE(TODAY(),"3M","AUD","Unadjusted",TRUE),$N285)+100*$AA285*_xll.CALENDRIER.FRAC.ANNEE(_xll.INSTRUMENT.DATE.REGLEMENT($AC285,,),_xll.INSTRUMENT.DATE.REGLEMENT($AC285,_xll.CALENDRIER.GAP.FINANCE(TODAY(),"3M","AUD","Unadjusted"),),"ACT/365")-$I285)/$I285</f>
        <v>#NAME?</v>
      </c>
      <c r="Q285" s="371" t="e">
        <f ca="1">-(O285-curve!$T$3)/J285</f>
        <v>#NAME?</v>
      </c>
      <c r="R285" s="373">
        <f t="shared" ca="1" si="6"/>
        <v>-2320.6589125530249</v>
      </c>
      <c r="S285" s="191" t="str">
        <f>IF(F285&lt;&gt;"","",IF(G285="","",-G285*(SUMIF('raw Data'!$A:$A,"RESINV1USD",'raw Data'!$G:$G)+SUMIF('raw Data'!$A:$A,"RESSWAPORUSD",'raw Data'!$G:$G))/(36500*J285)))</f>
        <v/>
      </c>
      <c r="T285" s="202" t="str">
        <f>IF(G285&lt;&gt;"","",IF(F285="","",-36500*J285*F285/(SUMIF('raw Data'!$A:$A,"RESINV1USD",'raw Data'!$G:$G)+SUMIF('raw Data'!$A:$A,"RESSWAPORUSD",'raw Data'!$G:$G))))</f>
        <v/>
      </c>
      <c r="U285" s="125">
        <f>SUMIF('raw Data'!$E:$E,A285,'raw Data'!$N:$N)</f>
        <v>0</v>
      </c>
      <c r="V285" s="126">
        <v>40954</v>
      </c>
      <c r="W285" s="127">
        <v>40954</v>
      </c>
      <c r="X285" s="127">
        <v>41136</v>
      </c>
      <c r="Y285" s="127">
        <v>51728</v>
      </c>
      <c r="Z285" s="127">
        <v>51912</v>
      </c>
      <c r="AA285" s="128">
        <v>3.125E-2</v>
      </c>
      <c r="AB285" s="129">
        <v>47219000000</v>
      </c>
      <c r="AC285" s="130" t="str">
        <f ca="1">IF(LEFT(B285,1)="B",_xll.INSTANCE.TBILL(A285,V285,Z285,TODAY()),_xll.INSTANCE.TNOTE(A285,V285,W285,X285,Y285,Z285,AA285,TODAY()))</f>
        <v>US912810QU51#0003</v>
      </c>
    </row>
    <row r="286" spans="1:29" x14ac:dyDescent="0.35">
      <c r="A286" s="131" t="s">
        <v>899</v>
      </c>
      <c r="B286" s="115" t="s">
        <v>1262</v>
      </c>
      <c r="C286" s="364"/>
      <c r="D286" s="116"/>
      <c r="E286" s="117"/>
      <c r="F286" s="118"/>
      <c r="G286" s="369"/>
      <c r="H286" s="120">
        <v>2.7257264E-2</v>
      </c>
      <c r="I286" s="121">
        <f ca="1">_xll.INSTRUMENT.PRIX(AC286,D286,H286,cTreasuries)</f>
        <v>105.57898654421997</v>
      </c>
      <c r="J286" s="122">
        <f ca="1">_xll.INSTRUMENT.DV01(A286,,,I286,cContinuous,I286)</f>
        <v>-0.21361764247720183</v>
      </c>
      <c r="K286" s="123">
        <f ca="1">_xll.INSTRUMENT.CONVEXITE(A286,,,I286,cContinuous,I286)</f>
        <v>517.04604190571013</v>
      </c>
      <c r="L286" s="123" t="e">
        <f ca="1">_xll.INSTRUMENT.Z.SPREAD(A286,swapCurve,I286,cContinuous,D286)</f>
        <v>#VALUE!</v>
      </c>
      <c r="M286" s="123" t="e">
        <f ca="1">_xll.INSTRUMENT.Z.SPREAD(A286,ustCurve,I286,cContinuous,D286)</f>
        <v>#VALUE!</v>
      </c>
      <c r="N286" s="123">
        <f ca="1">_xll.INSTRUMENT.Z.SPREAD(A286,oisCurve,I286,cContinuous,D286)</f>
        <v>53.198082665858841</v>
      </c>
      <c r="O286" s="124" t="e">
        <f ca="1">1/_xll.CALENDRIER.FRAC.ANNEE(_xll.INSTRUMENT.DATE.REGLEMENT($AC286,,),_xll.INSTRUMENT.DATE.REGLEMENT($AC286,_xll.CALENDRIER.GAP.FINANCE(TODAY(),"1M","AUD","Unadjusted"),),"ACT/365")*(_xll.INSTRUMENT.ROLL.DOWN($A286,oisCurve,_xll.CALENDRIER.GAP.FINANCE(TODAY(),"1M","AUD","Unadjusted",TRUE),$N286)+100*$AA286*_xll.CALENDRIER.FRAC.ANNEE(_xll.INSTRUMENT.DATE.REGLEMENT($AC286,,),_xll.INSTRUMENT.DATE.REGLEMENT($AC286,_xll.CALENDRIER.GAP.FINANCE(TODAY(),"1M","AUD","Unadjusted"),),"ACT/365")-$I286)/$I286</f>
        <v>#NAME?</v>
      </c>
      <c r="P286" s="124" t="e">
        <f ca="1">1/_xll.CALENDRIER.FRAC.ANNEE(_xll.INSTRUMENT.DATE.REGLEMENT($AC286,,),_xll.INSTRUMENT.DATE.REGLEMENT($AC286,_xll.CALENDRIER.GAP.FINANCE(TODAY(),"3M","AUD","Unadjusted"),),"ACT/365")*(_xll.INSTRUMENT.ROLL.DOWN($A286,oisCurve,_xll.CALENDRIER.GAP.FINANCE(TODAY(),"3M","AUD","Unadjusted",TRUE),$N286)+100*$AA286*_xll.CALENDRIER.FRAC.ANNEE(_xll.INSTRUMENT.DATE.REGLEMENT($AC286,,),_xll.INSTRUMENT.DATE.REGLEMENT($AC286,_xll.CALENDRIER.GAP.FINANCE(TODAY(),"3M","AUD","Unadjusted"),),"ACT/365")-$I286)/$I286</f>
        <v>#NAME?</v>
      </c>
      <c r="Q286" s="371" t="e">
        <f ca="1">-(O286-curve!$T$3)/J286</f>
        <v>#NAME?</v>
      </c>
      <c r="R286" s="373">
        <f t="shared" ca="1" si="6"/>
        <v>-2420.4276196938717</v>
      </c>
      <c r="S286" s="191" t="str">
        <f>IF(F286&lt;&gt;"","",IF(G286="","",-G286*(SUMIF('raw Data'!$A:$A,"RESINV1USD",'raw Data'!$G:$G)+SUMIF('raw Data'!$A:$A,"RESSWAPORUSD",'raw Data'!$G:$G))/(36500*J286)))</f>
        <v/>
      </c>
      <c r="T286" s="202" t="str">
        <f>IF(G286&lt;&gt;"","",IF(F286="","",-36500*J286*F286/(SUMIF('raw Data'!$A:$A,"RESINV1USD",'raw Data'!$G:$G)+SUMIF('raw Data'!$A:$A,"RESSWAPORUSD",'raw Data'!$G:$G))))</f>
        <v/>
      </c>
      <c r="U286" s="125">
        <f>SUMIF('raw Data'!$E:$E,A286,'raw Data'!$N:$N)</f>
        <v>0</v>
      </c>
      <c r="V286" s="126">
        <v>41044</v>
      </c>
      <c r="W286" s="127">
        <v>41044</v>
      </c>
      <c r="X286" s="127">
        <v>41228</v>
      </c>
      <c r="Y286" s="127">
        <v>51820</v>
      </c>
      <c r="Z286" s="127">
        <v>52001</v>
      </c>
      <c r="AA286" s="128">
        <v>0.03</v>
      </c>
      <c r="AB286" s="129">
        <v>30001000000</v>
      </c>
      <c r="AC286" s="130" t="str">
        <f ca="1">IF(LEFT(B286,1)="B",_xll.INSTANCE.TBILL(A286,V286,Z286,TODAY()),_xll.INSTANCE.TNOTE(A286,V286,W286,X286,Y286,Z286,AA286,TODAY()))</f>
        <v>US912810QW18#0003</v>
      </c>
    </row>
    <row r="287" spans="1:29" x14ac:dyDescent="0.35">
      <c r="A287" s="131"/>
      <c r="B287" s="115"/>
      <c r="C287" s="364"/>
      <c r="D287" s="116"/>
      <c r="E287" s="117"/>
      <c r="F287" s="118"/>
      <c r="G287" s="369"/>
      <c r="H287" s="120"/>
      <c r="I287" s="121"/>
      <c r="J287" s="122"/>
      <c r="K287" s="123"/>
      <c r="L287" s="123"/>
      <c r="M287" s="123"/>
      <c r="N287" s="123"/>
      <c r="O287" s="124"/>
      <c r="P287" s="124"/>
      <c r="Q287" s="371"/>
      <c r="R287" s="373"/>
      <c r="S287" s="191"/>
      <c r="T287" s="202"/>
      <c r="U287" s="125"/>
      <c r="V287" s="126"/>
      <c r="W287" s="127"/>
      <c r="X287" s="127"/>
      <c r="Y287" s="127"/>
      <c r="Z287" s="127"/>
      <c r="AA287" s="128"/>
      <c r="AB287" s="129"/>
      <c r="AC287" s="130"/>
    </row>
    <row r="288" spans="1:29" x14ac:dyDescent="0.35">
      <c r="A288" s="131"/>
      <c r="B288" s="115"/>
      <c r="C288" s="364"/>
      <c r="D288" s="116"/>
      <c r="E288" s="117"/>
      <c r="F288" s="118"/>
      <c r="G288" s="369"/>
      <c r="H288" s="120"/>
      <c r="I288" s="121"/>
      <c r="J288" s="122"/>
      <c r="K288" s="123"/>
      <c r="L288" s="123"/>
      <c r="M288" s="123"/>
      <c r="N288" s="123"/>
      <c r="O288" s="124"/>
      <c r="P288" s="124"/>
      <c r="Q288" s="371"/>
      <c r="R288" s="373"/>
      <c r="S288" s="191"/>
      <c r="T288" s="202"/>
      <c r="U288" s="125"/>
      <c r="V288" s="126"/>
      <c r="W288" s="127"/>
      <c r="X288" s="127"/>
      <c r="Y288" s="127"/>
      <c r="Z288" s="127"/>
      <c r="AA288" s="128"/>
      <c r="AB288" s="129"/>
      <c r="AC288" s="130"/>
    </row>
    <row r="289" spans="1:29" x14ac:dyDescent="0.35">
      <c r="A289" s="131"/>
      <c r="B289" s="115"/>
      <c r="C289" s="364"/>
      <c r="D289" s="116"/>
      <c r="E289" s="117"/>
      <c r="F289" s="118"/>
      <c r="G289" s="369"/>
      <c r="H289" s="120"/>
      <c r="I289" s="121"/>
      <c r="J289" s="122"/>
      <c r="K289" s="123"/>
      <c r="L289" s="123"/>
      <c r="M289" s="123"/>
      <c r="N289" s="123"/>
      <c r="O289" s="124"/>
      <c r="P289" s="124"/>
      <c r="Q289" s="371"/>
      <c r="R289" s="373"/>
      <c r="S289" s="191"/>
      <c r="T289" s="202"/>
      <c r="U289" s="125"/>
      <c r="V289" s="126"/>
      <c r="W289" s="127"/>
      <c r="X289" s="127"/>
      <c r="Y289" s="127"/>
      <c r="Z289" s="127"/>
      <c r="AA289" s="128"/>
      <c r="AB289" s="129"/>
      <c r="AC289" s="130"/>
    </row>
    <row r="290" spans="1:29" x14ac:dyDescent="0.35">
      <c r="A290" s="131"/>
      <c r="B290" s="115"/>
      <c r="C290" s="364"/>
      <c r="D290" s="116"/>
      <c r="E290" s="117"/>
      <c r="F290" s="118"/>
      <c r="G290" s="369"/>
      <c r="H290" s="120"/>
      <c r="I290" s="121"/>
      <c r="J290" s="122"/>
      <c r="K290" s="123"/>
      <c r="L290" s="123"/>
      <c r="M290" s="123"/>
      <c r="N290" s="123"/>
      <c r="O290" s="124"/>
      <c r="P290" s="124"/>
      <c r="Q290" s="371"/>
      <c r="R290" s="373"/>
      <c r="S290" s="191"/>
      <c r="T290" s="202"/>
      <c r="U290" s="125"/>
      <c r="V290" s="126"/>
      <c r="W290" s="127"/>
      <c r="X290" s="127"/>
      <c r="Y290" s="127"/>
      <c r="Z290" s="127"/>
      <c r="AA290" s="128"/>
      <c r="AB290" s="129"/>
      <c r="AC290" s="130"/>
    </row>
    <row r="291" spans="1:29" x14ac:dyDescent="0.35">
      <c r="A291" s="131"/>
      <c r="B291" s="115"/>
      <c r="C291" s="364"/>
      <c r="D291" s="116"/>
      <c r="E291" s="117"/>
      <c r="F291" s="118"/>
      <c r="G291" s="369"/>
      <c r="H291" s="120"/>
      <c r="I291" s="121"/>
      <c r="J291" s="122"/>
      <c r="K291" s="123"/>
      <c r="L291" s="123"/>
      <c r="M291" s="123"/>
      <c r="N291" s="123"/>
      <c r="O291" s="124"/>
      <c r="P291" s="124"/>
      <c r="Q291" s="371"/>
      <c r="R291" s="373"/>
      <c r="S291" s="191"/>
      <c r="T291" s="202"/>
      <c r="U291" s="125"/>
      <c r="V291" s="126"/>
      <c r="W291" s="127"/>
      <c r="X291" s="127"/>
      <c r="Y291" s="127"/>
      <c r="Z291" s="127"/>
      <c r="AA291" s="128"/>
      <c r="AB291" s="129"/>
      <c r="AC291" s="130"/>
    </row>
    <row r="292" spans="1:29" x14ac:dyDescent="0.35">
      <c r="A292" s="131"/>
      <c r="B292" s="115"/>
      <c r="C292" s="364"/>
      <c r="D292" s="116"/>
      <c r="E292" s="117"/>
      <c r="F292" s="118"/>
      <c r="G292" s="369"/>
      <c r="H292" s="120"/>
      <c r="I292" s="121"/>
      <c r="J292" s="122"/>
      <c r="K292" s="123"/>
      <c r="L292" s="123"/>
      <c r="M292" s="123"/>
      <c r="N292" s="123"/>
      <c r="O292" s="124"/>
      <c r="P292" s="124"/>
      <c r="Q292" s="371"/>
      <c r="R292" s="373"/>
      <c r="S292" s="191"/>
      <c r="T292" s="202"/>
      <c r="U292" s="125"/>
      <c r="V292" s="126"/>
      <c r="W292" s="127"/>
      <c r="X292" s="127"/>
      <c r="Y292" s="127"/>
      <c r="Z292" s="127"/>
      <c r="AA292" s="128"/>
      <c r="AB292" s="129"/>
      <c r="AC292" s="130"/>
    </row>
    <row r="293" spans="1:29" x14ac:dyDescent="0.35">
      <c r="A293" s="131"/>
      <c r="B293" s="115"/>
      <c r="C293" s="364"/>
      <c r="D293" s="116"/>
      <c r="E293" s="117"/>
      <c r="F293" s="118"/>
      <c r="G293" s="369"/>
      <c r="H293" s="120"/>
      <c r="I293" s="121"/>
      <c r="J293" s="122"/>
      <c r="K293" s="123"/>
      <c r="L293" s="123"/>
      <c r="M293" s="123"/>
      <c r="N293" s="123"/>
      <c r="O293" s="124"/>
      <c r="P293" s="124"/>
      <c r="Q293" s="371"/>
      <c r="R293" s="373"/>
      <c r="S293" s="191"/>
      <c r="T293" s="202"/>
      <c r="U293" s="125"/>
      <c r="V293" s="126"/>
      <c r="W293" s="127"/>
      <c r="X293" s="127"/>
      <c r="Y293" s="127"/>
      <c r="Z293" s="127"/>
      <c r="AA293" s="128"/>
      <c r="AB293" s="129"/>
      <c r="AC293" s="130"/>
    </row>
    <row r="294" spans="1:29" x14ac:dyDescent="0.35">
      <c r="A294" s="131"/>
      <c r="B294" s="115"/>
      <c r="C294" s="364"/>
      <c r="D294" s="116"/>
      <c r="E294" s="117"/>
      <c r="F294" s="118"/>
      <c r="G294" s="369"/>
      <c r="H294" s="120"/>
      <c r="I294" s="121"/>
      <c r="J294" s="122"/>
      <c r="K294" s="123"/>
      <c r="L294" s="123"/>
      <c r="M294" s="123"/>
      <c r="N294" s="123"/>
      <c r="O294" s="124"/>
      <c r="P294" s="124"/>
      <c r="Q294" s="371"/>
      <c r="R294" s="373"/>
      <c r="S294" s="191"/>
      <c r="T294" s="202"/>
      <c r="U294" s="125"/>
      <c r="V294" s="126"/>
      <c r="W294" s="127"/>
      <c r="X294" s="127"/>
      <c r="Y294" s="127"/>
      <c r="Z294" s="127"/>
      <c r="AA294" s="128"/>
      <c r="AB294" s="129"/>
      <c r="AC294" s="130"/>
    </row>
    <row r="295" spans="1:29" x14ac:dyDescent="0.35">
      <c r="A295" s="131"/>
      <c r="B295" s="115"/>
      <c r="C295" s="364"/>
      <c r="D295" s="116"/>
      <c r="E295" s="117"/>
      <c r="F295" s="118"/>
      <c r="G295" s="369"/>
      <c r="H295" s="120"/>
      <c r="I295" s="121"/>
      <c r="J295" s="122"/>
      <c r="K295" s="123"/>
      <c r="L295" s="123"/>
      <c r="M295" s="123"/>
      <c r="N295" s="123"/>
      <c r="O295" s="124"/>
      <c r="P295" s="124"/>
      <c r="Q295" s="371"/>
      <c r="R295" s="373"/>
      <c r="S295" s="191"/>
      <c r="T295" s="202"/>
      <c r="U295" s="125"/>
      <c r="V295" s="126"/>
      <c r="W295" s="127"/>
      <c r="X295" s="127"/>
      <c r="Y295" s="127"/>
      <c r="Z295" s="127"/>
      <c r="AA295" s="128"/>
      <c r="AB295" s="129"/>
      <c r="AC295" s="130"/>
    </row>
    <row r="296" spans="1:29" x14ac:dyDescent="0.35">
      <c r="A296" s="131"/>
      <c r="B296" s="115"/>
      <c r="C296" s="364"/>
      <c r="D296" s="116"/>
      <c r="E296" s="117"/>
      <c r="F296" s="118"/>
      <c r="G296" s="369"/>
      <c r="H296" s="120"/>
      <c r="I296" s="121"/>
      <c r="J296" s="122"/>
      <c r="K296" s="123"/>
      <c r="L296" s="123"/>
      <c r="M296" s="123"/>
      <c r="N296" s="123"/>
      <c r="O296" s="124"/>
      <c r="P296" s="124"/>
      <c r="Q296" s="371"/>
      <c r="R296" s="373"/>
      <c r="S296" s="191"/>
      <c r="T296" s="202"/>
      <c r="U296" s="125"/>
      <c r="V296" s="126"/>
      <c r="W296" s="127"/>
      <c r="X296" s="127"/>
      <c r="Y296" s="127"/>
      <c r="Z296" s="127"/>
      <c r="AA296" s="128"/>
      <c r="AB296" s="129"/>
      <c r="AC296" s="130"/>
    </row>
    <row r="297" spans="1:29" x14ac:dyDescent="0.35">
      <c r="A297" s="131"/>
      <c r="B297" s="115"/>
      <c r="C297" s="364"/>
      <c r="D297" s="116"/>
      <c r="E297" s="117"/>
      <c r="F297" s="118"/>
      <c r="G297" s="369"/>
      <c r="H297" s="120"/>
      <c r="I297" s="121"/>
      <c r="J297" s="122"/>
      <c r="K297" s="123"/>
      <c r="L297" s="123"/>
      <c r="M297" s="123"/>
      <c r="N297" s="123"/>
      <c r="O297" s="124"/>
      <c r="P297" s="124"/>
      <c r="Q297" s="371"/>
      <c r="R297" s="373"/>
      <c r="S297" s="191"/>
      <c r="T297" s="202"/>
      <c r="U297" s="125"/>
      <c r="V297" s="126"/>
      <c r="W297" s="127"/>
      <c r="X297" s="127"/>
      <c r="Y297" s="127"/>
      <c r="Z297" s="127"/>
      <c r="AA297" s="128"/>
      <c r="AB297" s="129"/>
      <c r="AC297" s="130"/>
    </row>
    <row r="298" spans="1:29" x14ac:dyDescent="0.35">
      <c r="A298" s="131"/>
      <c r="B298" s="115"/>
      <c r="C298" s="364"/>
      <c r="D298" s="116"/>
      <c r="E298" s="117"/>
      <c r="F298" s="118"/>
      <c r="G298" s="369"/>
      <c r="H298" s="120"/>
      <c r="I298" s="121"/>
      <c r="J298" s="122"/>
      <c r="K298" s="123"/>
      <c r="L298" s="123"/>
      <c r="M298" s="123"/>
      <c r="N298" s="123"/>
      <c r="O298" s="124"/>
      <c r="P298" s="124"/>
      <c r="Q298" s="371"/>
      <c r="R298" s="373"/>
      <c r="S298" s="191"/>
      <c r="T298" s="202"/>
      <c r="U298" s="125"/>
      <c r="V298" s="126"/>
      <c r="W298" s="127"/>
      <c r="X298" s="127"/>
      <c r="Y298" s="127"/>
      <c r="Z298" s="127"/>
      <c r="AA298" s="128"/>
      <c r="AB298" s="129"/>
      <c r="AC298" s="130"/>
    </row>
    <row r="299" spans="1:29" x14ac:dyDescent="0.35">
      <c r="A299" s="131"/>
      <c r="B299" s="115"/>
      <c r="C299" s="364"/>
      <c r="D299" s="116"/>
      <c r="E299" s="117"/>
      <c r="F299" s="118"/>
      <c r="G299" s="369"/>
      <c r="H299" s="120"/>
      <c r="I299" s="121"/>
      <c r="J299" s="122"/>
      <c r="K299" s="123"/>
      <c r="L299" s="123"/>
      <c r="M299" s="123"/>
      <c r="N299" s="123"/>
      <c r="O299" s="124"/>
      <c r="P299" s="124"/>
      <c r="Q299" s="371"/>
      <c r="R299" s="373"/>
      <c r="S299" s="191"/>
      <c r="T299" s="202"/>
      <c r="U299" s="125"/>
      <c r="V299" s="126"/>
      <c r="W299" s="127"/>
      <c r="X299" s="127"/>
      <c r="Y299" s="127"/>
      <c r="Z299" s="127"/>
      <c r="AA299" s="128"/>
      <c r="AB299" s="129"/>
      <c r="AC299" s="130"/>
    </row>
    <row r="300" spans="1:29" x14ac:dyDescent="0.35">
      <c r="A300" s="131"/>
      <c r="B300" s="115"/>
      <c r="C300" s="364"/>
      <c r="D300" s="116"/>
      <c r="E300" s="117"/>
      <c r="F300" s="118"/>
      <c r="G300" s="369"/>
      <c r="H300" s="120"/>
      <c r="I300" s="121"/>
      <c r="J300" s="122"/>
      <c r="K300" s="123"/>
      <c r="L300" s="123"/>
      <c r="M300" s="123"/>
      <c r="N300" s="123"/>
      <c r="O300" s="124"/>
      <c r="P300" s="124"/>
      <c r="Q300" s="371"/>
      <c r="R300" s="373"/>
      <c r="S300" s="191"/>
      <c r="T300" s="202"/>
      <c r="U300" s="125"/>
      <c r="V300" s="126"/>
      <c r="W300" s="127"/>
      <c r="X300" s="127"/>
      <c r="Y300" s="127"/>
      <c r="Z300" s="127"/>
      <c r="AA300" s="128"/>
      <c r="AB300" s="129"/>
      <c r="AC300" s="130"/>
    </row>
    <row r="301" spans="1:29" x14ac:dyDescent="0.35">
      <c r="A301" s="131"/>
      <c r="B301" s="115"/>
      <c r="C301" s="364"/>
      <c r="D301" s="116"/>
      <c r="E301" s="117"/>
      <c r="F301" s="118"/>
      <c r="G301" s="369"/>
      <c r="H301" s="120"/>
      <c r="I301" s="121"/>
      <c r="J301" s="122"/>
      <c r="K301" s="123"/>
      <c r="L301" s="123"/>
      <c r="M301" s="123"/>
      <c r="N301" s="123"/>
      <c r="O301" s="124"/>
      <c r="P301" s="124"/>
      <c r="Q301" s="371"/>
      <c r="R301" s="373"/>
      <c r="S301" s="191"/>
      <c r="T301" s="202"/>
      <c r="U301" s="125"/>
      <c r="V301" s="126"/>
      <c r="W301" s="127"/>
      <c r="X301" s="127"/>
      <c r="Y301" s="127"/>
      <c r="Z301" s="127"/>
      <c r="AA301" s="128"/>
      <c r="AB301" s="129"/>
      <c r="AC301" s="130"/>
    </row>
    <row r="302" spans="1:29" x14ac:dyDescent="0.35">
      <c r="A302" s="131"/>
      <c r="B302" s="115"/>
      <c r="C302" s="364"/>
      <c r="D302" s="116"/>
      <c r="E302" s="117"/>
      <c r="F302" s="118"/>
      <c r="G302" s="369"/>
      <c r="H302" s="120"/>
      <c r="I302" s="121"/>
      <c r="J302" s="122"/>
      <c r="K302" s="123"/>
      <c r="L302" s="123"/>
      <c r="M302" s="123"/>
      <c r="N302" s="123"/>
      <c r="O302" s="124"/>
      <c r="P302" s="124"/>
      <c r="Q302" s="371"/>
      <c r="R302" s="373"/>
      <c r="S302" s="191"/>
      <c r="T302" s="202"/>
      <c r="U302" s="125"/>
      <c r="V302" s="126"/>
      <c r="W302" s="127"/>
      <c r="X302" s="127"/>
      <c r="Y302" s="127"/>
      <c r="Z302" s="127"/>
      <c r="AA302" s="128"/>
      <c r="AB302" s="129"/>
      <c r="AC302" s="130"/>
    </row>
    <row r="303" spans="1:29" x14ac:dyDescent="0.35">
      <c r="A303" s="131"/>
      <c r="B303" s="115"/>
      <c r="C303" s="364"/>
      <c r="D303" s="116"/>
      <c r="E303" s="117"/>
      <c r="F303" s="118"/>
      <c r="G303" s="369"/>
      <c r="H303" s="120"/>
      <c r="I303" s="121"/>
      <c r="J303" s="122"/>
      <c r="K303" s="123"/>
      <c r="L303" s="123"/>
      <c r="M303" s="123"/>
      <c r="N303" s="123"/>
      <c r="O303" s="124"/>
      <c r="P303" s="124"/>
      <c r="Q303" s="371"/>
      <c r="R303" s="373"/>
      <c r="S303" s="191"/>
      <c r="T303" s="202"/>
      <c r="U303" s="125"/>
      <c r="V303" s="126"/>
      <c r="W303" s="127"/>
      <c r="X303" s="127"/>
      <c r="Y303" s="127"/>
      <c r="Z303" s="127"/>
      <c r="AA303" s="128"/>
      <c r="AB303" s="129"/>
      <c r="AC303" s="130"/>
    </row>
    <row r="304" spans="1:29" x14ac:dyDescent="0.35">
      <c r="A304" s="131"/>
      <c r="B304" s="115"/>
      <c r="C304" s="364"/>
      <c r="D304" s="116"/>
      <c r="E304" s="117"/>
      <c r="F304" s="118"/>
      <c r="G304" s="369"/>
      <c r="H304" s="120"/>
      <c r="I304" s="121"/>
      <c r="J304" s="122"/>
      <c r="K304" s="123"/>
      <c r="L304" s="123"/>
      <c r="M304" s="123"/>
      <c r="N304" s="123"/>
      <c r="O304" s="124"/>
      <c r="P304" s="124"/>
      <c r="Q304" s="371"/>
      <c r="R304" s="373"/>
      <c r="S304" s="191"/>
      <c r="T304" s="202"/>
      <c r="U304" s="125"/>
      <c r="V304" s="126"/>
      <c r="W304" s="127"/>
      <c r="X304" s="127"/>
      <c r="Y304" s="127"/>
      <c r="Z304" s="127"/>
      <c r="AA304" s="128"/>
      <c r="AB304" s="129"/>
      <c r="AC304" s="130"/>
    </row>
    <row r="305" spans="1:29" x14ac:dyDescent="0.35">
      <c r="A305" s="131"/>
      <c r="B305" s="115"/>
      <c r="C305" s="364"/>
      <c r="D305" s="116"/>
      <c r="E305" s="117"/>
      <c r="F305" s="118"/>
      <c r="G305" s="369"/>
      <c r="H305" s="120"/>
      <c r="I305" s="121"/>
      <c r="J305" s="122"/>
      <c r="K305" s="123"/>
      <c r="L305" s="123"/>
      <c r="M305" s="123"/>
      <c r="N305" s="123"/>
      <c r="O305" s="124"/>
      <c r="P305" s="124"/>
      <c r="Q305" s="371"/>
      <c r="R305" s="373"/>
      <c r="S305" s="191"/>
      <c r="T305" s="202"/>
      <c r="U305" s="125"/>
      <c r="V305" s="126"/>
      <c r="W305" s="127"/>
      <c r="X305" s="127"/>
      <c r="Y305" s="127"/>
      <c r="Z305" s="127"/>
      <c r="AA305" s="128"/>
      <c r="AB305" s="129"/>
      <c r="AC305" s="130"/>
    </row>
    <row r="306" spans="1:29" x14ac:dyDescent="0.35">
      <c r="A306" s="131"/>
      <c r="B306" s="115"/>
      <c r="C306" s="364"/>
      <c r="D306" s="116"/>
      <c r="E306" s="117"/>
      <c r="F306" s="118"/>
      <c r="G306" s="369"/>
      <c r="H306" s="120"/>
      <c r="I306" s="121"/>
      <c r="J306" s="122"/>
      <c r="K306" s="123"/>
      <c r="L306" s="123"/>
      <c r="M306" s="123"/>
      <c r="N306" s="123"/>
      <c r="O306" s="124"/>
      <c r="P306" s="124"/>
      <c r="Q306" s="371"/>
      <c r="R306" s="373"/>
      <c r="S306" s="191"/>
      <c r="T306" s="202"/>
      <c r="U306" s="125"/>
      <c r="V306" s="126"/>
      <c r="W306" s="127"/>
      <c r="X306" s="127"/>
      <c r="Y306" s="127"/>
      <c r="Z306" s="127"/>
      <c r="AA306" s="128"/>
      <c r="AB306" s="129"/>
      <c r="AC306" s="130"/>
    </row>
    <row r="307" spans="1:29" x14ac:dyDescent="0.35">
      <c r="A307" s="131"/>
      <c r="B307" s="115"/>
      <c r="C307" s="364"/>
      <c r="D307" s="116"/>
      <c r="E307" s="117"/>
      <c r="F307" s="118"/>
      <c r="G307" s="369"/>
      <c r="H307" s="120"/>
      <c r="I307" s="121"/>
      <c r="J307" s="122"/>
      <c r="K307" s="123"/>
      <c r="L307" s="123"/>
      <c r="M307" s="123"/>
      <c r="N307" s="123"/>
      <c r="O307" s="124"/>
      <c r="P307" s="124"/>
      <c r="Q307" s="371"/>
      <c r="R307" s="373"/>
      <c r="S307" s="191"/>
      <c r="T307" s="202"/>
      <c r="U307" s="125"/>
      <c r="V307" s="126"/>
      <c r="W307" s="127"/>
      <c r="X307" s="127"/>
      <c r="Y307" s="127"/>
      <c r="Z307" s="127"/>
      <c r="AA307" s="128"/>
      <c r="AB307" s="129"/>
      <c r="AC307" s="130"/>
    </row>
    <row r="308" spans="1:29" x14ac:dyDescent="0.35">
      <c r="A308" s="131"/>
      <c r="B308" s="115"/>
      <c r="C308" s="364"/>
      <c r="D308" s="116"/>
      <c r="E308" s="117"/>
      <c r="F308" s="118"/>
      <c r="G308" s="369"/>
      <c r="H308" s="120"/>
      <c r="I308" s="121"/>
      <c r="J308" s="122"/>
      <c r="K308" s="123"/>
      <c r="L308" s="123"/>
      <c r="M308" s="123"/>
      <c r="N308" s="123"/>
      <c r="O308" s="124"/>
      <c r="P308" s="124"/>
      <c r="Q308" s="371"/>
      <c r="R308" s="373"/>
      <c r="S308" s="191"/>
      <c r="T308" s="202"/>
      <c r="U308" s="125"/>
      <c r="V308" s="126"/>
      <c r="W308" s="127"/>
      <c r="X308" s="127"/>
      <c r="Y308" s="127"/>
      <c r="Z308" s="127"/>
      <c r="AA308" s="128"/>
      <c r="AB308" s="129"/>
      <c r="AC308" s="130"/>
    </row>
    <row r="309" spans="1:29" x14ac:dyDescent="0.35">
      <c r="A309" s="131"/>
      <c r="B309" s="115"/>
      <c r="C309" s="364"/>
      <c r="D309" s="116"/>
      <c r="E309" s="117"/>
      <c r="F309" s="118"/>
      <c r="G309" s="369"/>
      <c r="H309" s="120"/>
      <c r="I309" s="121"/>
      <c r="J309" s="122"/>
      <c r="K309" s="123"/>
      <c r="L309" s="123"/>
      <c r="M309" s="123"/>
      <c r="N309" s="123"/>
      <c r="O309" s="124"/>
      <c r="P309" s="124"/>
      <c r="Q309" s="371"/>
      <c r="R309" s="373"/>
      <c r="S309" s="191"/>
      <c r="T309" s="202"/>
      <c r="U309" s="125"/>
      <c r="V309" s="126"/>
      <c r="W309" s="127"/>
      <c r="X309" s="127"/>
      <c r="Y309" s="127"/>
      <c r="Z309" s="127"/>
      <c r="AA309" s="128"/>
      <c r="AB309" s="129"/>
      <c r="AC309" s="130"/>
    </row>
    <row r="310" spans="1:29" x14ac:dyDescent="0.35">
      <c r="A310" s="131"/>
      <c r="B310" s="115"/>
      <c r="C310" s="364"/>
      <c r="D310" s="116"/>
      <c r="E310" s="117"/>
      <c r="F310" s="118"/>
      <c r="G310" s="369"/>
      <c r="H310" s="120"/>
      <c r="I310" s="121"/>
      <c r="J310" s="122"/>
      <c r="K310" s="123"/>
      <c r="L310" s="123"/>
      <c r="M310" s="123"/>
      <c r="N310" s="123"/>
      <c r="O310" s="124"/>
      <c r="P310" s="124"/>
      <c r="Q310" s="371"/>
      <c r="R310" s="373"/>
      <c r="S310" s="191"/>
      <c r="T310" s="202"/>
      <c r="U310" s="125"/>
      <c r="V310" s="126"/>
      <c r="W310" s="127"/>
      <c r="X310" s="127"/>
      <c r="Y310" s="127"/>
      <c r="Z310" s="127"/>
      <c r="AA310" s="128"/>
      <c r="AB310" s="129"/>
      <c r="AC310" s="130"/>
    </row>
    <row r="311" spans="1:29" x14ac:dyDescent="0.35">
      <c r="A311" s="131"/>
      <c r="B311" s="115"/>
      <c r="C311" s="364"/>
      <c r="D311" s="116"/>
      <c r="E311" s="117"/>
      <c r="F311" s="118"/>
      <c r="G311" s="369"/>
      <c r="H311" s="120"/>
      <c r="I311" s="121"/>
      <c r="J311" s="122"/>
      <c r="K311" s="123"/>
      <c r="L311" s="123"/>
      <c r="M311" s="123"/>
      <c r="N311" s="123"/>
      <c r="O311" s="124"/>
      <c r="P311" s="124"/>
      <c r="Q311" s="371"/>
      <c r="R311" s="373"/>
      <c r="S311" s="191"/>
      <c r="T311" s="202"/>
      <c r="U311" s="125"/>
      <c r="V311" s="126"/>
      <c r="W311" s="127"/>
      <c r="X311" s="127"/>
      <c r="Y311" s="127"/>
      <c r="Z311" s="127"/>
      <c r="AA311" s="128"/>
      <c r="AB311" s="129"/>
      <c r="AC311" s="130"/>
    </row>
    <row r="312" spans="1:29" x14ac:dyDescent="0.35">
      <c r="A312" s="131"/>
      <c r="B312" s="115"/>
      <c r="C312" s="364"/>
      <c r="D312" s="116"/>
      <c r="E312" s="117"/>
      <c r="F312" s="118"/>
      <c r="G312" s="369"/>
      <c r="H312" s="120"/>
      <c r="I312" s="121"/>
      <c r="J312" s="122"/>
      <c r="K312" s="123"/>
      <c r="L312" s="123"/>
      <c r="M312" s="123"/>
      <c r="N312" s="123"/>
      <c r="O312" s="124"/>
      <c r="P312" s="124"/>
      <c r="Q312" s="371"/>
      <c r="R312" s="373"/>
      <c r="S312" s="191"/>
      <c r="T312" s="202"/>
      <c r="U312" s="125"/>
      <c r="V312" s="126"/>
      <c r="W312" s="127"/>
      <c r="X312" s="127"/>
      <c r="Y312" s="127"/>
      <c r="Z312" s="127"/>
      <c r="AA312" s="128"/>
      <c r="AB312" s="129"/>
      <c r="AC312" s="130"/>
    </row>
    <row r="313" spans="1:29" x14ac:dyDescent="0.35">
      <c r="A313" s="131"/>
      <c r="B313" s="115"/>
      <c r="C313" s="364"/>
      <c r="D313" s="116"/>
      <c r="E313" s="117"/>
      <c r="F313" s="118"/>
      <c r="G313" s="369"/>
      <c r="H313" s="120"/>
      <c r="I313" s="121"/>
      <c r="J313" s="122"/>
      <c r="K313" s="123"/>
      <c r="L313" s="123"/>
      <c r="M313" s="123"/>
      <c r="N313" s="123"/>
      <c r="O313" s="124"/>
      <c r="P313" s="124"/>
      <c r="Q313" s="371"/>
      <c r="R313" s="373"/>
      <c r="S313" s="191"/>
      <c r="T313" s="202"/>
      <c r="U313" s="125"/>
      <c r="V313" s="126"/>
      <c r="W313" s="127"/>
      <c r="X313" s="127"/>
      <c r="Y313" s="127"/>
      <c r="Z313" s="127"/>
      <c r="AA313" s="128"/>
      <c r="AB313" s="129"/>
      <c r="AC313" s="130"/>
    </row>
    <row r="314" spans="1:29" x14ac:dyDescent="0.35">
      <c r="A314" s="131"/>
      <c r="B314" s="115"/>
      <c r="C314" s="364"/>
      <c r="D314" s="116"/>
      <c r="E314" s="117"/>
      <c r="F314" s="118"/>
      <c r="G314" s="369"/>
      <c r="H314" s="120"/>
      <c r="I314" s="121"/>
      <c r="J314" s="122"/>
      <c r="K314" s="123"/>
      <c r="L314" s="123"/>
      <c r="M314" s="123"/>
      <c r="N314" s="123"/>
      <c r="O314" s="124"/>
      <c r="P314" s="124"/>
      <c r="Q314" s="371"/>
      <c r="R314" s="373"/>
      <c r="S314" s="191"/>
      <c r="T314" s="202"/>
      <c r="U314" s="125"/>
      <c r="V314" s="126"/>
      <c r="W314" s="127"/>
      <c r="X314" s="127"/>
      <c r="Y314" s="127"/>
      <c r="Z314" s="127"/>
      <c r="AA314" s="128"/>
      <c r="AB314" s="129"/>
      <c r="AC314" s="130"/>
    </row>
    <row r="315" spans="1:29" x14ac:dyDescent="0.35">
      <c r="A315" s="131"/>
      <c r="B315" s="115"/>
      <c r="C315" s="364"/>
      <c r="D315" s="116"/>
      <c r="E315" s="117"/>
      <c r="F315" s="118"/>
      <c r="G315" s="369"/>
      <c r="H315" s="120"/>
      <c r="I315" s="121"/>
      <c r="J315" s="122"/>
      <c r="K315" s="123"/>
      <c r="L315" s="123"/>
      <c r="M315" s="123"/>
      <c r="N315" s="123"/>
      <c r="O315" s="124"/>
      <c r="P315" s="124"/>
      <c r="Q315" s="371"/>
      <c r="R315" s="373"/>
      <c r="S315" s="191"/>
      <c r="T315" s="202"/>
      <c r="U315" s="125"/>
      <c r="V315" s="126"/>
      <c r="W315" s="127"/>
      <c r="X315" s="127"/>
      <c r="Y315" s="127"/>
      <c r="Z315" s="127"/>
      <c r="AA315" s="128"/>
      <c r="AB315" s="129"/>
      <c r="AC315" s="130"/>
    </row>
    <row r="316" spans="1:29" x14ac:dyDescent="0.35">
      <c r="A316" s="131"/>
      <c r="B316" s="115"/>
      <c r="C316" s="364"/>
      <c r="D316" s="116"/>
      <c r="E316" s="117"/>
      <c r="F316" s="118"/>
      <c r="G316" s="369"/>
      <c r="H316" s="120"/>
      <c r="I316" s="121"/>
      <c r="J316" s="122"/>
      <c r="K316" s="123"/>
      <c r="L316" s="123"/>
      <c r="M316" s="123"/>
      <c r="N316" s="123"/>
      <c r="O316" s="124"/>
      <c r="P316" s="124"/>
      <c r="Q316" s="371"/>
      <c r="R316" s="373"/>
      <c r="S316" s="191"/>
      <c r="T316" s="202"/>
      <c r="U316" s="125"/>
      <c r="V316" s="126"/>
      <c r="W316" s="127"/>
      <c r="X316" s="127"/>
      <c r="Y316" s="127"/>
      <c r="Z316" s="127"/>
      <c r="AA316" s="128"/>
      <c r="AB316" s="129"/>
      <c r="AC316" s="130"/>
    </row>
    <row r="317" spans="1:29" x14ac:dyDescent="0.35">
      <c r="A317" s="131"/>
      <c r="B317" s="115"/>
      <c r="C317" s="364"/>
      <c r="D317" s="116"/>
      <c r="E317" s="117"/>
      <c r="F317" s="118"/>
      <c r="G317" s="369"/>
      <c r="H317" s="120"/>
      <c r="I317" s="121"/>
      <c r="J317" s="122"/>
      <c r="K317" s="123"/>
      <c r="L317" s="123"/>
      <c r="M317" s="123"/>
      <c r="N317" s="123"/>
      <c r="O317" s="124"/>
      <c r="P317" s="124"/>
      <c r="Q317" s="371"/>
      <c r="R317" s="373"/>
      <c r="S317" s="191"/>
      <c r="T317" s="202"/>
      <c r="U317" s="125"/>
      <c r="V317" s="126"/>
      <c r="W317" s="127"/>
      <c r="X317" s="127"/>
      <c r="Y317" s="127"/>
      <c r="Z317" s="127"/>
      <c r="AA317" s="128"/>
      <c r="AB317" s="129"/>
      <c r="AC317" s="130"/>
    </row>
    <row r="318" spans="1:29" x14ac:dyDescent="0.35">
      <c r="A318" s="131"/>
      <c r="B318" s="115"/>
      <c r="C318" s="364"/>
      <c r="D318" s="116"/>
      <c r="E318" s="117"/>
      <c r="F318" s="118"/>
      <c r="G318" s="369"/>
      <c r="H318" s="120"/>
      <c r="I318" s="121"/>
      <c r="J318" s="122"/>
      <c r="K318" s="123"/>
      <c r="L318" s="123"/>
      <c r="M318" s="123"/>
      <c r="N318" s="123"/>
      <c r="O318" s="124"/>
      <c r="P318" s="124"/>
      <c r="Q318" s="371"/>
      <c r="R318" s="373"/>
      <c r="S318" s="191"/>
      <c r="T318" s="202"/>
      <c r="U318" s="125"/>
      <c r="V318" s="126"/>
      <c r="W318" s="127"/>
      <c r="X318" s="127"/>
      <c r="Y318" s="127"/>
      <c r="Z318" s="127"/>
      <c r="AA318" s="128"/>
      <c r="AB318" s="129"/>
      <c r="AC318" s="130"/>
    </row>
  </sheetData>
  <autoFilter ref="A1:AC286">
    <sortState ref="A2:AC289">
      <sortCondition ref="Z1:Z282"/>
    </sortState>
  </autoFilter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5"/>
  </sheetPr>
  <dimension ref="A1:AE189"/>
  <sheetViews>
    <sheetView workbookViewId="0">
      <pane xSplit="3" ySplit="1" topLeftCell="N2" activePane="bottomRight" state="frozen"/>
      <selection pane="topRight" activeCell="D1" sqref="D1"/>
      <selection pane="bottomLeft" activeCell="A2" sqref="A2"/>
      <selection pane="bottomRight" activeCell="U2" sqref="U2"/>
    </sheetView>
  </sheetViews>
  <sheetFormatPr baseColWidth="10" defaultColWidth="11.3984375" defaultRowHeight="10.55" x14ac:dyDescent="0.35"/>
  <cols>
    <col min="1" max="1" width="12.73046875" style="88" bestFit="1" customWidth="1"/>
    <col min="2" max="2" width="19" style="88" bestFit="1" customWidth="1"/>
    <col min="3" max="3" width="7.265625" style="88" bestFit="1" customWidth="1"/>
    <col min="4" max="4" width="8.73046875" style="132" customWidth="1"/>
    <col min="5" max="5" width="8.73046875" style="133" customWidth="1"/>
    <col min="6" max="6" width="14.3984375" style="134" customWidth="1"/>
    <col min="7" max="7" width="5.3984375" style="135" customWidth="1"/>
    <col min="8" max="8" width="9.1328125" style="136" customWidth="1"/>
    <col min="9" max="9" width="9.265625" style="137" customWidth="1"/>
    <col min="10" max="10" width="8" style="138" customWidth="1"/>
    <col min="11" max="11" width="8" style="147" customWidth="1"/>
    <col min="12" max="13" width="5.86328125" style="147" customWidth="1"/>
    <col min="14" max="14" width="6.265625" style="147" customWidth="1"/>
    <col min="15" max="16" width="8.1328125" style="139" customWidth="1"/>
    <col min="17" max="17" width="7.59765625" style="140" customWidth="1"/>
    <col min="18" max="18" width="12" style="192" customWidth="1"/>
    <col min="19" max="19" width="7.1328125" style="205" customWidth="1"/>
    <col min="20" max="20" width="12.59765625" style="141" customWidth="1"/>
    <col min="21" max="25" width="10" style="88" customWidth="1"/>
    <col min="26" max="26" width="7.59765625" style="88" customWidth="1"/>
    <col min="27" max="27" width="3" style="142" customWidth="1"/>
    <col min="28" max="28" width="12.86328125" style="88" customWidth="1"/>
    <col min="29" max="29" width="17" style="88" customWidth="1"/>
    <col min="30" max="30" width="17.265625" style="88" bestFit="1" customWidth="1"/>
    <col min="31" max="31" width="21" style="88" bestFit="1" customWidth="1"/>
    <col min="32" max="16384" width="11.3984375" style="88"/>
  </cols>
  <sheetData>
    <row r="1" spans="1:31" s="114" customFormat="1" ht="57.8" customHeight="1" thickBot="1" x14ac:dyDescent="0.4">
      <c r="A1" s="99" t="s">
        <v>647</v>
      </c>
      <c r="B1" s="100" t="s">
        <v>381</v>
      </c>
      <c r="C1" s="200" t="s">
        <v>680</v>
      </c>
      <c r="D1" s="101" t="s">
        <v>382</v>
      </c>
      <c r="E1" s="102" t="s">
        <v>383</v>
      </c>
      <c r="F1" s="100" t="s">
        <v>384</v>
      </c>
      <c r="G1" s="103" t="s">
        <v>385</v>
      </c>
      <c r="H1" s="104" t="s">
        <v>14</v>
      </c>
      <c r="I1" s="105" t="s">
        <v>386</v>
      </c>
      <c r="J1" s="106" t="s">
        <v>387</v>
      </c>
      <c r="K1" s="108" t="s">
        <v>388</v>
      </c>
      <c r="L1" s="108" t="s">
        <v>389</v>
      </c>
      <c r="M1" s="108" t="s">
        <v>390</v>
      </c>
      <c r="N1" s="108" t="s">
        <v>590</v>
      </c>
      <c r="O1" s="107" t="s">
        <v>391</v>
      </c>
      <c r="P1" s="107" t="s">
        <v>392</v>
      </c>
      <c r="Q1" s="109" t="s">
        <v>393</v>
      </c>
      <c r="R1" s="99" t="s">
        <v>384</v>
      </c>
      <c r="S1" s="204" t="s">
        <v>385</v>
      </c>
      <c r="T1" s="110" t="s">
        <v>644</v>
      </c>
      <c r="U1" s="111" t="s">
        <v>394</v>
      </c>
      <c r="V1" s="112" t="s">
        <v>395</v>
      </c>
      <c r="W1" s="112" t="s">
        <v>396</v>
      </c>
      <c r="X1" s="112" t="s">
        <v>397</v>
      </c>
      <c r="Y1" s="112" t="s">
        <v>398</v>
      </c>
      <c r="Z1" s="112" t="s">
        <v>399</v>
      </c>
      <c r="AA1" s="113" t="s">
        <v>648</v>
      </c>
      <c r="AB1" s="112" t="s">
        <v>400</v>
      </c>
      <c r="AC1" s="112" t="s">
        <v>649</v>
      </c>
      <c r="AD1" s="112" t="s">
        <v>650</v>
      </c>
      <c r="AE1" s="112" t="s">
        <v>674</v>
      </c>
    </row>
    <row r="2" spans="1:31" x14ac:dyDescent="0.35">
      <c r="A2" s="131" t="s">
        <v>695</v>
      </c>
      <c r="B2" s="115" t="e">
        <f ca="1">_xll.BDP($A2 &amp; " Govt",B$1)</f>
        <v>#NAME?</v>
      </c>
      <c r="C2" s="201" t="e">
        <f t="shared" ref="C2:C32" ca="1" si="0">LEFT(B2,SEARCH(" ",B2)-1)</f>
        <v>#NAME?</v>
      </c>
      <c r="D2" s="116"/>
      <c r="E2" s="117"/>
      <c r="F2" s="118"/>
      <c r="G2" s="119"/>
      <c r="H2" s="120" t="e">
        <f ca="1">IF(E2="",_xll.BDP(A2 &amp; " Corp","YLD_YTM_BID")/100,E2)</f>
        <v>#NAME?</v>
      </c>
      <c r="I2" s="121" t="e">
        <f ca="1">_xll.INSTRUMENT.PRIX(AD2,D2,H2,AE2)</f>
        <v>#VALUE!</v>
      </c>
      <c r="J2" s="122" t="e">
        <f ca="1">_xll.INSTRUMENT.DV01(AD2,,,I2,cContinuous,I2)</f>
        <v>#VALUE!</v>
      </c>
      <c r="K2" s="123" t="e">
        <f ca="1">_xll.INSTRUMENT.CONVEXITE(AD2,,,I2,cContinuous,I2)</f>
        <v>#VALUE!</v>
      </c>
      <c r="L2" s="123" t="e">
        <f ca="1">_xll.INSTRUMENT.Z.SPREAD(AD2,swapCurve,I2,,D2)</f>
        <v>#VALUE!</v>
      </c>
      <c r="M2" s="123" t="e">
        <f ca="1">_xll.INSTRUMENT.Z.SPREAD(AD2,ustCurve,I2,,D2)</f>
        <v>#VALUE!</v>
      </c>
      <c r="N2" s="123" t="e">
        <f ca="1">_xll.INSTRUMENT.Z.SPREAD(AD2,oisCurve,I2,,D2)</f>
        <v>#VALUE!</v>
      </c>
      <c r="O2" s="124" t="e">
        <f ca="1">1/_xll.CALENDRIER.FRAC.ANNEE(_xll.INSTRUMENT.DATE.REGLEMENT($AD2,,),_xll.INSTRUMENT.DATE.REGLEMENT($AD2,_xll.CALENDRIER.GAP.FINANCE(TODAY(),"1M","AUD","Unadjusted"),),"ACT/365")*(_xll.INSTRUMENT.ROLL.DOWN($AD2,swapCurve,_xll.CALENDRIER.GAP.FINANCE(TODAY(),"1M","AUD","Unadjusted",TRUE),$L2)+100*$Z2*_xll.CALENDRIER.FRAC.ANNEE(_xll.INSTRUMENT.DATE.REGLEMENT($AD2,,),_xll.INSTRUMENT.DATE.REGLEMENT($AD2,_xll.CALENDRIER.GAP.FINANCE(TODAY(),"1M","AUD","Unadjusted"),),"ACT/365")-$I2)/$I2</f>
        <v>#NAME?</v>
      </c>
      <c r="P2" s="124" t="e">
        <f ca="1">1/_xll.CALENDRIER.FRAC.ANNEE(_xll.INSTRUMENT.DATE.REGLEMENT($AD2,,),_xll.INSTRUMENT.DATE.REGLEMENT($AD2,_xll.CALENDRIER.GAP.FINANCE(TODAY(),"3M","AUD","Unadjusted"),),"ACT/365")*(_xll.INSTRUMENT.ROLL.DOWN($AD2,swapCurve,_xll.CALENDRIER.GAP.FINANCE(TODAY(),"3M","AUD","Unadjusted",TRUE),$L2)+100*$Z2*_xll.CALENDRIER.FRAC.ANNEE(_xll.INSTRUMENT.DATE.REGLEMENT($AD2,,),_xll.INSTRUMENT.DATE.REGLEMENT($AD2,_xll.CALENDRIER.GAP.FINANCE(TODAY(),"3M","AUD","Unadjusted"),),"ACT/365")-$I2)/$I2</f>
        <v>#NAME?</v>
      </c>
      <c r="Q2" s="143" t="e">
        <f t="shared" ref="Q2:Q32" ca="1" si="1">K2/J2</f>
        <v>#VALUE!</v>
      </c>
      <c r="R2" s="191" t="str">
        <f>IF(F2&lt;&gt;"","",IF(G2="","",-G2*(SUMIF('raw Data'!$A:$A,"RESINV1USD",'raw Data'!$G:$G)+SUMIF('raw Data'!$A:$A,"RESSWAPORUSD",'raw Data'!$G:$G))/(36500*J2)))</f>
        <v/>
      </c>
      <c r="S2" s="202" t="str">
        <f>IF(G2&lt;&gt;"","",IF(F2="","",-36500*J2*F2/(SUMIF('raw Data'!$A:$A,"RESINV1USD",'raw Data'!$G:$G)+SUMIF('raw Data'!$A:$A,"RESSWAPORUSD",'raw Data'!$G:$G))))</f>
        <v/>
      </c>
      <c r="T2" s="125">
        <f>SUMIF('raw Data'!$E:$E,A2,'raw Data'!$N:$N)</f>
        <v>0</v>
      </c>
      <c r="U2" s="126" t="e">
        <f ca="1">VALUE(_xll.BDP($A2 &amp; " Corp",U$1))</f>
        <v>#NAME?</v>
      </c>
      <c r="V2" s="127" t="e">
        <f ca="1">VALUE(_xll.BDP($A2 &amp; " Corp",V$1))</f>
        <v>#NAME?</v>
      </c>
      <c r="W2" s="127" t="e">
        <f ca="1">VALUE(_xll.BDP($A2 &amp; " Corp",W$1))</f>
        <v>#NAME?</v>
      </c>
      <c r="X2" s="127" t="e">
        <f ca="1">VALUE(_xll.BDP($A2 &amp; " Corp",X$1))</f>
        <v>#NAME?</v>
      </c>
      <c r="Y2" s="127" t="e">
        <f ca="1">VALUE(_xll.BDP($A2 &amp; " Corp",Y$1))</f>
        <v>#NAME?</v>
      </c>
      <c r="Z2" s="128" t="e">
        <f ca="1">_xll.BDP($A2 &amp; " Corp",Z$1)/100</f>
        <v>#NAME?</v>
      </c>
      <c r="AA2" s="129" t="e">
        <f ca="1">_xll.BDP($A2 &amp; " Corp",AA$1)</f>
        <v>#NAME?</v>
      </c>
      <c r="AB2" s="129" t="e">
        <f ca="1">_xll.BDP($A2 &amp; " Corp",AB$1)</f>
        <v>#NAME?</v>
      </c>
      <c r="AC2" s="129" t="e">
        <f ca="1">_xll.BDP($A2 &amp; " Corp",AC$1)</f>
        <v>#NAME?</v>
      </c>
      <c r="AD2" s="130" t="e">
        <f ca="1">_xll.INSTANCE.YANKEE(A2,U2,V2,W2,X2,Y2,Z2,AA2,LEFT(AC2,11),3,IF(RIGHT(AC2,6)="NONEOM",FALSE,TRUE),TODAY())</f>
        <v>#VALUE!</v>
      </c>
      <c r="AE2" s="130" t="e">
        <f ca="1">_xll.INSTANCE.CONVENTION.TAUX("conv_" &amp; A2,LEFT(AC2,11),"Compounded",IF(AA2=1,"Annual",IF(AA2=2,"Semi-Annual","")),"Unadjusted",TODAY())</f>
        <v>#VALUE!</v>
      </c>
    </row>
    <row r="3" spans="1:31" x14ac:dyDescent="0.35">
      <c r="A3" s="131" t="s">
        <v>693</v>
      </c>
      <c r="B3" s="115" t="e">
        <f ca="1">_xll.BDP($A3 &amp; " Govt",B$1)</f>
        <v>#NAME?</v>
      </c>
      <c r="C3" s="201" t="e">
        <f t="shared" ca="1" si="0"/>
        <v>#NAME?</v>
      </c>
      <c r="D3" s="116"/>
      <c r="E3" s="117"/>
      <c r="F3" s="118"/>
      <c r="G3" s="119"/>
      <c r="H3" s="120" t="e">
        <f ca="1">IF(E3="",_xll.BDP(A3 &amp; " Corp","YLD_YTM_BID")/100,E3)</f>
        <v>#NAME?</v>
      </c>
      <c r="I3" s="121" t="e">
        <f ca="1">_xll.INSTRUMENT.PRIX(AD3,D3,H3,AE3)</f>
        <v>#VALUE!</v>
      </c>
      <c r="J3" s="122" t="e">
        <f ca="1">_xll.INSTRUMENT.DV01(AD3,,,I3,cContinuous,I3)</f>
        <v>#VALUE!</v>
      </c>
      <c r="K3" s="123" t="e">
        <f ca="1">_xll.INSTRUMENT.CONVEXITE(AD3,,,I3,cContinuous,I3)</f>
        <v>#VALUE!</v>
      </c>
      <c r="L3" s="123" t="e">
        <f ca="1">_xll.INSTRUMENT.Z.SPREAD(AD3,swapCurve,I3,,D3)</f>
        <v>#VALUE!</v>
      </c>
      <c r="M3" s="123" t="e">
        <f ca="1">_xll.INSTRUMENT.Z.SPREAD(AD3,ustCurve,I3,,D3)</f>
        <v>#VALUE!</v>
      </c>
      <c r="N3" s="123" t="e">
        <f ca="1">_xll.INSTRUMENT.Z.SPREAD(AD3,oisCurve,I3,,D3)</f>
        <v>#VALUE!</v>
      </c>
      <c r="O3" s="124" t="e">
        <f ca="1">1/_xll.CALENDRIER.FRAC.ANNEE(_xll.INSTRUMENT.DATE.REGLEMENT($AD3,,),_xll.INSTRUMENT.DATE.REGLEMENT($AD3,_xll.CALENDRIER.GAP.FINANCE(TODAY(),"1M","AUD","Unadjusted"),),"ACT/365")*(_xll.INSTRUMENT.ROLL.DOWN($AD3,swapCurve,_xll.CALENDRIER.GAP.FINANCE(TODAY(),"1M","AUD","Unadjusted",TRUE),$L3)+100*$Z3*_xll.CALENDRIER.FRAC.ANNEE(_xll.INSTRUMENT.DATE.REGLEMENT($AD3,,),_xll.INSTRUMENT.DATE.REGLEMENT($AD3,_xll.CALENDRIER.GAP.FINANCE(TODAY(),"1M","AUD","Unadjusted"),),"ACT/365")-$I3)/$I3</f>
        <v>#NAME?</v>
      </c>
      <c r="P3" s="124" t="e">
        <f ca="1">1/_xll.CALENDRIER.FRAC.ANNEE(_xll.INSTRUMENT.DATE.REGLEMENT($AD3,,),_xll.INSTRUMENT.DATE.REGLEMENT($AD3,_xll.CALENDRIER.GAP.FINANCE(TODAY(),"3M","AUD","Unadjusted"),),"ACT/365")*(_xll.INSTRUMENT.ROLL.DOWN($AD3,swapCurve,_xll.CALENDRIER.GAP.FINANCE(TODAY(),"3M","AUD","Unadjusted",TRUE),$L3)+100*$Z3*_xll.CALENDRIER.FRAC.ANNEE(_xll.INSTRUMENT.DATE.REGLEMENT($AD3,,),_xll.INSTRUMENT.DATE.REGLEMENT($AD3,_xll.CALENDRIER.GAP.FINANCE(TODAY(),"3M","AUD","Unadjusted"),),"ACT/365")-$I3)/$I3</f>
        <v>#NAME?</v>
      </c>
      <c r="Q3" s="143" t="e">
        <f t="shared" ca="1" si="1"/>
        <v>#VALUE!</v>
      </c>
      <c r="R3" s="191" t="str">
        <f>IF(F3&lt;&gt;"","",IF(G3="","",-G3*(SUMIF('raw Data'!$A:$A,"RESINV1USD",'raw Data'!$G:$G)+SUMIF('raw Data'!$A:$A,"RESSWAPORUSD",'raw Data'!$G:$G))/(36500*J3)))</f>
        <v/>
      </c>
      <c r="S3" s="202" t="str">
        <f>IF(G3&lt;&gt;"","",IF(F3="","",-36500*J3*F3/(SUMIF('raw Data'!$A:$A,"RESINV1USD",'raw Data'!$G:$G)+SUMIF('raw Data'!$A:$A,"RESSWAPORUSD",'raw Data'!$G:$G))))</f>
        <v/>
      </c>
      <c r="T3" s="125">
        <f>SUMIF('raw Data'!$E:$E,A3,'raw Data'!$N:$N)</f>
        <v>0</v>
      </c>
      <c r="U3" s="126" t="e">
        <f ca="1">VALUE(_xll.BDP($A3 &amp; " Corp",U$1))</f>
        <v>#NAME?</v>
      </c>
      <c r="V3" s="127" t="e">
        <f ca="1">VALUE(_xll.BDP($A3 &amp; " Corp",V$1))</f>
        <v>#NAME?</v>
      </c>
      <c r="W3" s="127" t="e">
        <f ca="1">VALUE(_xll.BDP($A3 &amp; " Corp",W$1))</f>
        <v>#NAME?</v>
      </c>
      <c r="X3" s="127" t="e">
        <f ca="1">VALUE(_xll.BDP($A3 &amp; " Corp",X$1))</f>
        <v>#NAME?</v>
      </c>
      <c r="Y3" s="127" t="e">
        <f ca="1">VALUE(_xll.BDP($A3 &amp; " Corp",Y$1))</f>
        <v>#NAME?</v>
      </c>
      <c r="Z3" s="128" t="e">
        <f ca="1">_xll.BDP($A3 &amp; " Corp",Z$1)/100</f>
        <v>#NAME?</v>
      </c>
      <c r="AA3" s="129" t="e">
        <f ca="1">_xll.BDP($A3 &amp; " Corp",AA$1)</f>
        <v>#NAME?</v>
      </c>
      <c r="AB3" s="129" t="e">
        <f ca="1">_xll.BDP($A3 &amp; " Corp",AB$1)</f>
        <v>#NAME?</v>
      </c>
      <c r="AC3" s="129" t="e">
        <f ca="1">_xll.BDP($A3 &amp; " Corp",AC$1)</f>
        <v>#NAME?</v>
      </c>
      <c r="AD3" s="130" t="e">
        <f ca="1">_xll.INSTANCE.YANKEE(A3,U3,V3,W3,X3,Y3,Z3,AA3,LEFT(AC3,11),3,IF(RIGHT(AC3,6)="NONEOM",FALSE,TRUE),TODAY())</f>
        <v>#VALUE!</v>
      </c>
      <c r="AE3" s="130" t="e">
        <f ca="1">_xll.INSTANCE.CONVENTION.TAUX("conv_" &amp; A3,LEFT(AC3,11),"Compounded",IF(AA3=1,"Annual",IF(AA3=2,"Semi-Annual","")),"Unadjusted",TODAY())</f>
        <v>#VALUE!</v>
      </c>
    </row>
    <row r="4" spans="1:31" x14ac:dyDescent="0.35">
      <c r="A4" s="131" t="s">
        <v>694</v>
      </c>
      <c r="B4" s="115" t="e">
        <f ca="1">_xll.BDP($A4 &amp; " Govt",B$1)</f>
        <v>#NAME?</v>
      </c>
      <c r="C4" s="201" t="e">
        <f t="shared" ca="1" si="0"/>
        <v>#NAME?</v>
      </c>
      <c r="D4" s="116"/>
      <c r="E4" s="117"/>
      <c r="F4" s="118"/>
      <c r="G4" s="119"/>
      <c r="H4" s="120" t="e">
        <f ca="1">IF(E4="",_xll.BDP(A4 &amp; " Corp","YLD_YTM_BID")/100,E4)</f>
        <v>#NAME?</v>
      </c>
      <c r="I4" s="121" t="e">
        <f ca="1">_xll.INSTRUMENT.PRIX(AD4,D4,H4,AE4)</f>
        <v>#VALUE!</v>
      </c>
      <c r="J4" s="122" t="e">
        <f ca="1">_xll.INSTRUMENT.DV01(AD4,,,I4,cContinuous,I4)</f>
        <v>#VALUE!</v>
      </c>
      <c r="K4" s="123" t="e">
        <f ca="1">_xll.INSTRUMENT.CONVEXITE(AD4,,,I4,cContinuous,I4)</f>
        <v>#VALUE!</v>
      </c>
      <c r="L4" s="123" t="e">
        <f ca="1">_xll.INSTRUMENT.Z.SPREAD(AD4,swapCurve,I4,,D4)</f>
        <v>#VALUE!</v>
      </c>
      <c r="M4" s="123" t="e">
        <f ca="1">_xll.INSTRUMENT.Z.SPREAD(AD4,ustCurve,I4,,D4)</f>
        <v>#VALUE!</v>
      </c>
      <c r="N4" s="123" t="e">
        <f ca="1">_xll.INSTRUMENT.Z.SPREAD(AD4,oisCurve,I4,,D4)</f>
        <v>#VALUE!</v>
      </c>
      <c r="O4" s="124" t="e">
        <f ca="1">1/_xll.CALENDRIER.FRAC.ANNEE(_xll.INSTRUMENT.DATE.REGLEMENT($AD4,,),_xll.INSTRUMENT.DATE.REGLEMENT($AD4,_xll.CALENDRIER.GAP.FINANCE(TODAY(),"1M","AUD","Unadjusted"),),"ACT/365")*(_xll.INSTRUMENT.ROLL.DOWN($AD4,swapCurve,_xll.CALENDRIER.GAP.FINANCE(TODAY(),"1M","AUD","Unadjusted",TRUE),$L4)+100*$Z4*_xll.CALENDRIER.FRAC.ANNEE(_xll.INSTRUMENT.DATE.REGLEMENT($AD4,,),_xll.INSTRUMENT.DATE.REGLEMENT($AD4,_xll.CALENDRIER.GAP.FINANCE(TODAY(),"1M","AUD","Unadjusted"),),"ACT/365")-$I4)/$I4</f>
        <v>#NAME?</v>
      </c>
      <c r="P4" s="124" t="e">
        <f ca="1">1/_xll.CALENDRIER.FRAC.ANNEE(_xll.INSTRUMENT.DATE.REGLEMENT($AD4,,),_xll.INSTRUMENT.DATE.REGLEMENT($AD4,_xll.CALENDRIER.GAP.FINANCE(TODAY(),"3M","AUD","Unadjusted"),),"ACT/365")*(_xll.INSTRUMENT.ROLL.DOWN($AD4,swapCurve,_xll.CALENDRIER.GAP.FINANCE(TODAY(),"3M","AUD","Unadjusted",TRUE),$L4)+100*$Z4*_xll.CALENDRIER.FRAC.ANNEE(_xll.INSTRUMENT.DATE.REGLEMENT($AD4,,),_xll.INSTRUMENT.DATE.REGLEMENT($AD4,_xll.CALENDRIER.GAP.FINANCE(TODAY(),"3M","AUD","Unadjusted"),),"ACT/365")-$I4)/$I4</f>
        <v>#NAME?</v>
      </c>
      <c r="Q4" s="143" t="e">
        <f t="shared" ca="1" si="1"/>
        <v>#VALUE!</v>
      </c>
      <c r="R4" s="191" t="str">
        <f>IF(F4&lt;&gt;"","",IF(G4="","",-G4*(SUMIF('raw Data'!$A:$A,"RESINV1USD",'raw Data'!$G:$G)+SUMIF('raw Data'!$A:$A,"RESSWAPORUSD",'raw Data'!$G:$G))/(36500*J4)))</f>
        <v/>
      </c>
      <c r="S4" s="202" t="str">
        <f>IF(G4&lt;&gt;"","",IF(F4="","",-36500*J4*F4/(SUMIF('raw Data'!$A:$A,"RESINV1USD",'raw Data'!$G:$G)+SUMIF('raw Data'!$A:$A,"RESSWAPORUSD",'raw Data'!$G:$G))))</f>
        <v/>
      </c>
      <c r="T4" s="125">
        <f>SUMIF('raw Data'!$E:$E,A4,'raw Data'!$N:$N)</f>
        <v>0</v>
      </c>
      <c r="U4" s="126" t="e">
        <f ca="1">VALUE(_xll.BDP($A4 &amp; " Corp",U$1))</f>
        <v>#NAME?</v>
      </c>
      <c r="V4" s="127" t="e">
        <f ca="1">VALUE(_xll.BDP($A4 &amp; " Corp",V$1))</f>
        <v>#NAME?</v>
      </c>
      <c r="W4" s="127" t="e">
        <f ca="1">VALUE(_xll.BDP($A4 &amp; " Corp",W$1))</f>
        <v>#NAME?</v>
      </c>
      <c r="X4" s="127" t="e">
        <f ca="1">VALUE(_xll.BDP($A4 &amp; " Corp",X$1))</f>
        <v>#NAME?</v>
      </c>
      <c r="Y4" s="127" t="e">
        <f ca="1">VALUE(_xll.BDP($A4 &amp; " Corp",Y$1))</f>
        <v>#NAME?</v>
      </c>
      <c r="Z4" s="128" t="e">
        <f ca="1">_xll.BDP($A4 &amp; " Corp",Z$1)/100</f>
        <v>#NAME?</v>
      </c>
      <c r="AA4" s="129" t="e">
        <f ca="1">_xll.BDP($A4 &amp; " Corp",AA$1)</f>
        <v>#NAME?</v>
      </c>
      <c r="AB4" s="129" t="e">
        <f ca="1">_xll.BDP($A4 &amp; " Corp",AB$1)</f>
        <v>#NAME?</v>
      </c>
      <c r="AC4" s="129" t="e">
        <f ca="1">_xll.BDP($A4 &amp; " Corp",AC$1)</f>
        <v>#NAME?</v>
      </c>
      <c r="AD4" s="130" t="e">
        <f ca="1">_xll.INSTANCE.YANKEE(A4,U4,V4,W4,X4,Y4,Z4,AA4,LEFT(AC4,11),3,IF(RIGHT(AC4,6)="NONEOM",FALSE,TRUE),TODAY())</f>
        <v>#VALUE!</v>
      </c>
      <c r="AE4" s="130" t="e">
        <f ca="1">_xll.INSTANCE.CONVENTION.TAUX("conv_" &amp; A4,LEFT(AC4,11),"Compounded",IF(AA4=1,"Annual",IF(AA4=2,"Semi-Annual","")),"Unadjusted",TODAY())</f>
        <v>#VALUE!</v>
      </c>
    </row>
    <row r="5" spans="1:31" x14ac:dyDescent="0.35">
      <c r="A5" s="131" t="s">
        <v>692</v>
      </c>
      <c r="B5" s="115" t="e">
        <f ca="1">_xll.BDP($A5 &amp; " Govt",B$1)</f>
        <v>#NAME?</v>
      </c>
      <c r="C5" s="201" t="e">
        <f t="shared" ca="1" si="0"/>
        <v>#NAME?</v>
      </c>
      <c r="D5" s="116"/>
      <c r="E5" s="117"/>
      <c r="F5" s="118"/>
      <c r="G5" s="119"/>
      <c r="H5" s="120" t="e">
        <f ca="1">IF(E5="",_xll.BDP(A5 &amp; " Corp","YLD_YTM_BID")/100,E5)</f>
        <v>#NAME?</v>
      </c>
      <c r="I5" s="121" t="e">
        <f ca="1">_xll.INSTRUMENT.PRIX(AD5,D5,H5,AE5)</f>
        <v>#VALUE!</v>
      </c>
      <c r="J5" s="122" t="e">
        <f ca="1">_xll.INSTRUMENT.DV01(AD5,,,I5,cContinuous,I5)</f>
        <v>#VALUE!</v>
      </c>
      <c r="K5" s="123" t="e">
        <f ca="1">_xll.INSTRUMENT.CONVEXITE(AD5,,,I5,cContinuous,I5)</f>
        <v>#VALUE!</v>
      </c>
      <c r="L5" s="123" t="e">
        <f ca="1">_xll.INSTRUMENT.Z.SPREAD(AD5,swapCurve,I5,,D5)</f>
        <v>#VALUE!</v>
      </c>
      <c r="M5" s="123" t="e">
        <f ca="1">_xll.INSTRUMENT.Z.SPREAD(AD5,ustCurve,I5,,D5)</f>
        <v>#VALUE!</v>
      </c>
      <c r="N5" s="123" t="e">
        <f ca="1">_xll.INSTRUMENT.Z.SPREAD(AD5,oisCurve,I5,,D5)</f>
        <v>#VALUE!</v>
      </c>
      <c r="O5" s="124" t="e">
        <f ca="1">1/_xll.CALENDRIER.FRAC.ANNEE(_xll.INSTRUMENT.DATE.REGLEMENT($AD5,,),_xll.INSTRUMENT.DATE.REGLEMENT($AD5,_xll.CALENDRIER.GAP.FINANCE(TODAY(),"1M","AUD","Unadjusted"),),"ACT/365")*(_xll.INSTRUMENT.ROLL.DOWN($AD5,swapCurve,_xll.CALENDRIER.GAP.FINANCE(TODAY(),"1M","AUD","Unadjusted",TRUE),$L5)+100*$Z5*_xll.CALENDRIER.FRAC.ANNEE(_xll.INSTRUMENT.DATE.REGLEMENT($AD5,,),_xll.INSTRUMENT.DATE.REGLEMENT($AD5,_xll.CALENDRIER.GAP.FINANCE(TODAY(),"1M","AUD","Unadjusted"),),"ACT/365")-$I5)/$I5</f>
        <v>#NAME?</v>
      </c>
      <c r="P5" s="124" t="e">
        <f ca="1">1/_xll.CALENDRIER.FRAC.ANNEE(_xll.INSTRUMENT.DATE.REGLEMENT($AD5,,),_xll.INSTRUMENT.DATE.REGLEMENT($AD5,_xll.CALENDRIER.GAP.FINANCE(TODAY(),"3M","AUD","Unadjusted"),),"ACT/365")*(_xll.INSTRUMENT.ROLL.DOWN($AD5,swapCurve,_xll.CALENDRIER.GAP.FINANCE(TODAY(),"3M","AUD","Unadjusted",TRUE),$L5)+100*$Z5*_xll.CALENDRIER.FRAC.ANNEE(_xll.INSTRUMENT.DATE.REGLEMENT($AD5,,),_xll.INSTRUMENT.DATE.REGLEMENT($AD5,_xll.CALENDRIER.GAP.FINANCE(TODAY(),"3M","AUD","Unadjusted"),),"ACT/365")-$I5)/$I5</f>
        <v>#NAME?</v>
      </c>
      <c r="Q5" s="143" t="e">
        <f t="shared" ca="1" si="1"/>
        <v>#VALUE!</v>
      </c>
      <c r="R5" s="191" t="str">
        <f>IF(F5&lt;&gt;"","",IF(G5="","",-G5*(SUMIF('raw Data'!$A:$A,"RESINV1USD",'raw Data'!$G:$G)+SUMIF('raw Data'!$A:$A,"RESSWAPORUSD",'raw Data'!$G:$G))/(36500*J5)))</f>
        <v/>
      </c>
      <c r="S5" s="202" t="str">
        <f>IF(G5&lt;&gt;"","",IF(F5="","",-36500*J5*F5/(SUMIF('raw Data'!$A:$A,"RESINV1USD",'raw Data'!$G:$G)+SUMIF('raw Data'!$A:$A,"RESSWAPORUSD",'raw Data'!$G:$G))))</f>
        <v/>
      </c>
      <c r="T5" s="125">
        <f>SUMIF('raw Data'!$E:$E,A5,'raw Data'!$N:$N)</f>
        <v>0</v>
      </c>
      <c r="U5" s="126" t="e">
        <f ca="1">VALUE(_xll.BDP($A5 &amp; " Corp",U$1))</f>
        <v>#NAME?</v>
      </c>
      <c r="V5" s="127" t="e">
        <f ca="1">VALUE(_xll.BDP($A5 &amp; " Corp",V$1))</f>
        <v>#NAME?</v>
      </c>
      <c r="W5" s="127" t="e">
        <f ca="1">VALUE(_xll.BDP($A5 &amp; " Corp",W$1))</f>
        <v>#NAME?</v>
      </c>
      <c r="X5" s="127" t="e">
        <f ca="1">VALUE(_xll.BDP($A5 &amp; " Corp",X$1))</f>
        <v>#NAME?</v>
      </c>
      <c r="Y5" s="127" t="e">
        <f ca="1">VALUE(_xll.BDP($A5 &amp; " Corp",Y$1))</f>
        <v>#NAME?</v>
      </c>
      <c r="Z5" s="128" t="e">
        <f ca="1">_xll.BDP($A5 &amp; " Corp",Z$1)/100</f>
        <v>#NAME?</v>
      </c>
      <c r="AA5" s="129" t="e">
        <f ca="1">_xll.BDP($A5 &amp; " Corp",AA$1)</f>
        <v>#NAME?</v>
      </c>
      <c r="AB5" s="129" t="e">
        <f ca="1">_xll.BDP($A5 &amp; " Corp",AB$1)</f>
        <v>#NAME?</v>
      </c>
      <c r="AC5" s="129" t="e">
        <f ca="1">_xll.BDP($A5 &amp; " Corp",AC$1)</f>
        <v>#NAME?</v>
      </c>
      <c r="AD5" s="130" t="e">
        <f ca="1">_xll.INSTANCE.YANKEE(A5,U5,V5,W5,X5,Y5,Z5,AA5,LEFT(AC5,11),3,IF(RIGHT(AC5,6)="NONEOM",FALSE,TRUE),TODAY())</f>
        <v>#VALUE!</v>
      </c>
      <c r="AE5" s="130" t="e">
        <f ca="1">_xll.INSTANCE.CONVENTION.TAUX("conv_" &amp; A5,LEFT(AC5,11),"Compounded",IF(AA5=1,"Annual",IF(AA5=2,"Semi-Annual","")),"Unadjusted",TODAY())</f>
        <v>#VALUE!</v>
      </c>
    </row>
    <row r="6" spans="1:31" x14ac:dyDescent="0.35">
      <c r="A6" s="131" t="s">
        <v>371</v>
      </c>
      <c r="B6" s="115" t="e">
        <f ca="1">_xll.BDP($A6 &amp; " Govt",B$1)</f>
        <v>#NAME?</v>
      </c>
      <c r="C6" s="201" t="e">
        <f t="shared" ca="1" si="0"/>
        <v>#NAME?</v>
      </c>
      <c r="D6" s="116"/>
      <c r="E6" s="117"/>
      <c r="F6" s="118"/>
      <c r="G6" s="119"/>
      <c r="H6" s="120" t="e">
        <f ca="1">IF(E6="",_xll.BDP(A6 &amp; " Corp","YLD_YTM_BID")/100,E6)</f>
        <v>#NAME?</v>
      </c>
      <c r="I6" s="121" t="e">
        <f ca="1">_xll.INSTRUMENT.PRIX(AD6,D6,H6,AE6)</f>
        <v>#VALUE!</v>
      </c>
      <c r="J6" s="122" t="e">
        <f ca="1">_xll.INSTRUMENT.DV01(AD6,,,I6,cContinuous,I6)</f>
        <v>#VALUE!</v>
      </c>
      <c r="K6" s="123" t="e">
        <f ca="1">_xll.INSTRUMENT.CONVEXITE(AD6,,,I6,cContinuous,I6)</f>
        <v>#VALUE!</v>
      </c>
      <c r="L6" s="123" t="e">
        <f ca="1">_xll.INSTRUMENT.Z.SPREAD(AD6,swapCurve,I6,,D6)</f>
        <v>#VALUE!</v>
      </c>
      <c r="M6" s="123" t="e">
        <f ca="1">_xll.INSTRUMENT.Z.SPREAD(AD6,ustCurve,I6,,D6)</f>
        <v>#VALUE!</v>
      </c>
      <c r="N6" s="123" t="e">
        <f ca="1">_xll.INSTRUMENT.Z.SPREAD(AD6,oisCurve,I6,,D6)</f>
        <v>#VALUE!</v>
      </c>
      <c r="O6" s="124" t="e">
        <f ca="1">1/_xll.CALENDRIER.FRAC.ANNEE(_xll.INSTRUMENT.DATE.REGLEMENT($AD6,,),_xll.INSTRUMENT.DATE.REGLEMENT($AD6,_xll.CALENDRIER.GAP.FINANCE(TODAY(),"1M","AUD","Unadjusted"),),"ACT/365")*(_xll.INSTRUMENT.ROLL.DOWN($AD6,swapCurve,_xll.CALENDRIER.GAP.FINANCE(TODAY(),"1M","AUD","Unadjusted",TRUE),$L6)+100*$Z6*_xll.CALENDRIER.FRAC.ANNEE(_xll.INSTRUMENT.DATE.REGLEMENT($AD6,,),_xll.INSTRUMENT.DATE.REGLEMENT($AD6,_xll.CALENDRIER.GAP.FINANCE(TODAY(),"1M","AUD","Unadjusted"),),"ACT/365")-$I6)/$I6</f>
        <v>#NAME?</v>
      </c>
      <c r="P6" s="124" t="e">
        <f ca="1">1/_xll.CALENDRIER.FRAC.ANNEE(_xll.INSTRUMENT.DATE.REGLEMENT($AD6,,),_xll.INSTRUMENT.DATE.REGLEMENT($AD6,_xll.CALENDRIER.GAP.FINANCE(TODAY(),"3M","AUD","Unadjusted"),),"ACT/365")*(_xll.INSTRUMENT.ROLL.DOWN($AD6,swapCurve,_xll.CALENDRIER.GAP.FINANCE(TODAY(),"3M","AUD","Unadjusted",TRUE),$L6)+100*$Z6*_xll.CALENDRIER.FRAC.ANNEE(_xll.INSTRUMENT.DATE.REGLEMENT($AD6,,),_xll.INSTRUMENT.DATE.REGLEMENT($AD6,_xll.CALENDRIER.GAP.FINANCE(TODAY(),"3M","AUD","Unadjusted"),),"ACT/365")-$I6)/$I6</f>
        <v>#NAME?</v>
      </c>
      <c r="Q6" s="143" t="e">
        <f t="shared" ca="1" si="1"/>
        <v>#VALUE!</v>
      </c>
      <c r="R6" s="191" t="str">
        <f>IF(F6&lt;&gt;"","",IF(G6="","",-G6*(SUMIF('raw Data'!$A:$A,"RESINV1USD",'raw Data'!$G:$G)+SUMIF('raw Data'!$A:$A,"RESSWAPORUSD",'raw Data'!$G:$G))/(36500*J6)))</f>
        <v/>
      </c>
      <c r="S6" s="202" t="str">
        <f>IF(G6&lt;&gt;"","",IF(F6="","",-36500*J6*F6/(SUMIF('raw Data'!$A:$A,"RESINV1USD",'raw Data'!$G:$G)+SUMIF('raw Data'!$A:$A,"RESSWAPORUSD",'raw Data'!$G:$G))))</f>
        <v/>
      </c>
      <c r="T6" s="125">
        <f>SUMIF('raw Data'!$E:$E,A6,'raw Data'!$N:$N)</f>
        <v>37000</v>
      </c>
      <c r="U6" s="126" t="e">
        <f ca="1">VALUE(_xll.BDP($A6 &amp; " Corp",U$1))</f>
        <v>#NAME?</v>
      </c>
      <c r="V6" s="127" t="e">
        <f ca="1">VALUE(_xll.BDP($A6 &amp; " Corp",V$1))</f>
        <v>#NAME?</v>
      </c>
      <c r="W6" s="127" t="e">
        <f ca="1">VALUE(_xll.BDP($A6 &amp; " Corp",W$1))</f>
        <v>#NAME?</v>
      </c>
      <c r="X6" s="127" t="e">
        <f ca="1">VALUE(_xll.BDP($A6 &amp; " Corp",X$1))</f>
        <v>#NAME?</v>
      </c>
      <c r="Y6" s="127" t="e">
        <f ca="1">VALUE(_xll.BDP($A6 &amp; " Corp",Y$1))</f>
        <v>#NAME?</v>
      </c>
      <c r="Z6" s="128" t="e">
        <f ca="1">_xll.BDP($A6 &amp; " Corp",Z$1)/100</f>
        <v>#NAME?</v>
      </c>
      <c r="AA6" s="129" t="e">
        <f ca="1">_xll.BDP($A6 &amp; " Corp",AA$1)</f>
        <v>#NAME?</v>
      </c>
      <c r="AB6" s="129" t="e">
        <f ca="1">_xll.BDP($A6 &amp; " Corp",AB$1)</f>
        <v>#NAME?</v>
      </c>
      <c r="AC6" s="129" t="e">
        <f ca="1">_xll.BDP($A6 &amp; " Corp",AC$1)</f>
        <v>#NAME?</v>
      </c>
      <c r="AD6" s="130" t="e">
        <f ca="1">_xll.INSTANCE.YANKEE(A6,U6,V6,W6,X6,Y6,Z6,AA6,LEFT(AC6,11),3,IF(RIGHT(AC6,6)="NONEOM",FALSE,TRUE),TODAY())</f>
        <v>#VALUE!</v>
      </c>
      <c r="AE6" s="130" t="e">
        <f ca="1">_xll.INSTANCE.CONVENTION.TAUX("conv_" &amp; A6,LEFT(AC6,11),"Compounded",IF(AA6=1,"Annual",IF(AA6=2,"Semi-Annual","")),"Unadjusted",TODAY())</f>
        <v>#VALUE!</v>
      </c>
    </row>
    <row r="7" spans="1:31" x14ac:dyDescent="0.35">
      <c r="A7" s="131" t="s">
        <v>700</v>
      </c>
      <c r="B7" s="115" t="e">
        <f ca="1">_xll.BDP($A7 &amp; " Govt",B$1)</f>
        <v>#NAME?</v>
      </c>
      <c r="C7" s="201" t="e">
        <f t="shared" ca="1" si="0"/>
        <v>#NAME?</v>
      </c>
      <c r="D7" s="116"/>
      <c r="E7" s="117"/>
      <c r="F7" s="118"/>
      <c r="G7" s="119"/>
      <c r="H7" s="120" t="e">
        <f ca="1">IF(E7="",_xll.BDP(A7 &amp; " Corp","YLD_YTM_BID")/100,E7)</f>
        <v>#NAME?</v>
      </c>
      <c r="I7" s="121" t="e">
        <f ca="1">_xll.INSTRUMENT.PRIX(AD7,D7,H7,AE7)</f>
        <v>#VALUE!</v>
      </c>
      <c r="J7" s="122" t="e">
        <f ca="1">_xll.INSTRUMENT.DV01(AD7,,,I7,cContinuous,I7)</f>
        <v>#VALUE!</v>
      </c>
      <c r="K7" s="123" t="e">
        <f ca="1">_xll.INSTRUMENT.CONVEXITE(AD7,,,I7,cContinuous,I7)</f>
        <v>#VALUE!</v>
      </c>
      <c r="L7" s="123" t="e">
        <f ca="1">_xll.INSTRUMENT.Z.SPREAD(AD7,swapCurve,I7,,D7)</f>
        <v>#VALUE!</v>
      </c>
      <c r="M7" s="123" t="e">
        <f ca="1">_xll.INSTRUMENT.Z.SPREAD(AD7,ustCurve,I7,,D7)</f>
        <v>#VALUE!</v>
      </c>
      <c r="N7" s="123" t="e">
        <f ca="1">_xll.INSTRUMENT.Z.SPREAD(AD7,oisCurve,I7,,D7)</f>
        <v>#VALUE!</v>
      </c>
      <c r="O7" s="124" t="e">
        <f ca="1">1/_xll.CALENDRIER.FRAC.ANNEE(_xll.INSTRUMENT.DATE.REGLEMENT($AD7,,),_xll.INSTRUMENT.DATE.REGLEMENT($AD7,_xll.CALENDRIER.GAP.FINANCE(TODAY(),"1M","AUD","Unadjusted"),),"ACT/365")*(_xll.INSTRUMENT.ROLL.DOWN($AD7,swapCurve,_xll.CALENDRIER.GAP.FINANCE(TODAY(),"1M","AUD","Unadjusted",TRUE),$L7)+100*$Z7*_xll.CALENDRIER.FRAC.ANNEE(_xll.INSTRUMENT.DATE.REGLEMENT($AD7,,),_xll.INSTRUMENT.DATE.REGLEMENT($AD7,_xll.CALENDRIER.GAP.FINANCE(TODAY(),"1M","AUD","Unadjusted"),),"ACT/365")-$I7)/$I7</f>
        <v>#NAME?</v>
      </c>
      <c r="P7" s="124" t="e">
        <f ca="1">1/_xll.CALENDRIER.FRAC.ANNEE(_xll.INSTRUMENT.DATE.REGLEMENT($AD7,,),_xll.INSTRUMENT.DATE.REGLEMENT($AD7,_xll.CALENDRIER.GAP.FINANCE(TODAY(),"3M","AUD","Unadjusted"),),"ACT/365")*(_xll.INSTRUMENT.ROLL.DOWN($AD7,swapCurve,_xll.CALENDRIER.GAP.FINANCE(TODAY(),"3M","AUD","Unadjusted",TRUE),$L7)+100*$Z7*_xll.CALENDRIER.FRAC.ANNEE(_xll.INSTRUMENT.DATE.REGLEMENT($AD7,,),_xll.INSTRUMENT.DATE.REGLEMENT($AD7,_xll.CALENDRIER.GAP.FINANCE(TODAY(),"3M","AUD","Unadjusted"),),"ACT/365")-$I7)/$I7</f>
        <v>#NAME?</v>
      </c>
      <c r="Q7" s="143" t="e">
        <f t="shared" ca="1" si="1"/>
        <v>#VALUE!</v>
      </c>
      <c r="R7" s="191" t="str">
        <f>IF(F7&lt;&gt;"","",IF(G7="","",-G7*(SUMIF('raw Data'!$A:$A,"RESINV1USD",'raw Data'!$G:$G)+SUMIF('raw Data'!$A:$A,"RESSWAPORUSD",'raw Data'!$G:$G))/(36500*J7)))</f>
        <v/>
      </c>
      <c r="S7" s="202" t="str">
        <f>IF(G7&lt;&gt;"","",IF(F7="","",-36500*J7*F7/(SUMIF('raw Data'!$A:$A,"RESINV1USD",'raw Data'!$G:$G)+SUMIF('raw Data'!$A:$A,"RESSWAPORUSD",'raw Data'!$G:$G))))</f>
        <v/>
      </c>
      <c r="T7" s="125">
        <f>SUMIF('raw Data'!$E:$E,A7,'raw Data'!$N:$N)</f>
        <v>0</v>
      </c>
      <c r="U7" s="126" t="e">
        <f ca="1">VALUE(_xll.BDP($A7 &amp; " Corp",U$1))</f>
        <v>#NAME?</v>
      </c>
      <c r="V7" s="127" t="e">
        <f ca="1">VALUE(_xll.BDP($A7 &amp; " Corp",V$1))</f>
        <v>#NAME?</v>
      </c>
      <c r="W7" s="127" t="e">
        <f ca="1">VALUE(_xll.BDP($A7 &amp; " Corp",W$1))</f>
        <v>#NAME?</v>
      </c>
      <c r="X7" s="127" t="e">
        <f ca="1">VALUE(_xll.BDP($A7 &amp; " Corp",X$1))</f>
        <v>#NAME?</v>
      </c>
      <c r="Y7" s="127" t="e">
        <f ca="1">VALUE(_xll.BDP($A7 &amp; " Corp",Y$1))</f>
        <v>#NAME?</v>
      </c>
      <c r="Z7" s="128" t="e">
        <f ca="1">_xll.BDP($A7 &amp; " Corp",Z$1)/100</f>
        <v>#NAME?</v>
      </c>
      <c r="AA7" s="129" t="e">
        <f ca="1">_xll.BDP($A7 &amp; " Corp",AA$1)</f>
        <v>#NAME?</v>
      </c>
      <c r="AB7" s="129" t="e">
        <f ca="1">_xll.BDP($A7 &amp; " Corp",AB$1)</f>
        <v>#NAME?</v>
      </c>
      <c r="AC7" s="129" t="e">
        <f ca="1">_xll.BDP($A7 &amp; " Corp",AC$1)</f>
        <v>#NAME?</v>
      </c>
      <c r="AD7" s="130" t="e">
        <f ca="1">_xll.INSTANCE.YANKEE(A7,U7,V7,W7,X7,Y7,Z7,AA7,LEFT(AC7,11),3,IF(RIGHT(AC7,6)="NONEOM",FALSE,TRUE),TODAY())</f>
        <v>#VALUE!</v>
      </c>
      <c r="AE7" s="130" t="e">
        <f ca="1">_xll.INSTANCE.CONVENTION.TAUX("conv_" &amp; A7,LEFT(AC7,11),"Compounded",IF(AA7=1,"Annual",IF(AA7=2,"Semi-Annual","")),"Unadjusted",TODAY())</f>
        <v>#VALUE!</v>
      </c>
    </row>
    <row r="8" spans="1:31" x14ac:dyDescent="0.35">
      <c r="A8" s="131" t="s">
        <v>696</v>
      </c>
      <c r="B8" s="115" t="e">
        <f ca="1">_xll.BDP($A8 &amp; " Govt",B$1)</f>
        <v>#NAME?</v>
      </c>
      <c r="C8" s="201" t="e">
        <f t="shared" ca="1" si="0"/>
        <v>#NAME?</v>
      </c>
      <c r="D8" s="116"/>
      <c r="E8" s="117"/>
      <c r="F8" s="118"/>
      <c r="G8" s="119"/>
      <c r="H8" s="120" t="e">
        <f ca="1">IF(E8="",_xll.BDP(A8 &amp; " Corp","YLD_YTM_BID")/100,E8)</f>
        <v>#NAME?</v>
      </c>
      <c r="I8" s="121" t="e">
        <f ca="1">_xll.INSTRUMENT.PRIX(AD8,D8,H8,AE8)</f>
        <v>#VALUE!</v>
      </c>
      <c r="J8" s="122" t="e">
        <f ca="1">_xll.INSTRUMENT.DV01(AD8,,,I8,cContinuous,I8)</f>
        <v>#VALUE!</v>
      </c>
      <c r="K8" s="123" t="e">
        <f ca="1">_xll.INSTRUMENT.CONVEXITE(AD8,,,I8,cContinuous,I8)</f>
        <v>#VALUE!</v>
      </c>
      <c r="L8" s="123" t="e">
        <f ca="1">_xll.INSTRUMENT.Z.SPREAD(AD8,swapCurve,I8,,D8)</f>
        <v>#VALUE!</v>
      </c>
      <c r="M8" s="123" t="e">
        <f ca="1">_xll.INSTRUMENT.Z.SPREAD(AD8,ustCurve,I8,,D8)</f>
        <v>#VALUE!</v>
      </c>
      <c r="N8" s="123" t="e">
        <f ca="1">_xll.INSTRUMENT.Z.SPREAD(AD8,oisCurve,I8,,D8)</f>
        <v>#VALUE!</v>
      </c>
      <c r="O8" s="124" t="e">
        <f ca="1">1/_xll.CALENDRIER.FRAC.ANNEE(_xll.INSTRUMENT.DATE.REGLEMENT($AD8,,),_xll.INSTRUMENT.DATE.REGLEMENT($AD8,_xll.CALENDRIER.GAP.FINANCE(TODAY(),"1M","AUD","Unadjusted"),),"ACT/365")*(_xll.INSTRUMENT.ROLL.DOWN($AD8,swapCurve,_xll.CALENDRIER.GAP.FINANCE(TODAY(),"1M","AUD","Unadjusted",TRUE),$L8)+100*$Z8*_xll.CALENDRIER.FRAC.ANNEE(_xll.INSTRUMENT.DATE.REGLEMENT($AD8,,),_xll.INSTRUMENT.DATE.REGLEMENT($AD8,_xll.CALENDRIER.GAP.FINANCE(TODAY(),"1M","AUD","Unadjusted"),),"ACT/365")-$I8)/$I8</f>
        <v>#NAME?</v>
      </c>
      <c r="P8" s="124" t="e">
        <f ca="1">1/_xll.CALENDRIER.FRAC.ANNEE(_xll.INSTRUMENT.DATE.REGLEMENT($AD8,,),_xll.INSTRUMENT.DATE.REGLEMENT($AD8,_xll.CALENDRIER.GAP.FINANCE(TODAY(),"3M","AUD","Unadjusted"),),"ACT/365")*(_xll.INSTRUMENT.ROLL.DOWN($AD8,swapCurve,_xll.CALENDRIER.GAP.FINANCE(TODAY(),"3M","AUD","Unadjusted",TRUE),$L8)+100*$Z8*_xll.CALENDRIER.FRAC.ANNEE(_xll.INSTRUMENT.DATE.REGLEMENT($AD8,,),_xll.INSTRUMENT.DATE.REGLEMENT($AD8,_xll.CALENDRIER.GAP.FINANCE(TODAY(),"3M","AUD","Unadjusted"),),"ACT/365")-$I8)/$I8</f>
        <v>#NAME?</v>
      </c>
      <c r="Q8" s="143" t="e">
        <f t="shared" ca="1" si="1"/>
        <v>#VALUE!</v>
      </c>
      <c r="R8" s="191" t="str">
        <f>IF(F8&lt;&gt;"","",IF(G8="","",-G8*(SUMIF('raw Data'!$A:$A,"RESINV1USD",'raw Data'!$G:$G)+SUMIF('raw Data'!$A:$A,"RESSWAPORUSD",'raw Data'!$G:$G))/(36500*J8)))</f>
        <v/>
      </c>
      <c r="S8" s="202" t="str">
        <f>IF(G8&lt;&gt;"","",IF(F8="","",-36500*J8*F8/(SUMIF('raw Data'!$A:$A,"RESINV1USD",'raw Data'!$G:$G)+SUMIF('raw Data'!$A:$A,"RESSWAPORUSD",'raw Data'!$G:$G))))</f>
        <v/>
      </c>
      <c r="T8" s="125">
        <f>SUMIF('raw Data'!$E:$E,A8,'raw Data'!$N:$N)</f>
        <v>0</v>
      </c>
      <c r="U8" s="126" t="e">
        <f ca="1">VALUE(_xll.BDP($A8 &amp; " Corp",U$1))</f>
        <v>#NAME?</v>
      </c>
      <c r="V8" s="127" t="e">
        <f ca="1">VALUE(_xll.BDP($A8 &amp; " Corp",V$1))</f>
        <v>#NAME?</v>
      </c>
      <c r="W8" s="127" t="e">
        <f ca="1">VALUE(_xll.BDP($A8 &amp; " Corp",W$1))</f>
        <v>#NAME?</v>
      </c>
      <c r="X8" s="127" t="e">
        <f ca="1">VALUE(_xll.BDP($A8 &amp; " Corp",X$1))</f>
        <v>#NAME?</v>
      </c>
      <c r="Y8" s="127" t="e">
        <f ca="1">VALUE(_xll.BDP($A8 &amp; " Corp",Y$1))</f>
        <v>#NAME?</v>
      </c>
      <c r="Z8" s="128" t="e">
        <f ca="1">_xll.BDP($A8 &amp; " Corp",Z$1)/100</f>
        <v>#NAME?</v>
      </c>
      <c r="AA8" s="129" t="e">
        <f ca="1">_xll.BDP($A8 &amp; " Corp",AA$1)</f>
        <v>#NAME?</v>
      </c>
      <c r="AB8" s="129" t="e">
        <f ca="1">_xll.BDP($A8 &amp; " Corp",AB$1)</f>
        <v>#NAME?</v>
      </c>
      <c r="AC8" s="129" t="e">
        <f ca="1">_xll.BDP($A8 &amp; " Corp",AC$1)</f>
        <v>#NAME?</v>
      </c>
      <c r="AD8" s="130" t="e">
        <f ca="1">_xll.INSTANCE.YANKEE(A8,U8,V8,W8,X8,Y8,Z8,AA8,LEFT(AC8,11),3,IF(RIGHT(AC8,6)="NONEOM",FALSE,TRUE),TODAY())</f>
        <v>#VALUE!</v>
      </c>
      <c r="AE8" s="130" t="e">
        <f ca="1">_xll.INSTANCE.CONVENTION.TAUX("conv_" &amp; A8,LEFT(AC8,11),"Compounded",IF(AA8=1,"Annual",IF(AA8=2,"Semi-Annual","")),"Unadjusted",TODAY())</f>
        <v>#VALUE!</v>
      </c>
    </row>
    <row r="9" spans="1:31" x14ac:dyDescent="0.35">
      <c r="A9" s="131" t="s">
        <v>697</v>
      </c>
      <c r="B9" s="115" t="e">
        <f ca="1">_xll.BDP($A9 &amp; " Govt",B$1)</f>
        <v>#NAME?</v>
      </c>
      <c r="C9" s="201" t="e">
        <f t="shared" ca="1" si="0"/>
        <v>#NAME?</v>
      </c>
      <c r="D9" s="116"/>
      <c r="E9" s="117"/>
      <c r="F9" s="118"/>
      <c r="G9" s="119"/>
      <c r="H9" s="120" t="e">
        <f ca="1">IF(E9="",_xll.BDP(A9 &amp; " Corp","YLD_YTM_BID")/100,E9)</f>
        <v>#NAME?</v>
      </c>
      <c r="I9" s="121" t="e">
        <f ca="1">_xll.INSTRUMENT.PRIX(AD9,D9,H9,AE9)</f>
        <v>#VALUE!</v>
      </c>
      <c r="J9" s="122" t="e">
        <f ca="1">_xll.INSTRUMENT.DV01(AD9,,,I9,cContinuous,I9)</f>
        <v>#VALUE!</v>
      </c>
      <c r="K9" s="123" t="e">
        <f ca="1">_xll.INSTRUMENT.CONVEXITE(AD9,,,I9,cContinuous,I9)</f>
        <v>#VALUE!</v>
      </c>
      <c r="L9" s="123" t="e">
        <f ca="1">_xll.INSTRUMENT.Z.SPREAD(AD9,swapCurve,I9,,D9)</f>
        <v>#VALUE!</v>
      </c>
      <c r="M9" s="123" t="e">
        <f ca="1">_xll.INSTRUMENT.Z.SPREAD(AD9,ustCurve,I9,,D9)</f>
        <v>#VALUE!</v>
      </c>
      <c r="N9" s="123" t="e">
        <f ca="1">_xll.INSTRUMENT.Z.SPREAD(AD9,oisCurve,I9,,D9)</f>
        <v>#VALUE!</v>
      </c>
      <c r="O9" s="124" t="e">
        <f ca="1">1/_xll.CALENDRIER.FRAC.ANNEE(_xll.INSTRUMENT.DATE.REGLEMENT($AD9,,),_xll.INSTRUMENT.DATE.REGLEMENT($AD9,_xll.CALENDRIER.GAP.FINANCE(TODAY(),"1M","AUD","Unadjusted"),),"ACT/365")*(_xll.INSTRUMENT.ROLL.DOWN($AD9,swapCurve,_xll.CALENDRIER.GAP.FINANCE(TODAY(),"1M","AUD","Unadjusted",TRUE),$L9)+100*$Z9*_xll.CALENDRIER.FRAC.ANNEE(_xll.INSTRUMENT.DATE.REGLEMENT($AD9,,),_xll.INSTRUMENT.DATE.REGLEMENT($AD9,_xll.CALENDRIER.GAP.FINANCE(TODAY(),"1M","AUD","Unadjusted"),),"ACT/365")-$I9)/$I9</f>
        <v>#NAME?</v>
      </c>
      <c r="P9" s="124" t="e">
        <f ca="1">1/_xll.CALENDRIER.FRAC.ANNEE(_xll.INSTRUMENT.DATE.REGLEMENT($AD9,,),_xll.INSTRUMENT.DATE.REGLEMENT($AD9,_xll.CALENDRIER.GAP.FINANCE(TODAY(),"3M","AUD","Unadjusted"),),"ACT/365")*(_xll.INSTRUMENT.ROLL.DOWN($AD9,swapCurve,_xll.CALENDRIER.GAP.FINANCE(TODAY(),"3M","AUD","Unadjusted",TRUE),$L9)+100*$Z9*_xll.CALENDRIER.FRAC.ANNEE(_xll.INSTRUMENT.DATE.REGLEMENT($AD9,,),_xll.INSTRUMENT.DATE.REGLEMENT($AD9,_xll.CALENDRIER.GAP.FINANCE(TODAY(),"3M","AUD","Unadjusted"),),"ACT/365")-$I9)/$I9</f>
        <v>#NAME?</v>
      </c>
      <c r="Q9" s="143" t="e">
        <f t="shared" ca="1" si="1"/>
        <v>#VALUE!</v>
      </c>
      <c r="R9" s="191" t="str">
        <f>IF(F9&lt;&gt;"","",IF(G9="","",-G9*(SUMIF('raw Data'!$A:$A,"RESINV1USD",'raw Data'!$G:$G)+SUMIF('raw Data'!$A:$A,"RESSWAPORUSD",'raw Data'!$G:$G))/(36500*J9)))</f>
        <v/>
      </c>
      <c r="S9" s="202" t="str">
        <f>IF(G9&lt;&gt;"","",IF(F9="","",-36500*J9*F9/(SUMIF('raw Data'!$A:$A,"RESINV1USD",'raw Data'!$G:$G)+SUMIF('raw Data'!$A:$A,"RESSWAPORUSD",'raw Data'!$G:$G))))</f>
        <v/>
      </c>
      <c r="T9" s="125">
        <f>SUMIF('raw Data'!$E:$E,A9,'raw Data'!$N:$N)</f>
        <v>0</v>
      </c>
      <c r="U9" s="126" t="e">
        <f ca="1">VALUE(_xll.BDP($A9 &amp; " Corp",U$1))</f>
        <v>#NAME?</v>
      </c>
      <c r="V9" s="127" t="e">
        <f ca="1">VALUE(_xll.BDP($A9 &amp; " Corp",V$1))</f>
        <v>#NAME?</v>
      </c>
      <c r="W9" s="127" t="e">
        <f ca="1">VALUE(_xll.BDP($A9 &amp; " Corp",W$1))</f>
        <v>#NAME?</v>
      </c>
      <c r="X9" s="127" t="e">
        <f ca="1">VALUE(_xll.BDP($A9 &amp; " Corp",X$1))</f>
        <v>#NAME?</v>
      </c>
      <c r="Y9" s="127" t="e">
        <f ca="1">VALUE(_xll.BDP($A9 &amp; " Corp",Y$1))</f>
        <v>#NAME?</v>
      </c>
      <c r="Z9" s="128" t="e">
        <f ca="1">_xll.BDP($A9 &amp; " Corp",Z$1)/100</f>
        <v>#NAME?</v>
      </c>
      <c r="AA9" s="129" t="e">
        <f ca="1">_xll.BDP($A9 &amp; " Corp",AA$1)</f>
        <v>#NAME?</v>
      </c>
      <c r="AB9" s="129" t="e">
        <f ca="1">_xll.BDP($A9 &amp; " Corp",AB$1)</f>
        <v>#NAME?</v>
      </c>
      <c r="AC9" s="129" t="e">
        <f ca="1">_xll.BDP($A9 &amp; " Corp",AC$1)</f>
        <v>#NAME?</v>
      </c>
      <c r="AD9" s="130" t="e">
        <f ca="1">_xll.INSTANCE.YANKEE(A9,U9,V9,W9,X9,Y9,Z9,AA9,LEFT(AC9,11),3,IF(RIGHT(AC9,6)="NONEOM",FALSE,TRUE),TODAY())</f>
        <v>#VALUE!</v>
      </c>
      <c r="AE9" s="130" t="e">
        <f ca="1">_xll.INSTANCE.CONVENTION.TAUX("conv_" &amp; A9,LEFT(AC9,11),"Compounded",IF(AA9=1,"Annual",IF(AA9=2,"Semi-Annual","")),"Unadjusted",TODAY())</f>
        <v>#VALUE!</v>
      </c>
    </row>
    <row r="10" spans="1:31" x14ac:dyDescent="0.35">
      <c r="A10" s="131" t="s">
        <v>698</v>
      </c>
      <c r="B10" s="115" t="e">
        <f ca="1">_xll.BDP($A10 &amp; " Govt",B$1)</f>
        <v>#NAME?</v>
      </c>
      <c r="C10" s="201" t="e">
        <f t="shared" ca="1" si="0"/>
        <v>#NAME?</v>
      </c>
      <c r="D10" s="116"/>
      <c r="E10" s="117"/>
      <c r="F10" s="118"/>
      <c r="G10" s="119"/>
      <c r="H10" s="120" t="e">
        <f ca="1">IF(E10="",_xll.BDP(A10 &amp; " Corp","YLD_YTM_BID")/100,E10)</f>
        <v>#NAME?</v>
      </c>
      <c r="I10" s="121" t="e">
        <f ca="1">_xll.INSTRUMENT.PRIX(AD10,D10,H10,AE10)</f>
        <v>#VALUE!</v>
      </c>
      <c r="J10" s="122" t="e">
        <f ca="1">_xll.INSTRUMENT.DV01(AD10,,,I10,cContinuous,I10)</f>
        <v>#VALUE!</v>
      </c>
      <c r="K10" s="123" t="e">
        <f ca="1">_xll.INSTRUMENT.CONVEXITE(AD10,,,I10,cContinuous,I10)</f>
        <v>#VALUE!</v>
      </c>
      <c r="L10" s="123" t="e">
        <f ca="1">_xll.INSTRUMENT.Z.SPREAD(AD10,swapCurve,I10,,D10)</f>
        <v>#VALUE!</v>
      </c>
      <c r="M10" s="123" t="e">
        <f ca="1">_xll.INSTRUMENT.Z.SPREAD(AD10,ustCurve,I10,,D10)</f>
        <v>#VALUE!</v>
      </c>
      <c r="N10" s="123" t="e">
        <f ca="1">_xll.INSTRUMENT.Z.SPREAD(AD10,oisCurve,I10,,D10)</f>
        <v>#VALUE!</v>
      </c>
      <c r="O10" s="124" t="e">
        <f ca="1">1/_xll.CALENDRIER.FRAC.ANNEE(_xll.INSTRUMENT.DATE.REGLEMENT($AD10,,),_xll.INSTRUMENT.DATE.REGLEMENT($AD10,_xll.CALENDRIER.GAP.FINANCE(TODAY(),"1M","AUD","Unadjusted"),),"ACT/365")*(_xll.INSTRUMENT.ROLL.DOWN($AD10,swapCurve,_xll.CALENDRIER.GAP.FINANCE(TODAY(),"1M","AUD","Unadjusted",TRUE),$L10)+100*$Z10*_xll.CALENDRIER.FRAC.ANNEE(_xll.INSTRUMENT.DATE.REGLEMENT($AD10,,),_xll.INSTRUMENT.DATE.REGLEMENT($AD10,_xll.CALENDRIER.GAP.FINANCE(TODAY(),"1M","AUD","Unadjusted"),),"ACT/365")-$I10)/$I10</f>
        <v>#NAME?</v>
      </c>
      <c r="P10" s="124" t="e">
        <f ca="1">1/_xll.CALENDRIER.FRAC.ANNEE(_xll.INSTRUMENT.DATE.REGLEMENT($AD10,,),_xll.INSTRUMENT.DATE.REGLEMENT($AD10,_xll.CALENDRIER.GAP.FINANCE(TODAY(),"3M","AUD","Unadjusted"),),"ACT/365")*(_xll.INSTRUMENT.ROLL.DOWN($AD10,swapCurve,_xll.CALENDRIER.GAP.FINANCE(TODAY(),"3M","AUD","Unadjusted",TRUE),$L10)+100*$Z10*_xll.CALENDRIER.FRAC.ANNEE(_xll.INSTRUMENT.DATE.REGLEMENT($AD10,,),_xll.INSTRUMENT.DATE.REGLEMENT($AD10,_xll.CALENDRIER.GAP.FINANCE(TODAY(),"3M","AUD","Unadjusted"),),"ACT/365")-$I10)/$I10</f>
        <v>#NAME?</v>
      </c>
      <c r="Q10" s="143" t="e">
        <f t="shared" ca="1" si="1"/>
        <v>#VALUE!</v>
      </c>
      <c r="R10" s="191" t="str">
        <f>IF(F10&lt;&gt;"","",IF(G10="","",-G10*(SUMIF('raw Data'!$A:$A,"RESINV1USD",'raw Data'!$G:$G)+SUMIF('raw Data'!$A:$A,"RESSWAPORUSD",'raw Data'!$G:$G))/(36500*J10)))</f>
        <v/>
      </c>
      <c r="S10" s="202" t="str">
        <f>IF(G10&lt;&gt;"","",IF(F10="","",-36500*J10*F10/(SUMIF('raw Data'!$A:$A,"RESINV1USD",'raw Data'!$G:$G)+SUMIF('raw Data'!$A:$A,"RESSWAPORUSD",'raw Data'!$G:$G))))</f>
        <v/>
      </c>
      <c r="T10" s="125">
        <f>SUMIF('raw Data'!$E:$E,A10,'raw Data'!$N:$N)</f>
        <v>0</v>
      </c>
      <c r="U10" s="126" t="e">
        <f ca="1">VALUE(_xll.BDP($A10 &amp; " Corp",U$1))</f>
        <v>#NAME?</v>
      </c>
      <c r="V10" s="127" t="e">
        <f ca="1">VALUE(_xll.BDP($A10 &amp; " Corp",V$1))</f>
        <v>#NAME?</v>
      </c>
      <c r="W10" s="127" t="e">
        <f ca="1">VALUE(_xll.BDP($A10 &amp; " Corp",W$1))</f>
        <v>#NAME?</v>
      </c>
      <c r="X10" s="127" t="e">
        <f ca="1">VALUE(_xll.BDP($A10 &amp; " Corp",X$1))</f>
        <v>#NAME?</v>
      </c>
      <c r="Y10" s="127" t="e">
        <f ca="1">VALUE(_xll.BDP($A10 &amp; " Corp",Y$1))</f>
        <v>#NAME?</v>
      </c>
      <c r="Z10" s="128" t="e">
        <f ca="1">_xll.BDP($A10 &amp; " Corp",Z$1)/100</f>
        <v>#NAME?</v>
      </c>
      <c r="AA10" s="129" t="e">
        <f ca="1">_xll.BDP($A10 &amp; " Corp",AA$1)</f>
        <v>#NAME?</v>
      </c>
      <c r="AB10" s="129" t="e">
        <f ca="1">_xll.BDP($A10 &amp; " Corp",AB$1)</f>
        <v>#NAME?</v>
      </c>
      <c r="AC10" s="129" t="e">
        <f ca="1">_xll.BDP($A10 &amp; " Corp",AC$1)</f>
        <v>#NAME?</v>
      </c>
      <c r="AD10" s="130" t="e">
        <f ca="1">_xll.INSTANCE.YANKEE(A10,U10,V10,W10,X10,Y10,Z10,AA10,LEFT(AC10,11),3,IF(RIGHT(AC10,6)="NONEOM",FALSE,TRUE),TODAY())</f>
        <v>#VALUE!</v>
      </c>
      <c r="AE10" s="130" t="e">
        <f ca="1">_xll.INSTANCE.CONVENTION.TAUX("conv_" &amp; A10,LEFT(AC10,11),"Compounded",IF(AA10=1,"Annual",IF(AA10=2,"Semi-Annual","")),"Unadjusted",TODAY())</f>
        <v>#VALUE!</v>
      </c>
    </row>
    <row r="11" spans="1:31" x14ac:dyDescent="0.35">
      <c r="A11" s="131" t="s">
        <v>699</v>
      </c>
      <c r="B11" s="115" t="e">
        <f ca="1">_xll.BDP($A11 &amp; " Govt",B$1)</f>
        <v>#NAME?</v>
      </c>
      <c r="C11" s="201" t="e">
        <f t="shared" ca="1" si="0"/>
        <v>#NAME?</v>
      </c>
      <c r="D11" s="116"/>
      <c r="E11" s="117"/>
      <c r="F11" s="118"/>
      <c r="G11" s="119"/>
      <c r="H11" s="120" t="e">
        <f ca="1">IF(E11="",_xll.BDP(A11 &amp; " Corp","YLD_YTM_BID")/100,E11)</f>
        <v>#NAME?</v>
      </c>
      <c r="I11" s="121" t="e">
        <f ca="1">_xll.INSTRUMENT.PRIX(AD11,D11,H11,AE11)</f>
        <v>#VALUE!</v>
      </c>
      <c r="J11" s="122" t="e">
        <f ca="1">_xll.INSTRUMENT.DV01(AD11,,,I11,cContinuous,I11)</f>
        <v>#VALUE!</v>
      </c>
      <c r="K11" s="123" t="e">
        <f ca="1">_xll.INSTRUMENT.CONVEXITE(AD11,,,I11,cContinuous,I11)</f>
        <v>#VALUE!</v>
      </c>
      <c r="L11" s="123" t="e">
        <f ca="1">_xll.INSTRUMENT.Z.SPREAD(AD11,swapCurve,I11,,D11)</f>
        <v>#VALUE!</v>
      </c>
      <c r="M11" s="123" t="e">
        <f ca="1">_xll.INSTRUMENT.Z.SPREAD(AD11,ustCurve,I11,,D11)</f>
        <v>#VALUE!</v>
      </c>
      <c r="N11" s="123" t="e">
        <f ca="1">_xll.INSTRUMENT.Z.SPREAD(AD11,oisCurve,I11,,D11)</f>
        <v>#VALUE!</v>
      </c>
      <c r="O11" s="124" t="e">
        <f ca="1">1/_xll.CALENDRIER.FRAC.ANNEE(_xll.INSTRUMENT.DATE.REGLEMENT($AD11,,),_xll.INSTRUMENT.DATE.REGLEMENT($AD11,_xll.CALENDRIER.GAP.FINANCE(TODAY(),"1M","AUD","Unadjusted"),),"ACT/365")*(_xll.INSTRUMENT.ROLL.DOWN($AD11,swapCurve,_xll.CALENDRIER.GAP.FINANCE(TODAY(),"1M","AUD","Unadjusted",TRUE),$L11)+100*$Z11*_xll.CALENDRIER.FRAC.ANNEE(_xll.INSTRUMENT.DATE.REGLEMENT($AD11,,),_xll.INSTRUMENT.DATE.REGLEMENT($AD11,_xll.CALENDRIER.GAP.FINANCE(TODAY(),"1M","AUD","Unadjusted"),),"ACT/365")-$I11)/$I11</f>
        <v>#NAME?</v>
      </c>
      <c r="P11" s="124" t="e">
        <f ca="1">1/_xll.CALENDRIER.FRAC.ANNEE(_xll.INSTRUMENT.DATE.REGLEMENT($AD11,,),_xll.INSTRUMENT.DATE.REGLEMENT($AD11,_xll.CALENDRIER.GAP.FINANCE(TODAY(),"3M","AUD","Unadjusted"),),"ACT/365")*(_xll.INSTRUMENT.ROLL.DOWN($AD11,swapCurve,_xll.CALENDRIER.GAP.FINANCE(TODAY(),"3M","AUD","Unadjusted",TRUE),$L11)+100*$Z11*_xll.CALENDRIER.FRAC.ANNEE(_xll.INSTRUMENT.DATE.REGLEMENT($AD11,,),_xll.INSTRUMENT.DATE.REGLEMENT($AD11,_xll.CALENDRIER.GAP.FINANCE(TODAY(),"3M","AUD","Unadjusted"),),"ACT/365")-$I11)/$I11</f>
        <v>#NAME?</v>
      </c>
      <c r="Q11" s="143" t="e">
        <f t="shared" ca="1" si="1"/>
        <v>#VALUE!</v>
      </c>
      <c r="R11" s="191" t="str">
        <f>IF(F11&lt;&gt;"","",IF(G11="","",-G11*(SUMIF('raw Data'!$A:$A,"RESINV1USD",'raw Data'!$G:$G)+SUMIF('raw Data'!$A:$A,"RESSWAPORUSD",'raw Data'!$G:$G))/(36500*J11)))</f>
        <v/>
      </c>
      <c r="S11" s="202" t="str">
        <f>IF(G11&lt;&gt;"","",IF(F11="","",-36500*J11*F11/(SUMIF('raw Data'!$A:$A,"RESINV1USD",'raw Data'!$G:$G)+SUMIF('raw Data'!$A:$A,"RESSWAPORUSD",'raw Data'!$G:$G))))</f>
        <v/>
      </c>
      <c r="T11" s="125">
        <f>SUMIF('raw Data'!$E:$E,A11,'raw Data'!$N:$N)</f>
        <v>0</v>
      </c>
      <c r="U11" s="126" t="e">
        <f ca="1">VALUE(_xll.BDP($A11 &amp; " Corp",U$1))</f>
        <v>#NAME?</v>
      </c>
      <c r="V11" s="127" t="e">
        <f ca="1">VALUE(_xll.BDP($A11 &amp; " Corp",V$1))</f>
        <v>#NAME?</v>
      </c>
      <c r="W11" s="127" t="e">
        <f ca="1">VALUE(_xll.BDP($A11 &amp; " Corp",W$1))</f>
        <v>#NAME?</v>
      </c>
      <c r="X11" s="127" t="e">
        <f ca="1">VALUE(_xll.BDP($A11 &amp; " Corp",X$1))</f>
        <v>#NAME?</v>
      </c>
      <c r="Y11" s="127" t="e">
        <f ca="1">VALUE(_xll.BDP($A11 &amp; " Corp",Y$1))</f>
        <v>#NAME?</v>
      </c>
      <c r="Z11" s="128" t="e">
        <f ca="1">_xll.BDP($A11 &amp; " Corp",Z$1)/100</f>
        <v>#NAME?</v>
      </c>
      <c r="AA11" s="129" t="e">
        <f ca="1">_xll.BDP($A11 &amp; " Corp",AA$1)</f>
        <v>#NAME?</v>
      </c>
      <c r="AB11" s="129" t="e">
        <f ca="1">_xll.BDP($A11 &amp; " Corp",AB$1)</f>
        <v>#NAME?</v>
      </c>
      <c r="AC11" s="129" t="e">
        <f ca="1">_xll.BDP($A11 &amp; " Corp",AC$1)</f>
        <v>#NAME?</v>
      </c>
      <c r="AD11" s="130" t="e">
        <f ca="1">_xll.INSTANCE.YANKEE(A11,U11,V11,W11,X11,Y11,Z11,AA11,LEFT(AC11,11),3,IF(RIGHT(AC11,6)="NONEOM",FALSE,TRUE),TODAY())</f>
        <v>#VALUE!</v>
      </c>
      <c r="AE11" s="130" t="e">
        <f ca="1">_xll.INSTANCE.CONVENTION.TAUX("conv_" &amp; A11,LEFT(AC11,11),"Compounded",IF(AA11=1,"Annual",IF(AA11=2,"Semi-Annual","")),"Unadjusted",TODAY())</f>
        <v>#VALUE!</v>
      </c>
    </row>
    <row r="12" spans="1:31" x14ac:dyDescent="0.35">
      <c r="A12" s="131" t="s">
        <v>348</v>
      </c>
      <c r="B12" s="115" t="e">
        <f ca="1">_xll.BDP($A12 &amp; " Govt",B$1)</f>
        <v>#NAME?</v>
      </c>
      <c r="C12" s="201" t="e">
        <f t="shared" ca="1" si="0"/>
        <v>#NAME?</v>
      </c>
      <c r="D12" s="116"/>
      <c r="E12" s="117"/>
      <c r="F12" s="118"/>
      <c r="G12" s="119"/>
      <c r="H12" s="120" t="e">
        <f ca="1">IF(E12="",_xll.BDP(A12 &amp; " Corp","YLD_YTM_BID")/100,E12)</f>
        <v>#NAME?</v>
      </c>
      <c r="I12" s="121" t="e">
        <f ca="1">_xll.INSTRUMENT.PRIX(AD12,D12,H12,AE12)</f>
        <v>#VALUE!</v>
      </c>
      <c r="J12" s="122" t="e">
        <f ca="1">_xll.INSTRUMENT.DV01(AD12,,,I12,cContinuous,I12)</f>
        <v>#VALUE!</v>
      </c>
      <c r="K12" s="123" t="e">
        <f ca="1">_xll.INSTRUMENT.CONVEXITE(AD12,,,I12,cContinuous,I12)</f>
        <v>#VALUE!</v>
      </c>
      <c r="L12" s="123" t="e">
        <f ca="1">_xll.INSTRUMENT.Z.SPREAD(AD12,swapCurve,I12,,D12)</f>
        <v>#VALUE!</v>
      </c>
      <c r="M12" s="123" t="e">
        <f ca="1">_xll.INSTRUMENT.Z.SPREAD(AD12,ustCurve,I12,,D12)</f>
        <v>#VALUE!</v>
      </c>
      <c r="N12" s="123" t="e">
        <f ca="1">_xll.INSTRUMENT.Z.SPREAD(AD12,oisCurve,I12,,D12)</f>
        <v>#VALUE!</v>
      </c>
      <c r="O12" s="124" t="e">
        <f ca="1">1/_xll.CALENDRIER.FRAC.ANNEE(_xll.INSTRUMENT.DATE.REGLEMENT($AD12,,),_xll.INSTRUMENT.DATE.REGLEMENT($AD12,_xll.CALENDRIER.GAP.FINANCE(TODAY(),"1M","AUD","Unadjusted"),),"ACT/365")*(_xll.INSTRUMENT.ROLL.DOWN($AD12,swapCurve,_xll.CALENDRIER.GAP.FINANCE(TODAY(),"1M","AUD","Unadjusted",TRUE),$L12)+100*$Z12*_xll.CALENDRIER.FRAC.ANNEE(_xll.INSTRUMENT.DATE.REGLEMENT($AD12,,),_xll.INSTRUMENT.DATE.REGLEMENT($AD12,_xll.CALENDRIER.GAP.FINANCE(TODAY(),"1M","AUD","Unadjusted"),),"ACT/365")-$I12)/$I12</f>
        <v>#NAME?</v>
      </c>
      <c r="P12" s="124" t="e">
        <f ca="1">1/_xll.CALENDRIER.FRAC.ANNEE(_xll.INSTRUMENT.DATE.REGLEMENT($AD12,,),_xll.INSTRUMENT.DATE.REGLEMENT($AD12,_xll.CALENDRIER.GAP.FINANCE(TODAY(),"3M","AUD","Unadjusted"),),"ACT/365")*(_xll.INSTRUMENT.ROLL.DOWN($AD12,swapCurve,_xll.CALENDRIER.GAP.FINANCE(TODAY(),"3M","AUD","Unadjusted",TRUE),$L12)+100*$Z12*_xll.CALENDRIER.FRAC.ANNEE(_xll.INSTRUMENT.DATE.REGLEMENT($AD12,,),_xll.INSTRUMENT.DATE.REGLEMENT($AD12,_xll.CALENDRIER.GAP.FINANCE(TODAY(),"3M","AUD","Unadjusted"),),"ACT/365")-$I12)/$I12</f>
        <v>#NAME?</v>
      </c>
      <c r="Q12" s="143" t="e">
        <f t="shared" ca="1" si="1"/>
        <v>#VALUE!</v>
      </c>
      <c r="R12" s="191" t="str">
        <f>IF(F12&lt;&gt;"","",IF(G12="","",-G12*(SUMIF('raw Data'!$A:$A,"RESINV1USD",'raw Data'!$G:$G)+SUMIF('raw Data'!$A:$A,"RESSWAPORUSD",'raw Data'!$G:$G))/(36500*J12)))</f>
        <v/>
      </c>
      <c r="S12" s="202" t="str">
        <f>IF(G12&lt;&gt;"","",IF(F12="","",-36500*J12*F12/(SUMIF('raw Data'!$A:$A,"RESINV1USD",'raw Data'!$G:$G)+SUMIF('raw Data'!$A:$A,"RESSWAPORUSD",'raw Data'!$G:$G))))</f>
        <v/>
      </c>
      <c r="T12" s="125">
        <f>SUMIF('raw Data'!$E:$E,A12,'raw Data'!$N:$N)</f>
        <v>66000</v>
      </c>
      <c r="U12" s="126" t="e">
        <f ca="1">VALUE(_xll.BDP($A12 &amp; " Corp",U$1))</f>
        <v>#NAME?</v>
      </c>
      <c r="V12" s="127" t="e">
        <f ca="1">VALUE(_xll.BDP($A12 &amp; " Corp",V$1))</f>
        <v>#NAME?</v>
      </c>
      <c r="W12" s="127" t="e">
        <f ca="1">VALUE(_xll.BDP($A12 &amp; " Corp",W$1))</f>
        <v>#NAME?</v>
      </c>
      <c r="X12" s="127" t="e">
        <f ca="1">VALUE(_xll.BDP($A12 &amp; " Corp",X$1))</f>
        <v>#NAME?</v>
      </c>
      <c r="Y12" s="127" t="e">
        <f ca="1">VALUE(_xll.BDP($A12 &amp; " Corp",Y$1))</f>
        <v>#NAME?</v>
      </c>
      <c r="Z12" s="128" t="e">
        <f ca="1">_xll.BDP($A12 &amp; " Corp",Z$1)/100</f>
        <v>#NAME?</v>
      </c>
      <c r="AA12" s="129" t="e">
        <f ca="1">_xll.BDP($A12 &amp; " Corp",AA$1)</f>
        <v>#NAME?</v>
      </c>
      <c r="AB12" s="129" t="e">
        <f ca="1">_xll.BDP($A12 &amp; " Corp",AB$1)</f>
        <v>#NAME?</v>
      </c>
      <c r="AC12" s="129" t="e">
        <f ca="1">_xll.BDP($A12 &amp; " Corp",AC$1)</f>
        <v>#NAME?</v>
      </c>
      <c r="AD12" s="130" t="e">
        <f ca="1">_xll.INSTANCE.YANKEE(A12,U12,V12,W12,X12,Y12,Z12,AA12,LEFT(AC12,11),3,IF(RIGHT(AC12,6)="NONEOM",FALSE,TRUE),TODAY())</f>
        <v>#VALUE!</v>
      </c>
      <c r="AE12" s="130" t="e">
        <f ca="1">_xll.INSTANCE.CONVENTION.TAUX("conv_" &amp; A12,LEFT(AC12,11),"Compounded",IF(AA12=1,"Annual",IF(AA12=2,"Semi-Annual","")),"Unadjusted",TODAY())</f>
        <v>#VALUE!</v>
      </c>
    </row>
    <row r="13" spans="1:31" x14ac:dyDescent="0.35">
      <c r="A13" s="131" t="s">
        <v>285</v>
      </c>
      <c r="B13" s="115" t="e">
        <f ca="1">_xll.BDP($A13 &amp; " Govt",B$1)</f>
        <v>#NAME?</v>
      </c>
      <c r="C13" s="201" t="e">
        <f t="shared" ca="1" si="0"/>
        <v>#NAME?</v>
      </c>
      <c r="D13" s="116"/>
      <c r="E13" s="117"/>
      <c r="F13" s="118"/>
      <c r="G13" s="119"/>
      <c r="H13" s="120" t="e">
        <f ca="1">IF(E13="",_xll.BDP(A13 &amp; " Corp","YLD_YTM_BID")/100,E13)</f>
        <v>#NAME?</v>
      </c>
      <c r="I13" s="121" t="e">
        <f ca="1">_xll.INSTRUMENT.PRIX(AD13,D13,H13,AE13)</f>
        <v>#VALUE!</v>
      </c>
      <c r="J13" s="122" t="e">
        <f ca="1">_xll.INSTRUMENT.DV01(AD13,,,I13,cContinuous,I13)</f>
        <v>#VALUE!</v>
      </c>
      <c r="K13" s="123" t="e">
        <f ca="1">_xll.INSTRUMENT.CONVEXITE(AD13,,,I13,cContinuous,I13)</f>
        <v>#VALUE!</v>
      </c>
      <c r="L13" s="123" t="e">
        <f ca="1">_xll.INSTRUMENT.Z.SPREAD(AD13,swapCurve,I13,,D13)</f>
        <v>#VALUE!</v>
      </c>
      <c r="M13" s="123" t="e">
        <f ca="1">_xll.INSTRUMENT.Z.SPREAD(AD13,ustCurve,I13,,D13)</f>
        <v>#VALUE!</v>
      </c>
      <c r="N13" s="123" t="e">
        <f ca="1">_xll.INSTRUMENT.Z.SPREAD(AD13,oisCurve,I13,,D13)</f>
        <v>#VALUE!</v>
      </c>
      <c r="O13" s="124" t="e">
        <f ca="1">1/_xll.CALENDRIER.FRAC.ANNEE(_xll.INSTRUMENT.DATE.REGLEMENT($AD13,,),_xll.INSTRUMENT.DATE.REGLEMENT($AD13,_xll.CALENDRIER.GAP.FINANCE(TODAY(),"1M","AUD","Unadjusted"),),"ACT/365")*(_xll.INSTRUMENT.ROLL.DOWN($AD13,swapCurve,_xll.CALENDRIER.GAP.FINANCE(TODAY(),"1M","AUD","Unadjusted",TRUE),$L13)+100*$Z13*_xll.CALENDRIER.FRAC.ANNEE(_xll.INSTRUMENT.DATE.REGLEMENT($AD13,,),_xll.INSTRUMENT.DATE.REGLEMENT($AD13,_xll.CALENDRIER.GAP.FINANCE(TODAY(),"1M","AUD","Unadjusted"),),"ACT/365")-$I13)/$I13</f>
        <v>#NAME?</v>
      </c>
      <c r="P13" s="124" t="e">
        <f ca="1">1/_xll.CALENDRIER.FRAC.ANNEE(_xll.INSTRUMENT.DATE.REGLEMENT($AD13,,),_xll.INSTRUMENT.DATE.REGLEMENT($AD13,_xll.CALENDRIER.GAP.FINANCE(TODAY(),"3M","AUD","Unadjusted"),),"ACT/365")*(_xll.INSTRUMENT.ROLL.DOWN($AD13,swapCurve,_xll.CALENDRIER.GAP.FINANCE(TODAY(),"3M","AUD","Unadjusted",TRUE),$L13)+100*$Z13*_xll.CALENDRIER.FRAC.ANNEE(_xll.INSTRUMENT.DATE.REGLEMENT($AD13,,),_xll.INSTRUMENT.DATE.REGLEMENT($AD13,_xll.CALENDRIER.GAP.FINANCE(TODAY(),"3M","AUD","Unadjusted"),),"ACT/365")-$I13)/$I13</f>
        <v>#NAME?</v>
      </c>
      <c r="Q13" s="143" t="e">
        <f t="shared" ca="1" si="1"/>
        <v>#VALUE!</v>
      </c>
      <c r="R13" s="191" t="str">
        <f>IF(F13&lt;&gt;"","",IF(G13="","",-G13*(SUMIF('raw Data'!$A:$A,"RESINV1USD",'raw Data'!$G:$G)+SUMIF('raw Data'!$A:$A,"RESSWAPORUSD",'raw Data'!$G:$G))/(36500*J13)))</f>
        <v/>
      </c>
      <c r="S13" s="202" t="str">
        <f>IF(G13&lt;&gt;"","",IF(F13="","",-36500*J13*F13/(SUMIF('raw Data'!$A:$A,"RESINV1USD",'raw Data'!$G:$G)+SUMIF('raw Data'!$A:$A,"RESSWAPORUSD",'raw Data'!$G:$G))))</f>
        <v/>
      </c>
      <c r="T13" s="125">
        <f>SUMIF('raw Data'!$E:$E,A13,'raw Data'!$N:$N)</f>
        <v>50000</v>
      </c>
      <c r="U13" s="126" t="e">
        <f ca="1">VALUE(_xll.BDP($A13 &amp; " Corp",U$1))</f>
        <v>#NAME?</v>
      </c>
      <c r="V13" s="127" t="e">
        <f ca="1">VALUE(_xll.BDP($A13 &amp; " Corp",V$1))</f>
        <v>#NAME?</v>
      </c>
      <c r="W13" s="127" t="e">
        <f ca="1">VALUE(_xll.BDP($A13 &amp; " Corp",W$1))</f>
        <v>#NAME?</v>
      </c>
      <c r="X13" s="127" t="e">
        <f ca="1">VALUE(_xll.BDP($A13 &amp; " Corp",X$1))</f>
        <v>#NAME?</v>
      </c>
      <c r="Y13" s="127" t="e">
        <f ca="1">VALUE(_xll.BDP($A13 &amp; " Corp",Y$1))</f>
        <v>#NAME?</v>
      </c>
      <c r="Z13" s="128" t="e">
        <f ca="1">_xll.BDP($A13 &amp; " Corp",Z$1)/100</f>
        <v>#NAME?</v>
      </c>
      <c r="AA13" s="129" t="e">
        <f ca="1">_xll.BDP($A13 &amp; " Corp",AA$1)</f>
        <v>#NAME?</v>
      </c>
      <c r="AB13" s="129" t="e">
        <f ca="1">_xll.BDP($A13 &amp; " Corp",AB$1)</f>
        <v>#NAME?</v>
      </c>
      <c r="AC13" s="129" t="e">
        <f ca="1">_xll.BDP($A13 &amp; " Corp",AC$1)</f>
        <v>#NAME?</v>
      </c>
      <c r="AD13" s="130" t="e">
        <f ca="1">_xll.INSTANCE.YANKEE(A13,U13,V13,W13,X13,Y13,Z13,AA13,LEFT(AC13,11),3,IF(RIGHT(AC13,6)="NONEOM",FALSE,TRUE),TODAY())</f>
        <v>#VALUE!</v>
      </c>
      <c r="AE13" s="130" t="e">
        <f ca="1">_xll.INSTANCE.CONVENTION.TAUX("conv_" &amp; A13,LEFT(AC13,11),"Compounded",IF(AA13=1,"Annual",IF(AA13=2,"Semi-Annual","")),"Unadjusted",TODAY())</f>
        <v>#VALUE!</v>
      </c>
    </row>
    <row r="14" spans="1:31" x14ac:dyDescent="0.35">
      <c r="A14" s="131" t="s">
        <v>678</v>
      </c>
      <c r="B14" s="115" t="e">
        <f ca="1">_xll.BDP($A14 &amp; " Govt",B$1)</f>
        <v>#NAME?</v>
      </c>
      <c r="C14" s="201" t="e">
        <f t="shared" ca="1" si="0"/>
        <v>#NAME?</v>
      </c>
      <c r="D14" s="116"/>
      <c r="E14" s="117"/>
      <c r="F14" s="118"/>
      <c r="G14" s="119"/>
      <c r="H14" s="120" t="e">
        <f ca="1">IF(E14="",_xll.BDP(A14 &amp; " Corp","YLD_YTM_BID")/100,E14)</f>
        <v>#NAME?</v>
      </c>
      <c r="I14" s="121" t="e">
        <f ca="1">_xll.INSTRUMENT.PRIX(AD14,D14,H14,AE14)</f>
        <v>#VALUE!</v>
      </c>
      <c r="J14" s="122" t="e">
        <f ca="1">_xll.INSTRUMENT.DV01(AD14,,,I14,cContinuous,I14)</f>
        <v>#VALUE!</v>
      </c>
      <c r="K14" s="123" t="e">
        <f ca="1">_xll.INSTRUMENT.CONVEXITE(AD14,,,I14,cContinuous,I14)</f>
        <v>#VALUE!</v>
      </c>
      <c r="L14" s="123" t="e">
        <f ca="1">_xll.INSTRUMENT.Z.SPREAD(AD14,swapCurve,I14,,D14)</f>
        <v>#VALUE!</v>
      </c>
      <c r="M14" s="123" t="e">
        <f ca="1">_xll.INSTRUMENT.Z.SPREAD(AD14,ustCurve,I14,,D14)</f>
        <v>#VALUE!</v>
      </c>
      <c r="N14" s="123" t="e">
        <f ca="1">_xll.INSTRUMENT.Z.SPREAD(AD14,oisCurve,I14,,D14)</f>
        <v>#VALUE!</v>
      </c>
      <c r="O14" s="124" t="e">
        <f ca="1">1/_xll.CALENDRIER.FRAC.ANNEE(_xll.INSTRUMENT.DATE.REGLEMENT($AD14,,),_xll.INSTRUMENT.DATE.REGLEMENT($AD14,_xll.CALENDRIER.GAP.FINANCE(TODAY(),"1M","AUD","Unadjusted"),),"ACT/365")*(_xll.INSTRUMENT.ROLL.DOWN($AD14,swapCurve,_xll.CALENDRIER.GAP.FINANCE(TODAY(),"1M","AUD","Unadjusted",TRUE),$L14)+100*$Z14*_xll.CALENDRIER.FRAC.ANNEE(_xll.INSTRUMENT.DATE.REGLEMENT($AD14,,),_xll.INSTRUMENT.DATE.REGLEMENT($AD14,_xll.CALENDRIER.GAP.FINANCE(TODAY(),"1M","AUD","Unadjusted"),),"ACT/365")-$I14)/$I14</f>
        <v>#NAME?</v>
      </c>
      <c r="P14" s="124" t="e">
        <f ca="1">1/_xll.CALENDRIER.FRAC.ANNEE(_xll.INSTRUMENT.DATE.REGLEMENT($AD14,,),_xll.INSTRUMENT.DATE.REGLEMENT($AD14,_xll.CALENDRIER.GAP.FINANCE(TODAY(),"3M","AUD","Unadjusted"),),"ACT/365")*(_xll.INSTRUMENT.ROLL.DOWN($AD14,swapCurve,_xll.CALENDRIER.GAP.FINANCE(TODAY(),"3M","AUD","Unadjusted",TRUE),$L14)+100*$Z14*_xll.CALENDRIER.FRAC.ANNEE(_xll.INSTRUMENT.DATE.REGLEMENT($AD14,,),_xll.INSTRUMENT.DATE.REGLEMENT($AD14,_xll.CALENDRIER.GAP.FINANCE(TODAY(),"3M","AUD","Unadjusted"),),"ACT/365")-$I14)/$I14</f>
        <v>#NAME?</v>
      </c>
      <c r="Q14" s="143" t="e">
        <f t="shared" ca="1" si="1"/>
        <v>#VALUE!</v>
      </c>
      <c r="R14" s="191" t="str">
        <f>IF(F14&lt;&gt;"","",IF(G14="","",-G14*(SUMIF('raw Data'!$A:$A,"RESINV1USD",'raw Data'!$G:$G)+SUMIF('raw Data'!$A:$A,"RESSWAPORUSD",'raw Data'!$G:$G))/(36500*J14)))</f>
        <v/>
      </c>
      <c r="S14" s="202" t="str">
        <f>IF(G14&lt;&gt;"","",IF(F14="","",-36500*J14*F14/(SUMIF('raw Data'!$A:$A,"RESINV1USD",'raw Data'!$G:$G)+SUMIF('raw Data'!$A:$A,"RESSWAPORUSD",'raw Data'!$G:$G))))</f>
        <v/>
      </c>
      <c r="T14" s="125">
        <f>SUMIF('raw Data'!$E:$E,A14,'raw Data'!$N:$N)</f>
        <v>0</v>
      </c>
      <c r="U14" s="126" t="e">
        <f ca="1">VALUE(_xll.BDP($A14 &amp; " Corp",U$1))</f>
        <v>#NAME?</v>
      </c>
      <c r="V14" s="127" t="e">
        <f ca="1">VALUE(_xll.BDP($A14 &amp; " Corp",V$1))</f>
        <v>#NAME?</v>
      </c>
      <c r="W14" s="127" t="e">
        <f ca="1">VALUE(_xll.BDP($A14 &amp; " Corp",W$1))</f>
        <v>#NAME?</v>
      </c>
      <c r="X14" s="127" t="e">
        <f ca="1">VALUE(_xll.BDP($A14 &amp; " Corp",X$1))</f>
        <v>#NAME?</v>
      </c>
      <c r="Y14" s="127" t="e">
        <f ca="1">VALUE(_xll.BDP($A14 &amp; " Corp",Y$1))</f>
        <v>#NAME?</v>
      </c>
      <c r="Z14" s="128" t="e">
        <f ca="1">_xll.BDP($A14 &amp; " Corp",Z$1)/100</f>
        <v>#NAME?</v>
      </c>
      <c r="AA14" s="129" t="e">
        <f ca="1">_xll.BDP($A14 &amp; " Corp",AA$1)</f>
        <v>#NAME?</v>
      </c>
      <c r="AB14" s="129" t="e">
        <f ca="1">_xll.BDP($A14 &amp; " Corp",AB$1)</f>
        <v>#NAME?</v>
      </c>
      <c r="AC14" s="129" t="e">
        <f ca="1">_xll.BDP($A14 &amp; " Corp",AC$1)</f>
        <v>#NAME?</v>
      </c>
      <c r="AD14" s="130" t="e">
        <f ca="1">_xll.INSTANCE.YANKEE(A14,U14,V14,W14,X14,Y14,Z14,AA14,LEFT(AC14,11),3,IF(RIGHT(AC14,6)="NONEOM",FALSE,TRUE),TODAY())</f>
        <v>#VALUE!</v>
      </c>
      <c r="AE14" s="130" t="e">
        <f ca="1">_xll.INSTANCE.CONVENTION.TAUX("conv_" &amp; A14,LEFT(AC14,11),"Compounded",IF(AA14=1,"Annual",IF(AA14=2,"Semi-Annual","")),"Unadjusted",TODAY())</f>
        <v>#VALUE!</v>
      </c>
    </row>
    <row r="15" spans="1:31" x14ac:dyDescent="0.35">
      <c r="A15" s="131" t="s">
        <v>676</v>
      </c>
      <c r="B15" s="115" t="e">
        <f ca="1">_xll.BDP($A15 &amp; " Govt",B$1)</f>
        <v>#NAME?</v>
      </c>
      <c r="C15" s="201" t="e">
        <f t="shared" ca="1" si="0"/>
        <v>#NAME?</v>
      </c>
      <c r="D15" s="116"/>
      <c r="E15" s="117"/>
      <c r="F15" s="118"/>
      <c r="G15" s="119"/>
      <c r="H15" s="120" t="e">
        <f ca="1">IF(E15="",_xll.BDP(A15 &amp; " Corp","YLD_YTM_BID")/100,E15)</f>
        <v>#NAME?</v>
      </c>
      <c r="I15" s="121" t="e">
        <f ca="1">_xll.INSTRUMENT.PRIX(AD15,D15,H15,AE15)</f>
        <v>#VALUE!</v>
      </c>
      <c r="J15" s="122" t="e">
        <f ca="1">_xll.INSTRUMENT.DV01(AD15,,,I15,cContinuous,I15)</f>
        <v>#VALUE!</v>
      </c>
      <c r="K15" s="123" t="e">
        <f ca="1">_xll.INSTRUMENT.CONVEXITE(AD15,,,I15,cContinuous,I15)</f>
        <v>#VALUE!</v>
      </c>
      <c r="L15" s="123" t="e">
        <f ca="1">_xll.INSTRUMENT.Z.SPREAD(AD15,swapCurve,I15,,D15)</f>
        <v>#VALUE!</v>
      </c>
      <c r="M15" s="123" t="e">
        <f ca="1">_xll.INSTRUMENT.Z.SPREAD(AD15,ustCurve,I15,,D15)</f>
        <v>#VALUE!</v>
      </c>
      <c r="N15" s="123" t="e">
        <f ca="1">_xll.INSTRUMENT.Z.SPREAD(AD15,oisCurve,I15,,D15)</f>
        <v>#VALUE!</v>
      </c>
      <c r="O15" s="124" t="e">
        <f ca="1">1/_xll.CALENDRIER.FRAC.ANNEE(_xll.INSTRUMENT.DATE.REGLEMENT($AD15,,),_xll.INSTRUMENT.DATE.REGLEMENT($AD15,_xll.CALENDRIER.GAP.FINANCE(TODAY(),"1M","AUD","Unadjusted"),),"ACT/365")*(_xll.INSTRUMENT.ROLL.DOWN($AD15,swapCurve,_xll.CALENDRIER.GAP.FINANCE(TODAY(),"1M","AUD","Unadjusted",TRUE),$L15)+100*$Z15*_xll.CALENDRIER.FRAC.ANNEE(_xll.INSTRUMENT.DATE.REGLEMENT($AD15,,),_xll.INSTRUMENT.DATE.REGLEMENT($AD15,_xll.CALENDRIER.GAP.FINANCE(TODAY(),"1M","AUD","Unadjusted"),),"ACT/365")-$I15)/$I15</f>
        <v>#NAME?</v>
      </c>
      <c r="P15" s="124" t="e">
        <f ca="1">1/_xll.CALENDRIER.FRAC.ANNEE(_xll.INSTRUMENT.DATE.REGLEMENT($AD15,,),_xll.INSTRUMENT.DATE.REGLEMENT($AD15,_xll.CALENDRIER.GAP.FINANCE(TODAY(),"3M","AUD","Unadjusted"),),"ACT/365")*(_xll.INSTRUMENT.ROLL.DOWN($AD15,swapCurve,_xll.CALENDRIER.GAP.FINANCE(TODAY(),"3M","AUD","Unadjusted",TRUE),$L15)+100*$Z15*_xll.CALENDRIER.FRAC.ANNEE(_xll.INSTRUMENT.DATE.REGLEMENT($AD15,,),_xll.INSTRUMENT.DATE.REGLEMENT($AD15,_xll.CALENDRIER.GAP.FINANCE(TODAY(),"3M","AUD","Unadjusted"),),"ACT/365")-$I15)/$I15</f>
        <v>#NAME?</v>
      </c>
      <c r="Q15" s="143" t="e">
        <f t="shared" ca="1" si="1"/>
        <v>#VALUE!</v>
      </c>
      <c r="R15" s="191" t="str">
        <f>IF(F15&lt;&gt;"","",IF(G15="","",-G15*(SUMIF('raw Data'!$A:$A,"RESINV1USD",'raw Data'!$G:$G)+SUMIF('raw Data'!$A:$A,"RESSWAPORUSD",'raw Data'!$G:$G))/(36500*J15)))</f>
        <v/>
      </c>
      <c r="S15" s="202" t="str">
        <f>IF(G15&lt;&gt;"","",IF(F15="","",-36500*J15*F15/(SUMIF('raw Data'!$A:$A,"RESINV1USD",'raw Data'!$G:$G)+SUMIF('raw Data'!$A:$A,"RESSWAPORUSD",'raw Data'!$G:$G))))</f>
        <v/>
      </c>
      <c r="T15" s="125">
        <f>SUMIF('raw Data'!$E:$E,A15,'raw Data'!$N:$N)</f>
        <v>0</v>
      </c>
      <c r="U15" s="126" t="e">
        <f ca="1">VALUE(_xll.BDP($A15 &amp; " Corp",U$1))</f>
        <v>#NAME?</v>
      </c>
      <c r="V15" s="127" t="e">
        <f ca="1">VALUE(_xll.BDP($A15 &amp; " Corp",V$1))</f>
        <v>#NAME?</v>
      </c>
      <c r="W15" s="127" t="e">
        <f ca="1">VALUE(_xll.BDP($A15 &amp; " Corp",W$1))</f>
        <v>#NAME?</v>
      </c>
      <c r="X15" s="127" t="e">
        <f ca="1">VALUE(_xll.BDP($A15 &amp; " Corp",X$1))</f>
        <v>#NAME?</v>
      </c>
      <c r="Y15" s="127" t="e">
        <f ca="1">VALUE(_xll.BDP($A15 &amp; " Corp",Y$1))</f>
        <v>#NAME?</v>
      </c>
      <c r="Z15" s="128" t="e">
        <f ca="1">_xll.BDP($A15 &amp; " Corp",Z$1)/100</f>
        <v>#NAME?</v>
      </c>
      <c r="AA15" s="129" t="e">
        <f ca="1">_xll.BDP($A15 &amp; " Corp",AA$1)</f>
        <v>#NAME?</v>
      </c>
      <c r="AB15" s="129" t="e">
        <f ca="1">_xll.BDP($A15 &amp; " Corp",AB$1)</f>
        <v>#NAME?</v>
      </c>
      <c r="AC15" s="129" t="e">
        <f ca="1">_xll.BDP($A15 &amp; " Corp",AC$1)</f>
        <v>#NAME?</v>
      </c>
      <c r="AD15" s="130" t="e">
        <f ca="1">_xll.INSTANCE.YANKEE(A15,U15,V15,W15,X15,Y15,Z15,AA15,LEFT(AC15,11),3,IF(RIGHT(AC15,6)="NONEOM",FALSE,TRUE),TODAY())</f>
        <v>#VALUE!</v>
      </c>
      <c r="AE15" s="130" t="e">
        <f ca="1">_xll.INSTANCE.CONVENTION.TAUX("conv_" &amp; A15,LEFT(AC15,11),"Compounded",IF(AA15=1,"Annual",IF(AA15=2,"Semi-Annual","")),"Unadjusted",TODAY())</f>
        <v>#VALUE!</v>
      </c>
    </row>
    <row r="16" spans="1:31" x14ac:dyDescent="0.35">
      <c r="A16" s="131" t="s">
        <v>679</v>
      </c>
      <c r="B16" s="115" t="e">
        <f ca="1">_xll.BDP($A16 &amp; " Govt",B$1)</f>
        <v>#NAME?</v>
      </c>
      <c r="C16" s="201" t="e">
        <f t="shared" ca="1" si="0"/>
        <v>#NAME?</v>
      </c>
      <c r="D16" s="116"/>
      <c r="E16" s="117"/>
      <c r="F16" s="118"/>
      <c r="G16" s="119"/>
      <c r="H16" s="120" t="e">
        <f ca="1">IF(E16="",_xll.BDP(A16 &amp; " Corp","YLD_YTM_BID")/100,E16)</f>
        <v>#NAME?</v>
      </c>
      <c r="I16" s="121" t="e">
        <f ca="1">_xll.INSTRUMENT.PRIX(AD16,D16,H16,AE16)</f>
        <v>#VALUE!</v>
      </c>
      <c r="J16" s="122" t="e">
        <f ca="1">_xll.INSTRUMENT.DV01(AD16,,,I16,cContinuous,I16)</f>
        <v>#VALUE!</v>
      </c>
      <c r="K16" s="123" t="e">
        <f ca="1">_xll.INSTRUMENT.CONVEXITE(AD16,,,I16,cContinuous,I16)</f>
        <v>#VALUE!</v>
      </c>
      <c r="L16" s="123" t="e">
        <f ca="1">_xll.INSTRUMENT.Z.SPREAD(AD16,swapCurve,I16,,D16)</f>
        <v>#VALUE!</v>
      </c>
      <c r="M16" s="123" t="e">
        <f ca="1">_xll.INSTRUMENT.Z.SPREAD(AD16,ustCurve,I16,,D16)</f>
        <v>#VALUE!</v>
      </c>
      <c r="N16" s="123" t="e">
        <f ca="1">_xll.INSTRUMENT.Z.SPREAD(AD16,oisCurve,I16,,D16)</f>
        <v>#VALUE!</v>
      </c>
      <c r="O16" s="124" t="e">
        <f ca="1">1/_xll.CALENDRIER.FRAC.ANNEE(_xll.INSTRUMENT.DATE.REGLEMENT($AD16,,),_xll.INSTRUMENT.DATE.REGLEMENT($AD16,_xll.CALENDRIER.GAP.FINANCE(TODAY(),"1M","AUD","Unadjusted"),),"ACT/365")*(_xll.INSTRUMENT.ROLL.DOWN($AD16,swapCurve,_xll.CALENDRIER.GAP.FINANCE(TODAY(),"1M","AUD","Unadjusted",TRUE),$L16)+100*$Z16*_xll.CALENDRIER.FRAC.ANNEE(_xll.INSTRUMENT.DATE.REGLEMENT($AD16,,),_xll.INSTRUMENT.DATE.REGLEMENT($AD16,_xll.CALENDRIER.GAP.FINANCE(TODAY(),"1M","AUD","Unadjusted"),),"ACT/365")-$I16)/$I16</f>
        <v>#NAME?</v>
      </c>
      <c r="P16" s="124" t="e">
        <f ca="1">1/_xll.CALENDRIER.FRAC.ANNEE(_xll.INSTRUMENT.DATE.REGLEMENT($AD16,,),_xll.INSTRUMENT.DATE.REGLEMENT($AD16,_xll.CALENDRIER.GAP.FINANCE(TODAY(),"3M","AUD","Unadjusted"),),"ACT/365")*(_xll.INSTRUMENT.ROLL.DOWN($AD16,swapCurve,_xll.CALENDRIER.GAP.FINANCE(TODAY(),"3M","AUD","Unadjusted",TRUE),$L16)+100*$Z16*_xll.CALENDRIER.FRAC.ANNEE(_xll.INSTRUMENT.DATE.REGLEMENT($AD16,,),_xll.INSTRUMENT.DATE.REGLEMENT($AD16,_xll.CALENDRIER.GAP.FINANCE(TODAY(),"3M","AUD","Unadjusted"),),"ACT/365")-$I16)/$I16</f>
        <v>#NAME?</v>
      </c>
      <c r="Q16" s="143" t="e">
        <f t="shared" ca="1" si="1"/>
        <v>#VALUE!</v>
      </c>
      <c r="R16" s="191" t="str">
        <f>IF(F16&lt;&gt;"","",IF(G16="","",-G16*(SUMIF('raw Data'!$A:$A,"RESINV1USD",'raw Data'!$G:$G)+SUMIF('raw Data'!$A:$A,"RESSWAPORUSD",'raw Data'!$G:$G))/(36500*J16)))</f>
        <v/>
      </c>
      <c r="S16" s="202" t="str">
        <f>IF(G16&lt;&gt;"","",IF(F16="","",-36500*J16*F16/(SUMIF('raw Data'!$A:$A,"RESINV1USD",'raw Data'!$G:$G)+SUMIF('raw Data'!$A:$A,"RESSWAPORUSD",'raw Data'!$G:$G))))</f>
        <v/>
      </c>
      <c r="T16" s="125">
        <f>SUMIF('raw Data'!$E:$E,A16,'raw Data'!$N:$N)</f>
        <v>0</v>
      </c>
      <c r="U16" s="126" t="e">
        <f ca="1">VALUE(_xll.BDP($A16 &amp; " Corp",U$1))</f>
        <v>#NAME?</v>
      </c>
      <c r="V16" s="127" t="e">
        <f ca="1">VALUE(_xll.BDP($A16 &amp; " Corp",V$1))</f>
        <v>#NAME?</v>
      </c>
      <c r="W16" s="127" t="e">
        <f ca="1">VALUE(_xll.BDP($A16 &amp; " Corp",W$1))</f>
        <v>#NAME?</v>
      </c>
      <c r="X16" s="127" t="e">
        <f ca="1">VALUE(_xll.BDP($A16 &amp; " Corp",X$1))</f>
        <v>#NAME?</v>
      </c>
      <c r="Y16" s="127" t="e">
        <f ca="1">VALUE(_xll.BDP($A16 &amp; " Corp",Y$1))</f>
        <v>#NAME?</v>
      </c>
      <c r="Z16" s="128" t="e">
        <f ca="1">_xll.BDP($A16 &amp; " Corp",Z$1)/100</f>
        <v>#NAME?</v>
      </c>
      <c r="AA16" s="129" t="e">
        <f ca="1">_xll.BDP($A16 &amp; " Corp",AA$1)</f>
        <v>#NAME?</v>
      </c>
      <c r="AB16" s="129" t="e">
        <f ca="1">_xll.BDP($A16 &amp; " Corp",AB$1)</f>
        <v>#NAME?</v>
      </c>
      <c r="AC16" s="129" t="e">
        <f ca="1">_xll.BDP($A16 &amp; " Corp",AC$1)</f>
        <v>#NAME?</v>
      </c>
      <c r="AD16" s="130" t="e">
        <f ca="1">_xll.INSTANCE.YANKEE(A16,U16,V16,W16,X16,Y16,Z16,AA16,LEFT(AC16,11),3,IF(RIGHT(AC16,6)="NONEOM",FALSE,TRUE),TODAY())</f>
        <v>#VALUE!</v>
      </c>
      <c r="AE16" s="130" t="e">
        <f ca="1">_xll.INSTANCE.CONVENTION.TAUX("conv_" &amp; A16,LEFT(AC16,11),"Compounded",IF(AA16=1,"Annual",IF(AA16=2,"Semi-Annual","")),"Unadjusted",TODAY())</f>
        <v>#VALUE!</v>
      </c>
    </row>
    <row r="17" spans="1:31" x14ac:dyDescent="0.35">
      <c r="A17" s="131" t="s">
        <v>351</v>
      </c>
      <c r="B17" s="115" t="e">
        <f ca="1">_xll.BDP($A17 &amp; " Govt",B$1)</f>
        <v>#NAME?</v>
      </c>
      <c r="C17" s="201" t="e">
        <f t="shared" ca="1" si="0"/>
        <v>#NAME?</v>
      </c>
      <c r="D17" s="116"/>
      <c r="E17" s="117"/>
      <c r="F17" s="118"/>
      <c r="G17" s="119"/>
      <c r="H17" s="120" t="e">
        <f ca="1">IF(E17="",_xll.BDP(A17 &amp; " Corp","YLD_YTM_BID")/100,E17)</f>
        <v>#NAME?</v>
      </c>
      <c r="I17" s="121" t="e">
        <f ca="1">_xll.INSTRUMENT.PRIX(AD17,D17,H17,AE17)</f>
        <v>#VALUE!</v>
      </c>
      <c r="J17" s="122" t="e">
        <f ca="1">_xll.INSTRUMENT.DV01(AD17,,,I17,cContinuous,I17)</f>
        <v>#VALUE!</v>
      </c>
      <c r="K17" s="123" t="e">
        <f ca="1">_xll.INSTRUMENT.CONVEXITE(AD17,,,I17,cContinuous,I17)</f>
        <v>#VALUE!</v>
      </c>
      <c r="L17" s="123" t="e">
        <f ca="1">_xll.INSTRUMENT.Z.SPREAD(AD17,swapCurve,I17,,D17)</f>
        <v>#VALUE!</v>
      </c>
      <c r="M17" s="123" t="e">
        <f ca="1">_xll.INSTRUMENT.Z.SPREAD(AD17,ustCurve,I17,,D17)</f>
        <v>#VALUE!</v>
      </c>
      <c r="N17" s="123" t="e">
        <f ca="1">_xll.INSTRUMENT.Z.SPREAD(AD17,oisCurve,I17,,D17)</f>
        <v>#VALUE!</v>
      </c>
      <c r="O17" s="124" t="e">
        <f ca="1">1/_xll.CALENDRIER.FRAC.ANNEE(_xll.INSTRUMENT.DATE.REGLEMENT($AD17,,),_xll.INSTRUMENT.DATE.REGLEMENT($AD17,_xll.CALENDRIER.GAP.FINANCE(TODAY(),"1M","AUD","Unadjusted"),),"ACT/365")*(_xll.INSTRUMENT.ROLL.DOWN($AD17,swapCurve,_xll.CALENDRIER.GAP.FINANCE(TODAY(),"1M","AUD","Unadjusted",TRUE),$L17)+100*$Z17*_xll.CALENDRIER.FRAC.ANNEE(_xll.INSTRUMENT.DATE.REGLEMENT($AD17,,),_xll.INSTRUMENT.DATE.REGLEMENT($AD17,_xll.CALENDRIER.GAP.FINANCE(TODAY(),"1M","AUD","Unadjusted"),),"ACT/365")-$I17)/$I17</f>
        <v>#NAME?</v>
      </c>
      <c r="P17" s="124" t="e">
        <f ca="1">1/_xll.CALENDRIER.FRAC.ANNEE(_xll.INSTRUMENT.DATE.REGLEMENT($AD17,,),_xll.INSTRUMENT.DATE.REGLEMENT($AD17,_xll.CALENDRIER.GAP.FINANCE(TODAY(),"3M","AUD","Unadjusted"),),"ACT/365")*(_xll.INSTRUMENT.ROLL.DOWN($AD17,swapCurve,_xll.CALENDRIER.GAP.FINANCE(TODAY(),"3M","AUD","Unadjusted",TRUE),$L17)+100*$Z17*_xll.CALENDRIER.FRAC.ANNEE(_xll.INSTRUMENT.DATE.REGLEMENT($AD17,,),_xll.INSTRUMENT.DATE.REGLEMENT($AD17,_xll.CALENDRIER.GAP.FINANCE(TODAY(),"3M","AUD","Unadjusted"),),"ACT/365")-$I17)/$I17</f>
        <v>#NAME?</v>
      </c>
      <c r="Q17" s="143" t="e">
        <f t="shared" ca="1" si="1"/>
        <v>#VALUE!</v>
      </c>
      <c r="R17" s="191" t="str">
        <f>IF(F17&lt;&gt;"","",IF(G17="","",-G17*(SUMIF('raw Data'!$A:$A,"RESINV1USD",'raw Data'!$G:$G)+SUMIF('raw Data'!$A:$A,"RESSWAPORUSD",'raw Data'!$G:$G))/(36500*J17)))</f>
        <v/>
      </c>
      <c r="S17" s="202" t="str">
        <f>IF(G17&lt;&gt;"","",IF(F17="","",-36500*J17*F17/(SUMIF('raw Data'!$A:$A,"RESINV1USD",'raw Data'!$G:$G)+SUMIF('raw Data'!$A:$A,"RESSWAPORUSD",'raw Data'!$G:$G))))</f>
        <v/>
      </c>
      <c r="T17" s="125">
        <f>SUMIF('raw Data'!$E:$E,A17,'raw Data'!$N:$N)</f>
        <v>0</v>
      </c>
      <c r="U17" s="126" t="e">
        <f ca="1">VALUE(_xll.BDP($A17 &amp; " Corp",U$1))</f>
        <v>#NAME?</v>
      </c>
      <c r="V17" s="127" t="e">
        <f ca="1">VALUE(_xll.BDP($A17 &amp; " Corp",V$1))</f>
        <v>#NAME?</v>
      </c>
      <c r="W17" s="127" t="e">
        <f ca="1">VALUE(_xll.BDP($A17 &amp; " Corp",W$1))</f>
        <v>#NAME?</v>
      </c>
      <c r="X17" s="127" t="e">
        <f ca="1">VALUE(_xll.BDP($A17 &amp; " Corp",X$1))</f>
        <v>#NAME?</v>
      </c>
      <c r="Y17" s="127" t="e">
        <f ca="1">VALUE(_xll.BDP($A17 &amp; " Corp",Y$1))</f>
        <v>#NAME?</v>
      </c>
      <c r="Z17" s="128" t="e">
        <f ca="1">_xll.BDP($A17 &amp; " Corp",Z$1)/100</f>
        <v>#NAME?</v>
      </c>
      <c r="AA17" s="129" t="e">
        <f ca="1">_xll.BDP($A17 &amp; " Corp",AA$1)</f>
        <v>#NAME?</v>
      </c>
      <c r="AB17" s="129" t="e">
        <f ca="1">_xll.BDP($A17 &amp; " Corp",AB$1)</f>
        <v>#NAME?</v>
      </c>
      <c r="AC17" s="129" t="e">
        <f ca="1">_xll.BDP($A17 &amp; " Corp",AC$1)</f>
        <v>#NAME?</v>
      </c>
      <c r="AD17" s="130" t="e">
        <f ca="1">_xll.INSTANCE.YANKEE(A17,U17,V17,W17,X17,Y17,Z17,AA17,LEFT(AC17,11),3,IF(RIGHT(AC17,6)="NONEOM",FALSE,TRUE),TODAY())</f>
        <v>#VALUE!</v>
      </c>
      <c r="AE17" s="130" t="e">
        <f ca="1">_xll.INSTANCE.CONVENTION.TAUX("conv_" &amp; A17,LEFT(AC17,11),"Compounded",IF(AA17=1,"Annual",IF(AA17=2,"Semi-Annual","")),"Unadjusted",TODAY())</f>
        <v>#VALUE!</v>
      </c>
    </row>
    <row r="18" spans="1:31" x14ac:dyDescent="0.35">
      <c r="A18" s="131" t="s">
        <v>359</v>
      </c>
      <c r="B18" s="115" t="e">
        <f ca="1">_xll.BDP($A18 &amp; " Govt",B$1)</f>
        <v>#NAME?</v>
      </c>
      <c r="C18" s="201" t="e">
        <f t="shared" ca="1" si="0"/>
        <v>#NAME?</v>
      </c>
      <c r="D18" s="116"/>
      <c r="E18" s="117"/>
      <c r="F18" s="118"/>
      <c r="G18" s="119"/>
      <c r="H18" s="120" t="e">
        <f ca="1">IF(E18="",_xll.BDP(A18 &amp; " Corp","YLD_YTM_BID")/100,E18)</f>
        <v>#NAME?</v>
      </c>
      <c r="I18" s="121" t="e">
        <f ca="1">_xll.INSTRUMENT.PRIX(AD18,D18,H18,AE18)</f>
        <v>#VALUE!</v>
      </c>
      <c r="J18" s="122" t="e">
        <f ca="1">_xll.INSTRUMENT.DV01(AD18,,,I18,cContinuous,I18)</f>
        <v>#VALUE!</v>
      </c>
      <c r="K18" s="123" t="e">
        <f ca="1">_xll.INSTRUMENT.CONVEXITE(AD18,,,I18,cContinuous,I18)</f>
        <v>#VALUE!</v>
      </c>
      <c r="L18" s="123" t="e">
        <f ca="1">_xll.INSTRUMENT.Z.SPREAD(AD18,swapCurve,I18,,D18)</f>
        <v>#VALUE!</v>
      </c>
      <c r="M18" s="123" t="e">
        <f ca="1">_xll.INSTRUMENT.Z.SPREAD(AD18,ustCurve,I18,,D18)</f>
        <v>#VALUE!</v>
      </c>
      <c r="N18" s="123" t="e">
        <f ca="1">_xll.INSTRUMENT.Z.SPREAD(AD18,oisCurve,I18,,D18)</f>
        <v>#VALUE!</v>
      </c>
      <c r="O18" s="124" t="e">
        <f ca="1">1/_xll.CALENDRIER.FRAC.ANNEE(_xll.INSTRUMENT.DATE.REGLEMENT($AD18,,),_xll.INSTRUMENT.DATE.REGLEMENT($AD18,_xll.CALENDRIER.GAP.FINANCE(TODAY(),"1M","AUD","Unadjusted"),),"ACT/365")*(_xll.INSTRUMENT.ROLL.DOWN($AD18,swapCurve,_xll.CALENDRIER.GAP.FINANCE(TODAY(),"1M","AUD","Unadjusted",TRUE),$L18)+100*$Z18*_xll.CALENDRIER.FRAC.ANNEE(_xll.INSTRUMENT.DATE.REGLEMENT($AD18,,),_xll.INSTRUMENT.DATE.REGLEMENT($AD18,_xll.CALENDRIER.GAP.FINANCE(TODAY(),"1M","AUD","Unadjusted"),),"ACT/365")-$I18)/$I18</f>
        <v>#NAME?</v>
      </c>
      <c r="P18" s="124" t="e">
        <f ca="1">1/_xll.CALENDRIER.FRAC.ANNEE(_xll.INSTRUMENT.DATE.REGLEMENT($AD18,,),_xll.INSTRUMENT.DATE.REGLEMENT($AD18,_xll.CALENDRIER.GAP.FINANCE(TODAY(),"3M","AUD","Unadjusted"),),"ACT/365")*(_xll.INSTRUMENT.ROLL.DOWN($AD18,swapCurve,_xll.CALENDRIER.GAP.FINANCE(TODAY(),"3M","AUD","Unadjusted",TRUE),$L18)+100*$Z18*_xll.CALENDRIER.FRAC.ANNEE(_xll.INSTRUMENT.DATE.REGLEMENT($AD18,,),_xll.INSTRUMENT.DATE.REGLEMENT($AD18,_xll.CALENDRIER.GAP.FINANCE(TODAY(),"3M","AUD","Unadjusted"),),"ACT/365")-$I18)/$I18</f>
        <v>#NAME?</v>
      </c>
      <c r="Q18" s="143" t="e">
        <f t="shared" ca="1" si="1"/>
        <v>#VALUE!</v>
      </c>
      <c r="R18" s="191" t="str">
        <f>IF(F18&lt;&gt;"","",IF(G18="","",-G18*(SUMIF('raw Data'!$A:$A,"RESINV1USD",'raw Data'!$G:$G)+SUMIF('raw Data'!$A:$A,"RESSWAPORUSD",'raw Data'!$G:$G))/(36500*J18)))</f>
        <v/>
      </c>
      <c r="S18" s="202" t="str">
        <f>IF(G18&lt;&gt;"","",IF(F18="","",-36500*J18*F18/(SUMIF('raw Data'!$A:$A,"RESINV1USD",'raw Data'!$G:$G)+SUMIF('raw Data'!$A:$A,"RESSWAPORUSD",'raw Data'!$G:$G))))</f>
        <v/>
      </c>
      <c r="T18" s="125">
        <f>SUMIF('raw Data'!$E:$E,A18,'raw Data'!$N:$N)</f>
        <v>15000</v>
      </c>
      <c r="U18" s="126" t="e">
        <f ca="1">VALUE(_xll.BDP($A18 &amp; " Corp",U$1))</f>
        <v>#NAME?</v>
      </c>
      <c r="V18" s="127" t="e">
        <f ca="1">VALUE(_xll.BDP($A18 &amp; " Corp",V$1))</f>
        <v>#NAME?</v>
      </c>
      <c r="W18" s="127" t="e">
        <f ca="1">VALUE(_xll.BDP($A18 &amp; " Corp",W$1))</f>
        <v>#NAME?</v>
      </c>
      <c r="X18" s="127" t="e">
        <f ca="1">VALUE(_xll.BDP($A18 &amp; " Corp",X$1))</f>
        <v>#NAME?</v>
      </c>
      <c r="Y18" s="127" t="e">
        <f ca="1">VALUE(_xll.BDP($A18 &amp; " Corp",Y$1))</f>
        <v>#NAME?</v>
      </c>
      <c r="Z18" s="128" t="e">
        <f ca="1">_xll.BDP($A18 &amp; " Corp",Z$1)/100</f>
        <v>#NAME?</v>
      </c>
      <c r="AA18" s="129" t="e">
        <f ca="1">_xll.BDP($A18 &amp; " Corp",AA$1)</f>
        <v>#NAME?</v>
      </c>
      <c r="AB18" s="129" t="e">
        <f ca="1">_xll.BDP($A18 &amp; " Corp",AB$1)</f>
        <v>#NAME?</v>
      </c>
      <c r="AC18" s="129" t="e">
        <f ca="1">_xll.BDP($A18 &amp; " Corp",AC$1)</f>
        <v>#NAME?</v>
      </c>
      <c r="AD18" s="130" t="e">
        <f ca="1">_xll.INSTANCE.YANKEE(A18,U18,V18,W18,X18,Y18,Z18,AA18,LEFT(AC18,11),3,IF(RIGHT(AC18,6)="NONEOM",FALSE,TRUE),TODAY())</f>
        <v>#VALUE!</v>
      </c>
      <c r="AE18" s="130" t="e">
        <f ca="1">_xll.INSTANCE.CONVENTION.TAUX("conv_" &amp; A18,LEFT(AC18,11),"Compounded",IF(AA18=1,"Annual",IF(AA18=2,"Semi-Annual","")),"Unadjusted",TODAY())</f>
        <v>#VALUE!</v>
      </c>
    </row>
    <row r="19" spans="1:31" x14ac:dyDescent="0.35">
      <c r="A19" s="131" t="s">
        <v>677</v>
      </c>
      <c r="B19" s="115" t="e">
        <f ca="1">_xll.BDP($A19 &amp; " Govt",B$1)</f>
        <v>#NAME?</v>
      </c>
      <c r="C19" s="201" t="e">
        <f t="shared" ca="1" si="0"/>
        <v>#NAME?</v>
      </c>
      <c r="D19" s="116"/>
      <c r="E19" s="117"/>
      <c r="F19" s="118"/>
      <c r="G19" s="119"/>
      <c r="H19" s="120" t="e">
        <f ca="1">IF(E19="",_xll.BDP(A19 &amp; " Corp","YLD_YTM_BID")/100,E19)</f>
        <v>#NAME?</v>
      </c>
      <c r="I19" s="121" t="e">
        <f ca="1">_xll.INSTRUMENT.PRIX(AD19,D19,H19,AE19)</f>
        <v>#VALUE!</v>
      </c>
      <c r="J19" s="122" t="e">
        <f ca="1">_xll.INSTRUMENT.DV01(AD19,,,I19,cContinuous,I19)</f>
        <v>#VALUE!</v>
      </c>
      <c r="K19" s="123" t="e">
        <f ca="1">_xll.INSTRUMENT.CONVEXITE(AD19,,,I19,cContinuous,I19)</f>
        <v>#VALUE!</v>
      </c>
      <c r="L19" s="123" t="e">
        <f ca="1">_xll.INSTRUMENT.Z.SPREAD(AD19,swapCurve,I19,,D19)</f>
        <v>#VALUE!</v>
      </c>
      <c r="M19" s="123" t="e">
        <f ca="1">_xll.INSTRUMENT.Z.SPREAD(AD19,ustCurve,I19,,D19)</f>
        <v>#VALUE!</v>
      </c>
      <c r="N19" s="123" t="e">
        <f ca="1">_xll.INSTRUMENT.Z.SPREAD(AD19,oisCurve,I19,,D19)</f>
        <v>#VALUE!</v>
      </c>
      <c r="O19" s="124" t="e">
        <f ca="1">1/_xll.CALENDRIER.FRAC.ANNEE(_xll.INSTRUMENT.DATE.REGLEMENT($AD19,,),_xll.INSTRUMENT.DATE.REGLEMENT($AD19,_xll.CALENDRIER.GAP.FINANCE(TODAY(),"1M","AUD","Unadjusted"),),"ACT/365")*(_xll.INSTRUMENT.ROLL.DOWN($AD19,swapCurve,_xll.CALENDRIER.GAP.FINANCE(TODAY(),"1M","AUD","Unadjusted",TRUE),$L19)+100*$Z19*_xll.CALENDRIER.FRAC.ANNEE(_xll.INSTRUMENT.DATE.REGLEMENT($AD19,,),_xll.INSTRUMENT.DATE.REGLEMENT($AD19,_xll.CALENDRIER.GAP.FINANCE(TODAY(),"1M","AUD","Unadjusted"),),"ACT/365")-$I19)/$I19</f>
        <v>#NAME?</v>
      </c>
      <c r="P19" s="124" t="e">
        <f ca="1">1/_xll.CALENDRIER.FRAC.ANNEE(_xll.INSTRUMENT.DATE.REGLEMENT($AD19,,),_xll.INSTRUMENT.DATE.REGLEMENT($AD19,_xll.CALENDRIER.GAP.FINANCE(TODAY(),"3M","AUD","Unadjusted"),),"ACT/365")*(_xll.INSTRUMENT.ROLL.DOWN($AD19,swapCurve,_xll.CALENDRIER.GAP.FINANCE(TODAY(),"3M","AUD","Unadjusted",TRUE),$L19)+100*$Z19*_xll.CALENDRIER.FRAC.ANNEE(_xll.INSTRUMENT.DATE.REGLEMENT($AD19,,),_xll.INSTRUMENT.DATE.REGLEMENT($AD19,_xll.CALENDRIER.GAP.FINANCE(TODAY(),"3M","AUD","Unadjusted"),),"ACT/365")-$I19)/$I19</f>
        <v>#NAME?</v>
      </c>
      <c r="Q19" s="143" t="e">
        <f t="shared" ca="1" si="1"/>
        <v>#VALUE!</v>
      </c>
      <c r="R19" s="191" t="str">
        <f>IF(F19&lt;&gt;"","",IF(G19="","",-G19*(SUMIF('raw Data'!$A:$A,"RESINV1USD",'raw Data'!$G:$G)+SUMIF('raw Data'!$A:$A,"RESSWAPORUSD",'raw Data'!$G:$G))/(36500*J19)))</f>
        <v/>
      </c>
      <c r="S19" s="202" t="str">
        <f>IF(G19&lt;&gt;"","",IF(F19="","",-36500*J19*F19/(SUMIF('raw Data'!$A:$A,"RESINV1USD",'raw Data'!$G:$G)+SUMIF('raw Data'!$A:$A,"RESSWAPORUSD",'raw Data'!$G:$G))))</f>
        <v/>
      </c>
      <c r="T19" s="125">
        <f>SUMIF('raw Data'!$E:$E,A19,'raw Data'!$N:$N)</f>
        <v>0</v>
      </c>
      <c r="U19" s="126" t="e">
        <f ca="1">VALUE(_xll.BDP($A19 &amp; " Corp",U$1))</f>
        <v>#NAME?</v>
      </c>
      <c r="V19" s="127" t="e">
        <f ca="1">VALUE(_xll.BDP($A19 &amp; " Corp",V$1))</f>
        <v>#NAME?</v>
      </c>
      <c r="W19" s="127" t="e">
        <f ca="1">VALUE(_xll.BDP($A19 &amp; " Corp",W$1))</f>
        <v>#NAME?</v>
      </c>
      <c r="X19" s="127" t="e">
        <f ca="1">VALUE(_xll.BDP($A19 &amp; " Corp",X$1))</f>
        <v>#NAME?</v>
      </c>
      <c r="Y19" s="127" t="e">
        <f ca="1">VALUE(_xll.BDP($A19 &amp; " Corp",Y$1))</f>
        <v>#NAME?</v>
      </c>
      <c r="Z19" s="128" t="e">
        <f ca="1">_xll.BDP($A19 &amp; " Corp",Z$1)/100</f>
        <v>#NAME?</v>
      </c>
      <c r="AA19" s="129" t="e">
        <f ca="1">_xll.BDP($A19 &amp; " Corp",AA$1)</f>
        <v>#NAME?</v>
      </c>
      <c r="AB19" s="129" t="e">
        <f ca="1">_xll.BDP($A19 &amp; " Corp",AB$1)</f>
        <v>#NAME?</v>
      </c>
      <c r="AC19" s="129" t="e">
        <f ca="1">_xll.BDP($A19 &amp; " Corp",AC$1)</f>
        <v>#NAME?</v>
      </c>
      <c r="AD19" s="130" t="e">
        <f ca="1">_xll.INSTANCE.YANKEE(A19,U19,V19,W19,X19,Y19,Z19,AA19,LEFT(AC19,11),3,IF(RIGHT(AC19,6)="NONEOM",FALSE,TRUE),TODAY())</f>
        <v>#VALUE!</v>
      </c>
      <c r="AE19" s="130" t="e">
        <f ca="1">_xll.INSTANCE.CONVENTION.TAUX("conv_" &amp; A19,LEFT(AC19,11),"Compounded",IF(AA19=1,"Annual",IF(AA19=2,"Semi-Annual","")),"Unadjusted",TODAY())</f>
        <v>#VALUE!</v>
      </c>
    </row>
    <row r="20" spans="1:31" x14ac:dyDescent="0.35">
      <c r="A20" s="131" t="s">
        <v>369</v>
      </c>
      <c r="B20" s="115" t="e">
        <f ca="1">_xll.BDP($A20 &amp; " Govt",B$1)</f>
        <v>#NAME?</v>
      </c>
      <c r="C20" s="201" t="e">
        <f t="shared" ca="1" si="0"/>
        <v>#NAME?</v>
      </c>
      <c r="D20" s="116"/>
      <c r="E20" s="117"/>
      <c r="F20" s="118"/>
      <c r="G20" s="119"/>
      <c r="H20" s="120" t="e">
        <f ca="1">IF(E20="",_xll.BDP(A20 &amp; " Corp","YLD_YTM_BID")/100,E20)</f>
        <v>#NAME?</v>
      </c>
      <c r="I20" s="121" t="e">
        <f ca="1">_xll.INSTRUMENT.PRIX(AD20,D20,H20,AE20)</f>
        <v>#VALUE!</v>
      </c>
      <c r="J20" s="122" t="e">
        <f ca="1">_xll.INSTRUMENT.DV01(AD20,,,I20,cContinuous,I20)</f>
        <v>#VALUE!</v>
      </c>
      <c r="K20" s="123" t="e">
        <f ca="1">_xll.INSTRUMENT.CONVEXITE(AD20,,,I20,cContinuous,I20)</f>
        <v>#VALUE!</v>
      </c>
      <c r="L20" s="123" t="e">
        <f ca="1">_xll.INSTRUMENT.Z.SPREAD(AD20,swapCurve,I20,,D20)</f>
        <v>#VALUE!</v>
      </c>
      <c r="M20" s="123" t="e">
        <f ca="1">_xll.INSTRUMENT.Z.SPREAD(AD20,ustCurve,I20,,D20)</f>
        <v>#VALUE!</v>
      </c>
      <c r="N20" s="123" t="e">
        <f ca="1">_xll.INSTRUMENT.Z.SPREAD(AD20,oisCurve,I20,,D20)</f>
        <v>#VALUE!</v>
      </c>
      <c r="O20" s="124" t="e">
        <f ca="1">1/_xll.CALENDRIER.FRAC.ANNEE(_xll.INSTRUMENT.DATE.REGLEMENT($AD20,,),_xll.INSTRUMENT.DATE.REGLEMENT($AD20,_xll.CALENDRIER.GAP.FINANCE(TODAY(),"1M","AUD","Unadjusted"),),"ACT/365")*(_xll.INSTRUMENT.ROLL.DOWN($AD20,swapCurve,_xll.CALENDRIER.GAP.FINANCE(TODAY(),"1M","AUD","Unadjusted",TRUE),$L20)+100*$Z20*_xll.CALENDRIER.FRAC.ANNEE(_xll.INSTRUMENT.DATE.REGLEMENT($AD20,,),_xll.INSTRUMENT.DATE.REGLEMENT($AD20,_xll.CALENDRIER.GAP.FINANCE(TODAY(),"1M","AUD","Unadjusted"),),"ACT/365")-$I20)/$I20</f>
        <v>#NAME?</v>
      </c>
      <c r="P20" s="124" t="e">
        <f ca="1">1/_xll.CALENDRIER.FRAC.ANNEE(_xll.INSTRUMENT.DATE.REGLEMENT($AD20,,),_xll.INSTRUMENT.DATE.REGLEMENT($AD20,_xll.CALENDRIER.GAP.FINANCE(TODAY(),"3M","AUD","Unadjusted"),),"ACT/365")*(_xll.INSTRUMENT.ROLL.DOWN($AD20,swapCurve,_xll.CALENDRIER.GAP.FINANCE(TODAY(),"3M","AUD","Unadjusted",TRUE),$L20)+100*$Z20*_xll.CALENDRIER.FRAC.ANNEE(_xll.INSTRUMENT.DATE.REGLEMENT($AD20,,),_xll.INSTRUMENT.DATE.REGLEMENT($AD20,_xll.CALENDRIER.GAP.FINANCE(TODAY(),"3M","AUD","Unadjusted"),),"ACT/365")-$I20)/$I20</f>
        <v>#NAME?</v>
      </c>
      <c r="Q20" s="143" t="e">
        <f t="shared" ca="1" si="1"/>
        <v>#VALUE!</v>
      </c>
      <c r="R20" s="191" t="str">
        <f>IF(F20&lt;&gt;"","",IF(G20="","",-G20*(SUMIF('raw Data'!$A:$A,"RESINV1USD",'raw Data'!$G:$G)+SUMIF('raw Data'!$A:$A,"RESSWAPORUSD",'raw Data'!$G:$G))/(36500*J20)))</f>
        <v/>
      </c>
      <c r="S20" s="202" t="str">
        <f>IF(G20&lt;&gt;"","",IF(F20="","",-36500*J20*F20/(SUMIF('raw Data'!$A:$A,"RESINV1USD",'raw Data'!$G:$G)+SUMIF('raw Data'!$A:$A,"RESSWAPORUSD",'raw Data'!$G:$G))))</f>
        <v/>
      </c>
      <c r="T20" s="125">
        <f>SUMIF('raw Data'!$E:$E,A20,'raw Data'!$N:$N)</f>
        <v>5000</v>
      </c>
      <c r="U20" s="126" t="e">
        <f ca="1">VALUE(_xll.BDP($A20 &amp; " Corp",U$1))</f>
        <v>#NAME?</v>
      </c>
      <c r="V20" s="127" t="e">
        <f ca="1">VALUE(_xll.BDP($A20 &amp; " Corp",V$1))</f>
        <v>#NAME?</v>
      </c>
      <c r="W20" s="127" t="e">
        <f ca="1">VALUE(_xll.BDP($A20 &amp; " Corp",W$1))</f>
        <v>#NAME?</v>
      </c>
      <c r="X20" s="127" t="e">
        <f ca="1">VALUE(_xll.BDP($A20 &amp; " Corp",X$1))</f>
        <v>#NAME?</v>
      </c>
      <c r="Y20" s="127" t="e">
        <f ca="1">VALUE(_xll.BDP($A20 &amp; " Corp",Y$1))</f>
        <v>#NAME?</v>
      </c>
      <c r="Z20" s="128" t="e">
        <f ca="1">_xll.BDP($A20 &amp; " Corp",Z$1)/100</f>
        <v>#NAME?</v>
      </c>
      <c r="AA20" s="129" t="e">
        <f ca="1">_xll.BDP($A20 &amp; " Corp",AA$1)</f>
        <v>#NAME?</v>
      </c>
      <c r="AB20" s="129" t="e">
        <f ca="1">_xll.BDP($A20 &amp; " Corp",AB$1)</f>
        <v>#NAME?</v>
      </c>
      <c r="AC20" s="129" t="e">
        <f ca="1">_xll.BDP($A20 &amp; " Corp",AC$1)</f>
        <v>#NAME?</v>
      </c>
      <c r="AD20" s="130" t="e">
        <f ca="1">_xll.INSTANCE.YANKEE(A20,U20,V20,W20,X20,Y20,Z20,AA20,LEFT(AC20,11),3,IF(RIGHT(AC20,6)="NONEOM",FALSE,TRUE),TODAY())</f>
        <v>#VALUE!</v>
      </c>
      <c r="AE20" s="130" t="e">
        <f ca="1">_xll.INSTANCE.CONVENTION.TAUX("conv_" &amp; A20,LEFT(AC20,11),"Compounded",IF(AA20=1,"Annual",IF(AA20=2,"Semi-Annual","")),"Unadjusted",TODAY())</f>
        <v>#VALUE!</v>
      </c>
    </row>
    <row r="21" spans="1:31" x14ac:dyDescent="0.35">
      <c r="A21" s="131" t="s">
        <v>861</v>
      </c>
      <c r="B21" s="115" t="e">
        <f ca="1">_xll.BDP($A21 &amp; " Govt",B$1)</f>
        <v>#NAME?</v>
      </c>
      <c r="C21" s="201" t="e">
        <f t="shared" ca="1" si="0"/>
        <v>#NAME?</v>
      </c>
      <c r="D21" s="116"/>
      <c r="E21" s="117"/>
      <c r="F21" s="118"/>
      <c r="G21" s="119"/>
      <c r="H21" s="120" t="e">
        <f ca="1">IF(E21="",_xll.BDP(A21 &amp; " Corp","YLD_YTM_BID")/100,E21)</f>
        <v>#NAME?</v>
      </c>
      <c r="I21" s="121" t="e">
        <f ca="1">_xll.INSTRUMENT.PRIX(AD21,D21,H21,AE21)</f>
        <v>#VALUE!</v>
      </c>
      <c r="J21" s="122" t="e">
        <f ca="1">_xll.INSTRUMENT.DV01(AD21,,,I21,cContinuous,I21)</f>
        <v>#VALUE!</v>
      </c>
      <c r="K21" s="123" t="e">
        <f ca="1">_xll.INSTRUMENT.CONVEXITE(AD21,,,I21,cContinuous,I21)</f>
        <v>#VALUE!</v>
      </c>
      <c r="L21" s="123" t="e">
        <f ca="1">_xll.INSTRUMENT.Z.SPREAD(AD21,swapCurve,I21,,D21)</f>
        <v>#VALUE!</v>
      </c>
      <c r="M21" s="123" t="e">
        <f ca="1">_xll.INSTRUMENT.Z.SPREAD(AD21,ustCurve,I21,,D21)</f>
        <v>#VALUE!</v>
      </c>
      <c r="N21" s="123" t="e">
        <f ca="1">_xll.INSTRUMENT.Z.SPREAD(AD21,oisCurve,I21,,D21)</f>
        <v>#VALUE!</v>
      </c>
      <c r="O21" s="124" t="e">
        <f ca="1">1/_xll.CALENDRIER.FRAC.ANNEE(_xll.INSTRUMENT.DATE.REGLEMENT($AD21,,),_xll.INSTRUMENT.DATE.REGLEMENT($AD21,_xll.CALENDRIER.GAP.FINANCE(TODAY(),"1M","AUD","Unadjusted"),),"ACT/365")*(_xll.INSTRUMENT.ROLL.DOWN($AD21,swapCurve,_xll.CALENDRIER.GAP.FINANCE(TODAY(),"1M","AUD","Unadjusted",TRUE),$L21)+100*$Z21*_xll.CALENDRIER.FRAC.ANNEE(_xll.INSTRUMENT.DATE.REGLEMENT($AD21,,),_xll.INSTRUMENT.DATE.REGLEMENT($AD21,_xll.CALENDRIER.GAP.FINANCE(TODAY(),"1M","AUD","Unadjusted"),),"ACT/365")-$I21)/$I21</f>
        <v>#NAME?</v>
      </c>
      <c r="P21" s="124" t="e">
        <f ca="1">1/_xll.CALENDRIER.FRAC.ANNEE(_xll.INSTRUMENT.DATE.REGLEMENT($AD21,,),_xll.INSTRUMENT.DATE.REGLEMENT($AD21,_xll.CALENDRIER.GAP.FINANCE(TODAY(),"3M","AUD","Unadjusted"),),"ACT/365")*(_xll.INSTRUMENT.ROLL.DOWN($AD21,swapCurve,_xll.CALENDRIER.GAP.FINANCE(TODAY(),"3M","AUD","Unadjusted",TRUE),$L21)+100*$Z21*_xll.CALENDRIER.FRAC.ANNEE(_xll.INSTRUMENT.DATE.REGLEMENT($AD21,,),_xll.INSTRUMENT.DATE.REGLEMENT($AD21,_xll.CALENDRIER.GAP.FINANCE(TODAY(),"3M","AUD","Unadjusted"),),"ACT/365")-$I21)/$I21</f>
        <v>#NAME?</v>
      </c>
      <c r="Q21" s="143" t="e">
        <f t="shared" ca="1" si="1"/>
        <v>#VALUE!</v>
      </c>
      <c r="R21" s="191" t="str">
        <f>IF(F21&lt;&gt;"","",IF(G21="","",-G21*(SUMIF('raw Data'!$A:$A,"RESINV1USD",'raw Data'!$G:$G)+SUMIF('raw Data'!$A:$A,"RESSWAPORUSD",'raw Data'!$G:$G))/(36500*J21)))</f>
        <v/>
      </c>
      <c r="S21" s="202" t="str">
        <f>IF(G21&lt;&gt;"","",IF(F21="","",-36500*J21*F21/(SUMIF('raw Data'!$A:$A,"RESINV1USD",'raw Data'!$G:$G)+SUMIF('raw Data'!$A:$A,"RESSWAPORUSD",'raw Data'!$G:$G))))</f>
        <v/>
      </c>
      <c r="T21" s="125">
        <f>SUMIF('raw Data'!$E:$E,A21,'raw Data'!$N:$N)</f>
        <v>0</v>
      </c>
      <c r="U21" s="126" t="e">
        <f ca="1">VALUE(_xll.BDP($A21 &amp; " Corp",U$1))</f>
        <v>#NAME?</v>
      </c>
      <c r="V21" s="127" t="e">
        <f ca="1">VALUE(_xll.BDP($A21 &amp; " Corp",V$1))</f>
        <v>#NAME?</v>
      </c>
      <c r="W21" s="127" t="e">
        <f ca="1">VALUE(_xll.BDP($A21 &amp; " Corp",W$1))</f>
        <v>#NAME?</v>
      </c>
      <c r="X21" s="127" t="e">
        <f ca="1">VALUE(_xll.BDP($A21 &amp; " Corp",X$1))</f>
        <v>#NAME?</v>
      </c>
      <c r="Y21" s="127" t="e">
        <f ca="1">VALUE(_xll.BDP($A21 &amp; " Corp",Y$1))</f>
        <v>#NAME?</v>
      </c>
      <c r="Z21" s="128" t="e">
        <f ca="1">_xll.BDP($A21 &amp; " Corp",Z$1)/100</f>
        <v>#NAME?</v>
      </c>
      <c r="AA21" s="129" t="e">
        <f ca="1">_xll.BDP($A21 &amp; " Corp",AA$1)</f>
        <v>#NAME?</v>
      </c>
      <c r="AB21" s="129" t="e">
        <f ca="1">_xll.BDP($A21 &amp; " Corp",AB$1)</f>
        <v>#NAME?</v>
      </c>
      <c r="AC21" s="129" t="e">
        <f ca="1">_xll.BDP($A21 &amp; " Corp",AC$1)</f>
        <v>#NAME?</v>
      </c>
      <c r="AD21" s="130" t="e">
        <f ca="1">_xll.INSTANCE.YANKEE(A21,U21,V21,W21,X21,Y21,Z21,AA21,LEFT(AC21,11),3,IF(RIGHT(AC21,6)="NONEOM",FALSE,TRUE),TODAY())</f>
        <v>#VALUE!</v>
      </c>
      <c r="AE21" s="130" t="e">
        <f ca="1">_xll.INSTANCE.CONVENTION.TAUX("conv_" &amp; A21,LEFT(AC21,11),"Compounded",IF(AA21=1,"Annual",IF(AA21=2,"Semi-Annual","")),"Unadjusted",TODAY())</f>
        <v>#VALUE!</v>
      </c>
    </row>
    <row r="22" spans="1:31" x14ac:dyDescent="0.35">
      <c r="A22" s="131" t="s">
        <v>862</v>
      </c>
      <c r="B22" s="115" t="e">
        <f ca="1">_xll.BDP($A22 &amp; " Govt",B$1)</f>
        <v>#NAME?</v>
      </c>
      <c r="C22" s="201" t="e">
        <f t="shared" ca="1" si="0"/>
        <v>#NAME?</v>
      </c>
      <c r="D22" s="116"/>
      <c r="E22" s="117"/>
      <c r="F22" s="118"/>
      <c r="G22" s="119"/>
      <c r="H22" s="120" t="e">
        <f ca="1">IF(E22="",_xll.BDP(A22 &amp; " Corp","YLD_YTM_BID")/100,E22)</f>
        <v>#NAME?</v>
      </c>
      <c r="I22" s="121" t="e">
        <f ca="1">_xll.INSTRUMENT.PRIX(AD22,D22,H22,AE22)</f>
        <v>#VALUE!</v>
      </c>
      <c r="J22" s="122" t="e">
        <f ca="1">_xll.INSTRUMENT.DV01(AD22,,,I22,cContinuous,I22)</f>
        <v>#VALUE!</v>
      </c>
      <c r="K22" s="123" t="e">
        <f ca="1">_xll.INSTRUMENT.CONVEXITE(AD22,,,I22,cContinuous,I22)</f>
        <v>#VALUE!</v>
      </c>
      <c r="L22" s="123" t="e">
        <f ca="1">_xll.INSTRUMENT.Z.SPREAD(AD22,swapCurve,I22,,D22)</f>
        <v>#VALUE!</v>
      </c>
      <c r="M22" s="123" t="e">
        <f ca="1">_xll.INSTRUMENT.Z.SPREAD(AD22,ustCurve,I22,,D22)</f>
        <v>#VALUE!</v>
      </c>
      <c r="N22" s="123" t="e">
        <f ca="1">_xll.INSTRUMENT.Z.SPREAD(AD22,oisCurve,I22,,D22)</f>
        <v>#VALUE!</v>
      </c>
      <c r="O22" s="124" t="e">
        <f ca="1">1/_xll.CALENDRIER.FRAC.ANNEE(_xll.INSTRUMENT.DATE.REGLEMENT($AD22,,),_xll.INSTRUMENT.DATE.REGLEMENT($AD22,_xll.CALENDRIER.GAP.FINANCE(TODAY(),"1M","AUD","Unadjusted"),),"ACT/365")*(_xll.INSTRUMENT.ROLL.DOWN($AD22,swapCurve,_xll.CALENDRIER.GAP.FINANCE(TODAY(),"1M","AUD","Unadjusted",TRUE),$L22)+100*$Z22*_xll.CALENDRIER.FRAC.ANNEE(_xll.INSTRUMENT.DATE.REGLEMENT($AD22,,),_xll.INSTRUMENT.DATE.REGLEMENT($AD22,_xll.CALENDRIER.GAP.FINANCE(TODAY(),"1M","AUD","Unadjusted"),),"ACT/365")-$I22)/$I22</f>
        <v>#NAME?</v>
      </c>
      <c r="P22" s="124" t="e">
        <f ca="1">1/_xll.CALENDRIER.FRAC.ANNEE(_xll.INSTRUMENT.DATE.REGLEMENT($AD22,,),_xll.INSTRUMENT.DATE.REGLEMENT($AD22,_xll.CALENDRIER.GAP.FINANCE(TODAY(),"3M","AUD","Unadjusted"),),"ACT/365")*(_xll.INSTRUMENT.ROLL.DOWN($AD22,swapCurve,_xll.CALENDRIER.GAP.FINANCE(TODAY(),"3M","AUD","Unadjusted",TRUE),$L22)+100*$Z22*_xll.CALENDRIER.FRAC.ANNEE(_xll.INSTRUMENT.DATE.REGLEMENT($AD22,,),_xll.INSTRUMENT.DATE.REGLEMENT($AD22,_xll.CALENDRIER.GAP.FINANCE(TODAY(),"3M","AUD","Unadjusted"),),"ACT/365")-$I22)/$I22</f>
        <v>#NAME?</v>
      </c>
      <c r="Q22" s="143" t="e">
        <f t="shared" ca="1" si="1"/>
        <v>#VALUE!</v>
      </c>
      <c r="R22" s="191" t="str">
        <f>IF(F22&lt;&gt;"","",IF(G22="","",-G22*(SUMIF('raw Data'!$A:$A,"RESINV1USD",'raw Data'!$G:$G)+SUMIF('raw Data'!$A:$A,"RESSWAPORUSD",'raw Data'!$G:$G))/(36500*J22)))</f>
        <v/>
      </c>
      <c r="S22" s="202" t="str">
        <f>IF(G22&lt;&gt;"","",IF(F22="","",-36500*J22*F22/(SUMIF('raw Data'!$A:$A,"RESINV1USD",'raw Data'!$G:$G)+SUMIF('raw Data'!$A:$A,"RESSWAPORUSD",'raw Data'!$G:$G))))</f>
        <v/>
      </c>
      <c r="T22" s="125">
        <f>SUMIF('raw Data'!$E:$E,A22,'raw Data'!$N:$N)</f>
        <v>0</v>
      </c>
      <c r="U22" s="126" t="e">
        <f ca="1">VALUE(_xll.BDP($A22 &amp; " Corp",U$1))</f>
        <v>#NAME?</v>
      </c>
      <c r="V22" s="127" t="e">
        <f ca="1">VALUE(_xll.BDP($A22 &amp; " Corp",V$1))</f>
        <v>#NAME?</v>
      </c>
      <c r="W22" s="127" t="e">
        <f ca="1">VALUE(_xll.BDP($A22 &amp; " Corp",W$1))</f>
        <v>#NAME?</v>
      </c>
      <c r="X22" s="127" t="e">
        <f ca="1">VALUE(_xll.BDP($A22 &amp; " Corp",X$1))</f>
        <v>#NAME?</v>
      </c>
      <c r="Y22" s="127" t="e">
        <f ca="1">VALUE(_xll.BDP($A22 &amp; " Corp",Y$1))</f>
        <v>#NAME?</v>
      </c>
      <c r="Z22" s="128" t="e">
        <f ca="1">_xll.BDP($A22 &amp; " Corp",Z$1)/100</f>
        <v>#NAME?</v>
      </c>
      <c r="AA22" s="129" t="e">
        <f ca="1">_xll.BDP($A22 &amp; " Corp",AA$1)</f>
        <v>#NAME?</v>
      </c>
      <c r="AB22" s="129" t="e">
        <f ca="1">_xll.BDP($A22 &amp; " Corp",AB$1)</f>
        <v>#NAME?</v>
      </c>
      <c r="AC22" s="129" t="e">
        <f ca="1">_xll.BDP($A22 &amp; " Corp",AC$1)</f>
        <v>#NAME?</v>
      </c>
      <c r="AD22" s="130" t="e">
        <f ca="1">_xll.INSTANCE.YANKEE(A22,U22,V22,W22,X22,Y22,Z22,AA22,LEFT(AC22,11),3,IF(RIGHT(AC22,6)="NONEOM",FALSE,TRUE),TODAY())</f>
        <v>#VALUE!</v>
      </c>
      <c r="AE22" s="130" t="e">
        <f ca="1">_xll.INSTANCE.CONVENTION.TAUX("conv_" &amp; A22,LEFT(AC22,11),"Compounded",IF(AA22=1,"Annual",IF(AA22=2,"Semi-Annual","")),"Unadjusted",TODAY())</f>
        <v>#VALUE!</v>
      </c>
    </row>
    <row r="23" spans="1:31" x14ac:dyDescent="0.35">
      <c r="A23" s="131" t="s">
        <v>863</v>
      </c>
      <c r="B23" s="115" t="e">
        <f ca="1">_xll.BDP($A23 &amp; " Govt",B$1)</f>
        <v>#NAME?</v>
      </c>
      <c r="C23" s="201" t="e">
        <f t="shared" ca="1" si="0"/>
        <v>#NAME?</v>
      </c>
      <c r="D23" s="116"/>
      <c r="E23" s="117"/>
      <c r="F23" s="118"/>
      <c r="G23" s="119"/>
      <c r="H23" s="120" t="e">
        <f ca="1">IF(E23="",_xll.BDP(A23 &amp; " Corp","YLD_YTM_BID")/100,E23)</f>
        <v>#NAME?</v>
      </c>
      <c r="I23" s="121" t="e">
        <f ca="1">_xll.INSTRUMENT.PRIX(AD23,D23,H23,AE23)</f>
        <v>#VALUE!</v>
      </c>
      <c r="J23" s="122" t="e">
        <f ca="1">_xll.INSTRUMENT.DV01(AD23,,,I23,cContinuous,I23)</f>
        <v>#VALUE!</v>
      </c>
      <c r="K23" s="123" t="e">
        <f ca="1">_xll.INSTRUMENT.CONVEXITE(AD23,,,I23,cContinuous,I23)</f>
        <v>#VALUE!</v>
      </c>
      <c r="L23" s="123" t="e">
        <f ca="1">_xll.INSTRUMENT.Z.SPREAD(AD23,swapCurve,I23,,D23)</f>
        <v>#VALUE!</v>
      </c>
      <c r="M23" s="123" t="e">
        <f ca="1">_xll.INSTRUMENT.Z.SPREAD(AD23,ustCurve,I23,,D23)</f>
        <v>#VALUE!</v>
      </c>
      <c r="N23" s="123" t="e">
        <f ca="1">_xll.INSTRUMENT.Z.SPREAD(AD23,oisCurve,I23,,D23)</f>
        <v>#VALUE!</v>
      </c>
      <c r="O23" s="124" t="e">
        <f ca="1">1/_xll.CALENDRIER.FRAC.ANNEE(_xll.INSTRUMENT.DATE.REGLEMENT($AD23,,),_xll.INSTRUMENT.DATE.REGLEMENT($AD23,_xll.CALENDRIER.GAP.FINANCE(TODAY(),"1M","AUD","Unadjusted"),),"ACT/365")*(_xll.INSTRUMENT.ROLL.DOWN($AD23,swapCurve,_xll.CALENDRIER.GAP.FINANCE(TODAY(),"1M","AUD","Unadjusted",TRUE),$L23)+100*$Z23*_xll.CALENDRIER.FRAC.ANNEE(_xll.INSTRUMENT.DATE.REGLEMENT($AD23,,),_xll.INSTRUMENT.DATE.REGLEMENT($AD23,_xll.CALENDRIER.GAP.FINANCE(TODAY(),"1M","AUD","Unadjusted"),),"ACT/365")-$I23)/$I23</f>
        <v>#NAME?</v>
      </c>
      <c r="P23" s="124" t="e">
        <f ca="1">1/_xll.CALENDRIER.FRAC.ANNEE(_xll.INSTRUMENT.DATE.REGLEMENT($AD23,,),_xll.INSTRUMENT.DATE.REGLEMENT($AD23,_xll.CALENDRIER.GAP.FINANCE(TODAY(),"3M","AUD","Unadjusted"),),"ACT/365")*(_xll.INSTRUMENT.ROLL.DOWN($AD23,swapCurve,_xll.CALENDRIER.GAP.FINANCE(TODAY(),"3M","AUD","Unadjusted",TRUE),$L23)+100*$Z23*_xll.CALENDRIER.FRAC.ANNEE(_xll.INSTRUMENT.DATE.REGLEMENT($AD23,,),_xll.INSTRUMENT.DATE.REGLEMENT($AD23,_xll.CALENDRIER.GAP.FINANCE(TODAY(),"3M","AUD","Unadjusted"),),"ACT/365")-$I23)/$I23</f>
        <v>#NAME?</v>
      </c>
      <c r="Q23" s="143" t="e">
        <f t="shared" ca="1" si="1"/>
        <v>#VALUE!</v>
      </c>
      <c r="R23" s="191" t="str">
        <f>IF(F23&lt;&gt;"","",IF(G23="","",-G23*(SUMIF('raw Data'!$A:$A,"RESINV1USD",'raw Data'!$G:$G)+SUMIF('raw Data'!$A:$A,"RESSWAPORUSD",'raw Data'!$G:$G))/(36500*J23)))</f>
        <v/>
      </c>
      <c r="S23" s="202" t="str">
        <f>IF(G23&lt;&gt;"","",IF(F23="","",-36500*J23*F23/(SUMIF('raw Data'!$A:$A,"RESINV1USD",'raw Data'!$G:$G)+SUMIF('raw Data'!$A:$A,"RESSWAPORUSD",'raw Data'!$G:$G))))</f>
        <v/>
      </c>
      <c r="T23" s="125">
        <f>SUMIF('raw Data'!$E:$E,A23,'raw Data'!$N:$N)</f>
        <v>0</v>
      </c>
      <c r="U23" s="126" t="e">
        <f ca="1">VALUE(_xll.BDP($A23 &amp; " Corp",U$1))</f>
        <v>#NAME?</v>
      </c>
      <c r="V23" s="127" t="e">
        <f ca="1">VALUE(_xll.BDP($A23 &amp; " Corp",V$1))</f>
        <v>#NAME?</v>
      </c>
      <c r="W23" s="127" t="e">
        <f ca="1">VALUE(_xll.BDP($A23 &amp; " Corp",W$1))</f>
        <v>#NAME?</v>
      </c>
      <c r="X23" s="127" t="e">
        <f ca="1">VALUE(_xll.BDP($A23 &amp; " Corp",X$1))</f>
        <v>#NAME?</v>
      </c>
      <c r="Y23" s="127" t="e">
        <f ca="1">VALUE(_xll.BDP($A23 &amp; " Corp",Y$1))</f>
        <v>#NAME?</v>
      </c>
      <c r="Z23" s="128" t="e">
        <f ca="1">_xll.BDP($A23 &amp; " Corp",Z$1)/100</f>
        <v>#NAME?</v>
      </c>
      <c r="AA23" s="129" t="e">
        <f ca="1">_xll.BDP($A23 &amp; " Corp",AA$1)</f>
        <v>#NAME?</v>
      </c>
      <c r="AB23" s="129" t="e">
        <f ca="1">_xll.BDP($A23 &amp; " Corp",AB$1)</f>
        <v>#NAME?</v>
      </c>
      <c r="AC23" s="129" t="e">
        <f ca="1">_xll.BDP($A23 &amp; " Corp",AC$1)</f>
        <v>#NAME?</v>
      </c>
      <c r="AD23" s="130" t="e">
        <f ca="1">_xll.INSTANCE.YANKEE(A23,U23,V23,W23,X23,Y23,Z23,AA23,LEFT(AC23,11),3,IF(RIGHT(AC23,6)="NONEOM",FALSE,TRUE),TODAY())</f>
        <v>#VALUE!</v>
      </c>
      <c r="AE23" s="130" t="e">
        <f ca="1">_xll.INSTANCE.CONVENTION.TAUX("conv_" &amp; A23,LEFT(AC23,11),"Compounded",IF(AA23=1,"Annual",IF(AA23=2,"Semi-Annual","")),"Unadjusted",TODAY())</f>
        <v>#VALUE!</v>
      </c>
    </row>
    <row r="24" spans="1:31" x14ac:dyDescent="0.35">
      <c r="A24" s="131" t="s">
        <v>864</v>
      </c>
      <c r="B24" s="115" t="e">
        <f ca="1">_xll.BDP($A24 &amp; " Govt",B$1)</f>
        <v>#NAME?</v>
      </c>
      <c r="C24" s="201" t="e">
        <f t="shared" ca="1" si="0"/>
        <v>#NAME?</v>
      </c>
      <c r="D24" s="116"/>
      <c r="E24" s="117"/>
      <c r="F24" s="118"/>
      <c r="G24" s="119"/>
      <c r="H24" s="120" t="e">
        <f ca="1">IF(E24="",_xll.BDP(A24 &amp; " Corp","YLD_YTM_BID")/100,E24)</f>
        <v>#NAME?</v>
      </c>
      <c r="I24" s="121" t="e">
        <f ca="1">_xll.INSTRUMENT.PRIX(AD24,D24,H24,AE24)</f>
        <v>#VALUE!</v>
      </c>
      <c r="J24" s="122" t="e">
        <f ca="1">_xll.INSTRUMENT.DV01(AD24,,,I24,cContinuous,I24)</f>
        <v>#VALUE!</v>
      </c>
      <c r="K24" s="123" t="e">
        <f ca="1">_xll.INSTRUMENT.CONVEXITE(AD24,,,I24,cContinuous,I24)</f>
        <v>#VALUE!</v>
      </c>
      <c r="L24" s="123" t="e">
        <f ca="1">_xll.INSTRUMENT.Z.SPREAD(AD24,swapCurve,I24,,D24)</f>
        <v>#VALUE!</v>
      </c>
      <c r="M24" s="123" t="e">
        <f ca="1">_xll.INSTRUMENT.Z.SPREAD(AD24,ustCurve,I24,,D24)</f>
        <v>#VALUE!</v>
      </c>
      <c r="N24" s="123" t="e">
        <f ca="1">_xll.INSTRUMENT.Z.SPREAD(AD24,oisCurve,I24,,D24)</f>
        <v>#VALUE!</v>
      </c>
      <c r="O24" s="124" t="e">
        <f ca="1">1/_xll.CALENDRIER.FRAC.ANNEE(_xll.INSTRUMENT.DATE.REGLEMENT($AD24,,),_xll.INSTRUMENT.DATE.REGLEMENT($AD24,_xll.CALENDRIER.GAP.FINANCE(TODAY(),"1M","AUD","Unadjusted"),),"ACT/365")*(_xll.INSTRUMENT.ROLL.DOWN($AD24,swapCurve,_xll.CALENDRIER.GAP.FINANCE(TODAY(),"1M","AUD","Unadjusted",TRUE),$L24)+100*$Z24*_xll.CALENDRIER.FRAC.ANNEE(_xll.INSTRUMENT.DATE.REGLEMENT($AD24,,),_xll.INSTRUMENT.DATE.REGLEMENT($AD24,_xll.CALENDRIER.GAP.FINANCE(TODAY(),"1M","AUD","Unadjusted"),),"ACT/365")-$I24)/$I24</f>
        <v>#NAME?</v>
      </c>
      <c r="P24" s="124" t="e">
        <f ca="1">1/_xll.CALENDRIER.FRAC.ANNEE(_xll.INSTRUMENT.DATE.REGLEMENT($AD24,,),_xll.INSTRUMENT.DATE.REGLEMENT($AD24,_xll.CALENDRIER.GAP.FINANCE(TODAY(),"3M","AUD","Unadjusted"),),"ACT/365")*(_xll.INSTRUMENT.ROLL.DOWN($AD24,swapCurve,_xll.CALENDRIER.GAP.FINANCE(TODAY(),"3M","AUD","Unadjusted",TRUE),$L24)+100*$Z24*_xll.CALENDRIER.FRAC.ANNEE(_xll.INSTRUMENT.DATE.REGLEMENT($AD24,,),_xll.INSTRUMENT.DATE.REGLEMENT($AD24,_xll.CALENDRIER.GAP.FINANCE(TODAY(),"3M","AUD","Unadjusted"),),"ACT/365")-$I24)/$I24</f>
        <v>#NAME?</v>
      </c>
      <c r="Q24" s="143" t="e">
        <f t="shared" ca="1" si="1"/>
        <v>#VALUE!</v>
      </c>
      <c r="R24" s="191" t="str">
        <f>IF(F24&lt;&gt;"","",IF(G24="","",-G24*(SUMIF('raw Data'!$A:$A,"RESINV1USD",'raw Data'!$G:$G)+SUMIF('raw Data'!$A:$A,"RESSWAPORUSD",'raw Data'!$G:$G))/(36500*J24)))</f>
        <v/>
      </c>
      <c r="S24" s="202" t="str">
        <f>IF(G24&lt;&gt;"","",IF(F24="","",-36500*J24*F24/(SUMIF('raw Data'!$A:$A,"RESINV1USD",'raw Data'!$G:$G)+SUMIF('raw Data'!$A:$A,"RESSWAPORUSD",'raw Data'!$G:$G))))</f>
        <v/>
      </c>
      <c r="T24" s="125">
        <f>SUMIF('raw Data'!$E:$E,A24,'raw Data'!$N:$N)</f>
        <v>0</v>
      </c>
      <c r="U24" s="126" t="e">
        <f ca="1">VALUE(_xll.BDP($A24 &amp; " Corp",U$1))</f>
        <v>#NAME?</v>
      </c>
      <c r="V24" s="127" t="e">
        <f ca="1">VALUE(_xll.BDP($A24 &amp; " Corp",V$1))</f>
        <v>#NAME?</v>
      </c>
      <c r="W24" s="127" t="e">
        <f ca="1">VALUE(_xll.BDP($A24 &amp; " Corp",W$1))</f>
        <v>#NAME?</v>
      </c>
      <c r="X24" s="127" t="e">
        <f ca="1">VALUE(_xll.BDP($A24 &amp; " Corp",X$1))</f>
        <v>#NAME?</v>
      </c>
      <c r="Y24" s="127" t="e">
        <f ca="1">VALUE(_xll.BDP($A24 &amp; " Corp",Y$1))</f>
        <v>#NAME?</v>
      </c>
      <c r="Z24" s="128" t="e">
        <f ca="1">_xll.BDP($A24 &amp; " Corp",Z$1)/100</f>
        <v>#NAME?</v>
      </c>
      <c r="AA24" s="129" t="e">
        <f ca="1">_xll.BDP($A24 &amp; " Corp",AA$1)</f>
        <v>#NAME?</v>
      </c>
      <c r="AB24" s="129" t="e">
        <f ca="1">_xll.BDP($A24 &amp; " Corp",AB$1)</f>
        <v>#NAME?</v>
      </c>
      <c r="AC24" s="129" t="e">
        <f ca="1">_xll.BDP($A24 &amp; " Corp",AC$1)</f>
        <v>#NAME?</v>
      </c>
      <c r="AD24" s="130" t="e">
        <f ca="1">_xll.INSTANCE.YANKEE(A24,U24,V24,W24,X24,Y24,Z24,AA24,LEFT(AC24,11),3,IF(RIGHT(AC24,6)="NONEOM",FALSE,TRUE),TODAY())</f>
        <v>#VALUE!</v>
      </c>
      <c r="AE24" s="130" t="e">
        <f ca="1">_xll.INSTANCE.CONVENTION.TAUX("conv_" &amp; A24,LEFT(AC24,11),"Compounded",IF(AA24=1,"Annual",IF(AA24=2,"Semi-Annual","")),"Unadjusted",TODAY())</f>
        <v>#VALUE!</v>
      </c>
    </row>
    <row r="25" spans="1:31" x14ac:dyDescent="0.35">
      <c r="A25" s="131" t="s">
        <v>865</v>
      </c>
      <c r="B25" s="115" t="e">
        <f ca="1">_xll.BDP($A25 &amp; " Govt",B$1)</f>
        <v>#NAME?</v>
      </c>
      <c r="C25" s="201" t="e">
        <f t="shared" ca="1" si="0"/>
        <v>#NAME?</v>
      </c>
      <c r="D25" s="116"/>
      <c r="E25" s="117"/>
      <c r="F25" s="118"/>
      <c r="G25" s="119"/>
      <c r="H25" s="120" t="e">
        <f ca="1">IF(E25="",_xll.BDP(A25 &amp; " Corp","YLD_YTM_BID")/100,E25)</f>
        <v>#NAME?</v>
      </c>
      <c r="I25" s="121" t="e">
        <f ca="1">_xll.INSTRUMENT.PRIX(AD25,D25,H25,AE25)</f>
        <v>#VALUE!</v>
      </c>
      <c r="J25" s="122" t="e">
        <f ca="1">_xll.INSTRUMENT.DV01(AD25,,,I25,cContinuous,I25)</f>
        <v>#VALUE!</v>
      </c>
      <c r="K25" s="123" t="e">
        <f ca="1">_xll.INSTRUMENT.CONVEXITE(AD25,,,I25,cContinuous,I25)</f>
        <v>#VALUE!</v>
      </c>
      <c r="L25" s="123" t="e">
        <f ca="1">_xll.INSTRUMENT.Z.SPREAD(AD25,swapCurve,I25,,D25)</f>
        <v>#VALUE!</v>
      </c>
      <c r="M25" s="123" t="e">
        <f ca="1">_xll.INSTRUMENT.Z.SPREAD(AD25,ustCurve,I25,,D25)</f>
        <v>#VALUE!</v>
      </c>
      <c r="N25" s="123" t="e">
        <f ca="1">_xll.INSTRUMENT.Z.SPREAD(AD25,oisCurve,I25,,D25)</f>
        <v>#VALUE!</v>
      </c>
      <c r="O25" s="124" t="e">
        <f ca="1">1/_xll.CALENDRIER.FRAC.ANNEE(_xll.INSTRUMENT.DATE.REGLEMENT($AD25,,),_xll.INSTRUMENT.DATE.REGLEMENT($AD25,_xll.CALENDRIER.GAP.FINANCE(TODAY(),"1M","AUD","Unadjusted"),),"ACT/365")*(_xll.INSTRUMENT.ROLL.DOWN($AD25,swapCurve,_xll.CALENDRIER.GAP.FINANCE(TODAY(),"1M","AUD","Unadjusted",TRUE),$L25)+100*$Z25*_xll.CALENDRIER.FRAC.ANNEE(_xll.INSTRUMENT.DATE.REGLEMENT($AD25,,),_xll.INSTRUMENT.DATE.REGLEMENT($AD25,_xll.CALENDRIER.GAP.FINANCE(TODAY(),"1M","AUD","Unadjusted"),),"ACT/365")-$I25)/$I25</f>
        <v>#NAME?</v>
      </c>
      <c r="P25" s="124" t="e">
        <f ca="1">1/_xll.CALENDRIER.FRAC.ANNEE(_xll.INSTRUMENT.DATE.REGLEMENT($AD25,,),_xll.INSTRUMENT.DATE.REGLEMENT($AD25,_xll.CALENDRIER.GAP.FINANCE(TODAY(),"3M","AUD","Unadjusted"),),"ACT/365")*(_xll.INSTRUMENT.ROLL.DOWN($AD25,swapCurve,_xll.CALENDRIER.GAP.FINANCE(TODAY(),"3M","AUD","Unadjusted",TRUE),$L25)+100*$Z25*_xll.CALENDRIER.FRAC.ANNEE(_xll.INSTRUMENT.DATE.REGLEMENT($AD25,,),_xll.INSTRUMENT.DATE.REGLEMENT($AD25,_xll.CALENDRIER.GAP.FINANCE(TODAY(),"3M","AUD","Unadjusted"),),"ACT/365")-$I25)/$I25</f>
        <v>#NAME?</v>
      </c>
      <c r="Q25" s="143" t="e">
        <f t="shared" ca="1" si="1"/>
        <v>#VALUE!</v>
      </c>
      <c r="R25" s="191" t="str">
        <f>IF(F25&lt;&gt;"","",IF(G25="","",-G25*(SUMIF('raw Data'!$A:$A,"RESINV1USD",'raw Data'!$G:$G)+SUMIF('raw Data'!$A:$A,"RESSWAPORUSD",'raw Data'!$G:$G))/(36500*J25)))</f>
        <v/>
      </c>
      <c r="S25" s="202" t="str">
        <f>IF(G25&lt;&gt;"","",IF(F25="","",-36500*J25*F25/(SUMIF('raw Data'!$A:$A,"RESINV1USD",'raw Data'!$G:$G)+SUMIF('raw Data'!$A:$A,"RESSWAPORUSD",'raw Data'!$G:$G))))</f>
        <v/>
      </c>
      <c r="T25" s="125">
        <f>SUMIF('raw Data'!$E:$E,A25,'raw Data'!$N:$N)</f>
        <v>0</v>
      </c>
      <c r="U25" s="126" t="e">
        <f ca="1">VALUE(_xll.BDP($A25 &amp; " Corp",U$1))</f>
        <v>#NAME?</v>
      </c>
      <c r="V25" s="127" t="e">
        <f ca="1">VALUE(_xll.BDP($A25 &amp; " Corp",V$1))</f>
        <v>#NAME?</v>
      </c>
      <c r="W25" s="127" t="e">
        <f ca="1">VALUE(_xll.BDP($A25 &amp; " Corp",W$1))</f>
        <v>#NAME?</v>
      </c>
      <c r="X25" s="127" t="e">
        <f ca="1">VALUE(_xll.BDP($A25 &amp; " Corp",X$1))</f>
        <v>#NAME?</v>
      </c>
      <c r="Y25" s="127" t="e">
        <f ca="1">VALUE(_xll.BDP($A25 &amp; " Corp",Y$1))</f>
        <v>#NAME?</v>
      </c>
      <c r="Z25" s="128" t="e">
        <f ca="1">_xll.BDP($A25 &amp; " Corp",Z$1)/100</f>
        <v>#NAME?</v>
      </c>
      <c r="AA25" s="129" t="e">
        <f ca="1">_xll.BDP($A25 &amp; " Corp",AA$1)</f>
        <v>#NAME?</v>
      </c>
      <c r="AB25" s="129" t="e">
        <f ca="1">_xll.BDP($A25 &amp; " Corp",AB$1)</f>
        <v>#NAME?</v>
      </c>
      <c r="AC25" s="129" t="e">
        <f ca="1">_xll.BDP($A25 &amp; " Corp",AC$1)</f>
        <v>#NAME?</v>
      </c>
      <c r="AD25" s="130" t="e">
        <f ca="1">_xll.INSTANCE.YANKEE(A25,U25,V25,W25,X25,Y25,Z25,AA25,LEFT(AC25,11),3,IF(RIGHT(AC25,6)="NONEOM",FALSE,TRUE),TODAY())</f>
        <v>#VALUE!</v>
      </c>
      <c r="AE25" s="130" t="e">
        <f ca="1">_xll.INSTANCE.CONVENTION.TAUX("conv_" &amp; A25,LEFT(AC25,11),"Compounded",IF(AA25=1,"Annual",IF(AA25=2,"Semi-Annual","")),"Unadjusted",TODAY())</f>
        <v>#VALUE!</v>
      </c>
    </row>
    <row r="26" spans="1:31" x14ac:dyDescent="0.35">
      <c r="A26" s="131" t="s">
        <v>866</v>
      </c>
      <c r="B26" s="115" t="e">
        <f ca="1">_xll.BDP($A26 &amp; " Govt",B$1)</f>
        <v>#NAME?</v>
      </c>
      <c r="C26" s="201" t="e">
        <f t="shared" ca="1" si="0"/>
        <v>#NAME?</v>
      </c>
      <c r="D26" s="116"/>
      <c r="E26" s="117"/>
      <c r="F26" s="118"/>
      <c r="G26" s="119"/>
      <c r="H26" s="120" t="e">
        <f ca="1">IF(E26="",_xll.BDP(A26 &amp; " Corp","YLD_YTM_BID")/100,E26)</f>
        <v>#NAME?</v>
      </c>
      <c r="I26" s="121" t="e">
        <f ca="1">_xll.INSTRUMENT.PRIX(AD26,D26,H26,AE26)</f>
        <v>#VALUE!</v>
      </c>
      <c r="J26" s="122" t="e">
        <f ca="1">_xll.INSTRUMENT.DV01(AD26,,,I26,cContinuous,I26)</f>
        <v>#VALUE!</v>
      </c>
      <c r="K26" s="123" t="e">
        <f ca="1">_xll.INSTRUMENT.CONVEXITE(AD26,,,I26,cContinuous,I26)</f>
        <v>#VALUE!</v>
      </c>
      <c r="L26" s="123" t="e">
        <f ca="1">_xll.INSTRUMENT.Z.SPREAD(AD26,swapCurve,I26,,D26)</f>
        <v>#VALUE!</v>
      </c>
      <c r="M26" s="123" t="e">
        <f ca="1">_xll.INSTRUMENT.Z.SPREAD(AD26,ustCurve,I26,,D26)</f>
        <v>#VALUE!</v>
      </c>
      <c r="N26" s="123" t="e">
        <f ca="1">_xll.INSTRUMENT.Z.SPREAD(AD26,oisCurve,I26,,D26)</f>
        <v>#VALUE!</v>
      </c>
      <c r="O26" s="124" t="e">
        <f ca="1">1/_xll.CALENDRIER.FRAC.ANNEE(_xll.INSTRUMENT.DATE.REGLEMENT($AD26,,),_xll.INSTRUMENT.DATE.REGLEMENT($AD26,_xll.CALENDRIER.GAP.FINANCE(TODAY(),"1M","AUD","Unadjusted"),),"ACT/365")*(_xll.INSTRUMENT.ROLL.DOWN($AD26,swapCurve,_xll.CALENDRIER.GAP.FINANCE(TODAY(),"1M","AUD","Unadjusted",TRUE),$L26)+100*$Z26*_xll.CALENDRIER.FRAC.ANNEE(_xll.INSTRUMENT.DATE.REGLEMENT($AD26,,),_xll.INSTRUMENT.DATE.REGLEMENT($AD26,_xll.CALENDRIER.GAP.FINANCE(TODAY(),"1M","AUD","Unadjusted"),),"ACT/365")-$I26)/$I26</f>
        <v>#NAME?</v>
      </c>
      <c r="P26" s="124" t="e">
        <f ca="1">1/_xll.CALENDRIER.FRAC.ANNEE(_xll.INSTRUMENT.DATE.REGLEMENT($AD26,,),_xll.INSTRUMENT.DATE.REGLEMENT($AD26,_xll.CALENDRIER.GAP.FINANCE(TODAY(),"3M","AUD","Unadjusted"),),"ACT/365")*(_xll.INSTRUMENT.ROLL.DOWN($AD26,swapCurve,_xll.CALENDRIER.GAP.FINANCE(TODAY(),"3M","AUD","Unadjusted",TRUE),$L26)+100*$Z26*_xll.CALENDRIER.FRAC.ANNEE(_xll.INSTRUMENT.DATE.REGLEMENT($AD26,,),_xll.INSTRUMENT.DATE.REGLEMENT($AD26,_xll.CALENDRIER.GAP.FINANCE(TODAY(),"3M","AUD","Unadjusted"),),"ACT/365")-$I26)/$I26</f>
        <v>#NAME?</v>
      </c>
      <c r="Q26" s="143" t="e">
        <f t="shared" ca="1" si="1"/>
        <v>#VALUE!</v>
      </c>
      <c r="R26" s="191" t="str">
        <f>IF(F26&lt;&gt;"","",IF(G26="","",-G26*(SUMIF('raw Data'!$A:$A,"RESINV1USD",'raw Data'!$G:$G)+SUMIF('raw Data'!$A:$A,"RESSWAPORUSD",'raw Data'!$G:$G))/(36500*J26)))</f>
        <v/>
      </c>
      <c r="S26" s="202" t="str">
        <f>IF(G26&lt;&gt;"","",IF(F26="","",-36500*J26*F26/(SUMIF('raw Data'!$A:$A,"RESINV1USD",'raw Data'!$G:$G)+SUMIF('raw Data'!$A:$A,"RESSWAPORUSD",'raw Data'!$G:$G))))</f>
        <v/>
      </c>
      <c r="T26" s="125">
        <f>SUMIF('raw Data'!$E:$E,A26,'raw Data'!$N:$N)</f>
        <v>0</v>
      </c>
      <c r="U26" s="126" t="e">
        <f ca="1">VALUE(_xll.BDP($A26 &amp; " Corp",U$1))</f>
        <v>#NAME?</v>
      </c>
      <c r="V26" s="127" t="e">
        <f ca="1">VALUE(_xll.BDP($A26 &amp; " Corp",V$1))</f>
        <v>#NAME?</v>
      </c>
      <c r="W26" s="127" t="e">
        <f ca="1">VALUE(_xll.BDP($A26 &amp; " Corp",W$1))</f>
        <v>#NAME?</v>
      </c>
      <c r="X26" s="127" t="e">
        <f ca="1">VALUE(_xll.BDP($A26 &amp; " Corp",X$1))</f>
        <v>#NAME?</v>
      </c>
      <c r="Y26" s="127" t="e">
        <f ca="1">VALUE(_xll.BDP($A26 &amp; " Corp",Y$1))</f>
        <v>#NAME?</v>
      </c>
      <c r="Z26" s="128" t="e">
        <f ca="1">_xll.BDP($A26 &amp; " Corp",Z$1)/100</f>
        <v>#NAME?</v>
      </c>
      <c r="AA26" s="129" t="e">
        <f ca="1">_xll.BDP($A26 &amp; " Corp",AA$1)</f>
        <v>#NAME?</v>
      </c>
      <c r="AB26" s="129" t="e">
        <f ca="1">_xll.BDP($A26 &amp; " Corp",AB$1)</f>
        <v>#NAME?</v>
      </c>
      <c r="AC26" s="129" t="e">
        <f ca="1">_xll.BDP($A26 &amp; " Corp",AC$1)</f>
        <v>#NAME?</v>
      </c>
      <c r="AD26" s="130" t="e">
        <f ca="1">_xll.INSTANCE.YANKEE(A26,U26,V26,W26,X26,Y26,Z26,AA26,LEFT(AC26,11),3,IF(RIGHT(AC26,6)="NONEOM",FALSE,TRUE),TODAY())</f>
        <v>#VALUE!</v>
      </c>
      <c r="AE26" s="130" t="e">
        <f ca="1">_xll.INSTANCE.CONVENTION.TAUX("conv_" &amp; A26,LEFT(AC26,11),"Compounded",IF(AA26=1,"Annual",IF(AA26=2,"Semi-Annual","")),"Unadjusted",TODAY())</f>
        <v>#VALUE!</v>
      </c>
    </row>
    <row r="27" spans="1:31" x14ac:dyDescent="0.35">
      <c r="A27" s="131" t="s">
        <v>867</v>
      </c>
      <c r="B27" s="115" t="e">
        <f ca="1">_xll.BDP($A27 &amp; " Govt",B$1)</f>
        <v>#NAME?</v>
      </c>
      <c r="C27" s="201" t="e">
        <f t="shared" ca="1" si="0"/>
        <v>#NAME?</v>
      </c>
      <c r="D27" s="116"/>
      <c r="E27" s="117"/>
      <c r="F27" s="118"/>
      <c r="G27" s="119"/>
      <c r="H27" s="120" t="e">
        <f ca="1">IF(E27="",_xll.BDP(A27 &amp; " Corp","YLD_YTM_BID")/100,E27)</f>
        <v>#NAME?</v>
      </c>
      <c r="I27" s="121" t="e">
        <f ca="1">_xll.INSTRUMENT.PRIX(AD27,D27,H27,AE27)</f>
        <v>#VALUE!</v>
      </c>
      <c r="J27" s="122" t="e">
        <f ca="1">_xll.INSTRUMENT.DV01(AD27,,,I27,cContinuous,I27)</f>
        <v>#VALUE!</v>
      </c>
      <c r="K27" s="123" t="e">
        <f ca="1">_xll.INSTRUMENT.CONVEXITE(AD27,,,I27,cContinuous,I27)</f>
        <v>#VALUE!</v>
      </c>
      <c r="L27" s="123" t="e">
        <f ca="1">_xll.INSTRUMENT.Z.SPREAD(AD27,swapCurve,I27,,D27)</f>
        <v>#VALUE!</v>
      </c>
      <c r="M27" s="123" t="e">
        <f ca="1">_xll.INSTRUMENT.Z.SPREAD(AD27,ustCurve,I27,,D27)</f>
        <v>#VALUE!</v>
      </c>
      <c r="N27" s="123" t="e">
        <f ca="1">_xll.INSTRUMENT.Z.SPREAD(AD27,oisCurve,I27,,D27)</f>
        <v>#VALUE!</v>
      </c>
      <c r="O27" s="124" t="e">
        <f ca="1">1/_xll.CALENDRIER.FRAC.ANNEE(_xll.INSTRUMENT.DATE.REGLEMENT($AD27,,),_xll.INSTRUMENT.DATE.REGLEMENT($AD27,_xll.CALENDRIER.GAP.FINANCE(TODAY(),"1M","AUD","Unadjusted"),),"ACT/365")*(_xll.INSTRUMENT.ROLL.DOWN($AD27,swapCurve,_xll.CALENDRIER.GAP.FINANCE(TODAY(),"1M","AUD","Unadjusted",TRUE),$L27)+100*$Z27*_xll.CALENDRIER.FRAC.ANNEE(_xll.INSTRUMENT.DATE.REGLEMENT($AD27,,),_xll.INSTRUMENT.DATE.REGLEMENT($AD27,_xll.CALENDRIER.GAP.FINANCE(TODAY(),"1M","AUD","Unadjusted"),),"ACT/365")-$I27)/$I27</f>
        <v>#NAME?</v>
      </c>
      <c r="P27" s="124" t="e">
        <f ca="1">1/_xll.CALENDRIER.FRAC.ANNEE(_xll.INSTRUMENT.DATE.REGLEMENT($AD27,,),_xll.INSTRUMENT.DATE.REGLEMENT($AD27,_xll.CALENDRIER.GAP.FINANCE(TODAY(),"3M","AUD","Unadjusted"),),"ACT/365")*(_xll.INSTRUMENT.ROLL.DOWN($AD27,swapCurve,_xll.CALENDRIER.GAP.FINANCE(TODAY(),"3M","AUD","Unadjusted",TRUE),$L27)+100*$Z27*_xll.CALENDRIER.FRAC.ANNEE(_xll.INSTRUMENT.DATE.REGLEMENT($AD27,,),_xll.INSTRUMENT.DATE.REGLEMENT($AD27,_xll.CALENDRIER.GAP.FINANCE(TODAY(),"3M","AUD","Unadjusted"),),"ACT/365")-$I27)/$I27</f>
        <v>#NAME?</v>
      </c>
      <c r="Q27" s="143" t="e">
        <f t="shared" ca="1" si="1"/>
        <v>#VALUE!</v>
      </c>
      <c r="R27" s="191" t="str">
        <f>IF(F27&lt;&gt;"","",IF(G27="","",-G27*(SUMIF('raw Data'!$A:$A,"RESINV1USD",'raw Data'!$G:$G)+SUMIF('raw Data'!$A:$A,"RESSWAPORUSD",'raw Data'!$G:$G))/(36500*J27)))</f>
        <v/>
      </c>
      <c r="S27" s="202" t="str">
        <f>IF(G27&lt;&gt;"","",IF(F27="","",-36500*J27*F27/(SUMIF('raw Data'!$A:$A,"RESINV1USD",'raw Data'!$G:$G)+SUMIF('raw Data'!$A:$A,"RESSWAPORUSD",'raw Data'!$G:$G))))</f>
        <v/>
      </c>
      <c r="T27" s="125">
        <f>SUMIF('raw Data'!$E:$E,A27,'raw Data'!$N:$N)</f>
        <v>0</v>
      </c>
      <c r="U27" s="126" t="e">
        <f ca="1">VALUE(_xll.BDP($A27 &amp; " Corp",U$1))</f>
        <v>#NAME?</v>
      </c>
      <c r="V27" s="127" t="e">
        <f ca="1">VALUE(_xll.BDP($A27 &amp; " Corp",V$1))</f>
        <v>#NAME?</v>
      </c>
      <c r="W27" s="127" t="e">
        <f ca="1">VALUE(_xll.BDP($A27 &amp; " Corp",W$1))</f>
        <v>#NAME?</v>
      </c>
      <c r="X27" s="127" t="e">
        <f ca="1">VALUE(_xll.BDP($A27 &amp; " Corp",X$1))</f>
        <v>#NAME?</v>
      </c>
      <c r="Y27" s="127" t="e">
        <f ca="1">VALUE(_xll.BDP($A27 &amp; " Corp",Y$1))</f>
        <v>#NAME?</v>
      </c>
      <c r="Z27" s="128" t="e">
        <f ca="1">_xll.BDP($A27 &amp; " Corp",Z$1)/100</f>
        <v>#NAME?</v>
      </c>
      <c r="AA27" s="129" t="e">
        <f ca="1">_xll.BDP($A27 &amp; " Corp",AA$1)</f>
        <v>#NAME?</v>
      </c>
      <c r="AB27" s="129" t="e">
        <f ca="1">_xll.BDP($A27 &amp; " Corp",AB$1)</f>
        <v>#NAME?</v>
      </c>
      <c r="AC27" s="129" t="e">
        <f ca="1">_xll.BDP($A27 &amp; " Corp",AC$1)</f>
        <v>#NAME?</v>
      </c>
      <c r="AD27" s="130" t="e">
        <f ca="1">_xll.INSTANCE.YANKEE(A27,U27,V27,W27,X27,Y27,Z27,AA27,LEFT(AC27,11),3,IF(RIGHT(AC27,6)="NONEOM",FALSE,TRUE),TODAY())</f>
        <v>#VALUE!</v>
      </c>
      <c r="AE27" s="130" t="e">
        <f ca="1">_xll.INSTANCE.CONVENTION.TAUX("conv_" &amp; A27,LEFT(AC27,11),"Compounded",IF(AA27=1,"Annual",IF(AA27=2,"Semi-Annual","")),"Unadjusted",TODAY())</f>
        <v>#VALUE!</v>
      </c>
    </row>
    <row r="28" spans="1:31" x14ac:dyDescent="0.35">
      <c r="A28" s="131" t="s">
        <v>868</v>
      </c>
      <c r="B28" s="115" t="e">
        <f ca="1">_xll.BDP($A28 &amp; " Govt",B$1)</f>
        <v>#NAME?</v>
      </c>
      <c r="C28" s="201" t="e">
        <f t="shared" ca="1" si="0"/>
        <v>#NAME?</v>
      </c>
      <c r="D28" s="116"/>
      <c r="E28" s="117"/>
      <c r="F28" s="118"/>
      <c r="G28" s="119"/>
      <c r="H28" s="120" t="e">
        <f ca="1">IF(E28="",_xll.BDP(A28 &amp; " Corp","YLD_YTM_BID")/100,E28)</f>
        <v>#NAME?</v>
      </c>
      <c r="I28" s="121" t="e">
        <f ca="1">_xll.INSTRUMENT.PRIX(AD28,D28,H28,AE28)</f>
        <v>#VALUE!</v>
      </c>
      <c r="J28" s="122" t="e">
        <f ca="1">_xll.INSTRUMENT.DV01(AD28,,,I28,cContinuous,I28)</f>
        <v>#VALUE!</v>
      </c>
      <c r="K28" s="123" t="e">
        <f ca="1">_xll.INSTRUMENT.CONVEXITE(AD28,,,I28,cContinuous,I28)</f>
        <v>#VALUE!</v>
      </c>
      <c r="L28" s="123" t="e">
        <f ca="1">_xll.INSTRUMENT.Z.SPREAD(AD28,swapCurve,I28,,D28)</f>
        <v>#VALUE!</v>
      </c>
      <c r="M28" s="123" t="e">
        <f ca="1">_xll.INSTRUMENT.Z.SPREAD(AD28,ustCurve,I28,,D28)</f>
        <v>#VALUE!</v>
      </c>
      <c r="N28" s="123" t="e">
        <f ca="1">_xll.INSTRUMENT.Z.SPREAD(AD28,oisCurve,I28,,D28)</f>
        <v>#VALUE!</v>
      </c>
      <c r="O28" s="124" t="e">
        <f ca="1">1/_xll.CALENDRIER.FRAC.ANNEE(_xll.INSTRUMENT.DATE.REGLEMENT($AD28,,),_xll.INSTRUMENT.DATE.REGLEMENT($AD28,_xll.CALENDRIER.GAP.FINANCE(TODAY(),"1M","AUD","Unadjusted"),),"ACT/365")*(_xll.INSTRUMENT.ROLL.DOWN($AD28,swapCurve,_xll.CALENDRIER.GAP.FINANCE(TODAY(),"1M","AUD","Unadjusted",TRUE),$L28)+100*$Z28*_xll.CALENDRIER.FRAC.ANNEE(_xll.INSTRUMENT.DATE.REGLEMENT($AD28,,),_xll.INSTRUMENT.DATE.REGLEMENT($AD28,_xll.CALENDRIER.GAP.FINANCE(TODAY(),"1M","AUD","Unadjusted"),),"ACT/365")-$I28)/$I28</f>
        <v>#NAME?</v>
      </c>
      <c r="P28" s="124" t="e">
        <f ca="1">1/_xll.CALENDRIER.FRAC.ANNEE(_xll.INSTRUMENT.DATE.REGLEMENT($AD28,,),_xll.INSTRUMENT.DATE.REGLEMENT($AD28,_xll.CALENDRIER.GAP.FINANCE(TODAY(),"3M","AUD","Unadjusted"),),"ACT/365")*(_xll.INSTRUMENT.ROLL.DOWN($AD28,swapCurve,_xll.CALENDRIER.GAP.FINANCE(TODAY(),"3M","AUD","Unadjusted",TRUE),$L28)+100*$Z28*_xll.CALENDRIER.FRAC.ANNEE(_xll.INSTRUMENT.DATE.REGLEMENT($AD28,,),_xll.INSTRUMENT.DATE.REGLEMENT($AD28,_xll.CALENDRIER.GAP.FINANCE(TODAY(),"3M","AUD","Unadjusted"),),"ACT/365")-$I28)/$I28</f>
        <v>#NAME?</v>
      </c>
      <c r="Q28" s="143" t="e">
        <f t="shared" ca="1" si="1"/>
        <v>#VALUE!</v>
      </c>
      <c r="R28" s="191" t="str">
        <f>IF(F28&lt;&gt;"","",IF(G28="","",-G28*(SUMIF('raw Data'!$A:$A,"RESINV1USD",'raw Data'!$G:$G)+SUMIF('raw Data'!$A:$A,"RESSWAPORUSD",'raw Data'!$G:$G))/(36500*J28)))</f>
        <v/>
      </c>
      <c r="S28" s="202" t="str">
        <f>IF(G28&lt;&gt;"","",IF(F28="","",-36500*J28*F28/(SUMIF('raw Data'!$A:$A,"RESINV1USD",'raw Data'!$G:$G)+SUMIF('raw Data'!$A:$A,"RESSWAPORUSD",'raw Data'!$G:$G))))</f>
        <v/>
      </c>
      <c r="T28" s="125">
        <f>SUMIF('raw Data'!$E:$E,A28,'raw Data'!$N:$N)</f>
        <v>0</v>
      </c>
      <c r="U28" s="126" t="e">
        <f ca="1">VALUE(_xll.BDP($A28 &amp; " Corp",U$1))</f>
        <v>#NAME?</v>
      </c>
      <c r="V28" s="127" t="e">
        <f ca="1">VALUE(_xll.BDP($A28 &amp; " Corp",V$1))</f>
        <v>#NAME?</v>
      </c>
      <c r="W28" s="127" t="e">
        <f ca="1">VALUE(_xll.BDP($A28 &amp; " Corp",W$1))</f>
        <v>#NAME?</v>
      </c>
      <c r="X28" s="127" t="e">
        <f ca="1">VALUE(_xll.BDP($A28 &amp; " Corp",X$1))</f>
        <v>#NAME?</v>
      </c>
      <c r="Y28" s="127" t="e">
        <f ca="1">VALUE(_xll.BDP($A28 &amp; " Corp",Y$1))</f>
        <v>#NAME?</v>
      </c>
      <c r="Z28" s="128" t="e">
        <f ca="1">_xll.BDP($A28 &amp; " Corp",Z$1)/100</f>
        <v>#NAME?</v>
      </c>
      <c r="AA28" s="129" t="e">
        <f ca="1">_xll.BDP($A28 &amp; " Corp",AA$1)</f>
        <v>#NAME?</v>
      </c>
      <c r="AB28" s="129" t="e">
        <f ca="1">_xll.BDP($A28 &amp; " Corp",AB$1)</f>
        <v>#NAME?</v>
      </c>
      <c r="AC28" s="129" t="e">
        <f ca="1">_xll.BDP($A28 &amp; " Corp",AC$1)</f>
        <v>#NAME?</v>
      </c>
      <c r="AD28" s="130" t="e">
        <f ca="1">_xll.INSTANCE.YANKEE(A28,U28,V28,W28,X28,Y28,Z28,AA28,LEFT(AC28,11),3,IF(RIGHT(AC28,6)="NONEOM",FALSE,TRUE),TODAY())</f>
        <v>#VALUE!</v>
      </c>
      <c r="AE28" s="130" t="e">
        <f ca="1">_xll.INSTANCE.CONVENTION.TAUX("conv_" &amp; A28,LEFT(AC28,11),"Compounded",IF(AA28=1,"Annual",IF(AA28=2,"Semi-Annual","")),"Unadjusted",TODAY())</f>
        <v>#VALUE!</v>
      </c>
    </row>
    <row r="29" spans="1:31" x14ac:dyDescent="0.35">
      <c r="A29" s="131" t="s">
        <v>869</v>
      </c>
      <c r="B29" s="115" t="e">
        <f ca="1">_xll.BDP($A29 &amp; " Govt",B$1)</f>
        <v>#NAME?</v>
      </c>
      <c r="C29" s="201" t="e">
        <f t="shared" ca="1" si="0"/>
        <v>#NAME?</v>
      </c>
      <c r="D29" s="116"/>
      <c r="E29" s="117"/>
      <c r="F29" s="118"/>
      <c r="G29" s="119"/>
      <c r="H29" s="120" t="e">
        <f ca="1">IF(E29="",_xll.BDP(A29 &amp; " Corp","YLD_YTM_BID")/100,E29)</f>
        <v>#NAME?</v>
      </c>
      <c r="I29" s="121" t="e">
        <f ca="1">_xll.INSTRUMENT.PRIX(AD29,D29,H29,AE29)</f>
        <v>#VALUE!</v>
      </c>
      <c r="J29" s="122" t="e">
        <f ca="1">_xll.INSTRUMENT.DV01(AD29,,,I29,cContinuous,I29)</f>
        <v>#VALUE!</v>
      </c>
      <c r="K29" s="123" t="e">
        <f ca="1">_xll.INSTRUMENT.CONVEXITE(AD29,,,I29,cContinuous,I29)</f>
        <v>#VALUE!</v>
      </c>
      <c r="L29" s="123" t="e">
        <f ca="1">_xll.INSTRUMENT.Z.SPREAD(AD29,swapCurve,I29,,D29)</f>
        <v>#VALUE!</v>
      </c>
      <c r="M29" s="123" t="e">
        <f ca="1">_xll.INSTRUMENT.Z.SPREAD(AD29,ustCurve,I29,,D29)</f>
        <v>#VALUE!</v>
      </c>
      <c r="N29" s="123" t="e">
        <f ca="1">_xll.INSTRUMENT.Z.SPREAD(AD29,oisCurve,I29,,D29)</f>
        <v>#VALUE!</v>
      </c>
      <c r="O29" s="124" t="e">
        <f ca="1">1/_xll.CALENDRIER.FRAC.ANNEE(_xll.INSTRUMENT.DATE.REGLEMENT($AD29,,),_xll.INSTRUMENT.DATE.REGLEMENT($AD29,_xll.CALENDRIER.GAP.FINANCE(TODAY(),"1M","AUD","Unadjusted"),),"ACT/365")*(_xll.INSTRUMENT.ROLL.DOWN($AD29,swapCurve,_xll.CALENDRIER.GAP.FINANCE(TODAY(),"1M","AUD","Unadjusted",TRUE),$L29)+100*$Z29*_xll.CALENDRIER.FRAC.ANNEE(_xll.INSTRUMENT.DATE.REGLEMENT($AD29,,),_xll.INSTRUMENT.DATE.REGLEMENT($AD29,_xll.CALENDRIER.GAP.FINANCE(TODAY(),"1M","AUD","Unadjusted"),),"ACT/365")-$I29)/$I29</f>
        <v>#NAME?</v>
      </c>
      <c r="P29" s="124" t="e">
        <f ca="1">1/_xll.CALENDRIER.FRAC.ANNEE(_xll.INSTRUMENT.DATE.REGLEMENT($AD29,,),_xll.INSTRUMENT.DATE.REGLEMENT($AD29,_xll.CALENDRIER.GAP.FINANCE(TODAY(),"3M","AUD","Unadjusted"),),"ACT/365")*(_xll.INSTRUMENT.ROLL.DOWN($AD29,swapCurve,_xll.CALENDRIER.GAP.FINANCE(TODAY(),"3M","AUD","Unadjusted",TRUE),$L29)+100*$Z29*_xll.CALENDRIER.FRAC.ANNEE(_xll.INSTRUMENT.DATE.REGLEMENT($AD29,,),_xll.INSTRUMENT.DATE.REGLEMENT($AD29,_xll.CALENDRIER.GAP.FINANCE(TODAY(),"3M","AUD","Unadjusted"),),"ACT/365")-$I29)/$I29</f>
        <v>#NAME?</v>
      </c>
      <c r="Q29" s="143" t="e">
        <f t="shared" ca="1" si="1"/>
        <v>#VALUE!</v>
      </c>
      <c r="R29" s="191" t="str">
        <f>IF(F29&lt;&gt;"","",IF(G29="","",-G29*(SUMIF('raw Data'!$A:$A,"RESINV1USD",'raw Data'!$G:$G)+SUMIF('raw Data'!$A:$A,"RESSWAPORUSD",'raw Data'!$G:$G))/(36500*J29)))</f>
        <v/>
      </c>
      <c r="S29" s="202" t="str">
        <f>IF(G29&lt;&gt;"","",IF(F29="","",-36500*J29*F29/(SUMIF('raw Data'!$A:$A,"RESINV1USD",'raw Data'!$G:$G)+SUMIF('raw Data'!$A:$A,"RESSWAPORUSD",'raw Data'!$G:$G))))</f>
        <v/>
      </c>
      <c r="T29" s="125">
        <f>SUMIF('raw Data'!$E:$E,A29,'raw Data'!$N:$N)</f>
        <v>0</v>
      </c>
      <c r="U29" s="126" t="e">
        <f ca="1">VALUE(_xll.BDP($A29 &amp; " Corp",U$1))</f>
        <v>#NAME?</v>
      </c>
      <c r="V29" s="127" t="e">
        <f ca="1">VALUE(_xll.BDP($A29 &amp; " Corp",V$1))</f>
        <v>#NAME?</v>
      </c>
      <c r="W29" s="127" t="e">
        <f ca="1">VALUE(_xll.BDP($A29 &amp; " Corp",W$1))</f>
        <v>#NAME?</v>
      </c>
      <c r="X29" s="127" t="e">
        <f ca="1">VALUE(_xll.BDP($A29 &amp; " Corp",X$1))</f>
        <v>#NAME?</v>
      </c>
      <c r="Y29" s="127" t="e">
        <f ca="1">VALUE(_xll.BDP($A29 &amp; " Corp",Y$1))</f>
        <v>#NAME?</v>
      </c>
      <c r="Z29" s="128" t="e">
        <f ca="1">_xll.BDP($A29 &amp; " Corp",Z$1)/100</f>
        <v>#NAME?</v>
      </c>
      <c r="AA29" s="129" t="e">
        <f ca="1">_xll.BDP($A29 &amp; " Corp",AA$1)</f>
        <v>#NAME?</v>
      </c>
      <c r="AB29" s="129" t="e">
        <f ca="1">_xll.BDP($A29 &amp; " Corp",AB$1)</f>
        <v>#NAME?</v>
      </c>
      <c r="AC29" s="129" t="e">
        <f ca="1">_xll.BDP($A29 &amp; " Corp",AC$1)</f>
        <v>#NAME?</v>
      </c>
      <c r="AD29" s="130" t="e">
        <f ca="1">_xll.INSTANCE.YANKEE(A29,U29,V29,W29,X29,Y29,Z29,AA29,LEFT(AC29,11),3,IF(RIGHT(AC29,6)="NONEOM",FALSE,TRUE),TODAY())</f>
        <v>#VALUE!</v>
      </c>
      <c r="AE29" s="130" t="e">
        <f ca="1">_xll.INSTANCE.CONVENTION.TAUX("conv_" &amp; A29,LEFT(AC29,11),"Compounded",IF(AA29=1,"Annual",IF(AA29=2,"Semi-Annual","")),"Unadjusted",TODAY())</f>
        <v>#VALUE!</v>
      </c>
    </row>
    <row r="30" spans="1:31" x14ac:dyDescent="0.35">
      <c r="A30" s="131" t="s">
        <v>870</v>
      </c>
      <c r="B30" s="115" t="e">
        <f ca="1">_xll.BDP($A30 &amp; " Govt",B$1)</f>
        <v>#NAME?</v>
      </c>
      <c r="C30" s="201" t="e">
        <f t="shared" ca="1" si="0"/>
        <v>#NAME?</v>
      </c>
      <c r="D30" s="116"/>
      <c r="E30" s="117"/>
      <c r="F30" s="118"/>
      <c r="G30" s="119"/>
      <c r="H30" s="120" t="e">
        <f ca="1">IF(E30="",_xll.BDP(A30 &amp; " Corp","YLD_YTM_BID")/100,E30)</f>
        <v>#NAME?</v>
      </c>
      <c r="I30" s="121" t="e">
        <f ca="1">_xll.INSTRUMENT.PRIX(AD30,D30,H30,AE30)</f>
        <v>#VALUE!</v>
      </c>
      <c r="J30" s="122" t="e">
        <f ca="1">_xll.INSTRUMENT.DV01(AD30,,,I30,cContinuous,I30)</f>
        <v>#VALUE!</v>
      </c>
      <c r="K30" s="123" t="e">
        <f ca="1">_xll.INSTRUMENT.CONVEXITE(AD30,,,I30,cContinuous,I30)</f>
        <v>#VALUE!</v>
      </c>
      <c r="L30" s="123" t="e">
        <f ca="1">_xll.INSTRUMENT.Z.SPREAD(AD30,swapCurve,I30,,D30)</f>
        <v>#VALUE!</v>
      </c>
      <c r="M30" s="123" t="e">
        <f ca="1">_xll.INSTRUMENT.Z.SPREAD(AD30,ustCurve,I30,,D30)</f>
        <v>#VALUE!</v>
      </c>
      <c r="N30" s="123" t="e">
        <f ca="1">_xll.INSTRUMENT.Z.SPREAD(AD30,oisCurve,I30,,D30)</f>
        <v>#VALUE!</v>
      </c>
      <c r="O30" s="124" t="e">
        <f ca="1">1/_xll.CALENDRIER.FRAC.ANNEE(_xll.INSTRUMENT.DATE.REGLEMENT($AD30,,),_xll.INSTRUMENT.DATE.REGLEMENT($AD30,_xll.CALENDRIER.GAP.FINANCE(TODAY(),"1M","AUD","Unadjusted"),),"ACT/365")*(_xll.INSTRUMENT.ROLL.DOWN($AD30,swapCurve,_xll.CALENDRIER.GAP.FINANCE(TODAY(),"1M","AUD","Unadjusted",TRUE),$L30)+100*$Z30*_xll.CALENDRIER.FRAC.ANNEE(_xll.INSTRUMENT.DATE.REGLEMENT($AD30,,),_xll.INSTRUMENT.DATE.REGLEMENT($AD30,_xll.CALENDRIER.GAP.FINANCE(TODAY(),"1M","AUD","Unadjusted"),),"ACT/365")-$I30)/$I30</f>
        <v>#NAME?</v>
      </c>
      <c r="P30" s="124" t="e">
        <f ca="1">1/_xll.CALENDRIER.FRAC.ANNEE(_xll.INSTRUMENT.DATE.REGLEMENT($AD30,,),_xll.INSTRUMENT.DATE.REGLEMENT($AD30,_xll.CALENDRIER.GAP.FINANCE(TODAY(),"3M","AUD","Unadjusted"),),"ACT/365")*(_xll.INSTRUMENT.ROLL.DOWN($AD30,swapCurve,_xll.CALENDRIER.GAP.FINANCE(TODAY(),"3M","AUD","Unadjusted",TRUE),$L30)+100*$Z30*_xll.CALENDRIER.FRAC.ANNEE(_xll.INSTRUMENT.DATE.REGLEMENT($AD30,,),_xll.INSTRUMENT.DATE.REGLEMENT($AD30,_xll.CALENDRIER.GAP.FINANCE(TODAY(),"3M","AUD","Unadjusted"),),"ACT/365")-$I30)/$I30</f>
        <v>#NAME?</v>
      </c>
      <c r="Q30" s="143" t="e">
        <f t="shared" ca="1" si="1"/>
        <v>#VALUE!</v>
      </c>
      <c r="R30" s="191" t="str">
        <f>IF(F30&lt;&gt;"","",IF(G30="","",-G30*(SUMIF('raw Data'!$A:$A,"RESINV1USD",'raw Data'!$G:$G)+SUMIF('raw Data'!$A:$A,"RESSWAPORUSD",'raw Data'!$G:$G))/(36500*J30)))</f>
        <v/>
      </c>
      <c r="S30" s="202" t="str">
        <f>IF(G30&lt;&gt;"","",IF(F30="","",-36500*J30*F30/(SUMIF('raw Data'!$A:$A,"RESINV1USD",'raw Data'!$G:$G)+SUMIF('raw Data'!$A:$A,"RESSWAPORUSD",'raw Data'!$G:$G))))</f>
        <v/>
      </c>
      <c r="T30" s="125">
        <f>SUMIF('raw Data'!$E:$E,A30,'raw Data'!$N:$N)</f>
        <v>0</v>
      </c>
      <c r="U30" s="126" t="e">
        <f ca="1">VALUE(_xll.BDP($A30 &amp; " Corp",U$1))</f>
        <v>#NAME?</v>
      </c>
      <c r="V30" s="127" t="e">
        <f ca="1">VALUE(_xll.BDP($A30 &amp; " Corp",V$1))</f>
        <v>#NAME?</v>
      </c>
      <c r="W30" s="127" t="e">
        <f ca="1">VALUE(_xll.BDP($A30 &amp; " Corp",W$1))</f>
        <v>#NAME?</v>
      </c>
      <c r="X30" s="127" t="e">
        <f ca="1">VALUE(_xll.BDP($A30 &amp; " Corp",X$1))</f>
        <v>#NAME?</v>
      </c>
      <c r="Y30" s="127" t="e">
        <f ca="1">VALUE(_xll.BDP($A30 &amp; " Corp",Y$1))</f>
        <v>#NAME?</v>
      </c>
      <c r="Z30" s="128" t="e">
        <f ca="1">_xll.BDP($A30 &amp; " Corp",Z$1)/100</f>
        <v>#NAME?</v>
      </c>
      <c r="AA30" s="129" t="e">
        <f ca="1">_xll.BDP($A30 &amp; " Corp",AA$1)</f>
        <v>#NAME?</v>
      </c>
      <c r="AB30" s="129" t="e">
        <f ca="1">_xll.BDP($A30 &amp; " Corp",AB$1)</f>
        <v>#NAME?</v>
      </c>
      <c r="AC30" s="129" t="e">
        <f ca="1">_xll.BDP($A30 &amp; " Corp",AC$1)</f>
        <v>#NAME?</v>
      </c>
      <c r="AD30" s="130" t="e">
        <f ca="1">_xll.INSTANCE.YANKEE(A30,U30,V30,W30,X30,Y30,Z30,AA30,LEFT(AC30,11),3,IF(RIGHT(AC30,6)="NONEOM",FALSE,TRUE),TODAY())</f>
        <v>#VALUE!</v>
      </c>
      <c r="AE30" s="130" t="e">
        <f ca="1">_xll.INSTANCE.CONVENTION.TAUX("conv_" &amp; A30,LEFT(AC30,11),"Compounded",IF(AA30=1,"Annual",IF(AA30=2,"Semi-Annual","")),"Unadjusted",TODAY())</f>
        <v>#VALUE!</v>
      </c>
    </row>
    <row r="31" spans="1:31" x14ac:dyDescent="0.35">
      <c r="A31" s="131" t="s">
        <v>871</v>
      </c>
      <c r="B31" s="115" t="e">
        <f ca="1">_xll.BDP($A31 &amp; " Govt",B$1)</f>
        <v>#NAME?</v>
      </c>
      <c r="C31" s="201" t="e">
        <f t="shared" ca="1" si="0"/>
        <v>#NAME?</v>
      </c>
      <c r="D31" s="116"/>
      <c r="E31" s="117"/>
      <c r="F31" s="118"/>
      <c r="G31" s="119"/>
      <c r="H31" s="120" t="e">
        <f ca="1">IF(E31="",_xll.BDP(A31 &amp; " Corp","YLD_YTM_BID")/100,E31)</f>
        <v>#NAME?</v>
      </c>
      <c r="I31" s="121" t="e">
        <f ca="1">_xll.INSTRUMENT.PRIX(AD31,D31,H31,AE31)</f>
        <v>#VALUE!</v>
      </c>
      <c r="J31" s="122" t="e">
        <f ca="1">_xll.INSTRUMENT.DV01(AD31,,,I31,cContinuous,I31)</f>
        <v>#VALUE!</v>
      </c>
      <c r="K31" s="123" t="e">
        <f ca="1">_xll.INSTRUMENT.CONVEXITE(AD31,,,I31,cContinuous,I31)</f>
        <v>#VALUE!</v>
      </c>
      <c r="L31" s="123" t="e">
        <f ca="1">_xll.INSTRUMENT.Z.SPREAD(AD31,swapCurve,I31,,D31)</f>
        <v>#VALUE!</v>
      </c>
      <c r="M31" s="123" t="e">
        <f ca="1">_xll.INSTRUMENT.Z.SPREAD(AD31,ustCurve,I31,,D31)</f>
        <v>#VALUE!</v>
      </c>
      <c r="N31" s="123" t="e">
        <f ca="1">_xll.INSTRUMENT.Z.SPREAD(AD31,oisCurve,I31,,D31)</f>
        <v>#VALUE!</v>
      </c>
      <c r="O31" s="124" t="e">
        <f ca="1">1/_xll.CALENDRIER.FRAC.ANNEE(_xll.INSTRUMENT.DATE.REGLEMENT($AD31,,),_xll.INSTRUMENT.DATE.REGLEMENT($AD31,_xll.CALENDRIER.GAP.FINANCE(TODAY(),"1M","AUD","Unadjusted"),),"ACT/365")*(_xll.INSTRUMENT.ROLL.DOWN($AD31,swapCurve,_xll.CALENDRIER.GAP.FINANCE(TODAY(),"1M","AUD","Unadjusted",TRUE),$L31)+100*$Z31*_xll.CALENDRIER.FRAC.ANNEE(_xll.INSTRUMENT.DATE.REGLEMENT($AD31,,),_xll.INSTRUMENT.DATE.REGLEMENT($AD31,_xll.CALENDRIER.GAP.FINANCE(TODAY(),"1M","AUD","Unadjusted"),),"ACT/365")-$I31)/$I31</f>
        <v>#NAME?</v>
      </c>
      <c r="P31" s="124" t="e">
        <f ca="1">1/_xll.CALENDRIER.FRAC.ANNEE(_xll.INSTRUMENT.DATE.REGLEMENT($AD31,,),_xll.INSTRUMENT.DATE.REGLEMENT($AD31,_xll.CALENDRIER.GAP.FINANCE(TODAY(),"3M","AUD","Unadjusted"),),"ACT/365")*(_xll.INSTRUMENT.ROLL.DOWN($AD31,swapCurve,_xll.CALENDRIER.GAP.FINANCE(TODAY(),"3M","AUD","Unadjusted",TRUE),$L31)+100*$Z31*_xll.CALENDRIER.FRAC.ANNEE(_xll.INSTRUMENT.DATE.REGLEMENT($AD31,,),_xll.INSTRUMENT.DATE.REGLEMENT($AD31,_xll.CALENDRIER.GAP.FINANCE(TODAY(),"3M","AUD","Unadjusted"),),"ACT/365")-$I31)/$I31</f>
        <v>#NAME?</v>
      </c>
      <c r="Q31" s="143" t="e">
        <f t="shared" ca="1" si="1"/>
        <v>#VALUE!</v>
      </c>
      <c r="R31" s="191" t="str">
        <f>IF(F31&lt;&gt;"","",IF(G31="","",-G31*(SUMIF('raw Data'!$A:$A,"RESINV1USD",'raw Data'!$G:$G)+SUMIF('raw Data'!$A:$A,"RESSWAPORUSD",'raw Data'!$G:$G))/(36500*J31)))</f>
        <v/>
      </c>
      <c r="S31" s="202" t="str">
        <f>IF(G31&lt;&gt;"","",IF(F31="","",-36500*J31*F31/(SUMIF('raw Data'!$A:$A,"RESINV1USD",'raw Data'!$G:$G)+SUMIF('raw Data'!$A:$A,"RESSWAPORUSD",'raw Data'!$G:$G))))</f>
        <v/>
      </c>
      <c r="T31" s="125">
        <f>SUMIF('raw Data'!$E:$E,A31,'raw Data'!$N:$N)</f>
        <v>0</v>
      </c>
      <c r="U31" s="126" t="e">
        <f ca="1">VALUE(_xll.BDP($A31 &amp; " Corp",U$1))</f>
        <v>#NAME?</v>
      </c>
      <c r="V31" s="127" t="e">
        <f ca="1">VALUE(_xll.BDP($A31 &amp; " Corp",V$1))</f>
        <v>#NAME?</v>
      </c>
      <c r="W31" s="127" t="e">
        <f ca="1">VALUE(_xll.BDP($A31 &amp; " Corp",W$1))</f>
        <v>#NAME?</v>
      </c>
      <c r="X31" s="127" t="e">
        <f ca="1">VALUE(_xll.BDP($A31 &amp; " Corp",X$1))</f>
        <v>#NAME?</v>
      </c>
      <c r="Y31" s="127" t="e">
        <f ca="1">VALUE(_xll.BDP($A31 &amp; " Corp",Y$1))</f>
        <v>#NAME?</v>
      </c>
      <c r="Z31" s="128" t="e">
        <f ca="1">_xll.BDP($A31 &amp; " Corp",Z$1)/100</f>
        <v>#NAME?</v>
      </c>
      <c r="AA31" s="129" t="e">
        <f ca="1">_xll.BDP($A31 &amp; " Corp",AA$1)</f>
        <v>#NAME?</v>
      </c>
      <c r="AB31" s="129" t="e">
        <f ca="1">_xll.BDP($A31 &amp; " Corp",AB$1)</f>
        <v>#NAME?</v>
      </c>
      <c r="AC31" s="129" t="e">
        <f ca="1">_xll.BDP($A31 &amp; " Corp",AC$1)</f>
        <v>#NAME?</v>
      </c>
      <c r="AD31" s="130" t="e">
        <f ca="1">_xll.INSTANCE.YANKEE(A31,U31,V31,W31,X31,Y31,Z31,AA31,LEFT(AC31,11),3,IF(RIGHT(AC31,6)="NONEOM",FALSE,TRUE),TODAY())</f>
        <v>#VALUE!</v>
      </c>
      <c r="AE31" s="130" t="e">
        <f ca="1">_xll.INSTANCE.CONVENTION.TAUX("conv_" &amp; A31,LEFT(AC31,11),"Compounded",IF(AA31=1,"Annual",IF(AA31=2,"Semi-Annual","")),"Unadjusted",TODAY())</f>
        <v>#VALUE!</v>
      </c>
    </row>
    <row r="32" spans="1:31" x14ac:dyDescent="0.35">
      <c r="A32" s="131" t="s">
        <v>872</v>
      </c>
      <c r="B32" s="115" t="e">
        <f ca="1">_xll.BDP($A32 &amp; " Govt",B$1)</f>
        <v>#NAME?</v>
      </c>
      <c r="C32" s="201" t="e">
        <f t="shared" ca="1" si="0"/>
        <v>#NAME?</v>
      </c>
      <c r="D32" s="116"/>
      <c r="E32" s="117"/>
      <c r="F32" s="118"/>
      <c r="G32" s="119"/>
      <c r="H32" s="120" t="e">
        <f ca="1">IF(E32="",_xll.BDP(A32 &amp; " Corp","YLD_YTM_BID")/100,E32)</f>
        <v>#NAME?</v>
      </c>
      <c r="I32" s="121" t="e">
        <f ca="1">_xll.INSTRUMENT.PRIX(AD32,D32,H32,AE32)</f>
        <v>#VALUE!</v>
      </c>
      <c r="J32" s="122" t="e">
        <f ca="1">_xll.INSTRUMENT.DV01(AD32,,,I32,cContinuous,I32)</f>
        <v>#VALUE!</v>
      </c>
      <c r="K32" s="123" t="e">
        <f ca="1">_xll.INSTRUMENT.CONVEXITE(AD32,,,I32,cContinuous,I32)</f>
        <v>#VALUE!</v>
      </c>
      <c r="L32" s="123" t="e">
        <f ca="1">_xll.INSTRUMENT.Z.SPREAD(AD32,swapCurve,I32,,D32)</f>
        <v>#VALUE!</v>
      </c>
      <c r="M32" s="123" t="e">
        <f ca="1">_xll.INSTRUMENT.Z.SPREAD(AD32,ustCurve,I32,,D32)</f>
        <v>#VALUE!</v>
      </c>
      <c r="N32" s="123" t="e">
        <f ca="1">_xll.INSTRUMENT.Z.SPREAD(AD32,oisCurve,I32,,D32)</f>
        <v>#VALUE!</v>
      </c>
      <c r="O32" s="124" t="e">
        <f ca="1">1/_xll.CALENDRIER.FRAC.ANNEE(_xll.INSTRUMENT.DATE.REGLEMENT($AD32,,),_xll.INSTRUMENT.DATE.REGLEMENT($AD32,_xll.CALENDRIER.GAP.FINANCE(TODAY(),"1M","AUD","Unadjusted"),),"ACT/365")*(_xll.INSTRUMENT.ROLL.DOWN($AD32,swapCurve,_xll.CALENDRIER.GAP.FINANCE(TODAY(),"1M","AUD","Unadjusted",TRUE),$L32)+100*$Z32*_xll.CALENDRIER.FRAC.ANNEE(_xll.INSTRUMENT.DATE.REGLEMENT($AD32,,),_xll.INSTRUMENT.DATE.REGLEMENT($AD32,_xll.CALENDRIER.GAP.FINANCE(TODAY(),"1M","AUD","Unadjusted"),),"ACT/365")-$I32)/$I32</f>
        <v>#NAME?</v>
      </c>
      <c r="P32" s="124" t="e">
        <f ca="1">1/_xll.CALENDRIER.FRAC.ANNEE(_xll.INSTRUMENT.DATE.REGLEMENT($AD32,,),_xll.INSTRUMENT.DATE.REGLEMENT($AD32,_xll.CALENDRIER.GAP.FINANCE(TODAY(),"3M","AUD","Unadjusted"),),"ACT/365")*(_xll.INSTRUMENT.ROLL.DOWN($AD32,swapCurve,_xll.CALENDRIER.GAP.FINANCE(TODAY(),"3M","AUD","Unadjusted",TRUE),$L32)+100*$Z32*_xll.CALENDRIER.FRAC.ANNEE(_xll.INSTRUMENT.DATE.REGLEMENT($AD32,,),_xll.INSTRUMENT.DATE.REGLEMENT($AD32,_xll.CALENDRIER.GAP.FINANCE(TODAY(),"3M","AUD","Unadjusted"),),"ACT/365")-$I32)/$I32</f>
        <v>#NAME?</v>
      </c>
      <c r="Q32" s="143" t="e">
        <f t="shared" ca="1" si="1"/>
        <v>#VALUE!</v>
      </c>
      <c r="R32" s="191" t="str">
        <f>IF(F32&lt;&gt;"","",IF(G32="","",-G32*(SUMIF('raw Data'!$A:$A,"RESINV1USD",'raw Data'!$G:$G)+SUMIF('raw Data'!$A:$A,"RESSWAPORUSD",'raw Data'!$G:$G))/(36500*J32)))</f>
        <v/>
      </c>
      <c r="S32" s="202" t="str">
        <f>IF(G32&lt;&gt;"","",IF(F32="","",-36500*J32*F32/(SUMIF('raw Data'!$A:$A,"RESINV1USD",'raw Data'!$G:$G)+SUMIF('raw Data'!$A:$A,"RESSWAPORUSD",'raw Data'!$G:$G))))</f>
        <v/>
      </c>
      <c r="T32" s="125">
        <f>SUMIF('raw Data'!$E:$E,A32,'raw Data'!$N:$N)</f>
        <v>0</v>
      </c>
      <c r="U32" s="126" t="e">
        <f ca="1">VALUE(_xll.BDP($A32 &amp; " Corp",U$1))</f>
        <v>#NAME?</v>
      </c>
      <c r="V32" s="127" t="e">
        <f ca="1">VALUE(_xll.BDP($A32 &amp; " Corp",V$1))</f>
        <v>#NAME?</v>
      </c>
      <c r="W32" s="127" t="e">
        <f ca="1">VALUE(_xll.BDP($A32 &amp; " Corp",W$1))</f>
        <v>#NAME?</v>
      </c>
      <c r="X32" s="127" t="e">
        <f ca="1">VALUE(_xll.BDP($A32 &amp; " Corp",X$1))</f>
        <v>#NAME?</v>
      </c>
      <c r="Y32" s="127" t="e">
        <f ca="1">VALUE(_xll.BDP($A32 &amp; " Corp",Y$1))</f>
        <v>#NAME?</v>
      </c>
      <c r="Z32" s="128" t="e">
        <f ca="1">_xll.BDP($A32 &amp; " Corp",Z$1)/100</f>
        <v>#NAME?</v>
      </c>
      <c r="AA32" s="129" t="e">
        <f ca="1">_xll.BDP($A32 &amp; " Corp",AA$1)</f>
        <v>#NAME?</v>
      </c>
      <c r="AB32" s="129" t="e">
        <f ca="1">_xll.BDP($A32 &amp; " Corp",AB$1)</f>
        <v>#NAME?</v>
      </c>
      <c r="AC32" s="129" t="e">
        <f ca="1">_xll.BDP($A32 &amp; " Corp",AC$1)</f>
        <v>#NAME?</v>
      </c>
      <c r="AD32" s="130" t="e">
        <f ca="1">_xll.INSTANCE.YANKEE(A32,U32,V32,W32,X32,Y32,Z32,AA32,LEFT(AC32,11),3,IF(RIGHT(AC32,6)="NONEOM",FALSE,TRUE),TODAY())</f>
        <v>#VALUE!</v>
      </c>
      <c r="AE32" s="130" t="e">
        <f ca="1">_xll.INSTANCE.CONVENTION.TAUX("conv_" &amp; A32,LEFT(AC32,11),"Compounded",IF(AA32=1,"Annual",IF(AA32=2,"Semi-Annual","")),"Unadjusted",TODAY())</f>
        <v>#VALUE!</v>
      </c>
    </row>
    <row r="33" spans="1:31" x14ac:dyDescent="0.35">
      <c r="A33" s="131" t="s">
        <v>873</v>
      </c>
      <c r="B33" s="115" t="e">
        <f ca="1">_xll.BDP($A33 &amp; " Govt",B$1)</f>
        <v>#NAME?</v>
      </c>
      <c r="C33" s="201" t="e">
        <f t="shared" ref="C33:C64" ca="1" si="2">LEFT(B33,SEARCH(" ",B33)-1)</f>
        <v>#NAME?</v>
      </c>
      <c r="D33" s="116"/>
      <c r="E33" s="117"/>
      <c r="F33" s="118"/>
      <c r="G33" s="119"/>
      <c r="H33" s="120" t="e">
        <f ca="1">IF(E33="",_xll.BDP(A33 &amp; " Corp","YLD_YTM_BID")/100,E33)</f>
        <v>#NAME?</v>
      </c>
      <c r="I33" s="121" t="e">
        <f ca="1">_xll.INSTRUMENT.PRIX(AD33,D33,H33,AE33)</f>
        <v>#VALUE!</v>
      </c>
      <c r="J33" s="122" t="e">
        <f ca="1">_xll.INSTRUMENT.DV01(AD33,,,I33,cContinuous,I33)</f>
        <v>#VALUE!</v>
      </c>
      <c r="K33" s="123" t="e">
        <f ca="1">_xll.INSTRUMENT.CONVEXITE(AD33,,,I33,cContinuous,I33)</f>
        <v>#VALUE!</v>
      </c>
      <c r="L33" s="123" t="e">
        <f ca="1">_xll.INSTRUMENT.Z.SPREAD(AD33,swapCurve,I33,,D33)</f>
        <v>#VALUE!</v>
      </c>
      <c r="M33" s="123" t="e">
        <f ca="1">_xll.INSTRUMENT.Z.SPREAD(AD33,ustCurve,I33,,D33)</f>
        <v>#VALUE!</v>
      </c>
      <c r="N33" s="123" t="e">
        <f ca="1">_xll.INSTRUMENT.Z.SPREAD(AD33,oisCurve,I33,,D33)</f>
        <v>#VALUE!</v>
      </c>
      <c r="O33" s="124" t="e">
        <f ca="1">1/_xll.CALENDRIER.FRAC.ANNEE(_xll.INSTRUMENT.DATE.REGLEMENT($AD33,,),_xll.INSTRUMENT.DATE.REGLEMENT($AD33,_xll.CALENDRIER.GAP.FINANCE(TODAY(),"1M","AUD","Unadjusted"),),"ACT/365")*(_xll.INSTRUMENT.ROLL.DOWN($AD33,swapCurve,_xll.CALENDRIER.GAP.FINANCE(TODAY(),"1M","AUD","Unadjusted",TRUE),$L33)+100*$Z33*_xll.CALENDRIER.FRAC.ANNEE(_xll.INSTRUMENT.DATE.REGLEMENT($AD33,,),_xll.INSTRUMENT.DATE.REGLEMENT($AD33,_xll.CALENDRIER.GAP.FINANCE(TODAY(),"1M","AUD","Unadjusted"),),"ACT/365")-$I33)/$I33</f>
        <v>#NAME?</v>
      </c>
      <c r="P33" s="124" t="e">
        <f ca="1">1/_xll.CALENDRIER.FRAC.ANNEE(_xll.INSTRUMENT.DATE.REGLEMENT($AD33,,),_xll.INSTRUMENT.DATE.REGLEMENT($AD33,_xll.CALENDRIER.GAP.FINANCE(TODAY(),"3M","AUD","Unadjusted"),),"ACT/365")*(_xll.INSTRUMENT.ROLL.DOWN($AD33,swapCurve,_xll.CALENDRIER.GAP.FINANCE(TODAY(),"3M","AUD","Unadjusted",TRUE),$L33)+100*$Z33*_xll.CALENDRIER.FRAC.ANNEE(_xll.INSTRUMENT.DATE.REGLEMENT($AD33,,),_xll.INSTRUMENT.DATE.REGLEMENT($AD33,_xll.CALENDRIER.GAP.FINANCE(TODAY(),"3M","AUD","Unadjusted"),),"ACT/365")-$I33)/$I33</f>
        <v>#NAME?</v>
      </c>
      <c r="Q33" s="143" t="e">
        <f t="shared" ref="Q33:Q64" ca="1" si="3">K33/J33</f>
        <v>#VALUE!</v>
      </c>
      <c r="R33" s="191" t="str">
        <f>IF(F33&lt;&gt;"","",IF(G33="","",-G33*(SUMIF('raw Data'!$A:$A,"RESINV1USD",'raw Data'!$G:$G)+SUMIF('raw Data'!$A:$A,"RESSWAPORUSD",'raw Data'!$G:$G))/(36500*J33)))</f>
        <v/>
      </c>
      <c r="S33" s="202" t="str">
        <f>IF(G33&lt;&gt;"","",IF(F33="","",-36500*J33*F33/(SUMIF('raw Data'!$A:$A,"RESINV1USD",'raw Data'!$G:$G)+SUMIF('raw Data'!$A:$A,"RESSWAPORUSD",'raw Data'!$G:$G))))</f>
        <v/>
      </c>
      <c r="T33" s="125">
        <f>SUMIF('raw Data'!$E:$E,A33,'raw Data'!$N:$N)</f>
        <v>0</v>
      </c>
      <c r="U33" s="126" t="e">
        <f ca="1">VALUE(_xll.BDP($A33 &amp; " Corp",U$1))</f>
        <v>#NAME?</v>
      </c>
      <c r="V33" s="127" t="e">
        <f ca="1">VALUE(_xll.BDP($A33 &amp; " Corp",V$1))</f>
        <v>#NAME?</v>
      </c>
      <c r="W33" s="127" t="e">
        <f ca="1">VALUE(_xll.BDP($A33 &amp; " Corp",W$1))</f>
        <v>#NAME?</v>
      </c>
      <c r="X33" s="127" t="e">
        <f ca="1">VALUE(_xll.BDP($A33 &amp; " Corp",X$1))</f>
        <v>#NAME?</v>
      </c>
      <c r="Y33" s="127" t="e">
        <f ca="1">VALUE(_xll.BDP($A33 &amp; " Corp",Y$1))</f>
        <v>#NAME?</v>
      </c>
      <c r="Z33" s="128" t="e">
        <f ca="1">_xll.BDP($A33 &amp; " Corp",Z$1)/100</f>
        <v>#NAME?</v>
      </c>
      <c r="AA33" s="129" t="e">
        <f ca="1">_xll.BDP($A33 &amp; " Corp",AA$1)</f>
        <v>#NAME?</v>
      </c>
      <c r="AB33" s="129" t="e">
        <f ca="1">_xll.BDP($A33 &amp; " Corp",AB$1)</f>
        <v>#NAME?</v>
      </c>
      <c r="AC33" s="129" t="e">
        <f ca="1">_xll.BDP($A33 &amp; " Corp",AC$1)</f>
        <v>#NAME?</v>
      </c>
      <c r="AD33" s="130" t="e">
        <f ca="1">_xll.INSTANCE.YANKEE(A33,U33,V33,W33,X33,Y33,Z33,AA33,LEFT(AC33,11),3,IF(RIGHT(AC33,6)="NONEOM",FALSE,TRUE),TODAY())</f>
        <v>#VALUE!</v>
      </c>
      <c r="AE33" s="130" t="e">
        <f ca="1">_xll.INSTANCE.CONVENTION.TAUX("conv_" &amp; A33,LEFT(AC33,11),"Compounded",IF(AA33=1,"Annual",IF(AA33=2,"Semi-Annual","")),"Unadjusted",TODAY())</f>
        <v>#VALUE!</v>
      </c>
    </row>
    <row r="34" spans="1:31" x14ac:dyDescent="0.35">
      <c r="A34" s="131" t="s">
        <v>874</v>
      </c>
      <c r="B34" s="115" t="e">
        <f ca="1">_xll.BDP($A34 &amp; " Govt",B$1)</f>
        <v>#NAME?</v>
      </c>
      <c r="C34" s="201" t="e">
        <f t="shared" ca="1" si="2"/>
        <v>#NAME?</v>
      </c>
      <c r="D34" s="116"/>
      <c r="E34" s="117"/>
      <c r="F34" s="118"/>
      <c r="G34" s="119"/>
      <c r="H34" s="120" t="e">
        <f ca="1">IF(E34="",_xll.BDP(A34 &amp; " Corp","YLD_YTM_BID")/100,E34)</f>
        <v>#NAME?</v>
      </c>
      <c r="I34" s="121" t="e">
        <f ca="1">_xll.INSTRUMENT.PRIX(AD34,D34,H34,AE34)</f>
        <v>#VALUE!</v>
      </c>
      <c r="J34" s="122" t="e">
        <f ca="1">_xll.INSTRUMENT.DV01(AD34,,,I34,cContinuous,I34)</f>
        <v>#VALUE!</v>
      </c>
      <c r="K34" s="123" t="e">
        <f ca="1">_xll.INSTRUMENT.CONVEXITE(AD34,,,I34,cContinuous,I34)</f>
        <v>#VALUE!</v>
      </c>
      <c r="L34" s="123" t="e">
        <f ca="1">_xll.INSTRUMENT.Z.SPREAD(AD34,swapCurve,I34,,D34)</f>
        <v>#VALUE!</v>
      </c>
      <c r="M34" s="123" t="e">
        <f ca="1">_xll.INSTRUMENT.Z.SPREAD(AD34,ustCurve,I34,,D34)</f>
        <v>#VALUE!</v>
      </c>
      <c r="N34" s="123" t="e">
        <f ca="1">_xll.INSTRUMENT.Z.SPREAD(AD34,oisCurve,I34,,D34)</f>
        <v>#VALUE!</v>
      </c>
      <c r="O34" s="124" t="e">
        <f ca="1">1/_xll.CALENDRIER.FRAC.ANNEE(_xll.INSTRUMENT.DATE.REGLEMENT($AD34,,),_xll.INSTRUMENT.DATE.REGLEMENT($AD34,_xll.CALENDRIER.GAP.FINANCE(TODAY(),"1M","AUD","Unadjusted"),),"ACT/365")*(_xll.INSTRUMENT.ROLL.DOWN($AD34,swapCurve,_xll.CALENDRIER.GAP.FINANCE(TODAY(),"1M","AUD","Unadjusted",TRUE),$L34)+100*$Z34*_xll.CALENDRIER.FRAC.ANNEE(_xll.INSTRUMENT.DATE.REGLEMENT($AD34,,),_xll.INSTRUMENT.DATE.REGLEMENT($AD34,_xll.CALENDRIER.GAP.FINANCE(TODAY(),"1M","AUD","Unadjusted"),),"ACT/365")-$I34)/$I34</f>
        <v>#NAME?</v>
      </c>
      <c r="P34" s="124" t="e">
        <f ca="1">1/_xll.CALENDRIER.FRAC.ANNEE(_xll.INSTRUMENT.DATE.REGLEMENT($AD34,,),_xll.INSTRUMENT.DATE.REGLEMENT($AD34,_xll.CALENDRIER.GAP.FINANCE(TODAY(),"3M","AUD","Unadjusted"),),"ACT/365")*(_xll.INSTRUMENT.ROLL.DOWN($AD34,swapCurve,_xll.CALENDRIER.GAP.FINANCE(TODAY(),"3M","AUD","Unadjusted",TRUE),$L34)+100*$Z34*_xll.CALENDRIER.FRAC.ANNEE(_xll.INSTRUMENT.DATE.REGLEMENT($AD34,,),_xll.INSTRUMENT.DATE.REGLEMENT($AD34,_xll.CALENDRIER.GAP.FINANCE(TODAY(),"3M","AUD","Unadjusted"),),"ACT/365")-$I34)/$I34</f>
        <v>#NAME?</v>
      </c>
      <c r="Q34" s="143" t="e">
        <f t="shared" ca="1" si="3"/>
        <v>#VALUE!</v>
      </c>
      <c r="R34" s="191" t="str">
        <f>IF(F34&lt;&gt;"","",IF(G34="","",-G34*(SUMIF('raw Data'!$A:$A,"RESINV1USD",'raw Data'!$G:$G)+SUMIF('raw Data'!$A:$A,"RESSWAPORUSD",'raw Data'!$G:$G))/(36500*J34)))</f>
        <v/>
      </c>
      <c r="S34" s="202" t="str">
        <f>IF(G34&lt;&gt;"","",IF(F34="","",-36500*J34*F34/(SUMIF('raw Data'!$A:$A,"RESINV1USD",'raw Data'!$G:$G)+SUMIF('raw Data'!$A:$A,"RESSWAPORUSD",'raw Data'!$G:$G))))</f>
        <v/>
      </c>
      <c r="T34" s="125">
        <f>SUMIF('raw Data'!$E:$E,A34,'raw Data'!$N:$N)</f>
        <v>0</v>
      </c>
      <c r="U34" s="126" t="e">
        <f ca="1">VALUE(_xll.BDP($A34 &amp; " Corp",U$1))</f>
        <v>#NAME?</v>
      </c>
      <c r="V34" s="127" t="e">
        <f ca="1">VALUE(_xll.BDP($A34 &amp; " Corp",V$1))</f>
        <v>#NAME?</v>
      </c>
      <c r="W34" s="127" t="e">
        <f ca="1">VALUE(_xll.BDP($A34 &amp; " Corp",W$1))</f>
        <v>#NAME?</v>
      </c>
      <c r="X34" s="127" t="e">
        <f ca="1">VALUE(_xll.BDP($A34 &amp; " Corp",X$1))</f>
        <v>#NAME?</v>
      </c>
      <c r="Y34" s="127" t="e">
        <f ca="1">VALUE(_xll.BDP($A34 &amp; " Corp",Y$1))</f>
        <v>#NAME?</v>
      </c>
      <c r="Z34" s="128" t="e">
        <f ca="1">_xll.BDP($A34 &amp; " Corp",Z$1)/100</f>
        <v>#NAME?</v>
      </c>
      <c r="AA34" s="129" t="e">
        <f ca="1">_xll.BDP($A34 &amp; " Corp",AA$1)</f>
        <v>#NAME?</v>
      </c>
      <c r="AB34" s="129" t="e">
        <f ca="1">_xll.BDP($A34 &amp; " Corp",AB$1)</f>
        <v>#NAME?</v>
      </c>
      <c r="AC34" s="129" t="e">
        <f ca="1">_xll.BDP($A34 &amp; " Corp",AC$1)</f>
        <v>#NAME?</v>
      </c>
      <c r="AD34" s="130" t="e">
        <f ca="1">_xll.INSTANCE.YANKEE(A34,U34,V34,W34,X34,Y34,Z34,AA34,LEFT(AC34,11),3,IF(RIGHT(AC34,6)="NONEOM",FALSE,TRUE),TODAY())</f>
        <v>#VALUE!</v>
      </c>
      <c r="AE34" s="130" t="e">
        <f ca="1">_xll.INSTANCE.CONVENTION.TAUX("conv_" &amp; A34,LEFT(AC34,11),"Compounded",IF(AA34=1,"Annual",IF(AA34=2,"Semi-Annual","")),"Unadjusted",TODAY())</f>
        <v>#VALUE!</v>
      </c>
    </row>
    <row r="35" spans="1:31" x14ac:dyDescent="0.35">
      <c r="A35" s="131" t="s">
        <v>875</v>
      </c>
      <c r="B35" s="115" t="e">
        <f ca="1">_xll.BDP($A35 &amp; " Govt",B$1)</f>
        <v>#NAME?</v>
      </c>
      <c r="C35" s="201" t="e">
        <f t="shared" ca="1" si="2"/>
        <v>#NAME?</v>
      </c>
      <c r="D35" s="116"/>
      <c r="E35" s="117"/>
      <c r="F35" s="118"/>
      <c r="G35" s="119"/>
      <c r="H35" s="120" t="e">
        <f ca="1">IF(E35="",_xll.BDP(A35 &amp; " Corp","YLD_YTM_BID")/100,E35)</f>
        <v>#NAME?</v>
      </c>
      <c r="I35" s="121" t="e">
        <f ca="1">_xll.INSTRUMENT.PRIX(AD35,D35,H35,AE35)</f>
        <v>#VALUE!</v>
      </c>
      <c r="J35" s="122" t="e">
        <f ca="1">_xll.INSTRUMENT.DV01(AD35,,,I35,cContinuous,I35)</f>
        <v>#VALUE!</v>
      </c>
      <c r="K35" s="123" t="e">
        <f ca="1">_xll.INSTRUMENT.CONVEXITE(AD35,,,I35,cContinuous,I35)</f>
        <v>#VALUE!</v>
      </c>
      <c r="L35" s="123" t="e">
        <f ca="1">_xll.INSTRUMENT.Z.SPREAD(AD35,swapCurve,I35,,D35)</f>
        <v>#VALUE!</v>
      </c>
      <c r="M35" s="123" t="e">
        <f ca="1">_xll.INSTRUMENT.Z.SPREAD(AD35,ustCurve,I35,,D35)</f>
        <v>#VALUE!</v>
      </c>
      <c r="N35" s="123" t="e">
        <f ca="1">_xll.INSTRUMENT.Z.SPREAD(AD35,oisCurve,I35,,D35)</f>
        <v>#VALUE!</v>
      </c>
      <c r="O35" s="124" t="e">
        <f ca="1">1/_xll.CALENDRIER.FRAC.ANNEE(_xll.INSTRUMENT.DATE.REGLEMENT($AD35,,),_xll.INSTRUMENT.DATE.REGLEMENT($AD35,_xll.CALENDRIER.GAP.FINANCE(TODAY(),"1M","AUD","Unadjusted"),),"ACT/365")*(_xll.INSTRUMENT.ROLL.DOWN($AD35,swapCurve,_xll.CALENDRIER.GAP.FINANCE(TODAY(),"1M","AUD","Unadjusted",TRUE),$L35)+100*$Z35*_xll.CALENDRIER.FRAC.ANNEE(_xll.INSTRUMENT.DATE.REGLEMENT($AD35,,),_xll.INSTRUMENT.DATE.REGLEMENT($AD35,_xll.CALENDRIER.GAP.FINANCE(TODAY(),"1M","AUD","Unadjusted"),),"ACT/365")-$I35)/$I35</f>
        <v>#NAME?</v>
      </c>
      <c r="P35" s="124" t="e">
        <f ca="1">1/_xll.CALENDRIER.FRAC.ANNEE(_xll.INSTRUMENT.DATE.REGLEMENT($AD35,,),_xll.INSTRUMENT.DATE.REGLEMENT($AD35,_xll.CALENDRIER.GAP.FINANCE(TODAY(),"3M","AUD","Unadjusted"),),"ACT/365")*(_xll.INSTRUMENT.ROLL.DOWN($AD35,swapCurve,_xll.CALENDRIER.GAP.FINANCE(TODAY(),"3M","AUD","Unadjusted",TRUE),$L35)+100*$Z35*_xll.CALENDRIER.FRAC.ANNEE(_xll.INSTRUMENT.DATE.REGLEMENT($AD35,,),_xll.INSTRUMENT.DATE.REGLEMENT($AD35,_xll.CALENDRIER.GAP.FINANCE(TODAY(),"3M","AUD","Unadjusted"),),"ACT/365")-$I35)/$I35</f>
        <v>#NAME?</v>
      </c>
      <c r="Q35" s="143" t="e">
        <f t="shared" ca="1" si="3"/>
        <v>#VALUE!</v>
      </c>
      <c r="R35" s="191" t="str">
        <f>IF(F35&lt;&gt;"","",IF(G35="","",-G35*(SUMIF('raw Data'!$A:$A,"RESINV1USD",'raw Data'!$G:$G)+SUMIF('raw Data'!$A:$A,"RESSWAPORUSD",'raw Data'!$G:$G))/(36500*J35)))</f>
        <v/>
      </c>
      <c r="S35" s="202" t="str">
        <f>IF(G35&lt;&gt;"","",IF(F35="","",-36500*J35*F35/(SUMIF('raw Data'!$A:$A,"RESINV1USD",'raw Data'!$G:$G)+SUMIF('raw Data'!$A:$A,"RESSWAPORUSD",'raw Data'!$G:$G))))</f>
        <v/>
      </c>
      <c r="T35" s="125">
        <f>SUMIF('raw Data'!$E:$E,A35,'raw Data'!$N:$N)</f>
        <v>0</v>
      </c>
      <c r="U35" s="126" t="e">
        <f ca="1">VALUE(_xll.BDP($A35 &amp; " Corp",U$1))</f>
        <v>#NAME?</v>
      </c>
      <c r="V35" s="127" t="e">
        <f ca="1">VALUE(_xll.BDP($A35 &amp; " Corp",V$1))</f>
        <v>#NAME?</v>
      </c>
      <c r="W35" s="127" t="e">
        <f ca="1">VALUE(_xll.BDP($A35 &amp; " Corp",W$1))</f>
        <v>#NAME?</v>
      </c>
      <c r="X35" s="127" t="e">
        <f ca="1">VALUE(_xll.BDP($A35 &amp; " Corp",X$1))</f>
        <v>#NAME?</v>
      </c>
      <c r="Y35" s="127" t="e">
        <f ca="1">VALUE(_xll.BDP($A35 &amp; " Corp",Y$1))</f>
        <v>#NAME?</v>
      </c>
      <c r="Z35" s="128" t="e">
        <f ca="1">_xll.BDP($A35 &amp; " Corp",Z$1)/100</f>
        <v>#NAME?</v>
      </c>
      <c r="AA35" s="129" t="e">
        <f ca="1">_xll.BDP($A35 &amp; " Corp",AA$1)</f>
        <v>#NAME?</v>
      </c>
      <c r="AB35" s="129" t="e">
        <f ca="1">_xll.BDP($A35 &amp; " Corp",AB$1)</f>
        <v>#NAME?</v>
      </c>
      <c r="AC35" s="129" t="e">
        <f ca="1">_xll.BDP($A35 &amp; " Corp",AC$1)</f>
        <v>#NAME?</v>
      </c>
      <c r="AD35" s="130" t="e">
        <f ca="1">_xll.INSTANCE.YANKEE(A35,U35,V35,W35,X35,Y35,Z35,AA35,LEFT(AC35,11),3,IF(RIGHT(AC35,6)="NONEOM",FALSE,TRUE),TODAY())</f>
        <v>#VALUE!</v>
      </c>
      <c r="AE35" s="130" t="e">
        <f ca="1">_xll.INSTANCE.CONVENTION.TAUX("conv_" &amp; A35,LEFT(AC35,11),"Compounded",IF(AA35=1,"Annual",IF(AA35=2,"Semi-Annual","")),"Unadjusted",TODAY())</f>
        <v>#VALUE!</v>
      </c>
    </row>
    <row r="36" spans="1:31" x14ac:dyDescent="0.35">
      <c r="A36" s="131" t="s">
        <v>876</v>
      </c>
      <c r="B36" s="115" t="e">
        <f ca="1">_xll.BDP($A36 &amp; " Govt",B$1)</f>
        <v>#NAME?</v>
      </c>
      <c r="C36" s="201" t="e">
        <f t="shared" ca="1" si="2"/>
        <v>#NAME?</v>
      </c>
      <c r="D36" s="116"/>
      <c r="E36" s="117"/>
      <c r="F36" s="118"/>
      <c r="G36" s="119"/>
      <c r="H36" s="120" t="e">
        <f ca="1">IF(E36="",_xll.BDP(A36 &amp; " Corp","YLD_YTM_BID")/100,E36)</f>
        <v>#NAME?</v>
      </c>
      <c r="I36" s="121" t="e">
        <f ca="1">_xll.INSTRUMENT.PRIX(AD36,D36,H36,AE36)</f>
        <v>#VALUE!</v>
      </c>
      <c r="J36" s="122" t="e">
        <f ca="1">_xll.INSTRUMENT.DV01(AD36,,,I36,cContinuous,I36)</f>
        <v>#VALUE!</v>
      </c>
      <c r="K36" s="123" t="e">
        <f ca="1">_xll.INSTRUMENT.CONVEXITE(AD36,,,I36,cContinuous,I36)</f>
        <v>#VALUE!</v>
      </c>
      <c r="L36" s="123" t="e">
        <f ca="1">_xll.INSTRUMENT.Z.SPREAD(AD36,swapCurve,I36,,D36)</f>
        <v>#VALUE!</v>
      </c>
      <c r="M36" s="123" t="e">
        <f ca="1">_xll.INSTRUMENT.Z.SPREAD(AD36,ustCurve,I36,,D36)</f>
        <v>#VALUE!</v>
      </c>
      <c r="N36" s="123" t="e">
        <f ca="1">_xll.INSTRUMENT.Z.SPREAD(AD36,oisCurve,I36,,D36)</f>
        <v>#VALUE!</v>
      </c>
      <c r="O36" s="124" t="e">
        <f ca="1">1/_xll.CALENDRIER.FRAC.ANNEE(_xll.INSTRUMENT.DATE.REGLEMENT($AD36,,),_xll.INSTRUMENT.DATE.REGLEMENT($AD36,_xll.CALENDRIER.GAP.FINANCE(TODAY(),"1M","AUD","Unadjusted"),),"ACT/365")*(_xll.INSTRUMENT.ROLL.DOWN($AD36,swapCurve,_xll.CALENDRIER.GAP.FINANCE(TODAY(),"1M","AUD","Unadjusted",TRUE),$L36)+100*$Z36*_xll.CALENDRIER.FRAC.ANNEE(_xll.INSTRUMENT.DATE.REGLEMENT($AD36,,),_xll.INSTRUMENT.DATE.REGLEMENT($AD36,_xll.CALENDRIER.GAP.FINANCE(TODAY(),"1M","AUD","Unadjusted"),),"ACT/365")-$I36)/$I36</f>
        <v>#NAME?</v>
      </c>
      <c r="P36" s="124" t="e">
        <f ca="1">1/_xll.CALENDRIER.FRAC.ANNEE(_xll.INSTRUMENT.DATE.REGLEMENT($AD36,,),_xll.INSTRUMENT.DATE.REGLEMENT($AD36,_xll.CALENDRIER.GAP.FINANCE(TODAY(),"3M","AUD","Unadjusted"),),"ACT/365")*(_xll.INSTRUMENT.ROLL.DOWN($AD36,swapCurve,_xll.CALENDRIER.GAP.FINANCE(TODAY(),"3M","AUD","Unadjusted",TRUE),$L36)+100*$Z36*_xll.CALENDRIER.FRAC.ANNEE(_xll.INSTRUMENT.DATE.REGLEMENT($AD36,,),_xll.INSTRUMENT.DATE.REGLEMENT($AD36,_xll.CALENDRIER.GAP.FINANCE(TODAY(),"3M","AUD","Unadjusted"),),"ACT/365")-$I36)/$I36</f>
        <v>#NAME?</v>
      </c>
      <c r="Q36" s="143" t="e">
        <f t="shared" ca="1" si="3"/>
        <v>#VALUE!</v>
      </c>
      <c r="R36" s="191" t="str">
        <f>IF(F36&lt;&gt;"","",IF(G36="","",-G36*(SUMIF('raw Data'!$A:$A,"RESINV1USD",'raw Data'!$G:$G)+SUMIF('raw Data'!$A:$A,"RESSWAPORUSD",'raw Data'!$G:$G))/(36500*J36)))</f>
        <v/>
      </c>
      <c r="S36" s="202" t="str">
        <f>IF(G36&lt;&gt;"","",IF(F36="","",-36500*J36*F36/(SUMIF('raw Data'!$A:$A,"RESINV1USD",'raw Data'!$G:$G)+SUMIF('raw Data'!$A:$A,"RESSWAPORUSD",'raw Data'!$G:$G))))</f>
        <v/>
      </c>
      <c r="T36" s="125">
        <f>SUMIF('raw Data'!$E:$E,A36,'raw Data'!$N:$N)</f>
        <v>0</v>
      </c>
      <c r="U36" s="126" t="e">
        <f ca="1">VALUE(_xll.BDP($A36 &amp; " Corp",U$1))</f>
        <v>#NAME?</v>
      </c>
      <c r="V36" s="127" t="e">
        <f ca="1">VALUE(_xll.BDP($A36 &amp; " Corp",V$1))</f>
        <v>#NAME?</v>
      </c>
      <c r="W36" s="127" t="e">
        <f ca="1">VALUE(_xll.BDP($A36 &amp; " Corp",W$1))</f>
        <v>#NAME?</v>
      </c>
      <c r="X36" s="127" t="e">
        <f ca="1">VALUE(_xll.BDP($A36 &amp; " Corp",X$1))</f>
        <v>#NAME?</v>
      </c>
      <c r="Y36" s="127" t="e">
        <f ca="1">VALUE(_xll.BDP($A36 &amp; " Corp",Y$1))</f>
        <v>#NAME?</v>
      </c>
      <c r="Z36" s="128" t="e">
        <f ca="1">_xll.BDP($A36 &amp; " Corp",Z$1)/100</f>
        <v>#NAME?</v>
      </c>
      <c r="AA36" s="129" t="e">
        <f ca="1">_xll.BDP($A36 &amp; " Corp",AA$1)</f>
        <v>#NAME?</v>
      </c>
      <c r="AB36" s="129" t="e">
        <f ca="1">_xll.BDP($A36 &amp; " Corp",AB$1)</f>
        <v>#NAME?</v>
      </c>
      <c r="AC36" s="129" t="e">
        <f ca="1">_xll.BDP($A36 &amp; " Corp",AC$1)</f>
        <v>#NAME?</v>
      </c>
      <c r="AD36" s="130" t="e">
        <f ca="1">_xll.INSTANCE.YANKEE(A36,U36,V36,W36,X36,Y36,Z36,AA36,LEFT(AC36,11),3,IF(RIGHT(AC36,6)="NONEOM",FALSE,TRUE),TODAY())</f>
        <v>#VALUE!</v>
      </c>
      <c r="AE36" s="130" t="e">
        <f ca="1">_xll.INSTANCE.CONVENTION.TAUX("conv_" &amp; A36,LEFT(AC36,11),"Compounded",IF(AA36=1,"Annual",IF(AA36=2,"Semi-Annual","")),"Unadjusted",TODAY())</f>
        <v>#VALUE!</v>
      </c>
    </row>
    <row r="37" spans="1:31" x14ac:dyDescent="0.35">
      <c r="A37" s="131" t="s">
        <v>877</v>
      </c>
      <c r="B37" s="115" t="e">
        <f ca="1">_xll.BDP($A37 &amp; " Govt",B$1)</f>
        <v>#NAME?</v>
      </c>
      <c r="C37" s="201" t="e">
        <f t="shared" ca="1" si="2"/>
        <v>#NAME?</v>
      </c>
      <c r="D37" s="116"/>
      <c r="E37" s="117"/>
      <c r="F37" s="118"/>
      <c r="G37" s="119"/>
      <c r="H37" s="120" t="e">
        <f ca="1">IF(E37="",_xll.BDP(A37 &amp; " Corp","YLD_YTM_BID")/100,E37)</f>
        <v>#NAME?</v>
      </c>
      <c r="I37" s="121" t="e">
        <f ca="1">_xll.INSTRUMENT.PRIX(AD37,D37,H37,AE37)</f>
        <v>#VALUE!</v>
      </c>
      <c r="J37" s="122" t="e">
        <f ca="1">_xll.INSTRUMENT.DV01(AD37,,,I37,cContinuous,I37)</f>
        <v>#VALUE!</v>
      </c>
      <c r="K37" s="123" t="e">
        <f ca="1">_xll.INSTRUMENT.CONVEXITE(AD37,,,I37,cContinuous,I37)</f>
        <v>#VALUE!</v>
      </c>
      <c r="L37" s="123" t="e">
        <f ca="1">_xll.INSTRUMENT.Z.SPREAD(AD37,swapCurve,I37,,D37)</f>
        <v>#VALUE!</v>
      </c>
      <c r="M37" s="123" t="e">
        <f ca="1">_xll.INSTRUMENT.Z.SPREAD(AD37,ustCurve,I37,,D37)</f>
        <v>#VALUE!</v>
      </c>
      <c r="N37" s="123" t="e">
        <f ca="1">_xll.INSTRUMENT.Z.SPREAD(AD37,oisCurve,I37,,D37)</f>
        <v>#VALUE!</v>
      </c>
      <c r="O37" s="124" t="e">
        <f ca="1">1/_xll.CALENDRIER.FRAC.ANNEE(_xll.INSTRUMENT.DATE.REGLEMENT($AD37,,),_xll.INSTRUMENT.DATE.REGLEMENT($AD37,_xll.CALENDRIER.GAP.FINANCE(TODAY(),"1M","AUD","Unadjusted"),),"ACT/365")*(_xll.INSTRUMENT.ROLL.DOWN($AD37,swapCurve,_xll.CALENDRIER.GAP.FINANCE(TODAY(),"1M","AUD","Unadjusted",TRUE),$L37)+100*$Z37*_xll.CALENDRIER.FRAC.ANNEE(_xll.INSTRUMENT.DATE.REGLEMENT($AD37,,),_xll.INSTRUMENT.DATE.REGLEMENT($AD37,_xll.CALENDRIER.GAP.FINANCE(TODAY(),"1M","AUD","Unadjusted"),),"ACT/365")-$I37)/$I37</f>
        <v>#NAME?</v>
      </c>
      <c r="P37" s="124" t="e">
        <f ca="1">1/_xll.CALENDRIER.FRAC.ANNEE(_xll.INSTRUMENT.DATE.REGLEMENT($AD37,,),_xll.INSTRUMENT.DATE.REGLEMENT($AD37,_xll.CALENDRIER.GAP.FINANCE(TODAY(),"3M","AUD","Unadjusted"),),"ACT/365")*(_xll.INSTRUMENT.ROLL.DOWN($AD37,swapCurve,_xll.CALENDRIER.GAP.FINANCE(TODAY(),"3M","AUD","Unadjusted",TRUE),$L37)+100*$Z37*_xll.CALENDRIER.FRAC.ANNEE(_xll.INSTRUMENT.DATE.REGLEMENT($AD37,,),_xll.INSTRUMENT.DATE.REGLEMENT($AD37,_xll.CALENDRIER.GAP.FINANCE(TODAY(),"3M","AUD","Unadjusted"),),"ACT/365")-$I37)/$I37</f>
        <v>#NAME?</v>
      </c>
      <c r="Q37" s="143" t="e">
        <f t="shared" ca="1" si="3"/>
        <v>#VALUE!</v>
      </c>
      <c r="R37" s="191" t="str">
        <f>IF(F37&lt;&gt;"","",IF(G37="","",-G37*(SUMIF('raw Data'!$A:$A,"RESINV1USD",'raw Data'!$G:$G)+SUMIF('raw Data'!$A:$A,"RESSWAPORUSD",'raw Data'!$G:$G))/(36500*J37)))</f>
        <v/>
      </c>
      <c r="S37" s="202" t="str">
        <f>IF(G37&lt;&gt;"","",IF(F37="","",-36500*J37*F37/(SUMIF('raw Data'!$A:$A,"RESINV1USD",'raw Data'!$G:$G)+SUMIF('raw Data'!$A:$A,"RESSWAPORUSD",'raw Data'!$G:$G))))</f>
        <v/>
      </c>
      <c r="T37" s="125">
        <f>SUMIF('raw Data'!$E:$E,A37,'raw Data'!$N:$N)</f>
        <v>0</v>
      </c>
      <c r="U37" s="126" t="e">
        <f ca="1">VALUE(_xll.BDP($A37 &amp; " Corp",U$1))</f>
        <v>#NAME?</v>
      </c>
      <c r="V37" s="127" t="e">
        <f ca="1">VALUE(_xll.BDP($A37 &amp; " Corp",V$1))</f>
        <v>#NAME?</v>
      </c>
      <c r="W37" s="127" t="e">
        <f ca="1">VALUE(_xll.BDP($A37 &amp; " Corp",W$1))</f>
        <v>#NAME?</v>
      </c>
      <c r="X37" s="127" t="e">
        <f ca="1">VALUE(_xll.BDP($A37 &amp; " Corp",X$1))</f>
        <v>#NAME?</v>
      </c>
      <c r="Y37" s="127" t="e">
        <f ca="1">VALUE(_xll.BDP($A37 &amp; " Corp",Y$1))</f>
        <v>#NAME?</v>
      </c>
      <c r="Z37" s="128" t="e">
        <f ca="1">_xll.BDP($A37 &amp; " Corp",Z$1)/100</f>
        <v>#NAME?</v>
      </c>
      <c r="AA37" s="129" t="e">
        <f ca="1">_xll.BDP($A37 &amp; " Corp",AA$1)</f>
        <v>#NAME?</v>
      </c>
      <c r="AB37" s="129" t="e">
        <f ca="1">_xll.BDP($A37 &amp; " Corp",AB$1)</f>
        <v>#NAME?</v>
      </c>
      <c r="AC37" s="129" t="e">
        <f ca="1">_xll.BDP($A37 &amp; " Corp",AC$1)</f>
        <v>#NAME?</v>
      </c>
      <c r="AD37" s="130" t="e">
        <f ca="1">_xll.INSTANCE.YANKEE(A37,U37,V37,W37,X37,Y37,Z37,AA37,LEFT(AC37,11),3,IF(RIGHT(AC37,6)="NONEOM",FALSE,TRUE),TODAY())</f>
        <v>#VALUE!</v>
      </c>
      <c r="AE37" s="130" t="e">
        <f ca="1">_xll.INSTANCE.CONVENTION.TAUX("conv_" &amp; A37,LEFT(AC37,11),"Compounded",IF(AA37=1,"Annual",IF(AA37=2,"Semi-Annual","")),"Unadjusted",TODAY())</f>
        <v>#VALUE!</v>
      </c>
    </row>
    <row r="38" spans="1:31" x14ac:dyDescent="0.35">
      <c r="A38" s="131" t="s">
        <v>878</v>
      </c>
      <c r="B38" s="115" t="e">
        <f ca="1">_xll.BDP($A38 &amp; " Govt",B$1)</f>
        <v>#NAME?</v>
      </c>
      <c r="C38" s="201" t="e">
        <f t="shared" ca="1" si="2"/>
        <v>#NAME?</v>
      </c>
      <c r="D38" s="116"/>
      <c r="E38" s="117"/>
      <c r="F38" s="118"/>
      <c r="G38" s="119"/>
      <c r="H38" s="120" t="e">
        <f ca="1">IF(E38="",_xll.BDP(A38 &amp; " Corp","YLD_YTM_BID")/100,E38)</f>
        <v>#NAME?</v>
      </c>
      <c r="I38" s="121" t="e">
        <f ca="1">_xll.INSTRUMENT.PRIX(AD38,D38,H38,AE38)</f>
        <v>#VALUE!</v>
      </c>
      <c r="J38" s="122" t="e">
        <f ca="1">_xll.INSTRUMENT.DV01(AD38,,,I38,cContinuous,I38)</f>
        <v>#VALUE!</v>
      </c>
      <c r="K38" s="123" t="e">
        <f ca="1">_xll.INSTRUMENT.CONVEXITE(AD38,,,I38,cContinuous,I38)</f>
        <v>#VALUE!</v>
      </c>
      <c r="L38" s="123" t="e">
        <f ca="1">_xll.INSTRUMENT.Z.SPREAD(AD38,swapCurve,I38,,D38)</f>
        <v>#VALUE!</v>
      </c>
      <c r="M38" s="123" t="e">
        <f ca="1">_xll.INSTRUMENT.Z.SPREAD(AD38,ustCurve,I38,,D38)</f>
        <v>#VALUE!</v>
      </c>
      <c r="N38" s="123" t="e">
        <f ca="1">_xll.INSTRUMENT.Z.SPREAD(AD38,oisCurve,I38,,D38)</f>
        <v>#VALUE!</v>
      </c>
      <c r="O38" s="124" t="e">
        <f ca="1">1/_xll.CALENDRIER.FRAC.ANNEE(_xll.INSTRUMENT.DATE.REGLEMENT($AD38,,),_xll.INSTRUMENT.DATE.REGLEMENT($AD38,_xll.CALENDRIER.GAP.FINANCE(TODAY(),"1M","AUD","Unadjusted"),),"ACT/365")*(_xll.INSTRUMENT.ROLL.DOWN($AD38,swapCurve,_xll.CALENDRIER.GAP.FINANCE(TODAY(),"1M","AUD","Unadjusted",TRUE),$L38)+100*$Z38*_xll.CALENDRIER.FRAC.ANNEE(_xll.INSTRUMENT.DATE.REGLEMENT($AD38,,),_xll.INSTRUMENT.DATE.REGLEMENT($AD38,_xll.CALENDRIER.GAP.FINANCE(TODAY(),"1M","AUD","Unadjusted"),),"ACT/365")-$I38)/$I38</f>
        <v>#NAME?</v>
      </c>
      <c r="P38" s="124" t="e">
        <f ca="1">1/_xll.CALENDRIER.FRAC.ANNEE(_xll.INSTRUMENT.DATE.REGLEMENT($AD38,,),_xll.INSTRUMENT.DATE.REGLEMENT($AD38,_xll.CALENDRIER.GAP.FINANCE(TODAY(),"3M","AUD","Unadjusted"),),"ACT/365")*(_xll.INSTRUMENT.ROLL.DOWN($AD38,swapCurve,_xll.CALENDRIER.GAP.FINANCE(TODAY(),"3M","AUD","Unadjusted",TRUE),$L38)+100*$Z38*_xll.CALENDRIER.FRAC.ANNEE(_xll.INSTRUMENT.DATE.REGLEMENT($AD38,,),_xll.INSTRUMENT.DATE.REGLEMENT($AD38,_xll.CALENDRIER.GAP.FINANCE(TODAY(),"3M","AUD","Unadjusted"),),"ACT/365")-$I38)/$I38</f>
        <v>#NAME?</v>
      </c>
      <c r="Q38" s="143" t="e">
        <f t="shared" ca="1" si="3"/>
        <v>#VALUE!</v>
      </c>
      <c r="R38" s="191" t="str">
        <f>IF(F38&lt;&gt;"","",IF(G38="","",-G38*(SUMIF('raw Data'!$A:$A,"RESINV1USD",'raw Data'!$G:$G)+SUMIF('raw Data'!$A:$A,"RESSWAPORUSD",'raw Data'!$G:$G))/(36500*J38)))</f>
        <v/>
      </c>
      <c r="S38" s="202" t="str">
        <f>IF(G38&lt;&gt;"","",IF(F38="","",-36500*J38*F38/(SUMIF('raw Data'!$A:$A,"RESINV1USD",'raw Data'!$G:$G)+SUMIF('raw Data'!$A:$A,"RESSWAPORUSD",'raw Data'!$G:$G))))</f>
        <v/>
      </c>
      <c r="T38" s="125">
        <f>SUMIF('raw Data'!$E:$E,A38,'raw Data'!$N:$N)</f>
        <v>0</v>
      </c>
      <c r="U38" s="126" t="e">
        <f ca="1">VALUE(_xll.BDP($A38 &amp; " Corp",U$1))</f>
        <v>#NAME?</v>
      </c>
      <c r="V38" s="127" t="e">
        <f ca="1">VALUE(_xll.BDP($A38 &amp; " Corp",V$1))</f>
        <v>#NAME?</v>
      </c>
      <c r="W38" s="127" t="e">
        <f ca="1">VALUE(_xll.BDP($A38 &amp; " Corp",W$1))</f>
        <v>#NAME?</v>
      </c>
      <c r="X38" s="127" t="e">
        <f ca="1">VALUE(_xll.BDP($A38 &amp; " Corp",X$1))</f>
        <v>#NAME?</v>
      </c>
      <c r="Y38" s="127" t="e">
        <f ca="1">VALUE(_xll.BDP($A38 &amp; " Corp",Y$1))</f>
        <v>#NAME?</v>
      </c>
      <c r="Z38" s="128" t="e">
        <f ca="1">_xll.BDP($A38 &amp; " Corp",Z$1)/100</f>
        <v>#NAME?</v>
      </c>
      <c r="AA38" s="129" t="e">
        <f ca="1">_xll.BDP($A38 &amp; " Corp",AA$1)</f>
        <v>#NAME?</v>
      </c>
      <c r="AB38" s="129" t="e">
        <f ca="1">_xll.BDP($A38 &amp; " Corp",AB$1)</f>
        <v>#NAME?</v>
      </c>
      <c r="AC38" s="129" t="e">
        <f ca="1">_xll.BDP($A38 &amp; " Corp",AC$1)</f>
        <v>#NAME?</v>
      </c>
      <c r="AD38" s="130" t="e">
        <f ca="1">_xll.INSTANCE.YANKEE(A38,U38,V38,W38,X38,Y38,Z38,AA38,LEFT(AC38,11),3,IF(RIGHT(AC38,6)="NONEOM",FALSE,TRUE),TODAY())</f>
        <v>#VALUE!</v>
      </c>
      <c r="AE38" s="130" t="e">
        <f ca="1">_xll.INSTANCE.CONVENTION.TAUX("conv_" &amp; A38,LEFT(AC38,11),"Compounded",IF(AA38=1,"Annual",IF(AA38=2,"Semi-Annual","")),"Unadjusted",TODAY())</f>
        <v>#VALUE!</v>
      </c>
    </row>
    <row r="39" spans="1:31" x14ac:dyDescent="0.35">
      <c r="A39" s="131" t="s">
        <v>818</v>
      </c>
      <c r="B39" s="115" t="e">
        <f ca="1">_xll.BDP($A39 &amp; " Govt",B$1)</f>
        <v>#NAME?</v>
      </c>
      <c r="C39" s="201" t="e">
        <f t="shared" ca="1" si="2"/>
        <v>#NAME?</v>
      </c>
      <c r="D39" s="116"/>
      <c r="E39" s="117"/>
      <c r="F39" s="118"/>
      <c r="G39" s="119"/>
      <c r="H39" s="120" t="e">
        <f ca="1">IF(E39="",_xll.BDP(A39 &amp; " Corp","YLD_YTM_BID")/100,E39)</f>
        <v>#NAME?</v>
      </c>
      <c r="I39" s="121" t="e">
        <f ca="1">_xll.INSTRUMENT.PRIX(AD39,D39,H39,AE39)</f>
        <v>#VALUE!</v>
      </c>
      <c r="J39" s="122" t="e">
        <f ca="1">_xll.INSTRUMENT.DV01(AD39,,,I39,cContinuous,I39)</f>
        <v>#VALUE!</v>
      </c>
      <c r="K39" s="123" t="e">
        <f ca="1">_xll.INSTRUMENT.CONVEXITE(AD39,,,I39,cContinuous,I39)</f>
        <v>#VALUE!</v>
      </c>
      <c r="L39" s="123" t="e">
        <f ca="1">_xll.INSTRUMENT.Z.SPREAD(AD39,swapCurve,I39,,D39)</f>
        <v>#VALUE!</v>
      </c>
      <c r="M39" s="123" t="e">
        <f ca="1">_xll.INSTRUMENT.Z.SPREAD(AD39,ustCurve,I39,,D39)</f>
        <v>#VALUE!</v>
      </c>
      <c r="N39" s="123" t="e">
        <f ca="1">_xll.INSTRUMENT.Z.SPREAD(AD39,oisCurve,I39,,D39)</f>
        <v>#VALUE!</v>
      </c>
      <c r="O39" s="124" t="e">
        <f ca="1">1/_xll.CALENDRIER.FRAC.ANNEE(_xll.INSTRUMENT.DATE.REGLEMENT($AD39,,),_xll.INSTRUMENT.DATE.REGLEMENT($AD39,_xll.CALENDRIER.GAP.FINANCE(TODAY(),"1M","AUD","Unadjusted"),),"ACT/365")*(_xll.INSTRUMENT.ROLL.DOWN($AD39,swapCurve,_xll.CALENDRIER.GAP.FINANCE(TODAY(),"1M","AUD","Unadjusted",TRUE),$L39)+100*$Z39*_xll.CALENDRIER.FRAC.ANNEE(_xll.INSTRUMENT.DATE.REGLEMENT($AD39,,),_xll.INSTRUMENT.DATE.REGLEMENT($AD39,_xll.CALENDRIER.GAP.FINANCE(TODAY(),"1M","AUD","Unadjusted"),),"ACT/365")-$I39)/$I39</f>
        <v>#NAME?</v>
      </c>
      <c r="P39" s="124" t="e">
        <f ca="1">1/_xll.CALENDRIER.FRAC.ANNEE(_xll.INSTRUMENT.DATE.REGLEMENT($AD39,,),_xll.INSTRUMENT.DATE.REGLEMENT($AD39,_xll.CALENDRIER.GAP.FINANCE(TODAY(),"3M","AUD","Unadjusted"),),"ACT/365")*(_xll.INSTRUMENT.ROLL.DOWN($AD39,swapCurve,_xll.CALENDRIER.GAP.FINANCE(TODAY(),"3M","AUD","Unadjusted",TRUE),$L39)+100*$Z39*_xll.CALENDRIER.FRAC.ANNEE(_xll.INSTRUMENT.DATE.REGLEMENT($AD39,,),_xll.INSTRUMENT.DATE.REGLEMENT($AD39,_xll.CALENDRIER.GAP.FINANCE(TODAY(),"3M","AUD","Unadjusted"),),"ACT/365")-$I39)/$I39</f>
        <v>#NAME?</v>
      </c>
      <c r="Q39" s="143" t="e">
        <f t="shared" ca="1" si="3"/>
        <v>#VALUE!</v>
      </c>
      <c r="R39" s="191" t="str">
        <f>IF(F39&lt;&gt;"","",IF(G39="","",-G39*(SUMIF('raw Data'!$A:$A,"RESINV1USD",'raw Data'!$G:$G)+SUMIF('raw Data'!$A:$A,"RESSWAPORUSD",'raw Data'!$G:$G))/(36500*J39)))</f>
        <v/>
      </c>
      <c r="S39" s="202" t="str">
        <f>IF(G39&lt;&gt;"","",IF(F39="","",-36500*J39*F39/(SUMIF('raw Data'!$A:$A,"RESINV1USD",'raw Data'!$G:$G)+SUMIF('raw Data'!$A:$A,"RESSWAPORUSD",'raw Data'!$G:$G))))</f>
        <v/>
      </c>
      <c r="T39" s="125">
        <f>SUMIF('raw Data'!$E:$E,A39,'raw Data'!$N:$N)</f>
        <v>0</v>
      </c>
      <c r="U39" s="126" t="e">
        <f ca="1">VALUE(_xll.BDP($A39 &amp; " Corp",U$1))</f>
        <v>#NAME?</v>
      </c>
      <c r="V39" s="127" t="e">
        <f ca="1">VALUE(_xll.BDP($A39 &amp; " Corp",V$1))</f>
        <v>#NAME?</v>
      </c>
      <c r="W39" s="127" t="e">
        <f ca="1">VALUE(_xll.BDP($A39 &amp; " Corp",W$1))</f>
        <v>#NAME?</v>
      </c>
      <c r="X39" s="127" t="e">
        <f ca="1">VALUE(_xll.BDP($A39 &amp; " Corp",X$1))</f>
        <v>#NAME?</v>
      </c>
      <c r="Y39" s="127" t="e">
        <f ca="1">VALUE(_xll.BDP($A39 &amp; " Corp",Y$1))</f>
        <v>#NAME?</v>
      </c>
      <c r="Z39" s="128" t="e">
        <f ca="1">_xll.BDP($A39 &amp; " Corp",Z$1)/100</f>
        <v>#NAME?</v>
      </c>
      <c r="AA39" s="129" t="e">
        <f ca="1">_xll.BDP($A39 &amp; " Corp",AA$1)</f>
        <v>#NAME?</v>
      </c>
      <c r="AB39" s="129" t="e">
        <f ca="1">_xll.BDP($A39 &amp; " Corp",AB$1)</f>
        <v>#NAME?</v>
      </c>
      <c r="AC39" s="129" t="e">
        <f ca="1">_xll.BDP($A39 &amp; " Corp",AC$1)</f>
        <v>#NAME?</v>
      </c>
      <c r="AD39" s="130" t="e">
        <f ca="1">_xll.INSTANCE.YANKEE(A39,U39,V39,W39,X39,Y39,Z39,AA39,LEFT(AC39,11),3,IF(RIGHT(AC39,6)="NONEOM",FALSE,TRUE),TODAY())</f>
        <v>#VALUE!</v>
      </c>
      <c r="AE39" s="130" t="e">
        <f ca="1">_xll.INSTANCE.CONVENTION.TAUX("conv_" &amp; A39,LEFT(AC39,11),"Compounded",IF(AA39=1,"Annual",IF(AA39=2,"Semi-Annual","")),"Unadjusted",TODAY())</f>
        <v>#VALUE!</v>
      </c>
    </row>
    <row r="40" spans="1:31" x14ac:dyDescent="0.35">
      <c r="A40" s="131" t="s">
        <v>842</v>
      </c>
      <c r="B40" s="115" t="e">
        <f ca="1">_xll.BDP($A40 &amp; " Govt",B$1)</f>
        <v>#NAME?</v>
      </c>
      <c r="C40" s="201" t="e">
        <f t="shared" ca="1" si="2"/>
        <v>#NAME?</v>
      </c>
      <c r="D40" s="116"/>
      <c r="E40" s="117"/>
      <c r="F40" s="118"/>
      <c r="G40" s="119"/>
      <c r="H40" s="120" t="e">
        <f ca="1">IF(E40="",_xll.BDP(A40 &amp; " Corp","YLD_YTM_BID")/100,E40)</f>
        <v>#NAME?</v>
      </c>
      <c r="I40" s="121" t="e">
        <f ca="1">_xll.INSTRUMENT.PRIX(AD40,D40,H40,AE40)</f>
        <v>#VALUE!</v>
      </c>
      <c r="J40" s="122" t="e">
        <f ca="1">_xll.INSTRUMENT.DV01(AD40,,,I40,cContinuous,I40)</f>
        <v>#VALUE!</v>
      </c>
      <c r="K40" s="123" t="e">
        <f ca="1">_xll.INSTRUMENT.CONVEXITE(AD40,,,I40,cContinuous,I40)</f>
        <v>#VALUE!</v>
      </c>
      <c r="L40" s="123" t="e">
        <f ca="1">_xll.INSTRUMENT.Z.SPREAD(AD40,swapCurve,I40,,D40)</f>
        <v>#VALUE!</v>
      </c>
      <c r="M40" s="123" t="e">
        <f ca="1">_xll.INSTRUMENT.Z.SPREAD(AD40,ustCurve,I40,,D40)</f>
        <v>#VALUE!</v>
      </c>
      <c r="N40" s="123" t="e">
        <f ca="1">_xll.INSTRUMENT.Z.SPREAD(AD40,oisCurve,I40,,D40)</f>
        <v>#VALUE!</v>
      </c>
      <c r="O40" s="124" t="e">
        <f ca="1">1/_xll.CALENDRIER.FRAC.ANNEE(_xll.INSTRUMENT.DATE.REGLEMENT($AD40,,),_xll.INSTRUMENT.DATE.REGLEMENT($AD40,_xll.CALENDRIER.GAP.FINANCE(TODAY(),"1M","AUD","Unadjusted"),),"ACT/365")*(_xll.INSTRUMENT.ROLL.DOWN($AD40,swapCurve,_xll.CALENDRIER.GAP.FINANCE(TODAY(),"1M","AUD","Unadjusted",TRUE),$L40)+100*$Z40*_xll.CALENDRIER.FRAC.ANNEE(_xll.INSTRUMENT.DATE.REGLEMENT($AD40,,),_xll.INSTRUMENT.DATE.REGLEMENT($AD40,_xll.CALENDRIER.GAP.FINANCE(TODAY(),"1M","AUD","Unadjusted"),),"ACT/365")-$I40)/$I40</f>
        <v>#NAME?</v>
      </c>
      <c r="P40" s="124" t="e">
        <f ca="1">1/_xll.CALENDRIER.FRAC.ANNEE(_xll.INSTRUMENT.DATE.REGLEMENT($AD40,,),_xll.INSTRUMENT.DATE.REGLEMENT($AD40,_xll.CALENDRIER.GAP.FINANCE(TODAY(),"3M","AUD","Unadjusted"),),"ACT/365")*(_xll.INSTRUMENT.ROLL.DOWN($AD40,swapCurve,_xll.CALENDRIER.GAP.FINANCE(TODAY(),"3M","AUD","Unadjusted",TRUE),$L40)+100*$Z40*_xll.CALENDRIER.FRAC.ANNEE(_xll.INSTRUMENT.DATE.REGLEMENT($AD40,,),_xll.INSTRUMENT.DATE.REGLEMENT($AD40,_xll.CALENDRIER.GAP.FINANCE(TODAY(),"3M","AUD","Unadjusted"),),"ACT/365")-$I40)/$I40</f>
        <v>#NAME?</v>
      </c>
      <c r="Q40" s="143" t="e">
        <f t="shared" ca="1" si="3"/>
        <v>#VALUE!</v>
      </c>
      <c r="R40" s="191" t="str">
        <f>IF(F40&lt;&gt;"","",IF(G40="","",-G40*(SUMIF('raw Data'!$A:$A,"RESINV1USD",'raw Data'!$G:$G)+SUMIF('raw Data'!$A:$A,"RESSWAPORUSD",'raw Data'!$G:$G))/(36500*J40)))</f>
        <v/>
      </c>
      <c r="S40" s="202" t="str">
        <f>IF(G40&lt;&gt;"","",IF(F40="","",-36500*J40*F40/(SUMIF('raw Data'!$A:$A,"RESINV1USD",'raw Data'!$G:$G)+SUMIF('raw Data'!$A:$A,"RESSWAPORUSD",'raw Data'!$G:$G))))</f>
        <v/>
      </c>
      <c r="T40" s="125">
        <f>SUMIF('raw Data'!$E:$E,A40,'raw Data'!$N:$N)</f>
        <v>0</v>
      </c>
      <c r="U40" s="126" t="e">
        <f ca="1">VALUE(_xll.BDP($A40 &amp; " Corp",U$1))</f>
        <v>#NAME?</v>
      </c>
      <c r="V40" s="127" t="e">
        <f ca="1">VALUE(_xll.BDP($A40 &amp; " Corp",V$1))</f>
        <v>#NAME?</v>
      </c>
      <c r="W40" s="127" t="e">
        <f ca="1">VALUE(_xll.BDP($A40 &amp; " Corp",W$1))</f>
        <v>#NAME?</v>
      </c>
      <c r="X40" s="127" t="e">
        <f ca="1">VALUE(_xll.BDP($A40 &amp; " Corp",X$1))</f>
        <v>#NAME?</v>
      </c>
      <c r="Y40" s="127" t="e">
        <f ca="1">VALUE(_xll.BDP($A40 &amp; " Corp",Y$1))</f>
        <v>#NAME?</v>
      </c>
      <c r="Z40" s="128" t="e">
        <f ca="1">_xll.BDP($A40 &amp; " Corp",Z$1)/100</f>
        <v>#NAME?</v>
      </c>
      <c r="AA40" s="129" t="e">
        <f ca="1">_xll.BDP($A40 &amp; " Corp",AA$1)</f>
        <v>#NAME?</v>
      </c>
      <c r="AB40" s="129" t="e">
        <f ca="1">_xll.BDP($A40 &amp; " Corp",AB$1)</f>
        <v>#NAME?</v>
      </c>
      <c r="AC40" s="129" t="e">
        <f ca="1">_xll.BDP($A40 &amp; " Corp",AC$1)</f>
        <v>#NAME?</v>
      </c>
      <c r="AD40" s="130" t="e">
        <f ca="1">_xll.INSTANCE.YANKEE(A40,U40,V40,W40,X40,Y40,Z40,AA40,LEFT(AC40,11),3,IF(RIGHT(AC40,6)="NONEOM",FALSE,TRUE),TODAY())</f>
        <v>#VALUE!</v>
      </c>
      <c r="AE40" s="130" t="e">
        <f ca="1">_xll.INSTANCE.CONVENTION.TAUX("conv_" &amp; A40,LEFT(AC40,11),"Compounded",IF(AA40=1,"Annual",IF(AA40=2,"Semi-Annual","")),"Unadjusted",TODAY())</f>
        <v>#VALUE!</v>
      </c>
    </row>
    <row r="41" spans="1:31" x14ac:dyDescent="0.35">
      <c r="A41" s="131" t="s">
        <v>840</v>
      </c>
      <c r="B41" s="115" t="e">
        <f ca="1">_xll.BDP($A41 &amp; " Govt",B$1)</f>
        <v>#NAME?</v>
      </c>
      <c r="C41" s="201" t="e">
        <f t="shared" ca="1" si="2"/>
        <v>#NAME?</v>
      </c>
      <c r="D41" s="116"/>
      <c r="E41" s="117"/>
      <c r="F41" s="118"/>
      <c r="G41" s="119"/>
      <c r="H41" s="120" t="e">
        <f ca="1">IF(E41="",_xll.BDP(A41 &amp; " Corp","YLD_YTM_BID")/100,E41)</f>
        <v>#NAME?</v>
      </c>
      <c r="I41" s="121" t="e">
        <f ca="1">_xll.INSTRUMENT.PRIX(AD41,D41,H41,AE41)</f>
        <v>#VALUE!</v>
      </c>
      <c r="J41" s="122" t="e">
        <f ca="1">_xll.INSTRUMENT.DV01(AD41,,,I41,cContinuous,I41)</f>
        <v>#VALUE!</v>
      </c>
      <c r="K41" s="123" t="e">
        <f ca="1">_xll.INSTRUMENT.CONVEXITE(AD41,,,I41,cContinuous,I41)</f>
        <v>#VALUE!</v>
      </c>
      <c r="L41" s="123" t="e">
        <f ca="1">_xll.INSTRUMENT.Z.SPREAD(AD41,swapCurve,I41,,D41)</f>
        <v>#VALUE!</v>
      </c>
      <c r="M41" s="123" t="e">
        <f ca="1">_xll.INSTRUMENT.Z.SPREAD(AD41,ustCurve,I41,,D41)</f>
        <v>#VALUE!</v>
      </c>
      <c r="N41" s="123" t="e">
        <f ca="1">_xll.INSTRUMENT.Z.SPREAD(AD41,oisCurve,I41,,D41)</f>
        <v>#VALUE!</v>
      </c>
      <c r="O41" s="124" t="e">
        <f ca="1">1/_xll.CALENDRIER.FRAC.ANNEE(_xll.INSTRUMENT.DATE.REGLEMENT($AD41,,),_xll.INSTRUMENT.DATE.REGLEMENT($AD41,_xll.CALENDRIER.GAP.FINANCE(TODAY(),"1M","AUD","Unadjusted"),),"ACT/365")*(_xll.INSTRUMENT.ROLL.DOWN($AD41,swapCurve,_xll.CALENDRIER.GAP.FINANCE(TODAY(),"1M","AUD","Unadjusted",TRUE),$L41)+100*$Z41*_xll.CALENDRIER.FRAC.ANNEE(_xll.INSTRUMENT.DATE.REGLEMENT($AD41,,),_xll.INSTRUMENT.DATE.REGLEMENT($AD41,_xll.CALENDRIER.GAP.FINANCE(TODAY(),"1M","AUD","Unadjusted"),),"ACT/365")-$I41)/$I41</f>
        <v>#NAME?</v>
      </c>
      <c r="P41" s="124" t="e">
        <f ca="1">1/_xll.CALENDRIER.FRAC.ANNEE(_xll.INSTRUMENT.DATE.REGLEMENT($AD41,,),_xll.INSTRUMENT.DATE.REGLEMENT($AD41,_xll.CALENDRIER.GAP.FINANCE(TODAY(),"3M","AUD","Unadjusted"),),"ACT/365")*(_xll.INSTRUMENT.ROLL.DOWN($AD41,swapCurve,_xll.CALENDRIER.GAP.FINANCE(TODAY(),"3M","AUD","Unadjusted",TRUE),$L41)+100*$Z41*_xll.CALENDRIER.FRAC.ANNEE(_xll.INSTRUMENT.DATE.REGLEMENT($AD41,,),_xll.INSTRUMENT.DATE.REGLEMENT($AD41,_xll.CALENDRIER.GAP.FINANCE(TODAY(),"3M","AUD","Unadjusted"),),"ACT/365")-$I41)/$I41</f>
        <v>#NAME?</v>
      </c>
      <c r="Q41" s="143" t="e">
        <f t="shared" ca="1" si="3"/>
        <v>#VALUE!</v>
      </c>
      <c r="R41" s="191" t="str">
        <f>IF(F41&lt;&gt;"","",IF(G41="","",-G41*(SUMIF('raw Data'!$A:$A,"RESINV1USD",'raw Data'!$G:$G)+SUMIF('raw Data'!$A:$A,"RESSWAPORUSD",'raw Data'!$G:$G))/(36500*J41)))</f>
        <v/>
      </c>
      <c r="S41" s="202" t="str">
        <f>IF(G41&lt;&gt;"","",IF(F41="","",-36500*J41*F41/(SUMIF('raw Data'!$A:$A,"RESINV1USD",'raw Data'!$G:$G)+SUMIF('raw Data'!$A:$A,"RESSWAPORUSD",'raw Data'!$G:$G))))</f>
        <v/>
      </c>
      <c r="T41" s="125">
        <f>SUMIF('raw Data'!$E:$E,A41,'raw Data'!$N:$N)</f>
        <v>0</v>
      </c>
      <c r="U41" s="126" t="e">
        <f ca="1">VALUE(_xll.BDP($A41 &amp; " Corp",U$1))</f>
        <v>#NAME?</v>
      </c>
      <c r="V41" s="127" t="e">
        <f ca="1">VALUE(_xll.BDP($A41 &amp; " Corp",V$1))</f>
        <v>#NAME?</v>
      </c>
      <c r="W41" s="127" t="e">
        <f ca="1">VALUE(_xll.BDP($A41 &amp; " Corp",W$1))</f>
        <v>#NAME?</v>
      </c>
      <c r="X41" s="127" t="e">
        <f ca="1">VALUE(_xll.BDP($A41 &amp; " Corp",X$1))</f>
        <v>#NAME?</v>
      </c>
      <c r="Y41" s="127" t="e">
        <f ca="1">VALUE(_xll.BDP($A41 &amp; " Corp",Y$1))</f>
        <v>#NAME?</v>
      </c>
      <c r="Z41" s="128" t="e">
        <f ca="1">_xll.BDP($A41 &amp; " Corp",Z$1)/100</f>
        <v>#NAME?</v>
      </c>
      <c r="AA41" s="129" t="e">
        <f ca="1">_xll.BDP($A41 &amp; " Corp",AA$1)</f>
        <v>#NAME?</v>
      </c>
      <c r="AB41" s="129" t="e">
        <f ca="1">_xll.BDP($A41 &amp; " Corp",AB$1)</f>
        <v>#NAME?</v>
      </c>
      <c r="AC41" s="129" t="e">
        <f ca="1">_xll.BDP($A41 &amp; " Corp",AC$1)</f>
        <v>#NAME?</v>
      </c>
      <c r="AD41" s="130" t="e">
        <f ca="1">_xll.INSTANCE.YANKEE(A41,U41,V41,W41,X41,Y41,Z41,AA41,LEFT(AC41,11),3,IF(RIGHT(AC41,6)="NONEOM",FALSE,TRUE),TODAY())</f>
        <v>#VALUE!</v>
      </c>
      <c r="AE41" s="130" t="e">
        <f ca="1">_xll.INSTANCE.CONVENTION.TAUX("conv_" &amp; A41,LEFT(AC41,11),"Compounded",IF(AA41=1,"Annual",IF(AA41=2,"Semi-Annual","")),"Unadjusted",TODAY())</f>
        <v>#VALUE!</v>
      </c>
    </row>
    <row r="42" spans="1:31" x14ac:dyDescent="0.35">
      <c r="A42" s="131" t="s">
        <v>815</v>
      </c>
      <c r="B42" s="115" t="e">
        <f ca="1">_xll.BDP($A42 &amp; " Govt",B$1)</f>
        <v>#NAME?</v>
      </c>
      <c r="C42" s="201" t="e">
        <f t="shared" ca="1" si="2"/>
        <v>#NAME?</v>
      </c>
      <c r="D42" s="116"/>
      <c r="E42" s="117"/>
      <c r="F42" s="118"/>
      <c r="G42" s="119"/>
      <c r="H42" s="120" t="e">
        <f ca="1">IF(E42="",_xll.BDP(A42 &amp; " Corp","YLD_YTM_BID")/100,E42)</f>
        <v>#NAME?</v>
      </c>
      <c r="I42" s="121" t="e">
        <f ca="1">_xll.INSTRUMENT.PRIX(AD42,D42,H42,AE42)</f>
        <v>#VALUE!</v>
      </c>
      <c r="J42" s="122" t="e">
        <f ca="1">_xll.INSTRUMENT.DV01(AD42,,,I42,cContinuous,I42)</f>
        <v>#VALUE!</v>
      </c>
      <c r="K42" s="123" t="e">
        <f ca="1">_xll.INSTRUMENT.CONVEXITE(AD42,,,I42,cContinuous,I42)</f>
        <v>#VALUE!</v>
      </c>
      <c r="L42" s="123" t="e">
        <f ca="1">_xll.INSTRUMENT.Z.SPREAD(AD42,swapCurve,I42,,D42)</f>
        <v>#VALUE!</v>
      </c>
      <c r="M42" s="123" t="e">
        <f ca="1">_xll.INSTRUMENT.Z.SPREAD(AD42,ustCurve,I42,,D42)</f>
        <v>#VALUE!</v>
      </c>
      <c r="N42" s="123" t="e">
        <f ca="1">_xll.INSTRUMENT.Z.SPREAD(AD42,oisCurve,I42,,D42)</f>
        <v>#VALUE!</v>
      </c>
      <c r="O42" s="124" t="e">
        <f ca="1">1/_xll.CALENDRIER.FRAC.ANNEE(_xll.INSTRUMENT.DATE.REGLEMENT($AD42,,),_xll.INSTRUMENT.DATE.REGLEMENT($AD42,_xll.CALENDRIER.GAP.FINANCE(TODAY(),"1M","AUD","Unadjusted"),),"ACT/365")*(_xll.INSTRUMENT.ROLL.DOWN($AD42,swapCurve,_xll.CALENDRIER.GAP.FINANCE(TODAY(),"1M","AUD","Unadjusted",TRUE),$L42)+100*$Z42*_xll.CALENDRIER.FRAC.ANNEE(_xll.INSTRUMENT.DATE.REGLEMENT($AD42,,),_xll.INSTRUMENT.DATE.REGLEMENT($AD42,_xll.CALENDRIER.GAP.FINANCE(TODAY(),"1M","AUD","Unadjusted"),),"ACT/365")-$I42)/$I42</f>
        <v>#NAME?</v>
      </c>
      <c r="P42" s="124" t="e">
        <f ca="1">1/_xll.CALENDRIER.FRAC.ANNEE(_xll.INSTRUMENT.DATE.REGLEMENT($AD42,,),_xll.INSTRUMENT.DATE.REGLEMENT($AD42,_xll.CALENDRIER.GAP.FINANCE(TODAY(),"3M","AUD","Unadjusted"),),"ACT/365")*(_xll.INSTRUMENT.ROLL.DOWN($AD42,swapCurve,_xll.CALENDRIER.GAP.FINANCE(TODAY(),"3M","AUD","Unadjusted",TRUE),$L42)+100*$Z42*_xll.CALENDRIER.FRAC.ANNEE(_xll.INSTRUMENT.DATE.REGLEMENT($AD42,,),_xll.INSTRUMENT.DATE.REGLEMENT($AD42,_xll.CALENDRIER.GAP.FINANCE(TODAY(),"3M","AUD","Unadjusted"),),"ACT/365")-$I42)/$I42</f>
        <v>#NAME?</v>
      </c>
      <c r="Q42" s="143" t="e">
        <f t="shared" ca="1" si="3"/>
        <v>#VALUE!</v>
      </c>
      <c r="R42" s="191" t="str">
        <f>IF(F42&lt;&gt;"","",IF(G42="","",-G42*(SUMIF('raw Data'!$A:$A,"RESINV1USD",'raw Data'!$G:$G)+SUMIF('raw Data'!$A:$A,"RESSWAPORUSD",'raw Data'!$G:$G))/(36500*J42)))</f>
        <v/>
      </c>
      <c r="S42" s="202" t="str">
        <f>IF(G42&lt;&gt;"","",IF(F42="","",-36500*J42*F42/(SUMIF('raw Data'!$A:$A,"RESINV1USD",'raw Data'!$G:$G)+SUMIF('raw Data'!$A:$A,"RESSWAPORUSD",'raw Data'!$G:$G))))</f>
        <v/>
      </c>
      <c r="T42" s="125">
        <f>SUMIF('raw Data'!$E:$E,A42,'raw Data'!$N:$N)</f>
        <v>0</v>
      </c>
      <c r="U42" s="126" t="e">
        <f ca="1">VALUE(_xll.BDP($A42 &amp; " Corp",U$1))</f>
        <v>#NAME?</v>
      </c>
      <c r="V42" s="127" t="e">
        <f ca="1">VALUE(_xll.BDP($A42 &amp; " Corp",V$1))</f>
        <v>#NAME?</v>
      </c>
      <c r="W42" s="127" t="e">
        <f ca="1">VALUE(_xll.BDP($A42 &amp; " Corp",W$1))</f>
        <v>#NAME?</v>
      </c>
      <c r="X42" s="127" t="e">
        <f ca="1">VALUE(_xll.BDP($A42 &amp; " Corp",X$1))</f>
        <v>#NAME?</v>
      </c>
      <c r="Y42" s="127" t="e">
        <f ca="1">VALUE(_xll.BDP($A42 &amp; " Corp",Y$1))</f>
        <v>#NAME?</v>
      </c>
      <c r="Z42" s="128" t="e">
        <f ca="1">_xll.BDP($A42 &amp; " Corp",Z$1)/100</f>
        <v>#NAME?</v>
      </c>
      <c r="AA42" s="129" t="e">
        <f ca="1">_xll.BDP($A42 &amp; " Corp",AA$1)</f>
        <v>#NAME?</v>
      </c>
      <c r="AB42" s="129" t="e">
        <f ca="1">_xll.BDP($A42 &amp; " Corp",AB$1)</f>
        <v>#NAME?</v>
      </c>
      <c r="AC42" s="129" t="e">
        <f ca="1">_xll.BDP($A42 &amp; " Corp",AC$1)</f>
        <v>#NAME?</v>
      </c>
      <c r="AD42" s="130" t="e">
        <f ca="1">_xll.INSTANCE.YANKEE(A42,U42,V42,W42,X42,Y42,Z42,AA42,LEFT(AC42,11),3,IF(RIGHT(AC42,6)="NONEOM",FALSE,TRUE),TODAY())</f>
        <v>#VALUE!</v>
      </c>
      <c r="AE42" s="130" t="e">
        <f ca="1">_xll.INSTANCE.CONVENTION.TAUX("conv_" &amp; A42,LEFT(AC42,11),"Compounded",IF(AA42=1,"Annual",IF(AA42=2,"Semi-Annual","")),"Unadjusted",TODAY())</f>
        <v>#VALUE!</v>
      </c>
    </row>
    <row r="43" spans="1:31" x14ac:dyDescent="0.35">
      <c r="A43" s="131" t="s">
        <v>830</v>
      </c>
      <c r="B43" s="115" t="e">
        <f ca="1">_xll.BDP($A43 &amp; " Govt",B$1)</f>
        <v>#NAME?</v>
      </c>
      <c r="C43" s="201" t="e">
        <f t="shared" ca="1" si="2"/>
        <v>#NAME?</v>
      </c>
      <c r="D43" s="116"/>
      <c r="E43" s="117"/>
      <c r="F43" s="118"/>
      <c r="G43" s="119"/>
      <c r="H43" s="120" t="e">
        <f ca="1">IF(E43="",_xll.BDP(A43 &amp; " Corp","YLD_YTM_BID")/100,E43)</f>
        <v>#NAME?</v>
      </c>
      <c r="I43" s="121" t="e">
        <f ca="1">_xll.INSTRUMENT.PRIX(AD43,D43,H43,AE43)</f>
        <v>#VALUE!</v>
      </c>
      <c r="J43" s="122" t="e">
        <f ca="1">_xll.INSTRUMENT.DV01(AD43,,,I43,cContinuous,I43)</f>
        <v>#VALUE!</v>
      </c>
      <c r="K43" s="123" t="e">
        <f ca="1">_xll.INSTRUMENT.CONVEXITE(AD43,,,I43,cContinuous,I43)</f>
        <v>#VALUE!</v>
      </c>
      <c r="L43" s="123" t="e">
        <f ca="1">_xll.INSTRUMENT.Z.SPREAD(AD43,swapCurve,I43,,D43)</f>
        <v>#VALUE!</v>
      </c>
      <c r="M43" s="123" t="e">
        <f ca="1">_xll.INSTRUMENT.Z.SPREAD(AD43,ustCurve,I43,,D43)</f>
        <v>#VALUE!</v>
      </c>
      <c r="N43" s="123" t="e">
        <f ca="1">_xll.INSTRUMENT.Z.SPREAD(AD43,oisCurve,I43,,D43)</f>
        <v>#VALUE!</v>
      </c>
      <c r="O43" s="124" t="e">
        <f ca="1">1/_xll.CALENDRIER.FRAC.ANNEE(_xll.INSTRUMENT.DATE.REGLEMENT($AD43,,),_xll.INSTRUMENT.DATE.REGLEMENT($AD43,_xll.CALENDRIER.GAP.FINANCE(TODAY(),"1M","AUD","Unadjusted"),),"ACT/365")*(_xll.INSTRUMENT.ROLL.DOWN($AD43,swapCurve,_xll.CALENDRIER.GAP.FINANCE(TODAY(),"1M","AUD","Unadjusted",TRUE),$L43)+100*$Z43*_xll.CALENDRIER.FRAC.ANNEE(_xll.INSTRUMENT.DATE.REGLEMENT($AD43,,),_xll.INSTRUMENT.DATE.REGLEMENT($AD43,_xll.CALENDRIER.GAP.FINANCE(TODAY(),"1M","AUD","Unadjusted"),),"ACT/365")-$I43)/$I43</f>
        <v>#NAME?</v>
      </c>
      <c r="P43" s="124" t="e">
        <f ca="1">1/_xll.CALENDRIER.FRAC.ANNEE(_xll.INSTRUMENT.DATE.REGLEMENT($AD43,,),_xll.INSTRUMENT.DATE.REGLEMENT($AD43,_xll.CALENDRIER.GAP.FINANCE(TODAY(),"3M","AUD","Unadjusted"),),"ACT/365")*(_xll.INSTRUMENT.ROLL.DOWN($AD43,swapCurve,_xll.CALENDRIER.GAP.FINANCE(TODAY(),"3M","AUD","Unadjusted",TRUE),$L43)+100*$Z43*_xll.CALENDRIER.FRAC.ANNEE(_xll.INSTRUMENT.DATE.REGLEMENT($AD43,,),_xll.INSTRUMENT.DATE.REGLEMENT($AD43,_xll.CALENDRIER.GAP.FINANCE(TODAY(),"3M","AUD","Unadjusted"),),"ACT/365")-$I43)/$I43</f>
        <v>#NAME?</v>
      </c>
      <c r="Q43" s="143" t="e">
        <f t="shared" ca="1" si="3"/>
        <v>#VALUE!</v>
      </c>
      <c r="R43" s="191" t="str">
        <f>IF(F43&lt;&gt;"","",IF(G43="","",-G43*(SUMIF('raw Data'!$A:$A,"RESINV1USD",'raw Data'!$G:$G)+SUMIF('raw Data'!$A:$A,"RESSWAPORUSD",'raw Data'!$G:$G))/(36500*J43)))</f>
        <v/>
      </c>
      <c r="S43" s="202" t="str">
        <f>IF(G43&lt;&gt;"","",IF(F43="","",-36500*J43*F43/(SUMIF('raw Data'!$A:$A,"RESINV1USD",'raw Data'!$G:$G)+SUMIF('raw Data'!$A:$A,"RESSWAPORUSD",'raw Data'!$G:$G))))</f>
        <v/>
      </c>
      <c r="T43" s="125">
        <f>SUMIF('raw Data'!$E:$E,A43,'raw Data'!$N:$N)</f>
        <v>0</v>
      </c>
      <c r="U43" s="126" t="e">
        <f ca="1">VALUE(_xll.BDP($A43 &amp; " Corp",U$1))</f>
        <v>#NAME?</v>
      </c>
      <c r="V43" s="127" t="e">
        <f ca="1">VALUE(_xll.BDP($A43 &amp; " Corp",V$1))</f>
        <v>#NAME?</v>
      </c>
      <c r="W43" s="127" t="e">
        <f ca="1">VALUE(_xll.BDP($A43 &amp; " Corp",W$1))</f>
        <v>#NAME?</v>
      </c>
      <c r="X43" s="127" t="e">
        <f ca="1">VALUE(_xll.BDP($A43 &amp; " Corp",X$1))</f>
        <v>#NAME?</v>
      </c>
      <c r="Y43" s="127" t="e">
        <f ca="1">VALUE(_xll.BDP($A43 &amp; " Corp",Y$1))</f>
        <v>#NAME?</v>
      </c>
      <c r="Z43" s="128" t="e">
        <f ca="1">_xll.BDP($A43 &amp; " Corp",Z$1)/100</f>
        <v>#NAME?</v>
      </c>
      <c r="AA43" s="129" t="e">
        <f ca="1">_xll.BDP($A43 &amp; " Corp",AA$1)</f>
        <v>#NAME?</v>
      </c>
      <c r="AB43" s="129" t="e">
        <f ca="1">_xll.BDP($A43 &amp; " Corp",AB$1)</f>
        <v>#NAME?</v>
      </c>
      <c r="AC43" s="129" t="e">
        <f ca="1">_xll.BDP($A43 &amp; " Corp",AC$1)</f>
        <v>#NAME?</v>
      </c>
      <c r="AD43" s="130" t="e">
        <f ca="1">_xll.INSTANCE.YANKEE(A43,U43,V43,W43,X43,Y43,Z43,AA43,LEFT(AC43,11),3,IF(RIGHT(AC43,6)="NONEOM",FALSE,TRUE),TODAY())</f>
        <v>#VALUE!</v>
      </c>
      <c r="AE43" s="130" t="e">
        <f ca="1">_xll.INSTANCE.CONVENTION.TAUX("conv_" &amp; A43,LEFT(AC43,11),"Compounded",IF(AA43=1,"Annual",IF(AA43=2,"Semi-Annual","")),"Unadjusted",TODAY())</f>
        <v>#VALUE!</v>
      </c>
    </row>
    <row r="44" spans="1:31" x14ac:dyDescent="0.35">
      <c r="A44" s="131" t="s">
        <v>837</v>
      </c>
      <c r="B44" s="115" t="e">
        <f ca="1">_xll.BDP($A44 &amp; " Govt",B$1)</f>
        <v>#NAME?</v>
      </c>
      <c r="C44" s="201" t="e">
        <f t="shared" ca="1" si="2"/>
        <v>#NAME?</v>
      </c>
      <c r="D44" s="116"/>
      <c r="E44" s="117"/>
      <c r="F44" s="118"/>
      <c r="G44" s="119"/>
      <c r="H44" s="120" t="e">
        <f ca="1">IF(E44="",_xll.BDP(A44 &amp; " Corp","YLD_YTM_BID")/100,E44)</f>
        <v>#NAME?</v>
      </c>
      <c r="I44" s="121" t="e">
        <f ca="1">_xll.INSTRUMENT.PRIX(AD44,D44,H44,AE44)</f>
        <v>#VALUE!</v>
      </c>
      <c r="J44" s="122" t="e">
        <f ca="1">_xll.INSTRUMENT.DV01(AD44,,,I44,cContinuous,I44)</f>
        <v>#VALUE!</v>
      </c>
      <c r="K44" s="123" t="e">
        <f ca="1">_xll.INSTRUMENT.CONVEXITE(AD44,,,I44,cContinuous,I44)</f>
        <v>#VALUE!</v>
      </c>
      <c r="L44" s="123" t="e">
        <f ca="1">_xll.INSTRUMENT.Z.SPREAD(AD44,swapCurve,I44,,D44)</f>
        <v>#VALUE!</v>
      </c>
      <c r="M44" s="123" t="e">
        <f ca="1">_xll.INSTRUMENT.Z.SPREAD(AD44,ustCurve,I44,,D44)</f>
        <v>#VALUE!</v>
      </c>
      <c r="N44" s="123" t="e">
        <f ca="1">_xll.INSTRUMENT.Z.SPREAD(AD44,oisCurve,I44,,D44)</f>
        <v>#VALUE!</v>
      </c>
      <c r="O44" s="124" t="e">
        <f ca="1">1/_xll.CALENDRIER.FRAC.ANNEE(_xll.INSTRUMENT.DATE.REGLEMENT($AD44,,),_xll.INSTRUMENT.DATE.REGLEMENT($AD44,_xll.CALENDRIER.GAP.FINANCE(TODAY(),"1M","AUD","Unadjusted"),),"ACT/365")*(_xll.INSTRUMENT.ROLL.DOWN($AD44,swapCurve,_xll.CALENDRIER.GAP.FINANCE(TODAY(),"1M","AUD","Unadjusted",TRUE),$L44)+100*$Z44*_xll.CALENDRIER.FRAC.ANNEE(_xll.INSTRUMENT.DATE.REGLEMENT($AD44,,),_xll.INSTRUMENT.DATE.REGLEMENT($AD44,_xll.CALENDRIER.GAP.FINANCE(TODAY(),"1M","AUD","Unadjusted"),),"ACT/365")-$I44)/$I44</f>
        <v>#NAME?</v>
      </c>
      <c r="P44" s="124" t="e">
        <f ca="1">1/_xll.CALENDRIER.FRAC.ANNEE(_xll.INSTRUMENT.DATE.REGLEMENT($AD44,,),_xll.INSTRUMENT.DATE.REGLEMENT($AD44,_xll.CALENDRIER.GAP.FINANCE(TODAY(),"3M","AUD","Unadjusted"),),"ACT/365")*(_xll.INSTRUMENT.ROLL.DOWN($AD44,swapCurve,_xll.CALENDRIER.GAP.FINANCE(TODAY(),"3M","AUD","Unadjusted",TRUE),$L44)+100*$Z44*_xll.CALENDRIER.FRAC.ANNEE(_xll.INSTRUMENT.DATE.REGLEMENT($AD44,,),_xll.INSTRUMENT.DATE.REGLEMENT($AD44,_xll.CALENDRIER.GAP.FINANCE(TODAY(),"3M","AUD","Unadjusted"),),"ACT/365")-$I44)/$I44</f>
        <v>#NAME?</v>
      </c>
      <c r="Q44" s="143" t="e">
        <f t="shared" ca="1" si="3"/>
        <v>#VALUE!</v>
      </c>
      <c r="R44" s="191" t="str">
        <f>IF(F44&lt;&gt;"","",IF(G44="","",-G44*(SUMIF('raw Data'!$A:$A,"RESINV1USD",'raw Data'!$G:$G)+SUMIF('raw Data'!$A:$A,"RESSWAPORUSD",'raw Data'!$G:$G))/(36500*J44)))</f>
        <v/>
      </c>
      <c r="S44" s="202" t="str">
        <f>IF(G44&lt;&gt;"","",IF(F44="","",-36500*J44*F44/(SUMIF('raw Data'!$A:$A,"RESINV1USD",'raw Data'!$G:$G)+SUMIF('raw Data'!$A:$A,"RESSWAPORUSD",'raw Data'!$G:$G))))</f>
        <v/>
      </c>
      <c r="T44" s="125">
        <f>SUMIF('raw Data'!$E:$E,A44,'raw Data'!$N:$N)</f>
        <v>0</v>
      </c>
      <c r="U44" s="126" t="e">
        <f ca="1">VALUE(_xll.BDP($A44 &amp; " Corp",U$1))</f>
        <v>#NAME?</v>
      </c>
      <c r="V44" s="127" t="e">
        <f ca="1">VALUE(_xll.BDP($A44 &amp; " Corp",V$1))</f>
        <v>#NAME?</v>
      </c>
      <c r="W44" s="127" t="e">
        <f ca="1">VALUE(_xll.BDP($A44 &amp; " Corp",W$1))</f>
        <v>#NAME?</v>
      </c>
      <c r="X44" s="127" t="e">
        <f ca="1">VALUE(_xll.BDP($A44 &amp; " Corp",X$1))</f>
        <v>#NAME?</v>
      </c>
      <c r="Y44" s="127" t="e">
        <f ca="1">VALUE(_xll.BDP($A44 &amp; " Corp",Y$1))</f>
        <v>#NAME?</v>
      </c>
      <c r="Z44" s="128" t="e">
        <f ca="1">_xll.BDP($A44 &amp; " Corp",Z$1)/100</f>
        <v>#NAME?</v>
      </c>
      <c r="AA44" s="129" t="e">
        <f ca="1">_xll.BDP($A44 &amp; " Corp",AA$1)</f>
        <v>#NAME?</v>
      </c>
      <c r="AB44" s="129" t="e">
        <f ca="1">_xll.BDP($A44 &amp; " Corp",AB$1)</f>
        <v>#NAME?</v>
      </c>
      <c r="AC44" s="129" t="e">
        <f ca="1">_xll.BDP($A44 &amp; " Corp",AC$1)</f>
        <v>#NAME?</v>
      </c>
      <c r="AD44" s="130" t="e">
        <f ca="1">_xll.INSTANCE.YANKEE(A44,U44,V44,W44,X44,Y44,Z44,AA44,LEFT(AC44,11),3,IF(RIGHT(AC44,6)="NONEOM",FALSE,TRUE),TODAY())</f>
        <v>#VALUE!</v>
      </c>
      <c r="AE44" s="130" t="e">
        <f ca="1">_xll.INSTANCE.CONVENTION.TAUX("conv_" &amp; A44,LEFT(AC44,11),"Compounded",IF(AA44=1,"Annual",IF(AA44=2,"Semi-Annual","")),"Unadjusted",TODAY())</f>
        <v>#VALUE!</v>
      </c>
    </row>
    <row r="45" spans="1:31" x14ac:dyDescent="0.35">
      <c r="A45" s="131" t="s">
        <v>854</v>
      </c>
      <c r="B45" s="115" t="e">
        <f ca="1">_xll.BDP($A45 &amp; " Govt",B$1)</f>
        <v>#NAME?</v>
      </c>
      <c r="C45" s="201" t="e">
        <f t="shared" ca="1" si="2"/>
        <v>#NAME?</v>
      </c>
      <c r="D45" s="116"/>
      <c r="E45" s="117"/>
      <c r="F45" s="118"/>
      <c r="G45" s="119"/>
      <c r="H45" s="120" t="e">
        <f ca="1">IF(E45="",_xll.BDP(A45 &amp; " Corp","YLD_YTM_BID")/100,E45)</f>
        <v>#NAME?</v>
      </c>
      <c r="I45" s="121" t="e">
        <f ca="1">_xll.INSTRUMENT.PRIX(AD45,D45,H45,AE45)</f>
        <v>#VALUE!</v>
      </c>
      <c r="J45" s="122" t="e">
        <f ca="1">_xll.INSTRUMENT.DV01(AD45,,,I45,cContinuous,I45)</f>
        <v>#VALUE!</v>
      </c>
      <c r="K45" s="123" t="e">
        <f ca="1">_xll.INSTRUMENT.CONVEXITE(AD45,,,I45,cContinuous,I45)</f>
        <v>#VALUE!</v>
      </c>
      <c r="L45" s="123" t="e">
        <f ca="1">_xll.INSTRUMENT.Z.SPREAD(AD45,swapCurve,I45,,D45)</f>
        <v>#VALUE!</v>
      </c>
      <c r="M45" s="123" t="e">
        <f ca="1">_xll.INSTRUMENT.Z.SPREAD(AD45,ustCurve,I45,,D45)</f>
        <v>#VALUE!</v>
      </c>
      <c r="N45" s="123" t="e">
        <f ca="1">_xll.INSTRUMENT.Z.SPREAD(AD45,oisCurve,I45,,D45)</f>
        <v>#VALUE!</v>
      </c>
      <c r="O45" s="124" t="e">
        <f ca="1">1/_xll.CALENDRIER.FRAC.ANNEE(_xll.INSTRUMENT.DATE.REGLEMENT($AD45,,),_xll.INSTRUMENT.DATE.REGLEMENT($AD45,_xll.CALENDRIER.GAP.FINANCE(TODAY(),"1M","AUD","Unadjusted"),),"ACT/365")*(_xll.INSTRUMENT.ROLL.DOWN($AD45,swapCurve,_xll.CALENDRIER.GAP.FINANCE(TODAY(),"1M","AUD","Unadjusted",TRUE),$L45)+100*$Z45*_xll.CALENDRIER.FRAC.ANNEE(_xll.INSTRUMENT.DATE.REGLEMENT($AD45,,),_xll.INSTRUMENT.DATE.REGLEMENT($AD45,_xll.CALENDRIER.GAP.FINANCE(TODAY(),"1M","AUD","Unadjusted"),),"ACT/365")-$I45)/$I45</f>
        <v>#NAME?</v>
      </c>
      <c r="P45" s="124" t="e">
        <f ca="1">1/_xll.CALENDRIER.FRAC.ANNEE(_xll.INSTRUMENT.DATE.REGLEMENT($AD45,,),_xll.INSTRUMENT.DATE.REGLEMENT($AD45,_xll.CALENDRIER.GAP.FINANCE(TODAY(),"3M","AUD","Unadjusted"),),"ACT/365")*(_xll.INSTRUMENT.ROLL.DOWN($AD45,swapCurve,_xll.CALENDRIER.GAP.FINANCE(TODAY(),"3M","AUD","Unadjusted",TRUE),$L45)+100*$Z45*_xll.CALENDRIER.FRAC.ANNEE(_xll.INSTRUMENT.DATE.REGLEMENT($AD45,,),_xll.INSTRUMENT.DATE.REGLEMENT($AD45,_xll.CALENDRIER.GAP.FINANCE(TODAY(),"3M","AUD","Unadjusted"),),"ACT/365")-$I45)/$I45</f>
        <v>#NAME?</v>
      </c>
      <c r="Q45" s="143" t="e">
        <f t="shared" ca="1" si="3"/>
        <v>#VALUE!</v>
      </c>
      <c r="R45" s="191" t="str">
        <f>IF(F45&lt;&gt;"","",IF(G45="","",-G45*(SUMIF('raw Data'!$A:$A,"RESINV1USD",'raw Data'!$G:$G)+SUMIF('raw Data'!$A:$A,"RESSWAPORUSD",'raw Data'!$G:$G))/(36500*J45)))</f>
        <v/>
      </c>
      <c r="S45" s="202" t="str">
        <f>IF(G45&lt;&gt;"","",IF(F45="","",-36500*J45*F45/(SUMIF('raw Data'!$A:$A,"RESINV1USD",'raw Data'!$G:$G)+SUMIF('raw Data'!$A:$A,"RESSWAPORUSD",'raw Data'!$G:$G))))</f>
        <v/>
      </c>
      <c r="T45" s="125">
        <f>SUMIF('raw Data'!$E:$E,A45,'raw Data'!$N:$N)</f>
        <v>0</v>
      </c>
      <c r="U45" s="126" t="e">
        <f ca="1">VALUE(_xll.BDP($A45 &amp; " Corp",U$1))</f>
        <v>#NAME?</v>
      </c>
      <c r="V45" s="127" t="e">
        <f ca="1">VALUE(_xll.BDP($A45 &amp; " Corp",V$1))</f>
        <v>#NAME?</v>
      </c>
      <c r="W45" s="127" t="e">
        <f ca="1">VALUE(_xll.BDP($A45 &amp; " Corp",W$1))</f>
        <v>#NAME?</v>
      </c>
      <c r="X45" s="127" t="e">
        <f ca="1">VALUE(_xll.BDP($A45 &amp; " Corp",X$1))</f>
        <v>#NAME?</v>
      </c>
      <c r="Y45" s="127" t="e">
        <f ca="1">VALUE(_xll.BDP($A45 &amp; " Corp",Y$1))</f>
        <v>#NAME?</v>
      </c>
      <c r="Z45" s="128" t="e">
        <f ca="1">_xll.BDP($A45 &amp; " Corp",Z$1)/100</f>
        <v>#NAME?</v>
      </c>
      <c r="AA45" s="129" t="e">
        <f ca="1">_xll.BDP($A45 &amp; " Corp",AA$1)</f>
        <v>#NAME?</v>
      </c>
      <c r="AB45" s="129" t="e">
        <f ca="1">_xll.BDP($A45 &amp; " Corp",AB$1)</f>
        <v>#NAME?</v>
      </c>
      <c r="AC45" s="129" t="e">
        <f ca="1">_xll.BDP($A45 &amp; " Corp",AC$1)</f>
        <v>#NAME?</v>
      </c>
      <c r="AD45" s="130" t="e">
        <f ca="1">_xll.INSTANCE.YANKEE(A45,U45,V45,W45,X45,Y45,Z45,AA45,LEFT(AC45,11),3,IF(RIGHT(AC45,6)="NONEOM",FALSE,TRUE),TODAY())</f>
        <v>#VALUE!</v>
      </c>
      <c r="AE45" s="130" t="e">
        <f ca="1">_xll.INSTANCE.CONVENTION.TAUX("conv_" &amp; A45,LEFT(AC45,11),"Compounded",IF(AA45=1,"Annual",IF(AA45=2,"Semi-Annual","")),"Unadjusted",TODAY())</f>
        <v>#VALUE!</v>
      </c>
    </row>
    <row r="46" spans="1:31" x14ac:dyDescent="0.35">
      <c r="A46" s="131" t="s">
        <v>838</v>
      </c>
      <c r="B46" s="115" t="e">
        <f ca="1">_xll.BDP($A46 &amp; " Govt",B$1)</f>
        <v>#NAME?</v>
      </c>
      <c r="C46" s="201" t="e">
        <f t="shared" ca="1" si="2"/>
        <v>#NAME?</v>
      </c>
      <c r="D46" s="116"/>
      <c r="E46" s="117"/>
      <c r="F46" s="118"/>
      <c r="G46" s="119"/>
      <c r="H46" s="120" t="e">
        <f ca="1">IF(E46="",_xll.BDP(A46 &amp; " Corp","YLD_YTM_BID")/100,E46)</f>
        <v>#NAME?</v>
      </c>
      <c r="I46" s="121" t="e">
        <f ca="1">_xll.INSTRUMENT.PRIX(AD46,D46,H46,AE46)</f>
        <v>#VALUE!</v>
      </c>
      <c r="J46" s="122" t="e">
        <f ca="1">_xll.INSTRUMENT.DV01(AD46,,,I46,cContinuous,I46)</f>
        <v>#VALUE!</v>
      </c>
      <c r="K46" s="123" t="e">
        <f ca="1">_xll.INSTRUMENT.CONVEXITE(AD46,,,I46,cContinuous,I46)</f>
        <v>#VALUE!</v>
      </c>
      <c r="L46" s="123" t="e">
        <f ca="1">_xll.INSTRUMENT.Z.SPREAD(AD46,swapCurve,I46,,D46)</f>
        <v>#VALUE!</v>
      </c>
      <c r="M46" s="123" t="e">
        <f ca="1">_xll.INSTRUMENT.Z.SPREAD(AD46,ustCurve,I46,,D46)</f>
        <v>#VALUE!</v>
      </c>
      <c r="N46" s="123" t="e">
        <f ca="1">_xll.INSTRUMENT.Z.SPREAD(AD46,oisCurve,I46,,D46)</f>
        <v>#VALUE!</v>
      </c>
      <c r="O46" s="124" t="e">
        <f ca="1">1/_xll.CALENDRIER.FRAC.ANNEE(_xll.INSTRUMENT.DATE.REGLEMENT($AD46,,),_xll.INSTRUMENT.DATE.REGLEMENT($AD46,_xll.CALENDRIER.GAP.FINANCE(TODAY(),"1M","AUD","Unadjusted"),),"ACT/365")*(_xll.INSTRUMENT.ROLL.DOWN($AD46,swapCurve,_xll.CALENDRIER.GAP.FINANCE(TODAY(),"1M","AUD","Unadjusted",TRUE),$L46)+100*$Z46*_xll.CALENDRIER.FRAC.ANNEE(_xll.INSTRUMENT.DATE.REGLEMENT($AD46,,),_xll.INSTRUMENT.DATE.REGLEMENT($AD46,_xll.CALENDRIER.GAP.FINANCE(TODAY(),"1M","AUD","Unadjusted"),),"ACT/365")-$I46)/$I46</f>
        <v>#NAME?</v>
      </c>
      <c r="P46" s="124" t="e">
        <f ca="1">1/_xll.CALENDRIER.FRAC.ANNEE(_xll.INSTRUMENT.DATE.REGLEMENT($AD46,,),_xll.INSTRUMENT.DATE.REGLEMENT($AD46,_xll.CALENDRIER.GAP.FINANCE(TODAY(),"3M","AUD","Unadjusted"),),"ACT/365")*(_xll.INSTRUMENT.ROLL.DOWN($AD46,swapCurve,_xll.CALENDRIER.GAP.FINANCE(TODAY(),"3M","AUD","Unadjusted",TRUE),$L46)+100*$Z46*_xll.CALENDRIER.FRAC.ANNEE(_xll.INSTRUMENT.DATE.REGLEMENT($AD46,,),_xll.INSTRUMENT.DATE.REGLEMENT($AD46,_xll.CALENDRIER.GAP.FINANCE(TODAY(),"3M","AUD","Unadjusted"),),"ACT/365")-$I46)/$I46</f>
        <v>#NAME?</v>
      </c>
      <c r="Q46" s="143" t="e">
        <f t="shared" ca="1" si="3"/>
        <v>#VALUE!</v>
      </c>
      <c r="R46" s="191" t="str">
        <f>IF(F46&lt;&gt;"","",IF(G46="","",-G46*(SUMIF('raw Data'!$A:$A,"RESINV1USD",'raw Data'!$G:$G)+SUMIF('raw Data'!$A:$A,"RESSWAPORUSD",'raw Data'!$G:$G))/(36500*J46)))</f>
        <v/>
      </c>
      <c r="S46" s="202" t="str">
        <f>IF(G46&lt;&gt;"","",IF(F46="","",-36500*J46*F46/(SUMIF('raw Data'!$A:$A,"RESINV1USD",'raw Data'!$G:$G)+SUMIF('raw Data'!$A:$A,"RESSWAPORUSD",'raw Data'!$G:$G))))</f>
        <v/>
      </c>
      <c r="T46" s="125">
        <f>SUMIF('raw Data'!$E:$E,A46,'raw Data'!$N:$N)</f>
        <v>0</v>
      </c>
      <c r="U46" s="126" t="e">
        <f ca="1">VALUE(_xll.BDP($A46 &amp; " Corp",U$1))</f>
        <v>#NAME?</v>
      </c>
      <c r="V46" s="127" t="e">
        <f ca="1">VALUE(_xll.BDP($A46 &amp; " Corp",V$1))</f>
        <v>#NAME?</v>
      </c>
      <c r="W46" s="127" t="e">
        <f ca="1">VALUE(_xll.BDP($A46 &amp; " Corp",W$1))</f>
        <v>#NAME?</v>
      </c>
      <c r="X46" s="127" t="e">
        <f ca="1">VALUE(_xll.BDP($A46 &amp; " Corp",X$1))</f>
        <v>#NAME?</v>
      </c>
      <c r="Y46" s="127" t="e">
        <f ca="1">VALUE(_xll.BDP($A46 &amp; " Corp",Y$1))</f>
        <v>#NAME?</v>
      </c>
      <c r="Z46" s="128" t="e">
        <f ca="1">_xll.BDP($A46 &amp; " Corp",Z$1)/100</f>
        <v>#NAME?</v>
      </c>
      <c r="AA46" s="129" t="e">
        <f ca="1">_xll.BDP($A46 &amp; " Corp",AA$1)</f>
        <v>#NAME?</v>
      </c>
      <c r="AB46" s="129" t="e">
        <f ca="1">_xll.BDP($A46 &amp; " Corp",AB$1)</f>
        <v>#NAME?</v>
      </c>
      <c r="AC46" s="129" t="e">
        <f ca="1">_xll.BDP($A46 &amp; " Corp",AC$1)</f>
        <v>#NAME?</v>
      </c>
      <c r="AD46" s="130" t="e">
        <f ca="1">_xll.INSTANCE.YANKEE(A46,U46,V46,W46,X46,Y46,Z46,AA46,LEFT(AC46,11),3,IF(RIGHT(AC46,6)="NONEOM",FALSE,TRUE),TODAY())</f>
        <v>#VALUE!</v>
      </c>
      <c r="AE46" s="130" t="e">
        <f ca="1">_xll.INSTANCE.CONVENTION.TAUX("conv_" &amp; A46,LEFT(AC46,11),"Compounded",IF(AA46=1,"Annual",IF(AA46=2,"Semi-Annual","")),"Unadjusted",TODAY())</f>
        <v>#VALUE!</v>
      </c>
    </row>
    <row r="47" spans="1:31" x14ac:dyDescent="0.35">
      <c r="A47" s="131" t="s">
        <v>820</v>
      </c>
      <c r="B47" s="115" t="e">
        <f ca="1">_xll.BDP($A47 &amp; " Govt",B$1)</f>
        <v>#NAME?</v>
      </c>
      <c r="C47" s="201" t="e">
        <f t="shared" ca="1" si="2"/>
        <v>#NAME?</v>
      </c>
      <c r="D47" s="116"/>
      <c r="E47" s="117"/>
      <c r="F47" s="118"/>
      <c r="G47" s="119"/>
      <c r="H47" s="120" t="e">
        <f ca="1">IF(E47="",_xll.BDP(A47 &amp; " Corp","YLD_YTM_BID")/100,E47)</f>
        <v>#NAME?</v>
      </c>
      <c r="I47" s="121" t="e">
        <f ca="1">_xll.INSTRUMENT.PRIX(AD47,D47,H47,AE47)</f>
        <v>#VALUE!</v>
      </c>
      <c r="J47" s="122" t="e">
        <f ca="1">_xll.INSTRUMENT.DV01(AD47,,,I47,cContinuous,I47)</f>
        <v>#VALUE!</v>
      </c>
      <c r="K47" s="123" t="e">
        <f ca="1">_xll.INSTRUMENT.CONVEXITE(AD47,,,I47,cContinuous,I47)</f>
        <v>#VALUE!</v>
      </c>
      <c r="L47" s="123" t="e">
        <f ca="1">_xll.INSTRUMENT.Z.SPREAD(AD47,swapCurve,I47,,D47)</f>
        <v>#VALUE!</v>
      </c>
      <c r="M47" s="123" t="e">
        <f ca="1">_xll.INSTRUMENT.Z.SPREAD(AD47,ustCurve,I47,,D47)</f>
        <v>#VALUE!</v>
      </c>
      <c r="N47" s="123" t="e">
        <f ca="1">_xll.INSTRUMENT.Z.SPREAD(AD47,oisCurve,I47,,D47)</f>
        <v>#VALUE!</v>
      </c>
      <c r="O47" s="124" t="e">
        <f ca="1">1/_xll.CALENDRIER.FRAC.ANNEE(_xll.INSTRUMENT.DATE.REGLEMENT($AD47,,),_xll.INSTRUMENT.DATE.REGLEMENT($AD47,_xll.CALENDRIER.GAP.FINANCE(TODAY(),"1M","AUD","Unadjusted"),),"ACT/365")*(_xll.INSTRUMENT.ROLL.DOWN($AD47,swapCurve,_xll.CALENDRIER.GAP.FINANCE(TODAY(),"1M","AUD","Unadjusted",TRUE),$L47)+100*$Z47*_xll.CALENDRIER.FRAC.ANNEE(_xll.INSTRUMENT.DATE.REGLEMENT($AD47,,),_xll.INSTRUMENT.DATE.REGLEMENT($AD47,_xll.CALENDRIER.GAP.FINANCE(TODAY(),"1M","AUD","Unadjusted"),),"ACT/365")-$I47)/$I47</f>
        <v>#NAME?</v>
      </c>
      <c r="P47" s="124" t="e">
        <f ca="1">1/_xll.CALENDRIER.FRAC.ANNEE(_xll.INSTRUMENT.DATE.REGLEMENT($AD47,,),_xll.INSTRUMENT.DATE.REGLEMENT($AD47,_xll.CALENDRIER.GAP.FINANCE(TODAY(),"3M","AUD","Unadjusted"),),"ACT/365")*(_xll.INSTRUMENT.ROLL.DOWN($AD47,swapCurve,_xll.CALENDRIER.GAP.FINANCE(TODAY(),"3M","AUD","Unadjusted",TRUE),$L47)+100*$Z47*_xll.CALENDRIER.FRAC.ANNEE(_xll.INSTRUMENT.DATE.REGLEMENT($AD47,,),_xll.INSTRUMENT.DATE.REGLEMENT($AD47,_xll.CALENDRIER.GAP.FINANCE(TODAY(),"3M","AUD","Unadjusted"),),"ACT/365")-$I47)/$I47</f>
        <v>#NAME?</v>
      </c>
      <c r="Q47" s="143" t="e">
        <f t="shared" ca="1" si="3"/>
        <v>#VALUE!</v>
      </c>
      <c r="R47" s="191" t="str">
        <f>IF(F47&lt;&gt;"","",IF(G47="","",-G47*(SUMIF('raw Data'!$A:$A,"RESINV1USD",'raw Data'!$G:$G)+SUMIF('raw Data'!$A:$A,"RESSWAPORUSD",'raw Data'!$G:$G))/(36500*J47)))</f>
        <v/>
      </c>
      <c r="S47" s="202" t="str">
        <f>IF(G47&lt;&gt;"","",IF(F47="","",-36500*J47*F47/(SUMIF('raw Data'!$A:$A,"RESINV1USD",'raw Data'!$G:$G)+SUMIF('raw Data'!$A:$A,"RESSWAPORUSD",'raw Data'!$G:$G))))</f>
        <v/>
      </c>
      <c r="T47" s="125">
        <f>SUMIF('raw Data'!$E:$E,A47,'raw Data'!$N:$N)</f>
        <v>0</v>
      </c>
      <c r="U47" s="126" t="e">
        <f ca="1">VALUE(_xll.BDP($A47 &amp; " Corp",U$1))</f>
        <v>#NAME?</v>
      </c>
      <c r="V47" s="127" t="e">
        <f ca="1">VALUE(_xll.BDP($A47 &amp; " Corp",V$1))</f>
        <v>#NAME?</v>
      </c>
      <c r="W47" s="127" t="e">
        <f ca="1">VALUE(_xll.BDP($A47 &amp; " Corp",W$1))</f>
        <v>#NAME?</v>
      </c>
      <c r="X47" s="127" t="e">
        <f ca="1">VALUE(_xll.BDP($A47 &amp; " Corp",X$1))</f>
        <v>#NAME?</v>
      </c>
      <c r="Y47" s="127" t="e">
        <f ca="1">VALUE(_xll.BDP($A47 &amp; " Corp",Y$1))</f>
        <v>#NAME?</v>
      </c>
      <c r="Z47" s="128" t="e">
        <f ca="1">_xll.BDP($A47 &amp; " Corp",Z$1)/100</f>
        <v>#NAME?</v>
      </c>
      <c r="AA47" s="129" t="e">
        <f ca="1">_xll.BDP($A47 &amp; " Corp",AA$1)</f>
        <v>#NAME?</v>
      </c>
      <c r="AB47" s="129" t="e">
        <f ca="1">_xll.BDP($A47 &amp; " Corp",AB$1)</f>
        <v>#NAME?</v>
      </c>
      <c r="AC47" s="129" t="e">
        <f ca="1">_xll.BDP($A47 &amp; " Corp",AC$1)</f>
        <v>#NAME?</v>
      </c>
      <c r="AD47" s="130" t="e">
        <f ca="1">_xll.INSTANCE.YANKEE(A47,U47,V47,W47,X47,Y47,Z47,AA47,LEFT(AC47,11),3,IF(RIGHT(AC47,6)="NONEOM",FALSE,TRUE),TODAY())</f>
        <v>#VALUE!</v>
      </c>
      <c r="AE47" s="130" t="e">
        <f ca="1">_xll.INSTANCE.CONVENTION.TAUX("conv_" &amp; A47,LEFT(AC47,11),"Compounded",IF(AA47=1,"Annual",IF(AA47=2,"Semi-Annual","")),"Unadjusted",TODAY())</f>
        <v>#VALUE!</v>
      </c>
    </row>
    <row r="48" spans="1:31" x14ac:dyDescent="0.35">
      <c r="A48" s="131" t="s">
        <v>843</v>
      </c>
      <c r="B48" s="115" t="e">
        <f ca="1">_xll.BDP($A48 &amp; " Govt",B$1)</f>
        <v>#NAME?</v>
      </c>
      <c r="C48" s="201" t="e">
        <f t="shared" ca="1" si="2"/>
        <v>#NAME?</v>
      </c>
      <c r="D48" s="116"/>
      <c r="E48" s="117"/>
      <c r="F48" s="118"/>
      <c r="G48" s="119"/>
      <c r="H48" s="120" t="e">
        <f ca="1">IF(E48="",_xll.BDP(A48 &amp; " Corp","YLD_YTM_BID")/100,E48)</f>
        <v>#NAME?</v>
      </c>
      <c r="I48" s="121" t="e">
        <f ca="1">_xll.INSTRUMENT.PRIX(AD48,D48,H48,AE48)</f>
        <v>#VALUE!</v>
      </c>
      <c r="J48" s="122" t="e">
        <f ca="1">_xll.INSTRUMENT.DV01(AD48,,,I48,cContinuous,I48)</f>
        <v>#VALUE!</v>
      </c>
      <c r="K48" s="123" t="e">
        <f ca="1">_xll.INSTRUMENT.CONVEXITE(AD48,,,I48,cContinuous,I48)</f>
        <v>#VALUE!</v>
      </c>
      <c r="L48" s="123" t="e">
        <f ca="1">_xll.INSTRUMENT.Z.SPREAD(AD48,swapCurve,I48,,D48)</f>
        <v>#VALUE!</v>
      </c>
      <c r="M48" s="123" t="e">
        <f ca="1">_xll.INSTRUMENT.Z.SPREAD(AD48,ustCurve,I48,,D48)</f>
        <v>#VALUE!</v>
      </c>
      <c r="N48" s="123" t="e">
        <f ca="1">_xll.INSTRUMENT.Z.SPREAD(AD48,oisCurve,I48,,D48)</f>
        <v>#VALUE!</v>
      </c>
      <c r="O48" s="124" t="e">
        <f ca="1">1/_xll.CALENDRIER.FRAC.ANNEE(_xll.INSTRUMENT.DATE.REGLEMENT($AD48,,),_xll.INSTRUMENT.DATE.REGLEMENT($AD48,_xll.CALENDRIER.GAP.FINANCE(TODAY(),"1M","AUD","Unadjusted"),),"ACT/365")*(_xll.INSTRUMENT.ROLL.DOWN($AD48,swapCurve,_xll.CALENDRIER.GAP.FINANCE(TODAY(),"1M","AUD","Unadjusted",TRUE),$L48)+100*$Z48*_xll.CALENDRIER.FRAC.ANNEE(_xll.INSTRUMENT.DATE.REGLEMENT($AD48,,),_xll.INSTRUMENT.DATE.REGLEMENT($AD48,_xll.CALENDRIER.GAP.FINANCE(TODAY(),"1M","AUD","Unadjusted"),),"ACT/365")-$I48)/$I48</f>
        <v>#NAME?</v>
      </c>
      <c r="P48" s="124" t="e">
        <f ca="1">1/_xll.CALENDRIER.FRAC.ANNEE(_xll.INSTRUMENT.DATE.REGLEMENT($AD48,,),_xll.INSTRUMENT.DATE.REGLEMENT($AD48,_xll.CALENDRIER.GAP.FINANCE(TODAY(),"3M","AUD","Unadjusted"),),"ACT/365")*(_xll.INSTRUMENT.ROLL.DOWN($AD48,swapCurve,_xll.CALENDRIER.GAP.FINANCE(TODAY(),"3M","AUD","Unadjusted",TRUE),$L48)+100*$Z48*_xll.CALENDRIER.FRAC.ANNEE(_xll.INSTRUMENT.DATE.REGLEMENT($AD48,,),_xll.INSTRUMENT.DATE.REGLEMENT($AD48,_xll.CALENDRIER.GAP.FINANCE(TODAY(),"3M","AUD","Unadjusted"),),"ACT/365")-$I48)/$I48</f>
        <v>#NAME?</v>
      </c>
      <c r="Q48" s="143" t="e">
        <f t="shared" ca="1" si="3"/>
        <v>#VALUE!</v>
      </c>
      <c r="R48" s="191" t="str">
        <f>IF(F48&lt;&gt;"","",IF(G48="","",-G48*(SUMIF('raw Data'!$A:$A,"RESINV1USD",'raw Data'!$G:$G)+SUMIF('raw Data'!$A:$A,"RESSWAPORUSD",'raw Data'!$G:$G))/(36500*J48)))</f>
        <v/>
      </c>
      <c r="S48" s="202" t="str">
        <f>IF(G48&lt;&gt;"","",IF(F48="","",-36500*J48*F48/(SUMIF('raw Data'!$A:$A,"RESINV1USD",'raw Data'!$G:$G)+SUMIF('raw Data'!$A:$A,"RESSWAPORUSD",'raw Data'!$G:$G))))</f>
        <v/>
      </c>
      <c r="T48" s="125">
        <f>SUMIF('raw Data'!$E:$E,A48,'raw Data'!$N:$N)</f>
        <v>0</v>
      </c>
      <c r="U48" s="126" t="e">
        <f ca="1">VALUE(_xll.BDP($A48 &amp; " Corp",U$1))</f>
        <v>#NAME?</v>
      </c>
      <c r="V48" s="127" t="e">
        <f ca="1">VALUE(_xll.BDP($A48 &amp; " Corp",V$1))</f>
        <v>#NAME?</v>
      </c>
      <c r="W48" s="127" t="e">
        <f ca="1">VALUE(_xll.BDP($A48 &amp; " Corp",W$1))</f>
        <v>#NAME?</v>
      </c>
      <c r="X48" s="127" t="e">
        <f ca="1">VALUE(_xll.BDP($A48 &amp; " Corp",X$1))</f>
        <v>#NAME?</v>
      </c>
      <c r="Y48" s="127" t="e">
        <f ca="1">VALUE(_xll.BDP($A48 &amp; " Corp",Y$1))</f>
        <v>#NAME?</v>
      </c>
      <c r="Z48" s="128" t="e">
        <f ca="1">_xll.BDP($A48 &amp; " Corp",Z$1)/100</f>
        <v>#NAME?</v>
      </c>
      <c r="AA48" s="129" t="e">
        <f ca="1">_xll.BDP($A48 &amp; " Corp",AA$1)</f>
        <v>#NAME?</v>
      </c>
      <c r="AB48" s="129" t="e">
        <f ca="1">_xll.BDP($A48 &amp; " Corp",AB$1)</f>
        <v>#NAME?</v>
      </c>
      <c r="AC48" s="129" t="e">
        <f ca="1">_xll.BDP($A48 &amp; " Corp",AC$1)</f>
        <v>#NAME?</v>
      </c>
      <c r="AD48" s="130" t="e">
        <f ca="1">_xll.INSTANCE.YANKEE(A48,U48,V48,W48,X48,Y48,Z48,AA48,LEFT(AC48,11),3,IF(RIGHT(AC48,6)="NONEOM",FALSE,TRUE),TODAY())</f>
        <v>#VALUE!</v>
      </c>
      <c r="AE48" s="130" t="e">
        <f ca="1">_xll.INSTANCE.CONVENTION.TAUX("conv_" &amp; A48,LEFT(AC48,11),"Compounded",IF(AA48=1,"Annual",IF(AA48=2,"Semi-Annual","")),"Unadjusted",TODAY())</f>
        <v>#VALUE!</v>
      </c>
    </row>
    <row r="49" spans="1:31" x14ac:dyDescent="0.35">
      <c r="A49" s="131" t="s">
        <v>810</v>
      </c>
      <c r="B49" s="115" t="e">
        <f ca="1">_xll.BDP($A49 &amp; " Govt",B$1)</f>
        <v>#NAME?</v>
      </c>
      <c r="C49" s="201" t="e">
        <f t="shared" ca="1" si="2"/>
        <v>#NAME?</v>
      </c>
      <c r="D49" s="116"/>
      <c r="E49" s="117"/>
      <c r="F49" s="118"/>
      <c r="G49" s="119"/>
      <c r="H49" s="120" t="e">
        <f ca="1">IF(E49="",_xll.BDP(A49 &amp; " Corp","YLD_YTM_BID")/100,E49)</f>
        <v>#NAME?</v>
      </c>
      <c r="I49" s="121" t="e">
        <f ca="1">_xll.INSTRUMENT.PRIX(AD49,D49,H49,AE49)</f>
        <v>#VALUE!</v>
      </c>
      <c r="J49" s="122" t="e">
        <f ca="1">_xll.INSTRUMENT.DV01(AD49,,,I49,cContinuous,I49)</f>
        <v>#VALUE!</v>
      </c>
      <c r="K49" s="123" t="e">
        <f ca="1">_xll.INSTRUMENT.CONVEXITE(AD49,,,I49,cContinuous,I49)</f>
        <v>#VALUE!</v>
      </c>
      <c r="L49" s="123" t="e">
        <f ca="1">_xll.INSTRUMENT.Z.SPREAD(AD49,swapCurve,I49,,D49)</f>
        <v>#VALUE!</v>
      </c>
      <c r="M49" s="123" t="e">
        <f ca="1">_xll.INSTRUMENT.Z.SPREAD(AD49,ustCurve,I49,,D49)</f>
        <v>#VALUE!</v>
      </c>
      <c r="N49" s="123" t="e">
        <f ca="1">_xll.INSTRUMENT.Z.SPREAD(AD49,oisCurve,I49,,D49)</f>
        <v>#VALUE!</v>
      </c>
      <c r="O49" s="124" t="e">
        <f ca="1">1/_xll.CALENDRIER.FRAC.ANNEE(_xll.INSTRUMENT.DATE.REGLEMENT($AD49,,),_xll.INSTRUMENT.DATE.REGLEMENT($AD49,_xll.CALENDRIER.GAP.FINANCE(TODAY(),"1M","AUD","Unadjusted"),),"ACT/365")*(_xll.INSTRUMENT.ROLL.DOWN($AD49,swapCurve,_xll.CALENDRIER.GAP.FINANCE(TODAY(),"1M","AUD","Unadjusted",TRUE),$L49)+100*$Z49*_xll.CALENDRIER.FRAC.ANNEE(_xll.INSTRUMENT.DATE.REGLEMENT($AD49,,),_xll.INSTRUMENT.DATE.REGLEMENT($AD49,_xll.CALENDRIER.GAP.FINANCE(TODAY(),"1M","AUD","Unadjusted"),),"ACT/365")-$I49)/$I49</f>
        <v>#NAME?</v>
      </c>
      <c r="P49" s="124" t="e">
        <f ca="1">1/_xll.CALENDRIER.FRAC.ANNEE(_xll.INSTRUMENT.DATE.REGLEMENT($AD49,,),_xll.INSTRUMENT.DATE.REGLEMENT($AD49,_xll.CALENDRIER.GAP.FINANCE(TODAY(),"3M","AUD","Unadjusted"),),"ACT/365")*(_xll.INSTRUMENT.ROLL.DOWN($AD49,swapCurve,_xll.CALENDRIER.GAP.FINANCE(TODAY(),"3M","AUD","Unadjusted",TRUE),$L49)+100*$Z49*_xll.CALENDRIER.FRAC.ANNEE(_xll.INSTRUMENT.DATE.REGLEMENT($AD49,,),_xll.INSTRUMENT.DATE.REGLEMENT($AD49,_xll.CALENDRIER.GAP.FINANCE(TODAY(),"3M","AUD","Unadjusted"),),"ACT/365")-$I49)/$I49</f>
        <v>#NAME?</v>
      </c>
      <c r="Q49" s="143" t="e">
        <f t="shared" ca="1" si="3"/>
        <v>#VALUE!</v>
      </c>
      <c r="R49" s="191" t="str">
        <f>IF(F49&lt;&gt;"","",IF(G49="","",-G49*(SUMIF('raw Data'!$A:$A,"RESINV1USD",'raw Data'!$G:$G)+SUMIF('raw Data'!$A:$A,"RESSWAPORUSD",'raw Data'!$G:$G))/(36500*J49)))</f>
        <v/>
      </c>
      <c r="S49" s="202" t="str">
        <f>IF(G49&lt;&gt;"","",IF(F49="","",-36500*J49*F49/(SUMIF('raw Data'!$A:$A,"RESINV1USD",'raw Data'!$G:$G)+SUMIF('raw Data'!$A:$A,"RESSWAPORUSD",'raw Data'!$G:$G))))</f>
        <v/>
      </c>
      <c r="T49" s="125">
        <f>SUMIF('raw Data'!$E:$E,A49,'raw Data'!$N:$N)</f>
        <v>0</v>
      </c>
      <c r="U49" s="126" t="e">
        <f ca="1">VALUE(_xll.BDP($A49 &amp; " Corp",U$1))</f>
        <v>#NAME?</v>
      </c>
      <c r="V49" s="127" t="e">
        <f ca="1">VALUE(_xll.BDP($A49 &amp; " Corp",V$1))</f>
        <v>#NAME?</v>
      </c>
      <c r="W49" s="127" t="e">
        <f ca="1">VALUE(_xll.BDP($A49 &amp; " Corp",W$1))</f>
        <v>#NAME?</v>
      </c>
      <c r="X49" s="127" t="e">
        <f ca="1">VALUE(_xll.BDP($A49 &amp; " Corp",X$1))</f>
        <v>#NAME?</v>
      </c>
      <c r="Y49" s="127" t="e">
        <f ca="1">VALUE(_xll.BDP($A49 &amp; " Corp",Y$1))</f>
        <v>#NAME?</v>
      </c>
      <c r="Z49" s="128" t="e">
        <f ca="1">_xll.BDP($A49 &amp; " Corp",Z$1)/100</f>
        <v>#NAME?</v>
      </c>
      <c r="AA49" s="129" t="e">
        <f ca="1">_xll.BDP($A49 &amp; " Corp",AA$1)</f>
        <v>#NAME?</v>
      </c>
      <c r="AB49" s="129" t="e">
        <f ca="1">_xll.BDP($A49 &amp; " Corp",AB$1)</f>
        <v>#NAME?</v>
      </c>
      <c r="AC49" s="129" t="e">
        <f ca="1">_xll.BDP($A49 &amp; " Corp",AC$1)</f>
        <v>#NAME?</v>
      </c>
      <c r="AD49" s="130" t="e">
        <f ca="1">_xll.INSTANCE.YANKEE(A49,U49,V49,W49,X49,Y49,Z49,AA49,LEFT(AC49,11),3,IF(RIGHT(AC49,6)="NONEOM",FALSE,TRUE),TODAY())</f>
        <v>#VALUE!</v>
      </c>
      <c r="AE49" s="130" t="e">
        <f ca="1">_xll.INSTANCE.CONVENTION.TAUX("conv_" &amp; A49,LEFT(AC49,11),"Compounded",IF(AA49=1,"Annual",IF(AA49=2,"Semi-Annual","")),"Unadjusted",TODAY())</f>
        <v>#VALUE!</v>
      </c>
    </row>
    <row r="50" spans="1:31" x14ac:dyDescent="0.35">
      <c r="A50" s="131" t="s">
        <v>850</v>
      </c>
      <c r="B50" s="115" t="e">
        <f ca="1">_xll.BDP($A50 &amp; " Govt",B$1)</f>
        <v>#NAME?</v>
      </c>
      <c r="C50" s="201" t="e">
        <f t="shared" ca="1" si="2"/>
        <v>#NAME?</v>
      </c>
      <c r="D50" s="116"/>
      <c r="E50" s="117"/>
      <c r="F50" s="118"/>
      <c r="G50" s="119"/>
      <c r="H50" s="120" t="e">
        <f ca="1">IF(E50="",_xll.BDP(A50 &amp; " Corp","YLD_YTM_BID")/100,E50)</f>
        <v>#NAME?</v>
      </c>
      <c r="I50" s="121" t="e">
        <f ca="1">_xll.INSTRUMENT.PRIX(AD50,D50,H50,AE50)</f>
        <v>#VALUE!</v>
      </c>
      <c r="J50" s="122" t="e">
        <f ca="1">_xll.INSTRUMENT.DV01(AD50,,,I50,cContinuous,I50)</f>
        <v>#VALUE!</v>
      </c>
      <c r="K50" s="123" t="e">
        <f ca="1">_xll.INSTRUMENT.CONVEXITE(AD50,,,I50,cContinuous,I50)</f>
        <v>#VALUE!</v>
      </c>
      <c r="L50" s="123" t="e">
        <f ca="1">_xll.INSTRUMENT.Z.SPREAD(AD50,swapCurve,I50,,D50)</f>
        <v>#VALUE!</v>
      </c>
      <c r="M50" s="123" t="e">
        <f ca="1">_xll.INSTRUMENT.Z.SPREAD(AD50,ustCurve,I50,,D50)</f>
        <v>#VALUE!</v>
      </c>
      <c r="N50" s="123" t="e">
        <f ca="1">_xll.INSTRUMENT.Z.SPREAD(AD50,oisCurve,I50,,D50)</f>
        <v>#VALUE!</v>
      </c>
      <c r="O50" s="124" t="e">
        <f ca="1">1/_xll.CALENDRIER.FRAC.ANNEE(_xll.INSTRUMENT.DATE.REGLEMENT($AD50,,),_xll.INSTRUMENT.DATE.REGLEMENT($AD50,_xll.CALENDRIER.GAP.FINANCE(TODAY(),"1M","AUD","Unadjusted"),),"ACT/365")*(_xll.INSTRUMENT.ROLL.DOWN($AD50,swapCurve,_xll.CALENDRIER.GAP.FINANCE(TODAY(),"1M","AUD","Unadjusted",TRUE),$L50)+100*$Z50*_xll.CALENDRIER.FRAC.ANNEE(_xll.INSTRUMENT.DATE.REGLEMENT($AD50,,),_xll.INSTRUMENT.DATE.REGLEMENT($AD50,_xll.CALENDRIER.GAP.FINANCE(TODAY(),"1M","AUD","Unadjusted"),),"ACT/365")-$I50)/$I50</f>
        <v>#NAME?</v>
      </c>
      <c r="P50" s="124" t="e">
        <f ca="1">1/_xll.CALENDRIER.FRAC.ANNEE(_xll.INSTRUMENT.DATE.REGLEMENT($AD50,,),_xll.INSTRUMENT.DATE.REGLEMENT($AD50,_xll.CALENDRIER.GAP.FINANCE(TODAY(),"3M","AUD","Unadjusted"),),"ACT/365")*(_xll.INSTRUMENT.ROLL.DOWN($AD50,swapCurve,_xll.CALENDRIER.GAP.FINANCE(TODAY(),"3M","AUD","Unadjusted",TRUE),$L50)+100*$Z50*_xll.CALENDRIER.FRAC.ANNEE(_xll.INSTRUMENT.DATE.REGLEMENT($AD50,,),_xll.INSTRUMENT.DATE.REGLEMENT($AD50,_xll.CALENDRIER.GAP.FINANCE(TODAY(),"3M","AUD","Unadjusted"),),"ACT/365")-$I50)/$I50</f>
        <v>#NAME?</v>
      </c>
      <c r="Q50" s="143" t="e">
        <f t="shared" ca="1" si="3"/>
        <v>#VALUE!</v>
      </c>
      <c r="R50" s="191" t="str">
        <f>IF(F50&lt;&gt;"","",IF(G50="","",-G50*(SUMIF('raw Data'!$A:$A,"RESINV1USD",'raw Data'!$G:$G)+SUMIF('raw Data'!$A:$A,"RESSWAPORUSD",'raw Data'!$G:$G))/(36500*J50)))</f>
        <v/>
      </c>
      <c r="S50" s="202" t="str">
        <f>IF(G50&lt;&gt;"","",IF(F50="","",-36500*J50*F50/(SUMIF('raw Data'!$A:$A,"RESINV1USD",'raw Data'!$G:$G)+SUMIF('raw Data'!$A:$A,"RESSWAPORUSD",'raw Data'!$G:$G))))</f>
        <v/>
      </c>
      <c r="T50" s="125">
        <f>SUMIF('raw Data'!$E:$E,A50,'raw Data'!$N:$N)</f>
        <v>0</v>
      </c>
      <c r="U50" s="126" t="e">
        <f ca="1">VALUE(_xll.BDP($A50 &amp; " Corp",U$1))</f>
        <v>#NAME?</v>
      </c>
      <c r="V50" s="127" t="e">
        <f ca="1">VALUE(_xll.BDP($A50 &amp; " Corp",V$1))</f>
        <v>#NAME?</v>
      </c>
      <c r="W50" s="127" t="e">
        <f ca="1">VALUE(_xll.BDP($A50 &amp; " Corp",W$1))</f>
        <v>#NAME?</v>
      </c>
      <c r="X50" s="127" t="e">
        <f ca="1">VALUE(_xll.BDP($A50 &amp; " Corp",X$1))</f>
        <v>#NAME?</v>
      </c>
      <c r="Y50" s="127" t="e">
        <f ca="1">VALUE(_xll.BDP($A50 &amp; " Corp",Y$1))</f>
        <v>#NAME?</v>
      </c>
      <c r="Z50" s="128" t="e">
        <f ca="1">_xll.BDP($A50 &amp; " Corp",Z$1)/100</f>
        <v>#NAME?</v>
      </c>
      <c r="AA50" s="129" t="e">
        <f ca="1">_xll.BDP($A50 &amp; " Corp",AA$1)</f>
        <v>#NAME?</v>
      </c>
      <c r="AB50" s="129" t="e">
        <f ca="1">_xll.BDP($A50 &amp; " Corp",AB$1)</f>
        <v>#NAME?</v>
      </c>
      <c r="AC50" s="129" t="e">
        <f ca="1">_xll.BDP($A50 &amp; " Corp",AC$1)</f>
        <v>#NAME?</v>
      </c>
      <c r="AD50" s="130" t="e">
        <f ca="1">_xll.INSTANCE.YANKEE(A50,U50,V50,W50,X50,Y50,Z50,AA50,LEFT(AC50,11),3,IF(RIGHT(AC50,6)="NONEOM",FALSE,TRUE),TODAY())</f>
        <v>#VALUE!</v>
      </c>
      <c r="AE50" s="130" t="e">
        <f ca="1">_xll.INSTANCE.CONVENTION.TAUX("conv_" &amp; A50,LEFT(AC50,11),"Compounded",IF(AA50=1,"Annual",IF(AA50=2,"Semi-Annual","")),"Unadjusted",TODAY())</f>
        <v>#VALUE!</v>
      </c>
    </row>
    <row r="51" spans="1:31" x14ac:dyDescent="0.35">
      <c r="A51" s="131" t="s">
        <v>811</v>
      </c>
      <c r="B51" s="115" t="e">
        <f ca="1">_xll.BDP($A51 &amp; " Govt",B$1)</f>
        <v>#NAME?</v>
      </c>
      <c r="C51" s="201" t="e">
        <f t="shared" ca="1" si="2"/>
        <v>#NAME?</v>
      </c>
      <c r="D51" s="116"/>
      <c r="E51" s="117"/>
      <c r="F51" s="118"/>
      <c r="G51" s="119"/>
      <c r="H51" s="120" t="e">
        <f ca="1">IF(E51="",_xll.BDP(A51 &amp; " Corp","YLD_YTM_BID")/100,E51)</f>
        <v>#NAME?</v>
      </c>
      <c r="I51" s="121" t="e">
        <f ca="1">_xll.INSTRUMENT.PRIX(AD51,D51,H51,AE51)</f>
        <v>#VALUE!</v>
      </c>
      <c r="J51" s="122" t="e">
        <f ca="1">_xll.INSTRUMENT.DV01(AD51,,,I51,cContinuous,I51)</f>
        <v>#VALUE!</v>
      </c>
      <c r="K51" s="123" t="e">
        <f ca="1">_xll.INSTRUMENT.CONVEXITE(AD51,,,I51,cContinuous,I51)</f>
        <v>#VALUE!</v>
      </c>
      <c r="L51" s="123" t="e">
        <f ca="1">_xll.INSTRUMENT.Z.SPREAD(AD51,swapCurve,I51,,D51)</f>
        <v>#VALUE!</v>
      </c>
      <c r="M51" s="123" t="e">
        <f ca="1">_xll.INSTRUMENT.Z.SPREAD(AD51,ustCurve,I51,,D51)</f>
        <v>#VALUE!</v>
      </c>
      <c r="N51" s="123" t="e">
        <f ca="1">_xll.INSTRUMENT.Z.SPREAD(AD51,oisCurve,I51,,D51)</f>
        <v>#VALUE!</v>
      </c>
      <c r="O51" s="124" t="e">
        <f ca="1">1/_xll.CALENDRIER.FRAC.ANNEE(_xll.INSTRUMENT.DATE.REGLEMENT($AD51,,),_xll.INSTRUMENT.DATE.REGLEMENT($AD51,_xll.CALENDRIER.GAP.FINANCE(TODAY(),"1M","AUD","Unadjusted"),),"ACT/365")*(_xll.INSTRUMENT.ROLL.DOWN($AD51,swapCurve,_xll.CALENDRIER.GAP.FINANCE(TODAY(),"1M","AUD","Unadjusted",TRUE),$L51)+100*$Z51*_xll.CALENDRIER.FRAC.ANNEE(_xll.INSTRUMENT.DATE.REGLEMENT($AD51,,),_xll.INSTRUMENT.DATE.REGLEMENT($AD51,_xll.CALENDRIER.GAP.FINANCE(TODAY(),"1M","AUD","Unadjusted"),),"ACT/365")-$I51)/$I51</f>
        <v>#NAME?</v>
      </c>
      <c r="P51" s="124" t="e">
        <f ca="1">1/_xll.CALENDRIER.FRAC.ANNEE(_xll.INSTRUMENT.DATE.REGLEMENT($AD51,,),_xll.INSTRUMENT.DATE.REGLEMENT($AD51,_xll.CALENDRIER.GAP.FINANCE(TODAY(),"3M","AUD","Unadjusted"),),"ACT/365")*(_xll.INSTRUMENT.ROLL.DOWN($AD51,swapCurve,_xll.CALENDRIER.GAP.FINANCE(TODAY(),"3M","AUD","Unadjusted",TRUE),$L51)+100*$Z51*_xll.CALENDRIER.FRAC.ANNEE(_xll.INSTRUMENT.DATE.REGLEMENT($AD51,,),_xll.INSTRUMENT.DATE.REGLEMENT($AD51,_xll.CALENDRIER.GAP.FINANCE(TODAY(),"3M","AUD","Unadjusted"),),"ACT/365")-$I51)/$I51</f>
        <v>#NAME?</v>
      </c>
      <c r="Q51" s="143" t="e">
        <f t="shared" ca="1" si="3"/>
        <v>#VALUE!</v>
      </c>
      <c r="R51" s="191" t="str">
        <f>IF(F51&lt;&gt;"","",IF(G51="","",-G51*(SUMIF('raw Data'!$A:$A,"RESINV1USD",'raw Data'!$G:$G)+SUMIF('raw Data'!$A:$A,"RESSWAPORUSD",'raw Data'!$G:$G))/(36500*J51)))</f>
        <v/>
      </c>
      <c r="S51" s="202" t="str">
        <f>IF(G51&lt;&gt;"","",IF(F51="","",-36500*J51*F51/(SUMIF('raw Data'!$A:$A,"RESINV1USD",'raw Data'!$G:$G)+SUMIF('raw Data'!$A:$A,"RESSWAPORUSD",'raw Data'!$G:$G))))</f>
        <v/>
      </c>
      <c r="T51" s="125">
        <f>SUMIF('raw Data'!$E:$E,A51,'raw Data'!$N:$N)</f>
        <v>0</v>
      </c>
      <c r="U51" s="126" t="e">
        <f ca="1">VALUE(_xll.BDP($A51 &amp; " Corp",U$1))</f>
        <v>#NAME?</v>
      </c>
      <c r="V51" s="127" t="e">
        <f ca="1">VALUE(_xll.BDP($A51 &amp; " Corp",V$1))</f>
        <v>#NAME?</v>
      </c>
      <c r="W51" s="127" t="e">
        <f ca="1">VALUE(_xll.BDP($A51 &amp; " Corp",W$1))</f>
        <v>#NAME?</v>
      </c>
      <c r="X51" s="127" t="e">
        <f ca="1">VALUE(_xll.BDP($A51 &amp; " Corp",X$1))</f>
        <v>#NAME?</v>
      </c>
      <c r="Y51" s="127" t="e">
        <f ca="1">VALUE(_xll.BDP($A51 &amp; " Corp",Y$1))</f>
        <v>#NAME?</v>
      </c>
      <c r="Z51" s="128" t="e">
        <f ca="1">_xll.BDP($A51 &amp; " Corp",Z$1)/100</f>
        <v>#NAME?</v>
      </c>
      <c r="AA51" s="129" t="e">
        <f ca="1">_xll.BDP($A51 &amp; " Corp",AA$1)</f>
        <v>#NAME?</v>
      </c>
      <c r="AB51" s="129" t="e">
        <f ca="1">_xll.BDP($A51 &amp; " Corp",AB$1)</f>
        <v>#NAME?</v>
      </c>
      <c r="AC51" s="129" t="e">
        <f ca="1">_xll.BDP($A51 &amp; " Corp",AC$1)</f>
        <v>#NAME?</v>
      </c>
      <c r="AD51" s="130" t="e">
        <f ca="1">_xll.INSTANCE.YANKEE(A51,U51,V51,W51,X51,Y51,Z51,AA51,LEFT(AC51,11),3,IF(RIGHT(AC51,6)="NONEOM",FALSE,TRUE),TODAY())</f>
        <v>#VALUE!</v>
      </c>
      <c r="AE51" s="130" t="e">
        <f ca="1">_xll.INSTANCE.CONVENTION.TAUX("conv_" &amp; A51,LEFT(AC51,11),"Compounded",IF(AA51=1,"Annual",IF(AA51=2,"Semi-Annual","")),"Unadjusted",TODAY())</f>
        <v>#VALUE!</v>
      </c>
    </row>
    <row r="52" spans="1:31" x14ac:dyDescent="0.35">
      <c r="A52" s="131" t="s">
        <v>827</v>
      </c>
      <c r="B52" s="115" t="e">
        <f ca="1">_xll.BDP($A52 &amp; " Govt",B$1)</f>
        <v>#NAME?</v>
      </c>
      <c r="C52" s="201" t="e">
        <f t="shared" ca="1" si="2"/>
        <v>#NAME?</v>
      </c>
      <c r="D52" s="116"/>
      <c r="E52" s="117"/>
      <c r="F52" s="118"/>
      <c r="G52" s="119"/>
      <c r="H52" s="120" t="e">
        <f ca="1">IF(E52="",_xll.BDP(A52 &amp; " Corp","YLD_YTM_BID")/100,E52)</f>
        <v>#NAME?</v>
      </c>
      <c r="I52" s="121" t="e">
        <f ca="1">_xll.INSTRUMENT.PRIX(AD52,D52,H52,AE52)</f>
        <v>#VALUE!</v>
      </c>
      <c r="J52" s="122" t="e">
        <f ca="1">_xll.INSTRUMENT.DV01(AD52,,,I52,cContinuous,I52)</f>
        <v>#VALUE!</v>
      </c>
      <c r="K52" s="123" t="e">
        <f ca="1">_xll.INSTRUMENT.CONVEXITE(AD52,,,I52,cContinuous,I52)</f>
        <v>#VALUE!</v>
      </c>
      <c r="L52" s="123" t="e">
        <f ca="1">_xll.INSTRUMENT.Z.SPREAD(AD52,swapCurve,I52,,D52)</f>
        <v>#VALUE!</v>
      </c>
      <c r="M52" s="123" t="e">
        <f ca="1">_xll.INSTRUMENT.Z.SPREAD(AD52,ustCurve,I52,,D52)</f>
        <v>#VALUE!</v>
      </c>
      <c r="N52" s="123" t="e">
        <f ca="1">_xll.INSTRUMENT.Z.SPREAD(AD52,oisCurve,I52,,D52)</f>
        <v>#VALUE!</v>
      </c>
      <c r="O52" s="124" t="e">
        <f ca="1">1/_xll.CALENDRIER.FRAC.ANNEE(_xll.INSTRUMENT.DATE.REGLEMENT($AD52,,),_xll.INSTRUMENT.DATE.REGLEMENT($AD52,_xll.CALENDRIER.GAP.FINANCE(TODAY(),"1M","AUD","Unadjusted"),),"ACT/365")*(_xll.INSTRUMENT.ROLL.DOWN($AD52,swapCurve,_xll.CALENDRIER.GAP.FINANCE(TODAY(),"1M","AUD","Unadjusted",TRUE),$L52)+100*$Z52*_xll.CALENDRIER.FRAC.ANNEE(_xll.INSTRUMENT.DATE.REGLEMENT($AD52,,),_xll.INSTRUMENT.DATE.REGLEMENT($AD52,_xll.CALENDRIER.GAP.FINANCE(TODAY(),"1M","AUD","Unadjusted"),),"ACT/365")-$I52)/$I52</f>
        <v>#NAME?</v>
      </c>
      <c r="P52" s="124" t="e">
        <f ca="1">1/_xll.CALENDRIER.FRAC.ANNEE(_xll.INSTRUMENT.DATE.REGLEMENT($AD52,,),_xll.INSTRUMENT.DATE.REGLEMENT($AD52,_xll.CALENDRIER.GAP.FINANCE(TODAY(),"3M","AUD","Unadjusted"),),"ACT/365")*(_xll.INSTRUMENT.ROLL.DOWN($AD52,swapCurve,_xll.CALENDRIER.GAP.FINANCE(TODAY(),"3M","AUD","Unadjusted",TRUE),$L52)+100*$Z52*_xll.CALENDRIER.FRAC.ANNEE(_xll.INSTRUMENT.DATE.REGLEMENT($AD52,,),_xll.INSTRUMENT.DATE.REGLEMENT($AD52,_xll.CALENDRIER.GAP.FINANCE(TODAY(),"3M","AUD","Unadjusted"),),"ACT/365")-$I52)/$I52</f>
        <v>#NAME?</v>
      </c>
      <c r="Q52" s="143" t="e">
        <f t="shared" ca="1" si="3"/>
        <v>#VALUE!</v>
      </c>
      <c r="R52" s="191" t="str">
        <f>IF(F52&lt;&gt;"","",IF(G52="","",-G52*(SUMIF('raw Data'!$A:$A,"RESINV1USD",'raw Data'!$G:$G)+SUMIF('raw Data'!$A:$A,"RESSWAPORUSD",'raw Data'!$G:$G))/(36500*J52)))</f>
        <v/>
      </c>
      <c r="S52" s="202" t="str">
        <f>IF(G52&lt;&gt;"","",IF(F52="","",-36500*J52*F52/(SUMIF('raw Data'!$A:$A,"RESINV1USD",'raw Data'!$G:$G)+SUMIF('raw Data'!$A:$A,"RESSWAPORUSD",'raw Data'!$G:$G))))</f>
        <v/>
      </c>
      <c r="T52" s="125">
        <f>SUMIF('raw Data'!$E:$E,A52,'raw Data'!$N:$N)</f>
        <v>0</v>
      </c>
      <c r="U52" s="126" t="e">
        <f ca="1">VALUE(_xll.BDP($A52 &amp; " Corp",U$1))</f>
        <v>#NAME?</v>
      </c>
      <c r="V52" s="127" t="e">
        <f ca="1">VALUE(_xll.BDP($A52 &amp; " Corp",V$1))</f>
        <v>#NAME?</v>
      </c>
      <c r="W52" s="127" t="e">
        <f ca="1">VALUE(_xll.BDP($A52 &amp; " Corp",W$1))</f>
        <v>#NAME?</v>
      </c>
      <c r="X52" s="127" t="e">
        <f ca="1">VALUE(_xll.BDP($A52 &amp; " Corp",X$1))</f>
        <v>#NAME?</v>
      </c>
      <c r="Y52" s="127" t="e">
        <f ca="1">VALUE(_xll.BDP($A52 &amp; " Corp",Y$1))</f>
        <v>#NAME?</v>
      </c>
      <c r="Z52" s="128" t="e">
        <f ca="1">_xll.BDP($A52 &amp; " Corp",Z$1)/100</f>
        <v>#NAME?</v>
      </c>
      <c r="AA52" s="129" t="e">
        <f ca="1">_xll.BDP($A52 &amp; " Corp",AA$1)</f>
        <v>#NAME?</v>
      </c>
      <c r="AB52" s="129" t="e">
        <f ca="1">_xll.BDP($A52 &amp; " Corp",AB$1)</f>
        <v>#NAME?</v>
      </c>
      <c r="AC52" s="129" t="e">
        <f ca="1">_xll.BDP($A52 &amp; " Corp",AC$1)</f>
        <v>#NAME?</v>
      </c>
      <c r="AD52" s="130" t="e">
        <f ca="1">_xll.INSTANCE.YANKEE(A52,U52,V52,W52,X52,Y52,Z52,AA52,LEFT(AC52,11),3,IF(RIGHT(AC52,6)="NONEOM",FALSE,TRUE),TODAY())</f>
        <v>#VALUE!</v>
      </c>
      <c r="AE52" s="130" t="e">
        <f ca="1">_xll.INSTANCE.CONVENTION.TAUX("conv_" &amp; A52,LEFT(AC52,11),"Compounded",IF(AA52=1,"Annual",IF(AA52=2,"Semi-Annual","")),"Unadjusted",TODAY())</f>
        <v>#VALUE!</v>
      </c>
    </row>
    <row r="53" spans="1:31" x14ac:dyDescent="0.35">
      <c r="A53" s="131" t="s">
        <v>833</v>
      </c>
      <c r="B53" s="115" t="e">
        <f ca="1">_xll.BDP($A53 &amp; " Govt",B$1)</f>
        <v>#NAME?</v>
      </c>
      <c r="C53" s="201" t="e">
        <f t="shared" ca="1" si="2"/>
        <v>#NAME?</v>
      </c>
      <c r="D53" s="116"/>
      <c r="E53" s="117"/>
      <c r="F53" s="118"/>
      <c r="G53" s="119"/>
      <c r="H53" s="120" t="e">
        <f ca="1">IF(E53="",_xll.BDP(A53 &amp; " Corp","YLD_YTM_BID")/100,E53)</f>
        <v>#NAME?</v>
      </c>
      <c r="I53" s="121" t="e">
        <f ca="1">_xll.INSTRUMENT.PRIX(AD53,D53,H53,AE53)</f>
        <v>#VALUE!</v>
      </c>
      <c r="J53" s="122" t="e">
        <f ca="1">_xll.INSTRUMENT.DV01(AD53,,,I53,cContinuous,I53)</f>
        <v>#VALUE!</v>
      </c>
      <c r="K53" s="123" t="e">
        <f ca="1">_xll.INSTRUMENT.CONVEXITE(AD53,,,I53,cContinuous,I53)</f>
        <v>#VALUE!</v>
      </c>
      <c r="L53" s="123" t="e">
        <f ca="1">_xll.INSTRUMENT.Z.SPREAD(AD53,swapCurve,I53,,D53)</f>
        <v>#VALUE!</v>
      </c>
      <c r="M53" s="123" t="e">
        <f ca="1">_xll.INSTRUMENT.Z.SPREAD(AD53,ustCurve,I53,,D53)</f>
        <v>#VALUE!</v>
      </c>
      <c r="N53" s="123" t="e">
        <f ca="1">_xll.INSTRUMENT.Z.SPREAD(AD53,oisCurve,I53,,D53)</f>
        <v>#VALUE!</v>
      </c>
      <c r="O53" s="124" t="e">
        <f ca="1">1/_xll.CALENDRIER.FRAC.ANNEE(_xll.INSTRUMENT.DATE.REGLEMENT($AD53,,),_xll.INSTRUMENT.DATE.REGLEMENT($AD53,_xll.CALENDRIER.GAP.FINANCE(TODAY(),"1M","AUD","Unadjusted"),),"ACT/365")*(_xll.INSTRUMENT.ROLL.DOWN($AD53,swapCurve,_xll.CALENDRIER.GAP.FINANCE(TODAY(),"1M","AUD","Unadjusted",TRUE),$L53)+100*$Z53*_xll.CALENDRIER.FRAC.ANNEE(_xll.INSTRUMENT.DATE.REGLEMENT($AD53,,),_xll.INSTRUMENT.DATE.REGLEMENT($AD53,_xll.CALENDRIER.GAP.FINANCE(TODAY(),"1M","AUD","Unadjusted"),),"ACT/365")-$I53)/$I53</f>
        <v>#NAME?</v>
      </c>
      <c r="P53" s="124" t="e">
        <f ca="1">1/_xll.CALENDRIER.FRAC.ANNEE(_xll.INSTRUMENT.DATE.REGLEMENT($AD53,,),_xll.INSTRUMENT.DATE.REGLEMENT($AD53,_xll.CALENDRIER.GAP.FINANCE(TODAY(),"3M","AUD","Unadjusted"),),"ACT/365")*(_xll.INSTRUMENT.ROLL.DOWN($AD53,swapCurve,_xll.CALENDRIER.GAP.FINANCE(TODAY(),"3M","AUD","Unadjusted",TRUE),$L53)+100*$Z53*_xll.CALENDRIER.FRAC.ANNEE(_xll.INSTRUMENT.DATE.REGLEMENT($AD53,,),_xll.INSTRUMENT.DATE.REGLEMENT($AD53,_xll.CALENDRIER.GAP.FINANCE(TODAY(),"3M","AUD","Unadjusted"),),"ACT/365")-$I53)/$I53</f>
        <v>#NAME?</v>
      </c>
      <c r="Q53" s="143" t="e">
        <f t="shared" ca="1" si="3"/>
        <v>#VALUE!</v>
      </c>
      <c r="R53" s="191" t="str">
        <f>IF(F53&lt;&gt;"","",IF(G53="","",-G53*(SUMIF('raw Data'!$A:$A,"RESINV1USD",'raw Data'!$G:$G)+SUMIF('raw Data'!$A:$A,"RESSWAPORUSD",'raw Data'!$G:$G))/(36500*J53)))</f>
        <v/>
      </c>
      <c r="S53" s="202" t="str">
        <f>IF(G53&lt;&gt;"","",IF(F53="","",-36500*J53*F53/(SUMIF('raw Data'!$A:$A,"RESINV1USD",'raw Data'!$G:$G)+SUMIF('raw Data'!$A:$A,"RESSWAPORUSD",'raw Data'!$G:$G))))</f>
        <v/>
      </c>
      <c r="T53" s="125">
        <f>SUMIF('raw Data'!$E:$E,A53,'raw Data'!$N:$N)</f>
        <v>0</v>
      </c>
      <c r="U53" s="126" t="e">
        <f ca="1">VALUE(_xll.BDP($A53 &amp; " Corp",U$1))</f>
        <v>#NAME?</v>
      </c>
      <c r="V53" s="127" t="e">
        <f ca="1">VALUE(_xll.BDP($A53 &amp; " Corp",V$1))</f>
        <v>#NAME?</v>
      </c>
      <c r="W53" s="127" t="e">
        <f ca="1">VALUE(_xll.BDP($A53 &amp; " Corp",W$1))</f>
        <v>#NAME?</v>
      </c>
      <c r="X53" s="127" t="e">
        <f ca="1">VALUE(_xll.BDP($A53 &amp; " Corp",X$1))</f>
        <v>#NAME?</v>
      </c>
      <c r="Y53" s="127" t="e">
        <f ca="1">VALUE(_xll.BDP($A53 &amp; " Corp",Y$1))</f>
        <v>#NAME?</v>
      </c>
      <c r="Z53" s="128" t="e">
        <f ca="1">_xll.BDP($A53 &amp; " Corp",Z$1)/100</f>
        <v>#NAME?</v>
      </c>
      <c r="AA53" s="129" t="e">
        <f ca="1">_xll.BDP($A53 &amp; " Corp",AA$1)</f>
        <v>#NAME?</v>
      </c>
      <c r="AB53" s="129" t="e">
        <f ca="1">_xll.BDP($A53 &amp; " Corp",AB$1)</f>
        <v>#NAME?</v>
      </c>
      <c r="AC53" s="129" t="e">
        <f ca="1">_xll.BDP($A53 &amp; " Corp",AC$1)</f>
        <v>#NAME?</v>
      </c>
      <c r="AD53" s="130" t="e">
        <f ca="1">_xll.INSTANCE.YANKEE(A53,U53,V53,W53,X53,Y53,Z53,AA53,LEFT(AC53,11),3,IF(RIGHT(AC53,6)="NONEOM",FALSE,TRUE),TODAY())</f>
        <v>#VALUE!</v>
      </c>
      <c r="AE53" s="130" t="e">
        <f ca="1">_xll.INSTANCE.CONVENTION.TAUX("conv_" &amp; A53,LEFT(AC53,11),"Compounded",IF(AA53=1,"Annual",IF(AA53=2,"Semi-Annual","")),"Unadjusted",TODAY())</f>
        <v>#VALUE!</v>
      </c>
    </row>
    <row r="54" spans="1:31" x14ac:dyDescent="0.35">
      <c r="A54" s="131" t="s">
        <v>851</v>
      </c>
      <c r="B54" s="115" t="e">
        <f ca="1">_xll.BDP($A54 &amp; " Govt",B$1)</f>
        <v>#NAME?</v>
      </c>
      <c r="C54" s="201" t="e">
        <f t="shared" ca="1" si="2"/>
        <v>#NAME?</v>
      </c>
      <c r="D54" s="116"/>
      <c r="E54" s="117"/>
      <c r="F54" s="118"/>
      <c r="G54" s="119"/>
      <c r="H54" s="120" t="e">
        <f ca="1">IF(E54="",_xll.BDP(A54 &amp; " Corp","YLD_YTM_BID")/100,E54)</f>
        <v>#NAME?</v>
      </c>
      <c r="I54" s="121" t="e">
        <f ca="1">_xll.INSTRUMENT.PRIX(AD54,D54,H54,AE54)</f>
        <v>#VALUE!</v>
      </c>
      <c r="J54" s="122" t="e">
        <f ca="1">_xll.INSTRUMENT.DV01(AD54,,,I54,cContinuous,I54)</f>
        <v>#VALUE!</v>
      </c>
      <c r="K54" s="123" t="e">
        <f ca="1">_xll.INSTRUMENT.CONVEXITE(AD54,,,I54,cContinuous,I54)</f>
        <v>#VALUE!</v>
      </c>
      <c r="L54" s="123" t="e">
        <f ca="1">_xll.INSTRUMENT.Z.SPREAD(AD54,swapCurve,I54,,D54)</f>
        <v>#VALUE!</v>
      </c>
      <c r="M54" s="123" t="e">
        <f ca="1">_xll.INSTRUMENT.Z.SPREAD(AD54,ustCurve,I54,,D54)</f>
        <v>#VALUE!</v>
      </c>
      <c r="N54" s="123" t="e">
        <f ca="1">_xll.INSTRUMENT.Z.SPREAD(AD54,oisCurve,I54,,D54)</f>
        <v>#VALUE!</v>
      </c>
      <c r="O54" s="124" t="e">
        <f ca="1">1/_xll.CALENDRIER.FRAC.ANNEE(_xll.INSTRUMENT.DATE.REGLEMENT($AD54,,),_xll.INSTRUMENT.DATE.REGLEMENT($AD54,_xll.CALENDRIER.GAP.FINANCE(TODAY(),"1M","AUD","Unadjusted"),),"ACT/365")*(_xll.INSTRUMENT.ROLL.DOWN($AD54,swapCurve,_xll.CALENDRIER.GAP.FINANCE(TODAY(),"1M","AUD","Unadjusted",TRUE),$L54)+100*$Z54*_xll.CALENDRIER.FRAC.ANNEE(_xll.INSTRUMENT.DATE.REGLEMENT($AD54,,),_xll.INSTRUMENT.DATE.REGLEMENT($AD54,_xll.CALENDRIER.GAP.FINANCE(TODAY(),"1M","AUD","Unadjusted"),),"ACT/365")-$I54)/$I54</f>
        <v>#NAME?</v>
      </c>
      <c r="P54" s="124" t="e">
        <f ca="1">1/_xll.CALENDRIER.FRAC.ANNEE(_xll.INSTRUMENT.DATE.REGLEMENT($AD54,,),_xll.INSTRUMENT.DATE.REGLEMENT($AD54,_xll.CALENDRIER.GAP.FINANCE(TODAY(),"3M","AUD","Unadjusted"),),"ACT/365")*(_xll.INSTRUMENT.ROLL.DOWN($AD54,swapCurve,_xll.CALENDRIER.GAP.FINANCE(TODAY(),"3M","AUD","Unadjusted",TRUE),$L54)+100*$Z54*_xll.CALENDRIER.FRAC.ANNEE(_xll.INSTRUMENT.DATE.REGLEMENT($AD54,,),_xll.INSTRUMENT.DATE.REGLEMENT($AD54,_xll.CALENDRIER.GAP.FINANCE(TODAY(),"3M","AUD","Unadjusted"),),"ACT/365")-$I54)/$I54</f>
        <v>#NAME?</v>
      </c>
      <c r="Q54" s="143" t="e">
        <f t="shared" ca="1" si="3"/>
        <v>#VALUE!</v>
      </c>
      <c r="R54" s="191" t="str">
        <f>IF(F54&lt;&gt;"","",IF(G54="","",-G54*(SUMIF('raw Data'!$A:$A,"RESINV1USD",'raw Data'!$G:$G)+SUMIF('raw Data'!$A:$A,"RESSWAPORUSD",'raw Data'!$G:$G))/(36500*J54)))</f>
        <v/>
      </c>
      <c r="S54" s="202" t="str">
        <f>IF(G54&lt;&gt;"","",IF(F54="","",-36500*J54*F54/(SUMIF('raw Data'!$A:$A,"RESINV1USD",'raw Data'!$G:$G)+SUMIF('raw Data'!$A:$A,"RESSWAPORUSD",'raw Data'!$G:$G))))</f>
        <v/>
      </c>
      <c r="T54" s="125">
        <f>SUMIF('raw Data'!$E:$E,A54,'raw Data'!$N:$N)</f>
        <v>0</v>
      </c>
      <c r="U54" s="126" t="e">
        <f ca="1">VALUE(_xll.BDP($A54 &amp; " Corp",U$1))</f>
        <v>#NAME?</v>
      </c>
      <c r="V54" s="127" t="e">
        <f ca="1">VALUE(_xll.BDP($A54 &amp; " Corp",V$1))</f>
        <v>#NAME?</v>
      </c>
      <c r="W54" s="127" t="e">
        <f ca="1">VALUE(_xll.BDP($A54 &amp; " Corp",W$1))</f>
        <v>#NAME?</v>
      </c>
      <c r="X54" s="127" t="e">
        <f ca="1">VALUE(_xll.BDP($A54 &amp; " Corp",X$1))</f>
        <v>#NAME?</v>
      </c>
      <c r="Y54" s="127" t="e">
        <f ca="1">VALUE(_xll.BDP($A54 &amp; " Corp",Y$1))</f>
        <v>#NAME?</v>
      </c>
      <c r="Z54" s="128" t="e">
        <f ca="1">_xll.BDP($A54 &amp; " Corp",Z$1)/100</f>
        <v>#NAME?</v>
      </c>
      <c r="AA54" s="129" t="e">
        <f ca="1">_xll.BDP($A54 &amp; " Corp",AA$1)</f>
        <v>#NAME?</v>
      </c>
      <c r="AB54" s="129" t="e">
        <f ca="1">_xll.BDP($A54 &amp; " Corp",AB$1)</f>
        <v>#NAME?</v>
      </c>
      <c r="AC54" s="129" t="e">
        <f ca="1">_xll.BDP($A54 &amp; " Corp",AC$1)</f>
        <v>#NAME?</v>
      </c>
      <c r="AD54" s="130" t="e">
        <f ca="1">_xll.INSTANCE.YANKEE(A54,U54,V54,W54,X54,Y54,Z54,AA54,LEFT(AC54,11),3,IF(RIGHT(AC54,6)="NONEOM",FALSE,TRUE),TODAY())</f>
        <v>#VALUE!</v>
      </c>
      <c r="AE54" s="130" t="e">
        <f ca="1">_xll.INSTANCE.CONVENTION.TAUX("conv_" &amp; A54,LEFT(AC54,11),"Compounded",IF(AA54=1,"Annual",IF(AA54=2,"Semi-Annual","")),"Unadjusted",TODAY())</f>
        <v>#VALUE!</v>
      </c>
    </row>
    <row r="55" spans="1:31" x14ac:dyDescent="0.35">
      <c r="A55" s="131" t="s">
        <v>814</v>
      </c>
      <c r="B55" s="115" t="e">
        <f ca="1">_xll.BDP($A55 &amp; " Govt",B$1)</f>
        <v>#NAME?</v>
      </c>
      <c r="C55" s="201" t="e">
        <f t="shared" ca="1" si="2"/>
        <v>#NAME?</v>
      </c>
      <c r="D55" s="116"/>
      <c r="E55" s="117"/>
      <c r="F55" s="118"/>
      <c r="G55" s="119"/>
      <c r="H55" s="120" t="e">
        <f ca="1">IF(E55="",_xll.BDP(A55 &amp; " Corp","YLD_YTM_BID")/100,E55)</f>
        <v>#NAME?</v>
      </c>
      <c r="I55" s="121" t="e">
        <f ca="1">_xll.INSTRUMENT.PRIX(AD55,D55,H55,AE55)</f>
        <v>#VALUE!</v>
      </c>
      <c r="J55" s="122" t="e">
        <f ca="1">_xll.INSTRUMENT.DV01(AD55,,,I55,cContinuous,I55)</f>
        <v>#VALUE!</v>
      </c>
      <c r="K55" s="123" t="e">
        <f ca="1">_xll.INSTRUMENT.CONVEXITE(AD55,,,I55,cContinuous,I55)</f>
        <v>#VALUE!</v>
      </c>
      <c r="L55" s="123" t="e">
        <f ca="1">_xll.INSTRUMENT.Z.SPREAD(AD55,swapCurve,I55,,D55)</f>
        <v>#VALUE!</v>
      </c>
      <c r="M55" s="123" t="e">
        <f ca="1">_xll.INSTRUMENT.Z.SPREAD(AD55,ustCurve,I55,,D55)</f>
        <v>#VALUE!</v>
      </c>
      <c r="N55" s="123" t="e">
        <f ca="1">_xll.INSTRUMENT.Z.SPREAD(AD55,oisCurve,I55,,D55)</f>
        <v>#VALUE!</v>
      </c>
      <c r="O55" s="124" t="e">
        <f ca="1">1/_xll.CALENDRIER.FRAC.ANNEE(_xll.INSTRUMENT.DATE.REGLEMENT($AD55,,),_xll.INSTRUMENT.DATE.REGLEMENT($AD55,_xll.CALENDRIER.GAP.FINANCE(TODAY(),"1M","AUD","Unadjusted"),),"ACT/365")*(_xll.INSTRUMENT.ROLL.DOWN($AD55,swapCurve,_xll.CALENDRIER.GAP.FINANCE(TODAY(),"1M","AUD","Unadjusted",TRUE),$L55)+100*$Z55*_xll.CALENDRIER.FRAC.ANNEE(_xll.INSTRUMENT.DATE.REGLEMENT($AD55,,),_xll.INSTRUMENT.DATE.REGLEMENT($AD55,_xll.CALENDRIER.GAP.FINANCE(TODAY(),"1M","AUD","Unadjusted"),),"ACT/365")-$I55)/$I55</f>
        <v>#NAME?</v>
      </c>
      <c r="P55" s="124" t="e">
        <f ca="1">1/_xll.CALENDRIER.FRAC.ANNEE(_xll.INSTRUMENT.DATE.REGLEMENT($AD55,,),_xll.INSTRUMENT.DATE.REGLEMENT($AD55,_xll.CALENDRIER.GAP.FINANCE(TODAY(),"3M","AUD","Unadjusted"),),"ACT/365")*(_xll.INSTRUMENT.ROLL.DOWN($AD55,swapCurve,_xll.CALENDRIER.GAP.FINANCE(TODAY(),"3M","AUD","Unadjusted",TRUE),$L55)+100*$Z55*_xll.CALENDRIER.FRAC.ANNEE(_xll.INSTRUMENT.DATE.REGLEMENT($AD55,,),_xll.INSTRUMENT.DATE.REGLEMENT($AD55,_xll.CALENDRIER.GAP.FINANCE(TODAY(),"3M","AUD","Unadjusted"),),"ACT/365")-$I55)/$I55</f>
        <v>#NAME?</v>
      </c>
      <c r="Q55" s="143" t="e">
        <f t="shared" ca="1" si="3"/>
        <v>#VALUE!</v>
      </c>
      <c r="R55" s="191" t="str">
        <f>IF(F55&lt;&gt;"","",IF(G55="","",-G55*(SUMIF('raw Data'!$A:$A,"RESINV1USD",'raw Data'!$G:$G)+SUMIF('raw Data'!$A:$A,"RESSWAPORUSD",'raw Data'!$G:$G))/(36500*J55)))</f>
        <v/>
      </c>
      <c r="S55" s="202" t="str">
        <f>IF(G55&lt;&gt;"","",IF(F55="","",-36500*J55*F55/(SUMIF('raw Data'!$A:$A,"RESINV1USD",'raw Data'!$G:$G)+SUMIF('raw Data'!$A:$A,"RESSWAPORUSD",'raw Data'!$G:$G))))</f>
        <v/>
      </c>
      <c r="T55" s="125">
        <f>SUMIF('raw Data'!$E:$E,A55,'raw Data'!$N:$N)</f>
        <v>0</v>
      </c>
      <c r="U55" s="126" t="e">
        <f ca="1">VALUE(_xll.BDP($A55 &amp; " Corp",U$1))</f>
        <v>#NAME?</v>
      </c>
      <c r="V55" s="127" t="e">
        <f ca="1">VALUE(_xll.BDP($A55 &amp; " Corp",V$1))</f>
        <v>#NAME?</v>
      </c>
      <c r="W55" s="127" t="e">
        <f ca="1">VALUE(_xll.BDP($A55 &amp; " Corp",W$1))</f>
        <v>#NAME?</v>
      </c>
      <c r="X55" s="127" t="e">
        <f ca="1">VALUE(_xll.BDP($A55 &amp; " Corp",X$1))</f>
        <v>#NAME?</v>
      </c>
      <c r="Y55" s="127" t="e">
        <f ca="1">VALUE(_xll.BDP($A55 &amp; " Corp",Y$1))</f>
        <v>#NAME?</v>
      </c>
      <c r="Z55" s="128" t="e">
        <f ca="1">_xll.BDP($A55 &amp; " Corp",Z$1)/100</f>
        <v>#NAME?</v>
      </c>
      <c r="AA55" s="129" t="e">
        <f ca="1">_xll.BDP($A55 &amp; " Corp",AA$1)</f>
        <v>#NAME?</v>
      </c>
      <c r="AB55" s="129" t="e">
        <f ca="1">_xll.BDP($A55 &amp; " Corp",AB$1)</f>
        <v>#NAME?</v>
      </c>
      <c r="AC55" s="129" t="e">
        <f ca="1">_xll.BDP($A55 &amp; " Corp",AC$1)</f>
        <v>#NAME?</v>
      </c>
      <c r="AD55" s="130" t="e">
        <f ca="1">_xll.INSTANCE.YANKEE(A55,U55,V55,W55,X55,Y55,Z55,AA55,LEFT(AC55,11),3,IF(RIGHT(AC55,6)="NONEOM",FALSE,TRUE),TODAY())</f>
        <v>#VALUE!</v>
      </c>
      <c r="AE55" s="130" t="e">
        <f ca="1">_xll.INSTANCE.CONVENTION.TAUX("conv_" &amp; A55,LEFT(AC55,11),"Compounded",IF(AA55=1,"Annual",IF(AA55=2,"Semi-Annual","")),"Unadjusted",TODAY())</f>
        <v>#VALUE!</v>
      </c>
    </row>
    <row r="56" spans="1:31" x14ac:dyDescent="0.35">
      <c r="A56" s="131" t="s">
        <v>844</v>
      </c>
      <c r="B56" s="115" t="e">
        <f ca="1">_xll.BDP($A56 &amp; " Govt",B$1)</f>
        <v>#NAME?</v>
      </c>
      <c r="C56" s="201" t="e">
        <f t="shared" ca="1" si="2"/>
        <v>#NAME?</v>
      </c>
      <c r="D56" s="116"/>
      <c r="E56" s="117"/>
      <c r="F56" s="118"/>
      <c r="G56" s="119"/>
      <c r="H56" s="120" t="e">
        <f ca="1">IF(E56="",_xll.BDP(A56 &amp; " Corp","YLD_YTM_BID")/100,E56)</f>
        <v>#NAME?</v>
      </c>
      <c r="I56" s="121" t="e">
        <f ca="1">_xll.INSTRUMENT.PRIX(AD56,D56,H56,AE56)</f>
        <v>#VALUE!</v>
      </c>
      <c r="J56" s="122" t="e">
        <f ca="1">_xll.INSTRUMENT.DV01(AD56,,,I56,cContinuous,I56)</f>
        <v>#VALUE!</v>
      </c>
      <c r="K56" s="123" t="e">
        <f ca="1">_xll.INSTRUMENT.CONVEXITE(AD56,,,I56,cContinuous,I56)</f>
        <v>#VALUE!</v>
      </c>
      <c r="L56" s="123" t="e">
        <f ca="1">_xll.INSTRUMENT.Z.SPREAD(AD56,swapCurve,I56,,D56)</f>
        <v>#VALUE!</v>
      </c>
      <c r="M56" s="123" t="e">
        <f ca="1">_xll.INSTRUMENT.Z.SPREAD(AD56,ustCurve,I56,,D56)</f>
        <v>#VALUE!</v>
      </c>
      <c r="N56" s="123" t="e">
        <f ca="1">_xll.INSTRUMENT.Z.SPREAD(AD56,oisCurve,I56,,D56)</f>
        <v>#VALUE!</v>
      </c>
      <c r="O56" s="124" t="e">
        <f ca="1">1/_xll.CALENDRIER.FRAC.ANNEE(_xll.INSTRUMENT.DATE.REGLEMENT($AD56,,),_xll.INSTRUMENT.DATE.REGLEMENT($AD56,_xll.CALENDRIER.GAP.FINANCE(TODAY(),"1M","AUD","Unadjusted"),),"ACT/365")*(_xll.INSTRUMENT.ROLL.DOWN($AD56,swapCurve,_xll.CALENDRIER.GAP.FINANCE(TODAY(),"1M","AUD","Unadjusted",TRUE),$L56)+100*$Z56*_xll.CALENDRIER.FRAC.ANNEE(_xll.INSTRUMENT.DATE.REGLEMENT($AD56,,),_xll.INSTRUMENT.DATE.REGLEMENT($AD56,_xll.CALENDRIER.GAP.FINANCE(TODAY(),"1M","AUD","Unadjusted"),),"ACT/365")-$I56)/$I56</f>
        <v>#NAME?</v>
      </c>
      <c r="P56" s="124" t="e">
        <f ca="1">1/_xll.CALENDRIER.FRAC.ANNEE(_xll.INSTRUMENT.DATE.REGLEMENT($AD56,,),_xll.INSTRUMENT.DATE.REGLEMENT($AD56,_xll.CALENDRIER.GAP.FINANCE(TODAY(),"3M","AUD","Unadjusted"),),"ACT/365")*(_xll.INSTRUMENT.ROLL.DOWN($AD56,swapCurve,_xll.CALENDRIER.GAP.FINANCE(TODAY(),"3M","AUD","Unadjusted",TRUE),$L56)+100*$Z56*_xll.CALENDRIER.FRAC.ANNEE(_xll.INSTRUMENT.DATE.REGLEMENT($AD56,,),_xll.INSTRUMENT.DATE.REGLEMENT($AD56,_xll.CALENDRIER.GAP.FINANCE(TODAY(),"3M","AUD","Unadjusted"),),"ACT/365")-$I56)/$I56</f>
        <v>#NAME?</v>
      </c>
      <c r="Q56" s="143" t="e">
        <f t="shared" ca="1" si="3"/>
        <v>#VALUE!</v>
      </c>
      <c r="R56" s="191" t="str">
        <f>IF(F56&lt;&gt;"","",IF(G56="","",-G56*(SUMIF('raw Data'!$A:$A,"RESINV1USD",'raw Data'!$G:$G)+SUMIF('raw Data'!$A:$A,"RESSWAPORUSD",'raw Data'!$G:$G))/(36500*J56)))</f>
        <v/>
      </c>
      <c r="S56" s="202" t="str">
        <f>IF(G56&lt;&gt;"","",IF(F56="","",-36500*J56*F56/(SUMIF('raw Data'!$A:$A,"RESINV1USD",'raw Data'!$G:$G)+SUMIF('raw Data'!$A:$A,"RESSWAPORUSD",'raw Data'!$G:$G))))</f>
        <v/>
      </c>
      <c r="T56" s="125">
        <f>SUMIF('raw Data'!$E:$E,A56,'raw Data'!$N:$N)</f>
        <v>0</v>
      </c>
      <c r="U56" s="126" t="e">
        <f ca="1">VALUE(_xll.BDP($A56 &amp; " Corp",U$1))</f>
        <v>#NAME?</v>
      </c>
      <c r="V56" s="127" t="e">
        <f ca="1">VALUE(_xll.BDP($A56 &amp; " Corp",V$1))</f>
        <v>#NAME?</v>
      </c>
      <c r="W56" s="127" t="e">
        <f ca="1">VALUE(_xll.BDP($A56 &amp; " Corp",W$1))</f>
        <v>#NAME?</v>
      </c>
      <c r="X56" s="127" t="e">
        <f ca="1">VALUE(_xll.BDP($A56 &amp; " Corp",X$1))</f>
        <v>#NAME?</v>
      </c>
      <c r="Y56" s="127" t="e">
        <f ca="1">VALUE(_xll.BDP($A56 &amp; " Corp",Y$1))</f>
        <v>#NAME?</v>
      </c>
      <c r="Z56" s="128" t="e">
        <f ca="1">_xll.BDP($A56 &amp; " Corp",Z$1)/100</f>
        <v>#NAME?</v>
      </c>
      <c r="AA56" s="129" t="e">
        <f ca="1">_xll.BDP($A56 &amp; " Corp",AA$1)</f>
        <v>#NAME?</v>
      </c>
      <c r="AB56" s="129" t="e">
        <f ca="1">_xll.BDP($A56 &amp; " Corp",AB$1)</f>
        <v>#NAME?</v>
      </c>
      <c r="AC56" s="129" t="e">
        <f ca="1">_xll.BDP($A56 &amp; " Corp",AC$1)</f>
        <v>#NAME?</v>
      </c>
      <c r="AD56" s="130" t="e">
        <f ca="1">_xll.INSTANCE.YANKEE(A56,U56,V56,W56,X56,Y56,Z56,AA56,LEFT(AC56,11),3,IF(RIGHT(AC56,6)="NONEOM",FALSE,TRUE),TODAY())</f>
        <v>#VALUE!</v>
      </c>
      <c r="AE56" s="130" t="e">
        <f ca="1">_xll.INSTANCE.CONVENTION.TAUX("conv_" &amp; A56,LEFT(AC56,11),"Compounded",IF(AA56=1,"Annual",IF(AA56=2,"Semi-Annual","")),"Unadjusted",TODAY())</f>
        <v>#VALUE!</v>
      </c>
    </row>
    <row r="57" spans="1:31" x14ac:dyDescent="0.35">
      <c r="A57" s="131" t="s">
        <v>834</v>
      </c>
      <c r="B57" s="115" t="e">
        <f ca="1">_xll.BDP($A57 &amp; " Govt",B$1)</f>
        <v>#NAME?</v>
      </c>
      <c r="C57" s="201" t="e">
        <f t="shared" ca="1" si="2"/>
        <v>#NAME?</v>
      </c>
      <c r="D57" s="116"/>
      <c r="E57" s="117"/>
      <c r="F57" s="118"/>
      <c r="G57" s="119"/>
      <c r="H57" s="120" t="e">
        <f ca="1">IF(E57="",_xll.BDP(A57 &amp; " Corp","YLD_YTM_BID")/100,E57)</f>
        <v>#NAME?</v>
      </c>
      <c r="I57" s="121" t="e">
        <f ca="1">_xll.INSTRUMENT.PRIX(AD57,D57,H57,AE57)</f>
        <v>#VALUE!</v>
      </c>
      <c r="J57" s="122" t="e">
        <f ca="1">_xll.INSTRUMENT.DV01(AD57,,,I57,cContinuous,I57)</f>
        <v>#VALUE!</v>
      </c>
      <c r="K57" s="123" t="e">
        <f ca="1">_xll.INSTRUMENT.CONVEXITE(AD57,,,I57,cContinuous,I57)</f>
        <v>#VALUE!</v>
      </c>
      <c r="L57" s="123" t="e">
        <f ca="1">_xll.INSTRUMENT.Z.SPREAD(AD57,swapCurve,I57,,D57)</f>
        <v>#VALUE!</v>
      </c>
      <c r="M57" s="123" t="e">
        <f ca="1">_xll.INSTRUMENT.Z.SPREAD(AD57,ustCurve,I57,,D57)</f>
        <v>#VALUE!</v>
      </c>
      <c r="N57" s="123" t="e">
        <f ca="1">_xll.INSTRUMENT.Z.SPREAD(AD57,oisCurve,I57,,D57)</f>
        <v>#VALUE!</v>
      </c>
      <c r="O57" s="124" t="e">
        <f ca="1">1/_xll.CALENDRIER.FRAC.ANNEE(_xll.INSTRUMENT.DATE.REGLEMENT($AD57,,),_xll.INSTRUMENT.DATE.REGLEMENT($AD57,_xll.CALENDRIER.GAP.FINANCE(TODAY(),"1M","AUD","Unadjusted"),),"ACT/365")*(_xll.INSTRUMENT.ROLL.DOWN($AD57,swapCurve,_xll.CALENDRIER.GAP.FINANCE(TODAY(),"1M","AUD","Unadjusted",TRUE),$L57)+100*$Z57*_xll.CALENDRIER.FRAC.ANNEE(_xll.INSTRUMENT.DATE.REGLEMENT($AD57,,),_xll.INSTRUMENT.DATE.REGLEMENT($AD57,_xll.CALENDRIER.GAP.FINANCE(TODAY(),"1M","AUD","Unadjusted"),),"ACT/365")-$I57)/$I57</f>
        <v>#NAME?</v>
      </c>
      <c r="P57" s="124" t="e">
        <f ca="1">1/_xll.CALENDRIER.FRAC.ANNEE(_xll.INSTRUMENT.DATE.REGLEMENT($AD57,,),_xll.INSTRUMENT.DATE.REGLEMENT($AD57,_xll.CALENDRIER.GAP.FINANCE(TODAY(),"3M","AUD","Unadjusted"),),"ACT/365")*(_xll.INSTRUMENT.ROLL.DOWN($AD57,swapCurve,_xll.CALENDRIER.GAP.FINANCE(TODAY(),"3M","AUD","Unadjusted",TRUE),$L57)+100*$Z57*_xll.CALENDRIER.FRAC.ANNEE(_xll.INSTRUMENT.DATE.REGLEMENT($AD57,,),_xll.INSTRUMENT.DATE.REGLEMENT($AD57,_xll.CALENDRIER.GAP.FINANCE(TODAY(),"3M","AUD","Unadjusted"),),"ACT/365")-$I57)/$I57</f>
        <v>#NAME?</v>
      </c>
      <c r="Q57" s="143" t="e">
        <f t="shared" ca="1" si="3"/>
        <v>#VALUE!</v>
      </c>
      <c r="R57" s="191" t="str">
        <f>IF(F57&lt;&gt;"","",IF(G57="","",-G57*(SUMIF('raw Data'!$A:$A,"RESINV1USD",'raw Data'!$G:$G)+SUMIF('raw Data'!$A:$A,"RESSWAPORUSD",'raw Data'!$G:$G))/(36500*J57)))</f>
        <v/>
      </c>
      <c r="S57" s="202" t="str">
        <f>IF(G57&lt;&gt;"","",IF(F57="","",-36500*J57*F57/(SUMIF('raw Data'!$A:$A,"RESINV1USD",'raw Data'!$G:$G)+SUMIF('raw Data'!$A:$A,"RESSWAPORUSD",'raw Data'!$G:$G))))</f>
        <v/>
      </c>
      <c r="T57" s="125">
        <f>SUMIF('raw Data'!$E:$E,A57,'raw Data'!$N:$N)</f>
        <v>0</v>
      </c>
      <c r="U57" s="126" t="e">
        <f ca="1">VALUE(_xll.BDP($A57 &amp; " Corp",U$1))</f>
        <v>#NAME?</v>
      </c>
      <c r="V57" s="127" t="e">
        <f ca="1">VALUE(_xll.BDP($A57 &amp; " Corp",V$1))</f>
        <v>#NAME?</v>
      </c>
      <c r="W57" s="127" t="e">
        <f ca="1">VALUE(_xll.BDP($A57 &amp; " Corp",W$1))</f>
        <v>#NAME?</v>
      </c>
      <c r="X57" s="127" t="e">
        <f ca="1">VALUE(_xll.BDP($A57 &amp; " Corp",X$1))</f>
        <v>#NAME?</v>
      </c>
      <c r="Y57" s="127" t="e">
        <f ca="1">VALUE(_xll.BDP($A57 &amp; " Corp",Y$1))</f>
        <v>#NAME?</v>
      </c>
      <c r="Z57" s="128" t="e">
        <f ca="1">_xll.BDP($A57 &amp; " Corp",Z$1)/100</f>
        <v>#NAME?</v>
      </c>
      <c r="AA57" s="129" t="e">
        <f ca="1">_xll.BDP($A57 &amp; " Corp",AA$1)</f>
        <v>#NAME?</v>
      </c>
      <c r="AB57" s="129" t="e">
        <f ca="1">_xll.BDP($A57 &amp; " Corp",AB$1)</f>
        <v>#NAME?</v>
      </c>
      <c r="AC57" s="129" t="e">
        <f ca="1">_xll.BDP($A57 &amp; " Corp",AC$1)</f>
        <v>#NAME?</v>
      </c>
      <c r="AD57" s="130" t="e">
        <f ca="1">_xll.INSTANCE.YANKEE(A57,U57,V57,W57,X57,Y57,Z57,AA57,LEFT(AC57,11),3,IF(RIGHT(AC57,6)="NONEOM",FALSE,TRUE),TODAY())</f>
        <v>#VALUE!</v>
      </c>
      <c r="AE57" s="130" t="e">
        <f ca="1">_xll.INSTANCE.CONVENTION.TAUX("conv_" &amp; A57,LEFT(AC57,11),"Compounded",IF(AA57=1,"Annual",IF(AA57=2,"Semi-Annual","")),"Unadjusted",TODAY())</f>
        <v>#VALUE!</v>
      </c>
    </row>
    <row r="58" spans="1:31" x14ac:dyDescent="0.35">
      <c r="A58" s="131" t="s">
        <v>808</v>
      </c>
      <c r="B58" s="115" t="e">
        <f ca="1">_xll.BDP($A58 &amp; " Govt",B$1)</f>
        <v>#NAME?</v>
      </c>
      <c r="C58" s="201" t="e">
        <f t="shared" ca="1" si="2"/>
        <v>#NAME?</v>
      </c>
      <c r="D58" s="116"/>
      <c r="E58" s="117"/>
      <c r="F58" s="118"/>
      <c r="G58" s="119"/>
      <c r="H58" s="120" t="e">
        <f ca="1">IF(E58="",_xll.BDP(A58 &amp; " Corp","YLD_YTM_BID")/100,E58)</f>
        <v>#NAME?</v>
      </c>
      <c r="I58" s="121" t="e">
        <f ca="1">_xll.INSTRUMENT.PRIX(AD58,D58,H58,AE58)</f>
        <v>#VALUE!</v>
      </c>
      <c r="J58" s="122" t="e">
        <f ca="1">_xll.INSTRUMENT.DV01(AD58,,,I58,cContinuous,I58)</f>
        <v>#VALUE!</v>
      </c>
      <c r="K58" s="123" t="e">
        <f ca="1">_xll.INSTRUMENT.CONVEXITE(AD58,,,I58,cContinuous,I58)</f>
        <v>#VALUE!</v>
      </c>
      <c r="L58" s="123" t="e">
        <f ca="1">_xll.INSTRUMENT.Z.SPREAD(AD58,swapCurve,I58,,D58)</f>
        <v>#VALUE!</v>
      </c>
      <c r="M58" s="123" t="e">
        <f ca="1">_xll.INSTRUMENT.Z.SPREAD(AD58,ustCurve,I58,,D58)</f>
        <v>#VALUE!</v>
      </c>
      <c r="N58" s="123" t="e">
        <f ca="1">_xll.INSTRUMENT.Z.SPREAD(AD58,oisCurve,I58,,D58)</f>
        <v>#VALUE!</v>
      </c>
      <c r="O58" s="124" t="e">
        <f ca="1">1/_xll.CALENDRIER.FRAC.ANNEE(_xll.INSTRUMENT.DATE.REGLEMENT($AD58,,),_xll.INSTRUMENT.DATE.REGLEMENT($AD58,_xll.CALENDRIER.GAP.FINANCE(TODAY(),"1M","AUD","Unadjusted"),),"ACT/365")*(_xll.INSTRUMENT.ROLL.DOWN($AD58,swapCurve,_xll.CALENDRIER.GAP.FINANCE(TODAY(),"1M","AUD","Unadjusted",TRUE),$L58)+100*$Z58*_xll.CALENDRIER.FRAC.ANNEE(_xll.INSTRUMENT.DATE.REGLEMENT($AD58,,),_xll.INSTRUMENT.DATE.REGLEMENT($AD58,_xll.CALENDRIER.GAP.FINANCE(TODAY(),"1M","AUD","Unadjusted"),),"ACT/365")-$I58)/$I58</f>
        <v>#NAME?</v>
      </c>
      <c r="P58" s="124" t="e">
        <f ca="1">1/_xll.CALENDRIER.FRAC.ANNEE(_xll.INSTRUMENT.DATE.REGLEMENT($AD58,,),_xll.INSTRUMENT.DATE.REGLEMENT($AD58,_xll.CALENDRIER.GAP.FINANCE(TODAY(),"3M","AUD","Unadjusted"),),"ACT/365")*(_xll.INSTRUMENT.ROLL.DOWN($AD58,swapCurve,_xll.CALENDRIER.GAP.FINANCE(TODAY(),"3M","AUD","Unadjusted",TRUE),$L58)+100*$Z58*_xll.CALENDRIER.FRAC.ANNEE(_xll.INSTRUMENT.DATE.REGLEMENT($AD58,,),_xll.INSTRUMENT.DATE.REGLEMENT($AD58,_xll.CALENDRIER.GAP.FINANCE(TODAY(),"3M","AUD","Unadjusted"),),"ACT/365")-$I58)/$I58</f>
        <v>#NAME?</v>
      </c>
      <c r="Q58" s="143" t="e">
        <f t="shared" ca="1" si="3"/>
        <v>#VALUE!</v>
      </c>
      <c r="R58" s="191" t="str">
        <f>IF(F58&lt;&gt;"","",IF(G58="","",-G58*(SUMIF('raw Data'!$A:$A,"RESINV1USD",'raw Data'!$G:$G)+SUMIF('raw Data'!$A:$A,"RESSWAPORUSD",'raw Data'!$G:$G))/(36500*J58)))</f>
        <v/>
      </c>
      <c r="S58" s="202" t="str">
        <f>IF(G58&lt;&gt;"","",IF(F58="","",-36500*J58*F58/(SUMIF('raw Data'!$A:$A,"RESINV1USD",'raw Data'!$G:$G)+SUMIF('raw Data'!$A:$A,"RESSWAPORUSD",'raw Data'!$G:$G))))</f>
        <v/>
      </c>
      <c r="T58" s="125">
        <f>SUMIF('raw Data'!$E:$E,A58,'raw Data'!$N:$N)</f>
        <v>0</v>
      </c>
      <c r="U58" s="126" t="e">
        <f ca="1">VALUE(_xll.BDP($A58 &amp; " Corp",U$1))</f>
        <v>#NAME?</v>
      </c>
      <c r="V58" s="127" t="e">
        <f ca="1">VALUE(_xll.BDP($A58 &amp; " Corp",V$1))</f>
        <v>#NAME?</v>
      </c>
      <c r="W58" s="127" t="e">
        <f ca="1">VALUE(_xll.BDP($A58 &amp; " Corp",W$1))</f>
        <v>#NAME?</v>
      </c>
      <c r="X58" s="127" t="e">
        <f ca="1">VALUE(_xll.BDP($A58 &amp; " Corp",X$1))</f>
        <v>#NAME?</v>
      </c>
      <c r="Y58" s="127" t="e">
        <f ca="1">VALUE(_xll.BDP($A58 &amp; " Corp",Y$1))</f>
        <v>#NAME?</v>
      </c>
      <c r="Z58" s="128" t="e">
        <f ca="1">_xll.BDP($A58 &amp; " Corp",Z$1)/100</f>
        <v>#NAME?</v>
      </c>
      <c r="AA58" s="129" t="e">
        <f ca="1">_xll.BDP($A58 &amp; " Corp",AA$1)</f>
        <v>#NAME?</v>
      </c>
      <c r="AB58" s="129" t="e">
        <f ca="1">_xll.BDP($A58 &amp; " Corp",AB$1)</f>
        <v>#NAME?</v>
      </c>
      <c r="AC58" s="129" t="e">
        <f ca="1">_xll.BDP($A58 &amp; " Corp",AC$1)</f>
        <v>#NAME?</v>
      </c>
      <c r="AD58" s="130" t="e">
        <f ca="1">_xll.INSTANCE.YANKEE(A58,U58,V58,W58,X58,Y58,Z58,AA58,LEFT(AC58,11),3,IF(RIGHT(AC58,6)="NONEOM",FALSE,TRUE),TODAY())</f>
        <v>#VALUE!</v>
      </c>
      <c r="AE58" s="130" t="e">
        <f ca="1">_xll.INSTANCE.CONVENTION.TAUX("conv_" &amp; A58,LEFT(AC58,11),"Compounded",IF(AA58=1,"Annual",IF(AA58=2,"Semi-Annual","")),"Unadjusted",TODAY())</f>
        <v>#VALUE!</v>
      </c>
    </row>
    <row r="59" spans="1:31" x14ac:dyDescent="0.35">
      <c r="A59" s="131" t="s">
        <v>846</v>
      </c>
      <c r="B59" s="115" t="e">
        <f ca="1">_xll.BDP($A59 &amp; " Govt",B$1)</f>
        <v>#NAME?</v>
      </c>
      <c r="C59" s="201" t="e">
        <f t="shared" ca="1" si="2"/>
        <v>#NAME?</v>
      </c>
      <c r="D59" s="116"/>
      <c r="E59" s="117"/>
      <c r="F59" s="118"/>
      <c r="G59" s="119"/>
      <c r="H59" s="120" t="e">
        <f ca="1">IF(E59="",_xll.BDP(A59 &amp; " Corp","YLD_YTM_BID")/100,E59)</f>
        <v>#NAME?</v>
      </c>
      <c r="I59" s="121" t="e">
        <f ca="1">_xll.INSTRUMENT.PRIX(AD59,D59,H59,AE59)</f>
        <v>#VALUE!</v>
      </c>
      <c r="J59" s="122" t="e">
        <f ca="1">_xll.INSTRUMENT.DV01(AD59,,,I59,cContinuous,I59)</f>
        <v>#VALUE!</v>
      </c>
      <c r="K59" s="123" t="e">
        <f ca="1">_xll.INSTRUMENT.CONVEXITE(AD59,,,I59,cContinuous,I59)</f>
        <v>#VALUE!</v>
      </c>
      <c r="L59" s="123" t="e">
        <f ca="1">_xll.INSTRUMENT.Z.SPREAD(AD59,swapCurve,I59,,D59)</f>
        <v>#VALUE!</v>
      </c>
      <c r="M59" s="123" t="e">
        <f ca="1">_xll.INSTRUMENT.Z.SPREAD(AD59,ustCurve,I59,,D59)</f>
        <v>#VALUE!</v>
      </c>
      <c r="N59" s="123" t="e">
        <f ca="1">_xll.INSTRUMENT.Z.SPREAD(AD59,oisCurve,I59,,D59)</f>
        <v>#VALUE!</v>
      </c>
      <c r="O59" s="124" t="e">
        <f ca="1">1/_xll.CALENDRIER.FRAC.ANNEE(_xll.INSTRUMENT.DATE.REGLEMENT($AD59,,),_xll.INSTRUMENT.DATE.REGLEMENT($AD59,_xll.CALENDRIER.GAP.FINANCE(TODAY(),"1M","AUD","Unadjusted"),),"ACT/365")*(_xll.INSTRUMENT.ROLL.DOWN($AD59,swapCurve,_xll.CALENDRIER.GAP.FINANCE(TODAY(),"1M","AUD","Unadjusted",TRUE),$L59)+100*$Z59*_xll.CALENDRIER.FRAC.ANNEE(_xll.INSTRUMENT.DATE.REGLEMENT($AD59,,),_xll.INSTRUMENT.DATE.REGLEMENT($AD59,_xll.CALENDRIER.GAP.FINANCE(TODAY(),"1M","AUD","Unadjusted"),),"ACT/365")-$I59)/$I59</f>
        <v>#NAME?</v>
      </c>
      <c r="P59" s="124" t="e">
        <f ca="1">1/_xll.CALENDRIER.FRAC.ANNEE(_xll.INSTRUMENT.DATE.REGLEMENT($AD59,,),_xll.INSTRUMENT.DATE.REGLEMENT($AD59,_xll.CALENDRIER.GAP.FINANCE(TODAY(),"3M","AUD","Unadjusted"),),"ACT/365")*(_xll.INSTRUMENT.ROLL.DOWN($AD59,swapCurve,_xll.CALENDRIER.GAP.FINANCE(TODAY(),"3M","AUD","Unadjusted",TRUE),$L59)+100*$Z59*_xll.CALENDRIER.FRAC.ANNEE(_xll.INSTRUMENT.DATE.REGLEMENT($AD59,,),_xll.INSTRUMENT.DATE.REGLEMENT($AD59,_xll.CALENDRIER.GAP.FINANCE(TODAY(),"3M","AUD","Unadjusted"),),"ACT/365")-$I59)/$I59</f>
        <v>#NAME?</v>
      </c>
      <c r="Q59" s="143" t="e">
        <f t="shared" ca="1" si="3"/>
        <v>#VALUE!</v>
      </c>
      <c r="R59" s="191" t="str">
        <f>IF(F59&lt;&gt;"","",IF(G59="","",-G59*(SUMIF('raw Data'!$A:$A,"RESINV1USD",'raw Data'!$G:$G)+SUMIF('raw Data'!$A:$A,"RESSWAPORUSD",'raw Data'!$G:$G))/(36500*J59)))</f>
        <v/>
      </c>
      <c r="S59" s="202" t="str">
        <f>IF(G59&lt;&gt;"","",IF(F59="","",-36500*J59*F59/(SUMIF('raw Data'!$A:$A,"RESINV1USD",'raw Data'!$G:$G)+SUMIF('raw Data'!$A:$A,"RESSWAPORUSD",'raw Data'!$G:$G))))</f>
        <v/>
      </c>
      <c r="T59" s="125">
        <f>SUMIF('raw Data'!$E:$E,A59,'raw Data'!$N:$N)</f>
        <v>0</v>
      </c>
      <c r="U59" s="126" t="e">
        <f ca="1">VALUE(_xll.BDP($A59 &amp; " Corp",U$1))</f>
        <v>#NAME?</v>
      </c>
      <c r="V59" s="127" t="e">
        <f ca="1">VALUE(_xll.BDP($A59 &amp; " Corp",V$1))</f>
        <v>#NAME?</v>
      </c>
      <c r="W59" s="127" t="e">
        <f ca="1">VALUE(_xll.BDP($A59 &amp; " Corp",W$1))</f>
        <v>#NAME?</v>
      </c>
      <c r="X59" s="127" t="e">
        <f ca="1">VALUE(_xll.BDP($A59 &amp; " Corp",X$1))</f>
        <v>#NAME?</v>
      </c>
      <c r="Y59" s="127" t="e">
        <f ca="1">VALUE(_xll.BDP($A59 &amp; " Corp",Y$1))</f>
        <v>#NAME?</v>
      </c>
      <c r="Z59" s="128" t="e">
        <f ca="1">_xll.BDP($A59 &amp; " Corp",Z$1)/100</f>
        <v>#NAME?</v>
      </c>
      <c r="AA59" s="129" t="e">
        <f ca="1">_xll.BDP($A59 &amp; " Corp",AA$1)</f>
        <v>#NAME?</v>
      </c>
      <c r="AB59" s="129" t="e">
        <f ca="1">_xll.BDP($A59 &amp; " Corp",AB$1)</f>
        <v>#NAME?</v>
      </c>
      <c r="AC59" s="129" t="e">
        <f ca="1">_xll.BDP($A59 &amp; " Corp",AC$1)</f>
        <v>#NAME?</v>
      </c>
      <c r="AD59" s="130" t="e">
        <f ca="1">_xll.INSTANCE.YANKEE(A59,U59,V59,W59,X59,Y59,Z59,AA59,LEFT(AC59,11),3,IF(RIGHT(AC59,6)="NONEOM",FALSE,TRUE),TODAY())</f>
        <v>#VALUE!</v>
      </c>
      <c r="AE59" s="130" t="e">
        <f ca="1">_xll.INSTANCE.CONVENTION.TAUX("conv_" &amp; A59,LEFT(AC59,11),"Compounded",IF(AA59=1,"Annual",IF(AA59=2,"Semi-Annual","")),"Unadjusted",TODAY())</f>
        <v>#VALUE!</v>
      </c>
    </row>
    <row r="60" spans="1:31" x14ac:dyDescent="0.35">
      <c r="A60" s="131" t="s">
        <v>807</v>
      </c>
      <c r="B60" s="115" t="e">
        <f ca="1">_xll.BDP($A60 &amp; " Govt",B$1)</f>
        <v>#NAME?</v>
      </c>
      <c r="C60" s="201" t="e">
        <f t="shared" ca="1" si="2"/>
        <v>#NAME?</v>
      </c>
      <c r="D60" s="116"/>
      <c r="E60" s="117"/>
      <c r="F60" s="118"/>
      <c r="G60" s="119"/>
      <c r="H60" s="120" t="e">
        <f ca="1">IF(E60="",_xll.BDP(A60 &amp; " Corp","YLD_YTM_BID")/100,E60)</f>
        <v>#NAME?</v>
      </c>
      <c r="I60" s="121" t="e">
        <f ca="1">_xll.INSTRUMENT.PRIX(AD60,D60,H60,AE60)</f>
        <v>#VALUE!</v>
      </c>
      <c r="J60" s="122" t="e">
        <f ca="1">_xll.INSTRUMENT.DV01(AD60,,,I60,cContinuous,I60)</f>
        <v>#VALUE!</v>
      </c>
      <c r="K60" s="123" t="e">
        <f ca="1">_xll.INSTRUMENT.CONVEXITE(AD60,,,I60,cContinuous,I60)</f>
        <v>#VALUE!</v>
      </c>
      <c r="L60" s="123" t="e">
        <f ca="1">_xll.INSTRUMENT.Z.SPREAD(AD60,swapCurve,I60,,D60)</f>
        <v>#VALUE!</v>
      </c>
      <c r="M60" s="123" t="e">
        <f ca="1">_xll.INSTRUMENT.Z.SPREAD(AD60,ustCurve,I60,,D60)</f>
        <v>#VALUE!</v>
      </c>
      <c r="N60" s="123" t="e">
        <f ca="1">_xll.INSTRUMENT.Z.SPREAD(AD60,oisCurve,I60,,D60)</f>
        <v>#VALUE!</v>
      </c>
      <c r="O60" s="124" t="e">
        <f ca="1">1/_xll.CALENDRIER.FRAC.ANNEE(_xll.INSTRUMENT.DATE.REGLEMENT($AD60,,),_xll.INSTRUMENT.DATE.REGLEMENT($AD60,_xll.CALENDRIER.GAP.FINANCE(TODAY(),"1M","AUD","Unadjusted"),),"ACT/365")*(_xll.INSTRUMENT.ROLL.DOWN($AD60,swapCurve,_xll.CALENDRIER.GAP.FINANCE(TODAY(),"1M","AUD","Unadjusted",TRUE),$L60)+100*$Z60*_xll.CALENDRIER.FRAC.ANNEE(_xll.INSTRUMENT.DATE.REGLEMENT($AD60,,),_xll.INSTRUMENT.DATE.REGLEMENT($AD60,_xll.CALENDRIER.GAP.FINANCE(TODAY(),"1M","AUD","Unadjusted"),),"ACT/365")-$I60)/$I60</f>
        <v>#NAME?</v>
      </c>
      <c r="P60" s="124" t="e">
        <f ca="1">1/_xll.CALENDRIER.FRAC.ANNEE(_xll.INSTRUMENT.DATE.REGLEMENT($AD60,,),_xll.INSTRUMENT.DATE.REGLEMENT($AD60,_xll.CALENDRIER.GAP.FINANCE(TODAY(),"3M","AUD","Unadjusted"),),"ACT/365")*(_xll.INSTRUMENT.ROLL.DOWN($AD60,swapCurve,_xll.CALENDRIER.GAP.FINANCE(TODAY(),"3M","AUD","Unadjusted",TRUE),$L60)+100*$Z60*_xll.CALENDRIER.FRAC.ANNEE(_xll.INSTRUMENT.DATE.REGLEMENT($AD60,,),_xll.INSTRUMENT.DATE.REGLEMENT($AD60,_xll.CALENDRIER.GAP.FINANCE(TODAY(),"3M","AUD","Unadjusted"),),"ACT/365")-$I60)/$I60</f>
        <v>#NAME?</v>
      </c>
      <c r="Q60" s="143" t="e">
        <f t="shared" ca="1" si="3"/>
        <v>#VALUE!</v>
      </c>
      <c r="R60" s="191" t="str">
        <f>IF(F60&lt;&gt;"","",IF(G60="","",-G60*(SUMIF('raw Data'!$A:$A,"RESINV1USD",'raw Data'!$G:$G)+SUMIF('raw Data'!$A:$A,"RESSWAPORUSD",'raw Data'!$G:$G))/(36500*J60)))</f>
        <v/>
      </c>
      <c r="S60" s="202" t="str">
        <f>IF(G60&lt;&gt;"","",IF(F60="","",-36500*J60*F60/(SUMIF('raw Data'!$A:$A,"RESINV1USD",'raw Data'!$G:$G)+SUMIF('raw Data'!$A:$A,"RESSWAPORUSD",'raw Data'!$G:$G))))</f>
        <v/>
      </c>
      <c r="T60" s="125">
        <f>SUMIF('raw Data'!$E:$E,A60,'raw Data'!$N:$N)</f>
        <v>0</v>
      </c>
      <c r="U60" s="126" t="e">
        <f ca="1">VALUE(_xll.BDP($A60 &amp; " Corp",U$1))</f>
        <v>#NAME?</v>
      </c>
      <c r="V60" s="127" t="e">
        <f ca="1">VALUE(_xll.BDP($A60 &amp; " Corp",V$1))</f>
        <v>#NAME?</v>
      </c>
      <c r="W60" s="127" t="e">
        <f ca="1">VALUE(_xll.BDP($A60 &amp; " Corp",W$1))</f>
        <v>#NAME?</v>
      </c>
      <c r="X60" s="127" t="e">
        <f ca="1">VALUE(_xll.BDP($A60 &amp; " Corp",X$1))</f>
        <v>#NAME?</v>
      </c>
      <c r="Y60" s="127" t="e">
        <f ca="1">VALUE(_xll.BDP($A60 &amp; " Corp",Y$1))</f>
        <v>#NAME?</v>
      </c>
      <c r="Z60" s="128" t="e">
        <f ca="1">_xll.BDP($A60 &amp; " Corp",Z$1)/100</f>
        <v>#NAME?</v>
      </c>
      <c r="AA60" s="129" t="e">
        <f ca="1">_xll.BDP($A60 &amp; " Corp",AA$1)</f>
        <v>#NAME?</v>
      </c>
      <c r="AB60" s="129" t="e">
        <f ca="1">_xll.BDP($A60 &amp; " Corp",AB$1)</f>
        <v>#NAME?</v>
      </c>
      <c r="AC60" s="129" t="e">
        <f ca="1">_xll.BDP($A60 &amp; " Corp",AC$1)</f>
        <v>#NAME?</v>
      </c>
      <c r="AD60" s="130" t="e">
        <f ca="1">_xll.INSTANCE.YANKEE(A60,U60,V60,W60,X60,Y60,Z60,AA60,LEFT(AC60,11),3,IF(RIGHT(AC60,6)="NONEOM",FALSE,TRUE),TODAY())</f>
        <v>#VALUE!</v>
      </c>
      <c r="AE60" s="130" t="e">
        <f ca="1">_xll.INSTANCE.CONVENTION.TAUX("conv_" &amp; A60,LEFT(AC60,11),"Compounded",IF(AA60=1,"Annual",IF(AA60=2,"Semi-Annual","")),"Unadjusted",TODAY())</f>
        <v>#VALUE!</v>
      </c>
    </row>
    <row r="61" spans="1:31" x14ac:dyDescent="0.35">
      <c r="A61" s="131" t="s">
        <v>831</v>
      </c>
      <c r="B61" s="115" t="e">
        <f ca="1">_xll.BDP($A61 &amp; " Govt",B$1)</f>
        <v>#NAME?</v>
      </c>
      <c r="C61" s="201" t="e">
        <f t="shared" ca="1" si="2"/>
        <v>#NAME?</v>
      </c>
      <c r="D61" s="116"/>
      <c r="E61" s="117"/>
      <c r="F61" s="118"/>
      <c r="G61" s="119"/>
      <c r="H61" s="120" t="e">
        <f ca="1">IF(E61="",_xll.BDP(A61 &amp; " Corp","YLD_YTM_BID")/100,E61)</f>
        <v>#NAME?</v>
      </c>
      <c r="I61" s="121" t="e">
        <f ca="1">_xll.INSTRUMENT.PRIX(AD61,D61,H61,AE61)</f>
        <v>#VALUE!</v>
      </c>
      <c r="J61" s="122" t="e">
        <f ca="1">_xll.INSTRUMENT.DV01(AD61,,,I61,cContinuous,I61)</f>
        <v>#VALUE!</v>
      </c>
      <c r="K61" s="123" t="e">
        <f ca="1">_xll.INSTRUMENT.CONVEXITE(AD61,,,I61,cContinuous,I61)</f>
        <v>#VALUE!</v>
      </c>
      <c r="L61" s="123" t="e">
        <f ca="1">_xll.INSTRUMENT.Z.SPREAD(AD61,swapCurve,I61,,D61)</f>
        <v>#VALUE!</v>
      </c>
      <c r="M61" s="123" t="e">
        <f ca="1">_xll.INSTRUMENT.Z.SPREAD(AD61,ustCurve,I61,,D61)</f>
        <v>#VALUE!</v>
      </c>
      <c r="N61" s="123" t="e">
        <f ca="1">_xll.INSTRUMENT.Z.SPREAD(AD61,oisCurve,I61,,D61)</f>
        <v>#VALUE!</v>
      </c>
      <c r="O61" s="124" t="e">
        <f ca="1">1/_xll.CALENDRIER.FRAC.ANNEE(_xll.INSTRUMENT.DATE.REGLEMENT($AD61,,),_xll.INSTRUMENT.DATE.REGLEMENT($AD61,_xll.CALENDRIER.GAP.FINANCE(TODAY(),"1M","AUD","Unadjusted"),),"ACT/365")*(_xll.INSTRUMENT.ROLL.DOWN($AD61,swapCurve,_xll.CALENDRIER.GAP.FINANCE(TODAY(),"1M","AUD","Unadjusted",TRUE),$L61)+100*$Z61*_xll.CALENDRIER.FRAC.ANNEE(_xll.INSTRUMENT.DATE.REGLEMENT($AD61,,),_xll.INSTRUMENT.DATE.REGLEMENT($AD61,_xll.CALENDRIER.GAP.FINANCE(TODAY(),"1M","AUD","Unadjusted"),),"ACT/365")-$I61)/$I61</f>
        <v>#NAME?</v>
      </c>
      <c r="P61" s="124" t="e">
        <f ca="1">1/_xll.CALENDRIER.FRAC.ANNEE(_xll.INSTRUMENT.DATE.REGLEMENT($AD61,,),_xll.INSTRUMENT.DATE.REGLEMENT($AD61,_xll.CALENDRIER.GAP.FINANCE(TODAY(),"3M","AUD","Unadjusted"),),"ACT/365")*(_xll.INSTRUMENT.ROLL.DOWN($AD61,swapCurve,_xll.CALENDRIER.GAP.FINANCE(TODAY(),"3M","AUD","Unadjusted",TRUE),$L61)+100*$Z61*_xll.CALENDRIER.FRAC.ANNEE(_xll.INSTRUMENT.DATE.REGLEMENT($AD61,,),_xll.INSTRUMENT.DATE.REGLEMENT($AD61,_xll.CALENDRIER.GAP.FINANCE(TODAY(),"3M","AUD","Unadjusted"),),"ACT/365")-$I61)/$I61</f>
        <v>#NAME?</v>
      </c>
      <c r="Q61" s="143" t="e">
        <f t="shared" ca="1" si="3"/>
        <v>#VALUE!</v>
      </c>
      <c r="R61" s="191" t="str">
        <f>IF(F61&lt;&gt;"","",IF(G61="","",-G61*(SUMIF('raw Data'!$A:$A,"RESINV1USD",'raw Data'!$G:$G)+SUMIF('raw Data'!$A:$A,"RESSWAPORUSD",'raw Data'!$G:$G))/(36500*J61)))</f>
        <v/>
      </c>
      <c r="S61" s="202" t="str">
        <f>IF(G61&lt;&gt;"","",IF(F61="","",-36500*J61*F61/(SUMIF('raw Data'!$A:$A,"RESINV1USD",'raw Data'!$G:$G)+SUMIF('raw Data'!$A:$A,"RESSWAPORUSD",'raw Data'!$G:$G))))</f>
        <v/>
      </c>
      <c r="T61" s="125">
        <f>SUMIF('raw Data'!$E:$E,A61,'raw Data'!$N:$N)</f>
        <v>0</v>
      </c>
      <c r="U61" s="126" t="e">
        <f ca="1">VALUE(_xll.BDP($A61 &amp; " Corp",U$1))</f>
        <v>#NAME?</v>
      </c>
      <c r="V61" s="127" t="e">
        <f ca="1">VALUE(_xll.BDP($A61 &amp; " Corp",V$1))</f>
        <v>#NAME?</v>
      </c>
      <c r="W61" s="127" t="e">
        <f ca="1">VALUE(_xll.BDP($A61 &amp; " Corp",W$1))</f>
        <v>#NAME?</v>
      </c>
      <c r="X61" s="127" t="e">
        <f ca="1">VALUE(_xll.BDP($A61 &amp; " Corp",X$1))</f>
        <v>#NAME?</v>
      </c>
      <c r="Y61" s="127" t="e">
        <f ca="1">VALUE(_xll.BDP($A61 &amp; " Corp",Y$1))</f>
        <v>#NAME?</v>
      </c>
      <c r="Z61" s="128" t="e">
        <f ca="1">_xll.BDP($A61 &amp; " Corp",Z$1)/100</f>
        <v>#NAME?</v>
      </c>
      <c r="AA61" s="129" t="e">
        <f ca="1">_xll.BDP($A61 &amp; " Corp",AA$1)</f>
        <v>#NAME?</v>
      </c>
      <c r="AB61" s="129" t="e">
        <f ca="1">_xll.BDP($A61 &amp; " Corp",AB$1)</f>
        <v>#NAME?</v>
      </c>
      <c r="AC61" s="129" t="e">
        <f ca="1">_xll.BDP($A61 &amp; " Corp",AC$1)</f>
        <v>#NAME?</v>
      </c>
      <c r="AD61" s="130" t="e">
        <f ca="1">_xll.INSTANCE.YANKEE(A61,U61,V61,W61,X61,Y61,Z61,AA61,LEFT(AC61,11),3,IF(RIGHT(AC61,6)="NONEOM",FALSE,TRUE),TODAY())</f>
        <v>#VALUE!</v>
      </c>
      <c r="AE61" s="130" t="e">
        <f ca="1">_xll.INSTANCE.CONVENTION.TAUX("conv_" &amp; A61,LEFT(AC61,11),"Compounded",IF(AA61=1,"Annual",IF(AA61=2,"Semi-Annual","")),"Unadjusted",TODAY())</f>
        <v>#VALUE!</v>
      </c>
    </row>
    <row r="62" spans="1:31" x14ac:dyDescent="0.35">
      <c r="A62" s="131" t="s">
        <v>829</v>
      </c>
      <c r="B62" s="115" t="e">
        <f ca="1">_xll.BDP($A62 &amp; " Govt",B$1)</f>
        <v>#NAME?</v>
      </c>
      <c r="C62" s="201" t="e">
        <f t="shared" ca="1" si="2"/>
        <v>#NAME?</v>
      </c>
      <c r="D62" s="116"/>
      <c r="E62" s="117"/>
      <c r="F62" s="118"/>
      <c r="G62" s="119"/>
      <c r="H62" s="120" t="e">
        <f ca="1">IF(E62="",_xll.BDP(A62 &amp; " Corp","YLD_YTM_BID")/100,E62)</f>
        <v>#NAME?</v>
      </c>
      <c r="I62" s="121" t="e">
        <f ca="1">_xll.INSTRUMENT.PRIX(AD62,D62,H62,AE62)</f>
        <v>#VALUE!</v>
      </c>
      <c r="J62" s="122" t="e">
        <f ca="1">_xll.INSTRUMENT.DV01(AD62,,,I62,cContinuous,I62)</f>
        <v>#VALUE!</v>
      </c>
      <c r="K62" s="123" t="e">
        <f ca="1">_xll.INSTRUMENT.CONVEXITE(AD62,,,I62,cContinuous,I62)</f>
        <v>#VALUE!</v>
      </c>
      <c r="L62" s="123" t="e">
        <f ca="1">_xll.INSTRUMENT.Z.SPREAD(AD62,swapCurve,I62,,D62)</f>
        <v>#VALUE!</v>
      </c>
      <c r="M62" s="123" t="e">
        <f ca="1">_xll.INSTRUMENT.Z.SPREAD(AD62,ustCurve,I62,,D62)</f>
        <v>#VALUE!</v>
      </c>
      <c r="N62" s="123" t="e">
        <f ca="1">_xll.INSTRUMENT.Z.SPREAD(AD62,oisCurve,I62,,D62)</f>
        <v>#VALUE!</v>
      </c>
      <c r="O62" s="124" t="e">
        <f ca="1">1/_xll.CALENDRIER.FRAC.ANNEE(_xll.INSTRUMENT.DATE.REGLEMENT($AD62,,),_xll.INSTRUMENT.DATE.REGLEMENT($AD62,_xll.CALENDRIER.GAP.FINANCE(TODAY(),"1M","AUD","Unadjusted"),),"ACT/365")*(_xll.INSTRUMENT.ROLL.DOWN($AD62,swapCurve,_xll.CALENDRIER.GAP.FINANCE(TODAY(),"1M","AUD","Unadjusted",TRUE),$L62)+100*$Z62*_xll.CALENDRIER.FRAC.ANNEE(_xll.INSTRUMENT.DATE.REGLEMENT($AD62,,),_xll.INSTRUMENT.DATE.REGLEMENT($AD62,_xll.CALENDRIER.GAP.FINANCE(TODAY(),"1M","AUD","Unadjusted"),),"ACT/365")-$I62)/$I62</f>
        <v>#NAME?</v>
      </c>
      <c r="P62" s="124" t="e">
        <f ca="1">1/_xll.CALENDRIER.FRAC.ANNEE(_xll.INSTRUMENT.DATE.REGLEMENT($AD62,,),_xll.INSTRUMENT.DATE.REGLEMENT($AD62,_xll.CALENDRIER.GAP.FINANCE(TODAY(),"3M","AUD","Unadjusted"),),"ACT/365")*(_xll.INSTRUMENT.ROLL.DOWN($AD62,swapCurve,_xll.CALENDRIER.GAP.FINANCE(TODAY(),"3M","AUD","Unadjusted",TRUE),$L62)+100*$Z62*_xll.CALENDRIER.FRAC.ANNEE(_xll.INSTRUMENT.DATE.REGLEMENT($AD62,,),_xll.INSTRUMENT.DATE.REGLEMENT($AD62,_xll.CALENDRIER.GAP.FINANCE(TODAY(),"3M","AUD","Unadjusted"),),"ACT/365")-$I62)/$I62</f>
        <v>#NAME?</v>
      </c>
      <c r="Q62" s="143" t="e">
        <f t="shared" ca="1" si="3"/>
        <v>#VALUE!</v>
      </c>
      <c r="R62" s="191" t="str">
        <f>IF(F62&lt;&gt;"","",IF(G62="","",-G62*(SUMIF('raw Data'!$A:$A,"RESINV1USD",'raw Data'!$G:$G)+SUMIF('raw Data'!$A:$A,"RESSWAPORUSD",'raw Data'!$G:$G))/(36500*J62)))</f>
        <v/>
      </c>
      <c r="S62" s="202" t="str">
        <f>IF(G62&lt;&gt;"","",IF(F62="","",-36500*J62*F62/(SUMIF('raw Data'!$A:$A,"RESINV1USD",'raw Data'!$G:$G)+SUMIF('raw Data'!$A:$A,"RESSWAPORUSD",'raw Data'!$G:$G))))</f>
        <v/>
      </c>
      <c r="T62" s="125">
        <f>SUMIF('raw Data'!$E:$E,A62,'raw Data'!$N:$N)</f>
        <v>0</v>
      </c>
      <c r="U62" s="126" t="e">
        <f ca="1">VALUE(_xll.BDP($A62 &amp; " Corp",U$1))</f>
        <v>#NAME?</v>
      </c>
      <c r="V62" s="127" t="e">
        <f ca="1">VALUE(_xll.BDP($A62 &amp; " Corp",V$1))</f>
        <v>#NAME?</v>
      </c>
      <c r="W62" s="127" t="e">
        <f ca="1">VALUE(_xll.BDP($A62 &amp; " Corp",W$1))</f>
        <v>#NAME?</v>
      </c>
      <c r="X62" s="127" t="e">
        <f ca="1">VALUE(_xll.BDP($A62 &amp; " Corp",X$1))</f>
        <v>#NAME?</v>
      </c>
      <c r="Y62" s="127" t="e">
        <f ca="1">VALUE(_xll.BDP($A62 &amp; " Corp",Y$1))</f>
        <v>#NAME?</v>
      </c>
      <c r="Z62" s="128" t="e">
        <f ca="1">_xll.BDP($A62 &amp; " Corp",Z$1)/100</f>
        <v>#NAME?</v>
      </c>
      <c r="AA62" s="129" t="e">
        <f ca="1">_xll.BDP($A62 &amp; " Corp",AA$1)</f>
        <v>#NAME?</v>
      </c>
      <c r="AB62" s="129" t="e">
        <f ca="1">_xll.BDP($A62 &amp; " Corp",AB$1)</f>
        <v>#NAME?</v>
      </c>
      <c r="AC62" s="129" t="e">
        <f ca="1">_xll.BDP($A62 &amp; " Corp",AC$1)</f>
        <v>#NAME?</v>
      </c>
      <c r="AD62" s="130" t="e">
        <f ca="1">_xll.INSTANCE.YANKEE(A62,U62,V62,W62,X62,Y62,Z62,AA62,LEFT(AC62,11),3,IF(RIGHT(AC62,6)="NONEOM",FALSE,TRUE),TODAY())</f>
        <v>#VALUE!</v>
      </c>
      <c r="AE62" s="130" t="e">
        <f ca="1">_xll.INSTANCE.CONVENTION.TAUX("conv_" &amp; A62,LEFT(AC62,11),"Compounded",IF(AA62=1,"Annual",IF(AA62=2,"Semi-Annual","")),"Unadjusted",TODAY())</f>
        <v>#VALUE!</v>
      </c>
    </row>
    <row r="63" spans="1:31" x14ac:dyDescent="0.35">
      <c r="A63" s="131" t="s">
        <v>809</v>
      </c>
      <c r="B63" s="115" t="e">
        <f ca="1">_xll.BDP($A63 &amp; " Govt",B$1)</f>
        <v>#NAME?</v>
      </c>
      <c r="C63" s="201" t="e">
        <f t="shared" ca="1" si="2"/>
        <v>#NAME?</v>
      </c>
      <c r="D63" s="116"/>
      <c r="E63" s="117"/>
      <c r="F63" s="118"/>
      <c r="G63" s="119"/>
      <c r="H63" s="120" t="e">
        <f ca="1">IF(E63="",_xll.BDP(A63 &amp; " Corp","YLD_YTM_BID")/100,E63)</f>
        <v>#NAME?</v>
      </c>
      <c r="I63" s="121" t="e">
        <f ca="1">_xll.INSTRUMENT.PRIX(AD63,D63,H63,AE63)</f>
        <v>#VALUE!</v>
      </c>
      <c r="J63" s="122" t="e">
        <f ca="1">_xll.INSTRUMENT.DV01(AD63,,,I63,cContinuous,I63)</f>
        <v>#VALUE!</v>
      </c>
      <c r="K63" s="123" t="e">
        <f ca="1">_xll.INSTRUMENT.CONVEXITE(AD63,,,I63,cContinuous,I63)</f>
        <v>#VALUE!</v>
      </c>
      <c r="L63" s="123" t="e">
        <f ca="1">_xll.INSTRUMENT.Z.SPREAD(AD63,swapCurve,I63,,D63)</f>
        <v>#VALUE!</v>
      </c>
      <c r="M63" s="123" t="e">
        <f ca="1">_xll.INSTRUMENT.Z.SPREAD(AD63,ustCurve,I63,,D63)</f>
        <v>#VALUE!</v>
      </c>
      <c r="N63" s="123" t="e">
        <f ca="1">_xll.INSTRUMENT.Z.SPREAD(AD63,oisCurve,I63,,D63)</f>
        <v>#VALUE!</v>
      </c>
      <c r="O63" s="124" t="e">
        <f ca="1">1/_xll.CALENDRIER.FRAC.ANNEE(_xll.INSTRUMENT.DATE.REGLEMENT($AD63,,),_xll.INSTRUMENT.DATE.REGLEMENT($AD63,_xll.CALENDRIER.GAP.FINANCE(TODAY(),"1M","AUD","Unadjusted"),),"ACT/365")*(_xll.INSTRUMENT.ROLL.DOWN($AD63,swapCurve,_xll.CALENDRIER.GAP.FINANCE(TODAY(),"1M","AUD","Unadjusted",TRUE),$L63)+100*$Z63*_xll.CALENDRIER.FRAC.ANNEE(_xll.INSTRUMENT.DATE.REGLEMENT($AD63,,),_xll.INSTRUMENT.DATE.REGLEMENT($AD63,_xll.CALENDRIER.GAP.FINANCE(TODAY(),"1M","AUD","Unadjusted"),),"ACT/365")-$I63)/$I63</f>
        <v>#NAME?</v>
      </c>
      <c r="P63" s="124" t="e">
        <f ca="1">1/_xll.CALENDRIER.FRAC.ANNEE(_xll.INSTRUMENT.DATE.REGLEMENT($AD63,,),_xll.INSTRUMENT.DATE.REGLEMENT($AD63,_xll.CALENDRIER.GAP.FINANCE(TODAY(),"3M","AUD","Unadjusted"),),"ACT/365")*(_xll.INSTRUMENT.ROLL.DOWN($AD63,swapCurve,_xll.CALENDRIER.GAP.FINANCE(TODAY(),"3M","AUD","Unadjusted",TRUE),$L63)+100*$Z63*_xll.CALENDRIER.FRAC.ANNEE(_xll.INSTRUMENT.DATE.REGLEMENT($AD63,,),_xll.INSTRUMENT.DATE.REGLEMENT($AD63,_xll.CALENDRIER.GAP.FINANCE(TODAY(),"3M","AUD","Unadjusted"),),"ACT/365")-$I63)/$I63</f>
        <v>#NAME?</v>
      </c>
      <c r="Q63" s="143" t="e">
        <f t="shared" ca="1" si="3"/>
        <v>#VALUE!</v>
      </c>
      <c r="R63" s="191" t="str">
        <f>IF(F63&lt;&gt;"","",IF(G63="","",-G63*(SUMIF('raw Data'!$A:$A,"RESINV1USD",'raw Data'!$G:$G)+SUMIF('raw Data'!$A:$A,"RESSWAPORUSD",'raw Data'!$G:$G))/(36500*J63)))</f>
        <v/>
      </c>
      <c r="S63" s="202" t="str">
        <f>IF(G63&lt;&gt;"","",IF(F63="","",-36500*J63*F63/(SUMIF('raw Data'!$A:$A,"RESINV1USD",'raw Data'!$G:$G)+SUMIF('raw Data'!$A:$A,"RESSWAPORUSD",'raw Data'!$G:$G))))</f>
        <v/>
      </c>
      <c r="T63" s="125">
        <f>SUMIF('raw Data'!$E:$E,A63,'raw Data'!$N:$N)</f>
        <v>0</v>
      </c>
      <c r="U63" s="126" t="e">
        <f ca="1">VALUE(_xll.BDP($A63 &amp; " Corp",U$1))</f>
        <v>#NAME?</v>
      </c>
      <c r="V63" s="127" t="e">
        <f ca="1">VALUE(_xll.BDP($A63 &amp; " Corp",V$1))</f>
        <v>#NAME?</v>
      </c>
      <c r="W63" s="127" t="e">
        <f ca="1">VALUE(_xll.BDP($A63 &amp; " Corp",W$1))</f>
        <v>#NAME?</v>
      </c>
      <c r="X63" s="127" t="e">
        <f ca="1">VALUE(_xll.BDP($A63 &amp; " Corp",X$1))</f>
        <v>#NAME?</v>
      </c>
      <c r="Y63" s="127" t="e">
        <f ca="1">VALUE(_xll.BDP($A63 &amp; " Corp",Y$1))</f>
        <v>#NAME?</v>
      </c>
      <c r="Z63" s="128" t="e">
        <f ca="1">_xll.BDP($A63 &amp; " Corp",Z$1)/100</f>
        <v>#NAME?</v>
      </c>
      <c r="AA63" s="129" t="e">
        <f ca="1">_xll.BDP($A63 &amp; " Corp",AA$1)</f>
        <v>#NAME?</v>
      </c>
      <c r="AB63" s="129" t="e">
        <f ca="1">_xll.BDP($A63 &amp; " Corp",AB$1)</f>
        <v>#NAME?</v>
      </c>
      <c r="AC63" s="129" t="e">
        <f ca="1">_xll.BDP($A63 &amp; " Corp",AC$1)</f>
        <v>#NAME?</v>
      </c>
      <c r="AD63" s="130" t="e">
        <f ca="1">_xll.INSTANCE.YANKEE(A63,U63,V63,W63,X63,Y63,Z63,AA63,LEFT(AC63,11),3,IF(RIGHT(AC63,6)="NONEOM",FALSE,TRUE),TODAY())</f>
        <v>#VALUE!</v>
      </c>
      <c r="AE63" s="130" t="e">
        <f ca="1">_xll.INSTANCE.CONVENTION.TAUX("conv_" &amp; A63,LEFT(AC63,11),"Compounded",IF(AA63=1,"Annual",IF(AA63=2,"Semi-Annual","")),"Unadjusted",TODAY())</f>
        <v>#VALUE!</v>
      </c>
    </row>
    <row r="64" spans="1:31" x14ac:dyDescent="0.35">
      <c r="A64" s="131" t="s">
        <v>839</v>
      </c>
      <c r="B64" s="115" t="e">
        <f ca="1">_xll.BDP($A64 &amp; " Govt",B$1)</f>
        <v>#NAME?</v>
      </c>
      <c r="C64" s="201" t="e">
        <f t="shared" ca="1" si="2"/>
        <v>#NAME?</v>
      </c>
      <c r="D64" s="116"/>
      <c r="E64" s="117"/>
      <c r="F64" s="118"/>
      <c r="G64" s="119"/>
      <c r="H64" s="120" t="e">
        <f ca="1">IF(E64="",_xll.BDP(A64 &amp; " Corp","YLD_YTM_BID")/100,E64)</f>
        <v>#NAME?</v>
      </c>
      <c r="I64" s="121" t="e">
        <f ca="1">_xll.INSTRUMENT.PRIX(AD64,D64,H64,AE64)</f>
        <v>#VALUE!</v>
      </c>
      <c r="J64" s="122" t="e">
        <f ca="1">_xll.INSTRUMENT.DV01(AD64,,,I64,cContinuous,I64)</f>
        <v>#VALUE!</v>
      </c>
      <c r="K64" s="123" t="e">
        <f ca="1">_xll.INSTRUMENT.CONVEXITE(AD64,,,I64,cContinuous,I64)</f>
        <v>#VALUE!</v>
      </c>
      <c r="L64" s="123" t="e">
        <f ca="1">_xll.INSTRUMENT.Z.SPREAD(AD64,swapCurve,I64,,D64)</f>
        <v>#VALUE!</v>
      </c>
      <c r="M64" s="123" t="e">
        <f ca="1">_xll.INSTRUMENT.Z.SPREAD(AD64,ustCurve,I64,,D64)</f>
        <v>#VALUE!</v>
      </c>
      <c r="N64" s="123" t="e">
        <f ca="1">_xll.INSTRUMENT.Z.SPREAD(AD64,oisCurve,I64,,D64)</f>
        <v>#VALUE!</v>
      </c>
      <c r="O64" s="124" t="e">
        <f ca="1">1/_xll.CALENDRIER.FRAC.ANNEE(_xll.INSTRUMENT.DATE.REGLEMENT($AD64,,),_xll.INSTRUMENT.DATE.REGLEMENT($AD64,_xll.CALENDRIER.GAP.FINANCE(TODAY(),"1M","AUD","Unadjusted"),),"ACT/365")*(_xll.INSTRUMENT.ROLL.DOWN($AD64,swapCurve,_xll.CALENDRIER.GAP.FINANCE(TODAY(),"1M","AUD","Unadjusted",TRUE),$L64)+100*$Z64*_xll.CALENDRIER.FRAC.ANNEE(_xll.INSTRUMENT.DATE.REGLEMENT($AD64,,),_xll.INSTRUMENT.DATE.REGLEMENT($AD64,_xll.CALENDRIER.GAP.FINANCE(TODAY(),"1M","AUD","Unadjusted"),),"ACT/365")-$I64)/$I64</f>
        <v>#NAME?</v>
      </c>
      <c r="P64" s="124" t="e">
        <f ca="1">1/_xll.CALENDRIER.FRAC.ANNEE(_xll.INSTRUMENT.DATE.REGLEMENT($AD64,,),_xll.INSTRUMENT.DATE.REGLEMENT($AD64,_xll.CALENDRIER.GAP.FINANCE(TODAY(),"3M","AUD","Unadjusted"),),"ACT/365")*(_xll.INSTRUMENT.ROLL.DOWN($AD64,swapCurve,_xll.CALENDRIER.GAP.FINANCE(TODAY(),"3M","AUD","Unadjusted",TRUE),$L64)+100*$Z64*_xll.CALENDRIER.FRAC.ANNEE(_xll.INSTRUMENT.DATE.REGLEMENT($AD64,,),_xll.INSTRUMENT.DATE.REGLEMENT($AD64,_xll.CALENDRIER.GAP.FINANCE(TODAY(),"3M","AUD","Unadjusted"),),"ACT/365")-$I64)/$I64</f>
        <v>#NAME?</v>
      </c>
      <c r="Q64" s="143" t="e">
        <f t="shared" ca="1" si="3"/>
        <v>#VALUE!</v>
      </c>
      <c r="R64" s="191" t="str">
        <f>IF(F64&lt;&gt;"","",IF(G64="","",-G64*(SUMIF('raw Data'!$A:$A,"RESINV1USD",'raw Data'!$G:$G)+SUMIF('raw Data'!$A:$A,"RESSWAPORUSD",'raw Data'!$G:$G))/(36500*J64)))</f>
        <v/>
      </c>
      <c r="S64" s="202" t="str">
        <f>IF(G64&lt;&gt;"","",IF(F64="","",-36500*J64*F64/(SUMIF('raw Data'!$A:$A,"RESINV1USD",'raw Data'!$G:$G)+SUMIF('raw Data'!$A:$A,"RESSWAPORUSD",'raw Data'!$G:$G))))</f>
        <v/>
      </c>
      <c r="T64" s="125">
        <f>SUMIF('raw Data'!$E:$E,A64,'raw Data'!$N:$N)</f>
        <v>0</v>
      </c>
      <c r="U64" s="126" t="e">
        <f ca="1">VALUE(_xll.BDP($A64 &amp; " Corp",U$1))</f>
        <v>#NAME?</v>
      </c>
      <c r="V64" s="127" t="e">
        <f ca="1">VALUE(_xll.BDP($A64 &amp; " Corp",V$1))</f>
        <v>#NAME?</v>
      </c>
      <c r="W64" s="127" t="e">
        <f ca="1">VALUE(_xll.BDP($A64 &amp; " Corp",W$1))</f>
        <v>#NAME?</v>
      </c>
      <c r="X64" s="127" t="e">
        <f ca="1">VALUE(_xll.BDP($A64 &amp; " Corp",X$1))</f>
        <v>#NAME?</v>
      </c>
      <c r="Y64" s="127" t="e">
        <f ca="1">VALUE(_xll.BDP($A64 &amp; " Corp",Y$1))</f>
        <v>#NAME?</v>
      </c>
      <c r="Z64" s="128" t="e">
        <f ca="1">_xll.BDP($A64 &amp; " Corp",Z$1)/100</f>
        <v>#NAME?</v>
      </c>
      <c r="AA64" s="129" t="e">
        <f ca="1">_xll.BDP($A64 &amp; " Corp",AA$1)</f>
        <v>#NAME?</v>
      </c>
      <c r="AB64" s="129" t="e">
        <f ca="1">_xll.BDP($A64 &amp; " Corp",AB$1)</f>
        <v>#NAME?</v>
      </c>
      <c r="AC64" s="129" t="e">
        <f ca="1">_xll.BDP($A64 &amp; " Corp",AC$1)</f>
        <v>#NAME?</v>
      </c>
      <c r="AD64" s="130" t="e">
        <f ca="1">_xll.INSTANCE.YANKEE(A64,U64,V64,W64,X64,Y64,Z64,AA64,LEFT(AC64,11),3,IF(RIGHT(AC64,6)="NONEOM",FALSE,TRUE),TODAY())</f>
        <v>#VALUE!</v>
      </c>
      <c r="AE64" s="130" t="e">
        <f ca="1">_xll.INSTANCE.CONVENTION.TAUX("conv_" &amp; A64,LEFT(AC64,11),"Compounded",IF(AA64=1,"Annual",IF(AA64=2,"Semi-Annual","")),"Unadjusted",TODAY())</f>
        <v>#VALUE!</v>
      </c>
    </row>
    <row r="65" spans="1:31" x14ac:dyDescent="0.35">
      <c r="A65" s="131" t="s">
        <v>816</v>
      </c>
      <c r="B65" s="115" t="e">
        <f ca="1">_xll.BDP($A65 &amp; " Govt",B$1)</f>
        <v>#NAME?</v>
      </c>
      <c r="C65" s="201" t="e">
        <f t="shared" ref="C65:C89" ca="1" si="4">LEFT(B65,SEARCH(" ",B65)-1)</f>
        <v>#NAME?</v>
      </c>
      <c r="D65" s="116"/>
      <c r="E65" s="117"/>
      <c r="F65" s="118"/>
      <c r="G65" s="119"/>
      <c r="H65" s="120" t="e">
        <f ca="1">IF(E65="",_xll.BDP(A65 &amp; " Corp","YLD_YTM_BID")/100,E65)</f>
        <v>#NAME?</v>
      </c>
      <c r="I65" s="121" t="e">
        <f ca="1">_xll.INSTRUMENT.PRIX(AD65,D65,H65,AE65)</f>
        <v>#VALUE!</v>
      </c>
      <c r="J65" s="122" t="e">
        <f ca="1">_xll.INSTRUMENT.DV01(AD65,,,I65,cContinuous,I65)</f>
        <v>#VALUE!</v>
      </c>
      <c r="K65" s="123" t="e">
        <f ca="1">_xll.INSTRUMENT.CONVEXITE(AD65,,,I65,cContinuous,I65)</f>
        <v>#VALUE!</v>
      </c>
      <c r="L65" s="123" t="e">
        <f ca="1">_xll.INSTRUMENT.Z.SPREAD(AD65,swapCurve,I65,,D65)</f>
        <v>#VALUE!</v>
      </c>
      <c r="M65" s="123" t="e">
        <f ca="1">_xll.INSTRUMENT.Z.SPREAD(AD65,ustCurve,I65,,D65)</f>
        <v>#VALUE!</v>
      </c>
      <c r="N65" s="123" t="e">
        <f ca="1">_xll.INSTRUMENT.Z.SPREAD(AD65,oisCurve,I65,,D65)</f>
        <v>#VALUE!</v>
      </c>
      <c r="O65" s="124" t="e">
        <f ca="1">1/_xll.CALENDRIER.FRAC.ANNEE(_xll.INSTRUMENT.DATE.REGLEMENT($AD65,,),_xll.INSTRUMENT.DATE.REGLEMENT($AD65,_xll.CALENDRIER.GAP.FINANCE(TODAY(),"1M","AUD","Unadjusted"),),"ACT/365")*(_xll.INSTRUMENT.ROLL.DOWN($AD65,swapCurve,_xll.CALENDRIER.GAP.FINANCE(TODAY(),"1M","AUD","Unadjusted",TRUE),$L65)+100*$Z65*_xll.CALENDRIER.FRAC.ANNEE(_xll.INSTRUMENT.DATE.REGLEMENT($AD65,,),_xll.INSTRUMENT.DATE.REGLEMENT($AD65,_xll.CALENDRIER.GAP.FINANCE(TODAY(),"1M","AUD","Unadjusted"),),"ACT/365")-$I65)/$I65</f>
        <v>#NAME?</v>
      </c>
      <c r="P65" s="124" t="e">
        <f ca="1">1/_xll.CALENDRIER.FRAC.ANNEE(_xll.INSTRUMENT.DATE.REGLEMENT($AD65,,),_xll.INSTRUMENT.DATE.REGLEMENT($AD65,_xll.CALENDRIER.GAP.FINANCE(TODAY(),"3M","AUD","Unadjusted"),),"ACT/365")*(_xll.INSTRUMENT.ROLL.DOWN($AD65,swapCurve,_xll.CALENDRIER.GAP.FINANCE(TODAY(),"3M","AUD","Unadjusted",TRUE),$L65)+100*$Z65*_xll.CALENDRIER.FRAC.ANNEE(_xll.INSTRUMENT.DATE.REGLEMENT($AD65,,),_xll.INSTRUMENT.DATE.REGLEMENT($AD65,_xll.CALENDRIER.GAP.FINANCE(TODAY(),"3M","AUD","Unadjusted"),),"ACT/365")-$I65)/$I65</f>
        <v>#NAME?</v>
      </c>
      <c r="Q65" s="143" t="e">
        <f t="shared" ref="Q65:Q89" ca="1" si="5">K65/J65</f>
        <v>#VALUE!</v>
      </c>
      <c r="R65" s="191" t="str">
        <f>IF(F65&lt;&gt;"","",IF(G65="","",-G65*(SUMIF('raw Data'!$A:$A,"RESINV1USD",'raw Data'!$G:$G)+SUMIF('raw Data'!$A:$A,"RESSWAPORUSD",'raw Data'!$G:$G))/(36500*J65)))</f>
        <v/>
      </c>
      <c r="S65" s="202" t="str">
        <f>IF(G65&lt;&gt;"","",IF(F65="","",-36500*J65*F65/(SUMIF('raw Data'!$A:$A,"RESINV1USD",'raw Data'!$G:$G)+SUMIF('raw Data'!$A:$A,"RESSWAPORUSD",'raw Data'!$G:$G))))</f>
        <v/>
      </c>
      <c r="T65" s="125">
        <f>SUMIF('raw Data'!$E:$E,A65,'raw Data'!$N:$N)</f>
        <v>0</v>
      </c>
      <c r="U65" s="126" t="e">
        <f ca="1">VALUE(_xll.BDP($A65 &amp; " Corp",U$1))</f>
        <v>#NAME?</v>
      </c>
      <c r="V65" s="127" t="e">
        <f ca="1">VALUE(_xll.BDP($A65 &amp; " Corp",V$1))</f>
        <v>#NAME?</v>
      </c>
      <c r="W65" s="127" t="e">
        <f ca="1">VALUE(_xll.BDP($A65 &amp; " Corp",W$1))</f>
        <v>#NAME?</v>
      </c>
      <c r="X65" s="127" t="e">
        <f ca="1">VALUE(_xll.BDP($A65 &amp; " Corp",X$1))</f>
        <v>#NAME?</v>
      </c>
      <c r="Y65" s="127" t="e">
        <f ca="1">VALUE(_xll.BDP($A65 &amp; " Corp",Y$1))</f>
        <v>#NAME?</v>
      </c>
      <c r="Z65" s="128" t="e">
        <f ca="1">_xll.BDP($A65 &amp; " Corp",Z$1)/100</f>
        <v>#NAME?</v>
      </c>
      <c r="AA65" s="129" t="e">
        <f ca="1">_xll.BDP($A65 &amp; " Corp",AA$1)</f>
        <v>#NAME?</v>
      </c>
      <c r="AB65" s="129" t="e">
        <f ca="1">_xll.BDP($A65 &amp; " Corp",AB$1)</f>
        <v>#NAME?</v>
      </c>
      <c r="AC65" s="129" t="e">
        <f ca="1">_xll.BDP($A65 &amp; " Corp",AC$1)</f>
        <v>#NAME?</v>
      </c>
      <c r="AD65" s="130" t="e">
        <f ca="1">_xll.INSTANCE.YANKEE(A65,U65,V65,W65,X65,Y65,Z65,AA65,LEFT(AC65,11),3,IF(RIGHT(AC65,6)="NONEOM",FALSE,TRUE),TODAY())</f>
        <v>#VALUE!</v>
      </c>
      <c r="AE65" s="130" t="e">
        <f ca="1">_xll.INSTANCE.CONVENTION.TAUX("conv_" &amp; A65,LEFT(AC65,11),"Compounded",IF(AA65=1,"Annual",IF(AA65=2,"Semi-Annual","")),"Unadjusted",TODAY())</f>
        <v>#VALUE!</v>
      </c>
    </row>
    <row r="66" spans="1:31" x14ac:dyDescent="0.35">
      <c r="A66" s="131" t="s">
        <v>813</v>
      </c>
      <c r="B66" s="115" t="e">
        <f ca="1">_xll.BDP($A66 &amp; " Govt",B$1)</f>
        <v>#NAME?</v>
      </c>
      <c r="C66" s="201" t="e">
        <f t="shared" ca="1" si="4"/>
        <v>#NAME?</v>
      </c>
      <c r="D66" s="116"/>
      <c r="E66" s="117"/>
      <c r="F66" s="118"/>
      <c r="G66" s="119"/>
      <c r="H66" s="120" t="e">
        <f ca="1">IF(E66="",_xll.BDP(A66 &amp; " Corp","YLD_YTM_BID")/100,E66)</f>
        <v>#NAME?</v>
      </c>
      <c r="I66" s="121" t="e">
        <f ca="1">_xll.INSTRUMENT.PRIX(AD66,D66,H66,AE66)</f>
        <v>#VALUE!</v>
      </c>
      <c r="J66" s="122" t="e">
        <f ca="1">_xll.INSTRUMENT.DV01(AD66,,,I66,cContinuous,I66)</f>
        <v>#VALUE!</v>
      </c>
      <c r="K66" s="123" t="e">
        <f ca="1">_xll.INSTRUMENT.CONVEXITE(AD66,,,I66,cContinuous,I66)</f>
        <v>#VALUE!</v>
      </c>
      <c r="L66" s="123" t="e">
        <f ca="1">_xll.INSTRUMENT.Z.SPREAD(AD66,swapCurve,I66,,D66)</f>
        <v>#VALUE!</v>
      </c>
      <c r="M66" s="123" t="e">
        <f ca="1">_xll.INSTRUMENT.Z.SPREAD(AD66,ustCurve,I66,,D66)</f>
        <v>#VALUE!</v>
      </c>
      <c r="N66" s="123" t="e">
        <f ca="1">_xll.INSTRUMENT.Z.SPREAD(AD66,oisCurve,I66,,D66)</f>
        <v>#VALUE!</v>
      </c>
      <c r="O66" s="124" t="e">
        <f ca="1">1/_xll.CALENDRIER.FRAC.ANNEE(_xll.INSTRUMENT.DATE.REGLEMENT($AD66,,),_xll.INSTRUMENT.DATE.REGLEMENT($AD66,_xll.CALENDRIER.GAP.FINANCE(TODAY(),"1M","AUD","Unadjusted"),),"ACT/365")*(_xll.INSTRUMENT.ROLL.DOWN($AD66,swapCurve,_xll.CALENDRIER.GAP.FINANCE(TODAY(),"1M","AUD","Unadjusted",TRUE),$L66)+100*$Z66*_xll.CALENDRIER.FRAC.ANNEE(_xll.INSTRUMENT.DATE.REGLEMENT($AD66,,),_xll.INSTRUMENT.DATE.REGLEMENT($AD66,_xll.CALENDRIER.GAP.FINANCE(TODAY(),"1M","AUD","Unadjusted"),),"ACT/365")-$I66)/$I66</f>
        <v>#NAME?</v>
      </c>
      <c r="P66" s="124" t="e">
        <f ca="1">1/_xll.CALENDRIER.FRAC.ANNEE(_xll.INSTRUMENT.DATE.REGLEMENT($AD66,,),_xll.INSTRUMENT.DATE.REGLEMENT($AD66,_xll.CALENDRIER.GAP.FINANCE(TODAY(),"3M","AUD","Unadjusted"),),"ACT/365")*(_xll.INSTRUMENT.ROLL.DOWN($AD66,swapCurve,_xll.CALENDRIER.GAP.FINANCE(TODAY(),"3M","AUD","Unadjusted",TRUE),$L66)+100*$Z66*_xll.CALENDRIER.FRAC.ANNEE(_xll.INSTRUMENT.DATE.REGLEMENT($AD66,,),_xll.INSTRUMENT.DATE.REGLEMENT($AD66,_xll.CALENDRIER.GAP.FINANCE(TODAY(),"3M","AUD","Unadjusted"),),"ACT/365")-$I66)/$I66</f>
        <v>#NAME?</v>
      </c>
      <c r="Q66" s="143" t="e">
        <f t="shared" ca="1" si="5"/>
        <v>#VALUE!</v>
      </c>
      <c r="R66" s="191" t="str">
        <f>IF(F66&lt;&gt;"","",IF(G66="","",-G66*(SUMIF('raw Data'!$A:$A,"RESINV1USD",'raw Data'!$G:$G)+SUMIF('raw Data'!$A:$A,"RESSWAPORUSD",'raw Data'!$G:$G))/(36500*J66)))</f>
        <v/>
      </c>
      <c r="S66" s="202" t="str">
        <f>IF(G66&lt;&gt;"","",IF(F66="","",-36500*J66*F66/(SUMIF('raw Data'!$A:$A,"RESINV1USD",'raw Data'!$G:$G)+SUMIF('raw Data'!$A:$A,"RESSWAPORUSD",'raw Data'!$G:$G))))</f>
        <v/>
      </c>
      <c r="T66" s="125">
        <f>SUMIF('raw Data'!$E:$E,A66,'raw Data'!$N:$N)</f>
        <v>0</v>
      </c>
      <c r="U66" s="126" t="e">
        <f ca="1">VALUE(_xll.BDP($A66 &amp; " Corp",U$1))</f>
        <v>#NAME?</v>
      </c>
      <c r="V66" s="127" t="e">
        <f ca="1">VALUE(_xll.BDP($A66 &amp; " Corp",V$1))</f>
        <v>#NAME?</v>
      </c>
      <c r="W66" s="127" t="e">
        <f ca="1">VALUE(_xll.BDP($A66 &amp; " Corp",W$1))</f>
        <v>#NAME?</v>
      </c>
      <c r="X66" s="127" t="e">
        <f ca="1">VALUE(_xll.BDP($A66 &amp; " Corp",X$1))</f>
        <v>#NAME?</v>
      </c>
      <c r="Y66" s="127" t="e">
        <f ca="1">VALUE(_xll.BDP($A66 &amp; " Corp",Y$1))</f>
        <v>#NAME?</v>
      </c>
      <c r="Z66" s="128" t="e">
        <f ca="1">_xll.BDP($A66 &amp; " Corp",Z$1)/100</f>
        <v>#NAME?</v>
      </c>
      <c r="AA66" s="129" t="e">
        <f ca="1">_xll.BDP($A66 &amp; " Corp",AA$1)</f>
        <v>#NAME?</v>
      </c>
      <c r="AB66" s="129" t="e">
        <f ca="1">_xll.BDP($A66 &amp; " Corp",AB$1)</f>
        <v>#NAME?</v>
      </c>
      <c r="AC66" s="129" t="e">
        <f ca="1">_xll.BDP($A66 &amp; " Corp",AC$1)</f>
        <v>#NAME?</v>
      </c>
      <c r="AD66" s="130" t="e">
        <f ca="1">_xll.INSTANCE.YANKEE(A66,U66,V66,W66,X66,Y66,Z66,AA66,LEFT(AC66,11),3,IF(RIGHT(AC66,6)="NONEOM",FALSE,TRUE),TODAY())</f>
        <v>#VALUE!</v>
      </c>
      <c r="AE66" s="130" t="e">
        <f ca="1">_xll.INSTANCE.CONVENTION.TAUX("conv_" &amp; A66,LEFT(AC66,11),"Compounded",IF(AA66=1,"Annual",IF(AA66=2,"Semi-Annual","")),"Unadjusted",TODAY())</f>
        <v>#VALUE!</v>
      </c>
    </row>
    <row r="67" spans="1:31" x14ac:dyDescent="0.35">
      <c r="A67" s="131" t="s">
        <v>845</v>
      </c>
      <c r="B67" s="115" t="e">
        <f ca="1">_xll.BDP($A67 &amp; " Govt",B$1)</f>
        <v>#NAME?</v>
      </c>
      <c r="C67" s="201" t="e">
        <f t="shared" ca="1" si="4"/>
        <v>#NAME?</v>
      </c>
      <c r="D67" s="116"/>
      <c r="E67" s="117"/>
      <c r="F67" s="118"/>
      <c r="G67" s="119"/>
      <c r="H67" s="120" t="e">
        <f ca="1">IF(E67="",_xll.BDP(A67 &amp; " Corp","YLD_YTM_BID")/100,E67)</f>
        <v>#NAME?</v>
      </c>
      <c r="I67" s="121" t="e">
        <f ca="1">_xll.INSTRUMENT.PRIX(AD67,D67,H67,AE67)</f>
        <v>#VALUE!</v>
      </c>
      <c r="J67" s="122" t="e">
        <f ca="1">_xll.INSTRUMENT.DV01(AD67,,,I67,cContinuous,I67)</f>
        <v>#VALUE!</v>
      </c>
      <c r="K67" s="123" t="e">
        <f ca="1">_xll.INSTRUMENT.CONVEXITE(AD67,,,I67,cContinuous,I67)</f>
        <v>#VALUE!</v>
      </c>
      <c r="L67" s="123" t="e">
        <f ca="1">_xll.INSTRUMENT.Z.SPREAD(AD67,swapCurve,I67,,D67)</f>
        <v>#VALUE!</v>
      </c>
      <c r="M67" s="123" t="e">
        <f ca="1">_xll.INSTRUMENT.Z.SPREAD(AD67,ustCurve,I67,,D67)</f>
        <v>#VALUE!</v>
      </c>
      <c r="N67" s="123" t="e">
        <f ca="1">_xll.INSTRUMENT.Z.SPREAD(AD67,oisCurve,I67,,D67)</f>
        <v>#VALUE!</v>
      </c>
      <c r="O67" s="124" t="e">
        <f ca="1">1/_xll.CALENDRIER.FRAC.ANNEE(_xll.INSTRUMENT.DATE.REGLEMENT($AD67,,),_xll.INSTRUMENT.DATE.REGLEMENT($AD67,_xll.CALENDRIER.GAP.FINANCE(TODAY(),"1M","AUD","Unadjusted"),),"ACT/365")*(_xll.INSTRUMENT.ROLL.DOWN($AD67,swapCurve,_xll.CALENDRIER.GAP.FINANCE(TODAY(),"1M","AUD","Unadjusted",TRUE),$L67)+100*$Z67*_xll.CALENDRIER.FRAC.ANNEE(_xll.INSTRUMENT.DATE.REGLEMENT($AD67,,),_xll.INSTRUMENT.DATE.REGLEMENT($AD67,_xll.CALENDRIER.GAP.FINANCE(TODAY(),"1M","AUD","Unadjusted"),),"ACT/365")-$I67)/$I67</f>
        <v>#NAME?</v>
      </c>
      <c r="P67" s="124" t="e">
        <f ca="1">1/_xll.CALENDRIER.FRAC.ANNEE(_xll.INSTRUMENT.DATE.REGLEMENT($AD67,,),_xll.INSTRUMENT.DATE.REGLEMENT($AD67,_xll.CALENDRIER.GAP.FINANCE(TODAY(),"3M","AUD","Unadjusted"),),"ACT/365")*(_xll.INSTRUMENT.ROLL.DOWN($AD67,swapCurve,_xll.CALENDRIER.GAP.FINANCE(TODAY(),"3M","AUD","Unadjusted",TRUE),$L67)+100*$Z67*_xll.CALENDRIER.FRAC.ANNEE(_xll.INSTRUMENT.DATE.REGLEMENT($AD67,,),_xll.INSTRUMENT.DATE.REGLEMENT($AD67,_xll.CALENDRIER.GAP.FINANCE(TODAY(),"3M","AUD","Unadjusted"),),"ACT/365")-$I67)/$I67</f>
        <v>#NAME?</v>
      </c>
      <c r="Q67" s="143" t="e">
        <f t="shared" ca="1" si="5"/>
        <v>#VALUE!</v>
      </c>
      <c r="R67" s="191" t="str">
        <f>IF(F67&lt;&gt;"","",IF(G67="","",-G67*(SUMIF('raw Data'!$A:$A,"RESINV1USD",'raw Data'!$G:$G)+SUMIF('raw Data'!$A:$A,"RESSWAPORUSD",'raw Data'!$G:$G))/(36500*J67)))</f>
        <v/>
      </c>
      <c r="S67" s="202" t="str">
        <f>IF(G67&lt;&gt;"","",IF(F67="","",-36500*J67*F67/(SUMIF('raw Data'!$A:$A,"RESINV1USD",'raw Data'!$G:$G)+SUMIF('raw Data'!$A:$A,"RESSWAPORUSD",'raw Data'!$G:$G))))</f>
        <v/>
      </c>
      <c r="T67" s="125">
        <f>SUMIF('raw Data'!$E:$E,A67,'raw Data'!$N:$N)</f>
        <v>0</v>
      </c>
      <c r="U67" s="126" t="e">
        <f ca="1">VALUE(_xll.BDP($A67 &amp; " Corp",U$1))</f>
        <v>#NAME?</v>
      </c>
      <c r="V67" s="127" t="e">
        <f ca="1">VALUE(_xll.BDP($A67 &amp; " Corp",V$1))</f>
        <v>#NAME?</v>
      </c>
      <c r="W67" s="127" t="e">
        <f ca="1">VALUE(_xll.BDP($A67 &amp; " Corp",W$1))</f>
        <v>#NAME?</v>
      </c>
      <c r="X67" s="127" t="e">
        <f ca="1">VALUE(_xll.BDP($A67 &amp; " Corp",X$1))</f>
        <v>#NAME?</v>
      </c>
      <c r="Y67" s="127" t="e">
        <f ca="1">VALUE(_xll.BDP($A67 &amp; " Corp",Y$1))</f>
        <v>#NAME?</v>
      </c>
      <c r="Z67" s="128" t="e">
        <f ca="1">_xll.BDP($A67 &amp; " Corp",Z$1)/100</f>
        <v>#NAME?</v>
      </c>
      <c r="AA67" s="129" t="e">
        <f ca="1">_xll.BDP($A67 &amp; " Corp",AA$1)</f>
        <v>#NAME?</v>
      </c>
      <c r="AB67" s="129" t="e">
        <f ca="1">_xll.BDP($A67 &amp; " Corp",AB$1)</f>
        <v>#NAME?</v>
      </c>
      <c r="AC67" s="129" t="e">
        <f ca="1">_xll.BDP($A67 &amp; " Corp",AC$1)</f>
        <v>#NAME?</v>
      </c>
      <c r="AD67" s="130" t="e">
        <f ca="1">_xll.INSTANCE.YANKEE(A67,U67,V67,W67,X67,Y67,Z67,AA67,LEFT(AC67,11),3,IF(RIGHT(AC67,6)="NONEOM",FALSE,TRUE),TODAY())</f>
        <v>#VALUE!</v>
      </c>
      <c r="AE67" s="130" t="e">
        <f ca="1">_xll.INSTANCE.CONVENTION.TAUX("conv_" &amp; A67,LEFT(AC67,11),"Compounded",IF(AA67=1,"Annual",IF(AA67=2,"Semi-Annual","")),"Unadjusted",TODAY())</f>
        <v>#VALUE!</v>
      </c>
    </row>
    <row r="68" spans="1:31" x14ac:dyDescent="0.35">
      <c r="A68" s="131" t="s">
        <v>847</v>
      </c>
      <c r="B68" s="115" t="e">
        <f ca="1">_xll.BDP($A68 &amp; " Govt",B$1)</f>
        <v>#NAME?</v>
      </c>
      <c r="C68" s="201" t="e">
        <f t="shared" ca="1" si="4"/>
        <v>#NAME?</v>
      </c>
      <c r="D68" s="116"/>
      <c r="E68" s="117"/>
      <c r="F68" s="118"/>
      <c r="G68" s="119"/>
      <c r="H68" s="120" t="e">
        <f ca="1">IF(E68="",_xll.BDP(A68 &amp; " Corp","YLD_YTM_BID")/100,E68)</f>
        <v>#NAME?</v>
      </c>
      <c r="I68" s="121" t="e">
        <f ca="1">_xll.INSTRUMENT.PRIX(AD68,D68,H68,AE68)</f>
        <v>#VALUE!</v>
      </c>
      <c r="J68" s="122" t="e">
        <f ca="1">_xll.INSTRUMENT.DV01(AD68,,,I68,cContinuous,I68)</f>
        <v>#VALUE!</v>
      </c>
      <c r="K68" s="123" t="e">
        <f ca="1">_xll.INSTRUMENT.CONVEXITE(AD68,,,I68,cContinuous,I68)</f>
        <v>#VALUE!</v>
      </c>
      <c r="L68" s="123" t="e">
        <f ca="1">_xll.INSTRUMENT.Z.SPREAD(AD68,swapCurve,I68,,D68)</f>
        <v>#VALUE!</v>
      </c>
      <c r="M68" s="123" t="e">
        <f ca="1">_xll.INSTRUMENT.Z.SPREAD(AD68,ustCurve,I68,,D68)</f>
        <v>#VALUE!</v>
      </c>
      <c r="N68" s="123" t="e">
        <f ca="1">_xll.INSTRUMENT.Z.SPREAD(AD68,oisCurve,I68,,D68)</f>
        <v>#VALUE!</v>
      </c>
      <c r="O68" s="124" t="e">
        <f ca="1">1/_xll.CALENDRIER.FRAC.ANNEE(_xll.INSTRUMENT.DATE.REGLEMENT($AD68,,),_xll.INSTRUMENT.DATE.REGLEMENT($AD68,_xll.CALENDRIER.GAP.FINANCE(TODAY(),"1M","AUD","Unadjusted"),),"ACT/365")*(_xll.INSTRUMENT.ROLL.DOWN($AD68,swapCurve,_xll.CALENDRIER.GAP.FINANCE(TODAY(),"1M","AUD","Unadjusted",TRUE),$L68)+100*$Z68*_xll.CALENDRIER.FRAC.ANNEE(_xll.INSTRUMENT.DATE.REGLEMENT($AD68,,),_xll.INSTRUMENT.DATE.REGLEMENT($AD68,_xll.CALENDRIER.GAP.FINANCE(TODAY(),"1M","AUD","Unadjusted"),),"ACT/365")-$I68)/$I68</f>
        <v>#NAME?</v>
      </c>
      <c r="P68" s="124" t="e">
        <f ca="1">1/_xll.CALENDRIER.FRAC.ANNEE(_xll.INSTRUMENT.DATE.REGLEMENT($AD68,,),_xll.INSTRUMENT.DATE.REGLEMENT($AD68,_xll.CALENDRIER.GAP.FINANCE(TODAY(),"3M","AUD","Unadjusted"),),"ACT/365")*(_xll.INSTRUMENT.ROLL.DOWN($AD68,swapCurve,_xll.CALENDRIER.GAP.FINANCE(TODAY(),"3M","AUD","Unadjusted",TRUE),$L68)+100*$Z68*_xll.CALENDRIER.FRAC.ANNEE(_xll.INSTRUMENT.DATE.REGLEMENT($AD68,,),_xll.INSTRUMENT.DATE.REGLEMENT($AD68,_xll.CALENDRIER.GAP.FINANCE(TODAY(),"3M","AUD","Unadjusted"),),"ACT/365")-$I68)/$I68</f>
        <v>#NAME?</v>
      </c>
      <c r="Q68" s="143" t="e">
        <f t="shared" ca="1" si="5"/>
        <v>#VALUE!</v>
      </c>
      <c r="R68" s="191" t="str">
        <f>IF(F68&lt;&gt;"","",IF(G68="","",-G68*(SUMIF('raw Data'!$A:$A,"RESINV1USD",'raw Data'!$G:$G)+SUMIF('raw Data'!$A:$A,"RESSWAPORUSD",'raw Data'!$G:$G))/(36500*J68)))</f>
        <v/>
      </c>
      <c r="S68" s="202" t="str">
        <f>IF(G68&lt;&gt;"","",IF(F68="","",-36500*J68*F68/(SUMIF('raw Data'!$A:$A,"RESINV1USD",'raw Data'!$G:$G)+SUMIF('raw Data'!$A:$A,"RESSWAPORUSD",'raw Data'!$G:$G))))</f>
        <v/>
      </c>
      <c r="T68" s="125">
        <f>SUMIF('raw Data'!$E:$E,A68,'raw Data'!$N:$N)</f>
        <v>0</v>
      </c>
      <c r="U68" s="126" t="e">
        <f ca="1">VALUE(_xll.BDP($A68 &amp; " Corp",U$1))</f>
        <v>#NAME?</v>
      </c>
      <c r="V68" s="127" t="e">
        <f ca="1">VALUE(_xll.BDP($A68 &amp; " Corp",V$1))</f>
        <v>#NAME?</v>
      </c>
      <c r="W68" s="127" t="e">
        <f ca="1">VALUE(_xll.BDP($A68 &amp; " Corp",W$1))</f>
        <v>#NAME?</v>
      </c>
      <c r="X68" s="127" t="e">
        <f ca="1">VALUE(_xll.BDP($A68 &amp; " Corp",X$1))</f>
        <v>#NAME?</v>
      </c>
      <c r="Y68" s="127" t="e">
        <f ca="1">VALUE(_xll.BDP($A68 &amp; " Corp",Y$1))</f>
        <v>#NAME?</v>
      </c>
      <c r="Z68" s="128" t="e">
        <f ca="1">_xll.BDP($A68 &amp; " Corp",Z$1)/100</f>
        <v>#NAME?</v>
      </c>
      <c r="AA68" s="129" t="e">
        <f ca="1">_xll.BDP($A68 &amp; " Corp",AA$1)</f>
        <v>#NAME?</v>
      </c>
      <c r="AB68" s="129" t="e">
        <f ca="1">_xll.BDP($A68 &amp; " Corp",AB$1)</f>
        <v>#NAME?</v>
      </c>
      <c r="AC68" s="129" t="e">
        <f ca="1">_xll.BDP($A68 &amp; " Corp",AC$1)</f>
        <v>#NAME?</v>
      </c>
      <c r="AD68" s="130" t="e">
        <f ca="1">_xll.INSTANCE.YANKEE(A68,U68,V68,W68,X68,Y68,Z68,AA68,LEFT(AC68,11),3,IF(RIGHT(AC68,6)="NONEOM",FALSE,TRUE),TODAY())</f>
        <v>#VALUE!</v>
      </c>
      <c r="AE68" s="130" t="e">
        <f ca="1">_xll.INSTANCE.CONVENTION.TAUX("conv_" &amp; A68,LEFT(AC68,11),"Compounded",IF(AA68=1,"Annual",IF(AA68=2,"Semi-Annual","")),"Unadjusted",TODAY())</f>
        <v>#VALUE!</v>
      </c>
    </row>
    <row r="69" spans="1:31" x14ac:dyDescent="0.35">
      <c r="A69" s="131" t="s">
        <v>826</v>
      </c>
      <c r="B69" s="115" t="e">
        <f ca="1">_xll.BDP($A69 &amp; " Govt",B$1)</f>
        <v>#NAME?</v>
      </c>
      <c r="C69" s="201" t="e">
        <f t="shared" ca="1" si="4"/>
        <v>#NAME?</v>
      </c>
      <c r="D69" s="116"/>
      <c r="E69" s="117"/>
      <c r="F69" s="118"/>
      <c r="G69" s="119"/>
      <c r="H69" s="120" t="e">
        <f ca="1">IF(E69="",_xll.BDP(A69 &amp; " Corp","YLD_YTM_BID")/100,E69)</f>
        <v>#NAME?</v>
      </c>
      <c r="I69" s="121" t="e">
        <f ca="1">_xll.INSTRUMENT.PRIX(AD69,D69,H69,AE69)</f>
        <v>#VALUE!</v>
      </c>
      <c r="J69" s="122" t="e">
        <f ca="1">_xll.INSTRUMENT.DV01(AD69,,,I69,cContinuous,I69)</f>
        <v>#VALUE!</v>
      </c>
      <c r="K69" s="123" t="e">
        <f ca="1">_xll.INSTRUMENT.CONVEXITE(AD69,,,I69,cContinuous,I69)</f>
        <v>#VALUE!</v>
      </c>
      <c r="L69" s="123" t="e">
        <f ca="1">_xll.INSTRUMENT.Z.SPREAD(AD69,swapCurve,I69,,D69)</f>
        <v>#VALUE!</v>
      </c>
      <c r="M69" s="123" t="e">
        <f ca="1">_xll.INSTRUMENT.Z.SPREAD(AD69,ustCurve,I69,,D69)</f>
        <v>#VALUE!</v>
      </c>
      <c r="N69" s="123" t="e">
        <f ca="1">_xll.INSTRUMENT.Z.SPREAD(AD69,oisCurve,I69,,D69)</f>
        <v>#VALUE!</v>
      </c>
      <c r="O69" s="124" t="e">
        <f ca="1">1/_xll.CALENDRIER.FRAC.ANNEE(_xll.INSTRUMENT.DATE.REGLEMENT($AD69,,),_xll.INSTRUMENT.DATE.REGLEMENT($AD69,_xll.CALENDRIER.GAP.FINANCE(TODAY(),"1M","AUD","Unadjusted"),),"ACT/365")*(_xll.INSTRUMENT.ROLL.DOWN($AD69,swapCurve,_xll.CALENDRIER.GAP.FINANCE(TODAY(),"1M","AUD","Unadjusted",TRUE),$L69)+100*$Z69*_xll.CALENDRIER.FRAC.ANNEE(_xll.INSTRUMENT.DATE.REGLEMENT($AD69,,),_xll.INSTRUMENT.DATE.REGLEMENT($AD69,_xll.CALENDRIER.GAP.FINANCE(TODAY(),"1M","AUD","Unadjusted"),),"ACT/365")-$I69)/$I69</f>
        <v>#NAME?</v>
      </c>
      <c r="P69" s="124" t="e">
        <f ca="1">1/_xll.CALENDRIER.FRAC.ANNEE(_xll.INSTRUMENT.DATE.REGLEMENT($AD69,,),_xll.INSTRUMENT.DATE.REGLEMENT($AD69,_xll.CALENDRIER.GAP.FINANCE(TODAY(),"3M","AUD","Unadjusted"),),"ACT/365")*(_xll.INSTRUMENT.ROLL.DOWN($AD69,swapCurve,_xll.CALENDRIER.GAP.FINANCE(TODAY(),"3M","AUD","Unadjusted",TRUE),$L69)+100*$Z69*_xll.CALENDRIER.FRAC.ANNEE(_xll.INSTRUMENT.DATE.REGLEMENT($AD69,,),_xll.INSTRUMENT.DATE.REGLEMENT($AD69,_xll.CALENDRIER.GAP.FINANCE(TODAY(),"3M","AUD","Unadjusted"),),"ACT/365")-$I69)/$I69</f>
        <v>#NAME?</v>
      </c>
      <c r="Q69" s="143" t="e">
        <f t="shared" ca="1" si="5"/>
        <v>#VALUE!</v>
      </c>
      <c r="R69" s="191" t="str">
        <f>IF(F69&lt;&gt;"","",IF(G69="","",-G69*(SUMIF('raw Data'!$A:$A,"RESINV1USD",'raw Data'!$G:$G)+SUMIF('raw Data'!$A:$A,"RESSWAPORUSD",'raw Data'!$G:$G))/(36500*J69)))</f>
        <v/>
      </c>
      <c r="S69" s="202" t="str">
        <f>IF(G69&lt;&gt;"","",IF(F69="","",-36500*J69*F69/(SUMIF('raw Data'!$A:$A,"RESINV1USD",'raw Data'!$G:$G)+SUMIF('raw Data'!$A:$A,"RESSWAPORUSD",'raw Data'!$G:$G))))</f>
        <v/>
      </c>
      <c r="T69" s="125">
        <f>SUMIF('raw Data'!$E:$E,A69,'raw Data'!$N:$N)</f>
        <v>0</v>
      </c>
      <c r="U69" s="126" t="e">
        <f ca="1">VALUE(_xll.BDP($A69 &amp; " Corp",U$1))</f>
        <v>#NAME?</v>
      </c>
      <c r="V69" s="127" t="e">
        <f ca="1">VALUE(_xll.BDP($A69 &amp; " Corp",V$1))</f>
        <v>#NAME?</v>
      </c>
      <c r="W69" s="127" t="e">
        <f ca="1">VALUE(_xll.BDP($A69 &amp; " Corp",W$1))</f>
        <v>#NAME?</v>
      </c>
      <c r="X69" s="127" t="e">
        <f ca="1">VALUE(_xll.BDP($A69 &amp; " Corp",X$1))</f>
        <v>#NAME?</v>
      </c>
      <c r="Y69" s="127" t="e">
        <f ca="1">VALUE(_xll.BDP($A69 &amp; " Corp",Y$1))</f>
        <v>#NAME?</v>
      </c>
      <c r="Z69" s="128" t="e">
        <f ca="1">_xll.BDP($A69 &amp; " Corp",Z$1)/100</f>
        <v>#NAME?</v>
      </c>
      <c r="AA69" s="129" t="e">
        <f ca="1">_xll.BDP($A69 &amp; " Corp",AA$1)</f>
        <v>#NAME?</v>
      </c>
      <c r="AB69" s="129" t="e">
        <f ca="1">_xll.BDP($A69 &amp; " Corp",AB$1)</f>
        <v>#NAME?</v>
      </c>
      <c r="AC69" s="129" t="e">
        <f ca="1">_xll.BDP($A69 &amp; " Corp",AC$1)</f>
        <v>#NAME?</v>
      </c>
      <c r="AD69" s="130" t="e">
        <f ca="1">_xll.INSTANCE.YANKEE(A69,U69,V69,W69,X69,Y69,Z69,AA69,LEFT(AC69,11),3,IF(RIGHT(AC69,6)="NONEOM",FALSE,TRUE),TODAY())</f>
        <v>#VALUE!</v>
      </c>
      <c r="AE69" s="130" t="e">
        <f ca="1">_xll.INSTANCE.CONVENTION.TAUX("conv_" &amp; A69,LEFT(AC69,11),"Compounded",IF(AA69=1,"Annual",IF(AA69=2,"Semi-Annual","")),"Unadjusted",TODAY())</f>
        <v>#VALUE!</v>
      </c>
    </row>
    <row r="70" spans="1:31" x14ac:dyDescent="0.35">
      <c r="A70" s="131" t="s">
        <v>828</v>
      </c>
      <c r="B70" s="115" t="e">
        <f ca="1">_xll.BDP($A70 &amp; " Govt",B$1)</f>
        <v>#NAME?</v>
      </c>
      <c r="C70" s="201" t="e">
        <f t="shared" ca="1" si="4"/>
        <v>#NAME?</v>
      </c>
      <c r="D70" s="116"/>
      <c r="E70" s="117"/>
      <c r="F70" s="118"/>
      <c r="G70" s="119"/>
      <c r="H70" s="120" t="e">
        <f ca="1">IF(E70="",_xll.BDP(A70 &amp; " Corp","YLD_YTM_BID")/100,E70)</f>
        <v>#NAME?</v>
      </c>
      <c r="I70" s="121" t="e">
        <f ca="1">_xll.INSTRUMENT.PRIX(AD70,D70,H70,AE70)</f>
        <v>#VALUE!</v>
      </c>
      <c r="J70" s="122" t="e">
        <f ca="1">_xll.INSTRUMENT.DV01(AD70,,,I70,cContinuous,I70)</f>
        <v>#VALUE!</v>
      </c>
      <c r="K70" s="123" t="e">
        <f ca="1">_xll.INSTRUMENT.CONVEXITE(AD70,,,I70,cContinuous,I70)</f>
        <v>#VALUE!</v>
      </c>
      <c r="L70" s="123" t="e">
        <f ca="1">_xll.INSTRUMENT.Z.SPREAD(AD70,swapCurve,I70,,D70)</f>
        <v>#VALUE!</v>
      </c>
      <c r="M70" s="123" t="e">
        <f ca="1">_xll.INSTRUMENT.Z.SPREAD(AD70,ustCurve,I70,,D70)</f>
        <v>#VALUE!</v>
      </c>
      <c r="N70" s="123" t="e">
        <f ca="1">_xll.INSTRUMENT.Z.SPREAD(AD70,oisCurve,I70,,D70)</f>
        <v>#VALUE!</v>
      </c>
      <c r="O70" s="124" t="e">
        <f ca="1">1/_xll.CALENDRIER.FRAC.ANNEE(_xll.INSTRUMENT.DATE.REGLEMENT($AD70,,),_xll.INSTRUMENT.DATE.REGLEMENT($AD70,_xll.CALENDRIER.GAP.FINANCE(TODAY(),"1M","AUD","Unadjusted"),),"ACT/365")*(_xll.INSTRUMENT.ROLL.DOWN($AD70,swapCurve,_xll.CALENDRIER.GAP.FINANCE(TODAY(),"1M","AUD","Unadjusted",TRUE),$L70)+100*$Z70*_xll.CALENDRIER.FRAC.ANNEE(_xll.INSTRUMENT.DATE.REGLEMENT($AD70,,),_xll.INSTRUMENT.DATE.REGLEMENT($AD70,_xll.CALENDRIER.GAP.FINANCE(TODAY(),"1M","AUD","Unadjusted"),),"ACT/365")-$I70)/$I70</f>
        <v>#NAME?</v>
      </c>
      <c r="P70" s="124" t="e">
        <f ca="1">1/_xll.CALENDRIER.FRAC.ANNEE(_xll.INSTRUMENT.DATE.REGLEMENT($AD70,,),_xll.INSTRUMENT.DATE.REGLEMENT($AD70,_xll.CALENDRIER.GAP.FINANCE(TODAY(),"3M","AUD","Unadjusted"),),"ACT/365")*(_xll.INSTRUMENT.ROLL.DOWN($AD70,swapCurve,_xll.CALENDRIER.GAP.FINANCE(TODAY(),"3M","AUD","Unadjusted",TRUE),$L70)+100*$Z70*_xll.CALENDRIER.FRAC.ANNEE(_xll.INSTRUMENT.DATE.REGLEMENT($AD70,,),_xll.INSTRUMENT.DATE.REGLEMENT($AD70,_xll.CALENDRIER.GAP.FINANCE(TODAY(),"3M","AUD","Unadjusted"),),"ACT/365")-$I70)/$I70</f>
        <v>#NAME?</v>
      </c>
      <c r="Q70" s="143" t="e">
        <f t="shared" ca="1" si="5"/>
        <v>#VALUE!</v>
      </c>
      <c r="R70" s="191" t="str">
        <f>IF(F70&lt;&gt;"","",IF(G70="","",-G70*(SUMIF('raw Data'!$A:$A,"RESINV1USD",'raw Data'!$G:$G)+SUMIF('raw Data'!$A:$A,"RESSWAPORUSD",'raw Data'!$G:$G))/(36500*J70)))</f>
        <v/>
      </c>
      <c r="S70" s="202" t="str">
        <f>IF(G70&lt;&gt;"","",IF(F70="","",-36500*J70*F70/(SUMIF('raw Data'!$A:$A,"RESINV1USD",'raw Data'!$G:$G)+SUMIF('raw Data'!$A:$A,"RESSWAPORUSD",'raw Data'!$G:$G))))</f>
        <v/>
      </c>
      <c r="T70" s="125">
        <f>SUMIF('raw Data'!$E:$E,A70,'raw Data'!$N:$N)</f>
        <v>0</v>
      </c>
      <c r="U70" s="126" t="e">
        <f ca="1">VALUE(_xll.BDP($A70 &amp; " Corp",U$1))</f>
        <v>#NAME?</v>
      </c>
      <c r="V70" s="127" t="e">
        <f ca="1">VALUE(_xll.BDP($A70 &amp; " Corp",V$1))</f>
        <v>#NAME?</v>
      </c>
      <c r="W70" s="127" t="e">
        <f ca="1">VALUE(_xll.BDP($A70 &amp; " Corp",W$1))</f>
        <v>#NAME?</v>
      </c>
      <c r="X70" s="127" t="e">
        <f ca="1">VALUE(_xll.BDP($A70 &amp; " Corp",X$1))</f>
        <v>#NAME?</v>
      </c>
      <c r="Y70" s="127" t="e">
        <f ca="1">VALUE(_xll.BDP($A70 &amp; " Corp",Y$1))</f>
        <v>#NAME?</v>
      </c>
      <c r="Z70" s="128" t="e">
        <f ca="1">_xll.BDP($A70 &amp; " Corp",Z$1)/100</f>
        <v>#NAME?</v>
      </c>
      <c r="AA70" s="129" t="e">
        <f ca="1">_xll.BDP($A70 &amp; " Corp",AA$1)</f>
        <v>#NAME?</v>
      </c>
      <c r="AB70" s="129" t="e">
        <f ca="1">_xll.BDP($A70 &amp; " Corp",AB$1)</f>
        <v>#NAME?</v>
      </c>
      <c r="AC70" s="129" t="e">
        <f ca="1">_xll.BDP($A70 &amp; " Corp",AC$1)</f>
        <v>#NAME?</v>
      </c>
      <c r="AD70" s="130" t="e">
        <f ca="1">_xll.INSTANCE.YANKEE(A70,U70,V70,W70,X70,Y70,Z70,AA70,LEFT(AC70,11),3,IF(RIGHT(AC70,6)="NONEOM",FALSE,TRUE),TODAY())</f>
        <v>#VALUE!</v>
      </c>
      <c r="AE70" s="130" t="e">
        <f ca="1">_xll.INSTANCE.CONVENTION.TAUX("conv_" &amp; A70,LEFT(AC70,11),"Compounded",IF(AA70=1,"Annual",IF(AA70=2,"Semi-Annual","")),"Unadjusted",TODAY())</f>
        <v>#VALUE!</v>
      </c>
    </row>
    <row r="71" spans="1:31" x14ac:dyDescent="0.35">
      <c r="A71" s="131" t="s">
        <v>822</v>
      </c>
      <c r="B71" s="115" t="e">
        <f ca="1">_xll.BDP($A71 &amp; " Govt",B$1)</f>
        <v>#NAME?</v>
      </c>
      <c r="C71" s="201" t="e">
        <f t="shared" ca="1" si="4"/>
        <v>#NAME?</v>
      </c>
      <c r="D71" s="116"/>
      <c r="E71" s="117"/>
      <c r="F71" s="118"/>
      <c r="G71" s="119"/>
      <c r="H71" s="120" t="e">
        <f ca="1">IF(E71="",_xll.BDP(A71 &amp; " Corp","YLD_YTM_BID")/100,E71)</f>
        <v>#NAME?</v>
      </c>
      <c r="I71" s="121" t="e">
        <f ca="1">_xll.INSTRUMENT.PRIX(AD71,D71,H71,AE71)</f>
        <v>#VALUE!</v>
      </c>
      <c r="J71" s="122" t="e">
        <f ca="1">_xll.INSTRUMENT.DV01(AD71,,,I71,cContinuous,I71)</f>
        <v>#VALUE!</v>
      </c>
      <c r="K71" s="123" t="e">
        <f ca="1">_xll.INSTRUMENT.CONVEXITE(AD71,,,I71,cContinuous,I71)</f>
        <v>#VALUE!</v>
      </c>
      <c r="L71" s="123" t="e">
        <f ca="1">_xll.INSTRUMENT.Z.SPREAD(AD71,swapCurve,I71,,D71)</f>
        <v>#VALUE!</v>
      </c>
      <c r="M71" s="123" t="e">
        <f ca="1">_xll.INSTRUMENT.Z.SPREAD(AD71,ustCurve,I71,,D71)</f>
        <v>#VALUE!</v>
      </c>
      <c r="N71" s="123" t="e">
        <f ca="1">_xll.INSTRUMENT.Z.SPREAD(AD71,oisCurve,I71,,D71)</f>
        <v>#VALUE!</v>
      </c>
      <c r="O71" s="124" t="e">
        <f ca="1">1/_xll.CALENDRIER.FRAC.ANNEE(_xll.INSTRUMENT.DATE.REGLEMENT($AD71,,),_xll.INSTRUMENT.DATE.REGLEMENT($AD71,_xll.CALENDRIER.GAP.FINANCE(TODAY(),"1M","AUD","Unadjusted"),),"ACT/365")*(_xll.INSTRUMENT.ROLL.DOWN($AD71,swapCurve,_xll.CALENDRIER.GAP.FINANCE(TODAY(),"1M","AUD","Unadjusted",TRUE),$L71)+100*$Z71*_xll.CALENDRIER.FRAC.ANNEE(_xll.INSTRUMENT.DATE.REGLEMENT($AD71,,),_xll.INSTRUMENT.DATE.REGLEMENT($AD71,_xll.CALENDRIER.GAP.FINANCE(TODAY(),"1M","AUD","Unadjusted"),),"ACT/365")-$I71)/$I71</f>
        <v>#NAME?</v>
      </c>
      <c r="P71" s="124" t="e">
        <f ca="1">1/_xll.CALENDRIER.FRAC.ANNEE(_xll.INSTRUMENT.DATE.REGLEMENT($AD71,,),_xll.INSTRUMENT.DATE.REGLEMENT($AD71,_xll.CALENDRIER.GAP.FINANCE(TODAY(),"3M","AUD","Unadjusted"),),"ACT/365")*(_xll.INSTRUMENT.ROLL.DOWN($AD71,swapCurve,_xll.CALENDRIER.GAP.FINANCE(TODAY(),"3M","AUD","Unadjusted",TRUE),$L71)+100*$Z71*_xll.CALENDRIER.FRAC.ANNEE(_xll.INSTRUMENT.DATE.REGLEMENT($AD71,,),_xll.INSTRUMENT.DATE.REGLEMENT($AD71,_xll.CALENDRIER.GAP.FINANCE(TODAY(),"3M","AUD","Unadjusted"),),"ACT/365")-$I71)/$I71</f>
        <v>#NAME?</v>
      </c>
      <c r="Q71" s="143" t="e">
        <f t="shared" ca="1" si="5"/>
        <v>#VALUE!</v>
      </c>
      <c r="R71" s="191" t="str">
        <f>IF(F71&lt;&gt;"","",IF(G71="","",-G71*(SUMIF('raw Data'!$A:$A,"RESINV1USD",'raw Data'!$G:$G)+SUMIF('raw Data'!$A:$A,"RESSWAPORUSD",'raw Data'!$G:$G))/(36500*J71)))</f>
        <v/>
      </c>
      <c r="S71" s="202" t="str">
        <f>IF(G71&lt;&gt;"","",IF(F71="","",-36500*J71*F71/(SUMIF('raw Data'!$A:$A,"RESINV1USD",'raw Data'!$G:$G)+SUMIF('raw Data'!$A:$A,"RESSWAPORUSD",'raw Data'!$G:$G))))</f>
        <v/>
      </c>
      <c r="T71" s="125">
        <f>SUMIF('raw Data'!$E:$E,A71,'raw Data'!$N:$N)</f>
        <v>0</v>
      </c>
      <c r="U71" s="126" t="e">
        <f ca="1">VALUE(_xll.BDP($A71 &amp; " Corp",U$1))</f>
        <v>#NAME?</v>
      </c>
      <c r="V71" s="127" t="e">
        <f ca="1">VALUE(_xll.BDP($A71 &amp; " Corp",V$1))</f>
        <v>#NAME?</v>
      </c>
      <c r="W71" s="127" t="e">
        <f ca="1">VALUE(_xll.BDP($A71 &amp; " Corp",W$1))</f>
        <v>#NAME?</v>
      </c>
      <c r="X71" s="127" t="e">
        <f ca="1">VALUE(_xll.BDP($A71 &amp; " Corp",X$1))</f>
        <v>#NAME?</v>
      </c>
      <c r="Y71" s="127" t="e">
        <f ca="1">VALUE(_xll.BDP($A71 &amp; " Corp",Y$1))</f>
        <v>#NAME?</v>
      </c>
      <c r="Z71" s="128" t="e">
        <f ca="1">_xll.BDP($A71 &amp; " Corp",Z$1)/100</f>
        <v>#NAME?</v>
      </c>
      <c r="AA71" s="129" t="e">
        <f ca="1">_xll.BDP($A71 &amp; " Corp",AA$1)</f>
        <v>#NAME?</v>
      </c>
      <c r="AB71" s="129" t="e">
        <f ca="1">_xll.BDP($A71 &amp; " Corp",AB$1)</f>
        <v>#NAME?</v>
      </c>
      <c r="AC71" s="129" t="e">
        <f ca="1">_xll.BDP($A71 &amp; " Corp",AC$1)</f>
        <v>#NAME?</v>
      </c>
      <c r="AD71" s="130" t="e">
        <f ca="1">_xll.INSTANCE.YANKEE(A71,U71,V71,W71,X71,Y71,Z71,AA71,LEFT(AC71,11),3,IF(RIGHT(AC71,6)="NONEOM",FALSE,TRUE),TODAY())</f>
        <v>#VALUE!</v>
      </c>
      <c r="AE71" s="130" t="e">
        <f ca="1">_xll.INSTANCE.CONVENTION.TAUX("conv_" &amp; A71,LEFT(AC71,11),"Compounded",IF(AA71=1,"Annual",IF(AA71=2,"Semi-Annual","")),"Unadjusted",TODAY())</f>
        <v>#VALUE!</v>
      </c>
    </row>
    <row r="72" spans="1:31" x14ac:dyDescent="0.35">
      <c r="A72" s="131" t="s">
        <v>852</v>
      </c>
      <c r="B72" s="115" t="e">
        <f ca="1">_xll.BDP($A72 &amp; " Govt",B$1)</f>
        <v>#NAME?</v>
      </c>
      <c r="C72" s="201" t="e">
        <f t="shared" ca="1" si="4"/>
        <v>#NAME?</v>
      </c>
      <c r="D72" s="116"/>
      <c r="E72" s="117"/>
      <c r="F72" s="118"/>
      <c r="G72" s="119"/>
      <c r="H72" s="120" t="e">
        <f ca="1">IF(E72="",_xll.BDP(A72 &amp; " Corp","YLD_YTM_BID")/100,E72)</f>
        <v>#NAME?</v>
      </c>
      <c r="I72" s="121" t="e">
        <f ca="1">_xll.INSTRUMENT.PRIX(AD72,D72,H72,AE72)</f>
        <v>#VALUE!</v>
      </c>
      <c r="J72" s="122" t="e">
        <f ca="1">_xll.INSTRUMENT.DV01(AD72,,,I72,cContinuous,I72)</f>
        <v>#VALUE!</v>
      </c>
      <c r="K72" s="123" t="e">
        <f ca="1">_xll.INSTRUMENT.CONVEXITE(AD72,,,I72,cContinuous,I72)</f>
        <v>#VALUE!</v>
      </c>
      <c r="L72" s="123" t="e">
        <f ca="1">_xll.INSTRUMENT.Z.SPREAD(AD72,swapCurve,I72,,D72)</f>
        <v>#VALUE!</v>
      </c>
      <c r="M72" s="123" t="e">
        <f ca="1">_xll.INSTRUMENT.Z.SPREAD(AD72,ustCurve,I72,,D72)</f>
        <v>#VALUE!</v>
      </c>
      <c r="N72" s="123" t="e">
        <f ca="1">_xll.INSTRUMENT.Z.SPREAD(AD72,oisCurve,I72,,D72)</f>
        <v>#VALUE!</v>
      </c>
      <c r="O72" s="124" t="e">
        <f ca="1">1/_xll.CALENDRIER.FRAC.ANNEE(_xll.INSTRUMENT.DATE.REGLEMENT($AD72,,),_xll.INSTRUMENT.DATE.REGLEMENT($AD72,_xll.CALENDRIER.GAP.FINANCE(TODAY(),"1M","AUD","Unadjusted"),),"ACT/365")*(_xll.INSTRUMENT.ROLL.DOWN($AD72,swapCurve,_xll.CALENDRIER.GAP.FINANCE(TODAY(),"1M","AUD","Unadjusted",TRUE),$L72)+100*$Z72*_xll.CALENDRIER.FRAC.ANNEE(_xll.INSTRUMENT.DATE.REGLEMENT($AD72,,),_xll.INSTRUMENT.DATE.REGLEMENT($AD72,_xll.CALENDRIER.GAP.FINANCE(TODAY(),"1M","AUD","Unadjusted"),),"ACT/365")-$I72)/$I72</f>
        <v>#NAME?</v>
      </c>
      <c r="P72" s="124" t="e">
        <f ca="1">1/_xll.CALENDRIER.FRAC.ANNEE(_xll.INSTRUMENT.DATE.REGLEMENT($AD72,,),_xll.INSTRUMENT.DATE.REGLEMENT($AD72,_xll.CALENDRIER.GAP.FINANCE(TODAY(),"3M","AUD","Unadjusted"),),"ACT/365")*(_xll.INSTRUMENT.ROLL.DOWN($AD72,swapCurve,_xll.CALENDRIER.GAP.FINANCE(TODAY(),"3M","AUD","Unadjusted",TRUE),$L72)+100*$Z72*_xll.CALENDRIER.FRAC.ANNEE(_xll.INSTRUMENT.DATE.REGLEMENT($AD72,,),_xll.INSTRUMENT.DATE.REGLEMENT($AD72,_xll.CALENDRIER.GAP.FINANCE(TODAY(),"3M","AUD","Unadjusted"),),"ACT/365")-$I72)/$I72</f>
        <v>#NAME?</v>
      </c>
      <c r="Q72" s="143" t="e">
        <f t="shared" ca="1" si="5"/>
        <v>#VALUE!</v>
      </c>
      <c r="R72" s="191" t="str">
        <f>IF(F72&lt;&gt;"","",IF(G72="","",-G72*(SUMIF('raw Data'!$A:$A,"RESINV1USD",'raw Data'!$G:$G)+SUMIF('raw Data'!$A:$A,"RESSWAPORUSD",'raw Data'!$G:$G))/(36500*J72)))</f>
        <v/>
      </c>
      <c r="S72" s="202" t="str">
        <f>IF(G72&lt;&gt;"","",IF(F72="","",-36500*J72*F72/(SUMIF('raw Data'!$A:$A,"RESINV1USD",'raw Data'!$G:$G)+SUMIF('raw Data'!$A:$A,"RESSWAPORUSD",'raw Data'!$G:$G))))</f>
        <v/>
      </c>
      <c r="T72" s="125">
        <f>SUMIF('raw Data'!$E:$E,A72,'raw Data'!$N:$N)</f>
        <v>0</v>
      </c>
      <c r="U72" s="126" t="e">
        <f ca="1">VALUE(_xll.BDP($A72 &amp; " Corp",U$1))</f>
        <v>#NAME?</v>
      </c>
      <c r="V72" s="127" t="e">
        <f ca="1">VALUE(_xll.BDP($A72 &amp; " Corp",V$1))</f>
        <v>#NAME?</v>
      </c>
      <c r="W72" s="127" t="e">
        <f ca="1">VALUE(_xll.BDP($A72 &amp; " Corp",W$1))</f>
        <v>#NAME?</v>
      </c>
      <c r="X72" s="127" t="e">
        <f ca="1">VALUE(_xll.BDP($A72 &amp; " Corp",X$1))</f>
        <v>#NAME?</v>
      </c>
      <c r="Y72" s="127" t="e">
        <f ca="1">VALUE(_xll.BDP($A72 &amp; " Corp",Y$1))</f>
        <v>#NAME?</v>
      </c>
      <c r="Z72" s="128" t="e">
        <f ca="1">_xll.BDP($A72 &amp; " Corp",Z$1)/100</f>
        <v>#NAME?</v>
      </c>
      <c r="AA72" s="129" t="e">
        <f ca="1">_xll.BDP($A72 &amp; " Corp",AA$1)</f>
        <v>#NAME?</v>
      </c>
      <c r="AB72" s="129" t="e">
        <f ca="1">_xll.BDP($A72 &amp; " Corp",AB$1)</f>
        <v>#NAME?</v>
      </c>
      <c r="AC72" s="129" t="e">
        <f ca="1">_xll.BDP($A72 &amp; " Corp",AC$1)</f>
        <v>#NAME?</v>
      </c>
      <c r="AD72" s="130" t="e">
        <f ca="1">_xll.INSTANCE.YANKEE(A72,U72,V72,W72,X72,Y72,Z72,AA72,LEFT(AC72,11),3,IF(RIGHT(AC72,6)="NONEOM",FALSE,TRUE),TODAY())</f>
        <v>#VALUE!</v>
      </c>
      <c r="AE72" s="130" t="e">
        <f ca="1">_xll.INSTANCE.CONVENTION.TAUX("conv_" &amp; A72,LEFT(AC72,11),"Compounded",IF(AA72=1,"Annual",IF(AA72=2,"Semi-Annual","")),"Unadjusted",TODAY())</f>
        <v>#VALUE!</v>
      </c>
    </row>
    <row r="73" spans="1:31" x14ac:dyDescent="0.35">
      <c r="A73" s="131" t="s">
        <v>812</v>
      </c>
      <c r="B73" s="115" t="e">
        <f ca="1">_xll.BDP($A73 &amp; " Govt",B$1)</f>
        <v>#NAME?</v>
      </c>
      <c r="C73" s="201" t="e">
        <f t="shared" ca="1" si="4"/>
        <v>#NAME?</v>
      </c>
      <c r="D73" s="116"/>
      <c r="E73" s="117"/>
      <c r="F73" s="118"/>
      <c r="G73" s="119"/>
      <c r="H73" s="120" t="e">
        <f ca="1">IF(E73="",_xll.BDP(A73 &amp; " Corp","YLD_YTM_BID")/100,E73)</f>
        <v>#NAME?</v>
      </c>
      <c r="I73" s="121" t="e">
        <f ca="1">_xll.INSTRUMENT.PRIX(AD73,D73,H73,AE73)</f>
        <v>#VALUE!</v>
      </c>
      <c r="J73" s="122" t="e">
        <f ca="1">_xll.INSTRUMENT.DV01(AD73,,,I73,cContinuous,I73)</f>
        <v>#VALUE!</v>
      </c>
      <c r="K73" s="123" t="e">
        <f ca="1">_xll.INSTRUMENT.CONVEXITE(AD73,,,I73,cContinuous,I73)</f>
        <v>#VALUE!</v>
      </c>
      <c r="L73" s="123" t="e">
        <f ca="1">_xll.INSTRUMENT.Z.SPREAD(AD73,swapCurve,I73,,D73)</f>
        <v>#VALUE!</v>
      </c>
      <c r="M73" s="123" t="e">
        <f ca="1">_xll.INSTRUMENT.Z.SPREAD(AD73,ustCurve,I73,,D73)</f>
        <v>#VALUE!</v>
      </c>
      <c r="N73" s="123" t="e">
        <f ca="1">_xll.INSTRUMENT.Z.SPREAD(AD73,oisCurve,I73,,D73)</f>
        <v>#VALUE!</v>
      </c>
      <c r="O73" s="124" t="e">
        <f ca="1">1/_xll.CALENDRIER.FRAC.ANNEE(_xll.INSTRUMENT.DATE.REGLEMENT($AD73,,),_xll.INSTRUMENT.DATE.REGLEMENT($AD73,_xll.CALENDRIER.GAP.FINANCE(TODAY(),"1M","AUD","Unadjusted"),),"ACT/365")*(_xll.INSTRUMENT.ROLL.DOWN($AD73,swapCurve,_xll.CALENDRIER.GAP.FINANCE(TODAY(),"1M","AUD","Unadjusted",TRUE),$L73)+100*$Z73*_xll.CALENDRIER.FRAC.ANNEE(_xll.INSTRUMENT.DATE.REGLEMENT($AD73,,),_xll.INSTRUMENT.DATE.REGLEMENT($AD73,_xll.CALENDRIER.GAP.FINANCE(TODAY(),"1M","AUD","Unadjusted"),),"ACT/365")-$I73)/$I73</f>
        <v>#NAME?</v>
      </c>
      <c r="P73" s="124" t="e">
        <f ca="1">1/_xll.CALENDRIER.FRAC.ANNEE(_xll.INSTRUMENT.DATE.REGLEMENT($AD73,,),_xll.INSTRUMENT.DATE.REGLEMENT($AD73,_xll.CALENDRIER.GAP.FINANCE(TODAY(),"3M","AUD","Unadjusted"),),"ACT/365")*(_xll.INSTRUMENT.ROLL.DOWN($AD73,swapCurve,_xll.CALENDRIER.GAP.FINANCE(TODAY(),"3M","AUD","Unadjusted",TRUE),$L73)+100*$Z73*_xll.CALENDRIER.FRAC.ANNEE(_xll.INSTRUMENT.DATE.REGLEMENT($AD73,,),_xll.INSTRUMENT.DATE.REGLEMENT($AD73,_xll.CALENDRIER.GAP.FINANCE(TODAY(),"3M","AUD","Unadjusted"),),"ACT/365")-$I73)/$I73</f>
        <v>#NAME?</v>
      </c>
      <c r="Q73" s="143" t="e">
        <f t="shared" ca="1" si="5"/>
        <v>#VALUE!</v>
      </c>
      <c r="R73" s="191" t="str">
        <f>IF(F73&lt;&gt;"","",IF(G73="","",-G73*(SUMIF('raw Data'!$A:$A,"RESINV1USD",'raw Data'!$G:$G)+SUMIF('raw Data'!$A:$A,"RESSWAPORUSD",'raw Data'!$G:$G))/(36500*J73)))</f>
        <v/>
      </c>
      <c r="S73" s="202" t="str">
        <f>IF(G73&lt;&gt;"","",IF(F73="","",-36500*J73*F73/(SUMIF('raw Data'!$A:$A,"RESINV1USD",'raw Data'!$G:$G)+SUMIF('raw Data'!$A:$A,"RESSWAPORUSD",'raw Data'!$G:$G))))</f>
        <v/>
      </c>
      <c r="T73" s="125">
        <f>SUMIF('raw Data'!$E:$E,A73,'raw Data'!$N:$N)</f>
        <v>0</v>
      </c>
      <c r="U73" s="126" t="e">
        <f ca="1">VALUE(_xll.BDP($A73 &amp; " Corp",U$1))</f>
        <v>#NAME?</v>
      </c>
      <c r="V73" s="127" t="e">
        <f ca="1">VALUE(_xll.BDP($A73 &amp; " Corp",V$1))</f>
        <v>#NAME?</v>
      </c>
      <c r="W73" s="127" t="e">
        <f ca="1">VALUE(_xll.BDP($A73 &amp; " Corp",W$1))</f>
        <v>#NAME?</v>
      </c>
      <c r="X73" s="127" t="e">
        <f ca="1">VALUE(_xll.BDP($A73 &amp; " Corp",X$1))</f>
        <v>#NAME?</v>
      </c>
      <c r="Y73" s="127" t="e">
        <f ca="1">VALUE(_xll.BDP($A73 &amp; " Corp",Y$1))</f>
        <v>#NAME?</v>
      </c>
      <c r="Z73" s="128" t="e">
        <f ca="1">_xll.BDP($A73 &amp; " Corp",Z$1)/100</f>
        <v>#NAME?</v>
      </c>
      <c r="AA73" s="129" t="e">
        <f ca="1">_xll.BDP($A73 &amp; " Corp",AA$1)</f>
        <v>#NAME?</v>
      </c>
      <c r="AB73" s="129" t="e">
        <f ca="1">_xll.BDP($A73 &amp; " Corp",AB$1)</f>
        <v>#NAME?</v>
      </c>
      <c r="AC73" s="129" t="e">
        <f ca="1">_xll.BDP($A73 &amp; " Corp",AC$1)</f>
        <v>#NAME?</v>
      </c>
      <c r="AD73" s="130" t="e">
        <f ca="1">_xll.INSTANCE.YANKEE(A73,U73,V73,W73,X73,Y73,Z73,AA73,LEFT(AC73,11),3,IF(RIGHT(AC73,6)="NONEOM",FALSE,TRUE),TODAY())</f>
        <v>#VALUE!</v>
      </c>
      <c r="AE73" s="130" t="e">
        <f ca="1">_xll.INSTANCE.CONVENTION.TAUX("conv_" &amp; A73,LEFT(AC73,11),"Compounded",IF(AA73=1,"Annual",IF(AA73=2,"Semi-Annual","")),"Unadjusted",TODAY())</f>
        <v>#VALUE!</v>
      </c>
    </row>
    <row r="74" spans="1:31" x14ac:dyDescent="0.35">
      <c r="A74" s="131" t="s">
        <v>835</v>
      </c>
      <c r="B74" s="115" t="e">
        <f ca="1">_xll.BDP($A74 &amp; " Govt",B$1)</f>
        <v>#NAME?</v>
      </c>
      <c r="C74" s="201" t="e">
        <f t="shared" ca="1" si="4"/>
        <v>#NAME?</v>
      </c>
      <c r="D74" s="116"/>
      <c r="E74" s="117"/>
      <c r="F74" s="118"/>
      <c r="G74" s="119"/>
      <c r="H74" s="120" t="e">
        <f ca="1">IF(E74="",_xll.BDP(A74 &amp; " Corp","YLD_YTM_BID")/100,E74)</f>
        <v>#NAME?</v>
      </c>
      <c r="I74" s="121" t="e">
        <f ca="1">_xll.INSTRUMENT.PRIX(AD74,D74,H74,AE74)</f>
        <v>#VALUE!</v>
      </c>
      <c r="J74" s="122" t="e">
        <f ca="1">_xll.INSTRUMENT.DV01(AD74,,,I74,cContinuous,I74)</f>
        <v>#VALUE!</v>
      </c>
      <c r="K74" s="123" t="e">
        <f ca="1">_xll.INSTRUMENT.CONVEXITE(AD74,,,I74,cContinuous,I74)</f>
        <v>#VALUE!</v>
      </c>
      <c r="L74" s="123" t="e">
        <f ca="1">_xll.INSTRUMENT.Z.SPREAD(AD74,swapCurve,I74,,D74)</f>
        <v>#VALUE!</v>
      </c>
      <c r="M74" s="123" t="e">
        <f ca="1">_xll.INSTRUMENT.Z.SPREAD(AD74,ustCurve,I74,,D74)</f>
        <v>#VALUE!</v>
      </c>
      <c r="N74" s="123" t="e">
        <f ca="1">_xll.INSTRUMENT.Z.SPREAD(AD74,oisCurve,I74,,D74)</f>
        <v>#VALUE!</v>
      </c>
      <c r="O74" s="124" t="e">
        <f ca="1">1/_xll.CALENDRIER.FRAC.ANNEE(_xll.INSTRUMENT.DATE.REGLEMENT($AD74,,),_xll.INSTRUMENT.DATE.REGLEMENT($AD74,_xll.CALENDRIER.GAP.FINANCE(TODAY(),"1M","AUD","Unadjusted"),),"ACT/365")*(_xll.INSTRUMENT.ROLL.DOWN($AD74,swapCurve,_xll.CALENDRIER.GAP.FINANCE(TODAY(),"1M","AUD","Unadjusted",TRUE),$L74)+100*$Z74*_xll.CALENDRIER.FRAC.ANNEE(_xll.INSTRUMENT.DATE.REGLEMENT($AD74,,),_xll.INSTRUMENT.DATE.REGLEMENT($AD74,_xll.CALENDRIER.GAP.FINANCE(TODAY(),"1M","AUD","Unadjusted"),),"ACT/365")-$I74)/$I74</f>
        <v>#NAME?</v>
      </c>
      <c r="P74" s="124" t="e">
        <f ca="1">1/_xll.CALENDRIER.FRAC.ANNEE(_xll.INSTRUMENT.DATE.REGLEMENT($AD74,,),_xll.INSTRUMENT.DATE.REGLEMENT($AD74,_xll.CALENDRIER.GAP.FINANCE(TODAY(),"3M","AUD","Unadjusted"),),"ACT/365")*(_xll.INSTRUMENT.ROLL.DOWN($AD74,swapCurve,_xll.CALENDRIER.GAP.FINANCE(TODAY(),"3M","AUD","Unadjusted",TRUE),$L74)+100*$Z74*_xll.CALENDRIER.FRAC.ANNEE(_xll.INSTRUMENT.DATE.REGLEMENT($AD74,,),_xll.INSTRUMENT.DATE.REGLEMENT($AD74,_xll.CALENDRIER.GAP.FINANCE(TODAY(),"3M","AUD","Unadjusted"),),"ACT/365")-$I74)/$I74</f>
        <v>#NAME?</v>
      </c>
      <c r="Q74" s="143" t="e">
        <f t="shared" ca="1" si="5"/>
        <v>#VALUE!</v>
      </c>
      <c r="R74" s="191" t="str">
        <f>IF(F74&lt;&gt;"","",IF(G74="","",-G74*(SUMIF('raw Data'!$A:$A,"RESINV1USD",'raw Data'!$G:$G)+SUMIF('raw Data'!$A:$A,"RESSWAPORUSD",'raw Data'!$G:$G))/(36500*J74)))</f>
        <v/>
      </c>
      <c r="S74" s="202" t="str">
        <f>IF(G74&lt;&gt;"","",IF(F74="","",-36500*J74*F74/(SUMIF('raw Data'!$A:$A,"RESINV1USD",'raw Data'!$G:$G)+SUMIF('raw Data'!$A:$A,"RESSWAPORUSD",'raw Data'!$G:$G))))</f>
        <v/>
      </c>
      <c r="T74" s="125">
        <f>SUMIF('raw Data'!$E:$E,A74,'raw Data'!$N:$N)</f>
        <v>0</v>
      </c>
      <c r="U74" s="126" t="e">
        <f ca="1">VALUE(_xll.BDP($A74 &amp; " Corp",U$1))</f>
        <v>#NAME?</v>
      </c>
      <c r="V74" s="127" t="e">
        <f ca="1">VALUE(_xll.BDP($A74 &amp; " Corp",V$1))</f>
        <v>#NAME?</v>
      </c>
      <c r="W74" s="127" t="e">
        <f ca="1">VALUE(_xll.BDP($A74 &amp; " Corp",W$1))</f>
        <v>#NAME?</v>
      </c>
      <c r="X74" s="127" t="e">
        <f ca="1">VALUE(_xll.BDP($A74 &amp; " Corp",X$1))</f>
        <v>#NAME?</v>
      </c>
      <c r="Y74" s="127" t="e">
        <f ca="1">VALUE(_xll.BDP($A74 &amp; " Corp",Y$1))</f>
        <v>#NAME?</v>
      </c>
      <c r="Z74" s="128" t="e">
        <f ca="1">_xll.BDP($A74 &amp; " Corp",Z$1)/100</f>
        <v>#NAME?</v>
      </c>
      <c r="AA74" s="129" t="e">
        <f ca="1">_xll.BDP($A74 &amp; " Corp",AA$1)</f>
        <v>#NAME?</v>
      </c>
      <c r="AB74" s="129" t="e">
        <f ca="1">_xll.BDP($A74 &amp; " Corp",AB$1)</f>
        <v>#NAME?</v>
      </c>
      <c r="AC74" s="129" t="e">
        <f ca="1">_xll.BDP($A74 &amp; " Corp",AC$1)</f>
        <v>#NAME?</v>
      </c>
      <c r="AD74" s="130" t="e">
        <f ca="1">_xll.INSTANCE.YANKEE(A74,U74,V74,W74,X74,Y74,Z74,AA74,LEFT(AC74,11),3,IF(RIGHT(AC74,6)="NONEOM",FALSE,TRUE),TODAY())</f>
        <v>#VALUE!</v>
      </c>
      <c r="AE74" s="130" t="e">
        <f ca="1">_xll.INSTANCE.CONVENTION.TAUX("conv_" &amp; A74,LEFT(AC74,11),"Compounded",IF(AA74=1,"Annual",IF(AA74=2,"Semi-Annual","")),"Unadjusted",TODAY())</f>
        <v>#VALUE!</v>
      </c>
    </row>
    <row r="75" spans="1:31" x14ac:dyDescent="0.35">
      <c r="A75" s="131" t="s">
        <v>836</v>
      </c>
      <c r="B75" s="115" t="e">
        <f ca="1">_xll.BDP($A75 &amp; " Govt",B$1)</f>
        <v>#NAME?</v>
      </c>
      <c r="C75" s="201" t="e">
        <f t="shared" ca="1" si="4"/>
        <v>#NAME?</v>
      </c>
      <c r="D75" s="116"/>
      <c r="E75" s="117"/>
      <c r="F75" s="118"/>
      <c r="G75" s="119"/>
      <c r="H75" s="120" t="e">
        <f ca="1">IF(E75="",_xll.BDP(A75 &amp; " Corp","YLD_YTM_BID")/100,E75)</f>
        <v>#NAME?</v>
      </c>
      <c r="I75" s="121" t="e">
        <f ca="1">_xll.INSTRUMENT.PRIX(AD75,D75,H75,AE75)</f>
        <v>#VALUE!</v>
      </c>
      <c r="J75" s="122" t="e">
        <f ca="1">_xll.INSTRUMENT.DV01(AD75,,,I75,cContinuous,I75)</f>
        <v>#VALUE!</v>
      </c>
      <c r="K75" s="123" t="e">
        <f ca="1">_xll.INSTRUMENT.CONVEXITE(AD75,,,I75,cContinuous,I75)</f>
        <v>#VALUE!</v>
      </c>
      <c r="L75" s="123" t="e">
        <f ca="1">_xll.INSTRUMENT.Z.SPREAD(AD75,swapCurve,I75,,D75)</f>
        <v>#VALUE!</v>
      </c>
      <c r="M75" s="123" t="e">
        <f ca="1">_xll.INSTRUMENT.Z.SPREAD(AD75,ustCurve,I75,,D75)</f>
        <v>#VALUE!</v>
      </c>
      <c r="N75" s="123" t="e">
        <f ca="1">_xll.INSTRUMENT.Z.SPREAD(AD75,oisCurve,I75,,D75)</f>
        <v>#VALUE!</v>
      </c>
      <c r="O75" s="124" t="e">
        <f ca="1">1/_xll.CALENDRIER.FRAC.ANNEE(_xll.INSTRUMENT.DATE.REGLEMENT($AD75,,),_xll.INSTRUMENT.DATE.REGLEMENT($AD75,_xll.CALENDRIER.GAP.FINANCE(TODAY(),"1M","AUD","Unadjusted"),),"ACT/365")*(_xll.INSTRUMENT.ROLL.DOWN($AD75,swapCurve,_xll.CALENDRIER.GAP.FINANCE(TODAY(),"1M","AUD","Unadjusted",TRUE),$L75)+100*$Z75*_xll.CALENDRIER.FRAC.ANNEE(_xll.INSTRUMENT.DATE.REGLEMENT($AD75,,),_xll.INSTRUMENT.DATE.REGLEMENT($AD75,_xll.CALENDRIER.GAP.FINANCE(TODAY(),"1M","AUD","Unadjusted"),),"ACT/365")-$I75)/$I75</f>
        <v>#NAME?</v>
      </c>
      <c r="P75" s="124" t="e">
        <f ca="1">1/_xll.CALENDRIER.FRAC.ANNEE(_xll.INSTRUMENT.DATE.REGLEMENT($AD75,,),_xll.INSTRUMENT.DATE.REGLEMENT($AD75,_xll.CALENDRIER.GAP.FINANCE(TODAY(),"3M","AUD","Unadjusted"),),"ACT/365")*(_xll.INSTRUMENT.ROLL.DOWN($AD75,swapCurve,_xll.CALENDRIER.GAP.FINANCE(TODAY(),"3M","AUD","Unadjusted",TRUE),$L75)+100*$Z75*_xll.CALENDRIER.FRAC.ANNEE(_xll.INSTRUMENT.DATE.REGLEMENT($AD75,,),_xll.INSTRUMENT.DATE.REGLEMENT($AD75,_xll.CALENDRIER.GAP.FINANCE(TODAY(),"3M","AUD","Unadjusted"),),"ACT/365")-$I75)/$I75</f>
        <v>#NAME?</v>
      </c>
      <c r="Q75" s="143" t="e">
        <f t="shared" ca="1" si="5"/>
        <v>#VALUE!</v>
      </c>
      <c r="R75" s="191" t="str">
        <f>IF(F75&lt;&gt;"","",IF(G75="","",-G75*(SUMIF('raw Data'!$A:$A,"RESINV1USD",'raw Data'!$G:$G)+SUMIF('raw Data'!$A:$A,"RESSWAPORUSD",'raw Data'!$G:$G))/(36500*J75)))</f>
        <v/>
      </c>
      <c r="S75" s="202" t="str">
        <f>IF(G75&lt;&gt;"","",IF(F75="","",-36500*J75*F75/(SUMIF('raw Data'!$A:$A,"RESINV1USD",'raw Data'!$G:$G)+SUMIF('raw Data'!$A:$A,"RESSWAPORUSD",'raw Data'!$G:$G))))</f>
        <v/>
      </c>
      <c r="T75" s="125">
        <f>SUMIF('raw Data'!$E:$E,A75,'raw Data'!$N:$N)</f>
        <v>0</v>
      </c>
      <c r="U75" s="126" t="e">
        <f ca="1">VALUE(_xll.BDP($A75 &amp; " Corp",U$1))</f>
        <v>#NAME?</v>
      </c>
      <c r="V75" s="127" t="e">
        <f ca="1">VALUE(_xll.BDP($A75 &amp; " Corp",V$1))</f>
        <v>#NAME?</v>
      </c>
      <c r="W75" s="127" t="e">
        <f ca="1">VALUE(_xll.BDP($A75 &amp; " Corp",W$1))</f>
        <v>#NAME?</v>
      </c>
      <c r="X75" s="127" t="e">
        <f ca="1">VALUE(_xll.BDP($A75 &amp; " Corp",X$1))</f>
        <v>#NAME?</v>
      </c>
      <c r="Y75" s="127" t="e">
        <f ca="1">VALUE(_xll.BDP($A75 &amp; " Corp",Y$1))</f>
        <v>#NAME?</v>
      </c>
      <c r="Z75" s="128" t="e">
        <f ca="1">_xll.BDP($A75 &amp; " Corp",Z$1)/100</f>
        <v>#NAME?</v>
      </c>
      <c r="AA75" s="129" t="e">
        <f ca="1">_xll.BDP($A75 &amp; " Corp",AA$1)</f>
        <v>#NAME?</v>
      </c>
      <c r="AB75" s="129" t="e">
        <f ca="1">_xll.BDP($A75 &amp; " Corp",AB$1)</f>
        <v>#NAME?</v>
      </c>
      <c r="AC75" s="129" t="e">
        <f ca="1">_xll.BDP($A75 &amp; " Corp",AC$1)</f>
        <v>#NAME?</v>
      </c>
      <c r="AD75" s="130" t="e">
        <f ca="1">_xll.INSTANCE.YANKEE(A75,U75,V75,W75,X75,Y75,Z75,AA75,LEFT(AC75,11),3,IF(RIGHT(AC75,6)="NONEOM",FALSE,TRUE),TODAY())</f>
        <v>#VALUE!</v>
      </c>
      <c r="AE75" s="130" t="e">
        <f ca="1">_xll.INSTANCE.CONVENTION.TAUX("conv_" &amp; A75,LEFT(AC75,11),"Compounded",IF(AA75=1,"Annual",IF(AA75=2,"Semi-Annual","")),"Unadjusted",TODAY())</f>
        <v>#VALUE!</v>
      </c>
    </row>
    <row r="76" spans="1:31" x14ac:dyDescent="0.35">
      <c r="A76" s="131" t="s">
        <v>848</v>
      </c>
      <c r="B76" s="115" t="e">
        <f ca="1">_xll.BDP($A76 &amp; " Govt",B$1)</f>
        <v>#NAME?</v>
      </c>
      <c r="C76" s="201" t="e">
        <f t="shared" ca="1" si="4"/>
        <v>#NAME?</v>
      </c>
      <c r="D76" s="116"/>
      <c r="E76" s="117"/>
      <c r="F76" s="118"/>
      <c r="G76" s="119"/>
      <c r="H76" s="120" t="e">
        <f ca="1">IF(E76="",_xll.BDP(A76 &amp; " Corp","YLD_YTM_BID")/100,E76)</f>
        <v>#NAME?</v>
      </c>
      <c r="I76" s="121" t="e">
        <f ca="1">_xll.INSTRUMENT.PRIX(AD76,D76,H76,AE76)</f>
        <v>#VALUE!</v>
      </c>
      <c r="J76" s="122" t="e">
        <f ca="1">_xll.INSTRUMENT.DV01(AD76,,,I76,cContinuous,I76)</f>
        <v>#VALUE!</v>
      </c>
      <c r="K76" s="123" t="e">
        <f ca="1">_xll.INSTRUMENT.CONVEXITE(AD76,,,I76,cContinuous,I76)</f>
        <v>#VALUE!</v>
      </c>
      <c r="L76" s="123" t="e">
        <f ca="1">_xll.INSTRUMENT.Z.SPREAD(AD76,swapCurve,I76,,D76)</f>
        <v>#VALUE!</v>
      </c>
      <c r="M76" s="123" t="e">
        <f ca="1">_xll.INSTRUMENT.Z.SPREAD(AD76,ustCurve,I76,,D76)</f>
        <v>#VALUE!</v>
      </c>
      <c r="N76" s="123" t="e">
        <f ca="1">_xll.INSTRUMENT.Z.SPREAD(AD76,oisCurve,I76,,D76)</f>
        <v>#VALUE!</v>
      </c>
      <c r="O76" s="124" t="e">
        <f ca="1">1/_xll.CALENDRIER.FRAC.ANNEE(_xll.INSTRUMENT.DATE.REGLEMENT($AD76,,),_xll.INSTRUMENT.DATE.REGLEMENT($AD76,_xll.CALENDRIER.GAP.FINANCE(TODAY(),"1M","AUD","Unadjusted"),),"ACT/365")*(_xll.INSTRUMENT.ROLL.DOWN($AD76,swapCurve,_xll.CALENDRIER.GAP.FINANCE(TODAY(),"1M","AUD","Unadjusted",TRUE),$L76)+100*$Z76*_xll.CALENDRIER.FRAC.ANNEE(_xll.INSTRUMENT.DATE.REGLEMENT($AD76,,),_xll.INSTRUMENT.DATE.REGLEMENT($AD76,_xll.CALENDRIER.GAP.FINANCE(TODAY(),"1M","AUD","Unadjusted"),),"ACT/365")-$I76)/$I76</f>
        <v>#NAME?</v>
      </c>
      <c r="P76" s="124" t="e">
        <f ca="1">1/_xll.CALENDRIER.FRAC.ANNEE(_xll.INSTRUMENT.DATE.REGLEMENT($AD76,,),_xll.INSTRUMENT.DATE.REGLEMENT($AD76,_xll.CALENDRIER.GAP.FINANCE(TODAY(),"3M","AUD","Unadjusted"),),"ACT/365")*(_xll.INSTRUMENT.ROLL.DOWN($AD76,swapCurve,_xll.CALENDRIER.GAP.FINANCE(TODAY(),"3M","AUD","Unadjusted",TRUE),$L76)+100*$Z76*_xll.CALENDRIER.FRAC.ANNEE(_xll.INSTRUMENT.DATE.REGLEMENT($AD76,,),_xll.INSTRUMENT.DATE.REGLEMENT($AD76,_xll.CALENDRIER.GAP.FINANCE(TODAY(),"3M","AUD","Unadjusted"),),"ACT/365")-$I76)/$I76</f>
        <v>#NAME?</v>
      </c>
      <c r="Q76" s="143" t="e">
        <f t="shared" ca="1" si="5"/>
        <v>#VALUE!</v>
      </c>
      <c r="R76" s="191" t="str">
        <f>IF(F76&lt;&gt;"","",IF(G76="","",-G76*(SUMIF('raw Data'!$A:$A,"RESINV1USD",'raw Data'!$G:$G)+SUMIF('raw Data'!$A:$A,"RESSWAPORUSD",'raw Data'!$G:$G))/(36500*J76)))</f>
        <v/>
      </c>
      <c r="S76" s="202" t="str">
        <f>IF(G76&lt;&gt;"","",IF(F76="","",-36500*J76*F76/(SUMIF('raw Data'!$A:$A,"RESINV1USD",'raw Data'!$G:$G)+SUMIF('raw Data'!$A:$A,"RESSWAPORUSD",'raw Data'!$G:$G))))</f>
        <v/>
      </c>
      <c r="T76" s="125">
        <f>SUMIF('raw Data'!$E:$E,A76,'raw Data'!$N:$N)</f>
        <v>0</v>
      </c>
      <c r="U76" s="126" t="e">
        <f ca="1">VALUE(_xll.BDP($A76 &amp; " Corp",U$1))</f>
        <v>#NAME?</v>
      </c>
      <c r="V76" s="127" t="e">
        <f ca="1">VALUE(_xll.BDP($A76 &amp; " Corp",V$1))</f>
        <v>#NAME?</v>
      </c>
      <c r="W76" s="127" t="e">
        <f ca="1">VALUE(_xll.BDP($A76 &amp; " Corp",W$1))</f>
        <v>#NAME?</v>
      </c>
      <c r="X76" s="127" t="e">
        <f ca="1">VALUE(_xll.BDP($A76 &amp; " Corp",X$1))</f>
        <v>#NAME?</v>
      </c>
      <c r="Y76" s="127" t="e">
        <f ca="1">VALUE(_xll.BDP($A76 &amp; " Corp",Y$1))</f>
        <v>#NAME?</v>
      </c>
      <c r="Z76" s="128" t="e">
        <f ca="1">_xll.BDP($A76 &amp; " Corp",Z$1)/100</f>
        <v>#NAME?</v>
      </c>
      <c r="AA76" s="129" t="e">
        <f ca="1">_xll.BDP($A76 &amp; " Corp",AA$1)</f>
        <v>#NAME?</v>
      </c>
      <c r="AB76" s="129" t="e">
        <f ca="1">_xll.BDP($A76 &amp; " Corp",AB$1)</f>
        <v>#NAME?</v>
      </c>
      <c r="AC76" s="129" t="e">
        <f ca="1">_xll.BDP($A76 &amp; " Corp",AC$1)</f>
        <v>#NAME?</v>
      </c>
      <c r="AD76" s="130" t="e">
        <f ca="1">_xll.INSTANCE.YANKEE(A76,U76,V76,W76,X76,Y76,Z76,AA76,LEFT(AC76,11),3,IF(RIGHT(AC76,6)="NONEOM",FALSE,TRUE),TODAY())</f>
        <v>#VALUE!</v>
      </c>
      <c r="AE76" s="130" t="e">
        <f ca="1">_xll.INSTANCE.CONVENTION.TAUX("conv_" &amp; A76,LEFT(AC76,11),"Compounded",IF(AA76=1,"Annual",IF(AA76=2,"Semi-Annual","")),"Unadjusted",TODAY())</f>
        <v>#VALUE!</v>
      </c>
    </row>
    <row r="77" spans="1:31" x14ac:dyDescent="0.35">
      <c r="A77" s="131" t="s">
        <v>819</v>
      </c>
      <c r="B77" s="115" t="e">
        <f ca="1">_xll.BDP($A77 &amp; " Govt",B$1)</f>
        <v>#NAME?</v>
      </c>
      <c r="C77" s="201" t="e">
        <f t="shared" ca="1" si="4"/>
        <v>#NAME?</v>
      </c>
      <c r="D77" s="116"/>
      <c r="E77" s="117"/>
      <c r="F77" s="118"/>
      <c r="G77" s="119"/>
      <c r="H77" s="120" t="e">
        <f ca="1">IF(E77="",_xll.BDP(A77 &amp; " Corp","YLD_YTM_BID")/100,E77)</f>
        <v>#NAME?</v>
      </c>
      <c r="I77" s="121" t="e">
        <f ca="1">_xll.INSTRUMENT.PRIX(AD77,D77,H77,AE77)</f>
        <v>#VALUE!</v>
      </c>
      <c r="J77" s="122" t="e">
        <f ca="1">_xll.INSTRUMENT.DV01(AD77,,,I77,cContinuous,I77)</f>
        <v>#VALUE!</v>
      </c>
      <c r="K77" s="123" t="e">
        <f ca="1">_xll.INSTRUMENT.CONVEXITE(AD77,,,I77,cContinuous,I77)</f>
        <v>#VALUE!</v>
      </c>
      <c r="L77" s="123" t="e">
        <f ca="1">_xll.INSTRUMENT.Z.SPREAD(AD77,swapCurve,I77,,D77)</f>
        <v>#VALUE!</v>
      </c>
      <c r="M77" s="123" t="e">
        <f ca="1">_xll.INSTRUMENT.Z.SPREAD(AD77,ustCurve,I77,,D77)</f>
        <v>#VALUE!</v>
      </c>
      <c r="N77" s="123" t="e">
        <f ca="1">_xll.INSTRUMENT.Z.SPREAD(AD77,oisCurve,I77,,D77)</f>
        <v>#VALUE!</v>
      </c>
      <c r="O77" s="124" t="e">
        <f ca="1">1/_xll.CALENDRIER.FRAC.ANNEE(_xll.INSTRUMENT.DATE.REGLEMENT($AD77,,),_xll.INSTRUMENT.DATE.REGLEMENT($AD77,_xll.CALENDRIER.GAP.FINANCE(TODAY(),"1M","AUD","Unadjusted"),),"ACT/365")*(_xll.INSTRUMENT.ROLL.DOWN($AD77,swapCurve,_xll.CALENDRIER.GAP.FINANCE(TODAY(),"1M","AUD","Unadjusted",TRUE),$L77)+100*$Z77*_xll.CALENDRIER.FRAC.ANNEE(_xll.INSTRUMENT.DATE.REGLEMENT($AD77,,),_xll.INSTRUMENT.DATE.REGLEMENT($AD77,_xll.CALENDRIER.GAP.FINANCE(TODAY(),"1M","AUD","Unadjusted"),),"ACT/365")-$I77)/$I77</f>
        <v>#NAME?</v>
      </c>
      <c r="P77" s="124" t="e">
        <f ca="1">1/_xll.CALENDRIER.FRAC.ANNEE(_xll.INSTRUMENT.DATE.REGLEMENT($AD77,,),_xll.INSTRUMENT.DATE.REGLEMENT($AD77,_xll.CALENDRIER.GAP.FINANCE(TODAY(),"3M","AUD","Unadjusted"),),"ACT/365")*(_xll.INSTRUMENT.ROLL.DOWN($AD77,swapCurve,_xll.CALENDRIER.GAP.FINANCE(TODAY(),"3M","AUD","Unadjusted",TRUE),$L77)+100*$Z77*_xll.CALENDRIER.FRAC.ANNEE(_xll.INSTRUMENT.DATE.REGLEMENT($AD77,,),_xll.INSTRUMENT.DATE.REGLEMENT($AD77,_xll.CALENDRIER.GAP.FINANCE(TODAY(),"3M","AUD","Unadjusted"),),"ACT/365")-$I77)/$I77</f>
        <v>#NAME?</v>
      </c>
      <c r="Q77" s="143" t="e">
        <f t="shared" ca="1" si="5"/>
        <v>#VALUE!</v>
      </c>
      <c r="R77" s="191" t="str">
        <f>IF(F77&lt;&gt;"","",IF(G77="","",-G77*(SUMIF('raw Data'!$A:$A,"RESINV1USD",'raw Data'!$G:$G)+SUMIF('raw Data'!$A:$A,"RESSWAPORUSD",'raw Data'!$G:$G))/(36500*J77)))</f>
        <v/>
      </c>
      <c r="S77" s="202" t="str">
        <f>IF(G77&lt;&gt;"","",IF(F77="","",-36500*J77*F77/(SUMIF('raw Data'!$A:$A,"RESINV1USD",'raw Data'!$G:$G)+SUMIF('raw Data'!$A:$A,"RESSWAPORUSD",'raw Data'!$G:$G))))</f>
        <v/>
      </c>
      <c r="T77" s="125">
        <f>SUMIF('raw Data'!$E:$E,A77,'raw Data'!$N:$N)</f>
        <v>0</v>
      </c>
      <c r="U77" s="126" t="e">
        <f ca="1">VALUE(_xll.BDP($A77 &amp; " Corp",U$1))</f>
        <v>#NAME?</v>
      </c>
      <c r="V77" s="127" t="e">
        <f ca="1">VALUE(_xll.BDP($A77 &amp; " Corp",V$1))</f>
        <v>#NAME?</v>
      </c>
      <c r="W77" s="127" t="e">
        <f ca="1">VALUE(_xll.BDP($A77 &amp; " Corp",W$1))</f>
        <v>#NAME?</v>
      </c>
      <c r="X77" s="127" t="e">
        <f ca="1">VALUE(_xll.BDP($A77 &amp; " Corp",X$1))</f>
        <v>#NAME?</v>
      </c>
      <c r="Y77" s="127" t="e">
        <f ca="1">VALUE(_xll.BDP($A77 &amp; " Corp",Y$1))</f>
        <v>#NAME?</v>
      </c>
      <c r="Z77" s="128" t="e">
        <f ca="1">_xll.BDP($A77 &amp; " Corp",Z$1)/100</f>
        <v>#NAME?</v>
      </c>
      <c r="AA77" s="129" t="e">
        <f ca="1">_xll.BDP($A77 &amp; " Corp",AA$1)</f>
        <v>#NAME?</v>
      </c>
      <c r="AB77" s="129" t="e">
        <f ca="1">_xll.BDP($A77 &amp; " Corp",AB$1)</f>
        <v>#NAME?</v>
      </c>
      <c r="AC77" s="129" t="e">
        <f ca="1">_xll.BDP($A77 &amp; " Corp",AC$1)</f>
        <v>#NAME?</v>
      </c>
      <c r="AD77" s="130" t="e">
        <f ca="1">_xll.INSTANCE.YANKEE(A77,U77,V77,W77,X77,Y77,Z77,AA77,LEFT(AC77,11),3,IF(RIGHT(AC77,6)="NONEOM",FALSE,TRUE),TODAY())</f>
        <v>#VALUE!</v>
      </c>
      <c r="AE77" s="130" t="e">
        <f ca="1">_xll.INSTANCE.CONVENTION.TAUX("conv_" &amp; A77,LEFT(AC77,11),"Compounded",IF(AA77=1,"Annual",IF(AA77=2,"Semi-Annual","")),"Unadjusted",TODAY())</f>
        <v>#VALUE!</v>
      </c>
    </row>
    <row r="78" spans="1:31" x14ac:dyDescent="0.35">
      <c r="A78" s="131" t="s">
        <v>853</v>
      </c>
      <c r="B78" s="115" t="e">
        <f ca="1">_xll.BDP($A78 &amp; " Govt",B$1)</f>
        <v>#NAME?</v>
      </c>
      <c r="C78" s="201" t="e">
        <f t="shared" ca="1" si="4"/>
        <v>#NAME?</v>
      </c>
      <c r="D78" s="116"/>
      <c r="E78" s="117"/>
      <c r="F78" s="118"/>
      <c r="G78" s="119"/>
      <c r="H78" s="120" t="e">
        <f ca="1">IF(E78="",_xll.BDP(A78 &amp; " Corp","YLD_YTM_BID")/100,E78)</f>
        <v>#NAME?</v>
      </c>
      <c r="I78" s="121" t="e">
        <f ca="1">_xll.INSTRUMENT.PRIX(AD78,D78,H78,AE78)</f>
        <v>#VALUE!</v>
      </c>
      <c r="J78" s="122" t="e">
        <f ca="1">_xll.INSTRUMENT.DV01(AD78,,,I78,cContinuous,I78)</f>
        <v>#VALUE!</v>
      </c>
      <c r="K78" s="123" t="e">
        <f ca="1">_xll.INSTRUMENT.CONVEXITE(AD78,,,I78,cContinuous,I78)</f>
        <v>#VALUE!</v>
      </c>
      <c r="L78" s="123" t="e">
        <f ca="1">_xll.INSTRUMENT.Z.SPREAD(AD78,swapCurve,I78,,D78)</f>
        <v>#VALUE!</v>
      </c>
      <c r="M78" s="123" t="e">
        <f ca="1">_xll.INSTRUMENT.Z.SPREAD(AD78,ustCurve,I78,,D78)</f>
        <v>#VALUE!</v>
      </c>
      <c r="N78" s="123" t="e">
        <f ca="1">_xll.INSTRUMENT.Z.SPREAD(AD78,oisCurve,I78,,D78)</f>
        <v>#VALUE!</v>
      </c>
      <c r="O78" s="124" t="e">
        <f ca="1">1/_xll.CALENDRIER.FRAC.ANNEE(_xll.INSTRUMENT.DATE.REGLEMENT($AD78,,),_xll.INSTRUMENT.DATE.REGLEMENT($AD78,_xll.CALENDRIER.GAP.FINANCE(TODAY(),"1M","AUD","Unadjusted"),),"ACT/365")*(_xll.INSTRUMENT.ROLL.DOWN($AD78,swapCurve,_xll.CALENDRIER.GAP.FINANCE(TODAY(),"1M","AUD","Unadjusted",TRUE),$L78)+100*$Z78*_xll.CALENDRIER.FRAC.ANNEE(_xll.INSTRUMENT.DATE.REGLEMENT($AD78,,),_xll.INSTRUMENT.DATE.REGLEMENT($AD78,_xll.CALENDRIER.GAP.FINANCE(TODAY(),"1M","AUD","Unadjusted"),),"ACT/365")-$I78)/$I78</f>
        <v>#NAME?</v>
      </c>
      <c r="P78" s="124" t="e">
        <f ca="1">1/_xll.CALENDRIER.FRAC.ANNEE(_xll.INSTRUMENT.DATE.REGLEMENT($AD78,,),_xll.INSTRUMENT.DATE.REGLEMENT($AD78,_xll.CALENDRIER.GAP.FINANCE(TODAY(),"3M","AUD","Unadjusted"),),"ACT/365")*(_xll.INSTRUMENT.ROLL.DOWN($AD78,swapCurve,_xll.CALENDRIER.GAP.FINANCE(TODAY(),"3M","AUD","Unadjusted",TRUE),$L78)+100*$Z78*_xll.CALENDRIER.FRAC.ANNEE(_xll.INSTRUMENT.DATE.REGLEMENT($AD78,,),_xll.INSTRUMENT.DATE.REGLEMENT($AD78,_xll.CALENDRIER.GAP.FINANCE(TODAY(),"3M","AUD","Unadjusted"),),"ACT/365")-$I78)/$I78</f>
        <v>#NAME?</v>
      </c>
      <c r="Q78" s="143" t="e">
        <f t="shared" ca="1" si="5"/>
        <v>#VALUE!</v>
      </c>
      <c r="R78" s="191" t="str">
        <f>IF(F78&lt;&gt;"","",IF(G78="","",-G78*(SUMIF('raw Data'!$A:$A,"RESINV1USD",'raw Data'!$G:$G)+SUMIF('raw Data'!$A:$A,"RESSWAPORUSD",'raw Data'!$G:$G))/(36500*J78)))</f>
        <v/>
      </c>
      <c r="S78" s="202" t="str">
        <f>IF(G78&lt;&gt;"","",IF(F78="","",-36500*J78*F78/(SUMIF('raw Data'!$A:$A,"RESINV1USD",'raw Data'!$G:$G)+SUMIF('raw Data'!$A:$A,"RESSWAPORUSD",'raw Data'!$G:$G))))</f>
        <v/>
      </c>
      <c r="T78" s="125">
        <f>SUMIF('raw Data'!$E:$E,A78,'raw Data'!$N:$N)</f>
        <v>0</v>
      </c>
      <c r="U78" s="126" t="e">
        <f ca="1">VALUE(_xll.BDP($A78 &amp; " Corp",U$1))</f>
        <v>#NAME?</v>
      </c>
      <c r="V78" s="127" t="e">
        <f ca="1">VALUE(_xll.BDP($A78 &amp; " Corp",V$1))</f>
        <v>#NAME?</v>
      </c>
      <c r="W78" s="127" t="e">
        <f ca="1">VALUE(_xll.BDP($A78 &amp; " Corp",W$1))</f>
        <v>#NAME?</v>
      </c>
      <c r="X78" s="127" t="e">
        <f ca="1">VALUE(_xll.BDP($A78 &amp; " Corp",X$1))</f>
        <v>#NAME?</v>
      </c>
      <c r="Y78" s="127" t="e">
        <f ca="1">VALUE(_xll.BDP($A78 &amp; " Corp",Y$1))</f>
        <v>#NAME?</v>
      </c>
      <c r="Z78" s="128" t="e">
        <f ca="1">_xll.BDP($A78 &amp; " Corp",Z$1)/100</f>
        <v>#NAME?</v>
      </c>
      <c r="AA78" s="129" t="e">
        <f ca="1">_xll.BDP($A78 &amp; " Corp",AA$1)</f>
        <v>#NAME?</v>
      </c>
      <c r="AB78" s="129" t="e">
        <f ca="1">_xll.BDP($A78 &amp; " Corp",AB$1)</f>
        <v>#NAME?</v>
      </c>
      <c r="AC78" s="129" t="e">
        <f ca="1">_xll.BDP($A78 &amp; " Corp",AC$1)</f>
        <v>#NAME?</v>
      </c>
      <c r="AD78" s="130" t="e">
        <f ca="1">_xll.INSTANCE.YANKEE(A78,U78,V78,W78,X78,Y78,Z78,AA78,LEFT(AC78,11),3,IF(RIGHT(AC78,6)="NONEOM",FALSE,TRUE),TODAY())</f>
        <v>#VALUE!</v>
      </c>
      <c r="AE78" s="130" t="e">
        <f ca="1">_xll.INSTANCE.CONVENTION.TAUX("conv_" &amp; A78,LEFT(AC78,11),"Compounded",IF(AA78=1,"Annual",IF(AA78=2,"Semi-Annual","")),"Unadjusted",TODAY())</f>
        <v>#VALUE!</v>
      </c>
    </row>
    <row r="79" spans="1:31" x14ac:dyDescent="0.35">
      <c r="A79" s="131" t="s">
        <v>817</v>
      </c>
      <c r="B79" s="115" t="e">
        <f ca="1">_xll.BDP($A79 &amp; " Govt",B$1)</f>
        <v>#NAME?</v>
      </c>
      <c r="C79" s="201" t="e">
        <f t="shared" ca="1" si="4"/>
        <v>#NAME?</v>
      </c>
      <c r="D79" s="116"/>
      <c r="E79" s="117"/>
      <c r="F79" s="118"/>
      <c r="G79" s="119"/>
      <c r="H79" s="120" t="e">
        <f ca="1">IF(E79="",_xll.BDP(A79 &amp; " Corp","YLD_YTM_BID")/100,E79)</f>
        <v>#NAME?</v>
      </c>
      <c r="I79" s="121" t="e">
        <f ca="1">_xll.INSTRUMENT.PRIX(AD79,D79,H79,AE79)</f>
        <v>#VALUE!</v>
      </c>
      <c r="J79" s="122" t="e">
        <f ca="1">_xll.INSTRUMENT.DV01(AD79,,,I79,cContinuous,I79)</f>
        <v>#VALUE!</v>
      </c>
      <c r="K79" s="123" t="e">
        <f ca="1">_xll.INSTRUMENT.CONVEXITE(AD79,,,I79,cContinuous,I79)</f>
        <v>#VALUE!</v>
      </c>
      <c r="L79" s="123" t="e">
        <f ca="1">_xll.INSTRUMENT.Z.SPREAD(AD79,swapCurve,I79,,D79)</f>
        <v>#VALUE!</v>
      </c>
      <c r="M79" s="123" t="e">
        <f ca="1">_xll.INSTRUMENT.Z.SPREAD(AD79,ustCurve,I79,,D79)</f>
        <v>#VALUE!</v>
      </c>
      <c r="N79" s="123" t="e">
        <f ca="1">_xll.INSTRUMENT.Z.SPREAD(AD79,oisCurve,I79,,D79)</f>
        <v>#VALUE!</v>
      </c>
      <c r="O79" s="124" t="e">
        <f ca="1">1/_xll.CALENDRIER.FRAC.ANNEE(_xll.INSTRUMENT.DATE.REGLEMENT($AD79,,),_xll.INSTRUMENT.DATE.REGLEMENT($AD79,_xll.CALENDRIER.GAP.FINANCE(TODAY(),"1M","AUD","Unadjusted"),),"ACT/365")*(_xll.INSTRUMENT.ROLL.DOWN($AD79,swapCurve,_xll.CALENDRIER.GAP.FINANCE(TODAY(),"1M","AUD","Unadjusted",TRUE),$L79)+100*$Z79*_xll.CALENDRIER.FRAC.ANNEE(_xll.INSTRUMENT.DATE.REGLEMENT($AD79,,),_xll.INSTRUMENT.DATE.REGLEMENT($AD79,_xll.CALENDRIER.GAP.FINANCE(TODAY(),"1M","AUD","Unadjusted"),),"ACT/365")-$I79)/$I79</f>
        <v>#NAME?</v>
      </c>
      <c r="P79" s="124" t="e">
        <f ca="1">1/_xll.CALENDRIER.FRAC.ANNEE(_xll.INSTRUMENT.DATE.REGLEMENT($AD79,,),_xll.INSTRUMENT.DATE.REGLEMENT($AD79,_xll.CALENDRIER.GAP.FINANCE(TODAY(),"3M","AUD","Unadjusted"),),"ACT/365")*(_xll.INSTRUMENT.ROLL.DOWN($AD79,swapCurve,_xll.CALENDRIER.GAP.FINANCE(TODAY(),"3M","AUD","Unadjusted",TRUE),$L79)+100*$Z79*_xll.CALENDRIER.FRAC.ANNEE(_xll.INSTRUMENT.DATE.REGLEMENT($AD79,,),_xll.INSTRUMENT.DATE.REGLEMENT($AD79,_xll.CALENDRIER.GAP.FINANCE(TODAY(),"3M","AUD","Unadjusted"),),"ACT/365")-$I79)/$I79</f>
        <v>#NAME?</v>
      </c>
      <c r="Q79" s="143" t="e">
        <f t="shared" ca="1" si="5"/>
        <v>#VALUE!</v>
      </c>
      <c r="R79" s="191" t="str">
        <f>IF(F79&lt;&gt;"","",IF(G79="","",-G79*(SUMIF('raw Data'!$A:$A,"RESINV1USD",'raw Data'!$G:$G)+SUMIF('raw Data'!$A:$A,"RESSWAPORUSD",'raw Data'!$G:$G))/(36500*J79)))</f>
        <v/>
      </c>
      <c r="S79" s="202" t="str">
        <f>IF(G79&lt;&gt;"","",IF(F79="","",-36500*J79*F79/(SUMIF('raw Data'!$A:$A,"RESINV1USD",'raw Data'!$G:$G)+SUMIF('raw Data'!$A:$A,"RESSWAPORUSD",'raw Data'!$G:$G))))</f>
        <v/>
      </c>
      <c r="T79" s="125">
        <f>SUMIF('raw Data'!$E:$E,A79,'raw Data'!$N:$N)</f>
        <v>0</v>
      </c>
      <c r="U79" s="126" t="e">
        <f ca="1">VALUE(_xll.BDP($A79 &amp; " Corp",U$1))</f>
        <v>#NAME?</v>
      </c>
      <c r="V79" s="127" t="e">
        <f ca="1">VALUE(_xll.BDP($A79 &amp; " Corp",V$1))</f>
        <v>#NAME?</v>
      </c>
      <c r="W79" s="127" t="e">
        <f ca="1">VALUE(_xll.BDP($A79 &amp; " Corp",W$1))</f>
        <v>#NAME?</v>
      </c>
      <c r="X79" s="127" t="e">
        <f ca="1">VALUE(_xll.BDP($A79 &amp; " Corp",X$1))</f>
        <v>#NAME?</v>
      </c>
      <c r="Y79" s="127" t="e">
        <f ca="1">VALUE(_xll.BDP($A79 &amp; " Corp",Y$1))</f>
        <v>#NAME?</v>
      </c>
      <c r="Z79" s="128" t="e">
        <f ca="1">_xll.BDP($A79 &amp; " Corp",Z$1)/100</f>
        <v>#NAME?</v>
      </c>
      <c r="AA79" s="129" t="e">
        <f ca="1">_xll.BDP($A79 &amp; " Corp",AA$1)</f>
        <v>#NAME?</v>
      </c>
      <c r="AB79" s="129" t="e">
        <f ca="1">_xll.BDP($A79 &amp; " Corp",AB$1)</f>
        <v>#NAME?</v>
      </c>
      <c r="AC79" s="129" t="e">
        <f ca="1">_xll.BDP($A79 &amp; " Corp",AC$1)</f>
        <v>#NAME?</v>
      </c>
      <c r="AD79" s="130" t="e">
        <f ca="1">_xll.INSTANCE.YANKEE(A79,U79,V79,W79,X79,Y79,Z79,AA79,LEFT(AC79,11),3,IF(RIGHT(AC79,6)="NONEOM",FALSE,TRUE),TODAY())</f>
        <v>#VALUE!</v>
      </c>
      <c r="AE79" s="130" t="e">
        <f ca="1">_xll.INSTANCE.CONVENTION.TAUX("conv_" &amp; A79,LEFT(AC79,11),"Compounded",IF(AA79=1,"Annual",IF(AA79=2,"Semi-Annual","")),"Unadjusted",TODAY())</f>
        <v>#VALUE!</v>
      </c>
    </row>
    <row r="80" spans="1:31" x14ac:dyDescent="0.35">
      <c r="A80" s="131" t="s">
        <v>821</v>
      </c>
      <c r="B80" s="115" t="e">
        <f ca="1">_xll.BDP($A80 &amp; " Govt",B$1)</f>
        <v>#NAME?</v>
      </c>
      <c r="C80" s="201" t="e">
        <f t="shared" ca="1" si="4"/>
        <v>#NAME?</v>
      </c>
      <c r="D80" s="116"/>
      <c r="E80" s="117"/>
      <c r="F80" s="118"/>
      <c r="G80" s="119"/>
      <c r="H80" s="120" t="e">
        <f ca="1">IF(E80="",_xll.BDP(A80 &amp; " Corp","YLD_YTM_BID")/100,E80)</f>
        <v>#NAME?</v>
      </c>
      <c r="I80" s="121" t="e">
        <f ca="1">_xll.INSTRUMENT.PRIX(AD80,D80,H80,AE80)</f>
        <v>#VALUE!</v>
      </c>
      <c r="J80" s="122" t="e">
        <f ca="1">_xll.INSTRUMENT.DV01(AD80,,,I80,cContinuous,I80)</f>
        <v>#VALUE!</v>
      </c>
      <c r="K80" s="123" t="e">
        <f ca="1">_xll.INSTRUMENT.CONVEXITE(AD80,,,I80,cContinuous,I80)</f>
        <v>#VALUE!</v>
      </c>
      <c r="L80" s="123" t="e">
        <f ca="1">_xll.INSTRUMENT.Z.SPREAD(AD80,swapCurve,I80,,D80)</f>
        <v>#VALUE!</v>
      </c>
      <c r="M80" s="123" t="e">
        <f ca="1">_xll.INSTRUMENT.Z.SPREAD(AD80,ustCurve,I80,,D80)</f>
        <v>#VALUE!</v>
      </c>
      <c r="N80" s="123" t="e">
        <f ca="1">_xll.INSTRUMENT.Z.SPREAD(AD80,oisCurve,I80,,D80)</f>
        <v>#VALUE!</v>
      </c>
      <c r="O80" s="124" t="e">
        <f ca="1">1/_xll.CALENDRIER.FRAC.ANNEE(_xll.INSTRUMENT.DATE.REGLEMENT($AD80,,),_xll.INSTRUMENT.DATE.REGLEMENT($AD80,_xll.CALENDRIER.GAP.FINANCE(TODAY(),"1M","AUD","Unadjusted"),),"ACT/365")*(_xll.INSTRUMENT.ROLL.DOWN($AD80,swapCurve,_xll.CALENDRIER.GAP.FINANCE(TODAY(),"1M","AUD","Unadjusted",TRUE),$L80)+100*$Z80*_xll.CALENDRIER.FRAC.ANNEE(_xll.INSTRUMENT.DATE.REGLEMENT($AD80,,),_xll.INSTRUMENT.DATE.REGLEMENT($AD80,_xll.CALENDRIER.GAP.FINANCE(TODAY(),"1M","AUD","Unadjusted"),),"ACT/365")-$I80)/$I80</f>
        <v>#NAME?</v>
      </c>
      <c r="P80" s="124" t="e">
        <f ca="1">1/_xll.CALENDRIER.FRAC.ANNEE(_xll.INSTRUMENT.DATE.REGLEMENT($AD80,,),_xll.INSTRUMENT.DATE.REGLEMENT($AD80,_xll.CALENDRIER.GAP.FINANCE(TODAY(),"3M","AUD","Unadjusted"),),"ACT/365")*(_xll.INSTRUMENT.ROLL.DOWN($AD80,swapCurve,_xll.CALENDRIER.GAP.FINANCE(TODAY(),"3M","AUD","Unadjusted",TRUE),$L80)+100*$Z80*_xll.CALENDRIER.FRAC.ANNEE(_xll.INSTRUMENT.DATE.REGLEMENT($AD80,,),_xll.INSTRUMENT.DATE.REGLEMENT($AD80,_xll.CALENDRIER.GAP.FINANCE(TODAY(),"3M","AUD","Unadjusted"),),"ACT/365")-$I80)/$I80</f>
        <v>#NAME?</v>
      </c>
      <c r="Q80" s="143" t="e">
        <f t="shared" ca="1" si="5"/>
        <v>#VALUE!</v>
      </c>
      <c r="R80" s="191" t="str">
        <f>IF(F80&lt;&gt;"","",IF(G80="","",-G80*(SUMIF('raw Data'!$A:$A,"RESINV1USD",'raw Data'!$G:$G)+SUMIF('raw Data'!$A:$A,"RESSWAPORUSD",'raw Data'!$G:$G))/(36500*J80)))</f>
        <v/>
      </c>
      <c r="S80" s="202" t="str">
        <f>IF(G80&lt;&gt;"","",IF(F80="","",-36500*J80*F80/(SUMIF('raw Data'!$A:$A,"RESINV1USD",'raw Data'!$G:$G)+SUMIF('raw Data'!$A:$A,"RESSWAPORUSD",'raw Data'!$G:$G))))</f>
        <v/>
      </c>
      <c r="T80" s="125">
        <f>SUMIF('raw Data'!$E:$E,A80,'raw Data'!$N:$N)</f>
        <v>0</v>
      </c>
      <c r="U80" s="126" t="e">
        <f ca="1">VALUE(_xll.BDP($A80 &amp; " Corp",U$1))</f>
        <v>#NAME?</v>
      </c>
      <c r="V80" s="127" t="e">
        <f ca="1">VALUE(_xll.BDP($A80 &amp; " Corp",V$1))</f>
        <v>#NAME?</v>
      </c>
      <c r="W80" s="127" t="e">
        <f ca="1">VALUE(_xll.BDP($A80 &amp; " Corp",W$1))</f>
        <v>#NAME?</v>
      </c>
      <c r="X80" s="127" t="e">
        <f ca="1">VALUE(_xll.BDP($A80 &amp; " Corp",X$1))</f>
        <v>#NAME?</v>
      </c>
      <c r="Y80" s="127" t="e">
        <f ca="1">VALUE(_xll.BDP($A80 &amp; " Corp",Y$1))</f>
        <v>#NAME?</v>
      </c>
      <c r="Z80" s="128" t="e">
        <f ca="1">_xll.BDP($A80 &amp; " Corp",Z$1)/100</f>
        <v>#NAME?</v>
      </c>
      <c r="AA80" s="129" t="e">
        <f ca="1">_xll.BDP($A80 &amp; " Corp",AA$1)</f>
        <v>#NAME?</v>
      </c>
      <c r="AB80" s="129" t="e">
        <f ca="1">_xll.BDP($A80 &amp; " Corp",AB$1)</f>
        <v>#NAME?</v>
      </c>
      <c r="AC80" s="129" t="e">
        <f ca="1">_xll.BDP($A80 &amp; " Corp",AC$1)</f>
        <v>#NAME?</v>
      </c>
      <c r="AD80" s="130" t="e">
        <f ca="1">_xll.INSTANCE.YANKEE(A80,U80,V80,W80,X80,Y80,Z80,AA80,LEFT(AC80,11),3,IF(RIGHT(AC80,6)="NONEOM",FALSE,TRUE),TODAY())</f>
        <v>#VALUE!</v>
      </c>
      <c r="AE80" s="130" t="e">
        <f ca="1">_xll.INSTANCE.CONVENTION.TAUX("conv_" &amp; A80,LEFT(AC80,11),"Compounded",IF(AA80=1,"Annual",IF(AA80=2,"Semi-Annual","")),"Unadjusted",TODAY())</f>
        <v>#VALUE!</v>
      </c>
    </row>
    <row r="81" spans="1:31" x14ac:dyDescent="0.35">
      <c r="A81" s="131" t="s">
        <v>823</v>
      </c>
      <c r="B81" s="115" t="e">
        <f ca="1">_xll.BDP($A81 &amp; " Govt",B$1)</f>
        <v>#NAME?</v>
      </c>
      <c r="C81" s="201" t="e">
        <f t="shared" ca="1" si="4"/>
        <v>#NAME?</v>
      </c>
      <c r="D81" s="116"/>
      <c r="E81" s="117"/>
      <c r="F81" s="118"/>
      <c r="G81" s="119"/>
      <c r="H81" s="120" t="e">
        <f ca="1">IF(E81="",_xll.BDP(A81 &amp; " Corp","YLD_YTM_BID")/100,E81)</f>
        <v>#NAME?</v>
      </c>
      <c r="I81" s="121" t="e">
        <f ca="1">_xll.INSTRUMENT.PRIX(AD81,D81,H81,AE81)</f>
        <v>#VALUE!</v>
      </c>
      <c r="J81" s="122" t="e">
        <f ca="1">_xll.INSTRUMENT.DV01(AD81,,,I81,cContinuous,I81)</f>
        <v>#VALUE!</v>
      </c>
      <c r="K81" s="123" t="e">
        <f ca="1">_xll.INSTRUMENT.CONVEXITE(AD81,,,I81,cContinuous,I81)</f>
        <v>#VALUE!</v>
      </c>
      <c r="L81" s="123" t="e">
        <f ca="1">_xll.INSTRUMENT.Z.SPREAD(AD81,swapCurve,I81,,D81)</f>
        <v>#VALUE!</v>
      </c>
      <c r="M81" s="123" t="e">
        <f ca="1">_xll.INSTRUMENT.Z.SPREAD(AD81,ustCurve,I81,,D81)</f>
        <v>#VALUE!</v>
      </c>
      <c r="N81" s="123" t="e">
        <f ca="1">_xll.INSTRUMENT.Z.SPREAD(AD81,oisCurve,I81,,D81)</f>
        <v>#VALUE!</v>
      </c>
      <c r="O81" s="124" t="e">
        <f ca="1">1/_xll.CALENDRIER.FRAC.ANNEE(_xll.INSTRUMENT.DATE.REGLEMENT($AD81,,),_xll.INSTRUMENT.DATE.REGLEMENT($AD81,_xll.CALENDRIER.GAP.FINANCE(TODAY(),"1M","AUD","Unadjusted"),),"ACT/365")*(_xll.INSTRUMENT.ROLL.DOWN($AD81,swapCurve,_xll.CALENDRIER.GAP.FINANCE(TODAY(),"1M","AUD","Unadjusted",TRUE),$L81)+100*$Z81*_xll.CALENDRIER.FRAC.ANNEE(_xll.INSTRUMENT.DATE.REGLEMENT($AD81,,),_xll.INSTRUMENT.DATE.REGLEMENT($AD81,_xll.CALENDRIER.GAP.FINANCE(TODAY(),"1M","AUD","Unadjusted"),),"ACT/365")-$I81)/$I81</f>
        <v>#NAME?</v>
      </c>
      <c r="P81" s="124" t="e">
        <f ca="1">1/_xll.CALENDRIER.FRAC.ANNEE(_xll.INSTRUMENT.DATE.REGLEMENT($AD81,,),_xll.INSTRUMENT.DATE.REGLEMENT($AD81,_xll.CALENDRIER.GAP.FINANCE(TODAY(),"3M","AUD","Unadjusted"),),"ACT/365")*(_xll.INSTRUMENT.ROLL.DOWN($AD81,swapCurve,_xll.CALENDRIER.GAP.FINANCE(TODAY(),"3M","AUD","Unadjusted",TRUE),$L81)+100*$Z81*_xll.CALENDRIER.FRAC.ANNEE(_xll.INSTRUMENT.DATE.REGLEMENT($AD81,,),_xll.INSTRUMENT.DATE.REGLEMENT($AD81,_xll.CALENDRIER.GAP.FINANCE(TODAY(),"3M","AUD","Unadjusted"),),"ACT/365")-$I81)/$I81</f>
        <v>#NAME?</v>
      </c>
      <c r="Q81" s="143" t="e">
        <f t="shared" ca="1" si="5"/>
        <v>#VALUE!</v>
      </c>
      <c r="R81" s="191" t="str">
        <f>IF(F81&lt;&gt;"","",IF(G81="","",-G81*(SUMIF('raw Data'!$A:$A,"RESINV1USD",'raw Data'!$G:$G)+SUMIF('raw Data'!$A:$A,"RESSWAPORUSD",'raw Data'!$G:$G))/(36500*J81)))</f>
        <v/>
      </c>
      <c r="S81" s="202" t="str">
        <f>IF(G81&lt;&gt;"","",IF(F81="","",-36500*J81*F81/(SUMIF('raw Data'!$A:$A,"RESINV1USD",'raw Data'!$G:$G)+SUMIF('raw Data'!$A:$A,"RESSWAPORUSD",'raw Data'!$G:$G))))</f>
        <v/>
      </c>
      <c r="T81" s="125">
        <f>SUMIF('raw Data'!$E:$E,A81,'raw Data'!$N:$N)</f>
        <v>0</v>
      </c>
      <c r="U81" s="126" t="e">
        <f ca="1">VALUE(_xll.BDP($A81 &amp; " Corp",U$1))</f>
        <v>#NAME?</v>
      </c>
      <c r="V81" s="127" t="e">
        <f ca="1">VALUE(_xll.BDP($A81 &amp; " Corp",V$1))</f>
        <v>#NAME?</v>
      </c>
      <c r="W81" s="127" t="e">
        <f ca="1">VALUE(_xll.BDP($A81 &amp; " Corp",W$1))</f>
        <v>#NAME?</v>
      </c>
      <c r="X81" s="127" t="e">
        <f ca="1">VALUE(_xll.BDP($A81 &amp; " Corp",X$1))</f>
        <v>#NAME?</v>
      </c>
      <c r="Y81" s="127" t="e">
        <f ca="1">VALUE(_xll.BDP($A81 &amp; " Corp",Y$1))</f>
        <v>#NAME?</v>
      </c>
      <c r="Z81" s="128" t="e">
        <f ca="1">_xll.BDP($A81 &amp; " Corp",Z$1)/100</f>
        <v>#NAME?</v>
      </c>
      <c r="AA81" s="129" t="e">
        <f ca="1">_xll.BDP($A81 &amp; " Corp",AA$1)</f>
        <v>#NAME?</v>
      </c>
      <c r="AB81" s="129" t="e">
        <f ca="1">_xll.BDP($A81 &amp; " Corp",AB$1)</f>
        <v>#NAME?</v>
      </c>
      <c r="AC81" s="129" t="e">
        <f ca="1">_xll.BDP($A81 &amp; " Corp",AC$1)</f>
        <v>#NAME?</v>
      </c>
      <c r="AD81" s="130" t="e">
        <f ca="1">_xll.INSTANCE.YANKEE(A81,U81,V81,W81,X81,Y81,Z81,AA81,LEFT(AC81,11),3,IF(RIGHT(AC81,6)="NONEOM",FALSE,TRUE),TODAY())</f>
        <v>#VALUE!</v>
      </c>
      <c r="AE81" s="130" t="e">
        <f ca="1">_xll.INSTANCE.CONVENTION.TAUX("conv_" &amp; A81,LEFT(AC81,11),"Compounded",IF(AA81=1,"Annual",IF(AA81=2,"Semi-Annual","")),"Unadjusted",TODAY())</f>
        <v>#VALUE!</v>
      </c>
    </row>
    <row r="82" spans="1:31" x14ac:dyDescent="0.35">
      <c r="A82" s="131" t="s">
        <v>824</v>
      </c>
      <c r="B82" s="115" t="e">
        <f ca="1">_xll.BDP($A82 &amp; " Govt",B$1)</f>
        <v>#NAME?</v>
      </c>
      <c r="C82" s="201" t="e">
        <f t="shared" ca="1" si="4"/>
        <v>#NAME?</v>
      </c>
      <c r="D82" s="116"/>
      <c r="E82" s="117"/>
      <c r="F82" s="118"/>
      <c r="G82" s="119"/>
      <c r="H82" s="120" t="e">
        <f ca="1">IF(E82="",_xll.BDP(A82 &amp; " Corp","YLD_YTM_BID")/100,E82)</f>
        <v>#NAME?</v>
      </c>
      <c r="I82" s="121" t="e">
        <f ca="1">_xll.INSTRUMENT.PRIX(AD82,D82,H82,AE82)</f>
        <v>#VALUE!</v>
      </c>
      <c r="J82" s="122" t="e">
        <f ca="1">_xll.INSTRUMENT.DV01(AD82,,,I82,cContinuous,I82)</f>
        <v>#VALUE!</v>
      </c>
      <c r="K82" s="123" t="e">
        <f ca="1">_xll.INSTRUMENT.CONVEXITE(AD82,,,I82,cContinuous,I82)</f>
        <v>#VALUE!</v>
      </c>
      <c r="L82" s="123" t="e">
        <f ca="1">_xll.INSTRUMENT.Z.SPREAD(AD82,swapCurve,I82,,D82)</f>
        <v>#VALUE!</v>
      </c>
      <c r="M82" s="123" t="e">
        <f ca="1">_xll.INSTRUMENT.Z.SPREAD(AD82,ustCurve,I82,,D82)</f>
        <v>#VALUE!</v>
      </c>
      <c r="N82" s="123" t="e">
        <f ca="1">_xll.INSTRUMENT.Z.SPREAD(AD82,oisCurve,I82,,D82)</f>
        <v>#VALUE!</v>
      </c>
      <c r="O82" s="124" t="e">
        <f ca="1">1/_xll.CALENDRIER.FRAC.ANNEE(_xll.INSTRUMENT.DATE.REGLEMENT($AD82,,),_xll.INSTRUMENT.DATE.REGLEMENT($AD82,_xll.CALENDRIER.GAP.FINANCE(TODAY(),"1M","AUD","Unadjusted"),),"ACT/365")*(_xll.INSTRUMENT.ROLL.DOWN($AD82,swapCurve,_xll.CALENDRIER.GAP.FINANCE(TODAY(),"1M","AUD","Unadjusted",TRUE),$L82)+100*$Z82*_xll.CALENDRIER.FRAC.ANNEE(_xll.INSTRUMENT.DATE.REGLEMENT($AD82,,),_xll.INSTRUMENT.DATE.REGLEMENT($AD82,_xll.CALENDRIER.GAP.FINANCE(TODAY(),"1M","AUD","Unadjusted"),),"ACT/365")-$I82)/$I82</f>
        <v>#NAME?</v>
      </c>
      <c r="P82" s="124" t="e">
        <f ca="1">1/_xll.CALENDRIER.FRAC.ANNEE(_xll.INSTRUMENT.DATE.REGLEMENT($AD82,,),_xll.INSTRUMENT.DATE.REGLEMENT($AD82,_xll.CALENDRIER.GAP.FINANCE(TODAY(),"3M","AUD","Unadjusted"),),"ACT/365")*(_xll.INSTRUMENT.ROLL.DOWN($AD82,swapCurve,_xll.CALENDRIER.GAP.FINANCE(TODAY(),"3M","AUD","Unadjusted",TRUE),$L82)+100*$Z82*_xll.CALENDRIER.FRAC.ANNEE(_xll.INSTRUMENT.DATE.REGLEMENT($AD82,,),_xll.INSTRUMENT.DATE.REGLEMENT($AD82,_xll.CALENDRIER.GAP.FINANCE(TODAY(),"3M","AUD","Unadjusted"),),"ACT/365")-$I82)/$I82</f>
        <v>#NAME?</v>
      </c>
      <c r="Q82" s="143" t="e">
        <f t="shared" ca="1" si="5"/>
        <v>#VALUE!</v>
      </c>
      <c r="R82" s="191" t="str">
        <f>IF(F82&lt;&gt;"","",IF(G82="","",-G82*(SUMIF('raw Data'!$A:$A,"RESINV1USD",'raw Data'!$G:$G)+SUMIF('raw Data'!$A:$A,"RESSWAPORUSD",'raw Data'!$G:$G))/(36500*J82)))</f>
        <v/>
      </c>
      <c r="S82" s="202" t="str">
        <f>IF(G82&lt;&gt;"","",IF(F82="","",-36500*J82*F82/(SUMIF('raw Data'!$A:$A,"RESINV1USD",'raw Data'!$G:$G)+SUMIF('raw Data'!$A:$A,"RESSWAPORUSD",'raw Data'!$G:$G))))</f>
        <v/>
      </c>
      <c r="T82" s="125">
        <f>SUMIF('raw Data'!$E:$E,A82,'raw Data'!$N:$N)</f>
        <v>0</v>
      </c>
      <c r="U82" s="126" t="e">
        <f ca="1">VALUE(_xll.BDP($A82 &amp; " Corp",U$1))</f>
        <v>#NAME?</v>
      </c>
      <c r="V82" s="127" t="e">
        <f ca="1">VALUE(_xll.BDP($A82 &amp; " Corp",V$1))</f>
        <v>#NAME?</v>
      </c>
      <c r="W82" s="127" t="e">
        <f ca="1">VALUE(_xll.BDP($A82 &amp; " Corp",W$1))</f>
        <v>#NAME?</v>
      </c>
      <c r="X82" s="127" t="e">
        <f ca="1">VALUE(_xll.BDP($A82 &amp; " Corp",X$1))</f>
        <v>#NAME?</v>
      </c>
      <c r="Y82" s="127" t="e">
        <f ca="1">VALUE(_xll.BDP($A82 &amp; " Corp",Y$1))</f>
        <v>#NAME?</v>
      </c>
      <c r="Z82" s="128" t="e">
        <f ca="1">_xll.BDP($A82 &amp; " Corp",Z$1)/100</f>
        <v>#NAME?</v>
      </c>
      <c r="AA82" s="129" t="e">
        <f ca="1">_xll.BDP($A82 &amp; " Corp",AA$1)</f>
        <v>#NAME?</v>
      </c>
      <c r="AB82" s="129" t="e">
        <f ca="1">_xll.BDP($A82 &amp; " Corp",AB$1)</f>
        <v>#NAME?</v>
      </c>
      <c r="AC82" s="129" t="e">
        <f ca="1">_xll.BDP($A82 &amp; " Corp",AC$1)</f>
        <v>#NAME?</v>
      </c>
      <c r="AD82" s="130" t="e">
        <f ca="1">_xll.INSTANCE.YANKEE(A82,U82,V82,W82,X82,Y82,Z82,AA82,LEFT(AC82,11),3,IF(RIGHT(AC82,6)="NONEOM",FALSE,TRUE),TODAY())</f>
        <v>#VALUE!</v>
      </c>
      <c r="AE82" s="130" t="e">
        <f ca="1">_xll.INSTANCE.CONVENTION.TAUX("conv_" &amp; A82,LEFT(AC82,11),"Compounded",IF(AA82=1,"Annual",IF(AA82=2,"Semi-Annual","")),"Unadjusted",TODAY())</f>
        <v>#VALUE!</v>
      </c>
    </row>
    <row r="83" spans="1:31" x14ac:dyDescent="0.35">
      <c r="A83" s="131" t="s">
        <v>825</v>
      </c>
      <c r="B83" s="115" t="e">
        <f ca="1">_xll.BDP($A83 &amp; " Govt",B$1)</f>
        <v>#NAME?</v>
      </c>
      <c r="C83" s="201" t="e">
        <f t="shared" ca="1" si="4"/>
        <v>#NAME?</v>
      </c>
      <c r="D83" s="116"/>
      <c r="E83" s="117"/>
      <c r="F83" s="118"/>
      <c r="G83" s="119"/>
      <c r="H83" s="120" t="e">
        <f ca="1">IF(E83="",_xll.BDP(A83 &amp; " Corp","YLD_YTM_BID")/100,E83)</f>
        <v>#NAME?</v>
      </c>
      <c r="I83" s="121" t="e">
        <f ca="1">_xll.INSTRUMENT.PRIX(AD83,D83,H83,AE83)</f>
        <v>#VALUE!</v>
      </c>
      <c r="J83" s="122" t="e">
        <f ca="1">_xll.INSTRUMENT.DV01(AD83,,,I83,cContinuous,I83)</f>
        <v>#VALUE!</v>
      </c>
      <c r="K83" s="123" t="e">
        <f ca="1">_xll.INSTRUMENT.CONVEXITE(AD83,,,I83,cContinuous,I83)</f>
        <v>#VALUE!</v>
      </c>
      <c r="L83" s="123" t="e">
        <f ca="1">_xll.INSTRUMENT.Z.SPREAD(AD83,swapCurve,I83,,D83)</f>
        <v>#VALUE!</v>
      </c>
      <c r="M83" s="123" t="e">
        <f ca="1">_xll.INSTRUMENT.Z.SPREAD(AD83,ustCurve,I83,,D83)</f>
        <v>#VALUE!</v>
      </c>
      <c r="N83" s="123" t="e">
        <f ca="1">_xll.INSTRUMENT.Z.SPREAD(AD83,oisCurve,I83,,D83)</f>
        <v>#VALUE!</v>
      </c>
      <c r="O83" s="124" t="e">
        <f ca="1">1/_xll.CALENDRIER.FRAC.ANNEE(_xll.INSTRUMENT.DATE.REGLEMENT($AD83,,),_xll.INSTRUMENT.DATE.REGLEMENT($AD83,_xll.CALENDRIER.GAP.FINANCE(TODAY(),"1M","AUD","Unadjusted"),),"ACT/365")*(_xll.INSTRUMENT.ROLL.DOWN($AD83,swapCurve,_xll.CALENDRIER.GAP.FINANCE(TODAY(),"1M","AUD","Unadjusted",TRUE),$L83)+100*$Z83*_xll.CALENDRIER.FRAC.ANNEE(_xll.INSTRUMENT.DATE.REGLEMENT($AD83,,),_xll.INSTRUMENT.DATE.REGLEMENT($AD83,_xll.CALENDRIER.GAP.FINANCE(TODAY(),"1M","AUD","Unadjusted"),),"ACT/365")-$I83)/$I83</f>
        <v>#NAME?</v>
      </c>
      <c r="P83" s="124" t="e">
        <f ca="1">1/_xll.CALENDRIER.FRAC.ANNEE(_xll.INSTRUMENT.DATE.REGLEMENT($AD83,,),_xll.INSTRUMENT.DATE.REGLEMENT($AD83,_xll.CALENDRIER.GAP.FINANCE(TODAY(),"3M","AUD","Unadjusted"),),"ACT/365")*(_xll.INSTRUMENT.ROLL.DOWN($AD83,swapCurve,_xll.CALENDRIER.GAP.FINANCE(TODAY(),"3M","AUD","Unadjusted",TRUE),$L83)+100*$Z83*_xll.CALENDRIER.FRAC.ANNEE(_xll.INSTRUMENT.DATE.REGLEMENT($AD83,,),_xll.INSTRUMENT.DATE.REGLEMENT($AD83,_xll.CALENDRIER.GAP.FINANCE(TODAY(),"3M","AUD","Unadjusted"),),"ACT/365")-$I83)/$I83</f>
        <v>#NAME?</v>
      </c>
      <c r="Q83" s="143" t="e">
        <f t="shared" ca="1" si="5"/>
        <v>#VALUE!</v>
      </c>
      <c r="R83" s="191" t="str">
        <f>IF(F83&lt;&gt;"","",IF(G83="","",-G83*(SUMIF('raw Data'!$A:$A,"RESINV1USD",'raw Data'!$G:$G)+SUMIF('raw Data'!$A:$A,"RESSWAPORUSD",'raw Data'!$G:$G))/(36500*J83)))</f>
        <v/>
      </c>
      <c r="S83" s="202" t="str">
        <f>IF(G83&lt;&gt;"","",IF(F83="","",-36500*J83*F83/(SUMIF('raw Data'!$A:$A,"RESINV1USD",'raw Data'!$G:$G)+SUMIF('raw Data'!$A:$A,"RESSWAPORUSD",'raw Data'!$G:$G))))</f>
        <v/>
      </c>
      <c r="T83" s="125">
        <f>SUMIF('raw Data'!$E:$E,A83,'raw Data'!$N:$N)</f>
        <v>0</v>
      </c>
      <c r="U83" s="126" t="e">
        <f ca="1">VALUE(_xll.BDP($A83 &amp; " Corp",U$1))</f>
        <v>#NAME?</v>
      </c>
      <c r="V83" s="127" t="e">
        <f ca="1">VALUE(_xll.BDP($A83 &amp; " Corp",V$1))</f>
        <v>#NAME?</v>
      </c>
      <c r="W83" s="127" t="e">
        <f ca="1">VALUE(_xll.BDP($A83 &amp; " Corp",W$1))</f>
        <v>#NAME?</v>
      </c>
      <c r="X83" s="127" t="e">
        <f ca="1">VALUE(_xll.BDP($A83 &amp; " Corp",X$1))</f>
        <v>#NAME?</v>
      </c>
      <c r="Y83" s="127" t="e">
        <f ca="1">VALUE(_xll.BDP($A83 &amp; " Corp",Y$1))</f>
        <v>#NAME?</v>
      </c>
      <c r="Z83" s="128" t="e">
        <f ca="1">_xll.BDP($A83 &amp; " Corp",Z$1)/100</f>
        <v>#NAME?</v>
      </c>
      <c r="AA83" s="129" t="e">
        <f ca="1">_xll.BDP($A83 &amp; " Corp",AA$1)</f>
        <v>#NAME?</v>
      </c>
      <c r="AB83" s="129" t="e">
        <f ca="1">_xll.BDP($A83 &amp; " Corp",AB$1)</f>
        <v>#NAME?</v>
      </c>
      <c r="AC83" s="129" t="e">
        <f ca="1">_xll.BDP($A83 &amp; " Corp",AC$1)</f>
        <v>#NAME?</v>
      </c>
      <c r="AD83" s="130" t="e">
        <f ca="1">_xll.INSTANCE.YANKEE(A83,U83,V83,W83,X83,Y83,Z83,AA83,LEFT(AC83,11),3,IF(RIGHT(AC83,6)="NONEOM",FALSE,TRUE),TODAY())</f>
        <v>#VALUE!</v>
      </c>
      <c r="AE83" s="130" t="e">
        <f ca="1">_xll.INSTANCE.CONVENTION.TAUX("conv_" &amp; A83,LEFT(AC83,11),"Compounded",IF(AA83=1,"Annual",IF(AA83=2,"Semi-Annual","")),"Unadjusted",TODAY())</f>
        <v>#VALUE!</v>
      </c>
    </row>
    <row r="84" spans="1:31" x14ac:dyDescent="0.35">
      <c r="A84" s="131" t="s">
        <v>832</v>
      </c>
      <c r="B84" s="115" t="e">
        <f ca="1">_xll.BDP($A84 &amp; " Govt",B$1)</f>
        <v>#NAME?</v>
      </c>
      <c r="C84" s="201" t="e">
        <f t="shared" ca="1" si="4"/>
        <v>#NAME?</v>
      </c>
      <c r="D84" s="116"/>
      <c r="E84" s="117"/>
      <c r="F84" s="118"/>
      <c r="G84" s="119"/>
      <c r="H84" s="120" t="e">
        <f ca="1">IF(E84="",_xll.BDP(A84 &amp; " Corp","YLD_YTM_BID")/100,E84)</f>
        <v>#NAME?</v>
      </c>
      <c r="I84" s="121" t="e">
        <f ca="1">_xll.INSTRUMENT.PRIX(AD84,D84,H84,AE84)</f>
        <v>#VALUE!</v>
      </c>
      <c r="J84" s="122" t="e">
        <f ca="1">_xll.INSTRUMENT.DV01(AD84,,,I84,cContinuous,I84)</f>
        <v>#VALUE!</v>
      </c>
      <c r="K84" s="123" t="e">
        <f ca="1">_xll.INSTRUMENT.CONVEXITE(AD84,,,I84,cContinuous,I84)</f>
        <v>#VALUE!</v>
      </c>
      <c r="L84" s="123" t="e">
        <f ca="1">_xll.INSTRUMENT.Z.SPREAD(AD84,swapCurve,I84,,D84)</f>
        <v>#VALUE!</v>
      </c>
      <c r="M84" s="123" t="e">
        <f ca="1">_xll.INSTRUMENT.Z.SPREAD(AD84,ustCurve,I84,,D84)</f>
        <v>#VALUE!</v>
      </c>
      <c r="N84" s="123" t="e">
        <f ca="1">_xll.INSTRUMENT.Z.SPREAD(AD84,oisCurve,I84,,D84)</f>
        <v>#VALUE!</v>
      </c>
      <c r="O84" s="124" t="e">
        <f ca="1">1/_xll.CALENDRIER.FRAC.ANNEE(_xll.INSTRUMENT.DATE.REGLEMENT($AD84,,),_xll.INSTRUMENT.DATE.REGLEMENT($AD84,_xll.CALENDRIER.GAP.FINANCE(TODAY(),"1M","AUD","Unadjusted"),),"ACT/365")*(_xll.INSTRUMENT.ROLL.DOWN($AD84,swapCurve,_xll.CALENDRIER.GAP.FINANCE(TODAY(),"1M","AUD","Unadjusted",TRUE),$L84)+100*$Z84*_xll.CALENDRIER.FRAC.ANNEE(_xll.INSTRUMENT.DATE.REGLEMENT($AD84,,),_xll.INSTRUMENT.DATE.REGLEMENT($AD84,_xll.CALENDRIER.GAP.FINANCE(TODAY(),"1M","AUD","Unadjusted"),),"ACT/365")-$I84)/$I84</f>
        <v>#NAME?</v>
      </c>
      <c r="P84" s="124" t="e">
        <f ca="1">1/_xll.CALENDRIER.FRAC.ANNEE(_xll.INSTRUMENT.DATE.REGLEMENT($AD84,,),_xll.INSTRUMENT.DATE.REGLEMENT($AD84,_xll.CALENDRIER.GAP.FINANCE(TODAY(),"3M","AUD","Unadjusted"),),"ACT/365")*(_xll.INSTRUMENT.ROLL.DOWN($AD84,swapCurve,_xll.CALENDRIER.GAP.FINANCE(TODAY(),"3M","AUD","Unadjusted",TRUE),$L84)+100*$Z84*_xll.CALENDRIER.FRAC.ANNEE(_xll.INSTRUMENT.DATE.REGLEMENT($AD84,,),_xll.INSTRUMENT.DATE.REGLEMENT($AD84,_xll.CALENDRIER.GAP.FINANCE(TODAY(),"3M","AUD","Unadjusted"),),"ACT/365")-$I84)/$I84</f>
        <v>#NAME?</v>
      </c>
      <c r="Q84" s="143" t="e">
        <f t="shared" ca="1" si="5"/>
        <v>#VALUE!</v>
      </c>
      <c r="R84" s="191" t="str">
        <f>IF(F84&lt;&gt;"","",IF(G84="","",-G84*(SUMIF('raw Data'!$A:$A,"RESINV1USD",'raw Data'!$G:$G)+SUMIF('raw Data'!$A:$A,"RESSWAPORUSD",'raw Data'!$G:$G))/(36500*J84)))</f>
        <v/>
      </c>
      <c r="S84" s="202" t="str">
        <f>IF(G84&lt;&gt;"","",IF(F84="","",-36500*J84*F84/(SUMIF('raw Data'!$A:$A,"RESINV1USD",'raw Data'!$G:$G)+SUMIF('raw Data'!$A:$A,"RESSWAPORUSD",'raw Data'!$G:$G))))</f>
        <v/>
      </c>
      <c r="T84" s="125">
        <f>SUMIF('raw Data'!$E:$E,A84,'raw Data'!$N:$N)</f>
        <v>0</v>
      </c>
      <c r="U84" s="126" t="e">
        <f ca="1">VALUE(_xll.BDP($A84 &amp; " Corp",U$1))</f>
        <v>#NAME?</v>
      </c>
      <c r="V84" s="127" t="e">
        <f ca="1">VALUE(_xll.BDP($A84 &amp; " Corp",V$1))</f>
        <v>#NAME?</v>
      </c>
      <c r="W84" s="127" t="e">
        <f ca="1">VALUE(_xll.BDP($A84 &amp; " Corp",W$1))</f>
        <v>#NAME?</v>
      </c>
      <c r="X84" s="127" t="e">
        <f ca="1">VALUE(_xll.BDP($A84 &amp; " Corp",X$1))</f>
        <v>#NAME?</v>
      </c>
      <c r="Y84" s="127" t="e">
        <f ca="1">VALUE(_xll.BDP($A84 &amp; " Corp",Y$1))</f>
        <v>#NAME?</v>
      </c>
      <c r="Z84" s="128" t="e">
        <f ca="1">_xll.BDP($A84 &amp; " Corp",Z$1)/100</f>
        <v>#NAME?</v>
      </c>
      <c r="AA84" s="129" t="e">
        <f ca="1">_xll.BDP($A84 &amp; " Corp",AA$1)</f>
        <v>#NAME?</v>
      </c>
      <c r="AB84" s="129" t="e">
        <f ca="1">_xll.BDP($A84 &amp; " Corp",AB$1)</f>
        <v>#NAME?</v>
      </c>
      <c r="AC84" s="129" t="e">
        <f ca="1">_xll.BDP($A84 &amp; " Corp",AC$1)</f>
        <v>#NAME?</v>
      </c>
      <c r="AD84" s="130" t="e">
        <f ca="1">_xll.INSTANCE.YANKEE(A84,U84,V84,W84,X84,Y84,Z84,AA84,LEFT(AC84,11),3,IF(RIGHT(AC84,6)="NONEOM",FALSE,TRUE),TODAY())</f>
        <v>#VALUE!</v>
      </c>
      <c r="AE84" s="130" t="e">
        <f ca="1">_xll.INSTANCE.CONVENTION.TAUX("conv_" &amp; A84,LEFT(AC84,11),"Compounded",IF(AA84=1,"Annual",IF(AA84=2,"Semi-Annual","")),"Unadjusted",TODAY())</f>
        <v>#VALUE!</v>
      </c>
    </row>
    <row r="85" spans="1:31" x14ac:dyDescent="0.35">
      <c r="A85" s="131" t="s">
        <v>841</v>
      </c>
      <c r="B85" s="115" t="e">
        <f ca="1">_xll.BDP($A85 &amp; " Govt",B$1)</f>
        <v>#NAME?</v>
      </c>
      <c r="C85" s="201" t="e">
        <f t="shared" ca="1" si="4"/>
        <v>#NAME?</v>
      </c>
      <c r="D85" s="116"/>
      <c r="E85" s="117"/>
      <c r="F85" s="118"/>
      <c r="G85" s="119"/>
      <c r="H85" s="120" t="e">
        <f ca="1">IF(E85="",_xll.BDP(A85 &amp; " Corp","YLD_YTM_BID")/100,E85)</f>
        <v>#NAME?</v>
      </c>
      <c r="I85" s="121" t="e">
        <f ca="1">_xll.INSTRUMENT.PRIX(AD85,D85,H85,AE85)</f>
        <v>#VALUE!</v>
      </c>
      <c r="J85" s="122" t="e">
        <f ca="1">_xll.INSTRUMENT.DV01(AD85,,,I85,cContinuous,I85)</f>
        <v>#VALUE!</v>
      </c>
      <c r="K85" s="123" t="e">
        <f ca="1">_xll.INSTRUMENT.CONVEXITE(AD85,,,I85,cContinuous,I85)</f>
        <v>#VALUE!</v>
      </c>
      <c r="L85" s="123" t="e">
        <f ca="1">_xll.INSTRUMENT.Z.SPREAD(AD85,swapCurve,I85,,D85)</f>
        <v>#VALUE!</v>
      </c>
      <c r="M85" s="123" t="e">
        <f ca="1">_xll.INSTRUMENT.Z.SPREAD(AD85,ustCurve,I85,,D85)</f>
        <v>#VALUE!</v>
      </c>
      <c r="N85" s="123" t="e">
        <f ca="1">_xll.INSTRUMENT.Z.SPREAD(AD85,oisCurve,I85,,D85)</f>
        <v>#VALUE!</v>
      </c>
      <c r="O85" s="124" t="e">
        <f ca="1">1/_xll.CALENDRIER.FRAC.ANNEE(_xll.INSTRUMENT.DATE.REGLEMENT($AD85,,),_xll.INSTRUMENT.DATE.REGLEMENT($AD85,_xll.CALENDRIER.GAP.FINANCE(TODAY(),"1M","AUD","Unadjusted"),),"ACT/365")*(_xll.INSTRUMENT.ROLL.DOWN($AD85,swapCurve,_xll.CALENDRIER.GAP.FINANCE(TODAY(),"1M","AUD","Unadjusted",TRUE),$L85)+100*$Z85*_xll.CALENDRIER.FRAC.ANNEE(_xll.INSTRUMENT.DATE.REGLEMENT($AD85,,),_xll.INSTRUMENT.DATE.REGLEMENT($AD85,_xll.CALENDRIER.GAP.FINANCE(TODAY(),"1M","AUD","Unadjusted"),),"ACT/365")-$I85)/$I85</f>
        <v>#NAME?</v>
      </c>
      <c r="P85" s="124" t="e">
        <f ca="1">1/_xll.CALENDRIER.FRAC.ANNEE(_xll.INSTRUMENT.DATE.REGLEMENT($AD85,,),_xll.INSTRUMENT.DATE.REGLEMENT($AD85,_xll.CALENDRIER.GAP.FINANCE(TODAY(),"3M","AUD","Unadjusted"),),"ACT/365")*(_xll.INSTRUMENT.ROLL.DOWN($AD85,swapCurve,_xll.CALENDRIER.GAP.FINANCE(TODAY(),"3M","AUD","Unadjusted",TRUE),$L85)+100*$Z85*_xll.CALENDRIER.FRAC.ANNEE(_xll.INSTRUMENT.DATE.REGLEMENT($AD85,,),_xll.INSTRUMENT.DATE.REGLEMENT($AD85,_xll.CALENDRIER.GAP.FINANCE(TODAY(),"3M","AUD","Unadjusted"),),"ACT/365")-$I85)/$I85</f>
        <v>#NAME?</v>
      </c>
      <c r="Q85" s="143" t="e">
        <f t="shared" ca="1" si="5"/>
        <v>#VALUE!</v>
      </c>
      <c r="R85" s="191" t="str">
        <f>IF(F85&lt;&gt;"","",IF(G85="","",-G85*(SUMIF('raw Data'!$A:$A,"RESINV1USD",'raw Data'!$G:$G)+SUMIF('raw Data'!$A:$A,"RESSWAPORUSD",'raw Data'!$G:$G))/(36500*J85)))</f>
        <v/>
      </c>
      <c r="S85" s="202" t="str">
        <f>IF(G85&lt;&gt;"","",IF(F85="","",-36500*J85*F85/(SUMIF('raw Data'!$A:$A,"RESINV1USD",'raw Data'!$G:$G)+SUMIF('raw Data'!$A:$A,"RESSWAPORUSD",'raw Data'!$G:$G))))</f>
        <v/>
      </c>
      <c r="T85" s="125">
        <f>SUMIF('raw Data'!$E:$E,A85,'raw Data'!$N:$N)</f>
        <v>0</v>
      </c>
      <c r="U85" s="126" t="e">
        <f ca="1">VALUE(_xll.BDP($A85 &amp; " Corp",U$1))</f>
        <v>#NAME?</v>
      </c>
      <c r="V85" s="127" t="e">
        <f ca="1">VALUE(_xll.BDP($A85 &amp; " Corp",V$1))</f>
        <v>#NAME?</v>
      </c>
      <c r="W85" s="127" t="e">
        <f ca="1">VALUE(_xll.BDP($A85 &amp; " Corp",W$1))</f>
        <v>#NAME?</v>
      </c>
      <c r="X85" s="127" t="e">
        <f ca="1">VALUE(_xll.BDP($A85 &amp; " Corp",X$1))</f>
        <v>#NAME?</v>
      </c>
      <c r="Y85" s="127" t="e">
        <f ca="1">VALUE(_xll.BDP($A85 &amp; " Corp",Y$1))</f>
        <v>#NAME?</v>
      </c>
      <c r="Z85" s="128" t="e">
        <f ca="1">_xll.BDP($A85 &amp; " Corp",Z$1)/100</f>
        <v>#NAME?</v>
      </c>
      <c r="AA85" s="129" t="e">
        <f ca="1">_xll.BDP($A85 &amp; " Corp",AA$1)</f>
        <v>#NAME?</v>
      </c>
      <c r="AB85" s="129" t="e">
        <f ca="1">_xll.BDP($A85 &amp; " Corp",AB$1)</f>
        <v>#NAME?</v>
      </c>
      <c r="AC85" s="129" t="e">
        <f ca="1">_xll.BDP($A85 &amp; " Corp",AC$1)</f>
        <v>#NAME?</v>
      </c>
      <c r="AD85" s="130" t="e">
        <f ca="1">_xll.INSTANCE.YANKEE(A85,U85,V85,W85,X85,Y85,Z85,AA85,LEFT(AC85,11),3,IF(RIGHT(AC85,6)="NONEOM",FALSE,TRUE),TODAY())</f>
        <v>#VALUE!</v>
      </c>
      <c r="AE85" s="130" t="e">
        <f ca="1">_xll.INSTANCE.CONVENTION.TAUX("conv_" &amp; A85,LEFT(AC85,11),"Compounded",IF(AA85=1,"Annual",IF(AA85=2,"Semi-Annual","")),"Unadjusted",TODAY())</f>
        <v>#VALUE!</v>
      </c>
    </row>
    <row r="86" spans="1:31" x14ac:dyDescent="0.35">
      <c r="A86" s="131" t="s">
        <v>849</v>
      </c>
      <c r="B86" s="115" t="e">
        <f ca="1">_xll.BDP($A86 &amp; " Govt",B$1)</f>
        <v>#NAME?</v>
      </c>
      <c r="C86" s="201" t="e">
        <f t="shared" ca="1" si="4"/>
        <v>#NAME?</v>
      </c>
      <c r="D86" s="116"/>
      <c r="E86" s="117"/>
      <c r="F86" s="118"/>
      <c r="G86" s="119"/>
      <c r="H86" s="120" t="e">
        <f ca="1">IF(E86="",_xll.BDP(A86 &amp; " Corp","YLD_YTM_BID")/100,E86)</f>
        <v>#NAME?</v>
      </c>
      <c r="I86" s="121" t="e">
        <f ca="1">_xll.INSTRUMENT.PRIX(AD86,D86,H86,AE86)</f>
        <v>#VALUE!</v>
      </c>
      <c r="J86" s="122" t="e">
        <f ca="1">_xll.INSTRUMENT.DV01(AD86,,,I86,cContinuous,I86)</f>
        <v>#VALUE!</v>
      </c>
      <c r="K86" s="123" t="e">
        <f ca="1">_xll.INSTRUMENT.CONVEXITE(AD86,,,I86,cContinuous,I86)</f>
        <v>#VALUE!</v>
      </c>
      <c r="L86" s="123" t="e">
        <f ca="1">_xll.INSTRUMENT.Z.SPREAD(AD86,swapCurve,I86,,D86)</f>
        <v>#VALUE!</v>
      </c>
      <c r="M86" s="123" t="e">
        <f ca="1">_xll.INSTRUMENT.Z.SPREAD(AD86,ustCurve,I86,,D86)</f>
        <v>#VALUE!</v>
      </c>
      <c r="N86" s="123" t="e">
        <f ca="1">_xll.INSTRUMENT.Z.SPREAD(AD86,oisCurve,I86,,D86)</f>
        <v>#VALUE!</v>
      </c>
      <c r="O86" s="124" t="e">
        <f ca="1">1/_xll.CALENDRIER.FRAC.ANNEE(_xll.INSTRUMENT.DATE.REGLEMENT($AD86,,),_xll.INSTRUMENT.DATE.REGLEMENT($AD86,_xll.CALENDRIER.GAP.FINANCE(TODAY(),"1M","AUD","Unadjusted"),),"ACT/365")*(_xll.INSTRUMENT.ROLL.DOWN($AD86,swapCurve,_xll.CALENDRIER.GAP.FINANCE(TODAY(),"1M","AUD","Unadjusted",TRUE),$L86)+100*$Z86*_xll.CALENDRIER.FRAC.ANNEE(_xll.INSTRUMENT.DATE.REGLEMENT($AD86,,),_xll.INSTRUMENT.DATE.REGLEMENT($AD86,_xll.CALENDRIER.GAP.FINANCE(TODAY(),"1M","AUD","Unadjusted"),),"ACT/365")-$I86)/$I86</f>
        <v>#NAME?</v>
      </c>
      <c r="P86" s="124" t="e">
        <f ca="1">1/_xll.CALENDRIER.FRAC.ANNEE(_xll.INSTRUMENT.DATE.REGLEMENT($AD86,,),_xll.INSTRUMENT.DATE.REGLEMENT($AD86,_xll.CALENDRIER.GAP.FINANCE(TODAY(),"3M","AUD","Unadjusted"),),"ACT/365")*(_xll.INSTRUMENT.ROLL.DOWN($AD86,swapCurve,_xll.CALENDRIER.GAP.FINANCE(TODAY(),"3M","AUD","Unadjusted",TRUE),$L86)+100*$Z86*_xll.CALENDRIER.FRAC.ANNEE(_xll.INSTRUMENT.DATE.REGLEMENT($AD86,,),_xll.INSTRUMENT.DATE.REGLEMENT($AD86,_xll.CALENDRIER.GAP.FINANCE(TODAY(),"3M","AUD","Unadjusted"),),"ACT/365")-$I86)/$I86</f>
        <v>#NAME?</v>
      </c>
      <c r="Q86" s="143" t="e">
        <f t="shared" ca="1" si="5"/>
        <v>#VALUE!</v>
      </c>
      <c r="R86" s="191" t="str">
        <f>IF(F86&lt;&gt;"","",IF(G86="","",-G86*(SUMIF('raw Data'!$A:$A,"RESINV1USD",'raw Data'!$G:$G)+SUMIF('raw Data'!$A:$A,"RESSWAPORUSD",'raw Data'!$G:$G))/(36500*J86)))</f>
        <v/>
      </c>
      <c r="S86" s="202" t="str">
        <f>IF(G86&lt;&gt;"","",IF(F86="","",-36500*J86*F86/(SUMIF('raw Data'!$A:$A,"RESINV1USD",'raw Data'!$G:$G)+SUMIF('raw Data'!$A:$A,"RESSWAPORUSD",'raw Data'!$G:$G))))</f>
        <v/>
      </c>
      <c r="T86" s="125">
        <f>SUMIF('raw Data'!$E:$E,A86,'raw Data'!$N:$N)</f>
        <v>0</v>
      </c>
      <c r="U86" s="126" t="e">
        <f ca="1">VALUE(_xll.BDP($A86 &amp; " Corp",U$1))</f>
        <v>#NAME?</v>
      </c>
      <c r="V86" s="127" t="e">
        <f ca="1">VALUE(_xll.BDP($A86 &amp; " Corp",V$1))</f>
        <v>#NAME?</v>
      </c>
      <c r="W86" s="127" t="e">
        <f ca="1">VALUE(_xll.BDP($A86 &amp; " Corp",W$1))</f>
        <v>#NAME?</v>
      </c>
      <c r="X86" s="127" t="e">
        <f ca="1">VALUE(_xll.BDP($A86 &amp; " Corp",X$1))</f>
        <v>#NAME?</v>
      </c>
      <c r="Y86" s="127" t="e">
        <f ca="1">VALUE(_xll.BDP($A86 &amp; " Corp",Y$1))</f>
        <v>#NAME?</v>
      </c>
      <c r="Z86" s="128" t="e">
        <f ca="1">_xll.BDP($A86 &amp; " Corp",Z$1)/100</f>
        <v>#NAME?</v>
      </c>
      <c r="AA86" s="129" t="e">
        <f ca="1">_xll.BDP($A86 &amp; " Corp",AA$1)</f>
        <v>#NAME?</v>
      </c>
      <c r="AB86" s="129" t="e">
        <f ca="1">_xll.BDP($A86 &amp; " Corp",AB$1)</f>
        <v>#NAME?</v>
      </c>
      <c r="AC86" s="129" t="e">
        <f ca="1">_xll.BDP($A86 &amp; " Corp",AC$1)</f>
        <v>#NAME?</v>
      </c>
      <c r="AD86" s="130" t="e">
        <f ca="1">_xll.INSTANCE.YANKEE(A86,U86,V86,W86,X86,Y86,Z86,AA86,LEFT(AC86,11),3,IF(RIGHT(AC86,6)="NONEOM",FALSE,TRUE),TODAY())</f>
        <v>#VALUE!</v>
      </c>
      <c r="AE86" s="130" t="e">
        <f ca="1">_xll.INSTANCE.CONVENTION.TAUX("conv_" &amp; A86,LEFT(AC86,11),"Compounded",IF(AA86=1,"Annual",IF(AA86=2,"Semi-Annual","")),"Unadjusted",TODAY())</f>
        <v>#VALUE!</v>
      </c>
    </row>
    <row r="87" spans="1:31" x14ac:dyDescent="0.35">
      <c r="A87" s="131" t="s">
        <v>332</v>
      </c>
      <c r="B87" s="115" t="e">
        <f ca="1">_xll.BDP($A87 &amp; " Govt",B$1)</f>
        <v>#NAME?</v>
      </c>
      <c r="C87" s="201" t="e">
        <f t="shared" ca="1" si="4"/>
        <v>#NAME?</v>
      </c>
      <c r="D87" s="116"/>
      <c r="E87" s="117"/>
      <c r="F87" s="118"/>
      <c r="G87" s="119"/>
      <c r="H87" s="120" t="e">
        <f ca="1">IF(E87="",_xll.BDP(A87 &amp; " Corp","YLD_YTM_BID")/100,E87)</f>
        <v>#NAME?</v>
      </c>
      <c r="I87" s="121" t="e">
        <f ca="1">_xll.INSTRUMENT.PRIX(AD87,D87,H87,AE87)</f>
        <v>#VALUE!</v>
      </c>
      <c r="J87" s="122" t="e">
        <f ca="1">_xll.INSTRUMENT.DV01(AD87,,,I87,cContinuous,I87)</f>
        <v>#VALUE!</v>
      </c>
      <c r="K87" s="123" t="e">
        <f ca="1">_xll.INSTRUMENT.CONVEXITE(AD87,,,I87,cContinuous,I87)</f>
        <v>#VALUE!</v>
      </c>
      <c r="L87" s="123" t="e">
        <f ca="1">_xll.INSTRUMENT.Z.SPREAD(AD87,swapCurve,I87,,D87)</f>
        <v>#VALUE!</v>
      </c>
      <c r="M87" s="123" t="e">
        <f ca="1">_xll.INSTRUMENT.Z.SPREAD(AD87,ustCurve,I87,,D87)</f>
        <v>#VALUE!</v>
      </c>
      <c r="N87" s="123" t="e">
        <f ca="1">_xll.INSTRUMENT.Z.SPREAD(AD87,oisCurve,I87,,D87)</f>
        <v>#VALUE!</v>
      </c>
      <c r="O87" s="124" t="e">
        <f ca="1">1/_xll.CALENDRIER.FRAC.ANNEE(_xll.INSTRUMENT.DATE.REGLEMENT($AD87,,),_xll.INSTRUMENT.DATE.REGLEMENT($AD87,_xll.CALENDRIER.GAP.FINANCE(TODAY(),"1M","AUD","Unadjusted"),),"ACT/365")*(_xll.INSTRUMENT.ROLL.DOWN($AD87,swapCurve,_xll.CALENDRIER.GAP.FINANCE(TODAY(),"1M","AUD","Unadjusted",TRUE),$L87)+100*$Z87*_xll.CALENDRIER.FRAC.ANNEE(_xll.INSTRUMENT.DATE.REGLEMENT($AD87,,),_xll.INSTRUMENT.DATE.REGLEMENT($AD87,_xll.CALENDRIER.GAP.FINANCE(TODAY(),"1M","AUD","Unadjusted"),),"ACT/365")-$I87)/$I87</f>
        <v>#NAME?</v>
      </c>
      <c r="P87" s="124" t="e">
        <f ca="1">1/_xll.CALENDRIER.FRAC.ANNEE(_xll.INSTRUMENT.DATE.REGLEMENT($AD87,,),_xll.INSTRUMENT.DATE.REGLEMENT($AD87,_xll.CALENDRIER.GAP.FINANCE(TODAY(),"3M","AUD","Unadjusted"),),"ACT/365")*(_xll.INSTRUMENT.ROLL.DOWN($AD87,swapCurve,_xll.CALENDRIER.GAP.FINANCE(TODAY(),"3M","AUD","Unadjusted",TRUE),$L87)+100*$Z87*_xll.CALENDRIER.FRAC.ANNEE(_xll.INSTRUMENT.DATE.REGLEMENT($AD87,,),_xll.INSTRUMENT.DATE.REGLEMENT($AD87,_xll.CALENDRIER.GAP.FINANCE(TODAY(),"3M","AUD","Unadjusted"),),"ACT/365")-$I87)/$I87</f>
        <v>#NAME?</v>
      </c>
      <c r="Q87" s="143" t="e">
        <f t="shared" ca="1" si="5"/>
        <v>#VALUE!</v>
      </c>
      <c r="R87" s="191" t="str">
        <f>IF(F87&lt;&gt;"","",IF(G87="","",-G87*(SUMIF('raw Data'!$A:$A,"RESINV1USD",'raw Data'!$G:$G)+SUMIF('raw Data'!$A:$A,"RESSWAPORUSD",'raw Data'!$G:$G))/(36500*J87)))</f>
        <v/>
      </c>
      <c r="S87" s="202" t="str">
        <f>IF(G87&lt;&gt;"","",IF(F87="","",-36500*J87*F87/(SUMIF('raw Data'!$A:$A,"RESINV1USD",'raw Data'!$G:$G)+SUMIF('raw Data'!$A:$A,"RESSWAPORUSD",'raw Data'!$G:$G))))</f>
        <v/>
      </c>
      <c r="T87" s="125">
        <f>SUMIF('raw Data'!$E:$E,A87,'raw Data'!$N:$N)</f>
        <v>94000</v>
      </c>
      <c r="U87" s="126" t="e">
        <f ca="1">VALUE(_xll.BDP($A87 &amp; " Corp",U$1))</f>
        <v>#NAME?</v>
      </c>
      <c r="V87" s="127" t="e">
        <f ca="1">VALUE(_xll.BDP($A87 &amp; " Corp",V$1))</f>
        <v>#NAME?</v>
      </c>
      <c r="W87" s="127" t="e">
        <f ca="1">VALUE(_xll.BDP($A87 &amp; " Corp",W$1))</f>
        <v>#NAME?</v>
      </c>
      <c r="X87" s="127" t="e">
        <f ca="1">VALUE(_xll.BDP($A87 &amp; " Corp",X$1))</f>
        <v>#NAME?</v>
      </c>
      <c r="Y87" s="127" t="e">
        <f ca="1">VALUE(_xll.BDP($A87 &amp; " Corp",Y$1))</f>
        <v>#NAME?</v>
      </c>
      <c r="Z87" s="128" t="e">
        <f ca="1">_xll.BDP($A87 &amp; " Corp",Z$1)/100</f>
        <v>#NAME?</v>
      </c>
      <c r="AA87" s="129" t="e">
        <f ca="1">_xll.BDP($A87 &amp; " Corp",AA$1)</f>
        <v>#NAME?</v>
      </c>
      <c r="AB87" s="129" t="e">
        <f ca="1">_xll.BDP($A87 &amp; " Corp",AB$1)</f>
        <v>#NAME?</v>
      </c>
      <c r="AC87" s="129" t="e">
        <f ca="1">_xll.BDP($A87 &amp; " Corp",AC$1)</f>
        <v>#NAME?</v>
      </c>
      <c r="AD87" s="130" t="e">
        <f ca="1">_xll.INSTANCE.YANKEE(A87,U87,V87,W87,X87,Y87,Z87,AA87,LEFT(AC87,11),3,IF(RIGHT(AC87,6)="NONEOM",FALSE,TRUE),TODAY())</f>
        <v>#VALUE!</v>
      </c>
      <c r="AE87" s="130" t="e">
        <f ca="1">_xll.INSTANCE.CONVENTION.TAUX("conv_" &amp; A87,LEFT(AC87,11),"Compounded",IF(AA87=1,"Annual",IF(AA87=2,"Semi-Annual","")),"Unadjusted",TODAY())</f>
        <v>#VALUE!</v>
      </c>
    </row>
    <row r="88" spans="1:31" x14ac:dyDescent="0.35">
      <c r="A88" s="131" t="s">
        <v>675</v>
      </c>
      <c r="B88" s="115" t="e">
        <f ca="1">_xll.BDP($A88 &amp; " Govt",B$1)</f>
        <v>#NAME?</v>
      </c>
      <c r="C88" s="201" t="e">
        <f t="shared" ca="1" si="4"/>
        <v>#NAME?</v>
      </c>
      <c r="D88" s="116"/>
      <c r="E88" s="117"/>
      <c r="F88" s="118"/>
      <c r="G88" s="119"/>
      <c r="H88" s="120" t="e">
        <f ca="1">IF(E88="",_xll.BDP(A88 &amp; " Corp","YLD_YTM_BID")/100,E88)</f>
        <v>#NAME?</v>
      </c>
      <c r="I88" s="121" t="e">
        <f ca="1">_xll.INSTRUMENT.PRIX(AD88,D88,H88,AE88)</f>
        <v>#VALUE!</v>
      </c>
      <c r="J88" s="122" t="e">
        <f ca="1">_xll.INSTRUMENT.DV01(AD88,,,I88,cContinuous,I88)</f>
        <v>#VALUE!</v>
      </c>
      <c r="K88" s="123" t="e">
        <f ca="1">_xll.INSTRUMENT.CONVEXITE(AD88,,,I88,cContinuous,I88)</f>
        <v>#VALUE!</v>
      </c>
      <c r="L88" s="123" t="e">
        <f ca="1">_xll.INSTRUMENT.Z.SPREAD(AD88,swapCurve,I88,,D88)</f>
        <v>#VALUE!</v>
      </c>
      <c r="M88" s="123" t="e">
        <f ca="1">_xll.INSTRUMENT.Z.SPREAD(AD88,ustCurve,I88,,D88)</f>
        <v>#VALUE!</v>
      </c>
      <c r="N88" s="123" t="e">
        <f ca="1">_xll.INSTRUMENT.Z.SPREAD(AD88,oisCurve,I88,,D88)</f>
        <v>#VALUE!</v>
      </c>
      <c r="O88" s="124" t="e">
        <f ca="1">1/_xll.CALENDRIER.FRAC.ANNEE(_xll.INSTRUMENT.DATE.REGLEMENT($AD88,,),_xll.INSTRUMENT.DATE.REGLEMENT($AD88,_xll.CALENDRIER.GAP.FINANCE(TODAY(),"1M","AUD","Unadjusted"),),"ACT/365")*(_xll.INSTRUMENT.ROLL.DOWN($AD88,swapCurve,_xll.CALENDRIER.GAP.FINANCE(TODAY(),"1M","AUD","Unadjusted",TRUE),$L88)+100*$Z88*_xll.CALENDRIER.FRAC.ANNEE(_xll.INSTRUMENT.DATE.REGLEMENT($AD88,,),_xll.INSTRUMENT.DATE.REGLEMENT($AD88,_xll.CALENDRIER.GAP.FINANCE(TODAY(),"1M","AUD","Unadjusted"),),"ACT/365")-$I88)/$I88</f>
        <v>#NAME?</v>
      </c>
      <c r="P88" s="124" t="e">
        <f ca="1">1/_xll.CALENDRIER.FRAC.ANNEE(_xll.INSTRUMENT.DATE.REGLEMENT($AD88,,),_xll.INSTRUMENT.DATE.REGLEMENT($AD88,_xll.CALENDRIER.GAP.FINANCE(TODAY(),"3M","AUD","Unadjusted"),),"ACT/365")*(_xll.INSTRUMENT.ROLL.DOWN($AD88,swapCurve,_xll.CALENDRIER.GAP.FINANCE(TODAY(),"3M","AUD","Unadjusted",TRUE),$L88)+100*$Z88*_xll.CALENDRIER.FRAC.ANNEE(_xll.INSTRUMENT.DATE.REGLEMENT($AD88,,),_xll.INSTRUMENT.DATE.REGLEMENT($AD88,_xll.CALENDRIER.GAP.FINANCE(TODAY(),"3M","AUD","Unadjusted"),),"ACT/365")-$I88)/$I88</f>
        <v>#NAME?</v>
      </c>
      <c r="Q88" s="143" t="e">
        <f t="shared" ca="1" si="5"/>
        <v>#VALUE!</v>
      </c>
      <c r="R88" s="191" t="str">
        <f>IF(F88&lt;&gt;"","",IF(G88="","",-G88*(SUMIF('raw Data'!$A:$A,"RESINV1USD",'raw Data'!$G:$G)+SUMIF('raw Data'!$A:$A,"RESSWAPORUSD",'raw Data'!$G:$G))/(36500*J88)))</f>
        <v/>
      </c>
      <c r="S88" s="202" t="str">
        <f>IF(G88&lt;&gt;"","",IF(F88="","",-36500*J88*F88/(SUMIF('raw Data'!$A:$A,"RESINV1USD",'raw Data'!$G:$G)+SUMIF('raw Data'!$A:$A,"RESSWAPORUSD",'raw Data'!$G:$G))))</f>
        <v/>
      </c>
      <c r="T88" s="125">
        <f>SUMIF('raw Data'!$E:$E,A88,'raw Data'!$N:$N)</f>
        <v>0</v>
      </c>
      <c r="U88" s="126" t="e">
        <f ca="1">VALUE(_xll.BDP($A88 &amp; " Corp",U$1))</f>
        <v>#NAME?</v>
      </c>
      <c r="V88" s="127" t="e">
        <f ca="1">VALUE(_xll.BDP($A88 &amp; " Corp",V$1))</f>
        <v>#NAME?</v>
      </c>
      <c r="W88" s="127" t="e">
        <f ca="1">VALUE(_xll.BDP($A88 &amp; " Corp",W$1))</f>
        <v>#NAME?</v>
      </c>
      <c r="X88" s="127" t="e">
        <f ca="1">VALUE(_xll.BDP($A88 &amp; " Corp",X$1))</f>
        <v>#NAME?</v>
      </c>
      <c r="Y88" s="127" t="e">
        <f ca="1">VALUE(_xll.BDP($A88 &amp; " Corp",Y$1))</f>
        <v>#NAME?</v>
      </c>
      <c r="Z88" s="128" t="e">
        <f ca="1">_xll.BDP($A88 &amp; " Corp",Z$1)/100</f>
        <v>#NAME?</v>
      </c>
      <c r="AA88" s="129" t="e">
        <f ca="1">_xll.BDP($A88 &amp; " Corp",AA$1)</f>
        <v>#NAME?</v>
      </c>
      <c r="AB88" s="129" t="e">
        <f ca="1">_xll.BDP($A88 &amp; " Corp",AB$1)</f>
        <v>#NAME?</v>
      </c>
      <c r="AC88" s="129" t="e">
        <f ca="1">_xll.BDP($A88 &amp; " Corp",AC$1)</f>
        <v>#NAME?</v>
      </c>
      <c r="AD88" s="130" t="e">
        <f ca="1">_xll.INSTANCE.YANKEE(A88,U88,V88,W88,X88,Y88,Z88,AA88,LEFT(AC88,11),3,IF(RIGHT(AC88,6)="NONEOM",FALSE,TRUE),TODAY())</f>
        <v>#VALUE!</v>
      </c>
      <c r="AE88" s="130" t="e">
        <f ca="1">_xll.INSTANCE.CONVENTION.TAUX("conv_" &amp; A88,LEFT(AC88,11),"Compounded",IF(AA88=1,"Annual",IF(AA88=2,"Semi-Annual","")),"Unadjusted",TODAY())</f>
        <v>#VALUE!</v>
      </c>
    </row>
    <row r="89" spans="1:31" x14ac:dyDescent="0.35">
      <c r="A89" s="131" t="s">
        <v>326</v>
      </c>
      <c r="B89" s="115" t="e">
        <f ca="1">_xll.BDP($A89 &amp; " Govt",B$1)</f>
        <v>#NAME?</v>
      </c>
      <c r="C89" s="201" t="e">
        <f t="shared" ca="1" si="4"/>
        <v>#NAME?</v>
      </c>
      <c r="D89" s="116"/>
      <c r="E89" s="117"/>
      <c r="F89" s="118"/>
      <c r="G89" s="119"/>
      <c r="H89" s="120" t="e">
        <f ca="1">IF(E89="",_xll.BDP(A89 &amp; " Corp","YLD_YTM_BID")/100,E89)</f>
        <v>#NAME?</v>
      </c>
      <c r="I89" s="121" t="e">
        <f ca="1">_xll.INSTRUMENT.PRIX(AD89,D89,H89,AE89)</f>
        <v>#VALUE!</v>
      </c>
      <c r="J89" s="122" t="e">
        <f ca="1">_xll.INSTRUMENT.DV01(AD89,,,I89,cContinuous,I89)</f>
        <v>#VALUE!</v>
      </c>
      <c r="K89" s="123" t="e">
        <f ca="1">_xll.INSTRUMENT.CONVEXITE(AD89,,,I89,cContinuous,I89)</f>
        <v>#VALUE!</v>
      </c>
      <c r="L89" s="123" t="e">
        <f ca="1">_xll.INSTRUMENT.Z.SPREAD(AD89,swapCurve,I89,,D89)</f>
        <v>#VALUE!</v>
      </c>
      <c r="M89" s="123" t="e">
        <f ca="1">_xll.INSTRUMENT.Z.SPREAD(AD89,ustCurve,I89,,D89)</f>
        <v>#VALUE!</v>
      </c>
      <c r="N89" s="123" t="e">
        <f ca="1">_xll.INSTRUMENT.Z.SPREAD(AD89,oisCurve,I89,,D89)</f>
        <v>#VALUE!</v>
      </c>
      <c r="O89" s="124" t="e">
        <f ca="1">1/_xll.CALENDRIER.FRAC.ANNEE(_xll.INSTRUMENT.DATE.REGLEMENT($AD89,,),_xll.INSTRUMENT.DATE.REGLEMENT($AD89,_xll.CALENDRIER.GAP.FINANCE(TODAY(),"1M","AUD","Unadjusted"),),"ACT/365")*(_xll.INSTRUMENT.ROLL.DOWN($AD89,swapCurve,_xll.CALENDRIER.GAP.FINANCE(TODAY(),"1M","AUD","Unadjusted",TRUE),$L89)+100*$Z89*_xll.CALENDRIER.FRAC.ANNEE(_xll.INSTRUMENT.DATE.REGLEMENT($AD89,,),_xll.INSTRUMENT.DATE.REGLEMENT($AD89,_xll.CALENDRIER.GAP.FINANCE(TODAY(),"1M","AUD","Unadjusted"),),"ACT/365")-$I89)/$I89</f>
        <v>#NAME?</v>
      </c>
      <c r="P89" s="124" t="e">
        <f ca="1">1/_xll.CALENDRIER.FRAC.ANNEE(_xll.INSTRUMENT.DATE.REGLEMENT($AD89,,),_xll.INSTRUMENT.DATE.REGLEMENT($AD89,_xll.CALENDRIER.GAP.FINANCE(TODAY(),"3M","AUD","Unadjusted"),),"ACT/365")*(_xll.INSTRUMENT.ROLL.DOWN($AD89,swapCurve,_xll.CALENDRIER.GAP.FINANCE(TODAY(),"3M","AUD","Unadjusted",TRUE),$L89)+100*$Z89*_xll.CALENDRIER.FRAC.ANNEE(_xll.INSTRUMENT.DATE.REGLEMENT($AD89,,),_xll.INSTRUMENT.DATE.REGLEMENT($AD89,_xll.CALENDRIER.GAP.FINANCE(TODAY(),"3M","AUD","Unadjusted"),),"ACT/365")-$I89)/$I89</f>
        <v>#NAME?</v>
      </c>
      <c r="Q89" s="143" t="e">
        <f t="shared" ca="1" si="5"/>
        <v>#VALUE!</v>
      </c>
      <c r="R89" s="191" t="str">
        <f>IF(F89&lt;&gt;"","",IF(G89="","",-G89*(SUMIF('raw Data'!$A:$A,"RESINV1USD",'raw Data'!$G:$G)+SUMIF('raw Data'!$A:$A,"RESSWAPORUSD",'raw Data'!$G:$G))/(36500*J89)))</f>
        <v/>
      </c>
      <c r="S89" s="202" t="str">
        <f>IF(G89&lt;&gt;"","",IF(F89="","",-36500*J89*F89/(SUMIF('raw Data'!$A:$A,"RESINV1USD",'raw Data'!$G:$G)+SUMIF('raw Data'!$A:$A,"RESSWAPORUSD",'raw Data'!$G:$G))))</f>
        <v/>
      </c>
      <c r="T89" s="125">
        <f>SUMIF('raw Data'!$E:$E,A89,'raw Data'!$N:$N)</f>
        <v>185000</v>
      </c>
      <c r="U89" s="126" t="e">
        <f ca="1">VALUE(_xll.BDP($A89 &amp; " Corp",U$1))</f>
        <v>#NAME?</v>
      </c>
      <c r="V89" s="127" t="e">
        <f ca="1">VALUE(_xll.BDP($A89 &amp; " Corp",V$1))</f>
        <v>#NAME?</v>
      </c>
      <c r="W89" s="127" t="e">
        <f ca="1">VALUE(_xll.BDP($A89 &amp; " Corp",W$1))</f>
        <v>#NAME?</v>
      </c>
      <c r="X89" s="127" t="e">
        <f ca="1">VALUE(_xll.BDP($A89 &amp; " Corp",X$1))</f>
        <v>#NAME?</v>
      </c>
      <c r="Y89" s="127" t="e">
        <f ca="1">VALUE(_xll.BDP($A89 &amp; " Corp",Y$1))</f>
        <v>#NAME?</v>
      </c>
      <c r="Z89" s="128" t="e">
        <f ca="1">_xll.BDP($A89 &amp; " Corp",Z$1)/100</f>
        <v>#NAME?</v>
      </c>
      <c r="AA89" s="129" t="e">
        <f ca="1">_xll.BDP($A89 &amp; " Corp",AA$1)</f>
        <v>#NAME?</v>
      </c>
      <c r="AB89" s="129" t="e">
        <f ca="1">_xll.BDP($A89 &amp; " Corp",AB$1)</f>
        <v>#NAME?</v>
      </c>
      <c r="AC89" s="129" t="e">
        <f ca="1">_xll.BDP($A89 &amp; " Corp",AC$1)</f>
        <v>#NAME?</v>
      </c>
      <c r="AD89" s="130" t="e">
        <f ca="1">_xll.INSTANCE.YANKEE(A89,U89,V89,W89,X89,Y89,Z89,AA89,LEFT(AC89,11),3,IF(RIGHT(AC89,6)="NONEOM",FALSE,TRUE),TODAY())</f>
        <v>#VALUE!</v>
      </c>
      <c r="AE89" s="130" t="e">
        <f ca="1">_xll.INSTANCE.CONVENTION.TAUX("conv_" &amp; A89,LEFT(AC89,11),"Compounded",IF(AA89=1,"Annual",IF(AA89=2,"Semi-Annual","")),"Unadjusted",TODAY())</f>
        <v>#VALUE!</v>
      </c>
    </row>
    <row r="90" spans="1:31" x14ac:dyDescent="0.35">
      <c r="A90" s="131" t="s">
        <v>668</v>
      </c>
      <c r="B90" s="115" t="e">
        <f ca="1">_xll.BDP($A90 &amp; " Govt",B$1)</f>
        <v>#NAME?</v>
      </c>
      <c r="C90" s="201" t="e">
        <f t="shared" ref="C90:C112" ca="1" si="6">LEFT(B90,SEARCH(" ",B90)-1)</f>
        <v>#NAME?</v>
      </c>
      <c r="D90" s="116"/>
      <c r="E90" s="117"/>
      <c r="F90" s="118"/>
      <c r="G90" s="119"/>
      <c r="H90" s="120" t="e">
        <f ca="1">IF(E90="",_xll.BDP(A90 &amp; " Corp","YLD_YTM_ASK")/100,E90)</f>
        <v>#NAME?</v>
      </c>
      <c r="I90" s="121" t="e">
        <f ca="1">_xll.INSTRUMENT.PRIX(AD90,D90,H90,AE90)</f>
        <v>#VALUE!</v>
      </c>
      <c r="J90" s="122" t="e">
        <f ca="1">_xll.INSTRUMENT.DV01(AD90,,,I90,cContinuous,I90)</f>
        <v>#VALUE!</v>
      </c>
      <c r="K90" s="123" t="e">
        <f ca="1">_xll.INSTRUMENT.CONVEXITE(AD90,,,I90,cContinuous,I90)</f>
        <v>#VALUE!</v>
      </c>
      <c r="L90" s="123" t="e">
        <f ca="1">_xll.INSTRUMENT.Z.SPREAD(AD90,swapCurve,I90,,D90)</f>
        <v>#VALUE!</v>
      </c>
      <c r="M90" s="123" t="e">
        <f ca="1">_xll.INSTRUMENT.Z.SPREAD(AD90,ustCurve,I90,,D90)</f>
        <v>#VALUE!</v>
      </c>
      <c r="N90" s="123" t="e">
        <f ca="1">_xll.INSTRUMENT.Z.SPREAD(AD90,oisCurve,I90,,D90)</f>
        <v>#VALUE!</v>
      </c>
      <c r="O90" s="124" t="e">
        <f ca="1">1/_xll.CALENDRIER.FRAC.ANNEE(_xll.INSTRUMENT.DATE.REGLEMENT($AD90,,),_xll.INSTRUMENT.DATE.REGLEMENT($AD90,_xll.CALENDRIER.GAP.FINANCE(TODAY(),"1M","AUD","Unadjusted"),),"ACT/365")*(_xll.INSTRUMENT.ROLL.DOWN($AD90,swapCurve,_xll.CALENDRIER.GAP.FINANCE(TODAY(),"1M","AUD","Unadjusted",TRUE),$L90)+100*$Z90*_xll.CALENDRIER.FRAC.ANNEE(_xll.INSTRUMENT.DATE.REGLEMENT($AD90,,),_xll.INSTRUMENT.DATE.REGLEMENT($AD90,_xll.CALENDRIER.GAP.FINANCE(TODAY(),"1M","AUD","Unadjusted"),),"ACT/365")-$I90)/$I90</f>
        <v>#NAME?</v>
      </c>
      <c r="P90" s="124" t="e">
        <f ca="1">1/_xll.CALENDRIER.FRAC.ANNEE(_xll.INSTRUMENT.DATE.REGLEMENT($AD90,,),_xll.INSTRUMENT.DATE.REGLEMENT($AD90,_xll.CALENDRIER.GAP.FINANCE(TODAY(),"3M","AUD","Unadjusted"),),"ACT/365")*(_xll.INSTRUMENT.ROLL.DOWN($AD90,swapCurve,_xll.CALENDRIER.GAP.FINANCE(TODAY(),"3M","AUD","Unadjusted",TRUE),$L90)+100*$Z90*_xll.CALENDRIER.FRAC.ANNEE(_xll.INSTRUMENT.DATE.REGLEMENT($AD90,,),_xll.INSTRUMENT.DATE.REGLEMENT($AD90,_xll.CALENDRIER.GAP.FINANCE(TODAY(),"3M","AUD","Unadjusted"),),"ACT/365")-$I90)/$I90</f>
        <v>#NAME?</v>
      </c>
      <c r="Q90" s="143" t="e">
        <f t="shared" ref="Q90:Q112" ca="1" si="7">K90/J90</f>
        <v>#VALUE!</v>
      </c>
      <c r="R90" s="191" t="str">
        <f>IF(F90&lt;&gt;"","",IF(G90="","",-G90*(SUMIF('raw Data'!$A:$A,"RESINV1USD",'raw Data'!$G:$G)+SUMIF('raw Data'!$A:$A,"RESSWAPORUSD",'raw Data'!$G:$G))/(36500*J90)))</f>
        <v/>
      </c>
      <c r="S90" s="202" t="str">
        <f>IF(G90&lt;&gt;"","",IF(F90="","",-36500*J90*F90/(SUMIF('raw Data'!$A:$A,"RESINV1USD",'raw Data'!$G:$G)+SUMIF('raw Data'!$A:$A,"RESSWAPORUSD",'raw Data'!$G:$G))))</f>
        <v/>
      </c>
      <c r="T90" s="125">
        <f>SUMIF('raw Data'!$E:$E,A90,'raw Data'!$N:$N)</f>
        <v>0</v>
      </c>
      <c r="U90" s="126" t="e">
        <f ca="1">VALUE(_xll.BDP($A90 &amp; " Corp",U$1))</f>
        <v>#NAME?</v>
      </c>
      <c r="V90" s="127" t="e">
        <f ca="1">VALUE(_xll.BDP($A90 &amp; " Corp",V$1))</f>
        <v>#NAME?</v>
      </c>
      <c r="W90" s="127" t="e">
        <f ca="1">VALUE(_xll.BDP($A90 &amp; " Corp",W$1))</f>
        <v>#NAME?</v>
      </c>
      <c r="X90" s="127" t="e">
        <f ca="1">VALUE(_xll.BDP($A90 &amp; " Corp",X$1))</f>
        <v>#NAME?</v>
      </c>
      <c r="Y90" s="127" t="e">
        <f ca="1">VALUE(_xll.BDP($A90 &amp; " Corp",Y$1))</f>
        <v>#NAME?</v>
      </c>
      <c r="Z90" s="128" t="e">
        <f ca="1">_xll.BDP($A90 &amp; " Corp",Z$1)/100</f>
        <v>#NAME?</v>
      </c>
      <c r="AA90" s="129" t="e">
        <f ca="1">_xll.BDP($A90 &amp; " Corp",AA$1)</f>
        <v>#NAME?</v>
      </c>
      <c r="AB90" s="129" t="e">
        <f ca="1">_xll.BDP($A90 &amp; " Corp",AB$1)</f>
        <v>#NAME?</v>
      </c>
      <c r="AC90" s="129" t="e">
        <f ca="1">_xll.BDP($A90 &amp; " Corp",AC$1)</f>
        <v>#NAME?</v>
      </c>
      <c r="AD90" s="130" t="e">
        <f ca="1">_xll.INSTANCE.YANKEE(A90,U90,V90,W90,X90,Y90,Z90,AA90,LEFT(AC90,11),3,IF(RIGHT(AC90,6)="NONEOM",FALSE,TRUE),TODAY())</f>
        <v>#VALUE!</v>
      </c>
      <c r="AE90" s="130" t="e">
        <f ca="1">_xll.INSTANCE.CONVENTION.TAUX("conv_" &amp; A90,LEFT(AC90,11),"Compounded",IF(AA90=1,"Annual",IF(AA90=2,"Semi-Annual","")),"Unadjusted",TODAY())</f>
        <v>#VALUE!</v>
      </c>
    </row>
    <row r="91" spans="1:31" x14ac:dyDescent="0.35">
      <c r="A91" s="131" t="s">
        <v>661</v>
      </c>
      <c r="B91" s="115" t="e">
        <f ca="1">_xll.BDP($A91 &amp; " Govt",B$1)</f>
        <v>#NAME?</v>
      </c>
      <c r="C91" s="201" t="e">
        <f t="shared" ca="1" si="6"/>
        <v>#NAME?</v>
      </c>
      <c r="D91" s="116"/>
      <c r="E91" s="117"/>
      <c r="F91" s="118"/>
      <c r="G91" s="119"/>
      <c r="H91" s="120" t="e">
        <f ca="1">IF(E91="",_xll.BDP(A91 &amp; " Corp","YLD_YTM_ASK")/100,E91)</f>
        <v>#NAME?</v>
      </c>
      <c r="I91" s="121" t="e">
        <f ca="1">_xll.INSTRUMENT.PRIX(AD91,D91,H91,AE91)</f>
        <v>#VALUE!</v>
      </c>
      <c r="J91" s="122" t="e">
        <f ca="1">_xll.INSTRUMENT.DV01(AD91,,,I91,cContinuous,I91)</f>
        <v>#VALUE!</v>
      </c>
      <c r="K91" s="123" t="e">
        <f ca="1">_xll.INSTRUMENT.CONVEXITE(AD91,,,I91,cContinuous,I91)</f>
        <v>#VALUE!</v>
      </c>
      <c r="L91" s="123" t="e">
        <f ca="1">_xll.INSTRUMENT.Z.SPREAD(AD91,swapCurve,I91,,D91)</f>
        <v>#VALUE!</v>
      </c>
      <c r="M91" s="123" t="e">
        <f ca="1">_xll.INSTRUMENT.Z.SPREAD(AD91,ustCurve,I91,,D91)</f>
        <v>#VALUE!</v>
      </c>
      <c r="N91" s="123" t="e">
        <f ca="1">_xll.INSTRUMENT.Z.SPREAD(AD91,oisCurve,I91,,D91)</f>
        <v>#VALUE!</v>
      </c>
      <c r="O91" s="124" t="e">
        <f ca="1">1/_xll.CALENDRIER.FRAC.ANNEE(_xll.INSTRUMENT.DATE.REGLEMENT($AD91,,),_xll.INSTRUMENT.DATE.REGLEMENT($AD91,_xll.CALENDRIER.GAP.FINANCE(TODAY(),"1M","AUD","Unadjusted"),),"ACT/365")*(_xll.INSTRUMENT.ROLL.DOWN($AD91,swapCurve,_xll.CALENDRIER.GAP.FINANCE(TODAY(),"1M","AUD","Unadjusted",TRUE),$L91)+100*$Z91*_xll.CALENDRIER.FRAC.ANNEE(_xll.INSTRUMENT.DATE.REGLEMENT($AD91,,),_xll.INSTRUMENT.DATE.REGLEMENT($AD91,_xll.CALENDRIER.GAP.FINANCE(TODAY(),"1M","AUD","Unadjusted"),),"ACT/365")-$I91)/$I91</f>
        <v>#NAME?</v>
      </c>
      <c r="P91" s="124" t="e">
        <f ca="1">1/_xll.CALENDRIER.FRAC.ANNEE(_xll.INSTRUMENT.DATE.REGLEMENT($AD91,,),_xll.INSTRUMENT.DATE.REGLEMENT($AD91,_xll.CALENDRIER.GAP.FINANCE(TODAY(),"3M","AUD","Unadjusted"),),"ACT/365")*(_xll.INSTRUMENT.ROLL.DOWN($AD91,swapCurve,_xll.CALENDRIER.GAP.FINANCE(TODAY(),"3M","AUD","Unadjusted",TRUE),$L91)+100*$Z91*_xll.CALENDRIER.FRAC.ANNEE(_xll.INSTRUMENT.DATE.REGLEMENT($AD91,,),_xll.INSTRUMENT.DATE.REGLEMENT($AD91,_xll.CALENDRIER.GAP.FINANCE(TODAY(),"3M","AUD","Unadjusted"),),"ACT/365")-$I91)/$I91</f>
        <v>#NAME?</v>
      </c>
      <c r="Q91" s="143" t="e">
        <f t="shared" ca="1" si="7"/>
        <v>#VALUE!</v>
      </c>
      <c r="R91" s="191" t="str">
        <f>IF(F91&lt;&gt;"","",IF(G91="","",-G91*(SUMIF('raw Data'!$A:$A,"RESINV1USD",'raw Data'!$G:$G)+SUMIF('raw Data'!$A:$A,"RESSWAPORUSD",'raw Data'!$G:$G))/(36500*J91)))</f>
        <v/>
      </c>
      <c r="S91" s="202" t="str">
        <f>IF(G91&lt;&gt;"","",IF(F91="","",-36500*J91*F91/(SUMIF('raw Data'!$A:$A,"RESINV1USD",'raw Data'!$G:$G)+SUMIF('raw Data'!$A:$A,"RESSWAPORUSD",'raw Data'!$G:$G))))</f>
        <v/>
      </c>
      <c r="T91" s="125">
        <f>SUMIF('raw Data'!$E:$E,A91,'raw Data'!$N:$N)</f>
        <v>0</v>
      </c>
      <c r="U91" s="126" t="e">
        <f ca="1">VALUE(_xll.BDP($A91 &amp; " Corp",U$1))</f>
        <v>#NAME?</v>
      </c>
      <c r="V91" s="127" t="e">
        <f ca="1">VALUE(_xll.BDP($A91 &amp; " Corp",V$1))</f>
        <v>#NAME?</v>
      </c>
      <c r="W91" s="127" t="e">
        <f ca="1">VALUE(_xll.BDP($A91 &amp; " Corp",W$1))</f>
        <v>#NAME?</v>
      </c>
      <c r="X91" s="127" t="e">
        <f ca="1">VALUE(_xll.BDP($A91 &amp; " Corp",X$1))</f>
        <v>#NAME?</v>
      </c>
      <c r="Y91" s="127" t="e">
        <f ca="1">VALUE(_xll.BDP($A91 &amp; " Corp",Y$1))</f>
        <v>#NAME?</v>
      </c>
      <c r="Z91" s="128" t="e">
        <f ca="1">_xll.BDP($A91 &amp; " Corp",Z$1)/100</f>
        <v>#NAME?</v>
      </c>
      <c r="AA91" s="129" t="e">
        <f ca="1">_xll.BDP($A91 &amp; " Corp",AA$1)</f>
        <v>#NAME?</v>
      </c>
      <c r="AB91" s="129" t="e">
        <f ca="1">_xll.BDP($A91 &amp; " Corp",AB$1)</f>
        <v>#NAME?</v>
      </c>
      <c r="AC91" s="129" t="e">
        <f ca="1">_xll.BDP($A91 &amp; " Corp",AC$1)</f>
        <v>#NAME?</v>
      </c>
      <c r="AD91" s="130" t="e">
        <f ca="1">_xll.INSTANCE.YANKEE(A91,U91,V91,W91,X91,Y91,Z91,AA91,LEFT(AC91,11),3,IF(RIGHT(AC91,6)="NONEOM",FALSE,TRUE),TODAY())</f>
        <v>#VALUE!</v>
      </c>
      <c r="AE91" s="130" t="e">
        <f ca="1">_xll.INSTANCE.CONVENTION.TAUX("conv_" &amp; A91,LEFT(AC91,11),"Compounded",IF(AA91=1,"Annual",IF(AA91=2,"Semi-Annual","")),"Unadjusted",TODAY())</f>
        <v>#VALUE!</v>
      </c>
    </row>
    <row r="92" spans="1:31" x14ac:dyDescent="0.35">
      <c r="A92" s="131" t="s">
        <v>662</v>
      </c>
      <c r="B92" s="115" t="e">
        <f ca="1">_xll.BDP($A92 &amp; " Govt",B$1)</f>
        <v>#NAME?</v>
      </c>
      <c r="C92" s="201" t="e">
        <f t="shared" ca="1" si="6"/>
        <v>#NAME?</v>
      </c>
      <c r="D92" s="116"/>
      <c r="E92" s="117"/>
      <c r="F92" s="118"/>
      <c r="G92" s="119"/>
      <c r="H92" s="120" t="e">
        <f ca="1">IF(E92="",_xll.BDP(A92 &amp; " Corp","YLD_YTM_ASK")/100,E92)</f>
        <v>#NAME?</v>
      </c>
      <c r="I92" s="121" t="e">
        <f ca="1">_xll.INSTRUMENT.PRIX(AD92,D92,H92,AE92)</f>
        <v>#VALUE!</v>
      </c>
      <c r="J92" s="122" t="e">
        <f ca="1">_xll.INSTRUMENT.DV01(AD92,,,I92,cContinuous,I92)</f>
        <v>#VALUE!</v>
      </c>
      <c r="K92" s="123" t="e">
        <f ca="1">_xll.INSTRUMENT.CONVEXITE(AD92,,,I92,cContinuous,I92)</f>
        <v>#VALUE!</v>
      </c>
      <c r="L92" s="123" t="e">
        <f ca="1">_xll.INSTRUMENT.Z.SPREAD(AD92,swapCurve,I92,,D92)</f>
        <v>#VALUE!</v>
      </c>
      <c r="M92" s="123" t="e">
        <f ca="1">_xll.INSTRUMENT.Z.SPREAD(AD92,ustCurve,I92,,D92)</f>
        <v>#VALUE!</v>
      </c>
      <c r="N92" s="123" t="e">
        <f ca="1">_xll.INSTRUMENT.Z.SPREAD(AD92,oisCurve,I92,,D92)</f>
        <v>#VALUE!</v>
      </c>
      <c r="O92" s="124" t="e">
        <f ca="1">1/_xll.CALENDRIER.FRAC.ANNEE(_xll.INSTRUMENT.DATE.REGLEMENT($AD92,,),_xll.INSTRUMENT.DATE.REGLEMENT($AD92,_xll.CALENDRIER.GAP.FINANCE(TODAY(),"1M","AUD","Unadjusted"),),"ACT/365")*(_xll.INSTRUMENT.ROLL.DOWN($AD92,swapCurve,_xll.CALENDRIER.GAP.FINANCE(TODAY(),"1M","AUD","Unadjusted",TRUE),$L92)+100*$Z92*_xll.CALENDRIER.FRAC.ANNEE(_xll.INSTRUMENT.DATE.REGLEMENT($AD92,,),_xll.INSTRUMENT.DATE.REGLEMENT($AD92,_xll.CALENDRIER.GAP.FINANCE(TODAY(),"1M","AUD","Unadjusted"),),"ACT/365")-$I92)/$I92</f>
        <v>#NAME?</v>
      </c>
      <c r="P92" s="124" t="e">
        <f ca="1">1/_xll.CALENDRIER.FRAC.ANNEE(_xll.INSTRUMENT.DATE.REGLEMENT($AD92,,),_xll.INSTRUMENT.DATE.REGLEMENT($AD92,_xll.CALENDRIER.GAP.FINANCE(TODAY(),"3M","AUD","Unadjusted"),),"ACT/365")*(_xll.INSTRUMENT.ROLL.DOWN($AD92,swapCurve,_xll.CALENDRIER.GAP.FINANCE(TODAY(),"3M","AUD","Unadjusted",TRUE),$L92)+100*$Z92*_xll.CALENDRIER.FRAC.ANNEE(_xll.INSTRUMENT.DATE.REGLEMENT($AD92,,),_xll.INSTRUMENT.DATE.REGLEMENT($AD92,_xll.CALENDRIER.GAP.FINANCE(TODAY(),"3M","AUD","Unadjusted"),),"ACT/365")-$I92)/$I92</f>
        <v>#NAME?</v>
      </c>
      <c r="Q92" s="143" t="e">
        <f t="shared" ca="1" si="7"/>
        <v>#VALUE!</v>
      </c>
      <c r="R92" s="191" t="str">
        <f>IF(F92&lt;&gt;"","",IF(G92="","",-G92*(SUMIF('raw Data'!$A:$A,"RESINV1USD",'raw Data'!$G:$G)+SUMIF('raw Data'!$A:$A,"RESSWAPORUSD",'raw Data'!$G:$G))/(36500*J92)))</f>
        <v/>
      </c>
      <c r="S92" s="202" t="str">
        <f>IF(G92&lt;&gt;"","",IF(F92="","",-36500*J92*F92/(SUMIF('raw Data'!$A:$A,"RESINV1USD",'raw Data'!$G:$G)+SUMIF('raw Data'!$A:$A,"RESSWAPORUSD",'raw Data'!$G:$G))))</f>
        <v/>
      </c>
      <c r="T92" s="125">
        <f>SUMIF('raw Data'!$E:$E,A92,'raw Data'!$N:$N)</f>
        <v>0</v>
      </c>
      <c r="U92" s="126" t="e">
        <f ca="1">VALUE(_xll.BDP($A92 &amp; " Corp",U$1))</f>
        <v>#NAME?</v>
      </c>
      <c r="V92" s="127" t="e">
        <f ca="1">VALUE(_xll.BDP($A92 &amp; " Corp",V$1))</f>
        <v>#NAME?</v>
      </c>
      <c r="W92" s="127" t="e">
        <f ca="1">VALUE(_xll.BDP($A92 &amp; " Corp",W$1))</f>
        <v>#NAME?</v>
      </c>
      <c r="X92" s="127" t="e">
        <f ca="1">VALUE(_xll.BDP($A92 &amp; " Corp",X$1))</f>
        <v>#NAME?</v>
      </c>
      <c r="Y92" s="127" t="e">
        <f ca="1">VALUE(_xll.BDP($A92 &amp; " Corp",Y$1))</f>
        <v>#NAME?</v>
      </c>
      <c r="Z92" s="128" t="e">
        <f ca="1">_xll.BDP($A92 &amp; " Corp",Z$1)/100</f>
        <v>#NAME?</v>
      </c>
      <c r="AA92" s="129" t="e">
        <f ca="1">_xll.BDP($A92 &amp; " Corp",AA$1)</f>
        <v>#NAME?</v>
      </c>
      <c r="AB92" s="129" t="e">
        <f ca="1">_xll.BDP($A92 &amp; " Corp",AB$1)</f>
        <v>#NAME?</v>
      </c>
      <c r="AC92" s="129" t="e">
        <f ca="1">_xll.BDP($A92 &amp; " Corp",AC$1)</f>
        <v>#NAME?</v>
      </c>
      <c r="AD92" s="130" t="e">
        <f ca="1">_xll.INSTANCE.YANKEE(A92,U92,V92,W92,X92,Y92,Z92,AA92,LEFT(AC92,11),3,IF(RIGHT(AC92,6)="NONEOM",FALSE,TRUE),TODAY())</f>
        <v>#VALUE!</v>
      </c>
      <c r="AE92" s="130" t="e">
        <f ca="1">_xll.INSTANCE.CONVENTION.TAUX("conv_" &amp; A92,LEFT(AC92,11),"Compounded",IF(AA92=1,"Annual",IF(AA92=2,"Semi-Annual","")),"Unadjusted",TODAY())</f>
        <v>#VALUE!</v>
      </c>
    </row>
    <row r="93" spans="1:31" x14ac:dyDescent="0.35">
      <c r="A93" s="131" t="s">
        <v>672</v>
      </c>
      <c r="B93" s="115" t="e">
        <f ca="1">_xll.BDP($A93 &amp; " Govt",B$1)</f>
        <v>#NAME?</v>
      </c>
      <c r="C93" s="201" t="e">
        <f t="shared" ca="1" si="6"/>
        <v>#NAME?</v>
      </c>
      <c r="D93" s="116"/>
      <c r="E93" s="117"/>
      <c r="F93" s="118"/>
      <c r="G93" s="119"/>
      <c r="H93" s="120" t="e">
        <f ca="1">IF(E93="",_xll.BDP(A93 &amp; " Corp","YLD_YTM_ASK")/100,E93)</f>
        <v>#NAME?</v>
      </c>
      <c r="I93" s="121" t="e">
        <f ca="1">_xll.INSTRUMENT.PRIX(AD93,D93,H93,AE93)</f>
        <v>#VALUE!</v>
      </c>
      <c r="J93" s="122" t="e">
        <f ca="1">_xll.INSTRUMENT.DV01(AD93,,,I93,cContinuous,I93)</f>
        <v>#VALUE!</v>
      </c>
      <c r="K93" s="123" t="e">
        <f ca="1">_xll.INSTRUMENT.CONVEXITE(AD93,,,I93,cContinuous,I93)</f>
        <v>#VALUE!</v>
      </c>
      <c r="L93" s="123" t="e">
        <f ca="1">_xll.INSTRUMENT.Z.SPREAD(AD93,swapCurve,I93,,D93)</f>
        <v>#VALUE!</v>
      </c>
      <c r="M93" s="123" t="e">
        <f ca="1">_xll.INSTRUMENT.Z.SPREAD(AD93,ustCurve,I93,,D93)</f>
        <v>#VALUE!</v>
      </c>
      <c r="N93" s="123" t="e">
        <f ca="1">_xll.INSTRUMENT.Z.SPREAD(AD93,oisCurve,I93,,D93)</f>
        <v>#VALUE!</v>
      </c>
      <c r="O93" s="124" t="e">
        <f ca="1">1/_xll.CALENDRIER.FRAC.ANNEE(_xll.INSTRUMENT.DATE.REGLEMENT($AD93,,),_xll.INSTRUMENT.DATE.REGLEMENT($AD93,_xll.CALENDRIER.GAP.FINANCE(TODAY(),"1M","AUD","Unadjusted"),),"ACT/365")*(_xll.INSTRUMENT.ROLL.DOWN($AD93,swapCurve,_xll.CALENDRIER.GAP.FINANCE(TODAY(),"1M","AUD","Unadjusted",TRUE),$L93)+100*$Z93*_xll.CALENDRIER.FRAC.ANNEE(_xll.INSTRUMENT.DATE.REGLEMENT($AD93,,),_xll.INSTRUMENT.DATE.REGLEMENT($AD93,_xll.CALENDRIER.GAP.FINANCE(TODAY(),"1M","AUD","Unadjusted"),),"ACT/365")-$I93)/$I93</f>
        <v>#NAME?</v>
      </c>
      <c r="P93" s="124" t="e">
        <f ca="1">1/_xll.CALENDRIER.FRAC.ANNEE(_xll.INSTRUMENT.DATE.REGLEMENT($AD93,,),_xll.INSTRUMENT.DATE.REGLEMENT($AD93,_xll.CALENDRIER.GAP.FINANCE(TODAY(),"3M","AUD","Unadjusted"),),"ACT/365")*(_xll.INSTRUMENT.ROLL.DOWN($AD93,swapCurve,_xll.CALENDRIER.GAP.FINANCE(TODAY(),"3M","AUD","Unadjusted",TRUE),$L93)+100*$Z93*_xll.CALENDRIER.FRAC.ANNEE(_xll.INSTRUMENT.DATE.REGLEMENT($AD93,,),_xll.INSTRUMENT.DATE.REGLEMENT($AD93,_xll.CALENDRIER.GAP.FINANCE(TODAY(),"3M","AUD","Unadjusted"),),"ACT/365")-$I93)/$I93</f>
        <v>#NAME?</v>
      </c>
      <c r="Q93" s="143" t="e">
        <f t="shared" ca="1" si="7"/>
        <v>#VALUE!</v>
      </c>
      <c r="R93" s="191" t="str">
        <f>IF(F93&lt;&gt;"","",IF(G93="","",-G93*(SUMIF('raw Data'!$A:$A,"RESINV1USD",'raw Data'!$G:$G)+SUMIF('raw Data'!$A:$A,"RESSWAPORUSD",'raw Data'!$G:$G))/(36500*J93)))</f>
        <v/>
      </c>
      <c r="S93" s="202" t="str">
        <f>IF(G93&lt;&gt;"","",IF(F93="","",-36500*J93*F93/(SUMIF('raw Data'!$A:$A,"RESINV1USD",'raw Data'!$G:$G)+SUMIF('raw Data'!$A:$A,"RESSWAPORUSD",'raw Data'!$G:$G))))</f>
        <v/>
      </c>
      <c r="T93" s="125">
        <f>SUMIF('raw Data'!$E:$E,A93,'raw Data'!$N:$N)</f>
        <v>0</v>
      </c>
      <c r="U93" s="126" t="e">
        <f ca="1">VALUE(_xll.BDP($A93 &amp; " Corp",U$1))</f>
        <v>#NAME?</v>
      </c>
      <c r="V93" s="127" t="e">
        <f ca="1">VALUE(_xll.BDP($A93 &amp; " Corp",V$1))</f>
        <v>#NAME?</v>
      </c>
      <c r="W93" s="127" t="e">
        <f ca="1">VALUE(_xll.BDP($A93 &amp; " Corp",W$1))</f>
        <v>#NAME?</v>
      </c>
      <c r="X93" s="127" t="e">
        <f ca="1">VALUE(_xll.BDP($A93 &amp; " Corp",X$1))</f>
        <v>#NAME?</v>
      </c>
      <c r="Y93" s="127" t="e">
        <f ca="1">VALUE(_xll.BDP($A93 &amp; " Corp",Y$1))</f>
        <v>#NAME?</v>
      </c>
      <c r="Z93" s="128" t="e">
        <f ca="1">_xll.BDP($A93 &amp; " Corp",Z$1)/100</f>
        <v>#NAME?</v>
      </c>
      <c r="AA93" s="129" t="e">
        <f ca="1">_xll.BDP($A93 &amp; " Corp",AA$1)</f>
        <v>#NAME?</v>
      </c>
      <c r="AB93" s="129" t="e">
        <f ca="1">_xll.BDP($A93 &amp; " Corp",AB$1)</f>
        <v>#NAME?</v>
      </c>
      <c r="AC93" s="129" t="e">
        <f ca="1">_xll.BDP($A93 &amp; " Corp",AC$1)</f>
        <v>#NAME?</v>
      </c>
      <c r="AD93" s="130" t="e">
        <f ca="1">_xll.INSTANCE.YANKEE(A93,U93,V93,W93,X93,Y93,Z93,AA93,LEFT(AC93,11),3,IF(RIGHT(AC93,6)="NONEOM",FALSE,TRUE),TODAY())</f>
        <v>#VALUE!</v>
      </c>
      <c r="AE93" s="130" t="e">
        <f ca="1">_xll.INSTANCE.CONVENTION.TAUX("conv_" &amp; A93,LEFT(AC93,11),"Compounded",IF(AA93=1,"Annual",IF(AA93=2,"Semi-Annual","")),"Unadjusted",TODAY())</f>
        <v>#VALUE!</v>
      </c>
    </row>
    <row r="94" spans="1:31" x14ac:dyDescent="0.35">
      <c r="A94" s="131" t="s">
        <v>664</v>
      </c>
      <c r="B94" s="115" t="e">
        <f ca="1">_xll.BDP($A94 &amp; " Govt",B$1)</f>
        <v>#NAME?</v>
      </c>
      <c r="C94" s="201" t="e">
        <f t="shared" ca="1" si="6"/>
        <v>#NAME?</v>
      </c>
      <c r="D94" s="116"/>
      <c r="E94" s="117"/>
      <c r="F94" s="118"/>
      <c r="G94" s="119"/>
      <c r="H94" s="120" t="e">
        <f ca="1">IF(E94="",_xll.BDP(A94 &amp; " Corp","YLD_YTM_ASK")/100,E94)</f>
        <v>#NAME?</v>
      </c>
      <c r="I94" s="121" t="e">
        <f ca="1">_xll.INSTRUMENT.PRIX(AD94,D94,H94,AE94)</f>
        <v>#VALUE!</v>
      </c>
      <c r="J94" s="122" t="e">
        <f ca="1">_xll.INSTRUMENT.DV01(AD94,,,I94,cContinuous,I94)</f>
        <v>#VALUE!</v>
      </c>
      <c r="K94" s="123" t="e">
        <f ca="1">_xll.INSTRUMENT.CONVEXITE(AD94,,,I94,cContinuous,I94)</f>
        <v>#VALUE!</v>
      </c>
      <c r="L94" s="123" t="e">
        <f ca="1">_xll.INSTRUMENT.Z.SPREAD(AD94,swapCurve,I94,,D94)</f>
        <v>#VALUE!</v>
      </c>
      <c r="M94" s="123" t="e">
        <f ca="1">_xll.INSTRUMENT.Z.SPREAD(AD94,ustCurve,I94,,D94)</f>
        <v>#VALUE!</v>
      </c>
      <c r="N94" s="123" t="e">
        <f ca="1">_xll.INSTRUMENT.Z.SPREAD(AD94,oisCurve,I94,,D94)</f>
        <v>#VALUE!</v>
      </c>
      <c r="O94" s="124" t="e">
        <f ca="1">1/_xll.CALENDRIER.FRAC.ANNEE(_xll.INSTRUMENT.DATE.REGLEMENT($AD94,,),_xll.INSTRUMENT.DATE.REGLEMENT($AD94,_xll.CALENDRIER.GAP.FINANCE(TODAY(),"1M","AUD","Unadjusted"),),"ACT/365")*(_xll.INSTRUMENT.ROLL.DOWN($AD94,swapCurve,_xll.CALENDRIER.GAP.FINANCE(TODAY(),"1M","AUD","Unadjusted",TRUE),$L94)+100*$Z94*_xll.CALENDRIER.FRAC.ANNEE(_xll.INSTRUMENT.DATE.REGLEMENT($AD94,,),_xll.INSTRUMENT.DATE.REGLEMENT($AD94,_xll.CALENDRIER.GAP.FINANCE(TODAY(),"1M","AUD","Unadjusted"),),"ACT/365")-$I94)/$I94</f>
        <v>#NAME?</v>
      </c>
      <c r="P94" s="124" t="e">
        <f ca="1">1/_xll.CALENDRIER.FRAC.ANNEE(_xll.INSTRUMENT.DATE.REGLEMENT($AD94,,),_xll.INSTRUMENT.DATE.REGLEMENT($AD94,_xll.CALENDRIER.GAP.FINANCE(TODAY(),"3M","AUD","Unadjusted"),),"ACT/365")*(_xll.INSTRUMENT.ROLL.DOWN($AD94,swapCurve,_xll.CALENDRIER.GAP.FINANCE(TODAY(),"3M","AUD","Unadjusted",TRUE),$L94)+100*$Z94*_xll.CALENDRIER.FRAC.ANNEE(_xll.INSTRUMENT.DATE.REGLEMENT($AD94,,),_xll.INSTRUMENT.DATE.REGLEMENT($AD94,_xll.CALENDRIER.GAP.FINANCE(TODAY(),"3M","AUD","Unadjusted"),),"ACT/365")-$I94)/$I94</f>
        <v>#NAME?</v>
      </c>
      <c r="Q94" s="143" t="e">
        <f t="shared" ca="1" si="7"/>
        <v>#VALUE!</v>
      </c>
      <c r="R94" s="191" t="str">
        <f>IF(F94&lt;&gt;"","",IF(G94="","",-G94*(SUMIF('raw Data'!$A:$A,"RESINV1USD",'raw Data'!$G:$G)+SUMIF('raw Data'!$A:$A,"RESSWAPORUSD",'raw Data'!$G:$G))/(36500*J94)))</f>
        <v/>
      </c>
      <c r="S94" s="202" t="str">
        <f>IF(G94&lt;&gt;"","",IF(F94="","",-36500*J94*F94/(SUMIF('raw Data'!$A:$A,"RESINV1USD",'raw Data'!$G:$G)+SUMIF('raw Data'!$A:$A,"RESSWAPORUSD",'raw Data'!$G:$G))))</f>
        <v/>
      </c>
      <c r="T94" s="125">
        <f>SUMIF('raw Data'!$E:$E,A94,'raw Data'!$N:$N)</f>
        <v>0</v>
      </c>
      <c r="U94" s="126" t="e">
        <f ca="1">VALUE(_xll.BDP($A94 &amp; " Corp",U$1))</f>
        <v>#NAME?</v>
      </c>
      <c r="V94" s="127" t="e">
        <f ca="1">VALUE(_xll.BDP($A94 &amp; " Corp",V$1))</f>
        <v>#NAME?</v>
      </c>
      <c r="W94" s="127" t="e">
        <f ca="1">VALUE(_xll.BDP($A94 &amp; " Corp",W$1))</f>
        <v>#NAME?</v>
      </c>
      <c r="X94" s="127" t="e">
        <f ca="1">VALUE(_xll.BDP($A94 &amp; " Corp",X$1))</f>
        <v>#NAME?</v>
      </c>
      <c r="Y94" s="127" t="e">
        <f ca="1">VALUE(_xll.BDP($A94 &amp; " Corp",Y$1))</f>
        <v>#NAME?</v>
      </c>
      <c r="Z94" s="128" t="e">
        <f ca="1">_xll.BDP($A94 &amp; " Corp",Z$1)/100</f>
        <v>#NAME?</v>
      </c>
      <c r="AA94" s="129" t="e">
        <f ca="1">_xll.BDP($A94 &amp; " Corp",AA$1)</f>
        <v>#NAME?</v>
      </c>
      <c r="AB94" s="129" t="e">
        <f ca="1">_xll.BDP($A94 &amp; " Corp",AB$1)</f>
        <v>#NAME?</v>
      </c>
      <c r="AC94" s="129" t="e">
        <f ca="1">_xll.BDP($A94 &amp; " Corp",AC$1)</f>
        <v>#NAME?</v>
      </c>
      <c r="AD94" s="130" t="e">
        <f ca="1">_xll.INSTANCE.YANKEE(A94,U94,V94,W94,X94,Y94,Z94,AA94,LEFT(AC94,11),3,IF(RIGHT(AC94,6)="NONEOM",FALSE,TRUE),TODAY())</f>
        <v>#VALUE!</v>
      </c>
      <c r="AE94" s="130" t="e">
        <f ca="1">_xll.INSTANCE.CONVENTION.TAUX("conv_" &amp; A94,LEFT(AC94,11),"Compounded",IF(AA94=1,"Annual",IF(AA94=2,"Semi-Annual","")),"Unadjusted",TODAY())</f>
        <v>#VALUE!</v>
      </c>
    </row>
    <row r="95" spans="1:31" x14ac:dyDescent="0.35">
      <c r="A95" s="131" t="s">
        <v>665</v>
      </c>
      <c r="B95" s="115" t="e">
        <f ca="1">_xll.BDP($A95 &amp; " Govt",B$1)</f>
        <v>#NAME?</v>
      </c>
      <c r="C95" s="201" t="e">
        <f t="shared" ca="1" si="6"/>
        <v>#NAME?</v>
      </c>
      <c r="D95" s="116"/>
      <c r="E95" s="117"/>
      <c r="F95" s="118"/>
      <c r="G95" s="119"/>
      <c r="H95" s="120" t="e">
        <f ca="1">IF(E95="",_xll.BDP(A95 &amp; " Corp","YLD_YTM_ASK")/100,E95)</f>
        <v>#NAME?</v>
      </c>
      <c r="I95" s="121" t="e">
        <f ca="1">_xll.INSTRUMENT.PRIX(AD95,D95,H95,AE95)</f>
        <v>#VALUE!</v>
      </c>
      <c r="J95" s="122" t="e">
        <f ca="1">_xll.INSTRUMENT.DV01(AD95,,,I95,cContinuous,I95)</f>
        <v>#VALUE!</v>
      </c>
      <c r="K95" s="123" t="e">
        <f ca="1">_xll.INSTRUMENT.CONVEXITE(AD95,,,I95,cContinuous,I95)</f>
        <v>#VALUE!</v>
      </c>
      <c r="L95" s="123" t="e">
        <f ca="1">_xll.INSTRUMENT.Z.SPREAD(AD95,swapCurve,I95,,D95)</f>
        <v>#VALUE!</v>
      </c>
      <c r="M95" s="123" t="e">
        <f ca="1">_xll.INSTRUMENT.Z.SPREAD(AD95,ustCurve,I95,,D95)</f>
        <v>#VALUE!</v>
      </c>
      <c r="N95" s="123" t="e">
        <f ca="1">_xll.INSTRUMENT.Z.SPREAD(AD95,oisCurve,I95,,D95)</f>
        <v>#VALUE!</v>
      </c>
      <c r="O95" s="124" t="e">
        <f ca="1">1/_xll.CALENDRIER.FRAC.ANNEE(_xll.INSTRUMENT.DATE.REGLEMENT($AD95,,),_xll.INSTRUMENT.DATE.REGLEMENT($AD95,_xll.CALENDRIER.GAP.FINANCE(TODAY(),"1M","AUD","Unadjusted"),),"ACT/365")*(_xll.INSTRUMENT.ROLL.DOWN($AD95,swapCurve,_xll.CALENDRIER.GAP.FINANCE(TODAY(),"1M","AUD","Unadjusted",TRUE),$L95)+100*$Z95*_xll.CALENDRIER.FRAC.ANNEE(_xll.INSTRUMENT.DATE.REGLEMENT($AD95,,),_xll.INSTRUMENT.DATE.REGLEMENT($AD95,_xll.CALENDRIER.GAP.FINANCE(TODAY(),"1M","AUD","Unadjusted"),),"ACT/365")-$I95)/$I95</f>
        <v>#NAME?</v>
      </c>
      <c r="P95" s="124" t="e">
        <f ca="1">1/_xll.CALENDRIER.FRAC.ANNEE(_xll.INSTRUMENT.DATE.REGLEMENT($AD95,,),_xll.INSTRUMENT.DATE.REGLEMENT($AD95,_xll.CALENDRIER.GAP.FINANCE(TODAY(),"3M","AUD","Unadjusted"),),"ACT/365")*(_xll.INSTRUMENT.ROLL.DOWN($AD95,swapCurve,_xll.CALENDRIER.GAP.FINANCE(TODAY(),"3M","AUD","Unadjusted",TRUE),$L95)+100*$Z95*_xll.CALENDRIER.FRAC.ANNEE(_xll.INSTRUMENT.DATE.REGLEMENT($AD95,,),_xll.INSTRUMENT.DATE.REGLEMENT($AD95,_xll.CALENDRIER.GAP.FINANCE(TODAY(),"3M","AUD","Unadjusted"),),"ACT/365")-$I95)/$I95</f>
        <v>#NAME?</v>
      </c>
      <c r="Q95" s="143" t="e">
        <f t="shared" ca="1" si="7"/>
        <v>#VALUE!</v>
      </c>
      <c r="R95" s="191" t="str">
        <f>IF(F95&lt;&gt;"","",IF(G95="","",-G95*(SUMIF('raw Data'!$A:$A,"RESINV1USD",'raw Data'!$G:$G)+SUMIF('raw Data'!$A:$A,"RESSWAPORUSD",'raw Data'!$G:$G))/(36500*J95)))</f>
        <v/>
      </c>
      <c r="S95" s="202" t="str">
        <f>IF(G95&lt;&gt;"","",IF(F95="","",-36500*J95*F95/(SUMIF('raw Data'!$A:$A,"RESINV1USD",'raw Data'!$G:$G)+SUMIF('raw Data'!$A:$A,"RESSWAPORUSD",'raw Data'!$G:$G))))</f>
        <v/>
      </c>
      <c r="T95" s="125">
        <f>SUMIF('raw Data'!$E:$E,A95,'raw Data'!$N:$N)</f>
        <v>0</v>
      </c>
      <c r="U95" s="126" t="e">
        <f ca="1">VALUE(_xll.BDP($A95 &amp; " Corp",U$1))</f>
        <v>#NAME?</v>
      </c>
      <c r="V95" s="127" t="e">
        <f ca="1">VALUE(_xll.BDP($A95 &amp; " Corp",V$1))</f>
        <v>#NAME?</v>
      </c>
      <c r="W95" s="127" t="e">
        <f ca="1">VALUE(_xll.BDP($A95 &amp; " Corp",W$1))</f>
        <v>#NAME?</v>
      </c>
      <c r="X95" s="127" t="e">
        <f ca="1">VALUE(_xll.BDP($A95 &amp; " Corp",X$1))</f>
        <v>#NAME?</v>
      </c>
      <c r="Y95" s="127" t="e">
        <f ca="1">VALUE(_xll.BDP($A95 &amp; " Corp",Y$1))</f>
        <v>#NAME?</v>
      </c>
      <c r="Z95" s="128" t="e">
        <f ca="1">_xll.BDP($A95 &amp; " Corp",Z$1)/100</f>
        <v>#NAME?</v>
      </c>
      <c r="AA95" s="129" t="e">
        <f ca="1">_xll.BDP($A95 &amp; " Corp",AA$1)</f>
        <v>#NAME?</v>
      </c>
      <c r="AB95" s="129" t="e">
        <f ca="1">_xll.BDP($A95 &amp; " Corp",AB$1)</f>
        <v>#NAME?</v>
      </c>
      <c r="AC95" s="129" t="e">
        <f ca="1">_xll.BDP($A95 &amp; " Corp",AC$1)</f>
        <v>#NAME?</v>
      </c>
      <c r="AD95" s="130" t="e">
        <f ca="1">_xll.INSTANCE.YANKEE(A95,U95,V95,W95,X95,Y95,Z95,AA95,LEFT(AC95,11),3,IF(RIGHT(AC95,6)="NONEOM",FALSE,TRUE),TODAY())</f>
        <v>#VALUE!</v>
      </c>
      <c r="AE95" s="130" t="e">
        <f ca="1">_xll.INSTANCE.CONVENTION.TAUX("conv_" &amp; A95,LEFT(AC95,11),"Compounded",IF(AA95=1,"Annual",IF(AA95=2,"Semi-Annual","")),"Unadjusted",TODAY())</f>
        <v>#VALUE!</v>
      </c>
    </row>
    <row r="96" spans="1:31" x14ac:dyDescent="0.35">
      <c r="A96" s="131" t="s">
        <v>660</v>
      </c>
      <c r="B96" s="115" t="e">
        <f ca="1">_xll.BDP($A96 &amp; " Govt",B$1)</f>
        <v>#NAME?</v>
      </c>
      <c r="C96" s="201" t="e">
        <f t="shared" ca="1" si="6"/>
        <v>#NAME?</v>
      </c>
      <c r="D96" s="116"/>
      <c r="E96" s="117"/>
      <c r="F96" s="118"/>
      <c r="G96" s="119"/>
      <c r="H96" s="120" t="e">
        <f ca="1">IF(E96="",_xll.BDP(A96 &amp; " Corp","YLD_YTM_ASK")/100,E96)</f>
        <v>#NAME?</v>
      </c>
      <c r="I96" s="121" t="e">
        <f ca="1">_xll.INSTRUMENT.PRIX(AD96,D96,H96,AE96)</f>
        <v>#VALUE!</v>
      </c>
      <c r="J96" s="122" t="e">
        <f ca="1">_xll.INSTRUMENT.DV01(AD96,,,I96,cContinuous,I96)</f>
        <v>#VALUE!</v>
      </c>
      <c r="K96" s="123" t="e">
        <f ca="1">_xll.INSTRUMENT.CONVEXITE(AD96,,,I96,cContinuous,I96)</f>
        <v>#VALUE!</v>
      </c>
      <c r="L96" s="123" t="e">
        <f ca="1">_xll.INSTRUMENT.Z.SPREAD(AD96,swapCurve,I96,,D96)</f>
        <v>#VALUE!</v>
      </c>
      <c r="M96" s="123" t="e">
        <f ca="1">_xll.INSTRUMENT.Z.SPREAD(AD96,ustCurve,I96,,D96)</f>
        <v>#VALUE!</v>
      </c>
      <c r="N96" s="123" t="e">
        <f ca="1">_xll.INSTRUMENT.Z.SPREAD(AD96,oisCurve,I96,,D96)</f>
        <v>#VALUE!</v>
      </c>
      <c r="O96" s="124" t="e">
        <f ca="1">1/_xll.CALENDRIER.FRAC.ANNEE(_xll.INSTRUMENT.DATE.REGLEMENT($AD96,,),_xll.INSTRUMENT.DATE.REGLEMENT($AD96,_xll.CALENDRIER.GAP.FINANCE(TODAY(),"1M","AUD","Unadjusted"),),"ACT/365")*(_xll.INSTRUMENT.ROLL.DOWN($AD96,swapCurve,_xll.CALENDRIER.GAP.FINANCE(TODAY(),"1M","AUD","Unadjusted",TRUE),$L96)+100*$Z96*_xll.CALENDRIER.FRAC.ANNEE(_xll.INSTRUMENT.DATE.REGLEMENT($AD96,,),_xll.INSTRUMENT.DATE.REGLEMENT($AD96,_xll.CALENDRIER.GAP.FINANCE(TODAY(),"1M","AUD","Unadjusted"),),"ACT/365")-$I96)/$I96</f>
        <v>#NAME?</v>
      </c>
      <c r="P96" s="124" t="e">
        <f ca="1">1/_xll.CALENDRIER.FRAC.ANNEE(_xll.INSTRUMENT.DATE.REGLEMENT($AD96,,),_xll.INSTRUMENT.DATE.REGLEMENT($AD96,_xll.CALENDRIER.GAP.FINANCE(TODAY(),"3M","AUD","Unadjusted"),),"ACT/365")*(_xll.INSTRUMENT.ROLL.DOWN($AD96,swapCurve,_xll.CALENDRIER.GAP.FINANCE(TODAY(),"3M","AUD","Unadjusted",TRUE),$L96)+100*$Z96*_xll.CALENDRIER.FRAC.ANNEE(_xll.INSTRUMENT.DATE.REGLEMENT($AD96,,),_xll.INSTRUMENT.DATE.REGLEMENT($AD96,_xll.CALENDRIER.GAP.FINANCE(TODAY(),"3M","AUD","Unadjusted"),),"ACT/365")-$I96)/$I96</f>
        <v>#NAME?</v>
      </c>
      <c r="Q96" s="143" t="e">
        <f t="shared" ca="1" si="7"/>
        <v>#VALUE!</v>
      </c>
      <c r="R96" s="191" t="str">
        <f>IF(F96&lt;&gt;"","",IF(G96="","",-G96*(SUMIF('raw Data'!$A:$A,"RESINV1USD",'raw Data'!$G:$G)+SUMIF('raw Data'!$A:$A,"RESSWAPORUSD",'raw Data'!$G:$G))/(36500*J96)))</f>
        <v/>
      </c>
      <c r="S96" s="202" t="str">
        <f>IF(G96&lt;&gt;"","",IF(F96="","",-36500*J96*F96/(SUMIF('raw Data'!$A:$A,"RESINV1USD",'raw Data'!$G:$G)+SUMIF('raw Data'!$A:$A,"RESSWAPORUSD",'raw Data'!$G:$G))))</f>
        <v/>
      </c>
      <c r="T96" s="125">
        <f>SUMIF('raw Data'!$E:$E,A96,'raw Data'!$N:$N)</f>
        <v>0</v>
      </c>
      <c r="U96" s="126" t="e">
        <f ca="1">VALUE(_xll.BDP($A96 &amp; " Corp",U$1))</f>
        <v>#NAME?</v>
      </c>
      <c r="V96" s="127" t="e">
        <f ca="1">VALUE(_xll.BDP($A96 &amp; " Corp",V$1))</f>
        <v>#NAME?</v>
      </c>
      <c r="W96" s="127" t="e">
        <f ca="1">VALUE(_xll.BDP($A96 &amp; " Corp",W$1))</f>
        <v>#NAME?</v>
      </c>
      <c r="X96" s="127" t="e">
        <f ca="1">VALUE(_xll.BDP($A96 &amp; " Corp",X$1))</f>
        <v>#NAME?</v>
      </c>
      <c r="Y96" s="127" t="e">
        <f ca="1">VALUE(_xll.BDP($A96 &amp; " Corp",Y$1))</f>
        <v>#NAME?</v>
      </c>
      <c r="Z96" s="128" t="e">
        <f ca="1">_xll.BDP($A96 &amp; " Corp",Z$1)/100</f>
        <v>#NAME?</v>
      </c>
      <c r="AA96" s="129" t="e">
        <f ca="1">_xll.BDP($A96 &amp; " Corp",AA$1)</f>
        <v>#NAME?</v>
      </c>
      <c r="AB96" s="129" t="e">
        <f ca="1">_xll.BDP($A96 &amp; " Corp",AB$1)</f>
        <v>#NAME?</v>
      </c>
      <c r="AC96" s="129" t="e">
        <f ca="1">_xll.BDP($A96 &amp; " Corp",AC$1)</f>
        <v>#NAME?</v>
      </c>
      <c r="AD96" s="130" t="e">
        <f ca="1">_xll.INSTANCE.YANKEE(A96,U96,V96,W96,X96,Y96,Z96,AA96,LEFT(AC96,11),3,IF(RIGHT(AC96,6)="NONEOM",FALSE,TRUE),TODAY())</f>
        <v>#VALUE!</v>
      </c>
      <c r="AE96" s="130" t="e">
        <f ca="1">_xll.INSTANCE.CONVENTION.TAUX("conv_" &amp; A96,LEFT(AC96,11),"Compounded",IF(AA96=1,"Annual",IF(AA96=2,"Semi-Annual","")),"Unadjusted",TODAY())</f>
        <v>#VALUE!</v>
      </c>
    </row>
    <row r="97" spans="1:31" x14ac:dyDescent="0.35">
      <c r="A97" s="131" t="s">
        <v>667</v>
      </c>
      <c r="B97" s="115" t="e">
        <f ca="1">_xll.BDP($A97 &amp; " Govt",B$1)</f>
        <v>#NAME?</v>
      </c>
      <c r="C97" s="201" t="e">
        <f t="shared" ca="1" si="6"/>
        <v>#NAME?</v>
      </c>
      <c r="D97" s="116"/>
      <c r="E97" s="117"/>
      <c r="F97" s="118"/>
      <c r="G97" s="119"/>
      <c r="H97" s="120" t="e">
        <f ca="1">IF(E97="",_xll.BDP(A97 &amp; " Corp","YLD_YTM_ASK")/100,E97)</f>
        <v>#NAME?</v>
      </c>
      <c r="I97" s="121" t="e">
        <f ca="1">_xll.INSTRUMENT.PRIX(AD97,D97,H97,AE97)</f>
        <v>#VALUE!</v>
      </c>
      <c r="J97" s="122" t="e">
        <f ca="1">_xll.INSTRUMENT.DV01(AD97,,,I97,cContinuous,I97)</f>
        <v>#VALUE!</v>
      </c>
      <c r="K97" s="123" t="e">
        <f ca="1">_xll.INSTRUMENT.CONVEXITE(AD97,,,I97,cContinuous,I97)</f>
        <v>#VALUE!</v>
      </c>
      <c r="L97" s="123" t="e">
        <f ca="1">_xll.INSTRUMENT.Z.SPREAD(AD97,swapCurve,I97,,D97)</f>
        <v>#VALUE!</v>
      </c>
      <c r="M97" s="123" t="e">
        <f ca="1">_xll.INSTRUMENT.Z.SPREAD(AD97,ustCurve,I97,,D97)</f>
        <v>#VALUE!</v>
      </c>
      <c r="N97" s="123" t="e">
        <f ca="1">_xll.INSTRUMENT.Z.SPREAD(AD97,oisCurve,I97,,D97)</f>
        <v>#VALUE!</v>
      </c>
      <c r="O97" s="124" t="e">
        <f ca="1">1/_xll.CALENDRIER.FRAC.ANNEE(_xll.INSTRUMENT.DATE.REGLEMENT($AD97,,),_xll.INSTRUMENT.DATE.REGLEMENT($AD97,_xll.CALENDRIER.GAP.FINANCE(TODAY(),"1M","AUD","Unadjusted"),),"ACT/365")*(_xll.INSTRUMENT.ROLL.DOWN($AD97,swapCurve,_xll.CALENDRIER.GAP.FINANCE(TODAY(),"1M","AUD","Unadjusted",TRUE),$L97)+100*$Z97*_xll.CALENDRIER.FRAC.ANNEE(_xll.INSTRUMENT.DATE.REGLEMENT($AD97,,),_xll.INSTRUMENT.DATE.REGLEMENT($AD97,_xll.CALENDRIER.GAP.FINANCE(TODAY(),"1M","AUD","Unadjusted"),),"ACT/365")-$I97)/$I97</f>
        <v>#NAME?</v>
      </c>
      <c r="P97" s="124" t="e">
        <f ca="1">1/_xll.CALENDRIER.FRAC.ANNEE(_xll.INSTRUMENT.DATE.REGLEMENT($AD97,,),_xll.INSTRUMENT.DATE.REGLEMENT($AD97,_xll.CALENDRIER.GAP.FINANCE(TODAY(),"3M","AUD","Unadjusted"),),"ACT/365")*(_xll.INSTRUMENT.ROLL.DOWN($AD97,swapCurve,_xll.CALENDRIER.GAP.FINANCE(TODAY(),"3M","AUD","Unadjusted",TRUE),$L97)+100*$Z97*_xll.CALENDRIER.FRAC.ANNEE(_xll.INSTRUMENT.DATE.REGLEMENT($AD97,,),_xll.INSTRUMENT.DATE.REGLEMENT($AD97,_xll.CALENDRIER.GAP.FINANCE(TODAY(),"3M","AUD","Unadjusted"),),"ACT/365")-$I97)/$I97</f>
        <v>#NAME?</v>
      </c>
      <c r="Q97" s="143" t="e">
        <f t="shared" ca="1" si="7"/>
        <v>#VALUE!</v>
      </c>
      <c r="R97" s="191" t="str">
        <f>IF(F97&lt;&gt;"","",IF(G97="","",-G97*(SUMIF('raw Data'!$A:$A,"RESINV1USD",'raw Data'!$G:$G)+SUMIF('raw Data'!$A:$A,"RESSWAPORUSD",'raw Data'!$G:$G))/(36500*J97)))</f>
        <v/>
      </c>
      <c r="S97" s="202" t="str">
        <f>IF(G97&lt;&gt;"","",IF(F97="","",-36500*J97*F97/(SUMIF('raw Data'!$A:$A,"RESINV1USD",'raw Data'!$G:$G)+SUMIF('raw Data'!$A:$A,"RESSWAPORUSD",'raw Data'!$G:$G))))</f>
        <v/>
      </c>
      <c r="T97" s="125">
        <f>SUMIF('raw Data'!$E:$E,A97,'raw Data'!$N:$N)</f>
        <v>0</v>
      </c>
      <c r="U97" s="126" t="e">
        <f ca="1">VALUE(_xll.BDP($A97 &amp; " Corp",U$1))</f>
        <v>#NAME?</v>
      </c>
      <c r="V97" s="127" t="e">
        <f ca="1">VALUE(_xll.BDP($A97 &amp; " Corp",V$1))</f>
        <v>#NAME?</v>
      </c>
      <c r="W97" s="127" t="e">
        <f ca="1">VALUE(_xll.BDP($A97 &amp; " Corp",W$1))</f>
        <v>#NAME?</v>
      </c>
      <c r="X97" s="127" t="e">
        <f ca="1">VALUE(_xll.BDP($A97 &amp; " Corp",X$1))</f>
        <v>#NAME?</v>
      </c>
      <c r="Y97" s="127" t="e">
        <f ca="1">VALUE(_xll.BDP($A97 &amp; " Corp",Y$1))</f>
        <v>#NAME?</v>
      </c>
      <c r="Z97" s="128" t="e">
        <f ca="1">_xll.BDP($A97 &amp; " Corp",Z$1)/100</f>
        <v>#NAME?</v>
      </c>
      <c r="AA97" s="129" t="e">
        <f ca="1">_xll.BDP($A97 &amp; " Corp",AA$1)</f>
        <v>#NAME?</v>
      </c>
      <c r="AB97" s="129" t="e">
        <f ca="1">_xll.BDP($A97 &amp; " Corp",AB$1)</f>
        <v>#NAME?</v>
      </c>
      <c r="AC97" s="129" t="e">
        <f ca="1">_xll.BDP($A97 &amp; " Corp",AC$1)</f>
        <v>#NAME?</v>
      </c>
      <c r="AD97" s="130" t="e">
        <f ca="1">_xll.INSTANCE.YANKEE(A97,U97,V97,W97,X97,Y97,Z97,AA97,LEFT(AC97,11),3,IF(RIGHT(AC97,6)="NONEOM",FALSE,TRUE),TODAY())</f>
        <v>#VALUE!</v>
      </c>
      <c r="AE97" s="130" t="e">
        <f ca="1">_xll.INSTANCE.CONVENTION.TAUX("conv_" &amp; A97,LEFT(AC97,11),"Compounded",IF(AA97=1,"Annual",IF(AA97=2,"Semi-Annual","")),"Unadjusted",TODAY())</f>
        <v>#VALUE!</v>
      </c>
    </row>
    <row r="98" spans="1:31" x14ac:dyDescent="0.35">
      <c r="A98" s="131" t="s">
        <v>658</v>
      </c>
      <c r="B98" s="115" t="e">
        <f ca="1">_xll.BDP($A98 &amp; " Govt",B$1)</f>
        <v>#NAME?</v>
      </c>
      <c r="C98" s="201" t="e">
        <f t="shared" ca="1" si="6"/>
        <v>#NAME?</v>
      </c>
      <c r="D98" s="116"/>
      <c r="E98" s="117"/>
      <c r="F98" s="118"/>
      <c r="G98" s="119"/>
      <c r="H98" s="120" t="e">
        <f ca="1">IF(E98="",_xll.BDP(A98 &amp; " Corp","YLD_YTM_ASK")/100,E98)</f>
        <v>#NAME?</v>
      </c>
      <c r="I98" s="121" t="e">
        <f ca="1">_xll.INSTRUMENT.PRIX(AD98,D98,H98,AE98)</f>
        <v>#VALUE!</v>
      </c>
      <c r="J98" s="122" t="e">
        <f ca="1">_xll.INSTRUMENT.DV01(AD98,,,I98,cContinuous,I98)</f>
        <v>#VALUE!</v>
      </c>
      <c r="K98" s="123" t="e">
        <f ca="1">_xll.INSTRUMENT.CONVEXITE(AD98,,,I98,cContinuous,I98)</f>
        <v>#VALUE!</v>
      </c>
      <c r="L98" s="123" t="e">
        <f ca="1">_xll.INSTRUMENT.Z.SPREAD(AD98,swapCurve,I98,,D98)</f>
        <v>#VALUE!</v>
      </c>
      <c r="M98" s="123" t="e">
        <f ca="1">_xll.INSTRUMENT.Z.SPREAD(AD98,ustCurve,I98,,D98)</f>
        <v>#VALUE!</v>
      </c>
      <c r="N98" s="123" t="e">
        <f ca="1">_xll.INSTRUMENT.Z.SPREAD(AD98,oisCurve,I98,,D98)</f>
        <v>#VALUE!</v>
      </c>
      <c r="O98" s="124" t="e">
        <f ca="1">1/_xll.CALENDRIER.FRAC.ANNEE(_xll.INSTRUMENT.DATE.REGLEMENT($AD98,,),_xll.INSTRUMENT.DATE.REGLEMENT($AD98,_xll.CALENDRIER.GAP.FINANCE(TODAY(),"1M","AUD","Unadjusted"),),"ACT/365")*(_xll.INSTRUMENT.ROLL.DOWN($AD98,swapCurve,_xll.CALENDRIER.GAP.FINANCE(TODAY(),"1M","AUD","Unadjusted",TRUE),$L98)+100*$Z98*_xll.CALENDRIER.FRAC.ANNEE(_xll.INSTRUMENT.DATE.REGLEMENT($AD98,,),_xll.INSTRUMENT.DATE.REGLEMENT($AD98,_xll.CALENDRIER.GAP.FINANCE(TODAY(),"1M","AUD","Unadjusted"),),"ACT/365")-$I98)/$I98</f>
        <v>#NAME?</v>
      </c>
      <c r="P98" s="124" t="e">
        <f ca="1">1/_xll.CALENDRIER.FRAC.ANNEE(_xll.INSTRUMENT.DATE.REGLEMENT($AD98,,),_xll.INSTRUMENT.DATE.REGLEMENT($AD98,_xll.CALENDRIER.GAP.FINANCE(TODAY(),"3M","AUD","Unadjusted"),),"ACT/365")*(_xll.INSTRUMENT.ROLL.DOWN($AD98,swapCurve,_xll.CALENDRIER.GAP.FINANCE(TODAY(),"3M","AUD","Unadjusted",TRUE),$L98)+100*$Z98*_xll.CALENDRIER.FRAC.ANNEE(_xll.INSTRUMENT.DATE.REGLEMENT($AD98,,),_xll.INSTRUMENT.DATE.REGLEMENT($AD98,_xll.CALENDRIER.GAP.FINANCE(TODAY(),"3M","AUD","Unadjusted"),),"ACT/365")-$I98)/$I98</f>
        <v>#NAME?</v>
      </c>
      <c r="Q98" s="143" t="e">
        <f t="shared" ca="1" si="7"/>
        <v>#VALUE!</v>
      </c>
      <c r="R98" s="191" t="str">
        <f>IF(F98&lt;&gt;"","",IF(G98="","",-G98*(SUMIF('raw Data'!$A:$A,"RESINV1USD",'raw Data'!$G:$G)+SUMIF('raw Data'!$A:$A,"RESSWAPORUSD",'raw Data'!$G:$G))/(36500*J98)))</f>
        <v/>
      </c>
      <c r="S98" s="202" t="str">
        <f>IF(G98&lt;&gt;"","",IF(F98="","",-36500*J98*F98/(SUMIF('raw Data'!$A:$A,"RESINV1USD",'raw Data'!$G:$G)+SUMIF('raw Data'!$A:$A,"RESSWAPORUSD",'raw Data'!$G:$G))))</f>
        <v/>
      </c>
      <c r="T98" s="125">
        <f>SUMIF('raw Data'!$E:$E,A98,'raw Data'!$N:$N)</f>
        <v>0</v>
      </c>
      <c r="U98" s="126" t="e">
        <f ca="1">VALUE(_xll.BDP($A98 &amp; " Corp",U$1))</f>
        <v>#NAME?</v>
      </c>
      <c r="V98" s="127" t="e">
        <f ca="1">VALUE(_xll.BDP($A98 &amp; " Corp",V$1))</f>
        <v>#NAME?</v>
      </c>
      <c r="W98" s="127" t="e">
        <f ca="1">VALUE(_xll.BDP($A98 &amp; " Corp",W$1))</f>
        <v>#NAME?</v>
      </c>
      <c r="X98" s="127" t="e">
        <f ca="1">VALUE(_xll.BDP($A98 &amp; " Corp",X$1))</f>
        <v>#NAME?</v>
      </c>
      <c r="Y98" s="127" t="e">
        <f ca="1">VALUE(_xll.BDP($A98 &amp; " Corp",Y$1))</f>
        <v>#NAME?</v>
      </c>
      <c r="Z98" s="128" t="e">
        <f ca="1">_xll.BDP($A98 &amp; " Corp",Z$1)/100</f>
        <v>#NAME?</v>
      </c>
      <c r="AA98" s="129" t="e">
        <f ca="1">_xll.BDP($A98 &amp; " Corp",AA$1)</f>
        <v>#NAME?</v>
      </c>
      <c r="AB98" s="129" t="e">
        <f ca="1">_xll.BDP($A98 &amp; " Corp",AB$1)</f>
        <v>#NAME?</v>
      </c>
      <c r="AC98" s="129" t="e">
        <f ca="1">_xll.BDP($A98 &amp; " Corp",AC$1)</f>
        <v>#NAME?</v>
      </c>
      <c r="AD98" s="130" t="e">
        <f ca="1">_xll.INSTANCE.YANKEE(A98,U98,V98,W98,X98,Y98,Z98,AA98,LEFT(AC98,11),3,IF(RIGHT(AC98,6)="NONEOM",FALSE,TRUE),TODAY())</f>
        <v>#VALUE!</v>
      </c>
      <c r="AE98" s="130" t="e">
        <f ca="1">_xll.INSTANCE.CONVENTION.TAUX("conv_" &amp; A98,LEFT(AC98,11),"Compounded",IF(AA98=1,"Annual",IF(AA98=2,"Semi-Annual","")),"Unadjusted",TODAY())</f>
        <v>#VALUE!</v>
      </c>
    </row>
    <row r="99" spans="1:31" x14ac:dyDescent="0.35">
      <c r="A99" s="131" t="s">
        <v>659</v>
      </c>
      <c r="B99" s="115" t="e">
        <f ca="1">_xll.BDP($A99 &amp; " Govt",B$1)</f>
        <v>#NAME?</v>
      </c>
      <c r="C99" s="201" t="e">
        <f t="shared" ca="1" si="6"/>
        <v>#NAME?</v>
      </c>
      <c r="D99" s="116"/>
      <c r="E99" s="117"/>
      <c r="F99" s="118"/>
      <c r="G99" s="119"/>
      <c r="H99" s="120" t="e">
        <f ca="1">IF(E99="",_xll.BDP(A99 &amp; " Corp","YLD_YTM_ASK")/100,E99)</f>
        <v>#NAME?</v>
      </c>
      <c r="I99" s="121" t="e">
        <f ca="1">_xll.INSTRUMENT.PRIX(AD99,D99,H99,AE99)</f>
        <v>#VALUE!</v>
      </c>
      <c r="J99" s="122" t="e">
        <f ca="1">_xll.INSTRUMENT.DV01(AD99,,,I99,cContinuous,I99)</f>
        <v>#VALUE!</v>
      </c>
      <c r="K99" s="123" t="e">
        <f ca="1">_xll.INSTRUMENT.CONVEXITE(AD99,,,I99,cContinuous,I99)</f>
        <v>#VALUE!</v>
      </c>
      <c r="L99" s="123" t="e">
        <f ca="1">_xll.INSTRUMENT.Z.SPREAD(AD99,swapCurve,I99,,D99)</f>
        <v>#VALUE!</v>
      </c>
      <c r="M99" s="123" t="e">
        <f ca="1">_xll.INSTRUMENT.Z.SPREAD(AD99,ustCurve,I99,,D99)</f>
        <v>#VALUE!</v>
      </c>
      <c r="N99" s="123" t="e">
        <f ca="1">_xll.INSTRUMENT.Z.SPREAD(AD99,oisCurve,I99,,D99)</f>
        <v>#VALUE!</v>
      </c>
      <c r="O99" s="124" t="e">
        <f ca="1">1/_xll.CALENDRIER.FRAC.ANNEE(_xll.INSTRUMENT.DATE.REGLEMENT($AD99,,),_xll.INSTRUMENT.DATE.REGLEMENT($AD99,_xll.CALENDRIER.GAP.FINANCE(TODAY(),"1M","AUD","Unadjusted"),),"ACT/365")*(_xll.INSTRUMENT.ROLL.DOWN($AD99,swapCurve,_xll.CALENDRIER.GAP.FINANCE(TODAY(),"1M","AUD","Unadjusted",TRUE),$L99)+100*$Z99*_xll.CALENDRIER.FRAC.ANNEE(_xll.INSTRUMENT.DATE.REGLEMENT($AD99,,),_xll.INSTRUMENT.DATE.REGLEMENT($AD99,_xll.CALENDRIER.GAP.FINANCE(TODAY(),"1M","AUD","Unadjusted"),),"ACT/365")-$I99)/$I99</f>
        <v>#NAME?</v>
      </c>
      <c r="P99" s="124" t="e">
        <f ca="1">1/_xll.CALENDRIER.FRAC.ANNEE(_xll.INSTRUMENT.DATE.REGLEMENT($AD99,,),_xll.INSTRUMENT.DATE.REGLEMENT($AD99,_xll.CALENDRIER.GAP.FINANCE(TODAY(),"3M","AUD","Unadjusted"),),"ACT/365")*(_xll.INSTRUMENT.ROLL.DOWN($AD99,swapCurve,_xll.CALENDRIER.GAP.FINANCE(TODAY(),"3M","AUD","Unadjusted",TRUE),$L99)+100*$Z99*_xll.CALENDRIER.FRAC.ANNEE(_xll.INSTRUMENT.DATE.REGLEMENT($AD99,,),_xll.INSTRUMENT.DATE.REGLEMENT($AD99,_xll.CALENDRIER.GAP.FINANCE(TODAY(),"3M","AUD","Unadjusted"),),"ACT/365")-$I99)/$I99</f>
        <v>#NAME?</v>
      </c>
      <c r="Q99" s="143" t="e">
        <f t="shared" ca="1" si="7"/>
        <v>#VALUE!</v>
      </c>
      <c r="R99" s="191" t="str">
        <f>IF(F99&lt;&gt;"","",IF(G99="","",-G99*(SUMIF('raw Data'!$A:$A,"RESINV1USD",'raw Data'!$G:$G)+SUMIF('raw Data'!$A:$A,"RESSWAPORUSD",'raw Data'!$G:$G))/(36500*J99)))</f>
        <v/>
      </c>
      <c r="S99" s="202" t="str">
        <f>IF(G99&lt;&gt;"","",IF(F99="","",-36500*J99*F99/(SUMIF('raw Data'!$A:$A,"RESINV1USD",'raw Data'!$G:$G)+SUMIF('raw Data'!$A:$A,"RESSWAPORUSD",'raw Data'!$G:$G))))</f>
        <v/>
      </c>
      <c r="T99" s="125">
        <f>SUMIF('raw Data'!$E:$E,A99,'raw Data'!$N:$N)</f>
        <v>0</v>
      </c>
      <c r="U99" s="126" t="e">
        <f ca="1">VALUE(_xll.BDP($A99 &amp; " Corp",U$1))</f>
        <v>#NAME?</v>
      </c>
      <c r="V99" s="127" t="e">
        <f ca="1">VALUE(_xll.BDP($A99 &amp; " Corp",V$1))</f>
        <v>#NAME?</v>
      </c>
      <c r="W99" s="127" t="e">
        <f ca="1">VALUE(_xll.BDP($A99 &amp; " Corp",W$1))</f>
        <v>#NAME?</v>
      </c>
      <c r="X99" s="127" t="e">
        <f ca="1">VALUE(_xll.BDP($A99 &amp; " Corp",X$1))</f>
        <v>#NAME?</v>
      </c>
      <c r="Y99" s="127" t="e">
        <f ca="1">VALUE(_xll.BDP($A99 &amp; " Corp",Y$1))</f>
        <v>#NAME?</v>
      </c>
      <c r="Z99" s="128" t="e">
        <f ca="1">_xll.BDP($A99 &amp; " Corp",Z$1)/100</f>
        <v>#NAME?</v>
      </c>
      <c r="AA99" s="129" t="e">
        <f ca="1">_xll.BDP($A99 &amp; " Corp",AA$1)</f>
        <v>#NAME?</v>
      </c>
      <c r="AB99" s="129" t="e">
        <f ca="1">_xll.BDP($A99 &amp; " Corp",AB$1)</f>
        <v>#NAME?</v>
      </c>
      <c r="AC99" s="129" t="e">
        <f ca="1">_xll.BDP($A99 &amp; " Corp",AC$1)</f>
        <v>#NAME?</v>
      </c>
      <c r="AD99" s="130" t="e">
        <f ca="1">_xll.INSTANCE.YANKEE(A99,U99,V99,W99,X99,Y99,Z99,AA99,LEFT(AC99,11),3,IF(RIGHT(AC99,6)="NONEOM",FALSE,TRUE),TODAY())</f>
        <v>#VALUE!</v>
      </c>
      <c r="AE99" s="130" t="e">
        <f ca="1">_xll.INSTANCE.CONVENTION.TAUX("conv_" &amp; A99,LEFT(AC99,11),"Compounded",IF(AA99=1,"Annual",IF(AA99=2,"Semi-Annual","")),"Unadjusted",TODAY())</f>
        <v>#VALUE!</v>
      </c>
    </row>
    <row r="100" spans="1:31" x14ac:dyDescent="0.35">
      <c r="A100" s="131" t="s">
        <v>666</v>
      </c>
      <c r="B100" s="115" t="e">
        <f ca="1">_xll.BDP($A100 &amp; " Govt",B$1)</f>
        <v>#NAME?</v>
      </c>
      <c r="C100" s="201" t="e">
        <f t="shared" ca="1" si="6"/>
        <v>#NAME?</v>
      </c>
      <c r="D100" s="116"/>
      <c r="E100" s="117"/>
      <c r="F100" s="118"/>
      <c r="G100" s="119"/>
      <c r="H100" s="120" t="e">
        <f ca="1">IF(E100="",_xll.BDP(A100 &amp; " Corp","YLD_YTM_ASK")/100,E100)</f>
        <v>#NAME?</v>
      </c>
      <c r="I100" s="121" t="e">
        <f ca="1">_xll.INSTRUMENT.PRIX(AD100,D100,H100,AE100)</f>
        <v>#VALUE!</v>
      </c>
      <c r="J100" s="122" t="e">
        <f ca="1">_xll.INSTRUMENT.DV01(AD100,,,I100,cContinuous,I100)</f>
        <v>#VALUE!</v>
      </c>
      <c r="K100" s="123" t="e">
        <f ca="1">_xll.INSTRUMENT.CONVEXITE(AD100,,,I100,cContinuous,I100)</f>
        <v>#VALUE!</v>
      </c>
      <c r="L100" s="123" t="e">
        <f ca="1">_xll.INSTRUMENT.Z.SPREAD(AD100,swapCurve,I100,,D100)</f>
        <v>#VALUE!</v>
      </c>
      <c r="M100" s="123" t="e">
        <f ca="1">_xll.INSTRUMENT.Z.SPREAD(AD100,ustCurve,I100,,D100)</f>
        <v>#VALUE!</v>
      </c>
      <c r="N100" s="123" t="e">
        <f ca="1">_xll.INSTRUMENT.Z.SPREAD(AD100,oisCurve,I100,,D100)</f>
        <v>#VALUE!</v>
      </c>
      <c r="O100" s="124" t="e">
        <f ca="1">1/_xll.CALENDRIER.FRAC.ANNEE(_xll.INSTRUMENT.DATE.REGLEMENT($AD100,,),_xll.INSTRUMENT.DATE.REGLEMENT($AD100,_xll.CALENDRIER.GAP.FINANCE(TODAY(),"1M","AUD","Unadjusted"),),"ACT/365")*(_xll.INSTRUMENT.ROLL.DOWN($AD100,swapCurve,_xll.CALENDRIER.GAP.FINANCE(TODAY(),"1M","AUD","Unadjusted",TRUE),$L100)+100*$Z100*_xll.CALENDRIER.FRAC.ANNEE(_xll.INSTRUMENT.DATE.REGLEMENT($AD100,,),_xll.INSTRUMENT.DATE.REGLEMENT($AD100,_xll.CALENDRIER.GAP.FINANCE(TODAY(),"1M","AUD","Unadjusted"),),"ACT/365")-$I100)/$I100</f>
        <v>#NAME?</v>
      </c>
      <c r="P100" s="124" t="e">
        <f ca="1">1/_xll.CALENDRIER.FRAC.ANNEE(_xll.INSTRUMENT.DATE.REGLEMENT($AD100,,),_xll.INSTRUMENT.DATE.REGLEMENT($AD100,_xll.CALENDRIER.GAP.FINANCE(TODAY(),"3M","AUD","Unadjusted"),),"ACT/365")*(_xll.INSTRUMENT.ROLL.DOWN($AD100,swapCurve,_xll.CALENDRIER.GAP.FINANCE(TODAY(),"3M","AUD","Unadjusted",TRUE),$L100)+100*$Z100*_xll.CALENDRIER.FRAC.ANNEE(_xll.INSTRUMENT.DATE.REGLEMENT($AD100,,),_xll.INSTRUMENT.DATE.REGLEMENT($AD100,_xll.CALENDRIER.GAP.FINANCE(TODAY(),"3M","AUD","Unadjusted"),),"ACT/365")-$I100)/$I100</f>
        <v>#NAME?</v>
      </c>
      <c r="Q100" s="143" t="e">
        <f t="shared" ca="1" si="7"/>
        <v>#VALUE!</v>
      </c>
      <c r="R100" s="191" t="str">
        <f>IF(F100&lt;&gt;"","",IF(G100="","",-G100*(SUMIF('raw Data'!$A:$A,"RESINV1USD",'raw Data'!$G:$G)+SUMIF('raw Data'!$A:$A,"RESSWAPORUSD",'raw Data'!$G:$G))/(36500*J100)))</f>
        <v/>
      </c>
      <c r="S100" s="202" t="str">
        <f>IF(G100&lt;&gt;"","",IF(F100="","",-36500*J100*F100/(SUMIF('raw Data'!$A:$A,"RESINV1USD",'raw Data'!$G:$G)+SUMIF('raw Data'!$A:$A,"RESSWAPORUSD",'raw Data'!$G:$G))))</f>
        <v/>
      </c>
      <c r="T100" s="125">
        <f>SUMIF('raw Data'!$E:$E,A100,'raw Data'!$N:$N)</f>
        <v>0</v>
      </c>
      <c r="U100" s="126" t="e">
        <f ca="1">VALUE(_xll.BDP($A100 &amp; " Corp",U$1))</f>
        <v>#NAME?</v>
      </c>
      <c r="V100" s="127" t="e">
        <f ca="1">VALUE(_xll.BDP($A100 &amp; " Corp",V$1))</f>
        <v>#NAME?</v>
      </c>
      <c r="W100" s="127" t="e">
        <f ca="1">VALUE(_xll.BDP($A100 &amp; " Corp",W$1))</f>
        <v>#NAME?</v>
      </c>
      <c r="X100" s="127" t="e">
        <f ca="1">VALUE(_xll.BDP($A100 &amp; " Corp",X$1))</f>
        <v>#NAME?</v>
      </c>
      <c r="Y100" s="127" t="e">
        <f ca="1">VALUE(_xll.BDP($A100 &amp; " Corp",Y$1))</f>
        <v>#NAME?</v>
      </c>
      <c r="Z100" s="128" t="e">
        <f ca="1">_xll.BDP($A100 &amp; " Corp",Z$1)/100</f>
        <v>#NAME?</v>
      </c>
      <c r="AA100" s="129" t="e">
        <f ca="1">_xll.BDP($A100 &amp; " Corp",AA$1)</f>
        <v>#NAME?</v>
      </c>
      <c r="AB100" s="129" t="e">
        <f ca="1">_xll.BDP($A100 &amp; " Corp",AB$1)</f>
        <v>#NAME?</v>
      </c>
      <c r="AC100" s="129" t="e">
        <f ca="1">_xll.BDP($A100 &amp; " Corp",AC$1)</f>
        <v>#NAME?</v>
      </c>
      <c r="AD100" s="130" t="e">
        <f ca="1">_xll.INSTANCE.YANKEE(A100,U100,V100,W100,X100,Y100,Z100,AA100,LEFT(AC100,11),3,IF(RIGHT(AC100,6)="NONEOM",FALSE,TRUE),TODAY())</f>
        <v>#VALUE!</v>
      </c>
      <c r="AE100" s="130" t="e">
        <f ca="1">_xll.INSTANCE.CONVENTION.TAUX("conv_" &amp; A100,LEFT(AC100,11),"Compounded",IF(AA100=1,"Annual",IF(AA100=2,"Semi-Annual","")),"Unadjusted",TODAY())</f>
        <v>#VALUE!</v>
      </c>
    </row>
    <row r="101" spans="1:31" x14ac:dyDescent="0.35">
      <c r="A101" s="131" t="s">
        <v>652</v>
      </c>
      <c r="B101" s="115" t="e">
        <f ca="1">_xll.BDP($A101 &amp; " Govt",B$1)</f>
        <v>#NAME?</v>
      </c>
      <c r="C101" s="201" t="e">
        <f t="shared" ca="1" si="6"/>
        <v>#NAME?</v>
      </c>
      <c r="D101" s="116"/>
      <c r="E101" s="117"/>
      <c r="F101" s="118"/>
      <c r="G101" s="119"/>
      <c r="H101" s="120" t="e">
        <f ca="1">IF(E101="",_xll.BDP(A101 &amp; " Corp","YLD_YTM_ASK")/100,E101)</f>
        <v>#NAME?</v>
      </c>
      <c r="I101" s="121" t="e">
        <f ca="1">_xll.INSTRUMENT.PRIX(AD101,D101,H101,AE101)</f>
        <v>#VALUE!</v>
      </c>
      <c r="J101" s="122" t="e">
        <f ca="1">_xll.INSTRUMENT.DV01(AD101,,,I101,cContinuous,I101)</f>
        <v>#VALUE!</v>
      </c>
      <c r="K101" s="123" t="e">
        <f ca="1">_xll.INSTRUMENT.CONVEXITE(AD101,,,I101,cContinuous,I101)</f>
        <v>#VALUE!</v>
      </c>
      <c r="L101" s="123" t="e">
        <f ca="1">_xll.INSTRUMENT.Z.SPREAD(AD101,swapCurve,I101,,D101)</f>
        <v>#VALUE!</v>
      </c>
      <c r="M101" s="123" t="e">
        <f ca="1">_xll.INSTRUMENT.Z.SPREAD(AD101,ustCurve,I101,,D101)</f>
        <v>#VALUE!</v>
      </c>
      <c r="N101" s="123" t="e">
        <f ca="1">_xll.INSTRUMENT.Z.SPREAD(AD101,oisCurve,I101,,D101)</f>
        <v>#VALUE!</v>
      </c>
      <c r="O101" s="124" t="e">
        <f ca="1">1/_xll.CALENDRIER.FRAC.ANNEE(_xll.INSTRUMENT.DATE.REGLEMENT($AD101,,),_xll.INSTRUMENT.DATE.REGLEMENT($AD101,_xll.CALENDRIER.GAP.FINANCE(TODAY(),"1M","AUD","Unadjusted"),),"ACT/365")*(_xll.INSTRUMENT.ROLL.DOWN($AD101,swapCurve,_xll.CALENDRIER.GAP.FINANCE(TODAY(),"1M","AUD","Unadjusted",TRUE),$L101)+100*$Z101*_xll.CALENDRIER.FRAC.ANNEE(_xll.INSTRUMENT.DATE.REGLEMENT($AD101,,),_xll.INSTRUMENT.DATE.REGLEMENT($AD101,_xll.CALENDRIER.GAP.FINANCE(TODAY(),"1M","AUD","Unadjusted"),),"ACT/365")-$I101)/$I101</f>
        <v>#NAME?</v>
      </c>
      <c r="P101" s="124" t="e">
        <f ca="1">1/_xll.CALENDRIER.FRAC.ANNEE(_xll.INSTRUMENT.DATE.REGLEMENT($AD101,,),_xll.INSTRUMENT.DATE.REGLEMENT($AD101,_xll.CALENDRIER.GAP.FINANCE(TODAY(),"3M","AUD","Unadjusted"),),"ACT/365")*(_xll.INSTRUMENT.ROLL.DOWN($AD101,swapCurve,_xll.CALENDRIER.GAP.FINANCE(TODAY(),"3M","AUD","Unadjusted",TRUE),$L101)+100*$Z101*_xll.CALENDRIER.FRAC.ANNEE(_xll.INSTRUMENT.DATE.REGLEMENT($AD101,,),_xll.INSTRUMENT.DATE.REGLEMENT($AD101,_xll.CALENDRIER.GAP.FINANCE(TODAY(),"3M","AUD","Unadjusted"),),"ACT/365")-$I101)/$I101</f>
        <v>#NAME?</v>
      </c>
      <c r="Q101" s="143" t="e">
        <f t="shared" ca="1" si="7"/>
        <v>#VALUE!</v>
      </c>
      <c r="R101" s="191" t="str">
        <f>IF(F101&lt;&gt;"","",IF(G101="","",-G101*(SUMIF('raw Data'!$A:$A,"RESINV1USD",'raw Data'!$G:$G)+SUMIF('raw Data'!$A:$A,"RESSWAPORUSD",'raw Data'!$G:$G))/(36500*J101)))</f>
        <v/>
      </c>
      <c r="S101" s="202" t="str">
        <f>IF(G101&lt;&gt;"","",IF(F101="","",-36500*J101*F101/(SUMIF('raw Data'!$A:$A,"RESINV1USD",'raw Data'!$G:$G)+SUMIF('raw Data'!$A:$A,"RESSWAPORUSD",'raw Data'!$G:$G))))</f>
        <v/>
      </c>
      <c r="T101" s="125">
        <f>SUMIF('raw Data'!$E:$E,A101,'raw Data'!$N:$N)</f>
        <v>0</v>
      </c>
      <c r="U101" s="126" t="e">
        <f ca="1">VALUE(_xll.BDP($A101 &amp; " Corp",U$1))</f>
        <v>#NAME?</v>
      </c>
      <c r="V101" s="127" t="e">
        <f ca="1">VALUE(_xll.BDP($A101 &amp; " Corp",V$1))</f>
        <v>#NAME?</v>
      </c>
      <c r="W101" s="127" t="e">
        <f ca="1">VALUE(_xll.BDP($A101 &amp; " Corp",W$1))</f>
        <v>#NAME?</v>
      </c>
      <c r="X101" s="127" t="e">
        <f ca="1">VALUE(_xll.BDP($A101 &amp; " Corp",X$1))</f>
        <v>#NAME?</v>
      </c>
      <c r="Y101" s="127" t="e">
        <f ca="1">VALUE(_xll.BDP($A101 &amp; " Corp",Y$1))</f>
        <v>#NAME?</v>
      </c>
      <c r="Z101" s="128" t="e">
        <f ca="1">_xll.BDP($A101 &amp; " Corp",Z$1)/100</f>
        <v>#NAME?</v>
      </c>
      <c r="AA101" s="129" t="e">
        <f ca="1">_xll.BDP($A101 &amp; " Corp",AA$1)</f>
        <v>#NAME?</v>
      </c>
      <c r="AB101" s="129" t="e">
        <f ca="1">_xll.BDP($A101 &amp; " Corp",AB$1)</f>
        <v>#NAME?</v>
      </c>
      <c r="AC101" s="129" t="e">
        <f ca="1">_xll.BDP($A101 &amp; " Corp",AC$1)</f>
        <v>#NAME?</v>
      </c>
      <c r="AD101" s="130" t="e">
        <f ca="1">_xll.INSTANCE.YANKEE(A101,U101,V101,W101,X101,Y101,Z101,AA101,LEFT(AC101,11),3,IF(RIGHT(AC101,6)="NONEOM",FALSE,TRUE),TODAY())</f>
        <v>#VALUE!</v>
      </c>
      <c r="AE101" s="130" t="e">
        <f ca="1">_xll.INSTANCE.CONVENTION.TAUX("conv_" &amp; A101,LEFT(AC101,11),"Compounded",IF(AA101=1,"Annual",IF(AA101=2,"Semi-Annual","")),"Unadjusted",TODAY())</f>
        <v>#VALUE!</v>
      </c>
    </row>
    <row r="102" spans="1:31" x14ac:dyDescent="0.35">
      <c r="A102" s="131" t="s">
        <v>653</v>
      </c>
      <c r="B102" s="115" t="e">
        <f ca="1">_xll.BDP($A102 &amp; " Govt",B$1)</f>
        <v>#NAME?</v>
      </c>
      <c r="C102" s="201" t="e">
        <f t="shared" ca="1" si="6"/>
        <v>#NAME?</v>
      </c>
      <c r="D102" s="116"/>
      <c r="E102" s="117"/>
      <c r="F102" s="118"/>
      <c r="G102" s="119"/>
      <c r="H102" s="120" t="e">
        <f ca="1">IF(E102="",_xll.BDP(A102 &amp; " Corp","YLD_YTM_ASK")/100,E102)</f>
        <v>#NAME?</v>
      </c>
      <c r="I102" s="121" t="e">
        <f ca="1">_xll.INSTRUMENT.PRIX(AD102,D102,H102,AE102)</f>
        <v>#VALUE!</v>
      </c>
      <c r="J102" s="122" t="e">
        <f ca="1">_xll.INSTRUMENT.DV01(AD102,,,I102,cContinuous,I102)</f>
        <v>#VALUE!</v>
      </c>
      <c r="K102" s="123" t="e">
        <f ca="1">_xll.INSTRUMENT.CONVEXITE(AD102,,,I102,cContinuous,I102)</f>
        <v>#VALUE!</v>
      </c>
      <c r="L102" s="123" t="e">
        <f ca="1">_xll.INSTRUMENT.Z.SPREAD(AD102,swapCurve,I102,,D102)</f>
        <v>#VALUE!</v>
      </c>
      <c r="M102" s="123" t="e">
        <f ca="1">_xll.INSTRUMENT.Z.SPREAD(AD102,ustCurve,I102,,D102)</f>
        <v>#VALUE!</v>
      </c>
      <c r="N102" s="123" t="e">
        <f ca="1">_xll.INSTRUMENT.Z.SPREAD(AD102,oisCurve,I102,,D102)</f>
        <v>#VALUE!</v>
      </c>
      <c r="O102" s="124" t="e">
        <f ca="1">1/_xll.CALENDRIER.FRAC.ANNEE(_xll.INSTRUMENT.DATE.REGLEMENT($AD102,,),_xll.INSTRUMENT.DATE.REGLEMENT($AD102,_xll.CALENDRIER.GAP.FINANCE(TODAY(),"1M","AUD","Unadjusted"),),"ACT/365")*(_xll.INSTRUMENT.ROLL.DOWN($AD102,swapCurve,_xll.CALENDRIER.GAP.FINANCE(TODAY(),"1M","AUD","Unadjusted",TRUE),$L102)+100*$Z102*_xll.CALENDRIER.FRAC.ANNEE(_xll.INSTRUMENT.DATE.REGLEMENT($AD102,,),_xll.INSTRUMENT.DATE.REGLEMENT($AD102,_xll.CALENDRIER.GAP.FINANCE(TODAY(),"1M","AUD","Unadjusted"),),"ACT/365")-$I102)/$I102</f>
        <v>#NAME?</v>
      </c>
      <c r="P102" s="124" t="e">
        <f ca="1">1/_xll.CALENDRIER.FRAC.ANNEE(_xll.INSTRUMENT.DATE.REGLEMENT($AD102,,),_xll.INSTRUMENT.DATE.REGLEMENT($AD102,_xll.CALENDRIER.GAP.FINANCE(TODAY(),"3M","AUD","Unadjusted"),),"ACT/365")*(_xll.INSTRUMENT.ROLL.DOWN($AD102,swapCurve,_xll.CALENDRIER.GAP.FINANCE(TODAY(),"3M","AUD","Unadjusted",TRUE),$L102)+100*$Z102*_xll.CALENDRIER.FRAC.ANNEE(_xll.INSTRUMENT.DATE.REGLEMENT($AD102,,),_xll.INSTRUMENT.DATE.REGLEMENT($AD102,_xll.CALENDRIER.GAP.FINANCE(TODAY(),"3M","AUD","Unadjusted"),),"ACT/365")-$I102)/$I102</f>
        <v>#NAME?</v>
      </c>
      <c r="Q102" s="143" t="e">
        <f t="shared" ca="1" si="7"/>
        <v>#VALUE!</v>
      </c>
      <c r="R102" s="191" t="str">
        <f>IF(F102&lt;&gt;"","",IF(G102="","",-G102*(SUMIF('raw Data'!$A:$A,"RESINV1USD",'raw Data'!$G:$G)+SUMIF('raw Data'!$A:$A,"RESSWAPORUSD",'raw Data'!$G:$G))/(36500*J102)))</f>
        <v/>
      </c>
      <c r="S102" s="202" t="str">
        <f>IF(G102&lt;&gt;"","",IF(F102="","",-36500*J102*F102/(SUMIF('raw Data'!$A:$A,"RESINV1USD",'raw Data'!$G:$G)+SUMIF('raw Data'!$A:$A,"RESSWAPORUSD",'raw Data'!$G:$G))))</f>
        <v/>
      </c>
      <c r="T102" s="125">
        <f>SUMIF('raw Data'!$E:$E,A102,'raw Data'!$N:$N)</f>
        <v>0</v>
      </c>
      <c r="U102" s="126" t="e">
        <f ca="1">VALUE(_xll.BDP($A102 &amp; " Corp",U$1))</f>
        <v>#NAME?</v>
      </c>
      <c r="V102" s="127" t="e">
        <f ca="1">VALUE(_xll.BDP($A102 &amp; " Corp",V$1))</f>
        <v>#NAME?</v>
      </c>
      <c r="W102" s="127" t="e">
        <f ca="1">VALUE(_xll.BDP($A102 &amp; " Corp",W$1))</f>
        <v>#NAME?</v>
      </c>
      <c r="X102" s="127" t="e">
        <f ca="1">VALUE(_xll.BDP($A102 &amp; " Corp",X$1))</f>
        <v>#NAME?</v>
      </c>
      <c r="Y102" s="127" t="e">
        <f ca="1">VALUE(_xll.BDP($A102 &amp; " Corp",Y$1))</f>
        <v>#NAME?</v>
      </c>
      <c r="Z102" s="128" t="e">
        <f ca="1">_xll.BDP($A102 &amp; " Corp",Z$1)/100</f>
        <v>#NAME?</v>
      </c>
      <c r="AA102" s="129" t="e">
        <f ca="1">_xll.BDP($A102 &amp; " Corp",AA$1)</f>
        <v>#NAME?</v>
      </c>
      <c r="AB102" s="129" t="e">
        <f ca="1">_xll.BDP($A102 &amp; " Corp",AB$1)</f>
        <v>#NAME?</v>
      </c>
      <c r="AC102" s="129" t="e">
        <f ca="1">_xll.BDP($A102 &amp; " Corp",AC$1)</f>
        <v>#NAME?</v>
      </c>
      <c r="AD102" s="130" t="e">
        <f ca="1">_xll.INSTANCE.YANKEE(A102,U102,V102,W102,X102,Y102,Z102,AA102,LEFT(AC102,11),3,IF(RIGHT(AC102,6)="NONEOM",FALSE,TRUE),TODAY())</f>
        <v>#VALUE!</v>
      </c>
      <c r="AE102" s="130" t="e">
        <f ca="1">_xll.INSTANCE.CONVENTION.TAUX("conv_" &amp; A102,LEFT(AC102,11),"Compounded",IF(AA102=1,"Annual",IF(AA102=2,"Semi-Annual","")),"Unadjusted",TODAY())</f>
        <v>#VALUE!</v>
      </c>
    </row>
    <row r="103" spans="1:31" x14ac:dyDescent="0.35">
      <c r="A103" s="131" t="s">
        <v>670</v>
      </c>
      <c r="B103" s="115" t="e">
        <f ca="1">_xll.BDP($A103 &amp; " Govt",B$1)</f>
        <v>#NAME?</v>
      </c>
      <c r="C103" s="201" t="e">
        <f t="shared" ca="1" si="6"/>
        <v>#NAME?</v>
      </c>
      <c r="D103" s="116"/>
      <c r="E103" s="117"/>
      <c r="F103" s="118"/>
      <c r="G103" s="119"/>
      <c r="H103" s="120" t="e">
        <f ca="1">IF(E103="",_xll.BDP(A103 &amp; " Corp","YLD_YTM_ASK")/100,E103)</f>
        <v>#NAME?</v>
      </c>
      <c r="I103" s="121" t="e">
        <f ca="1">_xll.INSTRUMENT.PRIX(AD103,D103,H103,AE103)</f>
        <v>#VALUE!</v>
      </c>
      <c r="J103" s="122" t="e">
        <f ca="1">_xll.INSTRUMENT.DV01(AD103,,,I103,cContinuous,I103)</f>
        <v>#VALUE!</v>
      </c>
      <c r="K103" s="123" t="e">
        <f ca="1">_xll.INSTRUMENT.CONVEXITE(AD103,,,I103,cContinuous,I103)</f>
        <v>#VALUE!</v>
      </c>
      <c r="L103" s="123" t="e">
        <f ca="1">_xll.INSTRUMENT.Z.SPREAD(AD103,swapCurve,I103,,D103)</f>
        <v>#VALUE!</v>
      </c>
      <c r="M103" s="123" t="e">
        <f ca="1">_xll.INSTRUMENT.Z.SPREAD(AD103,ustCurve,I103,,D103)</f>
        <v>#VALUE!</v>
      </c>
      <c r="N103" s="123" t="e">
        <f ca="1">_xll.INSTRUMENT.Z.SPREAD(AD103,oisCurve,I103,,D103)</f>
        <v>#VALUE!</v>
      </c>
      <c r="O103" s="124" t="e">
        <f ca="1">1/_xll.CALENDRIER.FRAC.ANNEE(_xll.INSTRUMENT.DATE.REGLEMENT($AD103,,),_xll.INSTRUMENT.DATE.REGLEMENT($AD103,_xll.CALENDRIER.GAP.FINANCE(TODAY(),"1M","AUD","Unadjusted"),),"ACT/365")*(_xll.INSTRUMENT.ROLL.DOWN($AD103,swapCurve,_xll.CALENDRIER.GAP.FINANCE(TODAY(),"1M","AUD","Unadjusted",TRUE),$L103)+100*$Z103*_xll.CALENDRIER.FRAC.ANNEE(_xll.INSTRUMENT.DATE.REGLEMENT($AD103,,),_xll.INSTRUMENT.DATE.REGLEMENT($AD103,_xll.CALENDRIER.GAP.FINANCE(TODAY(),"1M","AUD","Unadjusted"),),"ACT/365")-$I103)/$I103</f>
        <v>#NAME?</v>
      </c>
      <c r="P103" s="124" t="e">
        <f ca="1">1/_xll.CALENDRIER.FRAC.ANNEE(_xll.INSTRUMENT.DATE.REGLEMENT($AD103,,),_xll.INSTRUMENT.DATE.REGLEMENT($AD103,_xll.CALENDRIER.GAP.FINANCE(TODAY(),"3M","AUD","Unadjusted"),),"ACT/365")*(_xll.INSTRUMENT.ROLL.DOWN($AD103,swapCurve,_xll.CALENDRIER.GAP.FINANCE(TODAY(),"3M","AUD","Unadjusted",TRUE),$L103)+100*$Z103*_xll.CALENDRIER.FRAC.ANNEE(_xll.INSTRUMENT.DATE.REGLEMENT($AD103,,),_xll.INSTRUMENT.DATE.REGLEMENT($AD103,_xll.CALENDRIER.GAP.FINANCE(TODAY(),"3M","AUD","Unadjusted"),),"ACT/365")-$I103)/$I103</f>
        <v>#NAME?</v>
      </c>
      <c r="Q103" s="143" t="e">
        <f t="shared" ca="1" si="7"/>
        <v>#VALUE!</v>
      </c>
      <c r="R103" s="191" t="str">
        <f>IF(F103&lt;&gt;"","",IF(G103="","",-G103*(SUMIF('raw Data'!$A:$A,"RESINV1USD",'raw Data'!$G:$G)+SUMIF('raw Data'!$A:$A,"RESSWAPORUSD",'raw Data'!$G:$G))/(36500*J103)))</f>
        <v/>
      </c>
      <c r="S103" s="202" t="str">
        <f>IF(G103&lt;&gt;"","",IF(F103="","",-36500*J103*F103/(SUMIF('raw Data'!$A:$A,"RESINV1USD",'raw Data'!$G:$G)+SUMIF('raw Data'!$A:$A,"RESSWAPORUSD",'raw Data'!$G:$G))))</f>
        <v/>
      </c>
      <c r="T103" s="125">
        <f>SUMIF('raw Data'!$E:$E,A103,'raw Data'!$N:$N)</f>
        <v>0</v>
      </c>
      <c r="U103" s="126" t="e">
        <f ca="1">VALUE(_xll.BDP($A103 &amp; " Corp",U$1))</f>
        <v>#NAME?</v>
      </c>
      <c r="V103" s="127" t="e">
        <f ca="1">VALUE(_xll.BDP($A103 &amp; " Corp",V$1))</f>
        <v>#NAME?</v>
      </c>
      <c r="W103" s="127" t="e">
        <f ca="1">VALUE(_xll.BDP($A103 &amp; " Corp",W$1))</f>
        <v>#NAME?</v>
      </c>
      <c r="X103" s="127" t="e">
        <f ca="1">VALUE(_xll.BDP($A103 &amp; " Corp",X$1))</f>
        <v>#NAME?</v>
      </c>
      <c r="Y103" s="127" t="e">
        <f ca="1">VALUE(_xll.BDP($A103 &amp; " Corp",Y$1))</f>
        <v>#NAME?</v>
      </c>
      <c r="Z103" s="128" t="e">
        <f ca="1">_xll.BDP($A103 &amp; " Corp",Z$1)/100</f>
        <v>#NAME?</v>
      </c>
      <c r="AA103" s="129" t="e">
        <f ca="1">_xll.BDP($A103 &amp; " Corp",AA$1)</f>
        <v>#NAME?</v>
      </c>
      <c r="AB103" s="129" t="e">
        <f ca="1">_xll.BDP($A103 &amp; " Corp",AB$1)</f>
        <v>#NAME?</v>
      </c>
      <c r="AC103" s="129" t="e">
        <f ca="1">_xll.BDP($A103 &amp; " Corp",AC$1)</f>
        <v>#NAME?</v>
      </c>
      <c r="AD103" s="130" t="e">
        <f ca="1">_xll.INSTANCE.YANKEE(A103,U103,V103,W103,X103,Y103,Z103,AA103,LEFT(AC103,11),3,IF(RIGHT(AC103,6)="NONEOM",FALSE,TRUE),TODAY())</f>
        <v>#VALUE!</v>
      </c>
      <c r="AE103" s="130" t="e">
        <f ca="1">_xll.INSTANCE.CONVENTION.TAUX("conv_" &amp; A103,LEFT(AC103,11),"Compounded",IF(AA103=1,"Annual",IF(AA103=2,"Semi-Annual","")),"Unadjusted",TODAY())</f>
        <v>#VALUE!</v>
      </c>
    </row>
    <row r="104" spans="1:31" x14ac:dyDescent="0.35">
      <c r="A104" s="131" t="s">
        <v>657</v>
      </c>
      <c r="B104" s="115" t="e">
        <f ca="1">_xll.BDP($A104 &amp; " Govt",B$1)</f>
        <v>#NAME?</v>
      </c>
      <c r="C104" s="201" t="e">
        <f t="shared" ca="1" si="6"/>
        <v>#NAME?</v>
      </c>
      <c r="D104" s="116"/>
      <c r="E104" s="117"/>
      <c r="F104" s="118"/>
      <c r="G104" s="119"/>
      <c r="H104" s="120" t="e">
        <f ca="1">IF(E104="",_xll.BDP(A104 &amp; " Corp","YLD_YTM_ASK")/100,E104)</f>
        <v>#NAME?</v>
      </c>
      <c r="I104" s="121" t="e">
        <f ca="1">_xll.INSTRUMENT.PRIX(AD104,D104,H104,AE104)</f>
        <v>#VALUE!</v>
      </c>
      <c r="J104" s="122" t="e">
        <f ca="1">_xll.INSTRUMENT.DV01(AD104,,,I104,cContinuous,I104)</f>
        <v>#VALUE!</v>
      </c>
      <c r="K104" s="123" t="e">
        <f ca="1">_xll.INSTRUMENT.CONVEXITE(AD104,,,I104,cContinuous,I104)</f>
        <v>#VALUE!</v>
      </c>
      <c r="L104" s="123" t="e">
        <f ca="1">_xll.INSTRUMENT.Z.SPREAD(AD104,swapCurve,I104,,D104)</f>
        <v>#VALUE!</v>
      </c>
      <c r="M104" s="123" t="e">
        <f ca="1">_xll.INSTRUMENT.Z.SPREAD(AD104,ustCurve,I104,,D104)</f>
        <v>#VALUE!</v>
      </c>
      <c r="N104" s="123" t="e">
        <f ca="1">_xll.INSTRUMENT.Z.SPREAD(AD104,oisCurve,I104,,D104)</f>
        <v>#VALUE!</v>
      </c>
      <c r="O104" s="124" t="e">
        <f ca="1">1/_xll.CALENDRIER.FRAC.ANNEE(_xll.INSTRUMENT.DATE.REGLEMENT($AD104,,),_xll.INSTRUMENT.DATE.REGLEMENT($AD104,_xll.CALENDRIER.GAP.FINANCE(TODAY(),"1M","AUD","Unadjusted"),),"ACT/365")*(_xll.INSTRUMENT.ROLL.DOWN($AD104,swapCurve,_xll.CALENDRIER.GAP.FINANCE(TODAY(),"1M","AUD","Unadjusted",TRUE),$L104)+100*$Z104*_xll.CALENDRIER.FRAC.ANNEE(_xll.INSTRUMENT.DATE.REGLEMENT($AD104,,),_xll.INSTRUMENT.DATE.REGLEMENT($AD104,_xll.CALENDRIER.GAP.FINANCE(TODAY(),"1M","AUD","Unadjusted"),),"ACT/365")-$I104)/$I104</f>
        <v>#NAME?</v>
      </c>
      <c r="P104" s="124" t="e">
        <f ca="1">1/_xll.CALENDRIER.FRAC.ANNEE(_xll.INSTRUMENT.DATE.REGLEMENT($AD104,,),_xll.INSTRUMENT.DATE.REGLEMENT($AD104,_xll.CALENDRIER.GAP.FINANCE(TODAY(),"3M","AUD","Unadjusted"),),"ACT/365")*(_xll.INSTRUMENT.ROLL.DOWN($AD104,swapCurve,_xll.CALENDRIER.GAP.FINANCE(TODAY(),"3M","AUD","Unadjusted",TRUE),$L104)+100*$Z104*_xll.CALENDRIER.FRAC.ANNEE(_xll.INSTRUMENT.DATE.REGLEMENT($AD104,,),_xll.INSTRUMENT.DATE.REGLEMENT($AD104,_xll.CALENDRIER.GAP.FINANCE(TODAY(),"3M","AUD","Unadjusted"),),"ACT/365")-$I104)/$I104</f>
        <v>#NAME?</v>
      </c>
      <c r="Q104" s="143" t="e">
        <f t="shared" ca="1" si="7"/>
        <v>#VALUE!</v>
      </c>
      <c r="R104" s="191" t="str">
        <f>IF(F104&lt;&gt;"","",IF(G104="","",-G104*(SUMIF('raw Data'!$A:$A,"RESINV1USD",'raw Data'!$G:$G)+SUMIF('raw Data'!$A:$A,"RESSWAPORUSD",'raw Data'!$G:$G))/(36500*J104)))</f>
        <v/>
      </c>
      <c r="S104" s="202" t="str">
        <f>IF(G104&lt;&gt;"","",IF(F104="","",-36500*J104*F104/(SUMIF('raw Data'!$A:$A,"RESINV1USD",'raw Data'!$G:$G)+SUMIF('raw Data'!$A:$A,"RESSWAPORUSD",'raw Data'!$G:$G))))</f>
        <v/>
      </c>
      <c r="T104" s="125">
        <f>SUMIF('raw Data'!$E:$E,A104,'raw Data'!$N:$N)</f>
        <v>0</v>
      </c>
      <c r="U104" s="126" t="e">
        <f ca="1">VALUE(_xll.BDP($A104 &amp; " Corp",U$1))</f>
        <v>#NAME?</v>
      </c>
      <c r="V104" s="127" t="e">
        <f ca="1">VALUE(_xll.BDP($A104 &amp; " Corp",V$1))</f>
        <v>#NAME?</v>
      </c>
      <c r="W104" s="127" t="e">
        <f ca="1">VALUE(_xll.BDP($A104 &amp; " Corp",W$1))</f>
        <v>#NAME?</v>
      </c>
      <c r="X104" s="127" t="e">
        <f ca="1">VALUE(_xll.BDP($A104 &amp; " Corp",X$1))</f>
        <v>#NAME?</v>
      </c>
      <c r="Y104" s="127" t="e">
        <f ca="1">VALUE(_xll.BDP($A104 &amp; " Corp",Y$1))</f>
        <v>#NAME?</v>
      </c>
      <c r="Z104" s="128" t="e">
        <f ca="1">_xll.BDP($A104 &amp; " Corp",Z$1)/100</f>
        <v>#NAME?</v>
      </c>
      <c r="AA104" s="129" t="e">
        <f ca="1">_xll.BDP($A104 &amp; " Corp",AA$1)</f>
        <v>#NAME?</v>
      </c>
      <c r="AB104" s="129" t="e">
        <f ca="1">_xll.BDP($A104 &amp; " Corp",AB$1)</f>
        <v>#NAME?</v>
      </c>
      <c r="AC104" s="129" t="e">
        <f ca="1">_xll.BDP($A104 &amp; " Corp",AC$1)</f>
        <v>#NAME?</v>
      </c>
      <c r="AD104" s="130" t="e">
        <f ca="1">_xll.INSTANCE.YANKEE(A104,U104,V104,W104,X104,Y104,Z104,AA104,LEFT(AC104,11),3,IF(RIGHT(AC104,6)="NONEOM",FALSE,TRUE),TODAY())</f>
        <v>#VALUE!</v>
      </c>
      <c r="AE104" s="130" t="e">
        <f ca="1">_xll.INSTANCE.CONVENTION.TAUX("conv_" &amp; A104,LEFT(AC104,11),"Compounded",IF(AA104=1,"Annual",IF(AA104=2,"Semi-Annual","")),"Unadjusted",TODAY())</f>
        <v>#VALUE!</v>
      </c>
    </row>
    <row r="105" spans="1:31" x14ac:dyDescent="0.35">
      <c r="A105" s="131" t="s">
        <v>655</v>
      </c>
      <c r="B105" s="115" t="e">
        <f ca="1">_xll.BDP($A105 &amp; " Govt",B$1)</f>
        <v>#NAME?</v>
      </c>
      <c r="C105" s="201" t="e">
        <f t="shared" ca="1" si="6"/>
        <v>#NAME?</v>
      </c>
      <c r="D105" s="116"/>
      <c r="E105" s="117"/>
      <c r="F105" s="118"/>
      <c r="G105" s="119"/>
      <c r="H105" s="120" t="e">
        <f ca="1">IF(E105="",_xll.BDP(A105 &amp; " Corp","YLD_YTM_ASK")/100,E105)</f>
        <v>#NAME?</v>
      </c>
      <c r="I105" s="121" t="e">
        <f ca="1">_xll.INSTRUMENT.PRIX(AD105,D105,H105,AE105)</f>
        <v>#VALUE!</v>
      </c>
      <c r="J105" s="122" t="e">
        <f ca="1">_xll.INSTRUMENT.DV01(AD105,,,I105,cContinuous,I105)</f>
        <v>#VALUE!</v>
      </c>
      <c r="K105" s="123" t="e">
        <f ca="1">_xll.INSTRUMENT.CONVEXITE(AD105,,,I105,cContinuous,I105)</f>
        <v>#VALUE!</v>
      </c>
      <c r="L105" s="123" t="e">
        <f ca="1">_xll.INSTRUMENT.Z.SPREAD(AD105,swapCurve,I105,,D105)</f>
        <v>#VALUE!</v>
      </c>
      <c r="M105" s="123" t="e">
        <f ca="1">_xll.INSTRUMENT.Z.SPREAD(AD105,ustCurve,I105,,D105)</f>
        <v>#VALUE!</v>
      </c>
      <c r="N105" s="123" t="e">
        <f ca="1">_xll.INSTRUMENT.Z.SPREAD(AD105,oisCurve,I105,,D105)</f>
        <v>#VALUE!</v>
      </c>
      <c r="O105" s="124" t="e">
        <f ca="1">1/_xll.CALENDRIER.FRAC.ANNEE(_xll.INSTRUMENT.DATE.REGLEMENT($AD105,,),_xll.INSTRUMENT.DATE.REGLEMENT($AD105,_xll.CALENDRIER.GAP.FINANCE(TODAY(),"1M","AUD","Unadjusted"),),"ACT/365")*(_xll.INSTRUMENT.ROLL.DOWN($AD105,swapCurve,_xll.CALENDRIER.GAP.FINANCE(TODAY(),"1M","AUD","Unadjusted",TRUE),$L105)+100*$Z105*_xll.CALENDRIER.FRAC.ANNEE(_xll.INSTRUMENT.DATE.REGLEMENT($AD105,,),_xll.INSTRUMENT.DATE.REGLEMENT($AD105,_xll.CALENDRIER.GAP.FINANCE(TODAY(),"1M","AUD","Unadjusted"),),"ACT/365")-$I105)/$I105</f>
        <v>#NAME?</v>
      </c>
      <c r="P105" s="124" t="e">
        <f ca="1">1/_xll.CALENDRIER.FRAC.ANNEE(_xll.INSTRUMENT.DATE.REGLEMENT($AD105,,),_xll.INSTRUMENT.DATE.REGLEMENT($AD105,_xll.CALENDRIER.GAP.FINANCE(TODAY(),"3M","AUD","Unadjusted"),),"ACT/365")*(_xll.INSTRUMENT.ROLL.DOWN($AD105,swapCurve,_xll.CALENDRIER.GAP.FINANCE(TODAY(),"3M","AUD","Unadjusted",TRUE),$L105)+100*$Z105*_xll.CALENDRIER.FRAC.ANNEE(_xll.INSTRUMENT.DATE.REGLEMENT($AD105,,),_xll.INSTRUMENT.DATE.REGLEMENT($AD105,_xll.CALENDRIER.GAP.FINANCE(TODAY(),"3M","AUD","Unadjusted"),),"ACT/365")-$I105)/$I105</f>
        <v>#NAME?</v>
      </c>
      <c r="Q105" s="143" t="e">
        <f t="shared" ca="1" si="7"/>
        <v>#VALUE!</v>
      </c>
      <c r="R105" s="191" t="str">
        <f>IF(F105&lt;&gt;"","",IF(G105="","",-G105*(SUMIF('raw Data'!$A:$A,"RESINV1USD",'raw Data'!$G:$G)+SUMIF('raw Data'!$A:$A,"RESSWAPORUSD",'raw Data'!$G:$G))/(36500*J105)))</f>
        <v/>
      </c>
      <c r="S105" s="202" t="str">
        <f>IF(G105&lt;&gt;"","",IF(F105="","",-36500*J105*F105/(SUMIF('raw Data'!$A:$A,"RESINV1USD",'raw Data'!$G:$G)+SUMIF('raw Data'!$A:$A,"RESSWAPORUSD",'raw Data'!$G:$G))))</f>
        <v/>
      </c>
      <c r="T105" s="125">
        <f>SUMIF('raw Data'!$E:$E,A105,'raw Data'!$N:$N)</f>
        <v>0</v>
      </c>
      <c r="U105" s="126" t="e">
        <f ca="1">VALUE(_xll.BDP($A105 &amp; " Corp",U$1))</f>
        <v>#NAME?</v>
      </c>
      <c r="V105" s="127" t="e">
        <f ca="1">VALUE(_xll.BDP($A105 &amp; " Corp",V$1))</f>
        <v>#NAME?</v>
      </c>
      <c r="W105" s="127" t="e">
        <f ca="1">VALUE(_xll.BDP($A105 &amp; " Corp",W$1))</f>
        <v>#NAME?</v>
      </c>
      <c r="X105" s="127" t="e">
        <f ca="1">VALUE(_xll.BDP($A105 &amp; " Corp",X$1))</f>
        <v>#NAME?</v>
      </c>
      <c r="Y105" s="127" t="e">
        <f ca="1">VALUE(_xll.BDP($A105 &amp; " Corp",Y$1))</f>
        <v>#NAME?</v>
      </c>
      <c r="Z105" s="128" t="e">
        <f ca="1">_xll.BDP($A105 &amp; " Corp",Z$1)/100</f>
        <v>#NAME?</v>
      </c>
      <c r="AA105" s="129" t="e">
        <f ca="1">_xll.BDP($A105 &amp; " Corp",AA$1)</f>
        <v>#NAME?</v>
      </c>
      <c r="AB105" s="129" t="e">
        <f ca="1">_xll.BDP($A105 &amp; " Corp",AB$1)</f>
        <v>#NAME?</v>
      </c>
      <c r="AC105" s="129" t="e">
        <f ca="1">_xll.BDP($A105 &amp; " Corp",AC$1)</f>
        <v>#NAME?</v>
      </c>
      <c r="AD105" s="130" t="e">
        <f ca="1">_xll.INSTANCE.YANKEE(A105,U105,V105,W105,X105,Y105,Z105,AA105,LEFT(AC105,11),3,IF(RIGHT(AC105,6)="NONEOM",FALSE,TRUE),TODAY())</f>
        <v>#VALUE!</v>
      </c>
      <c r="AE105" s="130" t="e">
        <f ca="1">_xll.INSTANCE.CONVENTION.TAUX("conv_" &amp; A105,LEFT(AC105,11),"Compounded",IF(AA105=1,"Annual",IF(AA105=2,"Semi-Annual","")),"Unadjusted",TODAY())</f>
        <v>#VALUE!</v>
      </c>
    </row>
    <row r="106" spans="1:31" x14ac:dyDescent="0.35">
      <c r="A106" s="131" t="s">
        <v>651</v>
      </c>
      <c r="B106" s="115" t="e">
        <f ca="1">_xll.BDP($A106 &amp; " Govt",B$1)</f>
        <v>#NAME?</v>
      </c>
      <c r="C106" s="201" t="e">
        <f t="shared" ca="1" si="6"/>
        <v>#NAME?</v>
      </c>
      <c r="D106" s="116"/>
      <c r="E106" s="117"/>
      <c r="F106" s="118"/>
      <c r="G106" s="119"/>
      <c r="H106" s="120" t="e">
        <f ca="1">IF(E106="",_xll.BDP(A106 &amp; " Corp","YLD_YTM_ASK")/100,E106)</f>
        <v>#NAME?</v>
      </c>
      <c r="I106" s="121" t="e">
        <f ca="1">_xll.INSTRUMENT.PRIX(AD106,D106,H106,AE106)</f>
        <v>#VALUE!</v>
      </c>
      <c r="J106" s="122" t="e">
        <f ca="1">_xll.INSTRUMENT.DV01(AD106,,,I106,cContinuous,I106)</f>
        <v>#VALUE!</v>
      </c>
      <c r="K106" s="123" t="e">
        <f ca="1">_xll.INSTRUMENT.CONVEXITE(AD106,,,I106,cContinuous,I106)</f>
        <v>#VALUE!</v>
      </c>
      <c r="L106" s="123" t="e">
        <f ca="1">_xll.INSTRUMENT.Z.SPREAD(AD106,swapCurve,I106,,D106)</f>
        <v>#VALUE!</v>
      </c>
      <c r="M106" s="123" t="e">
        <f ca="1">_xll.INSTRUMENT.Z.SPREAD(AD106,ustCurve,I106,,D106)</f>
        <v>#VALUE!</v>
      </c>
      <c r="N106" s="123" t="e">
        <f ca="1">_xll.INSTRUMENT.Z.SPREAD(AD106,oisCurve,I106,,D106)</f>
        <v>#VALUE!</v>
      </c>
      <c r="O106" s="124" t="e">
        <f ca="1">1/_xll.CALENDRIER.FRAC.ANNEE(_xll.INSTRUMENT.DATE.REGLEMENT($AD106,,),_xll.INSTRUMENT.DATE.REGLEMENT($AD106,_xll.CALENDRIER.GAP.FINANCE(TODAY(),"1M","AUD","Unadjusted"),),"ACT/365")*(_xll.INSTRUMENT.ROLL.DOWN($AD106,swapCurve,_xll.CALENDRIER.GAP.FINANCE(TODAY(),"1M","AUD","Unadjusted",TRUE),$L106)+100*$Z106*_xll.CALENDRIER.FRAC.ANNEE(_xll.INSTRUMENT.DATE.REGLEMENT($AD106,,),_xll.INSTRUMENT.DATE.REGLEMENT($AD106,_xll.CALENDRIER.GAP.FINANCE(TODAY(),"1M","AUD","Unadjusted"),),"ACT/365")-$I106)/$I106</f>
        <v>#NAME?</v>
      </c>
      <c r="P106" s="124" t="e">
        <f ca="1">1/_xll.CALENDRIER.FRAC.ANNEE(_xll.INSTRUMENT.DATE.REGLEMENT($AD106,,),_xll.INSTRUMENT.DATE.REGLEMENT($AD106,_xll.CALENDRIER.GAP.FINANCE(TODAY(),"3M","AUD","Unadjusted"),),"ACT/365")*(_xll.INSTRUMENT.ROLL.DOWN($AD106,swapCurve,_xll.CALENDRIER.GAP.FINANCE(TODAY(),"3M","AUD","Unadjusted",TRUE),$L106)+100*$Z106*_xll.CALENDRIER.FRAC.ANNEE(_xll.INSTRUMENT.DATE.REGLEMENT($AD106,,),_xll.INSTRUMENT.DATE.REGLEMENT($AD106,_xll.CALENDRIER.GAP.FINANCE(TODAY(),"3M","AUD","Unadjusted"),),"ACT/365")-$I106)/$I106</f>
        <v>#NAME?</v>
      </c>
      <c r="Q106" s="143" t="e">
        <f t="shared" ca="1" si="7"/>
        <v>#VALUE!</v>
      </c>
      <c r="R106" s="191" t="str">
        <f>IF(F106&lt;&gt;"","",IF(G106="","",-G106*(SUMIF('raw Data'!$A:$A,"RESINV1USD",'raw Data'!$G:$G)+SUMIF('raw Data'!$A:$A,"RESSWAPORUSD",'raw Data'!$G:$G))/(36500*J106)))</f>
        <v/>
      </c>
      <c r="S106" s="202" t="str">
        <f>IF(G106&lt;&gt;"","",IF(F106="","",-36500*J106*F106/(SUMIF('raw Data'!$A:$A,"RESINV1USD",'raw Data'!$G:$G)+SUMIF('raw Data'!$A:$A,"RESSWAPORUSD",'raw Data'!$G:$G))))</f>
        <v/>
      </c>
      <c r="T106" s="125">
        <f>SUMIF('raw Data'!$E:$E,A106,'raw Data'!$N:$N)</f>
        <v>0</v>
      </c>
      <c r="U106" s="126" t="e">
        <f ca="1">VALUE(_xll.BDP($A106 &amp; " Corp",U$1))</f>
        <v>#NAME?</v>
      </c>
      <c r="V106" s="127" t="e">
        <f ca="1">VALUE(_xll.BDP($A106 &amp; " Corp",V$1))</f>
        <v>#NAME?</v>
      </c>
      <c r="W106" s="127" t="e">
        <f ca="1">VALUE(_xll.BDP($A106 &amp; " Corp",W$1))</f>
        <v>#NAME?</v>
      </c>
      <c r="X106" s="127" t="e">
        <f ca="1">VALUE(_xll.BDP($A106 &amp; " Corp",X$1))</f>
        <v>#NAME?</v>
      </c>
      <c r="Y106" s="127" t="e">
        <f ca="1">VALUE(_xll.BDP($A106 &amp; " Corp",Y$1))</f>
        <v>#NAME?</v>
      </c>
      <c r="Z106" s="128" t="e">
        <f ca="1">_xll.BDP($A106 &amp; " Corp",Z$1)/100</f>
        <v>#NAME?</v>
      </c>
      <c r="AA106" s="129" t="e">
        <f ca="1">_xll.BDP($A106 &amp; " Corp",AA$1)</f>
        <v>#NAME?</v>
      </c>
      <c r="AB106" s="129" t="e">
        <f ca="1">_xll.BDP($A106 &amp; " Corp",AB$1)</f>
        <v>#NAME?</v>
      </c>
      <c r="AC106" s="129" t="e">
        <f ca="1">_xll.BDP($A106 &amp; " Corp",AC$1)</f>
        <v>#NAME?</v>
      </c>
      <c r="AD106" s="130" t="e">
        <f ca="1">_xll.INSTANCE.YANKEE(A106,U106,V106,W106,X106,Y106,Z106,AA106,LEFT(AC106,11),3,IF(RIGHT(AC106,6)="NONEOM",FALSE,TRUE),TODAY())</f>
        <v>#VALUE!</v>
      </c>
      <c r="AE106" s="130" t="e">
        <f ca="1">_xll.INSTANCE.CONVENTION.TAUX("conv_" &amp; A106,LEFT(AC106,11),"Compounded",IF(AA106=1,"Annual",IF(AA106=2,"Semi-Annual","")),"Unadjusted",TODAY())</f>
        <v>#VALUE!</v>
      </c>
    </row>
    <row r="107" spans="1:31" x14ac:dyDescent="0.35">
      <c r="A107" s="131" t="s">
        <v>654</v>
      </c>
      <c r="B107" s="115" t="e">
        <f ca="1">_xll.BDP($A107 &amp; " Govt",B$1)</f>
        <v>#NAME?</v>
      </c>
      <c r="C107" s="201" t="e">
        <f t="shared" ca="1" si="6"/>
        <v>#NAME?</v>
      </c>
      <c r="D107" s="116"/>
      <c r="E107" s="117"/>
      <c r="F107" s="118"/>
      <c r="G107" s="119"/>
      <c r="H107" s="120" t="e">
        <f ca="1">IF(E107="",_xll.BDP(A107 &amp; " Corp","YLD_YTM_ASK")/100,E107)</f>
        <v>#NAME?</v>
      </c>
      <c r="I107" s="121" t="e">
        <f ca="1">_xll.INSTRUMENT.PRIX(AD107,D107,H107,AE107)</f>
        <v>#VALUE!</v>
      </c>
      <c r="J107" s="122" t="e">
        <f ca="1">_xll.INSTRUMENT.DV01(AD107,,,I107,cContinuous,I107)</f>
        <v>#VALUE!</v>
      </c>
      <c r="K107" s="123" t="e">
        <f ca="1">_xll.INSTRUMENT.CONVEXITE(AD107,,,I107,cContinuous,I107)</f>
        <v>#VALUE!</v>
      </c>
      <c r="L107" s="123" t="e">
        <f ca="1">_xll.INSTRUMENT.Z.SPREAD(AD107,swapCurve,I107,,D107)</f>
        <v>#VALUE!</v>
      </c>
      <c r="M107" s="123" t="e">
        <f ca="1">_xll.INSTRUMENT.Z.SPREAD(AD107,ustCurve,I107,,D107)</f>
        <v>#VALUE!</v>
      </c>
      <c r="N107" s="123" t="e">
        <f ca="1">_xll.INSTRUMENT.Z.SPREAD(AD107,oisCurve,I107,,D107)</f>
        <v>#VALUE!</v>
      </c>
      <c r="O107" s="124" t="e">
        <f ca="1">1/_xll.CALENDRIER.FRAC.ANNEE(_xll.INSTRUMENT.DATE.REGLEMENT($AD107,,),_xll.INSTRUMENT.DATE.REGLEMENT($AD107,_xll.CALENDRIER.GAP.FINANCE(TODAY(),"1M","AUD","Unadjusted"),),"ACT/365")*(_xll.INSTRUMENT.ROLL.DOWN($AD107,swapCurve,_xll.CALENDRIER.GAP.FINANCE(TODAY(),"1M","AUD","Unadjusted",TRUE),$L107)+100*$Z107*_xll.CALENDRIER.FRAC.ANNEE(_xll.INSTRUMENT.DATE.REGLEMENT($AD107,,),_xll.INSTRUMENT.DATE.REGLEMENT($AD107,_xll.CALENDRIER.GAP.FINANCE(TODAY(),"1M","AUD","Unadjusted"),),"ACT/365")-$I107)/$I107</f>
        <v>#NAME?</v>
      </c>
      <c r="P107" s="124" t="e">
        <f ca="1">1/_xll.CALENDRIER.FRAC.ANNEE(_xll.INSTRUMENT.DATE.REGLEMENT($AD107,,),_xll.INSTRUMENT.DATE.REGLEMENT($AD107,_xll.CALENDRIER.GAP.FINANCE(TODAY(),"3M","AUD","Unadjusted"),),"ACT/365")*(_xll.INSTRUMENT.ROLL.DOWN($AD107,swapCurve,_xll.CALENDRIER.GAP.FINANCE(TODAY(),"3M","AUD","Unadjusted",TRUE),$L107)+100*$Z107*_xll.CALENDRIER.FRAC.ANNEE(_xll.INSTRUMENT.DATE.REGLEMENT($AD107,,),_xll.INSTRUMENT.DATE.REGLEMENT($AD107,_xll.CALENDRIER.GAP.FINANCE(TODAY(),"3M","AUD","Unadjusted"),),"ACT/365")-$I107)/$I107</f>
        <v>#NAME?</v>
      </c>
      <c r="Q107" s="143" t="e">
        <f t="shared" ca="1" si="7"/>
        <v>#VALUE!</v>
      </c>
      <c r="R107" s="191" t="str">
        <f>IF(F107&lt;&gt;"","",IF(G107="","",-G107*(SUMIF('raw Data'!$A:$A,"RESINV1USD",'raw Data'!$G:$G)+SUMIF('raw Data'!$A:$A,"RESSWAPORUSD",'raw Data'!$G:$G))/(36500*J107)))</f>
        <v/>
      </c>
      <c r="S107" s="202" t="str">
        <f>IF(G107&lt;&gt;"","",IF(F107="","",-36500*J107*F107/(SUMIF('raw Data'!$A:$A,"RESINV1USD",'raw Data'!$G:$G)+SUMIF('raw Data'!$A:$A,"RESSWAPORUSD",'raw Data'!$G:$G))))</f>
        <v/>
      </c>
      <c r="T107" s="125">
        <f>SUMIF('raw Data'!$E:$E,A107,'raw Data'!$N:$N)</f>
        <v>18000</v>
      </c>
      <c r="U107" s="126" t="e">
        <f ca="1">VALUE(_xll.BDP($A107 &amp; " Corp",U$1))</f>
        <v>#NAME?</v>
      </c>
      <c r="V107" s="127" t="e">
        <f ca="1">VALUE(_xll.BDP($A107 &amp; " Corp",V$1))</f>
        <v>#NAME?</v>
      </c>
      <c r="W107" s="127" t="e">
        <f ca="1">VALUE(_xll.BDP($A107 &amp; " Corp",W$1))</f>
        <v>#NAME?</v>
      </c>
      <c r="X107" s="127" t="e">
        <f ca="1">VALUE(_xll.BDP($A107 &amp; " Corp",X$1))</f>
        <v>#NAME?</v>
      </c>
      <c r="Y107" s="127" t="e">
        <f ca="1">VALUE(_xll.BDP($A107 &amp; " Corp",Y$1))</f>
        <v>#NAME?</v>
      </c>
      <c r="Z107" s="128" t="e">
        <f ca="1">_xll.BDP($A107 &amp; " Corp",Z$1)/100</f>
        <v>#NAME?</v>
      </c>
      <c r="AA107" s="129" t="e">
        <f ca="1">_xll.BDP($A107 &amp; " Corp",AA$1)</f>
        <v>#NAME?</v>
      </c>
      <c r="AB107" s="129" t="e">
        <f ca="1">_xll.BDP($A107 &amp; " Corp",AB$1)</f>
        <v>#NAME?</v>
      </c>
      <c r="AC107" s="129" t="e">
        <f ca="1">_xll.BDP($A107 &amp; " Corp",AC$1)</f>
        <v>#NAME?</v>
      </c>
      <c r="AD107" s="130" t="e">
        <f ca="1">_xll.INSTANCE.YANKEE(A107,U107,V107,W107,X107,Y107,Z107,AA107,LEFT(AC107,11),3,IF(RIGHT(AC107,6)="NONEOM",FALSE,TRUE),TODAY())</f>
        <v>#VALUE!</v>
      </c>
      <c r="AE107" s="130" t="e">
        <f ca="1">_xll.INSTANCE.CONVENTION.TAUX("conv_" &amp; A107,LEFT(AC107,11),"Compounded",IF(AA107=1,"Annual",IF(AA107=2,"Semi-Annual","")),"Unadjusted",TODAY())</f>
        <v>#VALUE!</v>
      </c>
    </row>
    <row r="108" spans="1:31" x14ac:dyDescent="0.35">
      <c r="A108" s="131" t="s">
        <v>669</v>
      </c>
      <c r="B108" s="115" t="e">
        <f ca="1">_xll.BDP($A108 &amp; " Govt",B$1)</f>
        <v>#NAME?</v>
      </c>
      <c r="C108" s="201" t="e">
        <f t="shared" ca="1" si="6"/>
        <v>#NAME?</v>
      </c>
      <c r="D108" s="116"/>
      <c r="E108" s="117"/>
      <c r="F108" s="118"/>
      <c r="G108" s="119"/>
      <c r="H108" s="120" t="e">
        <f ca="1">IF(E108="",_xll.BDP(A108 &amp; " Corp","YLD_YTM_ASK")/100,E108)</f>
        <v>#NAME?</v>
      </c>
      <c r="I108" s="121" t="e">
        <f ca="1">_xll.INSTRUMENT.PRIX(AD108,D108,H108,AE108)</f>
        <v>#VALUE!</v>
      </c>
      <c r="J108" s="122" t="e">
        <f ca="1">_xll.INSTRUMENT.DV01(AD108,,,I108,cContinuous,I108)</f>
        <v>#VALUE!</v>
      </c>
      <c r="K108" s="123" t="e">
        <f ca="1">_xll.INSTRUMENT.CONVEXITE(AD108,,,I108,cContinuous,I108)</f>
        <v>#VALUE!</v>
      </c>
      <c r="L108" s="123" t="e">
        <f ca="1">_xll.INSTRUMENT.Z.SPREAD(AD108,swapCurve,I108,,D108)</f>
        <v>#VALUE!</v>
      </c>
      <c r="M108" s="123" t="e">
        <f ca="1">_xll.INSTRUMENT.Z.SPREAD(AD108,ustCurve,I108,,D108)</f>
        <v>#VALUE!</v>
      </c>
      <c r="N108" s="123" t="e">
        <f ca="1">_xll.INSTRUMENT.Z.SPREAD(AD108,oisCurve,I108,,D108)</f>
        <v>#VALUE!</v>
      </c>
      <c r="O108" s="124" t="e">
        <f ca="1">1/_xll.CALENDRIER.FRAC.ANNEE(_xll.INSTRUMENT.DATE.REGLEMENT($AD108,,),_xll.INSTRUMENT.DATE.REGLEMENT($AD108,_xll.CALENDRIER.GAP.FINANCE(TODAY(),"1M","AUD","Unadjusted"),),"ACT/365")*(_xll.INSTRUMENT.ROLL.DOWN($AD108,swapCurve,_xll.CALENDRIER.GAP.FINANCE(TODAY(),"1M","AUD","Unadjusted",TRUE),$L108)+100*$Z108*_xll.CALENDRIER.FRAC.ANNEE(_xll.INSTRUMENT.DATE.REGLEMENT($AD108,,),_xll.INSTRUMENT.DATE.REGLEMENT($AD108,_xll.CALENDRIER.GAP.FINANCE(TODAY(),"1M","AUD","Unadjusted"),),"ACT/365")-$I108)/$I108</f>
        <v>#NAME?</v>
      </c>
      <c r="P108" s="124" t="e">
        <f ca="1">1/_xll.CALENDRIER.FRAC.ANNEE(_xll.INSTRUMENT.DATE.REGLEMENT($AD108,,),_xll.INSTRUMENT.DATE.REGLEMENT($AD108,_xll.CALENDRIER.GAP.FINANCE(TODAY(),"3M","AUD","Unadjusted"),),"ACT/365")*(_xll.INSTRUMENT.ROLL.DOWN($AD108,swapCurve,_xll.CALENDRIER.GAP.FINANCE(TODAY(),"3M","AUD","Unadjusted",TRUE),$L108)+100*$Z108*_xll.CALENDRIER.FRAC.ANNEE(_xll.INSTRUMENT.DATE.REGLEMENT($AD108,,),_xll.INSTRUMENT.DATE.REGLEMENT($AD108,_xll.CALENDRIER.GAP.FINANCE(TODAY(),"3M","AUD","Unadjusted"),),"ACT/365")-$I108)/$I108</f>
        <v>#NAME?</v>
      </c>
      <c r="Q108" s="143" t="e">
        <f t="shared" ca="1" si="7"/>
        <v>#VALUE!</v>
      </c>
      <c r="R108" s="191" t="str">
        <f>IF(F108&lt;&gt;"","",IF(G108="","",-G108*(SUMIF('raw Data'!$A:$A,"RESINV1USD",'raw Data'!$G:$G)+SUMIF('raw Data'!$A:$A,"RESSWAPORUSD",'raw Data'!$G:$G))/(36500*J108)))</f>
        <v/>
      </c>
      <c r="S108" s="202" t="str">
        <f>IF(G108&lt;&gt;"","",IF(F108="","",-36500*J108*F108/(SUMIF('raw Data'!$A:$A,"RESINV1USD",'raw Data'!$G:$G)+SUMIF('raw Data'!$A:$A,"RESSWAPORUSD",'raw Data'!$G:$G))))</f>
        <v/>
      </c>
      <c r="T108" s="125">
        <f>SUMIF('raw Data'!$E:$E,A108,'raw Data'!$N:$N)</f>
        <v>0</v>
      </c>
      <c r="U108" s="126" t="e">
        <f ca="1">VALUE(_xll.BDP($A108 &amp; " Corp",U$1))</f>
        <v>#NAME?</v>
      </c>
      <c r="V108" s="127" t="e">
        <f ca="1">VALUE(_xll.BDP($A108 &amp; " Corp",V$1))</f>
        <v>#NAME?</v>
      </c>
      <c r="W108" s="127" t="e">
        <f ca="1">VALUE(_xll.BDP($A108 &amp; " Corp",W$1))</f>
        <v>#NAME?</v>
      </c>
      <c r="X108" s="127" t="e">
        <f ca="1">VALUE(_xll.BDP($A108 &amp; " Corp",X$1))</f>
        <v>#NAME?</v>
      </c>
      <c r="Y108" s="127" t="e">
        <f ca="1">VALUE(_xll.BDP($A108 &amp; " Corp",Y$1))</f>
        <v>#NAME?</v>
      </c>
      <c r="Z108" s="128" t="e">
        <f ca="1">_xll.BDP($A108 &amp; " Corp",Z$1)/100</f>
        <v>#NAME?</v>
      </c>
      <c r="AA108" s="129" t="e">
        <f ca="1">_xll.BDP($A108 &amp; " Corp",AA$1)</f>
        <v>#NAME?</v>
      </c>
      <c r="AB108" s="129" t="e">
        <f ca="1">_xll.BDP($A108 &amp; " Corp",AB$1)</f>
        <v>#NAME?</v>
      </c>
      <c r="AC108" s="129" t="e">
        <f ca="1">_xll.BDP($A108 &amp; " Corp",AC$1)</f>
        <v>#NAME?</v>
      </c>
      <c r="AD108" s="130" t="e">
        <f ca="1">_xll.INSTANCE.YANKEE(A108,U108,V108,W108,X108,Y108,Z108,AA108,LEFT(AC108,11),3,IF(RIGHT(AC108,6)="NONEOM",FALSE,TRUE),TODAY())</f>
        <v>#VALUE!</v>
      </c>
      <c r="AE108" s="130" t="e">
        <f ca="1">_xll.INSTANCE.CONVENTION.TAUX("conv_" &amp; A108,LEFT(AC108,11),"Compounded",IF(AA108=1,"Annual",IF(AA108=2,"Semi-Annual","")),"Unadjusted",TODAY())</f>
        <v>#VALUE!</v>
      </c>
    </row>
    <row r="109" spans="1:31" x14ac:dyDescent="0.35">
      <c r="A109" s="131" t="s">
        <v>671</v>
      </c>
      <c r="B109" s="115" t="e">
        <f ca="1">_xll.BDP($A109 &amp; " Govt",B$1)</f>
        <v>#NAME?</v>
      </c>
      <c r="C109" s="201" t="e">
        <f t="shared" ca="1" si="6"/>
        <v>#NAME?</v>
      </c>
      <c r="D109" s="116"/>
      <c r="E109" s="117"/>
      <c r="F109" s="118"/>
      <c r="G109" s="119"/>
      <c r="H109" s="120" t="e">
        <f ca="1">IF(E109="",_xll.BDP(A109 &amp; " Corp","YLD_YTM_ASK")/100,E109)</f>
        <v>#NAME?</v>
      </c>
      <c r="I109" s="121" t="e">
        <f ca="1">_xll.INSTRUMENT.PRIX(AD109,D109,H109,AE109)</f>
        <v>#VALUE!</v>
      </c>
      <c r="J109" s="122" t="e">
        <f ca="1">_xll.INSTRUMENT.DV01(AD109,,,I109,cContinuous,I109)</f>
        <v>#VALUE!</v>
      </c>
      <c r="K109" s="123" t="e">
        <f ca="1">_xll.INSTRUMENT.CONVEXITE(AD109,,,I109,cContinuous,I109)</f>
        <v>#VALUE!</v>
      </c>
      <c r="L109" s="123" t="e">
        <f ca="1">_xll.INSTRUMENT.Z.SPREAD(AD109,swapCurve,I109,,D109)</f>
        <v>#VALUE!</v>
      </c>
      <c r="M109" s="123" t="e">
        <f ca="1">_xll.INSTRUMENT.Z.SPREAD(AD109,ustCurve,I109,,D109)</f>
        <v>#VALUE!</v>
      </c>
      <c r="N109" s="123" t="e">
        <f ca="1">_xll.INSTRUMENT.Z.SPREAD(AD109,oisCurve,I109,,D109)</f>
        <v>#VALUE!</v>
      </c>
      <c r="O109" s="124" t="e">
        <f ca="1">1/_xll.CALENDRIER.FRAC.ANNEE(_xll.INSTRUMENT.DATE.REGLEMENT($AD109,,),_xll.INSTRUMENT.DATE.REGLEMENT($AD109,_xll.CALENDRIER.GAP.FINANCE(TODAY(),"1M","AUD","Unadjusted"),),"ACT/365")*(_xll.INSTRUMENT.ROLL.DOWN($AD109,swapCurve,_xll.CALENDRIER.GAP.FINANCE(TODAY(),"1M","AUD","Unadjusted",TRUE),$L109)+100*$Z109*_xll.CALENDRIER.FRAC.ANNEE(_xll.INSTRUMENT.DATE.REGLEMENT($AD109,,),_xll.INSTRUMENT.DATE.REGLEMENT($AD109,_xll.CALENDRIER.GAP.FINANCE(TODAY(),"1M","AUD","Unadjusted"),),"ACT/365")-$I109)/$I109</f>
        <v>#NAME?</v>
      </c>
      <c r="P109" s="124" t="e">
        <f ca="1">1/_xll.CALENDRIER.FRAC.ANNEE(_xll.INSTRUMENT.DATE.REGLEMENT($AD109,,),_xll.INSTRUMENT.DATE.REGLEMENT($AD109,_xll.CALENDRIER.GAP.FINANCE(TODAY(),"3M","AUD","Unadjusted"),),"ACT/365")*(_xll.INSTRUMENT.ROLL.DOWN($AD109,swapCurve,_xll.CALENDRIER.GAP.FINANCE(TODAY(),"3M","AUD","Unadjusted",TRUE),$L109)+100*$Z109*_xll.CALENDRIER.FRAC.ANNEE(_xll.INSTRUMENT.DATE.REGLEMENT($AD109,,),_xll.INSTRUMENT.DATE.REGLEMENT($AD109,_xll.CALENDRIER.GAP.FINANCE(TODAY(),"3M","AUD","Unadjusted"),),"ACT/365")-$I109)/$I109</f>
        <v>#NAME?</v>
      </c>
      <c r="Q109" s="143" t="e">
        <f t="shared" ca="1" si="7"/>
        <v>#VALUE!</v>
      </c>
      <c r="R109" s="191" t="str">
        <f>IF(F109&lt;&gt;"","",IF(G109="","",-G109*(SUMIF('raw Data'!$A:$A,"RESINV1USD",'raw Data'!$G:$G)+SUMIF('raw Data'!$A:$A,"RESSWAPORUSD",'raw Data'!$G:$G))/(36500*J109)))</f>
        <v/>
      </c>
      <c r="S109" s="202" t="str">
        <f>IF(G109&lt;&gt;"","",IF(F109="","",-36500*J109*F109/(SUMIF('raw Data'!$A:$A,"RESINV1USD",'raw Data'!$G:$G)+SUMIF('raw Data'!$A:$A,"RESSWAPORUSD",'raw Data'!$G:$G))))</f>
        <v/>
      </c>
      <c r="T109" s="125">
        <f>SUMIF('raw Data'!$E:$E,A109,'raw Data'!$N:$N)</f>
        <v>0</v>
      </c>
      <c r="U109" s="126" t="e">
        <f ca="1">VALUE(_xll.BDP($A109 &amp; " Corp",U$1))</f>
        <v>#NAME?</v>
      </c>
      <c r="V109" s="127" t="e">
        <f ca="1">VALUE(_xll.BDP($A109 &amp; " Corp",V$1))</f>
        <v>#NAME?</v>
      </c>
      <c r="W109" s="127" t="e">
        <f ca="1">VALUE(_xll.BDP($A109 &amp; " Corp",W$1))</f>
        <v>#NAME?</v>
      </c>
      <c r="X109" s="127" t="e">
        <f ca="1">VALUE(_xll.BDP($A109 &amp; " Corp",X$1))</f>
        <v>#NAME?</v>
      </c>
      <c r="Y109" s="127" t="e">
        <f ca="1">VALUE(_xll.BDP($A109 &amp; " Corp",Y$1))</f>
        <v>#NAME?</v>
      </c>
      <c r="Z109" s="128" t="e">
        <f ca="1">_xll.BDP($A109 &amp; " Corp",Z$1)/100</f>
        <v>#NAME?</v>
      </c>
      <c r="AA109" s="129" t="e">
        <f ca="1">_xll.BDP($A109 &amp; " Corp",AA$1)</f>
        <v>#NAME?</v>
      </c>
      <c r="AB109" s="129" t="e">
        <f ca="1">_xll.BDP($A109 &amp; " Corp",AB$1)</f>
        <v>#NAME?</v>
      </c>
      <c r="AC109" s="129" t="e">
        <f ca="1">_xll.BDP($A109 &amp; " Corp",AC$1)</f>
        <v>#NAME?</v>
      </c>
      <c r="AD109" s="130" t="e">
        <f ca="1">_xll.INSTANCE.YANKEE(A109,U109,V109,W109,X109,Y109,Z109,AA109,LEFT(AC109,11),3,IF(RIGHT(AC109,6)="NONEOM",FALSE,TRUE),TODAY())</f>
        <v>#VALUE!</v>
      </c>
      <c r="AE109" s="130" t="e">
        <f ca="1">_xll.INSTANCE.CONVENTION.TAUX("conv_" &amp; A109,LEFT(AC109,11),"Compounded",IF(AA109=1,"Annual",IF(AA109=2,"Semi-Annual","")),"Unadjusted",TODAY())</f>
        <v>#VALUE!</v>
      </c>
    </row>
    <row r="110" spans="1:31" x14ac:dyDescent="0.35">
      <c r="A110" s="131" t="s">
        <v>656</v>
      </c>
      <c r="B110" s="115" t="e">
        <f ca="1">_xll.BDP($A110 &amp; " Govt",B$1)</f>
        <v>#NAME?</v>
      </c>
      <c r="C110" s="201" t="e">
        <f t="shared" ca="1" si="6"/>
        <v>#NAME?</v>
      </c>
      <c r="D110" s="116"/>
      <c r="E110" s="117"/>
      <c r="F110" s="118"/>
      <c r="G110" s="119"/>
      <c r="H110" s="120" t="e">
        <f ca="1">IF(E110="",_xll.BDP(A110 &amp; " Corp","YLD_YTM_ASK")/100,E110)</f>
        <v>#NAME?</v>
      </c>
      <c r="I110" s="121" t="e">
        <f ca="1">_xll.INSTRUMENT.PRIX(AD110,D110,H110,AE110)</f>
        <v>#VALUE!</v>
      </c>
      <c r="J110" s="122" t="e">
        <f ca="1">_xll.INSTRUMENT.DV01(AD110,,,I110,cContinuous,I110)</f>
        <v>#VALUE!</v>
      </c>
      <c r="K110" s="123" t="e">
        <f ca="1">_xll.INSTRUMENT.CONVEXITE(AD110,,,I110,cContinuous,I110)</f>
        <v>#VALUE!</v>
      </c>
      <c r="L110" s="123" t="e">
        <f ca="1">_xll.INSTRUMENT.Z.SPREAD(AD110,swapCurve,I110,,D110)</f>
        <v>#VALUE!</v>
      </c>
      <c r="M110" s="123" t="e">
        <f ca="1">_xll.INSTRUMENT.Z.SPREAD(AD110,ustCurve,I110,,D110)</f>
        <v>#VALUE!</v>
      </c>
      <c r="N110" s="123" t="e">
        <f ca="1">_xll.INSTRUMENT.Z.SPREAD(AD110,oisCurve,I110,,D110)</f>
        <v>#VALUE!</v>
      </c>
      <c r="O110" s="124" t="e">
        <f ca="1">1/_xll.CALENDRIER.FRAC.ANNEE(_xll.INSTRUMENT.DATE.REGLEMENT($AD110,,),_xll.INSTRUMENT.DATE.REGLEMENT($AD110,_xll.CALENDRIER.GAP.FINANCE(TODAY(),"1M","AUD","Unadjusted"),),"ACT/365")*(_xll.INSTRUMENT.ROLL.DOWN($AD110,swapCurve,_xll.CALENDRIER.GAP.FINANCE(TODAY(),"1M","AUD","Unadjusted",TRUE),$L110)+100*$Z110*_xll.CALENDRIER.FRAC.ANNEE(_xll.INSTRUMENT.DATE.REGLEMENT($AD110,,),_xll.INSTRUMENT.DATE.REGLEMENT($AD110,_xll.CALENDRIER.GAP.FINANCE(TODAY(),"1M","AUD","Unadjusted"),),"ACT/365")-$I110)/$I110</f>
        <v>#NAME?</v>
      </c>
      <c r="P110" s="124" t="e">
        <f ca="1">1/_xll.CALENDRIER.FRAC.ANNEE(_xll.INSTRUMENT.DATE.REGLEMENT($AD110,,),_xll.INSTRUMENT.DATE.REGLEMENT($AD110,_xll.CALENDRIER.GAP.FINANCE(TODAY(),"3M","AUD","Unadjusted"),),"ACT/365")*(_xll.INSTRUMENT.ROLL.DOWN($AD110,swapCurve,_xll.CALENDRIER.GAP.FINANCE(TODAY(),"3M","AUD","Unadjusted",TRUE),$L110)+100*$Z110*_xll.CALENDRIER.FRAC.ANNEE(_xll.INSTRUMENT.DATE.REGLEMENT($AD110,,),_xll.INSTRUMENT.DATE.REGLEMENT($AD110,_xll.CALENDRIER.GAP.FINANCE(TODAY(),"3M","AUD","Unadjusted"),),"ACT/365")-$I110)/$I110</f>
        <v>#NAME?</v>
      </c>
      <c r="Q110" s="143" t="e">
        <f t="shared" ca="1" si="7"/>
        <v>#VALUE!</v>
      </c>
      <c r="R110" s="191" t="str">
        <f>IF(F110&lt;&gt;"","",IF(G110="","",-G110*(SUMIF('raw Data'!$A:$A,"RESINV1USD",'raw Data'!$G:$G)+SUMIF('raw Data'!$A:$A,"RESSWAPORUSD",'raw Data'!$G:$G))/(36500*J110)))</f>
        <v/>
      </c>
      <c r="S110" s="202" t="str">
        <f>IF(G110&lt;&gt;"","",IF(F110="","",-36500*J110*F110/(SUMIF('raw Data'!$A:$A,"RESINV1USD",'raw Data'!$G:$G)+SUMIF('raw Data'!$A:$A,"RESSWAPORUSD",'raw Data'!$G:$G))))</f>
        <v/>
      </c>
      <c r="T110" s="125">
        <f>SUMIF('raw Data'!$E:$E,A110,'raw Data'!$N:$N)</f>
        <v>0</v>
      </c>
      <c r="U110" s="126" t="e">
        <f ca="1">VALUE(_xll.BDP($A110 &amp; " Corp",U$1))</f>
        <v>#NAME?</v>
      </c>
      <c r="V110" s="127" t="e">
        <f ca="1">VALUE(_xll.BDP($A110 &amp; " Corp",V$1))</f>
        <v>#NAME?</v>
      </c>
      <c r="W110" s="127" t="e">
        <f ca="1">VALUE(_xll.BDP($A110 &amp; " Corp",W$1))</f>
        <v>#NAME?</v>
      </c>
      <c r="X110" s="127" t="e">
        <f ca="1">VALUE(_xll.BDP($A110 &amp; " Corp",X$1))</f>
        <v>#NAME?</v>
      </c>
      <c r="Y110" s="127" t="e">
        <f ca="1">VALUE(_xll.BDP($A110 &amp; " Corp",Y$1))</f>
        <v>#NAME?</v>
      </c>
      <c r="Z110" s="128" t="e">
        <f ca="1">_xll.BDP($A110 &amp; " Corp",Z$1)/100</f>
        <v>#NAME?</v>
      </c>
      <c r="AA110" s="129" t="e">
        <f ca="1">_xll.BDP($A110 &amp; " Corp",AA$1)</f>
        <v>#NAME?</v>
      </c>
      <c r="AB110" s="129" t="e">
        <f ca="1">_xll.BDP($A110 &amp; " Corp",AB$1)</f>
        <v>#NAME?</v>
      </c>
      <c r="AC110" s="129" t="e">
        <f ca="1">_xll.BDP($A110 &amp; " Corp",AC$1)</f>
        <v>#NAME?</v>
      </c>
      <c r="AD110" s="130" t="e">
        <f ca="1">_xll.INSTANCE.YANKEE(A110,U110,V110,W110,X110,Y110,Z110,AA110,LEFT(AC110,11),3,IF(RIGHT(AC110,6)="NONEOM",FALSE,TRUE),TODAY())</f>
        <v>#VALUE!</v>
      </c>
      <c r="AE110" s="130" t="e">
        <f ca="1">_xll.INSTANCE.CONVENTION.TAUX("conv_" &amp; A110,LEFT(AC110,11),"Compounded",IF(AA110=1,"Annual",IF(AA110=2,"Semi-Annual","")),"Unadjusted",TODAY())</f>
        <v>#VALUE!</v>
      </c>
    </row>
    <row r="111" spans="1:31" x14ac:dyDescent="0.35">
      <c r="A111" s="131" t="s">
        <v>673</v>
      </c>
      <c r="B111" s="115" t="e">
        <f ca="1">_xll.BDP($A111 &amp; " Govt",B$1)</f>
        <v>#NAME?</v>
      </c>
      <c r="C111" s="201" t="e">
        <f t="shared" ca="1" si="6"/>
        <v>#NAME?</v>
      </c>
      <c r="D111" s="116"/>
      <c r="E111" s="117"/>
      <c r="F111" s="118"/>
      <c r="G111" s="119"/>
      <c r="H111" s="120" t="e">
        <f ca="1">IF(E111="",_xll.BDP(A111 &amp; " Corp","YLD_YTM_ASK")/100,E111)</f>
        <v>#NAME?</v>
      </c>
      <c r="I111" s="121" t="e">
        <f ca="1">_xll.INSTRUMENT.PRIX(AD111,D111,H111,AE111)</f>
        <v>#VALUE!</v>
      </c>
      <c r="J111" s="122" t="e">
        <f ca="1">_xll.INSTRUMENT.DV01(AD111,,,I111,cContinuous,I111)</f>
        <v>#VALUE!</v>
      </c>
      <c r="K111" s="123" t="e">
        <f ca="1">_xll.INSTRUMENT.CONVEXITE(AD111,,,I111,cContinuous,I111)</f>
        <v>#VALUE!</v>
      </c>
      <c r="L111" s="123" t="e">
        <f ca="1">_xll.INSTRUMENT.Z.SPREAD(AD111,swapCurve,I111,,D111)</f>
        <v>#VALUE!</v>
      </c>
      <c r="M111" s="123" t="e">
        <f ca="1">_xll.INSTRUMENT.Z.SPREAD(AD111,ustCurve,I111,,D111)</f>
        <v>#VALUE!</v>
      </c>
      <c r="N111" s="123" t="e">
        <f ca="1">_xll.INSTRUMENT.Z.SPREAD(AD111,oisCurve,I111,,D111)</f>
        <v>#VALUE!</v>
      </c>
      <c r="O111" s="124" t="e">
        <f ca="1">1/_xll.CALENDRIER.FRAC.ANNEE(_xll.INSTRUMENT.DATE.REGLEMENT($AD111,,),_xll.INSTRUMENT.DATE.REGLEMENT($AD111,_xll.CALENDRIER.GAP.FINANCE(TODAY(),"1M","AUD","Unadjusted"),),"ACT/365")*(_xll.INSTRUMENT.ROLL.DOWN($AD111,swapCurve,_xll.CALENDRIER.GAP.FINANCE(TODAY(),"1M","AUD","Unadjusted",TRUE),$L111)+100*$Z111*_xll.CALENDRIER.FRAC.ANNEE(_xll.INSTRUMENT.DATE.REGLEMENT($AD111,,),_xll.INSTRUMENT.DATE.REGLEMENT($AD111,_xll.CALENDRIER.GAP.FINANCE(TODAY(),"1M","AUD","Unadjusted"),),"ACT/365")-$I111)/$I111</f>
        <v>#NAME?</v>
      </c>
      <c r="P111" s="124" t="e">
        <f ca="1">1/_xll.CALENDRIER.FRAC.ANNEE(_xll.INSTRUMENT.DATE.REGLEMENT($AD111,,),_xll.INSTRUMENT.DATE.REGLEMENT($AD111,_xll.CALENDRIER.GAP.FINANCE(TODAY(),"3M","AUD","Unadjusted"),),"ACT/365")*(_xll.INSTRUMENT.ROLL.DOWN($AD111,swapCurve,_xll.CALENDRIER.GAP.FINANCE(TODAY(),"3M","AUD","Unadjusted",TRUE),$L111)+100*$Z111*_xll.CALENDRIER.FRAC.ANNEE(_xll.INSTRUMENT.DATE.REGLEMENT($AD111,,),_xll.INSTRUMENT.DATE.REGLEMENT($AD111,_xll.CALENDRIER.GAP.FINANCE(TODAY(),"3M","AUD","Unadjusted"),),"ACT/365")-$I111)/$I111</f>
        <v>#NAME?</v>
      </c>
      <c r="Q111" s="143" t="e">
        <f t="shared" ca="1" si="7"/>
        <v>#VALUE!</v>
      </c>
      <c r="R111" s="191" t="str">
        <f>IF(F111&lt;&gt;"","",IF(G111="","",-G111*(SUMIF('raw Data'!$A:$A,"RESINV1USD",'raw Data'!$G:$G)+SUMIF('raw Data'!$A:$A,"RESSWAPORUSD",'raw Data'!$G:$G))/(36500*J111)))</f>
        <v/>
      </c>
      <c r="S111" s="202" t="str">
        <f>IF(G111&lt;&gt;"","",IF(F111="","",-36500*J111*F111/(SUMIF('raw Data'!$A:$A,"RESINV1USD",'raw Data'!$G:$G)+SUMIF('raw Data'!$A:$A,"RESSWAPORUSD",'raw Data'!$G:$G))))</f>
        <v/>
      </c>
      <c r="T111" s="125">
        <f>SUMIF('raw Data'!$E:$E,A111,'raw Data'!$N:$N)</f>
        <v>0</v>
      </c>
      <c r="U111" s="126" t="e">
        <f ca="1">VALUE(_xll.BDP($A111 &amp; " Corp",U$1))</f>
        <v>#NAME?</v>
      </c>
      <c r="V111" s="127" t="e">
        <f ca="1">VALUE(_xll.BDP($A111 &amp; " Corp",V$1))</f>
        <v>#NAME?</v>
      </c>
      <c r="W111" s="127" t="e">
        <f ca="1">VALUE(_xll.BDP($A111 &amp; " Corp",W$1))</f>
        <v>#NAME?</v>
      </c>
      <c r="X111" s="127" t="e">
        <f ca="1">VALUE(_xll.BDP($A111 &amp; " Corp",X$1))</f>
        <v>#NAME?</v>
      </c>
      <c r="Y111" s="127" t="e">
        <f ca="1">VALUE(_xll.BDP($A111 &amp; " Corp",Y$1))</f>
        <v>#NAME?</v>
      </c>
      <c r="Z111" s="128" t="e">
        <f ca="1">_xll.BDP($A111 &amp; " Corp",Z$1)/100</f>
        <v>#NAME?</v>
      </c>
      <c r="AA111" s="129" t="e">
        <f ca="1">_xll.BDP($A111 &amp; " Corp",AA$1)</f>
        <v>#NAME?</v>
      </c>
      <c r="AB111" s="129" t="e">
        <f ca="1">_xll.BDP($A111 &amp; " Corp",AB$1)</f>
        <v>#NAME?</v>
      </c>
      <c r="AC111" s="129" t="e">
        <f ca="1">_xll.BDP($A111 &amp; " Corp",AC$1)</f>
        <v>#NAME?</v>
      </c>
      <c r="AD111" s="130" t="e">
        <f ca="1">_xll.INSTANCE.YANKEE(A111,U111,V111,W111,X111,Y111,Z111,AA111,LEFT(AC111,11),3,IF(RIGHT(AC111,6)="NONEOM",FALSE,TRUE),TODAY())</f>
        <v>#VALUE!</v>
      </c>
      <c r="AE111" s="130" t="e">
        <f ca="1">_xll.INSTANCE.CONVENTION.TAUX("conv_" &amp; A111,LEFT(AC111,11),"Compounded",IF(AA111=1,"Annual",IF(AA111=2,"Semi-Annual","")),"Unadjusted",TODAY())</f>
        <v>#VALUE!</v>
      </c>
    </row>
    <row r="112" spans="1:31" x14ac:dyDescent="0.35">
      <c r="A112" s="131" t="s">
        <v>663</v>
      </c>
      <c r="B112" s="115" t="e">
        <f ca="1">_xll.BDP($A112 &amp; " Govt",B$1)</f>
        <v>#NAME?</v>
      </c>
      <c r="C112" s="201" t="e">
        <f t="shared" ca="1" si="6"/>
        <v>#NAME?</v>
      </c>
      <c r="D112" s="116"/>
      <c r="E112" s="117"/>
      <c r="F112" s="118"/>
      <c r="G112" s="119"/>
      <c r="H112" s="120" t="e">
        <f ca="1">IF(E112="",_xll.BDP(A112 &amp; " Corp","YLD_YTM_ASK")/100,E112)</f>
        <v>#NAME?</v>
      </c>
      <c r="I112" s="121" t="e">
        <f ca="1">_xll.INSTRUMENT.PRIX(AD112,D112,H112,AE112)</f>
        <v>#VALUE!</v>
      </c>
      <c r="J112" s="122" t="e">
        <f ca="1">_xll.INSTRUMENT.DV01(AD112,,,I112,cContinuous,I112)</f>
        <v>#VALUE!</v>
      </c>
      <c r="K112" s="123" t="e">
        <f ca="1">_xll.INSTRUMENT.CONVEXITE(AD112,,,I112,cContinuous,I112)</f>
        <v>#VALUE!</v>
      </c>
      <c r="L112" s="123" t="e">
        <f ca="1">_xll.INSTRUMENT.Z.SPREAD(AD112,swapCurve,I112,,D112)</f>
        <v>#VALUE!</v>
      </c>
      <c r="M112" s="123" t="e">
        <f ca="1">_xll.INSTRUMENT.Z.SPREAD(AD112,ustCurve,I112,,D112)</f>
        <v>#VALUE!</v>
      </c>
      <c r="N112" s="123" t="e">
        <f ca="1">_xll.INSTRUMENT.Z.SPREAD(AD112,oisCurve,I112,,D112)</f>
        <v>#VALUE!</v>
      </c>
      <c r="O112" s="124" t="e">
        <f ca="1">1/_xll.CALENDRIER.FRAC.ANNEE(_xll.INSTRUMENT.DATE.REGLEMENT($AD112,,),_xll.INSTRUMENT.DATE.REGLEMENT($AD112,_xll.CALENDRIER.GAP.FINANCE(TODAY(),"1M","AUD","Unadjusted"),),"ACT/365")*(_xll.INSTRUMENT.ROLL.DOWN($AD112,swapCurve,_xll.CALENDRIER.GAP.FINANCE(TODAY(),"1M","AUD","Unadjusted",TRUE),$L112)+100*$Z112*_xll.CALENDRIER.FRAC.ANNEE(_xll.INSTRUMENT.DATE.REGLEMENT($AD112,,),_xll.INSTRUMENT.DATE.REGLEMENT($AD112,_xll.CALENDRIER.GAP.FINANCE(TODAY(),"1M","AUD","Unadjusted"),),"ACT/365")-$I112)/$I112</f>
        <v>#NAME?</v>
      </c>
      <c r="P112" s="124" t="e">
        <f ca="1">1/_xll.CALENDRIER.FRAC.ANNEE(_xll.INSTRUMENT.DATE.REGLEMENT($AD112,,),_xll.INSTRUMENT.DATE.REGLEMENT($AD112,_xll.CALENDRIER.GAP.FINANCE(TODAY(),"3M","AUD","Unadjusted"),),"ACT/365")*(_xll.INSTRUMENT.ROLL.DOWN($AD112,swapCurve,_xll.CALENDRIER.GAP.FINANCE(TODAY(),"3M","AUD","Unadjusted",TRUE),$L112)+100*$Z112*_xll.CALENDRIER.FRAC.ANNEE(_xll.INSTRUMENT.DATE.REGLEMENT($AD112,,),_xll.INSTRUMENT.DATE.REGLEMENT($AD112,_xll.CALENDRIER.GAP.FINANCE(TODAY(),"3M","AUD","Unadjusted"),),"ACT/365")-$I112)/$I112</f>
        <v>#NAME?</v>
      </c>
      <c r="Q112" s="143" t="e">
        <f t="shared" ca="1" si="7"/>
        <v>#VALUE!</v>
      </c>
      <c r="R112" s="191" t="str">
        <f>IF(F112&lt;&gt;"","",IF(G112="","",-G112*(SUMIF('raw Data'!$A:$A,"RESINV1USD",'raw Data'!$G:$G)+SUMIF('raw Data'!$A:$A,"RESSWAPORUSD",'raw Data'!$G:$G))/(36500*J112)))</f>
        <v/>
      </c>
      <c r="S112" s="202" t="str">
        <f>IF(G112&lt;&gt;"","",IF(F112="","",-36500*J112*F112/(SUMIF('raw Data'!$A:$A,"RESINV1USD",'raw Data'!$G:$G)+SUMIF('raw Data'!$A:$A,"RESSWAPORUSD",'raw Data'!$G:$G))))</f>
        <v/>
      </c>
      <c r="T112" s="125">
        <f>SUMIF('raw Data'!$E:$E,A112,'raw Data'!$N:$N)</f>
        <v>0</v>
      </c>
      <c r="U112" s="126" t="e">
        <f ca="1">VALUE(_xll.BDP($A112 &amp; " Corp",U$1))</f>
        <v>#NAME?</v>
      </c>
      <c r="V112" s="127" t="e">
        <f ca="1">VALUE(_xll.BDP($A112 &amp; " Corp",V$1))</f>
        <v>#NAME?</v>
      </c>
      <c r="W112" s="127" t="e">
        <f ca="1">VALUE(_xll.BDP($A112 &amp; " Corp",W$1))</f>
        <v>#NAME?</v>
      </c>
      <c r="X112" s="127" t="e">
        <f ca="1">VALUE(_xll.BDP($A112 &amp; " Corp",X$1))</f>
        <v>#NAME?</v>
      </c>
      <c r="Y112" s="127" t="e">
        <f ca="1">VALUE(_xll.BDP($A112 &amp; " Corp",Y$1))</f>
        <v>#NAME?</v>
      </c>
      <c r="Z112" s="128" t="e">
        <f ca="1">_xll.BDP($A112 &amp; " Corp",Z$1)/100</f>
        <v>#NAME?</v>
      </c>
      <c r="AA112" s="129" t="e">
        <f ca="1">_xll.BDP($A112 &amp; " Corp",AA$1)</f>
        <v>#NAME?</v>
      </c>
      <c r="AB112" s="129" t="e">
        <f ca="1">_xll.BDP($A112 &amp; " Corp",AB$1)</f>
        <v>#NAME?</v>
      </c>
      <c r="AC112" s="129" t="e">
        <f ca="1">_xll.BDP($A112 &amp; " Corp",AC$1)</f>
        <v>#NAME?</v>
      </c>
      <c r="AD112" s="130" t="e">
        <f ca="1">_xll.INSTANCE.YANKEE(A112,U112,V112,W112,X112,Y112,Z112,AA112,LEFT(AC112,11),3,IF(RIGHT(AC112,6)="NONEOM",FALSE,TRUE),TODAY())</f>
        <v>#VALUE!</v>
      </c>
      <c r="AE112" s="130" t="e">
        <f ca="1">_xll.INSTANCE.CONVENTION.TAUX("conv_" &amp; A112,LEFT(AC112,11),"Compounded",IF(AA112=1,"Annual",IF(AA112=2,"Semi-Annual","")),"Unadjusted",TODAY())</f>
        <v>#VALUE!</v>
      </c>
    </row>
    <row r="113" spans="1:31" x14ac:dyDescent="0.35">
      <c r="A113" s="131" t="s">
        <v>689</v>
      </c>
      <c r="B113" s="115" t="e">
        <f ca="1">_xll.BDP($A113 &amp; " Govt",B$1)</f>
        <v>#NAME?</v>
      </c>
      <c r="C113" s="201" t="e">
        <f t="shared" ref="C113:C129" ca="1" si="8">LEFT(B113,SEARCH(" ",B113)-1)</f>
        <v>#NAME?</v>
      </c>
      <c r="D113" s="116"/>
      <c r="E113" s="117"/>
      <c r="F113" s="118"/>
      <c r="G113" s="119"/>
      <c r="H113" s="120" t="e">
        <f ca="1">IF(E113="",_xll.BDP(A113 &amp; " Corp","YLD_YTM_ASK")/100,E113)</f>
        <v>#NAME?</v>
      </c>
      <c r="I113" s="121" t="e">
        <f ca="1">_xll.INSTRUMENT.PRIX(AD113,D113,H113,AE113)</f>
        <v>#VALUE!</v>
      </c>
      <c r="J113" s="122" t="e">
        <f ca="1">_xll.INSTRUMENT.DV01(AD113,,,I113,cContinuous,I113)</f>
        <v>#VALUE!</v>
      </c>
      <c r="K113" s="123" t="e">
        <f ca="1">_xll.INSTRUMENT.CONVEXITE(AD113,,,I113,cContinuous,I113)</f>
        <v>#VALUE!</v>
      </c>
      <c r="L113" s="123" t="e">
        <f ca="1">_xll.INSTRUMENT.Z.SPREAD(AD113,swapCurve,I113,,D113)</f>
        <v>#VALUE!</v>
      </c>
      <c r="M113" s="123" t="e">
        <f ca="1">_xll.INSTRUMENT.Z.SPREAD(AD113,ustCurve,I113,,D113)</f>
        <v>#VALUE!</v>
      </c>
      <c r="N113" s="123" t="e">
        <f ca="1">_xll.INSTRUMENT.Z.SPREAD(AD113,oisCurve,I113,,D113)</f>
        <v>#VALUE!</v>
      </c>
      <c r="O113" s="124" t="e">
        <f ca="1">1/_xll.CALENDRIER.FRAC.ANNEE(_xll.INSTRUMENT.DATE.REGLEMENT($AD113,,),_xll.INSTRUMENT.DATE.REGLEMENT($AD113,_xll.CALENDRIER.GAP.FINANCE(TODAY(),"1M","AUD","Unadjusted"),),"ACT/365")*(_xll.INSTRUMENT.ROLL.DOWN($AD113,swapCurve,_xll.CALENDRIER.GAP.FINANCE(TODAY(),"1M","AUD","Unadjusted",TRUE),$L113)+100*$Z113*_xll.CALENDRIER.FRAC.ANNEE(_xll.INSTRUMENT.DATE.REGLEMENT($AD113,,),_xll.INSTRUMENT.DATE.REGLEMENT($AD113,_xll.CALENDRIER.GAP.FINANCE(TODAY(),"1M","AUD","Unadjusted"),),"ACT/365")-$I113)/$I113</f>
        <v>#NAME?</v>
      </c>
      <c r="P113" s="124" t="e">
        <f ca="1">1/_xll.CALENDRIER.FRAC.ANNEE(_xll.INSTRUMENT.DATE.REGLEMENT($AD113,,),_xll.INSTRUMENT.DATE.REGLEMENT($AD113,_xll.CALENDRIER.GAP.FINANCE(TODAY(),"3M","AUD","Unadjusted"),),"ACT/365")*(_xll.INSTRUMENT.ROLL.DOWN($AD113,swapCurve,_xll.CALENDRIER.GAP.FINANCE(TODAY(),"3M","AUD","Unadjusted",TRUE),$L113)+100*$Z113*_xll.CALENDRIER.FRAC.ANNEE(_xll.INSTRUMENT.DATE.REGLEMENT($AD113,,),_xll.INSTRUMENT.DATE.REGLEMENT($AD113,_xll.CALENDRIER.GAP.FINANCE(TODAY(),"3M","AUD","Unadjusted"),),"ACT/365")-$I113)/$I113</f>
        <v>#NAME?</v>
      </c>
      <c r="Q113" s="143" t="e">
        <f t="shared" ref="Q113:Q129" ca="1" si="9">K113/J113</f>
        <v>#VALUE!</v>
      </c>
      <c r="R113" s="191" t="str">
        <f>IF(F113&lt;&gt;"","",IF(G113="","",-G113*(SUMIF('raw Data'!$A:$A,"RESINV1USD",'raw Data'!$G:$G)+SUMIF('raw Data'!$A:$A,"RESSWAPORUSD",'raw Data'!$G:$G))/(36500*J113)))</f>
        <v/>
      </c>
      <c r="S113" s="202" t="str">
        <f>IF(G113&lt;&gt;"","",IF(F113="","",-36500*J113*F113/(SUMIF('raw Data'!$A:$A,"RESINV1USD",'raw Data'!$G:$G)+SUMIF('raw Data'!$A:$A,"RESSWAPORUSD",'raw Data'!$G:$G))))</f>
        <v/>
      </c>
      <c r="T113" s="125">
        <f>SUMIF('raw Data'!$E:$E,A113,'raw Data'!$N:$N)</f>
        <v>0</v>
      </c>
      <c r="U113" s="126" t="e">
        <f ca="1">VALUE(_xll.BDP($A113 &amp; " Corp",U$1))</f>
        <v>#NAME?</v>
      </c>
      <c r="V113" s="127" t="e">
        <f ca="1">VALUE(_xll.BDP($A113 &amp; " Corp",V$1))</f>
        <v>#NAME?</v>
      </c>
      <c r="W113" s="127" t="e">
        <f ca="1">VALUE(_xll.BDP($A113 &amp; " Corp",W$1))</f>
        <v>#NAME?</v>
      </c>
      <c r="X113" s="127" t="e">
        <f ca="1">VALUE(_xll.BDP($A113 &amp; " Corp",X$1))</f>
        <v>#NAME?</v>
      </c>
      <c r="Y113" s="127" t="e">
        <f ca="1">VALUE(_xll.BDP($A113 &amp; " Corp",Y$1))</f>
        <v>#NAME?</v>
      </c>
      <c r="Z113" s="128" t="e">
        <f ca="1">_xll.BDP($A113 &amp; " Corp",Z$1)/100</f>
        <v>#NAME?</v>
      </c>
      <c r="AA113" s="129" t="e">
        <f ca="1">_xll.BDP($A113 &amp; " Corp",AA$1)</f>
        <v>#NAME?</v>
      </c>
      <c r="AB113" s="129" t="e">
        <f ca="1">_xll.BDP($A113 &amp; " Corp",AB$1)</f>
        <v>#NAME?</v>
      </c>
      <c r="AC113" s="129" t="e">
        <f ca="1">_xll.BDP($A113 &amp; " Corp",AC$1)</f>
        <v>#NAME?</v>
      </c>
      <c r="AD113" s="130" t="e">
        <f ca="1">_xll.INSTANCE.YANKEE(A113,U113,V113,W113,X113,Y113,Z113,AA113,LEFT(AC113,11),3,IF(RIGHT(AC113,6)="NONEOM",FALSE,TRUE),TODAY())</f>
        <v>#VALUE!</v>
      </c>
      <c r="AE113" s="130" t="e">
        <f ca="1">_xll.INSTANCE.CONVENTION.TAUX("conv_" &amp; A113,LEFT(AC113,11),"Compounded",IF(AA113=1,"Annual",IF(AA113=2,"Semi-Annual","")),"Unadjusted",TODAY())</f>
        <v>#VALUE!</v>
      </c>
    </row>
    <row r="114" spans="1:31" x14ac:dyDescent="0.35">
      <c r="A114" s="131" t="s">
        <v>691</v>
      </c>
      <c r="B114" s="115" t="e">
        <f ca="1">_xll.BDP($A114 &amp; " Govt",B$1)</f>
        <v>#NAME?</v>
      </c>
      <c r="C114" s="201" t="e">
        <f t="shared" ca="1" si="8"/>
        <v>#NAME?</v>
      </c>
      <c r="D114" s="116"/>
      <c r="E114" s="117"/>
      <c r="F114" s="118"/>
      <c r="G114" s="119"/>
      <c r="H114" s="120" t="e">
        <f ca="1">IF(E114="",_xll.BDP(A114 &amp; " Corp","YLD_YTM_ASK")/100,E114)</f>
        <v>#NAME?</v>
      </c>
      <c r="I114" s="121" t="e">
        <f ca="1">_xll.INSTRUMENT.PRIX(AD114,D114,H114,AE114)</f>
        <v>#VALUE!</v>
      </c>
      <c r="J114" s="122" t="e">
        <f ca="1">_xll.INSTRUMENT.DV01(AD114,,,I114,cContinuous,I114)</f>
        <v>#VALUE!</v>
      </c>
      <c r="K114" s="123" t="e">
        <f ca="1">_xll.INSTRUMENT.CONVEXITE(AD114,,,I114,cContinuous,I114)</f>
        <v>#VALUE!</v>
      </c>
      <c r="L114" s="123" t="e">
        <f ca="1">_xll.INSTRUMENT.Z.SPREAD(AD114,swapCurve,I114,,D114)</f>
        <v>#VALUE!</v>
      </c>
      <c r="M114" s="123" t="e">
        <f ca="1">_xll.INSTRUMENT.Z.SPREAD(AD114,ustCurve,I114,,D114)</f>
        <v>#VALUE!</v>
      </c>
      <c r="N114" s="123" t="e">
        <f ca="1">_xll.INSTRUMENT.Z.SPREAD(AD114,oisCurve,I114,,D114)</f>
        <v>#VALUE!</v>
      </c>
      <c r="O114" s="124" t="e">
        <f ca="1">1/_xll.CALENDRIER.FRAC.ANNEE(_xll.INSTRUMENT.DATE.REGLEMENT($AD114,,),_xll.INSTRUMENT.DATE.REGLEMENT($AD114,_xll.CALENDRIER.GAP.FINANCE(TODAY(),"1M","AUD","Unadjusted"),),"ACT/365")*(_xll.INSTRUMENT.ROLL.DOWN($AD114,swapCurve,_xll.CALENDRIER.GAP.FINANCE(TODAY(),"1M","AUD","Unadjusted",TRUE),$L114)+100*$Z114*_xll.CALENDRIER.FRAC.ANNEE(_xll.INSTRUMENT.DATE.REGLEMENT($AD114,,),_xll.INSTRUMENT.DATE.REGLEMENT($AD114,_xll.CALENDRIER.GAP.FINANCE(TODAY(),"1M","AUD","Unadjusted"),),"ACT/365")-$I114)/$I114</f>
        <v>#NAME?</v>
      </c>
      <c r="P114" s="124" t="e">
        <f ca="1">1/_xll.CALENDRIER.FRAC.ANNEE(_xll.INSTRUMENT.DATE.REGLEMENT($AD114,,),_xll.INSTRUMENT.DATE.REGLEMENT($AD114,_xll.CALENDRIER.GAP.FINANCE(TODAY(),"3M","AUD","Unadjusted"),),"ACT/365")*(_xll.INSTRUMENT.ROLL.DOWN($AD114,swapCurve,_xll.CALENDRIER.GAP.FINANCE(TODAY(),"3M","AUD","Unadjusted",TRUE),$L114)+100*$Z114*_xll.CALENDRIER.FRAC.ANNEE(_xll.INSTRUMENT.DATE.REGLEMENT($AD114,,),_xll.INSTRUMENT.DATE.REGLEMENT($AD114,_xll.CALENDRIER.GAP.FINANCE(TODAY(),"3M","AUD","Unadjusted"),),"ACT/365")-$I114)/$I114</f>
        <v>#NAME?</v>
      </c>
      <c r="Q114" s="143" t="e">
        <f t="shared" ca="1" si="9"/>
        <v>#VALUE!</v>
      </c>
      <c r="R114" s="191" t="str">
        <f>IF(F114&lt;&gt;"","",IF(G114="","",-G114*(SUMIF('raw Data'!$A:$A,"RESINV1USD",'raw Data'!$G:$G)+SUMIF('raw Data'!$A:$A,"RESSWAPORUSD",'raw Data'!$G:$G))/(36500*J114)))</f>
        <v/>
      </c>
      <c r="S114" s="202" t="str">
        <f>IF(G114&lt;&gt;"","",IF(F114="","",-36500*J114*F114/(SUMIF('raw Data'!$A:$A,"RESINV1USD",'raw Data'!$G:$G)+SUMIF('raw Data'!$A:$A,"RESSWAPORUSD",'raw Data'!$G:$G))))</f>
        <v/>
      </c>
      <c r="T114" s="125">
        <f>SUMIF('raw Data'!$E:$E,A114,'raw Data'!$N:$N)</f>
        <v>0</v>
      </c>
      <c r="U114" s="126" t="e">
        <f ca="1">VALUE(_xll.BDP($A114 &amp; " Corp",U$1))</f>
        <v>#NAME?</v>
      </c>
      <c r="V114" s="127" t="e">
        <f ca="1">VALUE(_xll.BDP($A114 &amp; " Corp",V$1))</f>
        <v>#NAME?</v>
      </c>
      <c r="W114" s="127" t="e">
        <f ca="1">VALUE(_xll.BDP($A114 &amp; " Corp",W$1))</f>
        <v>#NAME?</v>
      </c>
      <c r="X114" s="127" t="e">
        <f ca="1">VALUE(_xll.BDP($A114 &amp; " Corp",X$1))</f>
        <v>#NAME?</v>
      </c>
      <c r="Y114" s="127" t="e">
        <f ca="1">VALUE(_xll.BDP($A114 &amp; " Corp",Y$1))</f>
        <v>#NAME?</v>
      </c>
      <c r="Z114" s="128" t="e">
        <f ca="1">_xll.BDP($A114 &amp; " Corp",Z$1)/100</f>
        <v>#NAME?</v>
      </c>
      <c r="AA114" s="129" t="e">
        <f ca="1">_xll.BDP($A114 &amp; " Corp",AA$1)</f>
        <v>#NAME?</v>
      </c>
      <c r="AB114" s="129" t="e">
        <f ca="1">_xll.BDP($A114 &amp; " Corp",AB$1)</f>
        <v>#NAME?</v>
      </c>
      <c r="AC114" s="129" t="e">
        <f ca="1">_xll.BDP($A114 &amp; " Corp",AC$1)</f>
        <v>#NAME?</v>
      </c>
      <c r="AD114" s="130" t="e">
        <f ca="1">_xll.INSTANCE.YANKEE(A114,U114,V114,W114,X114,Y114,Z114,AA114,LEFT(AC114,11),3,IF(RIGHT(AC114,6)="NONEOM",FALSE,TRUE),TODAY())</f>
        <v>#VALUE!</v>
      </c>
      <c r="AE114" s="130" t="e">
        <f ca="1">_xll.INSTANCE.CONVENTION.TAUX("conv_" &amp; A114,LEFT(AC114,11),"Compounded",IF(AA114=1,"Annual",IF(AA114=2,"Semi-Annual","")),"Unadjusted",TODAY())</f>
        <v>#VALUE!</v>
      </c>
    </row>
    <row r="115" spans="1:31" x14ac:dyDescent="0.35">
      <c r="A115" s="131" t="s">
        <v>690</v>
      </c>
      <c r="B115" s="115" t="e">
        <f ca="1">_xll.BDP($A115 &amp; " Govt",B$1)</f>
        <v>#NAME?</v>
      </c>
      <c r="C115" s="201" t="e">
        <f t="shared" ca="1" si="8"/>
        <v>#NAME?</v>
      </c>
      <c r="D115" s="116"/>
      <c r="E115" s="117"/>
      <c r="F115" s="118"/>
      <c r="G115" s="119"/>
      <c r="H115" s="120" t="e">
        <f ca="1">IF(E115="",_xll.BDP(A115 &amp; " Corp","YLD_YTM_ASK")/100,E115)</f>
        <v>#NAME?</v>
      </c>
      <c r="I115" s="121" t="e">
        <f ca="1">_xll.INSTRUMENT.PRIX(AD115,D115,H115,AE115)</f>
        <v>#VALUE!</v>
      </c>
      <c r="J115" s="122" t="e">
        <f ca="1">_xll.INSTRUMENT.DV01(AD115,,,I115,cContinuous,I115)</f>
        <v>#VALUE!</v>
      </c>
      <c r="K115" s="123" t="e">
        <f ca="1">_xll.INSTRUMENT.CONVEXITE(AD115,,,I115,cContinuous,I115)</f>
        <v>#VALUE!</v>
      </c>
      <c r="L115" s="123" t="e">
        <f ca="1">_xll.INSTRUMENT.Z.SPREAD(AD115,swapCurve,I115,,D115)</f>
        <v>#VALUE!</v>
      </c>
      <c r="M115" s="123" t="e">
        <f ca="1">_xll.INSTRUMENT.Z.SPREAD(AD115,ustCurve,I115,,D115)</f>
        <v>#VALUE!</v>
      </c>
      <c r="N115" s="123" t="e">
        <f ca="1">_xll.INSTRUMENT.Z.SPREAD(AD115,oisCurve,I115,,D115)</f>
        <v>#VALUE!</v>
      </c>
      <c r="O115" s="124" t="e">
        <f ca="1">1/_xll.CALENDRIER.FRAC.ANNEE(_xll.INSTRUMENT.DATE.REGLEMENT($AD115,,),_xll.INSTRUMENT.DATE.REGLEMENT($AD115,_xll.CALENDRIER.GAP.FINANCE(TODAY(),"1M","AUD","Unadjusted"),),"ACT/365")*(_xll.INSTRUMENT.ROLL.DOWN($AD115,swapCurve,_xll.CALENDRIER.GAP.FINANCE(TODAY(),"1M","AUD","Unadjusted",TRUE),$L115)+100*$Z115*_xll.CALENDRIER.FRAC.ANNEE(_xll.INSTRUMENT.DATE.REGLEMENT($AD115,,),_xll.INSTRUMENT.DATE.REGLEMENT($AD115,_xll.CALENDRIER.GAP.FINANCE(TODAY(),"1M","AUD","Unadjusted"),),"ACT/365")-$I115)/$I115</f>
        <v>#NAME?</v>
      </c>
      <c r="P115" s="124" t="e">
        <f ca="1">1/_xll.CALENDRIER.FRAC.ANNEE(_xll.INSTRUMENT.DATE.REGLEMENT($AD115,,),_xll.INSTRUMENT.DATE.REGLEMENT($AD115,_xll.CALENDRIER.GAP.FINANCE(TODAY(),"3M","AUD","Unadjusted"),),"ACT/365")*(_xll.INSTRUMENT.ROLL.DOWN($AD115,swapCurve,_xll.CALENDRIER.GAP.FINANCE(TODAY(),"3M","AUD","Unadjusted",TRUE),$L115)+100*$Z115*_xll.CALENDRIER.FRAC.ANNEE(_xll.INSTRUMENT.DATE.REGLEMENT($AD115,,),_xll.INSTRUMENT.DATE.REGLEMENT($AD115,_xll.CALENDRIER.GAP.FINANCE(TODAY(),"3M","AUD","Unadjusted"),),"ACT/365")-$I115)/$I115</f>
        <v>#NAME?</v>
      </c>
      <c r="Q115" s="143" t="e">
        <f t="shared" ca="1" si="9"/>
        <v>#VALUE!</v>
      </c>
      <c r="R115" s="191" t="str">
        <f>IF(F115&lt;&gt;"","",IF(G115="","",-G115*(SUMIF('raw Data'!$A:$A,"RESINV1USD",'raw Data'!$G:$G)+SUMIF('raw Data'!$A:$A,"RESSWAPORUSD",'raw Data'!$G:$G))/(36500*J115)))</f>
        <v/>
      </c>
      <c r="S115" s="202" t="str">
        <f>IF(G115&lt;&gt;"","",IF(F115="","",-36500*J115*F115/(SUMIF('raw Data'!$A:$A,"RESINV1USD",'raw Data'!$G:$G)+SUMIF('raw Data'!$A:$A,"RESSWAPORUSD",'raw Data'!$G:$G))))</f>
        <v/>
      </c>
      <c r="T115" s="125">
        <f>SUMIF('raw Data'!$E:$E,A115,'raw Data'!$N:$N)</f>
        <v>0</v>
      </c>
      <c r="U115" s="126" t="e">
        <f ca="1">VALUE(_xll.BDP($A115 &amp; " Corp",U$1))</f>
        <v>#NAME?</v>
      </c>
      <c r="V115" s="127" t="e">
        <f ca="1">VALUE(_xll.BDP($A115 &amp; " Corp",V$1))</f>
        <v>#NAME?</v>
      </c>
      <c r="W115" s="127" t="e">
        <f ca="1">VALUE(_xll.BDP($A115 &amp; " Corp",W$1))</f>
        <v>#NAME?</v>
      </c>
      <c r="X115" s="127" t="e">
        <f ca="1">VALUE(_xll.BDP($A115 &amp; " Corp",X$1))</f>
        <v>#NAME?</v>
      </c>
      <c r="Y115" s="127" t="e">
        <f ca="1">VALUE(_xll.BDP($A115 &amp; " Corp",Y$1))</f>
        <v>#NAME?</v>
      </c>
      <c r="Z115" s="128" t="e">
        <f ca="1">_xll.BDP($A115 &amp; " Corp",Z$1)/100</f>
        <v>#NAME?</v>
      </c>
      <c r="AA115" s="129" t="e">
        <f ca="1">_xll.BDP($A115 &amp; " Corp",AA$1)</f>
        <v>#NAME?</v>
      </c>
      <c r="AB115" s="129" t="e">
        <f ca="1">_xll.BDP($A115 &amp; " Corp",AB$1)</f>
        <v>#NAME?</v>
      </c>
      <c r="AC115" s="129" t="e">
        <f ca="1">_xll.BDP($A115 &amp; " Corp",AC$1)</f>
        <v>#NAME?</v>
      </c>
      <c r="AD115" s="130" t="e">
        <f ca="1">_xll.INSTANCE.YANKEE(A115,U115,V115,W115,X115,Y115,Z115,AA115,LEFT(AC115,11),3,IF(RIGHT(AC115,6)="NONEOM",FALSE,TRUE),TODAY())</f>
        <v>#VALUE!</v>
      </c>
      <c r="AE115" s="130" t="e">
        <f ca="1">_xll.INSTANCE.CONVENTION.TAUX("conv_" &amp; A115,LEFT(AC115,11),"Compounded",IF(AA115=1,"Annual",IF(AA115=2,"Semi-Annual","")),"Unadjusted",TODAY())</f>
        <v>#VALUE!</v>
      </c>
    </row>
    <row r="116" spans="1:31" x14ac:dyDescent="0.35">
      <c r="A116" s="131" t="s">
        <v>367</v>
      </c>
      <c r="B116" s="115" t="e">
        <f ca="1">_xll.BDP($A116 &amp; " Govt",B$1)</f>
        <v>#NAME?</v>
      </c>
      <c r="C116" s="201" t="e">
        <f t="shared" ca="1" si="8"/>
        <v>#NAME?</v>
      </c>
      <c r="D116" s="116"/>
      <c r="E116" s="117"/>
      <c r="F116" s="118"/>
      <c r="G116" s="119"/>
      <c r="H116" s="120" t="e">
        <f ca="1">IF(E116="",_xll.BDP(A116 &amp; " Corp","YLD_YTM_ASK")/100,E116)</f>
        <v>#NAME?</v>
      </c>
      <c r="I116" s="121" t="e">
        <f ca="1">_xll.INSTRUMENT.PRIX(AD116,D116,H116,AE116)</f>
        <v>#VALUE!</v>
      </c>
      <c r="J116" s="122" t="e">
        <f ca="1">_xll.INSTRUMENT.DV01(AD116,,,I116,cContinuous,I116)</f>
        <v>#VALUE!</v>
      </c>
      <c r="K116" s="123" t="e">
        <f ca="1">_xll.INSTRUMENT.CONVEXITE(AD116,,,I116,cContinuous,I116)</f>
        <v>#VALUE!</v>
      </c>
      <c r="L116" s="123" t="e">
        <f ca="1">_xll.INSTRUMENT.Z.SPREAD(AD116,swapCurve,I116,,D116)</f>
        <v>#VALUE!</v>
      </c>
      <c r="M116" s="123" t="e">
        <f ca="1">_xll.INSTRUMENT.Z.SPREAD(AD116,ustCurve,I116,,D116)</f>
        <v>#VALUE!</v>
      </c>
      <c r="N116" s="123" t="e">
        <f ca="1">_xll.INSTRUMENT.Z.SPREAD(AD116,oisCurve,I116,,D116)</f>
        <v>#VALUE!</v>
      </c>
      <c r="O116" s="124" t="e">
        <f ca="1">1/_xll.CALENDRIER.FRAC.ANNEE(_xll.INSTRUMENT.DATE.REGLEMENT($AD116,,),_xll.INSTRUMENT.DATE.REGLEMENT($AD116,_xll.CALENDRIER.GAP.FINANCE(TODAY(),"1M","AUD","Unadjusted"),),"ACT/365")*(_xll.INSTRUMENT.ROLL.DOWN($AD116,swapCurve,_xll.CALENDRIER.GAP.FINANCE(TODAY(),"1M","AUD","Unadjusted",TRUE),$L116)+100*$Z116*_xll.CALENDRIER.FRAC.ANNEE(_xll.INSTRUMENT.DATE.REGLEMENT($AD116,,),_xll.INSTRUMENT.DATE.REGLEMENT($AD116,_xll.CALENDRIER.GAP.FINANCE(TODAY(),"1M","AUD","Unadjusted"),),"ACT/365")-$I116)/$I116</f>
        <v>#NAME?</v>
      </c>
      <c r="P116" s="124" t="e">
        <f ca="1">1/_xll.CALENDRIER.FRAC.ANNEE(_xll.INSTRUMENT.DATE.REGLEMENT($AD116,,),_xll.INSTRUMENT.DATE.REGLEMENT($AD116,_xll.CALENDRIER.GAP.FINANCE(TODAY(),"3M","AUD","Unadjusted"),),"ACT/365")*(_xll.INSTRUMENT.ROLL.DOWN($AD116,swapCurve,_xll.CALENDRIER.GAP.FINANCE(TODAY(),"3M","AUD","Unadjusted",TRUE),$L116)+100*$Z116*_xll.CALENDRIER.FRAC.ANNEE(_xll.INSTRUMENT.DATE.REGLEMENT($AD116,,),_xll.INSTRUMENT.DATE.REGLEMENT($AD116,_xll.CALENDRIER.GAP.FINANCE(TODAY(),"3M","AUD","Unadjusted"),),"ACT/365")-$I116)/$I116</f>
        <v>#NAME?</v>
      </c>
      <c r="Q116" s="143" t="e">
        <f t="shared" ca="1" si="9"/>
        <v>#VALUE!</v>
      </c>
      <c r="R116" s="191" t="str">
        <f>IF(F116&lt;&gt;"","",IF(G116="","",-G116*(SUMIF('raw Data'!$A:$A,"RESINV1USD",'raw Data'!$G:$G)+SUMIF('raw Data'!$A:$A,"RESSWAPORUSD",'raw Data'!$G:$G))/(36500*J116)))</f>
        <v/>
      </c>
      <c r="S116" s="202" t="str">
        <f>IF(G116&lt;&gt;"","",IF(F116="","",-36500*J116*F116/(SUMIF('raw Data'!$A:$A,"RESINV1USD",'raw Data'!$G:$G)+SUMIF('raw Data'!$A:$A,"RESSWAPORUSD",'raw Data'!$G:$G))))</f>
        <v/>
      </c>
      <c r="T116" s="125">
        <f>SUMIF('raw Data'!$E:$E,A116,'raw Data'!$N:$N)</f>
        <v>30000</v>
      </c>
      <c r="U116" s="126" t="e">
        <f ca="1">VALUE(_xll.BDP($A116 &amp; " Corp",U$1))</f>
        <v>#NAME?</v>
      </c>
      <c r="V116" s="127" t="e">
        <f ca="1">VALUE(_xll.BDP($A116 &amp; " Corp",V$1))</f>
        <v>#NAME?</v>
      </c>
      <c r="W116" s="127" t="e">
        <f ca="1">VALUE(_xll.BDP($A116 &amp; " Corp",W$1))</f>
        <v>#NAME?</v>
      </c>
      <c r="X116" s="127" t="e">
        <f ca="1">VALUE(_xll.BDP($A116 &amp; " Corp",X$1))</f>
        <v>#NAME?</v>
      </c>
      <c r="Y116" s="127" t="e">
        <f ca="1">VALUE(_xll.BDP($A116 &amp; " Corp",Y$1))</f>
        <v>#NAME?</v>
      </c>
      <c r="Z116" s="128" t="e">
        <f ca="1">_xll.BDP($A116 &amp; " Corp",Z$1)/100</f>
        <v>#NAME?</v>
      </c>
      <c r="AA116" s="129" t="e">
        <f ca="1">_xll.BDP($A116 &amp; " Corp",AA$1)</f>
        <v>#NAME?</v>
      </c>
      <c r="AB116" s="129" t="e">
        <f ca="1">_xll.BDP($A116 &amp; " Corp",AB$1)</f>
        <v>#NAME?</v>
      </c>
      <c r="AC116" s="129" t="e">
        <f ca="1">_xll.BDP($A116 &amp; " Corp",AC$1)</f>
        <v>#NAME?</v>
      </c>
      <c r="AD116" s="130" t="e">
        <f ca="1">_xll.INSTANCE.YANKEE(A116,U116,V116,W116,X116,Y116,Z116,AA116,LEFT(AC116,11),3,IF(RIGHT(AC116,6)="NONEOM",FALSE,TRUE),TODAY())</f>
        <v>#VALUE!</v>
      </c>
      <c r="AE116" s="130" t="e">
        <f ca="1">_xll.INSTANCE.CONVENTION.TAUX("conv_" &amp; A116,LEFT(AC116,11),"Compounded",IF(AA116=1,"Annual",IF(AA116=2,"Semi-Annual","")),"Unadjusted",TODAY())</f>
        <v>#VALUE!</v>
      </c>
    </row>
    <row r="117" spans="1:31" x14ac:dyDescent="0.35">
      <c r="A117" s="131" t="s">
        <v>365</v>
      </c>
      <c r="B117" s="115" t="e">
        <f ca="1">_xll.BDP($A117 &amp; " Govt",B$1)</f>
        <v>#NAME?</v>
      </c>
      <c r="C117" s="201" t="e">
        <f t="shared" ca="1" si="8"/>
        <v>#NAME?</v>
      </c>
      <c r="D117" s="116"/>
      <c r="E117" s="117"/>
      <c r="F117" s="118"/>
      <c r="G117" s="119"/>
      <c r="H117" s="120" t="e">
        <f ca="1">IF(E117="",_xll.BDP(A117 &amp; " Corp","YLD_YTM_ASK")/100,E117)</f>
        <v>#NAME?</v>
      </c>
      <c r="I117" s="121" t="e">
        <f ca="1">_xll.INSTRUMENT.PRIX(AD117,D117,H117,AE117)</f>
        <v>#VALUE!</v>
      </c>
      <c r="J117" s="122" t="e">
        <f ca="1">_xll.INSTRUMENT.DV01(AD117,,,I117,cContinuous,I117)</f>
        <v>#VALUE!</v>
      </c>
      <c r="K117" s="123" t="e">
        <f ca="1">_xll.INSTRUMENT.CONVEXITE(AD117,,,I117,cContinuous,I117)</f>
        <v>#VALUE!</v>
      </c>
      <c r="L117" s="123" t="e">
        <f ca="1">_xll.INSTRUMENT.Z.SPREAD(AD117,swapCurve,I117,,D117)</f>
        <v>#VALUE!</v>
      </c>
      <c r="M117" s="123" t="e">
        <f ca="1">_xll.INSTRUMENT.Z.SPREAD(AD117,ustCurve,I117,,D117)</f>
        <v>#VALUE!</v>
      </c>
      <c r="N117" s="123" t="e">
        <f ca="1">_xll.INSTRUMENT.Z.SPREAD(AD117,oisCurve,I117,,D117)</f>
        <v>#VALUE!</v>
      </c>
      <c r="O117" s="124" t="e">
        <f ca="1">1/_xll.CALENDRIER.FRAC.ANNEE(_xll.INSTRUMENT.DATE.REGLEMENT($AD117,,),_xll.INSTRUMENT.DATE.REGLEMENT($AD117,_xll.CALENDRIER.GAP.FINANCE(TODAY(),"1M","AUD","Unadjusted"),),"ACT/365")*(_xll.INSTRUMENT.ROLL.DOWN($AD117,swapCurve,_xll.CALENDRIER.GAP.FINANCE(TODAY(),"1M","AUD","Unadjusted",TRUE),$L117)+100*$Z117*_xll.CALENDRIER.FRAC.ANNEE(_xll.INSTRUMENT.DATE.REGLEMENT($AD117,,),_xll.INSTRUMENT.DATE.REGLEMENT($AD117,_xll.CALENDRIER.GAP.FINANCE(TODAY(),"1M","AUD","Unadjusted"),),"ACT/365")-$I117)/$I117</f>
        <v>#NAME?</v>
      </c>
      <c r="P117" s="124" t="e">
        <f ca="1">1/_xll.CALENDRIER.FRAC.ANNEE(_xll.INSTRUMENT.DATE.REGLEMENT($AD117,,),_xll.INSTRUMENT.DATE.REGLEMENT($AD117,_xll.CALENDRIER.GAP.FINANCE(TODAY(),"3M","AUD","Unadjusted"),),"ACT/365")*(_xll.INSTRUMENT.ROLL.DOWN($AD117,swapCurve,_xll.CALENDRIER.GAP.FINANCE(TODAY(),"3M","AUD","Unadjusted",TRUE),$L117)+100*$Z117*_xll.CALENDRIER.FRAC.ANNEE(_xll.INSTRUMENT.DATE.REGLEMENT($AD117,,),_xll.INSTRUMENT.DATE.REGLEMENT($AD117,_xll.CALENDRIER.GAP.FINANCE(TODAY(),"3M","AUD","Unadjusted"),),"ACT/365")-$I117)/$I117</f>
        <v>#NAME?</v>
      </c>
      <c r="Q117" s="143" t="e">
        <f t="shared" ca="1" si="9"/>
        <v>#VALUE!</v>
      </c>
      <c r="R117" s="191" t="str">
        <f>IF(F117&lt;&gt;"","",IF(G117="","",-G117*(SUMIF('raw Data'!$A:$A,"RESINV1USD",'raw Data'!$G:$G)+SUMIF('raw Data'!$A:$A,"RESSWAPORUSD",'raw Data'!$G:$G))/(36500*J117)))</f>
        <v/>
      </c>
      <c r="S117" s="202" t="str">
        <f>IF(G117&lt;&gt;"","",IF(F117="","",-36500*J117*F117/(SUMIF('raw Data'!$A:$A,"RESINV1USD",'raw Data'!$G:$G)+SUMIF('raw Data'!$A:$A,"RESSWAPORUSD",'raw Data'!$G:$G))))</f>
        <v/>
      </c>
      <c r="T117" s="125">
        <f>SUMIF('raw Data'!$E:$E,A117,'raw Data'!$N:$N)</f>
        <v>57000</v>
      </c>
      <c r="U117" s="126" t="e">
        <f ca="1">VALUE(_xll.BDP($A117 &amp; " Corp",U$1))</f>
        <v>#NAME?</v>
      </c>
      <c r="V117" s="127" t="e">
        <f ca="1">VALUE(_xll.BDP($A117 &amp; " Corp",V$1))</f>
        <v>#NAME?</v>
      </c>
      <c r="W117" s="127" t="e">
        <f ca="1">VALUE(_xll.BDP($A117 &amp; " Corp",W$1))</f>
        <v>#NAME?</v>
      </c>
      <c r="X117" s="127" t="e">
        <f ca="1">VALUE(_xll.BDP($A117 &amp; " Corp",X$1))</f>
        <v>#NAME?</v>
      </c>
      <c r="Y117" s="127" t="e">
        <f ca="1">VALUE(_xll.BDP($A117 &amp; " Corp",Y$1))</f>
        <v>#NAME?</v>
      </c>
      <c r="Z117" s="128" t="e">
        <f ca="1">_xll.BDP($A117 &amp; " Corp",Z$1)/100</f>
        <v>#NAME?</v>
      </c>
      <c r="AA117" s="129" t="e">
        <f ca="1">_xll.BDP($A117 &amp; " Corp",AA$1)</f>
        <v>#NAME?</v>
      </c>
      <c r="AB117" s="129" t="e">
        <f ca="1">_xll.BDP($A117 &amp; " Corp",AB$1)</f>
        <v>#NAME?</v>
      </c>
      <c r="AC117" s="129" t="e">
        <f ca="1">_xll.BDP($A117 &amp; " Corp",AC$1)</f>
        <v>#NAME?</v>
      </c>
      <c r="AD117" s="130" t="e">
        <f ca="1">_xll.INSTANCE.YANKEE(A117,U117,V117,W117,X117,Y117,Z117,AA117,LEFT(AC117,11),3,IF(RIGHT(AC117,6)="NONEOM",FALSE,TRUE),TODAY())</f>
        <v>#VALUE!</v>
      </c>
      <c r="AE117" s="130" t="e">
        <f ca="1">_xll.INSTANCE.CONVENTION.TAUX("conv_" &amp; A117,LEFT(AC117,11),"Compounded",IF(AA117=1,"Annual",IF(AA117=2,"Semi-Annual","")),"Unadjusted",TODAY())</f>
        <v>#VALUE!</v>
      </c>
    </row>
    <row r="118" spans="1:31" x14ac:dyDescent="0.35">
      <c r="A118" s="131" t="s">
        <v>361</v>
      </c>
      <c r="B118" s="115" t="e">
        <f ca="1">_xll.BDP($A118 &amp; " Govt",B$1)</f>
        <v>#NAME?</v>
      </c>
      <c r="C118" s="201" t="e">
        <f t="shared" ca="1" si="8"/>
        <v>#NAME?</v>
      </c>
      <c r="D118" s="116"/>
      <c r="E118" s="117"/>
      <c r="F118" s="118"/>
      <c r="G118" s="119"/>
      <c r="H118" s="120" t="e">
        <f ca="1">IF(E118="",_xll.BDP(A118 &amp; " Corp","YLD_YTM_ASK")/100,E118)</f>
        <v>#NAME?</v>
      </c>
      <c r="I118" s="121" t="e">
        <f ca="1">_xll.INSTRUMENT.PRIX(AD118,D118,H118,AE118)</f>
        <v>#VALUE!</v>
      </c>
      <c r="J118" s="122" t="e">
        <f ca="1">_xll.INSTRUMENT.DV01(AD118,,,I118,cContinuous,I118)</f>
        <v>#VALUE!</v>
      </c>
      <c r="K118" s="123" t="e">
        <f ca="1">_xll.INSTRUMENT.CONVEXITE(AD118,,,I118,cContinuous,I118)</f>
        <v>#VALUE!</v>
      </c>
      <c r="L118" s="123" t="e">
        <f ca="1">_xll.INSTRUMENT.Z.SPREAD(AD118,swapCurve,I118,,D118)</f>
        <v>#VALUE!</v>
      </c>
      <c r="M118" s="123" t="e">
        <f ca="1">_xll.INSTRUMENT.Z.SPREAD(AD118,ustCurve,I118,,D118)</f>
        <v>#VALUE!</v>
      </c>
      <c r="N118" s="123" t="e">
        <f ca="1">_xll.INSTRUMENT.Z.SPREAD(AD118,oisCurve,I118,,D118)</f>
        <v>#VALUE!</v>
      </c>
      <c r="O118" s="124" t="e">
        <f ca="1">1/_xll.CALENDRIER.FRAC.ANNEE(_xll.INSTRUMENT.DATE.REGLEMENT($AD118,,),_xll.INSTRUMENT.DATE.REGLEMENT($AD118,_xll.CALENDRIER.GAP.FINANCE(TODAY(),"1M","AUD","Unadjusted"),),"ACT/365")*(_xll.INSTRUMENT.ROLL.DOWN($AD118,swapCurve,_xll.CALENDRIER.GAP.FINANCE(TODAY(),"1M","AUD","Unadjusted",TRUE),$L118)+100*$Z118*_xll.CALENDRIER.FRAC.ANNEE(_xll.INSTRUMENT.DATE.REGLEMENT($AD118,,),_xll.INSTRUMENT.DATE.REGLEMENT($AD118,_xll.CALENDRIER.GAP.FINANCE(TODAY(),"1M","AUD","Unadjusted"),),"ACT/365")-$I118)/$I118</f>
        <v>#NAME?</v>
      </c>
      <c r="P118" s="124" t="e">
        <f ca="1">1/_xll.CALENDRIER.FRAC.ANNEE(_xll.INSTRUMENT.DATE.REGLEMENT($AD118,,),_xll.INSTRUMENT.DATE.REGLEMENT($AD118,_xll.CALENDRIER.GAP.FINANCE(TODAY(),"3M","AUD","Unadjusted"),),"ACT/365")*(_xll.INSTRUMENT.ROLL.DOWN($AD118,swapCurve,_xll.CALENDRIER.GAP.FINANCE(TODAY(),"3M","AUD","Unadjusted",TRUE),$L118)+100*$Z118*_xll.CALENDRIER.FRAC.ANNEE(_xll.INSTRUMENT.DATE.REGLEMENT($AD118,,),_xll.INSTRUMENT.DATE.REGLEMENT($AD118,_xll.CALENDRIER.GAP.FINANCE(TODAY(),"3M","AUD","Unadjusted"),),"ACT/365")-$I118)/$I118</f>
        <v>#NAME?</v>
      </c>
      <c r="Q118" s="143" t="e">
        <f t="shared" ca="1" si="9"/>
        <v>#VALUE!</v>
      </c>
      <c r="R118" s="191" t="str">
        <f>IF(F118&lt;&gt;"","",IF(G118="","",-G118*(SUMIF('raw Data'!$A:$A,"RESINV1USD",'raw Data'!$G:$G)+SUMIF('raw Data'!$A:$A,"RESSWAPORUSD",'raw Data'!$G:$G))/(36500*J118)))</f>
        <v/>
      </c>
      <c r="S118" s="202" t="str">
        <f>IF(G118&lt;&gt;"","",IF(F118="","",-36500*J118*F118/(SUMIF('raw Data'!$A:$A,"RESINV1USD",'raw Data'!$G:$G)+SUMIF('raw Data'!$A:$A,"RESSWAPORUSD",'raw Data'!$G:$G))))</f>
        <v/>
      </c>
      <c r="T118" s="125">
        <f>SUMIF('raw Data'!$E:$E,A118,'raw Data'!$N:$N)</f>
        <v>27000</v>
      </c>
      <c r="U118" s="126" t="e">
        <f ca="1">VALUE(_xll.BDP($A118 &amp; " Corp",U$1))</f>
        <v>#NAME?</v>
      </c>
      <c r="V118" s="127" t="e">
        <f ca="1">VALUE(_xll.BDP($A118 &amp; " Corp",V$1))</f>
        <v>#NAME?</v>
      </c>
      <c r="W118" s="127" t="e">
        <f ca="1">VALUE(_xll.BDP($A118 &amp; " Corp",W$1))</f>
        <v>#NAME?</v>
      </c>
      <c r="X118" s="127" t="e">
        <f ca="1">VALUE(_xll.BDP($A118 &amp; " Corp",X$1))</f>
        <v>#NAME?</v>
      </c>
      <c r="Y118" s="127" t="e">
        <f ca="1">VALUE(_xll.BDP($A118 &amp; " Corp",Y$1))</f>
        <v>#NAME?</v>
      </c>
      <c r="Z118" s="128" t="e">
        <f ca="1">_xll.BDP($A118 &amp; " Corp",Z$1)/100</f>
        <v>#NAME?</v>
      </c>
      <c r="AA118" s="129" t="e">
        <f ca="1">_xll.BDP($A118 &amp; " Corp",AA$1)</f>
        <v>#NAME?</v>
      </c>
      <c r="AB118" s="129" t="e">
        <f ca="1">_xll.BDP($A118 &amp; " Corp",AB$1)</f>
        <v>#NAME?</v>
      </c>
      <c r="AC118" s="129" t="e">
        <f ca="1">_xll.BDP($A118 &amp; " Corp",AC$1)</f>
        <v>#NAME?</v>
      </c>
      <c r="AD118" s="130" t="e">
        <f ca="1">_xll.INSTANCE.YANKEE(A118,U118,V118,W118,X118,Y118,Z118,AA118,LEFT(AC118,11),3,IF(RIGHT(AC118,6)="NONEOM",FALSE,TRUE),TODAY())</f>
        <v>#VALUE!</v>
      </c>
      <c r="AE118" s="130" t="e">
        <f ca="1">_xll.INSTANCE.CONVENTION.TAUX("conv_" &amp; A118,LEFT(AC118,11),"Compounded",IF(AA118=1,"Annual",IF(AA118=2,"Semi-Annual","")),"Unadjusted",TODAY())</f>
        <v>#VALUE!</v>
      </c>
    </row>
    <row r="119" spans="1:31" x14ac:dyDescent="0.35">
      <c r="A119" s="131" t="s">
        <v>682</v>
      </c>
      <c r="B119" s="115" t="e">
        <f ca="1">_xll.BDP($A119 &amp; " Govt",B$1)</f>
        <v>#NAME?</v>
      </c>
      <c r="C119" s="201" t="e">
        <f t="shared" ca="1" si="8"/>
        <v>#NAME?</v>
      </c>
      <c r="D119" s="116"/>
      <c r="E119" s="117"/>
      <c r="F119" s="118"/>
      <c r="G119" s="119"/>
      <c r="H119" s="120" t="e">
        <f ca="1">IF(E119="",_xll.BDP(A119 &amp; " Corp","YLD_YTM_ASK")/100,E119)</f>
        <v>#NAME?</v>
      </c>
      <c r="I119" s="121" t="e">
        <f ca="1">_xll.INSTRUMENT.PRIX(AD119,D119,H119,AE119)</f>
        <v>#VALUE!</v>
      </c>
      <c r="J119" s="122" t="e">
        <f ca="1">_xll.INSTRUMENT.DV01(AD119,,,I119,cContinuous,I119)</f>
        <v>#VALUE!</v>
      </c>
      <c r="K119" s="123" t="e">
        <f ca="1">_xll.INSTRUMENT.CONVEXITE(AD119,,,I119,cContinuous,I119)</f>
        <v>#VALUE!</v>
      </c>
      <c r="L119" s="123" t="e">
        <f ca="1">_xll.INSTRUMENT.Z.SPREAD(AD119,swapCurve,I119,,D119)</f>
        <v>#VALUE!</v>
      </c>
      <c r="M119" s="123" t="e">
        <f ca="1">_xll.INSTRUMENT.Z.SPREAD(AD119,ustCurve,I119,,D119)</f>
        <v>#VALUE!</v>
      </c>
      <c r="N119" s="123" t="e">
        <f ca="1">_xll.INSTRUMENT.Z.SPREAD(AD119,oisCurve,I119,,D119)</f>
        <v>#VALUE!</v>
      </c>
      <c r="O119" s="124" t="e">
        <f ca="1">1/_xll.CALENDRIER.FRAC.ANNEE(_xll.INSTRUMENT.DATE.REGLEMENT($AD119,,),_xll.INSTRUMENT.DATE.REGLEMENT($AD119,_xll.CALENDRIER.GAP.FINANCE(TODAY(),"1M","AUD","Unadjusted"),),"ACT/365")*(_xll.INSTRUMENT.ROLL.DOWN($AD119,swapCurve,_xll.CALENDRIER.GAP.FINANCE(TODAY(),"1M","AUD","Unadjusted",TRUE),$L119)+100*$Z119*_xll.CALENDRIER.FRAC.ANNEE(_xll.INSTRUMENT.DATE.REGLEMENT($AD119,,),_xll.INSTRUMENT.DATE.REGLEMENT($AD119,_xll.CALENDRIER.GAP.FINANCE(TODAY(),"1M","AUD","Unadjusted"),),"ACT/365")-$I119)/$I119</f>
        <v>#NAME?</v>
      </c>
      <c r="P119" s="124" t="e">
        <f ca="1">1/_xll.CALENDRIER.FRAC.ANNEE(_xll.INSTRUMENT.DATE.REGLEMENT($AD119,,),_xll.INSTRUMENT.DATE.REGLEMENT($AD119,_xll.CALENDRIER.GAP.FINANCE(TODAY(),"3M","AUD","Unadjusted"),),"ACT/365")*(_xll.INSTRUMENT.ROLL.DOWN($AD119,swapCurve,_xll.CALENDRIER.GAP.FINANCE(TODAY(),"3M","AUD","Unadjusted",TRUE),$L119)+100*$Z119*_xll.CALENDRIER.FRAC.ANNEE(_xll.INSTRUMENT.DATE.REGLEMENT($AD119,,),_xll.INSTRUMENT.DATE.REGLEMENT($AD119,_xll.CALENDRIER.GAP.FINANCE(TODAY(),"3M","AUD","Unadjusted"),),"ACT/365")-$I119)/$I119</f>
        <v>#NAME?</v>
      </c>
      <c r="Q119" s="143" t="e">
        <f t="shared" ca="1" si="9"/>
        <v>#VALUE!</v>
      </c>
      <c r="R119" s="191" t="str">
        <f>IF(F119&lt;&gt;"","",IF(G119="","",-G119*(SUMIF('raw Data'!$A:$A,"RESINV1USD",'raw Data'!$G:$G)+SUMIF('raw Data'!$A:$A,"RESSWAPORUSD",'raw Data'!$G:$G))/(36500*J119)))</f>
        <v/>
      </c>
      <c r="S119" s="202" t="str">
        <f>IF(G119&lt;&gt;"","",IF(F119="","",-36500*J119*F119/(SUMIF('raw Data'!$A:$A,"RESINV1USD",'raw Data'!$G:$G)+SUMIF('raw Data'!$A:$A,"RESSWAPORUSD",'raw Data'!$G:$G))))</f>
        <v/>
      </c>
      <c r="T119" s="125">
        <f>SUMIF('raw Data'!$E:$E,A119,'raw Data'!$N:$N)</f>
        <v>0</v>
      </c>
      <c r="U119" s="126" t="e">
        <f ca="1">VALUE(_xll.BDP($A119 &amp; " Corp",U$1))</f>
        <v>#NAME?</v>
      </c>
      <c r="V119" s="127" t="e">
        <f ca="1">VALUE(_xll.BDP($A119 &amp; " Corp",V$1))</f>
        <v>#NAME?</v>
      </c>
      <c r="W119" s="127" t="e">
        <f ca="1">VALUE(_xll.BDP($A119 &amp; " Corp",W$1))</f>
        <v>#NAME?</v>
      </c>
      <c r="X119" s="127" t="e">
        <f ca="1">VALUE(_xll.BDP($A119 &amp; " Corp",X$1))</f>
        <v>#NAME?</v>
      </c>
      <c r="Y119" s="127" t="e">
        <f ca="1">VALUE(_xll.BDP($A119 &amp; " Corp",Y$1))</f>
        <v>#NAME?</v>
      </c>
      <c r="Z119" s="128" t="e">
        <f ca="1">_xll.BDP($A119 &amp; " Corp",Z$1)/100</f>
        <v>#NAME?</v>
      </c>
      <c r="AA119" s="129" t="e">
        <f ca="1">_xll.BDP($A119 &amp; " Corp",AA$1)</f>
        <v>#NAME?</v>
      </c>
      <c r="AB119" s="129" t="e">
        <f ca="1">_xll.BDP($A119 &amp; " Corp",AB$1)</f>
        <v>#NAME?</v>
      </c>
      <c r="AC119" s="129" t="e">
        <f ca="1">_xll.BDP($A119 &amp; " Corp",AC$1)</f>
        <v>#NAME?</v>
      </c>
      <c r="AD119" s="130" t="e">
        <f ca="1">_xll.INSTANCE.YANKEE(A119,U119,V119,W119,X119,Y119,Z119,AA119,LEFT(AC119,11),3,IF(RIGHT(AC119,6)="NONEOM",FALSE,TRUE),TODAY())</f>
        <v>#VALUE!</v>
      </c>
      <c r="AE119" s="130" t="e">
        <f ca="1">_xll.INSTANCE.CONVENTION.TAUX("conv_" &amp; A119,LEFT(AC119,11),"Compounded",IF(AA119=1,"Annual",IF(AA119=2,"Semi-Annual","")),"Unadjusted",TODAY())</f>
        <v>#VALUE!</v>
      </c>
    </row>
    <row r="120" spans="1:31" x14ac:dyDescent="0.35">
      <c r="A120" s="131" t="s">
        <v>685</v>
      </c>
      <c r="B120" s="115" t="e">
        <f ca="1">_xll.BDP($A120 &amp; " Govt",B$1)</f>
        <v>#NAME?</v>
      </c>
      <c r="C120" s="201" t="e">
        <f t="shared" ca="1" si="8"/>
        <v>#NAME?</v>
      </c>
      <c r="D120" s="116"/>
      <c r="E120" s="117"/>
      <c r="F120" s="118"/>
      <c r="G120" s="119"/>
      <c r="H120" s="120" t="e">
        <f ca="1">IF(E120="",_xll.BDP(A120 &amp; " Corp","YLD_YTM_ASK")/100,E120)</f>
        <v>#NAME?</v>
      </c>
      <c r="I120" s="121" t="e">
        <f ca="1">_xll.INSTRUMENT.PRIX(AD120,D120,H120,AE120)</f>
        <v>#VALUE!</v>
      </c>
      <c r="J120" s="122" t="e">
        <f ca="1">_xll.INSTRUMENT.DV01(AD120,,,I120,cContinuous,I120)</f>
        <v>#VALUE!</v>
      </c>
      <c r="K120" s="123" t="e">
        <f ca="1">_xll.INSTRUMENT.CONVEXITE(AD120,,,I120,cContinuous,I120)</f>
        <v>#VALUE!</v>
      </c>
      <c r="L120" s="123" t="e">
        <f ca="1">_xll.INSTRUMENT.Z.SPREAD(AD120,swapCurve,I120,,D120)</f>
        <v>#VALUE!</v>
      </c>
      <c r="M120" s="123" t="e">
        <f ca="1">_xll.INSTRUMENT.Z.SPREAD(AD120,ustCurve,I120,,D120)</f>
        <v>#VALUE!</v>
      </c>
      <c r="N120" s="123" t="e">
        <f ca="1">_xll.INSTRUMENT.Z.SPREAD(AD120,oisCurve,I120,,D120)</f>
        <v>#VALUE!</v>
      </c>
      <c r="O120" s="124" t="e">
        <f ca="1">1/_xll.CALENDRIER.FRAC.ANNEE(_xll.INSTRUMENT.DATE.REGLEMENT($AD120,,),_xll.INSTRUMENT.DATE.REGLEMENT($AD120,_xll.CALENDRIER.GAP.FINANCE(TODAY(),"1M","AUD","Unadjusted"),),"ACT/365")*(_xll.INSTRUMENT.ROLL.DOWN($AD120,swapCurve,_xll.CALENDRIER.GAP.FINANCE(TODAY(),"1M","AUD","Unadjusted",TRUE),$L120)+100*$Z120*_xll.CALENDRIER.FRAC.ANNEE(_xll.INSTRUMENT.DATE.REGLEMENT($AD120,,),_xll.INSTRUMENT.DATE.REGLEMENT($AD120,_xll.CALENDRIER.GAP.FINANCE(TODAY(),"1M","AUD","Unadjusted"),),"ACT/365")-$I120)/$I120</f>
        <v>#NAME?</v>
      </c>
      <c r="P120" s="124" t="e">
        <f ca="1">1/_xll.CALENDRIER.FRAC.ANNEE(_xll.INSTRUMENT.DATE.REGLEMENT($AD120,,),_xll.INSTRUMENT.DATE.REGLEMENT($AD120,_xll.CALENDRIER.GAP.FINANCE(TODAY(),"3M","AUD","Unadjusted"),),"ACT/365")*(_xll.INSTRUMENT.ROLL.DOWN($AD120,swapCurve,_xll.CALENDRIER.GAP.FINANCE(TODAY(),"3M","AUD","Unadjusted",TRUE),$L120)+100*$Z120*_xll.CALENDRIER.FRAC.ANNEE(_xll.INSTRUMENT.DATE.REGLEMENT($AD120,,),_xll.INSTRUMENT.DATE.REGLEMENT($AD120,_xll.CALENDRIER.GAP.FINANCE(TODAY(),"3M","AUD","Unadjusted"),),"ACT/365")-$I120)/$I120</f>
        <v>#NAME?</v>
      </c>
      <c r="Q120" s="143" t="e">
        <f t="shared" ca="1" si="9"/>
        <v>#VALUE!</v>
      </c>
      <c r="R120" s="191" t="str">
        <f>IF(F120&lt;&gt;"","",IF(G120="","",-G120*(SUMIF('raw Data'!$A:$A,"RESINV1USD",'raw Data'!$G:$G)+SUMIF('raw Data'!$A:$A,"RESSWAPORUSD",'raw Data'!$G:$G))/(36500*J120)))</f>
        <v/>
      </c>
      <c r="S120" s="202" t="str">
        <f>IF(G120&lt;&gt;"","",IF(F120="","",-36500*J120*F120/(SUMIF('raw Data'!$A:$A,"RESINV1USD",'raw Data'!$G:$G)+SUMIF('raw Data'!$A:$A,"RESSWAPORUSD",'raw Data'!$G:$G))))</f>
        <v/>
      </c>
      <c r="T120" s="125">
        <f>SUMIF('raw Data'!$E:$E,A120,'raw Data'!$N:$N)</f>
        <v>0</v>
      </c>
      <c r="U120" s="126" t="e">
        <f ca="1">VALUE(_xll.BDP($A120 &amp; " Corp",U$1))</f>
        <v>#NAME?</v>
      </c>
      <c r="V120" s="127" t="e">
        <f ca="1">VALUE(_xll.BDP($A120 &amp; " Corp",V$1))</f>
        <v>#NAME?</v>
      </c>
      <c r="W120" s="127" t="e">
        <f ca="1">VALUE(_xll.BDP($A120 &amp; " Corp",W$1))</f>
        <v>#NAME?</v>
      </c>
      <c r="X120" s="127" t="e">
        <f ca="1">VALUE(_xll.BDP($A120 &amp; " Corp",X$1))</f>
        <v>#NAME?</v>
      </c>
      <c r="Y120" s="127" t="e">
        <f ca="1">VALUE(_xll.BDP($A120 &amp; " Corp",Y$1))</f>
        <v>#NAME?</v>
      </c>
      <c r="Z120" s="128" t="e">
        <f ca="1">_xll.BDP($A120 &amp; " Corp",Z$1)/100</f>
        <v>#NAME?</v>
      </c>
      <c r="AA120" s="129" t="e">
        <f ca="1">_xll.BDP($A120 &amp; " Corp",AA$1)</f>
        <v>#NAME?</v>
      </c>
      <c r="AB120" s="129" t="e">
        <f ca="1">_xll.BDP($A120 &amp; " Corp",AB$1)</f>
        <v>#NAME?</v>
      </c>
      <c r="AC120" s="129" t="e">
        <f ca="1">_xll.BDP($A120 &amp; " Corp",AC$1)</f>
        <v>#NAME?</v>
      </c>
      <c r="AD120" s="130" t="e">
        <f ca="1">_xll.INSTANCE.YANKEE(A120,U120,V120,W120,X120,Y120,Z120,AA120,LEFT(AC120,11),3,IF(RIGHT(AC120,6)="NONEOM",FALSE,TRUE),TODAY())</f>
        <v>#VALUE!</v>
      </c>
      <c r="AE120" s="130" t="e">
        <f ca="1">_xll.INSTANCE.CONVENTION.TAUX("conv_" &amp; A120,LEFT(AC120,11),"Compounded",IF(AA120=1,"Annual",IF(AA120=2,"Semi-Annual","")),"Unadjusted",TODAY())</f>
        <v>#VALUE!</v>
      </c>
    </row>
    <row r="121" spans="1:31" x14ac:dyDescent="0.35">
      <c r="A121" s="131" t="s">
        <v>681</v>
      </c>
      <c r="B121" s="115" t="e">
        <f ca="1">_xll.BDP($A121 &amp; " Govt",B$1)</f>
        <v>#NAME?</v>
      </c>
      <c r="C121" s="201" t="e">
        <f t="shared" ca="1" si="8"/>
        <v>#NAME?</v>
      </c>
      <c r="D121" s="116"/>
      <c r="E121" s="117"/>
      <c r="F121" s="118"/>
      <c r="G121" s="119"/>
      <c r="H121" s="120" t="e">
        <f ca="1">IF(E121="",_xll.BDP(A121 &amp; " Corp","YLD_YTM_ASK")/100,E121)</f>
        <v>#NAME?</v>
      </c>
      <c r="I121" s="121" t="e">
        <f ca="1">_xll.INSTRUMENT.PRIX(AD121,D121,H121,AE121)</f>
        <v>#VALUE!</v>
      </c>
      <c r="J121" s="122" t="e">
        <f ca="1">_xll.INSTRUMENT.DV01(AD121,,,I121,cContinuous,I121)</f>
        <v>#VALUE!</v>
      </c>
      <c r="K121" s="123" t="e">
        <f ca="1">_xll.INSTRUMENT.CONVEXITE(AD121,,,I121,cContinuous,I121)</f>
        <v>#VALUE!</v>
      </c>
      <c r="L121" s="123" t="e">
        <f ca="1">_xll.INSTRUMENT.Z.SPREAD(AD121,swapCurve,I121,,D121)</f>
        <v>#VALUE!</v>
      </c>
      <c r="M121" s="123" t="e">
        <f ca="1">_xll.INSTRUMENT.Z.SPREAD(AD121,ustCurve,I121,,D121)</f>
        <v>#VALUE!</v>
      </c>
      <c r="N121" s="123" t="e">
        <f ca="1">_xll.INSTRUMENT.Z.SPREAD(AD121,oisCurve,I121,,D121)</f>
        <v>#VALUE!</v>
      </c>
      <c r="O121" s="124" t="e">
        <f ca="1">1/_xll.CALENDRIER.FRAC.ANNEE(_xll.INSTRUMENT.DATE.REGLEMENT($AD121,,),_xll.INSTRUMENT.DATE.REGLEMENT($AD121,_xll.CALENDRIER.GAP.FINANCE(TODAY(),"1M","AUD","Unadjusted"),),"ACT/365")*(_xll.INSTRUMENT.ROLL.DOWN($AD121,swapCurve,_xll.CALENDRIER.GAP.FINANCE(TODAY(),"1M","AUD","Unadjusted",TRUE),$L121)+100*$Z121*_xll.CALENDRIER.FRAC.ANNEE(_xll.INSTRUMENT.DATE.REGLEMENT($AD121,,),_xll.INSTRUMENT.DATE.REGLEMENT($AD121,_xll.CALENDRIER.GAP.FINANCE(TODAY(),"1M","AUD","Unadjusted"),),"ACT/365")-$I121)/$I121</f>
        <v>#NAME?</v>
      </c>
      <c r="P121" s="124" t="e">
        <f ca="1">1/_xll.CALENDRIER.FRAC.ANNEE(_xll.INSTRUMENT.DATE.REGLEMENT($AD121,,),_xll.INSTRUMENT.DATE.REGLEMENT($AD121,_xll.CALENDRIER.GAP.FINANCE(TODAY(),"3M","AUD","Unadjusted"),),"ACT/365")*(_xll.INSTRUMENT.ROLL.DOWN($AD121,swapCurve,_xll.CALENDRIER.GAP.FINANCE(TODAY(),"3M","AUD","Unadjusted",TRUE),$L121)+100*$Z121*_xll.CALENDRIER.FRAC.ANNEE(_xll.INSTRUMENT.DATE.REGLEMENT($AD121,,),_xll.INSTRUMENT.DATE.REGLEMENT($AD121,_xll.CALENDRIER.GAP.FINANCE(TODAY(),"3M","AUD","Unadjusted"),),"ACT/365")-$I121)/$I121</f>
        <v>#NAME?</v>
      </c>
      <c r="Q121" s="143" t="e">
        <f t="shared" ca="1" si="9"/>
        <v>#VALUE!</v>
      </c>
      <c r="R121" s="191" t="str">
        <f>IF(F121&lt;&gt;"","",IF(G121="","",-G121*(SUMIF('raw Data'!$A:$A,"RESINV1USD",'raw Data'!$G:$G)+SUMIF('raw Data'!$A:$A,"RESSWAPORUSD",'raw Data'!$G:$G))/(36500*J121)))</f>
        <v/>
      </c>
      <c r="S121" s="202" t="str">
        <f>IF(G121&lt;&gt;"","",IF(F121="","",-36500*J121*F121/(SUMIF('raw Data'!$A:$A,"RESINV1USD",'raw Data'!$G:$G)+SUMIF('raw Data'!$A:$A,"RESSWAPORUSD",'raw Data'!$G:$G))))</f>
        <v/>
      </c>
      <c r="T121" s="125">
        <f>SUMIF('raw Data'!$E:$E,A121,'raw Data'!$N:$N)</f>
        <v>0</v>
      </c>
      <c r="U121" s="126" t="e">
        <f ca="1">VALUE(_xll.BDP($A121 &amp; " Corp",U$1))</f>
        <v>#NAME?</v>
      </c>
      <c r="V121" s="127" t="e">
        <f ca="1">VALUE(_xll.BDP($A121 &amp; " Corp",V$1))</f>
        <v>#NAME?</v>
      </c>
      <c r="W121" s="127" t="e">
        <f ca="1">VALUE(_xll.BDP($A121 &amp; " Corp",W$1))</f>
        <v>#NAME?</v>
      </c>
      <c r="X121" s="127" t="e">
        <f ca="1">VALUE(_xll.BDP($A121 &amp; " Corp",X$1))</f>
        <v>#NAME?</v>
      </c>
      <c r="Y121" s="127" t="e">
        <f ca="1">VALUE(_xll.BDP($A121 &amp; " Corp",Y$1))</f>
        <v>#NAME?</v>
      </c>
      <c r="Z121" s="128" t="e">
        <f ca="1">_xll.BDP($A121 &amp; " Corp",Z$1)/100</f>
        <v>#NAME?</v>
      </c>
      <c r="AA121" s="129" t="e">
        <f ca="1">_xll.BDP($A121 &amp; " Corp",AA$1)</f>
        <v>#NAME?</v>
      </c>
      <c r="AB121" s="129" t="e">
        <f ca="1">_xll.BDP($A121 &amp; " Corp",AB$1)</f>
        <v>#NAME?</v>
      </c>
      <c r="AC121" s="129" t="e">
        <f ca="1">_xll.BDP($A121 &amp; " Corp",AC$1)</f>
        <v>#NAME?</v>
      </c>
      <c r="AD121" s="130" t="e">
        <f ca="1">_xll.INSTANCE.YANKEE(A121,U121,V121,W121,X121,Y121,Z121,AA121,LEFT(AC121,11),3,IF(RIGHT(AC121,6)="NONEOM",FALSE,TRUE),TODAY())</f>
        <v>#VALUE!</v>
      </c>
      <c r="AE121" s="130" t="e">
        <f ca="1">_xll.INSTANCE.CONVENTION.TAUX("conv_" &amp; A121,LEFT(AC121,11),"Compounded",IF(AA121=1,"Annual",IF(AA121=2,"Semi-Annual","")),"Unadjusted",TODAY())</f>
        <v>#VALUE!</v>
      </c>
    </row>
    <row r="122" spans="1:31" x14ac:dyDescent="0.35">
      <c r="A122" s="131" t="s">
        <v>340</v>
      </c>
      <c r="B122" s="115" t="e">
        <f ca="1">_xll.BDP($A122 &amp; " Govt",B$1)</f>
        <v>#NAME?</v>
      </c>
      <c r="C122" s="201" t="e">
        <f t="shared" ca="1" si="8"/>
        <v>#NAME?</v>
      </c>
      <c r="D122" s="116"/>
      <c r="E122" s="117"/>
      <c r="F122" s="118"/>
      <c r="G122" s="119"/>
      <c r="H122" s="120" t="e">
        <f ca="1">IF(E122="",_xll.BDP(A122 &amp; " Corp","YLD_YTM_ASK")/100,E122)</f>
        <v>#NAME?</v>
      </c>
      <c r="I122" s="121" t="e">
        <f ca="1">_xll.INSTRUMENT.PRIX(AD122,D122,H122,AE122)</f>
        <v>#VALUE!</v>
      </c>
      <c r="J122" s="122" t="e">
        <f ca="1">_xll.INSTRUMENT.DV01(AD122,,,I122,cContinuous,I122)</f>
        <v>#VALUE!</v>
      </c>
      <c r="K122" s="123" t="e">
        <f ca="1">_xll.INSTRUMENT.CONVEXITE(AD122,,,I122,cContinuous,I122)</f>
        <v>#VALUE!</v>
      </c>
      <c r="L122" s="123" t="e">
        <f ca="1">_xll.INSTRUMENT.Z.SPREAD(AD122,swapCurve,I122,,D122)</f>
        <v>#VALUE!</v>
      </c>
      <c r="M122" s="123" t="e">
        <f ca="1">_xll.INSTRUMENT.Z.SPREAD(AD122,ustCurve,I122,,D122)</f>
        <v>#VALUE!</v>
      </c>
      <c r="N122" s="123" t="e">
        <f ca="1">_xll.INSTRUMENT.Z.SPREAD(AD122,oisCurve,I122,,D122)</f>
        <v>#VALUE!</v>
      </c>
      <c r="O122" s="124" t="e">
        <f ca="1">1/_xll.CALENDRIER.FRAC.ANNEE(_xll.INSTRUMENT.DATE.REGLEMENT($AD122,,),_xll.INSTRUMENT.DATE.REGLEMENT($AD122,_xll.CALENDRIER.GAP.FINANCE(TODAY(),"1M","AUD","Unadjusted"),),"ACT/365")*(_xll.INSTRUMENT.ROLL.DOWN($AD122,swapCurve,_xll.CALENDRIER.GAP.FINANCE(TODAY(),"1M","AUD","Unadjusted",TRUE),$L122)+100*$Z122*_xll.CALENDRIER.FRAC.ANNEE(_xll.INSTRUMENT.DATE.REGLEMENT($AD122,,),_xll.INSTRUMENT.DATE.REGLEMENT($AD122,_xll.CALENDRIER.GAP.FINANCE(TODAY(),"1M","AUD","Unadjusted"),),"ACT/365")-$I122)/$I122</f>
        <v>#NAME?</v>
      </c>
      <c r="P122" s="124" t="e">
        <f ca="1">1/_xll.CALENDRIER.FRAC.ANNEE(_xll.INSTRUMENT.DATE.REGLEMENT($AD122,,),_xll.INSTRUMENT.DATE.REGLEMENT($AD122,_xll.CALENDRIER.GAP.FINANCE(TODAY(),"3M","AUD","Unadjusted"),),"ACT/365")*(_xll.INSTRUMENT.ROLL.DOWN($AD122,swapCurve,_xll.CALENDRIER.GAP.FINANCE(TODAY(),"3M","AUD","Unadjusted",TRUE),$L122)+100*$Z122*_xll.CALENDRIER.FRAC.ANNEE(_xll.INSTRUMENT.DATE.REGLEMENT($AD122,,),_xll.INSTRUMENT.DATE.REGLEMENT($AD122,_xll.CALENDRIER.GAP.FINANCE(TODAY(),"3M","AUD","Unadjusted"),),"ACT/365")-$I122)/$I122</f>
        <v>#NAME?</v>
      </c>
      <c r="Q122" s="143" t="e">
        <f t="shared" ca="1" si="9"/>
        <v>#VALUE!</v>
      </c>
      <c r="R122" s="191" t="str">
        <f>IF(F122&lt;&gt;"","",IF(G122="","",-G122*(SUMIF('raw Data'!$A:$A,"RESINV1USD",'raw Data'!$G:$G)+SUMIF('raw Data'!$A:$A,"RESSWAPORUSD",'raw Data'!$G:$G))/(36500*J122)))</f>
        <v/>
      </c>
      <c r="S122" s="202" t="str">
        <f>IF(G122&lt;&gt;"","",IF(F122="","",-36500*J122*F122/(SUMIF('raw Data'!$A:$A,"RESINV1USD",'raw Data'!$G:$G)+SUMIF('raw Data'!$A:$A,"RESSWAPORUSD",'raw Data'!$G:$G))))</f>
        <v/>
      </c>
      <c r="T122" s="125">
        <f>SUMIF('raw Data'!$E:$E,A122,'raw Data'!$N:$N)</f>
        <v>30000</v>
      </c>
      <c r="U122" s="126" t="e">
        <f ca="1">VALUE(_xll.BDP($A122 &amp; " Corp",U$1))</f>
        <v>#NAME?</v>
      </c>
      <c r="V122" s="127" t="e">
        <f ca="1">VALUE(_xll.BDP($A122 &amp; " Corp",V$1))</f>
        <v>#NAME?</v>
      </c>
      <c r="W122" s="127" t="e">
        <f ca="1">VALUE(_xll.BDP($A122 &amp; " Corp",W$1))</f>
        <v>#NAME?</v>
      </c>
      <c r="X122" s="127" t="e">
        <f ca="1">VALUE(_xll.BDP($A122 &amp; " Corp",X$1))</f>
        <v>#NAME?</v>
      </c>
      <c r="Y122" s="127" t="e">
        <f ca="1">VALUE(_xll.BDP($A122 &amp; " Corp",Y$1))</f>
        <v>#NAME?</v>
      </c>
      <c r="Z122" s="128" t="e">
        <f ca="1">_xll.BDP($A122 &amp; " Corp",Z$1)/100</f>
        <v>#NAME?</v>
      </c>
      <c r="AA122" s="129" t="e">
        <f ca="1">_xll.BDP($A122 &amp; " Corp",AA$1)</f>
        <v>#NAME?</v>
      </c>
      <c r="AB122" s="129" t="e">
        <f ca="1">_xll.BDP($A122 &amp; " Corp",AB$1)</f>
        <v>#NAME?</v>
      </c>
      <c r="AC122" s="129" t="e">
        <f ca="1">_xll.BDP($A122 &amp; " Corp",AC$1)</f>
        <v>#NAME?</v>
      </c>
      <c r="AD122" s="130" t="e">
        <f ca="1">_xll.INSTANCE.YANKEE(A122,U122,V122,W122,X122,Y122,Z122,AA122,LEFT(AC122,11),3,IF(RIGHT(AC122,6)="NONEOM",FALSE,TRUE),TODAY())</f>
        <v>#VALUE!</v>
      </c>
      <c r="AE122" s="130" t="e">
        <f ca="1">_xll.INSTANCE.CONVENTION.TAUX("conv_" &amp; A122,LEFT(AC122,11),"Compounded",IF(AA122=1,"Annual",IF(AA122=2,"Semi-Annual","")),"Unadjusted",TODAY())</f>
        <v>#VALUE!</v>
      </c>
    </row>
    <row r="123" spans="1:31" x14ac:dyDescent="0.35">
      <c r="A123" s="131" t="s">
        <v>334</v>
      </c>
      <c r="B123" s="115" t="e">
        <f ca="1">_xll.BDP($A123 &amp; " Govt",B$1)</f>
        <v>#NAME?</v>
      </c>
      <c r="C123" s="201" t="e">
        <f t="shared" ca="1" si="8"/>
        <v>#NAME?</v>
      </c>
      <c r="D123" s="116"/>
      <c r="E123" s="117"/>
      <c r="F123" s="118"/>
      <c r="G123" s="119"/>
      <c r="H123" s="120" t="e">
        <f ca="1">IF(E123="",_xll.BDP(A123 &amp; " Corp","YLD_YTM_ASK")/100,E123)</f>
        <v>#NAME?</v>
      </c>
      <c r="I123" s="121" t="e">
        <f ca="1">_xll.INSTRUMENT.PRIX(AD123,D123,H123,AE123)</f>
        <v>#VALUE!</v>
      </c>
      <c r="J123" s="122" t="e">
        <f ca="1">_xll.INSTRUMENT.DV01(AD123,,,I123,cContinuous,I123)</f>
        <v>#VALUE!</v>
      </c>
      <c r="K123" s="123" t="e">
        <f ca="1">_xll.INSTRUMENT.CONVEXITE(AD123,,,I123,cContinuous,I123)</f>
        <v>#VALUE!</v>
      </c>
      <c r="L123" s="123" t="e">
        <f ca="1">_xll.INSTRUMENT.Z.SPREAD(AD123,swapCurve,I123,,D123)</f>
        <v>#VALUE!</v>
      </c>
      <c r="M123" s="123" t="e">
        <f ca="1">_xll.INSTRUMENT.Z.SPREAD(AD123,ustCurve,I123,,D123)</f>
        <v>#VALUE!</v>
      </c>
      <c r="N123" s="123" t="e">
        <f ca="1">_xll.INSTRUMENT.Z.SPREAD(AD123,oisCurve,I123,,D123)</f>
        <v>#VALUE!</v>
      </c>
      <c r="O123" s="124" t="e">
        <f ca="1">1/_xll.CALENDRIER.FRAC.ANNEE(_xll.INSTRUMENT.DATE.REGLEMENT($AD123,,),_xll.INSTRUMENT.DATE.REGLEMENT($AD123,_xll.CALENDRIER.GAP.FINANCE(TODAY(),"1M","AUD","Unadjusted"),),"ACT/365")*(_xll.INSTRUMENT.ROLL.DOWN($AD123,swapCurve,_xll.CALENDRIER.GAP.FINANCE(TODAY(),"1M","AUD","Unadjusted",TRUE),$L123)+100*$Z123*_xll.CALENDRIER.FRAC.ANNEE(_xll.INSTRUMENT.DATE.REGLEMENT($AD123,,),_xll.INSTRUMENT.DATE.REGLEMENT($AD123,_xll.CALENDRIER.GAP.FINANCE(TODAY(),"1M","AUD","Unadjusted"),),"ACT/365")-$I123)/$I123</f>
        <v>#NAME?</v>
      </c>
      <c r="P123" s="124" t="e">
        <f ca="1">1/_xll.CALENDRIER.FRAC.ANNEE(_xll.INSTRUMENT.DATE.REGLEMENT($AD123,,),_xll.INSTRUMENT.DATE.REGLEMENT($AD123,_xll.CALENDRIER.GAP.FINANCE(TODAY(),"3M","AUD","Unadjusted"),),"ACT/365")*(_xll.INSTRUMENT.ROLL.DOWN($AD123,swapCurve,_xll.CALENDRIER.GAP.FINANCE(TODAY(),"3M","AUD","Unadjusted",TRUE),$L123)+100*$Z123*_xll.CALENDRIER.FRAC.ANNEE(_xll.INSTRUMENT.DATE.REGLEMENT($AD123,,),_xll.INSTRUMENT.DATE.REGLEMENT($AD123,_xll.CALENDRIER.GAP.FINANCE(TODAY(),"3M","AUD","Unadjusted"),),"ACT/365")-$I123)/$I123</f>
        <v>#NAME?</v>
      </c>
      <c r="Q123" s="143" t="e">
        <f t="shared" ca="1" si="9"/>
        <v>#VALUE!</v>
      </c>
      <c r="R123" s="191" t="str">
        <f>IF(F123&lt;&gt;"","",IF(G123="","",-G123*(SUMIF('raw Data'!$A:$A,"RESINV1USD",'raw Data'!$G:$G)+SUMIF('raw Data'!$A:$A,"RESSWAPORUSD",'raw Data'!$G:$G))/(36500*J123)))</f>
        <v/>
      </c>
      <c r="S123" s="202" t="str">
        <f>IF(G123&lt;&gt;"","",IF(F123="","",-36500*J123*F123/(SUMIF('raw Data'!$A:$A,"RESINV1USD",'raw Data'!$G:$G)+SUMIF('raw Data'!$A:$A,"RESSWAPORUSD",'raw Data'!$G:$G))))</f>
        <v/>
      </c>
      <c r="T123" s="125">
        <f>SUMIF('raw Data'!$E:$E,A123,'raw Data'!$N:$N)</f>
        <v>39000</v>
      </c>
      <c r="U123" s="126" t="e">
        <f ca="1">VALUE(_xll.BDP($A123 &amp; " Corp",U$1))</f>
        <v>#NAME?</v>
      </c>
      <c r="V123" s="127" t="e">
        <f ca="1">VALUE(_xll.BDP($A123 &amp; " Corp",V$1))</f>
        <v>#NAME?</v>
      </c>
      <c r="W123" s="127" t="e">
        <f ca="1">VALUE(_xll.BDP($A123 &amp; " Corp",W$1))</f>
        <v>#NAME?</v>
      </c>
      <c r="X123" s="127" t="e">
        <f ca="1">VALUE(_xll.BDP($A123 &amp; " Corp",X$1))</f>
        <v>#NAME?</v>
      </c>
      <c r="Y123" s="127" t="e">
        <f ca="1">VALUE(_xll.BDP($A123 &amp; " Corp",Y$1))</f>
        <v>#NAME?</v>
      </c>
      <c r="Z123" s="128" t="e">
        <f ca="1">_xll.BDP($A123 &amp; " Corp",Z$1)/100</f>
        <v>#NAME?</v>
      </c>
      <c r="AA123" s="129" t="e">
        <f ca="1">_xll.BDP($A123 &amp; " Corp",AA$1)</f>
        <v>#NAME?</v>
      </c>
      <c r="AB123" s="129" t="e">
        <f ca="1">_xll.BDP($A123 &amp; " Corp",AB$1)</f>
        <v>#NAME?</v>
      </c>
      <c r="AC123" s="129" t="e">
        <f ca="1">_xll.BDP($A123 &amp; " Corp",AC$1)</f>
        <v>#NAME?</v>
      </c>
      <c r="AD123" s="130" t="e">
        <f ca="1">_xll.INSTANCE.YANKEE(A123,U123,V123,W123,X123,Y123,Z123,AA123,LEFT(AC123,11),3,IF(RIGHT(AC123,6)="NONEOM",FALSE,TRUE),TODAY())</f>
        <v>#VALUE!</v>
      </c>
      <c r="AE123" s="130" t="e">
        <f ca="1">_xll.INSTANCE.CONVENTION.TAUX("conv_" &amp; A123,LEFT(AC123,11),"Compounded",IF(AA123=1,"Annual",IF(AA123=2,"Semi-Annual","")),"Unadjusted",TODAY())</f>
        <v>#VALUE!</v>
      </c>
    </row>
    <row r="124" spans="1:31" x14ac:dyDescent="0.35">
      <c r="A124" s="131" t="s">
        <v>688</v>
      </c>
      <c r="B124" s="115" t="e">
        <f ca="1">_xll.BDP($A124 &amp; " Govt",B$1)</f>
        <v>#NAME?</v>
      </c>
      <c r="C124" s="201" t="e">
        <f t="shared" ca="1" si="8"/>
        <v>#NAME?</v>
      </c>
      <c r="D124" s="116"/>
      <c r="E124" s="117"/>
      <c r="F124" s="118"/>
      <c r="G124" s="119"/>
      <c r="H124" s="120" t="e">
        <f ca="1">IF(E124="",_xll.BDP(A124 &amp; " Corp","YLD_YTM_ASK")/100,E124)</f>
        <v>#NAME?</v>
      </c>
      <c r="I124" s="121" t="e">
        <f ca="1">_xll.INSTRUMENT.PRIX(AD124,D124,H124,AE124)</f>
        <v>#VALUE!</v>
      </c>
      <c r="J124" s="122" t="e">
        <f ca="1">_xll.INSTRUMENT.DV01(AD124,,,I124,cContinuous,I124)</f>
        <v>#VALUE!</v>
      </c>
      <c r="K124" s="123" t="e">
        <f ca="1">_xll.INSTRUMENT.CONVEXITE(AD124,,,I124,cContinuous,I124)</f>
        <v>#VALUE!</v>
      </c>
      <c r="L124" s="123" t="e">
        <f ca="1">_xll.INSTRUMENT.Z.SPREAD(AD124,swapCurve,I124,,D124)</f>
        <v>#VALUE!</v>
      </c>
      <c r="M124" s="123" t="e">
        <f ca="1">_xll.INSTRUMENT.Z.SPREAD(AD124,ustCurve,I124,,D124)</f>
        <v>#VALUE!</v>
      </c>
      <c r="N124" s="123" t="e">
        <f ca="1">_xll.INSTRUMENT.Z.SPREAD(AD124,oisCurve,I124,,D124)</f>
        <v>#VALUE!</v>
      </c>
      <c r="O124" s="124" t="e">
        <f ca="1">1/_xll.CALENDRIER.FRAC.ANNEE(_xll.INSTRUMENT.DATE.REGLEMENT($AD124,,),_xll.INSTRUMENT.DATE.REGLEMENT($AD124,_xll.CALENDRIER.GAP.FINANCE(TODAY(),"1M","AUD","Unadjusted"),),"ACT/365")*(_xll.INSTRUMENT.ROLL.DOWN($AD124,swapCurve,_xll.CALENDRIER.GAP.FINANCE(TODAY(),"1M","AUD","Unadjusted",TRUE),$L124)+100*$Z124*_xll.CALENDRIER.FRAC.ANNEE(_xll.INSTRUMENT.DATE.REGLEMENT($AD124,,),_xll.INSTRUMENT.DATE.REGLEMENT($AD124,_xll.CALENDRIER.GAP.FINANCE(TODAY(),"1M","AUD","Unadjusted"),),"ACT/365")-$I124)/$I124</f>
        <v>#NAME?</v>
      </c>
      <c r="P124" s="124" t="e">
        <f ca="1">1/_xll.CALENDRIER.FRAC.ANNEE(_xll.INSTRUMENT.DATE.REGLEMENT($AD124,,),_xll.INSTRUMENT.DATE.REGLEMENT($AD124,_xll.CALENDRIER.GAP.FINANCE(TODAY(),"3M","AUD","Unadjusted"),),"ACT/365")*(_xll.INSTRUMENT.ROLL.DOWN($AD124,swapCurve,_xll.CALENDRIER.GAP.FINANCE(TODAY(),"3M","AUD","Unadjusted",TRUE),$L124)+100*$Z124*_xll.CALENDRIER.FRAC.ANNEE(_xll.INSTRUMENT.DATE.REGLEMENT($AD124,,),_xll.INSTRUMENT.DATE.REGLEMENT($AD124,_xll.CALENDRIER.GAP.FINANCE(TODAY(),"3M","AUD","Unadjusted"),),"ACT/365")-$I124)/$I124</f>
        <v>#NAME?</v>
      </c>
      <c r="Q124" s="143" t="e">
        <f t="shared" ca="1" si="9"/>
        <v>#VALUE!</v>
      </c>
      <c r="R124" s="191" t="str">
        <f>IF(F124&lt;&gt;"","",IF(G124="","",-G124*(SUMIF('raw Data'!$A:$A,"RESINV1USD",'raw Data'!$G:$G)+SUMIF('raw Data'!$A:$A,"RESSWAPORUSD",'raw Data'!$G:$G))/(36500*J124)))</f>
        <v/>
      </c>
      <c r="S124" s="202" t="str">
        <f>IF(G124&lt;&gt;"","",IF(F124="","",-36500*J124*F124/(SUMIF('raw Data'!$A:$A,"RESINV1USD",'raw Data'!$G:$G)+SUMIF('raw Data'!$A:$A,"RESSWAPORUSD",'raw Data'!$G:$G))))</f>
        <v/>
      </c>
      <c r="T124" s="125">
        <f>SUMIF('raw Data'!$E:$E,A124,'raw Data'!$N:$N)</f>
        <v>0</v>
      </c>
      <c r="U124" s="126" t="e">
        <f ca="1">VALUE(_xll.BDP($A124 &amp; " Corp",U$1))</f>
        <v>#NAME?</v>
      </c>
      <c r="V124" s="127" t="e">
        <f ca="1">VALUE(_xll.BDP($A124 &amp; " Corp",V$1))</f>
        <v>#NAME?</v>
      </c>
      <c r="W124" s="127" t="e">
        <f ca="1">VALUE(_xll.BDP($A124 &amp; " Corp",W$1))</f>
        <v>#NAME?</v>
      </c>
      <c r="X124" s="127" t="e">
        <f ca="1">VALUE(_xll.BDP($A124 &amp; " Corp",X$1))</f>
        <v>#NAME?</v>
      </c>
      <c r="Y124" s="127" t="e">
        <f ca="1">VALUE(_xll.BDP($A124 &amp; " Corp",Y$1))</f>
        <v>#NAME?</v>
      </c>
      <c r="Z124" s="128" t="e">
        <f ca="1">_xll.BDP($A124 &amp; " Corp",Z$1)/100</f>
        <v>#NAME?</v>
      </c>
      <c r="AA124" s="129" t="e">
        <f ca="1">_xll.BDP($A124 &amp; " Corp",AA$1)</f>
        <v>#NAME?</v>
      </c>
      <c r="AB124" s="129" t="e">
        <f ca="1">_xll.BDP($A124 &amp; " Corp",AB$1)</f>
        <v>#NAME?</v>
      </c>
      <c r="AC124" s="129" t="e">
        <f ca="1">_xll.BDP($A124 &amp; " Corp",AC$1)</f>
        <v>#NAME?</v>
      </c>
      <c r="AD124" s="130" t="e">
        <f ca="1">_xll.INSTANCE.YANKEE(A124,U124,V124,W124,X124,Y124,Z124,AA124,LEFT(AC124,11),3,IF(RIGHT(AC124,6)="NONEOM",FALSE,TRUE),TODAY())</f>
        <v>#VALUE!</v>
      </c>
      <c r="AE124" s="130" t="e">
        <f ca="1">_xll.INSTANCE.CONVENTION.TAUX("conv_" &amp; A124,LEFT(AC124,11),"Compounded",IF(AA124=1,"Annual",IF(AA124=2,"Semi-Annual","")),"Unadjusted",TODAY())</f>
        <v>#VALUE!</v>
      </c>
    </row>
    <row r="125" spans="1:31" x14ac:dyDescent="0.35">
      <c r="A125" s="131" t="s">
        <v>687</v>
      </c>
      <c r="B125" s="115" t="e">
        <f ca="1">_xll.BDP($A125 &amp; " Govt",B$1)</f>
        <v>#NAME?</v>
      </c>
      <c r="C125" s="201" t="e">
        <f t="shared" ca="1" si="8"/>
        <v>#NAME?</v>
      </c>
      <c r="D125" s="116"/>
      <c r="E125" s="117"/>
      <c r="F125" s="118"/>
      <c r="G125" s="119"/>
      <c r="H125" s="120" t="e">
        <f ca="1">IF(E125="",_xll.BDP(A125 &amp; " Corp","YLD_YTM_ASK")/100,E125)</f>
        <v>#NAME?</v>
      </c>
      <c r="I125" s="121" t="e">
        <f ca="1">_xll.INSTRUMENT.PRIX(AD125,D125,H125,AE125)</f>
        <v>#VALUE!</v>
      </c>
      <c r="J125" s="122" t="e">
        <f ca="1">_xll.INSTRUMENT.DV01(AD125,,,I125,cContinuous,I125)</f>
        <v>#VALUE!</v>
      </c>
      <c r="K125" s="123" t="e">
        <f ca="1">_xll.INSTRUMENT.CONVEXITE(AD125,,,I125,cContinuous,I125)</f>
        <v>#VALUE!</v>
      </c>
      <c r="L125" s="123" t="e">
        <f ca="1">_xll.INSTRUMENT.Z.SPREAD(AD125,swapCurve,I125,,D125)</f>
        <v>#VALUE!</v>
      </c>
      <c r="M125" s="123" t="e">
        <f ca="1">_xll.INSTRUMENT.Z.SPREAD(AD125,ustCurve,I125,,D125)</f>
        <v>#VALUE!</v>
      </c>
      <c r="N125" s="123" t="e">
        <f ca="1">_xll.INSTRUMENT.Z.SPREAD(AD125,oisCurve,I125,,D125)</f>
        <v>#VALUE!</v>
      </c>
      <c r="O125" s="124" t="e">
        <f ca="1">1/_xll.CALENDRIER.FRAC.ANNEE(_xll.INSTRUMENT.DATE.REGLEMENT($AD125,,),_xll.INSTRUMENT.DATE.REGLEMENT($AD125,_xll.CALENDRIER.GAP.FINANCE(TODAY(),"1M","AUD","Unadjusted"),),"ACT/365")*(_xll.INSTRUMENT.ROLL.DOWN($AD125,swapCurve,_xll.CALENDRIER.GAP.FINANCE(TODAY(),"1M","AUD","Unadjusted",TRUE),$L125)+100*$Z125*_xll.CALENDRIER.FRAC.ANNEE(_xll.INSTRUMENT.DATE.REGLEMENT($AD125,,),_xll.INSTRUMENT.DATE.REGLEMENT($AD125,_xll.CALENDRIER.GAP.FINANCE(TODAY(),"1M","AUD","Unadjusted"),),"ACT/365")-$I125)/$I125</f>
        <v>#NAME?</v>
      </c>
      <c r="P125" s="124" t="e">
        <f ca="1">1/_xll.CALENDRIER.FRAC.ANNEE(_xll.INSTRUMENT.DATE.REGLEMENT($AD125,,),_xll.INSTRUMENT.DATE.REGLEMENT($AD125,_xll.CALENDRIER.GAP.FINANCE(TODAY(),"3M","AUD","Unadjusted"),),"ACT/365")*(_xll.INSTRUMENT.ROLL.DOWN($AD125,swapCurve,_xll.CALENDRIER.GAP.FINANCE(TODAY(),"3M","AUD","Unadjusted",TRUE),$L125)+100*$Z125*_xll.CALENDRIER.FRAC.ANNEE(_xll.INSTRUMENT.DATE.REGLEMENT($AD125,,),_xll.INSTRUMENT.DATE.REGLEMENT($AD125,_xll.CALENDRIER.GAP.FINANCE(TODAY(),"3M","AUD","Unadjusted"),),"ACT/365")-$I125)/$I125</f>
        <v>#NAME?</v>
      </c>
      <c r="Q125" s="143" t="e">
        <f t="shared" ca="1" si="9"/>
        <v>#VALUE!</v>
      </c>
      <c r="R125" s="191" t="str">
        <f>IF(F125&lt;&gt;"","",IF(G125="","",-G125*(SUMIF('raw Data'!$A:$A,"RESINV1USD",'raw Data'!$G:$G)+SUMIF('raw Data'!$A:$A,"RESSWAPORUSD",'raw Data'!$G:$G))/(36500*J125)))</f>
        <v/>
      </c>
      <c r="S125" s="202" t="str">
        <f>IF(G125&lt;&gt;"","",IF(F125="","",-36500*J125*F125/(SUMIF('raw Data'!$A:$A,"RESINV1USD",'raw Data'!$G:$G)+SUMIF('raw Data'!$A:$A,"RESSWAPORUSD",'raw Data'!$G:$G))))</f>
        <v/>
      </c>
      <c r="T125" s="125">
        <f>SUMIF('raw Data'!$E:$E,A125,'raw Data'!$N:$N)</f>
        <v>0</v>
      </c>
      <c r="U125" s="126" t="e">
        <f ca="1">VALUE(_xll.BDP($A125 &amp; " Corp",U$1))</f>
        <v>#NAME?</v>
      </c>
      <c r="V125" s="127" t="e">
        <f ca="1">VALUE(_xll.BDP($A125 &amp; " Corp",V$1))</f>
        <v>#NAME?</v>
      </c>
      <c r="W125" s="127" t="e">
        <f ca="1">VALUE(_xll.BDP($A125 &amp; " Corp",W$1))</f>
        <v>#NAME?</v>
      </c>
      <c r="X125" s="127" t="e">
        <f ca="1">VALUE(_xll.BDP($A125 &amp; " Corp",X$1))</f>
        <v>#NAME?</v>
      </c>
      <c r="Y125" s="127" t="e">
        <f ca="1">VALUE(_xll.BDP($A125 &amp; " Corp",Y$1))</f>
        <v>#NAME?</v>
      </c>
      <c r="Z125" s="128" t="e">
        <f ca="1">_xll.BDP($A125 &amp; " Corp",Z$1)/100</f>
        <v>#NAME?</v>
      </c>
      <c r="AA125" s="129" t="e">
        <f ca="1">_xll.BDP($A125 &amp; " Corp",AA$1)</f>
        <v>#NAME?</v>
      </c>
      <c r="AB125" s="129" t="e">
        <f ca="1">_xll.BDP($A125 &amp; " Corp",AB$1)</f>
        <v>#NAME?</v>
      </c>
      <c r="AC125" s="129" t="e">
        <f ca="1">_xll.BDP($A125 &amp; " Corp",AC$1)</f>
        <v>#NAME?</v>
      </c>
      <c r="AD125" s="130" t="e">
        <f ca="1">_xll.INSTANCE.YANKEE(A125,U125,V125,W125,X125,Y125,Z125,AA125,LEFT(AC125,11),3,IF(RIGHT(AC125,6)="NONEOM",FALSE,TRUE),TODAY())</f>
        <v>#VALUE!</v>
      </c>
      <c r="AE125" s="130" t="e">
        <f ca="1">_xll.INSTANCE.CONVENTION.TAUX("conv_" &amp; A125,LEFT(AC125,11),"Compounded",IF(AA125=1,"Annual",IF(AA125=2,"Semi-Annual","")),"Unadjusted",TODAY())</f>
        <v>#VALUE!</v>
      </c>
    </row>
    <row r="126" spans="1:31" x14ac:dyDescent="0.35">
      <c r="A126" s="131" t="s">
        <v>686</v>
      </c>
      <c r="B126" s="115" t="e">
        <f ca="1">_xll.BDP($A126 &amp; " Govt",B$1)</f>
        <v>#NAME?</v>
      </c>
      <c r="C126" s="201" t="e">
        <f t="shared" ca="1" si="8"/>
        <v>#NAME?</v>
      </c>
      <c r="D126" s="116"/>
      <c r="E126" s="117"/>
      <c r="F126" s="118"/>
      <c r="G126" s="119"/>
      <c r="H126" s="120" t="e">
        <f ca="1">IF(E126="",_xll.BDP(A126 &amp; " Corp","YLD_YTM_ASK")/100,E126)</f>
        <v>#NAME?</v>
      </c>
      <c r="I126" s="121" t="e">
        <f ca="1">_xll.INSTRUMENT.PRIX(AD126,D126,H126,AE126)</f>
        <v>#VALUE!</v>
      </c>
      <c r="J126" s="122" t="e">
        <f ca="1">_xll.INSTRUMENT.DV01(AD126,,,I126,cContinuous,I126)</f>
        <v>#VALUE!</v>
      </c>
      <c r="K126" s="123" t="e">
        <f ca="1">_xll.INSTRUMENT.CONVEXITE(AD126,,,I126,cContinuous,I126)</f>
        <v>#VALUE!</v>
      </c>
      <c r="L126" s="123" t="e">
        <f ca="1">_xll.INSTRUMENT.Z.SPREAD(AD126,swapCurve,I126,,D126)</f>
        <v>#VALUE!</v>
      </c>
      <c r="M126" s="123" t="e">
        <f ca="1">_xll.INSTRUMENT.Z.SPREAD(AD126,ustCurve,I126,,D126)</f>
        <v>#VALUE!</v>
      </c>
      <c r="N126" s="123" t="e">
        <f ca="1">_xll.INSTRUMENT.Z.SPREAD(AD126,oisCurve,I126,,D126)</f>
        <v>#VALUE!</v>
      </c>
      <c r="O126" s="124" t="e">
        <f ca="1">1/_xll.CALENDRIER.FRAC.ANNEE(_xll.INSTRUMENT.DATE.REGLEMENT($AD126,,),_xll.INSTRUMENT.DATE.REGLEMENT($AD126,_xll.CALENDRIER.GAP.FINANCE(TODAY(),"1M","AUD","Unadjusted"),),"ACT/365")*(_xll.INSTRUMENT.ROLL.DOWN($AD126,swapCurve,_xll.CALENDRIER.GAP.FINANCE(TODAY(),"1M","AUD","Unadjusted",TRUE),$L126)+100*$Z126*_xll.CALENDRIER.FRAC.ANNEE(_xll.INSTRUMENT.DATE.REGLEMENT($AD126,,),_xll.INSTRUMENT.DATE.REGLEMENT($AD126,_xll.CALENDRIER.GAP.FINANCE(TODAY(),"1M","AUD","Unadjusted"),),"ACT/365")-$I126)/$I126</f>
        <v>#NAME?</v>
      </c>
      <c r="P126" s="124" t="e">
        <f ca="1">1/_xll.CALENDRIER.FRAC.ANNEE(_xll.INSTRUMENT.DATE.REGLEMENT($AD126,,),_xll.INSTRUMENT.DATE.REGLEMENT($AD126,_xll.CALENDRIER.GAP.FINANCE(TODAY(),"3M","AUD","Unadjusted"),),"ACT/365")*(_xll.INSTRUMENT.ROLL.DOWN($AD126,swapCurve,_xll.CALENDRIER.GAP.FINANCE(TODAY(),"3M","AUD","Unadjusted",TRUE),$L126)+100*$Z126*_xll.CALENDRIER.FRAC.ANNEE(_xll.INSTRUMENT.DATE.REGLEMENT($AD126,,),_xll.INSTRUMENT.DATE.REGLEMENT($AD126,_xll.CALENDRIER.GAP.FINANCE(TODAY(),"3M","AUD","Unadjusted"),),"ACT/365")-$I126)/$I126</f>
        <v>#NAME?</v>
      </c>
      <c r="Q126" s="143" t="e">
        <f t="shared" ca="1" si="9"/>
        <v>#VALUE!</v>
      </c>
      <c r="R126" s="191" t="str">
        <f>IF(F126&lt;&gt;"","",IF(G126="","",-G126*(SUMIF('raw Data'!$A:$A,"RESINV1USD",'raw Data'!$G:$G)+SUMIF('raw Data'!$A:$A,"RESSWAPORUSD",'raw Data'!$G:$G))/(36500*J126)))</f>
        <v/>
      </c>
      <c r="S126" s="202" t="str">
        <f>IF(G126&lt;&gt;"","",IF(F126="","",-36500*J126*F126/(SUMIF('raw Data'!$A:$A,"RESINV1USD",'raw Data'!$G:$G)+SUMIF('raw Data'!$A:$A,"RESSWAPORUSD",'raw Data'!$G:$G))))</f>
        <v/>
      </c>
      <c r="T126" s="125">
        <f>SUMIF('raw Data'!$E:$E,A126,'raw Data'!$N:$N)</f>
        <v>0</v>
      </c>
      <c r="U126" s="126" t="e">
        <f ca="1">VALUE(_xll.BDP($A126 &amp; " Corp",U$1))</f>
        <v>#NAME?</v>
      </c>
      <c r="V126" s="127" t="e">
        <f ca="1">VALUE(_xll.BDP($A126 &amp; " Corp",V$1))</f>
        <v>#NAME?</v>
      </c>
      <c r="W126" s="127" t="e">
        <f ca="1">VALUE(_xll.BDP($A126 &amp; " Corp",W$1))</f>
        <v>#NAME?</v>
      </c>
      <c r="X126" s="127" t="e">
        <f ca="1">VALUE(_xll.BDP($A126 &amp; " Corp",X$1))</f>
        <v>#NAME?</v>
      </c>
      <c r="Y126" s="127" t="e">
        <f ca="1">VALUE(_xll.BDP($A126 &amp; " Corp",Y$1))</f>
        <v>#NAME?</v>
      </c>
      <c r="Z126" s="128" t="e">
        <f ca="1">_xll.BDP($A126 &amp; " Corp",Z$1)/100</f>
        <v>#NAME?</v>
      </c>
      <c r="AA126" s="129" t="e">
        <f ca="1">_xll.BDP($A126 &amp; " Corp",AA$1)</f>
        <v>#NAME?</v>
      </c>
      <c r="AB126" s="129" t="e">
        <f ca="1">_xll.BDP($A126 &amp; " Corp",AB$1)</f>
        <v>#NAME?</v>
      </c>
      <c r="AC126" s="129" t="e">
        <f ca="1">_xll.BDP($A126 &amp; " Corp",AC$1)</f>
        <v>#NAME?</v>
      </c>
      <c r="AD126" s="130" t="e">
        <f ca="1">_xll.INSTANCE.YANKEE(A126,U126,V126,W126,X126,Y126,Z126,AA126,LEFT(AC126,11),3,IF(RIGHT(AC126,6)="NONEOM",FALSE,TRUE),TODAY())</f>
        <v>#VALUE!</v>
      </c>
      <c r="AE126" s="130" t="e">
        <f ca="1">_xll.INSTANCE.CONVENTION.TAUX("conv_" &amp; A126,LEFT(AC126,11),"Compounded",IF(AA126=1,"Annual",IF(AA126=2,"Semi-Annual","")),"Unadjusted",TODAY())</f>
        <v>#VALUE!</v>
      </c>
    </row>
    <row r="127" spans="1:31" x14ac:dyDescent="0.35">
      <c r="A127" s="131" t="s">
        <v>683</v>
      </c>
      <c r="B127" s="115" t="e">
        <f ca="1">_xll.BDP($A127 &amp; " Govt",B$1)</f>
        <v>#NAME?</v>
      </c>
      <c r="C127" s="201" t="e">
        <f t="shared" ca="1" si="8"/>
        <v>#NAME?</v>
      </c>
      <c r="D127" s="116"/>
      <c r="E127" s="117"/>
      <c r="F127" s="118"/>
      <c r="G127" s="119"/>
      <c r="H127" s="120" t="e">
        <f ca="1">IF(E127="",_xll.BDP(A127 &amp; " Corp","YLD_YTM_ASK")/100,E127)</f>
        <v>#NAME?</v>
      </c>
      <c r="I127" s="121" t="e">
        <f ca="1">_xll.INSTRUMENT.PRIX(AD127,D127,H127,AE127)</f>
        <v>#VALUE!</v>
      </c>
      <c r="J127" s="122" t="e">
        <f ca="1">_xll.INSTRUMENT.DV01(AD127,,,I127,cContinuous,I127)</f>
        <v>#VALUE!</v>
      </c>
      <c r="K127" s="123" t="e">
        <f ca="1">_xll.INSTRUMENT.CONVEXITE(AD127,,,I127,cContinuous,I127)</f>
        <v>#VALUE!</v>
      </c>
      <c r="L127" s="123" t="e">
        <f ca="1">_xll.INSTRUMENT.Z.SPREAD(AD127,swapCurve,I127,,D127)</f>
        <v>#VALUE!</v>
      </c>
      <c r="M127" s="123" t="e">
        <f ca="1">_xll.INSTRUMENT.Z.SPREAD(AD127,ustCurve,I127,,D127)</f>
        <v>#VALUE!</v>
      </c>
      <c r="N127" s="123" t="e">
        <f ca="1">_xll.INSTRUMENT.Z.SPREAD(AD127,oisCurve,I127,,D127)</f>
        <v>#VALUE!</v>
      </c>
      <c r="O127" s="124" t="e">
        <f ca="1">1/_xll.CALENDRIER.FRAC.ANNEE(_xll.INSTRUMENT.DATE.REGLEMENT($AD127,,),_xll.INSTRUMENT.DATE.REGLEMENT($AD127,_xll.CALENDRIER.GAP.FINANCE(TODAY(),"1M","AUD","Unadjusted"),),"ACT/365")*(_xll.INSTRUMENT.ROLL.DOWN($AD127,swapCurve,_xll.CALENDRIER.GAP.FINANCE(TODAY(),"1M","AUD","Unadjusted",TRUE),$L127)+100*$Z127*_xll.CALENDRIER.FRAC.ANNEE(_xll.INSTRUMENT.DATE.REGLEMENT($AD127,,),_xll.INSTRUMENT.DATE.REGLEMENT($AD127,_xll.CALENDRIER.GAP.FINANCE(TODAY(),"1M","AUD","Unadjusted"),),"ACT/365")-$I127)/$I127</f>
        <v>#NAME?</v>
      </c>
      <c r="P127" s="124" t="e">
        <f ca="1">1/_xll.CALENDRIER.FRAC.ANNEE(_xll.INSTRUMENT.DATE.REGLEMENT($AD127,,),_xll.INSTRUMENT.DATE.REGLEMENT($AD127,_xll.CALENDRIER.GAP.FINANCE(TODAY(),"3M","AUD","Unadjusted"),),"ACT/365")*(_xll.INSTRUMENT.ROLL.DOWN($AD127,swapCurve,_xll.CALENDRIER.GAP.FINANCE(TODAY(),"3M","AUD","Unadjusted",TRUE),$L127)+100*$Z127*_xll.CALENDRIER.FRAC.ANNEE(_xll.INSTRUMENT.DATE.REGLEMENT($AD127,,),_xll.INSTRUMENT.DATE.REGLEMENT($AD127,_xll.CALENDRIER.GAP.FINANCE(TODAY(),"3M","AUD","Unadjusted"),),"ACT/365")-$I127)/$I127</f>
        <v>#NAME?</v>
      </c>
      <c r="Q127" s="143" t="e">
        <f t="shared" ca="1" si="9"/>
        <v>#VALUE!</v>
      </c>
      <c r="R127" s="191" t="str">
        <f>IF(F127&lt;&gt;"","",IF(G127="","",-G127*(SUMIF('raw Data'!$A:$A,"RESINV1USD",'raw Data'!$G:$G)+SUMIF('raw Data'!$A:$A,"RESSWAPORUSD",'raw Data'!$G:$G))/(36500*J127)))</f>
        <v/>
      </c>
      <c r="S127" s="202" t="str">
        <f>IF(G127&lt;&gt;"","",IF(F127="","",-36500*J127*F127/(SUMIF('raw Data'!$A:$A,"RESINV1USD",'raw Data'!$G:$G)+SUMIF('raw Data'!$A:$A,"RESSWAPORUSD",'raw Data'!$G:$G))))</f>
        <v/>
      </c>
      <c r="T127" s="125">
        <f>SUMIF('raw Data'!$E:$E,A127,'raw Data'!$N:$N)</f>
        <v>0</v>
      </c>
      <c r="U127" s="126" t="e">
        <f ca="1">VALUE(_xll.BDP($A127 &amp; " Corp",U$1))</f>
        <v>#NAME?</v>
      </c>
      <c r="V127" s="127" t="e">
        <f ca="1">VALUE(_xll.BDP($A127 &amp; " Corp",V$1))</f>
        <v>#NAME?</v>
      </c>
      <c r="W127" s="127" t="e">
        <f ca="1">VALUE(_xll.BDP($A127 &amp; " Corp",W$1))</f>
        <v>#NAME?</v>
      </c>
      <c r="X127" s="127" t="e">
        <f ca="1">VALUE(_xll.BDP($A127 &amp; " Corp",X$1))</f>
        <v>#NAME?</v>
      </c>
      <c r="Y127" s="127" t="e">
        <f ca="1">VALUE(_xll.BDP($A127 &amp; " Corp",Y$1))</f>
        <v>#NAME?</v>
      </c>
      <c r="Z127" s="128" t="e">
        <f ca="1">_xll.BDP($A127 &amp; " Corp",Z$1)/100</f>
        <v>#NAME?</v>
      </c>
      <c r="AA127" s="129" t="e">
        <f ca="1">_xll.BDP($A127 &amp; " Corp",AA$1)</f>
        <v>#NAME?</v>
      </c>
      <c r="AB127" s="129" t="e">
        <f ca="1">_xll.BDP($A127 &amp; " Corp",AB$1)</f>
        <v>#NAME?</v>
      </c>
      <c r="AC127" s="129" t="e">
        <f ca="1">_xll.BDP($A127 &amp; " Corp",AC$1)</f>
        <v>#NAME?</v>
      </c>
      <c r="AD127" s="130" t="e">
        <f ca="1">_xll.INSTANCE.YANKEE(A127,U127,V127,W127,X127,Y127,Z127,AA127,LEFT(AC127,11),3,IF(RIGHT(AC127,6)="NONEOM",FALSE,TRUE),TODAY())</f>
        <v>#VALUE!</v>
      </c>
      <c r="AE127" s="130" t="e">
        <f ca="1">_xll.INSTANCE.CONVENTION.TAUX("conv_" &amp; A127,LEFT(AC127,11),"Compounded",IF(AA127=1,"Annual",IF(AA127=2,"Semi-Annual","")),"Unadjusted",TODAY())</f>
        <v>#VALUE!</v>
      </c>
    </row>
    <row r="128" spans="1:31" x14ac:dyDescent="0.35">
      <c r="A128" s="131" t="s">
        <v>296</v>
      </c>
      <c r="B128" s="115" t="e">
        <f ca="1">_xll.BDP($A128 &amp; " Govt",B$1)</f>
        <v>#NAME?</v>
      </c>
      <c r="C128" s="201" t="e">
        <f t="shared" ca="1" si="8"/>
        <v>#NAME?</v>
      </c>
      <c r="D128" s="116"/>
      <c r="E128" s="117"/>
      <c r="F128" s="118"/>
      <c r="G128" s="119"/>
      <c r="H128" s="120" t="e">
        <f ca="1">IF(E128="",_xll.BDP(A128 &amp; " Corp","YLD_YTM_ASK")/100,E128)</f>
        <v>#NAME?</v>
      </c>
      <c r="I128" s="121" t="e">
        <f ca="1">_xll.INSTRUMENT.PRIX(AD128,D128,H128,AE128)</f>
        <v>#VALUE!</v>
      </c>
      <c r="J128" s="122" t="e">
        <f ca="1">_xll.INSTRUMENT.DV01(AD128,,,I128,cContinuous,I128)</f>
        <v>#VALUE!</v>
      </c>
      <c r="K128" s="123" t="e">
        <f ca="1">_xll.INSTRUMENT.CONVEXITE(AD128,,,I128,cContinuous,I128)</f>
        <v>#VALUE!</v>
      </c>
      <c r="L128" s="123" t="e">
        <f ca="1">_xll.INSTRUMENT.Z.SPREAD(AD128,swapCurve,I128,,D128)</f>
        <v>#VALUE!</v>
      </c>
      <c r="M128" s="123" t="e">
        <f ca="1">_xll.INSTRUMENT.Z.SPREAD(AD128,ustCurve,I128,,D128)</f>
        <v>#VALUE!</v>
      </c>
      <c r="N128" s="123" t="e">
        <f ca="1">_xll.INSTRUMENT.Z.SPREAD(AD128,oisCurve,I128,,D128)</f>
        <v>#VALUE!</v>
      </c>
      <c r="O128" s="124" t="e">
        <f ca="1">1/_xll.CALENDRIER.FRAC.ANNEE(_xll.INSTRUMENT.DATE.REGLEMENT($AD128,,),_xll.INSTRUMENT.DATE.REGLEMENT($AD128,_xll.CALENDRIER.GAP.FINANCE(TODAY(),"1M","AUD","Unadjusted"),),"ACT/365")*(_xll.INSTRUMENT.ROLL.DOWN($AD128,swapCurve,_xll.CALENDRIER.GAP.FINANCE(TODAY(),"1M","AUD","Unadjusted",TRUE),$L128)+100*$Z128*_xll.CALENDRIER.FRAC.ANNEE(_xll.INSTRUMENT.DATE.REGLEMENT($AD128,,),_xll.INSTRUMENT.DATE.REGLEMENT($AD128,_xll.CALENDRIER.GAP.FINANCE(TODAY(),"1M","AUD","Unadjusted"),),"ACT/365")-$I128)/$I128</f>
        <v>#NAME?</v>
      </c>
      <c r="P128" s="124" t="e">
        <f ca="1">1/_xll.CALENDRIER.FRAC.ANNEE(_xll.INSTRUMENT.DATE.REGLEMENT($AD128,,),_xll.INSTRUMENT.DATE.REGLEMENT($AD128,_xll.CALENDRIER.GAP.FINANCE(TODAY(),"3M","AUD","Unadjusted"),),"ACT/365")*(_xll.INSTRUMENT.ROLL.DOWN($AD128,swapCurve,_xll.CALENDRIER.GAP.FINANCE(TODAY(),"3M","AUD","Unadjusted",TRUE),$L128)+100*$Z128*_xll.CALENDRIER.FRAC.ANNEE(_xll.INSTRUMENT.DATE.REGLEMENT($AD128,,),_xll.INSTRUMENT.DATE.REGLEMENT($AD128,_xll.CALENDRIER.GAP.FINANCE(TODAY(),"3M","AUD","Unadjusted"),),"ACT/365")-$I128)/$I128</f>
        <v>#NAME?</v>
      </c>
      <c r="Q128" s="143" t="e">
        <f t="shared" ca="1" si="9"/>
        <v>#VALUE!</v>
      </c>
      <c r="R128" s="191" t="str">
        <f>IF(F128&lt;&gt;"","",IF(G128="","",-G128*(SUMIF('raw Data'!$A:$A,"RESINV1USD",'raw Data'!$G:$G)+SUMIF('raw Data'!$A:$A,"RESSWAPORUSD",'raw Data'!$G:$G))/(36500*J128)))</f>
        <v/>
      </c>
      <c r="S128" s="202" t="str">
        <f>IF(G128&lt;&gt;"","",IF(F128="","",-36500*J128*F128/(SUMIF('raw Data'!$A:$A,"RESINV1USD",'raw Data'!$G:$G)+SUMIF('raw Data'!$A:$A,"RESSWAPORUSD",'raw Data'!$G:$G))))</f>
        <v/>
      </c>
      <c r="T128" s="125">
        <f>SUMIF('raw Data'!$E:$E,A128,'raw Data'!$N:$N)</f>
        <v>99500</v>
      </c>
      <c r="U128" s="126" t="e">
        <f ca="1">VALUE(_xll.BDP($A128 &amp; " Corp",U$1))</f>
        <v>#NAME?</v>
      </c>
      <c r="V128" s="127" t="e">
        <f ca="1">VALUE(_xll.BDP($A128 &amp; " Corp",V$1))</f>
        <v>#NAME?</v>
      </c>
      <c r="W128" s="127" t="e">
        <f ca="1">VALUE(_xll.BDP($A128 &amp; " Corp",W$1))</f>
        <v>#NAME?</v>
      </c>
      <c r="X128" s="127" t="e">
        <f ca="1">VALUE(_xll.BDP($A128 &amp; " Corp",X$1))</f>
        <v>#NAME?</v>
      </c>
      <c r="Y128" s="127" t="e">
        <f ca="1">VALUE(_xll.BDP($A128 &amp; " Corp",Y$1))</f>
        <v>#NAME?</v>
      </c>
      <c r="Z128" s="128" t="e">
        <f ca="1">_xll.BDP($A128 &amp; " Corp",Z$1)/100</f>
        <v>#NAME?</v>
      </c>
      <c r="AA128" s="129" t="e">
        <f ca="1">_xll.BDP($A128 &amp; " Corp",AA$1)</f>
        <v>#NAME?</v>
      </c>
      <c r="AB128" s="129" t="e">
        <f ca="1">_xll.BDP($A128 &amp; " Corp",AB$1)</f>
        <v>#NAME?</v>
      </c>
      <c r="AC128" s="129" t="e">
        <f ca="1">_xll.BDP($A128 &amp; " Corp",AC$1)</f>
        <v>#NAME?</v>
      </c>
      <c r="AD128" s="130" t="e">
        <f ca="1">_xll.INSTANCE.YANKEE(A128,U128,V128,W128,X128,Y128,Z128,AA128,LEFT(AC128,11),3,IF(RIGHT(AC128,6)="NONEOM",FALSE,TRUE),TODAY())</f>
        <v>#VALUE!</v>
      </c>
      <c r="AE128" s="130" t="e">
        <f ca="1">_xll.INSTANCE.CONVENTION.TAUX("conv_" &amp; A128,LEFT(AC128,11),"Compounded",IF(AA128=1,"Annual",IF(AA128=2,"Semi-Annual","")),"Unadjusted",TODAY())</f>
        <v>#VALUE!</v>
      </c>
    </row>
    <row r="129" spans="1:31" x14ac:dyDescent="0.35">
      <c r="A129" s="131" t="s">
        <v>684</v>
      </c>
      <c r="B129" s="115" t="e">
        <f ca="1">_xll.BDP($A129 &amp; " Govt",B$1)</f>
        <v>#NAME?</v>
      </c>
      <c r="C129" s="201" t="e">
        <f t="shared" ca="1" si="8"/>
        <v>#NAME?</v>
      </c>
      <c r="D129" s="116"/>
      <c r="E129" s="117"/>
      <c r="F129" s="118"/>
      <c r="G129" s="119"/>
      <c r="H129" s="120" t="e">
        <f ca="1">IF(E129="",_xll.BDP(A129 &amp; " Corp","YLD_YTM_ASK")/100,E129)</f>
        <v>#NAME?</v>
      </c>
      <c r="I129" s="121" t="e">
        <f ca="1">_xll.INSTRUMENT.PRIX(AD129,D129,H129,AE129)</f>
        <v>#VALUE!</v>
      </c>
      <c r="J129" s="122" t="e">
        <f ca="1">_xll.INSTRUMENT.DV01(AD129,,,I129,cContinuous,I129)</f>
        <v>#VALUE!</v>
      </c>
      <c r="K129" s="123" t="e">
        <f ca="1">_xll.INSTRUMENT.CONVEXITE(AD129,,,I129,cContinuous,I129)</f>
        <v>#VALUE!</v>
      </c>
      <c r="L129" s="123" t="e">
        <f ca="1">_xll.INSTRUMENT.Z.SPREAD(AD129,swapCurve,I129,,D129)</f>
        <v>#VALUE!</v>
      </c>
      <c r="M129" s="123" t="e">
        <f ca="1">_xll.INSTRUMENT.Z.SPREAD(AD129,ustCurve,I129,,D129)</f>
        <v>#VALUE!</v>
      </c>
      <c r="N129" s="123" t="e">
        <f ca="1">_xll.INSTRUMENT.Z.SPREAD(AD129,oisCurve,I129,,D129)</f>
        <v>#VALUE!</v>
      </c>
      <c r="O129" s="124" t="e">
        <f ca="1">1/_xll.CALENDRIER.FRAC.ANNEE(_xll.INSTRUMENT.DATE.REGLEMENT($AD129,,),_xll.INSTRUMENT.DATE.REGLEMENT($AD129,_xll.CALENDRIER.GAP.FINANCE(TODAY(),"1M","AUD","Unadjusted"),),"ACT/365")*(_xll.INSTRUMENT.ROLL.DOWN($AD129,swapCurve,_xll.CALENDRIER.GAP.FINANCE(TODAY(),"1M","AUD","Unadjusted",TRUE),$L129)+100*$Z129*_xll.CALENDRIER.FRAC.ANNEE(_xll.INSTRUMENT.DATE.REGLEMENT($AD129,,),_xll.INSTRUMENT.DATE.REGLEMENT($AD129,_xll.CALENDRIER.GAP.FINANCE(TODAY(),"1M","AUD","Unadjusted"),),"ACT/365")-$I129)/$I129</f>
        <v>#NAME?</v>
      </c>
      <c r="P129" s="124" t="e">
        <f ca="1">1/_xll.CALENDRIER.FRAC.ANNEE(_xll.INSTRUMENT.DATE.REGLEMENT($AD129,,),_xll.INSTRUMENT.DATE.REGLEMENT($AD129,_xll.CALENDRIER.GAP.FINANCE(TODAY(),"3M","AUD","Unadjusted"),),"ACT/365")*(_xll.INSTRUMENT.ROLL.DOWN($AD129,swapCurve,_xll.CALENDRIER.GAP.FINANCE(TODAY(),"3M","AUD","Unadjusted",TRUE),$L129)+100*$Z129*_xll.CALENDRIER.FRAC.ANNEE(_xll.INSTRUMENT.DATE.REGLEMENT($AD129,,),_xll.INSTRUMENT.DATE.REGLEMENT($AD129,_xll.CALENDRIER.GAP.FINANCE(TODAY(),"3M","AUD","Unadjusted"),),"ACT/365")-$I129)/$I129</f>
        <v>#NAME?</v>
      </c>
      <c r="Q129" s="143" t="e">
        <f t="shared" ca="1" si="9"/>
        <v>#VALUE!</v>
      </c>
      <c r="R129" s="191" t="str">
        <f>IF(F129&lt;&gt;"","",IF(G129="","",-G129*(SUMIF('raw Data'!$A:$A,"RESINV1USD",'raw Data'!$G:$G)+SUMIF('raw Data'!$A:$A,"RESSWAPORUSD",'raw Data'!$G:$G))/(36500*J129)))</f>
        <v/>
      </c>
      <c r="S129" s="202" t="str">
        <f>IF(G129&lt;&gt;"","",IF(F129="","",-36500*J129*F129/(SUMIF('raw Data'!$A:$A,"RESINV1USD",'raw Data'!$G:$G)+SUMIF('raw Data'!$A:$A,"RESSWAPORUSD",'raw Data'!$G:$G))))</f>
        <v/>
      </c>
      <c r="T129" s="125">
        <f>SUMIF('raw Data'!$E:$E,A129,'raw Data'!$N:$N)</f>
        <v>0</v>
      </c>
      <c r="U129" s="126" t="e">
        <f ca="1">VALUE(_xll.BDP($A129 &amp; " Corp",U$1))</f>
        <v>#NAME?</v>
      </c>
      <c r="V129" s="127" t="e">
        <f ca="1">VALUE(_xll.BDP($A129 &amp; " Corp",V$1))</f>
        <v>#NAME?</v>
      </c>
      <c r="W129" s="127" t="e">
        <f ca="1">VALUE(_xll.BDP($A129 &amp; " Corp",W$1))</f>
        <v>#NAME?</v>
      </c>
      <c r="X129" s="127" t="e">
        <f ca="1">VALUE(_xll.BDP($A129 &amp; " Corp",X$1))</f>
        <v>#NAME?</v>
      </c>
      <c r="Y129" s="127" t="e">
        <f ca="1">VALUE(_xll.BDP($A129 &amp; " Corp",Y$1))</f>
        <v>#NAME?</v>
      </c>
      <c r="Z129" s="128" t="e">
        <f ca="1">_xll.BDP($A129 &amp; " Corp",Z$1)/100</f>
        <v>#NAME?</v>
      </c>
      <c r="AA129" s="129" t="e">
        <f ca="1">_xll.BDP($A129 &amp; " Corp",AA$1)</f>
        <v>#NAME?</v>
      </c>
      <c r="AB129" s="129" t="e">
        <f ca="1">_xll.BDP($A129 &amp; " Corp",AB$1)</f>
        <v>#NAME?</v>
      </c>
      <c r="AC129" s="129" t="e">
        <f ca="1">_xll.BDP($A129 &amp; " Corp",AC$1)</f>
        <v>#NAME?</v>
      </c>
      <c r="AD129" s="130" t="e">
        <f ca="1">_xll.INSTANCE.YANKEE(A129,U129,V129,W129,X129,Y129,Z129,AA129,LEFT(AC129,11),3,IF(RIGHT(AC129,6)="NONEOM",FALSE,TRUE),TODAY())</f>
        <v>#VALUE!</v>
      </c>
      <c r="AE129" s="130" t="e">
        <f ca="1">_xll.INSTANCE.CONVENTION.TAUX("conv_" &amp; A129,LEFT(AC129,11),"Compounded",IF(AA129=1,"Annual",IF(AA129=2,"Semi-Annual","")),"Unadjusted",TODAY())</f>
        <v>#VALUE!</v>
      </c>
    </row>
    <row r="130" spans="1:31" x14ac:dyDescent="0.35">
      <c r="A130" s="131" t="s">
        <v>884</v>
      </c>
      <c r="B130" s="115" t="e">
        <f ca="1">_xll.BDP($A130 &amp; " Govt",B$1)</f>
        <v>#NAME?</v>
      </c>
      <c r="C130" s="201" t="e">
        <f t="shared" ref="C130:C146" ca="1" si="10">LEFT(B130,SEARCH(" ",B130)-1)</f>
        <v>#NAME?</v>
      </c>
      <c r="D130" s="116"/>
      <c r="E130" s="117"/>
      <c r="F130" s="118"/>
      <c r="G130" s="119"/>
      <c r="H130" s="120" t="e">
        <f ca="1">IF(E130="",_xll.BDP(A130 &amp; " Corp","YLD_YTM_ASK")/100,E130)</f>
        <v>#NAME?</v>
      </c>
      <c r="I130" s="121" t="e">
        <f ca="1">_xll.INSTRUMENT.PRIX(AD130,D130,H130,AE130)</f>
        <v>#VALUE!</v>
      </c>
      <c r="J130" s="122" t="e">
        <f ca="1">_xll.INSTRUMENT.DV01(AD130,,,I130,cContinuous,I130)</f>
        <v>#VALUE!</v>
      </c>
      <c r="K130" s="123" t="e">
        <f ca="1">_xll.INSTRUMENT.CONVEXITE(AD130,,,I130,cContinuous,I130)</f>
        <v>#VALUE!</v>
      </c>
      <c r="L130" s="123" t="e">
        <f ca="1">_xll.INSTRUMENT.Z.SPREAD(AD130,swapCurve,I130,,D130)</f>
        <v>#VALUE!</v>
      </c>
      <c r="M130" s="123" t="e">
        <f ca="1">_xll.INSTRUMENT.Z.SPREAD(AD130,ustCurve,I130,,D130)</f>
        <v>#VALUE!</v>
      </c>
      <c r="N130" s="123" t="e">
        <f ca="1">_xll.INSTRUMENT.Z.SPREAD(AD130,oisCurve,I130,,D130)</f>
        <v>#VALUE!</v>
      </c>
      <c r="O130" s="124" t="e">
        <f ca="1">1/_xll.CALENDRIER.FRAC.ANNEE(_xll.INSTRUMENT.DATE.REGLEMENT($AD130,,),_xll.INSTRUMENT.DATE.REGLEMENT($AD130,_xll.CALENDRIER.GAP.FINANCE(TODAY(),"1M","AUD","Unadjusted"),),"ACT/365")*(_xll.INSTRUMENT.ROLL.DOWN($AD130,swapCurve,_xll.CALENDRIER.GAP.FINANCE(TODAY(),"1M","AUD","Unadjusted",TRUE),$L130)+100*$Z130*_xll.CALENDRIER.FRAC.ANNEE(_xll.INSTRUMENT.DATE.REGLEMENT($AD130,,),_xll.INSTRUMENT.DATE.REGLEMENT($AD130,_xll.CALENDRIER.GAP.FINANCE(TODAY(),"1M","AUD","Unadjusted"),),"ACT/365")-$I130)/$I130</f>
        <v>#NAME?</v>
      </c>
      <c r="P130" s="124" t="e">
        <f ca="1">1/_xll.CALENDRIER.FRAC.ANNEE(_xll.INSTRUMENT.DATE.REGLEMENT($AD130,,),_xll.INSTRUMENT.DATE.REGLEMENT($AD130,_xll.CALENDRIER.GAP.FINANCE(TODAY(),"3M","AUD","Unadjusted"),),"ACT/365")*(_xll.INSTRUMENT.ROLL.DOWN($AD130,swapCurve,_xll.CALENDRIER.GAP.FINANCE(TODAY(),"3M","AUD","Unadjusted",TRUE),$L130)+100*$Z130*_xll.CALENDRIER.FRAC.ANNEE(_xll.INSTRUMENT.DATE.REGLEMENT($AD130,,),_xll.INSTRUMENT.DATE.REGLEMENT($AD130,_xll.CALENDRIER.GAP.FINANCE(TODAY(),"3M","AUD","Unadjusted"),),"ACT/365")-$I130)/$I130</f>
        <v>#NAME?</v>
      </c>
      <c r="Q130" s="143" t="e">
        <f t="shared" ref="Q130:Q146" ca="1" si="11">K130/J130</f>
        <v>#VALUE!</v>
      </c>
      <c r="R130" s="191" t="str">
        <f>IF(F130&lt;&gt;"","",IF(G130="","",-G130*(SUMIF('raw Data'!$A:$A,"RESINV1USD",'raw Data'!$G:$G)+SUMIF('raw Data'!$A:$A,"RESSWAPORUSD",'raw Data'!$G:$G))/(36500*J130)))</f>
        <v/>
      </c>
      <c r="S130" s="202" t="str">
        <f>IF(G130&lt;&gt;"","",IF(F130="","",-36500*J130*F130/(SUMIF('raw Data'!$A:$A,"RESINV1USD",'raw Data'!$G:$G)+SUMIF('raw Data'!$A:$A,"RESSWAPORUSD",'raw Data'!$G:$G))))</f>
        <v/>
      </c>
      <c r="T130" s="125">
        <f>SUMIF('raw Data'!$E:$E,A130,'raw Data'!$N:$N)</f>
        <v>0</v>
      </c>
      <c r="U130" s="126" t="e">
        <f ca="1">VALUE(_xll.BDP($A130 &amp; " Corp",U$1))</f>
        <v>#NAME?</v>
      </c>
      <c r="V130" s="127" t="e">
        <f ca="1">VALUE(_xll.BDP($A130 &amp; " Corp",V$1))</f>
        <v>#NAME?</v>
      </c>
      <c r="W130" s="127" t="e">
        <f ca="1">VALUE(_xll.BDP($A130 &amp; " Corp",W$1))</f>
        <v>#NAME?</v>
      </c>
      <c r="X130" s="127" t="e">
        <f ca="1">VALUE(_xll.BDP($A130 &amp; " Corp",X$1))</f>
        <v>#NAME?</v>
      </c>
      <c r="Y130" s="127" t="e">
        <f ca="1">VALUE(_xll.BDP($A130 &amp; " Corp",Y$1))</f>
        <v>#NAME?</v>
      </c>
      <c r="Z130" s="128" t="e">
        <f ca="1">_xll.BDP($A130 &amp; " Corp",Z$1)/100</f>
        <v>#NAME?</v>
      </c>
      <c r="AA130" s="129" t="e">
        <f ca="1">_xll.BDP($A130 &amp; " Corp",AA$1)</f>
        <v>#NAME?</v>
      </c>
      <c r="AB130" s="129" t="e">
        <f ca="1">_xll.BDP($A130 &amp; " Corp",AB$1)</f>
        <v>#NAME?</v>
      </c>
      <c r="AC130" s="129" t="e">
        <f ca="1">_xll.BDP($A130 &amp; " Corp",AC$1)</f>
        <v>#NAME?</v>
      </c>
      <c r="AD130" s="130" t="e">
        <f ca="1">_xll.INSTANCE.YANKEE(A130,U130,V130,W130,X130,Y130,Z130,AA130,LEFT(AC130,11),3,IF(RIGHT(AC130,6)="NONEOM",FALSE,TRUE),TODAY())</f>
        <v>#VALUE!</v>
      </c>
      <c r="AE130" s="130" t="e">
        <f ca="1">_xll.INSTANCE.CONVENTION.TAUX("conv_" &amp; A130,LEFT(AC130,11),"Compounded",IF(AA130=1,"Annual",IF(AA130=2,"Semi-Annual","")),"Unadjusted",TODAY())</f>
        <v>#VALUE!</v>
      </c>
    </row>
    <row r="131" spans="1:31" x14ac:dyDescent="0.35">
      <c r="A131" s="131" t="s">
        <v>885</v>
      </c>
      <c r="B131" s="115" t="e">
        <f ca="1">_xll.BDP($A131 &amp; " Govt",B$1)</f>
        <v>#NAME?</v>
      </c>
      <c r="C131" s="201" t="e">
        <f t="shared" ca="1" si="10"/>
        <v>#NAME?</v>
      </c>
      <c r="D131" s="116"/>
      <c r="E131" s="117"/>
      <c r="F131" s="118"/>
      <c r="G131" s="119"/>
      <c r="H131" s="120" t="e">
        <f ca="1">IF(E131="",_xll.BDP(A131 &amp; " Corp","YLD_YTM_ASK")/100,E131)</f>
        <v>#NAME?</v>
      </c>
      <c r="I131" s="121" t="e">
        <f ca="1">_xll.INSTRUMENT.PRIX(AD131,D131,H131,AE131)</f>
        <v>#VALUE!</v>
      </c>
      <c r="J131" s="122" t="e">
        <f ca="1">_xll.INSTRUMENT.DV01(AD131,,,I131,cContinuous,I131)</f>
        <v>#VALUE!</v>
      </c>
      <c r="K131" s="123" t="e">
        <f ca="1">_xll.INSTRUMENT.CONVEXITE(AD131,,,I131,cContinuous,I131)</f>
        <v>#VALUE!</v>
      </c>
      <c r="L131" s="123" t="e">
        <f ca="1">_xll.INSTRUMENT.Z.SPREAD(AD131,swapCurve,I131,,D131)</f>
        <v>#VALUE!</v>
      </c>
      <c r="M131" s="123" t="e">
        <f ca="1">_xll.INSTRUMENT.Z.SPREAD(AD131,ustCurve,I131,,D131)</f>
        <v>#VALUE!</v>
      </c>
      <c r="N131" s="123" t="e">
        <f ca="1">_xll.INSTRUMENT.Z.SPREAD(AD131,oisCurve,I131,,D131)</f>
        <v>#VALUE!</v>
      </c>
      <c r="O131" s="124" t="e">
        <f ca="1">1/_xll.CALENDRIER.FRAC.ANNEE(_xll.INSTRUMENT.DATE.REGLEMENT($AD131,,),_xll.INSTRUMENT.DATE.REGLEMENT($AD131,_xll.CALENDRIER.GAP.FINANCE(TODAY(),"1M","AUD","Unadjusted"),),"ACT/365")*(_xll.INSTRUMENT.ROLL.DOWN($AD131,swapCurve,_xll.CALENDRIER.GAP.FINANCE(TODAY(),"1M","AUD","Unadjusted",TRUE),$L131)+100*$Z131*_xll.CALENDRIER.FRAC.ANNEE(_xll.INSTRUMENT.DATE.REGLEMENT($AD131,,),_xll.INSTRUMENT.DATE.REGLEMENT($AD131,_xll.CALENDRIER.GAP.FINANCE(TODAY(),"1M","AUD","Unadjusted"),),"ACT/365")-$I131)/$I131</f>
        <v>#NAME?</v>
      </c>
      <c r="P131" s="124" t="e">
        <f ca="1">1/_xll.CALENDRIER.FRAC.ANNEE(_xll.INSTRUMENT.DATE.REGLEMENT($AD131,,),_xll.INSTRUMENT.DATE.REGLEMENT($AD131,_xll.CALENDRIER.GAP.FINANCE(TODAY(),"3M","AUD","Unadjusted"),),"ACT/365")*(_xll.INSTRUMENT.ROLL.DOWN($AD131,swapCurve,_xll.CALENDRIER.GAP.FINANCE(TODAY(),"3M","AUD","Unadjusted",TRUE),$L131)+100*$Z131*_xll.CALENDRIER.FRAC.ANNEE(_xll.INSTRUMENT.DATE.REGLEMENT($AD131,,),_xll.INSTRUMENT.DATE.REGLEMENT($AD131,_xll.CALENDRIER.GAP.FINANCE(TODAY(),"3M","AUD","Unadjusted"),),"ACT/365")-$I131)/$I131</f>
        <v>#NAME?</v>
      </c>
      <c r="Q131" s="143" t="e">
        <f t="shared" ca="1" si="11"/>
        <v>#VALUE!</v>
      </c>
      <c r="R131" s="191" t="str">
        <f>IF(F131&lt;&gt;"","",IF(G131="","",-G131*(SUMIF('raw Data'!$A:$A,"RESINV1USD",'raw Data'!$G:$G)+SUMIF('raw Data'!$A:$A,"RESSWAPORUSD",'raw Data'!$G:$G))/(36500*J131)))</f>
        <v/>
      </c>
      <c r="S131" s="202" t="str">
        <f>IF(G131&lt;&gt;"","",IF(F131="","",-36500*J131*F131/(SUMIF('raw Data'!$A:$A,"RESINV1USD",'raw Data'!$G:$G)+SUMIF('raw Data'!$A:$A,"RESSWAPORUSD",'raw Data'!$G:$G))))</f>
        <v/>
      </c>
      <c r="T131" s="125">
        <f>SUMIF('raw Data'!$E:$E,A131,'raw Data'!$N:$N)</f>
        <v>0</v>
      </c>
      <c r="U131" s="126" t="e">
        <f ca="1">VALUE(_xll.BDP($A131 &amp; " Corp",U$1))</f>
        <v>#NAME?</v>
      </c>
      <c r="V131" s="127" t="e">
        <f ca="1">VALUE(_xll.BDP($A131 &amp; " Corp",V$1))</f>
        <v>#NAME?</v>
      </c>
      <c r="W131" s="127" t="e">
        <f ca="1">VALUE(_xll.BDP($A131 &amp; " Corp",W$1))</f>
        <v>#NAME?</v>
      </c>
      <c r="X131" s="127" t="e">
        <f ca="1">VALUE(_xll.BDP($A131 &amp; " Corp",X$1))</f>
        <v>#NAME?</v>
      </c>
      <c r="Y131" s="127" t="e">
        <f ca="1">VALUE(_xll.BDP($A131 &amp; " Corp",Y$1))</f>
        <v>#NAME?</v>
      </c>
      <c r="Z131" s="128" t="e">
        <f ca="1">_xll.BDP($A131 &amp; " Corp",Z$1)/100</f>
        <v>#NAME?</v>
      </c>
      <c r="AA131" s="129" t="e">
        <f ca="1">_xll.BDP($A131 &amp; " Corp",AA$1)</f>
        <v>#NAME?</v>
      </c>
      <c r="AB131" s="129" t="e">
        <f ca="1">_xll.BDP($A131 &amp; " Corp",AB$1)</f>
        <v>#NAME?</v>
      </c>
      <c r="AC131" s="129" t="e">
        <f ca="1">_xll.BDP($A131 &amp; " Corp",AC$1)</f>
        <v>#NAME?</v>
      </c>
      <c r="AD131" s="130" t="e">
        <f ca="1">_xll.INSTANCE.YANKEE(A131,U131,V131,W131,X131,Y131,Z131,AA131,LEFT(AC131,11),3,IF(RIGHT(AC131,6)="NONEOM",FALSE,TRUE),TODAY())</f>
        <v>#VALUE!</v>
      </c>
      <c r="AE131" s="130" t="e">
        <f ca="1">_xll.INSTANCE.CONVENTION.TAUX("conv_" &amp; A131,LEFT(AC131,11),"Compounded",IF(AA131=1,"Annual",IF(AA131=2,"Semi-Annual","")),"Unadjusted",TODAY())</f>
        <v>#VALUE!</v>
      </c>
    </row>
    <row r="132" spans="1:31" x14ac:dyDescent="0.35">
      <c r="A132" s="131" t="s">
        <v>886</v>
      </c>
      <c r="B132" s="115" t="e">
        <f ca="1">_xll.BDP($A132 &amp; " Govt",B$1)</f>
        <v>#NAME?</v>
      </c>
      <c r="C132" s="201" t="e">
        <f t="shared" ca="1" si="10"/>
        <v>#NAME?</v>
      </c>
      <c r="D132" s="116"/>
      <c r="E132" s="117"/>
      <c r="F132" s="118"/>
      <c r="G132" s="119"/>
      <c r="H132" s="120" t="e">
        <f ca="1">IF(E132="",_xll.BDP(A132 &amp; " Corp","YLD_YTM_ASK")/100,E132)</f>
        <v>#NAME?</v>
      </c>
      <c r="I132" s="121" t="e">
        <f ca="1">_xll.INSTRUMENT.PRIX(AD132,D132,H132,AE132)</f>
        <v>#VALUE!</v>
      </c>
      <c r="J132" s="122" t="e">
        <f ca="1">_xll.INSTRUMENT.DV01(AD132,,,I132,cContinuous,I132)</f>
        <v>#VALUE!</v>
      </c>
      <c r="K132" s="123" t="e">
        <f ca="1">_xll.INSTRUMENT.CONVEXITE(AD132,,,I132,cContinuous,I132)</f>
        <v>#VALUE!</v>
      </c>
      <c r="L132" s="123" t="e">
        <f ca="1">_xll.INSTRUMENT.Z.SPREAD(AD132,swapCurve,I132,,D132)</f>
        <v>#VALUE!</v>
      </c>
      <c r="M132" s="123" t="e">
        <f ca="1">_xll.INSTRUMENT.Z.SPREAD(AD132,ustCurve,I132,,D132)</f>
        <v>#VALUE!</v>
      </c>
      <c r="N132" s="123" t="e">
        <f ca="1">_xll.INSTRUMENT.Z.SPREAD(AD132,oisCurve,I132,,D132)</f>
        <v>#VALUE!</v>
      </c>
      <c r="O132" s="124" t="e">
        <f ca="1">1/_xll.CALENDRIER.FRAC.ANNEE(_xll.INSTRUMENT.DATE.REGLEMENT($AD132,,),_xll.INSTRUMENT.DATE.REGLEMENT($AD132,_xll.CALENDRIER.GAP.FINANCE(TODAY(),"1M","AUD","Unadjusted"),),"ACT/365")*(_xll.INSTRUMENT.ROLL.DOWN($AD132,swapCurve,_xll.CALENDRIER.GAP.FINANCE(TODAY(),"1M","AUD","Unadjusted",TRUE),$L132)+100*$Z132*_xll.CALENDRIER.FRAC.ANNEE(_xll.INSTRUMENT.DATE.REGLEMENT($AD132,,),_xll.INSTRUMENT.DATE.REGLEMENT($AD132,_xll.CALENDRIER.GAP.FINANCE(TODAY(),"1M","AUD","Unadjusted"),),"ACT/365")-$I132)/$I132</f>
        <v>#NAME?</v>
      </c>
      <c r="P132" s="124" t="e">
        <f ca="1">1/_xll.CALENDRIER.FRAC.ANNEE(_xll.INSTRUMENT.DATE.REGLEMENT($AD132,,),_xll.INSTRUMENT.DATE.REGLEMENT($AD132,_xll.CALENDRIER.GAP.FINANCE(TODAY(),"3M","AUD","Unadjusted"),),"ACT/365")*(_xll.INSTRUMENT.ROLL.DOWN($AD132,swapCurve,_xll.CALENDRIER.GAP.FINANCE(TODAY(),"3M","AUD","Unadjusted",TRUE),$L132)+100*$Z132*_xll.CALENDRIER.FRAC.ANNEE(_xll.INSTRUMENT.DATE.REGLEMENT($AD132,,),_xll.INSTRUMENT.DATE.REGLEMENT($AD132,_xll.CALENDRIER.GAP.FINANCE(TODAY(),"3M","AUD","Unadjusted"),),"ACT/365")-$I132)/$I132</f>
        <v>#NAME?</v>
      </c>
      <c r="Q132" s="143" t="e">
        <f t="shared" ca="1" si="11"/>
        <v>#VALUE!</v>
      </c>
      <c r="R132" s="191" t="str">
        <f>IF(F132&lt;&gt;"","",IF(G132="","",-G132*(SUMIF('raw Data'!$A:$A,"RESINV1USD",'raw Data'!$G:$G)+SUMIF('raw Data'!$A:$A,"RESSWAPORUSD",'raw Data'!$G:$G))/(36500*J132)))</f>
        <v/>
      </c>
      <c r="S132" s="202" t="str">
        <f>IF(G132&lt;&gt;"","",IF(F132="","",-36500*J132*F132/(SUMIF('raw Data'!$A:$A,"RESINV1USD",'raw Data'!$G:$G)+SUMIF('raw Data'!$A:$A,"RESSWAPORUSD",'raw Data'!$G:$G))))</f>
        <v/>
      </c>
      <c r="T132" s="125">
        <f>SUMIF('raw Data'!$E:$E,A132,'raw Data'!$N:$N)</f>
        <v>0</v>
      </c>
      <c r="U132" s="126" t="e">
        <f ca="1">VALUE(_xll.BDP($A132 &amp; " Corp",U$1))</f>
        <v>#NAME?</v>
      </c>
      <c r="V132" s="127" t="e">
        <f ca="1">VALUE(_xll.BDP($A132 &amp; " Corp",V$1))</f>
        <v>#NAME?</v>
      </c>
      <c r="W132" s="127" t="e">
        <f ca="1">VALUE(_xll.BDP($A132 &amp; " Corp",W$1))</f>
        <v>#NAME?</v>
      </c>
      <c r="X132" s="127" t="e">
        <f ca="1">VALUE(_xll.BDP($A132 &amp; " Corp",X$1))</f>
        <v>#NAME?</v>
      </c>
      <c r="Y132" s="127" t="e">
        <f ca="1">VALUE(_xll.BDP($A132 &amp; " Corp",Y$1))</f>
        <v>#NAME?</v>
      </c>
      <c r="Z132" s="128" t="e">
        <f ca="1">_xll.BDP($A132 &amp; " Corp",Z$1)/100</f>
        <v>#NAME?</v>
      </c>
      <c r="AA132" s="129" t="e">
        <f ca="1">_xll.BDP($A132 &amp; " Corp",AA$1)</f>
        <v>#NAME?</v>
      </c>
      <c r="AB132" s="129" t="e">
        <f ca="1">_xll.BDP($A132 &amp; " Corp",AB$1)</f>
        <v>#NAME?</v>
      </c>
      <c r="AC132" s="129" t="e">
        <f ca="1">_xll.BDP($A132 &amp; " Corp",AC$1)</f>
        <v>#NAME?</v>
      </c>
      <c r="AD132" s="130" t="e">
        <f ca="1">_xll.INSTANCE.YANKEE(A132,U132,V132,W132,X132,Y132,Z132,AA132,LEFT(AC132,11),3,IF(RIGHT(AC132,6)="NONEOM",FALSE,TRUE),TODAY())</f>
        <v>#VALUE!</v>
      </c>
      <c r="AE132" s="130" t="e">
        <f ca="1">_xll.INSTANCE.CONVENTION.TAUX("conv_" &amp; A132,LEFT(AC132,11),"Compounded",IF(AA132=1,"Annual",IF(AA132=2,"Semi-Annual","")),"Unadjusted",TODAY())</f>
        <v>#VALUE!</v>
      </c>
    </row>
    <row r="133" spans="1:31" x14ac:dyDescent="0.35">
      <c r="A133" s="131" t="s">
        <v>892</v>
      </c>
      <c r="B133" s="115" t="e">
        <f ca="1">_xll.BDP($A133 &amp; " Govt",B$1)</f>
        <v>#NAME?</v>
      </c>
      <c r="C133" s="201" t="e">
        <f t="shared" ca="1" si="10"/>
        <v>#NAME?</v>
      </c>
      <c r="D133" s="116"/>
      <c r="E133" s="117"/>
      <c r="F133" s="118"/>
      <c r="G133" s="119"/>
      <c r="H133" s="120" t="e">
        <f ca="1">IF(E133="",_xll.BDP(A133 &amp; " Corp","YLD_YTM_ASK")/100,E133)</f>
        <v>#NAME?</v>
      </c>
      <c r="I133" s="121" t="e">
        <f ca="1">_xll.INSTRUMENT.PRIX(AD133,D133,H133,AE133)</f>
        <v>#VALUE!</v>
      </c>
      <c r="J133" s="122" t="e">
        <f ca="1">_xll.INSTRUMENT.DV01(AD133,,,I133,cContinuous,I133)</f>
        <v>#VALUE!</v>
      </c>
      <c r="K133" s="123" t="e">
        <f ca="1">_xll.INSTRUMENT.CONVEXITE(AD133,,,I133,cContinuous,I133)</f>
        <v>#VALUE!</v>
      </c>
      <c r="L133" s="123" t="e">
        <f ca="1">_xll.INSTRUMENT.Z.SPREAD(AD133,swapCurve,I133,,D133)</f>
        <v>#VALUE!</v>
      </c>
      <c r="M133" s="123" t="e">
        <f ca="1">_xll.INSTRUMENT.Z.SPREAD(AD133,ustCurve,I133,,D133)</f>
        <v>#VALUE!</v>
      </c>
      <c r="N133" s="123" t="e">
        <f ca="1">_xll.INSTRUMENT.Z.SPREAD(AD133,oisCurve,I133,,D133)</f>
        <v>#VALUE!</v>
      </c>
      <c r="O133" s="124" t="e">
        <f ca="1">1/_xll.CALENDRIER.FRAC.ANNEE(_xll.INSTRUMENT.DATE.REGLEMENT($AD133,,),_xll.INSTRUMENT.DATE.REGLEMENT($AD133,_xll.CALENDRIER.GAP.FINANCE(TODAY(),"1M","AUD","Unadjusted"),),"ACT/365")*(_xll.INSTRUMENT.ROLL.DOWN($AD133,swapCurve,_xll.CALENDRIER.GAP.FINANCE(TODAY(),"1M","AUD","Unadjusted",TRUE),$L133)+100*$Z133*_xll.CALENDRIER.FRAC.ANNEE(_xll.INSTRUMENT.DATE.REGLEMENT($AD133,,),_xll.INSTRUMENT.DATE.REGLEMENT($AD133,_xll.CALENDRIER.GAP.FINANCE(TODAY(),"1M","AUD","Unadjusted"),),"ACT/365")-$I133)/$I133</f>
        <v>#NAME?</v>
      </c>
      <c r="P133" s="124" t="e">
        <f ca="1">1/_xll.CALENDRIER.FRAC.ANNEE(_xll.INSTRUMENT.DATE.REGLEMENT($AD133,,),_xll.INSTRUMENT.DATE.REGLEMENT($AD133,_xll.CALENDRIER.GAP.FINANCE(TODAY(),"3M","AUD","Unadjusted"),),"ACT/365")*(_xll.INSTRUMENT.ROLL.DOWN($AD133,swapCurve,_xll.CALENDRIER.GAP.FINANCE(TODAY(),"3M","AUD","Unadjusted",TRUE),$L133)+100*$Z133*_xll.CALENDRIER.FRAC.ANNEE(_xll.INSTRUMENT.DATE.REGLEMENT($AD133,,),_xll.INSTRUMENT.DATE.REGLEMENT($AD133,_xll.CALENDRIER.GAP.FINANCE(TODAY(),"3M","AUD","Unadjusted"),),"ACT/365")-$I133)/$I133</f>
        <v>#NAME?</v>
      </c>
      <c r="Q133" s="143" t="e">
        <f t="shared" ca="1" si="11"/>
        <v>#VALUE!</v>
      </c>
      <c r="R133" s="191" t="str">
        <f>IF(F133&lt;&gt;"","",IF(G133="","",-G133*(SUMIF('raw Data'!$A:$A,"RESINV1USD",'raw Data'!$G:$G)+SUMIF('raw Data'!$A:$A,"RESSWAPORUSD",'raw Data'!$G:$G))/(36500*J133)))</f>
        <v/>
      </c>
      <c r="S133" s="202" t="str">
        <f>IF(G133&lt;&gt;"","",IF(F133="","",-36500*J133*F133/(SUMIF('raw Data'!$A:$A,"RESINV1USD",'raw Data'!$G:$G)+SUMIF('raw Data'!$A:$A,"RESSWAPORUSD",'raw Data'!$G:$G))))</f>
        <v/>
      </c>
      <c r="T133" s="125">
        <f>SUMIF('raw Data'!$E:$E,A133,'raw Data'!$N:$N)</f>
        <v>0</v>
      </c>
      <c r="U133" s="126" t="e">
        <f ca="1">VALUE(_xll.BDP($A133 &amp; " Corp",U$1))</f>
        <v>#NAME?</v>
      </c>
      <c r="V133" s="127" t="e">
        <f ca="1">VALUE(_xll.BDP($A133 &amp; " Corp",V$1))</f>
        <v>#NAME?</v>
      </c>
      <c r="W133" s="127" t="e">
        <f ca="1">VALUE(_xll.BDP($A133 &amp; " Corp",W$1))</f>
        <v>#NAME?</v>
      </c>
      <c r="X133" s="127" t="e">
        <f ca="1">VALUE(_xll.BDP($A133 &amp; " Corp",X$1))</f>
        <v>#NAME?</v>
      </c>
      <c r="Y133" s="127" t="e">
        <f ca="1">VALUE(_xll.BDP($A133 &amp; " Corp",Y$1))</f>
        <v>#NAME?</v>
      </c>
      <c r="Z133" s="128" t="e">
        <f ca="1">_xll.BDP($A133 &amp; " Corp",Z$1)/100</f>
        <v>#NAME?</v>
      </c>
      <c r="AA133" s="129" t="e">
        <f ca="1">_xll.BDP($A133 &amp; " Corp",AA$1)</f>
        <v>#NAME?</v>
      </c>
      <c r="AB133" s="129" t="e">
        <f ca="1">_xll.BDP($A133 &amp; " Corp",AB$1)</f>
        <v>#NAME?</v>
      </c>
      <c r="AC133" s="129" t="e">
        <f ca="1">_xll.BDP($A133 &amp; " Corp",AC$1)</f>
        <v>#NAME?</v>
      </c>
      <c r="AD133" s="130" t="e">
        <f ca="1">_xll.INSTANCE.YANKEE(A133,U133,V133,W133,X133,Y133,Z133,AA133,LEFT(AC133,11),3,IF(RIGHT(AC133,6)="NONEOM",FALSE,TRUE),TODAY())</f>
        <v>#VALUE!</v>
      </c>
      <c r="AE133" s="130" t="e">
        <f ca="1">_xll.INSTANCE.CONVENTION.TAUX("conv_" &amp; A133,LEFT(AC133,11),"Compounded",IF(AA133=1,"Annual",IF(AA133=2,"Semi-Annual","")),"Unadjusted",TODAY())</f>
        <v>#VALUE!</v>
      </c>
    </row>
    <row r="134" spans="1:31" x14ac:dyDescent="0.35">
      <c r="A134" s="131" t="s">
        <v>882</v>
      </c>
      <c r="B134" s="115" t="e">
        <f ca="1">_xll.BDP($A134 &amp; " Govt",B$1)</f>
        <v>#NAME?</v>
      </c>
      <c r="C134" s="201" t="e">
        <f t="shared" ca="1" si="10"/>
        <v>#NAME?</v>
      </c>
      <c r="D134" s="116"/>
      <c r="E134" s="117"/>
      <c r="F134" s="118"/>
      <c r="G134" s="119"/>
      <c r="H134" s="120" t="e">
        <f ca="1">IF(E134="",_xll.BDP(A134 &amp; " Corp","YLD_YTM_ASK")/100,E134)</f>
        <v>#NAME?</v>
      </c>
      <c r="I134" s="121" t="e">
        <f ca="1">_xll.INSTRUMENT.PRIX(AD134,D134,H134,AE134)</f>
        <v>#VALUE!</v>
      </c>
      <c r="J134" s="122" t="e">
        <f ca="1">_xll.INSTRUMENT.DV01(AD134,,,I134,cContinuous,I134)</f>
        <v>#VALUE!</v>
      </c>
      <c r="K134" s="123" t="e">
        <f ca="1">_xll.INSTRUMENT.CONVEXITE(AD134,,,I134,cContinuous,I134)</f>
        <v>#VALUE!</v>
      </c>
      <c r="L134" s="123" t="e">
        <f ca="1">_xll.INSTRUMENT.Z.SPREAD(AD134,swapCurve,I134,,D134)</f>
        <v>#VALUE!</v>
      </c>
      <c r="M134" s="123" t="e">
        <f ca="1">_xll.INSTRUMENT.Z.SPREAD(AD134,ustCurve,I134,,D134)</f>
        <v>#VALUE!</v>
      </c>
      <c r="N134" s="123" t="e">
        <f ca="1">_xll.INSTRUMENT.Z.SPREAD(AD134,oisCurve,I134,,D134)</f>
        <v>#VALUE!</v>
      </c>
      <c r="O134" s="124" t="e">
        <f ca="1">1/_xll.CALENDRIER.FRAC.ANNEE(_xll.INSTRUMENT.DATE.REGLEMENT($AD134,,),_xll.INSTRUMENT.DATE.REGLEMENT($AD134,_xll.CALENDRIER.GAP.FINANCE(TODAY(),"1M","AUD","Unadjusted"),),"ACT/365")*(_xll.INSTRUMENT.ROLL.DOWN($AD134,swapCurve,_xll.CALENDRIER.GAP.FINANCE(TODAY(),"1M","AUD","Unadjusted",TRUE),$L134)+100*$Z134*_xll.CALENDRIER.FRAC.ANNEE(_xll.INSTRUMENT.DATE.REGLEMENT($AD134,,),_xll.INSTRUMENT.DATE.REGLEMENT($AD134,_xll.CALENDRIER.GAP.FINANCE(TODAY(),"1M","AUD","Unadjusted"),),"ACT/365")-$I134)/$I134</f>
        <v>#NAME?</v>
      </c>
      <c r="P134" s="124" t="e">
        <f ca="1">1/_xll.CALENDRIER.FRAC.ANNEE(_xll.INSTRUMENT.DATE.REGLEMENT($AD134,,),_xll.INSTRUMENT.DATE.REGLEMENT($AD134,_xll.CALENDRIER.GAP.FINANCE(TODAY(),"3M","AUD","Unadjusted"),),"ACT/365")*(_xll.INSTRUMENT.ROLL.DOWN($AD134,swapCurve,_xll.CALENDRIER.GAP.FINANCE(TODAY(),"3M","AUD","Unadjusted",TRUE),$L134)+100*$Z134*_xll.CALENDRIER.FRAC.ANNEE(_xll.INSTRUMENT.DATE.REGLEMENT($AD134,,),_xll.INSTRUMENT.DATE.REGLEMENT($AD134,_xll.CALENDRIER.GAP.FINANCE(TODAY(),"3M","AUD","Unadjusted"),),"ACT/365")-$I134)/$I134</f>
        <v>#NAME?</v>
      </c>
      <c r="Q134" s="143" t="e">
        <f t="shared" ca="1" si="11"/>
        <v>#VALUE!</v>
      </c>
      <c r="R134" s="191" t="str">
        <f>IF(F134&lt;&gt;"","",IF(G134="","",-G134*(SUMIF('raw Data'!$A:$A,"RESINV1USD",'raw Data'!$G:$G)+SUMIF('raw Data'!$A:$A,"RESSWAPORUSD",'raw Data'!$G:$G))/(36500*J134)))</f>
        <v/>
      </c>
      <c r="S134" s="202" t="str">
        <f>IF(G134&lt;&gt;"","",IF(F134="","",-36500*J134*F134/(SUMIF('raw Data'!$A:$A,"RESINV1USD",'raw Data'!$G:$G)+SUMIF('raw Data'!$A:$A,"RESSWAPORUSD",'raw Data'!$G:$G))))</f>
        <v/>
      </c>
      <c r="T134" s="125">
        <f>SUMIF('raw Data'!$E:$E,A134,'raw Data'!$N:$N)</f>
        <v>0</v>
      </c>
      <c r="U134" s="126" t="e">
        <f ca="1">VALUE(_xll.BDP($A134 &amp; " Corp",U$1))</f>
        <v>#NAME?</v>
      </c>
      <c r="V134" s="127" t="e">
        <f ca="1">VALUE(_xll.BDP($A134 &amp; " Corp",V$1))</f>
        <v>#NAME?</v>
      </c>
      <c r="W134" s="127" t="e">
        <f ca="1">VALUE(_xll.BDP($A134 &amp; " Corp",W$1))</f>
        <v>#NAME?</v>
      </c>
      <c r="X134" s="127" t="e">
        <f ca="1">VALUE(_xll.BDP($A134 &amp; " Corp",X$1))</f>
        <v>#NAME?</v>
      </c>
      <c r="Y134" s="127" t="e">
        <f ca="1">VALUE(_xll.BDP($A134 &amp; " Corp",Y$1))</f>
        <v>#NAME?</v>
      </c>
      <c r="Z134" s="128" t="e">
        <f ca="1">_xll.BDP($A134 &amp; " Corp",Z$1)/100</f>
        <v>#NAME?</v>
      </c>
      <c r="AA134" s="129" t="e">
        <f ca="1">_xll.BDP($A134 &amp; " Corp",AA$1)</f>
        <v>#NAME?</v>
      </c>
      <c r="AB134" s="129" t="e">
        <f ca="1">_xll.BDP($A134 &amp; " Corp",AB$1)</f>
        <v>#NAME?</v>
      </c>
      <c r="AC134" s="129" t="e">
        <f ca="1">_xll.BDP($A134 &amp; " Corp",AC$1)</f>
        <v>#NAME?</v>
      </c>
      <c r="AD134" s="130" t="e">
        <f ca="1">_xll.INSTANCE.YANKEE(A134,U134,V134,W134,X134,Y134,Z134,AA134,LEFT(AC134,11),3,IF(RIGHT(AC134,6)="NONEOM",FALSE,TRUE),TODAY())</f>
        <v>#VALUE!</v>
      </c>
      <c r="AE134" s="130" t="e">
        <f ca="1">_xll.INSTANCE.CONVENTION.TAUX("conv_" &amp; A134,LEFT(AC134,11),"Compounded",IF(AA134=1,"Annual",IF(AA134=2,"Semi-Annual","")),"Unadjusted",TODAY())</f>
        <v>#VALUE!</v>
      </c>
    </row>
    <row r="135" spans="1:31" x14ac:dyDescent="0.35">
      <c r="A135" s="131" t="s">
        <v>893</v>
      </c>
      <c r="B135" s="115" t="e">
        <f ca="1">_xll.BDP($A135 &amp; " Govt",B$1)</f>
        <v>#NAME?</v>
      </c>
      <c r="C135" s="201" t="e">
        <f t="shared" ca="1" si="10"/>
        <v>#NAME?</v>
      </c>
      <c r="D135" s="116"/>
      <c r="E135" s="117"/>
      <c r="F135" s="118"/>
      <c r="G135" s="119"/>
      <c r="H135" s="120" t="e">
        <f ca="1">IF(E135="",_xll.BDP(A135 &amp; " Corp","YLD_YTM_ASK")/100,E135)</f>
        <v>#NAME?</v>
      </c>
      <c r="I135" s="121" t="e">
        <f ca="1">_xll.INSTRUMENT.PRIX(AD135,D135,H135,AE135)</f>
        <v>#VALUE!</v>
      </c>
      <c r="J135" s="122" t="e">
        <f ca="1">_xll.INSTRUMENT.DV01(AD135,,,I135,cContinuous,I135)</f>
        <v>#VALUE!</v>
      </c>
      <c r="K135" s="123" t="e">
        <f ca="1">_xll.INSTRUMENT.CONVEXITE(AD135,,,I135,cContinuous,I135)</f>
        <v>#VALUE!</v>
      </c>
      <c r="L135" s="123" t="e">
        <f ca="1">_xll.INSTRUMENT.Z.SPREAD(AD135,swapCurve,I135,,D135)</f>
        <v>#VALUE!</v>
      </c>
      <c r="M135" s="123" t="e">
        <f ca="1">_xll.INSTRUMENT.Z.SPREAD(AD135,ustCurve,I135,,D135)</f>
        <v>#VALUE!</v>
      </c>
      <c r="N135" s="123" t="e">
        <f ca="1">_xll.INSTRUMENT.Z.SPREAD(AD135,oisCurve,I135,,D135)</f>
        <v>#VALUE!</v>
      </c>
      <c r="O135" s="124" t="e">
        <f ca="1">1/_xll.CALENDRIER.FRAC.ANNEE(_xll.INSTRUMENT.DATE.REGLEMENT($AD135,,),_xll.INSTRUMENT.DATE.REGLEMENT($AD135,_xll.CALENDRIER.GAP.FINANCE(TODAY(),"1M","AUD","Unadjusted"),),"ACT/365")*(_xll.INSTRUMENT.ROLL.DOWN($AD135,swapCurve,_xll.CALENDRIER.GAP.FINANCE(TODAY(),"1M","AUD","Unadjusted",TRUE),$L135)+100*$Z135*_xll.CALENDRIER.FRAC.ANNEE(_xll.INSTRUMENT.DATE.REGLEMENT($AD135,,),_xll.INSTRUMENT.DATE.REGLEMENT($AD135,_xll.CALENDRIER.GAP.FINANCE(TODAY(),"1M","AUD","Unadjusted"),),"ACT/365")-$I135)/$I135</f>
        <v>#NAME?</v>
      </c>
      <c r="P135" s="124" t="e">
        <f ca="1">1/_xll.CALENDRIER.FRAC.ANNEE(_xll.INSTRUMENT.DATE.REGLEMENT($AD135,,),_xll.INSTRUMENT.DATE.REGLEMENT($AD135,_xll.CALENDRIER.GAP.FINANCE(TODAY(),"3M","AUD","Unadjusted"),),"ACT/365")*(_xll.INSTRUMENT.ROLL.DOWN($AD135,swapCurve,_xll.CALENDRIER.GAP.FINANCE(TODAY(),"3M","AUD","Unadjusted",TRUE),$L135)+100*$Z135*_xll.CALENDRIER.FRAC.ANNEE(_xll.INSTRUMENT.DATE.REGLEMENT($AD135,,),_xll.INSTRUMENT.DATE.REGLEMENT($AD135,_xll.CALENDRIER.GAP.FINANCE(TODAY(),"3M","AUD","Unadjusted"),),"ACT/365")-$I135)/$I135</f>
        <v>#NAME?</v>
      </c>
      <c r="Q135" s="143" t="e">
        <f t="shared" ca="1" si="11"/>
        <v>#VALUE!</v>
      </c>
      <c r="R135" s="191" t="str">
        <f>IF(F135&lt;&gt;"","",IF(G135="","",-G135*(SUMIF('raw Data'!$A:$A,"RESINV1USD",'raw Data'!$G:$G)+SUMIF('raw Data'!$A:$A,"RESSWAPORUSD",'raw Data'!$G:$G))/(36500*J135)))</f>
        <v/>
      </c>
      <c r="S135" s="202" t="str">
        <f>IF(G135&lt;&gt;"","",IF(F135="","",-36500*J135*F135/(SUMIF('raw Data'!$A:$A,"RESINV1USD",'raw Data'!$G:$G)+SUMIF('raw Data'!$A:$A,"RESSWAPORUSD",'raw Data'!$G:$G))))</f>
        <v/>
      </c>
      <c r="T135" s="125">
        <f>SUMIF('raw Data'!$E:$E,A135,'raw Data'!$N:$N)</f>
        <v>0</v>
      </c>
      <c r="U135" s="126" t="e">
        <f ca="1">VALUE(_xll.BDP($A135 &amp; " Corp",U$1))</f>
        <v>#NAME?</v>
      </c>
      <c r="V135" s="127" t="e">
        <f ca="1">VALUE(_xll.BDP($A135 &amp; " Corp",V$1))</f>
        <v>#NAME?</v>
      </c>
      <c r="W135" s="127" t="e">
        <f ca="1">VALUE(_xll.BDP($A135 &amp; " Corp",W$1))</f>
        <v>#NAME?</v>
      </c>
      <c r="X135" s="127" t="e">
        <f ca="1">VALUE(_xll.BDP($A135 &amp; " Corp",X$1))</f>
        <v>#NAME?</v>
      </c>
      <c r="Y135" s="127" t="e">
        <f ca="1">VALUE(_xll.BDP($A135 &amp; " Corp",Y$1))</f>
        <v>#NAME?</v>
      </c>
      <c r="Z135" s="128" t="e">
        <f ca="1">_xll.BDP($A135 &amp; " Corp",Z$1)/100</f>
        <v>#NAME?</v>
      </c>
      <c r="AA135" s="129" t="e">
        <f ca="1">_xll.BDP($A135 &amp; " Corp",AA$1)</f>
        <v>#NAME?</v>
      </c>
      <c r="AB135" s="129" t="e">
        <f ca="1">_xll.BDP($A135 &amp; " Corp",AB$1)</f>
        <v>#NAME?</v>
      </c>
      <c r="AC135" s="129" t="e">
        <f ca="1">_xll.BDP($A135 &amp; " Corp",AC$1)</f>
        <v>#NAME?</v>
      </c>
      <c r="AD135" s="130" t="e">
        <f ca="1">_xll.INSTANCE.YANKEE(A135,U135,V135,W135,X135,Y135,Z135,AA135,LEFT(AC135,11),3,IF(RIGHT(AC135,6)="NONEOM",FALSE,TRUE),TODAY())</f>
        <v>#VALUE!</v>
      </c>
      <c r="AE135" s="130" t="e">
        <f ca="1">_xll.INSTANCE.CONVENTION.TAUX("conv_" &amp; A135,LEFT(AC135,11),"Compounded",IF(AA135=1,"Annual",IF(AA135=2,"Semi-Annual","")),"Unadjusted",TODAY())</f>
        <v>#VALUE!</v>
      </c>
    </row>
    <row r="136" spans="1:31" x14ac:dyDescent="0.35">
      <c r="A136" s="131" t="s">
        <v>887</v>
      </c>
      <c r="B136" s="115" t="e">
        <f ca="1">_xll.BDP($A136 &amp; " Govt",B$1)</f>
        <v>#NAME?</v>
      </c>
      <c r="C136" s="201" t="e">
        <f t="shared" ca="1" si="10"/>
        <v>#NAME?</v>
      </c>
      <c r="D136" s="116"/>
      <c r="E136" s="117"/>
      <c r="F136" s="118"/>
      <c r="G136" s="119"/>
      <c r="H136" s="120" t="e">
        <f ca="1">IF(E136="",_xll.BDP(A136 &amp; " Corp","YLD_YTM_ASK")/100,E136)</f>
        <v>#NAME?</v>
      </c>
      <c r="I136" s="121" t="e">
        <f ca="1">_xll.INSTRUMENT.PRIX(AD136,D136,H136,AE136)</f>
        <v>#VALUE!</v>
      </c>
      <c r="J136" s="122" t="e">
        <f ca="1">_xll.INSTRUMENT.DV01(AD136,,,I136,cContinuous,I136)</f>
        <v>#VALUE!</v>
      </c>
      <c r="K136" s="123" t="e">
        <f ca="1">_xll.INSTRUMENT.CONVEXITE(AD136,,,I136,cContinuous,I136)</f>
        <v>#VALUE!</v>
      </c>
      <c r="L136" s="123" t="e">
        <f ca="1">_xll.INSTRUMENT.Z.SPREAD(AD136,swapCurve,I136,,D136)</f>
        <v>#VALUE!</v>
      </c>
      <c r="M136" s="123" t="e">
        <f ca="1">_xll.INSTRUMENT.Z.SPREAD(AD136,ustCurve,I136,,D136)</f>
        <v>#VALUE!</v>
      </c>
      <c r="N136" s="123" t="e">
        <f ca="1">_xll.INSTRUMENT.Z.SPREAD(AD136,oisCurve,I136,,D136)</f>
        <v>#VALUE!</v>
      </c>
      <c r="O136" s="124" t="e">
        <f ca="1">1/_xll.CALENDRIER.FRAC.ANNEE(_xll.INSTRUMENT.DATE.REGLEMENT($AD136,,),_xll.INSTRUMENT.DATE.REGLEMENT($AD136,_xll.CALENDRIER.GAP.FINANCE(TODAY(),"1M","AUD","Unadjusted"),),"ACT/365")*(_xll.INSTRUMENT.ROLL.DOWN($AD136,swapCurve,_xll.CALENDRIER.GAP.FINANCE(TODAY(),"1M","AUD","Unadjusted",TRUE),$L136)+100*$Z136*_xll.CALENDRIER.FRAC.ANNEE(_xll.INSTRUMENT.DATE.REGLEMENT($AD136,,),_xll.INSTRUMENT.DATE.REGLEMENT($AD136,_xll.CALENDRIER.GAP.FINANCE(TODAY(),"1M","AUD","Unadjusted"),),"ACT/365")-$I136)/$I136</f>
        <v>#NAME?</v>
      </c>
      <c r="P136" s="124" t="e">
        <f ca="1">1/_xll.CALENDRIER.FRAC.ANNEE(_xll.INSTRUMENT.DATE.REGLEMENT($AD136,,),_xll.INSTRUMENT.DATE.REGLEMENT($AD136,_xll.CALENDRIER.GAP.FINANCE(TODAY(),"3M","AUD","Unadjusted"),),"ACT/365")*(_xll.INSTRUMENT.ROLL.DOWN($AD136,swapCurve,_xll.CALENDRIER.GAP.FINANCE(TODAY(),"3M","AUD","Unadjusted",TRUE),$L136)+100*$Z136*_xll.CALENDRIER.FRAC.ANNEE(_xll.INSTRUMENT.DATE.REGLEMENT($AD136,,),_xll.INSTRUMENT.DATE.REGLEMENT($AD136,_xll.CALENDRIER.GAP.FINANCE(TODAY(),"3M","AUD","Unadjusted"),),"ACT/365")-$I136)/$I136</f>
        <v>#NAME?</v>
      </c>
      <c r="Q136" s="143" t="e">
        <f t="shared" ca="1" si="11"/>
        <v>#VALUE!</v>
      </c>
      <c r="R136" s="191" t="str">
        <f>IF(F136&lt;&gt;"","",IF(G136="","",-G136*(SUMIF('raw Data'!$A:$A,"RESINV1USD",'raw Data'!$G:$G)+SUMIF('raw Data'!$A:$A,"RESSWAPORUSD",'raw Data'!$G:$G))/(36500*J136)))</f>
        <v/>
      </c>
      <c r="S136" s="202" t="str">
        <f>IF(G136&lt;&gt;"","",IF(F136="","",-36500*J136*F136/(SUMIF('raw Data'!$A:$A,"RESINV1USD",'raw Data'!$G:$G)+SUMIF('raw Data'!$A:$A,"RESSWAPORUSD",'raw Data'!$G:$G))))</f>
        <v/>
      </c>
      <c r="T136" s="125">
        <f>SUMIF('raw Data'!$E:$E,A136,'raw Data'!$N:$N)</f>
        <v>0</v>
      </c>
      <c r="U136" s="126" t="e">
        <f ca="1">VALUE(_xll.BDP($A136 &amp; " Corp",U$1))</f>
        <v>#NAME?</v>
      </c>
      <c r="V136" s="127" t="e">
        <f ca="1">VALUE(_xll.BDP($A136 &amp; " Corp",V$1))</f>
        <v>#NAME?</v>
      </c>
      <c r="W136" s="127" t="e">
        <f ca="1">VALUE(_xll.BDP($A136 &amp; " Corp",W$1))</f>
        <v>#NAME?</v>
      </c>
      <c r="X136" s="127" t="e">
        <f ca="1">VALUE(_xll.BDP($A136 &amp; " Corp",X$1))</f>
        <v>#NAME?</v>
      </c>
      <c r="Y136" s="127" t="e">
        <f ca="1">VALUE(_xll.BDP($A136 &amp; " Corp",Y$1))</f>
        <v>#NAME?</v>
      </c>
      <c r="Z136" s="128" t="e">
        <f ca="1">_xll.BDP($A136 &amp; " Corp",Z$1)/100</f>
        <v>#NAME?</v>
      </c>
      <c r="AA136" s="129" t="e">
        <f ca="1">_xll.BDP($A136 &amp; " Corp",AA$1)</f>
        <v>#NAME?</v>
      </c>
      <c r="AB136" s="129" t="e">
        <f ca="1">_xll.BDP($A136 &amp; " Corp",AB$1)</f>
        <v>#NAME?</v>
      </c>
      <c r="AC136" s="129" t="e">
        <f ca="1">_xll.BDP($A136 &amp; " Corp",AC$1)</f>
        <v>#NAME?</v>
      </c>
      <c r="AD136" s="130" t="e">
        <f ca="1">_xll.INSTANCE.YANKEE(A136,U136,V136,W136,X136,Y136,Z136,AA136,LEFT(AC136,11),3,IF(RIGHT(AC136,6)="NONEOM",FALSE,TRUE),TODAY())</f>
        <v>#VALUE!</v>
      </c>
      <c r="AE136" s="130" t="e">
        <f ca="1">_xll.INSTANCE.CONVENTION.TAUX("conv_" &amp; A136,LEFT(AC136,11),"Compounded",IF(AA136=1,"Annual",IF(AA136=2,"Semi-Annual","")),"Unadjusted",TODAY())</f>
        <v>#VALUE!</v>
      </c>
    </row>
    <row r="137" spans="1:31" x14ac:dyDescent="0.35">
      <c r="A137" s="131" t="s">
        <v>879</v>
      </c>
      <c r="B137" s="115" t="e">
        <f ca="1">_xll.BDP($A137 &amp; " Govt",B$1)</f>
        <v>#NAME?</v>
      </c>
      <c r="C137" s="201" t="e">
        <f t="shared" ca="1" si="10"/>
        <v>#NAME?</v>
      </c>
      <c r="D137" s="116"/>
      <c r="E137" s="117"/>
      <c r="F137" s="118"/>
      <c r="G137" s="119"/>
      <c r="H137" s="120" t="e">
        <f ca="1">IF(E137="",_xll.BDP(A137 &amp; " Corp","YLD_YTM_ASK")/100,E137)</f>
        <v>#NAME?</v>
      </c>
      <c r="I137" s="121" t="e">
        <f ca="1">_xll.INSTRUMENT.PRIX(AD137,D137,H137,AE137)</f>
        <v>#VALUE!</v>
      </c>
      <c r="J137" s="122" t="e">
        <f ca="1">_xll.INSTRUMENT.DV01(AD137,,,I137,cContinuous,I137)</f>
        <v>#VALUE!</v>
      </c>
      <c r="K137" s="123" t="e">
        <f ca="1">_xll.INSTRUMENT.CONVEXITE(AD137,,,I137,cContinuous,I137)</f>
        <v>#VALUE!</v>
      </c>
      <c r="L137" s="123" t="e">
        <f ca="1">_xll.INSTRUMENT.Z.SPREAD(AD137,swapCurve,I137,,D137)</f>
        <v>#VALUE!</v>
      </c>
      <c r="M137" s="123" t="e">
        <f ca="1">_xll.INSTRUMENT.Z.SPREAD(AD137,ustCurve,I137,,D137)</f>
        <v>#VALUE!</v>
      </c>
      <c r="N137" s="123" t="e">
        <f ca="1">_xll.INSTRUMENT.Z.SPREAD(AD137,oisCurve,I137,,D137)</f>
        <v>#VALUE!</v>
      </c>
      <c r="O137" s="124" t="e">
        <f ca="1">1/_xll.CALENDRIER.FRAC.ANNEE(_xll.INSTRUMENT.DATE.REGLEMENT($AD137,,),_xll.INSTRUMENT.DATE.REGLEMENT($AD137,_xll.CALENDRIER.GAP.FINANCE(TODAY(),"1M","AUD","Unadjusted"),),"ACT/365")*(_xll.INSTRUMENT.ROLL.DOWN($AD137,swapCurve,_xll.CALENDRIER.GAP.FINANCE(TODAY(),"1M","AUD","Unadjusted",TRUE),$L137)+100*$Z137*_xll.CALENDRIER.FRAC.ANNEE(_xll.INSTRUMENT.DATE.REGLEMENT($AD137,,),_xll.INSTRUMENT.DATE.REGLEMENT($AD137,_xll.CALENDRIER.GAP.FINANCE(TODAY(),"1M","AUD","Unadjusted"),),"ACT/365")-$I137)/$I137</f>
        <v>#NAME?</v>
      </c>
      <c r="P137" s="124" t="e">
        <f ca="1">1/_xll.CALENDRIER.FRAC.ANNEE(_xll.INSTRUMENT.DATE.REGLEMENT($AD137,,),_xll.INSTRUMENT.DATE.REGLEMENT($AD137,_xll.CALENDRIER.GAP.FINANCE(TODAY(),"3M","AUD","Unadjusted"),),"ACT/365")*(_xll.INSTRUMENT.ROLL.DOWN($AD137,swapCurve,_xll.CALENDRIER.GAP.FINANCE(TODAY(),"3M","AUD","Unadjusted",TRUE),$L137)+100*$Z137*_xll.CALENDRIER.FRAC.ANNEE(_xll.INSTRUMENT.DATE.REGLEMENT($AD137,,),_xll.INSTRUMENT.DATE.REGLEMENT($AD137,_xll.CALENDRIER.GAP.FINANCE(TODAY(),"3M","AUD","Unadjusted"),),"ACT/365")-$I137)/$I137</f>
        <v>#NAME?</v>
      </c>
      <c r="Q137" s="143" t="e">
        <f t="shared" ca="1" si="11"/>
        <v>#VALUE!</v>
      </c>
      <c r="R137" s="191" t="str">
        <f>IF(F137&lt;&gt;"","",IF(G137="","",-G137*(SUMIF('raw Data'!$A:$A,"RESINV1USD",'raw Data'!$G:$G)+SUMIF('raw Data'!$A:$A,"RESSWAPORUSD",'raw Data'!$G:$G))/(36500*J137)))</f>
        <v/>
      </c>
      <c r="S137" s="202" t="str">
        <f>IF(G137&lt;&gt;"","",IF(F137="","",-36500*J137*F137/(SUMIF('raw Data'!$A:$A,"RESINV1USD",'raw Data'!$G:$G)+SUMIF('raw Data'!$A:$A,"RESSWAPORUSD",'raw Data'!$G:$G))))</f>
        <v/>
      </c>
      <c r="T137" s="125">
        <f>SUMIF('raw Data'!$E:$E,A137,'raw Data'!$N:$N)</f>
        <v>0</v>
      </c>
      <c r="U137" s="126" t="e">
        <f ca="1">VALUE(_xll.BDP($A137 &amp; " Corp",U$1))</f>
        <v>#NAME?</v>
      </c>
      <c r="V137" s="127" t="e">
        <f ca="1">VALUE(_xll.BDP($A137 &amp; " Corp",V$1))</f>
        <v>#NAME?</v>
      </c>
      <c r="W137" s="127" t="e">
        <f ca="1">VALUE(_xll.BDP($A137 &amp; " Corp",W$1))</f>
        <v>#NAME?</v>
      </c>
      <c r="X137" s="127" t="e">
        <f ca="1">VALUE(_xll.BDP($A137 &amp; " Corp",X$1))</f>
        <v>#NAME?</v>
      </c>
      <c r="Y137" s="127" t="e">
        <f ca="1">VALUE(_xll.BDP($A137 &amp; " Corp",Y$1))</f>
        <v>#NAME?</v>
      </c>
      <c r="Z137" s="128" t="e">
        <f ca="1">_xll.BDP($A137 &amp; " Corp",Z$1)/100</f>
        <v>#NAME?</v>
      </c>
      <c r="AA137" s="129" t="e">
        <f ca="1">_xll.BDP($A137 &amp; " Corp",AA$1)</f>
        <v>#NAME?</v>
      </c>
      <c r="AB137" s="129" t="e">
        <f ca="1">_xll.BDP($A137 &amp; " Corp",AB$1)</f>
        <v>#NAME?</v>
      </c>
      <c r="AC137" s="129" t="e">
        <f ca="1">_xll.BDP($A137 &amp; " Corp",AC$1)</f>
        <v>#NAME?</v>
      </c>
      <c r="AD137" s="130" t="e">
        <f ca="1">_xll.INSTANCE.YANKEE(A137,U137,V137,W137,X137,Y137,Z137,AA137,LEFT(AC137,11),3,IF(RIGHT(AC137,6)="NONEOM",FALSE,TRUE),TODAY())</f>
        <v>#VALUE!</v>
      </c>
      <c r="AE137" s="130" t="e">
        <f ca="1">_xll.INSTANCE.CONVENTION.TAUX("conv_" &amp; A137,LEFT(AC137,11),"Compounded",IF(AA137=1,"Annual",IF(AA137=2,"Semi-Annual","")),"Unadjusted",TODAY())</f>
        <v>#VALUE!</v>
      </c>
    </row>
    <row r="138" spans="1:31" x14ac:dyDescent="0.35">
      <c r="A138" s="131" t="s">
        <v>888</v>
      </c>
      <c r="B138" s="115" t="e">
        <f ca="1">_xll.BDP($A138 &amp; " Govt",B$1)</f>
        <v>#NAME?</v>
      </c>
      <c r="C138" s="201" t="e">
        <f t="shared" ca="1" si="10"/>
        <v>#NAME?</v>
      </c>
      <c r="D138" s="116"/>
      <c r="E138" s="117"/>
      <c r="F138" s="118"/>
      <c r="G138" s="119"/>
      <c r="H138" s="120" t="e">
        <f ca="1">IF(E138="",_xll.BDP(A138 &amp; " Corp","YLD_YTM_ASK")/100,E138)</f>
        <v>#NAME?</v>
      </c>
      <c r="I138" s="121" t="e">
        <f ca="1">_xll.INSTRUMENT.PRIX(AD138,D138,H138,AE138)</f>
        <v>#VALUE!</v>
      </c>
      <c r="J138" s="122" t="e">
        <f ca="1">_xll.INSTRUMENT.DV01(AD138,,,I138,cContinuous,I138)</f>
        <v>#VALUE!</v>
      </c>
      <c r="K138" s="123" t="e">
        <f ca="1">_xll.INSTRUMENT.CONVEXITE(AD138,,,I138,cContinuous,I138)</f>
        <v>#VALUE!</v>
      </c>
      <c r="L138" s="123" t="e">
        <f ca="1">_xll.INSTRUMENT.Z.SPREAD(AD138,swapCurve,I138,,D138)</f>
        <v>#VALUE!</v>
      </c>
      <c r="M138" s="123" t="e">
        <f ca="1">_xll.INSTRUMENT.Z.SPREAD(AD138,ustCurve,I138,,D138)</f>
        <v>#VALUE!</v>
      </c>
      <c r="N138" s="123" t="e">
        <f ca="1">_xll.INSTRUMENT.Z.SPREAD(AD138,oisCurve,I138,,D138)</f>
        <v>#VALUE!</v>
      </c>
      <c r="O138" s="124" t="e">
        <f ca="1">1/_xll.CALENDRIER.FRAC.ANNEE(_xll.INSTRUMENT.DATE.REGLEMENT($AD138,,),_xll.INSTRUMENT.DATE.REGLEMENT($AD138,_xll.CALENDRIER.GAP.FINANCE(TODAY(),"1M","AUD","Unadjusted"),),"ACT/365")*(_xll.INSTRUMENT.ROLL.DOWN($AD138,swapCurve,_xll.CALENDRIER.GAP.FINANCE(TODAY(),"1M","AUD","Unadjusted",TRUE),$L138)+100*$Z138*_xll.CALENDRIER.FRAC.ANNEE(_xll.INSTRUMENT.DATE.REGLEMENT($AD138,,),_xll.INSTRUMENT.DATE.REGLEMENT($AD138,_xll.CALENDRIER.GAP.FINANCE(TODAY(),"1M","AUD","Unadjusted"),),"ACT/365")-$I138)/$I138</f>
        <v>#NAME?</v>
      </c>
      <c r="P138" s="124" t="e">
        <f ca="1">1/_xll.CALENDRIER.FRAC.ANNEE(_xll.INSTRUMENT.DATE.REGLEMENT($AD138,,),_xll.INSTRUMENT.DATE.REGLEMENT($AD138,_xll.CALENDRIER.GAP.FINANCE(TODAY(),"3M","AUD","Unadjusted"),),"ACT/365")*(_xll.INSTRUMENT.ROLL.DOWN($AD138,swapCurve,_xll.CALENDRIER.GAP.FINANCE(TODAY(),"3M","AUD","Unadjusted",TRUE),$L138)+100*$Z138*_xll.CALENDRIER.FRAC.ANNEE(_xll.INSTRUMENT.DATE.REGLEMENT($AD138,,),_xll.INSTRUMENT.DATE.REGLEMENT($AD138,_xll.CALENDRIER.GAP.FINANCE(TODAY(),"3M","AUD","Unadjusted"),),"ACT/365")-$I138)/$I138</f>
        <v>#NAME?</v>
      </c>
      <c r="Q138" s="143" t="e">
        <f t="shared" ca="1" si="11"/>
        <v>#VALUE!</v>
      </c>
      <c r="R138" s="191" t="str">
        <f>IF(F138&lt;&gt;"","",IF(G138="","",-G138*(SUMIF('raw Data'!$A:$A,"RESINV1USD",'raw Data'!$G:$G)+SUMIF('raw Data'!$A:$A,"RESSWAPORUSD",'raw Data'!$G:$G))/(36500*J138)))</f>
        <v/>
      </c>
      <c r="S138" s="202" t="str">
        <f>IF(G138&lt;&gt;"","",IF(F138="","",-36500*J138*F138/(SUMIF('raw Data'!$A:$A,"RESINV1USD",'raw Data'!$G:$G)+SUMIF('raw Data'!$A:$A,"RESSWAPORUSD",'raw Data'!$G:$G))))</f>
        <v/>
      </c>
      <c r="T138" s="125">
        <f>SUMIF('raw Data'!$E:$E,A138,'raw Data'!$N:$N)</f>
        <v>0</v>
      </c>
      <c r="U138" s="126" t="e">
        <f ca="1">VALUE(_xll.BDP($A138 &amp; " Corp",U$1))</f>
        <v>#NAME?</v>
      </c>
      <c r="V138" s="127" t="e">
        <f ca="1">VALUE(_xll.BDP($A138 &amp; " Corp",V$1))</f>
        <v>#NAME?</v>
      </c>
      <c r="W138" s="127" t="e">
        <f ca="1">VALUE(_xll.BDP($A138 &amp; " Corp",W$1))</f>
        <v>#NAME?</v>
      </c>
      <c r="X138" s="127" t="e">
        <f ca="1">VALUE(_xll.BDP($A138 &amp; " Corp",X$1))</f>
        <v>#NAME?</v>
      </c>
      <c r="Y138" s="127" t="e">
        <f ca="1">VALUE(_xll.BDP($A138 &amp; " Corp",Y$1))</f>
        <v>#NAME?</v>
      </c>
      <c r="Z138" s="128" t="e">
        <f ca="1">_xll.BDP($A138 &amp; " Corp",Z$1)/100</f>
        <v>#NAME?</v>
      </c>
      <c r="AA138" s="129" t="e">
        <f ca="1">_xll.BDP($A138 &amp; " Corp",AA$1)</f>
        <v>#NAME?</v>
      </c>
      <c r="AB138" s="129" t="e">
        <f ca="1">_xll.BDP($A138 &amp; " Corp",AB$1)</f>
        <v>#NAME?</v>
      </c>
      <c r="AC138" s="129" t="e">
        <f ca="1">_xll.BDP($A138 &amp; " Corp",AC$1)</f>
        <v>#NAME?</v>
      </c>
      <c r="AD138" s="130" t="e">
        <f ca="1">_xll.INSTANCE.YANKEE(A138,U138,V138,W138,X138,Y138,Z138,AA138,LEFT(AC138,11),3,IF(RIGHT(AC138,6)="NONEOM",FALSE,TRUE),TODAY())</f>
        <v>#VALUE!</v>
      </c>
      <c r="AE138" s="130" t="e">
        <f ca="1">_xll.INSTANCE.CONVENTION.TAUX("conv_" &amp; A138,LEFT(AC138,11),"Compounded",IF(AA138=1,"Annual",IF(AA138=2,"Semi-Annual","")),"Unadjusted",TODAY())</f>
        <v>#VALUE!</v>
      </c>
    </row>
    <row r="139" spans="1:31" x14ac:dyDescent="0.35">
      <c r="A139" s="131" t="s">
        <v>881</v>
      </c>
      <c r="B139" s="115" t="e">
        <f ca="1">_xll.BDP($A139 &amp; " Govt",B$1)</f>
        <v>#NAME?</v>
      </c>
      <c r="C139" s="201" t="e">
        <f t="shared" ca="1" si="10"/>
        <v>#NAME?</v>
      </c>
      <c r="D139" s="116"/>
      <c r="E139" s="117"/>
      <c r="F139" s="118"/>
      <c r="G139" s="119"/>
      <c r="H139" s="120" t="e">
        <f ca="1">IF(E139="",_xll.BDP(A139 &amp; " Corp","YLD_YTM_ASK")/100,E139)</f>
        <v>#NAME?</v>
      </c>
      <c r="I139" s="121" t="e">
        <f ca="1">_xll.INSTRUMENT.PRIX(AD139,D139,H139,AE139)</f>
        <v>#VALUE!</v>
      </c>
      <c r="J139" s="122" t="e">
        <f ca="1">_xll.INSTRUMENT.DV01(AD139,,,I139,cContinuous,I139)</f>
        <v>#VALUE!</v>
      </c>
      <c r="K139" s="123" t="e">
        <f ca="1">_xll.INSTRUMENT.CONVEXITE(AD139,,,I139,cContinuous,I139)</f>
        <v>#VALUE!</v>
      </c>
      <c r="L139" s="123" t="e">
        <f ca="1">_xll.INSTRUMENT.Z.SPREAD(AD139,swapCurve,I139,,D139)</f>
        <v>#VALUE!</v>
      </c>
      <c r="M139" s="123" t="e">
        <f ca="1">_xll.INSTRUMENT.Z.SPREAD(AD139,ustCurve,I139,,D139)</f>
        <v>#VALUE!</v>
      </c>
      <c r="N139" s="123" t="e">
        <f ca="1">_xll.INSTRUMENT.Z.SPREAD(AD139,oisCurve,I139,,D139)</f>
        <v>#VALUE!</v>
      </c>
      <c r="O139" s="124" t="e">
        <f ca="1">1/_xll.CALENDRIER.FRAC.ANNEE(_xll.INSTRUMENT.DATE.REGLEMENT($AD139,,),_xll.INSTRUMENT.DATE.REGLEMENT($AD139,_xll.CALENDRIER.GAP.FINANCE(TODAY(),"1M","AUD","Unadjusted"),),"ACT/365")*(_xll.INSTRUMENT.ROLL.DOWN($AD139,swapCurve,_xll.CALENDRIER.GAP.FINANCE(TODAY(),"1M","AUD","Unadjusted",TRUE),$L139)+100*$Z139*_xll.CALENDRIER.FRAC.ANNEE(_xll.INSTRUMENT.DATE.REGLEMENT($AD139,,),_xll.INSTRUMENT.DATE.REGLEMENT($AD139,_xll.CALENDRIER.GAP.FINANCE(TODAY(),"1M","AUD","Unadjusted"),),"ACT/365")-$I139)/$I139</f>
        <v>#NAME?</v>
      </c>
      <c r="P139" s="124" t="e">
        <f ca="1">1/_xll.CALENDRIER.FRAC.ANNEE(_xll.INSTRUMENT.DATE.REGLEMENT($AD139,,),_xll.INSTRUMENT.DATE.REGLEMENT($AD139,_xll.CALENDRIER.GAP.FINANCE(TODAY(),"3M","AUD","Unadjusted"),),"ACT/365")*(_xll.INSTRUMENT.ROLL.DOWN($AD139,swapCurve,_xll.CALENDRIER.GAP.FINANCE(TODAY(),"3M","AUD","Unadjusted",TRUE),$L139)+100*$Z139*_xll.CALENDRIER.FRAC.ANNEE(_xll.INSTRUMENT.DATE.REGLEMENT($AD139,,),_xll.INSTRUMENT.DATE.REGLEMENT($AD139,_xll.CALENDRIER.GAP.FINANCE(TODAY(),"3M","AUD","Unadjusted"),),"ACT/365")-$I139)/$I139</f>
        <v>#NAME?</v>
      </c>
      <c r="Q139" s="143" t="e">
        <f t="shared" ca="1" si="11"/>
        <v>#VALUE!</v>
      </c>
      <c r="R139" s="191" t="str">
        <f>IF(F139&lt;&gt;"","",IF(G139="","",-G139*(SUMIF('raw Data'!$A:$A,"RESINV1USD",'raw Data'!$G:$G)+SUMIF('raw Data'!$A:$A,"RESSWAPORUSD",'raw Data'!$G:$G))/(36500*J139)))</f>
        <v/>
      </c>
      <c r="S139" s="202" t="str">
        <f>IF(G139&lt;&gt;"","",IF(F139="","",-36500*J139*F139/(SUMIF('raw Data'!$A:$A,"RESINV1USD",'raw Data'!$G:$G)+SUMIF('raw Data'!$A:$A,"RESSWAPORUSD",'raw Data'!$G:$G))))</f>
        <v/>
      </c>
      <c r="T139" s="125">
        <f>SUMIF('raw Data'!$E:$E,A139,'raw Data'!$N:$N)</f>
        <v>0</v>
      </c>
      <c r="U139" s="126" t="e">
        <f ca="1">VALUE(_xll.BDP($A139 &amp; " Corp",U$1))</f>
        <v>#NAME?</v>
      </c>
      <c r="V139" s="127" t="e">
        <f ca="1">VALUE(_xll.BDP($A139 &amp; " Corp",V$1))</f>
        <v>#NAME?</v>
      </c>
      <c r="W139" s="127" t="e">
        <f ca="1">VALUE(_xll.BDP($A139 &amp; " Corp",W$1))</f>
        <v>#NAME?</v>
      </c>
      <c r="X139" s="127" t="e">
        <f ca="1">VALUE(_xll.BDP($A139 &amp; " Corp",X$1))</f>
        <v>#NAME?</v>
      </c>
      <c r="Y139" s="127" t="e">
        <f ca="1">VALUE(_xll.BDP($A139 &amp; " Corp",Y$1))</f>
        <v>#NAME?</v>
      </c>
      <c r="Z139" s="128" t="e">
        <f ca="1">_xll.BDP($A139 &amp; " Corp",Z$1)/100</f>
        <v>#NAME?</v>
      </c>
      <c r="AA139" s="129" t="e">
        <f ca="1">_xll.BDP($A139 &amp; " Corp",AA$1)</f>
        <v>#NAME?</v>
      </c>
      <c r="AB139" s="129" t="e">
        <f ca="1">_xll.BDP($A139 &amp; " Corp",AB$1)</f>
        <v>#NAME?</v>
      </c>
      <c r="AC139" s="129" t="e">
        <f ca="1">_xll.BDP($A139 &amp; " Corp",AC$1)</f>
        <v>#NAME?</v>
      </c>
      <c r="AD139" s="130" t="e">
        <f ca="1">_xll.INSTANCE.YANKEE(A139,U139,V139,W139,X139,Y139,Z139,AA139,LEFT(AC139,11),3,IF(RIGHT(AC139,6)="NONEOM",FALSE,TRUE),TODAY())</f>
        <v>#VALUE!</v>
      </c>
      <c r="AE139" s="130" t="e">
        <f ca="1">_xll.INSTANCE.CONVENTION.TAUX("conv_" &amp; A139,LEFT(AC139,11),"Compounded",IF(AA139=1,"Annual",IF(AA139=2,"Semi-Annual","")),"Unadjusted",TODAY())</f>
        <v>#VALUE!</v>
      </c>
    </row>
    <row r="140" spans="1:31" x14ac:dyDescent="0.35">
      <c r="A140" s="131" t="s">
        <v>891</v>
      </c>
      <c r="B140" s="115" t="e">
        <f ca="1">_xll.BDP($A140 &amp; " Govt",B$1)</f>
        <v>#NAME?</v>
      </c>
      <c r="C140" s="201" t="e">
        <f t="shared" ca="1" si="10"/>
        <v>#NAME?</v>
      </c>
      <c r="D140" s="116"/>
      <c r="E140" s="117"/>
      <c r="F140" s="118"/>
      <c r="G140" s="119"/>
      <c r="H140" s="120" t="e">
        <f ca="1">IF(E140="",_xll.BDP(A140 &amp; " Corp","YLD_YTM_ASK")/100,E140)</f>
        <v>#NAME?</v>
      </c>
      <c r="I140" s="121" t="e">
        <f ca="1">_xll.INSTRUMENT.PRIX(AD140,D140,H140,AE140)</f>
        <v>#VALUE!</v>
      </c>
      <c r="J140" s="122" t="e">
        <f ca="1">_xll.INSTRUMENT.DV01(AD140,,,I140,cContinuous,I140)</f>
        <v>#VALUE!</v>
      </c>
      <c r="K140" s="123" t="e">
        <f ca="1">_xll.INSTRUMENT.CONVEXITE(AD140,,,I140,cContinuous,I140)</f>
        <v>#VALUE!</v>
      </c>
      <c r="L140" s="123" t="e">
        <f ca="1">_xll.INSTRUMENT.Z.SPREAD(AD140,swapCurve,I140,,D140)</f>
        <v>#VALUE!</v>
      </c>
      <c r="M140" s="123" t="e">
        <f ca="1">_xll.INSTRUMENT.Z.SPREAD(AD140,ustCurve,I140,,D140)</f>
        <v>#VALUE!</v>
      </c>
      <c r="N140" s="123" t="e">
        <f ca="1">_xll.INSTRUMENT.Z.SPREAD(AD140,oisCurve,I140,,D140)</f>
        <v>#VALUE!</v>
      </c>
      <c r="O140" s="124" t="e">
        <f ca="1">1/_xll.CALENDRIER.FRAC.ANNEE(_xll.INSTRUMENT.DATE.REGLEMENT($AD140,,),_xll.INSTRUMENT.DATE.REGLEMENT($AD140,_xll.CALENDRIER.GAP.FINANCE(TODAY(),"1M","AUD","Unadjusted"),),"ACT/365")*(_xll.INSTRUMENT.ROLL.DOWN($AD140,swapCurve,_xll.CALENDRIER.GAP.FINANCE(TODAY(),"1M","AUD","Unadjusted",TRUE),$L140)+100*$Z140*_xll.CALENDRIER.FRAC.ANNEE(_xll.INSTRUMENT.DATE.REGLEMENT($AD140,,),_xll.INSTRUMENT.DATE.REGLEMENT($AD140,_xll.CALENDRIER.GAP.FINANCE(TODAY(),"1M","AUD","Unadjusted"),),"ACT/365")-$I140)/$I140</f>
        <v>#NAME?</v>
      </c>
      <c r="P140" s="124" t="e">
        <f ca="1">1/_xll.CALENDRIER.FRAC.ANNEE(_xll.INSTRUMENT.DATE.REGLEMENT($AD140,,),_xll.INSTRUMENT.DATE.REGLEMENT($AD140,_xll.CALENDRIER.GAP.FINANCE(TODAY(),"3M","AUD","Unadjusted"),),"ACT/365")*(_xll.INSTRUMENT.ROLL.DOWN($AD140,swapCurve,_xll.CALENDRIER.GAP.FINANCE(TODAY(),"3M","AUD","Unadjusted",TRUE),$L140)+100*$Z140*_xll.CALENDRIER.FRAC.ANNEE(_xll.INSTRUMENT.DATE.REGLEMENT($AD140,,),_xll.INSTRUMENT.DATE.REGLEMENT($AD140,_xll.CALENDRIER.GAP.FINANCE(TODAY(),"3M","AUD","Unadjusted"),),"ACT/365")-$I140)/$I140</f>
        <v>#NAME?</v>
      </c>
      <c r="Q140" s="143" t="e">
        <f t="shared" ca="1" si="11"/>
        <v>#VALUE!</v>
      </c>
      <c r="R140" s="191" t="str">
        <f>IF(F140&lt;&gt;"","",IF(G140="","",-G140*(SUMIF('raw Data'!$A:$A,"RESINV1USD",'raw Data'!$G:$G)+SUMIF('raw Data'!$A:$A,"RESSWAPORUSD",'raw Data'!$G:$G))/(36500*J140)))</f>
        <v/>
      </c>
      <c r="S140" s="202" t="str">
        <f>IF(G140&lt;&gt;"","",IF(F140="","",-36500*J140*F140/(SUMIF('raw Data'!$A:$A,"RESINV1USD",'raw Data'!$G:$G)+SUMIF('raw Data'!$A:$A,"RESSWAPORUSD",'raw Data'!$G:$G))))</f>
        <v/>
      </c>
      <c r="T140" s="125">
        <f>SUMIF('raw Data'!$E:$E,A140,'raw Data'!$N:$N)</f>
        <v>0</v>
      </c>
      <c r="U140" s="126" t="e">
        <f ca="1">VALUE(_xll.BDP($A140 &amp; " Corp",U$1))</f>
        <v>#NAME?</v>
      </c>
      <c r="V140" s="127" t="e">
        <f ca="1">VALUE(_xll.BDP($A140 &amp; " Corp",V$1))</f>
        <v>#NAME?</v>
      </c>
      <c r="W140" s="127" t="e">
        <f ca="1">VALUE(_xll.BDP($A140 &amp; " Corp",W$1))</f>
        <v>#NAME?</v>
      </c>
      <c r="X140" s="127" t="e">
        <f ca="1">VALUE(_xll.BDP($A140 &amp; " Corp",X$1))</f>
        <v>#NAME?</v>
      </c>
      <c r="Y140" s="127" t="e">
        <f ca="1">VALUE(_xll.BDP($A140 &amp; " Corp",Y$1))</f>
        <v>#NAME?</v>
      </c>
      <c r="Z140" s="128" t="e">
        <f ca="1">_xll.BDP($A140 &amp; " Corp",Z$1)/100</f>
        <v>#NAME?</v>
      </c>
      <c r="AA140" s="129" t="e">
        <f ca="1">_xll.BDP($A140 &amp; " Corp",AA$1)</f>
        <v>#NAME?</v>
      </c>
      <c r="AB140" s="129" t="e">
        <f ca="1">_xll.BDP($A140 &amp; " Corp",AB$1)</f>
        <v>#NAME?</v>
      </c>
      <c r="AC140" s="129" t="e">
        <f ca="1">_xll.BDP($A140 &amp; " Corp",AC$1)</f>
        <v>#NAME?</v>
      </c>
      <c r="AD140" s="130" t="e">
        <f ca="1">_xll.INSTANCE.YANKEE(A140,U140,V140,W140,X140,Y140,Z140,AA140,LEFT(AC140,11),3,IF(RIGHT(AC140,6)="NONEOM",FALSE,TRUE),TODAY())</f>
        <v>#VALUE!</v>
      </c>
      <c r="AE140" s="130" t="e">
        <f ca="1">_xll.INSTANCE.CONVENTION.TAUX("conv_" &amp; A140,LEFT(AC140,11),"Compounded",IF(AA140=1,"Annual",IF(AA140=2,"Semi-Annual","")),"Unadjusted",TODAY())</f>
        <v>#VALUE!</v>
      </c>
    </row>
    <row r="141" spans="1:31" x14ac:dyDescent="0.35">
      <c r="A141" s="131" t="s">
        <v>880</v>
      </c>
      <c r="B141" s="115" t="e">
        <f ca="1">_xll.BDP($A141 &amp; " Govt",B$1)</f>
        <v>#NAME?</v>
      </c>
      <c r="C141" s="201" t="e">
        <f t="shared" ca="1" si="10"/>
        <v>#NAME?</v>
      </c>
      <c r="D141" s="116"/>
      <c r="E141" s="117"/>
      <c r="F141" s="118"/>
      <c r="G141" s="119"/>
      <c r="H141" s="120" t="e">
        <f ca="1">IF(E141="",_xll.BDP(A141 &amp; " Corp","YLD_YTM_ASK")/100,E141)</f>
        <v>#NAME?</v>
      </c>
      <c r="I141" s="121" t="e">
        <f ca="1">_xll.INSTRUMENT.PRIX(AD141,D141,H141,AE141)</f>
        <v>#VALUE!</v>
      </c>
      <c r="J141" s="122" t="e">
        <f ca="1">_xll.INSTRUMENT.DV01(AD141,,,I141,cContinuous,I141)</f>
        <v>#VALUE!</v>
      </c>
      <c r="K141" s="123" t="e">
        <f ca="1">_xll.INSTRUMENT.CONVEXITE(AD141,,,I141,cContinuous,I141)</f>
        <v>#VALUE!</v>
      </c>
      <c r="L141" s="123" t="e">
        <f ca="1">_xll.INSTRUMENT.Z.SPREAD(AD141,swapCurve,I141,,D141)</f>
        <v>#VALUE!</v>
      </c>
      <c r="M141" s="123" t="e">
        <f ca="1">_xll.INSTRUMENT.Z.SPREAD(AD141,ustCurve,I141,,D141)</f>
        <v>#VALUE!</v>
      </c>
      <c r="N141" s="123" t="e">
        <f ca="1">_xll.INSTRUMENT.Z.SPREAD(AD141,oisCurve,I141,,D141)</f>
        <v>#VALUE!</v>
      </c>
      <c r="O141" s="124" t="e">
        <f ca="1">1/_xll.CALENDRIER.FRAC.ANNEE(_xll.INSTRUMENT.DATE.REGLEMENT($AD141,,),_xll.INSTRUMENT.DATE.REGLEMENT($AD141,_xll.CALENDRIER.GAP.FINANCE(TODAY(),"1M","AUD","Unadjusted"),),"ACT/365")*(_xll.INSTRUMENT.ROLL.DOWN($AD141,swapCurve,_xll.CALENDRIER.GAP.FINANCE(TODAY(),"1M","AUD","Unadjusted",TRUE),$L141)+100*$Z141*_xll.CALENDRIER.FRAC.ANNEE(_xll.INSTRUMENT.DATE.REGLEMENT($AD141,,),_xll.INSTRUMENT.DATE.REGLEMENT($AD141,_xll.CALENDRIER.GAP.FINANCE(TODAY(),"1M","AUD","Unadjusted"),),"ACT/365")-$I141)/$I141</f>
        <v>#NAME?</v>
      </c>
      <c r="P141" s="124" t="e">
        <f ca="1">1/_xll.CALENDRIER.FRAC.ANNEE(_xll.INSTRUMENT.DATE.REGLEMENT($AD141,,),_xll.INSTRUMENT.DATE.REGLEMENT($AD141,_xll.CALENDRIER.GAP.FINANCE(TODAY(),"3M","AUD","Unadjusted"),),"ACT/365")*(_xll.INSTRUMENT.ROLL.DOWN($AD141,swapCurve,_xll.CALENDRIER.GAP.FINANCE(TODAY(),"3M","AUD","Unadjusted",TRUE),$L141)+100*$Z141*_xll.CALENDRIER.FRAC.ANNEE(_xll.INSTRUMENT.DATE.REGLEMENT($AD141,,),_xll.INSTRUMENT.DATE.REGLEMENT($AD141,_xll.CALENDRIER.GAP.FINANCE(TODAY(),"3M","AUD","Unadjusted"),),"ACT/365")-$I141)/$I141</f>
        <v>#NAME?</v>
      </c>
      <c r="Q141" s="143" t="e">
        <f t="shared" ca="1" si="11"/>
        <v>#VALUE!</v>
      </c>
      <c r="R141" s="191" t="str">
        <f>IF(F141&lt;&gt;"","",IF(G141="","",-G141*(SUMIF('raw Data'!$A:$A,"RESINV1USD",'raw Data'!$G:$G)+SUMIF('raw Data'!$A:$A,"RESSWAPORUSD",'raw Data'!$G:$G))/(36500*J141)))</f>
        <v/>
      </c>
      <c r="S141" s="202" t="str">
        <f>IF(G141&lt;&gt;"","",IF(F141="","",-36500*J141*F141/(SUMIF('raw Data'!$A:$A,"RESINV1USD",'raw Data'!$G:$G)+SUMIF('raw Data'!$A:$A,"RESSWAPORUSD",'raw Data'!$G:$G))))</f>
        <v/>
      </c>
      <c r="T141" s="125">
        <f>SUMIF('raw Data'!$E:$E,A141,'raw Data'!$N:$N)</f>
        <v>0</v>
      </c>
      <c r="U141" s="126" t="e">
        <f ca="1">VALUE(_xll.BDP($A141 &amp; " Corp",U$1))</f>
        <v>#NAME?</v>
      </c>
      <c r="V141" s="127" t="e">
        <f ca="1">VALUE(_xll.BDP($A141 &amp; " Corp",V$1))</f>
        <v>#NAME?</v>
      </c>
      <c r="W141" s="127" t="e">
        <f ca="1">VALUE(_xll.BDP($A141 &amp; " Corp",W$1))</f>
        <v>#NAME?</v>
      </c>
      <c r="X141" s="127" t="e">
        <f ca="1">VALUE(_xll.BDP($A141 &amp; " Corp",X$1))</f>
        <v>#NAME?</v>
      </c>
      <c r="Y141" s="127" t="e">
        <f ca="1">VALUE(_xll.BDP($A141 &amp; " Corp",Y$1))</f>
        <v>#NAME?</v>
      </c>
      <c r="Z141" s="128" t="e">
        <f ca="1">_xll.BDP($A141 &amp; " Corp",Z$1)/100</f>
        <v>#NAME?</v>
      </c>
      <c r="AA141" s="129" t="e">
        <f ca="1">_xll.BDP($A141 &amp; " Corp",AA$1)</f>
        <v>#NAME?</v>
      </c>
      <c r="AB141" s="129" t="e">
        <f ca="1">_xll.BDP($A141 &amp; " Corp",AB$1)</f>
        <v>#NAME?</v>
      </c>
      <c r="AC141" s="129" t="e">
        <f ca="1">_xll.BDP($A141 &amp; " Corp",AC$1)</f>
        <v>#NAME?</v>
      </c>
      <c r="AD141" s="130" t="e">
        <f ca="1">_xll.INSTANCE.YANKEE(A141,U141,V141,W141,X141,Y141,Z141,AA141,LEFT(AC141,11),3,IF(RIGHT(AC141,6)="NONEOM",FALSE,TRUE),TODAY())</f>
        <v>#VALUE!</v>
      </c>
      <c r="AE141" s="130" t="e">
        <f ca="1">_xll.INSTANCE.CONVENTION.TAUX("conv_" &amp; A141,LEFT(AC141,11),"Compounded",IF(AA141=1,"Annual",IF(AA141=2,"Semi-Annual","")),"Unadjusted",TODAY())</f>
        <v>#VALUE!</v>
      </c>
    </row>
    <row r="142" spans="1:31" x14ac:dyDescent="0.35">
      <c r="A142" s="131" t="s">
        <v>889</v>
      </c>
      <c r="B142" s="115" t="e">
        <f ca="1">_xll.BDP($A142 &amp; " Govt",B$1)</f>
        <v>#NAME?</v>
      </c>
      <c r="C142" s="201" t="e">
        <f t="shared" ca="1" si="10"/>
        <v>#NAME?</v>
      </c>
      <c r="D142" s="116"/>
      <c r="E142" s="117"/>
      <c r="F142" s="118"/>
      <c r="G142" s="119"/>
      <c r="H142" s="120" t="e">
        <f ca="1">IF(E142="",_xll.BDP(A142 &amp; " Corp","YLD_YTM_ASK")/100,E142)</f>
        <v>#NAME?</v>
      </c>
      <c r="I142" s="121" t="e">
        <f ca="1">_xll.INSTRUMENT.PRIX(AD142,D142,H142,AE142)</f>
        <v>#VALUE!</v>
      </c>
      <c r="J142" s="122" t="e">
        <f ca="1">_xll.INSTRUMENT.DV01(AD142,,,I142,cContinuous,I142)</f>
        <v>#VALUE!</v>
      </c>
      <c r="K142" s="123" t="e">
        <f ca="1">_xll.INSTRUMENT.CONVEXITE(AD142,,,I142,cContinuous,I142)</f>
        <v>#VALUE!</v>
      </c>
      <c r="L142" s="123" t="e">
        <f ca="1">_xll.INSTRUMENT.Z.SPREAD(AD142,swapCurve,I142,,D142)</f>
        <v>#VALUE!</v>
      </c>
      <c r="M142" s="123" t="e">
        <f ca="1">_xll.INSTRUMENT.Z.SPREAD(AD142,ustCurve,I142,,D142)</f>
        <v>#VALUE!</v>
      </c>
      <c r="N142" s="123" t="e">
        <f ca="1">_xll.INSTRUMENT.Z.SPREAD(AD142,oisCurve,I142,,D142)</f>
        <v>#VALUE!</v>
      </c>
      <c r="O142" s="124" t="e">
        <f ca="1">1/_xll.CALENDRIER.FRAC.ANNEE(_xll.INSTRUMENT.DATE.REGLEMENT($AD142,,),_xll.INSTRUMENT.DATE.REGLEMENT($AD142,_xll.CALENDRIER.GAP.FINANCE(TODAY(),"1M","AUD","Unadjusted"),),"ACT/365")*(_xll.INSTRUMENT.ROLL.DOWN($AD142,swapCurve,_xll.CALENDRIER.GAP.FINANCE(TODAY(),"1M","AUD","Unadjusted",TRUE),$L142)+100*$Z142*_xll.CALENDRIER.FRAC.ANNEE(_xll.INSTRUMENT.DATE.REGLEMENT($AD142,,),_xll.INSTRUMENT.DATE.REGLEMENT($AD142,_xll.CALENDRIER.GAP.FINANCE(TODAY(),"1M","AUD","Unadjusted"),),"ACT/365")-$I142)/$I142</f>
        <v>#NAME?</v>
      </c>
      <c r="P142" s="124" t="e">
        <f ca="1">1/_xll.CALENDRIER.FRAC.ANNEE(_xll.INSTRUMENT.DATE.REGLEMENT($AD142,,),_xll.INSTRUMENT.DATE.REGLEMENT($AD142,_xll.CALENDRIER.GAP.FINANCE(TODAY(),"3M","AUD","Unadjusted"),),"ACT/365")*(_xll.INSTRUMENT.ROLL.DOWN($AD142,swapCurve,_xll.CALENDRIER.GAP.FINANCE(TODAY(),"3M","AUD","Unadjusted",TRUE),$L142)+100*$Z142*_xll.CALENDRIER.FRAC.ANNEE(_xll.INSTRUMENT.DATE.REGLEMENT($AD142,,),_xll.INSTRUMENT.DATE.REGLEMENT($AD142,_xll.CALENDRIER.GAP.FINANCE(TODAY(),"3M","AUD","Unadjusted"),),"ACT/365")-$I142)/$I142</f>
        <v>#NAME?</v>
      </c>
      <c r="Q142" s="143" t="e">
        <f t="shared" ca="1" si="11"/>
        <v>#VALUE!</v>
      </c>
      <c r="R142" s="191" t="str">
        <f>IF(F142&lt;&gt;"","",IF(G142="","",-G142*(SUMIF('raw Data'!$A:$A,"RESINV1USD",'raw Data'!$G:$G)+SUMIF('raw Data'!$A:$A,"RESSWAPORUSD",'raw Data'!$G:$G))/(36500*J142)))</f>
        <v/>
      </c>
      <c r="S142" s="202" t="str">
        <f>IF(G142&lt;&gt;"","",IF(F142="","",-36500*J142*F142/(SUMIF('raw Data'!$A:$A,"RESINV1USD",'raw Data'!$G:$G)+SUMIF('raw Data'!$A:$A,"RESSWAPORUSD",'raw Data'!$G:$G))))</f>
        <v/>
      </c>
      <c r="T142" s="125">
        <f>SUMIF('raw Data'!$E:$E,A142,'raw Data'!$N:$N)</f>
        <v>0</v>
      </c>
      <c r="U142" s="126" t="e">
        <f ca="1">VALUE(_xll.BDP($A142 &amp; " Corp",U$1))</f>
        <v>#NAME?</v>
      </c>
      <c r="V142" s="127" t="e">
        <f ca="1">VALUE(_xll.BDP($A142 &amp; " Corp",V$1))</f>
        <v>#NAME?</v>
      </c>
      <c r="W142" s="127" t="e">
        <f ca="1">VALUE(_xll.BDP($A142 &amp; " Corp",W$1))</f>
        <v>#NAME?</v>
      </c>
      <c r="X142" s="127" t="e">
        <f ca="1">VALUE(_xll.BDP($A142 &amp; " Corp",X$1))</f>
        <v>#NAME?</v>
      </c>
      <c r="Y142" s="127" t="e">
        <f ca="1">VALUE(_xll.BDP($A142 &amp; " Corp",Y$1))</f>
        <v>#NAME?</v>
      </c>
      <c r="Z142" s="128" t="e">
        <f ca="1">_xll.BDP($A142 &amp; " Corp",Z$1)/100</f>
        <v>#NAME?</v>
      </c>
      <c r="AA142" s="129" t="e">
        <f ca="1">_xll.BDP($A142 &amp; " Corp",AA$1)</f>
        <v>#NAME?</v>
      </c>
      <c r="AB142" s="129" t="e">
        <f ca="1">_xll.BDP($A142 &amp; " Corp",AB$1)</f>
        <v>#NAME?</v>
      </c>
      <c r="AC142" s="129" t="e">
        <f ca="1">_xll.BDP($A142 &amp; " Corp",AC$1)</f>
        <v>#NAME?</v>
      </c>
      <c r="AD142" s="130" t="e">
        <f ca="1">_xll.INSTANCE.YANKEE(A142,U142,V142,W142,X142,Y142,Z142,AA142,LEFT(AC142,11),3,IF(RIGHT(AC142,6)="NONEOM",FALSE,TRUE),TODAY())</f>
        <v>#VALUE!</v>
      </c>
      <c r="AE142" s="130" t="e">
        <f ca="1">_xll.INSTANCE.CONVENTION.TAUX("conv_" &amp; A142,LEFT(AC142,11),"Compounded",IF(AA142=1,"Annual",IF(AA142=2,"Semi-Annual","")),"Unadjusted",TODAY())</f>
        <v>#VALUE!</v>
      </c>
    </row>
    <row r="143" spans="1:31" x14ac:dyDescent="0.35">
      <c r="A143" s="131" t="s">
        <v>890</v>
      </c>
      <c r="B143" s="115" t="e">
        <f ca="1">_xll.BDP($A143 &amp; " Govt",B$1)</f>
        <v>#NAME?</v>
      </c>
      <c r="C143" s="201" t="e">
        <f t="shared" ca="1" si="10"/>
        <v>#NAME?</v>
      </c>
      <c r="D143" s="116"/>
      <c r="E143" s="117"/>
      <c r="F143" s="118"/>
      <c r="G143" s="119"/>
      <c r="H143" s="120" t="e">
        <f ca="1">IF(E143="",_xll.BDP(A143 &amp; " Corp","YLD_YTM_ASK")/100,E143)</f>
        <v>#NAME?</v>
      </c>
      <c r="I143" s="121" t="e">
        <f ca="1">_xll.INSTRUMENT.PRIX(AD143,D143,H143,AE143)</f>
        <v>#VALUE!</v>
      </c>
      <c r="J143" s="122" t="e">
        <f ca="1">_xll.INSTRUMENT.DV01(AD143,,,I143,cContinuous,I143)</f>
        <v>#VALUE!</v>
      </c>
      <c r="K143" s="123" t="e">
        <f ca="1">_xll.INSTRUMENT.CONVEXITE(AD143,,,I143,cContinuous,I143)</f>
        <v>#VALUE!</v>
      </c>
      <c r="L143" s="123" t="e">
        <f ca="1">_xll.INSTRUMENT.Z.SPREAD(AD143,swapCurve,I143,,D143)</f>
        <v>#VALUE!</v>
      </c>
      <c r="M143" s="123" t="e">
        <f ca="1">_xll.INSTRUMENT.Z.SPREAD(AD143,ustCurve,I143,,D143)</f>
        <v>#VALUE!</v>
      </c>
      <c r="N143" s="123" t="e">
        <f ca="1">_xll.INSTRUMENT.Z.SPREAD(AD143,oisCurve,I143,,D143)</f>
        <v>#VALUE!</v>
      </c>
      <c r="O143" s="124" t="e">
        <f ca="1">1/_xll.CALENDRIER.FRAC.ANNEE(_xll.INSTRUMENT.DATE.REGLEMENT($AD143,,),_xll.INSTRUMENT.DATE.REGLEMENT($AD143,_xll.CALENDRIER.GAP.FINANCE(TODAY(),"1M","AUD","Unadjusted"),),"ACT/365")*(_xll.INSTRUMENT.ROLL.DOWN($AD143,swapCurve,_xll.CALENDRIER.GAP.FINANCE(TODAY(),"1M","AUD","Unadjusted",TRUE),$L143)+100*$Z143*_xll.CALENDRIER.FRAC.ANNEE(_xll.INSTRUMENT.DATE.REGLEMENT($AD143,,),_xll.INSTRUMENT.DATE.REGLEMENT($AD143,_xll.CALENDRIER.GAP.FINANCE(TODAY(),"1M","AUD","Unadjusted"),),"ACT/365")-$I143)/$I143</f>
        <v>#NAME?</v>
      </c>
      <c r="P143" s="124" t="e">
        <f ca="1">1/_xll.CALENDRIER.FRAC.ANNEE(_xll.INSTRUMENT.DATE.REGLEMENT($AD143,,),_xll.INSTRUMENT.DATE.REGLEMENT($AD143,_xll.CALENDRIER.GAP.FINANCE(TODAY(),"3M","AUD","Unadjusted"),),"ACT/365")*(_xll.INSTRUMENT.ROLL.DOWN($AD143,swapCurve,_xll.CALENDRIER.GAP.FINANCE(TODAY(),"3M","AUD","Unadjusted",TRUE),$L143)+100*$Z143*_xll.CALENDRIER.FRAC.ANNEE(_xll.INSTRUMENT.DATE.REGLEMENT($AD143,,),_xll.INSTRUMENT.DATE.REGLEMENT($AD143,_xll.CALENDRIER.GAP.FINANCE(TODAY(),"3M","AUD","Unadjusted"),),"ACT/365")-$I143)/$I143</f>
        <v>#NAME?</v>
      </c>
      <c r="Q143" s="143" t="e">
        <f t="shared" ca="1" si="11"/>
        <v>#VALUE!</v>
      </c>
      <c r="R143" s="191" t="str">
        <f>IF(F143&lt;&gt;"","",IF(G143="","",-G143*(SUMIF('raw Data'!$A:$A,"RESINV1USD",'raw Data'!$G:$G)+SUMIF('raw Data'!$A:$A,"RESSWAPORUSD",'raw Data'!$G:$G))/(36500*J143)))</f>
        <v/>
      </c>
      <c r="S143" s="202" t="str">
        <f>IF(G143&lt;&gt;"","",IF(F143="","",-36500*J143*F143/(SUMIF('raw Data'!$A:$A,"RESINV1USD",'raw Data'!$G:$G)+SUMIF('raw Data'!$A:$A,"RESSWAPORUSD",'raw Data'!$G:$G))))</f>
        <v/>
      </c>
      <c r="T143" s="125">
        <f>SUMIF('raw Data'!$E:$E,A143,'raw Data'!$N:$N)</f>
        <v>0</v>
      </c>
      <c r="U143" s="126" t="e">
        <f ca="1">VALUE(_xll.BDP($A143 &amp; " Corp",U$1))</f>
        <v>#NAME?</v>
      </c>
      <c r="V143" s="127" t="e">
        <f ca="1">VALUE(_xll.BDP($A143 &amp; " Corp",V$1))</f>
        <v>#NAME?</v>
      </c>
      <c r="W143" s="127" t="e">
        <f ca="1">VALUE(_xll.BDP($A143 &amp; " Corp",W$1))</f>
        <v>#NAME?</v>
      </c>
      <c r="X143" s="127" t="e">
        <f ca="1">VALUE(_xll.BDP($A143 &amp; " Corp",X$1))</f>
        <v>#NAME?</v>
      </c>
      <c r="Y143" s="127" t="e">
        <f ca="1">VALUE(_xll.BDP($A143 &amp; " Corp",Y$1))</f>
        <v>#NAME?</v>
      </c>
      <c r="Z143" s="128" t="e">
        <f ca="1">_xll.BDP($A143 &amp; " Corp",Z$1)/100</f>
        <v>#NAME?</v>
      </c>
      <c r="AA143" s="129" t="e">
        <f ca="1">_xll.BDP($A143 &amp; " Corp",AA$1)</f>
        <v>#NAME?</v>
      </c>
      <c r="AB143" s="129" t="e">
        <f ca="1">_xll.BDP($A143 &amp; " Corp",AB$1)</f>
        <v>#NAME?</v>
      </c>
      <c r="AC143" s="129" t="e">
        <f ca="1">_xll.BDP($A143 &amp; " Corp",AC$1)</f>
        <v>#NAME?</v>
      </c>
      <c r="AD143" s="130" t="e">
        <f ca="1">_xll.INSTANCE.YANKEE(A143,U143,V143,W143,X143,Y143,Z143,AA143,LEFT(AC143,11),3,IF(RIGHT(AC143,6)="NONEOM",FALSE,TRUE),TODAY())</f>
        <v>#VALUE!</v>
      </c>
      <c r="AE143" s="130" t="e">
        <f ca="1">_xll.INSTANCE.CONVENTION.TAUX("conv_" &amp; A143,LEFT(AC143,11),"Compounded",IF(AA143=1,"Annual",IF(AA143=2,"Semi-Annual","")),"Unadjusted",TODAY())</f>
        <v>#VALUE!</v>
      </c>
    </row>
    <row r="144" spans="1:31" x14ac:dyDescent="0.35">
      <c r="A144" s="131" t="s">
        <v>883</v>
      </c>
      <c r="B144" s="115" t="e">
        <f ca="1">_xll.BDP($A144 &amp; " Govt",B$1)</f>
        <v>#NAME?</v>
      </c>
      <c r="C144" s="201" t="e">
        <f t="shared" ca="1" si="10"/>
        <v>#NAME?</v>
      </c>
      <c r="D144" s="116"/>
      <c r="E144" s="117"/>
      <c r="F144" s="118"/>
      <c r="G144" s="119"/>
      <c r="H144" s="120" t="e">
        <f ca="1">IF(E144="",_xll.BDP(A144 &amp; " Corp","YLD_YTM_ASK")/100,E144)</f>
        <v>#NAME?</v>
      </c>
      <c r="I144" s="121" t="e">
        <f ca="1">_xll.INSTRUMENT.PRIX(AD144,D144,H144,AE144)</f>
        <v>#VALUE!</v>
      </c>
      <c r="J144" s="122" t="e">
        <f ca="1">_xll.INSTRUMENT.DV01(AD144,,,I144,cContinuous,I144)</f>
        <v>#VALUE!</v>
      </c>
      <c r="K144" s="123" t="e">
        <f ca="1">_xll.INSTRUMENT.CONVEXITE(AD144,,,I144,cContinuous,I144)</f>
        <v>#VALUE!</v>
      </c>
      <c r="L144" s="123" t="e">
        <f ca="1">_xll.INSTRUMENT.Z.SPREAD(AD144,swapCurve,I144,,D144)</f>
        <v>#VALUE!</v>
      </c>
      <c r="M144" s="123" t="e">
        <f ca="1">_xll.INSTRUMENT.Z.SPREAD(AD144,ustCurve,I144,,D144)</f>
        <v>#VALUE!</v>
      </c>
      <c r="N144" s="123" t="e">
        <f ca="1">_xll.INSTRUMENT.Z.SPREAD(AD144,oisCurve,I144,,D144)</f>
        <v>#VALUE!</v>
      </c>
      <c r="O144" s="124" t="e">
        <f ca="1">1/_xll.CALENDRIER.FRAC.ANNEE(_xll.INSTRUMENT.DATE.REGLEMENT($AD144,,),_xll.INSTRUMENT.DATE.REGLEMENT($AD144,_xll.CALENDRIER.GAP.FINANCE(TODAY(),"1M","AUD","Unadjusted"),),"ACT/365")*(_xll.INSTRUMENT.ROLL.DOWN($AD144,swapCurve,_xll.CALENDRIER.GAP.FINANCE(TODAY(),"1M","AUD","Unadjusted",TRUE),$L144)+100*$Z144*_xll.CALENDRIER.FRAC.ANNEE(_xll.INSTRUMENT.DATE.REGLEMENT($AD144,,),_xll.INSTRUMENT.DATE.REGLEMENT($AD144,_xll.CALENDRIER.GAP.FINANCE(TODAY(),"1M","AUD","Unadjusted"),),"ACT/365")-$I144)/$I144</f>
        <v>#NAME?</v>
      </c>
      <c r="P144" s="124" t="e">
        <f ca="1">1/_xll.CALENDRIER.FRAC.ANNEE(_xll.INSTRUMENT.DATE.REGLEMENT($AD144,,),_xll.INSTRUMENT.DATE.REGLEMENT($AD144,_xll.CALENDRIER.GAP.FINANCE(TODAY(),"3M","AUD","Unadjusted"),),"ACT/365")*(_xll.INSTRUMENT.ROLL.DOWN($AD144,swapCurve,_xll.CALENDRIER.GAP.FINANCE(TODAY(),"3M","AUD","Unadjusted",TRUE),$L144)+100*$Z144*_xll.CALENDRIER.FRAC.ANNEE(_xll.INSTRUMENT.DATE.REGLEMENT($AD144,,),_xll.INSTRUMENT.DATE.REGLEMENT($AD144,_xll.CALENDRIER.GAP.FINANCE(TODAY(),"3M","AUD","Unadjusted"),),"ACT/365")-$I144)/$I144</f>
        <v>#NAME?</v>
      </c>
      <c r="Q144" s="143" t="e">
        <f t="shared" ca="1" si="11"/>
        <v>#VALUE!</v>
      </c>
      <c r="R144" s="191" t="str">
        <f>IF(F144&lt;&gt;"","",IF(G144="","",-G144*(SUMIF('raw Data'!$A:$A,"RESINV1USD",'raw Data'!$G:$G)+SUMIF('raw Data'!$A:$A,"RESSWAPORUSD",'raw Data'!$G:$G))/(36500*J144)))</f>
        <v/>
      </c>
      <c r="S144" s="202" t="str">
        <f>IF(G144&lt;&gt;"","",IF(F144="","",-36500*J144*F144/(SUMIF('raw Data'!$A:$A,"RESINV1USD",'raw Data'!$G:$G)+SUMIF('raw Data'!$A:$A,"RESSWAPORUSD",'raw Data'!$G:$G))))</f>
        <v/>
      </c>
      <c r="T144" s="125">
        <f>SUMIF('raw Data'!$E:$E,A144,'raw Data'!$N:$N)</f>
        <v>0</v>
      </c>
      <c r="U144" s="126" t="e">
        <f ca="1">VALUE(_xll.BDP($A144 &amp; " Corp",U$1))</f>
        <v>#NAME?</v>
      </c>
      <c r="V144" s="127" t="e">
        <f ca="1">VALUE(_xll.BDP($A144 &amp; " Corp",V$1))</f>
        <v>#NAME?</v>
      </c>
      <c r="W144" s="127" t="e">
        <f ca="1">VALUE(_xll.BDP($A144 &amp; " Corp",W$1))</f>
        <v>#NAME?</v>
      </c>
      <c r="X144" s="127" t="e">
        <f ca="1">VALUE(_xll.BDP($A144 &amp; " Corp",X$1))</f>
        <v>#NAME?</v>
      </c>
      <c r="Y144" s="127" t="e">
        <f ca="1">VALUE(_xll.BDP($A144 &amp; " Corp",Y$1))</f>
        <v>#NAME?</v>
      </c>
      <c r="Z144" s="128" t="e">
        <f ca="1">_xll.BDP($A144 &amp; " Corp",Z$1)/100</f>
        <v>#NAME?</v>
      </c>
      <c r="AA144" s="129" t="e">
        <f ca="1">_xll.BDP($A144 &amp; " Corp",AA$1)</f>
        <v>#NAME?</v>
      </c>
      <c r="AB144" s="129" t="e">
        <f ca="1">_xll.BDP($A144 &amp; " Corp",AB$1)</f>
        <v>#NAME?</v>
      </c>
      <c r="AC144" s="129" t="e">
        <f ca="1">_xll.BDP($A144 &amp; " Corp",AC$1)</f>
        <v>#NAME?</v>
      </c>
      <c r="AD144" s="130" t="e">
        <f ca="1">_xll.INSTANCE.YANKEE(A144,U144,V144,W144,X144,Y144,Z144,AA144,LEFT(AC144,11),3,IF(RIGHT(AC144,6)="NONEOM",FALSE,TRUE),TODAY())</f>
        <v>#VALUE!</v>
      </c>
      <c r="AE144" s="130" t="e">
        <f ca="1">_xll.INSTANCE.CONVENTION.TAUX("conv_" &amp; A144,LEFT(AC144,11),"Compounded",IF(AA144=1,"Annual",IF(AA144=2,"Semi-Annual","")),"Unadjusted",TODAY())</f>
        <v>#VALUE!</v>
      </c>
    </row>
    <row r="145" spans="1:31" x14ac:dyDescent="0.35">
      <c r="A145" s="131" t="s">
        <v>328</v>
      </c>
      <c r="B145" s="115" t="e">
        <f ca="1">_xll.BDP($A145 &amp; " Govt",B$1)</f>
        <v>#NAME?</v>
      </c>
      <c r="C145" s="201" t="e">
        <f t="shared" ca="1" si="10"/>
        <v>#NAME?</v>
      </c>
      <c r="D145" s="116"/>
      <c r="E145" s="117"/>
      <c r="F145" s="118"/>
      <c r="G145" s="119"/>
      <c r="H145" s="120" t="e">
        <f ca="1">IF(E145="",_xll.BDP(A145 &amp; " Corp","YLD_YTM_ASK")/100,E145)</f>
        <v>#NAME?</v>
      </c>
      <c r="I145" s="121" t="e">
        <f ca="1">_xll.INSTRUMENT.PRIX(AD145,D145,H145,AE145)</f>
        <v>#VALUE!</v>
      </c>
      <c r="J145" s="122" t="e">
        <f ca="1">_xll.INSTRUMENT.DV01(AD145,,,I145,cContinuous,I145)</f>
        <v>#VALUE!</v>
      </c>
      <c r="K145" s="123" t="e">
        <f ca="1">_xll.INSTRUMENT.CONVEXITE(AD145,,,I145,cContinuous,I145)</f>
        <v>#VALUE!</v>
      </c>
      <c r="L145" s="123" t="e">
        <f ca="1">_xll.INSTRUMENT.Z.SPREAD(AD145,swapCurve,I145,,D145)</f>
        <v>#VALUE!</v>
      </c>
      <c r="M145" s="123" t="e">
        <f ca="1">_xll.INSTRUMENT.Z.SPREAD(AD145,ustCurve,I145,,D145)</f>
        <v>#VALUE!</v>
      </c>
      <c r="N145" s="123" t="e">
        <f ca="1">_xll.INSTRUMENT.Z.SPREAD(AD145,oisCurve,I145,,D145)</f>
        <v>#VALUE!</v>
      </c>
      <c r="O145" s="124" t="e">
        <f ca="1">1/_xll.CALENDRIER.FRAC.ANNEE(_xll.INSTRUMENT.DATE.REGLEMENT($AD145,,),_xll.INSTRUMENT.DATE.REGLEMENT($AD145,_xll.CALENDRIER.GAP.FINANCE(TODAY(),"1M","AUD","Unadjusted"),),"ACT/365")*(_xll.INSTRUMENT.ROLL.DOWN($AD145,swapCurve,_xll.CALENDRIER.GAP.FINANCE(TODAY(),"1M","AUD","Unadjusted",TRUE),$L145)+100*$Z145*_xll.CALENDRIER.FRAC.ANNEE(_xll.INSTRUMENT.DATE.REGLEMENT($AD145,,),_xll.INSTRUMENT.DATE.REGLEMENT($AD145,_xll.CALENDRIER.GAP.FINANCE(TODAY(),"1M","AUD","Unadjusted"),),"ACT/365")-$I145)/$I145</f>
        <v>#NAME?</v>
      </c>
      <c r="P145" s="124" t="e">
        <f ca="1">1/_xll.CALENDRIER.FRAC.ANNEE(_xll.INSTRUMENT.DATE.REGLEMENT($AD145,,),_xll.INSTRUMENT.DATE.REGLEMENT($AD145,_xll.CALENDRIER.GAP.FINANCE(TODAY(),"3M","AUD","Unadjusted"),),"ACT/365")*(_xll.INSTRUMENT.ROLL.DOWN($AD145,swapCurve,_xll.CALENDRIER.GAP.FINANCE(TODAY(),"3M","AUD","Unadjusted",TRUE),$L145)+100*$Z145*_xll.CALENDRIER.FRAC.ANNEE(_xll.INSTRUMENT.DATE.REGLEMENT($AD145,,),_xll.INSTRUMENT.DATE.REGLEMENT($AD145,_xll.CALENDRIER.GAP.FINANCE(TODAY(),"3M","AUD","Unadjusted"),),"ACT/365")-$I145)/$I145</f>
        <v>#NAME?</v>
      </c>
      <c r="Q145" s="143" t="e">
        <f t="shared" ca="1" si="11"/>
        <v>#VALUE!</v>
      </c>
      <c r="R145" s="191" t="str">
        <f>IF(F145&lt;&gt;"","",IF(G145="","",-G145*(SUMIF('raw Data'!$A:$A,"RESINV1USD",'raw Data'!$G:$G)+SUMIF('raw Data'!$A:$A,"RESSWAPORUSD",'raw Data'!$G:$G))/(36500*J145)))</f>
        <v/>
      </c>
      <c r="S145" s="202" t="str">
        <f>IF(G145&lt;&gt;"","",IF(F145="","",-36500*J145*F145/(SUMIF('raw Data'!$A:$A,"RESINV1USD",'raw Data'!$G:$G)+SUMIF('raw Data'!$A:$A,"RESSWAPORUSD",'raw Data'!$G:$G))))</f>
        <v/>
      </c>
      <c r="T145" s="125">
        <f>SUMIF('raw Data'!$E:$E,A145,'raw Data'!$N:$N)</f>
        <v>200000</v>
      </c>
      <c r="U145" s="126" t="e">
        <f ca="1">VALUE(_xll.BDP($A145 &amp; " Corp",U$1))</f>
        <v>#NAME?</v>
      </c>
      <c r="V145" s="127" t="e">
        <f ca="1">VALUE(_xll.BDP($A145 &amp; " Corp",V$1))</f>
        <v>#NAME?</v>
      </c>
      <c r="W145" s="127" t="e">
        <f ca="1">VALUE(_xll.BDP($A145 &amp; " Corp",W$1))</f>
        <v>#NAME?</v>
      </c>
      <c r="X145" s="127" t="e">
        <f ca="1">VALUE(_xll.BDP($A145 &amp; " Corp",X$1))</f>
        <v>#NAME?</v>
      </c>
      <c r="Y145" s="127" t="e">
        <f ca="1">VALUE(_xll.BDP($A145 &amp; " Corp",Y$1))</f>
        <v>#NAME?</v>
      </c>
      <c r="Z145" s="128" t="e">
        <f ca="1">_xll.BDP($A145 &amp; " Corp",Z$1)/100</f>
        <v>#NAME?</v>
      </c>
      <c r="AA145" s="129" t="e">
        <f ca="1">_xll.BDP($A145 &amp; " Corp",AA$1)</f>
        <v>#NAME?</v>
      </c>
      <c r="AB145" s="129" t="e">
        <f ca="1">_xll.BDP($A145 &amp; " Corp",AB$1)</f>
        <v>#NAME?</v>
      </c>
      <c r="AC145" s="129" t="e">
        <f ca="1">_xll.BDP($A145 &amp; " Corp",AC$1)</f>
        <v>#NAME?</v>
      </c>
      <c r="AD145" s="130" t="e">
        <f ca="1">_xll.INSTANCE.YANKEE(A145,U145,V145,W145,X145,Y145,Z145,AA145,LEFT(AC145,11),3,IF(RIGHT(AC145,6)="NONEOM",FALSE,TRUE),TODAY())</f>
        <v>#VALUE!</v>
      </c>
      <c r="AE145" s="130" t="e">
        <f ca="1">_xll.INSTANCE.CONVENTION.TAUX("conv_" &amp; A145,LEFT(AC145,11),"Compounded",IF(AA145=1,"Annual",IF(AA145=2,"Semi-Annual","")),"Unadjusted",TODAY())</f>
        <v>#VALUE!</v>
      </c>
    </row>
    <row r="146" spans="1:31" x14ac:dyDescent="0.35">
      <c r="A146" s="131" t="s">
        <v>342</v>
      </c>
      <c r="B146" s="115" t="e">
        <f ca="1">_xll.BDP($A146 &amp; " Govt",B$1)</f>
        <v>#NAME?</v>
      </c>
      <c r="C146" s="201" t="e">
        <f t="shared" ca="1" si="10"/>
        <v>#NAME?</v>
      </c>
      <c r="D146" s="116"/>
      <c r="E146" s="117"/>
      <c r="F146" s="118"/>
      <c r="G146" s="119"/>
      <c r="H146" s="120" t="e">
        <f ca="1">IF(E146="",_xll.BDP(A146 &amp; " Corp","YLD_YTM_ASK")/100,E146)</f>
        <v>#NAME?</v>
      </c>
      <c r="I146" s="121" t="e">
        <f ca="1">_xll.INSTRUMENT.PRIX(AD146,D146,H146,AE146)</f>
        <v>#VALUE!</v>
      </c>
      <c r="J146" s="122" t="e">
        <f ca="1">_xll.INSTRUMENT.DV01(AD146,,,I146,cContinuous,I146)</f>
        <v>#VALUE!</v>
      </c>
      <c r="K146" s="123" t="e">
        <f ca="1">_xll.INSTRUMENT.CONVEXITE(AD146,,,I146,cContinuous,I146)</f>
        <v>#VALUE!</v>
      </c>
      <c r="L146" s="123" t="e">
        <f ca="1">_xll.INSTRUMENT.Z.SPREAD(AD146,swapCurve,I146,,D146)</f>
        <v>#VALUE!</v>
      </c>
      <c r="M146" s="123" t="e">
        <f ca="1">_xll.INSTRUMENT.Z.SPREAD(AD146,ustCurve,I146,,D146)</f>
        <v>#VALUE!</v>
      </c>
      <c r="N146" s="123" t="e">
        <f ca="1">_xll.INSTRUMENT.Z.SPREAD(AD146,oisCurve,I146,,D146)</f>
        <v>#VALUE!</v>
      </c>
      <c r="O146" s="124" t="e">
        <f ca="1">1/_xll.CALENDRIER.FRAC.ANNEE(_xll.INSTRUMENT.DATE.REGLEMENT($AD146,,),_xll.INSTRUMENT.DATE.REGLEMENT($AD146,_xll.CALENDRIER.GAP.FINANCE(TODAY(),"1M","AUD","Unadjusted"),),"ACT/365")*(_xll.INSTRUMENT.ROLL.DOWN($AD146,swapCurve,_xll.CALENDRIER.GAP.FINANCE(TODAY(),"1M","AUD","Unadjusted",TRUE),$L146)+100*$Z146*_xll.CALENDRIER.FRAC.ANNEE(_xll.INSTRUMENT.DATE.REGLEMENT($AD146,,),_xll.INSTRUMENT.DATE.REGLEMENT($AD146,_xll.CALENDRIER.GAP.FINANCE(TODAY(),"1M","AUD","Unadjusted"),),"ACT/365")-$I146)/$I146</f>
        <v>#NAME?</v>
      </c>
      <c r="P146" s="124" t="e">
        <f ca="1">1/_xll.CALENDRIER.FRAC.ANNEE(_xll.INSTRUMENT.DATE.REGLEMENT($AD146,,),_xll.INSTRUMENT.DATE.REGLEMENT($AD146,_xll.CALENDRIER.GAP.FINANCE(TODAY(),"3M","AUD","Unadjusted"),),"ACT/365")*(_xll.INSTRUMENT.ROLL.DOWN($AD146,swapCurve,_xll.CALENDRIER.GAP.FINANCE(TODAY(),"3M","AUD","Unadjusted",TRUE),$L146)+100*$Z146*_xll.CALENDRIER.FRAC.ANNEE(_xll.INSTRUMENT.DATE.REGLEMENT($AD146,,),_xll.INSTRUMENT.DATE.REGLEMENT($AD146,_xll.CALENDRIER.GAP.FINANCE(TODAY(),"3M","AUD","Unadjusted"),),"ACT/365")-$I146)/$I146</f>
        <v>#NAME?</v>
      </c>
      <c r="Q146" s="143" t="e">
        <f t="shared" ca="1" si="11"/>
        <v>#VALUE!</v>
      </c>
      <c r="R146" s="191" t="str">
        <f>IF(F146&lt;&gt;"","",IF(G146="","",-G146*(SUMIF('raw Data'!$A:$A,"RESINV1USD",'raw Data'!$G:$G)+SUMIF('raw Data'!$A:$A,"RESSWAPORUSD",'raw Data'!$G:$G))/(36500*J146)))</f>
        <v/>
      </c>
      <c r="S146" s="202" t="str">
        <f>IF(G146&lt;&gt;"","",IF(F146="","",-36500*J146*F146/(SUMIF('raw Data'!$A:$A,"RESINV1USD",'raw Data'!$G:$G)+SUMIF('raw Data'!$A:$A,"RESSWAPORUSD",'raw Data'!$G:$G))))</f>
        <v/>
      </c>
      <c r="T146" s="125">
        <f>SUMIF('raw Data'!$E:$E,A146,'raw Data'!$N:$N)</f>
        <v>50000</v>
      </c>
      <c r="U146" s="126" t="e">
        <f ca="1">VALUE(_xll.BDP($A146 &amp; " Corp",U$1))</f>
        <v>#NAME?</v>
      </c>
      <c r="V146" s="127" t="e">
        <f ca="1">VALUE(_xll.BDP($A146 &amp; " Corp",V$1))</f>
        <v>#NAME?</v>
      </c>
      <c r="W146" s="127" t="e">
        <f ca="1">VALUE(_xll.BDP($A146 &amp; " Corp",W$1))</f>
        <v>#NAME?</v>
      </c>
      <c r="X146" s="127" t="e">
        <f ca="1">VALUE(_xll.BDP($A146 &amp; " Corp",X$1))</f>
        <v>#NAME?</v>
      </c>
      <c r="Y146" s="127" t="e">
        <f ca="1">VALUE(_xll.BDP($A146 &amp; " Corp",Y$1))</f>
        <v>#NAME?</v>
      </c>
      <c r="Z146" s="128" t="e">
        <f ca="1">_xll.BDP($A146 &amp; " Corp",Z$1)/100</f>
        <v>#NAME?</v>
      </c>
      <c r="AA146" s="129" t="e">
        <f ca="1">_xll.BDP($A146 &amp; " Corp",AA$1)</f>
        <v>#NAME?</v>
      </c>
      <c r="AB146" s="129" t="e">
        <f ca="1">_xll.BDP($A146 &amp; " Corp",AB$1)</f>
        <v>#NAME?</v>
      </c>
      <c r="AC146" s="129" t="e">
        <f ca="1">_xll.BDP($A146 &amp; " Corp",AC$1)</f>
        <v>#NAME?</v>
      </c>
      <c r="AD146" s="130" t="e">
        <f ca="1">_xll.INSTANCE.YANKEE(A146,U146,V146,W146,X146,Y146,Z146,AA146,LEFT(AC146,11),3,IF(RIGHT(AC146,6)="NONEOM",FALSE,TRUE),TODAY())</f>
        <v>#VALUE!</v>
      </c>
      <c r="AE146" s="130" t="e">
        <f ca="1">_xll.INSTANCE.CONVENTION.TAUX("conv_" &amp; A146,LEFT(AC146,11),"Compounded",IF(AA146=1,"Annual",IF(AA146=2,"Semi-Annual","")),"Unadjusted",TODAY())</f>
        <v>#VALUE!</v>
      </c>
    </row>
    <row r="147" spans="1:31" x14ac:dyDescent="0.35">
      <c r="A147" s="131"/>
      <c r="B147" s="115"/>
      <c r="C147" s="201"/>
      <c r="D147" s="116"/>
      <c r="E147" s="117"/>
      <c r="F147" s="118"/>
      <c r="G147" s="119"/>
      <c r="H147" s="120"/>
      <c r="I147" s="121"/>
      <c r="J147" s="122"/>
      <c r="K147" s="123"/>
      <c r="L147" s="123"/>
      <c r="M147" s="123"/>
      <c r="N147" s="123"/>
      <c r="O147" s="124"/>
      <c r="P147" s="124"/>
      <c r="Q147" s="143"/>
      <c r="R147" s="191"/>
      <c r="S147" s="202"/>
      <c r="T147" s="125"/>
      <c r="U147" s="126"/>
      <c r="V147" s="127"/>
      <c r="W147" s="127"/>
      <c r="X147" s="127"/>
      <c r="Y147" s="127"/>
      <c r="Z147" s="128"/>
      <c r="AA147" s="129"/>
      <c r="AB147" s="129"/>
      <c r="AC147" s="129"/>
      <c r="AD147" s="130"/>
      <c r="AE147" s="130"/>
    </row>
    <row r="148" spans="1:31" x14ac:dyDescent="0.35">
      <c r="A148" s="131"/>
      <c r="B148" s="115"/>
      <c r="C148" s="201"/>
      <c r="D148" s="116"/>
      <c r="E148" s="117"/>
      <c r="F148" s="118"/>
      <c r="G148" s="119"/>
      <c r="H148" s="120"/>
      <c r="I148" s="121"/>
      <c r="J148" s="122"/>
      <c r="K148" s="123"/>
      <c r="L148" s="123"/>
      <c r="M148" s="123"/>
      <c r="N148" s="123"/>
      <c r="O148" s="124"/>
      <c r="P148" s="124"/>
      <c r="Q148" s="143"/>
      <c r="R148" s="191"/>
      <c r="S148" s="202"/>
      <c r="T148" s="125"/>
      <c r="U148" s="126"/>
      <c r="V148" s="127"/>
      <c r="W148" s="127"/>
      <c r="X148" s="127"/>
      <c r="Y148" s="127"/>
      <c r="Z148" s="128"/>
      <c r="AA148" s="129"/>
      <c r="AB148" s="129"/>
      <c r="AC148" s="129"/>
      <c r="AD148" s="130"/>
      <c r="AE148" s="130"/>
    </row>
    <row r="149" spans="1:31" x14ac:dyDescent="0.35">
      <c r="A149" s="131"/>
      <c r="B149" s="115"/>
      <c r="C149" s="201"/>
      <c r="D149" s="116"/>
      <c r="E149" s="117"/>
      <c r="F149" s="118"/>
      <c r="G149" s="119"/>
      <c r="H149" s="120"/>
      <c r="I149" s="121"/>
      <c r="J149" s="122"/>
      <c r="K149" s="123"/>
      <c r="L149" s="123"/>
      <c r="M149" s="123"/>
      <c r="N149" s="123"/>
      <c r="O149" s="124"/>
      <c r="P149" s="124"/>
      <c r="Q149" s="143"/>
      <c r="R149" s="191"/>
      <c r="S149" s="202"/>
      <c r="T149" s="125"/>
      <c r="U149" s="126"/>
      <c r="V149" s="127"/>
      <c r="W149" s="127"/>
      <c r="X149" s="127"/>
      <c r="Y149" s="127"/>
      <c r="Z149" s="128"/>
      <c r="AA149" s="129"/>
      <c r="AB149" s="129"/>
      <c r="AC149" s="129"/>
      <c r="AD149" s="130"/>
      <c r="AE149" s="130"/>
    </row>
    <row r="150" spans="1:31" x14ac:dyDescent="0.35">
      <c r="A150" s="131"/>
      <c r="B150" s="115"/>
      <c r="C150" s="201"/>
      <c r="D150" s="116"/>
      <c r="E150" s="117"/>
      <c r="F150" s="118"/>
      <c r="G150" s="119"/>
      <c r="H150" s="120"/>
      <c r="I150" s="121"/>
      <c r="J150" s="122"/>
      <c r="K150" s="123"/>
      <c r="L150" s="123"/>
      <c r="M150" s="123"/>
      <c r="N150" s="123"/>
      <c r="O150" s="124"/>
      <c r="P150" s="124"/>
      <c r="Q150" s="143"/>
      <c r="R150" s="191"/>
      <c r="S150" s="202"/>
      <c r="T150" s="125"/>
      <c r="U150" s="126"/>
      <c r="V150" s="127"/>
      <c r="W150" s="127"/>
      <c r="X150" s="127"/>
      <c r="Y150" s="127"/>
      <c r="Z150" s="128"/>
      <c r="AA150" s="129"/>
      <c r="AB150" s="129"/>
      <c r="AC150" s="129"/>
      <c r="AD150" s="130"/>
      <c r="AE150" s="130"/>
    </row>
    <row r="151" spans="1:31" x14ac:dyDescent="0.35">
      <c r="A151" s="131"/>
      <c r="B151" s="115"/>
      <c r="C151" s="201"/>
      <c r="D151" s="116"/>
      <c r="E151" s="117"/>
      <c r="F151" s="118"/>
      <c r="G151" s="119"/>
      <c r="H151" s="120"/>
      <c r="I151" s="121"/>
      <c r="J151" s="122"/>
      <c r="K151" s="123"/>
      <c r="L151" s="123"/>
      <c r="M151" s="123"/>
      <c r="N151" s="123"/>
      <c r="O151" s="124"/>
      <c r="P151" s="124"/>
      <c r="Q151" s="143"/>
      <c r="R151" s="191"/>
      <c r="S151" s="202"/>
      <c r="T151" s="125"/>
      <c r="U151" s="126"/>
      <c r="V151" s="127"/>
      <c r="W151" s="127"/>
      <c r="X151" s="127"/>
      <c r="Y151" s="127"/>
      <c r="Z151" s="128"/>
      <c r="AA151" s="129"/>
      <c r="AB151" s="129"/>
      <c r="AC151" s="129"/>
      <c r="AD151" s="130"/>
      <c r="AE151" s="130"/>
    </row>
    <row r="152" spans="1:31" x14ac:dyDescent="0.35">
      <c r="A152" s="131"/>
      <c r="B152" s="115"/>
      <c r="C152" s="201"/>
      <c r="D152" s="116"/>
      <c r="E152" s="117"/>
      <c r="F152" s="118"/>
      <c r="G152" s="119"/>
      <c r="H152" s="120"/>
      <c r="I152" s="121"/>
      <c r="J152" s="122"/>
      <c r="K152" s="123"/>
      <c r="L152" s="123"/>
      <c r="M152" s="123"/>
      <c r="N152" s="123"/>
      <c r="O152" s="124"/>
      <c r="P152" s="124"/>
      <c r="Q152" s="143"/>
      <c r="R152" s="191"/>
      <c r="S152" s="202"/>
      <c r="T152" s="125"/>
      <c r="U152" s="126"/>
      <c r="V152" s="127"/>
      <c r="W152" s="127"/>
      <c r="X152" s="127"/>
      <c r="Y152" s="127"/>
      <c r="Z152" s="128"/>
      <c r="AA152" s="129"/>
      <c r="AB152" s="129"/>
      <c r="AC152" s="129"/>
      <c r="AD152" s="130"/>
      <c r="AE152" s="130"/>
    </row>
    <row r="153" spans="1:31" x14ac:dyDescent="0.35">
      <c r="A153" s="131"/>
      <c r="B153" s="115"/>
      <c r="C153" s="201"/>
      <c r="D153" s="116"/>
      <c r="E153" s="117"/>
      <c r="F153" s="118"/>
      <c r="G153" s="119"/>
      <c r="H153" s="120"/>
      <c r="I153" s="121"/>
      <c r="J153" s="122"/>
      <c r="K153" s="123"/>
      <c r="L153" s="123"/>
      <c r="M153" s="123"/>
      <c r="N153" s="123"/>
      <c r="O153" s="124"/>
      <c r="P153" s="124"/>
      <c r="Q153" s="143"/>
      <c r="R153" s="191"/>
      <c r="S153" s="202"/>
      <c r="T153" s="125"/>
      <c r="U153" s="126"/>
      <c r="V153" s="127"/>
      <c r="W153" s="127"/>
      <c r="X153" s="127"/>
      <c r="Y153" s="127"/>
      <c r="Z153" s="128"/>
      <c r="AA153" s="129"/>
      <c r="AB153" s="129"/>
      <c r="AC153" s="129"/>
      <c r="AD153" s="130"/>
      <c r="AE153" s="130"/>
    </row>
    <row r="154" spans="1:31" x14ac:dyDescent="0.35">
      <c r="A154" s="131"/>
      <c r="B154" s="115"/>
      <c r="C154" s="201"/>
      <c r="D154" s="116"/>
      <c r="E154" s="117"/>
      <c r="F154" s="118"/>
      <c r="G154" s="119"/>
      <c r="H154" s="120"/>
      <c r="I154" s="121"/>
      <c r="J154" s="122"/>
      <c r="K154" s="123"/>
      <c r="L154" s="123"/>
      <c r="M154" s="123"/>
      <c r="N154" s="123"/>
      <c r="O154" s="124"/>
      <c r="P154" s="124"/>
      <c r="Q154" s="143"/>
      <c r="R154" s="191"/>
      <c r="S154" s="202"/>
      <c r="T154" s="125"/>
      <c r="U154" s="126"/>
      <c r="V154" s="127"/>
      <c r="W154" s="127"/>
      <c r="X154" s="127"/>
      <c r="Y154" s="127"/>
      <c r="Z154" s="128"/>
      <c r="AA154" s="129"/>
      <c r="AB154" s="129"/>
      <c r="AC154" s="129"/>
      <c r="AD154" s="130"/>
      <c r="AE154" s="130"/>
    </row>
    <row r="155" spans="1:31" x14ac:dyDescent="0.35">
      <c r="A155" s="131"/>
      <c r="B155" s="115"/>
      <c r="C155" s="201"/>
      <c r="D155" s="116"/>
      <c r="E155" s="117"/>
      <c r="F155" s="118"/>
      <c r="G155" s="119"/>
      <c r="H155" s="120"/>
      <c r="I155" s="121"/>
      <c r="J155" s="122"/>
      <c r="K155" s="123"/>
      <c r="L155" s="123"/>
      <c r="M155" s="123"/>
      <c r="N155" s="123"/>
      <c r="O155" s="124"/>
      <c r="P155" s="124"/>
      <c r="Q155" s="143"/>
      <c r="R155" s="191"/>
      <c r="S155" s="202"/>
      <c r="T155" s="125"/>
      <c r="U155" s="126"/>
      <c r="V155" s="127"/>
      <c r="W155" s="127"/>
      <c r="X155" s="127"/>
      <c r="Y155" s="127"/>
      <c r="Z155" s="128"/>
      <c r="AA155" s="129"/>
      <c r="AB155" s="129"/>
      <c r="AC155" s="129"/>
      <c r="AD155" s="130"/>
      <c r="AE155" s="130"/>
    </row>
    <row r="156" spans="1:31" x14ac:dyDescent="0.35">
      <c r="A156" s="131"/>
      <c r="B156" s="115"/>
      <c r="C156" s="201"/>
      <c r="D156" s="116"/>
      <c r="E156" s="117"/>
      <c r="F156" s="118"/>
      <c r="G156" s="119"/>
      <c r="H156" s="120"/>
      <c r="I156" s="121"/>
      <c r="J156" s="122"/>
      <c r="K156" s="123"/>
      <c r="L156" s="123"/>
      <c r="M156" s="123"/>
      <c r="N156" s="123"/>
      <c r="O156" s="124"/>
      <c r="P156" s="124"/>
      <c r="Q156" s="143"/>
      <c r="R156" s="191"/>
      <c r="S156" s="202"/>
      <c r="T156" s="125"/>
      <c r="U156" s="126"/>
      <c r="V156" s="127"/>
      <c r="W156" s="127"/>
      <c r="X156" s="127"/>
      <c r="Y156" s="127"/>
      <c r="Z156" s="128"/>
      <c r="AA156" s="129"/>
      <c r="AB156" s="129"/>
      <c r="AC156" s="129"/>
      <c r="AD156" s="130"/>
      <c r="AE156" s="130"/>
    </row>
    <row r="157" spans="1:31" x14ac:dyDescent="0.35">
      <c r="A157" s="131"/>
      <c r="B157" s="115"/>
      <c r="C157" s="201"/>
      <c r="D157" s="116"/>
      <c r="E157" s="117"/>
      <c r="F157" s="118"/>
      <c r="G157" s="119"/>
      <c r="H157" s="120"/>
      <c r="I157" s="121"/>
      <c r="J157" s="122"/>
      <c r="K157" s="123"/>
      <c r="L157" s="123"/>
      <c r="M157" s="123"/>
      <c r="N157" s="123"/>
      <c r="O157" s="124"/>
      <c r="P157" s="124"/>
      <c r="Q157" s="143"/>
      <c r="R157" s="191"/>
      <c r="S157" s="202"/>
      <c r="T157" s="125"/>
      <c r="U157" s="126"/>
      <c r="V157" s="127"/>
      <c r="W157" s="127"/>
      <c r="X157" s="127"/>
      <c r="Y157" s="127"/>
      <c r="Z157" s="128"/>
      <c r="AA157" s="129"/>
      <c r="AB157" s="129"/>
      <c r="AC157" s="129"/>
      <c r="AD157" s="130"/>
      <c r="AE157" s="130"/>
    </row>
    <row r="158" spans="1:31" x14ac:dyDescent="0.35">
      <c r="A158" s="131"/>
      <c r="B158" s="115"/>
      <c r="C158" s="201"/>
      <c r="D158" s="116"/>
      <c r="E158" s="117"/>
      <c r="F158" s="118"/>
      <c r="G158" s="119"/>
      <c r="H158" s="120"/>
      <c r="I158" s="121"/>
      <c r="J158" s="122"/>
      <c r="K158" s="123"/>
      <c r="L158" s="123"/>
      <c r="M158" s="123"/>
      <c r="N158" s="123"/>
      <c r="O158" s="124"/>
      <c r="P158" s="124"/>
      <c r="Q158" s="143"/>
      <c r="R158" s="191"/>
      <c r="S158" s="202"/>
      <c r="T158" s="125"/>
      <c r="U158" s="126"/>
      <c r="V158" s="127"/>
      <c r="W158" s="127"/>
      <c r="X158" s="127"/>
      <c r="Y158" s="127"/>
      <c r="Z158" s="128"/>
      <c r="AA158" s="129"/>
      <c r="AB158" s="129"/>
      <c r="AC158" s="129"/>
      <c r="AD158" s="130"/>
      <c r="AE158" s="130"/>
    </row>
    <row r="159" spans="1:31" x14ac:dyDescent="0.35">
      <c r="A159" s="131"/>
      <c r="B159" s="115"/>
      <c r="C159" s="201"/>
      <c r="D159" s="116"/>
      <c r="E159" s="117"/>
      <c r="F159" s="118"/>
      <c r="G159" s="119"/>
      <c r="H159" s="120"/>
      <c r="I159" s="121"/>
      <c r="J159" s="122"/>
      <c r="K159" s="123"/>
      <c r="L159" s="123"/>
      <c r="M159" s="123"/>
      <c r="N159" s="123"/>
      <c r="O159" s="124"/>
      <c r="P159" s="124"/>
      <c r="Q159" s="143"/>
      <c r="R159" s="191"/>
      <c r="S159" s="202"/>
      <c r="T159" s="125"/>
      <c r="U159" s="126"/>
      <c r="V159" s="127"/>
      <c r="W159" s="127"/>
      <c r="X159" s="127"/>
      <c r="Y159" s="127"/>
      <c r="Z159" s="128"/>
      <c r="AA159" s="129"/>
      <c r="AB159" s="129"/>
      <c r="AC159" s="129"/>
      <c r="AD159" s="130"/>
      <c r="AE159" s="130"/>
    </row>
    <row r="160" spans="1:31" x14ac:dyDescent="0.35">
      <c r="A160" s="131"/>
      <c r="B160" s="115"/>
      <c r="C160" s="201"/>
      <c r="D160" s="116"/>
      <c r="E160" s="117"/>
      <c r="F160" s="118"/>
      <c r="G160" s="119"/>
      <c r="H160" s="120"/>
      <c r="I160" s="121"/>
      <c r="J160" s="122"/>
      <c r="K160" s="123"/>
      <c r="L160" s="123"/>
      <c r="M160" s="123"/>
      <c r="N160" s="123"/>
      <c r="O160" s="124"/>
      <c r="P160" s="124"/>
      <c r="Q160" s="143"/>
      <c r="R160" s="191"/>
      <c r="S160" s="202"/>
      <c r="T160" s="125"/>
      <c r="U160" s="126"/>
      <c r="V160" s="127"/>
      <c r="W160" s="127"/>
      <c r="X160" s="127"/>
      <c r="Y160" s="127"/>
      <c r="Z160" s="128"/>
      <c r="AA160" s="129"/>
      <c r="AB160" s="129"/>
      <c r="AC160" s="129"/>
      <c r="AD160" s="130"/>
      <c r="AE160" s="130"/>
    </row>
    <row r="161" spans="1:31" x14ac:dyDescent="0.35">
      <c r="A161" s="131"/>
      <c r="B161" s="115"/>
      <c r="C161" s="201"/>
      <c r="D161" s="116"/>
      <c r="E161" s="117"/>
      <c r="F161" s="118"/>
      <c r="G161" s="119"/>
      <c r="H161" s="120"/>
      <c r="I161" s="121"/>
      <c r="J161" s="122"/>
      <c r="K161" s="123"/>
      <c r="L161" s="123"/>
      <c r="M161" s="123"/>
      <c r="N161" s="123"/>
      <c r="O161" s="124"/>
      <c r="P161" s="124"/>
      <c r="Q161" s="143"/>
      <c r="R161" s="191"/>
      <c r="S161" s="202"/>
      <c r="T161" s="125"/>
      <c r="U161" s="126"/>
      <c r="V161" s="127"/>
      <c r="W161" s="127"/>
      <c r="X161" s="127"/>
      <c r="Y161" s="127"/>
      <c r="Z161" s="128"/>
      <c r="AA161" s="129"/>
      <c r="AB161" s="129"/>
      <c r="AC161" s="129"/>
      <c r="AD161" s="130"/>
      <c r="AE161" s="130"/>
    </row>
    <row r="162" spans="1:31" x14ac:dyDescent="0.35">
      <c r="A162" s="131"/>
      <c r="B162" s="115"/>
      <c r="C162" s="201"/>
      <c r="D162" s="116"/>
      <c r="E162" s="117"/>
      <c r="F162" s="118"/>
      <c r="G162" s="119"/>
      <c r="H162" s="120"/>
      <c r="I162" s="121"/>
      <c r="J162" s="122"/>
      <c r="K162" s="123"/>
      <c r="L162" s="123"/>
      <c r="M162" s="123"/>
      <c r="N162" s="123"/>
      <c r="O162" s="124"/>
      <c r="P162" s="124"/>
      <c r="Q162" s="143"/>
      <c r="R162" s="191"/>
      <c r="S162" s="202"/>
      <c r="T162" s="125"/>
      <c r="U162" s="126"/>
      <c r="V162" s="127"/>
      <c r="W162" s="127"/>
      <c r="X162" s="127"/>
      <c r="Y162" s="127"/>
      <c r="Z162" s="128"/>
      <c r="AA162" s="129"/>
      <c r="AB162" s="129"/>
      <c r="AC162" s="129"/>
      <c r="AD162" s="130"/>
      <c r="AE162" s="130"/>
    </row>
    <row r="163" spans="1:31" x14ac:dyDescent="0.35">
      <c r="A163" s="131"/>
      <c r="B163" s="115"/>
      <c r="C163" s="201"/>
      <c r="D163" s="116"/>
      <c r="E163" s="117"/>
      <c r="F163" s="118"/>
      <c r="G163" s="119"/>
      <c r="H163" s="120"/>
      <c r="I163" s="121"/>
      <c r="J163" s="122"/>
      <c r="K163" s="123"/>
      <c r="L163" s="123"/>
      <c r="M163" s="123"/>
      <c r="N163" s="123"/>
      <c r="O163" s="124"/>
      <c r="P163" s="124"/>
      <c r="Q163" s="143"/>
      <c r="R163" s="191"/>
      <c r="S163" s="202"/>
      <c r="T163" s="125"/>
      <c r="U163" s="126"/>
      <c r="V163" s="127"/>
      <c r="W163" s="127"/>
      <c r="X163" s="127"/>
      <c r="Y163" s="127"/>
      <c r="Z163" s="128"/>
      <c r="AA163" s="129"/>
      <c r="AB163" s="129"/>
      <c r="AC163" s="129"/>
      <c r="AD163" s="130"/>
      <c r="AE163" s="130"/>
    </row>
    <row r="164" spans="1:31" x14ac:dyDescent="0.35">
      <c r="A164" s="131"/>
      <c r="B164" s="115"/>
      <c r="C164" s="201"/>
      <c r="D164" s="116"/>
      <c r="E164" s="117"/>
      <c r="F164" s="118"/>
      <c r="G164" s="119"/>
      <c r="H164" s="120"/>
      <c r="I164" s="121"/>
      <c r="J164" s="122"/>
      <c r="K164" s="123"/>
      <c r="L164" s="123"/>
      <c r="M164" s="123"/>
      <c r="N164" s="123"/>
      <c r="O164" s="124"/>
      <c r="P164" s="124"/>
      <c r="Q164" s="143"/>
      <c r="R164" s="191"/>
      <c r="S164" s="202"/>
      <c r="T164" s="125"/>
      <c r="U164" s="126"/>
      <c r="V164" s="127"/>
      <c r="W164" s="127"/>
      <c r="X164" s="127"/>
      <c r="Y164" s="127"/>
      <c r="Z164" s="128"/>
      <c r="AA164" s="129"/>
      <c r="AB164" s="129"/>
      <c r="AC164" s="129"/>
      <c r="AD164" s="130"/>
      <c r="AE164" s="130"/>
    </row>
    <row r="165" spans="1:31" x14ac:dyDescent="0.35">
      <c r="A165" s="131"/>
      <c r="B165" s="115"/>
      <c r="C165" s="201"/>
      <c r="D165" s="116"/>
      <c r="E165" s="117"/>
      <c r="F165" s="118"/>
      <c r="G165" s="119"/>
      <c r="H165" s="120"/>
      <c r="I165" s="121"/>
      <c r="J165" s="122"/>
      <c r="K165" s="123"/>
      <c r="L165" s="123"/>
      <c r="M165" s="123"/>
      <c r="N165" s="123"/>
      <c r="O165" s="124"/>
      <c r="P165" s="124"/>
      <c r="Q165" s="143"/>
      <c r="R165" s="191"/>
      <c r="S165" s="202"/>
      <c r="T165" s="125"/>
      <c r="U165" s="126"/>
      <c r="V165" s="127"/>
      <c r="W165" s="127"/>
      <c r="X165" s="127"/>
      <c r="Y165" s="127"/>
      <c r="Z165" s="128"/>
      <c r="AA165" s="129"/>
      <c r="AB165" s="129"/>
      <c r="AC165" s="129"/>
      <c r="AD165" s="130"/>
      <c r="AE165" s="130"/>
    </row>
    <row r="166" spans="1:31" x14ac:dyDescent="0.35">
      <c r="A166" s="131"/>
      <c r="B166" s="115"/>
      <c r="C166" s="201"/>
      <c r="D166" s="116"/>
      <c r="E166" s="117"/>
      <c r="F166" s="118"/>
      <c r="G166" s="119"/>
      <c r="H166" s="120"/>
      <c r="I166" s="121"/>
      <c r="J166" s="122"/>
      <c r="K166" s="123"/>
      <c r="L166" s="123"/>
      <c r="M166" s="123"/>
      <c r="N166" s="123"/>
      <c r="O166" s="124"/>
      <c r="P166" s="124"/>
      <c r="Q166" s="143"/>
      <c r="R166" s="191"/>
      <c r="S166" s="202"/>
      <c r="T166" s="125"/>
      <c r="U166" s="126"/>
      <c r="V166" s="127"/>
      <c r="W166" s="127"/>
      <c r="X166" s="127"/>
      <c r="Y166" s="127"/>
      <c r="Z166" s="128"/>
      <c r="AA166" s="129"/>
      <c r="AB166" s="129"/>
      <c r="AC166" s="129"/>
      <c r="AD166" s="130"/>
      <c r="AE166" s="130"/>
    </row>
    <row r="167" spans="1:31" x14ac:dyDescent="0.35">
      <c r="A167" s="131"/>
      <c r="B167" s="115"/>
      <c r="C167" s="201"/>
      <c r="D167" s="116"/>
      <c r="E167" s="117"/>
      <c r="F167" s="118"/>
      <c r="G167" s="119"/>
      <c r="H167" s="120"/>
      <c r="I167" s="121"/>
      <c r="J167" s="122"/>
      <c r="K167" s="123"/>
      <c r="L167" s="123"/>
      <c r="M167" s="123"/>
      <c r="N167" s="123"/>
      <c r="O167" s="124"/>
      <c r="P167" s="124"/>
      <c r="Q167" s="143"/>
      <c r="R167" s="191"/>
      <c r="S167" s="202"/>
      <c r="T167" s="125"/>
      <c r="U167" s="126"/>
      <c r="V167" s="127"/>
      <c r="W167" s="127"/>
      <c r="X167" s="127"/>
      <c r="Y167" s="127"/>
      <c r="Z167" s="128"/>
      <c r="AA167" s="129"/>
      <c r="AB167" s="129"/>
      <c r="AC167" s="129"/>
      <c r="AD167" s="130"/>
      <c r="AE167" s="130"/>
    </row>
    <row r="168" spans="1:31" x14ac:dyDescent="0.35">
      <c r="A168" s="131"/>
      <c r="B168" s="115"/>
      <c r="C168" s="201"/>
      <c r="D168" s="116"/>
      <c r="E168" s="117"/>
      <c r="F168" s="118"/>
      <c r="G168" s="119"/>
      <c r="H168" s="120"/>
      <c r="I168" s="121"/>
      <c r="J168" s="122"/>
      <c r="K168" s="123"/>
      <c r="L168" s="123"/>
      <c r="M168" s="123"/>
      <c r="N168" s="123"/>
      <c r="O168" s="124"/>
      <c r="P168" s="124"/>
      <c r="Q168" s="143"/>
      <c r="R168" s="191"/>
      <c r="S168" s="202"/>
      <c r="T168" s="125"/>
      <c r="U168" s="126"/>
      <c r="V168" s="127"/>
      <c r="W168" s="127"/>
      <c r="X168" s="127"/>
      <c r="Y168" s="127"/>
      <c r="Z168" s="128"/>
      <c r="AA168" s="129"/>
      <c r="AB168" s="129"/>
      <c r="AC168" s="129"/>
      <c r="AD168" s="130"/>
      <c r="AE168" s="130"/>
    </row>
    <row r="169" spans="1:31" x14ac:dyDescent="0.35">
      <c r="A169" s="131"/>
      <c r="B169" s="115"/>
      <c r="C169" s="201"/>
      <c r="D169" s="116"/>
      <c r="E169" s="117"/>
      <c r="F169" s="118"/>
      <c r="G169" s="119"/>
      <c r="H169" s="120"/>
      <c r="I169" s="121"/>
      <c r="J169" s="122"/>
      <c r="K169" s="123"/>
      <c r="L169" s="123"/>
      <c r="M169" s="123"/>
      <c r="N169" s="123"/>
      <c r="O169" s="124"/>
      <c r="P169" s="124"/>
      <c r="Q169" s="143"/>
      <c r="R169" s="191"/>
      <c r="S169" s="202"/>
      <c r="T169" s="125"/>
      <c r="U169" s="126"/>
      <c r="V169" s="127"/>
      <c r="W169" s="127"/>
      <c r="X169" s="127"/>
      <c r="Y169" s="127"/>
      <c r="Z169" s="128"/>
      <c r="AA169" s="129"/>
      <c r="AB169" s="129"/>
      <c r="AC169" s="129"/>
      <c r="AD169" s="130"/>
      <c r="AE169" s="130"/>
    </row>
    <row r="170" spans="1:31" x14ac:dyDescent="0.35">
      <c r="A170" s="131"/>
      <c r="B170" s="115"/>
      <c r="C170" s="201"/>
      <c r="D170" s="116"/>
      <c r="E170" s="117"/>
      <c r="F170" s="118"/>
      <c r="G170" s="119"/>
      <c r="H170" s="120"/>
      <c r="I170" s="121"/>
      <c r="J170" s="122"/>
      <c r="K170" s="123"/>
      <c r="L170" s="123"/>
      <c r="M170" s="123"/>
      <c r="N170" s="123"/>
      <c r="O170" s="124"/>
      <c r="P170" s="124"/>
      <c r="Q170" s="143"/>
      <c r="R170" s="191"/>
      <c r="S170" s="202"/>
      <c r="T170" s="125"/>
      <c r="U170" s="126"/>
      <c r="V170" s="127"/>
      <c r="W170" s="127"/>
      <c r="X170" s="127"/>
      <c r="Y170" s="127"/>
      <c r="Z170" s="128"/>
      <c r="AA170" s="129"/>
      <c r="AB170" s="129"/>
      <c r="AC170" s="129"/>
      <c r="AD170" s="130"/>
      <c r="AE170" s="130"/>
    </row>
    <row r="171" spans="1:31" x14ac:dyDescent="0.35">
      <c r="A171" s="131"/>
      <c r="B171" s="115"/>
      <c r="C171" s="201"/>
      <c r="D171" s="116"/>
      <c r="E171" s="117"/>
      <c r="F171" s="118"/>
      <c r="G171" s="119"/>
      <c r="H171" s="120"/>
      <c r="I171" s="121"/>
      <c r="J171" s="122"/>
      <c r="K171" s="123"/>
      <c r="L171" s="123"/>
      <c r="M171" s="123"/>
      <c r="N171" s="123"/>
      <c r="O171" s="124"/>
      <c r="P171" s="124"/>
      <c r="Q171" s="143"/>
      <c r="R171" s="191"/>
      <c r="S171" s="202"/>
      <c r="T171" s="125"/>
      <c r="U171" s="126"/>
      <c r="V171" s="127"/>
      <c r="W171" s="127"/>
      <c r="X171" s="127"/>
      <c r="Y171" s="127"/>
      <c r="Z171" s="128"/>
      <c r="AA171" s="129"/>
      <c r="AB171" s="129"/>
      <c r="AC171" s="129"/>
      <c r="AD171" s="130"/>
      <c r="AE171" s="130"/>
    </row>
    <row r="172" spans="1:31" x14ac:dyDescent="0.35">
      <c r="A172" s="131"/>
      <c r="B172" s="115"/>
      <c r="C172" s="201"/>
      <c r="D172" s="116"/>
      <c r="E172" s="117"/>
      <c r="F172" s="118"/>
      <c r="G172" s="119"/>
      <c r="H172" s="120"/>
      <c r="I172" s="121"/>
      <c r="J172" s="122"/>
      <c r="K172" s="123"/>
      <c r="L172" s="123"/>
      <c r="M172" s="123"/>
      <c r="N172" s="123"/>
      <c r="O172" s="124"/>
      <c r="P172" s="124"/>
      <c r="Q172" s="143"/>
      <c r="R172" s="191"/>
      <c r="S172" s="202"/>
      <c r="T172" s="125"/>
      <c r="U172" s="126"/>
      <c r="V172" s="127"/>
      <c r="W172" s="127"/>
      <c r="X172" s="127"/>
      <c r="Y172" s="127"/>
      <c r="Z172" s="128"/>
      <c r="AA172" s="129"/>
      <c r="AB172" s="129"/>
      <c r="AC172" s="129"/>
      <c r="AD172" s="130"/>
      <c r="AE172" s="130"/>
    </row>
    <row r="173" spans="1:31" x14ac:dyDescent="0.35">
      <c r="A173" s="131"/>
      <c r="B173" s="115"/>
      <c r="C173" s="201"/>
      <c r="D173" s="116"/>
      <c r="E173" s="117"/>
      <c r="F173" s="118"/>
      <c r="G173" s="119"/>
      <c r="H173" s="120"/>
      <c r="I173" s="121"/>
      <c r="J173" s="122"/>
      <c r="K173" s="123"/>
      <c r="L173" s="123"/>
      <c r="M173" s="123"/>
      <c r="N173" s="123"/>
      <c r="O173" s="124"/>
      <c r="P173" s="124"/>
      <c r="Q173" s="143"/>
      <c r="R173" s="191"/>
      <c r="S173" s="202"/>
      <c r="T173" s="125"/>
      <c r="U173" s="126"/>
      <c r="V173" s="127"/>
      <c r="W173" s="127"/>
      <c r="X173" s="127"/>
      <c r="Y173" s="127"/>
      <c r="Z173" s="128"/>
      <c r="AA173" s="129"/>
      <c r="AB173" s="129"/>
      <c r="AC173" s="129"/>
      <c r="AD173" s="130"/>
      <c r="AE173" s="130"/>
    </row>
    <row r="174" spans="1:31" x14ac:dyDescent="0.35">
      <c r="A174" s="131"/>
      <c r="B174" s="115"/>
      <c r="C174" s="201"/>
      <c r="D174" s="116"/>
      <c r="E174" s="117"/>
      <c r="F174" s="118"/>
      <c r="G174" s="119"/>
      <c r="H174" s="120"/>
      <c r="I174" s="121"/>
      <c r="J174" s="122"/>
      <c r="K174" s="123"/>
      <c r="L174" s="123"/>
      <c r="M174" s="123"/>
      <c r="N174" s="123"/>
      <c r="O174" s="124"/>
      <c r="P174" s="124"/>
      <c r="Q174" s="143"/>
      <c r="R174" s="191"/>
      <c r="S174" s="202"/>
      <c r="T174" s="125"/>
      <c r="U174" s="126"/>
      <c r="V174" s="127"/>
      <c r="W174" s="127"/>
      <c r="X174" s="127"/>
      <c r="Y174" s="127"/>
      <c r="Z174" s="128"/>
      <c r="AA174" s="129"/>
      <c r="AB174" s="129"/>
      <c r="AC174" s="129"/>
      <c r="AD174" s="130"/>
      <c r="AE174" s="130"/>
    </row>
    <row r="175" spans="1:31" x14ac:dyDescent="0.35">
      <c r="A175" s="131"/>
      <c r="B175" s="115"/>
      <c r="C175" s="201"/>
      <c r="D175" s="116"/>
      <c r="E175" s="117"/>
      <c r="F175" s="118"/>
      <c r="G175" s="119"/>
      <c r="H175" s="120"/>
      <c r="I175" s="121"/>
      <c r="J175" s="122"/>
      <c r="K175" s="123"/>
      <c r="L175" s="123"/>
      <c r="M175" s="123"/>
      <c r="N175" s="123"/>
      <c r="O175" s="124"/>
      <c r="P175" s="124"/>
      <c r="Q175" s="143"/>
      <c r="R175" s="191"/>
      <c r="S175" s="202"/>
      <c r="T175" s="125"/>
      <c r="U175" s="126"/>
      <c r="V175" s="127"/>
      <c r="W175" s="127"/>
      <c r="X175" s="127"/>
      <c r="Y175" s="127"/>
      <c r="Z175" s="128"/>
      <c r="AA175" s="129"/>
      <c r="AB175" s="129"/>
      <c r="AC175" s="129"/>
      <c r="AD175" s="130"/>
      <c r="AE175" s="130"/>
    </row>
    <row r="176" spans="1:31" x14ac:dyDescent="0.35">
      <c r="A176" s="131"/>
      <c r="B176" s="115"/>
      <c r="C176" s="201"/>
      <c r="D176" s="116"/>
      <c r="E176" s="117"/>
      <c r="F176" s="118"/>
      <c r="G176" s="119"/>
      <c r="H176" s="120"/>
      <c r="I176" s="121"/>
      <c r="J176" s="122"/>
      <c r="K176" s="123"/>
      <c r="L176" s="123"/>
      <c r="M176" s="123"/>
      <c r="N176" s="123"/>
      <c r="O176" s="124"/>
      <c r="P176" s="124"/>
      <c r="Q176" s="143"/>
      <c r="R176" s="191"/>
      <c r="S176" s="202"/>
      <c r="T176" s="125"/>
      <c r="U176" s="126"/>
      <c r="V176" s="127"/>
      <c r="W176" s="127"/>
      <c r="X176" s="127"/>
      <c r="Y176" s="127"/>
      <c r="Z176" s="128"/>
      <c r="AA176" s="129"/>
      <c r="AB176" s="129"/>
      <c r="AC176" s="129"/>
      <c r="AD176" s="130"/>
      <c r="AE176" s="130"/>
    </row>
    <row r="177" spans="1:31" x14ac:dyDescent="0.35">
      <c r="A177" s="131"/>
      <c r="B177" s="115"/>
      <c r="C177" s="201"/>
      <c r="D177" s="116"/>
      <c r="E177" s="117"/>
      <c r="F177" s="118"/>
      <c r="G177" s="119"/>
      <c r="H177" s="120"/>
      <c r="I177" s="121"/>
      <c r="J177" s="122"/>
      <c r="K177" s="123"/>
      <c r="L177" s="123"/>
      <c r="M177" s="123"/>
      <c r="N177" s="123"/>
      <c r="O177" s="124"/>
      <c r="P177" s="124"/>
      <c r="Q177" s="143"/>
      <c r="R177" s="191"/>
      <c r="S177" s="202"/>
      <c r="T177" s="125"/>
      <c r="U177" s="126"/>
      <c r="V177" s="127"/>
      <c r="W177" s="127"/>
      <c r="X177" s="127"/>
      <c r="Y177" s="127"/>
      <c r="Z177" s="128"/>
      <c r="AA177" s="129"/>
      <c r="AB177" s="129"/>
      <c r="AC177" s="129"/>
      <c r="AD177" s="130"/>
      <c r="AE177" s="130"/>
    </row>
    <row r="178" spans="1:31" x14ac:dyDescent="0.35">
      <c r="A178" s="131"/>
      <c r="B178" s="115"/>
      <c r="C178" s="201"/>
      <c r="D178" s="116"/>
      <c r="E178" s="117"/>
      <c r="F178" s="118"/>
      <c r="G178" s="119"/>
      <c r="H178" s="120"/>
      <c r="I178" s="121"/>
      <c r="J178" s="122"/>
      <c r="K178" s="123"/>
      <c r="L178" s="123"/>
      <c r="M178" s="123"/>
      <c r="N178" s="123"/>
      <c r="O178" s="124"/>
      <c r="P178" s="124"/>
      <c r="Q178" s="143"/>
      <c r="R178" s="191"/>
      <c r="S178" s="202"/>
      <c r="T178" s="125"/>
      <c r="U178" s="126"/>
      <c r="V178" s="127"/>
      <c r="W178" s="127"/>
      <c r="X178" s="127"/>
      <c r="Y178" s="127"/>
      <c r="Z178" s="128"/>
      <c r="AA178" s="129"/>
      <c r="AB178" s="129"/>
      <c r="AC178" s="129"/>
      <c r="AD178" s="130"/>
      <c r="AE178" s="130"/>
    </row>
    <row r="179" spans="1:31" x14ac:dyDescent="0.35">
      <c r="A179" s="131"/>
      <c r="B179" s="115"/>
      <c r="C179" s="201"/>
      <c r="D179" s="116"/>
      <c r="E179" s="117"/>
      <c r="F179" s="118"/>
      <c r="G179" s="119"/>
      <c r="H179" s="120"/>
      <c r="I179" s="121"/>
      <c r="J179" s="122"/>
      <c r="K179" s="123"/>
      <c r="L179" s="123"/>
      <c r="M179" s="123"/>
      <c r="N179" s="123"/>
      <c r="O179" s="124"/>
      <c r="P179" s="124"/>
      <c r="Q179" s="143"/>
      <c r="R179" s="191"/>
      <c r="S179" s="202"/>
      <c r="T179" s="125"/>
      <c r="U179" s="126"/>
      <c r="V179" s="127"/>
      <c r="W179" s="127"/>
      <c r="X179" s="127"/>
      <c r="Y179" s="127"/>
      <c r="Z179" s="128"/>
      <c r="AA179" s="129"/>
      <c r="AB179" s="130"/>
      <c r="AC179" s="130"/>
      <c r="AD179" s="130"/>
      <c r="AE179" s="130"/>
    </row>
    <row r="180" spans="1:31" x14ac:dyDescent="0.35">
      <c r="A180" s="131"/>
      <c r="B180" s="115"/>
      <c r="C180" s="201"/>
      <c r="D180" s="116"/>
      <c r="E180" s="117"/>
      <c r="F180" s="118"/>
      <c r="G180" s="119"/>
      <c r="H180" s="120"/>
      <c r="I180" s="121"/>
      <c r="J180" s="122"/>
      <c r="K180" s="123"/>
      <c r="L180" s="123"/>
      <c r="M180" s="123"/>
      <c r="N180" s="123"/>
      <c r="O180" s="124"/>
      <c r="P180" s="124"/>
      <c r="Q180" s="143"/>
      <c r="R180" s="191"/>
      <c r="S180" s="202"/>
      <c r="T180" s="125"/>
      <c r="U180" s="126"/>
      <c r="V180" s="127"/>
      <c r="W180" s="127"/>
      <c r="X180" s="127"/>
      <c r="Y180" s="127"/>
      <c r="Z180" s="128"/>
      <c r="AA180" s="129"/>
      <c r="AB180" s="130"/>
      <c r="AC180" s="130"/>
      <c r="AD180" s="130"/>
      <c r="AE180" s="130"/>
    </row>
    <row r="181" spans="1:31" x14ac:dyDescent="0.35">
      <c r="A181" s="131"/>
      <c r="B181" s="115"/>
      <c r="C181" s="201"/>
      <c r="D181" s="116"/>
      <c r="E181" s="117"/>
      <c r="F181" s="118"/>
      <c r="G181" s="119"/>
      <c r="H181" s="120"/>
      <c r="I181" s="121"/>
      <c r="J181" s="122"/>
      <c r="K181" s="123"/>
      <c r="L181" s="123"/>
      <c r="M181" s="123"/>
      <c r="N181" s="123"/>
      <c r="O181" s="124"/>
      <c r="P181" s="124"/>
      <c r="Q181" s="143"/>
      <c r="R181" s="191"/>
      <c r="S181" s="202"/>
      <c r="T181" s="125"/>
      <c r="U181" s="126"/>
      <c r="V181" s="127"/>
      <c r="W181" s="127"/>
      <c r="X181" s="127"/>
      <c r="Y181" s="127"/>
      <c r="Z181" s="128"/>
      <c r="AA181" s="129"/>
      <c r="AB181" s="130"/>
      <c r="AC181" s="130"/>
      <c r="AD181" s="130"/>
      <c r="AE181" s="130"/>
    </row>
    <row r="182" spans="1:31" x14ac:dyDescent="0.35">
      <c r="A182" s="131"/>
      <c r="B182" s="115"/>
      <c r="C182" s="201"/>
      <c r="D182" s="116"/>
      <c r="E182" s="117"/>
      <c r="F182" s="118"/>
      <c r="G182" s="119"/>
      <c r="H182" s="120"/>
      <c r="I182" s="121"/>
      <c r="J182" s="122"/>
      <c r="K182" s="123"/>
      <c r="L182" s="123"/>
      <c r="M182" s="123"/>
      <c r="N182" s="123"/>
      <c r="O182" s="124"/>
      <c r="P182" s="124"/>
      <c r="Q182" s="143"/>
      <c r="R182" s="191"/>
      <c r="S182" s="202"/>
      <c r="T182" s="125"/>
      <c r="U182" s="126"/>
      <c r="V182" s="127"/>
      <c r="W182" s="127"/>
      <c r="X182" s="127"/>
      <c r="Y182" s="127"/>
      <c r="Z182" s="128"/>
      <c r="AA182" s="129"/>
      <c r="AB182" s="130"/>
      <c r="AC182" s="130"/>
      <c r="AD182" s="130"/>
      <c r="AE182" s="130"/>
    </row>
    <row r="183" spans="1:31" x14ac:dyDescent="0.35">
      <c r="A183" s="131"/>
      <c r="B183" s="115"/>
      <c r="C183" s="201"/>
      <c r="D183" s="116"/>
      <c r="E183" s="117"/>
      <c r="F183" s="118"/>
      <c r="G183" s="119"/>
      <c r="H183" s="120"/>
      <c r="I183" s="121"/>
      <c r="J183" s="122"/>
      <c r="K183" s="123"/>
      <c r="L183" s="123"/>
      <c r="M183" s="123"/>
      <c r="N183" s="123"/>
      <c r="O183" s="124"/>
      <c r="P183" s="124"/>
      <c r="Q183" s="143"/>
      <c r="R183" s="191"/>
      <c r="S183" s="202"/>
      <c r="T183" s="125"/>
      <c r="U183" s="126"/>
      <c r="V183" s="127"/>
      <c r="W183" s="127"/>
      <c r="X183" s="127"/>
      <c r="Y183" s="127"/>
      <c r="Z183" s="128"/>
      <c r="AA183" s="129"/>
      <c r="AB183" s="130"/>
      <c r="AC183" s="130"/>
      <c r="AD183" s="130"/>
      <c r="AE183" s="130"/>
    </row>
    <row r="184" spans="1:31" x14ac:dyDescent="0.35">
      <c r="A184" s="131"/>
      <c r="B184" s="115"/>
      <c r="C184" s="201"/>
      <c r="D184" s="116"/>
      <c r="E184" s="117"/>
      <c r="F184" s="118"/>
      <c r="G184" s="119"/>
      <c r="H184" s="120"/>
      <c r="I184" s="121"/>
      <c r="J184" s="122"/>
      <c r="K184" s="123"/>
      <c r="L184" s="123"/>
      <c r="M184" s="123"/>
      <c r="N184" s="123"/>
      <c r="O184" s="124"/>
      <c r="P184" s="124"/>
      <c r="Q184" s="143"/>
      <c r="R184" s="191"/>
      <c r="S184" s="202"/>
      <c r="T184" s="125"/>
      <c r="U184" s="126"/>
      <c r="V184" s="127"/>
      <c r="W184" s="127"/>
      <c r="X184" s="127"/>
      <c r="Y184" s="127"/>
      <c r="Z184" s="128"/>
      <c r="AA184" s="129"/>
      <c r="AB184" s="130"/>
      <c r="AC184" s="130"/>
      <c r="AD184" s="130"/>
      <c r="AE184" s="130"/>
    </row>
    <row r="185" spans="1:31" x14ac:dyDescent="0.35">
      <c r="A185" s="131"/>
      <c r="B185" s="115"/>
      <c r="C185" s="201"/>
      <c r="D185" s="116"/>
      <c r="E185" s="117"/>
      <c r="F185" s="118"/>
      <c r="G185" s="119"/>
      <c r="H185" s="120"/>
      <c r="I185" s="121"/>
      <c r="J185" s="122"/>
      <c r="K185" s="123"/>
      <c r="L185" s="123"/>
      <c r="M185" s="123"/>
      <c r="N185" s="123"/>
      <c r="O185" s="124"/>
      <c r="P185" s="124"/>
      <c r="Q185" s="143"/>
      <c r="R185" s="191"/>
      <c r="S185" s="202"/>
      <c r="T185" s="125"/>
      <c r="U185" s="126"/>
      <c r="V185" s="127"/>
      <c r="W185" s="127"/>
      <c r="X185" s="127"/>
      <c r="Y185" s="127"/>
      <c r="Z185" s="128"/>
      <c r="AA185" s="129"/>
      <c r="AB185" s="130"/>
      <c r="AC185" s="130"/>
      <c r="AD185" s="130"/>
      <c r="AE185" s="130"/>
    </row>
    <row r="186" spans="1:31" x14ac:dyDescent="0.35">
      <c r="A186" s="131"/>
      <c r="B186" s="115"/>
      <c r="C186" s="201"/>
      <c r="D186" s="116"/>
      <c r="E186" s="117"/>
      <c r="F186" s="118"/>
      <c r="G186" s="119"/>
      <c r="H186" s="120"/>
      <c r="I186" s="121"/>
      <c r="J186" s="122"/>
      <c r="K186" s="123"/>
      <c r="L186" s="123"/>
      <c r="M186" s="123"/>
      <c r="N186" s="123"/>
      <c r="O186" s="124"/>
      <c r="P186" s="124"/>
      <c r="Q186" s="143"/>
      <c r="R186" s="191"/>
      <c r="S186" s="202"/>
      <c r="T186" s="125"/>
      <c r="U186" s="126"/>
      <c r="V186" s="127"/>
      <c r="W186" s="127"/>
      <c r="X186" s="127"/>
      <c r="Y186" s="127"/>
      <c r="Z186" s="128"/>
      <c r="AA186" s="129"/>
      <c r="AB186" s="130"/>
      <c r="AC186" s="130"/>
      <c r="AD186" s="130"/>
      <c r="AE186" s="130"/>
    </row>
    <row r="187" spans="1:31" x14ac:dyDescent="0.35">
      <c r="A187" s="131"/>
      <c r="B187" s="115"/>
      <c r="C187" s="201"/>
      <c r="D187" s="116"/>
      <c r="E187" s="117"/>
      <c r="F187" s="118"/>
      <c r="G187" s="119"/>
      <c r="H187" s="120"/>
      <c r="I187" s="121"/>
      <c r="J187" s="122"/>
      <c r="K187" s="123"/>
      <c r="L187" s="123"/>
      <c r="M187" s="123"/>
      <c r="N187" s="123"/>
      <c r="O187" s="124"/>
      <c r="P187" s="124"/>
      <c r="Q187" s="143"/>
      <c r="R187" s="191"/>
      <c r="S187" s="202"/>
      <c r="T187" s="125"/>
      <c r="U187" s="126"/>
      <c r="V187" s="127"/>
      <c r="W187" s="127"/>
      <c r="X187" s="127"/>
      <c r="Y187" s="127"/>
      <c r="Z187" s="128"/>
      <c r="AA187" s="129"/>
      <c r="AB187" s="130"/>
      <c r="AC187" s="130"/>
      <c r="AD187" s="130"/>
      <c r="AE187" s="130"/>
    </row>
    <row r="188" spans="1:31" x14ac:dyDescent="0.35">
      <c r="A188" s="131"/>
      <c r="B188" s="115"/>
      <c r="C188" s="201"/>
      <c r="D188" s="116"/>
      <c r="E188" s="117"/>
      <c r="F188" s="118"/>
      <c r="G188" s="119"/>
      <c r="H188" s="120"/>
      <c r="I188" s="121"/>
      <c r="J188" s="122"/>
      <c r="K188" s="123"/>
      <c r="L188" s="123"/>
      <c r="M188" s="123"/>
      <c r="N188" s="123"/>
      <c r="O188" s="124"/>
      <c r="P188" s="124"/>
      <c r="Q188" s="143"/>
      <c r="R188" s="191"/>
      <c r="S188" s="202"/>
      <c r="T188" s="125"/>
      <c r="U188" s="126"/>
      <c r="V188" s="127"/>
      <c r="W188" s="127"/>
      <c r="X188" s="127"/>
      <c r="Y188" s="127"/>
      <c r="Z188" s="128"/>
      <c r="AA188" s="129"/>
      <c r="AB188" s="130"/>
      <c r="AC188" s="130"/>
      <c r="AD188" s="130"/>
      <c r="AE188" s="130"/>
    </row>
    <row r="189" spans="1:31" x14ac:dyDescent="0.35">
      <c r="A189" s="131"/>
      <c r="B189" s="115"/>
      <c r="C189" s="201"/>
      <c r="D189" s="116"/>
      <c r="E189" s="117"/>
      <c r="F189" s="118"/>
      <c r="G189" s="119"/>
      <c r="H189" s="120"/>
      <c r="I189" s="121"/>
      <c r="J189" s="122"/>
      <c r="K189" s="123"/>
      <c r="L189" s="123"/>
      <c r="M189" s="123"/>
      <c r="N189" s="123"/>
      <c r="O189" s="124"/>
      <c r="P189" s="124"/>
      <c r="Q189" s="143"/>
      <c r="R189" s="191"/>
      <c r="S189" s="202"/>
      <c r="T189" s="125"/>
      <c r="U189" s="126"/>
      <c r="V189" s="127"/>
      <c r="W189" s="127"/>
      <c r="X189" s="127"/>
      <c r="Y189" s="127"/>
      <c r="Z189" s="128"/>
      <c r="AA189" s="129"/>
      <c r="AB189" s="130"/>
      <c r="AC189" s="130"/>
      <c r="AD189" s="130"/>
      <c r="AE189" s="130"/>
    </row>
  </sheetData>
  <autoFilter ref="A1:AD195">
    <sortState ref="A92:AD114">
      <sortCondition descending="1" ref="Y1:Y199"/>
    </sortState>
  </autoFilter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/>
  </sheetPr>
  <dimension ref="B1:T56"/>
  <sheetViews>
    <sheetView workbookViewId="0">
      <selection activeCell="B22" sqref="B22"/>
    </sheetView>
  </sheetViews>
  <sheetFormatPr baseColWidth="10" defaultColWidth="8.3984375" defaultRowHeight="10.199999999999999" x14ac:dyDescent="0.3"/>
  <cols>
    <col min="1" max="1" width="1.59765625" style="1" customWidth="1"/>
    <col min="2" max="10" width="8.3984375" style="1"/>
    <col min="11" max="11" width="1.59765625" style="1" customWidth="1"/>
    <col min="12" max="16384" width="8.3984375" style="1"/>
  </cols>
  <sheetData>
    <row r="1" spans="2:20" s="7" customFormat="1" ht="10.55" thickBot="1" x14ac:dyDescent="0.35">
      <c r="B1" s="7" t="s">
        <v>958</v>
      </c>
      <c r="L1" s="7" t="s">
        <v>959</v>
      </c>
    </row>
    <row r="2" spans="2:20" x14ac:dyDescent="0.3">
      <c r="B2" s="156" t="s">
        <v>599</v>
      </c>
      <c r="C2" s="157" t="s">
        <v>595</v>
      </c>
      <c r="D2" s="157" t="s">
        <v>275</v>
      </c>
      <c r="E2" s="157" t="s">
        <v>596</v>
      </c>
      <c r="F2" s="157" t="s">
        <v>136</v>
      </c>
      <c r="G2" s="157" t="s">
        <v>294</v>
      </c>
      <c r="H2" s="157" t="s">
        <v>313</v>
      </c>
      <c r="I2" s="157" t="s">
        <v>268</v>
      </c>
      <c r="J2" s="158" t="s">
        <v>266</v>
      </c>
      <c r="L2" s="156" t="s">
        <v>599</v>
      </c>
      <c r="M2" s="157" t="s">
        <v>595</v>
      </c>
      <c r="N2" s="157" t="s">
        <v>275</v>
      </c>
      <c r="O2" s="157" t="s">
        <v>596</v>
      </c>
      <c r="P2" s="157" t="s">
        <v>136</v>
      </c>
      <c r="Q2" s="157" t="s">
        <v>294</v>
      </c>
      <c r="R2" s="157" t="s">
        <v>313</v>
      </c>
      <c r="S2" s="157" t="s">
        <v>268</v>
      </c>
      <c r="T2" s="158" t="s">
        <v>266</v>
      </c>
    </row>
    <row r="3" spans="2:20" x14ac:dyDescent="0.3">
      <c r="B3" s="159" t="s">
        <v>97</v>
      </c>
      <c r="C3" s="160">
        <f>SUMIF('raw Data'!$L:$L,"RESINV1USD_" &amp; $B3 &amp; "_" &amp; C$2,'raw Data'!$H:$H)+SUMIF('raw Data'!$L:$L,"RESSWAPORUSD_" &amp; $B3 &amp; "_" &amp; C$2,'raw Data'!$H:$H)</f>
        <v>0</v>
      </c>
      <c r="D3" s="160">
        <f>SUMIF('raw Data'!$L:$L,"RESINV1USD_" &amp; $B3 &amp; "_" &amp; D$2,'raw Data'!$H:$H)+SUMIF('raw Data'!$L:$L,"RESSWAPORUSD_" &amp; $B3 &amp; "_" &amp; D$2,'raw Data'!$H:$H)</f>
        <v>0</v>
      </c>
      <c r="E3" s="160">
        <f>SUMIF('raw Data'!$L:$L,"RESINV1USD_" &amp; $B3 &amp; "_" &amp; E$2,'raw Data'!$H:$H)+SUMIF('raw Data'!$L:$L,"RESSWAPORUSD_" &amp; $B3 &amp; "_" &amp; E$2,'raw Data'!$H:$H)</f>
        <v>0.11692</v>
      </c>
      <c r="F3" s="160">
        <f>SUMIF('raw Data'!$L:$L,"RESINV1USD_" &amp; $B3 &amp; "_" &amp; F$2,'raw Data'!$H:$H)+SUMIF('raw Data'!$L:$L,"RESSWAPORUSD_" &amp; $B3 &amp; "_" &amp; F$2,'raw Data'!$H:$H)</f>
        <v>0</v>
      </c>
      <c r="G3" s="160">
        <f>SUMIF('raw Data'!$L:$L,"RESINV1USD_" &amp; $B3 &amp; "_" &amp; G$2,'raw Data'!$H:$H)+SUMIF('raw Data'!$L:$L,"RESSWAPORUSD_" &amp; $B3 &amp; "_" &amp; G$2,'raw Data'!$H:$H)</f>
        <v>0</v>
      </c>
      <c r="H3" s="160">
        <f>SUMIF('raw Data'!$L:$L,"RESINV1USD_" &amp; $B3 &amp; "_" &amp; H$2,'raw Data'!$H:$H)+SUMIF('raw Data'!$L:$L,"RESSWAPORUSD_" &amp; $B3 &amp; "_" &amp; H$2,'raw Data'!$H:$H)</f>
        <v>0</v>
      </c>
      <c r="I3" s="160">
        <f>SUMIF('raw Data'!$L:$L,"RESINV1USD_" &amp; $B3 &amp; "_" &amp; I$2,'raw Data'!$H:$H)+SUMIF('raw Data'!$L:$L,"RESSWAPORUSD_" &amp; $B3 &amp; "_" &amp; I$2,'raw Data'!$H:$H)</f>
        <v>0</v>
      </c>
      <c r="J3" s="161">
        <f>SUMIF('raw Data'!$L:$L,"RESINV1USD_" &amp; $B3 &amp; "_" &amp; J$2,'raw Data'!$H:$H)+SUMIF('raw Data'!$L:$L,"RESSWAPORUSD_" &amp; $B3 &amp; "_" &amp; J$2,'raw Data'!$H:$H)</f>
        <v>-0.76094000000000006</v>
      </c>
      <c r="L3" s="159" t="s">
        <v>97</v>
      </c>
      <c r="M3" s="160">
        <f>ratioPV*SUMIF('raw Data'!$L:$L,"BKINV1USD_" &amp; $L3 &amp; "_" &amp; M$2,'raw Data'!$H:$H)</f>
        <v>0.35586182911691305</v>
      </c>
      <c r="N3" s="160">
        <f>ratioPV*SUMIF('raw Data'!$L:$L,"BKINV1USD_" &amp; $L3 &amp; "_" &amp; N$2,'raw Data'!$H:$H)</f>
        <v>0</v>
      </c>
      <c r="O3" s="160">
        <f>ratioPV*SUMIF('raw Data'!$L:$L,"BKINV1USD_" &amp; $L3 &amp; "_" &amp; O$2,'raw Data'!$H:$H)</f>
        <v>0</v>
      </c>
      <c r="P3" s="160">
        <f>ratioPV*SUMIF('raw Data'!$L:$L,"BKINV1USD_" &amp; $L3 &amp; "_" &amp; P$2,'raw Data'!$H:$H)</f>
        <v>0</v>
      </c>
      <c r="Q3" s="160">
        <f>ratioPV*SUMIF('raw Data'!$L:$L,"BKINV1USD_" &amp; $L3 &amp; "_" &amp; Q$2,'raw Data'!$H:$H)</f>
        <v>0</v>
      </c>
      <c r="R3" s="160">
        <f>ratioPV*SUMIF('raw Data'!$L:$L,"BKINV1USD_" &amp; $L3 &amp; "_" &amp; R$2,'raw Data'!$H:$H)</f>
        <v>0</v>
      </c>
      <c r="S3" s="160">
        <f>ratioPV*SUMIF('raw Data'!$L:$L,"BKINV1USD_" &amp; $L3 &amp; "_" &amp; S$2,'raw Data'!$H:$H)</f>
        <v>0</v>
      </c>
      <c r="T3" s="161">
        <f>ratioPV*SUMIF('raw Data'!$L:$L,"BKINV1USD_" &amp; $L3 &amp; "_" &amp; T$2,'raw Data'!$H:$H)</f>
        <v>0</v>
      </c>
    </row>
    <row r="4" spans="2:20" x14ac:dyDescent="0.3">
      <c r="B4" s="159" t="s">
        <v>138</v>
      </c>
      <c r="C4" s="160">
        <f>SUMIF('raw Data'!$L:$L,"RESINV1USD_" &amp; $B4 &amp; "_" &amp; C$2,'raw Data'!$H:$H)+SUMIF('raw Data'!$L:$L,"RESSWAPORUSD_" &amp; $B4 &amp; "_" &amp; C$2,'raw Data'!$H:$H)</f>
        <v>0</v>
      </c>
      <c r="D4" s="160">
        <f>SUMIF('raw Data'!$L:$L,"RESINV1USD_" &amp; $B4 &amp; "_" &amp; D$2,'raw Data'!$H:$H)+SUMIF('raw Data'!$L:$L,"RESSWAPORUSD_" &amp; $B4 &amp; "_" &amp; D$2,'raw Data'!$H:$H)</f>
        <v>0</v>
      </c>
      <c r="E4" s="160">
        <f>SUMIF('raw Data'!$L:$L,"RESINV1USD_" &amp; $B4 &amp; "_" &amp; E$2,'raw Data'!$H:$H)+SUMIF('raw Data'!$L:$L,"RESSWAPORUSD_" &amp; $B4 &amp; "_" &amp; E$2,'raw Data'!$H:$H)</f>
        <v>0</v>
      </c>
      <c r="F4" s="160">
        <f>SUMIF('raw Data'!$L:$L,"RESINV1USD_" &amp; $B4 &amp; "_" &amp; F$2,'raw Data'!$H:$H)+SUMIF('raw Data'!$L:$L,"RESSWAPORUSD_" &amp; $B4 &amp; "_" &amp; F$2,'raw Data'!$H:$H)</f>
        <v>0.44536000000000003</v>
      </c>
      <c r="G4" s="160">
        <f>SUMIF('raw Data'!$L:$L,"RESINV1USD_" &amp; $B4 &amp; "_" &amp; G$2,'raw Data'!$H:$H)+SUMIF('raw Data'!$L:$L,"RESSWAPORUSD_" &amp; $B4 &amp; "_" &amp; G$2,'raw Data'!$H:$H)</f>
        <v>0</v>
      </c>
      <c r="H4" s="160">
        <f>SUMIF('raw Data'!$L:$L,"RESINV1USD_" &amp; $B4 &amp; "_" &amp; H$2,'raw Data'!$H:$H)+SUMIF('raw Data'!$L:$L,"RESSWAPORUSD_" &amp; $B4 &amp; "_" &amp; H$2,'raw Data'!$H:$H)</f>
        <v>0</v>
      </c>
      <c r="I4" s="160">
        <f>SUMIF('raw Data'!$L:$L,"RESINV1USD_" &amp; $B4 &amp; "_" &amp; I$2,'raw Data'!$H:$H)+SUMIF('raw Data'!$L:$L,"RESSWAPORUSD_" &amp; $B4 &amp; "_" &amp; I$2,'raw Data'!$H:$H)</f>
        <v>0</v>
      </c>
      <c r="J4" s="161">
        <f>SUMIF('raw Data'!$L:$L,"RESINV1USD_" &amp; $B4 &amp; "_" &amp; J$2,'raw Data'!$H:$H)+SUMIF('raw Data'!$L:$L,"RESSWAPORUSD_" &amp; $B4 &amp; "_" &amp; J$2,'raw Data'!$H:$H)</f>
        <v>0</v>
      </c>
      <c r="L4" s="159" t="s">
        <v>138</v>
      </c>
      <c r="M4" s="160">
        <f>ratioPV*SUMIF('raw Data'!$L:$L,"BKINV1USD_" &amp; $L4 &amp; "_" &amp; M$2,'raw Data'!$H:$H)</f>
        <v>0</v>
      </c>
      <c r="N4" s="160">
        <f>ratioPV*SUMIF('raw Data'!$L:$L,"BKINV1USD_" &amp; $L4 &amp; "_" &amp; N$2,'raw Data'!$H:$H)</f>
        <v>0</v>
      </c>
      <c r="O4" s="160">
        <f>ratioPV*SUMIF('raw Data'!$L:$L,"BKINV1USD_" &amp; $L4 &amp; "_" &amp; O$2,'raw Data'!$H:$H)</f>
        <v>0</v>
      </c>
      <c r="P4" s="160">
        <f>ratioPV*SUMIF('raw Data'!$L:$L,"BKINV1USD_" &amp; $L4 &amp; "_" &amp; P$2,'raw Data'!$H:$H)</f>
        <v>0</v>
      </c>
      <c r="Q4" s="160">
        <f>ratioPV*SUMIF('raw Data'!$L:$L,"BKINV1USD_" &amp; $L4 &amp; "_" &amp; Q$2,'raw Data'!$H:$H)</f>
        <v>0</v>
      </c>
      <c r="R4" s="160">
        <f>ratioPV*SUMIF('raw Data'!$L:$L,"BKINV1USD_" &amp; $L4 &amp; "_" &amp; R$2,'raw Data'!$H:$H)</f>
        <v>0</v>
      </c>
      <c r="S4" s="160">
        <f>ratioPV*SUMIF('raw Data'!$L:$L,"BKINV1USD_" &amp; $L4 &amp; "_" &amp; S$2,'raw Data'!$H:$H)</f>
        <v>0</v>
      </c>
      <c r="T4" s="161">
        <f>ratioPV*SUMIF('raw Data'!$L:$L,"BKINV1USD_" &amp; $L4 &amp; "_" &amp; T$2,'raw Data'!$H:$H)</f>
        <v>0</v>
      </c>
    </row>
    <row r="5" spans="2:20" x14ac:dyDescent="0.3">
      <c r="B5" s="159" t="s">
        <v>597</v>
      </c>
      <c r="C5" s="160">
        <f>SUMIF('raw Data'!$L:$L,"RESINV1USD_" &amp; $B5 &amp; "_" &amp; C$2,'raw Data'!$H:$H)+SUMIF('raw Data'!$L:$L,"RESSWAPORUSD_" &amp; $B5 &amp; "_" &amp; C$2,'raw Data'!$H:$H)</f>
        <v>0</v>
      </c>
      <c r="D5" s="160">
        <f>SUMIF('raw Data'!$L:$L,"RESINV1USD_" &amp; $B5 &amp; "_" &amp; D$2,'raw Data'!$H:$H)+SUMIF('raw Data'!$L:$L,"RESSWAPORUSD_" &amp; $B5 &amp; "_" &amp; D$2,'raw Data'!$H:$H)</f>
        <v>0</v>
      </c>
      <c r="E5" s="160">
        <f>SUMIF('raw Data'!$L:$L,"RESINV1USD_" &amp; $B5 &amp; "_" &amp; E$2,'raw Data'!$H:$H)+SUMIF('raw Data'!$L:$L,"RESSWAPORUSD_" &amp; $B5 &amp; "_" &amp; E$2,'raw Data'!$H:$H)</f>
        <v>0</v>
      </c>
      <c r="F5" s="160">
        <f>SUMIF('raw Data'!$L:$L,"RESINV1USD_" &amp; $B5 &amp; "_" &amp; F$2,'raw Data'!$H:$H)+SUMIF('raw Data'!$L:$L,"RESSWAPORUSD_" &amp; $B5 &amp; "_" &amp; F$2,'raw Data'!$H:$H)</f>
        <v>0</v>
      </c>
      <c r="G5" s="160">
        <f>SUMIF('raw Data'!$L:$L,"RESINV1USD_" &amp; $B5 &amp; "_" &amp; G$2,'raw Data'!$H:$H)+SUMIF('raw Data'!$L:$L,"RESSWAPORUSD_" &amp; $B5 &amp; "_" &amp; G$2,'raw Data'!$H:$H)</f>
        <v>0</v>
      </c>
      <c r="H5" s="160">
        <f>SUMIF('raw Data'!$L:$L,"RESINV1USD_" &amp; $B5 &amp; "_" &amp; H$2,'raw Data'!$H:$H)+SUMIF('raw Data'!$L:$L,"RESSWAPORUSD_" &amp; $B5 &amp; "_" &amp; H$2,'raw Data'!$H:$H)</f>
        <v>0</v>
      </c>
      <c r="I5" s="160">
        <f>SUMIF('raw Data'!$L:$L,"RESINV1USD_" &amp; $B5 &amp; "_" &amp; I$2,'raw Data'!$H:$H)+SUMIF('raw Data'!$L:$L,"RESSWAPORUSD_" &amp; $B5 &amp; "_" &amp; I$2,'raw Data'!$H:$H)</f>
        <v>0</v>
      </c>
      <c r="J5" s="161">
        <f>SUMIF('raw Data'!$L:$L,"RESINV1USD_" &amp; $B5 &amp; "_" &amp; J$2,'raw Data'!$H:$H)+SUMIF('raw Data'!$L:$L,"RESSWAPORUSD_" &amp; $B5 &amp; "_" &amp; J$2,'raw Data'!$H:$H)</f>
        <v>0</v>
      </c>
      <c r="L5" s="159" t="s">
        <v>597</v>
      </c>
      <c r="M5" s="160">
        <f>ratioPV*SUMIF('raw Data'!$L:$L,"BKINV1USD_" &amp; $L5 &amp; "_" &amp; M$2,'raw Data'!$H:$H)</f>
        <v>0</v>
      </c>
      <c r="N5" s="160">
        <f>ratioPV*SUMIF('raw Data'!$L:$L,"BKINV1USD_" &amp; $L5 &amp; "_" &amp; N$2,'raw Data'!$H:$H)</f>
        <v>0</v>
      </c>
      <c r="O5" s="160">
        <f>ratioPV*SUMIF('raw Data'!$L:$L,"BKINV1USD_" &amp; $L5 &amp; "_" &amp; O$2,'raw Data'!$H:$H)</f>
        <v>0</v>
      </c>
      <c r="P5" s="160">
        <f>ratioPV*SUMIF('raw Data'!$L:$L,"BKINV1USD_" &amp; $L5 &amp; "_" &amp; P$2,'raw Data'!$H:$H)</f>
        <v>0</v>
      </c>
      <c r="Q5" s="160">
        <f>ratioPV*SUMIF('raw Data'!$L:$L,"BKINV1USD_" &amp; $L5 &amp; "_" &amp; Q$2,'raw Data'!$H:$H)</f>
        <v>0</v>
      </c>
      <c r="R5" s="160">
        <f>ratioPV*SUMIF('raw Data'!$L:$L,"BKINV1USD_" &amp; $L5 &amp; "_" &amp; R$2,'raw Data'!$H:$H)</f>
        <v>0</v>
      </c>
      <c r="S5" s="160">
        <f>ratioPV*SUMIF('raw Data'!$L:$L,"BKINV1USD_" &amp; $L5 &amp; "_" &amp; S$2,'raw Data'!$H:$H)</f>
        <v>0</v>
      </c>
      <c r="T5" s="161">
        <f>ratioPV*SUMIF('raw Data'!$L:$L,"BKINV1USD_" &amp; $L5 &amp; "_" &amp; T$2,'raw Data'!$H:$H)</f>
        <v>0</v>
      </c>
    </row>
    <row r="6" spans="2:20" x14ac:dyDescent="0.3">
      <c r="B6" s="159" t="s">
        <v>77</v>
      </c>
      <c r="C6" s="160">
        <f>SUMIF('raw Data'!$L:$L,"RESINV1USD_" &amp; $B6 &amp; "_" &amp; C$2,'raw Data'!$H:$H)+SUMIF('raw Data'!$L:$L,"RESSWAPORUSD_" &amp; $B6 &amp; "_" &amp; C$2,'raw Data'!$H:$H)</f>
        <v>0</v>
      </c>
      <c r="D6" s="160">
        <f>SUMIF('raw Data'!$L:$L,"RESINV1USD_" &amp; $B6 &amp; "_" &amp; D$2,'raw Data'!$H:$H)+SUMIF('raw Data'!$L:$L,"RESSWAPORUSD_" &amp; $B6 &amp; "_" &amp; D$2,'raw Data'!$H:$H)</f>
        <v>0</v>
      </c>
      <c r="E6" s="160">
        <f>SUMIF('raw Data'!$L:$L,"RESINV1USD_" &amp; $B6 &amp; "_" &amp; E$2,'raw Data'!$H:$H)+SUMIF('raw Data'!$L:$L,"RESSWAPORUSD_" &amp; $B6 &amp; "_" &amp; E$2,'raw Data'!$H:$H)</f>
        <v>0</v>
      </c>
      <c r="F6" s="160">
        <f>SUMIF('raw Data'!$L:$L,"RESINV1USD_" &amp; $B6 &amp; "_" &amp; F$2,'raw Data'!$H:$H)+SUMIF('raw Data'!$L:$L,"RESSWAPORUSD_" &amp; $B6 &amp; "_" &amp; F$2,'raw Data'!$H:$H)</f>
        <v>0</v>
      </c>
      <c r="G6" s="160">
        <f>SUMIF('raw Data'!$L:$L,"RESINV1USD_" &amp; $B6 &amp; "_" &amp; G$2,'raw Data'!$H:$H)+SUMIF('raw Data'!$L:$L,"RESSWAPORUSD_" &amp; $B6 &amp; "_" &amp; G$2,'raw Data'!$H:$H)</f>
        <v>0</v>
      </c>
      <c r="H6" s="160">
        <f>SUMIF('raw Data'!$L:$L,"RESINV1USD_" &amp; $B6 &amp; "_" &amp; H$2,'raw Data'!$H:$H)+SUMIF('raw Data'!$L:$L,"RESSWAPORUSD_" &amp; $B6 &amp; "_" &amp; H$2,'raw Data'!$H:$H)</f>
        <v>0</v>
      </c>
      <c r="I6" s="160">
        <f>SUMIF('raw Data'!$L:$L,"RESINV1USD_" &amp; $B6 &amp; "_" &amp; I$2,'raw Data'!$H:$H)+SUMIF('raw Data'!$L:$L,"RESSWAPORUSD_" &amp; $B6 &amp; "_" &amp; I$2,'raw Data'!$H:$H)</f>
        <v>0</v>
      </c>
      <c r="J6" s="161">
        <f>SUMIF('raw Data'!$L:$L,"RESINV1USD_" &amp; $B6 &amp; "_" &amp; J$2,'raw Data'!$H:$H)+SUMIF('raw Data'!$L:$L,"RESSWAPORUSD_" &amp; $B6 &amp; "_" &amp; J$2,'raw Data'!$H:$H)</f>
        <v>-2.165</v>
      </c>
      <c r="L6" s="159" t="s">
        <v>77</v>
      </c>
      <c r="M6" s="160">
        <f>ratioPV*SUMIF('raw Data'!$L:$L,"BKINV1USD_" &amp; $L6 &amp; "_" &amp; M$2,'raw Data'!$H:$H)</f>
        <v>0.6110798530248237</v>
      </c>
      <c r="N6" s="160">
        <f>ratioPV*SUMIF('raw Data'!$L:$L,"BKINV1USD_" &amp; $L6 &amp; "_" &amp; N$2,'raw Data'!$H:$H)</f>
        <v>0</v>
      </c>
      <c r="O6" s="160">
        <f>ratioPV*SUMIF('raw Data'!$L:$L,"BKINV1USD_" &amp; $L6 &amp; "_" &amp; O$2,'raw Data'!$H:$H)</f>
        <v>0</v>
      </c>
      <c r="P6" s="160">
        <f>ratioPV*SUMIF('raw Data'!$L:$L,"BKINV1USD_" &amp; $L6 &amp; "_" &amp; P$2,'raw Data'!$H:$H)</f>
        <v>0</v>
      </c>
      <c r="Q6" s="160">
        <f>ratioPV*SUMIF('raw Data'!$L:$L,"BKINV1USD_" &amp; $L6 &amp; "_" &amp; Q$2,'raw Data'!$H:$H)</f>
        <v>0</v>
      </c>
      <c r="R6" s="160">
        <f>ratioPV*SUMIF('raw Data'!$L:$L,"BKINV1USD_" &amp; $L6 &amp; "_" &amp; R$2,'raw Data'!$H:$H)</f>
        <v>0</v>
      </c>
      <c r="S6" s="160">
        <f>ratioPV*SUMIF('raw Data'!$L:$L,"BKINV1USD_" &amp; $L6 &amp; "_" &amp; S$2,'raw Data'!$H:$H)</f>
        <v>0</v>
      </c>
      <c r="T6" s="161">
        <f>ratioPV*SUMIF('raw Data'!$L:$L,"BKINV1USD_" &amp; $L6 &amp; "_" &amp; T$2,'raw Data'!$H:$H)</f>
        <v>0</v>
      </c>
    </row>
    <row r="7" spans="2:20" x14ac:dyDescent="0.3">
      <c r="B7" s="159" t="s">
        <v>17</v>
      </c>
      <c r="C7" s="160">
        <f>SUMIF('raw Data'!$L:$L,"RESINV1USD_" &amp; $B7 &amp; "_" &amp; C$2,'raw Data'!$H:$H)+SUMIF('raw Data'!$L:$L,"RESSWAPORUSD_" &amp; $B7 &amp; "_" &amp; C$2,'raw Data'!$H:$H)</f>
        <v>0</v>
      </c>
      <c r="D7" s="160">
        <f>SUMIF('raw Data'!$L:$L,"RESINV1USD_" &amp; $B7 &amp; "_" &amp; D$2,'raw Data'!$H:$H)+SUMIF('raw Data'!$L:$L,"RESSWAPORUSD_" &amp; $B7 &amp; "_" &amp; D$2,'raw Data'!$H:$H)</f>
        <v>0</v>
      </c>
      <c r="E7" s="160">
        <f>SUMIF('raw Data'!$L:$L,"RESINV1USD_" &amp; $B7 &amp; "_" &amp; E$2,'raw Data'!$H:$H)+SUMIF('raw Data'!$L:$L,"RESSWAPORUSD_" &amp; $B7 &amp; "_" &amp; E$2,'raw Data'!$H:$H)</f>
        <v>0.58325000000000005</v>
      </c>
      <c r="F7" s="160">
        <f>SUMIF('raw Data'!$L:$L,"RESINV1USD_" &amp; $B7 &amp; "_" &amp; F$2,'raw Data'!$H:$H)+SUMIF('raw Data'!$L:$L,"RESSWAPORUSD_" &amp; $B7 &amp; "_" &amp; F$2,'raw Data'!$H:$H)</f>
        <v>0</v>
      </c>
      <c r="G7" s="160">
        <f>SUMIF('raw Data'!$L:$L,"RESINV1USD_" &amp; $B7 &amp; "_" &amp; G$2,'raw Data'!$H:$H)+SUMIF('raw Data'!$L:$L,"RESSWAPORUSD_" &amp; $B7 &amp; "_" &amp; G$2,'raw Data'!$H:$H)</f>
        <v>0</v>
      </c>
      <c r="H7" s="160">
        <f>SUMIF('raw Data'!$L:$L,"RESINV1USD_" &amp; $B7 &amp; "_" &amp; H$2,'raw Data'!$H:$H)+SUMIF('raw Data'!$L:$L,"RESSWAPORUSD_" &amp; $B7 &amp; "_" &amp; H$2,'raw Data'!$H:$H)</f>
        <v>0</v>
      </c>
      <c r="I7" s="160">
        <f>SUMIF('raw Data'!$L:$L,"RESINV1USD_" &amp; $B7 &amp; "_" &amp; I$2,'raw Data'!$H:$H)+SUMIF('raw Data'!$L:$L,"RESSWAPORUSD_" &amp; $B7 &amp; "_" &amp; I$2,'raw Data'!$H:$H)</f>
        <v>1.6044100000000001</v>
      </c>
      <c r="J7" s="161">
        <f>SUMIF('raw Data'!$L:$L,"RESINV1USD_" &amp; $B7 &amp; "_" &amp; J$2,'raw Data'!$H:$H)+SUMIF('raw Data'!$L:$L,"RESSWAPORUSD_" &amp; $B7 &amp; "_" &amp; J$2,'raw Data'!$H:$H)</f>
        <v>-7.88239</v>
      </c>
      <c r="L7" s="159" t="s">
        <v>17</v>
      </c>
      <c r="M7" s="160">
        <f>ratioPV*SUMIF('raw Data'!$L:$L,"BKINV1USD_" &amp; $L7 &amp; "_" &amp; M$2,'raw Data'!$H:$H)</f>
        <v>0.40222713296925039</v>
      </c>
      <c r="N7" s="160">
        <f>ratioPV*SUMIF('raw Data'!$L:$L,"BKINV1USD_" &amp; $L7 &amp; "_" &amp; N$2,'raw Data'!$H:$H)</f>
        <v>0</v>
      </c>
      <c r="O7" s="160">
        <f>ratioPV*SUMIF('raw Data'!$L:$L,"BKINV1USD_" &amp; $L7 &amp; "_" &amp; O$2,'raw Data'!$H:$H)</f>
        <v>0</v>
      </c>
      <c r="P7" s="160">
        <f>ratioPV*SUMIF('raw Data'!$L:$L,"BKINV1USD_" &amp; $L7 &amp; "_" &amp; P$2,'raw Data'!$H:$H)</f>
        <v>0</v>
      </c>
      <c r="Q7" s="160">
        <f>ratioPV*SUMIF('raw Data'!$L:$L,"BKINV1USD_" &amp; $L7 &amp; "_" &amp; Q$2,'raw Data'!$H:$H)</f>
        <v>0</v>
      </c>
      <c r="R7" s="160">
        <f>ratioPV*SUMIF('raw Data'!$L:$L,"BKINV1USD_" &amp; $L7 &amp; "_" &amp; R$2,'raw Data'!$H:$H)</f>
        <v>0</v>
      </c>
      <c r="S7" s="160">
        <f>ratioPV*SUMIF('raw Data'!$L:$L,"BKINV1USD_" &amp; $L7 &amp; "_" &amp; S$2,'raw Data'!$H:$H)</f>
        <v>0</v>
      </c>
      <c r="T7" s="161">
        <f>ratioPV*SUMIF('raw Data'!$L:$L,"BKINV1USD_" &amp; $L7 &amp; "_" &amp; T$2,'raw Data'!$H:$H)</f>
        <v>0</v>
      </c>
    </row>
    <row r="8" spans="2:20" x14ac:dyDescent="0.3">
      <c r="B8" s="159" t="s">
        <v>140</v>
      </c>
      <c r="C8" s="160">
        <f>SUMIF('raw Data'!$L:$L,"RESINV1USD_" &amp; $B8 &amp; "_" &amp; C$2,'raw Data'!$H:$H)+SUMIF('raw Data'!$L:$L,"RESSWAPORUSD_" &amp; $B8 &amp; "_" &amp; C$2,'raw Data'!$H:$H)</f>
        <v>0</v>
      </c>
      <c r="D8" s="160">
        <f>SUMIF('raw Data'!$L:$L,"RESINV1USD_" &amp; $B8 &amp; "_" &amp; D$2,'raw Data'!$H:$H)+SUMIF('raw Data'!$L:$L,"RESSWAPORUSD_" &amp; $B8 &amp; "_" &amp; D$2,'raw Data'!$H:$H)</f>
        <v>0</v>
      </c>
      <c r="E8" s="160">
        <f>SUMIF('raw Data'!$L:$L,"RESINV1USD_" &amp; $B8 &amp; "_" &amp; E$2,'raw Data'!$H:$H)+SUMIF('raw Data'!$L:$L,"RESSWAPORUSD_" &amp; $B8 &amp; "_" &amp; E$2,'raw Data'!$H:$H)</f>
        <v>3.2077199999999997</v>
      </c>
      <c r="F8" s="160">
        <f>SUMIF('raw Data'!$L:$L,"RESINV1USD_" &amp; $B8 &amp; "_" &amp; F$2,'raw Data'!$H:$H)+SUMIF('raw Data'!$L:$L,"RESSWAPORUSD_" &amp; $B8 &amp; "_" &amp; F$2,'raw Data'!$H:$H)</f>
        <v>0.87661999999999995</v>
      </c>
      <c r="G8" s="160">
        <f>SUMIF('raw Data'!$L:$L,"RESINV1USD_" &amp; $B8 &amp; "_" &amp; G$2,'raw Data'!$H:$H)+SUMIF('raw Data'!$L:$L,"RESSWAPORUSD_" &amp; $B8 &amp; "_" &amp; G$2,'raw Data'!$H:$H)</f>
        <v>0</v>
      </c>
      <c r="H8" s="160">
        <f>SUMIF('raw Data'!$L:$L,"RESINV1USD_" &amp; $B8 &amp; "_" &amp; H$2,'raw Data'!$H:$H)+SUMIF('raw Data'!$L:$L,"RESSWAPORUSD_" &amp; $B8 &amp; "_" &amp; H$2,'raw Data'!$H:$H)</f>
        <v>0</v>
      </c>
      <c r="I8" s="160">
        <f>SUMIF('raw Data'!$L:$L,"RESINV1USD_" &amp; $B8 &amp; "_" &amp; I$2,'raw Data'!$H:$H)+SUMIF('raw Data'!$L:$L,"RESSWAPORUSD_" &amp; $B8 &amp; "_" &amp; I$2,'raw Data'!$H:$H)</f>
        <v>2.2462900000000001</v>
      </c>
      <c r="J8" s="161">
        <f>SUMIF('raw Data'!$L:$L,"RESINV1USD_" &amp; $B8 &amp; "_" &amp; J$2,'raw Data'!$H:$H)+SUMIF('raw Data'!$L:$L,"RESSWAPORUSD_" &amp; $B8 &amp; "_" &amp; J$2,'raw Data'!$H:$H)</f>
        <v>-3.22079</v>
      </c>
      <c r="L8" s="159" t="s">
        <v>140</v>
      </c>
      <c r="M8" s="160">
        <f>ratioPV*SUMIF('raw Data'!$L:$L,"BKINV1USD_" &amp; $L8 &amp; "_" &amp; M$2,'raw Data'!$H:$H)</f>
        <v>2.0368245494130877</v>
      </c>
      <c r="N8" s="160">
        <f>ratioPV*SUMIF('raw Data'!$L:$L,"BKINV1USD_" &amp; $L8 &amp; "_" &amp; N$2,'raw Data'!$H:$H)</f>
        <v>0</v>
      </c>
      <c r="O8" s="160">
        <f>ratioPV*SUMIF('raw Data'!$L:$L,"BKINV1USD_" &amp; $L8 &amp; "_" &amp; O$2,'raw Data'!$H:$H)</f>
        <v>0</v>
      </c>
      <c r="P8" s="160">
        <f>ratioPV*SUMIF('raw Data'!$L:$L,"BKINV1USD_" &amp; $L8 &amp; "_" &amp; P$2,'raw Data'!$H:$H)</f>
        <v>0</v>
      </c>
      <c r="Q8" s="160">
        <f>ratioPV*SUMIF('raw Data'!$L:$L,"BKINV1USD_" &amp; $L8 &amp; "_" &amp; Q$2,'raw Data'!$H:$H)</f>
        <v>0</v>
      </c>
      <c r="R8" s="160">
        <f>ratioPV*SUMIF('raw Data'!$L:$L,"BKINV1USD_" &amp; $L8 &amp; "_" &amp; R$2,'raw Data'!$H:$H)</f>
        <v>0</v>
      </c>
      <c r="S8" s="160">
        <f>ratioPV*SUMIF('raw Data'!$L:$L,"BKINV1USD_" &amp; $L8 &amp; "_" &amp; S$2,'raw Data'!$H:$H)</f>
        <v>0</v>
      </c>
      <c r="T8" s="161">
        <f>ratioPV*SUMIF('raw Data'!$L:$L,"BKINV1USD_" &amp; $L8 &amp; "_" &amp; T$2,'raw Data'!$H:$H)</f>
        <v>0</v>
      </c>
    </row>
    <row r="9" spans="2:20" x14ac:dyDescent="0.3">
      <c r="B9" s="159" t="s">
        <v>78</v>
      </c>
      <c r="C9" s="160">
        <f>SUMIF('raw Data'!$L:$L,"RESINV1USD_" &amp; $B9 &amp; "_" &amp; C$2,'raw Data'!$H:$H)+SUMIF('raw Data'!$L:$L,"RESSWAPORUSD_" &amp; $B9 &amp; "_" &amp; C$2,'raw Data'!$H:$H)</f>
        <v>0</v>
      </c>
      <c r="D9" s="160">
        <f>SUMIF('raw Data'!$L:$L,"RESINV1USD_" &amp; $B9 &amp; "_" &amp; D$2,'raw Data'!$H:$H)+SUMIF('raw Data'!$L:$L,"RESSWAPORUSD_" &amp; $B9 &amp; "_" &amp; D$2,'raw Data'!$H:$H)</f>
        <v>0</v>
      </c>
      <c r="E9" s="160">
        <f>SUMIF('raw Data'!$L:$L,"RESINV1USD_" &amp; $B9 &amp; "_" &amp; E$2,'raw Data'!$H:$H)+SUMIF('raw Data'!$L:$L,"RESSWAPORUSD_" &amp; $B9 &amp; "_" &amp; E$2,'raw Data'!$H:$H)</f>
        <v>3.0033099999999999</v>
      </c>
      <c r="F9" s="160">
        <f>SUMIF('raw Data'!$L:$L,"RESINV1USD_" &amp; $B9 &amp; "_" &amp; F$2,'raw Data'!$H:$H)+SUMIF('raw Data'!$L:$L,"RESSWAPORUSD_" &amp; $B9 &amp; "_" &amp; F$2,'raw Data'!$H:$H)</f>
        <v>0</v>
      </c>
      <c r="G9" s="160">
        <f>SUMIF('raw Data'!$L:$L,"RESINV1USD_" &amp; $B9 &amp; "_" &amp; G$2,'raw Data'!$H:$H)+SUMIF('raw Data'!$L:$L,"RESSWAPORUSD_" &amp; $B9 &amp; "_" &amp; G$2,'raw Data'!$H:$H)</f>
        <v>0</v>
      </c>
      <c r="H9" s="160">
        <f>SUMIF('raw Data'!$L:$L,"RESINV1USD_" &amp; $B9 &amp; "_" &amp; H$2,'raw Data'!$H:$H)+SUMIF('raw Data'!$L:$L,"RESSWAPORUSD_" &amp; $B9 &amp; "_" &amp; H$2,'raw Data'!$H:$H)</f>
        <v>0</v>
      </c>
      <c r="I9" s="160">
        <f>SUMIF('raw Data'!$L:$L,"RESINV1USD_" &amp; $B9 &amp; "_" &amp; I$2,'raw Data'!$H:$H)+SUMIF('raw Data'!$L:$L,"RESSWAPORUSD_" &amp; $B9 &amp; "_" &amp; I$2,'raw Data'!$H:$H)</f>
        <v>13.649229999999999</v>
      </c>
      <c r="J9" s="161">
        <f>SUMIF('raw Data'!$L:$L,"RESINV1USD_" &amp; $B9 &amp; "_" &amp; J$2,'raw Data'!$H:$H)+SUMIF('raw Data'!$L:$L,"RESSWAPORUSD_" &amp; $B9 &amp; "_" &amp; J$2,'raw Data'!$H:$H)</f>
        <v>0</v>
      </c>
      <c r="L9" s="159" t="s">
        <v>78</v>
      </c>
      <c r="M9" s="160">
        <f>ratioPV*SUMIF('raw Data'!$L:$L,"BKINV1USD_" &amp; $L9 &amp; "_" &amp; M$2,'raw Data'!$H:$H)</f>
        <v>0.83535866704227957</v>
      </c>
      <c r="N9" s="160">
        <f>ratioPV*SUMIF('raw Data'!$L:$L,"BKINV1USD_" &amp; $L9 &amp; "_" &amp; N$2,'raw Data'!$H:$H)</f>
        <v>0</v>
      </c>
      <c r="O9" s="160">
        <f>ratioPV*SUMIF('raw Data'!$L:$L,"BKINV1USD_" &amp; $L9 &amp; "_" &amp; O$2,'raw Data'!$H:$H)</f>
        <v>0</v>
      </c>
      <c r="P9" s="160">
        <f>ratioPV*SUMIF('raw Data'!$L:$L,"BKINV1USD_" &amp; $L9 &amp; "_" &amp; P$2,'raw Data'!$H:$H)</f>
        <v>0</v>
      </c>
      <c r="Q9" s="160">
        <f>ratioPV*SUMIF('raw Data'!$L:$L,"BKINV1USD_" &amp; $L9 &amp; "_" &amp; Q$2,'raw Data'!$H:$H)</f>
        <v>0</v>
      </c>
      <c r="R9" s="160">
        <f>ratioPV*SUMIF('raw Data'!$L:$L,"BKINV1USD_" &amp; $L9 &amp; "_" &amp; R$2,'raw Data'!$H:$H)</f>
        <v>0</v>
      </c>
      <c r="S9" s="160">
        <f>ratioPV*SUMIF('raw Data'!$L:$L,"BKINV1USD_" &amp; $L9 &amp; "_" &amp; S$2,'raw Data'!$H:$H)</f>
        <v>0</v>
      </c>
      <c r="T9" s="161">
        <f>ratioPV*SUMIF('raw Data'!$L:$L,"BKINV1USD_" &amp; $L9 &amp; "_" &amp; T$2,'raw Data'!$H:$H)</f>
        <v>0</v>
      </c>
    </row>
    <row r="10" spans="2:20" x14ac:dyDescent="0.3">
      <c r="B10" s="159" t="s">
        <v>18</v>
      </c>
      <c r="C10" s="160">
        <f>SUMIF('raw Data'!$L:$L,"RESINV1USD_" &amp; $B10 &amp; "_" &amp; C$2,'raw Data'!$H:$H)+SUMIF('raw Data'!$L:$L,"RESSWAPORUSD_" &amp; $B10 &amp; "_" &amp; C$2,'raw Data'!$H:$H)</f>
        <v>0</v>
      </c>
      <c r="D10" s="160">
        <f>SUMIF('raw Data'!$L:$L,"RESINV1USD_" &amp; $B10 &amp; "_" &amp; D$2,'raw Data'!$H:$H)+SUMIF('raw Data'!$L:$L,"RESSWAPORUSD_" &amp; $B10 &amp; "_" &amp; D$2,'raw Data'!$H:$H)</f>
        <v>0</v>
      </c>
      <c r="E10" s="160">
        <f>SUMIF('raw Data'!$L:$L,"RESINV1USD_" &amp; $B10 &amp; "_" &amp; E$2,'raw Data'!$H:$H)+SUMIF('raw Data'!$L:$L,"RESSWAPORUSD_" &amp; $B10 &amp; "_" &amp; E$2,'raw Data'!$H:$H)</f>
        <v>3.5297999999999998</v>
      </c>
      <c r="F10" s="160">
        <f>SUMIF('raw Data'!$L:$L,"RESINV1USD_" &amp; $B10 &amp; "_" &amp; F$2,'raw Data'!$H:$H)+SUMIF('raw Data'!$L:$L,"RESSWAPORUSD_" &amp; $B10 &amp; "_" &amp; F$2,'raw Data'!$H:$H)</f>
        <v>81.712450000000004</v>
      </c>
      <c r="G10" s="160">
        <f>SUMIF('raw Data'!$L:$L,"RESINV1USD_" &amp; $B10 &amp; "_" &amp; G$2,'raw Data'!$H:$H)+SUMIF('raw Data'!$L:$L,"RESSWAPORUSD_" &amp; $B10 &amp; "_" &amp; G$2,'raw Data'!$H:$H)</f>
        <v>0</v>
      </c>
      <c r="H10" s="160">
        <f>SUMIF('raw Data'!$L:$L,"RESINV1USD_" &amp; $B10 &amp; "_" &amp; H$2,'raw Data'!$H:$H)+SUMIF('raw Data'!$L:$L,"RESSWAPORUSD_" &amp; $B10 &amp; "_" &amp; H$2,'raw Data'!$H:$H)</f>
        <v>0</v>
      </c>
      <c r="I10" s="160">
        <f>SUMIF('raw Data'!$L:$L,"RESINV1USD_" &amp; $B10 &amp; "_" &amp; I$2,'raw Data'!$H:$H)+SUMIF('raw Data'!$L:$L,"RESSWAPORUSD_" &amp; $B10 &amp; "_" &amp; I$2,'raw Data'!$H:$H)</f>
        <v>19.98237</v>
      </c>
      <c r="J10" s="161">
        <f>SUMIF('raw Data'!$L:$L,"RESINV1USD_" &amp; $B10 &amp; "_" &amp; J$2,'raw Data'!$H:$H)+SUMIF('raw Data'!$L:$L,"RESSWAPORUSD_" &amp; $B10 &amp; "_" &amp; J$2,'raw Data'!$H:$H)</f>
        <v>0</v>
      </c>
      <c r="L10" s="159" t="s">
        <v>18</v>
      </c>
      <c r="M10" s="160">
        <f>ratioPV*SUMIF('raw Data'!$L:$L,"BKINV1USD_" &amp; $L10 &amp; "_" &amp; M$2,'raw Data'!$H:$H)</f>
        <v>51.953871957551016</v>
      </c>
      <c r="N10" s="160">
        <f>ratioPV*SUMIF('raw Data'!$L:$L,"BKINV1USD_" &amp; $L10 &amp; "_" &amp; N$2,'raw Data'!$H:$H)</f>
        <v>0</v>
      </c>
      <c r="O10" s="160">
        <f>ratioPV*SUMIF('raw Data'!$L:$L,"BKINV1USD_" &amp; $L10 &amp; "_" &amp; O$2,'raw Data'!$H:$H)</f>
        <v>0</v>
      </c>
      <c r="P10" s="160">
        <f>ratioPV*SUMIF('raw Data'!$L:$L,"BKINV1USD_" &amp; $L10 &amp; "_" &amp; P$2,'raw Data'!$H:$H)</f>
        <v>0</v>
      </c>
      <c r="Q10" s="160">
        <f>ratioPV*SUMIF('raw Data'!$L:$L,"BKINV1USD_" &amp; $L10 &amp; "_" &amp; Q$2,'raw Data'!$H:$H)</f>
        <v>0</v>
      </c>
      <c r="R10" s="160">
        <f>ratioPV*SUMIF('raw Data'!$L:$L,"BKINV1USD_" &amp; $L10 &amp; "_" &amp; R$2,'raw Data'!$H:$H)</f>
        <v>0</v>
      </c>
      <c r="S10" s="160">
        <f>ratioPV*SUMIF('raw Data'!$L:$L,"BKINV1USD_" &amp; $L10 &amp; "_" &amp; S$2,'raw Data'!$H:$H)</f>
        <v>0</v>
      </c>
      <c r="T10" s="161">
        <f>ratioPV*SUMIF('raw Data'!$L:$L,"BKINV1USD_" &amp; $L10 &amp; "_" &amp; T$2,'raw Data'!$H:$H)</f>
        <v>0</v>
      </c>
    </row>
    <row r="11" spans="2:20" x14ac:dyDescent="0.3">
      <c r="B11" s="159" t="s">
        <v>19</v>
      </c>
      <c r="C11" s="160">
        <f>SUMIF('raw Data'!$L:$L,"RESINV1USD_" &amp; $B11 &amp; "_" &amp; C$2,'raw Data'!$H:$H)+SUMIF('raw Data'!$L:$L,"RESSWAPORUSD_" &amp; $B11 &amp; "_" &amp; C$2,'raw Data'!$H:$H)</f>
        <v>38.50976</v>
      </c>
      <c r="D11" s="160">
        <f>SUMIF('raw Data'!$L:$L,"RESINV1USD_" &amp; $B11 &amp; "_" &amp; D$2,'raw Data'!$H:$H)+SUMIF('raw Data'!$L:$L,"RESSWAPORUSD_" &amp; $B11 &amp; "_" &amp; D$2,'raw Data'!$H:$H)</f>
        <v>0</v>
      </c>
      <c r="E11" s="160">
        <f>SUMIF('raw Data'!$L:$L,"RESINV1USD_" &amp; $B11 &amp; "_" &amp; E$2,'raw Data'!$H:$H)+SUMIF('raw Data'!$L:$L,"RESSWAPORUSD_" &amp; $B11 &amp; "_" &amp; E$2,'raw Data'!$H:$H)</f>
        <v>8.8740299999999994</v>
      </c>
      <c r="F11" s="160">
        <f>SUMIF('raw Data'!$L:$L,"RESINV1USD_" &amp; $B11 &amp; "_" &amp; F$2,'raw Data'!$H:$H)+SUMIF('raw Data'!$L:$L,"RESSWAPORUSD_" &amp; $B11 &amp; "_" &amp; F$2,'raw Data'!$H:$H)</f>
        <v>5.2248799999999997</v>
      </c>
      <c r="G11" s="160">
        <f>SUMIF('raw Data'!$L:$L,"RESINV1USD_" &amp; $B11 &amp; "_" &amp; G$2,'raw Data'!$H:$H)+SUMIF('raw Data'!$L:$L,"RESSWAPORUSD_" &amp; $B11 &amp; "_" &amp; G$2,'raw Data'!$H:$H)</f>
        <v>-31.262900000000002</v>
      </c>
      <c r="H11" s="160">
        <f>SUMIF('raw Data'!$L:$L,"RESINV1USD_" &amp; $B11 &amp; "_" &amp; H$2,'raw Data'!$H:$H)+SUMIF('raw Data'!$L:$L,"RESSWAPORUSD_" &amp; $B11 &amp; "_" &amp; H$2,'raw Data'!$H:$H)</f>
        <v>0</v>
      </c>
      <c r="I11" s="160">
        <f>SUMIF('raw Data'!$L:$L,"RESINV1USD_" &amp; $B11 &amp; "_" &amp; I$2,'raw Data'!$H:$H)+SUMIF('raw Data'!$L:$L,"RESSWAPORUSD_" &amp; $B11 &amp; "_" &amp; I$2,'raw Data'!$H:$H)</f>
        <v>0</v>
      </c>
      <c r="J11" s="161">
        <f>SUMIF('raw Data'!$L:$L,"RESINV1USD_" &amp; $B11 &amp; "_" &amp; J$2,'raw Data'!$H:$H)+SUMIF('raw Data'!$L:$L,"RESSWAPORUSD_" &amp; $B11 &amp; "_" &amp; J$2,'raw Data'!$H:$H)</f>
        <v>0</v>
      </c>
      <c r="L11" s="159" t="s">
        <v>19</v>
      </c>
      <c r="M11" s="160">
        <f>ratioPV*SUMIF('raw Data'!$L:$L,"BKINV1USD_" &amp; $L11 &amp; "_" &amp; M$2,'raw Data'!$H:$H)</f>
        <v>178.55365535501778</v>
      </c>
      <c r="N11" s="160">
        <f>ratioPV*SUMIF('raw Data'!$L:$L,"BKINV1USD_" &amp; $L11 &amp; "_" &amp; N$2,'raw Data'!$H:$H)</f>
        <v>0</v>
      </c>
      <c r="O11" s="160">
        <f>ratioPV*SUMIF('raw Data'!$L:$L,"BKINV1USD_" &amp; $L11 &amp; "_" &amp; O$2,'raw Data'!$H:$H)</f>
        <v>0</v>
      </c>
      <c r="P11" s="160">
        <f>ratioPV*SUMIF('raw Data'!$L:$L,"BKINV1USD_" &amp; $L11 &amp; "_" &amp; P$2,'raw Data'!$H:$H)</f>
        <v>0</v>
      </c>
      <c r="Q11" s="160">
        <f>ratioPV*SUMIF('raw Data'!$L:$L,"BKINV1USD_" &amp; $L11 &amp; "_" &amp; Q$2,'raw Data'!$H:$H)</f>
        <v>0</v>
      </c>
      <c r="R11" s="160">
        <f>ratioPV*SUMIF('raw Data'!$L:$L,"BKINV1USD_" &amp; $L11 &amp; "_" &amp; R$2,'raw Data'!$H:$H)</f>
        <v>0</v>
      </c>
      <c r="S11" s="160">
        <f>ratioPV*SUMIF('raw Data'!$L:$L,"BKINV1USD_" &amp; $L11 &amp; "_" &amp; S$2,'raw Data'!$H:$H)</f>
        <v>0</v>
      </c>
      <c r="T11" s="161">
        <f>ratioPV*SUMIF('raw Data'!$L:$L,"BKINV1USD_" &amp; $L11 &amp; "_" &amp; T$2,'raw Data'!$H:$H)</f>
        <v>0</v>
      </c>
    </row>
    <row r="12" spans="2:20" x14ac:dyDescent="0.3">
      <c r="B12" s="159" t="s">
        <v>175</v>
      </c>
      <c r="C12" s="160">
        <f>SUMIF('raw Data'!$L:$L,"RESINV1USD_" &amp; $B12 &amp; "_" &amp; C$2,'raw Data'!$H:$H)+SUMIF('raw Data'!$L:$L,"RESSWAPORUSD_" &amp; $B12 &amp; "_" &amp; C$2,'raw Data'!$H:$H)</f>
        <v>0</v>
      </c>
      <c r="D12" s="160">
        <f>SUMIF('raw Data'!$L:$L,"RESINV1USD_" &amp; $B12 &amp; "_" &amp; D$2,'raw Data'!$H:$H)+SUMIF('raw Data'!$L:$L,"RESSWAPORUSD_" &amp; $B12 &amp; "_" &amp; D$2,'raw Data'!$H:$H)</f>
        <v>0</v>
      </c>
      <c r="E12" s="160">
        <f>SUMIF('raw Data'!$L:$L,"RESINV1USD_" &amp; $B12 &amp; "_" &amp; E$2,'raw Data'!$H:$H)+SUMIF('raw Data'!$L:$L,"RESSWAPORUSD_" &amp; $B12 &amp; "_" &amp; E$2,'raw Data'!$H:$H)</f>
        <v>24.1478</v>
      </c>
      <c r="F12" s="160">
        <f>SUMIF('raw Data'!$L:$L,"RESINV1USD_" &amp; $B12 &amp; "_" &amp; F$2,'raw Data'!$H:$H)+SUMIF('raw Data'!$L:$L,"RESSWAPORUSD_" &amp; $B12 &amp; "_" &amp; F$2,'raw Data'!$H:$H)</f>
        <v>0</v>
      </c>
      <c r="G12" s="160">
        <f>SUMIF('raw Data'!$L:$L,"RESINV1USD_" &amp; $B12 &amp; "_" &amp; G$2,'raw Data'!$H:$H)+SUMIF('raw Data'!$L:$L,"RESSWAPORUSD_" &amp; $B12 &amp; "_" &amp; G$2,'raw Data'!$H:$H)</f>
        <v>-28.66065</v>
      </c>
      <c r="H12" s="160">
        <f>SUMIF('raw Data'!$L:$L,"RESINV1USD_" &amp; $B12 &amp; "_" &amp; H$2,'raw Data'!$H:$H)+SUMIF('raw Data'!$L:$L,"RESSWAPORUSD_" &amp; $B12 &amp; "_" &amp; H$2,'raw Data'!$H:$H)</f>
        <v>0</v>
      </c>
      <c r="I12" s="160">
        <f>SUMIF('raw Data'!$L:$L,"RESINV1USD_" &amp; $B12 &amp; "_" &amp; I$2,'raw Data'!$H:$H)+SUMIF('raw Data'!$L:$L,"RESSWAPORUSD_" &amp; $B12 &amp; "_" &amp; I$2,'raw Data'!$H:$H)</f>
        <v>0</v>
      </c>
      <c r="J12" s="161">
        <f>SUMIF('raw Data'!$L:$L,"RESINV1USD_" &amp; $B12 &amp; "_" &amp; J$2,'raw Data'!$H:$H)+SUMIF('raw Data'!$L:$L,"RESSWAPORUSD_" &amp; $B12 &amp; "_" &amp; J$2,'raw Data'!$H:$H)</f>
        <v>0</v>
      </c>
      <c r="L12" s="159" t="s">
        <v>175</v>
      </c>
      <c r="M12" s="160">
        <f>ratioPV*SUMIF('raw Data'!$L:$L,"BKINV1USD_" &amp; $L12 &amp; "_" &amp; M$2,'raw Data'!$H:$H)</f>
        <v>76.361410278058912</v>
      </c>
      <c r="N12" s="160">
        <f>ratioPV*SUMIF('raw Data'!$L:$L,"BKINV1USD_" &amp; $L12 &amp; "_" &amp; N$2,'raw Data'!$H:$H)</f>
        <v>0</v>
      </c>
      <c r="O12" s="160">
        <f>ratioPV*SUMIF('raw Data'!$L:$L,"BKINV1USD_" &amp; $L12 &amp; "_" &amp; O$2,'raw Data'!$H:$H)</f>
        <v>0</v>
      </c>
      <c r="P12" s="160">
        <f>ratioPV*SUMIF('raw Data'!$L:$L,"BKINV1USD_" &amp; $L12 &amp; "_" &amp; P$2,'raw Data'!$H:$H)</f>
        <v>0</v>
      </c>
      <c r="Q12" s="160">
        <f>ratioPV*SUMIF('raw Data'!$L:$L,"BKINV1USD_" &amp; $L12 &amp; "_" &amp; Q$2,'raw Data'!$H:$H)</f>
        <v>0</v>
      </c>
      <c r="R12" s="160">
        <f>ratioPV*SUMIF('raw Data'!$L:$L,"BKINV1USD_" &amp; $L12 &amp; "_" &amp; R$2,'raw Data'!$H:$H)</f>
        <v>0</v>
      </c>
      <c r="S12" s="160">
        <f>ratioPV*SUMIF('raw Data'!$L:$L,"BKINV1USD_" &amp; $L12 &amp; "_" &amp; S$2,'raw Data'!$H:$H)</f>
        <v>0</v>
      </c>
      <c r="T12" s="161">
        <f>ratioPV*SUMIF('raw Data'!$L:$L,"BKINV1USD_" &amp; $L12 &amp; "_" &amp; T$2,'raw Data'!$H:$H)</f>
        <v>0</v>
      </c>
    </row>
    <row r="13" spans="2:20" x14ac:dyDescent="0.3">
      <c r="B13" s="159" t="s">
        <v>182</v>
      </c>
      <c r="C13" s="160">
        <f>SUMIF('raw Data'!$L:$L,"RESINV1USD_" &amp; $B13 &amp; "_" &amp; C$2,'raw Data'!$H:$H)+SUMIF('raw Data'!$L:$L,"RESSWAPORUSD_" &amp; $B13 &amp; "_" &amp; C$2,'raw Data'!$H:$H)</f>
        <v>200.91484999999997</v>
      </c>
      <c r="D13" s="160">
        <f>SUMIF('raw Data'!$L:$L,"RESINV1USD_" &amp; $B13 &amp; "_" &amp; D$2,'raw Data'!$H:$H)+SUMIF('raw Data'!$L:$L,"RESSWAPORUSD_" &amp; $B13 &amp; "_" &amp; D$2,'raw Data'!$H:$H)</f>
        <v>0</v>
      </c>
      <c r="E13" s="160">
        <f>SUMIF('raw Data'!$L:$L,"RESINV1USD_" &amp; $B13 &amp; "_" &amp; E$2,'raw Data'!$H:$H)+SUMIF('raw Data'!$L:$L,"RESSWAPORUSD_" &amp; $B13 &amp; "_" &amp; E$2,'raw Data'!$H:$H)</f>
        <v>18.5274</v>
      </c>
      <c r="F13" s="160">
        <f>SUMIF('raw Data'!$L:$L,"RESINV1USD_" &amp; $B13 &amp; "_" &amp; F$2,'raw Data'!$H:$H)+SUMIF('raw Data'!$L:$L,"RESSWAPORUSD_" &amp; $B13 &amp; "_" &amp; F$2,'raw Data'!$H:$H)</f>
        <v>0</v>
      </c>
      <c r="G13" s="160">
        <f>SUMIF('raw Data'!$L:$L,"RESINV1USD_" &amp; $B13 &amp; "_" &amp; G$2,'raw Data'!$H:$H)+SUMIF('raw Data'!$L:$L,"RESSWAPORUSD_" &amp; $B13 &amp; "_" &amp; G$2,'raw Data'!$H:$H)</f>
        <v>-15.54542</v>
      </c>
      <c r="H13" s="160">
        <f>SUMIF('raw Data'!$L:$L,"RESINV1USD_" &amp; $B13 &amp; "_" &amp; H$2,'raw Data'!$H:$H)+SUMIF('raw Data'!$L:$L,"RESSWAPORUSD_" &amp; $B13 &amp; "_" &amp; H$2,'raw Data'!$H:$H)</f>
        <v>-15.080959999999999</v>
      </c>
      <c r="I13" s="160">
        <f>SUMIF('raw Data'!$L:$L,"RESINV1USD_" &amp; $B13 &amp; "_" &amp; I$2,'raw Data'!$H:$H)+SUMIF('raw Data'!$L:$L,"RESSWAPORUSD_" &amp; $B13 &amp; "_" &amp; I$2,'raw Data'!$H:$H)</f>
        <v>0</v>
      </c>
      <c r="J13" s="161">
        <f>SUMIF('raw Data'!$L:$L,"RESINV1USD_" &amp; $B13 &amp; "_" &amp; J$2,'raw Data'!$H:$H)+SUMIF('raw Data'!$L:$L,"RESSWAPORUSD_" &amp; $B13 &amp; "_" &amp; J$2,'raw Data'!$H:$H)</f>
        <v>0</v>
      </c>
      <c r="L13" s="159" t="s">
        <v>182</v>
      </c>
      <c r="M13" s="160">
        <f>ratioPV*SUMIF('raw Data'!$L:$L,"BKINV1USD_" &amp; $L13 &amp; "_" &amp; M$2,'raw Data'!$H:$H)</f>
        <v>108.47502221924401</v>
      </c>
      <c r="N13" s="160">
        <f>ratioPV*SUMIF('raw Data'!$L:$L,"BKINV1USD_" &amp; $L13 &amp; "_" &amp; N$2,'raw Data'!$H:$H)</f>
        <v>0</v>
      </c>
      <c r="O13" s="160">
        <f>ratioPV*SUMIF('raw Data'!$L:$L,"BKINV1USD_" &amp; $L13 &amp; "_" &amp; O$2,'raw Data'!$H:$H)</f>
        <v>0</v>
      </c>
      <c r="P13" s="160">
        <f>ratioPV*SUMIF('raw Data'!$L:$L,"BKINV1USD_" &amp; $L13 &amp; "_" &amp; P$2,'raw Data'!$H:$H)</f>
        <v>0</v>
      </c>
      <c r="Q13" s="160">
        <f>ratioPV*SUMIF('raw Data'!$L:$L,"BKINV1USD_" &amp; $L13 &amp; "_" &amp; Q$2,'raw Data'!$H:$H)</f>
        <v>0</v>
      </c>
      <c r="R13" s="160">
        <f>ratioPV*SUMIF('raw Data'!$L:$L,"BKINV1USD_" &amp; $L13 &amp; "_" &amp; R$2,'raw Data'!$H:$H)</f>
        <v>0</v>
      </c>
      <c r="S13" s="160">
        <f>ratioPV*SUMIF('raw Data'!$L:$L,"BKINV1USD_" &amp; $L13 &amp; "_" &amp; S$2,'raw Data'!$H:$H)</f>
        <v>0</v>
      </c>
      <c r="T13" s="161">
        <f>ratioPV*SUMIF('raw Data'!$L:$L,"BKINV1USD_" &amp; $L13 &amp; "_" &amp; T$2,'raw Data'!$H:$H)</f>
        <v>0</v>
      </c>
    </row>
    <row r="14" spans="2:20" x14ac:dyDescent="0.3">
      <c r="B14" s="159" t="s">
        <v>81</v>
      </c>
      <c r="C14" s="160">
        <f>SUMIF('raw Data'!$L:$L,"RESINV1USD_" &amp; $B14 &amp; "_" &amp; C$2,'raw Data'!$H:$H)+SUMIF('raw Data'!$L:$L,"RESSWAPORUSD_" &amp; $B14 &amp; "_" &amp; C$2,'raw Data'!$H:$H)</f>
        <v>814.82622000000003</v>
      </c>
      <c r="D14" s="160">
        <f>SUMIF('raw Data'!$L:$L,"RESINV1USD_" &amp; $B14 &amp; "_" &amp; D$2,'raw Data'!$H:$H)+SUMIF('raw Data'!$L:$L,"RESSWAPORUSD_" &amp; $B14 &amp; "_" &amp; D$2,'raw Data'!$H:$H)</f>
        <v>0</v>
      </c>
      <c r="E14" s="160">
        <f>SUMIF('raw Data'!$L:$L,"RESINV1USD_" &amp; $B14 &amp; "_" &amp; E$2,'raw Data'!$H:$H)+SUMIF('raw Data'!$L:$L,"RESSWAPORUSD_" &amp; $B14 &amp; "_" &amp; E$2,'raw Data'!$H:$H)</f>
        <v>102.88168999999999</v>
      </c>
      <c r="F14" s="160">
        <f>SUMIF('raw Data'!$L:$L,"RESINV1USD_" &amp; $B14 &amp; "_" &amp; F$2,'raw Data'!$H:$H)+SUMIF('raw Data'!$L:$L,"RESSWAPORUSD_" &amp; $B14 &amp; "_" &amp; F$2,'raw Data'!$H:$H)</f>
        <v>0</v>
      </c>
      <c r="G14" s="160">
        <f>SUMIF('raw Data'!$L:$L,"RESINV1USD_" &amp; $B14 &amp; "_" &amp; G$2,'raw Data'!$H:$H)+SUMIF('raw Data'!$L:$L,"RESSWAPORUSD_" &amp; $B14 &amp; "_" &amp; G$2,'raw Data'!$H:$H)</f>
        <v>-82.025130000000004</v>
      </c>
      <c r="H14" s="160">
        <f>SUMIF('raw Data'!$L:$L,"RESINV1USD_" &amp; $B14 &amp; "_" &amp; H$2,'raw Data'!$H:$H)+SUMIF('raw Data'!$L:$L,"RESSWAPORUSD_" &amp; $B14 &amp; "_" &amp; H$2,'raw Data'!$H:$H)</f>
        <v>-30.168109999999999</v>
      </c>
      <c r="I14" s="160">
        <f>SUMIF('raw Data'!$L:$L,"RESINV1USD_" &amp; $B14 &amp; "_" &amp; I$2,'raw Data'!$H:$H)+SUMIF('raw Data'!$L:$L,"RESSWAPORUSD_" &amp; $B14 &amp; "_" &amp; I$2,'raw Data'!$H:$H)</f>
        <v>0</v>
      </c>
      <c r="J14" s="161">
        <f>SUMIF('raw Data'!$L:$L,"RESINV1USD_" &amp; $B14 &amp; "_" &amp; J$2,'raw Data'!$H:$H)+SUMIF('raw Data'!$L:$L,"RESSWAPORUSD_" &amp; $B14 &amp; "_" &amp; J$2,'raw Data'!$H:$H)</f>
        <v>0</v>
      </c>
      <c r="L14" s="159" t="s">
        <v>81</v>
      </c>
      <c r="M14" s="160">
        <f>ratioPV*SUMIF('raw Data'!$L:$L,"BKINV1USD_" &amp; $L14 &amp; "_" &amp; M$2,'raw Data'!$H:$H)</f>
        <v>741.78554166343633</v>
      </c>
      <c r="N14" s="160">
        <f>ratioPV*SUMIF('raw Data'!$L:$L,"BKINV1USD_" &amp; $L14 &amp; "_" &amp; N$2,'raw Data'!$H:$H)</f>
        <v>0</v>
      </c>
      <c r="O14" s="160">
        <f>ratioPV*SUMIF('raw Data'!$L:$L,"BKINV1USD_" &amp; $L14 &amp; "_" &amp; O$2,'raw Data'!$H:$H)</f>
        <v>0</v>
      </c>
      <c r="P14" s="160">
        <f>ratioPV*SUMIF('raw Data'!$L:$L,"BKINV1USD_" &amp; $L14 &amp; "_" &amp; P$2,'raw Data'!$H:$H)</f>
        <v>0</v>
      </c>
      <c r="Q14" s="160">
        <f>ratioPV*SUMIF('raw Data'!$L:$L,"BKINV1USD_" &amp; $L14 &amp; "_" &amp; Q$2,'raw Data'!$H:$H)</f>
        <v>0</v>
      </c>
      <c r="R14" s="160">
        <f>ratioPV*SUMIF('raw Data'!$L:$L,"BKINV1USD_" &amp; $L14 &amp; "_" &amp; R$2,'raw Data'!$H:$H)</f>
        <v>0</v>
      </c>
      <c r="S14" s="160">
        <f>ratioPV*SUMIF('raw Data'!$L:$L,"BKINV1USD_" &amp; $L14 &amp; "_" &amp; S$2,'raw Data'!$H:$H)</f>
        <v>0</v>
      </c>
      <c r="T14" s="161">
        <f>ratioPV*SUMIF('raw Data'!$L:$L,"BKINV1USD_" &amp; $L14 &amp; "_" &amp; T$2,'raw Data'!$H:$H)</f>
        <v>0</v>
      </c>
    </row>
    <row r="15" spans="2:20" x14ac:dyDescent="0.3">
      <c r="B15" s="159" t="s">
        <v>82</v>
      </c>
      <c r="C15" s="160">
        <f>SUMIF('raw Data'!$L:$L,"RESINV1USD_" &amp; $B15 &amp; "_" &amp; C$2,'raw Data'!$H:$H)+SUMIF('raw Data'!$L:$L,"RESSWAPORUSD_" &amp; $B15 &amp; "_" &amp; C$2,'raw Data'!$H:$H)</f>
        <v>41.91957</v>
      </c>
      <c r="D15" s="160">
        <f>SUMIF('raw Data'!$L:$L,"RESINV1USD_" &amp; $B15 &amp; "_" &amp; D$2,'raw Data'!$H:$H)+SUMIF('raw Data'!$L:$L,"RESSWAPORUSD_" &amp; $B15 &amp; "_" &amp; D$2,'raw Data'!$H:$H)</f>
        <v>-8.5948600000000006</v>
      </c>
      <c r="E15" s="160">
        <f>SUMIF('raw Data'!$L:$L,"RESINV1USD_" &amp; $B15 &amp; "_" &amp; E$2,'raw Data'!$H:$H)+SUMIF('raw Data'!$L:$L,"RESSWAPORUSD_" &amp; $B15 &amp; "_" &amp; E$2,'raw Data'!$H:$H)</f>
        <v>83.547259999999994</v>
      </c>
      <c r="F15" s="160">
        <f>SUMIF('raw Data'!$L:$L,"RESINV1USD_" &amp; $B15 &amp; "_" &amp; F$2,'raw Data'!$H:$H)+SUMIF('raw Data'!$L:$L,"RESSWAPORUSD_" &amp; $B15 &amp; "_" &amp; F$2,'raw Data'!$H:$H)</f>
        <v>0</v>
      </c>
      <c r="G15" s="160">
        <f>SUMIF('raw Data'!$L:$L,"RESINV1USD_" &amp; $B15 &amp; "_" &amp; G$2,'raw Data'!$H:$H)+SUMIF('raw Data'!$L:$L,"RESSWAPORUSD_" &amp; $B15 &amp; "_" &amp; G$2,'raw Data'!$H:$H)</f>
        <v>-27.451180000000001</v>
      </c>
      <c r="H15" s="160">
        <f>SUMIF('raw Data'!$L:$L,"RESINV1USD_" &amp; $B15 &amp; "_" &amp; H$2,'raw Data'!$H:$H)+SUMIF('raw Data'!$L:$L,"RESSWAPORUSD_" &amp; $B15 &amp; "_" &amp; H$2,'raw Data'!$H:$H)</f>
        <v>0</v>
      </c>
      <c r="I15" s="160">
        <f>SUMIF('raw Data'!$L:$L,"RESINV1USD_" &amp; $B15 &amp; "_" &amp; I$2,'raw Data'!$H:$H)+SUMIF('raw Data'!$L:$L,"RESSWAPORUSD_" &amp; $B15 &amp; "_" &amp; I$2,'raw Data'!$H:$H)</f>
        <v>0</v>
      </c>
      <c r="J15" s="161">
        <f>SUMIF('raw Data'!$L:$L,"RESINV1USD_" &amp; $B15 &amp; "_" &amp; J$2,'raw Data'!$H:$H)+SUMIF('raw Data'!$L:$L,"RESSWAPORUSD_" &amp; $B15 &amp; "_" &amp; J$2,'raw Data'!$H:$H)</f>
        <v>0</v>
      </c>
      <c r="L15" s="159" t="s">
        <v>82</v>
      </c>
      <c r="M15" s="160">
        <f>ratioPV*SUMIF('raw Data'!$L:$L,"BKINV1USD_" &amp; $L15 &amp; "_" &amp; M$2,'raw Data'!$H:$H)</f>
        <v>81.948615039127816</v>
      </c>
      <c r="N15" s="160">
        <f>ratioPV*SUMIF('raw Data'!$L:$L,"BKINV1USD_" &amp; $L15 &amp; "_" &amp; N$2,'raw Data'!$H:$H)</f>
        <v>0</v>
      </c>
      <c r="O15" s="160">
        <f>ratioPV*SUMIF('raw Data'!$L:$L,"BKINV1USD_" &amp; $L15 &amp; "_" &amp; O$2,'raw Data'!$H:$H)</f>
        <v>0</v>
      </c>
      <c r="P15" s="160">
        <f>ratioPV*SUMIF('raw Data'!$L:$L,"BKINV1USD_" &amp; $L15 &amp; "_" &amp; P$2,'raw Data'!$H:$H)</f>
        <v>0</v>
      </c>
      <c r="Q15" s="160">
        <f>ratioPV*SUMIF('raw Data'!$L:$L,"BKINV1USD_" &amp; $L15 &amp; "_" &amp; Q$2,'raw Data'!$H:$H)</f>
        <v>0</v>
      </c>
      <c r="R15" s="160">
        <f>ratioPV*SUMIF('raw Data'!$L:$L,"BKINV1USD_" &amp; $L15 &amp; "_" &amp; R$2,'raw Data'!$H:$H)</f>
        <v>0</v>
      </c>
      <c r="S15" s="160">
        <f>ratioPV*SUMIF('raw Data'!$L:$L,"BKINV1USD_" &amp; $L15 &amp; "_" &amp; S$2,'raw Data'!$H:$H)</f>
        <v>0</v>
      </c>
      <c r="T15" s="161">
        <f>ratioPV*SUMIF('raw Data'!$L:$L,"BKINV1USD_" &amp; $L15 &amp; "_" &amp; T$2,'raw Data'!$H:$H)</f>
        <v>0</v>
      </c>
    </row>
    <row r="16" spans="2:20" x14ac:dyDescent="0.3">
      <c r="B16" s="159" t="s">
        <v>84</v>
      </c>
      <c r="C16" s="160">
        <f>SUMIF('raw Data'!$L:$L,"RESINV1USD_" &amp; $B16 &amp; "_" &amp; C$2,'raw Data'!$H:$H)+SUMIF('raw Data'!$L:$L,"RESSWAPORUSD_" &amp; $B16 &amp; "_" &amp; C$2,'raw Data'!$H:$H)</f>
        <v>245.62626</v>
      </c>
      <c r="D16" s="160">
        <f>SUMIF('raw Data'!$L:$L,"RESINV1USD_" &amp; $B16 &amp; "_" &amp; D$2,'raw Data'!$H:$H)+SUMIF('raw Data'!$L:$L,"RESSWAPORUSD_" &amp; $B16 &amp; "_" &amp; D$2,'raw Data'!$H:$H)</f>
        <v>0</v>
      </c>
      <c r="E16" s="160">
        <f>SUMIF('raw Data'!$L:$L,"RESINV1USD_" &amp; $B16 &amp; "_" &amp; E$2,'raw Data'!$H:$H)+SUMIF('raw Data'!$L:$L,"RESSWAPORUSD_" &amp; $B16 &amp; "_" &amp; E$2,'raw Data'!$H:$H)</f>
        <v>61.777049999999988</v>
      </c>
      <c r="F16" s="160">
        <f>SUMIF('raw Data'!$L:$L,"RESINV1USD_" &amp; $B16 &amp; "_" &amp; F$2,'raw Data'!$H:$H)+SUMIF('raw Data'!$L:$L,"RESSWAPORUSD_" &amp; $B16 &amp; "_" &amp; F$2,'raw Data'!$H:$H)</f>
        <v>0</v>
      </c>
      <c r="G16" s="160">
        <f>SUMIF('raw Data'!$L:$L,"RESINV1USD_" &amp; $B16 &amp; "_" &amp; G$2,'raw Data'!$H:$H)+SUMIF('raw Data'!$L:$L,"RESSWAPORUSD_" &amp; $B16 &amp; "_" &amp; G$2,'raw Data'!$H:$H)</f>
        <v>-1.00261</v>
      </c>
      <c r="H16" s="160">
        <f>SUMIF('raw Data'!$L:$L,"RESINV1USD_" &amp; $B16 &amp; "_" &amp; H$2,'raw Data'!$H:$H)+SUMIF('raw Data'!$L:$L,"RESSWAPORUSD_" &amp; $B16 &amp; "_" &amp; H$2,'raw Data'!$H:$H)</f>
        <v>-139.45002000000002</v>
      </c>
      <c r="I16" s="160">
        <f>SUMIF('raw Data'!$L:$L,"RESINV1USD_" &amp; $B16 &amp; "_" &amp; I$2,'raw Data'!$H:$H)+SUMIF('raw Data'!$L:$L,"RESSWAPORUSD_" &amp; $B16 &amp; "_" &amp; I$2,'raw Data'!$H:$H)</f>
        <v>0</v>
      </c>
      <c r="J16" s="161">
        <f>SUMIF('raw Data'!$L:$L,"RESINV1USD_" &amp; $B16 &amp; "_" &amp; J$2,'raw Data'!$H:$H)+SUMIF('raw Data'!$L:$L,"RESSWAPORUSD_" &amp; $B16 &amp; "_" &amp; J$2,'raw Data'!$H:$H)</f>
        <v>0</v>
      </c>
      <c r="L16" s="159" t="s">
        <v>84</v>
      </c>
      <c r="M16" s="160">
        <f>ratioPV*SUMIF('raw Data'!$L:$L,"BKINV1USD_" &amp; $L16 &amp; "_" &amp; M$2,'raw Data'!$H:$H)</f>
        <v>212.78463937798406</v>
      </c>
      <c r="N16" s="160">
        <f>ratioPV*SUMIF('raw Data'!$L:$L,"BKINV1USD_" &amp; $L16 &amp; "_" &amp; N$2,'raw Data'!$H:$H)</f>
        <v>0</v>
      </c>
      <c r="O16" s="160">
        <f>ratioPV*SUMIF('raw Data'!$L:$L,"BKINV1USD_" &amp; $L16 &amp; "_" &amp; O$2,'raw Data'!$H:$H)</f>
        <v>0</v>
      </c>
      <c r="P16" s="160">
        <f>ratioPV*SUMIF('raw Data'!$L:$L,"BKINV1USD_" &amp; $L16 &amp; "_" &amp; P$2,'raw Data'!$H:$H)</f>
        <v>0</v>
      </c>
      <c r="Q16" s="160">
        <f>ratioPV*SUMIF('raw Data'!$L:$L,"BKINV1USD_" &amp; $L16 &amp; "_" &amp; Q$2,'raw Data'!$H:$H)</f>
        <v>0</v>
      </c>
      <c r="R16" s="160">
        <f>ratioPV*SUMIF('raw Data'!$L:$L,"BKINV1USD_" &amp; $L16 &amp; "_" &amp; R$2,'raw Data'!$H:$H)</f>
        <v>0</v>
      </c>
      <c r="S16" s="160">
        <f>ratioPV*SUMIF('raw Data'!$L:$L,"BKINV1USD_" &amp; $L16 &amp; "_" &amp; S$2,'raw Data'!$H:$H)</f>
        <v>0</v>
      </c>
      <c r="T16" s="161">
        <f>ratioPV*SUMIF('raw Data'!$L:$L,"BKINV1USD_" &amp; $L16 &amp; "_" &amp; T$2,'raw Data'!$H:$H)</f>
        <v>0</v>
      </c>
    </row>
    <row r="17" spans="2:20" x14ac:dyDescent="0.3">
      <c r="B17" s="159" t="s">
        <v>86</v>
      </c>
      <c r="C17" s="160">
        <f>SUMIF('raw Data'!$L:$L,"RESINV1USD_" &amp; $B17 &amp; "_" &amp; C$2,'raw Data'!$H:$H)+SUMIF('raw Data'!$L:$L,"RESSWAPORUSD_" &amp; $B17 &amp; "_" &amp; C$2,'raw Data'!$H:$H)</f>
        <v>170.15159</v>
      </c>
      <c r="D17" s="160">
        <f>SUMIF('raw Data'!$L:$L,"RESINV1USD_" &amp; $B17 &amp; "_" &amp; D$2,'raw Data'!$H:$H)+SUMIF('raw Data'!$L:$L,"RESSWAPORUSD_" &amp; $B17 &amp; "_" &amp; D$2,'raw Data'!$H:$H)</f>
        <v>0</v>
      </c>
      <c r="E17" s="160">
        <f>SUMIF('raw Data'!$L:$L,"RESINV1USD_" &amp; $B17 &amp; "_" &amp; E$2,'raw Data'!$H:$H)+SUMIF('raw Data'!$L:$L,"RESSWAPORUSD_" &amp; $B17 &amp; "_" &amp; E$2,'raw Data'!$H:$H)</f>
        <v>0</v>
      </c>
      <c r="F17" s="160">
        <f>SUMIF('raw Data'!$L:$L,"RESINV1USD_" &amp; $B17 &amp; "_" &amp; F$2,'raw Data'!$H:$H)+SUMIF('raw Data'!$L:$L,"RESSWAPORUSD_" &amp; $B17 &amp; "_" &amp; F$2,'raw Data'!$H:$H)</f>
        <v>0</v>
      </c>
      <c r="G17" s="160">
        <f>SUMIF('raw Data'!$L:$L,"RESINV1USD_" &amp; $B17 &amp; "_" &amp; G$2,'raw Data'!$H:$H)+SUMIF('raw Data'!$L:$L,"RESSWAPORUSD_" &amp; $B17 &amp; "_" &amp; G$2,'raw Data'!$H:$H)</f>
        <v>0</v>
      </c>
      <c r="H17" s="160">
        <f>SUMIF('raw Data'!$L:$L,"RESINV1USD_" &amp; $B17 &amp; "_" &amp; H$2,'raw Data'!$H:$H)+SUMIF('raw Data'!$L:$L,"RESSWAPORUSD_" &amp; $B17 &amp; "_" &amp; H$2,'raw Data'!$H:$H)</f>
        <v>0</v>
      </c>
      <c r="I17" s="160">
        <f>SUMIF('raw Data'!$L:$L,"RESINV1USD_" &amp; $B17 &amp; "_" &amp; I$2,'raw Data'!$H:$H)+SUMIF('raw Data'!$L:$L,"RESSWAPORUSD_" &amp; $B17 &amp; "_" &amp; I$2,'raw Data'!$H:$H)</f>
        <v>0</v>
      </c>
      <c r="J17" s="161">
        <f>SUMIF('raw Data'!$L:$L,"RESINV1USD_" &amp; $B17 &amp; "_" &amp; J$2,'raw Data'!$H:$H)+SUMIF('raw Data'!$L:$L,"RESSWAPORUSD_" &amp; $B17 &amp; "_" &amp; J$2,'raw Data'!$H:$H)</f>
        <v>0</v>
      </c>
      <c r="L17" s="159" t="s">
        <v>86</v>
      </c>
      <c r="M17" s="160">
        <f>ratioPV*SUMIF('raw Data'!$L:$L,"BKINV1USD_" &amp; $L17 &amp; "_" &amp; M$2,'raw Data'!$H:$H)</f>
        <v>108.69841921066566</v>
      </c>
      <c r="N17" s="160">
        <f>ratioPV*SUMIF('raw Data'!$L:$L,"BKINV1USD_" &amp; $L17 &amp; "_" &amp; N$2,'raw Data'!$H:$H)</f>
        <v>0</v>
      </c>
      <c r="O17" s="160">
        <f>ratioPV*SUMIF('raw Data'!$L:$L,"BKINV1USD_" &amp; $L17 &amp; "_" &amp; O$2,'raw Data'!$H:$H)</f>
        <v>0</v>
      </c>
      <c r="P17" s="160">
        <f>ratioPV*SUMIF('raw Data'!$L:$L,"BKINV1USD_" &amp; $L17 &amp; "_" &amp; P$2,'raw Data'!$H:$H)</f>
        <v>0</v>
      </c>
      <c r="Q17" s="160">
        <f>ratioPV*SUMIF('raw Data'!$L:$L,"BKINV1USD_" &amp; $L17 &amp; "_" &amp; Q$2,'raw Data'!$H:$H)</f>
        <v>0</v>
      </c>
      <c r="R17" s="160">
        <f>ratioPV*SUMIF('raw Data'!$L:$L,"BKINV1USD_" &amp; $L17 &amp; "_" &amp; R$2,'raw Data'!$H:$H)</f>
        <v>0</v>
      </c>
      <c r="S17" s="160">
        <f>ratioPV*SUMIF('raw Data'!$L:$L,"BKINV1USD_" &amp; $L17 &amp; "_" &amp; S$2,'raw Data'!$H:$H)</f>
        <v>0</v>
      </c>
      <c r="T17" s="161">
        <f>ratioPV*SUMIF('raw Data'!$L:$L,"BKINV1USD_" &amp; $L17 &amp; "_" &amp; T$2,'raw Data'!$H:$H)</f>
        <v>0</v>
      </c>
    </row>
    <row r="18" spans="2:20" x14ac:dyDescent="0.3">
      <c r="B18" s="159" t="s">
        <v>89</v>
      </c>
      <c r="C18" s="160">
        <f>SUMIF('raw Data'!$L:$L,"RESINV1USD_" &amp; $B18 &amp; "_" &amp; C$2,'raw Data'!$H:$H)+SUMIF('raw Data'!$L:$L,"RESSWAPORUSD_" &amp; $B18 &amp; "_" &amp; C$2,'raw Data'!$H:$H)</f>
        <v>439.67424</v>
      </c>
      <c r="D18" s="160">
        <f>SUMIF('raw Data'!$L:$L,"RESINV1USD_" &amp; $B18 &amp; "_" &amp; D$2,'raw Data'!$H:$H)+SUMIF('raw Data'!$L:$L,"RESSWAPORUSD_" &amp; $B18 &amp; "_" &amp; D$2,'raw Data'!$H:$H)</f>
        <v>0</v>
      </c>
      <c r="E18" s="160">
        <f>SUMIF('raw Data'!$L:$L,"RESINV1USD_" &amp; $B18 &amp; "_" &amp; E$2,'raw Data'!$H:$H)+SUMIF('raw Data'!$L:$L,"RESSWAPORUSD_" &amp; $B18 &amp; "_" &amp; E$2,'raw Data'!$H:$H)</f>
        <v>0</v>
      </c>
      <c r="F18" s="160">
        <f>SUMIF('raw Data'!$L:$L,"RESINV1USD_" &amp; $B18 &amp; "_" &amp; F$2,'raw Data'!$H:$H)+SUMIF('raw Data'!$L:$L,"RESSWAPORUSD_" &amp; $B18 &amp; "_" &amp; F$2,'raw Data'!$H:$H)</f>
        <v>0</v>
      </c>
      <c r="G18" s="160">
        <f>SUMIF('raw Data'!$L:$L,"RESINV1USD_" &amp; $B18 &amp; "_" &amp; G$2,'raw Data'!$H:$H)+SUMIF('raw Data'!$L:$L,"RESSWAPORUSD_" &amp; $B18 &amp; "_" &amp; G$2,'raw Data'!$H:$H)</f>
        <v>0</v>
      </c>
      <c r="H18" s="160">
        <f>SUMIF('raw Data'!$L:$L,"RESINV1USD_" &amp; $B18 &amp; "_" &amp; H$2,'raw Data'!$H:$H)+SUMIF('raw Data'!$L:$L,"RESSWAPORUSD_" &amp; $B18 &amp; "_" &amp; H$2,'raw Data'!$H:$H)</f>
        <v>0</v>
      </c>
      <c r="I18" s="160">
        <f>SUMIF('raw Data'!$L:$L,"RESINV1USD_" &amp; $B18 &amp; "_" &amp; I$2,'raw Data'!$H:$H)+SUMIF('raw Data'!$L:$L,"RESSWAPORUSD_" &amp; $B18 &amp; "_" &amp; I$2,'raw Data'!$H:$H)</f>
        <v>0</v>
      </c>
      <c r="J18" s="161">
        <f>SUMIF('raw Data'!$L:$L,"RESINV1USD_" &amp; $B18 &amp; "_" &amp; J$2,'raw Data'!$H:$H)+SUMIF('raw Data'!$L:$L,"RESSWAPORUSD_" &amp; $B18 &amp; "_" &amp; J$2,'raw Data'!$H:$H)</f>
        <v>0</v>
      </c>
      <c r="L18" s="159" t="s">
        <v>89</v>
      </c>
      <c r="M18" s="160">
        <f>ratioPV*SUMIF('raw Data'!$L:$L,"BKINV1USD_" &amp; $L18 &amp; "_" &amp; M$2,'raw Data'!$H:$H)</f>
        <v>328.33149011734753</v>
      </c>
      <c r="N18" s="160">
        <f>ratioPV*SUMIF('raw Data'!$L:$L,"BKINV1USD_" &amp; $L18 &amp; "_" &amp; N$2,'raw Data'!$H:$H)</f>
        <v>0</v>
      </c>
      <c r="O18" s="160">
        <f>ratioPV*SUMIF('raw Data'!$L:$L,"BKINV1USD_" &amp; $L18 &amp; "_" &amp; O$2,'raw Data'!$H:$H)</f>
        <v>0</v>
      </c>
      <c r="P18" s="160">
        <f>ratioPV*SUMIF('raw Data'!$L:$L,"BKINV1USD_" &amp; $L18 &amp; "_" &amp; P$2,'raw Data'!$H:$H)</f>
        <v>0</v>
      </c>
      <c r="Q18" s="160">
        <f>ratioPV*SUMIF('raw Data'!$L:$L,"BKINV1USD_" &amp; $L18 &amp; "_" &amp; Q$2,'raw Data'!$H:$H)</f>
        <v>0</v>
      </c>
      <c r="R18" s="160">
        <f>ratioPV*SUMIF('raw Data'!$L:$L,"BKINV1USD_" &amp; $L18 &amp; "_" &amp; R$2,'raw Data'!$H:$H)</f>
        <v>0</v>
      </c>
      <c r="S18" s="160">
        <f>ratioPV*SUMIF('raw Data'!$L:$L,"BKINV1USD_" &amp; $L18 &amp; "_" &amp; S$2,'raw Data'!$H:$H)</f>
        <v>0</v>
      </c>
      <c r="T18" s="161">
        <f>ratioPV*SUMIF('raw Data'!$L:$L,"BKINV1USD_" &amp; $L18 &amp; "_" &amp; T$2,'raw Data'!$H:$H)</f>
        <v>0</v>
      </c>
    </row>
    <row r="19" spans="2:20" ht="10.55" thickBot="1" x14ac:dyDescent="0.35">
      <c r="B19" s="162" t="s">
        <v>598</v>
      </c>
      <c r="C19" s="163">
        <f>SUMIF('raw Data'!$L:$L,"RESINV1USD_" &amp; $B19 &amp; "_" &amp; C$2,'raw Data'!$H:$H)+SUMIF('raw Data'!$L:$L,"RESSWAPORUSD_" &amp; $B19 &amp; "_" &amp; C$2,'raw Data'!$H:$H)</f>
        <v>0</v>
      </c>
      <c r="D19" s="163">
        <f>SUMIF('raw Data'!$L:$L,"RESINV1USD_" &amp; $B19 &amp; "_" &amp; D$2,'raw Data'!$H:$H)+SUMIF('raw Data'!$L:$L,"RESSWAPORUSD_" &amp; $B19 &amp; "_" &amp; D$2,'raw Data'!$H:$H)</f>
        <v>0</v>
      </c>
      <c r="E19" s="163">
        <f>SUMIF('raw Data'!$L:$L,"RESINV1USD_" &amp; $B19 &amp; "_" &amp; E$2,'raw Data'!$H:$H)+SUMIF('raw Data'!$L:$L,"RESSWAPORUSD_" &amp; $B19 &amp; "_" &amp; E$2,'raw Data'!$H:$H)</f>
        <v>0</v>
      </c>
      <c r="F19" s="163">
        <f>SUMIF('raw Data'!$L:$L,"RESINV1USD_" &amp; $B19 &amp; "_" &amp; F$2,'raw Data'!$H:$H)+SUMIF('raw Data'!$L:$L,"RESSWAPORUSD_" &amp; $B19 &amp; "_" &amp; F$2,'raw Data'!$H:$H)</f>
        <v>0</v>
      </c>
      <c r="G19" s="163">
        <f>SUMIF('raw Data'!$L:$L,"RESINV1USD_" &amp; $B19 &amp; "_" &amp; G$2,'raw Data'!$H:$H)+SUMIF('raw Data'!$L:$L,"RESSWAPORUSD_" &amp; $B19 &amp; "_" &amp; G$2,'raw Data'!$H:$H)</f>
        <v>0</v>
      </c>
      <c r="H19" s="163">
        <f>SUMIF('raw Data'!$L:$L,"RESINV1USD_" &amp; $B19 &amp; "_" &amp; H$2,'raw Data'!$H:$H)+SUMIF('raw Data'!$L:$L,"RESSWAPORUSD_" &amp; $B19 &amp; "_" &amp; H$2,'raw Data'!$H:$H)</f>
        <v>0</v>
      </c>
      <c r="I19" s="163">
        <f>SUMIF('raw Data'!$L:$L,"RESINV1USD_" &amp; $B19 &amp; "_" &amp; I$2,'raw Data'!$H:$H)+SUMIF('raw Data'!$L:$L,"RESSWAPORUSD_" &amp; $B19 &amp; "_" &amp; I$2,'raw Data'!$H:$H)</f>
        <v>0</v>
      </c>
      <c r="J19" s="164">
        <f>SUMIF('raw Data'!$L:$L,"RESINV1USD_" &amp; $B19 &amp; "_" &amp; J$2,'raw Data'!$H:$H)+SUMIF('raw Data'!$L:$L,"RESSWAPORUSD_" &amp; $B19 &amp; "_" &amp; J$2,'raw Data'!$H:$H)</f>
        <v>0</v>
      </c>
      <c r="L19" s="162" t="s">
        <v>598</v>
      </c>
      <c r="M19" s="163">
        <f>ratioPV*SUMIF('raw Data'!$L:$L,"BKINV1USD_" &amp; $L19 &amp; "_" &amp; M$2,'raw Data'!$H:$H)</f>
        <v>0</v>
      </c>
      <c r="N19" s="163">
        <f>ratioPV*SUMIF('raw Data'!$L:$L,"BKINV1USD_" &amp; $L19 &amp; "_" &amp; N$2,'raw Data'!$H:$H)</f>
        <v>0</v>
      </c>
      <c r="O19" s="163">
        <f>ratioPV*SUMIF('raw Data'!$L:$L,"BKINV1USD_" &amp; $L19 &amp; "_" &amp; O$2,'raw Data'!$H:$H)</f>
        <v>0</v>
      </c>
      <c r="P19" s="163">
        <f>ratioPV*SUMIF('raw Data'!$L:$L,"BKINV1USD_" &amp; $L19 &amp; "_" &amp; P$2,'raw Data'!$H:$H)</f>
        <v>0</v>
      </c>
      <c r="Q19" s="163">
        <f>ratioPV*SUMIF('raw Data'!$L:$L,"BKINV1USD_" &amp; $L19 &amp; "_" &amp; Q$2,'raw Data'!$H:$H)</f>
        <v>0</v>
      </c>
      <c r="R19" s="163">
        <f>ratioPV*SUMIF('raw Data'!$L:$L,"BKINV1USD_" &amp; $L19 &amp; "_" &amp; R$2,'raw Data'!$H:$H)</f>
        <v>0</v>
      </c>
      <c r="S19" s="163">
        <f>ratioPV*SUMIF('raw Data'!$L:$L,"BKINV1USD_" &amp; $L19 &amp; "_" &amp; S$2,'raw Data'!$H:$H)</f>
        <v>0</v>
      </c>
      <c r="T19" s="164">
        <f>ratioPV*SUMIF('raw Data'!$L:$L,"BKINV1USD_" &amp; $L19 &amp; "_" &amp; T$2,'raw Data'!$H:$H)</f>
        <v>0</v>
      </c>
    </row>
    <row r="21" spans="2:20" ht="10.55" thickBot="1" x14ac:dyDescent="0.35">
      <c r="B21" s="7" t="s">
        <v>963</v>
      </c>
      <c r="C21" s="7"/>
      <c r="D21" s="7"/>
      <c r="E21" s="7"/>
      <c r="F21" s="7"/>
      <c r="G21" s="7"/>
      <c r="H21" s="7"/>
      <c r="I21" s="7"/>
      <c r="J21" s="7"/>
      <c r="L21" s="7" t="s">
        <v>962</v>
      </c>
      <c r="M21" s="7"/>
      <c r="N21" s="7"/>
      <c r="O21" s="7"/>
      <c r="P21" s="7"/>
      <c r="Q21" s="7"/>
      <c r="R21" s="7"/>
      <c r="S21" s="7"/>
      <c r="T21" s="7"/>
    </row>
    <row r="22" spans="2:20" x14ac:dyDescent="0.3">
      <c r="B22" s="156" t="s">
        <v>599</v>
      </c>
      <c r="C22" s="157" t="s">
        <v>595</v>
      </c>
      <c r="D22" s="157" t="s">
        <v>275</v>
      </c>
      <c r="E22" s="157" t="s">
        <v>596</v>
      </c>
      <c r="F22" s="157" t="s">
        <v>136</v>
      </c>
      <c r="G22" s="157" t="s">
        <v>294</v>
      </c>
      <c r="H22" s="157" t="s">
        <v>313</v>
      </c>
      <c r="I22" s="157" t="s">
        <v>268</v>
      </c>
      <c r="J22" s="158" t="s">
        <v>266</v>
      </c>
      <c r="L22" s="156" t="s">
        <v>599</v>
      </c>
      <c r="M22" s="157" t="s">
        <v>595</v>
      </c>
      <c r="N22" s="157" t="s">
        <v>275</v>
      </c>
      <c r="O22" s="157" t="s">
        <v>596</v>
      </c>
      <c r="P22" s="157" t="s">
        <v>136</v>
      </c>
      <c r="Q22" s="157" t="s">
        <v>294</v>
      </c>
      <c r="R22" s="157" t="s">
        <v>313</v>
      </c>
      <c r="S22" s="157" t="s">
        <v>268</v>
      </c>
      <c r="T22" s="158" t="s">
        <v>266</v>
      </c>
    </row>
    <row r="23" spans="2:20" x14ac:dyDescent="0.3">
      <c r="B23" s="159" t="s">
        <v>97</v>
      </c>
      <c r="C23" s="165">
        <f>365*10000*C3/(SUMIF('raw Data'!$A:$A,"RESINV1USD",'raw Data'!$G:$G)+SUMIF('raw Data'!$A:$A,"RESSWAPORUSD",'raw Data'!$G:$G))</f>
        <v>0</v>
      </c>
      <c r="D23" s="165">
        <f>365*10000*D3/(SUMIF('raw Data'!$A:$A,"RESINV1USD",'raw Data'!$G:$G)+SUMIF('raw Data'!$A:$A,"RESSWAPORUSD",'raw Data'!$G:$G))</f>
        <v>0</v>
      </c>
      <c r="E23" s="165">
        <f>365*10000*E3/(SUMIF('raw Data'!$A:$A,"RESINV1USD",'raw Data'!$G:$G)+SUMIF('raw Data'!$A:$A,"RESSWAPORUSD",'raw Data'!$G:$G))</f>
        <v>2.3304600908973662E-2</v>
      </c>
      <c r="F23" s="165">
        <f>365*10000*F3/(SUMIF('raw Data'!$A:$A,"RESINV1USD",'raw Data'!$G:$G)+SUMIF('raw Data'!$A:$A,"RESSWAPORUSD",'raw Data'!$G:$G))</f>
        <v>0</v>
      </c>
      <c r="G23" s="165">
        <f>365*10000*G3/(SUMIF('raw Data'!$A:$A,"RESINV1USD",'raw Data'!$G:$G)+SUMIF('raw Data'!$A:$A,"RESSWAPORUSD",'raw Data'!$G:$G))</f>
        <v>0</v>
      </c>
      <c r="H23" s="165">
        <f>365*10000*H3/(SUMIF('raw Data'!$A:$A,"RESINV1USD",'raw Data'!$G:$G)+SUMIF('raw Data'!$A:$A,"RESSWAPORUSD",'raw Data'!$G:$G))</f>
        <v>0</v>
      </c>
      <c r="I23" s="165">
        <f>365*10000*I3/(SUMIF('raw Data'!$A:$A,"RESINV1USD",'raw Data'!$G:$G)+SUMIF('raw Data'!$A:$A,"RESSWAPORUSD",'raw Data'!$G:$G))</f>
        <v>0</v>
      </c>
      <c r="J23" s="166">
        <f>365*10000*J3/(SUMIF('raw Data'!$A:$A,"RESINV1USD",'raw Data'!$G:$G)+SUMIF('raw Data'!$A:$A,"RESSWAPORUSD",'raw Data'!$G:$G))</f>
        <v>-0.15167125398284656</v>
      </c>
      <c r="K23" s="167"/>
      <c r="L23" s="168" t="s">
        <v>97</v>
      </c>
      <c r="M23" s="165">
        <f>365*10000*M3/(SUMIF('raw Data'!$A:$A,"RESINV1USD",'raw Data'!$G:$G)+SUMIF('raw Data'!$A:$A,"RESSWAPORUSD",'raw Data'!$G:$G))</f>
        <v>7.0930703954045868E-2</v>
      </c>
      <c r="N23" s="165">
        <f>365*10000*N3/(SUMIF('raw Data'!$A:$A,"RESINV1USD",'raw Data'!$G:$G)+SUMIF('raw Data'!$A:$A,"RESSWAPORUSD",'raw Data'!$G:$G))</f>
        <v>0</v>
      </c>
      <c r="O23" s="165">
        <f>365*10000*O3/(SUMIF('raw Data'!$A:$A,"RESINV1USD",'raw Data'!$G:$G)+SUMIF('raw Data'!$A:$A,"RESSWAPORUSD",'raw Data'!$G:$G))</f>
        <v>0</v>
      </c>
      <c r="P23" s="165">
        <f>365*10000*P3/(SUMIF('raw Data'!$A:$A,"RESINV1USD",'raw Data'!$G:$G)+SUMIF('raw Data'!$A:$A,"RESSWAPORUSD",'raw Data'!$G:$G))</f>
        <v>0</v>
      </c>
      <c r="Q23" s="165">
        <f>365*10000*Q3/(SUMIF('raw Data'!$A:$A,"RESINV1USD",'raw Data'!$G:$G)+SUMIF('raw Data'!$A:$A,"RESSWAPORUSD",'raw Data'!$G:$G))</f>
        <v>0</v>
      </c>
      <c r="R23" s="165">
        <f>365*10000*R3/(SUMIF('raw Data'!$A:$A,"RESINV1USD",'raw Data'!$G:$G)+SUMIF('raw Data'!$A:$A,"RESSWAPORUSD",'raw Data'!$G:$G))</f>
        <v>0</v>
      </c>
      <c r="S23" s="165">
        <f>365*10000*S3/(SUMIF('raw Data'!$A:$A,"RESINV1USD",'raw Data'!$G:$G)+SUMIF('raw Data'!$A:$A,"RESSWAPORUSD",'raw Data'!$G:$G))</f>
        <v>0</v>
      </c>
      <c r="T23" s="166">
        <f>365*10000*T3/(SUMIF('raw Data'!$A:$A,"RESINV1USD",'raw Data'!$G:$G)+SUMIF('raw Data'!$A:$A,"RESSWAPORUSD",'raw Data'!$G:$G))</f>
        <v>0</v>
      </c>
    </row>
    <row r="24" spans="2:20" x14ac:dyDescent="0.3">
      <c r="B24" s="159" t="s">
        <v>138</v>
      </c>
      <c r="C24" s="165">
        <f>365*10000*C4/(SUMIF('raw Data'!$A:$A,"RESINV1USD",'raw Data'!$G:$G)+SUMIF('raw Data'!$A:$A,"RESSWAPORUSD",'raw Data'!$G:$G))</f>
        <v>0</v>
      </c>
      <c r="D24" s="165">
        <f>365*10000*D4/(SUMIF('raw Data'!$A:$A,"RESINV1USD",'raw Data'!$G:$G)+SUMIF('raw Data'!$A:$A,"RESSWAPORUSD",'raw Data'!$G:$G))</f>
        <v>0</v>
      </c>
      <c r="E24" s="165">
        <f>365*10000*E4/(SUMIF('raw Data'!$A:$A,"RESINV1USD",'raw Data'!$G:$G)+SUMIF('raw Data'!$A:$A,"RESSWAPORUSD",'raw Data'!$G:$G))</f>
        <v>0</v>
      </c>
      <c r="F24" s="165">
        <f>365*10000*F4/(SUMIF('raw Data'!$A:$A,"RESINV1USD",'raw Data'!$G:$G)+SUMIF('raw Data'!$A:$A,"RESSWAPORUSD",'raw Data'!$G:$G))</f>
        <v>8.8769560903357095E-2</v>
      </c>
      <c r="G24" s="165">
        <f>365*10000*G4/(SUMIF('raw Data'!$A:$A,"RESINV1USD",'raw Data'!$G:$G)+SUMIF('raw Data'!$A:$A,"RESSWAPORUSD",'raw Data'!$G:$G))</f>
        <v>0</v>
      </c>
      <c r="H24" s="165">
        <f>365*10000*H4/(SUMIF('raw Data'!$A:$A,"RESINV1USD",'raw Data'!$G:$G)+SUMIF('raw Data'!$A:$A,"RESSWAPORUSD",'raw Data'!$G:$G))</f>
        <v>0</v>
      </c>
      <c r="I24" s="165">
        <f>365*10000*I4/(SUMIF('raw Data'!$A:$A,"RESINV1USD",'raw Data'!$G:$G)+SUMIF('raw Data'!$A:$A,"RESSWAPORUSD",'raw Data'!$G:$G))</f>
        <v>0</v>
      </c>
      <c r="J24" s="166">
        <f>365*10000*J4/(SUMIF('raw Data'!$A:$A,"RESINV1USD",'raw Data'!$G:$G)+SUMIF('raw Data'!$A:$A,"RESSWAPORUSD",'raw Data'!$G:$G))</f>
        <v>0</v>
      </c>
      <c r="K24" s="167"/>
      <c r="L24" s="168" t="s">
        <v>138</v>
      </c>
      <c r="M24" s="165">
        <f>365*10000*M4/(SUMIF('raw Data'!$A:$A,"RESINV1USD",'raw Data'!$G:$G)+SUMIF('raw Data'!$A:$A,"RESSWAPORUSD",'raw Data'!$G:$G))</f>
        <v>0</v>
      </c>
      <c r="N24" s="165">
        <f>365*10000*N4/(SUMIF('raw Data'!$A:$A,"RESINV1USD",'raw Data'!$G:$G)+SUMIF('raw Data'!$A:$A,"RESSWAPORUSD",'raw Data'!$G:$G))</f>
        <v>0</v>
      </c>
      <c r="O24" s="165">
        <f>365*10000*O4/(SUMIF('raw Data'!$A:$A,"RESINV1USD",'raw Data'!$G:$G)+SUMIF('raw Data'!$A:$A,"RESSWAPORUSD",'raw Data'!$G:$G))</f>
        <v>0</v>
      </c>
      <c r="P24" s="165">
        <f>365*10000*P4/(SUMIF('raw Data'!$A:$A,"RESINV1USD",'raw Data'!$G:$G)+SUMIF('raw Data'!$A:$A,"RESSWAPORUSD",'raw Data'!$G:$G))</f>
        <v>0</v>
      </c>
      <c r="Q24" s="165">
        <f>365*10000*Q4/(SUMIF('raw Data'!$A:$A,"RESINV1USD",'raw Data'!$G:$G)+SUMIF('raw Data'!$A:$A,"RESSWAPORUSD",'raw Data'!$G:$G))</f>
        <v>0</v>
      </c>
      <c r="R24" s="165">
        <f>365*10000*R4/(SUMIF('raw Data'!$A:$A,"RESINV1USD",'raw Data'!$G:$G)+SUMIF('raw Data'!$A:$A,"RESSWAPORUSD",'raw Data'!$G:$G))</f>
        <v>0</v>
      </c>
      <c r="S24" s="165">
        <f>365*10000*S4/(SUMIF('raw Data'!$A:$A,"RESINV1USD",'raw Data'!$G:$G)+SUMIF('raw Data'!$A:$A,"RESSWAPORUSD",'raw Data'!$G:$G))</f>
        <v>0</v>
      </c>
      <c r="T24" s="166">
        <f>365*10000*T4/(SUMIF('raw Data'!$A:$A,"RESINV1USD",'raw Data'!$G:$G)+SUMIF('raw Data'!$A:$A,"RESSWAPORUSD",'raw Data'!$G:$G))</f>
        <v>0</v>
      </c>
    </row>
    <row r="25" spans="2:20" x14ac:dyDescent="0.3">
      <c r="B25" s="159" t="s">
        <v>597</v>
      </c>
      <c r="C25" s="165">
        <f>365*10000*C5/(SUMIF('raw Data'!$A:$A,"RESINV1USD",'raw Data'!$G:$G)+SUMIF('raw Data'!$A:$A,"RESSWAPORUSD",'raw Data'!$G:$G))</f>
        <v>0</v>
      </c>
      <c r="D25" s="165">
        <f>365*10000*D5/(SUMIF('raw Data'!$A:$A,"RESINV1USD",'raw Data'!$G:$G)+SUMIF('raw Data'!$A:$A,"RESSWAPORUSD",'raw Data'!$G:$G))</f>
        <v>0</v>
      </c>
      <c r="E25" s="165">
        <f>365*10000*E5/(SUMIF('raw Data'!$A:$A,"RESINV1USD",'raw Data'!$G:$G)+SUMIF('raw Data'!$A:$A,"RESSWAPORUSD",'raw Data'!$G:$G))</f>
        <v>0</v>
      </c>
      <c r="F25" s="165">
        <f>365*10000*F5/(SUMIF('raw Data'!$A:$A,"RESINV1USD",'raw Data'!$G:$G)+SUMIF('raw Data'!$A:$A,"RESSWAPORUSD",'raw Data'!$G:$G))</f>
        <v>0</v>
      </c>
      <c r="G25" s="165">
        <f>365*10000*G5/(SUMIF('raw Data'!$A:$A,"RESINV1USD",'raw Data'!$G:$G)+SUMIF('raw Data'!$A:$A,"RESSWAPORUSD",'raw Data'!$G:$G))</f>
        <v>0</v>
      </c>
      <c r="H25" s="165">
        <f>365*10000*H5/(SUMIF('raw Data'!$A:$A,"RESINV1USD",'raw Data'!$G:$G)+SUMIF('raw Data'!$A:$A,"RESSWAPORUSD",'raw Data'!$G:$G))</f>
        <v>0</v>
      </c>
      <c r="I25" s="165">
        <f>365*10000*I5/(SUMIF('raw Data'!$A:$A,"RESINV1USD",'raw Data'!$G:$G)+SUMIF('raw Data'!$A:$A,"RESSWAPORUSD",'raw Data'!$G:$G))</f>
        <v>0</v>
      </c>
      <c r="J25" s="166">
        <f>365*10000*J5/(SUMIF('raw Data'!$A:$A,"RESINV1USD",'raw Data'!$G:$G)+SUMIF('raw Data'!$A:$A,"RESSWAPORUSD",'raw Data'!$G:$G))</f>
        <v>0</v>
      </c>
      <c r="K25" s="167"/>
      <c r="L25" s="168" t="s">
        <v>597</v>
      </c>
      <c r="M25" s="165">
        <f>365*10000*M5/(SUMIF('raw Data'!$A:$A,"RESINV1USD",'raw Data'!$G:$G)+SUMIF('raw Data'!$A:$A,"RESSWAPORUSD",'raw Data'!$G:$G))</f>
        <v>0</v>
      </c>
      <c r="N25" s="165">
        <f>365*10000*N5/(SUMIF('raw Data'!$A:$A,"RESINV1USD",'raw Data'!$G:$G)+SUMIF('raw Data'!$A:$A,"RESSWAPORUSD",'raw Data'!$G:$G))</f>
        <v>0</v>
      </c>
      <c r="O25" s="165">
        <f>365*10000*O5/(SUMIF('raw Data'!$A:$A,"RESINV1USD",'raw Data'!$G:$G)+SUMIF('raw Data'!$A:$A,"RESSWAPORUSD",'raw Data'!$G:$G))</f>
        <v>0</v>
      </c>
      <c r="P25" s="165">
        <f>365*10000*P5/(SUMIF('raw Data'!$A:$A,"RESINV1USD",'raw Data'!$G:$G)+SUMIF('raw Data'!$A:$A,"RESSWAPORUSD",'raw Data'!$G:$G))</f>
        <v>0</v>
      </c>
      <c r="Q25" s="165">
        <f>365*10000*Q5/(SUMIF('raw Data'!$A:$A,"RESINV1USD",'raw Data'!$G:$G)+SUMIF('raw Data'!$A:$A,"RESSWAPORUSD",'raw Data'!$G:$G))</f>
        <v>0</v>
      </c>
      <c r="R25" s="165">
        <f>365*10000*R5/(SUMIF('raw Data'!$A:$A,"RESINV1USD",'raw Data'!$G:$G)+SUMIF('raw Data'!$A:$A,"RESSWAPORUSD",'raw Data'!$G:$G))</f>
        <v>0</v>
      </c>
      <c r="S25" s="165">
        <f>365*10000*S5/(SUMIF('raw Data'!$A:$A,"RESINV1USD",'raw Data'!$G:$G)+SUMIF('raw Data'!$A:$A,"RESSWAPORUSD",'raw Data'!$G:$G))</f>
        <v>0</v>
      </c>
      <c r="T25" s="166">
        <f>365*10000*T5/(SUMIF('raw Data'!$A:$A,"RESINV1USD",'raw Data'!$G:$G)+SUMIF('raw Data'!$A:$A,"RESSWAPORUSD",'raw Data'!$G:$G))</f>
        <v>0</v>
      </c>
    </row>
    <row r="26" spans="2:20" x14ac:dyDescent="0.3">
      <c r="B26" s="159" t="s">
        <v>77</v>
      </c>
      <c r="C26" s="165">
        <f>365*10000*C6/(SUMIF('raw Data'!$A:$A,"RESINV1USD",'raw Data'!$G:$G)+SUMIF('raw Data'!$A:$A,"RESSWAPORUSD",'raw Data'!$G:$G))</f>
        <v>0</v>
      </c>
      <c r="D26" s="165">
        <f>365*10000*D6/(SUMIF('raw Data'!$A:$A,"RESINV1USD",'raw Data'!$G:$G)+SUMIF('raw Data'!$A:$A,"RESSWAPORUSD",'raw Data'!$G:$G))</f>
        <v>0</v>
      </c>
      <c r="E26" s="165">
        <f>365*10000*E6/(SUMIF('raw Data'!$A:$A,"RESINV1USD",'raw Data'!$G:$G)+SUMIF('raw Data'!$A:$A,"RESSWAPORUSD",'raw Data'!$G:$G))</f>
        <v>0</v>
      </c>
      <c r="F26" s="165">
        <f>365*10000*F6/(SUMIF('raw Data'!$A:$A,"RESINV1USD",'raw Data'!$G:$G)+SUMIF('raw Data'!$A:$A,"RESSWAPORUSD",'raw Data'!$G:$G))</f>
        <v>0</v>
      </c>
      <c r="G26" s="165">
        <f>365*10000*G6/(SUMIF('raw Data'!$A:$A,"RESINV1USD",'raw Data'!$G:$G)+SUMIF('raw Data'!$A:$A,"RESSWAPORUSD",'raw Data'!$G:$G))</f>
        <v>0</v>
      </c>
      <c r="H26" s="165">
        <f>365*10000*H6/(SUMIF('raw Data'!$A:$A,"RESINV1USD",'raw Data'!$G:$G)+SUMIF('raw Data'!$A:$A,"RESSWAPORUSD",'raw Data'!$G:$G))</f>
        <v>0</v>
      </c>
      <c r="I26" s="165">
        <f>365*10000*I6/(SUMIF('raw Data'!$A:$A,"RESINV1USD",'raw Data'!$G:$G)+SUMIF('raw Data'!$A:$A,"RESSWAPORUSD",'raw Data'!$G:$G))</f>
        <v>0</v>
      </c>
      <c r="J26" s="166">
        <f>365*10000*J6/(SUMIF('raw Data'!$A:$A,"RESINV1USD",'raw Data'!$G:$G)+SUMIF('raw Data'!$A:$A,"RESSWAPORUSD",'raw Data'!$G:$G))</f>
        <v>-0.43152977221970562</v>
      </c>
      <c r="K26" s="167"/>
      <c r="L26" s="168" t="s">
        <v>77</v>
      </c>
      <c r="M26" s="165">
        <f>365*10000*M6/(SUMIF('raw Data'!$A:$A,"RESINV1USD",'raw Data'!$G:$G)+SUMIF('raw Data'!$A:$A,"RESSWAPORUSD",'raw Data'!$G:$G))</f>
        <v>0.12180099297175676</v>
      </c>
      <c r="N26" s="165">
        <f>365*10000*N6/(SUMIF('raw Data'!$A:$A,"RESINV1USD",'raw Data'!$G:$G)+SUMIF('raw Data'!$A:$A,"RESSWAPORUSD",'raw Data'!$G:$G))</f>
        <v>0</v>
      </c>
      <c r="O26" s="165">
        <f>365*10000*O6/(SUMIF('raw Data'!$A:$A,"RESINV1USD",'raw Data'!$G:$G)+SUMIF('raw Data'!$A:$A,"RESSWAPORUSD",'raw Data'!$G:$G))</f>
        <v>0</v>
      </c>
      <c r="P26" s="165">
        <f>365*10000*P6/(SUMIF('raw Data'!$A:$A,"RESINV1USD",'raw Data'!$G:$G)+SUMIF('raw Data'!$A:$A,"RESSWAPORUSD",'raw Data'!$G:$G))</f>
        <v>0</v>
      </c>
      <c r="Q26" s="165">
        <f>365*10000*Q6/(SUMIF('raw Data'!$A:$A,"RESINV1USD",'raw Data'!$G:$G)+SUMIF('raw Data'!$A:$A,"RESSWAPORUSD",'raw Data'!$G:$G))</f>
        <v>0</v>
      </c>
      <c r="R26" s="165">
        <f>365*10000*R6/(SUMIF('raw Data'!$A:$A,"RESINV1USD",'raw Data'!$G:$G)+SUMIF('raw Data'!$A:$A,"RESSWAPORUSD",'raw Data'!$G:$G))</f>
        <v>0</v>
      </c>
      <c r="S26" s="165">
        <f>365*10000*S6/(SUMIF('raw Data'!$A:$A,"RESINV1USD",'raw Data'!$G:$G)+SUMIF('raw Data'!$A:$A,"RESSWAPORUSD",'raw Data'!$G:$G))</f>
        <v>0</v>
      </c>
      <c r="T26" s="166">
        <f>365*10000*T6/(SUMIF('raw Data'!$A:$A,"RESINV1USD",'raw Data'!$G:$G)+SUMIF('raw Data'!$A:$A,"RESSWAPORUSD",'raw Data'!$G:$G))</f>
        <v>0</v>
      </c>
    </row>
    <row r="27" spans="2:20" x14ac:dyDescent="0.3">
      <c r="B27" s="159" t="s">
        <v>17</v>
      </c>
      <c r="C27" s="165">
        <f>365*10000*C7/(SUMIF('raw Data'!$A:$A,"RESINV1USD",'raw Data'!$G:$G)+SUMIF('raw Data'!$A:$A,"RESSWAPORUSD",'raw Data'!$G:$G))</f>
        <v>0</v>
      </c>
      <c r="D27" s="165">
        <f>365*10000*D7/(SUMIF('raw Data'!$A:$A,"RESINV1USD",'raw Data'!$G:$G)+SUMIF('raw Data'!$A:$A,"RESSWAPORUSD",'raw Data'!$G:$G))</f>
        <v>0</v>
      </c>
      <c r="E27" s="165">
        <f>365*10000*E7/(SUMIF('raw Data'!$A:$A,"RESINV1USD",'raw Data'!$G:$G)+SUMIF('raw Data'!$A:$A,"RESSWAPORUSD",'raw Data'!$G:$G))</f>
        <v>0.11625392131507774</v>
      </c>
      <c r="F27" s="165">
        <f>365*10000*F7/(SUMIF('raw Data'!$A:$A,"RESINV1USD",'raw Data'!$G:$G)+SUMIF('raw Data'!$A:$A,"RESSWAPORUSD",'raw Data'!$G:$G))</f>
        <v>0</v>
      </c>
      <c r="G27" s="165">
        <f>365*10000*G7/(SUMIF('raw Data'!$A:$A,"RESINV1USD",'raw Data'!$G:$G)+SUMIF('raw Data'!$A:$A,"RESSWAPORUSD",'raw Data'!$G:$G))</f>
        <v>0</v>
      </c>
      <c r="H27" s="165">
        <f>365*10000*H7/(SUMIF('raw Data'!$A:$A,"RESINV1USD",'raw Data'!$G:$G)+SUMIF('raw Data'!$A:$A,"RESSWAPORUSD",'raw Data'!$G:$G))</f>
        <v>0</v>
      </c>
      <c r="I27" s="165">
        <f>365*10000*I7/(SUMIF('raw Data'!$A:$A,"RESINV1USD",'raw Data'!$G:$G)+SUMIF('raw Data'!$A:$A,"RESSWAPORUSD",'raw Data'!$G:$G))</f>
        <v>0.31979246274689049</v>
      </c>
      <c r="J27" s="166">
        <f>365*10000*J7/(SUMIF('raw Data'!$A:$A,"RESINV1USD",'raw Data'!$G:$G)+SUMIF('raw Data'!$A:$A,"RESSWAPORUSD",'raw Data'!$G:$G))</f>
        <v>-1.5711251553103396</v>
      </c>
      <c r="K27" s="167"/>
      <c r="L27" s="168" t="s">
        <v>17</v>
      </c>
      <c r="M27" s="165">
        <f>365*10000*M7/(SUMIF('raw Data'!$A:$A,"RESINV1USD",'raw Data'!$G:$G)+SUMIF('raw Data'!$A:$A,"RESSWAPORUSD",'raw Data'!$G:$G))</f>
        <v>8.0172278554644733E-2</v>
      </c>
      <c r="N27" s="165">
        <f>365*10000*N7/(SUMIF('raw Data'!$A:$A,"RESINV1USD",'raw Data'!$G:$G)+SUMIF('raw Data'!$A:$A,"RESSWAPORUSD",'raw Data'!$G:$G))</f>
        <v>0</v>
      </c>
      <c r="O27" s="165">
        <f>365*10000*O7/(SUMIF('raw Data'!$A:$A,"RESINV1USD",'raw Data'!$G:$G)+SUMIF('raw Data'!$A:$A,"RESSWAPORUSD",'raw Data'!$G:$G))</f>
        <v>0</v>
      </c>
      <c r="P27" s="165">
        <f>365*10000*P7/(SUMIF('raw Data'!$A:$A,"RESINV1USD",'raw Data'!$G:$G)+SUMIF('raw Data'!$A:$A,"RESSWAPORUSD",'raw Data'!$G:$G))</f>
        <v>0</v>
      </c>
      <c r="Q27" s="165">
        <f>365*10000*Q7/(SUMIF('raw Data'!$A:$A,"RESINV1USD",'raw Data'!$G:$G)+SUMIF('raw Data'!$A:$A,"RESSWAPORUSD",'raw Data'!$G:$G))</f>
        <v>0</v>
      </c>
      <c r="R27" s="165">
        <f>365*10000*R7/(SUMIF('raw Data'!$A:$A,"RESINV1USD",'raw Data'!$G:$G)+SUMIF('raw Data'!$A:$A,"RESSWAPORUSD",'raw Data'!$G:$G))</f>
        <v>0</v>
      </c>
      <c r="S27" s="165">
        <f>365*10000*S7/(SUMIF('raw Data'!$A:$A,"RESINV1USD",'raw Data'!$G:$G)+SUMIF('raw Data'!$A:$A,"RESSWAPORUSD",'raw Data'!$G:$G))</f>
        <v>0</v>
      </c>
      <c r="T27" s="166">
        <f>365*10000*T7/(SUMIF('raw Data'!$A:$A,"RESINV1USD",'raw Data'!$G:$G)+SUMIF('raw Data'!$A:$A,"RESSWAPORUSD",'raw Data'!$G:$G))</f>
        <v>0</v>
      </c>
    </row>
    <row r="28" spans="2:20" x14ac:dyDescent="0.3">
      <c r="B28" s="159" t="s">
        <v>140</v>
      </c>
      <c r="C28" s="165">
        <f>365*10000*C8/(SUMIF('raw Data'!$A:$A,"RESINV1USD",'raw Data'!$G:$G)+SUMIF('raw Data'!$A:$A,"RESSWAPORUSD",'raw Data'!$G:$G))</f>
        <v>0</v>
      </c>
      <c r="D28" s="165">
        <f>365*10000*D8/(SUMIF('raw Data'!$A:$A,"RESINV1USD",'raw Data'!$G:$G)+SUMIF('raw Data'!$A:$A,"RESSWAPORUSD",'raw Data'!$G:$G))</f>
        <v>0</v>
      </c>
      <c r="E28" s="165">
        <f>365*10000*E8/(SUMIF('raw Data'!$A:$A,"RESINV1USD",'raw Data'!$G:$G)+SUMIF('raw Data'!$A:$A,"RESSWAPORUSD",'raw Data'!$G:$G))</f>
        <v>0.63936567249172926</v>
      </c>
      <c r="F28" s="165">
        <f>365*10000*F8/(SUMIF('raw Data'!$A:$A,"RESINV1USD",'raw Data'!$G:$G)+SUMIF('raw Data'!$A:$A,"RESSWAPORUSD",'raw Data'!$G:$G))</f>
        <v>0.17472869696223481</v>
      </c>
      <c r="G28" s="165">
        <f>365*10000*G8/(SUMIF('raw Data'!$A:$A,"RESINV1USD",'raw Data'!$G:$G)+SUMIF('raw Data'!$A:$A,"RESSWAPORUSD",'raw Data'!$G:$G))</f>
        <v>0</v>
      </c>
      <c r="H28" s="165">
        <f>365*10000*H8/(SUMIF('raw Data'!$A:$A,"RESINV1USD",'raw Data'!$G:$G)+SUMIF('raw Data'!$A:$A,"RESSWAPORUSD",'raw Data'!$G:$G))</f>
        <v>0</v>
      </c>
      <c r="I28" s="165">
        <f>365*10000*I8/(SUMIF('raw Data'!$A:$A,"RESINV1USD",'raw Data'!$G:$G)+SUMIF('raw Data'!$A:$A,"RESSWAPORUSD",'raw Data'!$G:$G))</f>
        <v>0.44773256907131759</v>
      </c>
      <c r="J28" s="166">
        <f>365*10000*J8/(SUMIF('raw Data'!$A:$A,"RESINV1USD",'raw Data'!$G:$G)+SUMIF('raw Data'!$A:$A,"RESSWAPORUSD",'raw Data'!$G:$G))</f>
        <v>-0.64197079679792413</v>
      </c>
      <c r="K28" s="167"/>
      <c r="L28" s="168" t="s">
        <v>140</v>
      </c>
      <c r="M28" s="165">
        <f>365*10000*M8/(SUMIF('raw Data'!$A:$A,"RESINV1USD",'raw Data'!$G:$G)+SUMIF('raw Data'!$A:$A,"RESSWAPORUSD",'raw Data'!$G:$G))</f>
        <v>0.40598172464652854</v>
      </c>
      <c r="N28" s="165">
        <f>365*10000*N8/(SUMIF('raw Data'!$A:$A,"RESINV1USD",'raw Data'!$G:$G)+SUMIF('raw Data'!$A:$A,"RESSWAPORUSD",'raw Data'!$G:$G))</f>
        <v>0</v>
      </c>
      <c r="O28" s="165">
        <f>365*10000*O8/(SUMIF('raw Data'!$A:$A,"RESINV1USD",'raw Data'!$G:$G)+SUMIF('raw Data'!$A:$A,"RESSWAPORUSD",'raw Data'!$G:$G))</f>
        <v>0</v>
      </c>
      <c r="P28" s="165">
        <f>365*10000*P8/(SUMIF('raw Data'!$A:$A,"RESINV1USD",'raw Data'!$G:$G)+SUMIF('raw Data'!$A:$A,"RESSWAPORUSD",'raw Data'!$G:$G))</f>
        <v>0</v>
      </c>
      <c r="Q28" s="165">
        <f>365*10000*Q8/(SUMIF('raw Data'!$A:$A,"RESINV1USD",'raw Data'!$G:$G)+SUMIF('raw Data'!$A:$A,"RESSWAPORUSD",'raw Data'!$G:$G))</f>
        <v>0</v>
      </c>
      <c r="R28" s="165">
        <f>365*10000*R8/(SUMIF('raw Data'!$A:$A,"RESINV1USD",'raw Data'!$G:$G)+SUMIF('raw Data'!$A:$A,"RESSWAPORUSD",'raw Data'!$G:$G))</f>
        <v>0</v>
      </c>
      <c r="S28" s="165">
        <f>365*10000*S8/(SUMIF('raw Data'!$A:$A,"RESINV1USD",'raw Data'!$G:$G)+SUMIF('raw Data'!$A:$A,"RESSWAPORUSD",'raw Data'!$G:$G))</f>
        <v>0</v>
      </c>
      <c r="T28" s="166">
        <f>365*10000*T8/(SUMIF('raw Data'!$A:$A,"RESINV1USD",'raw Data'!$G:$G)+SUMIF('raw Data'!$A:$A,"RESSWAPORUSD",'raw Data'!$G:$G))</f>
        <v>0</v>
      </c>
    </row>
    <row r="29" spans="2:20" x14ac:dyDescent="0.3">
      <c r="B29" s="159" t="s">
        <v>78</v>
      </c>
      <c r="C29" s="165">
        <f>365*10000*C9/(SUMIF('raw Data'!$A:$A,"RESINV1USD",'raw Data'!$G:$G)+SUMIF('raw Data'!$A:$A,"RESSWAPORUSD",'raw Data'!$G:$G))</f>
        <v>0</v>
      </c>
      <c r="D29" s="165">
        <f>365*10000*D9/(SUMIF('raw Data'!$A:$A,"RESINV1USD",'raw Data'!$G:$G)+SUMIF('raw Data'!$A:$A,"RESSWAPORUSD",'raw Data'!$G:$G))</f>
        <v>0</v>
      </c>
      <c r="E29" s="165">
        <f>365*10000*E9/(SUMIF('raw Data'!$A:$A,"RESINV1USD",'raw Data'!$G:$G)+SUMIF('raw Data'!$A:$A,"RESSWAPORUSD",'raw Data'!$G:$G))</f>
        <v>0.59862248508321669</v>
      </c>
      <c r="F29" s="165">
        <f>365*10000*F9/(SUMIF('raw Data'!$A:$A,"RESINV1USD",'raw Data'!$G:$G)+SUMIF('raw Data'!$A:$A,"RESSWAPORUSD",'raw Data'!$G:$G))</f>
        <v>0</v>
      </c>
      <c r="G29" s="165">
        <f>365*10000*G9/(SUMIF('raw Data'!$A:$A,"RESINV1USD",'raw Data'!$G:$G)+SUMIF('raw Data'!$A:$A,"RESSWAPORUSD",'raw Data'!$G:$G))</f>
        <v>0</v>
      </c>
      <c r="H29" s="165">
        <f>365*10000*H9/(SUMIF('raw Data'!$A:$A,"RESINV1USD",'raw Data'!$G:$G)+SUMIF('raw Data'!$A:$A,"RESSWAPORUSD",'raw Data'!$G:$G))</f>
        <v>0</v>
      </c>
      <c r="I29" s="165">
        <f>365*10000*I9/(SUMIF('raw Data'!$A:$A,"RESINV1USD",'raw Data'!$G:$G)+SUMIF('raw Data'!$A:$A,"RESSWAPORUSD",'raw Data'!$G:$G))</f>
        <v>2.7205769574477472</v>
      </c>
      <c r="J29" s="166">
        <f>365*10000*J9/(SUMIF('raw Data'!$A:$A,"RESINV1USD",'raw Data'!$G:$G)+SUMIF('raw Data'!$A:$A,"RESSWAPORUSD",'raw Data'!$G:$G))</f>
        <v>0</v>
      </c>
      <c r="K29" s="167"/>
      <c r="L29" s="168" t="s">
        <v>78</v>
      </c>
      <c r="M29" s="165">
        <f>365*10000*M9/(SUMIF('raw Data'!$A:$A,"RESINV1USD",'raw Data'!$G:$G)+SUMIF('raw Data'!$A:$A,"RESSWAPORUSD",'raw Data'!$G:$G))</f>
        <v>0.16650445048984377</v>
      </c>
      <c r="N29" s="165">
        <f>365*10000*N9/(SUMIF('raw Data'!$A:$A,"RESINV1USD",'raw Data'!$G:$G)+SUMIF('raw Data'!$A:$A,"RESSWAPORUSD",'raw Data'!$G:$G))</f>
        <v>0</v>
      </c>
      <c r="O29" s="165">
        <f>365*10000*O9/(SUMIF('raw Data'!$A:$A,"RESINV1USD",'raw Data'!$G:$G)+SUMIF('raw Data'!$A:$A,"RESSWAPORUSD",'raw Data'!$G:$G))</f>
        <v>0</v>
      </c>
      <c r="P29" s="165">
        <f>365*10000*P9/(SUMIF('raw Data'!$A:$A,"RESINV1USD",'raw Data'!$G:$G)+SUMIF('raw Data'!$A:$A,"RESSWAPORUSD",'raw Data'!$G:$G))</f>
        <v>0</v>
      </c>
      <c r="Q29" s="165">
        <f>365*10000*Q9/(SUMIF('raw Data'!$A:$A,"RESINV1USD",'raw Data'!$G:$G)+SUMIF('raw Data'!$A:$A,"RESSWAPORUSD",'raw Data'!$G:$G))</f>
        <v>0</v>
      </c>
      <c r="R29" s="165">
        <f>365*10000*R9/(SUMIF('raw Data'!$A:$A,"RESINV1USD",'raw Data'!$G:$G)+SUMIF('raw Data'!$A:$A,"RESSWAPORUSD",'raw Data'!$G:$G))</f>
        <v>0</v>
      </c>
      <c r="S29" s="165">
        <f>365*10000*S9/(SUMIF('raw Data'!$A:$A,"RESINV1USD",'raw Data'!$G:$G)+SUMIF('raw Data'!$A:$A,"RESSWAPORUSD",'raw Data'!$G:$G))</f>
        <v>0</v>
      </c>
      <c r="T29" s="166">
        <f>365*10000*T9/(SUMIF('raw Data'!$A:$A,"RESINV1USD",'raw Data'!$G:$G)+SUMIF('raw Data'!$A:$A,"RESSWAPORUSD",'raw Data'!$G:$G))</f>
        <v>0</v>
      </c>
    </row>
    <row r="30" spans="2:20" x14ac:dyDescent="0.3">
      <c r="B30" s="159" t="s">
        <v>18</v>
      </c>
      <c r="C30" s="165">
        <f>365*10000*C10/(SUMIF('raw Data'!$A:$A,"RESINV1USD",'raw Data'!$G:$G)+SUMIF('raw Data'!$A:$A,"RESSWAPORUSD",'raw Data'!$G:$G))</f>
        <v>0</v>
      </c>
      <c r="D30" s="165">
        <f>365*10000*D10/(SUMIF('raw Data'!$A:$A,"RESINV1USD",'raw Data'!$G:$G)+SUMIF('raw Data'!$A:$A,"RESSWAPORUSD",'raw Data'!$G:$G))</f>
        <v>0</v>
      </c>
      <c r="E30" s="165">
        <f>365*10000*E10/(SUMIF('raw Data'!$A:$A,"RESINV1USD",'raw Data'!$G:$G)+SUMIF('raw Data'!$A:$A,"RESSWAPORUSD",'raw Data'!$G:$G))</f>
        <v>0.70356295149243275</v>
      </c>
      <c r="F30" s="165">
        <f>365*10000*F10/(SUMIF('raw Data'!$A:$A,"RESINV1USD",'raw Data'!$G:$G)+SUMIF('raw Data'!$A:$A,"RESSWAPORUSD",'raw Data'!$G:$G))</f>
        <v>16.286999970445304</v>
      </c>
      <c r="G30" s="165">
        <f>365*10000*G10/(SUMIF('raw Data'!$A:$A,"RESINV1USD",'raw Data'!$G:$G)+SUMIF('raw Data'!$A:$A,"RESSWAPORUSD",'raw Data'!$G:$G))</f>
        <v>0</v>
      </c>
      <c r="H30" s="165">
        <f>365*10000*H10/(SUMIF('raw Data'!$A:$A,"RESINV1USD",'raw Data'!$G:$G)+SUMIF('raw Data'!$A:$A,"RESSWAPORUSD",'raw Data'!$G:$G))</f>
        <v>0</v>
      </c>
      <c r="I30" s="165">
        <f>365*10000*I10/(SUMIF('raw Data'!$A:$A,"RESINV1USD",'raw Data'!$G:$G)+SUMIF('raw Data'!$A:$A,"RESSWAPORUSD",'raw Data'!$G:$G))</f>
        <v>3.9829041914595282</v>
      </c>
      <c r="J30" s="166">
        <f>365*10000*J10/(SUMIF('raw Data'!$A:$A,"RESINV1USD",'raw Data'!$G:$G)+SUMIF('raw Data'!$A:$A,"RESSWAPORUSD",'raw Data'!$G:$G))</f>
        <v>0</v>
      </c>
      <c r="K30" s="167"/>
      <c r="L30" s="168" t="s">
        <v>18</v>
      </c>
      <c r="M30" s="165">
        <f>365*10000*M10/(SUMIF('raw Data'!$A:$A,"RESINV1USD",'raw Data'!$G:$G)+SUMIF('raw Data'!$A:$A,"RESSWAPORUSD",'raw Data'!$G:$G))</f>
        <v>10.355493086269625</v>
      </c>
      <c r="N30" s="165">
        <f>365*10000*N10/(SUMIF('raw Data'!$A:$A,"RESINV1USD",'raw Data'!$G:$G)+SUMIF('raw Data'!$A:$A,"RESSWAPORUSD",'raw Data'!$G:$G))</f>
        <v>0</v>
      </c>
      <c r="O30" s="165">
        <f>365*10000*O10/(SUMIF('raw Data'!$A:$A,"RESINV1USD",'raw Data'!$G:$G)+SUMIF('raw Data'!$A:$A,"RESSWAPORUSD",'raw Data'!$G:$G))</f>
        <v>0</v>
      </c>
      <c r="P30" s="165">
        <f>365*10000*P10/(SUMIF('raw Data'!$A:$A,"RESINV1USD",'raw Data'!$G:$G)+SUMIF('raw Data'!$A:$A,"RESSWAPORUSD",'raw Data'!$G:$G))</f>
        <v>0</v>
      </c>
      <c r="Q30" s="165">
        <f>365*10000*Q10/(SUMIF('raw Data'!$A:$A,"RESINV1USD",'raw Data'!$G:$G)+SUMIF('raw Data'!$A:$A,"RESSWAPORUSD",'raw Data'!$G:$G))</f>
        <v>0</v>
      </c>
      <c r="R30" s="165">
        <f>365*10000*R10/(SUMIF('raw Data'!$A:$A,"RESINV1USD",'raw Data'!$G:$G)+SUMIF('raw Data'!$A:$A,"RESSWAPORUSD",'raw Data'!$G:$G))</f>
        <v>0</v>
      </c>
      <c r="S30" s="165">
        <f>365*10000*S10/(SUMIF('raw Data'!$A:$A,"RESINV1USD",'raw Data'!$G:$G)+SUMIF('raw Data'!$A:$A,"RESSWAPORUSD",'raw Data'!$G:$G))</f>
        <v>0</v>
      </c>
      <c r="T30" s="166">
        <f>365*10000*T10/(SUMIF('raw Data'!$A:$A,"RESINV1USD",'raw Data'!$G:$G)+SUMIF('raw Data'!$A:$A,"RESSWAPORUSD",'raw Data'!$G:$G))</f>
        <v>0</v>
      </c>
    </row>
    <row r="31" spans="2:20" x14ac:dyDescent="0.3">
      <c r="B31" s="159" t="s">
        <v>19</v>
      </c>
      <c r="C31" s="165">
        <f>365*10000*C11/(SUMIF('raw Data'!$A:$A,"RESINV1USD",'raw Data'!$G:$G)+SUMIF('raw Data'!$A:$A,"RESSWAPORUSD",'raw Data'!$G:$G))</f>
        <v>7.6758004438963194</v>
      </c>
      <c r="D31" s="165">
        <f>365*10000*D11/(SUMIF('raw Data'!$A:$A,"RESINV1USD",'raw Data'!$G:$G)+SUMIF('raw Data'!$A:$A,"RESSWAPORUSD",'raw Data'!$G:$G))</f>
        <v>0</v>
      </c>
      <c r="E31" s="165">
        <f>365*10000*E11/(SUMIF('raw Data'!$A:$A,"RESINV1USD",'raw Data'!$G:$G)+SUMIF('raw Data'!$A:$A,"RESSWAPORUSD",'raw Data'!$G:$G))</f>
        <v>1.7687797434507315</v>
      </c>
      <c r="F31" s="165">
        <f>365*10000*F11/(SUMIF('raw Data'!$A:$A,"RESINV1USD",'raw Data'!$G:$G)+SUMIF('raw Data'!$A:$A,"RESSWAPORUSD",'raw Data'!$G:$G))</f>
        <v>1.0414278412357023</v>
      </c>
      <c r="G31" s="165">
        <f>365*10000*G11/(SUMIF('raw Data'!$A:$A,"RESINV1USD",'raw Data'!$G:$G)+SUMIF('raw Data'!$A:$A,"RESSWAPORUSD",'raw Data'!$G:$G))</f>
        <v>-6.2313497071258359</v>
      </c>
      <c r="H31" s="165">
        <f>365*10000*H11/(SUMIF('raw Data'!$A:$A,"RESINV1USD",'raw Data'!$G:$G)+SUMIF('raw Data'!$A:$A,"RESSWAPORUSD",'raw Data'!$G:$G))</f>
        <v>0</v>
      </c>
      <c r="I31" s="165">
        <f>365*10000*I11/(SUMIF('raw Data'!$A:$A,"RESINV1USD",'raw Data'!$G:$G)+SUMIF('raw Data'!$A:$A,"RESSWAPORUSD",'raw Data'!$G:$G))</f>
        <v>0</v>
      </c>
      <c r="J31" s="166">
        <f>365*10000*J11/(SUMIF('raw Data'!$A:$A,"RESINV1USD",'raw Data'!$G:$G)+SUMIF('raw Data'!$A:$A,"RESSWAPORUSD",'raw Data'!$G:$G))</f>
        <v>0</v>
      </c>
      <c r="K31" s="167"/>
      <c r="L31" s="168" t="s">
        <v>19</v>
      </c>
      <c r="M31" s="165">
        <f>365*10000*M11/(SUMIF('raw Data'!$A:$A,"RESINV1USD",'raw Data'!$G:$G)+SUMIF('raw Data'!$A:$A,"RESSWAPORUSD",'raw Data'!$G:$G))</f>
        <v>35.589477239882974</v>
      </c>
      <c r="N31" s="165">
        <f>365*10000*N11/(SUMIF('raw Data'!$A:$A,"RESINV1USD",'raw Data'!$G:$G)+SUMIF('raw Data'!$A:$A,"RESSWAPORUSD",'raw Data'!$G:$G))</f>
        <v>0</v>
      </c>
      <c r="O31" s="165">
        <f>365*10000*O11/(SUMIF('raw Data'!$A:$A,"RESINV1USD",'raw Data'!$G:$G)+SUMIF('raw Data'!$A:$A,"RESSWAPORUSD",'raw Data'!$G:$G))</f>
        <v>0</v>
      </c>
      <c r="P31" s="165">
        <f>365*10000*P11/(SUMIF('raw Data'!$A:$A,"RESINV1USD",'raw Data'!$G:$G)+SUMIF('raw Data'!$A:$A,"RESSWAPORUSD",'raw Data'!$G:$G))</f>
        <v>0</v>
      </c>
      <c r="Q31" s="165">
        <f>365*10000*Q11/(SUMIF('raw Data'!$A:$A,"RESINV1USD",'raw Data'!$G:$G)+SUMIF('raw Data'!$A:$A,"RESSWAPORUSD",'raw Data'!$G:$G))</f>
        <v>0</v>
      </c>
      <c r="R31" s="165">
        <f>365*10000*R11/(SUMIF('raw Data'!$A:$A,"RESINV1USD",'raw Data'!$G:$G)+SUMIF('raw Data'!$A:$A,"RESSWAPORUSD",'raw Data'!$G:$G))</f>
        <v>0</v>
      </c>
      <c r="S31" s="165">
        <f>365*10000*S11/(SUMIF('raw Data'!$A:$A,"RESINV1USD",'raw Data'!$G:$G)+SUMIF('raw Data'!$A:$A,"RESSWAPORUSD",'raw Data'!$G:$G))</f>
        <v>0</v>
      </c>
      <c r="T31" s="166">
        <f>365*10000*T11/(SUMIF('raw Data'!$A:$A,"RESINV1USD",'raw Data'!$G:$G)+SUMIF('raw Data'!$A:$A,"RESSWAPORUSD",'raw Data'!$G:$G))</f>
        <v>0</v>
      </c>
    </row>
    <row r="32" spans="2:20" x14ac:dyDescent="0.3">
      <c r="B32" s="159" t="s">
        <v>175</v>
      </c>
      <c r="C32" s="165">
        <f>365*10000*C12/(SUMIF('raw Data'!$A:$A,"RESINV1USD",'raw Data'!$G:$G)+SUMIF('raw Data'!$A:$A,"RESSWAPORUSD",'raw Data'!$G:$G))</f>
        <v>0</v>
      </c>
      <c r="D32" s="165">
        <f>365*10000*D12/(SUMIF('raw Data'!$A:$A,"RESINV1USD",'raw Data'!$G:$G)+SUMIF('raw Data'!$A:$A,"RESSWAPORUSD",'raw Data'!$G:$G))</f>
        <v>0</v>
      </c>
      <c r="E32" s="165">
        <f>365*10000*E12/(SUMIF('raw Data'!$A:$A,"RESINV1USD",'raw Data'!$G:$G)+SUMIF('raw Data'!$A:$A,"RESSWAPORUSD",'raw Data'!$G:$G))</f>
        <v>4.8131614935829132</v>
      </c>
      <c r="F32" s="165">
        <f>365*10000*F12/(SUMIF('raw Data'!$A:$A,"RESINV1USD",'raw Data'!$G:$G)+SUMIF('raw Data'!$A:$A,"RESSWAPORUSD",'raw Data'!$G:$G))</f>
        <v>0</v>
      </c>
      <c r="G32" s="165">
        <f>365*10000*G12/(SUMIF('raw Data'!$A:$A,"RESINV1USD",'raw Data'!$G:$G)+SUMIF('raw Data'!$A:$A,"RESSWAPORUSD",'raw Data'!$G:$G))</f>
        <v>-5.7126668665906264</v>
      </c>
      <c r="H32" s="165">
        <f>365*10000*H12/(SUMIF('raw Data'!$A:$A,"RESINV1USD",'raw Data'!$G:$G)+SUMIF('raw Data'!$A:$A,"RESSWAPORUSD",'raw Data'!$G:$G))</f>
        <v>0</v>
      </c>
      <c r="I32" s="165">
        <f>365*10000*I12/(SUMIF('raw Data'!$A:$A,"RESINV1USD",'raw Data'!$G:$G)+SUMIF('raw Data'!$A:$A,"RESSWAPORUSD",'raw Data'!$G:$G))</f>
        <v>0</v>
      </c>
      <c r="J32" s="166">
        <f>365*10000*J12/(SUMIF('raw Data'!$A:$A,"RESINV1USD",'raw Data'!$G:$G)+SUMIF('raw Data'!$A:$A,"RESSWAPORUSD",'raw Data'!$G:$G))</f>
        <v>0</v>
      </c>
      <c r="K32" s="167"/>
      <c r="L32" s="168" t="s">
        <v>175</v>
      </c>
      <c r="M32" s="165">
        <f>365*10000*M12/(SUMIF('raw Data'!$A:$A,"RESINV1USD",'raw Data'!$G:$G)+SUMIF('raw Data'!$A:$A,"RESSWAPORUSD",'raw Data'!$G:$G))</f>
        <v>15.220425858506353</v>
      </c>
      <c r="N32" s="165">
        <f>365*10000*N12/(SUMIF('raw Data'!$A:$A,"RESINV1USD",'raw Data'!$G:$G)+SUMIF('raw Data'!$A:$A,"RESSWAPORUSD",'raw Data'!$G:$G))</f>
        <v>0</v>
      </c>
      <c r="O32" s="165">
        <f>365*10000*O12/(SUMIF('raw Data'!$A:$A,"RESINV1USD",'raw Data'!$G:$G)+SUMIF('raw Data'!$A:$A,"RESSWAPORUSD",'raw Data'!$G:$G))</f>
        <v>0</v>
      </c>
      <c r="P32" s="165">
        <f>365*10000*P12/(SUMIF('raw Data'!$A:$A,"RESINV1USD",'raw Data'!$G:$G)+SUMIF('raw Data'!$A:$A,"RESSWAPORUSD",'raw Data'!$G:$G))</f>
        <v>0</v>
      </c>
      <c r="Q32" s="165">
        <f>365*10000*Q12/(SUMIF('raw Data'!$A:$A,"RESINV1USD",'raw Data'!$G:$G)+SUMIF('raw Data'!$A:$A,"RESSWAPORUSD",'raw Data'!$G:$G))</f>
        <v>0</v>
      </c>
      <c r="R32" s="165">
        <f>365*10000*R12/(SUMIF('raw Data'!$A:$A,"RESINV1USD",'raw Data'!$G:$G)+SUMIF('raw Data'!$A:$A,"RESSWAPORUSD",'raw Data'!$G:$G))</f>
        <v>0</v>
      </c>
      <c r="S32" s="165">
        <f>365*10000*S12/(SUMIF('raw Data'!$A:$A,"RESINV1USD",'raw Data'!$G:$G)+SUMIF('raw Data'!$A:$A,"RESSWAPORUSD",'raw Data'!$G:$G))</f>
        <v>0</v>
      </c>
      <c r="T32" s="166">
        <f>365*10000*T12/(SUMIF('raw Data'!$A:$A,"RESINV1USD",'raw Data'!$G:$G)+SUMIF('raw Data'!$A:$A,"RESSWAPORUSD",'raw Data'!$G:$G))</f>
        <v>0</v>
      </c>
    </row>
    <row r="33" spans="2:20" x14ac:dyDescent="0.3">
      <c r="B33" s="159" t="s">
        <v>182</v>
      </c>
      <c r="C33" s="165">
        <f>365*10000*C13/(SUMIF('raw Data'!$A:$A,"RESINV1USD",'raw Data'!$G:$G)+SUMIF('raw Data'!$A:$A,"RESSWAPORUSD",'raw Data'!$G:$G))</f>
        <v>40.0465309265849</v>
      </c>
      <c r="D33" s="165">
        <f>365*10000*D13/(SUMIF('raw Data'!$A:$A,"RESINV1USD",'raw Data'!$G:$G)+SUMIF('raw Data'!$A:$A,"RESSWAPORUSD",'raw Data'!$G:$G))</f>
        <v>0</v>
      </c>
      <c r="E33" s="165">
        <f>365*10000*E13/(SUMIF('raw Data'!$A:$A,"RESINV1USD",'raw Data'!$G:$G)+SUMIF('raw Data'!$A:$A,"RESSWAPORUSD",'raw Data'!$G:$G))</f>
        <v>3.6928982456459001</v>
      </c>
      <c r="F33" s="165">
        <f>365*10000*F13/(SUMIF('raw Data'!$A:$A,"RESINV1USD",'raw Data'!$G:$G)+SUMIF('raw Data'!$A:$A,"RESSWAPORUSD",'raw Data'!$G:$G))</f>
        <v>0</v>
      </c>
      <c r="G33" s="165">
        <f>365*10000*G13/(SUMIF('raw Data'!$A:$A,"RESINV1USD",'raw Data'!$G:$G)+SUMIF('raw Data'!$A:$A,"RESSWAPORUSD",'raw Data'!$G:$G))</f>
        <v>-3.0985272755933746</v>
      </c>
      <c r="H33" s="165">
        <f>365*10000*H13/(SUMIF('raw Data'!$A:$A,"RESINV1USD",'raw Data'!$G:$G)+SUMIF('raw Data'!$A:$A,"RESSWAPORUSD",'raw Data'!$G:$G))</f>
        <v>-3.0059506852907583</v>
      </c>
      <c r="I33" s="165">
        <f>365*10000*I13/(SUMIF('raw Data'!$A:$A,"RESINV1USD",'raw Data'!$G:$G)+SUMIF('raw Data'!$A:$A,"RESSWAPORUSD",'raw Data'!$G:$G))</f>
        <v>0</v>
      </c>
      <c r="J33" s="166">
        <f>365*10000*J13/(SUMIF('raw Data'!$A:$A,"RESINV1USD",'raw Data'!$G:$G)+SUMIF('raw Data'!$A:$A,"RESSWAPORUSD",'raw Data'!$G:$G))</f>
        <v>0</v>
      </c>
      <c r="K33" s="167"/>
      <c r="L33" s="168" t="s">
        <v>182</v>
      </c>
      <c r="M33" s="165">
        <f>365*10000*M13/(SUMIF('raw Data'!$A:$A,"RESINV1USD",'raw Data'!$G:$G)+SUMIF('raw Data'!$A:$A,"RESSWAPORUSD",'raw Data'!$G:$G))</f>
        <v>21.621340244710336</v>
      </c>
      <c r="N33" s="165">
        <f>365*10000*N13/(SUMIF('raw Data'!$A:$A,"RESINV1USD",'raw Data'!$G:$G)+SUMIF('raw Data'!$A:$A,"RESSWAPORUSD",'raw Data'!$G:$G))</f>
        <v>0</v>
      </c>
      <c r="O33" s="165">
        <f>365*10000*O13/(SUMIF('raw Data'!$A:$A,"RESINV1USD",'raw Data'!$G:$G)+SUMIF('raw Data'!$A:$A,"RESSWAPORUSD",'raw Data'!$G:$G))</f>
        <v>0</v>
      </c>
      <c r="P33" s="165">
        <f>365*10000*P13/(SUMIF('raw Data'!$A:$A,"RESINV1USD",'raw Data'!$G:$G)+SUMIF('raw Data'!$A:$A,"RESSWAPORUSD",'raw Data'!$G:$G))</f>
        <v>0</v>
      </c>
      <c r="Q33" s="165">
        <f>365*10000*Q13/(SUMIF('raw Data'!$A:$A,"RESINV1USD",'raw Data'!$G:$G)+SUMIF('raw Data'!$A:$A,"RESSWAPORUSD",'raw Data'!$G:$G))</f>
        <v>0</v>
      </c>
      <c r="R33" s="165">
        <f>365*10000*R13/(SUMIF('raw Data'!$A:$A,"RESINV1USD",'raw Data'!$G:$G)+SUMIF('raw Data'!$A:$A,"RESSWAPORUSD",'raw Data'!$G:$G))</f>
        <v>0</v>
      </c>
      <c r="S33" s="165">
        <f>365*10000*S13/(SUMIF('raw Data'!$A:$A,"RESINV1USD",'raw Data'!$G:$G)+SUMIF('raw Data'!$A:$A,"RESSWAPORUSD",'raw Data'!$G:$G))</f>
        <v>0</v>
      </c>
      <c r="T33" s="166">
        <f>365*10000*T13/(SUMIF('raw Data'!$A:$A,"RESINV1USD",'raw Data'!$G:$G)+SUMIF('raw Data'!$A:$A,"RESSWAPORUSD",'raw Data'!$G:$G))</f>
        <v>0</v>
      </c>
    </row>
    <row r="34" spans="2:20" x14ac:dyDescent="0.3">
      <c r="B34" s="159" t="s">
        <v>81</v>
      </c>
      <c r="C34" s="165">
        <f>365*10000*C14/(SUMIF('raw Data'!$A:$A,"RESINV1USD",'raw Data'!$G:$G)+SUMIF('raw Data'!$A:$A,"RESSWAPORUSD",'raw Data'!$G:$G))</f>
        <v>162.41190444122114</v>
      </c>
      <c r="D34" s="165">
        <f>365*10000*D14/(SUMIF('raw Data'!$A:$A,"RESINV1USD",'raw Data'!$G:$G)+SUMIF('raw Data'!$A:$A,"RESSWAPORUSD",'raw Data'!$G:$G))</f>
        <v>0</v>
      </c>
      <c r="E34" s="165">
        <f>365*10000*E14/(SUMIF('raw Data'!$A:$A,"RESINV1USD",'raw Data'!$G:$G)+SUMIF('raw Data'!$A:$A,"RESSWAPORUSD",'raw Data'!$G:$G))</f>
        <v>20.506472171491161</v>
      </c>
      <c r="F34" s="165">
        <f>365*10000*F14/(SUMIF('raw Data'!$A:$A,"RESINV1USD",'raw Data'!$G:$G)+SUMIF('raw Data'!$A:$A,"RESSWAPORUSD",'raw Data'!$G:$G))</f>
        <v>0</v>
      </c>
      <c r="G34" s="165">
        <f>365*10000*G14/(SUMIF('raw Data'!$A:$A,"RESINV1USD",'raw Data'!$G:$G)+SUMIF('raw Data'!$A:$A,"RESSWAPORUSD",'raw Data'!$G:$G))</f>
        <v>-16.349323632883021</v>
      </c>
      <c r="H34" s="165">
        <f>365*10000*H14/(SUMIF('raw Data'!$A:$A,"RESINV1USD",'raw Data'!$G:$G)+SUMIF('raw Data'!$A:$A,"RESSWAPORUSD",'raw Data'!$G:$G))</f>
        <v>-6.0131351670203337</v>
      </c>
      <c r="I34" s="165">
        <f>365*10000*I14/(SUMIF('raw Data'!$A:$A,"RESINV1USD",'raw Data'!$G:$G)+SUMIF('raw Data'!$A:$A,"RESSWAPORUSD",'raw Data'!$G:$G))</f>
        <v>0</v>
      </c>
      <c r="J34" s="166">
        <f>365*10000*J14/(SUMIF('raw Data'!$A:$A,"RESINV1USD",'raw Data'!$G:$G)+SUMIF('raw Data'!$A:$A,"RESSWAPORUSD",'raw Data'!$G:$G))</f>
        <v>0</v>
      </c>
      <c r="K34" s="167"/>
      <c r="L34" s="168" t="s">
        <v>81</v>
      </c>
      <c r="M34" s="165">
        <f>365*10000*M14/(SUMIF('raw Data'!$A:$A,"RESINV1USD",'raw Data'!$G:$G)+SUMIF('raw Data'!$A:$A,"RESSWAPORUSD",'raw Data'!$G:$G))</f>
        <v>147.85336989833425</v>
      </c>
      <c r="N34" s="165">
        <f>365*10000*N14/(SUMIF('raw Data'!$A:$A,"RESINV1USD",'raw Data'!$G:$G)+SUMIF('raw Data'!$A:$A,"RESSWAPORUSD",'raw Data'!$G:$G))</f>
        <v>0</v>
      </c>
      <c r="O34" s="165">
        <f>365*10000*O14/(SUMIF('raw Data'!$A:$A,"RESINV1USD",'raw Data'!$G:$G)+SUMIF('raw Data'!$A:$A,"RESSWAPORUSD",'raw Data'!$G:$G))</f>
        <v>0</v>
      </c>
      <c r="P34" s="165">
        <f>365*10000*P14/(SUMIF('raw Data'!$A:$A,"RESINV1USD",'raw Data'!$G:$G)+SUMIF('raw Data'!$A:$A,"RESSWAPORUSD",'raw Data'!$G:$G))</f>
        <v>0</v>
      </c>
      <c r="Q34" s="165">
        <f>365*10000*Q14/(SUMIF('raw Data'!$A:$A,"RESINV1USD",'raw Data'!$G:$G)+SUMIF('raw Data'!$A:$A,"RESSWAPORUSD",'raw Data'!$G:$G))</f>
        <v>0</v>
      </c>
      <c r="R34" s="165">
        <f>365*10000*R14/(SUMIF('raw Data'!$A:$A,"RESINV1USD",'raw Data'!$G:$G)+SUMIF('raw Data'!$A:$A,"RESSWAPORUSD",'raw Data'!$G:$G))</f>
        <v>0</v>
      </c>
      <c r="S34" s="165">
        <f>365*10000*S14/(SUMIF('raw Data'!$A:$A,"RESINV1USD",'raw Data'!$G:$G)+SUMIF('raw Data'!$A:$A,"RESSWAPORUSD",'raw Data'!$G:$G))</f>
        <v>0</v>
      </c>
      <c r="T34" s="166">
        <f>365*10000*T14/(SUMIF('raw Data'!$A:$A,"RESINV1USD",'raw Data'!$G:$G)+SUMIF('raw Data'!$A:$A,"RESSWAPORUSD",'raw Data'!$G:$G))</f>
        <v>0</v>
      </c>
    </row>
    <row r="35" spans="2:20" x14ac:dyDescent="0.3">
      <c r="B35" s="159" t="s">
        <v>82</v>
      </c>
      <c r="C35" s="165">
        <f>365*10000*C15/(SUMIF('raw Data'!$A:$A,"RESINV1USD",'raw Data'!$G:$G)+SUMIF('raw Data'!$A:$A,"RESSWAPORUSD",'raw Data'!$G:$G))</f>
        <v>8.3554468792831429</v>
      </c>
      <c r="D35" s="165">
        <f>365*10000*D15/(SUMIF('raw Data'!$A:$A,"RESINV1USD",'raw Data'!$G:$G)+SUMIF('raw Data'!$A:$A,"RESSWAPORUSD",'raw Data'!$G:$G))</f>
        <v>-1.7131353247391499</v>
      </c>
      <c r="E35" s="165">
        <f>365*10000*E15/(SUMIF('raw Data'!$A:$A,"RESINV1USD",'raw Data'!$G:$G)+SUMIF('raw Data'!$A:$A,"RESSWAPORUSD",'raw Data'!$G:$G))</f>
        <v>16.652715971076454</v>
      </c>
      <c r="F35" s="165">
        <f>365*10000*F15/(SUMIF('raw Data'!$A:$A,"RESINV1USD",'raw Data'!$G:$G)+SUMIF('raw Data'!$A:$A,"RESSWAPORUSD",'raw Data'!$G:$G))</f>
        <v>0</v>
      </c>
      <c r="G35" s="165">
        <f>365*10000*G15/(SUMIF('raw Data'!$A:$A,"RESINV1USD",'raw Data'!$G:$G)+SUMIF('raw Data'!$A:$A,"RESSWAPORUSD",'raw Data'!$G:$G))</f>
        <v>-5.4715942044166921</v>
      </c>
      <c r="H35" s="165">
        <f>365*10000*H15/(SUMIF('raw Data'!$A:$A,"RESINV1USD",'raw Data'!$G:$G)+SUMIF('raw Data'!$A:$A,"RESSWAPORUSD",'raw Data'!$G:$G))</f>
        <v>0</v>
      </c>
      <c r="I35" s="165">
        <f>365*10000*I15/(SUMIF('raw Data'!$A:$A,"RESINV1USD",'raw Data'!$G:$G)+SUMIF('raw Data'!$A:$A,"RESSWAPORUSD",'raw Data'!$G:$G))</f>
        <v>0</v>
      </c>
      <c r="J35" s="166">
        <f>365*10000*J15/(SUMIF('raw Data'!$A:$A,"RESINV1USD",'raw Data'!$G:$G)+SUMIF('raw Data'!$A:$A,"RESSWAPORUSD",'raw Data'!$G:$G))</f>
        <v>0</v>
      </c>
      <c r="K35" s="167"/>
      <c r="L35" s="168" t="s">
        <v>82</v>
      </c>
      <c r="M35" s="165">
        <f>365*10000*M15/(SUMIF('raw Data'!$A:$A,"RESINV1USD",'raw Data'!$G:$G)+SUMIF('raw Data'!$A:$A,"RESSWAPORUSD",'raw Data'!$G:$G))</f>
        <v>16.334072601180218</v>
      </c>
      <c r="N35" s="165">
        <f>365*10000*N15/(SUMIF('raw Data'!$A:$A,"RESINV1USD",'raw Data'!$G:$G)+SUMIF('raw Data'!$A:$A,"RESSWAPORUSD",'raw Data'!$G:$G))</f>
        <v>0</v>
      </c>
      <c r="O35" s="165">
        <f>365*10000*O15/(SUMIF('raw Data'!$A:$A,"RESINV1USD",'raw Data'!$G:$G)+SUMIF('raw Data'!$A:$A,"RESSWAPORUSD",'raw Data'!$G:$G))</f>
        <v>0</v>
      </c>
      <c r="P35" s="165">
        <f>365*10000*P15/(SUMIF('raw Data'!$A:$A,"RESINV1USD",'raw Data'!$G:$G)+SUMIF('raw Data'!$A:$A,"RESSWAPORUSD",'raw Data'!$G:$G))</f>
        <v>0</v>
      </c>
      <c r="Q35" s="165">
        <f>365*10000*Q15/(SUMIF('raw Data'!$A:$A,"RESINV1USD",'raw Data'!$G:$G)+SUMIF('raw Data'!$A:$A,"RESSWAPORUSD",'raw Data'!$G:$G))</f>
        <v>0</v>
      </c>
      <c r="R35" s="165">
        <f>365*10000*R15/(SUMIF('raw Data'!$A:$A,"RESINV1USD",'raw Data'!$G:$G)+SUMIF('raw Data'!$A:$A,"RESSWAPORUSD",'raw Data'!$G:$G))</f>
        <v>0</v>
      </c>
      <c r="S35" s="165">
        <f>365*10000*S15/(SUMIF('raw Data'!$A:$A,"RESINV1USD",'raw Data'!$G:$G)+SUMIF('raw Data'!$A:$A,"RESSWAPORUSD",'raw Data'!$G:$G))</f>
        <v>0</v>
      </c>
      <c r="T35" s="166">
        <f>365*10000*T15/(SUMIF('raw Data'!$A:$A,"RESINV1USD",'raw Data'!$G:$G)+SUMIF('raw Data'!$A:$A,"RESSWAPORUSD",'raw Data'!$G:$G))</f>
        <v>0</v>
      </c>
    </row>
    <row r="36" spans="2:20" x14ac:dyDescent="0.3">
      <c r="B36" s="159" t="s">
        <v>84</v>
      </c>
      <c r="C36" s="165">
        <f>365*10000*C16/(SUMIF('raw Data'!$A:$A,"RESINV1USD",'raw Data'!$G:$G)+SUMIF('raw Data'!$A:$A,"RESSWAPORUSD",'raw Data'!$G:$G))</f>
        <v>48.958449897911407</v>
      </c>
      <c r="D36" s="165">
        <f>365*10000*D16/(SUMIF('raw Data'!$A:$A,"RESINV1USD",'raw Data'!$G:$G)+SUMIF('raw Data'!$A:$A,"RESSWAPORUSD",'raw Data'!$G:$G))</f>
        <v>0</v>
      </c>
      <c r="E36" s="165">
        <f>365*10000*E16/(SUMIF('raw Data'!$A:$A,"RESINV1USD",'raw Data'!$G:$G)+SUMIF('raw Data'!$A:$A,"RESSWAPORUSD",'raw Data'!$G:$G))</f>
        <v>12.313457882173378</v>
      </c>
      <c r="F36" s="165">
        <f>365*10000*F16/(SUMIF('raw Data'!$A:$A,"RESINV1USD",'raw Data'!$G:$G)+SUMIF('raw Data'!$A:$A,"RESSWAPORUSD",'raw Data'!$G:$G))</f>
        <v>0</v>
      </c>
      <c r="G36" s="165">
        <f>365*10000*G16/(SUMIF('raw Data'!$A:$A,"RESINV1USD",'raw Data'!$G:$G)+SUMIF('raw Data'!$A:$A,"RESSWAPORUSD",'raw Data'!$G:$G))</f>
        <v>-0.19984113853357924</v>
      </c>
      <c r="H36" s="165">
        <f>365*10000*H16/(SUMIF('raw Data'!$A:$A,"RESINV1USD",'raw Data'!$G:$G)+SUMIF('raw Data'!$A:$A,"RESSWAPORUSD",'raw Data'!$G:$G))</f>
        <v>-27.795305019230209</v>
      </c>
      <c r="I36" s="165">
        <f>365*10000*I16/(SUMIF('raw Data'!$A:$A,"RESINV1USD",'raw Data'!$G:$G)+SUMIF('raw Data'!$A:$A,"RESSWAPORUSD",'raw Data'!$G:$G))</f>
        <v>0</v>
      </c>
      <c r="J36" s="166">
        <f>365*10000*J16/(SUMIF('raw Data'!$A:$A,"RESINV1USD",'raw Data'!$G:$G)+SUMIF('raw Data'!$A:$A,"RESSWAPORUSD",'raw Data'!$G:$G))</f>
        <v>0</v>
      </c>
      <c r="K36" s="167"/>
      <c r="L36" s="168" t="s">
        <v>84</v>
      </c>
      <c r="M36" s="165">
        <f>365*10000*M16/(SUMIF('raw Data'!$A:$A,"RESINV1USD",'raw Data'!$G:$G)+SUMIF('raw Data'!$A:$A,"RESSWAPORUSD",'raw Data'!$G:$G))</f>
        <v>42.412428158260354</v>
      </c>
      <c r="N36" s="165">
        <f>365*10000*N16/(SUMIF('raw Data'!$A:$A,"RESINV1USD",'raw Data'!$G:$G)+SUMIF('raw Data'!$A:$A,"RESSWAPORUSD",'raw Data'!$G:$G))</f>
        <v>0</v>
      </c>
      <c r="O36" s="165">
        <f>365*10000*O16/(SUMIF('raw Data'!$A:$A,"RESINV1USD",'raw Data'!$G:$G)+SUMIF('raw Data'!$A:$A,"RESSWAPORUSD",'raw Data'!$G:$G))</f>
        <v>0</v>
      </c>
      <c r="P36" s="165">
        <f>365*10000*P16/(SUMIF('raw Data'!$A:$A,"RESINV1USD",'raw Data'!$G:$G)+SUMIF('raw Data'!$A:$A,"RESSWAPORUSD",'raw Data'!$G:$G))</f>
        <v>0</v>
      </c>
      <c r="Q36" s="165">
        <f>365*10000*Q16/(SUMIF('raw Data'!$A:$A,"RESINV1USD",'raw Data'!$G:$G)+SUMIF('raw Data'!$A:$A,"RESSWAPORUSD",'raw Data'!$G:$G))</f>
        <v>0</v>
      </c>
      <c r="R36" s="165">
        <f>365*10000*R16/(SUMIF('raw Data'!$A:$A,"RESINV1USD",'raw Data'!$G:$G)+SUMIF('raw Data'!$A:$A,"RESSWAPORUSD",'raw Data'!$G:$G))</f>
        <v>0</v>
      </c>
      <c r="S36" s="165">
        <f>365*10000*S16/(SUMIF('raw Data'!$A:$A,"RESINV1USD",'raw Data'!$G:$G)+SUMIF('raw Data'!$A:$A,"RESSWAPORUSD",'raw Data'!$G:$G))</f>
        <v>0</v>
      </c>
      <c r="T36" s="166">
        <f>365*10000*T16/(SUMIF('raw Data'!$A:$A,"RESINV1USD",'raw Data'!$G:$G)+SUMIF('raw Data'!$A:$A,"RESSWAPORUSD",'raw Data'!$G:$G))</f>
        <v>0</v>
      </c>
    </row>
    <row r="37" spans="2:20" x14ac:dyDescent="0.3">
      <c r="B37" s="159" t="s">
        <v>86</v>
      </c>
      <c r="C37" s="165">
        <f>365*10000*C17/(SUMIF('raw Data'!$A:$A,"RESINV1USD",'raw Data'!$G:$G)+SUMIF('raw Data'!$A:$A,"RESSWAPORUSD",'raw Data'!$G:$G))</f>
        <v>33.914769919409117</v>
      </c>
      <c r="D37" s="165">
        <f>365*10000*D17/(SUMIF('raw Data'!$A:$A,"RESINV1USD",'raw Data'!$G:$G)+SUMIF('raw Data'!$A:$A,"RESSWAPORUSD",'raw Data'!$G:$G))</f>
        <v>0</v>
      </c>
      <c r="E37" s="165">
        <f>365*10000*E17/(SUMIF('raw Data'!$A:$A,"RESINV1USD",'raw Data'!$G:$G)+SUMIF('raw Data'!$A:$A,"RESSWAPORUSD",'raw Data'!$G:$G))</f>
        <v>0</v>
      </c>
      <c r="F37" s="165">
        <f>365*10000*F17/(SUMIF('raw Data'!$A:$A,"RESINV1USD",'raw Data'!$G:$G)+SUMIF('raw Data'!$A:$A,"RESSWAPORUSD",'raw Data'!$G:$G))</f>
        <v>0</v>
      </c>
      <c r="G37" s="165">
        <f>365*10000*G17/(SUMIF('raw Data'!$A:$A,"RESINV1USD",'raw Data'!$G:$G)+SUMIF('raw Data'!$A:$A,"RESSWAPORUSD",'raw Data'!$G:$G))</f>
        <v>0</v>
      </c>
      <c r="H37" s="165">
        <f>365*10000*H17/(SUMIF('raw Data'!$A:$A,"RESINV1USD",'raw Data'!$G:$G)+SUMIF('raw Data'!$A:$A,"RESSWAPORUSD",'raw Data'!$G:$G))</f>
        <v>0</v>
      </c>
      <c r="I37" s="165">
        <f>365*10000*I17/(SUMIF('raw Data'!$A:$A,"RESINV1USD",'raw Data'!$G:$G)+SUMIF('raw Data'!$A:$A,"RESSWAPORUSD",'raw Data'!$G:$G))</f>
        <v>0</v>
      </c>
      <c r="J37" s="166">
        <f>365*10000*J17/(SUMIF('raw Data'!$A:$A,"RESINV1USD",'raw Data'!$G:$G)+SUMIF('raw Data'!$A:$A,"RESSWAPORUSD",'raw Data'!$G:$G))</f>
        <v>0</v>
      </c>
      <c r="K37" s="167"/>
      <c r="L37" s="168" t="s">
        <v>86</v>
      </c>
      <c r="M37" s="165">
        <f>365*10000*M17/(SUMIF('raw Data'!$A:$A,"RESINV1USD",'raw Data'!$G:$G)+SUMIF('raw Data'!$A:$A,"RESSWAPORUSD",'raw Data'!$G:$G))</f>
        <v>21.665867936545325</v>
      </c>
      <c r="N37" s="165">
        <f>365*10000*N17/(SUMIF('raw Data'!$A:$A,"RESINV1USD",'raw Data'!$G:$G)+SUMIF('raw Data'!$A:$A,"RESSWAPORUSD",'raw Data'!$G:$G))</f>
        <v>0</v>
      </c>
      <c r="O37" s="165">
        <f>365*10000*O17/(SUMIF('raw Data'!$A:$A,"RESINV1USD",'raw Data'!$G:$G)+SUMIF('raw Data'!$A:$A,"RESSWAPORUSD",'raw Data'!$G:$G))</f>
        <v>0</v>
      </c>
      <c r="P37" s="165">
        <f>365*10000*P17/(SUMIF('raw Data'!$A:$A,"RESINV1USD",'raw Data'!$G:$G)+SUMIF('raw Data'!$A:$A,"RESSWAPORUSD",'raw Data'!$G:$G))</f>
        <v>0</v>
      </c>
      <c r="Q37" s="165">
        <f>365*10000*Q17/(SUMIF('raw Data'!$A:$A,"RESINV1USD",'raw Data'!$G:$G)+SUMIF('raw Data'!$A:$A,"RESSWAPORUSD",'raw Data'!$G:$G))</f>
        <v>0</v>
      </c>
      <c r="R37" s="165">
        <f>365*10000*R17/(SUMIF('raw Data'!$A:$A,"RESINV1USD",'raw Data'!$G:$G)+SUMIF('raw Data'!$A:$A,"RESSWAPORUSD",'raw Data'!$G:$G))</f>
        <v>0</v>
      </c>
      <c r="S37" s="165">
        <f>365*10000*S17/(SUMIF('raw Data'!$A:$A,"RESINV1USD",'raw Data'!$G:$G)+SUMIF('raw Data'!$A:$A,"RESSWAPORUSD",'raw Data'!$G:$G))</f>
        <v>0</v>
      </c>
      <c r="T37" s="166">
        <f>365*10000*T17/(SUMIF('raw Data'!$A:$A,"RESINV1USD",'raw Data'!$G:$G)+SUMIF('raw Data'!$A:$A,"RESSWAPORUSD",'raw Data'!$G:$G))</f>
        <v>0</v>
      </c>
    </row>
    <row r="38" spans="2:20" x14ac:dyDescent="0.3">
      <c r="B38" s="159" t="s">
        <v>89</v>
      </c>
      <c r="C38" s="165">
        <f>365*10000*C18/(SUMIF('raw Data'!$A:$A,"RESINV1USD",'raw Data'!$G:$G)+SUMIF('raw Data'!$A:$A,"RESSWAPORUSD",'raw Data'!$G:$G))</f>
        <v>87.636270040679989</v>
      </c>
      <c r="D38" s="165">
        <f>365*10000*D18/(SUMIF('raw Data'!$A:$A,"RESINV1USD",'raw Data'!$G:$G)+SUMIF('raw Data'!$A:$A,"RESSWAPORUSD",'raw Data'!$G:$G))</f>
        <v>0</v>
      </c>
      <c r="E38" s="165">
        <f>365*10000*E18/(SUMIF('raw Data'!$A:$A,"RESINV1USD",'raw Data'!$G:$G)+SUMIF('raw Data'!$A:$A,"RESSWAPORUSD",'raw Data'!$G:$G))</f>
        <v>0</v>
      </c>
      <c r="F38" s="165">
        <f>365*10000*F18/(SUMIF('raw Data'!$A:$A,"RESINV1USD",'raw Data'!$G:$G)+SUMIF('raw Data'!$A:$A,"RESSWAPORUSD",'raw Data'!$G:$G))</f>
        <v>0</v>
      </c>
      <c r="G38" s="165">
        <f>365*10000*G18/(SUMIF('raw Data'!$A:$A,"RESINV1USD",'raw Data'!$G:$G)+SUMIF('raw Data'!$A:$A,"RESSWAPORUSD",'raw Data'!$G:$G))</f>
        <v>0</v>
      </c>
      <c r="H38" s="165">
        <f>365*10000*H18/(SUMIF('raw Data'!$A:$A,"RESINV1USD",'raw Data'!$G:$G)+SUMIF('raw Data'!$A:$A,"RESSWAPORUSD",'raw Data'!$G:$G))</f>
        <v>0</v>
      </c>
      <c r="I38" s="165">
        <f>365*10000*I18/(SUMIF('raw Data'!$A:$A,"RESINV1USD",'raw Data'!$G:$G)+SUMIF('raw Data'!$A:$A,"RESSWAPORUSD",'raw Data'!$G:$G))</f>
        <v>0</v>
      </c>
      <c r="J38" s="166">
        <f>365*10000*J18/(SUMIF('raw Data'!$A:$A,"RESINV1USD",'raw Data'!$G:$G)+SUMIF('raw Data'!$A:$A,"RESSWAPORUSD",'raw Data'!$G:$G))</f>
        <v>0</v>
      </c>
      <c r="K38" s="167"/>
      <c r="L38" s="168" t="s">
        <v>89</v>
      </c>
      <c r="M38" s="165">
        <f>365*10000*M18/(SUMIF('raw Data'!$A:$A,"RESINV1USD",'raw Data'!$G:$G)+SUMIF('raw Data'!$A:$A,"RESSWAPORUSD",'raw Data'!$G:$G))</f>
        <v>65.443331705725413</v>
      </c>
      <c r="N38" s="165">
        <f>365*10000*N18/(SUMIF('raw Data'!$A:$A,"RESINV1USD",'raw Data'!$G:$G)+SUMIF('raw Data'!$A:$A,"RESSWAPORUSD",'raw Data'!$G:$G))</f>
        <v>0</v>
      </c>
      <c r="O38" s="165">
        <f>365*10000*O18/(SUMIF('raw Data'!$A:$A,"RESINV1USD",'raw Data'!$G:$G)+SUMIF('raw Data'!$A:$A,"RESSWAPORUSD",'raw Data'!$G:$G))</f>
        <v>0</v>
      </c>
      <c r="P38" s="165">
        <f>365*10000*P18/(SUMIF('raw Data'!$A:$A,"RESINV1USD",'raw Data'!$G:$G)+SUMIF('raw Data'!$A:$A,"RESSWAPORUSD",'raw Data'!$G:$G))</f>
        <v>0</v>
      </c>
      <c r="Q38" s="165">
        <f>365*10000*Q18/(SUMIF('raw Data'!$A:$A,"RESINV1USD",'raw Data'!$G:$G)+SUMIF('raw Data'!$A:$A,"RESSWAPORUSD",'raw Data'!$G:$G))</f>
        <v>0</v>
      </c>
      <c r="R38" s="165">
        <f>365*10000*R18/(SUMIF('raw Data'!$A:$A,"RESINV1USD",'raw Data'!$G:$G)+SUMIF('raw Data'!$A:$A,"RESSWAPORUSD",'raw Data'!$G:$G))</f>
        <v>0</v>
      </c>
      <c r="S38" s="165">
        <f>365*10000*S18/(SUMIF('raw Data'!$A:$A,"RESINV1USD",'raw Data'!$G:$G)+SUMIF('raw Data'!$A:$A,"RESSWAPORUSD",'raw Data'!$G:$G))</f>
        <v>0</v>
      </c>
      <c r="T38" s="166">
        <f>365*10000*T18/(SUMIF('raw Data'!$A:$A,"RESINV1USD",'raw Data'!$G:$G)+SUMIF('raw Data'!$A:$A,"RESSWAPORUSD",'raw Data'!$G:$G))</f>
        <v>0</v>
      </c>
    </row>
    <row r="39" spans="2:20" ht="10.55" thickBot="1" x14ac:dyDescent="0.35">
      <c r="B39" s="162" t="s">
        <v>598</v>
      </c>
      <c r="C39" s="169">
        <f>365*10000*C19/(SUMIF('raw Data'!$A:$A,"RESINV1USD",'raw Data'!$G:$G)+SUMIF('raw Data'!$A:$A,"RESSWAPORUSD",'raw Data'!$G:$G))</f>
        <v>0</v>
      </c>
      <c r="D39" s="169">
        <f>365*10000*D19/(SUMIF('raw Data'!$A:$A,"RESINV1USD",'raw Data'!$G:$G)+SUMIF('raw Data'!$A:$A,"RESSWAPORUSD",'raw Data'!$G:$G))</f>
        <v>0</v>
      </c>
      <c r="E39" s="169">
        <f>365*10000*E19/(SUMIF('raw Data'!$A:$A,"RESINV1USD",'raw Data'!$G:$G)+SUMIF('raw Data'!$A:$A,"RESSWAPORUSD",'raw Data'!$G:$G))</f>
        <v>0</v>
      </c>
      <c r="F39" s="169">
        <f>365*10000*F19/(SUMIF('raw Data'!$A:$A,"RESINV1USD",'raw Data'!$G:$G)+SUMIF('raw Data'!$A:$A,"RESSWAPORUSD",'raw Data'!$G:$G))</f>
        <v>0</v>
      </c>
      <c r="G39" s="169">
        <f>365*10000*G19/(SUMIF('raw Data'!$A:$A,"RESINV1USD",'raw Data'!$G:$G)+SUMIF('raw Data'!$A:$A,"RESSWAPORUSD",'raw Data'!$G:$G))</f>
        <v>0</v>
      </c>
      <c r="H39" s="169">
        <f>365*10000*H19/(SUMIF('raw Data'!$A:$A,"RESINV1USD",'raw Data'!$G:$G)+SUMIF('raw Data'!$A:$A,"RESSWAPORUSD",'raw Data'!$G:$G))</f>
        <v>0</v>
      </c>
      <c r="I39" s="169">
        <f>365*10000*I19/(SUMIF('raw Data'!$A:$A,"RESINV1USD",'raw Data'!$G:$G)+SUMIF('raw Data'!$A:$A,"RESSWAPORUSD",'raw Data'!$G:$G))</f>
        <v>0</v>
      </c>
      <c r="J39" s="170">
        <f>365*10000*J19/(SUMIF('raw Data'!$A:$A,"RESINV1USD",'raw Data'!$G:$G)+SUMIF('raw Data'!$A:$A,"RESSWAPORUSD",'raw Data'!$G:$G))</f>
        <v>0</v>
      </c>
      <c r="K39" s="167"/>
      <c r="L39" s="171" t="s">
        <v>598</v>
      </c>
      <c r="M39" s="169">
        <f>365*10000*M19/(SUMIF('raw Data'!$A:$A,"RESINV1USD",'raw Data'!$G:$G)+SUMIF('raw Data'!$A:$A,"RESSWAPORUSD",'raw Data'!$G:$G))</f>
        <v>0</v>
      </c>
      <c r="N39" s="169">
        <f>365*10000*N19/(SUMIF('raw Data'!$A:$A,"RESINV1USD",'raw Data'!$G:$G)+SUMIF('raw Data'!$A:$A,"RESSWAPORUSD",'raw Data'!$G:$G))</f>
        <v>0</v>
      </c>
      <c r="O39" s="169">
        <f>365*10000*O19/(SUMIF('raw Data'!$A:$A,"RESINV1USD",'raw Data'!$G:$G)+SUMIF('raw Data'!$A:$A,"RESSWAPORUSD",'raw Data'!$G:$G))</f>
        <v>0</v>
      </c>
      <c r="P39" s="169">
        <f>365*10000*P19/(SUMIF('raw Data'!$A:$A,"RESINV1USD",'raw Data'!$G:$G)+SUMIF('raw Data'!$A:$A,"RESSWAPORUSD",'raw Data'!$G:$G))</f>
        <v>0</v>
      </c>
      <c r="Q39" s="169">
        <f>365*10000*Q19/(SUMIF('raw Data'!$A:$A,"RESINV1USD",'raw Data'!$G:$G)+SUMIF('raw Data'!$A:$A,"RESSWAPORUSD",'raw Data'!$G:$G))</f>
        <v>0</v>
      </c>
      <c r="R39" s="169">
        <f>365*10000*R19/(SUMIF('raw Data'!$A:$A,"RESINV1USD",'raw Data'!$G:$G)+SUMIF('raw Data'!$A:$A,"RESSWAPORUSD",'raw Data'!$G:$G))</f>
        <v>0</v>
      </c>
      <c r="S39" s="169">
        <f>365*10000*S19/(SUMIF('raw Data'!$A:$A,"RESINV1USD",'raw Data'!$G:$G)+SUMIF('raw Data'!$A:$A,"RESSWAPORUSD",'raw Data'!$G:$G))</f>
        <v>0</v>
      </c>
      <c r="T39" s="170">
        <f>365*10000*T19/(SUMIF('raw Data'!$A:$A,"RESINV1USD",'raw Data'!$G:$G)+SUMIF('raw Data'!$A:$A,"RESSWAPORUSD",'raw Data'!$G:$G))</f>
        <v>0</v>
      </c>
    </row>
    <row r="41" spans="2:20" ht="10.55" thickBot="1" x14ac:dyDescent="0.35">
      <c r="B41" s="7" t="s">
        <v>961</v>
      </c>
      <c r="C41" s="7"/>
      <c r="D41" s="7"/>
      <c r="E41" s="7"/>
      <c r="F41" s="7"/>
      <c r="G41" s="7"/>
      <c r="H41" s="7"/>
      <c r="I41" s="7"/>
      <c r="J41" s="7"/>
      <c r="L41" s="7" t="s">
        <v>960</v>
      </c>
      <c r="M41" s="7"/>
      <c r="N41" s="7"/>
      <c r="O41" s="7"/>
      <c r="P41" s="7"/>
      <c r="Q41" s="7"/>
    </row>
    <row r="42" spans="2:20" x14ac:dyDescent="0.3">
      <c r="B42" s="156" t="s">
        <v>599</v>
      </c>
      <c r="C42" s="157" t="s">
        <v>595</v>
      </c>
      <c r="D42" s="157" t="s">
        <v>596</v>
      </c>
      <c r="E42" s="157" t="s">
        <v>601</v>
      </c>
      <c r="F42" s="157" t="s">
        <v>602</v>
      </c>
      <c r="G42" s="172" t="s">
        <v>603</v>
      </c>
      <c r="H42" s="7"/>
      <c r="I42" s="7"/>
      <c r="J42" s="7"/>
      <c r="L42" s="156" t="s">
        <v>599</v>
      </c>
      <c r="M42" s="157" t="s">
        <v>595</v>
      </c>
      <c r="N42" s="157" t="s">
        <v>596</v>
      </c>
      <c r="O42" s="157" t="s">
        <v>601</v>
      </c>
      <c r="P42" s="157" t="s">
        <v>602</v>
      </c>
      <c r="Q42" s="172" t="s">
        <v>603</v>
      </c>
    </row>
    <row r="43" spans="2:20" x14ac:dyDescent="0.3">
      <c r="B43" s="159" t="s">
        <v>78</v>
      </c>
      <c r="C43" s="165">
        <f>SUM(C23:C29)+SUM(D23:D29)</f>
        <v>0</v>
      </c>
      <c r="D43" s="165">
        <f>SUM(E23:E29)</f>
        <v>1.3775466797989973</v>
      </c>
      <c r="E43" s="165">
        <f>SUM(G23:G29)+SUM(H23:H29)</f>
        <v>0</v>
      </c>
      <c r="F43" s="165">
        <f>SUM(F23:F29)+SUM(I23:I29)+SUM(J23:J29)</f>
        <v>0.9553032688207308</v>
      </c>
      <c r="G43" s="173">
        <f>SUM(C43:F43)</f>
        <v>2.3328499486197281</v>
      </c>
      <c r="H43" s="7"/>
      <c r="I43" s="7"/>
      <c r="J43" s="7"/>
      <c r="L43" s="159" t="s">
        <v>78</v>
      </c>
      <c r="M43" s="165">
        <f>SUM(M23:M29)+SUM(N23:N29)</f>
        <v>0.84539015061681966</v>
      </c>
      <c r="N43" s="165">
        <f>SUM(O23:O29)</f>
        <v>0</v>
      </c>
      <c r="O43" s="165">
        <f>SUM(Q23:Q29)+SUM(R23:R29)</f>
        <v>0</v>
      </c>
      <c r="P43" s="165">
        <f>SUM(P23:P29)+SUM(S23:S29)+SUM(T23:T29)</f>
        <v>0</v>
      </c>
      <c r="Q43" s="173">
        <f>SUM(M43:P43)</f>
        <v>0.84539015061681966</v>
      </c>
    </row>
    <row r="44" spans="2:20" x14ac:dyDescent="0.3">
      <c r="B44" s="159" t="s">
        <v>18</v>
      </c>
      <c r="C44" s="165">
        <f>C30+D30</f>
        <v>0</v>
      </c>
      <c r="D44" s="165">
        <f>E30</f>
        <v>0.70356295149243275</v>
      </c>
      <c r="E44" s="165">
        <f>G30+H30</f>
        <v>0</v>
      </c>
      <c r="F44" s="165">
        <f>F30+I30+J30</f>
        <v>20.269904161904833</v>
      </c>
      <c r="G44" s="173">
        <f t="shared" ref="G44:G53" si="0">SUM(C44:F44)</f>
        <v>20.973467113397266</v>
      </c>
      <c r="H44" s="7"/>
      <c r="I44" s="7"/>
      <c r="J44" s="7"/>
      <c r="L44" s="159" t="s">
        <v>18</v>
      </c>
      <c r="M44" s="165">
        <f>M30+N30</f>
        <v>10.355493086269625</v>
      </c>
      <c r="N44" s="165">
        <f>O30</f>
        <v>0</v>
      </c>
      <c r="O44" s="165">
        <f>Q30+R30</f>
        <v>0</v>
      </c>
      <c r="P44" s="165">
        <f>P30+S30+T30</f>
        <v>0</v>
      </c>
      <c r="Q44" s="173">
        <f t="shared" ref="Q44:Q53" si="1">SUM(M44:P44)</f>
        <v>10.355493086269625</v>
      </c>
    </row>
    <row r="45" spans="2:20" x14ac:dyDescent="0.3">
      <c r="B45" s="159" t="s">
        <v>19</v>
      </c>
      <c r="C45" s="165">
        <f t="shared" ref="C45:C53" si="2">C31+D31</f>
        <v>7.6758004438963194</v>
      </c>
      <c r="D45" s="165">
        <f t="shared" ref="D45:D53" si="3">E31</f>
        <v>1.7687797434507315</v>
      </c>
      <c r="E45" s="165">
        <f t="shared" ref="E45:E53" si="4">G31+H31</f>
        <v>-6.2313497071258359</v>
      </c>
      <c r="F45" s="165">
        <f t="shared" ref="F45:F53" si="5">F31+I31+J31</f>
        <v>1.0414278412357023</v>
      </c>
      <c r="G45" s="173">
        <f t="shared" si="0"/>
        <v>4.2546583214569162</v>
      </c>
      <c r="H45" s="7"/>
      <c r="I45" s="7"/>
      <c r="J45" s="7"/>
      <c r="L45" s="159" t="s">
        <v>19</v>
      </c>
      <c r="M45" s="165">
        <f t="shared" ref="M45:M53" si="6">M31+N31</f>
        <v>35.589477239882974</v>
      </c>
      <c r="N45" s="165">
        <f t="shared" ref="N45:N53" si="7">O31</f>
        <v>0</v>
      </c>
      <c r="O45" s="165">
        <f t="shared" ref="O45:O53" si="8">Q31+R31</f>
        <v>0</v>
      </c>
      <c r="P45" s="165">
        <f t="shared" ref="P45:P53" si="9">P31+S31+T31</f>
        <v>0</v>
      </c>
      <c r="Q45" s="173">
        <f t="shared" si="1"/>
        <v>35.589477239882974</v>
      </c>
    </row>
    <row r="46" spans="2:20" x14ac:dyDescent="0.3">
      <c r="B46" s="159" t="s">
        <v>175</v>
      </c>
      <c r="C46" s="165">
        <f t="shared" si="2"/>
        <v>0</v>
      </c>
      <c r="D46" s="165">
        <f t="shared" si="3"/>
        <v>4.8131614935829132</v>
      </c>
      <c r="E46" s="165">
        <f t="shared" si="4"/>
        <v>-5.7126668665906264</v>
      </c>
      <c r="F46" s="165">
        <f t="shared" si="5"/>
        <v>0</v>
      </c>
      <c r="G46" s="173">
        <f t="shared" si="0"/>
        <v>-0.89950537300771316</v>
      </c>
      <c r="H46" s="7"/>
      <c r="I46" s="7"/>
      <c r="J46" s="7"/>
      <c r="L46" s="159" t="s">
        <v>175</v>
      </c>
      <c r="M46" s="165">
        <f t="shared" si="6"/>
        <v>15.220425858506353</v>
      </c>
      <c r="N46" s="165">
        <f t="shared" si="7"/>
        <v>0</v>
      </c>
      <c r="O46" s="165">
        <f t="shared" si="8"/>
        <v>0</v>
      </c>
      <c r="P46" s="165">
        <f t="shared" si="9"/>
        <v>0</v>
      </c>
      <c r="Q46" s="173">
        <f t="shared" si="1"/>
        <v>15.220425858506353</v>
      </c>
    </row>
    <row r="47" spans="2:20" x14ac:dyDescent="0.3">
      <c r="B47" s="159" t="s">
        <v>182</v>
      </c>
      <c r="C47" s="165">
        <f t="shared" si="2"/>
        <v>40.0465309265849</v>
      </c>
      <c r="D47" s="165">
        <f t="shared" si="3"/>
        <v>3.6928982456459001</v>
      </c>
      <c r="E47" s="165">
        <f t="shared" si="4"/>
        <v>-6.1044779608841324</v>
      </c>
      <c r="F47" s="165">
        <f t="shared" si="5"/>
        <v>0</v>
      </c>
      <c r="G47" s="173">
        <f t="shared" si="0"/>
        <v>37.634951211346667</v>
      </c>
      <c r="H47" s="7"/>
      <c r="I47" s="7"/>
      <c r="J47" s="7"/>
      <c r="L47" s="159" t="s">
        <v>182</v>
      </c>
      <c r="M47" s="165">
        <f t="shared" si="6"/>
        <v>21.621340244710336</v>
      </c>
      <c r="N47" s="165">
        <f t="shared" si="7"/>
        <v>0</v>
      </c>
      <c r="O47" s="165">
        <f t="shared" si="8"/>
        <v>0</v>
      </c>
      <c r="P47" s="165">
        <f t="shared" si="9"/>
        <v>0</v>
      </c>
      <c r="Q47" s="173">
        <f t="shared" si="1"/>
        <v>21.621340244710336</v>
      </c>
    </row>
    <row r="48" spans="2:20" x14ac:dyDescent="0.3">
      <c r="B48" s="159" t="s">
        <v>81</v>
      </c>
      <c r="C48" s="165">
        <f t="shared" si="2"/>
        <v>162.41190444122114</v>
      </c>
      <c r="D48" s="165">
        <f t="shared" si="3"/>
        <v>20.506472171491161</v>
      </c>
      <c r="E48" s="165">
        <f t="shared" si="4"/>
        <v>-22.362458799903354</v>
      </c>
      <c r="F48" s="165">
        <f t="shared" si="5"/>
        <v>0</v>
      </c>
      <c r="G48" s="173">
        <f t="shared" si="0"/>
        <v>160.55591781280896</v>
      </c>
      <c r="H48" s="7"/>
      <c r="I48" s="7"/>
      <c r="J48" s="7"/>
      <c r="L48" s="159" t="s">
        <v>81</v>
      </c>
      <c r="M48" s="165">
        <f t="shared" si="6"/>
        <v>147.85336989833425</v>
      </c>
      <c r="N48" s="165">
        <f t="shared" si="7"/>
        <v>0</v>
      </c>
      <c r="O48" s="165">
        <f t="shared" si="8"/>
        <v>0</v>
      </c>
      <c r="P48" s="165">
        <f t="shared" si="9"/>
        <v>0</v>
      </c>
      <c r="Q48" s="173">
        <f t="shared" si="1"/>
        <v>147.85336989833425</v>
      </c>
    </row>
    <row r="49" spans="2:17" x14ac:dyDescent="0.3">
      <c r="B49" s="159" t="s">
        <v>82</v>
      </c>
      <c r="C49" s="165">
        <f t="shared" si="2"/>
        <v>6.6423115545439932</v>
      </c>
      <c r="D49" s="165">
        <f t="shared" si="3"/>
        <v>16.652715971076454</v>
      </c>
      <c r="E49" s="165">
        <f t="shared" si="4"/>
        <v>-5.4715942044166921</v>
      </c>
      <c r="F49" s="165">
        <f t="shared" si="5"/>
        <v>0</v>
      </c>
      <c r="G49" s="173">
        <f t="shared" si="0"/>
        <v>17.823433321203755</v>
      </c>
      <c r="H49" s="7"/>
      <c r="I49" s="7"/>
      <c r="J49" s="7"/>
      <c r="L49" s="159" t="s">
        <v>82</v>
      </c>
      <c r="M49" s="165">
        <f t="shared" si="6"/>
        <v>16.334072601180218</v>
      </c>
      <c r="N49" s="165">
        <f t="shared" si="7"/>
        <v>0</v>
      </c>
      <c r="O49" s="165">
        <f t="shared" si="8"/>
        <v>0</v>
      </c>
      <c r="P49" s="165">
        <f t="shared" si="9"/>
        <v>0</v>
      </c>
      <c r="Q49" s="173">
        <f t="shared" si="1"/>
        <v>16.334072601180218</v>
      </c>
    </row>
    <row r="50" spans="2:17" x14ac:dyDescent="0.3">
      <c r="B50" s="159" t="s">
        <v>84</v>
      </c>
      <c r="C50" s="165">
        <f t="shared" si="2"/>
        <v>48.958449897911407</v>
      </c>
      <c r="D50" s="165">
        <f t="shared" si="3"/>
        <v>12.313457882173378</v>
      </c>
      <c r="E50" s="165">
        <f t="shared" si="4"/>
        <v>-27.995146157763788</v>
      </c>
      <c r="F50" s="165">
        <f t="shared" si="5"/>
        <v>0</v>
      </c>
      <c r="G50" s="173">
        <f t="shared" si="0"/>
        <v>33.276761622321004</v>
      </c>
      <c r="H50" s="7"/>
      <c r="I50" s="7"/>
      <c r="J50" s="7"/>
      <c r="L50" s="159" t="s">
        <v>84</v>
      </c>
      <c r="M50" s="165">
        <f t="shared" si="6"/>
        <v>42.412428158260354</v>
      </c>
      <c r="N50" s="165">
        <f t="shared" si="7"/>
        <v>0</v>
      </c>
      <c r="O50" s="165">
        <f t="shared" si="8"/>
        <v>0</v>
      </c>
      <c r="P50" s="165">
        <f t="shared" si="9"/>
        <v>0</v>
      </c>
      <c r="Q50" s="173">
        <f t="shared" si="1"/>
        <v>42.412428158260354</v>
      </c>
    </row>
    <row r="51" spans="2:17" x14ac:dyDescent="0.3">
      <c r="B51" s="159" t="s">
        <v>86</v>
      </c>
      <c r="C51" s="165">
        <f t="shared" si="2"/>
        <v>33.914769919409117</v>
      </c>
      <c r="D51" s="165">
        <f t="shared" si="3"/>
        <v>0</v>
      </c>
      <c r="E51" s="165">
        <f t="shared" si="4"/>
        <v>0</v>
      </c>
      <c r="F51" s="165">
        <f t="shared" si="5"/>
        <v>0</v>
      </c>
      <c r="G51" s="173">
        <f t="shared" si="0"/>
        <v>33.914769919409117</v>
      </c>
      <c r="H51" s="7"/>
      <c r="I51" s="7"/>
      <c r="J51" s="7"/>
      <c r="L51" s="159" t="s">
        <v>86</v>
      </c>
      <c r="M51" s="165">
        <f t="shared" si="6"/>
        <v>21.665867936545325</v>
      </c>
      <c r="N51" s="165">
        <f t="shared" si="7"/>
        <v>0</v>
      </c>
      <c r="O51" s="165">
        <f t="shared" si="8"/>
        <v>0</v>
      </c>
      <c r="P51" s="165">
        <f t="shared" si="9"/>
        <v>0</v>
      </c>
      <c r="Q51" s="173">
        <f t="shared" si="1"/>
        <v>21.665867936545325</v>
      </c>
    </row>
    <row r="52" spans="2:17" x14ac:dyDescent="0.3">
      <c r="B52" s="159" t="s">
        <v>89</v>
      </c>
      <c r="C52" s="165">
        <f t="shared" si="2"/>
        <v>87.636270040679989</v>
      </c>
      <c r="D52" s="165">
        <f t="shared" si="3"/>
        <v>0</v>
      </c>
      <c r="E52" s="165">
        <f t="shared" si="4"/>
        <v>0</v>
      </c>
      <c r="F52" s="165">
        <f t="shared" si="5"/>
        <v>0</v>
      </c>
      <c r="G52" s="173">
        <f t="shared" si="0"/>
        <v>87.636270040679989</v>
      </c>
      <c r="H52" s="7"/>
      <c r="I52" s="7"/>
      <c r="J52" s="7"/>
      <c r="L52" s="159" t="s">
        <v>89</v>
      </c>
      <c r="M52" s="165">
        <f t="shared" si="6"/>
        <v>65.443331705725413</v>
      </c>
      <c r="N52" s="165">
        <f t="shared" si="7"/>
        <v>0</v>
      </c>
      <c r="O52" s="165">
        <f t="shared" si="8"/>
        <v>0</v>
      </c>
      <c r="P52" s="165">
        <f t="shared" si="9"/>
        <v>0</v>
      </c>
      <c r="Q52" s="173">
        <f t="shared" si="1"/>
        <v>65.443331705725413</v>
      </c>
    </row>
    <row r="53" spans="2:17" x14ac:dyDescent="0.3">
      <c r="B53" s="159" t="s">
        <v>600</v>
      </c>
      <c r="C53" s="165">
        <f t="shared" si="2"/>
        <v>0</v>
      </c>
      <c r="D53" s="165">
        <f t="shared" si="3"/>
        <v>0</v>
      </c>
      <c r="E53" s="165">
        <f t="shared" si="4"/>
        <v>0</v>
      </c>
      <c r="F53" s="165">
        <f t="shared" si="5"/>
        <v>0</v>
      </c>
      <c r="G53" s="173">
        <f t="shared" si="0"/>
        <v>0</v>
      </c>
      <c r="H53" s="7"/>
      <c r="I53" s="7"/>
      <c r="J53" s="7"/>
      <c r="L53" s="159" t="s">
        <v>600</v>
      </c>
      <c r="M53" s="165">
        <f t="shared" si="6"/>
        <v>0</v>
      </c>
      <c r="N53" s="165">
        <f t="shared" si="7"/>
        <v>0</v>
      </c>
      <c r="O53" s="165">
        <f t="shared" si="8"/>
        <v>0</v>
      </c>
      <c r="P53" s="165">
        <f t="shared" si="9"/>
        <v>0</v>
      </c>
      <c r="Q53" s="173">
        <f t="shared" si="1"/>
        <v>0</v>
      </c>
    </row>
    <row r="54" spans="2:17" ht="10.55" thickBot="1" x14ac:dyDescent="0.35">
      <c r="B54" s="174" t="s">
        <v>603</v>
      </c>
      <c r="C54" s="175">
        <f>SUM(C43:C53)</f>
        <v>387.28603722424691</v>
      </c>
      <c r="D54" s="175">
        <f t="shared" ref="D54:F54" si="10">SUM(D43:D53)</f>
        <v>61.828595138711961</v>
      </c>
      <c r="E54" s="175">
        <f t="shared" si="10"/>
        <v>-73.877693696684418</v>
      </c>
      <c r="F54" s="175">
        <f t="shared" si="10"/>
        <v>22.266635271961267</v>
      </c>
      <c r="G54" s="176">
        <f>SUM(G43:G53)</f>
        <v>397.50357393823572</v>
      </c>
      <c r="H54" s="7"/>
      <c r="I54" s="7"/>
      <c r="J54" s="7"/>
      <c r="L54" s="174" t="s">
        <v>603</v>
      </c>
      <c r="M54" s="175">
        <f>SUM(M43:M53)</f>
        <v>377.3411968800317</v>
      </c>
      <c r="N54" s="175">
        <f t="shared" ref="N54" si="11">SUM(N43:N53)</f>
        <v>0</v>
      </c>
      <c r="O54" s="175">
        <f t="shared" ref="O54" si="12">SUM(O43:O53)</f>
        <v>0</v>
      </c>
      <c r="P54" s="175">
        <f t="shared" ref="P54" si="13">SUM(P43:P53)</f>
        <v>0</v>
      </c>
      <c r="Q54" s="176">
        <f>SUM(Q43:Q53)</f>
        <v>377.3411968800317</v>
      </c>
    </row>
    <row r="55" spans="2:17" x14ac:dyDescent="0.3">
      <c r="M55" s="167"/>
    </row>
    <row r="56" spans="2:17" x14ac:dyDescent="0.3">
      <c r="M56" s="167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4"/>
  </sheetPr>
  <dimension ref="A1:CS99"/>
  <sheetViews>
    <sheetView workbookViewId="0">
      <selection activeCell="D2" sqref="D2"/>
    </sheetView>
  </sheetViews>
  <sheetFormatPr baseColWidth="10" defaultColWidth="11.3984375" defaultRowHeight="10.199999999999999" x14ac:dyDescent="0.3"/>
  <cols>
    <col min="1" max="1" width="6.265625" style="1" customWidth="1"/>
    <col min="2" max="2" width="7.86328125" style="11" customWidth="1"/>
    <col min="3" max="4" width="14" style="1" customWidth="1"/>
    <col min="5" max="6" width="9.86328125" style="62" customWidth="1"/>
    <col min="7" max="55" width="11.265625" style="9" customWidth="1"/>
    <col min="56" max="16384" width="11.3984375" style="9"/>
  </cols>
  <sheetData>
    <row r="1" spans="1:97" s="61" customFormat="1" x14ac:dyDescent="0.3">
      <c r="A1" s="5" t="e">
        <f>Repo!#REF!</f>
        <v>#REF!</v>
      </c>
      <c r="B1" s="10" t="e">
        <f>Repo!#REF!</f>
        <v>#REF!</v>
      </c>
      <c r="C1" s="6" t="s">
        <v>20</v>
      </c>
      <c r="D1" s="7" t="s">
        <v>2</v>
      </c>
      <c r="E1" s="63" t="s">
        <v>3</v>
      </c>
      <c r="F1" s="63" t="s">
        <v>69</v>
      </c>
      <c r="G1" s="61" t="s">
        <v>21</v>
      </c>
      <c r="H1" s="14">
        <f>'Stock UST'!F$1</f>
        <v>41089</v>
      </c>
      <c r="I1" s="14">
        <f>_xll.CALENDAR.BUSINESS.DAYS(H$1,"USD",1)</f>
        <v>41092</v>
      </c>
      <c r="J1" s="14">
        <f>_xll.CALENDAR.BUSINESS.DAYS(I$1,"USD",1)</f>
        <v>41093</v>
      </c>
      <c r="K1" s="14">
        <f>_xll.CALENDAR.BUSINESS.DAYS(J$1,"USD",1)</f>
        <v>41095</v>
      </c>
      <c r="L1" s="14">
        <f>_xll.CALENDAR.BUSINESS.DAYS(K$1,"USD",1)</f>
        <v>41096</v>
      </c>
      <c r="M1" s="14">
        <f>_xll.CALENDAR.BUSINESS.DAYS(L$1,"USD",1)</f>
        <v>41099</v>
      </c>
      <c r="N1" s="14">
        <f>_xll.CALENDAR.BUSINESS.DAYS(M$1,"USD",1)</f>
        <v>41100</v>
      </c>
      <c r="O1" s="14">
        <f>_xll.CALENDAR.BUSINESS.DAYS(N$1,"USD",1)</f>
        <v>41101</v>
      </c>
      <c r="P1" s="14">
        <f>_xll.CALENDAR.BUSINESS.DAYS(O$1,"USD",1)</f>
        <v>41102</v>
      </c>
      <c r="Q1" s="14">
        <f>_xll.CALENDAR.BUSINESS.DAYS(P$1,"USD",1)</f>
        <v>41103</v>
      </c>
      <c r="R1" s="14">
        <f>_xll.CALENDAR.BUSINESS.DAYS(Q$1,"USD",1)</f>
        <v>41106</v>
      </c>
      <c r="S1" s="14">
        <f>_xll.CALENDAR.BUSINESS.DAYS(R$1,"USD",1)</f>
        <v>41107</v>
      </c>
      <c r="T1" s="14">
        <f>_xll.CALENDAR.BUSINESS.DAYS(S$1,"USD",1)</f>
        <v>41108</v>
      </c>
      <c r="U1" s="14">
        <f>_xll.CALENDAR.BUSINESS.DAYS(T$1,"USD",1)</f>
        <v>41109</v>
      </c>
      <c r="V1" s="14">
        <f>_xll.CALENDAR.BUSINESS.DAYS(U$1,"USD",1)</f>
        <v>41110</v>
      </c>
      <c r="W1" s="14">
        <f>_xll.CALENDAR.BUSINESS.DAYS(V$1,"USD",1)</f>
        <v>41113</v>
      </c>
      <c r="X1" s="14">
        <f>_xll.CALENDAR.BUSINESS.DAYS(W$1,"USD",1)</f>
        <v>41114</v>
      </c>
      <c r="Y1" s="14">
        <f>_xll.CALENDAR.BUSINESS.DAYS(X$1,"USD",1)</f>
        <v>41115</v>
      </c>
      <c r="Z1" s="14">
        <f>_xll.CALENDAR.BUSINESS.DAYS(Y$1,"USD",1)</f>
        <v>41116</v>
      </c>
      <c r="AA1" s="14">
        <f>_xll.CALENDAR.BUSINESS.DAYS(Z$1,"USD",1)</f>
        <v>41117</v>
      </c>
      <c r="AB1" s="14">
        <f>_xll.CALENDAR.BUSINESS.DAYS(AA$1,"USD",1)</f>
        <v>41120</v>
      </c>
      <c r="AC1" s="14">
        <f>_xll.CALENDAR.BUSINESS.DAYS(AB$1,"USD",1)</f>
        <v>41121</v>
      </c>
      <c r="AD1" s="14">
        <f>_xll.CALENDAR.BUSINESS.DAYS(AC$1,"USD",1)</f>
        <v>41122</v>
      </c>
      <c r="AE1" s="14">
        <f>_xll.CALENDAR.BUSINESS.DAYS(AD$1,"USD",1)</f>
        <v>41123</v>
      </c>
      <c r="AF1" s="14">
        <f>_xll.CALENDAR.BUSINESS.DAYS(AE$1,"USD",1)</f>
        <v>41124</v>
      </c>
      <c r="AG1" s="14">
        <f>_xll.CALENDAR.BUSINESS.DAYS(AF$1,"USD",1)</f>
        <v>41127</v>
      </c>
      <c r="AH1" s="14">
        <f>_xll.CALENDAR.BUSINESS.DAYS(AG$1,"USD",1)</f>
        <v>41128</v>
      </c>
      <c r="AI1" s="14">
        <f>_xll.CALENDAR.BUSINESS.DAYS(AH$1,"USD",1)</f>
        <v>41129</v>
      </c>
      <c r="AJ1" s="14">
        <f>_xll.CALENDAR.BUSINESS.DAYS(AI$1,"USD",1)</f>
        <v>41130</v>
      </c>
      <c r="AK1" s="14">
        <f>_xll.CALENDAR.BUSINESS.DAYS(AJ$1,"USD",1)</f>
        <v>41131</v>
      </c>
      <c r="AL1" s="14">
        <f>_xll.CALENDAR.BUSINESS.DAYS(AK$1,"USD",1)</f>
        <v>41134</v>
      </c>
      <c r="AM1" s="14">
        <f>_xll.CALENDAR.BUSINESS.DAYS(AL$1,"USD",1)</f>
        <v>41135</v>
      </c>
      <c r="AN1" s="14">
        <f>_xll.CALENDAR.BUSINESS.DAYS(AM$1,"USD",1)</f>
        <v>41136</v>
      </c>
      <c r="AO1" s="14">
        <f>_xll.CALENDAR.BUSINESS.DAYS(AN$1,"USD",1)</f>
        <v>41137</v>
      </c>
      <c r="AP1" s="14">
        <f>_xll.CALENDAR.BUSINESS.DAYS(AO$1,"USD",1)</f>
        <v>41138</v>
      </c>
      <c r="AQ1" s="14">
        <f>_xll.CALENDAR.BUSINESS.DAYS(AP$1,"USD",1)</f>
        <v>41141</v>
      </c>
      <c r="AR1" s="14">
        <f>_xll.CALENDAR.BUSINESS.DAYS(AQ$1,"USD",1)</f>
        <v>41142</v>
      </c>
      <c r="AS1" s="14">
        <f>_xll.CALENDAR.BUSINESS.DAYS(AR$1,"USD",1)</f>
        <v>41143</v>
      </c>
      <c r="AT1" s="14">
        <f>_xll.CALENDAR.BUSINESS.DAYS(AS$1,"USD",1)</f>
        <v>41144</v>
      </c>
      <c r="AU1" s="14">
        <f>_xll.CALENDAR.BUSINESS.DAYS(AT$1,"USD",1)</f>
        <v>41145</v>
      </c>
      <c r="AV1" s="14">
        <f>_xll.CALENDAR.BUSINESS.DAYS(AU$1,"USD",1)</f>
        <v>41148</v>
      </c>
      <c r="AW1" s="14">
        <f>_xll.CALENDAR.BUSINESS.DAYS(AV$1,"USD",1)</f>
        <v>41149</v>
      </c>
      <c r="AX1" s="14">
        <f>_xll.CALENDAR.BUSINESS.DAYS(AW$1,"USD",1)</f>
        <v>41150</v>
      </c>
      <c r="AY1" s="14">
        <f>_xll.CALENDAR.BUSINESS.DAYS(AX$1,"USD",1)</f>
        <v>41151</v>
      </c>
      <c r="AZ1" s="14">
        <f>_xll.CALENDAR.BUSINESS.DAYS(AY$1,"USD",1)</f>
        <v>41152</v>
      </c>
      <c r="BA1" s="14">
        <f>_xll.CALENDAR.BUSINESS.DAYS(AZ$1,"USD",1)</f>
        <v>41156</v>
      </c>
      <c r="BB1" s="14">
        <f>_xll.CALENDAR.BUSINESS.DAYS(BA$1,"USD",1)</f>
        <v>41157</v>
      </c>
      <c r="BC1" s="14">
        <f>_xll.CALENDAR.BUSINESS.DAYS(BB$1,"USD",1)</f>
        <v>41158</v>
      </c>
    </row>
    <row r="2" spans="1:97" x14ac:dyDescent="0.3">
      <c r="A2" s="2">
        <f>IF(OR(LEFT(C2,4)="FFCB",LEFT(C2,4)="FHLB"),RIGHT(C2,LEN(C2)-10),IF(LEFT(C2,3)="UST",RIGHT(C2,LEN(C2)-9),IF(LEFT(C2,3)="USB",0,"")))</f>
        <v>0</v>
      </c>
      <c r="B2" s="3">
        <f>IF(LEFT(C2,4)="FHLB",DATE(MID(C2,5,4),MID(C2,9,2),1),IF(LEFT(C2,3)&lt;&gt;"UST",IF(LEFT(C2,3)&lt;&gt;"USB","",DATE(MID(C2,4,4),MID(C2,8,2),RIGHT(C2,2))),DATE(MID(C2,4,4),MID(C2,8,2),1)))</f>
        <v>41249</v>
      </c>
      <c r="C2" s="4" t="str">
        <f>IF(Repo!C6="","",Repo!C6)</f>
        <v>USB20121206</v>
      </c>
      <c r="D2" s="4" t="str">
        <f>IF(Repo!D6="","",Repo!D6)</f>
        <v>US9127956V80</v>
      </c>
      <c r="E2" s="62" t="e">
        <f ca="1">IF(A2="",0,IF(LEFT(C2,3) = "USB",100*(1-BDP(D2 &amp; " Govt",E$1)*(B2-TODAY()+1)/36000),BDP(D2 &amp; " Govt",E$1)))</f>
        <v>#NAME?</v>
      </c>
      <c r="F2" s="62" t="e">
        <f ca="1">IF(A2="",0,IF(LEFT(D2,1) = "B",0,_xll.BDP(D2 &amp; " Govt",F$1)))</f>
        <v>#NAME?</v>
      </c>
      <c r="G2" s="9">
        <f>IF(Stock!B2="",0,IF(ISNUMBER($E2),($E2+$F2)*Stock!B2/100,Stock!B2))</f>
        <v>0</v>
      </c>
      <c r="H2" s="9">
        <f ca="1">IF(Stock!C2="",0,IF(ISNUMBER($E2),($E2+$F2)*Stock!C2/100,Stock!C2))</f>
        <v>0</v>
      </c>
      <c r="I2" s="9">
        <f ca="1">IF(Stock!D2="",0,IF(ISNUMBER($E2),($E2+$F2)*Stock!D2/100,Stock!D2))</f>
        <v>0</v>
      </c>
      <c r="J2" s="9">
        <f ca="1">IF(Stock!E2="",0,IF(ISNUMBER($E2),($E2+$F2)*Stock!E2/100,Stock!E2))</f>
        <v>0</v>
      </c>
      <c r="K2" s="9">
        <f ca="1">IF(Stock!F2="",0,IF(ISNUMBER($E2),($E2+$F2)*Stock!F2/100,Stock!F2))</f>
        <v>0</v>
      </c>
      <c r="L2" s="9">
        <f ca="1">IF(Stock!G2="",0,IF(ISNUMBER($E2),($E2+$F2)*Stock!G2/100,Stock!G2))</f>
        <v>0</v>
      </c>
      <c r="M2" s="9">
        <f ca="1">IF(Stock!H2="",0,IF(ISNUMBER($E2),($E2+$F2)*Stock!H2/100,Stock!H2))</f>
        <v>0</v>
      </c>
      <c r="N2" s="9">
        <f ca="1">IF(Stock!I2="",0,IF(ISNUMBER($E2),($E2+$F2)*Stock!I2/100,Stock!I2))</f>
        <v>0</v>
      </c>
      <c r="O2" s="9">
        <f ca="1">IF(Stock!J2="",0,IF(ISNUMBER($E2),($E2+$F2)*Stock!J2/100,Stock!J2))</f>
        <v>0</v>
      </c>
      <c r="P2" s="9">
        <f ca="1">IF(Stock!K2="",0,IF(ISNUMBER($E2),($E2+$F2)*Stock!K2/100,Stock!K2))</f>
        <v>0</v>
      </c>
      <c r="Q2" s="9">
        <f ca="1">IF(Stock!L2="",0,IF(ISNUMBER($E2),($E2+$F2)*Stock!L2/100,Stock!L2))</f>
        <v>0</v>
      </c>
      <c r="R2" s="9">
        <f ca="1">IF(Stock!M2="",0,IF(ISNUMBER($E2),($E2+$F2)*Stock!M2/100,Stock!M2))</f>
        <v>0</v>
      </c>
      <c r="S2" s="9">
        <f ca="1">IF(Stock!N2="",0,IF(ISNUMBER($E2),($E2+$F2)*Stock!N2/100,Stock!N2))</f>
        <v>0</v>
      </c>
      <c r="T2" s="9">
        <f ca="1">IF(Stock!O2="",0,IF(ISNUMBER($E2),($E2+$F2)*Stock!O2/100,Stock!O2))</f>
        <v>0</v>
      </c>
      <c r="U2" s="9">
        <f ca="1">IF(Stock!P2="",0,IF(ISNUMBER($E2),($E2+$F2)*Stock!P2/100,Stock!P2))</f>
        <v>0</v>
      </c>
      <c r="V2" s="9">
        <f ca="1">IF(Stock!Q2="",0,IF(ISNUMBER($E2),($E2+$F2)*Stock!Q2/100,Stock!Q2))</f>
        <v>0</v>
      </c>
      <c r="W2" s="9">
        <f ca="1">IF(Stock!R2="",0,IF(ISNUMBER($E2),($E2+$F2)*Stock!R2/100,Stock!R2))</f>
        <v>0</v>
      </c>
      <c r="X2" s="9">
        <f ca="1">IF(Stock!S2="",0,IF(ISNUMBER($E2),($E2+$F2)*Stock!S2/100,Stock!S2))</f>
        <v>0</v>
      </c>
      <c r="Y2" s="9">
        <f ca="1">IF(Stock!T2="",0,IF(ISNUMBER($E2),($E2+$F2)*Stock!T2/100,Stock!T2))</f>
        <v>0</v>
      </c>
      <c r="Z2" s="9">
        <f ca="1">IF(Stock!U2="",0,IF(ISNUMBER($E2),($E2+$F2)*Stock!U2/100,Stock!U2))</f>
        <v>0</v>
      </c>
      <c r="AA2" s="9">
        <f ca="1">IF(Stock!V2="",0,IF(ISNUMBER($E2),($E2+$F2)*Stock!V2/100,Stock!V2))</f>
        <v>0</v>
      </c>
      <c r="AB2" s="9">
        <f ca="1">IF(Stock!W2="",0,IF(ISNUMBER($E2),($E2+$F2)*Stock!W2/100,Stock!W2))</f>
        <v>0</v>
      </c>
      <c r="AC2" s="9">
        <f ca="1">IF(Stock!X2="",0,IF(ISNUMBER($E2),($E2+$F2)*Stock!X2/100,Stock!X2))</f>
        <v>0</v>
      </c>
      <c r="AD2" s="9">
        <f ca="1">IF(Stock!Y2="",0,IF(ISNUMBER($E2),($E2+$F2)*Stock!Y2/100,Stock!Y2))</f>
        <v>0</v>
      </c>
      <c r="AE2" s="9">
        <f ca="1">IF(Stock!Z2="",0,IF(ISNUMBER($E2),($E2+$F2)*Stock!Z2/100,Stock!Z2))</f>
        <v>0</v>
      </c>
      <c r="AF2" s="9">
        <f ca="1">IF(Stock!AA2="",0,IF(ISNUMBER($E2),($E2+$F2)*Stock!AA2/100,Stock!AA2))</f>
        <v>0</v>
      </c>
      <c r="AG2" s="9">
        <f ca="1">IF(Stock!AB2="",0,IF(ISNUMBER($E2),($E2+$F2)*Stock!AB2/100,Stock!AB2))</f>
        <v>0</v>
      </c>
      <c r="AH2" s="9">
        <f ca="1">IF(Stock!AC2="",0,IF(ISNUMBER($E2),($E2+$F2)*Stock!AC2/100,Stock!AC2))</f>
        <v>0</v>
      </c>
      <c r="AI2" s="9">
        <f ca="1">IF(Stock!AD2="",0,IF(ISNUMBER($E2),($E2+$F2)*Stock!AD2/100,Stock!AD2))</f>
        <v>0</v>
      </c>
      <c r="AJ2" s="9">
        <f ca="1">IF(Stock!AE2="",0,IF(ISNUMBER($E2),($E2+$F2)*Stock!AE2/100,Stock!AE2))</f>
        <v>0</v>
      </c>
      <c r="AK2" s="9">
        <f ca="1">IF(Stock!AF2="",0,IF(ISNUMBER($E2),($E2+$F2)*Stock!AF2/100,Stock!AF2))</f>
        <v>0</v>
      </c>
      <c r="AL2" s="9">
        <f ca="1">IF(Stock!AG2="",0,IF(ISNUMBER($E2),($E2+$F2)*Stock!AG2/100,Stock!AG2))</f>
        <v>0</v>
      </c>
      <c r="AM2" s="9">
        <f ca="1">IF(Stock!AH2="",0,IF(ISNUMBER($E2),($E2+$F2)*Stock!AH2/100,Stock!AH2))</f>
        <v>0</v>
      </c>
      <c r="AN2" s="9">
        <f ca="1">IF(Stock!AI2="",0,IF(ISNUMBER($E2),($E2+$F2)*Stock!AI2/100,Stock!AI2))</f>
        <v>0</v>
      </c>
      <c r="AO2" s="9">
        <f ca="1">IF(Stock!AJ2="",0,IF(ISNUMBER($E2),($E2+$F2)*Stock!AJ2/100,Stock!AJ2))</f>
        <v>0</v>
      </c>
      <c r="AP2" s="9">
        <f ca="1">IF(Stock!AK2="",0,IF(ISNUMBER($E2),($E2+$F2)*Stock!AK2/100,Stock!AK2))</f>
        <v>0</v>
      </c>
      <c r="AQ2" s="9">
        <f ca="1">IF(Stock!AL2="",0,IF(ISNUMBER($E2),($E2+$F2)*Stock!AL2/100,Stock!AL2))</f>
        <v>0</v>
      </c>
      <c r="AR2" s="9">
        <f ca="1">IF(Stock!AM2="",0,IF(ISNUMBER($E2),($E2+$F2)*Stock!AM2/100,Stock!AM2))</f>
        <v>0</v>
      </c>
      <c r="AS2" s="9">
        <f ca="1">IF(Stock!AN2="",0,IF(ISNUMBER($E2),($E2+$F2)*Stock!AN2/100,Stock!AN2))</f>
        <v>0</v>
      </c>
      <c r="AT2" s="9">
        <f ca="1">IF(Stock!AO2="",0,IF(ISNUMBER($E2),($E2+$F2)*Stock!AO2/100,Stock!AO2))</f>
        <v>0</v>
      </c>
      <c r="AU2" s="9">
        <f ca="1">IF(Stock!AP2="",0,IF(ISNUMBER($E2),($E2+$F2)*Stock!AP2/100,Stock!AP2))</f>
        <v>0</v>
      </c>
      <c r="AV2" s="9">
        <f ca="1">IF(Stock!AQ2="",0,IF(ISNUMBER($E2),($E2+$F2)*Stock!AQ2/100,Stock!AQ2))</f>
        <v>0</v>
      </c>
      <c r="AW2" s="9">
        <f ca="1">IF(Stock!AR2="",0,IF(ISNUMBER($E2),($E2+$F2)*Stock!AR2/100,Stock!AR2))</f>
        <v>0</v>
      </c>
      <c r="AX2" s="9">
        <f ca="1">IF(Stock!AS2="",0,IF(ISNUMBER($E2),($E2+$F2)*Stock!AS2/100,Stock!AS2))</f>
        <v>0</v>
      </c>
      <c r="AY2" s="9">
        <f ca="1">IF(Stock!AT2="",0,IF(ISNUMBER($E2),($E2+$F2)*Stock!AT2/100,Stock!AT2))</f>
        <v>0</v>
      </c>
      <c r="AZ2" s="9">
        <f ca="1">IF(Stock!AU2="",0,IF(ISNUMBER($E2),($E2+$F2)*Stock!AU2/100,Stock!AU2))</f>
        <v>0</v>
      </c>
      <c r="BA2" s="9">
        <f ca="1">IF(Stock!AV2="",0,IF(ISNUMBER($E2),($E2+$F2)*Stock!AV2/100,Stock!AV2))</f>
        <v>0</v>
      </c>
      <c r="BB2" s="9">
        <f ca="1">IF(Stock!AW2="",0,IF(ISNUMBER($E2),($E2+$F2)*Stock!AW2/100,Stock!AW2))</f>
        <v>0</v>
      </c>
      <c r="BC2" s="9">
        <f ca="1">IF(Stock!AX2="",0,IF(ISNUMBER($E2),($E2+$F2)*Stock!AX2/100,Stock!AX2))</f>
        <v>0</v>
      </c>
      <c r="BE2" s="9" t="str">
        <f>IF(Repo!BC6="","",IF(ISNUMBER($E2),$E2*Repo!BC6/100,Repo!BC6))</f>
        <v/>
      </c>
      <c r="BF2" s="9" t="str">
        <f>IF(Repo!BD6="","",IF(ISNUMBER($E2),$E2*Repo!BD6/100,Repo!BD6))</f>
        <v/>
      </c>
      <c r="BG2" s="9" t="str">
        <f>IF(Repo!BE6="","",IF(ISNUMBER($E2),$E2*Repo!BE6/100,Repo!BE6))</f>
        <v/>
      </c>
      <c r="BH2" s="9" t="str">
        <f>IF(Repo!BF6="","",IF(ISNUMBER($E2),$E2*Repo!BF6/100,Repo!BF6))</f>
        <v/>
      </c>
      <c r="BI2" s="9" t="str">
        <f>IF(Repo!BG6="","",IF(ISNUMBER($E2),$E2*Repo!BG6/100,Repo!BG6))</f>
        <v/>
      </c>
      <c r="BJ2" s="9" t="str">
        <f>IF(Repo!BH6="","",IF(ISNUMBER($E2),$E2*Repo!BH6/100,Repo!BH6))</f>
        <v/>
      </c>
      <c r="BK2" s="9" t="str">
        <f>IF(Repo!BI6="","",IF(ISNUMBER($E2),$E2*Repo!BI6/100,Repo!BI6))</f>
        <v/>
      </c>
      <c r="BL2" s="9" t="str">
        <f>IF(Repo!BJ6="","",IF(ISNUMBER($E2),$E2*Repo!BJ6/100,Repo!BJ6))</f>
        <v/>
      </c>
      <c r="BM2" s="9" t="str">
        <f>IF(Repo!BK6="","",IF(ISNUMBER($E2),$E2*Repo!BK6/100,Repo!BK6))</f>
        <v/>
      </c>
      <c r="BN2" s="9" t="str">
        <f>IF(Repo!BL6="","",IF(ISNUMBER($E2),$E2*Repo!BL6/100,Repo!BL6))</f>
        <v/>
      </c>
      <c r="BO2" s="9" t="str">
        <f>IF(Repo!BM6="","",IF(ISNUMBER($E2),$E2*Repo!BM6/100,Repo!BM6))</f>
        <v/>
      </c>
      <c r="BP2" s="9" t="str">
        <f>IF(Repo!BN6="","",IF(ISNUMBER($E2),$E2*Repo!BN6/100,Repo!BN6))</f>
        <v/>
      </c>
      <c r="BQ2" s="9" t="str">
        <f>IF(Repo!BO6="","",IF(ISNUMBER($E2),$E2*Repo!BO6/100,Repo!BO6))</f>
        <v/>
      </c>
      <c r="BR2" s="9" t="str">
        <f>IF(Repo!BP6="","",IF(ISNUMBER($E2),$E2*Repo!BP6/100,Repo!BP6))</f>
        <v/>
      </c>
      <c r="BS2" s="9" t="str">
        <f>IF(Repo!BQ6="","",IF(ISNUMBER($E2),$E2*Repo!BQ6/100,Repo!BQ6))</f>
        <v/>
      </c>
      <c r="BT2" s="9" t="str">
        <f>IF(Repo!BR6="","",IF(ISNUMBER($E2),$E2*Repo!BR6/100,Repo!BR6))</f>
        <v/>
      </c>
      <c r="BU2" s="9" t="str">
        <f>IF(Repo!BS6="","",IF(ISNUMBER($E2),$E2*Repo!BS6/100,Repo!BS6))</f>
        <v/>
      </c>
      <c r="BV2" s="9" t="str">
        <f>IF(Repo!BT6="","",IF(ISNUMBER($E2),$E2*Repo!BT6/100,Repo!BT6))</f>
        <v/>
      </c>
      <c r="BW2" s="9" t="str">
        <f>IF(Repo!BU6="","",IF(ISNUMBER($E2),$E2*Repo!BU6/100,Repo!BU6))</f>
        <v/>
      </c>
      <c r="BX2" s="9" t="str">
        <f>IF(Repo!BV6="","",IF(ISNUMBER($E2),$E2*Repo!BV6/100,Repo!BV6))</f>
        <v/>
      </c>
      <c r="BY2" s="9" t="str">
        <f>IF(Repo!BW6="","",IF(ISNUMBER($E2),$E2*Repo!BW6/100,Repo!BW6))</f>
        <v/>
      </c>
      <c r="BZ2" s="9" t="str">
        <f>IF(Repo!BX6="","",IF(ISNUMBER($E2),$E2*Repo!BX6/100,Repo!BX6))</f>
        <v/>
      </c>
      <c r="CA2" s="9" t="str">
        <f>IF(Repo!BY6="","",IF(ISNUMBER($E2),$E2*Repo!BY6/100,Repo!BY6))</f>
        <v/>
      </c>
      <c r="CB2" s="9" t="str">
        <f>IF(Repo!BZ6="","",IF(ISNUMBER($E2),$E2*Repo!BZ6/100,Repo!BZ6))</f>
        <v/>
      </c>
      <c r="CC2" s="9" t="str">
        <f>IF(Repo!CA6="","",IF(ISNUMBER($E2),$E2*Repo!CA6/100,Repo!CA6))</f>
        <v/>
      </c>
      <c r="CD2" s="9" t="str">
        <f>IF(Repo!CB6="","",IF(ISNUMBER($E2),$E2*Repo!CB6/100,Repo!CB6))</f>
        <v/>
      </c>
      <c r="CE2" s="9" t="str">
        <f>IF(Repo!CC6="","",IF(ISNUMBER($E2),$E2*Repo!CC6/100,Repo!CC6))</f>
        <v/>
      </c>
      <c r="CF2" s="9" t="str">
        <f>IF(Repo!CD6="","",IF(ISNUMBER($E2),$E2*Repo!CD6/100,Repo!CD6))</f>
        <v/>
      </c>
      <c r="CG2" s="9" t="str">
        <f>IF(Repo!CE6="","",IF(ISNUMBER($E2),$E2*Repo!CE6/100,Repo!CE6))</f>
        <v/>
      </c>
      <c r="CH2" s="9" t="str">
        <f>IF(Repo!CF6="","",IF(ISNUMBER($E2),$E2*Repo!CF6/100,Repo!CF6))</f>
        <v/>
      </c>
      <c r="CI2" s="9" t="str">
        <f>IF(Repo!CG6="","",IF(ISNUMBER($E2),$E2*Repo!CG6/100,Repo!CG6))</f>
        <v/>
      </c>
      <c r="CJ2" s="9" t="str">
        <f>IF(Repo!CH6="","",IF(ISNUMBER($E2),$E2*Repo!CH6/100,Repo!CH6))</f>
        <v/>
      </c>
      <c r="CK2" s="9" t="str">
        <f>IF(Repo!CI6="","",IF(ISNUMBER($E2),$E2*Repo!CI6/100,Repo!CI6))</f>
        <v/>
      </c>
      <c r="CL2" s="9" t="str">
        <f>IF(Repo!CJ6="","",IF(ISNUMBER($E2),$E2*Repo!CJ6/100,Repo!CJ6))</f>
        <v/>
      </c>
      <c r="CM2" s="9" t="str">
        <f>IF(Repo!CK6="","",IF(ISNUMBER($E2),$E2*Repo!CK6/100,Repo!CK6))</f>
        <v/>
      </c>
      <c r="CN2" s="9" t="str">
        <f>IF(Repo!CL6="","",IF(ISNUMBER($E2),$E2*Repo!CL6/100,Repo!CL6))</f>
        <v/>
      </c>
      <c r="CO2" s="9" t="str">
        <f>IF(Repo!CM6="","",IF(ISNUMBER($E2),$E2*Repo!CM6/100,Repo!CM6))</f>
        <v/>
      </c>
      <c r="CP2" s="9" t="str">
        <f>IF(Repo!CN6="","",IF(ISNUMBER($E2),$E2*Repo!CN6/100,Repo!CN6))</f>
        <v/>
      </c>
      <c r="CQ2" s="9" t="str">
        <f>IF(Repo!CO6="","",IF(ISNUMBER($E2),$E2*Repo!CO6/100,Repo!CO6))</f>
        <v/>
      </c>
      <c r="CR2" s="9" t="str">
        <f>IF(Repo!CP6="","",IF(ISNUMBER($E2),$E2*Repo!CP6/100,Repo!CP6))</f>
        <v/>
      </c>
      <c r="CS2" s="9" t="str">
        <f>IF(Repo!CQ6="","",IF(ISNUMBER($E2),$E2*Repo!CQ6/100,Repo!CQ6))</f>
        <v/>
      </c>
    </row>
    <row r="3" spans="1:97" x14ac:dyDescent="0.3">
      <c r="A3" s="2">
        <f t="shared" ref="A3:A66" si="0">IF(OR(LEFT(C3,4)="FFCB",LEFT(C3,4)="FHLB"),RIGHT(C3,LEN(C3)-10),IF(LEFT(C3,3)="UST",RIGHT(C3,LEN(C3)-9),IF(LEFT(C3,3)="USB",0,"")))</f>
        <v>0</v>
      </c>
      <c r="B3" s="3">
        <f t="shared" ref="B3:B66" si="1">IF(LEFT(C3,4)="FHLB",DATE(MID(C3,5,4),MID(C3,9,2),1),IF(LEFT(C3,3)&lt;&gt;"UST",IF(LEFT(C3,3)&lt;&gt;"USB","",DATE(MID(C3,4,4),MID(C3,8,2),RIGHT(C3,2))),DATE(MID(C3,4,4),MID(C3,8,2),1)))</f>
        <v>41270</v>
      </c>
      <c r="C3" s="4" t="str">
        <f>IF(Repo!C7="","",Repo!C7)</f>
        <v>USB20121227</v>
      </c>
      <c r="D3" s="4" t="str">
        <f>IF(Repo!D7="","",Repo!D7)</f>
        <v>US9127956Y20</v>
      </c>
      <c r="E3" s="62" t="e">
        <f ca="1">IF(A3="",0,IF(LEFT(C3,3) = "USB",100*(1-_xll.BDP(D3 &amp; " Govt",E$1)*(B3-TODAY()+1)/36000),_xll.BDP(D3 &amp; " Govt",E$1)))</f>
        <v>#NAME?</v>
      </c>
      <c r="F3" s="62" t="e">
        <f ca="1">IF(A3="",0,IF(LEFT(D3,1) = "B",0,_xll.BDP(D3 &amp; " Govt",F$1)))</f>
        <v>#NAME?</v>
      </c>
      <c r="G3" s="9">
        <f ca="1">IF(Stock!B3="",0,IF(ISNUMBER($E3),($E3+$F3)*Stock!B3/100,Stock!B3))</f>
        <v>400000</v>
      </c>
      <c r="H3" s="9">
        <f ca="1">IF(Stock!C3="",0,IF(ISNUMBER($E3),($E3+$F3)*Stock!C3/100,Stock!C3))</f>
        <v>400000</v>
      </c>
      <c r="I3" s="9">
        <f ca="1">IF(Stock!D3="",0,IF(ISNUMBER($E3),($E3+$F3)*Stock!D3/100,Stock!D3))</f>
        <v>400000</v>
      </c>
      <c r="J3" s="9">
        <f ca="1">IF(Stock!E3="",0,IF(ISNUMBER($E3),($E3+$F3)*Stock!E3/100,Stock!E3))</f>
        <v>400000</v>
      </c>
      <c r="K3" s="9">
        <f ca="1">IF(Stock!F3="",0,IF(ISNUMBER($E3),($E3+$F3)*Stock!F3/100,Stock!F3))</f>
        <v>400000</v>
      </c>
      <c r="L3" s="9">
        <f ca="1">IF(Stock!G3="",0,IF(ISNUMBER($E3),($E3+$F3)*Stock!G3/100,Stock!G3))</f>
        <v>400000</v>
      </c>
      <c r="M3" s="9">
        <f ca="1">IF(Stock!H3="",0,IF(ISNUMBER($E3),($E3+$F3)*Stock!H3/100,Stock!H3))</f>
        <v>400000</v>
      </c>
      <c r="N3" s="9">
        <f ca="1">IF(Stock!I3="",0,IF(ISNUMBER($E3),($E3+$F3)*Stock!I3/100,Stock!I3))</f>
        <v>400000</v>
      </c>
      <c r="O3" s="9">
        <f ca="1">IF(Stock!J3="",0,IF(ISNUMBER($E3),($E3+$F3)*Stock!J3/100,Stock!J3))</f>
        <v>400000</v>
      </c>
      <c r="P3" s="9">
        <f ca="1">IF(Stock!K3="",0,IF(ISNUMBER($E3),($E3+$F3)*Stock!K3/100,Stock!K3))</f>
        <v>400000</v>
      </c>
      <c r="Q3" s="9">
        <f ca="1">IF(Stock!L3="",0,IF(ISNUMBER($E3),($E3+$F3)*Stock!L3/100,Stock!L3))</f>
        <v>400000</v>
      </c>
      <c r="R3" s="9">
        <f ca="1">IF(Stock!M3="",0,IF(ISNUMBER($E3),($E3+$F3)*Stock!M3/100,Stock!M3))</f>
        <v>400000</v>
      </c>
      <c r="S3" s="9">
        <f ca="1">IF(Stock!N3="",0,IF(ISNUMBER($E3),($E3+$F3)*Stock!N3/100,Stock!N3))</f>
        <v>400000</v>
      </c>
      <c r="T3" s="9">
        <f ca="1">IF(Stock!O3="",0,IF(ISNUMBER($E3),($E3+$F3)*Stock!O3/100,Stock!O3))</f>
        <v>400000</v>
      </c>
      <c r="U3" s="9">
        <f ca="1">IF(Stock!P3="",0,IF(ISNUMBER($E3),($E3+$F3)*Stock!P3/100,Stock!P3))</f>
        <v>400000</v>
      </c>
      <c r="V3" s="9">
        <f ca="1">IF(Stock!Q3="",0,IF(ISNUMBER($E3),($E3+$F3)*Stock!Q3/100,Stock!Q3))</f>
        <v>400000</v>
      </c>
      <c r="W3" s="9">
        <f ca="1">IF(Stock!R3="",0,IF(ISNUMBER($E3),($E3+$F3)*Stock!R3/100,Stock!R3))</f>
        <v>400000</v>
      </c>
      <c r="X3" s="9">
        <f ca="1">IF(Stock!S3="",0,IF(ISNUMBER($E3),($E3+$F3)*Stock!S3/100,Stock!S3))</f>
        <v>400000</v>
      </c>
      <c r="Y3" s="9">
        <f ca="1">IF(Stock!T3="",0,IF(ISNUMBER($E3),($E3+$F3)*Stock!T3/100,Stock!T3))</f>
        <v>400000</v>
      </c>
      <c r="Z3" s="9">
        <f ca="1">IF(Stock!U3="",0,IF(ISNUMBER($E3),($E3+$F3)*Stock!U3/100,Stock!U3))</f>
        <v>400000</v>
      </c>
      <c r="AA3" s="9">
        <f ca="1">IF(Stock!V3="",0,IF(ISNUMBER($E3),($E3+$F3)*Stock!V3/100,Stock!V3))</f>
        <v>400000</v>
      </c>
      <c r="AB3" s="9">
        <f ca="1">IF(Stock!W3="",0,IF(ISNUMBER($E3),($E3+$F3)*Stock!W3/100,Stock!W3))</f>
        <v>400000</v>
      </c>
      <c r="AC3" s="9">
        <f ca="1">IF(Stock!X3="",0,IF(ISNUMBER($E3),($E3+$F3)*Stock!X3/100,Stock!X3))</f>
        <v>400000</v>
      </c>
      <c r="AD3" s="9">
        <f ca="1">IF(Stock!Y3="",0,IF(ISNUMBER($E3),($E3+$F3)*Stock!Y3/100,Stock!Y3))</f>
        <v>400000</v>
      </c>
      <c r="AE3" s="9">
        <f ca="1">IF(Stock!Z3="",0,IF(ISNUMBER($E3),($E3+$F3)*Stock!Z3/100,Stock!Z3))</f>
        <v>400000</v>
      </c>
      <c r="AF3" s="9">
        <f ca="1">IF(Stock!AA3="",0,IF(ISNUMBER($E3),($E3+$F3)*Stock!AA3/100,Stock!AA3))</f>
        <v>400000</v>
      </c>
      <c r="AG3" s="9">
        <f ca="1">IF(Stock!AB3="",0,IF(ISNUMBER($E3),($E3+$F3)*Stock!AB3/100,Stock!AB3))</f>
        <v>400000</v>
      </c>
      <c r="AH3" s="9">
        <f ca="1">IF(Stock!AC3="",0,IF(ISNUMBER($E3),($E3+$F3)*Stock!AC3/100,Stock!AC3))</f>
        <v>400000</v>
      </c>
      <c r="AI3" s="9">
        <f ca="1">IF(Stock!AD3="",0,IF(ISNUMBER($E3),($E3+$F3)*Stock!AD3/100,Stock!AD3))</f>
        <v>400000</v>
      </c>
      <c r="AJ3" s="9">
        <f ca="1">IF(Stock!AE3="",0,IF(ISNUMBER($E3),($E3+$F3)*Stock!AE3/100,Stock!AE3))</f>
        <v>400000</v>
      </c>
      <c r="AK3" s="9">
        <f ca="1">IF(Stock!AF3="",0,IF(ISNUMBER($E3),($E3+$F3)*Stock!AF3/100,Stock!AF3))</f>
        <v>400000</v>
      </c>
      <c r="AL3" s="9">
        <f ca="1">IF(Stock!AG3="",0,IF(ISNUMBER($E3),($E3+$F3)*Stock!AG3/100,Stock!AG3))</f>
        <v>400000</v>
      </c>
      <c r="AM3" s="9">
        <f ca="1">IF(Stock!AH3="",0,IF(ISNUMBER($E3),($E3+$F3)*Stock!AH3/100,Stock!AH3))</f>
        <v>400000</v>
      </c>
      <c r="AN3" s="9">
        <f ca="1">IF(Stock!AI3="",0,IF(ISNUMBER($E3),($E3+$F3)*Stock!AI3/100,Stock!AI3))</f>
        <v>400000</v>
      </c>
      <c r="AO3" s="9">
        <f ca="1">IF(Stock!AJ3="",0,IF(ISNUMBER($E3),($E3+$F3)*Stock!AJ3/100,Stock!AJ3))</f>
        <v>400000</v>
      </c>
      <c r="AP3" s="9">
        <f ca="1">IF(Stock!AK3="",0,IF(ISNUMBER($E3),($E3+$F3)*Stock!AK3/100,Stock!AK3))</f>
        <v>400000</v>
      </c>
      <c r="AQ3" s="9">
        <f ca="1">IF(Stock!AL3="",0,IF(ISNUMBER($E3),($E3+$F3)*Stock!AL3/100,Stock!AL3))</f>
        <v>400000</v>
      </c>
      <c r="AR3" s="9">
        <f ca="1">IF(Stock!AM3="",0,IF(ISNUMBER($E3),($E3+$F3)*Stock!AM3/100,Stock!AM3))</f>
        <v>400000</v>
      </c>
      <c r="AS3" s="9">
        <f ca="1">IF(Stock!AN3="",0,IF(ISNUMBER($E3),($E3+$F3)*Stock!AN3/100,Stock!AN3))</f>
        <v>400000</v>
      </c>
      <c r="AT3" s="9">
        <f ca="1">IF(Stock!AO3="",0,IF(ISNUMBER($E3),($E3+$F3)*Stock!AO3/100,Stock!AO3))</f>
        <v>400000</v>
      </c>
      <c r="AU3" s="9">
        <f ca="1">IF(Stock!AP3="",0,IF(ISNUMBER($E3),($E3+$F3)*Stock!AP3/100,Stock!AP3))</f>
        <v>400000</v>
      </c>
      <c r="AV3" s="9">
        <f ca="1">IF(Stock!AQ3="",0,IF(ISNUMBER($E3),($E3+$F3)*Stock!AQ3/100,Stock!AQ3))</f>
        <v>400000</v>
      </c>
      <c r="AW3" s="9">
        <f ca="1">IF(Stock!AR3="",0,IF(ISNUMBER($E3),($E3+$F3)*Stock!AR3/100,Stock!AR3))</f>
        <v>400000</v>
      </c>
      <c r="AX3" s="9">
        <f ca="1">IF(Stock!AS3="",0,IF(ISNUMBER($E3),($E3+$F3)*Stock!AS3/100,Stock!AS3))</f>
        <v>400000</v>
      </c>
      <c r="AY3" s="9">
        <f ca="1">IF(Stock!AT3="",0,IF(ISNUMBER($E3),($E3+$F3)*Stock!AT3/100,Stock!AT3))</f>
        <v>400000</v>
      </c>
      <c r="AZ3" s="9">
        <f ca="1">IF(Stock!AU3="",0,IF(ISNUMBER($E3),($E3+$F3)*Stock!AU3/100,Stock!AU3))</f>
        <v>400000</v>
      </c>
      <c r="BA3" s="9">
        <f ca="1">IF(Stock!AV3="",0,IF(ISNUMBER($E3),($E3+$F3)*Stock!AV3/100,Stock!AV3))</f>
        <v>400000</v>
      </c>
      <c r="BB3" s="9">
        <f ca="1">IF(Stock!AW3="",0,IF(ISNUMBER($E3),($E3+$F3)*Stock!AW3/100,Stock!AW3))</f>
        <v>400000</v>
      </c>
      <c r="BC3" s="9">
        <f ca="1">IF(Stock!AX3="",0,IF(ISNUMBER($E3),($E3+$F3)*Stock!AX3/100,Stock!AX3))</f>
        <v>400000</v>
      </c>
    </row>
    <row r="4" spans="1:97" x14ac:dyDescent="0.3">
      <c r="A4" s="2">
        <f t="shared" si="0"/>
        <v>0</v>
      </c>
      <c r="B4" s="3">
        <f t="shared" si="1"/>
        <v>41368</v>
      </c>
      <c r="C4" s="4" t="str">
        <f>IF(Repo!C8="","",Repo!C8)</f>
        <v>USB20130404</v>
      </c>
      <c r="D4" s="4" t="str">
        <f>IF(Repo!D8="","",Repo!D8)</f>
        <v>US9127956F31</v>
      </c>
      <c r="E4" s="62" t="e">
        <f ca="1">IF(A4="",0,IF(LEFT(C4,3) = "USB",100*(1-_xll.BDP(D4 &amp; " Govt",E$1)*(B4-TODAY()+1)/36000),_xll.BDP(D4 &amp; " Govt",E$1)))</f>
        <v>#NAME?</v>
      </c>
      <c r="F4" s="62" t="e">
        <f ca="1">IF(A4="",0,IF(LEFT(D4,1) = "B",0,_xll.BDP(D4 &amp; " Govt",F$1)))</f>
        <v>#NAME?</v>
      </c>
      <c r="G4" s="9">
        <f>IF(Stock!B4="",0,IF(ISNUMBER($E4),($E4+$F4)*Stock!B4/100,Stock!B4))</f>
        <v>0</v>
      </c>
      <c r="H4" s="9">
        <f ca="1">IF(Stock!C4="",0,IF(ISNUMBER($E4),($E4+$F4)*Stock!C4/100,Stock!C4))</f>
        <v>0</v>
      </c>
      <c r="I4" s="9">
        <f ca="1">IF(Stock!D4="",0,IF(ISNUMBER($E4),($E4+$F4)*Stock!D4/100,Stock!D4))</f>
        <v>0</v>
      </c>
      <c r="J4" s="9">
        <f ca="1">IF(Stock!E4="",0,IF(ISNUMBER($E4),($E4+$F4)*Stock!E4/100,Stock!E4))</f>
        <v>0</v>
      </c>
      <c r="K4" s="9">
        <f ca="1">IF(Stock!F4="",0,IF(ISNUMBER($E4),($E4+$F4)*Stock!F4/100,Stock!F4))</f>
        <v>0</v>
      </c>
      <c r="L4" s="9">
        <f ca="1">IF(Stock!G4="",0,IF(ISNUMBER($E4),($E4+$F4)*Stock!G4/100,Stock!G4))</f>
        <v>0</v>
      </c>
      <c r="M4" s="9">
        <f ca="1">IF(Stock!H4="",0,IF(ISNUMBER($E4),($E4+$F4)*Stock!H4/100,Stock!H4))</f>
        <v>0</v>
      </c>
      <c r="N4" s="9">
        <f ca="1">IF(Stock!I4="",0,IF(ISNUMBER($E4),($E4+$F4)*Stock!I4/100,Stock!I4))</f>
        <v>0</v>
      </c>
      <c r="O4" s="9">
        <f ca="1">IF(Stock!J4="",0,IF(ISNUMBER($E4),($E4+$F4)*Stock!J4/100,Stock!J4))</f>
        <v>0</v>
      </c>
      <c r="P4" s="9">
        <f ca="1">IF(Stock!K4="",0,IF(ISNUMBER($E4),($E4+$F4)*Stock!K4/100,Stock!K4))</f>
        <v>0</v>
      </c>
      <c r="Q4" s="9">
        <f ca="1">IF(Stock!L4="",0,IF(ISNUMBER($E4),($E4+$F4)*Stock!L4/100,Stock!L4))</f>
        <v>0</v>
      </c>
      <c r="R4" s="9">
        <f ca="1">IF(Stock!M4="",0,IF(ISNUMBER($E4),($E4+$F4)*Stock!M4/100,Stock!M4))</f>
        <v>0</v>
      </c>
      <c r="S4" s="9">
        <f ca="1">IF(Stock!N4="",0,IF(ISNUMBER($E4),($E4+$F4)*Stock!N4/100,Stock!N4))</f>
        <v>0</v>
      </c>
      <c r="T4" s="9">
        <f ca="1">IF(Stock!O4="",0,IF(ISNUMBER($E4),($E4+$F4)*Stock!O4/100,Stock!O4))</f>
        <v>0</v>
      </c>
      <c r="U4" s="9">
        <f ca="1">IF(Stock!P4="",0,IF(ISNUMBER($E4),($E4+$F4)*Stock!P4/100,Stock!P4))</f>
        <v>0</v>
      </c>
      <c r="V4" s="9">
        <f ca="1">IF(Stock!Q4="",0,IF(ISNUMBER($E4),($E4+$F4)*Stock!Q4/100,Stock!Q4))</f>
        <v>0</v>
      </c>
      <c r="W4" s="9">
        <f ca="1">IF(Stock!R4="",0,IF(ISNUMBER($E4),($E4+$F4)*Stock!R4/100,Stock!R4))</f>
        <v>0</v>
      </c>
      <c r="X4" s="9">
        <f ca="1">IF(Stock!S4="",0,IF(ISNUMBER($E4),($E4+$F4)*Stock!S4/100,Stock!S4))</f>
        <v>0</v>
      </c>
      <c r="Y4" s="9">
        <f ca="1">IF(Stock!T4="",0,IF(ISNUMBER($E4),($E4+$F4)*Stock!T4/100,Stock!T4))</f>
        <v>0</v>
      </c>
      <c r="Z4" s="9">
        <f ca="1">IF(Stock!U4="",0,IF(ISNUMBER($E4),($E4+$F4)*Stock!U4/100,Stock!U4))</f>
        <v>0</v>
      </c>
      <c r="AA4" s="9">
        <f ca="1">IF(Stock!V4="",0,IF(ISNUMBER($E4),($E4+$F4)*Stock!V4/100,Stock!V4))</f>
        <v>0</v>
      </c>
      <c r="AB4" s="9">
        <f ca="1">IF(Stock!W4="",0,IF(ISNUMBER($E4),($E4+$F4)*Stock!W4/100,Stock!W4))</f>
        <v>0</v>
      </c>
      <c r="AC4" s="9">
        <f ca="1">IF(Stock!X4="",0,IF(ISNUMBER($E4),($E4+$F4)*Stock!X4/100,Stock!X4))</f>
        <v>0</v>
      </c>
      <c r="AD4" s="9">
        <f ca="1">IF(Stock!Y4="",0,IF(ISNUMBER($E4),($E4+$F4)*Stock!Y4/100,Stock!Y4))</f>
        <v>0</v>
      </c>
      <c r="AE4" s="9">
        <f ca="1">IF(Stock!Z4="",0,IF(ISNUMBER($E4),($E4+$F4)*Stock!Z4/100,Stock!Z4))</f>
        <v>0</v>
      </c>
      <c r="AF4" s="9">
        <f ca="1">IF(Stock!AA4="",0,IF(ISNUMBER($E4),($E4+$F4)*Stock!AA4/100,Stock!AA4))</f>
        <v>0</v>
      </c>
      <c r="AG4" s="9">
        <f ca="1">IF(Stock!AB4="",0,IF(ISNUMBER($E4),($E4+$F4)*Stock!AB4/100,Stock!AB4))</f>
        <v>0</v>
      </c>
      <c r="AH4" s="9">
        <f ca="1">IF(Stock!AC4="",0,IF(ISNUMBER($E4),($E4+$F4)*Stock!AC4/100,Stock!AC4))</f>
        <v>0</v>
      </c>
      <c r="AI4" s="9">
        <f ca="1">IF(Stock!AD4="",0,IF(ISNUMBER($E4),($E4+$F4)*Stock!AD4/100,Stock!AD4))</f>
        <v>0</v>
      </c>
      <c r="AJ4" s="9">
        <f ca="1">IF(Stock!AE4="",0,IF(ISNUMBER($E4),($E4+$F4)*Stock!AE4/100,Stock!AE4))</f>
        <v>0</v>
      </c>
      <c r="AK4" s="9">
        <f ca="1">IF(Stock!AF4="",0,IF(ISNUMBER($E4),($E4+$F4)*Stock!AF4/100,Stock!AF4))</f>
        <v>0</v>
      </c>
      <c r="AL4" s="9">
        <f ca="1">IF(Stock!AG4="",0,IF(ISNUMBER($E4),($E4+$F4)*Stock!AG4/100,Stock!AG4))</f>
        <v>0</v>
      </c>
      <c r="AM4" s="9">
        <f ca="1">IF(Stock!AH4="",0,IF(ISNUMBER($E4),($E4+$F4)*Stock!AH4/100,Stock!AH4))</f>
        <v>0</v>
      </c>
      <c r="AN4" s="9">
        <f ca="1">IF(Stock!AI4="",0,IF(ISNUMBER($E4),($E4+$F4)*Stock!AI4/100,Stock!AI4))</f>
        <v>0</v>
      </c>
      <c r="AO4" s="9">
        <f ca="1">IF(Stock!AJ4="",0,IF(ISNUMBER($E4),($E4+$F4)*Stock!AJ4/100,Stock!AJ4))</f>
        <v>0</v>
      </c>
      <c r="AP4" s="9">
        <f ca="1">IF(Stock!AK4="",0,IF(ISNUMBER($E4),($E4+$F4)*Stock!AK4/100,Stock!AK4))</f>
        <v>0</v>
      </c>
      <c r="AQ4" s="9">
        <f ca="1">IF(Stock!AL4="",0,IF(ISNUMBER($E4),($E4+$F4)*Stock!AL4/100,Stock!AL4))</f>
        <v>0</v>
      </c>
      <c r="AR4" s="9">
        <f ca="1">IF(Stock!AM4="",0,IF(ISNUMBER($E4),($E4+$F4)*Stock!AM4/100,Stock!AM4))</f>
        <v>0</v>
      </c>
      <c r="AS4" s="9">
        <f ca="1">IF(Stock!AN4="",0,IF(ISNUMBER($E4),($E4+$F4)*Stock!AN4/100,Stock!AN4))</f>
        <v>0</v>
      </c>
      <c r="AT4" s="9">
        <f ca="1">IF(Stock!AO4="",0,IF(ISNUMBER($E4),($E4+$F4)*Stock!AO4/100,Stock!AO4))</f>
        <v>0</v>
      </c>
      <c r="AU4" s="9">
        <f ca="1">IF(Stock!AP4="",0,IF(ISNUMBER($E4),($E4+$F4)*Stock!AP4/100,Stock!AP4))</f>
        <v>0</v>
      </c>
      <c r="AV4" s="9">
        <f ca="1">IF(Stock!AQ4="",0,IF(ISNUMBER($E4),($E4+$F4)*Stock!AQ4/100,Stock!AQ4))</f>
        <v>0</v>
      </c>
      <c r="AW4" s="9">
        <f ca="1">IF(Stock!AR4="",0,IF(ISNUMBER($E4),($E4+$F4)*Stock!AR4/100,Stock!AR4))</f>
        <v>0</v>
      </c>
      <c r="AX4" s="9">
        <f ca="1">IF(Stock!AS4="",0,IF(ISNUMBER($E4),($E4+$F4)*Stock!AS4/100,Stock!AS4))</f>
        <v>0</v>
      </c>
      <c r="AY4" s="9">
        <f ca="1">IF(Stock!AT4="",0,IF(ISNUMBER($E4),($E4+$F4)*Stock!AT4/100,Stock!AT4))</f>
        <v>0</v>
      </c>
      <c r="AZ4" s="9">
        <f ca="1">IF(Stock!AU4="",0,IF(ISNUMBER($E4),($E4+$F4)*Stock!AU4/100,Stock!AU4))</f>
        <v>0</v>
      </c>
      <c r="BA4" s="9">
        <f ca="1">IF(Stock!AV4="",0,IF(ISNUMBER($E4),($E4+$F4)*Stock!AV4/100,Stock!AV4))</f>
        <v>0</v>
      </c>
      <c r="BB4" s="9">
        <f ca="1">IF(Stock!AW4="",0,IF(ISNUMBER($E4),($E4+$F4)*Stock!AW4/100,Stock!AW4))</f>
        <v>0</v>
      </c>
      <c r="BC4" s="9">
        <f ca="1">IF(Stock!AX4="",0,IF(ISNUMBER($E4),($E4+$F4)*Stock!AX4/100,Stock!AX4))</f>
        <v>0</v>
      </c>
    </row>
    <row r="5" spans="1:97" x14ac:dyDescent="0.3">
      <c r="A5" s="2" t="str">
        <f t="shared" si="0"/>
        <v>0.625</v>
      </c>
      <c r="B5" s="3">
        <f t="shared" si="1"/>
        <v>41365</v>
      </c>
      <c r="C5" s="4" t="str">
        <f>IF(Repo!C9="","",Repo!C9)</f>
        <v>UST2013040.625</v>
      </c>
      <c r="D5" s="4" t="str">
        <f>IF(Repo!D9="","",Repo!D9)</f>
        <v>US912828QE36</v>
      </c>
      <c r="E5" s="62" t="e">
        <f ca="1">IF(A5="",0,IF(LEFT(C5,3) = "USB",100*(1-_xll.BDP(D5 &amp; " Govt",E$1)*(B5-TODAY()+1)/36000),_xll.BDP(D5 &amp; " Govt",E$1)))</f>
        <v>#NAME?</v>
      </c>
      <c r="F5" s="62" t="e">
        <f ca="1">IF(A5="",0,IF(LEFT(D5,1) = "B",0,_xll.BDP(D5 &amp; " Govt",F$1)))</f>
        <v>#NAME?</v>
      </c>
      <c r="G5" s="9">
        <f ca="1">IF(Stock!B5="",0,IF(ISNUMBER($E5),($E5+$F5)*Stock!B5/100,Stock!B5))</f>
        <v>252000</v>
      </c>
      <c r="H5" s="9">
        <f ca="1">IF(Stock!C5="",0,IF(ISNUMBER($E5),($E5+$F5)*Stock!C5/100,Stock!C5))</f>
        <v>252000</v>
      </c>
      <c r="I5" s="9">
        <f ca="1">IF(Stock!D5="",0,IF(ISNUMBER($E5),($E5+$F5)*Stock!D5/100,Stock!D5))</f>
        <v>252000</v>
      </c>
      <c r="J5" s="9">
        <f ca="1">IF(Stock!E5="",0,IF(ISNUMBER($E5),($E5+$F5)*Stock!E5/100,Stock!E5))</f>
        <v>252000</v>
      </c>
      <c r="K5" s="9">
        <f ca="1">IF(Stock!F5="",0,IF(ISNUMBER($E5),($E5+$F5)*Stock!F5/100,Stock!F5))</f>
        <v>252000</v>
      </c>
      <c r="L5" s="9">
        <f ca="1">IF(Stock!G5="",0,IF(ISNUMBER($E5),($E5+$F5)*Stock!G5/100,Stock!G5))</f>
        <v>252000</v>
      </c>
      <c r="M5" s="9">
        <f ca="1">IF(Stock!H5="",0,IF(ISNUMBER($E5),($E5+$F5)*Stock!H5/100,Stock!H5))</f>
        <v>252000</v>
      </c>
      <c r="N5" s="9">
        <f ca="1">IF(Stock!I5="",0,IF(ISNUMBER($E5),($E5+$F5)*Stock!I5/100,Stock!I5))</f>
        <v>252000</v>
      </c>
      <c r="O5" s="9">
        <f ca="1">IF(Stock!J5="",0,IF(ISNUMBER($E5),($E5+$F5)*Stock!J5/100,Stock!J5))</f>
        <v>252000</v>
      </c>
      <c r="P5" s="9">
        <f ca="1">IF(Stock!K5="",0,IF(ISNUMBER($E5),($E5+$F5)*Stock!K5/100,Stock!K5))</f>
        <v>252000</v>
      </c>
      <c r="Q5" s="9">
        <f ca="1">IF(Stock!L5="",0,IF(ISNUMBER($E5),($E5+$F5)*Stock!L5/100,Stock!L5))</f>
        <v>252000</v>
      </c>
      <c r="R5" s="9">
        <f ca="1">IF(Stock!M5="",0,IF(ISNUMBER($E5),($E5+$F5)*Stock!M5/100,Stock!M5))</f>
        <v>252000</v>
      </c>
      <c r="S5" s="9">
        <f ca="1">IF(Stock!N5="",0,IF(ISNUMBER($E5),($E5+$F5)*Stock!N5/100,Stock!N5))</f>
        <v>252000</v>
      </c>
      <c r="T5" s="9">
        <f ca="1">IF(Stock!O5="",0,IF(ISNUMBER($E5),($E5+$F5)*Stock!O5/100,Stock!O5))</f>
        <v>252000</v>
      </c>
      <c r="U5" s="9">
        <f ca="1">IF(Stock!P5="",0,IF(ISNUMBER($E5),($E5+$F5)*Stock!P5/100,Stock!P5))</f>
        <v>252000</v>
      </c>
      <c r="V5" s="9">
        <f ca="1">IF(Stock!Q5="",0,IF(ISNUMBER($E5),($E5+$F5)*Stock!Q5/100,Stock!Q5))</f>
        <v>252000</v>
      </c>
      <c r="W5" s="9">
        <f ca="1">IF(Stock!R5="",0,IF(ISNUMBER($E5),($E5+$F5)*Stock!R5/100,Stock!R5))</f>
        <v>252000</v>
      </c>
      <c r="X5" s="9">
        <f ca="1">IF(Stock!S5="",0,IF(ISNUMBER($E5),($E5+$F5)*Stock!S5/100,Stock!S5))</f>
        <v>252000</v>
      </c>
      <c r="Y5" s="9">
        <f ca="1">IF(Stock!T5="",0,IF(ISNUMBER($E5),($E5+$F5)*Stock!T5/100,Stock!T5))</f>
        <v>252000</v>
      </c>
      <c r="Z5" s="9">
        <f ca="1">IF(Stock!U5="",0,IF(ISNUMBER($E5),($E5+$F5)*Stock!U5/100,Stock!U5))</f>
        <v>252000</v>
      </c>
      <c r="AA5" s="9">
        <f ca="1">IF(Stock!V5="",0,IF(ISNUMBER($E5),($E5+$F5)*Stock!V5/100,Stock!V5))</f>
        <v>252000</v>
      </c>
      <c r="AB5" s="9">
        <f ca="1">IF(Stock!W5="",0,IF(ISNUMBER($E5),($E5+$F5)*Stock!W5/100,Stock!W5))</f>
        <v>252000</v>
      </c>
      <c r="AC5" s="9">
        <f ca="1">IF(Stock!X5="",0,IF(ISNUMBER($E5),($E5+$F5)*Stock!X5/100,Stock!X5))</f>
        <v>252000</v>
      </c>
      <c r="AD5" s="9">
        <f ca="1">IF(Stock!Y5="",0,IF(ISNUMBER($E5),($E5+$F5)*Stock!Y5/100,Stock!Y5))</f>
        <v>252000</v>
      </c>
      <c r="AE5" s="9">
        <f ca="1">IF(Stock!Z5="",0,IF(ISNUMBER($E5),($E5+$F5)*Stock!Z5/100,Stock!Z5))</f>
        <v>252000</v>
      </c>
      <c r="AF5" s="9">
        <f ca="1">IF(Stock!AA5="",0,IF(ISNUMBER($E5),($E5+$F5)*Stock!AA5/100,Stock!AA5))</f>
        <v>252000</v>
      </c>
      <c r="AG5" s="9">
        <f ca="1">IF(Stock!AB5="",0,IF(ISNUMBER($E5),($E5+$F5)*Stock!AB5/100,Stock!AB5))</f>
        <v>252000</v>
      </c>
      <c r="AH5" s="9">
        <f ca="1">IF(Stock!AC5="",0,IF(ISNUMBER($E5),($E5+$F5)*Stock!AC5/100,Stock!AC5))</f>
        <v>252000</v>
      </c>
      <c r="AI5" s="9">
        <f ca="1">IF(Stock!AD5="",0,IF(ISNUMBER($E5),($E5+$F5)*Stock!AD5/100,Stock!AD5))</f>
        <v>252000</v>
      </c>
      <c r="AJ5" s="9">
        <f ca="1">IF(Stock!AE5="",0,IF(ISNUMBER($E5),($E5+$F5)*Stock!AE5/100,Stock!AE5))</f>
        <v>252000</v>
      </c>
      <c r="AK5" s="9">
        <f ca="1">IF(Stock!AF5="",0,IF(ISNUMBER($E5),($E5+$F5)*Stock!AF5/100,Stock!AF5))</f>
        <v>252000</v>
      </c>
      <c r="AL5" s="9">
        <f ca="1">IF(Stock!AG5="",0,IF(ISNUMBER($E5),($E5+$F5)*Stock!AG5/100,Stock!AG5))</f>
        <v>252000</v>
      </c>
      <c r="AM5" s="9">
        <f ca="1">IF(Stock!AH5="",0,IF(ISNUMBER($E5),($E5+$F5)*Stock!AH5/100,Stock!AH5))</f>
        <v>252000</v>
      </c>
      <c r="AN5" s="9">
        <f ca="1">IF(Stock!AI5="",0,IF(ISNUMBER($E5),($E5+$F5)*Stock!AI5/100,Stock!AI5))</f>
        <v>252000</v>
      </c>
      <c r="AO5" s="9">
        <f ca="1">IF(Stock!AJ5="",0,IF(ISNUMBER($E5),($E5+$F5)*Stock!AJ5/100,Stock!AJ5))</f>
        <v>252000</v>
      </c>
      <c r="AP5" s="9">
        <f ca="1">IF(Stock!AK5="",0,IF(ISNUMBER($E5),($E5+$F5)*Stock!AK5/100,Stock!AK5))</f>
        <v>252000</v>
      </c>
      <c r="AQ5" s="9">
        <f ca="1">IF(Stock!AL5="",0,IF(ISNUMBER($E5),($E5+$F5)*Stock!AL5/100,Stock!AL5))</f>
        <v>252000</v>
      </c>
      <c r="AR5" s="9">
        <f ca="1">IF(Stock!AM5="",0,IF(ISNUMBER($E5),($E5+$F5)*Stock!AM5/100,Stock!AM5))</f>
        <v>252000</v>
      </c>
      <c r="AS5" s="9">
        <f ca="1">IF(Stock!AN5="",0,IF(ISNUMBER($E5),($E5+$F5)*Stock!AN5/100,Stock!AN5))</f>
        <v>252000</v>
      </c>
      <c r="AT5" s="9">
        <f ca="1">IF(Stock!AO5="",0,IF(ISNUMBER($E5),($E5+$F5)*Stock!AO5/100,Stock!AO5))</f>
        <v>252000</v>
      </c>
      <c r="AU5" s="9">
        <f ca="1">IF(Stock!AP5="",0,IF(ISNUMBER($E5),($E5+$F5)*Stock!AP5/100,Stock!AP5))</f>
        <v>252000</v>
      </c>
      <c r="AV5" s="9">
        <f ca="1">IF(Stock!AQ5="",0,IF(ISNUMBER($E5),($E5+$F5)*Stock!AQ5/100,Stock!AQ5))</f>
        <v>252000</v>
      </c>
      <c r="AW5" s="9">
        <f ca="1">IF(Stock!AR5="",0,IF(ISNUMBER($E5),($E5+$F5)*Stock!AR5/100,Stock!AR5))</f>
        <v>252000</v>
      </c>
      <c r="AX5" s="9">
        <f ca="1">IF(Stock!AS5="",0,IF(ISNUMBER($E5),($E5+$F5)*Stock!AS5/100,Stock!AS5))</f>
        <v>252000</v>
      </c>
      <c r="AY5" s="9">
        <f ca="1">IF(Stock!AT5="",0,IF(ISNUMBER($E5),($E5+$F5)*Stock!AT5/100,Stock!AT5))</f>
        <v>252000</v>
      </c>
      <c r="AZ5" s="9">
        <f ca="1">IF(Stock!AU5="",0,IF(ISNUMBER($E5),($E5+$F5)*Stock!AU5/100,Stock!AU5))</f>
        <v>252000</v>
      </c>
      <c r="BA5" s="9">
        <f ca="1">IF(Stock!AV5="",0,IF(ISNUMBER($E5),($E5+$F5)*Stock!AV5/100,Stock!AV5))</f>
        <v>252000</v>
      </c>
      <c r="BB5" s="9">
        <f ca="1">IF(Stock!AW5="",0,IF(ISNUMBER($E5),($E5+$F5)*Stock!AW5/100,Stock!AW5))</f>
        <v>252000</v>
      </c>
      <c r="BC5" s="9">
        <f ca="1">IF(Stock!AX5="",0,IF(ISNUMBER($E5),($E5+$F5)*Stock!AX5/100,Stock!AX5))</f>
        <v>252000</v>
      </c>
    </row>
    <row r="6" spans="1:97" x14ac:dyDescent="0.3">
      <c r="A6" s="2">
        <f t="shared" si="0"/>
        <v>0</v>
      </c>
      <c r="B6" s="3">
        <f t="shared" si="1"/>
        <v>41396</v>
      </c>
      <c r="C6" s="4" t="str">
        <f>IF(Repo!C10="","",Repo!C10)</f>
        <v>USB20130502</v>
      </c>
      <c r="D6" s="4" t="str">
        <f>IF(Repo!D10="","",Repo!D10)</f>
        <v>US9127956L09</v>
      </c>
      <c r="E6" s="62" t="e">
        <f ca="1">IF(A6="",0,IF(LEFT(C6,3) = "USB",100*(1-_xll.BDP(D6 &amp; " Govt",E$1)*(B6-TODAY()+1)/36000),_xll.BDP(D6 &amp; " Govt",E$1)))</f>
        <v>#NAME?</v>
      </c>
      <c r="F6" s="62" t="e">
        <f ca="1">IF(A6="",0,IF(LEFT(D6,1) = "B",0,_xll.BDP(D6 &amp; " Govt",F$1)))</f>
        <v>#NAME?</v>
      </c>
      <c r="G6" s="9">
        <f ca="1">IF(Stock!B6="",0,IF(ISNUMBER($E6),($E6+$F6)*Stock!B6/100,Stock!B6))</f>
        <v>267000</v>
      </c>
      <c r="H6" s="9">
        <f ca="1">IF(Stock!C6="",0,IF(ISNUMBER($E6),($E6+$F6)*Stock!C6/100,Stock!C6))</f>
        <v>267000</v>
      </c>
      <c r="I6" s="9">
        <f ca="1">IF(Stock!D6="",0,IF(ISNUMBER($E6),($E6+$F6)*Stock!D6/100,Stock!D6))</f>
        <v>267000</v>
      </c>
      <c r="J6" s="9">
        <f ca="1">IF(Stock!E6="",0,IF(ISNUMBER($E6),($E6+$F6)*Stock!E6/100,Stock!E6))</f>
        <v>267000</v>
      </c>
      <c r="K6" s="9">
        <f ca="1">IF(Stock!F6="",0,IF(ISNUMBER($E6),($E6+$F6)*Stock!F6/100,Stock!F6))</f>
        <v>267000</v>
      </c>
      <c r="L6" s="9">
        <f ca="1">IF(Stock!G6="",0,IF(ISNUMBER($E6),($E6+$F6)*Stock!G6/100,Stock!G6))</f>
        <v>267000</v>
      </c>
      <c r="M6" s="9">
        <f ca="1">IF(Stock!H6="",0,IF(ISNUMBER($E6),($E6+$F6)*Stock!H6/100,Stock!H6))</f>
        <v>267000</v>
      </c>
      <c r="N6" s="9">
        <f ca="1">IF(Stock!I6="",0,IF(ISNUMBER($E6),($E6+$F6)*Stock!I6/100,Stock!I6))</f>
        <v>267000</v>
      </c>
      <c r="O6" s="9">
        <f ca="1">IF(Stock!J6="",0,IF(ISNUMBER($E6),($E6+$F6)*Stock!J6/100,Stock!J6))</f>
        <v>267000</v>
      </c>
      <c r="P6" s="9">
        <f ca="1">IF(Stock!K6="",0,IF(ISNUMBER($E6),($E6+$F6)*Stock!K6/100,Stock!K6))</f>
        <v>267000</v>
      </c>
      <c r="Q6" s="9">
        <f ca="1">IF(Stock!L6="",0,IF(ISNUMBER($E6),($E6+$F6)*Stock!L6/100,Stock!L6))</f>
        <v>267000</v>
      </c>
      <c r="R6" s="9">
        <f ca="1">IF(Stock!M6="",0,IF(ISNUMBER($E6),($E6+$F6)*Stock!M6/100,Stock!M6))</f>
        <v>267000</v>
      </c>
      <c r="S6" s="9">
        <f ca="1">IF(Stock!N6="",0,IF(ISNUMBER($E6),($E6+$F6)*Stock!N6/100,Stock!N6))</f>
        <v>267000</v>
      </c>
      <c r="T6" s="9">
        <f ca="1">IF(Stock!O6="",0,IF(ISNUMBER($E6),($E6+$F6)*Stock!O6/100,Stock!O6))</f>
        <v>267000</v>
      </c>
      <c r="U6" s="9">
        <f ca="1">IF(Stock!P6="",0,IF(ISNUMBER($E6),($E6+$F6)*Stock!P6/100,Stock!P6))</f>
        <v>267000</v>
      </c>
      <c r="V6" s="9">
        <f ca="1">IF(Stock!Q6="",0,IF(ISNUMBER($E6),($E6+$F6)*Stock!Q6/100,Stock!Q6))</f>
        <v>267000</v>
      </c>
      <c r="W6" s="9">
        <f ca="1">IF(Stock!R6="",0,IF(ISNUMBER($E6),($E6+$F6)*Stock!R6/100,Stock!R6))</f>
        <v>267000</v>
      </c>
      <c r="X6" s="9">
        <f ca="1">IF(Stock!S6="",0,IF(ISNUMBER($E6),($E6+$F6)*Stock!S6/100,Stock!S6))</f>
        <v>267000</v>
      </c>
      <c r="Y6" s="9">
        <f ca="1">IF(Stock!T6="",0,IF(ISNUMBER($E6),($E6+$F6)*Stock!T6/100,Stock!T6))</f>
        <v>267000</v>
      </c>
      <c r="Z6" s="9">
        <f ca="1">IF(Stock!U6="",0,IF(ISNUMBER($E6),($E6+$F6)*Stock!U6/100,Stock!U6))</f>
        <v>267000</v>
      </c>
      <c r="AA6" s="9">
        <f ca="1">IF(Stock!V6="",0,IF(ISNUMBER($E6),($E6+$F6)*Stock!V6/100,Stock!V6))</f>
        <v>267000</v>
      </c>
      <c r="AB6" s="9">
        <f ca="1">IF(Stock!W6="",0,IF(ISNUMBER($E6),($E6+$F6)*Stock!W6/100,Stock!W6))</f>
        <v>267000</v>
      </c>
      <c r="AC6" s="9">
        <f ca="1">IF(Stock!X6="",0,IF(ISNUMBER($E6),($E6+$F6)*Stock!X6/100,Stock!X6))</f>
        <v>267000</v>
      </c>
      <c r="AD6" s="9">
        <f ca="1">IF(Stock!Y6="",0,IF(ISNUMBER($E6),($E6+$F6)*Stock!Y6/100,Stock!Y6))</f>
        <v>267000</v>
      </c>
      <c r="AE6" s="9">
        <f ca="1">IF(Stock!Z6="",0,IF(ISNUMBER($E6),($E6+$F6)*Stock!Z6/100,Stock!Z6))</f>
        <v>267000</v>
      </c>
      <c r="AF6" s="9">
        <f ca="1">IF(Stock!AA6="",0,IF(ISNUMBER($E6),($E6+$F6)*Stock!AA6/100,Stock!AA6))</f>
        <v>267000</v>
      </c>
      <c r="AG6" s="9">
        <f ca="1">IF(Stock!AB6="",0,IF(ISNUMBER($E6),($E6+$F6)*Stock!AB6/100,Stock!AB6))</f>
        <v>267000</v>
      </c>
      <c r="AH6" s="9">
        <f ca="1">IF(Stock!AC6="",0,IF(ISNUMBER($E6),($E6+$F6)*Stock!AC6/100,Stock!AC6))</f>
        <v>267000</v>
      </c>
      <c r="AI6" s="9">
        <f ca="1">IF(Stock!AD6="",0,IF(ISNUMBER($E6),($E6+$F6)*Stock!AD6/100,Stock!AD6))</f>
        <v>267000</v>
      </c>
      <c r="AJ6" s="9">
        <f ca="1">IF(Stock!AE6="",0,IF(ISNUMBER($E6),($E6+$F6)*Stock!AE6/100,Stock!AE6))</f>
        <v>267000</v>
      </c>
      <c r="AK6" s="9">
        <f ca="1">IF(Stock!AF6="",0,IF(ISNUMBER($E6),($E6+$F6)*Stock!AF6/100,Stock!AF6))</f>
        <v>267000</v>
      </c>
      <c r="AL6" s="9">
        <f ca="1">IF(Stock!AG6="",0,IF(ISNUMBER($E6),($E6+$F6)*Stock!AG6/100,Stock!AG6))</f>
        <v>267000</v>
      </c>
      <c r="AM6" s="9">
        <f ca="1">IF(Stock!AH6="",0,IF(ISNUMBER($E6),($E6+$F6)*Stock!AH6/100,Stock!AH6))</f>
        <v>267000</v>
      </c>
      <c r="AN6" s="9">
        <f ca="1">IF(Stock!AI6="",0,IF(ISNUMBER($E6),($E6+$F6)*Stock!AI6/100,Stock!AI6))</f>
        <v>267000</v>
      </c>
      <c r="AO6" s="9">
        <f ca="1">IF(Stock!AJ6="",0,IF(ISNUMBER($E6),($E6+$F6)*Stock!AJ6/100,Stock!AJ6))</f>
        <v>267000</v>
      </c>
      <c r="AP6" s="9">
        <f ca="1">IF(Stock!AK6="",0,IF(ISNUMBER($E6),($E6+$F6)*Stock!AK6/100,Stock!AK6))</f>
        <v>267000</v>
      </c>
      <c r="AQ6" s="9">
        <f ca="1">IF(Stock!AL6="",0,IF(ISNUMBER($E6),($E6+$F6)*Stock!AL6/100,Stock!AL6))</f>
        <v>267000</v>
      </c>
      <c r="AR6" s="9">
        <f ca="1">IF(Stock!AM6="",0,IF(ISNUMBER($E6),($E6+$F6)*Stock!AM6/100,Stock!AM6))</f>
        <v>267000</v>
      </c>
      <c r="AS6" s="9">
        <f ca="1">IF(Stock!AN6="",0,IF(ISNUMBER($E6),($E6+$F6)*Stock!AN6/100,Stock!AN6))</f>
        <v>267000</v>
      </c>
      <c r="AT6" s="9">
        <f ca="1">IF(Stock!AO6="",0,IF(ISNUMBER($E6),($E6+$F6)*Stock!AO6/100,Stock!AO6))</f>
        <v>267000</v>
      </c>
      <c r="AU6" s="9">
        <f ca="1">IF(Stock!AP6="",0,IF(ISNUMBER($E6),($E6+$F6)*Stock!AP6/100,Stock!AP6))</f>
        <v>267000</v>
      </c>
      <c r="AV6" s="9">
        <f ca="1">IF(Stock!AQ6="",0,IF(ISNUMBER($E6),($E6+$F6)*Stock!AQ6/100,Stock!AQ6))</f>
        <v>267000</v>
      </c>
      <c r="AW6" s="9">
        <f ca="1">IF(Stock!AR6="",0,IF(ISNUMBER($E6),($E6+$F6)*Stock!AR6/100,Stock!AR6))</f>
        <v>267000</v>
      </c>
      <c r="AX6" s="9">
        <f ca="1">IF(Stock!AS6="",0,IF(ISNUMBER($E6),($E6+$F6)*Stock!AS6/100,Stock!AS6))</f>
        <v>267000</v>
      </c>
      <c r="AY6" s="9">
        <f ca="1">IF(Stock!AT6="",0,IF(ISNUMBER($E6),($E6+$F6)*Stock!AT6/100,Stock!AT6))</f>
        <v>267000</v>
      </c>
      <c r="AZ6" s="9">
        <f ca="1">IF(Stock!AU6="",0,IF(ISNUMBER($E6),($E6+$F6)*Stock!AU6/100,Stock!AU6))</f>
        <v>267000</v>
      </c>
      <c r="BA6" s="9">
        <f ca="1">IF(Stock!AV6="",0,IF(ISNUMBER($E6),($E6+$F6)*Stock!AV6/100,Stock!AV6))</f>
        <v>267000</v>
      </c>
      <c r="BB6" s="9">
        <f ca="1">IF(Stock!AW6="",0,IF(ISNUMBER($E6),($E6+$F6)*Stock!AW6/100,Stock!AW6))</f>
        <v>267000</v>
      </c>
      <c r="BC6" s="9">
        <f ca="1">IF(Stock!AX6="",0,IF(ISNUMBER($E6),($E6+$F6)*Stock!AX6/100,Stock!AX6))</f>
        <v>267000</v>
      </c>
    </row>
    <row r="7" spans="1:97" x14ac:dyDescent="0.3">
      <c r="A7" s="2">
        <f t="shared" si="0"/>
        <v>0</v>
      </c>
      <c r="B7" s="3">
        <f t="shared" si="1"/>
        <v>41424</v>
      </c>
      <c r="C7" s="4" t="str">
        <f>IF(Repo!C11="","",Repo!C11)</f>
        <v>USB20130530</v>
      </c>
      <c r="D7" s="4" t="str">
        <f>IF(Repo!D11="","",Repo!D11)</f>
        <v>US9127956R78</v>
      </c>
      <c r="E7" s="62" t="e">
        <f ca="1">IF(A7="",0,IF(LEFT(C7,3) = "USB",100*(1-_xll.BDP(D7 &amp; " Govt",E$1)*(B7-TODAY()+1)/36000),_xll.BDP(D7 &amp; " Govt",E$1)))</f>
        <v>#NAME?</v>
      </c>
      <c r="F7" s="62" t="e">
        <f ca="1">IF(A7="",0,IF(LEFT(D7,1) = "B",0,_xll.BDP(D7 &amp; " Govt",F$1)))</f>
        <v>#NAME?</v>
      </c>
      <c r="G7" s="9">
        <f>IF(Stock!B7="",0,IF(ISNUMBER($E7),($E7+$F7)*Stock!B7/100,Stock!B7))</f>
        <v>0</v>
      </c>
      <c r="H7" s="9">
        <f ca="1">IF(Stock!C7="",0,IF(ISNUMBER($E7),($E7+$F7)*Stock!C7/100,Stock!C7))</f>
        <v>0</v>
      </c>
      <c r="I7" s="9">
        <f ca="1">IF(Stock!D7="",0,IF(ISNUMBER($E7),($E7+$F7)*Stock!D7/100,Stock!D7))</f>
        <v>0</v>
      </c>
      <c r="J7" s="9">
        <f ca="1">IF(Stock!E7="",0,IF(ISNUMBER($E7),($E7+$F7)*Stock!E7/100,Stock!E7))</f>
        <v>0</v>
      </c>
      <c r="K7" s="9">
        <f ca="1">IF(Stock!F7="",0,IF(ISNUMBER($E7),($E7+$F7)*Stock!F7/100,Stock!F7))</f>
        <v>0</v>
      </c>
      <c r="L7" s="9">
        <f ca="1">IF(Stock!G7="",0,IF(ISNUMBER($E7),($E7+$F7)*Stock!G7/100,Stock!G7))</f>
        <v>0</v>
      </c>
      <c r="M7" s="9">
        <f ca="1">IF(Stock!H7="",0,IF(ISNUMBER($E7),($E7+$F7)*Stock!H7/100,Stock!H7))</f>
        <v>0</v>
      </c>
      <c r="N7" s="9">
        <f ca="1">IF(Stock!I7="",0,IF(ISNUMBER($E7),($E7+$F7)*Stock!I7/100,Stock!I7))</f>
        <v>0</v>
      </c>
      <c r="O7" s="9">
        <f ca="1">IF(Stock!J7="",0,IF(ISNUMBER($E7),($E7+$F7)*Stock!J7/100,Stock!J7))</f>
        <v>0</v>
      </c>
      <c r="P7" s="9">
        <f ca="1">IF(Stock!K7="",0,IF(ISNUMBER($E7),($E7+$F7)*Stock!K7/100,Stock!K7))</f>
        <v>0</v>
      </c>
      <c r="Q7" s="9">
        <f ca="1">IF(Stock!L7="",0,IF(ISNUMBER($E7),($E7+$F7)*Stock!L7/100,Stock!L7))</f>
        <v>0</v>
      </c>
      <c r="R7" s="9">
        <f ca="1">IF(Stock!M7="",0,IF(ISNUMBER($E7),($E7+$F7)*Stock!M7/100,Stock!M7))</f>
        <v>0</v>
      </c>
      <c r="S7" s="9">
        <f ca="1">IF(Stock!N7="",0,IF(ISNUMBER($E7),($E7+$F7)*Stock!N7/100,Stock!N7))</f>
        <v>0</v>
      </c>
      <c r="T7" s="9">
        <f ca="1">IF(Stock!O7="",0,IF(ISNUMBER($E7),($E7+$F7)*Stock!O7/100,Stock!O7))</f>
        <v>0</v>
      </c>
      <c r="U7" s="9">
        <f ca="1">IF(Stock!P7="",0,IF(ISNUMBER($E7),($E7+$F7)*Stock!P7/100,Stock!P7))</f>
        <v>0</v>
      </c>
      <c r="V7" s="9">
        <f ca="1">IF(Stock!Q7="",0,IF(ISNUMBER($E7),($E7+$F7)*Stock!Q7/100,Stock!Q7))</f>
        <v>0</v>
      </c>
      <c r="W7" s="9">
        <f ca="1">IF(Stock!R7="",0,IF(ISNUMBER($E7),($E7+$F7)*Stock!R7/100,Stock!R7))</f>
        <v>0</v>
      </c>
      <c r="X7" s="9">
        <f ca="1">IF(Stock!S7="",0,IF(ISNUMBER($E7),($E7+$F7)*Stock!S7/100,Stock!S7))</f>
        <v>0</v>
      </c>
      <c r="Y7" s="9">
        <f ca="1">IF(Stock!T7="",0,IF(ISNUMBER($E7),($E7+$F7)*Stock!T7/100,Stock!T7))</f>
        <v>0</v>
      </c>
      <c r="Z7" s="9">
        <f ca="1">IF(Stock!U7="",0,IF(ISNUMBER($E7),($E7+$F7)*Stock!U7/100,Stock!U7))</f>
        <v>0</v>
      </c>
      <c r="AA7" s="9">
        <f ca="1">IF(Stock!V7="",0,IF(ISNUMBER($E7),($E7+$F7)*Stock!V7/100,Stock!V7))</f>
        <v>0</v>
      </c>
      <c r="AB7" s="9">
        <f ca="1">IF(Stock!W7="",0,IF(ISNUMBER($E7),($E7+$F7)*Stock!W7/100,Stock!W7))</f>
        <v>0</v>
      </c>
      <c r="AC7" s="9">
        <f ca="1">IF(Stock!X7="",0,IF(ISNUMBER($E7),($E7+$F7)*Stock!X7/100,Stock!X7))</f>
        <v>0</v>
      </c>
      <c r="AD7" s="9">
        <f ca="1">IF(Stock!Y7="",0,IF(ISNUMBER($E7),($E7+$F7)*Stock!Y7/100,Stock!Y7))</f>
        <v>0</v>
      </c>
      <c r="AE7" s="9">
        <f ca="1">IF(Stock!Z7="",0,IF(ISNUMBER($E7),($E7+$F7)*Stock!Z7/100,Stock!Z7))</f>
        <v>0</v>
      </c>
      <c r="AF7" s="9">
        <f ca="1">IF(Stock!AA7="",0,IF(ISNUMBER($E7),($E7+$F7)*Stock!AA7/100,Stock!AA7))</f>
        <v>0</v>
      </c>
      <c r="AG7" s="9">
        <f ca="1">IF(Stock!AB7="",0,IF(ISNUMBER($E7),($E7+$F7)*Stock!AB7/100,Stock!AB7))</f>
        <v>0</v>
      </c>
      <c r="AH7" s="9">
        <f ca="1">IF(Stock!AC7="",0,IF(ISNUMBER($E7),($E7+$F7)*Stock!AC7/100,Stock!AC7))</f>
        <v>0</v>
      </c>
      <c r="AI7" s="9">
        <f ca="1">IF(Stock!AD7="",0,IF(ISNUMBER($E7),($E7+$F7)*Stock!AD7/100,Stock!AD7))</f>
        <v>0</v>
      </c>
      <c r="AJ7" s="9">
        <f ca="1">IF(Stock!AE7="",0,IF(ISNUMBER($E7),($E7+$F7)*Stock!AE7/100,Stock!AE7))</f>
        <v>0</v>
      </c>
      <c r="AK7" s="9">
        <f ca="1">IF(Stock!AF7="",0,IF(ISNUMBER($E7),($E7+$F7)*Stock!AF7/100,Stock!AF7))</f>
        <v>0</v>
      </c>
      <c r="AL7" s="9">
        <f ca="1">IF(Stock!AG7="",0,IF(ISNUMBER($E7),($E7+$F7)*Stock!AG7/100,Stock!AG7))</f>
        <v>0</v>
      </c>
      <c r="AM7" s="9">
        <f ca="1">IF(Stock!AH7="",0,IF(ISNUMBER($E7),($E7+$F7)*Stock!AH7/100,Stock!AH7))</f>
        <v>0</v>
      </c>
      <c r="AN7" s="9">
        <f ca="1">IF(Stock!AI7="",0,IF(ISNUMBER($E7),($E7+$F7)*Stock!AI7/100,Stock!AI7))</f>
        <v>0</v>
      </c>
      <c r="AO7" s="9">
        <f ca="1">IF(Stock!AJ7="",0,IF(ISNUMBER($E7),($E7+$F7)*Stock!AJ7/100,Stock!AJ7))</f>
        <v>0</v>
      </c>
      <c r="AP7" s="9">
        <f ca="1">IF(Stock!AK7="",0,IF(ISNUMBER($E7),($E7+$F7)*Stock!AK7/100,Stock!AK7))</f>
        <v>0</v>
      </c>
      <c r="AQ7" s="9">
        <f ca="1">IF(Stock!AL7="",0,IF(ISNUMBER($E7),($E7+$F7)*Stock!AL7/100,Stock!AL7))</f>
        <v>0</v>
      </c>
      <c r="AR7" s="9">
        <f ca="1">IF(Stock!AM7="",0,IF(ISNUMBER($E7),($E7+$F7)*Stock!AM7/100,Stock!AM7))</f>
        <v>0</v>
      </c>
      <c r="AS7" s="9">
        <f ca="1">IF(Stock!AN7="",0,IF(ISNUMBER($E7),($E7+$F7)*Stock!AN7/100,Stock!AN7))</f>
        <v>0</v>
      </c>
      <c r="AT7" s="9">
        <f ca="1">IF(Stock!AO7="",0,IF(ISNUMBER($E7),($E7+$F7)*Stock!AO7/100,Stock!AO7))</f>
        <v>0</v>
      </c>
      <c r="AU7" s="9">
        <f ca="1">IF(Stock!AP7="",0,IF(ISNUMBER($E7),($E7+$F7)*Stock!AP7/100,Stock!AP7))</f>
        <v>0</v>
      </c>
      <c r="AV7" s="9">
        <f ca="1">IF(Stock!AQ7="",0,IF(ISNUMBER($E7),($E7+$F7)*Stock!AQ7/100,Stock!AQ7))</f>
        <v>0</v>
      </c>
      <c r="AW7" s="9">
        <f ca="1">IF(Stock!AR7="",0,IF(ISNUMBER($E7),($E7+$F7)*Stock!AR7/100,Stock!AR7))</f>
        <v>0</v>
      </c>
      <c r="AX7" s="9">
        <f ca="1">IF(Stock!AS7="",0,IF(ISNUMBER($E7),($E7+$F7)*Stock!AS7/100,Stock!AS7))</f>
        <v>0</v>
      </c>
      <c r="AY7" s="9">
        <f ca="1">IF(Stock!AT7="",0,IF(ISNUMBER($E7),($E7+$F7)*Stock!AT7/100,Stock!AT7))</f>
        <v>0</v>
      </c>
      <c r="AZ7" s="9">
        <f ca="1">IF(Stock!AU7="",0,IF(ISNUMBER($E7),($E7+$F7)*Stock!AU7/100,Stock!AU7))</f>
        <v>0</v>
      </c>
      <c r="BA7" s="9">
        <f ca="1">IF(Stock!AV7="",0,IF(ISNUMBER($E7),($E7+$F7)*Stock!AV7/100,Stock!AV7))</f>
        <v>0</v>
      </c>
      <c r="BB7" s="9">
        <f ca="1">IF(Stock!AW7="",0,IF(ISNUMBER($E7),($E7+$F7)*Stock!AW7/100,Stock!AW7))</f>
        <v>0</v>
      </c>
      <c r="BC7" s="9">
        <f ca="1">IF(Stock!AX7="",0,IF(ISNUMBER($E7),($E7+$F7)*Stock!AX7/100,Stock!AX7))</f>
        <v>0</v>
      </c>
    </row>
    <row r="8" spans="1:97" x14ac:dyDescent="0.3">
      <c r="A8" s="2" t="str">
        <f t="shared" si="0"/>
        <v>0.5</v>
      </c>
      <c r="B8" s="3">
        <f t="shared" si="1"/>
        <v>41395</v>
      </c>
      <c r="C8" s="4" t="str">
        <f>IF(Repo!C12="","",Repo!C12)</f>
        <v>UST2013050.5</v>
      </c>
      <c r="D8" s="4" t="str">
        <f>IF(Repo!D12="","",Repo!D12)</f>
        <v>US912828QZ64</v>
      </c>
      <c r="E8" s="62" t="e">
        <f ca="1">IF(A8="",0,IF(LEFT(C8,3) = "USB",100*(1-_xll.BDP(D8 &amp; " Govt",E$1)*(B8-TODAY()+1)/36000),_xll.BDP(D8 &amp; " Govt",E$1)))</f>
        <v>#NAME?</v>
      </c>
      <c r="F8" s="62" t="e">
        <f ca="1">IF(A8="",0,IF(LEFT(D8,1) = "B",0,_xll.BDP(D8 &amp; " Govt",F$1)))</f>
        <v>#NAME?</v>
      </c>
      <c r="G8" s="9">
        <f ca="1">IF(Stock!B8="",0,IF(ISNUMBER($E8),($E8+$F8)*Stock!B8/100,Stock!B8))</f>
        <v>456000</v>
      </c>
      <c r="H8" s="9">
        <f ca="1">IF(Stock!C8="",0,IF(ISNUMBER($E8),($E8+$F8)*Stock!C8/100,Stock!C8))</f>
        <v>456000</v>
      </c>
      <c r="I8" s="9">
        <f ca="1">IF(Stock!D8="",0,IF(ISNUMBER($E8),($E8+$F8)*Stock!D8/100,Stock!D8))</f>
        <v>456000</v>
      </c>
      <c r="J8" s="9">
        <f ca="1">IF(Stock!E8="",0,IF(ISNUMBER($E8),($E8+$F8)*Stock!E8/100,Stock!E8))</f>
        <v>456000</v>
      </c>
      <c r="K8" s="9">
        <f ca="1">IF(Stock!F8="",0,IF(ISNUMBER($E8),($E8+$F8)*Stock!F8/100,Stock!F8))</f>
        <v>456000</v>
      </c>
      <c r="L8" s="9">
        <f ca="1">IF(Stock!G8="",0,IF(ISNUMBER($E8),($E8+$F8)*Stock!G8/100,Stock!G8))</f>
        <v>456000</v>
      </c>
      <c r="M8" s="9">
        <f ca="1">IF(Stock!H8="",0,IF(ISNUMBER($E8),($E8+$F8)*Stock!H8/100,Stock!H8))</f>
        <v>456000</v>
      </c>
      <c r="N8" s="9">
        <f ca="1">IF(Stock!I8="",0,IF(ISNUMBER($E8),($E8+$F8)*Stock!I8/100,Stock!I8))</f>
        <v>456000</v>
      </c>
      <c r="O8" s="9">
        <f ca="1">IF(Stock!J8="",0,IF(ISNUMBER($E8),($E8+$F8)*Stock!J8/100,Stock!J8))</f>
        <v>456000</v>
      </c>
      <c r="P8" s="9">
        <f ca="1">IF(Stock!K8="",0,IF(ISNUMBER($E8),($E8+$F8)*Stock!K8/100,Stock!K8))</f>
        <v>456000</v>
      </c>
      <c r="Q8" s="9">
        <f ca="1">IF(Stock!L8="",0,IF(ISNUMBER($E8),($E8+$F8)*Stock!L8/100,Stock!L8))</f>
        <v>456000</v>
      </c>
      <c r="R8" s="9">
        <f ca="1">IF(Stock!M8="",0,IF(ISNUMBER($E8),($E8+$F8)*Stock!M8/100,Stock!M8))</f>
        <v>456000</v>
      </c>
      <c r="S8" s="9">
        <f ca="1">IF(Stock!N8="",0,IF(ISNUMBER($E8),($E8+$F8)*Stock!N8/100,Stock!N8))</f>
        <v>456000</v>
      </c>
      <c r="T8" s="9">
        <f ca="1">IF(Stock!O8="",0,IF(ISNUMBER($E8),($E8+$F8)*Stock!O8/100,Stock!O8))</f>
        <v>456000</v>
      </c>
      <c r="U8" s="9">
        <f ca="1">IF(Stock!P8="",0,IF(ISNUMBER($E8),($E8+$F8)*Stock!P8/100,Stock!P8))</f>
        <v>456000</v>
      </c>
      <c r="V8" s="9">
        <f ca="1">IF(Stock!Q8="",0,IF(ISNUMBER($E8),($E8+$F8)*Stock!Q8/100,Stock!Q8))</f>
        <v>456000</v>
      </c>
      <c r="W8" s="9">
        <f ca="1">IF(Stock!R8="",0,IF(ISNUMBER($E8),($E8+$F8)*Stock!R8/100,Stock!R8))</f>
        <v>456000</v>
      </c>
      <c r="X8" s="9">
        <f ca="1">IF(Stock!S8="",0,IF(ISNUMBER($E8),($E8+$F8)*Stock!S8/100,Stock!S8))</f>
        <v>456000</v>
      </c>
      <c r="Y8" s="9">
        <f ca="1">IF(Stock!T8="",0,IF(ISNUMBER($E8),($E8+$F8)*Stock!T8/100,Stock!T8))</f>
        <v>456000</v>
      </c>
      <c r="Z8" s="9">
        <f ca="1">IF(Stock!U8="",0,IF(ISNUMBER($E8),($E8+$F8)*Stock!U8/100,Stock!U8))</f>
        <v>456000</v>
      </c>
      <c r="AA8" s="9">
        <f ca="1">IF(Stock!V8="",0,IF(ISNUMBER($E8),($E8+$F8)*Stock!V8/100,Stock!V8))</f>
        <v>456000</v>
      </c>
      <c r="AB8" s="9">
        <f ca="1">IF(Stock!W8="",0,IF(ISNUMBER($E8),($E8+$F8)*Stock!W8/100,Stock!W8))</f>
        <v>456000</v>
      </c>
      <c r="AC8" s="9">
        <f ca="1">IF(Stock!X8="",0,IF(ISNUMBER($E8),($E8+$F8)*Stock!X8/100,Stock!X8))</f>
        <v>456000</v>
      </c>
      <c r="AD8" s="9">
        <f ca="1">IF(Stock!Y8="",0,IF(ISNUMBER($E8),($E8+$F8)*Stock!Y8/100,Stock!Y8))</f>
        <v>456000</v>
      </c>
      <c r="AE8" s="9">
        <f ca="1">IF(Stock!Z8="",0,IF(ISNUMBER($E8),($E8+$F8)*Stock!Z8/100,Stock!Z8))</f>
        <v>456000</v>
      </c>
      <c r="AF8" s="9">
        <f ca="1">IF(Stock!AA8="",0,IF(ISNUMBER($E8),($E8+$F8)*Stock!AA8/100,Stock!AA8))</f>
        <v>456000</v>
      </c>
      <c r="AG8" s="9">
        <f ca="1">IF(Stock!AB8="",0,IF(ISNUMBER($E8),($E8+$F8)*Stock!AB8/100,Stock!AB8))</f>
        <v>456000</v>
      </c>
      <c r="AH8" s="9">
        <f ca="1">IF(Stock!AC8="",0,IF(ISNUMBER($E8),($E8+$F8)*Stock!AC8/100,Stock!AC8))</f>
        <v>456000</v>
      </c>
      <c r="AI8" s="9">
        <f ca="1">IF(Stock!AD8="",0,IF(ISNUMBER($E8),($E8+$F8)*Stock!AD8/100,Stock!AD8))</f>
        <v>456000</v>
      </c>
      <c r="AJ8" s="9">
        <f ca="1">IF(Stock!AE8="",0,IF(ISNUMBER($E8),($E8+$F8)*Stock!AE8/100,Stock!AE8))</f>
        <v>456000</v>
      </c>
      <c r="AK8" s="9">
        <f ca="1">IF(Stock!AF8="",0,IF(ISNUMBER($E8),($E8+$F8)*Stock!AF8/100,Stock!AF8))</f>
        <v>456000</v>
      </c>
      <c r="AL8" s="9">
        <f ca="1">IF(Stock!AG8="",0,IF(ISNUMBER($E8),($E8+$F8)*Stock!AG8/100,Stock!AG8))</f>
        <v>456000</v>
      </c>
      <c r="AM8" s="9">
        <f ca="1">IF(Stock!AH8="",0,IF(ISNUMBER($E8),($E8+$F8)*Stock!AH8/100,Stock!AH8))</f>
        <v>456000</v>
      </c>
      <c r="AN8" s="9">
        <f ca="1">IF(Stock!AI8="",0,IF(ISNUMBER($E8),($E8+$F8)*Stock!AI8/100,Stock!AI8))</f>
        <v>456000</v>
      </c>
      <c r="AO8" s="9">
        <f ca="1">IF(Stock!AJ8="",0,IF(ISNUMBER($E8),($E8+$F8)*Stock!AJ8/100,Stock!AJ8))</f>
        <v>456000</v>
      </c>
      <c r="AP8" s="9">
        <f ca="1">IF(Stock!AK8="",0,IF(ISNUMBER($E8),($E8+$F8)*Stock!AK8/100,Stock!AK8))</f>
        <v>456000</v>
      </c>
      <c r="AQ8" s="9">
        <f ca="1">IF(Stock!AL8="",0,IF(ISNUMBER($E8),($E8+$F8)*Stock!AL8/100,Stock!AL8))</f>
        <v>456000</v>
      </c>
      <c r="AR8" s="9">
        <f ca="1">IF(Stock!AM8="",0,IF(ISNUMBER($E8),($E8+$F8)*Stock!AM8/100,Stock!AM8))</f>
        <v>456000</v>
      </c>
      <c r="AS8" s="9">
        <f ca="1">IF(Stock!AN8="",0,IF(ISNUMBER($E8),($E8+$F8)*Stock!AN8/100,Stock!AN8))</f>
        <v>456000</v>
      </c>
      <c r="AT8" s="9">
        <f ca="1">IF(Stock!AO8="",0,IF(ISNUMBER($E8),($E8+$F8)*Stock!AO8/100,Stock!AO8))</f>
        <v>456000</v>
      </c>
      <c r="AU8" s="9">
        <f ca="1">IF(Stock!AP8="",0,IF(ISNUMBER($E8),($E8+$F8)*Stock!AP8/100,Stock!AP8))</f>
        <v>456000</v>
      </c>
      <c r="AV8" s="9">
        <f ca="1">IF(Stock!AQ8="",0,IF(ISNUMBER($E8),($E8+$F8)*Stock!AQ8/100,Stock!AQ8))</f>
        <v>456000</v>
      </c>
      <c r="AW8" s="9">
        <f ca="1">IF(Stock!AR8="",0,IF(ISNUMBER($E8),($E8+$F8)*Stock!AR8/100,Stock!AR8))</f>
        <v>456000</v>
      </c>
      <c r="AX8" s="9">
        <f ca="1">IF(Stock!AS8="",0,IF(ISNUMBER($E8),($E8+$F8)*Stock!AS8/100,Stock!AS8))</f>
        <v>456000</v>
      </c>
      <c r="AY8" s="9">
        <f ca="1">IF(Stock!AT8="",0,IF(ISNUMBER($E8),($E8+$F8)*Stock!AT8/100,Stock!AT8))</f>
        <v>456000</v>
      </c>
      <c r="AZ8" s="9">
        <f ca="1">IF(Stock!AU8="",0,IF(ISNUMBER($E8),($E8+$F8)*Stock!AU8/100,Stock!AU8))</f>
        <v>456000</v>
      </c>
      <c r="BA8" s="9">
        <f ca="1">IF(Stock!AV8="",0,IF(ISNUMBER($E8),($E8+$F8)*Stock!AV8/100,Stock!AV8))</f>
        <v>456000</v>
      </c>
      <c r="BB8" s="9">
        <f ca="1">IF(Stock!AW8="",0,IF(ISNUMBER($E8),($E8+$F8)*Stock!AW8/100,Stock!AW8))</f>
        <v>456000</v>
      </c>
      <c r="BC8" s="9">
        <f ca="1">IF(Stock!AX8="",0,IF(ISNUMBER($E8),($E8+$F8)*Stock!AX8/100,Stock!AX8))</f>
        <v>456000</v>
      </c>
    </row>
    <row r="9" spans="1:97" x14ac:dyDescent="0.3">
      <c r="A9" s="2" t="str">
        <f t="shared" si="0"/>
        <v>1.125</v>
      </c>
      <c r="B9" s="3">
        <f t="shared" si="1"/>
        <v>41426</v>
      </c>
      <c r="C9" s="4" t="str">
        <f>IF(Repo!C13="","",Repo!C13)</f>
        <v>UST2013061.125</v>
      </c>
      <c r="D9" s="4" t="str">
        <f>IF(Repo!D13="","",Repo!D13)</f>
        <v>US912828NH93</v>
      </c>
      <c r="E9" s="62" t="e">
        <f ca="1">IF(A9="",0,IF(LEFT(C9,3) = "USB",100*(1-_xll.BDP(D9 &amp; " Govt",E$1)*(B9-TODAY()+1)/36000),_xll.BDP(D9 &amp; " Govt",E$1)))</f>
        <v>#NAME?</v>
      </c>
      <c r="F9" s="62" t="e">
        <f ca="1">IF(A9="",0,IF(LEFT(D9,1) = "B",0,_xll.BDP(D9 &amp; " Govt",F$1)))</f>
        <v>#NAME?</v>
      </c>
      <c r="G9" s="9">
        <f>IF(Stock!B9="",0,IF(ISNUMBER($E9),($E9+$F9)*Stock!B9/100,Stock!B9))</f>
        <v>0</v>
      </c>
      <c r="H9" s="9">
        <f ca="1">IF(Stock!C9="",0,IF(ISNUMBER($E9),($E9+$F9)*Stock!C9/100,Stock!C9))</f>
        <v>0</v>
      </c>
      <c r="I9" s="9">
        <f ca="1">IF(Stock!D9="",0,IF(ISNUMBER($E9),($E9+$F9)*Stock!D9/100,Stock!D9))</f>
        <v>0</v>
      </c>
      <c r="J9" s="9">
        <f ca="1">IF(Stock!E9="",0,IF(ISNUMBER($E9),($E9+$F9)*Stock!E9/100,Stock!E9))</f>
        <v>0</v>
      </c>
      <c r="K9" s="9">
        <f ca="1">IF(Stock!F9="",0,IF(ISNUMBER($E9),($E9+$F9)*Stock!F9/100,Stock!F9))</f>
        <v>0</v>
      </c>
      <c r="L9" s="9">
        <f ca="1">IF(Stock!G9="",0,IF(ISNUMBER($E9),($E9+$F9)*Stock!G9/100,Stock!G9))</f>
        <v>0</v>
      </c>
      <c r="M9" s="9">
        <f ca="1">IF(Stock!H9="",0,IF(ISNUMBER($E9),($E9+$F9)*Stock!H9/100,Stock!H9))</f>
        <v>0</v>
      </c>
      <c r="N9" s="9">
        <f ca="1">IF(Stock!I9="",0,IF(ISNUMBER($E9),($E9+$F9)*Stock!I9/100,Stock!I9))</f>
        <v>0</v>
      </c>
      <c r="O9" s="9">
        <f ca="1">IF(Stock!J9="",0,IF(ISNUMBER($E9),($E9+$F9)*Stock!J9/100,Stock!J9))</f>
        <v>0</v>
      </c>
      <c r="P9" s="9">
        <f ca="1">IF(Stock!K9="",0,IF(ISNUMBER($E9),($E9+$F9)*Stock!K9/100,Stock!K9))</f>
        <v>0</v>
      </c>
      <c r="Q9" s="9">
        <f ca="1">IF(Stock!L9="",0,IF(ISNUMBER($E9),($E9+$F9)*Stock!L9/100,Stock!L9))</f>
        <v>0</v>
      </c>
      <c r="R9" s="9">
        <f ca="1">IF(Stock!M9="",0,IF(ISNUMBER($E9),($E9+$F9)*Stock!M9/100,Stock!M9))</f>
        <v>0</v>
      </c>
      <c r="S9" s="9">
        <f ca="1">IF(Stock!N9="",0,IF(ISNUMBER($E9),($E9+$F9)*Stock!N9/100,Stock!N9))</f>
        <v>0</v>
      </c>
      <c r="T9" s="9">
        <f ca="1">IF(Stock!O9="",0,IF(ISNUMBER($E9),($E9+$F9)*Stock!O9/100,Stock!O9))</f>
        <v>0</v>
      </c>
      <c r="U9" s="9">
        <f ca="1">IF(Stock!P9="",0,IF(ISNUMBER($E9),($E9+$F9)*Stock!P9/100,Stock!P9))</f>
        <v>0</v>
      </c>
      <c r="V9" s="9">
        <f ca="1">IF(Stock!Q9="",0,IF(ISNUMBER($E9),($E9+$F9)*Stock!Q9/100,Stock!Q9))</f>
        <v>0</v>
      </c>
      <c r="W9" s="9">
        <f ca="1">IF(Stock!R9="",0,IF(ISNUMBER($E9),($E9+$F9)*Stock!R9/100,Stock!R9))</f>
        <v>0</v>
      </c>
      <c r="X9" s="9">
        <f ca="1">IF(Stock!S9="",0,IF(ISNUMBER($E9),($E9+$F9)*Stock!S9/100,Stock!S9))</f>
        <v>0</v>
      </c>
      <c r="Y9" s="9">
        <f ca="1">IF(Stock!T9="",0,IF(ISNUMBER($E9),($E9+$F9)*Stock!T9/100,Stock!T9))</f>
        <v>0</v>
      </c>
      <c r="Z9" s="9">
        <f ca="1">IF(Stock!U9="",0,IF(ISNUMBER($E9),($E9+$F9)*Stock!U9/100,Stock!U9))</f>
        <v>0</v>
      </c>
      <c r="AA9" s="9">
        <f ca="1">IF(Stock!V9="",0,IF(ISNUMBER($E9),($E9+$F9)*Stock!V9/100,Stock!V9))</f>
        <v>0</v>
      </c>
      <c r="AB9" s="9">
        <f ca="1">IF(Stock!W9="",0,IF(ISNUMBER($E9),($E9+$F9)*Stock!W9/100,Stock!W9))</f>
        <v>0</v>
      </c>
      <c r="AC9" s="9">
        <f ca="1">IF(Stock!X9="",0,IF(ISNUMBER($E9),($E9+$F9)*Stock!X9/100,Stock!X9))</f>
        <v>0</v>
      </c>
      <c r="AD9" s="9">
        <f ca="1">IF(Stock!Y9="",0,IF(ISNUMBER($E9),($E9+$F9)*Stock!Y9/100,Stock!Y9))</f>
        <v>0</v>
      </c>
      <c r="AE9" s="9">
        <f ca="1">IF(Stock!Z9="",0,IF(ISNUMBER($E9),($E9+$F9)*Stock!Z9/100,Stock!Z9))</f>
        <v>0</v>
      </c>
      <c r="AF9" s="9">
        <f ca="1">IF(Stock!AA9="",0,IF(ISNUMBER($E9),($E9+$F9)*Stock!AA9/100,Stock!AA9))</f>
        <v>0</v>
      </c>
      <c r="AG9" s="9">
        <f ca="1">IF(Stock!AB9="",0,IF(ISNUMBER($E9),($E9+$F9)*Stock!AB9/100,Stock!AB9))</f>
        <v>0</v>
      </c>
      <c r="AH9" s="9">
        <f ca="1">IF(Stock!AC9="",0,IF(ISNUMBER($E9),($E9+$F9)*Stock!AC9/100,Stock!AC9))</f>
        <v>0</v>
      </c>
      <c r="AI9" s="9">
        <f ca="1">IF(Stock!AD9="",0,IF(ISNUMBER($E9),($E9+$F9)*Stock!AD9/100,Stock!AD9))</f>
        <v>0</v>
      </c>
      <c r="AJ9" s="9">
        <f ca="1">IF(Stock!AE9="",0,IF(ISNUMBER($E9),($E9+$F9)*Stock!AE9/100,Stock!AE9))</f>
        <v>0</v>
      </c>
      <c r="AK9" s="9">
        <f ca="1">IF(Stock!AF9="",0,IF(ISNUMBER($E9),($E9+$F9)*Stock!AF9/100,Stock!AF9))</f>
        <v>0</v>
      </c>
      <c r="AL9" s="9">
        <f ca="1">IF(Stock!AG9="",0,IF(ISNUMBER($E9),($E9+$F9)*Stock!AG9/100,Stock!AG9))</f>
        <v>0</v>
      </c>
      <c r="AM9" s="9">
        <f ca="1">IF(Stock!AH9="",0,IF(ISNUMBER($E9),($E9+$F9)*Stock!AH9/100,Stock!AH9))</f>
        <v>0</v>
      </c>
      <c r="AN9" s="9">
        <f ca="1">IF(Stock!AI9="",0,IF(ISNUMBER($E9),($E9+$F9)*Stock!AI9/100,Stock!AI9))</f>
        <v>0</v>
      </c>
      <c r="AO9" s="9">
        <f ca="1">IF(Stock!AJ9="",0,IF(ISNUMBER($E9),($E9+$F9)*Stock!AJ9/100,Stock!AJ9))</f>
        <v>0</v>
      </c>
      <c r="AP9" s="9">
        <f ca="1">IF(Stock!AK9="",0,IF(ISNUMBER($E9),($E9+$F9)*Stock!AK9/100,Stock!AK9))</f>
        <v>0</v>
      </c>
      <c r="AQ9" s="9">
        <f ca="1">IF(Stock!AL9="",0,IF(ISNUMBER($E9),($E9+$F9)*Stock!AL9/100,Stock!AL9))</f>
        <v>0</v>
      </c>
      <c r="AR9" s="9">
        <f ca="1">IF(Stock!AM9="",0,IF(ISNUMBER($E9),($E9+$F9)*Stock!AM9/100,Stock!AM9))</f>
        <v>0</v>
      </c>
      <c r="AS9" s="9">
        <f ca="1">IF(Stock!AN9="",0,IF(ISNUMBER($E9),($E9+$F9)*Stock!AN9/100,Stock!AN9))</f>
        <v>0</v>
      </c>
      <c r="AT9" s="9">
        <f ca="1">IF(Stock!AO9="",0,IF(ISNUMBER($E9),($E9+$F9)*Stock!AO9/100,Stock!AO9))</f>
        <v>0</v>
      </c>
      <c r="AU9" s="9">
        <f ca="1">IF(Stock!AP9="",0,IF(ISNUMBER($E9),($E9+$F9)*Stock!AP9/100,Stock!AP9))</f>
        <v>0</v>
      </c>
      <c r="AV9" s="9">
        <f ca="1">IF(Stock!AQ9="",0,IF(ISNUMBER($E9),($E9+$F9)*Stock!AQ9/100,Stock!AQ9))</f>
        <v>0</v>
      </c>
      <c r="AW9" s="9">
        <f ca="1">IF(Stock!AR9="",0,IF(ISNUMBER($E9),($E9+$F9)*Stock!AR9/100,Stock!AR9))</f>
        <v>0</v>
      </c>
      <c r="AX9" s="9">
        <f ca="1">IF(Stock!AS9="",0,IF(ISNUMBER($E9),($E9+$F9)*Stock!AS9/100,Stock!AS9))</f>
        <v>0</v>
      </c>
      <c r="AY9" s="9">
        <f ca="1">IF(Stock!AT9="",0,IF(ISNUMBER($E9),($E9+$F9)*Stock!AT9/100,Stock!AT9))</f>
        <v>0</v>
      </c>
      <c r="AZ9" s="9">
        <f ca="1">IF(Stock!AU9="",0,IF(ISNUMBER($E9),($E9+$F9)*Stock!AU9/100,Stock!AU9))</f>
        <v>0</v>
      </c>
      <c r="BA9" s="9">
        <f ca="1">IF(Stock!AV9="",0,IF(ISNUMBER($E9),($E9+$F9)*Stock!AV9/100,Stock!AV9))</f>
        <v>0</v>
      </c>
      <c r="BB9" s="9">
        <f ca="1">IF(Stock!AW9="",0,IF(ISNUMBER($E9),($E9+$F9)*Stock!AW9/100,Stock!AW9))</f>
        <v>0</v>
      </c>
      <c r="BC9" s="9">
        <f ca="1">IF(Stock!AX9="",0,IF(ISNUMBER($E9),($E9+$F9)*Stock!AX9/100,Stock!AX9))</f>
        <v>0</v>
      </c>
    </row>
    <row r="10" spans="1:97" x14ac:dyDescent="0.3">
      <c r="A10" s="2">
        <f t="shared" si="0"/>
        <v>0</v>
      </c>
      <c r="B10" s="3">
        <f t="shared" si="1"/>
        <v>41452</v>
      </c>
      <c r="C10" s="4" t="str">
        <f>IF(Repo!C14="","",Repo!C14)</f>
        <v>USB20130627</v>
      </c>
      <c r="D10" s="4" t="str">
        <f>IF(Repo!D14="","",Repo!D14)</f>
        <v>US9127956W63</v>
      </c>
      <c r="E10" s="62" t="e">
        <f ca="1">IF(A10="",0,IF(LEFT(C10,3) = "USB",100*(1-_xll.BDP(D10 &amp; " Govt",E$1)*(B10-TODAY()+1)/36000),_xll.BDP(D10 &amp; " Govt",E$1)))</f>
        <v>#NAME?</v>
      </c>
      <c r="F10" s="62" t="e">
        <f ca="1">IF(A10="",0,IF(LEFT(D10,1) = "B",0,_xll.BDP(D10 &amp; " Govt",F$1)))</f>
        <v>#NAME?</v>
      </c>
      <c r="G10" s="9">
        <f ca="1">IF(Stock!B10="",0,IF(ISNUMBER($E10),($E10+$F10)*Stock!B10/100,Stock!B10))</f>
        <v>194000</v>
      </c>
      <c r="H10" s="9">
        <f ca="1">IF(Stock!C10="",0,IF(ISNUMBER($E10),($E10+$F10)*Stock!C10/100,Stock!C10))</f>
        <v>194000</v>
      </c>
      <c r="I10" s="9">
        <f ca="1">IF(Stock!D10="",0,IF(ISNUMBER($E10),($E10+$F10)*Stock!D10/100,Stock!D10))</f>
        <v>194000</v>
      </c>
      <c r="J10" s="9">
        <f ca="1">IF(Stock!E10="",0,IF(ISNUMBER($E10),($E10+$F10)*Stock!E10/100,Stock!E10))</f>
        <v>194000</v>
      </c>
      <c r="K10" s="9">
        <f ca="1">IF(Stock!F10="",0,IF(ISNUMBER($E10),($E10+$F10)*Stock!F10/100,Stock!F10))</f>
        <v>194000</v>
      </c>
      <c r="L10" s="9">
        <f ca="1">IF(Stock!G10="",0,IF(ISNUMBER($E10),($E10+$F10)*Stock!G10/100,Stock!G10))</f>
        <v>194000</v>
      </c>
      <c r="M10" s="9">
        <f ca="1">IF(Stock!H10="",0,IF(ISNUMBER($E10),($E10+$F10)*Stock!H10/100,Stock!H10))</f>
        <v>194000</v>
      </c>
      <c r="N10" s="9">
        <f ca="1">IF(Stock!I10="",0,IF(ISNUMBER($E10),($E10+$F10)*Stock!I10/100,Stock!I10))</f>
        <v>194000</v>
      </c>
      <c r="O10" s="9">
        <f ca="1">IF(Stock!J10="",0,IF(ISNUMBER($E10),($E10+$F10)*Stock!J10/100,Stock!J10))</f>
        <v>194000</v>
      </c>
      <c r="P10" s="9">
        <f ca="1">IF(Stock!K10="",0,IF(ISNUMBER($E10),($E10+$F10)*Stock!K10/100,Stock!K10))</f>
        <v>194000</v>
      </c>
      <c r="Q10" s="9">
        <f ca="1">IF(Stock!L10="",0,IF(ISNUMBER($E10),($E10+$F10)*Stock!L10/100,Stock!L10))</f>
        <v>194000</v>
      </c>
      <c r="R10" s="9">
        <f ca="1">IF(Stock!M10="",0,IF(ISNUMBER($E10),($E10+$F10)*Stock!M10/100,Stock!M10))</f>
        <v>194000</v>
      </c>
      <c r="S10" s="9">
        <f ca="1">IF(Stock!N10="",0,IF(ISNUMBER($E10),($E10+$F10)*Stock!N10/100,Stock!N10))</f>
        <v>194000</v>
      </c>
      <c r="T10" s="9">
        <f ca="1">IF(Stock!O10="",0,IF(ISNUMBER($E10),($E10+$F10)*Stock!O10/100,Stock!O10))</f>
        <v>194000</v>
      </c>
      <c r="U10" s="9">
        <f ca="1">IF(Stock!P10="",0,IF(ISNUMBER($E10),($E10+$F10)*Stock!P10/100,Stock!P10))</f>
        <v>194000</v>
      </c>
      <c r="V10" s="9">
        <f ca="1">IF(Stock!Q10="",0,IF(ISNUMBER($E10),($E10+$F10)*Stock!Q10/100,Stock!Q10))</f>
        <v>194000</v>
      </c>
      <c r="W10" s="9">
        <f ca="1">IF(Stock!R10="",0,IF(ISNUMBER($E10),($E10+$F10)*Stock!R10/100,Stock!R10))</f>
        <v>194000</v>
      </c>
      <c r="X10" s="9">
        <f ca="1">IF(Stock!S10="",0,IF(ISNUMBER($E10),($E10+$F10)*Stock!S10/100,Stock!S10))</f>
        <v>194000</v>
      </c>
      <c r="Y10" s="9">
        <f ca="1">IF(Stock!T10="",0,IF(ISNUMBER($E10),($E10+$F10)*Stock!T10/100,Stock!T10))</f>
        <v>194000</v>
      </c>
      <c r="Z10" s="9">
        <f ca="1">IF(Stock!U10="",0,IF(ISNUMBER($E10),($E10+$F10)*Stock!U10/100,Stock!U10))</f>
        <v>194000</v>
      </c>
      <c r="AA10" s="9">
        <f ca="1">IF(Stock!V10="",0,IF(ISNUMBER($E10),($E10+$F10)*Stock!V10/100,Stock!V10))</f>
        <v>194000</v>
      </c>
      <c r="AB10" s="9">
        <f ca="1">IF(Stock!W10="",0,IF(ISNUMBER($E10),($E10+$F10)*Stock!W10/100,Stock!W10))</f>
        <v>194000</v>
      </c>
      <c r="AC10" s="9">
        <f ca="1">IF(Stock!X10="",0,IF(ISNUMBER($E10),($E10+$F10)*Stock!X10/100,Stock!X10))</f>
        <v>194000</v>
      </c>
      <c r="AD10" s="9">
        <f ca="1">IF(Stock!Y10="",0,IF(ISNUMBER($E10),($E10+$F10)*Stock!Y10/100,Stock!Y10))</f>
        <v>194000</v>
      </c>
      <c r="AE10" s="9">
        <f ca="1">IF(Stock!Z10="",0,IF(ISNUMBER($E10),($E10+$F10)*Stock!Z10/100,Stock!Z10))</f>
        <v>194000</v>
      </c>
      <c r="AF10" s="9">
        <f ca="1">IF(Stock!AA10="",0,IF(ISNUMBER($E10),($E10+$F10)*Stock!AA10/100,Stock!AA10))</f>
        <v>194000</v>
      </c>
      <c r="AG10" s="9">
        <f ca="1">IF(Stock!AB10="",0,IF(ISNUMBER($E10),($E10+$F10)*Stock!AB10/100,Stock!AB10))</f>
        <v>194000</v>
      </c>
      <c r="AH10" s="9">
        <f ca="1">IF(Stock!AC10="",0,IF(ISNUMBER($E10),($E10+$F10)*Stock!AC10/100,Stock!AC10))</f>
        <v>194000</v>
      </c>
      <c r="AI10" s="9">
        <f ca="1">IF(Stock!AD10="",0,IF(ISNUMBER($E10),($E10+$F10)*Stock!AD10/100,Stock!AD10))</f>
        <v>194000</v>
      </c>
      <c r="AJ10" s="9">
        <f ca="1">IF(Stock!AE10="",0,IF(ISNUMBER($E10),($E10+$F10)*Stock!AE10/100,Stock!AE10))</f>
        <v>194000</v>
      </c>
      <c r="AK10" s="9">
        <f ca="1">IF(Stock!AF10="",0,IF(ISNUMBER($E10),($E10+$F10)*Stock!AF10/100,Stock!AF10))</f>
        <v>194000</v>
      </c>
      <c r="AL10" s="9">
        <f ca="1">IF(Stock!AG10="",0,IF(ISNUMBER($E10),($E10+$F10)*Stock!AG10/100,Stock!AG10))</f>
        <v>194000</v>
      </c>
      <c r="AM10" s="9">
        <f ca="1">IF(Stock!AH10="",0,IF(ISNUMBER($E10),($E10+$F10)*Stock!AH10/100,Stock!AH10))</f>
        <v>194000</v>
      </c>
      <c r="AN10" s="9">
        <f ca="1">IF(Stock!AI10="",0,IF(ISNUMBER($E10),($E10+$F10)*Stock!AI10/100,Stock!AI10))</f>
        <v>194000</v>
      </c>
      <c r="AO10" s="9">
        <f ca="1">IF(Stock!AJ10="",0,IF(ISNUMBER($E10),($E10+$F10)*Stock!AJ10/100,Stock!AJ10))</f>
        <v>194000</v>
      </c>
      <c r="AP10" s="9">
        <f ca="1">IF(Stock!AK10="",0,IF(ISNUMBER($E10),($E10+$F10)*Stock!AK10/100,Stock!AK10))</f>
        <v>194000</v>
      </c>
      <c r="AQ10" s="9">
        <f ca="1">IF(Stock!AL10="",0,IF(ISNUMBER($E10),($E10+$F10)*Stock!AL10/100,Stock!AL10))</f>
        <v>194000</v>
      </c>
      <c r="AR10" s="9">
        <f ca="1">IF(Stock!AM10="",0,IF(ISNUMBER($E10),($E10+$F10)*Stock!AM10/100,Stock!AM10))</f>
        <v>194000</v>
      </c>
      <c r="AS10" s="9">
        <f ca="1">IF(Stock!AN10="",0,IF(ISNUMBER($E10),($E10+$F10)*Stock!AN10/100,Stock!AN10))</f>
        <v>194000</v>
      </c>
      <c r="AT10" s="9">
        <f ca="1">IF(Stock!AO10="",0,IF(ISNUMBER($E10),($E10+$F10)*Stock!AO10/100,Stock!AO10))</f>
        <v>194000</v>
      </c>
      <c r="AU10" s="9">
        <f ca="1">IF(Stock!AP10="",0,IF(ISNUMBER($E10),($E10+$F10)*Stock!AP10/100,Stock!AP10))</f>
        <v>194000</v>
      </c>
      <c r="AV10" s="9">
        <f ca="1">IF(Stock!AQ10="",0,IF(ISNUMBER($E10),($E10+$F10)*Stock!AQ10/100,Stock!AQ10))</f>
        <v>194000</v>
      </c>
      <c r="AW10" s="9">
        <f ca="1">IF(Stock!AR10="",0,IF(ISNUMBER($E10),($E10+$F10)*Stock!AR10/100,Stock!AR10))</f>
        <v>194000</v>
      </c>
      <c r="AX10" s="9">
        <f ca="1">IF(Stock!AS10="",0,IF(ISNUMBER($E10),($E10+$F10)*Stock!AS10/100,Stock!AS10))</f>
        <v>194000</v>
      </c>
      <c r="AY10" s="9">
        <f ca="1">IF(Stock!AT10="",0,IF(ISNUMBER($E10),($E10+$F10)*Stock!AT10/100,Stock!AT10))</f>
        <v>194000</v>
      </c>
      <c r="AZ10" s="9">
        <f ca="1">IF(Stock!AU10="",0,IF(ISNUMBER($E10),($E10+$F10)*Stock!AU10/100,Stock!AU10))</f>
        <v>194000</v>
      </c>
      <c r="BA10" s="9">
        <f ca="1">IF(Stock!AV10="",0,IF(ISNUMBER($E10),($E10+$F10)*Stock!AV10/100,Stock!AV10))</f>
        <v>194000</v>
      </c>
      <c r="BB10" s="9">
        <f ca="1">IF(Stock!AW10="",0,IF(ISNUMBER($E10),($E10+$F10)*Stock!AW10/100,Stock!AW10))</f>
        <v>194000</v>
      </c>
      <c r="BC10" s="9">
        <f ca="1">IF(Stock!AX10="",0,IF(ISNUMBER($E10),($E10+$F10)*Stock!AX10/100,Stock!AX10))</f>
        <v>194000</v>
      </c>
    </row>
    <row r="11" spans="1:97" x14ac:dyDescent="0.3">
      <c r="A11" s="2" t="str">
        <f t="shared" si="0"/>
        <v>0.375</v>
      </c>
      <c r="B11" s="3">
        <f t="shared" si="1"/>
        <v>41456</v>
      </c>
      <c r="C11" s="4" t="str">
        <f>IF(Repo!C15="","",Repo!C15)</f>
        <v>UST2013070.375</v>
      </c>
      <c r="D11" s="4" t="str">
        <f>IF(Repo!D15="","",Repo!D15)</f>
        <v>US912828QW34</v>
      </c>
      <c r="E11" s="62" t="e">
        <f ca="1">IF(A11="",0,IF(LEFT(C11,3) = "USB",100*(1-_xll.BDP(D11 &amp; " Govt",E$1)*(B11-TODAY()+1)/36000),_xll.BDP(D11 &amp; " Govt",E$1)))</f>
        <v>#NAME?</v>
      </c>
      <c r="F11" s="62" t="e">
        <f ca="1">IF(A11="",0,IF(LEFT(D11,1) = "B",0,_xll.BDP(D11 &amp; " Govt",F$1)))</f>
        <v>#NAME?</v>
      </c>
      <c r="G11" s="9">
        <f>IF(Stock!B11="",0,IF(ISNUMBER($E11),($E11+$F11)*Stock!B11/100,Stock!B11))</f>
        <v>0</v>
      </c>
      <c r="H11" s="9">
        <f ca="1">IF(Stock!C11="",0,IF(ISNUMBER($E11),($E11+$F11)*Stock!C11/100,Stock!C11))</f>
        <v>0</v>
      </c>
      <c r="I11" s="9">
        <f ca="1">IF(Stock!D11="",0,IF(ISNUMBER($E11),($E11+$F11)*Stock!D11/100,Stock!D11))</f>
        <v>0</v>
      </c>
      <c r="J11" s="9">
        <f ca="1">IF(Stock!E11="",0,IF(ISNUMBER($E11),($E11+$F11)*Stock!E11/100,Stock!E11))</f>
        <v>0</v>
      </c>
      <c r="K11" s="9">
        <f ca="1">IF(Stock!F11="",0,IF(ISNUMBER($E11),($E11+$F11)*Stock!F11/100,Stock!F11))</f>
        <v>0</v>
      </c>
      <c r="L11" s="9">
        <f ca="1">IF(Stock!G11="",0,IF(ISNUMBER($E11),($E11+$F11)*Stock!G11/100,Stock!G11))</f>
        <v>0</v>
      </c>
      <c r="M11" s="9">
        <f ca="1">IF(Stock!H11="",0,IF(ISNUMBER($E11),($E11+$F11)*Stock!H11/100,Stock!H11))</f>
        <v>0</v>
      </c>
      <c r="N11" s="9">
        <f ca="1">IF(Stock!I11="",0,IF(ISNUMBER($E11),($E11+$F11)*Stock!I11/100,Stock!I11))</f>
        <v>0</v>
      </c>
      <c r="O11" s="9">
        <f ca="1">IF(Stock!J11="",0,IF(ISNUMBER($E11),($E11+$F11)*Stock!J11/100,Stock!J11))</f>
        <v>0</v>
      </c>
      <c r="P11" s="9">
        <f ca="1">IF(Stock!K11="",0,IF(ISNUMBER($E11),($E11+$F11)*Stock!K11/100,Stock!K11))</f>
        <v>0</v>
      </c>
      <c r="Q11" s="9">
        <f ca="1">IF(Stock!L11="",0,IF(ISNUMBER($E11),($E11+$F11)*Stock!L11/100,Stock!L11))</f>
        <v>0</v>
      </c>
      <c r="R11" s="9">
        <f ca="1">IF(Stock!M11="",0,IF(ISNUMBER($E11),($E11+$F11)*Stock!M11/100,Stock!M11))</f>
        <v>0</v>
      </c>
      <c r="S11" s="9">
        <f ca="1">IF(Stock!N11="",0,IF(ISNUMBER($E11),($E11+$F11)*Stock!N11/100,Stock!N11))</f>
        <v>0</v>
      </c>
      <c r="T11" s="9">
        <f ca="1">IF(Stock!O11="",0,IF(ISNUMBER($E11),($E11+$F11)*Stock!O11/100,Stock!O11))</f>
        <v>0</v>
      </c>
      <c r="U11" s="9">
        <f ca="1">IF(Stock!P11="",0,IF(ISNUMBER($E11),($E11+$F11)*Stock!P11/100,Stock!P11))</f>
        <v>0</v>
      </c>
      <c r="V11" s="9">
        <f ca="1">IF(Stock!Q11="",0,IF(ISNUMBER($E11),($E11+$F11)*Stock!Q11/100,Stock!Q11))</f>
        <v>0</v>
      </c>
      <c r="W11" s="9">
        <f ca="1">IF(Stock!R11="",0,IF(ISNUMBER($E11),($E11+$F11)*Stock!R11/100,Stock!R11))</f>
        <v>0</v>
      </c>
      <c r="X11" s="9">
        <f ca="1">IF(Stock!S11="",0,IF(ISNUMBER($E11),($E11+$F11)*Stock!S11/100,Stock!S11))</f>
        <v>0</v>
      </c>
      <c r="Y11" s="9">
        <f ca="1">IF(Stock!T11="",0,IF(ISNUMBER($E11),($E11+$F11)*Stock!T11/100,Stock!T11))</f>
        <v>0</v>
      </c>
      <c r="Z11" s="9">
        <f ca="1">IF(Stock!U11="",0,IF(ISNUMBER($E11),($E11+$F11)*Stock!U11/100,Stock!U11))</f>
        <v>0</v>
      </c>
      <c r="AA11" s="9">
        <f ca="1">IF(Stock!V11="",0,IF(ISNUMBER($E11),($E11+$F11)*Stock!V11/100,Stock!V11))</f>
        <v>0</v>
      </c>
      <c r="AB11" s="9">
        <f ca="1">IF(Stock!W11="",0,IF(ISNUMBER($E11),($E11+$F11)*Stock!W11/100,Stock!W11))</f>
        <v>0</v>
      </c>
      <c r="AC11" s="9">
        <f ca="1">IF(Stock!X11="",0,IF(ISNUMBER($E11),($E11+$F11)*Stock!X11/100,Stock!X11))</f>
        <v>0</v>
      </c>
      <c r="AD11" s="9">
        <f ca="1">IF(Stock!Y11="",0,IF(ISNUMBER($E11),($E11+$F11)*Stock!Y11/100,Stock!Y11))</f>
        <v>0</v>
      </c>
      <c r="AE11" s="9">
        <f ca="1">IF(Stock!Z11="",0,IF(ISNUMBER($E11),($E11+$F11)*Stock!Z11/100,Stock!Z11))</f>
        <v>0</v>
      </c>
      <c r="AF11" s="9">
        <f ca="1">IF(Stock!AA11="",0,IF(ISNUMBER($E11),($E11+$F11)*Stock!AA11/100,Stock!AA11))</f>
        <v>0</v>
      </c>
      <c r="AG11" s="9">
        <f ca="1">IF(Stock!AB11="",0,IF(ISNUMBER($E11),($E11+$F11)*Stock!AB11/100,Stock!AB11))</f>
        <v>0</v>
      </c>
      <c r="AH11" s="9">
        <f ca="1">IF(Stock!AC11="",0,IF(ISNUMBER($E11),($E11+$F11)*Stock!AC11/100,Stock!AC11))</f>
        <v>0</v>
      </c>
      <c r="AI11" s="9">
        <f ca="1">IF(Stock!AD11="",0,IF(ISNUMBER($E11),($E11+$F11)*Stock!AD11/100,Stock!AD11))</f>
        <v>0</v>
      </c>
      <c r="AJ11" s="9">
        <f ca="1">IF(Stock!AE11="",0,IF(ISNUMBER($E11),($E11+$F11)*Stock!AE11/100,Stock!AE11))</f>
        <v>0</v>
      </c>
      <c r="AK11" s="9">
        <f ca="1">IF(Stock!AF11="",0,IF(ISNUMBER($E11),($E11+$F11)*Stock!AF11/100,Stock!AF11))</f>
        <v>0</v>
      </c>
      <c r="AL11" s="9">
        <f ca="1">IF(Stock!AG11="",0,IF(ISNUMBER($E11),($E11+$F11)*Stock!AG11/100,Stock!AG11))</f>
        <v>0</v>
      </c>
      <c r="AM11" s="9">
        <f ca="1">IF(Stock!AH11="",0,IF(ISNUMBER($E11),($E11+$F11)*Stock!AH11/100,Stock!AH11))</f>
        <v>0</v>
      </c>
      <c r="AN11" s="9">
        <f ca="1">IF(Stock!AI11="",0,IF(ISNUMBER($E11),($E11+$F11)*Stock!AI11/100,Stock!AI11))</f>
        <v>0</v>
      </c>
      <c r="AO11" s="9">
        <f ca="1">IF(Stock!AJ11="",0,IF(ISNUMBER($E11),($E11+$F11)*Stock!AJ11/100,Stock!AJ11))</f>
        <v>0</v>
      </c>
      <c r="AP11" s="9">
        <f ca="1">IF(Stock!AK11="",0,IF(ISNUMBER($E11),($E11+$F11)*Stock!AK11/100,Stock!AK11))</f>
        <v>0</v>
      </c>
      <c r="AQ11" s="9">
        <f ca="1">IF(Stock!AL11="",0,IF(ISNUMBER($E11),($E11+$F11)*Stock!AL11/100,Stock!AL11))</f>
        <v>0</v>
      </c>
      <c r="AR11" s="9">
        <f ca="1">IF(Stock!AM11="",0,IF(ISNUMBER($E11),($E11+$F11)*Stock!AM11/100,Stock!AM11))</f>
        <v>0</v>
      </c>
      <c r="AS11" s="9">
        <f ca="1">IF(Stock!AN11="",0,IF(ISNUMBER($E11),($E11+$F11)*Stock!AN11/100,Stock!AN11))</f>
        <v>0</v>
      </c>
      <c r="AT11" s="9">
        <f ca="1">IF(Stock!AO11="",0,IF(ISNUMBER($E11),($E11+$F11)*Stock!AO11/100,Stock!AO11))</f>
        <v>0</v>
      </c>
      <c r="AU11" s="9">
        <f ca="1">IF(Stock!AP11="",0,IF(ISNUMBER($E11),($E11+$F11)*Stock!AP11/100,Stock!AP11))</f>
        <v>0</v>
      </c>
      <c r="AV11" s="9">
        <f ca="1">IF(Stock!AQ11="",0,IF(ISNUMBER($E11),($E11+$F11)*Stock!AQ11/100,Stock!AQ11))</f>
        <v>0</v>
      </c>
      <c r="AW11" s="9">
        <f ca="1">IF(Stock!AR11="",0,IF(ISNUMBER($E11),($E11+$F11)*Stock!AR11/100,Stock!AR11))</f>
        <v>0</v>
      </c>
      <c r="AX11" s="9">
        <f ca="1">IF(Stock!AS11="",0,IF(ISNUMBER($E11),($E11+$F11)*Stock!AS11/100,Stock!AS11))</f>
        <v>0</v>
      </c>
      <c r="AY11" s="9">
        <f ca="1">IF(Stock!AT11="",0,IF(ISNUMBER($E11),($E11+$F11)*Stock!AT11/100,Stock!AT11))</f>
        <v>0</v>
      </c>
      <c r="AZ11" s="9">
        <f ca="1">IF(Stock!AU11="",0,IF(ISNUMBER($E11),($E11+$F11)*Stock!AU11/100,Stock!AU11))</f>
        <v>0</v>
      </c>
      <c r="BA11" s="9">
        <f ca="1">IF(Stock!AV11="",0,IF(ISNUMBER($E11),($E11+$F11)*Stock!AV11/100,Stock!AV11))</f>
        <v>0</v>
      </c>
      <c r="BB11" s="9">
        <f ca="1">IF(Stock!AW11="",0,IF(ISNUMBER($E11),($E11+$F11)*Stock!AW11/100,Stock!AW11))</f>
        <v>0</v>
      </c>
      <c r="BC11" s="9">
        <f ca="1">IF(Stock!AX11="",0,IF(ISNUMBER($E11),($E11+$F11)*Stock!AX11/100,Stock!AX11))</f>
        <v>0</v>
      </c>
    </row>
    <row r="12" spans="1:97" x14ac:dyDescent="0.3">
      <c r="A12" s="2" t="str">
        <f t="shared" si="0"/>
        <v>0.125</v>
      </c>
      <c r="B12" s="3">
        <f t="shared" si="1"/>
        <v>41518</v>
      </c>
      <c r="C12" s="4" t="str">
        <f>IF(Repo!C16="","",Repo!C16)</f>
        <v>UST2013090.125</v>
      </c>
      <c r="D12" s="4" t="str">
        <f>IF(Repo!D16="","",Repo!D16)</f>
        <v>US912828RK86</v>
      </c>
      <c r="E12" s="62" t="e">
        <f ca="1">IF(A12="",0,IF(LEFT(C12,3) = "USB",100*(1-_xll.BDP(D12 &amp; " Govt",E$1)*(B12-TODAY()+1)/36000),_xll.BDP(D12 &amp; " Govt",E$1)))</f>
        <v>#NAME?</v>
      </c>
      <c r="F12" s="62" t="e">
        <f ca="1">IF(A12="",0,IF(LEFT(D12,1) = "B",0,_xll.BDP(D12 &amp; " Govt",F$1)))</f>
        <v>#NAME?</v>
      </c>
      <c r="G12" s="9">
        <f ca="1">IF(Stock!B12="",0,IF(ISNUMBER($E12),($E12+$F12)*Stock!B12/100,Stock!B12))</f>
        <v>505000</v>
      </c>
      <c r="H12" s="9">
        <f ca="1">IF(Stock!C12="",0,IF(ISNUMBER($E12),($E12+$F12)*Stock!C12/100,Stock!C12))</f>
        <v>505000</v>
      </c>
      <c r="I12" s="9">
        <f ca="1">IF(Stock!D12="",0,IF(ISNUMBER($E12),($E12+$F12)*Stock!D12/100,Stock!D12))</f>
        <v>505000</v>
      </c>
      <c r="J12" s="9">
        <f ca="1">IF(Stock!E12="",0,IF(ISNUMBER($E12),($E12+$F12)*Stock!E12/100,Stock!E12))</f>
        <v>505000</v>
      </c>
      <c r="K12" s="9">
        <f ca="1">IF(Stock!F12="",0,IF(ISNUMBER($E12),($E12+$F12)*Stock!F12/100,Stock!F12))</f>
        <v>505000</v>
      </c>
      <c r="L12" s="9">
        <f ca="1">IF(Stock!G12="",0,IF(ISNUMBER($E12),($E12+$F12)*Stock!G12/100,Stock!G12))</f>
        <v>505000</v>
      </c>
      <c r="M12" s="9">
        <f ca="1">IF(Stock!H12="",0,IF(ISNUMBER($E12),($E12+$F12)*Stock!H12/100,Stock!H12))</f>
        <v>505000</v>
      </c>
      <c r="N12" s="9">
        <f ca="1">IF(Stock!I12="",0,IF(ISNUMBER($E12),($E12+$F12)*Stock!I12/100,Stock!I12))</f>
        <v>505000</v>
      </c>
      <c r="O12" s="9">
        <f ca="1">IF(Stock!J12="",0,IF(ISNUMBER($E12),($E12+$F12)*Stock!J12/100,Stock!J12))</f>
        <v>505000</v>
      </c>
      <c r="P12" s="9">
        <f ca="1">IF(Stock!K12="",0,IF(ISNUMBER($E12),($E12+$F12)*Stock!K12/100,Stock!K12))</f>
        <v>505000</v>
      </c>
      <c r="Q12" s="9">
        <f ca="1">IF(Stock!L12="",0,IF(ISNUMBER($E12),($E12+$F12)*Stock!L12/100,Stock!L12))</f>
        <v>505000</v>
      </c>
      <c r="R12" s="9">
        <f ca="1">IF(Stock!M12="",0,IF(ISNUMBER($E12),($E12+$F12)*Stock!M12/100,Stock!M12))</f>
        <v>505000</v>
      </c>
      <c r="S12" s="9">
        <f ca="1">IF(Stock!N12="",0,IF(ISNUMBER($E12),($E12+$F12)*Stock!N12/100,Stock!N12))</f>
        <v>505000</v>
      </c>
      <c r="T12" s="9">
        <f ca="1">IF(Stock!O12="",0,IF(ISNUMBER($E12),($E12+$F12)*Stock!O12/100,Stock!O12))</f>
        <v>505000</v>
      </c>
      <c r="U12" s="9">
        <f ca="1">IF(Stock!P12="",0,IF(ISNUMBER($E12),($E12+$F12)*Stock!P12/100,Stock!P12))</f>
        <v>505000</v>
      </c>
      <c r="V12" s="9">
        <f ca="1">IF(Stock!Q12="",0,IF(ISNUMBER($E12),($E12+$F12)*Stock!Q12/100,Stock!Q12))</f>
        <v>505000</v>
      </c>
      <c r="W12" s="9">
        <f ca="1">IF(Stock!R12="",0,IF(ISNUMBER($E12),($E12+$F12)*Stock!R12/100,Stock!R12))</f>
        <v>505000</v>
      </c>
      <c r="X12" s="9">
        <f ca="1">IF(Stock!S12="",0,IF(ISNUMBER($E12),($E12+$F12)*Stock!S12/100,Stock!S12))</f>
        <v>505000</v>
      </c>
      <c r="Y12" s="9">
        <f ca="1">IF(Stock!T12="",0,IF(ISNUMBER($E12),($E12+$F12)*Stock!T12/100,Stock!T12))</f>
        <v>505000</v>
      </c>
      <c r="Z12" s="9">
        <f ca="1">IF(Stock!U12="",0,IF(ISNUMBER($E12),($E12+$F12)*Stock!U12/100,Stock!U12))</f>
        <v>505000</v>
      </c>
      <c r="AA12" s="9">
        <f ca="1">IF(Stock!V12="",0,IF(ISNUMBER($E12),($E12+$F12)*Stock!V12/100,Stock!V12))</f>
        <v>505000</v>
      </c>
      <c r="AB12" s="9">
        <f ca="1">IF(Stock!W12="",0,IF(ISNUMBER($E12),($E12+$F12)*Stock!W12/100,Stock!W12))</f>
        <v>505000</v>
      </c>
      <c r="AC12" s="9">
        <f ca="1">IF(Stock!X12="",0,IF(ISNUMBER($E12),($E12+$F12)*Stock!X12/100,Stock!X12))</f>
        <v>505000</v>
      </c>
      <c r="AD12" s="9">
        <f ca="1">IF(Stock!Y12="",0,IF(ISNUMBER($E12),($E12+$F12)*Stock!Y12/100,Stock!Y12))</f>
        <v>505000</v>
      </c>
      <c r="AE12" s="9">
        <f ca="1">IF(Stock!Z12="",0,IF(ISNUMBER($E12),($E12+$F12)*Stock!Z12/100,Stock!Z12))</f>
        <v>505000</v>
      </c>
      <c r="AF12" s="9">
        <f ca="1">IF(Stock!AA12="",0,IF(ISNUMBER($E12),($E12+$F12)*Stock!AA12/100,Stock!AA12))</f>
        <v>505000</v>
      </c>
      <c r="AG12" s="9">
        <f ca="1">IF(Stock!AB12="",0,IF(ISNUMBER($E12),($E12+$F12)*Stock!AB12/100,Stock!AB12))</f>
        <v>505000</v>
      </c>
      <c r="AH12" s="9">
        <f ca="1">IF(Stock!AC12="",0,IF(ISNUMBER($E12),($E12+$F12)*Stock!AC12/100,Stock!AC12))</f>
        <v>505000</v>
      </c>
      <c r="AI12" s="9">
        <f ca="1">IF(Stock!AD12="",0,IF(ISNUMBER($E12),($E12+$F12)*Stock!AD12/100,Stock!AD12))</f>
        <v>505000</v>
      </c>
      <c r="AJ12" s="9">
        <f ca="1">IF(Stock!AE12="",0,IF(ISNUMBER($E12),($E12+$F12)*Stock!AE12/100,Stock!AE12))</f>
        <v>505000</v>
      </c>
      <c r="AK12" s="9">
        <f ca="1">IF(Stock!AF12="",0,IF(ISNUMBER($E12),($E12+$F12)*Stock!AF12/100,Stock!AF12))</f>
        <v>505000</v>
      </c>
      <c r="AL12" s="9">
        <f ca="1">IF(Stock!AG12="",0,IF(ISNUMBER($E12),($E12+$F12)*Stock!AG12/100,Stock!AG12))</f>
        <v>505000</v>
      </c>
      <c r="AM12" s="9">
        <f ca="1">IF(Stock!AH12="",0,IF(ISNUMBER($E12),($E12+$F12)*Stock!AH12/100,Stock!AH12))</f>
        <v>505000</v>
      </c>
      <c r="AN12" s="9">
        <f ca="1">IF(Stock!AI12="",0,IF(ISNUMBER($E12),($E12+$F12)*Stock!AI12/100,Stock!AI12))</f>
        <v>505000</v>
      </c>
      <c r="AO12" s="9">
        <f ca="1">IF(Stock!AJ12="",0,IF(ISNUMBER($E12),($E12+$F12)*Stock!AJ12/100,Stock!AJ12))</f>
        <v>505000</v>
      </c>
      <c r="AP12" s="9">
        <f ca="1">IF(Stock!AK12="",0,IF(ISNUMBER($E12),($E12+$F12)*Stock!AK12/100,Stock!AK12))</f>
        <v>505000</v>
      </c>
      <c r="AQ12" s="9">
        <f ca="1">IF(Stock!AL12="",0,IF(ISNUMBER($E12),($E12+$F12)*Stock!AL12/100,Stock!AL12))</f>
        <v>505000</v>
      </c>
      <c r="AR12" s="9">
        <f ca="1">IF(Stock!AM12="",0,IF(ISNUMBER($E12),($E12+$F12)*Stock!AM12/100,Stock!AM12))</f>
        <v>505000</v>
      </c>
      <c r="AS12" s="9">
        <f ca="1">IF(Stock!AN12="",0,IF(ISNUMBER($E12),($E12+$F12)*Stock!AN12/100,Stock!AN12))</f>
        <v>505000</v>
      </c>
      <c r="AT12" s="9">
        <f ca="1">IF(Stock!AO12="",0,IF(ISNUMBER($E12),($E12+$F12)*Stock!AO12/100,Stock!AO12))</f>
        <v>505000</v>
      </c>
      <c r="AU12" s="9">
        <f ca="1">IF(Stock!AP12="",0,IF(ISNUMBER($E12),($E12+$F12)*Stock!AP12/100,Stock!AP12))</f>
        <v>505000</v>
      </c>
      <c r="AV12" s="9">
        <f ca="1">IF(Stock!AQ12="",0,IF(ISNUMBER($E12),($E12+$F12)*Stock!AQ12/100,Stock!AQ12))</f>
        <v>505000</v>
      </c>
      <c r="AW12" s="9">
        <f ca="1">IF(Stock!AR12="",0,IF(ISNUMBER($E12),($E12+$F12)*Stock!AR12/100,Stock!AR12))</f>
        <v>505000</v>
      </c>
      <c r="AX12" s="9">
        <f ca="1">IF(Stock!AS12="",0,IF(ISNUMBER($E12),($E12+$F12)*Stock!AS12/100,Stock!AS12))</f>
        <v>505000</v>
      </c>
      <c r="AY12" s="9">
        <f ca="1">IF(Stock!AT12="",0,IF(ISNUMBER($E12),($E12+$F12)*Stock!AT12/100,Stock!AT12))</f>
        <v>505000</v>
      </c>
      <c r="AZ12" s="9">
        <f ca="1">IF(Stock!AU12="",0,IF(ISNUMBER($E12),($E12+$F12)*Stock!AU12/100,Stock!AU12))</f>
        <v>505000</v>
      </c>
      <c r="BA12" s="9">
        <f ca="1">IF(Stock!AV12="",0,IF(ISNUMBER($E12),($E12+$F12)*Stock!AV12/100,Stock!AV12))</f>
        <v>505000</v>
      </c>
      <c r="BB12" s="9">
        <f ca="1">IF(Stock!AW12="",0,IF(ISNUMBER($E12),($E12+$F12)*Stock!AW12/100,Stock!AW12))</f>
        <v>505000</v>
      </c>
      <c r="BC12" s="9">
        <f ca="1">IF(Stock!AX12="",0,IF(ISNUMBER($E12),($E12+$F12)*Stock!AX12/100,Stock!AX12))</f>
        <v>505000</v>
      </c>
    </row>
    <row r="13" spans="1:97" x14ac:dyDescent="0.3">
      <c r="A13" s="2" t="str">
        <f t="shared" si="0"/>
        <v>0.25</v>
      </c>
      <c r="B13" s="3">
        <f t="shared" si="1"/>
        <v>41548</v>
      </c>
      <c r="C13" s="4" t="str">
        <f>IF(Repo!C17="","",Repo!C17)</f>
        <v>UST2013100.25</v>
      </c>
      <c r="D13" s="4" t="str">
        <f>IF(Repo!D17="","",Repo!D17)</f>
        <v>US912828RN26</v>
      </c>
      <c r="E13" s="62" t="e">
        <f ca="1">IF(A13="",0,IF(LEFT(C13,3) = "USB",100*(1-_xll.BDP(D13 &amp; " Govt",E$1)*(B13-TODAY()+1)/36000),_xll.BDP(D13 &amp; " Govt",E$1)))</f>
        <v>#NAME?</v>
      </c>
      <c r="F13" s="62" t="e">
        <f ca="1">IF(A13="",0,IF(LEFT(D13,1) = "B",0,_xll.BDP(D13 &amp; " Govt",F$1)))</f>
        <v>#NAME?</v>
      </c>
      <c r="G13" s="9">
        <f ca="1">IF(Stock!B13="",0,IF(ISNUMBER($E13),($E13+$F13)*Stock!B13/100,Stock!B13))</f>
        <v>183000</v>
      </c>
      <c r="H13" s="9">
        <f ca="1">IF(Stock!C13="",0,IF(ISNUMBER($E13),($E13+$F13)*Stock!C13/100,Stock!C13))</f>
        <v>183000</v>
      </c>
      <c r="I13" s="9">
        <f ca="1">IF(Stock!D13="",0,IF(ISNUMBER($E13),($E13+$F13)*Stock!D13/100,Stock!D13))</f>
        <v>183000</v>
      </c>
      <c r="J13" s="9">
        <f ca="1">IF(Stock!E13="",0,IF(ISNUMBER($E13),($E13+$F13)*Stock!E13/100,Stock!E13))</f>
        <v>183000</v>
      </c>
      <c r="K13" s="9">
        <f ca="1">IF(Stock!F13="",0,IF(ISNUMBER($E13),($E13+$F13)*Stock!F13/100,Stock!F13))</f>
        <v>183000</v>
      </c>
      <c r="L13" s="9">
        <f ca="1">IF(Stock!G13="",0,IF(ISNUMBER($E13),($E13+$F13)*Stock!G13/100,Stock!G13))</f>
        <v>183000</v>
      </c>
      <c r="M13" s="9">
        <f ca="1">IF(Stock!H13="",0,IF(ISNUMBER($E13),($E13+$F13)*Stock!H13/100,Stock!H13))</f>
        <v>183000</v>
      </c>
      <c r="N13" s="9">
        <f ca="1">IF(Stock!I13="",0,IF(ISNUMBER($E13),($E13+$F13)*Stock!I13/100,Stock!I13))</f>
        <v>183000</v>
      </c>
      <c r="O13" s="9">
        <f ca="1">IF(Stock!J13="",0,IF(ISNUMBER($E13),($E13+$F13)*Stock!J13/100,Stock!J13))</f>
        <v>183000</v>
      </c>
      <c r="P13" s="9">
        <f ca="1">IF(Stock!K13="",0,IF(ISNUMBER($E13),($E13+$F13)*Stock!K13/100,Stock!K13))</f>
        <v>183000</v>
      </c>
      <c r="Q13" s="9">
        <f ca="1">IF(Stock!L13="",0,IF(ISNUMBER($E13),($E13+$F13)*Stock!L13/100,Stock!L13))</f>
        <v>183000</v>
      </c>
      <c r="R13" s="9">
        <f ca="1">IF(Stock!M13="",0,IF(ISNUMBER($E13),($E13+$F13)*Stock!M13/100,Stock!M13))</f>
        <v>183000</v>
      </c>
      <c r="S13" s="9">
        <f ca="1">IF(Stock!N13="",0,IF(ISNUMBER($E13),($E13+$F13)*Stock!N13/100,Stock!N13))</f>
        <v>183000</v>
      </c>
      <c r="T13" s="9">
        <f ca="1">IF(Stock!O13="",0,IF(ISNUMBER($E13),($E13+$F13)*Stock!O13/100,Stock!O13))</f>
        <v>183000</v>
      </c>
      <c r="U13" s="9">
        <f ca="1">IF(Stock!P13="",0,IF(ISNUMBER($E13),($E13+$F13)*Stock!P13/100,Stock!P13))</f>
        <v>183000</v>
      </c>
      <c r="V13" s="9">
        <f ca="1">IF(Stock!Q13="",0,IF(ISNUMBER($E13),($E13+$F13)*Stock!Q13/100,Stock!Q13))</f>
        <v>183000</v>
      </c>
      <c r="W13" s="9">
        <f ca="1">IF(Stock!R13="",0,IF(ISNUMBER($E13),($E13+$F13)*Stock!R13/100,Stock!R13))</f>
        <v>183000</v>
      </c>
      <c r="X13" s="9">
        <f ca="1">IF(Stock!S13="",0,IF(ISNUMBER($E13),($E13+$F13)*Stock!S13/100,Stock!S13))</f>
        <v>183000</v>
      </c>
      <c r="Y13" s="9">
        <f ca="1">IF(Stock!T13="",0,IF(ISNUMBER($E13),($E13+$F13)*Stock!T13/100,Stock!T13))</f>
        <v>183000</v>
      </c>
      <c r="Z13" s="9">
        <f ca="1">IF(Stock!U13="",0,IF(ISNUMBER($E13),($E13+$F13)*Stock!U13/100,Stock!U13))</f>
        <v>183000</v>
      </c>
      <c r="AA13" s="9">
        <f ca="1">IF(Stock!V13="",0,IF(ISNUMBER($E13),($E13+$F13)*Stock!V13/100,Stock!V13))</f>
        <v>183000</v>
      </c>
      <c r="AB13" s="9">
        <f ca="1">IF(Stock!W13="",0,IF(ISNUMBER($E13),($E13+$F13)*Stock!W13/100,Stock!W13))</f>
        <v>183000</v>
      </c>
      <c r="AC13" s="9">
        <f ca="1">IF(Stock!X13="",0,IF(ISNUMBER($E13),($E13+$F13)*Stock!X13/100,Stock!X13))</f>
        <v>183000</v>
      </c>
      <c r="AD13" s="9">
        <f ca="1">IF(Stock!Y13="",0,IF(ISNUMBER($E13),($E13+$F13)*Stock!Y13/100,Stock!Y13))</f>
        <v>183000</v>
      </c>
      <c r="AE13" s="9">
        <f ca="1">IF(Stock!Z13="",0,IF(ISNUMBER($E13),($E13+$F13)*Stock!Z13/100,Stock!Z13))</f>
        <v>183000</v>
      </c>
      <c r="AF13" s="9">
        <f ca="1">IF(Stock!AA13="",0,IF(ISNUMBER($E13),($E13+$F13)*Stock!AA13/100,Stock!AA13))</f>
        <v>183000</v>
      </c>
      <c r="AG13" s="9">
        <f ca="1">IF(Stock!AB13="",0,IF(ISNUMBER($E13),($E13+$F13)*Stock!AB13/100,Stock!AB13))</f>
        <v>183000</v>
      </c>
      <c r="AH13" s="9">
        <f ca="1">IF(Stock!AC13="",0,IF(ISNUMBER($E13),($E13+$F13)*Stock!AC13/100,Stock!AC13))</f>
        <v>183000</v>
      </c>
      <c r="AI13" s="9">
        <f ca="1">IF(Stock!AD13="",0,IF(ISNUMBER($E13),($E13+$F13)*Stock!AD13/100,Stock!AD13))</f>
        <v>183000</v>
      </c>
      <c r="AJ13" s="9">
        <f ca="1">IF(Stock!AE13="",0,IF(ISNUMBER($E13),($E13+$F13)*Stock!AE13/100,Stock!AE13))</f>
        <v>183000</v>
      </c>
      <c r="AK13" s="9">
        <f ca="1">IF(Stock!AF13="",0,IF(ISNUMBER($E13),($E13+$F13)*Stock!AF13/100,Stock!AF13))</f>
        <v>183000</v>
      </c>
      <c r="AL13" s="9">
        <f ca="1">IF(Stock!AG13="",0,IF(ISNUMBER($E13),($E13+$F13)*Stock!AG13/100,Stock!AG13))</f>
        <v>183000</v>
      </c>
      <c r="AM13" s="9">
        <f ca="1">IF(Stock!AH13="",0,IF(ISNUMBER($E13),($E13+$F13)*Stock!AH13/100,Stock!AH13))</f>
        <v>183000</v>
      </c>
      <c r="AN13" s="9">
        <f ca="1">IF(Stock!AI13="",0,IF(ISNUMBER($E13),($E13+$F13)*Stock!AI13/100,Stock!AI13))</f>
        <v>183000</v>
      </c>
      <c r="AO13" s="9">
        <f ca="1">IF(Stock!AJ13="",0,IF(ISNUMBER($E13),($E13+$F13)*Stock!AJ13/100,Stock!AJ13))</f>
        <v>183000</v>
      </c>
      <c r="AP13" s="9">
        <f ca="1">IF(Stock!AK13="",0,IF(ISNUMBER($E13),($E13+$F13)*Stock!AK13/100,Stock!AK13))</f>
        <v>183000</v>
      </c>
      <c r="AQ13" s="9">
        <f ca="1">IF(Stock!AL13="",0,IF(ISNUMBER($E13),($E13+$F13)*Stock!AL13/100,Stock!AL13))</f>
        <v>183000</v>
      </c>
      <c r="AR13" s="9">
        <f ca="1">IF(Stock!AM13="",0,IF(ISNUMBER($E13),($E13+$F13)*Stock!AM13/100,Stock!AM13))</f>
        <v>183000</v>
      </c>
      <c r="AS13" s="9">
        <f ca="1">IF(Stock!AN13="",0,IF(ISNUMBER($E13),($E13+$F13)*Stock!AN13/100,Stock!AN13))</f>
        <v>183000</v>
      </c>
      <c r="AT13" s="9">
        <f ca="1">IF(Stock!AO13="",0,IF(ISNUMBER($E13),($E13+$F13)*Stock!AO13/100,Stock!AO13))</f>
        <v>183000</v>
      </c>
      <c r="AU13" s="9">
        <f ca="1">IF(Stock!AP13="",0,IF(ISNUMBER($E13),($E13+$F13)*Stock!AP13/100,Stock!AP13))</f>
        <v>183000</v>
      </c>
      <c r="AV13" s="9">
        <f ca="1">IF(Stock!AQ13="",0,IF(ISNUMBER($E13),($E13+$F13)*Stock!AQ13/100,Stock!AQ13))</f>
        <v>183000</v>
      </c>
      <c r="AW13" s="9">
        <f ca="1">IF(Stock!AR13="",0,IF(ISNUMBER($E13),($E13+$F13)*Stock!AR13/100,Stock!AR13))</f>
        <v>183000</v>
      </c>
      <c r="AX13" s="9">
        <f ca="1">IF(Stock!AS13="",0,IF(ISNUMBER($E13),($E13+$F13)*Stock!AS13/100,Stock!AS13))</f>
        <v>183000</v>
      </c>
      <c r="AY13" s="9">
        <f ca="1">IF(Stock!AT13="",0,IF(ISNUMBER($E13),($E13+$F13)*Stock!AT13/100,Stock!AT13))</f>
        <v>183000</v>
      </c>
      <c r="AZ13" s="9">
        <f ca="1">IF(Stock!AU13="",0,IF(ISNUMBER($E13),($E13+$F13)*Stock!AU13/100,Stock!AU13))</f>
        <v>183000</v>
      </c>
      <c r="BA13" s="9">
        <f ca="1">IF(Stock!AV13="",0,IF(ISNUMBER($E13),($E13+$F13)*Stock!AV13/100,Stock!AV13))</f>
        <v>183000</v>
      </c>
      <c r="BB13" s="9">
        <f ca="1">IF(Stock!AW13="",0,IF(ISNUMBER($E13),($E13+$F13)*Stock!AW13/100,Stock!AW13))</f>
        <v>183000</v>
      </c>
      <c r="BC13" s="9">
        <f ca="1">IF(Stock!AX13="",0,IF(ISNUMBER($E13),($E13+$F13)*Stock!AX13/100,Stock!AX13))</f>
        <v>183000</v>
      </c>
    </row>
    <row r="14" spans="1:97" x14ac:dyDescent="0.3">
      <c r="A14" s="2" t="str">
        <f t="shared" si="0"/>
        <v>0.25</v>
      </c>
      <c r="B14" s="3">
        <f t="shared" si="1"/>
        <v>41579</v>
      </c>
      <c r="C14" s="4" t="str">
        <f>IF(Repo!C18="","",Repo!C18)</f>
        <v>UST2013110.25</v>
      </c>
      <c r="D14" s="4" t="str">
        <f>IF(Repo!D18="","",Repo!D18)</f>
        <v>US912828RS13</v>
      </c>
      <c r="E14" s="62" t="e">
        <f ca="1">IF(A14="",0,IF(LEFT(C14,3) = "USB",100*(1-_xll.BDP(D14 &amp; " Govt",E$1)*(B14-TODAY()+1)/36000),_xll.BDP(D14 &amp; " Govt",E$1)))</f>
        <v>#NAME?</v>
      </c>
      <c r="F14" s="62" t="e">
        <f ca="1">IF(A14="",0,IF(LEFT(D14,1) = "B",0,_xll.BDP(D14 &amp; " Govt",F$1)))</f>
        <v>#NAME?</v>
      </c>
      <c r="G14" s="9">
        <f>IF(Stock!B14="",0,IF(ISNUMBER($E14),($E14+$F14)*Stock!B14/100,Stock!B14))</f>
        <v>0</v>
      </c>
      <c r="H14" s="9">
        <f ca="1">IF(Stock!C14="",0,IF(ISNUMBER($E14),($E14+$F14)*Stock!C14/100,Stock!C14))</f>
        <v>0</v>
      </c>
      <c r="I14" s="9">
        <f ca="1">IF(Stock!D14="",0,IF(ISNUMBER($E14),($E14+$F14)*Stock!D14/100,Stock!D14))</f>
        <v>0</v>
      </c>
      <c r="J14" s="9">
        <f ca="1">IF(Stock!E14="",0,IF(ISNUMBER($E14),($E14+$F14)*Stock!E14/100,Stock!E14))</f>
        <v>0</v>
      </c>
      <c r="K14" s="9">
        <f ca="1">IF(Stock!F14="",0,IF(ISNUMBER($E14),($E14+$F14)*Stock!F14/100,Stock!F14))</f>
        <v>0</v>
      </c>
      <c r="L14" s="9">
        <f ca="1">IF(Stock!G14="",0,IF(ISNUMBER($E14),($E14+$F14)*Stock!G14/100,Stock!G14))</f>
        <v>0</v>
      </c>
      <c r="M14" s="9">
        <f ca="1">IF(Stock!H14="",0,IF(ISNUMBER($E14),($E14+$F14)*Stock!H14/100,Stock!H14))</f>
        <v>0</v>
      </c>
      <c r="N14" s="9">
        <f ca="1">IF(Stock!I14="",0,IF(ISNUMBER($E14),($E14+$F14)*Stock!I14/100,Stock!I14))</f>
        <v>0</v>
      </c>
      <c r="O14" s="9">
        <f ca="1">IF(Stock!J14="",0,IF(ISNUMBER($E14),($E14+$F14)*Stock!J14/100,Stock!J14))</f>
        <v>0</v>
      </c>
      <c r="P14" s="9">
        <f ca="1">IF(Stock!K14="",0,IF(ISNUMBER($E14),($E14+$F14)*Stock!K14/100,Stock!K14))</f>
        <v>0</v>
      </c>
      <c r="Q14" s="9">
        <f ca="1">IF(Stock!L14="",0,IF(ISNUMBER($E14),($E14+$F14)*Stock!L14/100,Stock!L14))</f>
        <v>0</v>
      </c>
      <c r="R14" s="9">
        <f ca="1">IF(Stock!M14="",0,IF(ISNUMBER($E14),($E14+$F14)*Stock!M14/100,Stock!M14))</f>
        <v>0</v>
      </c>
      <c r="S14" s="9">
        <f ca="1">IF(Stock!N14="",0,IF(ISNUMBER($E14),($E14+$F14)*Stock!N14/100,Stock!N14))</f>
        <v>0</v>
      </c>
      <c r="T14" s="9">
        <f ca="1">IF(Stock!O14="",0,IF(ISNUMBER($E14),($E14+$F14)*Stock!O14/100,Stock!O14))</f>
        <v>0</v>
      </c>
      <c r="U14" s="9">
        <f ca="1">IF(Stock!P14="",0,IF(ISNUMBER($E14),($E14+$F14)*Stock!P14/100,Stock!P14))</f>
        <v>0</v>
      </c>
      <c r="V14" s="9">
        <f ca="1">IF(Stock!Q14="",0,IF(ISNUMBER($E14),($E14+$F14)*Stock!Q14/100,Stock!Q14))</f>
        <v>0</v>
      </c>
      <c r="W14" s="9">
        <f ca="1">IF(Stock!R14="",0,IF(ISNUMBER($E14),($E14+$F14)*Stock!R14/100,Stock!R14))</f>
        <v>0</v>
      </c>
      <c r="X14" s="9">
        <f ca="1">IF(Stock!S14="",0,IF(ISNUMBER($E14),($E14+$F14)*Stock!S14/100,Stock!S14))</f>
        <v>0</v>
      </c>
      <c r="Y14" s="9">
        <f ca="1">IF(Stock!T14="",0,IF(ISNUMBER($E14),($E14+$F14)*Stock!T14/100,Stock!T14))</f>
        <v>0</v>
      </c>
      <c r="Z14" s="9">
        <f ca="1">IF(Stock!U14="",0,IF(ISNUMBER($E14),($E14+$F14)*Stock!U14/100,Stock!U14))</f>
        <v>0</v>
      </c>
      <c r="AA14" s="9">
        <f ca="1">IF(Stock!V14="",0,IF(ISNUMBER($E14),($E14+$F14)*Stock!V14/100,Stock!V14))</f>
        <v>0</v>
      </c>
      <c r="AB14" s="9">
        <f ca="1">IF(Stock!W14="",0,IF(ISNUMBER($E14),($E14+$F14)*Stock!W14/100,Stock!W14))</f>
        <v>0</v>
      </c>
      <c r="AC14" s="9">
        <f ca="1">IF(Stock!X14="",0,IF(ISNUMBER($E14),($E14+$F14)*Stock!X14/100,Stock!X14))</f>
        <v>0</v>
      </c>
      <c r="AD14" s="9">
        <f ca="1">IF(Stock!Y14="",0,IF(ISNUMBER($E14),($E14+$F14)*Stock!Y14/100,Stock!Y14))</f>
        <v>0</v>
      </c>
      <c r="AE14" s="9">
        <f ca="1">IF(Stock!Z14="",0,IF(ISNUMBER($E14),($E14+$F14)*Stock!Z14/100,Stock!Z14))</f>
        <v>0</v>
      </c>
      <c r="AF14" s="9">
        <f ca="1">IF(Stock!AA14="",0,IF(ISNUMBER($E14),($E14+$F14)*Stock!AA14/100,Stock!AA14))</f>
        <v>0</v>
      </c>
      <c r="AG14" s="9">
        <f ca="1">IF(Stock!AB14="",0,IF(ISNUMBER($E14),($E14+$F14)*Stock!AB14/100,Stock!AB14))</f>
        <v>0</v>
      </c>
      <c r="AH14" s="9">
        <f ca="1">IF(Stock!AC14="",0,IF(ISNUMBER($E14),($E14+$F14)*Stock!AC14/100,Stock!AC14))</f>
        <v>0</v>
      </c>
      <c r="AI14" s="9">
        <f ca="1">IF(Stock!AD14="",0,IF(ISNUMBER($E14),($E14+$F14)*Stock!AD14/100,Stock!AD14))</f>
        <v>0</v>
      </c>
      <c r="AJ14" s="9">
        <f ca="1">IF(Stock!AE14="",0,IF(ISNUMBER($E14),($E14+$F14)*Stock!AE14/100,Stock!AE14))</f>
        <v>0</v>
      </c>
      <c r="AK14" s="9">
        <f ca="1">IF(Stock!AF14="",0,IF(ISNUMBER($E14),($E14+$F14)*Stock!AF14/100,Stock!AF14))</f>
        <v>0</v>
      </c>
      <c r="AL14" s="9">
        <f ca="1">IF(Stock!AG14="",0,IF(ISNUMBER($E14),($E14+$F14)*Stock!AG14/100,Stock!AG14))</f>
        <v>0</v>
      </c>
      <c r="AM14" s="9">
        <f ca="1">IF(Stock!AH14="",0,IF(ISNUMBER($E14),($E14+$F14)*Stock!AH14/100,Stock!AH14))</f>
        <v>0</v>
      </c>
      <c r="AN14" s="9">
        <f ca="1">IF(Stock!AI14="",0,IF(ISNUMBER($E14),($E14+$F14)*Stock!AI14/100,Stock!AI14))</f>
        <v>0</v>
      </c>
      <c r="AO14" s="9">
        <f ca="1">IF(Stock!AJ14="",0,IF(ISNUMBER($E14),($E14+$F14)*Stock!AJ14/100,Stock!AJ14))</f>
        <v>0</v>
      </c>
      <c r="AP14" s="9">
        <f ca="1">IF(Stock!AK14="",0,IF(ISNUMBER($E14),($E14+$F14)*Stock!AK14/100,Stock!AK14))</f>
        <v>0</v>
      </c>
      <c r="AQ14" s="9">
        <f ca="1">IF(Stock!AL14="",0,IF(ISNUMBER($E14),($E14+$F14)*Stock!AL14/100,Stock!AL14))</f>
        <v>0</v>
      </c>
      <c r="AR14" s="9">
        <f ca="1">IF(Stock!AM14="",0,IF(ISNUMBER($E14),($E14+$F14)*Stock!AM14/100,Stock!AM14))</f>
        <v>0</v>
      </c>
      <c r="AS14" s="9">
        <f ca="1">IF(Stock!AN14="",0,IF(ISNUMBER($E14),($E14+$F14)*Stock!AN14/100,Stock!AN14))</f>
        <v>0</v>
      </c>
      <c r="AT14" s="9">
        <f ca="1">IF(Stock!AO14="",0,IF(ISNUMBER($E14),($E14+$F14)*Stock!AO14/100,Stock!AO14))</f>
        <v>0</v>
      </c>
      <c r="AU14" s="9">
        <f ca="1">IF(Stock!AP14="",0,IF(ISNUMBER($E14),($E14+$F14)*Stock!AP14/100,Stock!AP14))</f>
        <v>0</v>
      </c>
      <c r="AV14" s="9">
        <f ca="1">IF(Stock!AQ14="",0,IF(ISNUMBER($E14),($E14+$F14)*Stock!AQ14/100,Stock!AQ14))</f>
        <v>0</v>
      </c>
      <c r="AW14" s="9">
        <f ca="1">IF(Stock!AR14="",0,IF(ISNUMBER($E14),($E14+$F14)*Stock!AR14/100,Stock!AR14))</f>
        <v>0</v>
      </c>
      <c r="AX14" s="9">
        <f ca="1">IF(Stock!AS14="",0,IF(ISNUMBER($E14),($E14+$F14)*Stock!AS14/100,Stock!AS14))</f>
        <v>0</v>
      </c>
      <c r="AY14" s="9">
        <f ca="1">IF(Stock!AT14="",0,IF(ISNUMBER($E14),($E14+$F14)*Stock!AT14/100,Stock!AT14))</f>
        <v>0</v>
      </c>
      <c r="AZ14" s="9">
        <f ca="1">IF(Stock!AU14="",0,IF(ISNUMBER($E14),($E14+$F14)*Stock!AU14/100,Stock!AU14))</f>
        <v>0</v>
      </c>
      <c r="BA14" s="9">
        <f ca="1">IF(Stock!AV14="",0,IF(ISNUMBER($E14),($E14+$F14)*Stock!AV14/100,Stock!AV14))</f>
        <v>0</v>
      </c>
      <c r="BB14" s="9">
        <f ca="1">IF(Stock!AW14="",0,IF(ISNUMBER($E14),($E14+$F14)*Stock!AW14/100,Stock!AW14))</f>
        <v>0</v>
      </c>
      <c r="BC14" s="9">
        <f ca="1">IF(Stock!AX14="",0,IF(ISNUMBER($E14),($E14+$F14)*Stock!AX14/100,Stock!AX14))</f>
        <v>0</v>
      </c>
    </row>
    <row r="15" spans="1:97" x14ac:dyDescent="0.3">
      <c r="A15" s="2" t="str">
        <f t="shared" si="0"/>
        <v>0.25</v>
      </c>
      <c r="B15" s="3">
        <f t="shared" si="1"/>
        <v>41640</v>
      </c>
      <c r="C15" s="4" t="str">
        <f>IF(Repo!C19="","",Repo!C19)</f>
        <v>UST2014010.25</v>
      </c>
      <c r="D15" s="4" t="str">
        <f>IF(Repo!D19="","",Repo!D19)</f>
        <v>US912828SB78</v>
      </c>
      <c r="E15" s="62" t="e">
        <f ca="1">IF(A15="",0,IF(LEFT(C15,3) = "USB",100*(1-_xll.BDP(D15 &amp; " Govt",E$1)*(B15-TODAY()+1)/36000),_xll.BDP(D15 &amp; " Govt",E$1)))</f>
        <v>#NAME?</v>
      </c>
      <c r="F15" s="62" t="e">
        <f ca="1">IF(A15="",0,IF(LEFT(D15,1) = "B",0,_xll.BDP(D15 &amp; " Govt",F$1)))</f>
        <v>#NAME?</v>
      </c>
      <c r="G15" s="9">
        <f ca="1">IF(Stock!B15="",0,IF(ISNUMBER($E15),($E15+$F15)*Stock!B15/100,Stock!B15))</f>
        <v>637000</v>
      </c>
      <c r="H15" s="9">
        <f ca="1">IF(Stock!C15="",0,IF(ISNUMBER($E15),($E15+$F15)*Stock!C15/100,Stock!C15))</f>
        <v>637000</v>
      </c>
      <c r="I15" s="9">
        <f ca="1">IF(Stock!D15="",0,IF(ISNUMBER($E15),($E15+$F15)*Stock!D15/100,Stock!D15))</f>
        <v>637000</v>
      </c>
      <c r="J15" s="9">
        <f ca="1">IF(Stock!E15="",0,IF(ISNUMBER($E15),($E15+$F15)*Stock!E15/100,Stock!E15))</f>
        <v>637000</v>
      </c>
      <c r="K15" s="9">
        <f ca="1">IF(Stock!F15="",0,IF(ISNUMBER($E15),($E15+$F15)*Stock!F15/100,Stock!F15))</f>
        <v>637000</v>
      </c>
      <c r="L15" s="9">
        <f ca="1">IF(Stock!G15="",0,IF(ISNUMBER($E15),($E15+$F15)*Stock!G15/100,Stock!G15))</f>
        <v>637000</v>
      </c>
      <c r="M15" s="9">
        <f ca="1">IF(Stock!H15="",0,IF(ISNUMBER($E15),($E15+$F15)*Stock!H15/100,Stock!H15))</f>
        <v>637000</v>
      </c>
      <c r="N15" s="9">
        <f ca="1">IF(Stock!I15="",0,IF(ISNUMBER($E15),($E15+$F15)*Stock!I15/100,Stock!I15))</f>
        <v>637000</v>
      </c>
      <c r="O15" s="9">
        <f ca="1">IF(Stock!J15="",0,IF(ISNUMBER($E15),($E15+$F15)*Stock!J15/100,Stock!J15))</f>
        <v>637000</v>
      </c>
      <c r="P15" s="9">
        <f ca="1">IF(Stock!K15="",0,IF(ISNUMBER($E15),($E15+$F15)*Stock!K15/100,Stock!K15))</f>
        <v>637000</v>
      </c>
      <c r="Q15" s="9">
        <f ca="1">IF(Stock!L15="",0,IF(ISNUMBER($E15),($E15+$F15)*Stock!L15/100,Stock!L15))</f>
        <v>637000</v>
      </c>
      <c r="R15" s="9">
        <f ca="1">IF(Stock!M15="",0,IF(ISNUMBER($E15),($E15+$F15)*Stock!M15/100,Stock!M15))</f>
        <v>637000</v>
      </c>
      <c r="S15" s="9">
        <f ca="1">IF(Stock!N15="",0,IF(ISNUMBER($E15),($E15+$F15)*Stock!N15/100,Stock!N15))</f>
        <v>637000</v>
      </c>
      <c r="T15" s="9">
        <f ca="1">IF(Stock!O15="",0,IF(ISNUMBER($E15),($E15+$F15)*Stock!O15/100,Stock!O15))</f>
        <v>637000</v>
      </c>
      <c r="U15" s="9">
        <f ca="1">IF(Stock!P15="",0,IF(ISNUMBER($E15),($E15+$F15)*Stock!P15/100,Stock!P15))</f>
        <v>637000</v>
      </c>
      <c r="V15" s="9">
        <f ca="1">IF(Stock!Q15="",0,IF(ISNUMBER($E15),($E15+$F15)*Stock!Q15/100,Stock!Q15))</f>
        <v>637000</v>
      </c>
      <c r="W15" s="9">
        <f ca="1">IF(Stock!R15="",0,IF(ISNUMBER($E15),($E15+$F15)*Stock!R15/100,Stock!R15))</f>
        <v>637000</v>
      </c>
      <c r="X15" s="9">
        <f ca="1">IF(Stock!S15="",0,IF(ISNUMBER($E15),($E15+$F15)*Stock!S15/100,Stock!S15))</f>
        <v>637000</v>
      </c>
      <c r="Y15" s="9">
        <f ca="1">IF(Stock!T15="",0,IF(ISNUMBER($E15),($E15+$F15)*Stock!T15/100,Stock!T15))</f>
        <v>637000</v>
      </c>
      <c r="Z15" s="9">
        <f ca="1">IF(Stock!U15="",0,IF(ISNUMBER($E15),($E15+$F15)*Stock!U15/100,Stock!U15))</f>
        <v>637000</v>
      </c>
      <c r="AA15" s="9">
        <f ca="1">IF(Stock!V15="",0,IF(ISNUMBER($E15),($E15+$F15)*Stock!V15/100,Stock!V15))</f>
        <v>637000</v>
      </c>
      <c r="AB15" s="9">
        <f ca="1">IF(Stock!W15="",0,IF(ISNUMBER($E15),($E15+$F15)*Stock!W15/100,Stock!W15))</f>
        <v>637000</v>
      </c>
      <c r="AC15" s="9">
        <f ca="1">IF(Stock!X15="",0,IF(ISNUMBER($E15),($E15+$F15)*Stock!X15/100,Stock!X15))</f>
        <v>637000</v>
      </c>
      <c r="AD15" s="9">
        <f ca="1">IF(Stock!Y15="",0,IF(ISNUMBER($E15),($E15+$F15)*Stock!Y15/100,Stock!Y15))</f>
        <v>637000</v>
      </c>
      <c r="AE15" s="9">
        <f ca="1">IF(Stock!Z15="",0,IF(ISNUMBER($E15),($E15+$F15)*Stock!Z15/100,Stock!Z15))</f>
        <v>637000</v>
      </c>
      <c r="AF15" s="9">
        <f ca="1">IF(Stock!AA15="",0,IF(ISNUMBER($E15),($E15+$F15)*Stock!AA15/100,Stock!AA15))</f>
        <v>637000</v>
      </c>
      <c r="AG15" s="9">
        <f ca="1">IF(Stock!AB15="",0,IF(ISNUMBER($E15),($E15+$F15)*Stock!AB15/100,Stock!AB15))</f>
        <v>637000</v>
      </c>
      <c r="AH15" s="9">
        <f ca="1">IF(Stock!AC15="",0,IF(ISNUMBER($E15),($E15+$F15)*Stock!AC15/100,Stock!AC15))</f>
        <v>637000</v>
      </c>
      <c r="AI15" s="9">
        <f ca="1">IF(Stock!AD15="",0,IF(ISNUMBER($E15),($E15+$F15)*Stock!AD15/100,Stock!AD15))</f>
        <v>637000</v>
      </c>
      <c r="AJ15" s="9">
        <f ca="1">IF(Stock!AE15="",0,IF(ISNUMBER($E15),($E15+$F15)*Stock!AE15/100,Stock!AE15))</f>
        <v>637000</v>
      </c>
      <c r="AK15" s="9">
        <f ca="1">IF(Stock!AF15="",0,IF(ISNUMBER($E15),($E15+$F15)*Stock!AF15/100,Stock!AF15))</f>
        <v>637000</v>
      </c>
      <c r="AL15" s="9">
        <f ca="1">IF(Stock!AG15="",0,IF(ISNUMBER($E15),($E15+$F15)*Stock!AG15/100,Stock!AG15))</f>
        <v>637000</v>
      </c>
      <c r="AM15" s="9">
        <f ca="1">IF(Stock!AH15="",0,IF(ISNUMBER($E15),($E15+$F15)*Stock!AH15/100,Stock!AH15))</f>
        <v>637000</v>
      </c>
      <c r="AN15" s="9">
        <f ca="1">IF(Stock!AI15="",0,IF(ISNUMBER($E15),($E15+$F15)*Stock!AI15/100,Stock!AI15))</f>
        <v>637000</v>
      </c>
      <c r="AO15" s="9">
        <f ca="1">IF(Stock!AJ15="",0,IF(ISNUMBER($E15),($E15+$F15)*Stock!AJ15/100,Stock!AJ15))</f>
        <v>637000</v>
      </c>
      <c r="AP15" s="9">
        <f ca="1">IF(Stock!AK15="",0,IF(ISNUMBER($E15),($E15+$F15)*Stock!AK15/100,Stock!AK15))</f>
        <v>637000</v>
      </c>
      <c r="AQ15" s="9">
        <f ca="1">IF(Stock!AL15="",0,IF(ISNUMBER($E15),($E15+$F15)*Stock!AL15/100,Stock!AL15))</f>
        <v>637000</v>
      </c>
      <c r="AR15" s="9">
        <f ca="1">IF(Stock!AM15="",0,IF(ISNUMBER($E15),($E15+$F15)*Stock!AM15/100,Stock!AM15))</f>
        <v>637000</v>
      </c>
      <c r="AS15" s="9">
        <f ca="1">IF(Stock!AN15="",0,IF(ISNUMBER($E15),($E15+$F15)*Stock!AN15/100,Stock!AN15))</f>
        <v>637000</v>
      </c>
      <c r="AT15" s="9">
        <f ca="1">IF(Stock!AO15="",0,IF(ISNUMBER($E15),($E15+$F15)*Stock!AO15/100,Stock!AO15))</f>
        <v>637000</v>
      </c>
      <c r="AU15" s="9">
        <f ca="1">IF(Stock!AP15="",0,IF(ISNUMBER($E15),($E15+$F15)*Stock!AP15/100,Stock!AP15))</f>
        <v>637000</v>
      </c>
      <c r="AV15" s="9">
        <f ca="1">IF(Stock!AQ15="",0,IF(ISNUMBER($E15),($E15+$F15)*Stock!AQ15/100,Stock!AQ15))</f>
        <v>637000</v>
      </c>
      <c r="AW15" s="9">
        <f ca="1">IF(Stock!AR15="",0,IF(ISNUMBER($E15),($E15+$F15)*Stock!AR15/100,Stock!AR15))</f>
        <v>637000</v>
      </c>
      <c r="AX15" s="9">
        <f ca="1">IF(Stock!AS15="",0,IF(ISNUMBER($E15),($E15+$F15)*Stock!AS15/100,Stock!AS15))</f>
        <v>637000</v>
      </c>
      <c r="AY15" s="9">
        <f ca="1">IF(Stock!AT15="",0,IF(ISNUMBER($E15),($E15+$F15)*Stock!AT15/100,Stock!AT15))</f>
        <v>637000</v>
      </c>
      <c r="AZ15" s="9">
        <f ca="1">IF(Stock!AU15="",0,IF(ISNUMBER($E15),($E15+$F15)*Stock!AU15/100,Stock!AU15))</f>
        <v>637000</v>
      </c>
      <c r="BA15" s="9">
        <f ca="1">IF(Stock!AV15="",0,IF(ISNUMBER($E15),($E15+$F15)*Stock!AV15/100,Stock!AV15))</f>
        <v>637000</v>
      </c>
      <c r="BB15" s="9">
        <f ca="1">IF(Stock!AW15="",0,IF(ISNUMBER($E15),($E15+$F15)*Stock!AW15/100,Stock!AW15))</f>
        <v>637000</v>
      </c>
      <c r="BC15" s="9">
        <f ca="1">IF(Stock!AX15="",0,IF(ISNUMBER($E15),($E15+$F15)*Stock!AX15/100,Stock!AX15))</f>
        <v>637000</v>
      </c>
    </row>
    <row r="16" spans="1:97" x14ac:dyDescent="0.3">
      <c r="A16" s="2" t="str">
        <f t="shared" si="0"/>
        <v>0.25</v>
      </c>
      <c r="B16" s="3">
        <f t="shared" si="1"/>
        <v>41699</v>
      </c>
      <c r="C16" s="4" t="str">
        <f>IF(Repo!C20="","",Repo!C20)</f>
        <v>UST2014030.25</v>
      </c>
      <c r="D16" s="4" t="str">
        <f>IF(Repo!D20="","",Repo!D20)</f>
        <v>US912828SL50</v>
      </c>
      <c r="E16" s="62" t="e">
        <f ca="1">IF(A16="",0,IF(LEFT(C16,3) = "USB",100*(1-_xll.BDP(D16 &amp; " Govt",E$1)*(B16-TODAY()+1)/36000),_xll.BDP(D16 &amp; " Govt",E$1)))</f>
        <v>#NAME?</v>
      </c>
      <c r="F16" s="62" t="e">
        <f ca="1">IF(A16="",0,IF(LEFT(D16,1) = "B",0,_xll.BDP(D16 &amp; " Govt",F$1)))</f>
        <v>#NAME?</v>
      </c>
      <c r="G16" s="9">
        <f ca="1">IF(Stock!B16="",0,IF(ISNUMBER($E16),($E16+$F16)*Stock!B16/100,Stock!B16))</f>
        <v>208000</v>
      </c>
      <c r="H16" s="9">
        <f ca="1">IF(Stock!C16="",0,IF(ISNUMBER($E16),($E16+$F16)*Stock!C16/100,Stock!C16))</f>
        <v>208000</v>
      </c>
      <c r="I16" s="9">
        <f ca="1">IF(Stock!D16="",0,IF(ISNUMBER($E16),($E16+$F16)*Stock!D16/100,Stock!D16))</f>
        <v>208000</v>
      </c>
      <c r="J16" s="9">
        <f ca="1">IF(Stock!E16="",0,IF(ISNUMBER($E16),($E16+$F16)*Stock!E16/100,Stock!E16))</f>
        <v>208000</v>
      </c>
      <c r="K16" s="9">
        <f ca="1">IF(Stock!F16="",0,IF(ISNUMBER($E16),($E16+$F16)*Stock!F16/100,Stock!F16))</f>
        <v>208000</v>
      </c>
      <c r="L16" s="9">
        <f ca="1">IF(Stock!G16="",0,IF(ISNUMBER($E16),($E16+$F16)*Stock!G16/100,Stock!G16))</f>
        <v>208000</v>
      </c>
      <c r="M16" s="9">
        <f ca="1">IF(Stock!H16="",0,IF(ISNUMBER($E16),($E16+$F16)*Stock!H16/100,Stock!H16))</f>
        <v>208000</v>
      </c>
      <c r="N16" s="9">
        <f ca="1">IF(Stock!I16="",0,IF(ISNUMBER($E16),($E16+$F16)*Stock!I16/100,Stock!I16))</f>
        <v>208000</v>
      </c>
      <c r="O16" s="9">
        <f ca="1">IF(Stock!J16="",0,IF(ISNUMBER($E16),($E16+$F16)*Stock!J16/100,Stock!J16))</f>
        <v>208000</v>
      </c>
      <c r="P16" s="9">
        <f ca="1">IF(Stock!K16="",0,IF(ISNUMBER($E16),($E16+$F16)*Stock!K16/100,Stock!K16))</f>
        <v>208000</v>
      </c>
      <c r="Q16" s="9">
        <f ca="1">IF(Stock!L16="",0,IF(ISNUMBER($E16),($E16+$F16)*Stock!L16/100,Stock!L16))</f>
        <v>208000</v>
      </c>
      <c r="R16" s="9">
        <f ca="1">IF(Stock!M16="",0,IF(ISNUMBER($E16),($E16+$F16)*Stock!M16/100,Stock!M16))</f>
        <v>208000</v>
      </c>
      <c r="S16" s="9">
        <f ca="1">IF(Stock!N16="",0,IF(ISNUMBER($E16),($E16+$F16)*Stock!N16/100,Stock!N16))</f>
        <v>208000</v>
      </c>
      <c r="T16" s="9">
        <f ca="1">IF(Stock!O16="",0,IF(ISNUMBER($E16),($E16+$F16)*Stock!O16/100,Stock!O16))</f>
        <v>208000</v>
      </c>
      <c r="U16" s="9">
        <f ca="1">IF(Stock!P16="",0,IF(ISNUMBER($E16),($E16+$F16)*Stock!P16/100,Stock!P16))</f>
        <v>208000</v>
      </c>
      <c r="V16" s="9">
        <f ca="1">IF(Stock!Q16="",0,IF(ISNUMBER($E16),($E16+$F16)*Stock!Q16/100,Stock!Q16))</f>
        <v>208000</v>
      </c>
      <c r="W16" s="9">
        <f ca="1">IF(Stock!R16="",0,IF(ISNUMBER($E16),($E16+$F16)*Stock!R16/100,Stock!R16))</f>
        <v>208000</v>
      </c>
      <c r="X16" s="9">
        <f ca="1">IF(Stock!S16="",0,IF(ISNUMBER($E16),($E16+$F16)*Stock!S16/100,Stock!S16))</f>
        <v>208000</v>
      </c>
      <c r="Y16" s="9">
        <f ca="1">IF(Stock!T16="",0,IF(ISNUMBER($E16),($E16+$F16)*Stock!T16/100,Stock!T16))</f>
        <v>208000</v>
      </c>
      <c r="Z16" s="9">
        <f ca="1">IF(Stock!U16="",0,IF(ISNUMBER($E16),($E16+$F16)*Stock!U16/100,Stock!U16))</f>
        <v>208000</v>
      </c>
      <c r="AA16" s="9">
        <f ca="1">IF(Stock!V16="",0,IF(ISNUMBER($E16),($E16+$F16)*Stock!V16/100,Stock!V16))</f>
        <v>208000</v>
      </c>
      <c r="AB16" s="9">
        <f ca="1">IF(Stock!W16="",0,IF(ISNUMBER($E16),($E16+$F16)*Stock!W16/100,Stock!W16))</f>
        <v>208000</v>
      </c>
      <c r="AC16" s="9">
        <f ca="1">IF(Stock!X16="",0,IF(ISNUMBER($E16),($E16+$F16)*Stock!X16/100,Stock!X16))</f>
        <v>208000</v>
      </c>
      <c r="AD16" s="9">
        <f ca="1">IF(Stock!Y16="",0,IF(ISNUMBER($E16),($E16+$F16)*Stock!Y16/100,Stock!Y16))</f>
        <v>208000</v>
      </c>
      <c r="AE16" s="9">
        <f ca="1">IF(Stock!Z16="",0,IF(ISNUMBER($E16),($E16+$F16)*Stock!Z16/100,Stock!Z16))</f>
        <v>208000</v>
      </c>
      <c r="AF16" s="9">
        <f ca="1">IF(Stock!AA16="",0,IF(ISNUMBER($E16),($E16+$F16)*Stock!AA16/100,Stock!AA16))</f>
        <v>208000</v>
      </c>
      <c r="AG16" s="9">
        <f ca="1">IF(Stock!AB16="",0,IF(ISNUMBER($E16),($E16+$F16)*Stock!AB16/100,Stock!AB16))</f>
        <v>208000</v>
      </c>
      <c r="AH16" s="9">
        <f ca="1">IF(Stock!AC16="",0,IF(ISNUMBER($E16),($E16+$F16)*Stock!AC16/100,Stock!AC16))</f>
        <v>208000</v>
      </c>
      <c r="AI16" s="9">
        <f ca="1">IF(Stock!AD16="",0,IF(ISNUMBER($E16),($E16+$F16)*Stock!AD16/100,Stock!AD16))</f>
        <v>208000</v>
      </c>
      <c r="AJ16" s="9">
        <f ca="1">IF(Stock!AE16="",0,IF(ISNUMBER($E16),($E16+$F16)*Stock!AE16/100,Stock!AE16))</f>
        <v>208000</v>
      </c>
      <c r="AK16" s="9">
        <f ca="1">IF(Stock!AF16="",0,IF(ISNUMBER($E16),($E16+$F16)*Stock!AF16/100,Stock!AF16))</f>
        <v>208000</v>
      </c>
      <c r="AL16" s="9">
        <f ca="1">IF(Stock!AG16="",0,IF(ISNUMBER($E16),($E16+$F16)*Stock!AG16/100,Stock!AG16))</f>
        <v>208000</v>
      </c>
      <c r="AM16" s="9">
        <f ca="1">IF(Stock!AH16="",0,IF(ISNUMBER($E16),($E16+$F16)*Stock!AH16/100,Stock!AH16))</f>
        <v>208000</v>
      </c>
      <c r="AN16" s="9">
        <f ca="1">IF(Stock!AI16="",0,IF(ISNUMBER($E16),($E16+$F16)*Stock!AI16/100,Stock!AI16))</f>
        <v>208000</v>
      </c>
      <c r="AO16" s="9">
        <f ca="1">IF(Stock!AJ16="",0,IF(ISNUMBER($E16),($E16+$F16)*Stock!AJ16/100,Stock!AJ16))</f>
        <v>208000</v>
      </c>
      <c r="AP16" s="9">
        <f ca="1">IF(Stock!AK16="",0,IF(ISNUMBER($E16),($E16+$F16)*Stock!AK16/100,Stock!AK16))</f>
        <v>208000</v>
      </c>
      <c r="AQ16" s="9">
        <f ca="1">IF(Stock!AL16="",0,IF(ISNUMBER($E16),($E16+$F16)*Stock!AL16/100,Stock!AL16))</f>
        <v>208000</v>
      </c>
      <c r="AR16" s="9">
        <f ca="1">IF(Stock!AM16="",0,IF(ISNUMBER($E16),($E16+$F16)*Stock!AM16/100,Stock!AM16))</f>
        <v>208000</v>
      </c>
      <c r="AS16" s="9">
        <f ca="1">IF(Stock!AN16="",0,IF(ISNUMBER($E16),($E16+$F16)*Stock!AN16/100,Stock!AN16))</f>
        <v>208000</v>
      </c>
      <c r="AT16" s="9">
        <f ca="1">IF(Stock!AO16="",0,IF(ISNUMBER($E16),($E16+$F16)*Stock!AO16/100,Stock!AO16))</f>
        <v>208000</v>
      </c>
      <c r="AU16" s="9">
        <f ca="1">IF(Stock!AP16="",0,IF(ISNUMBER($E16),($E16+$F16)*Stock!AP16/100,Stock!AP16))</f>
        <v>208000</v>
      </c>
      <c r="AV16" s="9">
        <f ca="1">IF(Stock!AQ16="",0,IF(ISNUMBER($E16),($E16+$F16)*Stock!AQ16/100,Stock!AQ16))</f>
        <v>208000</v>
      </c>
      <c r="AW16" s="9">
        <f ca="1">IF(Stock!AR16="",0,IF(ISNUMBER($E16),($E16+$F16)*Stock!AR16/100,Stock!AR16))</f>
        <v>208000</v>
      </c>
      <c r="AX16" s="9">
        <f ca="1">IF(Stock!AS16="",0,IF(ISNUMBER($E16),($E16+$F16)*Stock!AS16/100,Stock!AS16))</f>
        <v>208000</v>
      </c>
      <c r="AY16" s="9">
        <f ca="1">IF(Stock!AT16="",0,IF(ISNUMBER($E16),($E16+$F16)*Stock!AT16/100,Stock!AT16))</f>
        <v>208000</v>
      </c>
      <c r="AZ16" s="9">
        <f ca="1">IF(Stock!AU16="",0,IF(ISNUMBER($E16),($E16+$F16)*Stock!AU16/100,Stock!AU16))</f>
        <v>208000</v>
      </c>
      <c r="BA16" s="9">
        <f ca="1">IF(Stock!AV16="",0,IF(ISNUMBER($E16),($E16+$F16)*Stock!AV16/100,Stock!AV16))</f>
        <v>208000</v>
      </c>
      <c r="BB16" s="9">
        <f ca="1">IF(Stock!AW16="",0,IF(ISNUMBER($E16),($E16+$F16)*Stock!AW16/100,Stock!AW16))</f>
        <v>208000</v>
      </c>
      <c r="BC16" s="9">
        <f ca="1">IF(Stock!AX16="",0,IF(ISNUMBER($E16),($E16+$F16)*Stock!AX16/100,Stock!AX16))</f>
        <v>208000</v>
      </c>
    </row>
    <row r="17" spans="1:55" x14ac:dyDescent="0.3">
      <c r="A17" s="2" t="str">
        <f t="shared" si="0"/>
        <v>0.25</v>
      </c>
      <c r="B17" s="3">
        <f t="shared" si="1"/>
        <v>41730</v>
      </c>
      <c r="C17" s="4" t="str">
        <f>IF(Repo!C21="","",Repo!C21)</f>
        <v>UST2014040.25</v>
      </c>
      <c r="D17" s="4" t="str">
        <f>IF(Repo!D21="","",Repo!D21)</f>
        <v>US912828SR21</v>
      </c>
      <c r="E17" s="62" t="e">
        <f ca="1">IF(A17="",0,IF(LEFT(C17,3) = "USB",100*(1-_xll.BDP(D17 &amp; " Govt",E$1)*(B17-TODAY()+1)/36000),_xll.BDP(D17 &amp; " Govt",E$1)))</f>
        <v>#NAME?</v>
      </c>
      <c r="F17" s="62" t="e">
        <f ca="1">IF(A17="",0,IF(LEFT(D17,1) = "B",0,_xll.BDP(D17 &amp; " Govt",F$1)))</f>
        <v>#NAME?</v>
      </c>
      <c r="G17" s="9">
        <f ca="1">IF(Stock!B17="",0,IF(ISNUMBER($E17),($E17+$F17)*Stock!B17/100,Stock!B17))</f>
        <v>312000</v>
      </c>
      <c r="H17" s="9">
        <f ca="1">IF(Stock!C17="",0,IF(ISNUMBER($E17),($E17+$F17)*Stock!C17/100,Stock!C17))</f>
        <v>312000</v>
      </c>
      <c r="I17" s="9">
        <f ca="1">IF(Stock!D17="",0,IF(ISNUMBER($E17),($E17+$F17)*Stock!D17/100,Stock!D17))</f>
        <v>312000</v>
      </c>
      <c r="J17" s="9">
        <f ca="1">IF(Stock!E17="",0,IF(ISNUMBER($E17),($E17+$F17)*Stock!E17/100,Stock!E17))</f>
        <v>312000</v>
      </c>
      <c r="K17" s="9">
        <f ca="1">IF(Stock!F17="",0,IF(ISNUMBER($E17),($E17+$F17)*Stock!F17/100,Stock!F17))</f>
        <v>312000</v>
      </c>
      <c r="L17" s="9">
        <f ca="1">IF(Stock!G17="",0,IF(ISNUMBER($E17),($E17+$F17)*Stock!G17/100,Stock!G17))</f>
        <v>312000</v>
      </c>
      <c r="M17" s="9">
        <f ca="1">IF(Stock!H17="",0,IF(ISNUMBER($E17),($E17+$F17)*Stock!H17/100,Stock!H17))</f>
        <v>312000</v>
      </c>
      <c r="N17" s="9">
        <f ca="1">IF(Stock!I17="",0,IF(ISNUMBER($E17),($E17+$F17)*Stock!I17/100,Stock!I17))</f>
        <v>312000</v>
      </c>
      <c r="O17" s="9">
        <f ca="1">IF(Stock!J17="",0,IF(ISNUMBER($E17),($E17+$F17)*Stock!J17/100,Stock!J17))</f>
        <v>312000</v>
      </c>
      <c r="P17" s="9">
        <f ca="1">IF(Stock!K17="",0,IF(ISNUMBER($E17),($E17+$F17)*Stock!K17/100,Stock!K17))</f>
        <v>312000</v>
      </c>
      <c r="Q17" s="9">
        <f ca="1">IF(Stock!L17="",0,IF(ISNUMBER($E17),($E17+$F17)*Stock!L17/100,Stock!L17))</f>
        <v>312000</v>
      </c>
      <c r="R17" s="9">
        <f ca="1">IF(Stock!M17="",0,IF(ISNUMBER($E17),($E17+$F17)*Stock!M17/100,Stock!M17))</f>
        <v>312000</v>
      </c>
      <c r="S17" s="9">
        <f ca="1">IF(Stock!N17="",0,IF(ISNUMBER($E17),($E17+$F17)*Stock!N17/100,Stock!N17))</f>
        <v>312000</v>
      </c>
      <c r="T17" s="9">
        <f ca="1">IF(Stock!O17="",0,IF(ISNUMBER($E17),($E17+$F17)*Stock!O17/100,Stock!O17))</f>
        <v>312000</v>
      </c>
      <c r="U17" s="9">
        <f ca="1">IF(Stock!P17="",0,IF(ISNUMBER($E17),($E17+$F17)*Stock!P17/100,Stock!P17))</f>
        <v>312000</v>
      </c>
      <c r="V17" s="9">
        <f ca="1">IF(Stock!Q17="",0,IF(ISNUMBER($E17),($E17+$F17)*Stock!Q17/100,Stock!Q17))</f>
        <v>312000</v>
      </c>
      <c r="W17" s="9">
        <f ca="1">IF(Stock!R17="",0,IF(ISNUMBER($E17),($E17+$F17)*Stock!R17/100,Stock!R17))</f>
        <v>312000</v>
      </c>
      <c r="X17" s="9">
        <f ca="1">IF(Stock!S17="",0,IF(ISNUMBER($E17),($E17+$F17)*Stock!S17/100,Stock!S17))</f>
        <v>312000</v>
      </c>
      <c r="Y17" s="9">
        <f ca="1">IF(Stock!T17="",0,IF(ISNUMBER($E17),($E17+$F17)*Stock!T17/100,Stock!T17))</f>
        <v>312000</v>
      </c>
      <c r="Z17" s="9">
        <f ca="1">IF(Stock!U17="",0,IF(ISNUMBER($E17),($E17+$F17)*Stock!U17/100,Stock!U17))</f>
        <v>312000</v>
      </c>
      <c r="AA17" s="9">
        <f ca="1">IF(Stock!V17="",0,IF(ISNUMBER($E17),($E17+$F17)*Stock!V17/100,Stock!V17))</f>
        <v>312000</v>
      </c>
      <c r="AB17" s="9">
        <f ca="1">IF(Stock!W17="",0,IF(ISNUMBER($E17),($E17+$F17)*Stock!W17/100,Stock!W17))</f>
        <v>312000</v>
      </c>
      <c r="AC17" s="9">
        <f ca="1">IF(Stock!X17="",0,IF(ISNUMBER($E17),($E17+$F17)*Stock!X17/100,Stock!X17))</f>
        <v>312000</v>
      </c>
      <c r="AD17" s="9">
        <f ca="1">IF(Stock!Y17="",0,IF(ISNUMBER($E17),($E17+$F17)*Stock!Y17/100,Stock!Y17))</f>
        <v>312000</v>
      </c>
      <c r="AE17" s="9">
        <f ca="1">IF(Stock!Z17="",0,IF(ISNUMBER($E17),($E17+$F17)*Stock!Z17/100,Stock!Z17))</f>
        <v>312000</v>
      </c>
      <c r="AF17" s="9">
        <f ca="1">IF(Stock!AA17="",0,IF(ISNUMBER($E17),($E17+$F17)*Stock!AA17/100,Stock!AA17))</f>
        <v>312000</v>
      </c>
      <c r="AG17" s="9">
        <f ca="1">IF(Stock!AB17="",0,IF(ISNUMBER($E17),($E17+$F17)*Stock!AB17/100,Stock!AB17))</f>
        <v>312000</v>
      </c>
      <c r="AH17" s="9">
        <f ca="1">IF(Stock!AC17="",0,IF(ISNUMBER($E17),($E17+$F17)*Stock!AC17/100,Stock!AC17))</f>
        <v>312000</v>
      </c>
      <c r="AI17" s="9">
        <f ca="1">IF(Stock!AD17="",0,IF(ISNUMBER($E17),($E17+$F17)*Stock!AD17/100,Stock!AD17))</f>
        <v>312000</v>
      </c>
      <c r="AJ17" s="9">
        <f ca="1">IF(Stock!AE17="",0,IF(ISNUMBER($E17),($E17+$F17)*Stock!AE17/100,Stock!AE17))</f>
        <v>312000</v>
      </c>
      <c r="AK17" s="9">
        <f ca="1">IF(Stock!AF17="",0,IF(ISNUMBER($E17),($E17+$F17)*Stock!AF17/100,Stock!AF17))</f>
        <v>312000</v>
      </c>
      <c r="AL17" s="9">
        <f ca="1">IF(Stock!AG17="",0,IF(ISNUMBER($E17),($E17+$F17)*Stock!AG17/100,Stock!AG17))</f>
        <v>312000</v>
      </c>
      <c r="AM17" s="9">
        <f ca="1">IF(Stock!AH17="",0,IF(ISNUMBER($E17),($E17+$F17)*Stock!AH17/100,Stock!AH17))</f>
        <v>312000</v>
      </c>
      <c r="AN17" s="9">
        <f ca="1">IF(Stock!AI17="",0,IF(ISNUMBER($E17),($E17+$F17)*Stock!AI17/100,Stock!AI17))</f>
        <v>312000</v>
      </c>
      <c r="AO17" s="9">
        <f ca="1">IF(Stock!AJ17="",0,IF(ISNUMBER($E17),($E17+$F17)*Stock!AJ17/100,Stock!AJ17))</f>
        <v>312000</v>
      </c>
      <c r="AP17" s="9">
        <f ca="1">IF(Stock!AK17="",0,IF(ISNUMBER($E17),($E17+$F17)*Stock!AK17/100,Stock!AK17))</f>
        <v>312000</v>
      </c>
      <c r="AQ17" s="9">
        <f ca="1">IF(Stock!AL17="",0,IF(ISNUMBER($E17),($E17+$F17)*Stock!AL17/100,Stock!AL17))</f>
        <v>312000</v>
      </c>
      <c r="AR17" s="9">
        <f ca="1">IF(Stock!AM17="",0,IF(ISNUMBER($E17),($E17+$F17)*Stock!AM17/100,Stock!AM17))</f>
        <v>312000</v>
      </c>
      <c r="AS17" s="9">
        <f ca="1">IF(Stock!AN17="",0,IF(ISNUMBER($E17),($E17+$F17)*Stock!AN17/100,Stock!AN17))</f>
        <v>312000</v>
      </c>
      <c r="AT17" s="9">
        <f ca="1">IF(Stock!AO17="",0,IF(ISNUMBER($E17),($E17+$F17)*Stock!AO17/100,Stock!AO17))</f>
        <v>312000</v>
      </c>
      <c r="AU17" s="9">
        <f ca="1">IF(Stock!AP17="",0,IF(ISNUMBER($E17),($E17+$F17)*Stock!AP17/100,Stock!AP17))</f>
        <v>312000</v>
      </c>
      <c r="AV17" s="9">
        <f ca="1">IF(Stock!AQ17="",0,IF(ISNUMBER($E17),($E17+$F17)*Stock!AQ17/100,Stock!AQ17))</f>
        <v>312000</v>
      </c>
      <c r="AW17" s="9">
        <f ca="1">IF(Stock!AR17="",0,IF(ISNUMBER($E17),($E17+$F17)*Stock!AR17/100,Stock!AR17))</f>
        <v>312000</v>
      </c>
      <c r="AX17" s="9">
        <f ca="1">IF(Stock!AS17="",0,IF(ISNUMBER($E17),($E17+$F17)*Stock!AS17/100,Stock!AS17))</f>
        <v>312000</v>
      </c>
      <c r="AY17" s="9">
        <f ca="1">IF(Stock!AT17="",0,IF(ISNUMBER($E17),($E17+$F17)*Stock!AT17/100,Stock!AT17))</f>
        <v>312000</v>
      </c>
      <c r="AZ17" s="9">
        <f ca="1">IF(Stock!AU17="",0,IF(ISNUMBER($E17),($E17+$F17)*Stock!AU17/100,Stock!AU17))</f>
        <v>312000</v>
      </c>
      <c r="BA17" s="9">
        <f ca="1">IF(Stock!AV17="",0,IF(ISNUMBER($E17),($E17+$F17)*Stock!AV17/100,Stock!AV17))</f>
        <v>312000</v>
      </c>
      <c r="BB17" s="9">
        <f ca="1">IF(Stock!AW17="",0,IF(ISNUMBER($E17),($E17+$F17)*Stock!AW17/100,Stock!AW17))</f>
        <v>312000</v>
      </c>
      <c r="BC17" s="9">
        <f ca="1">IF(Stock!AX17="",0,IF(ISNUMBER($E17),($E17+$F17)*Stock!AX17/100,Stock!AX17))</f>
        <v>312000</v>
      </c>
    </row>
    <row r="18" spans="1:55" x14ac:dyDescent="0.3">
      <c r="A18" s="2" t="str">
        <f t="shared" si="0"/>
        <v>0.25</v>
      </c>
      <c r="B18" s="3">
        <f t="shared" si="1"/>
        <v>41791</v>
      </c>
      <c r="C18" s="4" t="str">
        <f>IF(Repo!C22="","",Repo!C22)</f>
        <v>UST2014060.25</v>
      </c>
      <c r="D18" s="4" t="str">
        <f>IF(Repo!D22="","",Repo!D22)</f>
        <v>US912828TA86</v>
      </c>
      <c r="E18" s="62" t="e">
        <f ca="1">IF(A18="",0,IF(LEFT(C18,3) = "USB",100*(1-_xll.BDP(D18 &amp; " Govt",E$1)*(B18-TODAY()+1)/36000),_xll.BDP(D18 &amp; " Govt",E$1)))</f>
        <v>#NAME?</v>
      </c>
      <c r="F18" s="62" t="e">
        <f ca="1">IF(A18="",0,IF(LEFT(D18,1) = "B",0,_xll.BDP(D18 &amp; " Govt",F$1)))</f>
        <v>#NAME?</v>
      </c>
      <c r="G18" s="9">
        <f>IF(Stock!B18="",0,IF(ISNUMBER($E18),($E18+$F18)*Stock!B18/100,Stock!B18))</f>
        <v>0</v>
      </c>
      <c r="H18" s="9">
        <f ca="1">IF(Stock!C18="",0,IF(ISNUMBER($E18),($E18+$F18)*Stock!C18/100,Stock!C18))</f>
        <v>0</v>
      </c>
      <c r="I18" s="9">
        <f ca="1">IF(Stock!D18="",0,IF(ISNUMBER($E18),($E18+$F18)*Stock!D18/100,Stock!D18))</f>
        <v>0</v>
      </c>
      <c r="J18" s="9">
        <f ca="1">IF(Stock!E18="",0,IF(ISNUMBER($E18),($E18+$F18)*Stock!E18/100,Stock!E18))</f>
        <v>0</v>
      </c>
      <c r="K18" s="9">
        <f ca="1">IF(Stock!F18="",0,IF(ISNUMBER($E18),($E18+$F18)*Stock!F18/100,Stock!F18))</f>
        <v>0</v>
      </c>
      <c r="L18" s="9">
        <f ca="1">IF(Stock!G18="",0,IF(ISNUMBER($E18),($E18+$F18)*Stock!G18/100,Stock!G18))</f>
        <v>0</v>
      </c>
      <c r="M18" s="9">
        <f ca="1">IF(Stock!H18="",0,IF(ISNUMBER($E18),($E18+$F18)*Stock!H18/100,Stock!H18))</f>
        <v>0</v>
      </c>
      <c r="N18" s="9">
        <f ca="1">IF(Stock!I18="",0,IF(ISNUMBER($E18),($E18+$F18)*Stock!I18/100,Stock!I18))</f>
        <v>0</v>
      </c>
      <c r="O18" s="9">
        <f ca="1">IF(Stock!J18="",0,IF(ISNUMBER($E18),($E18+$F18)*Stock!J18/100,Stock!J18))</f>
        <v>0</v>
      </c>
      <c r="P18" s="9">
        <f ca="1">IF(Stock!K18="",0,IF(ISNUMBER($E18),($E18+$F18)*Stock!K18/100,Stock!K18))</f>
        <v>0</v>
      </c>
      <c r="Q18" s="9">
        <f ca="1">IF(Stock!L18="",0,IF(ISNUMBER($E18),($E18+$F18)*Stock!L18/100,Stock!L18))</f>
        <v>0</v>
      </c>
      <c r="R18" s="9">
        <f ca="1">IF(Stock!M18="",0,IF(ISNUMBER($E18),($E18+$F18)*Stock!M18/100,Stock!M18))</f>
        <v>0</v>
      </c>
      <c r="S18" s="9">
        <f ca="1">IF(Stock!N18="",0,IF(ISNUMBER($E18),($E18+$F18)*Stock!N18/100,Stock!N18))</f>
        <v>0</v>
      </c>
      <c r="T18" s="9">
        <f ca="1">IF(Stock!O18="",0,IF(ISNUMBER($E18),($E18+$F18)*Stock!O18/100,Stock!O18))</f>
        <v>0</v>
      </c>
      <c r="U18" s="9">
        <f ca="1">IF(Stock!P18="",0,IF(ISNUMBER($E18),($E18+$F18)*Stock!P18/100,Stock!P18))</f>
        <v>0</v>
      </c>
      <c r="V18" s="9">
        <f ca="1">IF(Stock!Q18="",0,IF(ISNUMBER($E18),($E18+$F18)*Stock!Q18/100,Stock!Q18))</f>
        <v>0</v>
      </c>
      <c r="W18" s="9">
        <f ca="1">IF(Stock!R18="",0,IF(ISNUMBER($E18),($E18+$F18)*Stock!R18/100,Stock!R18))</f>
        <v>0</v>
      </c>
      <c r="X18" s="9">
        <f ca="1">IF(Stock!S18="",0,IF(ISNUMBER($E18),($E18+$F18)*Stock!S18/100,Stock!S18))</f>
        <v>0</v>
      </c>
      <c r="Y18" s="9">
        <f ca="1">IF(Stock!T18="",0,IF(ISNUMBER($E18),($E18+$F18)*Stock!T18/100,Stock!T18))</f>
        <v>0</v>
      </c>
      <c r="Z18" s="9">
        <f ca="1">IF(Stock!U18="",0,IF(ISNUMBER($E18),($E18+$F18)*Stock!U18/100,Stock!U18))</f>
        <v>0</v>
      </c>
      <c r="AA18" s="9">
        <f ca="1">IF(Stock!V18="",0,IF(ISNUMBER($E18),($E18+$F18)*Stock!V18/100,Stock!V18))</f>
        <v>0</v>
      </c>
      <c r="AB18" s="9">
        <f ca="1">IF(Stock!W18="",0,IF(ISNUMBER($E18),($E18+$F18)*Stock!W18/100,Stock!W18))</f>
        <v>0</v>
      </c>
      <c r="AC18" s="9">
        <f ca="1">IF(Stock!X18="",0,IF(ISNUMBER($E18),($E18+$F18)*Stock!X18/100,Stock!X18))</f>
        <v>0</v>
      </c>
      <c r="AD18" s="9">
        <f ca="1">IF(Stock!Y18="",0,IF(ISNUMBER($E18),($E18+$F18)*Stock!Y18/100,Stock!Y18))</f>
        <v>0</v>
      </c>
      <c r="AE18" s="9">
        <f ca="1">IF(Stock!Z18="",0,IF(ISNUMBER($E18),($E18+$F18)*Stock!Z18/100,Stock!Z18))</f>
        <v>0</v>
      </c>
      <c r="AF18" s="9">
        <f ca="1">IF(Stock!AA18="",0,IF(ISNUMBER($E18),($E18+$F18)*Stock!AA18/100,Stock!AA18))</f>
        <v>0</v>
      </c>
      <c r="AG18" s="9">
        <f ca="1">IF(Stock!AB18="",0,IF(ISNUMBER($E18),($E18+$F18)*Stock!AB18/100,Stock!AB18))</f>
        <v>0</v>
      </c>
      <c r="AH18" s="9">
        <f ca="1">IF(Stock!AC18="",0,IF(ISNUMBER($E18),($E18+$F18)*Stock!AC18/100,Stock!AC18))</f>
        <v>0</v>
      </c>
      <c r="AI18" s="9">
        <f ca="1">IF(Stock!AD18="",0,IF(ISNUMBER($E18),($E18+$F18)*Stock!AD18/100,Stock!AD18))</f>
        <v>0</v>
      </c>
      <c r="AJ18" s="9">
        <f ca="1">IF(Stock!AE18="",0,IF(ISNUMBER($E18),($E18+$F18)*Stock!AE18/100,Stock!AE18))</f>
        <v>0</v>
      </c>
      <c r="AK18" s="9">
        <f ca="1">IF(Stock!AF18="",0,IF(ISNUMBER($E18),($E18+$F18)*Stock!AF18/100,Stock!AF18))</f>
        <v>0</v>
      </c>
      <c r="AL18" s="9">
        <f ca="1">IF(Stock!AG18="",0,IF(ISNUMBER($E18),($E18+$F18)*Stock!AG18/100,Stock!AG18))</f>
        <v>0</v>
      </c>
      <c r="AM18" s="9">
        <f ca="1">IF(Stock!AH18="",0,IF(ISNUMBER($E18),($E18+$F18)*Stock!AH18/100,Stock!AH18))</f>
        <v>0</v>
      </c>
      <c r="AN18" s="9">
        <f ca="1">IF(Stock!AI18="",0,IF(ISNUMBER($E18),($E18+$F18)*Stock!AI18/100,Stock!AI18))</f>
        <v>0</v>
      </c>
      <c r="AO18" s="9">
        <f ca="1">IF(Stock!AJ18="",0,IF(ISNUMBER($E18),($E18+$F18)*Stock!AJ18/100,Stock!AJ18))</f>
        <v>0</v>
      </c>
      <c r="AP18" s="9">
        <f ca="1">IF(Stock!AK18="",0,IF(ISNUMBER($E18),($E18+$F18)*Stock!AK18/100,Stock!AK18))</f>
        <v>0</v>
      </c>
      <c r="AQ18" s="9">
        <f ca="1">IF(Stock!AL18="",0,IF(ISNUMBER($E18),($E18+$F18)*Stock!AL18/100,Stock!AL18))</f>
        <v>0</v>
      </c>
      <c r="AR18" s="9">
        <f ca="1">IF(Stock!AM18="",0,IF(ISNUMBER($E18),($E18+$F18)*Stock!AM18/100,Stock!AM18))</f>
        <v>0</v>
      </c>
      <c r="AS18" s="9">
        <f ca="1">IF(Stock!AN18="",0,IF(ISNUMBER($E18),($E18+$F18)*Stock!AN18/100,Stock!AN18))</f>
        <v>0</v>
      </c>
      <c r="AT18" s="9">
        <f ca="1">IF(Stock!AO18="",0,IF(ISNUMBER($E18),($E18+$F18)*Stock!AO18/100,Stock!AO18))</f>
        <v>0</v>
      </c>
      <c r="AU18" s="9">
        <f ca="1">IF(Stock!AP18="",0,IF(ISNUMBER($E18),($E18+$F18)*Stock!AP18/100,Stock!AP18))</f>
        <v>0</v>
      </c>
      <c r="AV18" s="9">
        <f ca="1">IF(Stock!AQ18="",0,IF(ISNUMBER($E18),($E18+$F18)*Stock!AQ18/100,Stock!AQ18))</f>
        <v>0</v>
      </c>
      <c r="AW18" s="9">
        <f ca="1">IF(Stock!AR18="",0,IF(ISNUMBER($E18),($E18+$F18)*Stock!AR18/100,Stock!AR18))</f>
        <v>0</v>
      </c>
      <c r="AX18" s="9">
        <f ca="1">IF(Stock!AS18="",0,IF(ISNUMBER($E18),($E18+$F18)*Stock!AS18/100,Stock!AS18))</f>
        <v>0</v>
      </c>
      <c r="AY18" s="9">
        <f ca="1">IF(Stock!AT18="",0,IF(ISNUMBER($E18),($E18+$F18)*Stock!AT18/100,Stock!AT18))</f>
        <v>0</v>
      </c>
      <c r="AZ18" s="9">
        <f ca="1">IF(Stock!AU18="",0,IF(ISNUMBER($E18),($E18+$F18)*Stock!AU18/100,Stock!AU18))</f>
        <v>0</v>
      </c>
      <c r="BA18" s="9">
        <f ca="1">IF(Stock!AV18="",0,IF(ISNUMBER($E18),($E18+$F18)*Stock!AV18/100,Stock!AV18))</f>
        <v>0</v>
      </c>
      <c r="BB18" s="9">
        <f ca="1">IF(Stock!AW18="",0,IF(ISNUMBER($E18),($E18+$F18)*Stock!AW18/100,Stock!AW18))</f>
        <v>0</v>
      </c>
      <c r="BC18" s="9">
        <f ca="1">IF(Stock!AX18="",0,IF(ISNUMBER($E18),($E18+$F18)*Stock!AX18/100,Stock!AX18))</f>
        <v>0</v>
      </c>
    </row>
    <row r="19" spans="1:55" x14ac:dyDescent="0.3">
      <c r="A19" s="2" t="str">
        <f t="shared" si="0"/>
        <v>2.5</v>
      </c>
      <c r="B19" s="3">
        <f t="shared" si="1"/>
        <v>42064</v>
      </c>
      <c r="C19" s="4" t="str">
        <f>IF(Repo!C23="","",Repo!C23)</f>
        <v>UST2015032.5</v>
      </c>
      <c r="D19" s="4" t="str">
        <f>IF(Repo!D23="","",Repo!D23)</f>
        <v>US912828MW79</v>
      </c>
      <c r="E19" s="62" t="e">
        <f ca="1">IF(A19="",0,IF(LEFT(C19,3) = "USB",100*(1-_xll.BDP(D19 &amp; " Govt",E$1)*(B19-TODAY()+1)/36000),_xll.BDP(D19 &amp; " Govt",E$1)))</f>
        <v>#NAME?</v>
      </c>
      <c r="F19" s="62" t="e">
        <f ca="1">IF(A19="",0,IF(LEFT(D19,1) = "B",0,_xll.BDP(D19 &amp; " Govt",F$1)))</f>
        <v>#NAME?</v>
      </c>
      <c r="G19" s="9">
        <f>IF(Stock!B19="",0,IF(ISNUMBER($E19),($E19+$F19)*Stock!B19/100,Stock!B19))</f>
        <v>0</v>
      </c>
      <c r="H19" s="9">
        <f ca="1">IF(Stock!C19="",0,IF(ISNUMBER($E19),($E19+$F19)*Stock!C19/100,Stock!C19))</f>
        <v>0</v>
      </c>
      <c r="I19" s="9">
        <f ca="1">IF(Stock!D19="",0,IF(ISNUMBER($E19),($E19+$F19)*Stock!D19/100,Stock!D19))</f>
        <v>0</v>
      </c>
      <c r="J19" s="9">
        <f ca="1">IF(Stock!E19="",0,IF(ISNUMBER($E19),($E19+$F19)*Stock!E19/100,Stock!E19))</f>
        <v>0</v>
      </c>
      <c r="K19" s="9">
        <f ca="1">IF(Stock!F19="",0,IF(ISNUMBER($E19),($E19+$F19)*Stock!F19/100,Stock!F19))</f>
        <v>0</v>
      </c>
      <c r="L19" s="9">
        <f ca="1">IF(Stock!G19="",0,IF(ISNUMBER($E19),($E19+$F19)*Stock!G19/100,Stock!G19))</f>
        <v>0</v>
      </c>
      <c r="M19" s="9">
        <f ca="1">IF(Stock!H19="",0,IF(ISNUMBER($E19),($E19+$F19)*Stock!H19/100,Stock!H19))</f>
        <v>0</v>
      </c>
      <c r="N19" s="9">
        <f ca="1">IF(Stock!I19="",0,IF(ISNUMBER($E19),($E19+$F19)*Stock!I19/100,Stock!I19))</f>
        <v>0</v>
      </c>
      <c r="O19" s="9">
        <f ca="1">IF(Stock!J19="",0,IF(ISNUMBER($E19),($E19+$F19)*Stock!J19/100,Stock!J19))</f>
        <v>0</v>
      </c>
      <c r="P19" s="9">
        <f ca="1">IF(Stock!K19="",0,IF(ISNUMBER($E19),($E19+$F19)*Stock!K19/100,Stock!K19))</f>
        <v>0</v>
      </c>
      <c r="Q19" s="9">
        <f ca="1">IF(Stock!L19="",0,IF(ISNUMBER($E19),($E19+$F19)*Stock!L19/100,Stock!L19))</f>
        <v>0</v>
      </c>
      <c r="R19" s="9">
        <f ca="1">IF(Stock!M19="",0,IF(ISNUMBER($E19),($E19+$F19)*Stock!M19/100,Stock!M19))</f>
        <v>0</v>
      </c>
      <c r="S19" s="9">
        <f ca="1">IF(Stock!N19="",0,IF(ISNUMBER($E19),($E19+$F19)*Stock!N19/100,Stock!N19))</f>
        <v>0</v>
      </c>
      <c r="T19" s="9">
        <f ca="1">IF(Stock!O19="",0,IF(ISNUMBER($E19),($E19+$F19)*Stock!O19/100,Stock!O19))</f>
        <v>0</v>
      </c>
      <c r="U19" s="9">
        <f ca="1">IF(Stock!P19="",0,IF(ISNUMBER($E19),($E19+$F19)*Stock!P19/100,Stock!P19))</f>
        <v>0</v>
      </c>
      <c r="V19" s="9">
        <f ca="1">IF(Stock!Q19="",0,IF(ISNUMBER($E19),($E19+$F19)*Stock!Q19/100,Stock!Q19))</f>
        <v>0</v>
      </c>
      <c r="W19" s="9">
        <f ca="1">IF(Stock!R19="",0,IF(ISNUMBER($E19),($E19+$F19)*Stock!R19/100,Stock!R19))</f>
        <v>0</v>
      </c>
      <c r="X19" s="9">
        <f ca="1">IF(Stock!S19="",0,IF(ISNUMBER($E19),($E19+$F19)*Stock!S19/100,Stock!S19))</f>
        <v>0</v>
      </c>
      <c r="Y19" s="9">
        <f ca="1">IF(Stock!T19="",0,IF(ISNUMBER($E19),($E19+$F19)*Stock!T19/100,Stock!T19))</f>
        <v>0</v>
      </c>
      <c r="Z19" s="9">
        <f ca="1">IF(Stock!U19="",0,IF(ISNUMBER($E19),($E19+$F19)*Stock!U19/100,Stock!U19))</f>
        <v>0</v>
      </c>
      <c r="AA19" s="9">
        <f ca="1">IF(Stock!V19="",0,IF(ISNUMBER($E19),($E19+$F19)*Stock!V19/100,Stock!V19))</f>
        <v>0</v>
      </c>
      <c r="AB19" s="9">
        <f ca="1">IF(Stock!W19="",0,IF(ISNUMBER($E19),($E19+$F19)*Stock!W19/100,Stock!W19))</f>
        <v>0</v>
      </c>
      <c r="AC19" s="9">
        <f ca="1">IF(Stock!X19="",0,IF(ISNUMBER($E19),($E19+$F19)*Stock!X19/100,Stock!X19))</f>
        <v>0</v>
      </c>
      <c r="AD19" s="9">
        <f ca="1">IF(Stock!Y19="",0,IF(ISNUMBER($E19),($E19+$F19)*Stock!Y19/100,Stock!Y19))</f>
        <v>0</v>
      </c>
      <c r="AE19" s="9">
        <f ca="1">IF(Stock!Z19="",0,IF(ISNUMBER($E19),($E19+$F19)*Stock!Z19/100,Stock!Z19))</f>
        <v>0</v>
      </c>
      <c r="AF19" s="9">
        <f ca="1">IF(Stock!AA19="",0,IF(ISNUMBER($E19),($E19+$F19)*Stock!AA19/100,Stock!AA19))</f>
        <v>0</v>
      </c>
      <c r="AG19" s="9">
        <f ca="1">IF(Stock!AB19="",0,IF(ISNUMBER($E19),($E19+$F19)*Stock!AB19/100,Stock!AB19))</f>
        <v>0</v>
      </c>
      <c r="AH19" s="9">
        <f ca="1">IF(Stock!AC19="",0,IF(ISNUMBER($E19),($E19+$F19)*Stock!AC19/100,Stock!AC19))</f>
        <v>0</v>
      </c>
      <c r="AI19" s="9">
        <f ca="1">IF(Stock!AD19="",0,IF(ISNUMBER($E19),($E19+$F19)*Stock!AD19/100,Stock!AD19))</f>
        <v>0</v>
      </c>
      <c r="AJ19" s="9">
        <f ca="1">IF(Stock!AE19="",0,IF(ISNUMBER($E19),($E19+$F19)*Stock!AE19/100,Stock!AE19))</f>
        <v>0</v>
      </c>
      <c r="AK19" s="9">
        <f ca="1">IF(Stock!AF19="",0,IF(ISNUMBER($E19),($E19+$F19)*Stock!AF19/100,Stock!AF19))</f>
        <v>0</v>
      </c>
      <c r="AL19" s="9">
        <f ca="1">IF(Stock!AG19="",0,IF(ISNUMBER($E19),($E19+$F19)*Stock!AG19/100,Stock!AG19))</f>
        <v>0</v>
      </c>
      <c r="AM19" s="9">
        <f ca="1">IF(Stock!AH19="",0,IF(ISNUMBER($E19),($E19+$F19)*Stock!AH19/100,Stock!AH19))</f>
        <v>0</v>
      </c>
      <c r="AN19" s="9">
        <f ca="1">IF(Stock!AI19="",0,IF(ISNUMBER($E19),($E19+$F19)*Stock!AI19/100,Stock!AI19))</f>
        <v>0</v>
      </c>
      <c r="AO19" s="9">
        <f ca="1">IF(Stock!AJ19="",0,IF(ISNUMBER($E19),($E19+$F19)*Stock!AJ19/100,Stock!AJ19))</f>
        <v>0</v>
      </c>
      <c r="AP19" s="9">
        <f ca="1">IF(Stock!AK19="",0,IF(ISNUMBER($E19),($E19+$F19)*Stock!AK19/100,Stock!AK19))</f>
        <v>0</v>
      </c>
      <c r="AQ19" s="9">
        <f ca="1">IF(Stock!AL19="",0,IF(ISNUMBER($E19),($E19+$F19)*Stock!AL19/100,Stock!AL19))</f>
        <v>0</v>
      </c>
      <c r="AR19" s="9">
        <f ca="1">IF(Stock!AM19="",0,IF(ISNUMBER($E19),($E19+$F19)*Stock!AM19/100,Stock!AM19))</f>
        <v>0</v>
      </c>
      <c r="AS19" s="9">
        <f ca="1">IF(Stock!AN19="",0,IF(ISNUMBER($E19),($E19+$F19)*Stock!AN19/100,Stock!AN19))</f>
        <v>0</v>
      </c>
      <c r="AT19" s="9">
        <f ca="1">IF(Stock!AO19="",0,IF(ISNUMBER($E19),($E19+$F19)*Stock!AO19/100,Stock!AO19))</f>
        <v>0</v>
      </c>
      <c r="AU19" s="9">
        <f ca="1">IF(Stock!AP19="",0,IF(ISNUMBER($E19),($E19+$F19)*Stock!AP19/100,Stock!AP19))</f>
        <v>0</v>
      </c>
      <c r="AV19" s="9">
        <f ca="1">IF(Stock!AQ19="",0,IF(ISNUMBER($E19),($E19+$F19)*Stock!AQ19/100,Stock!AQ19))</f>
        <v>0</v>
      </c>
      <c r="AW19" s="9">
        <f ca="1">IF(Stock!AR19="",0,IF(ISNUMBER($E19),($E19+$F19)*Stock!AR19/100,Stock!AR19))</f>
        <v>0</v>
      </c>
      <c r="AX19" s="9">
        <f ca="1">IF(Stock!AS19="",0,IF(ISNUMBER($E19),($E19+$F19)*Stock!AS19/100,Stock!AS19))</f>
        <v>0</v>
      </c>
      <c r="AY19" s="9">
        <f ca="1">IF(Stock!AT19="",0,IF(ISNUMBER($E19),($E19+$F19)*Stock!AT19/100,Stock!AT19))</f>
        <v>0</v>
      </c>
      <c r="AZ19" s="9">
        <f ca="1">IF(Stock!AU19="",0,IF(ISNUMBER($E19),($E19+$F19)*Stock!AU19/100,Stock!AU19))</f>
        <v>0</v>
      </c>
      <c r="BA19" s="9">
        <f ca="1">IF(Stock!AV19="",0,IF(ISNUMBER($E19),($E19+$F19)*Stock!AV19/100,Stock!AV19))</f>
        <v>0</v>
      </c>
      <c r="BB19" s="9">
        <f ca="1">IF(Stock!AW19="",0,IF(ISNUMBER($E19),($E19+$F19)*Stock!AW19/100,Stock!AW19))</f>
        <v>0</v>
      </c>
      <c r="BC19" s="9">
        <f ca="1">IF(Stock!AX19="",0,IF(ISNUMBER($E19),($E19+$F19)*Stock!AX19/100,Stock!AX19))</f>
        <v>0</v>
      </c>
    </row>
    <row r="20" spans="1:55" x14ac:dyDescent="0.3">
      <c r="A20" s="2" t="str">
        <f t="shared" si="0"/>
        <v>2.5</v>
      </c>
      <c r="B20" s="3">
        <f t="shared" si="1"/>
        <v>42095</v>
      </c>
      <c r="C20" s="4" t="str">
        <f>IF(Repo!C24="","",Repo!C24)</f>
        <v>UST2015042.5</v>
      </c>
      <c r="D20" s="4" t="str">
        <f>IF(Repo!D24="","",Repo!D24)</f>
        <v>US912828MZ01</v>
      </c>
      <c r="E20" s="62" t="e">
        <f ca="1">IF(A20="",0,IF(LEFT(C20,3) = "USB",100*(1-_xll.BDP(D20 &amp; " Govt",E$1)*(B20-TODAY()+1)/36000),_xll.BDP(D20 &amp; " Govt",E$1)))</f>
        <v>#NAME?</v>
      </c>
      <c r="F20" s="62" t="e">
        <f ca="1">IF(A20="",0,IF(LEFT(D20,1) = "B",0,_xll.BDP(D20 &amp; " Govt",F$1)))</f>
        <v>#NAME?</v>
      </c>
      <c r="G20" s="9">
        <f>IF(Stock!B20="",0,IF(ISNUMBER($E20),($E20+$F20)*Stock!B20/100,Stock!B20))</f>
        <v>0</v>
      </c>
      <c r="H20" s="9">
        <f ca="1">IF(Stock!C20="",0,IF(ISNUMBER($E20),($E20+$F20)*Stock!C20/100,Stock!C20))</f>
        <v>0</v>
      </c>
      <c r="I20" s="9">
        <f ca="1">IF(Stock!D20="",0,IF(ISNUMBER($E20),($E20+$F20)*Stock!D20/100,Stock!D20))</f>
        <v>0</v>
      </c>
      <c r="J20" s="9">
        <f ca="1">IF(Stock!E20="",0,IF(ISNUMBER($E20),($E20+$F20)*Stock!E20/100,Stock!E20))</f>
        <v>0</v>
      </c>
      <c r="K20" s="9">
        <f ca="1">IF(Stock!F20="",0,IF(ISNUMBER($E20),($E20+$F20)*Stock!F20/100,Stock!F20))</f>
        <v>0</v>
      </c>
      <c r="L20" s="9">
        <f ca="1">IF(Stock!G20="",0,IF(ISNUMBER($E20),($E20+$F20)*Stock!G20/100,Stock!G20))</f>
        <v>0</v>
      </c>
      <c r="M20" s="9">
        <f ca="1">IF(Stock!H20="",0,IF(ISNUMBER($E20),($E20+$F20)*Stock!H20/100,Stock!H20))</f>
        <v>0</v>
      </c>
      <c r="N20" s="9">
        <f ca="1">IF(Stock!I20="",0,IF(ISNUMBER($E20),($E20+$F20)*Stock!I20/100,Stock!I20))</f>
        <v>0</v>
      </c>
      <c r="O20" s="9">
        <f ca="1">IF(Stock!J20="",0,IF(ISNUMBER($E20),($E20+$F20)*Stock!J20/100,Stock!J20))</f>
        <v>0</v>
      </c>
      <c r="P20" s="9">
        <f ca="1">IF(Stock!K20="",0,IF(ISNUMBER($E20),($E20+$F20)*Stock!K20/100,Stock!K20))</f>
        <v>0</v>
      </c>
      <c r="Q20" s="9">
        <f ca="1">IF(Stock!L20="",0,IF(ISNUMBER($E20),($E20+$F20)*Stock!L20/100,Stock!L20))</f>
        <v>0</v>
      </c>
      <c r="R20" s="9">
        <f ca="1">IF(Stock!M20="",0,IF(ISNUMBER($E20),($E20+$F20)*Stock!M20/100,Stock!M20))</f>
        <v>0</v>
      </c>
      <c r="S20" s="9">
        <f ca="1">IF(Stock!N20="",0,IF(ISNUMBER($E20),($E20+$F20)*Stock!N20/100,Stock!N20))</f>
        <v>0</v>
      </c>
      <c r="T20" s="9">
        <f ca="1">IF(Stock!O20="",0,IF(ISNUMBER($E20),($E20+$F20)*Stock!O20/100,Stock!O20))</f>
        <v>0</v>
      </c>
      <c r="U20" s="9">
        <f ca="1">IF(Stock!P20="",0,IF(ISNUMBER($E20),($E20+$F20)*Stock!P20/100,Stock!P20))</f>
        <v>0</v>
      </c>
      <c r="V20" s="9">
        <f ca="1">IF(Stock!Q20="",0,IF(ISNUMBER($E20),($E20+$F20)*Stock!Q20/100,Stock!Q20))</f>
        <v>0</v>
      </c>
      <c r="W20" s="9">
        <f ca="1">IF(Stock!R20="",0,IF(ISNUMBER($E20),($E20+$F20)*Stock!R20/100,Stock!R20))</f>
        <v>0</v>
      </c>
      <c r="X20" s="9">
        <f ca="1">IF(Stock!S20="",0,IF(ISNUMBER($E20),($E20+$F20)*Stock!S20/100,Stock!S20))</f>
        <v>0</v>
      </c>
      <c r="Y20" s="9">
        <f ca="1">IF(Stock!T20="",0,IF(ISNUMBER($E20),($E20+$F20)*Stock!T20/100,Stock!T20))</f>
        <v>0</v>
      </c>
      <c r="Z20" s="9">
        <f ca="1">IF(Stock!U20="",0,IF(ISNUMBER($E20),($E20+$F20)*Stock!U20/100,Stock!U20))</f>
        <v>0</v>
      </c>
      <c r="AA20" s="9">
        <f ca="1">IF(Stock!V20="",0,IF(ISNUMBER($E20),($E20+$F20)*Stock!V20/100,Stock!V20))</f>
        <v>0</v>
      </c>
      <c r="AB20" s="9">
        <f ca="1">IF(Stock!W20="",0,IF(ISNUMBER($E20),($E20+$F20)*Stock!W20/100,Stock!W20))</f>
        <v>0</v>
      </c>
      <c r="AC20" s="9">
        <f ca="1">IF(Stock!X20="",0,IF(ISNUMBER($E20),($E20+$F20)*Stock!X20/100,Stock!X20))</f>
        <v>0</v>
      </c>
      <c r="AD20" s="9">
        <f ca="1">IF(Stock!Y20="",0,IF(ISNUMBER($E20),($E20+$F20)*Stock!Y20/100,Stock!Y20))</f>
        <v>0</v>
      </c>
      <c r="AE20" s="9">
        <f ca="1">IF(Stock!Z20="",0,IF(ISNUMBER($E20),($E20+$F20)*Stock!Z20/100,Stock!Z20))</f>
        <v>0</v>
      </c>
      <c r="AF20" s="9">
        <f ca="1">IF(Stock!AA20="",0,IF(ISNUMBER($E20),($E20+$F20)*Stock!AA20/100,Stock!AA20))</f>
        <v>0</v>
      </c>
      <c r="AG20" s="9">
        <f ca="1">IF(Stock!AB20="",0,IF(ISNUMBER($E20),($E20+$F20)*Stock!AB20/100,Stock!AB20))</f>
        <v>0</v>
      </c>
      <c r="AH20" s="9">
        <f ca="1">IF(Stock!AC20="",0,IF(ISNUMBER($E20),($E20+$F20)*Stock!AC20/100,Stock!AC20))</f>
        <v>0</v>
      </c>
      <c r="AI20" s="9">
        <f ca="1">IF(Stock!AD20="",0,IF(ISNUMBER($E20),($E20+$F20)*Stock!AD20/100,Stock!AD20))</f>
        <v>0</v>
      </c>
      <c r="AJ20" s="9">
        <f ca="1">IF(Stock!AE20="",0,IF(ISNUMBER($E20),($E20+$F20)*Stock!AE20/100,Stock!AE20))</f>
        <v>0</v>
      </c>
      <c r="AK20" s="9">
        <f ca="1">IF(Stock!AF20="",0,IF(ISNUMBER($E20),($E20+$F20)*Stock!AF20/100,Stock!AF20))</f>
        <v>0</v>
      </c>
      <c r="AL20" s="9">
        <f ca="1">IF(Stock!AG20="",0,IF(ISNUMBER($E20),($E20+$F20)*Stock!AG20/100,Stock!AG20))</f>
        <v>0</v>
      </c>
      <c r="AM20" s="9">
        <f ca="1">IF(Stock!AH20="",0,IF(ISNUMBER($E20),($E20+$F20)*Stock!AH20/100,Stock!AH20))</f>
        <v>0</v>
      </c>
      <c r="AN20" s="9">
        <f ca="1">IF(Stock!AI20="",0,IF(ISNUMBER($E20),($E20+$F20)*Stock!AI20/100,Stock!AI20))</f>
        <v>0</v>
      </c>
      <c r="AO20" s="9">
        <f ca="1">IF(Stock!AJ20="",0,IF(ISNUMBER($E20),($E20+$F20)*Stock!AJ20/100,Stock!AJ20))</f>
        <v>0</v>
      </c>
      <c r="AP20" s="9">
        <f ca="1">IF(Stock!AK20="",0,IF(ISNUMBER($E20),($E20+$F20)*Stock!AK20/100,Stock!AK20))</f>
        <v>0</v>
      </c>
      <c r="AQ20" s="9">
        <f ca="1">IF(Stock!AL20="",0,IF(ISNUMBER($E20),($E20+$F20)*Stock!AL20/100,Stock!AL20))</f>
        <v>0</v>
      </c>
      <c r="AR20" s="9">
        <f ca="1">IF(Stock!AM20="",0,IF(ISNUMBER($E20),($E20+$F20)*Stock!AM20/100,Stock!AM20))</f>
        <v>0</v>
      </c>
      <c r="AS20" s="9">
        <f ca="1">IF(Stock!AN20="",0,IF(ISNUMBER($E20),($E20+$F20)*Stock!AN20/100,Stock!AN20))</f>
        <v>0</v>
      </c>
      <c r="AT20" s="9">
        <f ca="1">IF(Stock!AO20="",0,IF(ISNUMBER($E20),($E20+$F20)*Stock!AO20/100,Stock!AO20))</f>
        <v>0</v>
      </c>
      <c r="AU20" s="9">
        <f ca="1">IF(Stock!AP20="",0,IF(ISNUMBER($E20),($E20+$F20)*Stock!AP20/100,Stock!AP20))</f>
        <v>0</v>
      </c>
      <c r="AV20" s="9">
        <f ca="1">IF(Stock!AQ20="",0,IF(ISNUMBER($E20),($E20+$F20)*Stock!AQ20/100,Stock!AQ20))</f>
        <v>0</v>
      </c>
      <c r="AW20" s="9">
        <f ca="1">IF(Stock!AR20="",0,IF(ISNUMBER($E20),($E20+$F20)*Stock!AR20/100,Stock!AR20))</f>
        <v>0</v>
      </c>
      <c r="AX20" s="9">
        <f ca="1">IF(Stock!AS20="",0,IF(ISNUMBER($E20),($E20+$F20)*Stock!AS20/100,Stock!AS20))</f>
        <v>0</v>
      </c>
      <c r="AY20" s="9">
        <f ca="1">IF(Stock!AT20="",0,IF(ISNUMBER($E20),($E20+$F20)*Stock!AT20/100,Stock!AT20))</f>
        <v>0</v>
      </c>
      <c r="AZ20" s="9">
        <f ca="1">IF(Stock!AU20="",0,IF(ISNUMBER($E20),($E20+$F20)*Stock!AU20/100,Stock!AU20))</f>
        <v>0</v>
      </c>
      <c r="BA20" s="9">
        <f ca="1">IF(Stock!AV20="",0,IF(ISNUMBER($E20),($E20+$F20)*Stock!AV20/100,Stock!AV20))</f>
        <v>0</v>
      </c>
      <c r="BB20" s="9">
        <f ca="1">IF(Stock!AW20="",0,IF(ISNUMBER($E20),($E20+$F20)*Stock!AW20/100,Stock!AW20))</f>
        <v>0</v>
      </c>
      <c r="BC20" s="9">
        <f ca="1">IF(Stock!AX20="",0,IF(ISNUMBER($E20),($E20+$F20)*Stock!AX20/100,Stock!AX20))</f>
        <v>0</v>
      </c>
    </row>
    <row r="21" spans="1:55" x14ac:dyDescent="0.3">
      <c r="A21" s="2" t="str">
        <f t="shared" si="0"/>
        <v>4.625</v>
      </c>
      <c r="B21" s="3">
        <f t="shared" si="1"/>
        <v>42767</v>
      </c>
      <c r="C21" s="4" t="str">
        <f>IF(Repo!C25="","",Repo!C25)</f>
        <v>UST2017024.625</v>
      </c>
      <c r="D21" s="4" t="str">
        <f>IF(Repo!D25="","",Repo!D25)</f>
        <v>US912828GH76</v>
      </c>
      <c r="E21" s="62" t="e">
        <f ca="1">IF(A21="",0,IF(LEFT(C21,3) = "USB",100*(1-_xll.BDP(D21 &amp; " Govt",E$1)*(B21-TODAY()+1)/36000),_xll.BDP(D21 &amp; " Govt",E$1)))</f>
        <v>#NAME?</v>
      </c>
      <c r="F21" s="62" t="e">
        <f ca="1">IF(A21="",0,IF(LEFT(D21,1) = "B",0,_xll.BDP(D21 &amp; " Govt",F$1)))</f>
        <v>#NAME?</v>
      </c>
      <c r="G21" s="9">
        <f>IF(Stock!B21="",0,IF(ISNUMBER($E21),($E21+$F21)*Stock!B21/100,Stock!B21))</f>
        <v>0</v>
      </c>
      <c r="H21" s="9">
        <f ca="1">IF(Stock!C21="",0,IF(ISNUMBER($E21),($E21+$F21)*Stock!C21/100,Stock!C21))</f>
        <v>0</v>
      </c>
      <c r="I21" s="9">
        <f ca="1">IF(Stock!D21="",0,IF(ISNUMBER($E21),($E21+$F21)*Stock!D21/100,Stock!D21))</f>
        <v>0</v>
      </c>
      <c r="J21" s="9">
        <f ca="1">IF(Stock!E21="",0,IF(ISNUMBER($E21),($E21+$F21)*Stock!E21/100,Stock!E21))</f>
        <v>0</v>
      </c>
      <c r="K21" s="9">
        <f ca="1">IF(Stock!F21="",0,IF(ISNUMBER($E21),($E21+$F21)*Stock!F21/100,Stock!F21))</f>
        <v>0</v>
      </c>
      <c r="L21" s="9">
        <f ca="1">IF(Stock!G21="",0,IF(ISNUMBER($E21),($E21+$F21)*Stock!G21/100,Stock!G21))</f>
        <v>0</v>
      </c>
      <c r="M21" s="9">
        <f ca="1">IF(Stock!H21="",0,IF(ISNUMBER($E21),($E21+$F21)*Stock!H21/100,Stock!H21))</f>
        <v>0</v>
      </c>
      <c r="N21" s="9">
        <f ca="1">IF(Stock!I21="",0,IF(ISNUMBER($E21),($E21+$F21)*Stock!I21/100,Stock!I21))</f>
        <v>0</v>
      </c>
      <c r="O21" s="9">
        <f ca="1">IF(Stock!J21="",0,IF(ISNUMBER($E21),($E21+$F21)*Stock!J21/100,Stock!J21))</f>
        <v>0</v>
      </c>
      <c r="P21" s="9">
        <f ca="1">IF(Stock!K21="",0,IF(ISNUMBER($E21),($E21+$F21)*Stock!K21/100,Stock!K21))</f>
        <v>0</v>
      </c>
      <c r="Q21" s="9">
        <f ca="1">IF(Stock!L21="",0,IF(ISNUMBER($E21),($E21+$F21)*Stock!L21/100,Stock!L21))</f>
        <v>0</v>
      </c>
      <c r="R21" s="9">
        <f ca="1">IF(Stock!M21="",0,IF(ISNUMBER($E21),($E21+$F21)*Stock!M21/100,Stock!M21))</f>
        <v>0</v>
      </c>
      <c r="S21" s="9">
        <f ca="1">IF(Stock!N21="",0,IF(ISNUMBER($E21),($E21+$F21)*Stock!N21/100,Stock!N21))</f>
        <v>0</v>
      </c>
      <c r="T21" s="9">
        <f ca="1">IF(Stock!O21="",0,IF(ISNUMBER($E21),($E21+$F21)*Stock!O21/100,Stock!O21))</f>
        <v>0</v>
      </c>
      <c r="U21" s="9">
        <f ca="1">IF(Stock!P21="",0,IF(ISNUMBER($E21),($E21+$F21)*Stock!P21/100,Stock!P21))</f>
        <v>0</v>
      </c>
      <c r="V21" s="9">
        <f ca="1">IF(Stock!Q21="",0,IF(ISNUMBER($E21),($E21+$F21)*Stock!Q21/100,Stock!Q21))</f>
        <v>0</v>
      </c>
      <c r="W21" s="9">
        <f ca="1">IF(Stock!R21="",0,IF(ISNUMBER($E21),($E21+$F21)*Stock!R21/100,Stock!R21))</f>
        <v>0</v>
      </c>
      <c r="X21" s="9">
        <f ca="1">IF(Stock!S21="",0,IF(ISNUMBER($E21),($E21+$F21)*Stock!S21/100,Stock!S21))</f>
        <v>0</v>
      </c>
      <c r="Y21" s="9">
        <f ca="1">IF(Stock!T21="",0,IF(ISNUMBER($E21),($E21+$F21)*Stock!T21/100,Stock!T21))</f>
        <v>0</v>
      </c>
      <c r="Z21" s="9">
        <f ca="1">IF(Stock!U21="",0,IF(ISNUMBER($E21),($E21+$F21)*Stock!U21/100,Stock!U21))</f>
        <v>0</v>
      </c>
      <c r="AA21" s="9">
        <f ca="1">IF(Stock!V21="",0,IF(ISNUMBER($E21),($E21+$F21)*Stock!V21/100,Stock!V21))</f>
        <v>0</v>
      </c>
      <c r="AB21" s="9">
        <f ca="1">IF(Stock!W21="",0,IF(ISNUMBER($E21),($E21+$F21)*Stock!W21/100,Stock!W21))</f>
        <v>0</v>
      </c>
      <c r="AC21" s="9">
        <f ca="1">IF(Stock!X21="",0,IF(ISNUMBER($E21),($E21+$F21)*Stock!X21/100,Stock!X21))</f>
        <v>0</v>
      </c>
      <c r="AD21" s="9">
        <f ca="1">IF(Stock!Y21="",0,IF(ISNUMBER($E21),($E21+$F21)*Stock!Y21/100,Stock!Y21))</f>
        <v>0</v>
      </c>
      <c r="AE21" s="9">
        <f ca="1">IF(Stock!Z21="",0,IF(ISNUMBER($E21),($E21+$F21)*Stock!Z21/100,Stock!Z21))</f>
        <v>0</v>
      </c>
      <c r="AF21" s="9">
        <f ca="1">IF(Stock!AA21="",0,IF(ISNUMBER($E21),($E21+$F21)*Stock!AA21/100,Stock!AA21))</f>
        <v>0</v>
      </c>
      <c r="AG21" s="9">
        <f ca="1">IF(Stock!AB21="",0,IF(ISNUMBER($E21),($E21+$F21)*Stock!AB21/100,Stock!AB21))</f>
        <v>0</v>
      </c>
      <c r="AH21" s="9">
        <f ca="1">IF(Stock!AC21="",0,IF(ISNUMBER($E21),($E21+$F21)*Stock!AC21/100,Stock!AC21))</f>
        <v>0</v>
      </c>
      <c r="AI21" s="9">
        <f ca="1">IF(Stock!AD21="",0,IF(ISNUMBER($E21),($E21+$F21)*Stock!AD21/100,Stock!AD21))</f>
        <v>0</v>
      </c>
      <c r="AJ21" s="9">
        <f ca="1">IF(Stock!AE21="",0,IF(ISNUMBER($E21),($E21+$F21)*Stock!AE21/100,Stock!AE21))</f>
        <v>0</v>
      </c>
      <c r="AK21" s="9">
        <f ca="1">IF(Stock!AF21="",0,IF(ISNUMBER($E21),($E21+$F21)*Stock!AF21/100,Stock!AF21))</f>
        <v>0</v>
      </c>
      <c r="AL21" s="9">
        <f ca="1">IF(Stock!AG21="",0,IF(ISNUMBER($E21),($E21+$F21)*Stock!AG21/100,Stock!AG21))</f>
        <v>0</v>
      </c>
      <c r="AM21" s="9">
        <f ca="1">IF(Stock!AH21="",0,IF(ISNUMBER($E21),($E21+$F21)*Stock!AH21/100,Stock!AH21))</f>
        <v>0</v>
      </c>
      <c r="AN21" s="9">
        <f ca="1">IF(Stock!AI21="",0,IF(ISNUMBER($E21),($E21+$F21)*Stock!AI21/100,Stock!AI21))</f>
        <v>0</v>
      </c>
      <c r="AO21" s="9">
        <f ca="1">IF(Stock!AJ21="",0,IF(ISNUMBER($E21),($E21+$F21)*Stock!AJ21/100,Stock!AJ21))</f>
        <v>0</v>
      </c>
      <c r="AP21" s="9">
        <f ca="1">IF(Stock!AK21="",0,IF(ISNUMBER($E21),($E21+$F21)*Stock!AK21/100,Stock!AK21))</f>
        <v>0</v>
      </c>
      <c r="AQ21" s="9">
        <f ca="1">IF(Stock!AL21="",0,IF(ISNUMBER($E21),($E21+$F21)*Stock!AL21/100,Stock!AL21))</f>
        <v>0</v>
      </c>
      <c r="AR21" s="9">
        <f ca="1">IF(Stock!AM21="",0,IF(ISNUMBER($E21),($E21+$F21)*Stock!AM21/100,Stock!AM21))</f>
        <v>0</v>
      </c>
      <c r="AS21" s="9">
        <f ca="1">IF(Stock!AN21="",0,IF(ISNUMBER($E21),($E21+$F21)*Stock!AN21/100,Stock!AN21))</f>
        <v>0</v>
      </c>
      <c r="AT21" s="9">
        <f ca="1">IF(Stock!AO21="",0,IF(ISNUMBER($E21),($E21+$F21)*Stock!AO21/100,Stock!AO21))</f>
        <v>0</v>
      </c>
      <c r="AU21" s="9">
        <f ca="1">IF(Stock!AP21="",0,IF(ISNUMBER($E21),($E21+$F21)*Stock!AP21/100,Stock!AP21))</f>
        <v>0</v>
      </c>
      <c r="AV21" s="9">
        <f ca="1">IF(Stock!AQ21="",0,IF(ISNUMBER($E21),($E21+$F21)*Stock!AQ21/100,Stock!AQ21))</f>
        <v>0</v>
      </c>
      <c r="AW21" s="9">
        <f ca="1">IF(Stock!AR21="",0,IF(ISNUMBER($E21),($E21+$F21)*Stock!AR21/100,Stock!AR21))</f>
        <v>0</v>
      </c>
      <c r="AX21" s="9">
        <f ca="1">IF(Stock!AS21="",0,IF(ISNUMBER($E21),($E21+$F21)*Stock!AS21/100,Stock!AS21))</f>
        <v>0</v>
      </c>
      <c r="AY21" s="9">
        <f ca="1">IF(Stock!AT21="",0,IF(ISNUMBER($E21),($E21+$F21)*Stock!AT21/100,Stock!AT21))</f>
        <v>0</v>
      </c>
      <c r="AZ21" s="9">
        <f ca="1">IF(Stock!AU21="",0,IF(ISNUMBER($E21),($E21+$F21)*Stock!AU21/100,Stock!AU21))</f>
        <v>0</v>
      </c>
      <c r="BA21" s="9">
        <f ca="1">IF(Stock!AV21="",0,IF(ISNUMBER($E21),($E21+$F21)*Stock!AV21/100,Stock!AV21))</f>
        <v>0</v>
      </c>
      <c r="BB21" s="9">
        <f ca="1">IF(Stock!AW21="",0,IF(ISNUMBER($E21),($E21+$F21)*Stock!AW21/100,Stock!AW21))</f>
        <v>0</v>
      </c>
      <c r="BC21" s="9">
        <f ca="1">IF(Stock!AX21="",0,IF(ISNUMBER($E21),($E21+$F21)*Stock!AX21/100,Stock!AX21))</f>
        <v>0</v>
      </c>
    </row>
    <row r="22" spans="1:55" x14ac:dyDescent="0.3">
      <c r="A22" s="2" t="str">
        <f t="shared" si="0"/>
        <v>0.875</v>
      </c>
      <c r="B22" s="3">
        <f t="shared" si="1"/>
        <v>42767</v>
      </c>
      <c r="C22" s="4" t="str">
        <f>IF(Repo!C26="","",Repo!C26)</f>
        <v>UST2017020.875</v>
      </c>
      <c r="D22" s="4" t="str">
        <f>IF(Repo!D26="","",Repo!D26)</f>
        <v>US912828SJ05</v>
      </c>
      <c r="E22" s="62" t="e">
        <f ca="1">IF(A22="",0,IF(LEFT(C22,3) = "USB",100*(1-_xll.BDP(D22 &amp; " Govt",E$1)*(B22-TODAY()+1)/36000),_xll.BDP(D22 &amp; " Govt",E$1)))</f>
        <v>#NAME?</v>
      </c>
      <c r="F22" s="62" t="e">
        <f ca="1">IF(A22="",0,IF(LEFT(D22,1) = "B",0,_xll.BDP(D22 &amp; " Govt",F$1)))</f>
        <v>#NAME?</v>
      </c>
      <c r="G22" s="9">
        <f>IF(Stock!B22="",0,IF(ISNUMBER($E22),($E22+$F22)*Stock!B22/100,Stock!B22))</f>
        <v>0</v>
      </c>
      <c r="H22" s="9">
        <f ca="1">IF(Stock!C22="",0,IF(ISNUMBER($E22),($E22+$F22)*Stock!C22/100,Stock!C22))</f>
        <v>0</v>
      </c>
      <c r="I22" s="9">
        <f ca="1">IF(Stock!D22="",0,IF(ISNUMBER($E22),($E22+$F22)*Stock!D22/100,Stock!D22))</f>
        <v>0</v>
      </c>
      <c r="J22" s="9">
        <f ca="1">IF(Stock!E22="",0,IF(ISNUMBER($E22),($E22+$F22)*Stock!E22/100,Stock!E22))</f>
        <v>0</v>
      </c>
      <c r="K22" s="9">
        <f ca="1">IF(Stock!F22="",0,IF(ISNUMBER($E22),($E22+$F22)*Stock!F22/100,Stock!F22))</f>
        <v>0</v>
      </c>
      <c r="L22" s="9">
        <f ca="1">IF(Stock!G22="",0,IF(ISNUMBER($E22),($E22+$F22)*Stock!G22/100,Stock!G22))</f>
        <v>0</v>
      </c>
      <c r="M22" s="9">
        <f ca="1">IF(Stock!H22="",0,IF(ISNUMBER($E22),($E22+$F22)*Stock!H22/100,Stock!H22))</f>
        <v>0</v>
      </c>
      <c r="N22" s="9">
        <f ca="1">IF(Stock!I22="",0,IF(ISNUMBER($E22),($E22+$F22)*Stock!I22/100,Stock!I22))</f>
        <v>0</v>
      </c>
      <c r="O22" s="9">
        <f ca="1">IF(Stock!J22="",0,IF(ISNUMBER($E22),($E22+$F22)*Stock!J22/100,Stock!J22))</f>
        <v>0</v>
      </c>
      <c r="P22" s="9">
        <f ca="1">IF(Stock!K22="",0,IF(ISNUMBER($E22),($E22+$F22)*Stock!K22/100,Stock!K22))</f>
        <v>0</v>
      </c>
      <c r="Q22" s="9">
        <f ca="1">IF(Stock!L22="",0,IF(ISNUMBER($E22),($E22+$F22)*Stock!L22/100,Stock!L22))</f>
        <v>0</v>
      </c>
      <c r="R22" s="9">
        <f ca="1">IF(Stock!M22="",0,IF(ISNUMBER($E22),($E22+$F22)*Stock!M22/100,Stock!M22))</f>
        <v>0</v>
      </c>
      <c r="S22" s="9">
        <f ca="1">IF(Stock!N22="",0,IF(ISNUMBER($E22),($E22+$F22)*Stock!N22/100,Stock!N22))</f>
        <v>0</v>
      </c>
      <c r="T22" s="9">
        <f ca="1">IF(Stock!O22="",0,IF(ISNUMBER($E22),($E22+$F22)*Stock!O22/100,Stock!O22))</f>
        <v>0</v>
      </c>
      <c r="U22" s="9">
        <f ca="1">IF(Stock!P22="",0,IF(ISNUMBER($E22),($E22+$F22)*Stock!P22/100,Stock!P22))</f>
        <v>0</v>
      </c>
      <c r="V22" s="9">
        <f ca="1">IF(Stock!Q22="",0,IF(ISNUMBER($E22),($E22+$F22)*Stock!Q22/100,Stock!Q22))</f>
        <v>0</v>
      </c>
      <c r="W22" s="9">
        <f ca="1">IF(Stock!R22="",0,IF(ISNUMBER($E22),($E22+$F22)*Stock!R22/100,Stock!R22))</f>
        <v>0</v>
      </c>
      <c r="X22" s="9">
        <f ca="1">IF(Stock!S22="",0,IF(ISNUMBER($E22),($E22+$F22)*Stock!S22/100,Stock!S22))</f>
        <v>0</v>
      </c>
      <c r="Y22" s="9">
        <f ca="1">IF(Stock!T22="",0,IF(ISNUMBER($E22),($E22+$F22)*Stock!T22/100,Stock!T22))</f>
        <v>0</v>
      </c>
      <c r="Z22" s="9">
        <f ca="1">IF(Stock!U22="",0,IF(ISNUMBER($E22),($E22+$F22)*Stock!U22/100,Stock!U22))</f>
        <v>0</v>
      </c>
      <c r="AA22" s="9">
        <f ca="1">IF(Stock!V22="",0,IF(ISNUMBER($E22),($E22+$F22)*Stock!V22/100,Stock!V22))</f>
        <v>0</v>
      </c>
      <c r="AB22" s="9">
        <f ca="1">IF(Stock!W22="",0,IF(ISNUMBER($E22),($E22+$F22)*Stock!W22/100,Stock!W22))</f>
        <v>0</v>
      </c>
      <c r="AC22" s="9">
        <f ca="1">IF(Stock!X22="",0,IF(ISNUMBER($E22),($E22+$F22)*Stock!X22/100,Stock!X22))</f>
        <v>0</v>
      </c>
      <c r="AD22" s="9">
        <f ca="1">IF(Stock!Y22="",0,IF(ISNUMBER($E22),($E22+$F22)*Stock!Y22/100,Stock!Y22))</f>
        <v>0</v>
      </c>
      <c r="AE22" s="9">
        <f ca="1">IF(Stock!Z22="",0,IF(ISNUMBER($E22),($E22+$F22)*Stock!Z22/100,Stock!Z22))</f>
        <v>0</v>
      </c>
      <c r="AF22" s="9">
        <f ca="1">IF(Stock!AA22="",0,IF(ISNUMBER($E22),($E22+$F22)*Stock!AA22/100,Stock!AA22))</f>
        <v>0</v>
      </c>
      <c r="AG22" s="9">
        <f ca="1">IF(Stock!AB22="",0,IF(ISNUMBER($E22),($E22+$F22)*Stock!AB22/100,Stock!AB22))</f>
        <v>0</v>
      </c>
      <c r="AH22" s="9">
        <f ca="1">IF(Stock!AC22="",0,IF(ISNUMBER($E22),($E22+$F22)*Stock!AC22/100,Stock!AC22))</f>
        <v>0</v>
      </c>
      <c r="AI22" s="9">
        <f ca="1">IF(Stock!AD22="",0,IF(ISNUMBER($E22),($E22+$F22)*Stock!AD22/100,Stock!AD22))</f>
        <v>0</v>
      </c>
      <c r="AJ22" s="9">
        <f ca="1">IF(Stock!AE22="",0,IF(ISNUMBER($E22),($E22+$F22)*Stock!AE22/100,Stock!AE22))</f>
        <v>0</v>
      </c>
      <c r="AK22" s="9">
        <f ca="1">IF(Stock!AF22="",0,IF(ISNUMBER($E22),($E22+$F22)*Stock!AF22/100,Stock!AF22))</f>
        <v>0</v>
      </c>
      <c r="AL22" s="9">
        <f ca="1">IF(Stock!AG22="",0,IF(ISNUMBER($E22),($E22+$F22)*Stock!AG22/100,Stock!AG22))</f>
        <v>0</v>
      </c>
      <c r="AM22" s="9">
        <f ca="1">IF(Stock!AH22="",0,IF(ISNUMBER($E22),($E22+$F22)*Stock!AH22/100,Stock!AH22))</f>
        <v>0</v>
      </c>
      <c r="AN22" s="9">
        <f ca="1">IF(Stock!AI22="",0,IF(ISNUMBER($E22),($E22+$F22)*Stock!AI22/100,Stock!AI22))</f>
        <v>0</v>
      </c>
      <c r="AO22" s="9">
        <f ca="1">IF(Stock!AJ22="",0,IF(ISNUMBER($E22),($E22+$F22)*Stock!AJ22/100,Stock!AJ22))</f>
        <v>0</v>
      </c>
      <c r="AP22" s="9">
        <f ca="1">IF(Stock!AK22="",0,IF(ISNUMBER($E22),($E22+$F22)*Stock!AK22/100,Stock!AK22))</f>
        <v>0</v>
      </c>
      <c r="AQ22" s="9">
        <f ca="1">IF(Stock!AL22="",0,IF(ISNUMBER($E22),($E22+$F22)*Stock!AL22/100,Stock!AL22))</f>
        <v>0</v>
      </c>
      <c r="AR22" s="9">
        <f ca="1">IF(Stock!AM22="",0,IF(ISNUMBER($E22),($E22+$F22)*Stock!AM22/100,Stock!AM22))</f>
        <v>0</v>
      </c>
      <c r="AS22" s="9">
        <f ca="1">IF(Stock!AN22="",0,IF(ISNUMBER($E22),($E22+$F22)*Stock!AN22/100,Stock!AN22))</f>
        <v>0</v>
      </c>
      <c r="AT22" s="9">
        <f ca="1">IF(Stock!AO22="",0,IF(ISNUMBER($E22),($E22+$F22)*Stock!AO22/100,Stock!AO22))</f>
        <v>0</v>
      </c>
      <c r="AU22" s="9">
        <f ca="1">IF(Stock!AP22="",0,IF(ISNUMBER($E22),($E22+$F22)*Stock!AP22/100,Stock!AP22))</f>
        <v>0</v>
      </c>
      <c r="AV22" s="9">
        <f ca="1">IF(Stock!AQ22="",0,IF(ISNUMBER($E22),($E22+$F22)*Stock!AQ22/100,Stock!AQ22))</f>
        <v>0</v>
      </c>
      <c r="AW22" s="9">
        <f ca="1">IF(Stock!AR22="",0,IF(ISNUMBER($E22),($E22+$F22)*Stock!AR22/100,Stock!AR22))</f>
        <v>0</v>
      </c>
      <c r="AX22" s="9">
        <f ca="1">IF(Stock!AS22="",0,IF(ISNUMBER($E22),($E22+$F22)*Stock!AS22/100,Stock!AS22))</f>
        <v>0</v>
      </c>
      <c r="AY22" s="9">
        <f ca="1">IF(Stock!AT22="",0,IF(ISNUMBER($E22),($E22+$F22)*Stock!AT22/100,Stock!AT22))</f>
        <v>0</v>
      </c>
      <c r="AZ22" s="9">
        <f ca="1">IF(Stock!AU22="",0,IF(ISNUMBER($E22),($E22+$F22)*Stock!AU22/100,Stock!AU22))</f>
        <v>0</v>
      </c>
      <c r="BA22" s="9">
        <f ca="1">IF(Stock!AV22="",0,IF(ISNUMBER($E22),($E22+$F22)*Stock!AV22/100,Stock!AV22))</f>
        <v>0</v>
      </c>
      <c r="BB22" s="9">
        <f ca="1">IF(Stock!AW22="",0,IF(ISNUMBER($E22),($E22+$F22)*Stock!AW22/100,Stock!AW22))</f>
        <v>0</v>
      </c>
      <c r="BC22" s="9">
        <f ca="1">IF(Stock!AX22="",0,IF(ISNUMBER($E22),($E22+$F22)*Stock!AX22/100,Stock!AX22))</f>
        <v>0</v>
      </c>
    </row>
    <row r="23" spans="1:55" x14ac:dyDescent="0.3">
      <c r="A23" s="2" t="str">
        <f t="shared" si="0"/>
        <v>1</v>
      </c>
      <c r="B23" s="3">
        <f t="shared" si="1"/>
        <v>42795</v>
      </c>
      <c r="C23" s="4" t="str">
        <f>IF(Repo!C27="","",Repo!C27)</f>
        <v>UST2017031</v>
      </c>
      <c r="D23" s="4" t="str">
        <f>IF(Repo!D27="","",Repo!D27)</f>
        <v>US912828SM34</v>
      </c>
      <c r="E23" s="62" t="e">
        <f ca="1">IF(A23="",0,IF(LEFT(C23,3) = "USB",100*(1-_xll.BDP(D23 &amp; " Govt",E$1)*(B23-TODAY()+1)/36000),_xll.BDP(D23 &amp; " Govt",E$1)))</f>
        <v>#NAME?</v>
      </c>
      <c r="F23" s="62" t="e">
        <f ca="1">IF(A23="",0,IF(LEFT(D23,1) = "B",0,_xll.BDP(D23 &amp; " Govt",F$1)))</f>
        <v>#NAME?</v>
      </c>
      <c r="G23" s="9">
        <f ca="1">IF(Stock!B23="",0,IF(ISNUMBER($E23),($E23+$F23)*Stock!B23/100,Stock!B23))</f>
        <v>33000</v>
      </c>
      <c r="H23" s="9">
        <f ca="1">IF(Stock!C23="",0,IF(ISNUMBER($E23),($E23+$F23)*Stock!C23/100,Stock!C23))</f>
        <v>33000</v>
      </c>
      <c r="I23" s="9">
        <f ca="1">IF(Stock!D23="",0,IF(ISNUMBER($E23),($E23+$F23)*Stock!D23/100,Stock!D23))</f>
        <v>33000</v>
      </c>
      <c r="J23" s="9">
        <f ca="1">IF(Stock!E23="",0,IF(ISNUMBER($E23),($E23+$F23)*Stock!E23/100,Stock!E23))</f>
        <v>33000</v>
      </c>
      <c r="K23" s="9">
        <f ca="1">IF(Stock!F23="",0,IF(ISNUMBER($E23),($E23+$F23)*Stock!F23/100,Stock!F23))</f>
        <v>33000</v>
      </c>
      <c r="L23" s="9">
        <f ca="1">IF(Stock!G23="",0,IF(ISNUMBER($E23),($E23+$F23)*Stock!G23/100,Stock!G23))</f>
        <v>33000</v>
      </c>
      <c r="M23" s="9">
        <f ca="1">IF(Stock!H23="",0,IF(ISNUMBER($E23),($E23+$F23)*Stock!H23/100,Stock!H23))</f>
        <v>33000</v>
      </c>
      <c r="N23" s="9">
        <f ca="1">IF(Stock!I23="",0,IF(ISNUMBER($E23),($E23+$F23)*Stock!I23/100,Stock!I23))</f>
        <v>33000</v>
      </c>
      <c r="O23" s="9">
        <f ca="1">IF(Stock!J23="",0,IF(ISNUMBER($E23),($E23+$F23)*Stock!J23/100,Stock!J23))</f>
        <v>33000</v>
      </c>
      <c r="P23" s="9">
        <f ca="1">IF(Stock!K23="",0,IF(ISNUMBER($E23),($E23+$F23)*Stock!K23/100,Stock!K23))</f>
        <v>33000</v>
      </c>
      <c r="Q23" s="9">
        <f ca="1">IF(Stock!L23="",0,IF(ISNUMBER($E23),($E23+$F23)*Stock!L23/100,Stock!L23))</f>
        <v>33000</v>
      </c>
      <c r="R23" s="9">
        <f ca="1">IF(Stock!M23="",0,IF(ISNUMBER($E23),($E23+$F23)*Stock!M23/100,Stock!M23))</f>
        <v>33000</v>
      </c>
      <c r="S23" s="9">
        <f ca="1">IF(Stock!N23="",0,IF(ISNUMBER($E23),($E23+$F23)*Stock!N23/100,Stock!N23))</f>
        <v>33000</v>
      </c>
      <c r="T23" s="9">
        <f ca="1">IF(Stock!O23="",0,IF(ISNUMBER($E23),($E23+$F23)*Stock!O23/100,Stock!O23))</f>
        <v>33000</v>
      </c>
      <c r="U23" s="9">
        <f ca="1">IF(Stock!P23="",0,IF(ISNUMBER($E23),($E23+$F23)*Stock!P23/100,Stock!P23))</f>
        <v>33000</v>
      </c>
      <c r="V23" s="9">
        <f ca="1">IF(Stock!Q23="",0,IF(ISNUMBER($E23),($E23+$F23)*Stock!Q23/100,Stock!Q23))</f>
        <v>33000</v>
      </c>
      <c r="W23" s="9">
        <f ca="1">IF(Stock!R23="",0,IF(ISNUMBER($E23),($E23+$F23)*Stock!R23/100,Stock!R23))</f>
        <v>33000</v>
      </c>
      <c r="X23" s="9">
        <f ca="1">IF(Stock!S23="",0,IF(ISNUMBER($E23),($E23+$F23)*Stock!S23/100,Stock!S23))</f>
        <v>33000</v>
      </c>
      <c r="Y23" s="9">
        <f ca="1">IF(Stock!T23="",0,IF(ISNUMBER($E23),($E23+$F23)*Stock!T23/100,Stock!T23))</f>
        <v>33000</v>
      </c>
      <c r="Z23" s="9">
        <f ca="1">IF(Stock!U23="",0,IF(ISNUMBER($E23),($E23+$F23)*Stock!U23/100,Stock!U23))</f>
        <v>33000</v>
      </c>
      <c r="AA23" s="9">
        <f ca="1">IF(Stock!V23="",0,IF(ISNUMBER($E23),($E23+$F23)*Stock!V23/100,Stock!V23))</f>
        <v>33000</v>
      </c>
      <c r="AB23" s="9">
        <f ca="1">IF(Stock!W23="",0,IF(ISNUMBER($E23),($E23+$F23)*Stock!W23/100,Stock!W23))</f>
        <v>33000</v>
      </c>
      <c r="AC23" s="9">
        <f ca="1">IF(Stock!X23="",0,IF(ISNUMBER($E23),($E23+$F23)*Stock!X23/100,Stock!X23))</f>
        <v>33000</v>
      </c>
      <c r="AD23" s="9">
        <f ca="1">IF(Stock!Y23="",0,IF(ISNUMBER($E23),($E23+$F23)*Stock!Y23/100,Stock!Y23))</f>
        <v>33000</v>
      </c>
      <c r="AE23" s="9">
        <f ca="1">IF(Stock!Z23="",0,IF(ISNUMBER($E23),($E23+$F23)*Stock!Z23/100,Stock!Z23))</f>
        <v>33000</v>
      </c>
      <c r="AF23" s="9">
        <f ca="1">IF(Stock!AA23="",0,IF(ISNUMBER($E23),($E23+$F23)*Stock!AA23/100,Stock!AA23))</f>
        <v>33000</v>
      </c>
      <c r="AG23" s="9">
        <f ca="1">IF(Stock!AB23="",0,IF(ISNUMBER($E23),($E23+$F23)*Stock!AB23/100,Stock!AB23))</f>
        <v>33000</v>
      </c>
      <c r="AH23" s="9">
        <f ca="1">IF(Stock!AC23="",0,IF(ISNUMBER($E23),($E23+$F23)*Stock!AC23/100,Stock!AC23))</f>
        <v>33000</v>
      </c>
      <c r="AI23" s="9">
        <f ca="1">IF(Stock!AD23="",0,IF(ISNUMBER($E23),($E23+$F23)*Stock!AD23/100,Stock!AD23))</f>
        <v>33000</v>
      </c>
      <c r="AJ23" s="9">
        <f ca="1">IF(Stock!AE23="",0,IF(ISNUMBER($E23),($E23+$F23)*Stock!AE23/100,Stock!AE23))</f>
        <v>33000</v>
      </c>
      <c r="AK23" s="9">
        <f ca="1">IF(Stock!AF23="",0,IF(ISNUMBER($E23),($E23+$F23)*Stock!AF23/100,Stock!AF23))</f>
        <v>33000</v>
      </c>
      <c r="AL23" s="9">
        <f ca="1">IF(Stock!AG23="",0,IF(ISNUMBER($E23),($E23+$F23)*Stock!AG23/100,Stock!AG23))</f>
        <v>33000</v>
      </c>
      <c r="AM23" s="9">
        <f ca="1">IF(Stock!AH23="",0,IF(ISNUMBER($E23),($E23+$F23)*Stock!AH23/100,Stock!AH23))</f>
        <v>33000</v>
      </c>
      <c r="AN23" s="9">
        <f ca="1">IF(Stock!AI23="",0,IF(ISNUMBER($E23),($E23+$F23)*Stock!AI23/100,Stock!AI23))</f>
        <v>33000</v>
      </c>
      <c r="AO23" s="9">
        <f ca="1">IF(Stock!AJ23="",0,IF(ISNUMBER($E23),($E23+$F23)*Stock!AJ23/100,Stock!AJ23))</f>
        <v>33000</v>
      </c>
      <c r="AP23" s="9">
        <f ca="1">IF(Stock!AK23="",0,IF(ISNUMBER($E23),($E23+$F23)*Stock!AK23/100,Stock!AK23))</f>
        <v>33000</v>
      </c>
      <c r="AQ23" s="9">
        <f ca="1">IF(Stock!AL23="",0,IF(ISNUMBER($E23),($E23+$F23)*Stock!AL23/100,Stock!AL23))</f>
        <v>33000</v>
      </c>
      <c r="AR23" s="9">
        <f ca="1">IF(Stock!AM23="",0,IF(ISNUMBER($E23),($E23+$F23)*Stock!AM23/100,Stock!AM23))</f>
        <v>33000</v>
      </c>
      <c r="AS23" s="9">
        <f ca="1">IF(Stock!AN23="",0,IF(ISNUMBER($E23),($E23+$F23)*Stock!AN23/100,Stock!AN23))</f>
        <v>33000</v>
      </c>
      <c r="AT23" s="9">
        <f ca="1">IF(Stock!AO23="",0,IF(ISNUMBER($E23),($E23+$F23)*Stock!AO23/100,Stock!AO23))</f>
        <v>33000</v>
      </c>
      <c r="AU23" s="9">
        <f ca="1">IF(Stock!AP23="",0,IF(ISNUMBER($E23),($E23+$F23)*Stock!AP23/100,Stock!AP23))</f>
        <v>33000</v>
      </c>
      <c r="AV23" s="9">
        <f ca="1">IF(Stock!AQ23="",0,IF(ISNUMBER($E23),($E23+$F23)*Stock!AQ23/100,Stock!AQ23))</f>
        <v>33000</v>
      </c>
      <c r="AW23" s="9">
        <f ca="1">IF(Stock!AR23="",0,IF(ISNUMBER($E23),($E23+$F23)*Stock!AR23/100,Stock!AR23))</f>
        <v>33000</v>
      </c>
      <c r="AX23" s="9">
        <f ca="1">IF(Stock!AS23="",0,IF(ISNUMBER($E23),($E23+$F23)*Stock!AS23/100,Stock!AS23))</f>
        <v>33000</v>
      </c>
      <c r="AY23" s="9">
        <f ca="1">IF(Stock!AT23="",0,IF(ISNUMBER($E23),($E23+$F23)*Stock!AT23/100,Stock!AT23))</f>
        <v>33000</v>
      </c>
      <c r="AZ23" s="9">
        <f ca="1">IF(Stock!AU23="",0,IF(ISNUMBER($E23),($E23+$F23)*Stock!AU23/100,Stock!AU23))</f>
        <v>33000</v>
      </c>
      <c r="BA23" s="9">
        <f ca="1">IF(Stock!AV23="",0,IF(ISNUMBER($E23),($E23+$F23)*Stock!AV23/100,Stock!AV23))</f>
        <v>33000</v>
      </c>
      <c r="BB23" s="9">
        <f ca="1">IF(Stock!AW23="",0,IF(ISNUMBER($E23),($E23+$F23)*Stock!AW23/100,Stock!AW23))</f>
        <v>33000</v>
      </c>
      <c r="BC23" s="9">
        <f ca="1">IF(Stock!AX23="",0,IF(ISNUMBER($E23),($E23+$F23)*Stock!AX23/100,Stock!AX23))</f>
        <v>33000</v>
      </c>
    </row>
    <row r="24" spans="1:55" x14ac:dyDescent="0.3">
      <c r="A24" s="2" t="str">
        <f t="shared" si="0"/>
        <v>0.625</v>
      </c>
      <c r="B24" s="3">
        <f t="shared" si="1"/>
        <v>42856</v>
      </c>
      <c r="C24" s="4" t="str">
        <f>IF(Repo!C28="","",Repo!C28)</f>
        <v>UST2017050.625</v>
      </c>
      <c r="D24" s="4" t="str">
        <f>IF(Repo!D28="","",Repo!D28)</f>
        <v>US912828SY71</v>
      </c>
      <c r="E24" s="62" t="e">
        <f ca="1">IF(A24="",0,IF(LEFT(C24,3) = "USB",100*(1-_xll.BDP(D24 &amp; " Govt",E$1)*(B24-TODAY()+1)/36000),_xll.BDP(D24 &amp; " Govt",E$1)))</f>
        <v>#NAME?</v>
      </c>
      <c r="F24" s="62" t="e">
        <f ca="1">IF(A24="",0,IF(LEFT(D24,1) = "B",0,_xll.BDP(D24 &amp; " Govt",F$1)))</f>
        <v>#NAME?</v>
      </c>
      <c r="G24" s="9">
        <f ca="1">IF(Stock!B24="",0,IF(ISNUMBER($E24),($E24+$F24)*Stock!B24/100,Stock!B24))</f>
        <v>477000</v>
      </c>
      <c r="H24" s="9">
        <f ca="1">IF(Stock!C24="",0,IF(ISNUMBER($E24),($E24+$F24)*Stock!C24/100,Stock!C24))</f>
        <v>477000</v>
      </c>
      <c r="I24" s="9">
        <f ca="1">IF(Stock!D24="",0,IF(ISNUMBER($E24),($E24+$F24)*Stock!D24/100,Stock!D24))</f>
        <v>477000</v>
      </c>
      <c r="J24" s="9">
        <f ca="1">IF(Stock!E24="",0,IF(ISNUMBER($E24),($E24+$F24)*Stock!E24/100,Stock!E24))</f>
        <v>477000</v>
      </c>
      <c r="K24" s="9">
        <f ca="1">IF(Stock!F24="",0,IF(ISNUMBER($E24),($E24+$F24)*Stock!F24/100,Stock!F24))</f>
        <v>477000</v>
      </c>
      <c r="L24" s="9">
        <f ca="1">IF(Stock!G24="",0,IF(ISNUMBER($E24),($E24+$F24)*Stock!G24/100,Stock!G24))</f>
        <v>477000</v>
      </c>
      <c r="M24" s="9">
        <f ca="1">IF(Stock!H24="",0,IF(ISNUMBER($E24),($E24+$F24)*Stock!H24/100,Stock!H24))</f>
        <v>477000</v>
      </c>
      <c r="N24" s="9">
        <f ca="1">IF(Stock!I24="",0,IF(ISNUMBER($E24),($E24+$F24)*Stock!I24/100,Stock!I24))</f>
        <v>477000</v>
      </c>
      <c r="O24" s="9">
        <f ca="1">IF(Stock!J24="",0,IF(ISNUMBER($E24),($E24+$F24)*Stock!J24/100,Stock!J24))</f>
        <v>477000</v>
      </c>
      <c r="P24" s="9">
        <f ca="1">IF(Stock!K24="",0,IF(ISNUMBER($E24),($E24+$F24)*Stock!K24/100,Stock!K24))</f>
        <v>477000</v>
      </c>
      <c r="Q24" s="9">
        <f ca="1">IF(Stock!L24="",0,IF(ISNUMBER($E24),($E24+$F24)*Stock!L24/100,Stock!L24))</f>
        <v>477000</v>
      </c>
      <c r="R24" s="9">
        <f ca="1">IF(Stock!M24="",0,IF(ISNUMBER($E24),($E24+$F24)*Stock!M24/100,Stock!M24))</f>
        <v>477000</v>
      </c>
      <c r="S24" s="9">
        <f ca="1">IF(Stock!N24="",0,IF(ISNUMBER($E24),($E24+$F24)*Stock!N24/100,Stock!N24))</f>
        <v>477000</v>
      </c>
      <c r="T24" s="9">
        <f ca="1">IF(Stock!O24="",0,IF(ISNUMBER($E24),($E24+$F24)*Stock!O24/100,Stock!O24))</f>
        <v>477000</v>
      </c>
      <c r="U24" s="9">
        <f ca="1">IF(Stock!P24="",0,IF(ISNUMBER($E24),($E24+$F24)*Stock!P24/100,Stock!P24))</f>
        <v>477000</v>
      </c>
      <c r="V24" s="9">
        <f ca="1">IF(Stock!Q24="",0,IF(ISNUMBER($E24),($E24+$F24)*Stock!Q24/100,Stock!Q24))</f>
        <v>477000</v>
      </c>
      <c r="W24" s="9">
        <f ca="1">IF(Stock!R24="",0,IF(ISNUMBER($E24),($E24+$F24)*Stock!R24/100,Stock!R24))</f>
        <v>477000</v>
      </c>
      <c r="X24" s="9">
        <f ca="1">IF(Stock!S24="",0,IF(ISNUMBER($E24),($E24+$F24)*Stock!S24/100,Stock!S24))</f>
        <v>477000</v>
      </c>
      <c r="Y24" s="9">
        <f ca="1">IF(Stock!T24="",0,IF(ISNUMBER($E24),($E24+$F24)*Stock!T24/100,Stock!T24))</f>
        <v>477000</v>
      </c>
      <c r="Z24" s="9">
        <f ca="1">IF(Stock!U24="",0,IF(ISNUMBER($E24),($E24+$F24)*Stock!U24/100,Stock!U24))</f>
        <v>477000</v>
      </c>
      <c r="AA24" s="9">
        <f ca="1">IF(Stock!V24="",0,IF(ISNUMBER($E24),($E24+$F24)*Stock!V24/100,Stock!V24))</f>
        <v>477000</v>
      </c>
      <c r="AB24" s="9">
        <f ca="1">IF(Stock!W24="",0,IF(ISNUMBER($E24),($E24+$F24)*Stock!W24/100,Stock!W24))</f>
        <v>477000</v>
      </c>
      <c r="AC24" s="9">
        <f ca="1">IF(Stock!X24="",0,IF(ISNUMBER($E24),($E24+$F24)*Stock!X24/100,Stock!X24))</f>
        <v>477000</v>
      </c>
      <c r="AD24" s="9">
        <f ca="1">IF(Stock!Y24="",0,IF(ISNUMBER($E24),($E24+$F24)*Stock!Y24/100,Stock!Y24))</f>
        <v>477000</v>
      </c>
      <c r="AE24" s="9">
        <f ca="1">IF(Stock!Z24="",0,IF(ISNUMBER($E24),($E24+$F24)*Stock!Z24/100,Stock!Z24))</f>
        <v>477000</v>
      </c>
      <c r="AF24" s="9">
        <f ca="1">IF(Stock!AA24="",0,IF(ISNUMBER($E24),($E24+$F24)*Stock!AA24/100,Stock!AA24))</f>
        <v>477000</v>
      </c>
      <c r="AG24" s="9">
        <f ca="1">IF(Stock!AB24="",0,IF(ISNUMBER($E24),($E24+$F24)*Stock!AB24/100,Stock!AB24))</f>
        <v>477000</v>
      </c>
      <c r="AH24" s="9">
        <f ca="1">IF(Stock!AC24="",0,IF(ISNUMBER($E24),($E24+$F24)*Stock!AC24/100,Stock!AC24))</f>
        <v>477000</v>
      </c>
      <c r="AI24" s="9">
        <f ca="1">IF(Stock!AD24="",0,IF(ISNUMBER($E24),($E24+$F24)*Stock!AD24/100,Stock!AD24))</f>
        <v>477000</v>
      </c>
      <c r="AJ24" s="9">
        <f ca="1">IF(Stock!AE24="",0,IF(ISNUMBER($E24),($E24+$F24)*Stock!AE24/100,Stock!AE24))</f>
        <v>477000</v>
      </c>
      <c r="AK24" s="9">
        <f ca="1">IF(Stock!AF24="",0,IF(ISNUMBER($E24),($E24+$F24)*Stock!AF24/100,Stock!AF24))</f>
        <v>477000</v>
      </c>
      <c r="AL24" s="9">
        <f ca="1">IF(Stock!AG24="",0,IF(ISNUMBER($E24),($E24+$F24)*Stock!AG24/100,Stock!AG24))</f>
        <v>477000</v>
      </c>
      <c r="AM24" s="9">
        <f ca="1">IF(Stock!AH24="",0,IF(ISNUMBER($E24),($E24+$F24)*Stock!AH24/100,Stock!AH24))</f>
        <v>477000</v>
      </c>
      <c r="AN24" s="9">
        <f ca="1">IF(Stock!AI24="",0,IF(ISNUMBER($E24),($E24+$F24)*Stock!AI24/100,Stock!AI24))</f>
        <v>477000</v>
      </c>
      <c r="AO24" s="9">
        <f ca="1">IF(Stock!AJ24="",0,IF(ISNUMBER($E24),($E24+$F24)*Stock!AJ24/100,Stock!AJ24))</f>
        <v>477000</v>
      </c>
      <c r="AP24" s="9">
        <f ca="1">IF(Stock!AK24="",0,IF(ISNUMBER($E24),($E24+$F24)*Stock!AK24/100,Stock!AK24))</f>
        <v>477000</v>
      </c>
      <c r="AQ24" s="9">
        <f ca="1">IF(Stock!AL24="",0,IF(ISNUMBER($E24),($E24+$F24)*Stock!AL24/100,Stock!AL24))</f>
        <v>477000</v>
      </c>
      <c r="AR24" s="9">
        <f ca="1">IF(Stock!AM24="",0,IF(ISNUMBER($E24),($E24+$F24)*Stock!AM24/100,Stock!AM24))</f>
        <v>477000</v>
      </c>
      <c r="AS24" s="9">
        <f ca="1">IF(Stock!AN24="",0,IF(ISNUMBER($E24),($E24+$F24)*Stock!AN24/100,Stock!AN24))</f>
        <v>477000</v>
      </c>
      <c r="AT24" s="9">
        <f ca="1">IF(Stock!AO24="",0,IF(ISNUMBER($E24),($E24+$F24)*Stock!AO24/100,Stock!AO24))</f>
        <v>477000</v>
      </c>
      <c r="AU24" s="9">
        <f ca="1">IF(Stock!AP24="",0,IF(ISNUMBER($E24),($E24+$F24)*Stock!AP24/100,Stock!AP24))</f>
        <v>477000</v>
      </c>
      <c r="AV24" s="9">
        <f ca="1">IF(Stock!AQ24="",0,IF(ISNUMBER($E24),($E24+$F24)*Stock!AQ24/100,Stock!AQ24))</f>
        <v>477000</v>
      </c>
      <c r="AW24" s="9">
        <f ca="1">IF(Stock!AR24="",0,IF(ISNUMBER($E24),($E24+$F24)*Stock!AR24/100,Stock!AR24))</f>
        <v>477000</v>
      </c>
      <c r="AX24" s="9">
        <f ca="1">IF(Stock!AS24="",0,IF(ISNUMBER($E24),($E24+$F24)*Stock!AS24/100,Stock!AS24))</f>
        <v>477000</v>
      </c>
      <c r="AY24" s="9">
        <f ca="1">IF(Stock!AT24="",0,IF(ISNUMBER($E24),($E24+$F24)*Stock!AT24/100,Stock!AT24))</f>
        <v>477000</v>
      </c>
      <c r="AZ24" s="9">
        <f ca="1">IF(Stock!AU24="",0,IF(ISNUMBER($E24),($E24+$F24)*Stock!AU24/100,Stock!AU24))</f>
        <v>477000</v>
      </c>
      <c r="BA24" s="9">
        <f ca="1">IF(Stock!AV24="",0,IF(ISNUMBER($E24),($E24+$F24)*Stock!AV24/100,Stock!AV24))</f>
        <v>477000</v>
      </c>
      <c r="BB24" s="9">
        <f ca="1">IF(Stock!AW24="",0,IF(ISNUMBER($E24),($E24+$F24)*Stock!AW24/100,Stock!AW24))</f>
        <v>477000</v>
      </c>
      <c r="BC24" s="9">
        <f ca="1">IF(Stock!AX24="",0,IF(ISNUMBER($E24),($E24+$F24)*Stock!AX24/100,Stock!AX24))</f>
        <v>477000</v>
      </c>
    </row>
    <row r="25" spans="1:55" x14ac:dyDescent="0.3">
      <c r="A25" s="2" t="str">
        <f t="shared" si="0"/>
        <v>0.75</v>
      </c>
      <c r="B25" s="3">
        <f t="shared" si="1"/>
        <v>42887</v>
      </c>
      <c r="C25" s="4" t="str">
        <f>IF(Repo!C29="","",Repo!C29)</f>
        <v>UST2017060.75</v>
      </c>
      <c r="D25" s="4" t="str">
        <f>IF(Repo!D29="","",Repo!D29)</f>
        <v>US912828TB69</v>
      </c>
      <c r="E25" s="62" t="e">
        <f ca="1">IF(A25="",0,IF(LEFT(C25,3) = "USB",100*(1-_xll.BDP(D25 &amp; " Govt",E$1)*(B25-TODAY()+1)/36000),_xll.BDP(D25 &amp; " Govt",E$1)))</f>
        <v>#NAME?</v>
      </c>
      <c r="F25" s="62" t="e">
        <f ca="1">IF(A25="",0,IF(LEFT(D25,1) = "B",0,_xll.BDP(D25 &amp; " Govt",F$1)))</f>
        <v>#NAME?</v>
      </c>
      <c r="G25" s="9">
        <f>IF(Stock!B25="",0,IF(ISNUMBER($E25),($E25+$F25)*Stock!B25/100,Stock!B25))</f>
        <v>0</v>
      </c>
      <c r="H25" s="9">
        <f ca="1">IF(Stock!C25="",0,IF(ISNUMBER($E25),($E25+$F25)*Stock!C25/100,Stock!C25))</f>
        <v>0</v>
      </c>
      <c r="I25" s="9">
        <f ca="1">IF(Stock!D25="",0,IF(ISNUMBER($E25),($E25+$F25)*Stock!D25/100,Stock!D25))</f>
        <v>0</v>
      </c>
      <c r="J25" s="9">
        <f ca="1">IF(Stock!E25="",0,IF(ISNUMBER($E25),($E25+$F25)*Stock!E25/100,Stock!E25))</f>
        <v>0</v>
      </c>
      <c r="K25" s="9">
        <f ca="1">IF(Stock!F25="",0,IF(ISNUMBER($E25),($E25+$F25)*Stock!F25/100,Stock!F25))</f>
        <v>0</v>
      </c>
      <c r="L25" s="9">
        <f ca="1">IF(Stock!G25="",0,IF(ISNUMBER($E25),($E25+$F25)*Stock!G25/100,Stock!G25))</f>
        <v>0</v>
      </c>
      <c r="M25" s="9">
        <f ca="1">IF(Stock!H25="",0,IF(ISNUMBER($E25),($E25+$F25)*Stock!H25/100,Stock!H25))</f>
        <v>0</v>
      </c>
      <c r="N25" s="9">
        <f ca="1">IF(Stock!I25="",0,IF(ISNUMBER($E25),($E25+$F25)*Stock!I25/100,Stock!I25))</f>
        <v>0</v>
      </c>
      <c r="O25" s="9">
        <f ca="1">IF(Stock!J25="",0,IF(ISNUMBER($E25),($E25+$F25)*Stock!J25/100,Stock!J25))</f>
        <v>0</v>
      </c>
      <c r="P25" s="9">
        <f ca="1">IF(Stock!K25="",0,IF(ISNUMBER($E25),($E25+$F25)*Stock!K25/100,Stock!K25))</f>
        <v>0</v>
      </c>
      <c r="Q25" s="9">
        <f ca="1">IF(Stock!L25="",0,IF(ISNUMBER($E25),($E25+$F25)*Stock!L25/100,Stock!L25))</f>
        <v>0</v>
      </c>
      <c r="R25" s="9">
        <f ca="1">IF(Stock!M25="",0,IF(ISNUMBER($E25),($E25+$F25)*Stock!M25/100,Stock!M25))</f>
        <v>0</v>
      </c>
      <c r="S25" s="9">
        <f ca="1">IF(Stock!N25="",0,IF(ISNUMBER($E25),($E25+$F25)*Stock!N25/100,Stock!N25))</f>
        <v>0</v>
      </c>
      <c r="T25" s="9">
        <f ca="1">IF(Stock!O25="",0,IF(ISNUMBER($E25),($E25+$F25)*Stock!O25/100,Stock!O25))</f>
        <v>0</v>
      </c>
      <c r="U25" s="9">
        <f ca="1">IF(Stock!P25="",0,IF(ISNUMBER($E25),($E25+$F25)*Stock!P25/100,Stock!P25))</f>
        <v>0</v>
      </c>
      <c r="V25" s="9">
        <f ca="1">IF(Stock!Q25="",0,IF(ISNUMBER($E25),($E25+$F25)*Stock!Q25/100,Stock!Q25))</f>
        <v>0</v>
      </c>
      <c r="W25" s="9">
        <f ca="1">IF(Stock!R25="",0,IF(ISNUMBER($E25),($E25+$F25)*Stock!R25/100,Stock!R25))</f>
        <v>0</v>
      </c>
      <c r="X25" s="9">
        <f ca="1">IF(Stock!S25="",0,IF(ISNUMBER($E25),($E25+$F25)*Stock!S25/100,Stock!S25))</f>
        <v>0</v>
      </c>
      <c r="Y25" s="9">
        <f ca="1">IF(Stock!T25="",0,IF(ISNUMBER($E25),($E25+$F25)*Stock!T25/100,Stock!T25))</f>
        <v>0</v>
      </c>
      <c r="Z25" s="9">
        <f ca="1">IF(Stock!U25="",0,IF(ISNUMBER($E25),($E25+$F25)*Stock!U25/100,Stock!U25))</f>
        <v>0</v>
      </c>
      <c r="AA25" s="9">
        <f ca="1">IF(Stock!V25="",0,IF(ISNUMBER($E25),($E25+$F25)*Stock!V25/100,Stock!V25))</f>
        <v>0</v>
      </c>
      <c r="AB25" s="9">
        <f ca="1">IF(Stock!W25="",0,IF(ISNUMBER($E25),($E25+$F25)*Stock!W25/100,Stock!W25))</f>
        <v>0</v>
      </c>
      <c r="AC25" s="9">
        <f ca="1">IF(Stock!X25="",0,IF(ISNUMBER($E25),($E25+$F25)*Stock!X25/100,Stock!X25))</f>
        <v>0</v>
      </c>
      <c r="AD25" s="9">
        <f ca="1">IF(Stock!Y25="",0,IF(ISNUMBER($E25),($E25+$F25)*Stock!Y25/100,Stock!Y25))</f>
        <v>0</v>
      </c>
      <c r="AE25" s="9">
        <f ca="1">IF(Stock!Z25="",0,IF(ISNUMBER($E25),($E25+$F25)*Stock!Z25/100,Stock!Z25))</f>
        <v>0</v>
      </c>
      <c r="AF25" s="9">
        <f ca="1">IF(Stock!AA25="",0,IF(ISNUMBER($E25),($E25+$F25)*Stock!AA25/100,Stock!AA25))</f>
        <v>0</v>
      </c>
      <c r="AG25" s="9">
        <f ca="1">IF(Stock!AB25="",0,IF(ISNUMBER($E25),($E25+$F25)*Stock!AB25/100,Stock!AB25))</f>
        <v>0</v>
      </c>
      <c r="AH25" s="9">
        <f ca="1">IF(Stock!AC25="",0,IF(ISNUMBER($E25),($E25+$F25)*Stock!AC25/100,Stock!AC25))</f>
        <v>0</v>
      </c>
      <c r="AI25" s="9">
        <f ca="1">IF(Stock!AD25="",0,IF(ISNUMBER($E25),($E25+$F25)*Stock!AD25/100,Stock!AD25))</f>
        <v>0</v>
      </c>
      <c r="AJ25" s="9">
        <f ca="1">IF(Stock!AE25="",0,IF(ISNUMBER($E25),($E25+$F25)*Stock!AE25/100,Stock!AE25))</f>
        <v>0</v>
      </c>
      <c r="AK25" s="9">
        <f ca="1">IF(Stock!AF25="",0,IF(ISNUMBER($E25),($E25+$F25)*Stock!AF25/100,Stock!AF25))</f>
        <v>0</v>
      </c>
      <c r="AL25" s="9">
        <f ca="1">IF(Stock!AG25="",0,IF(ISNUMBER($E25),($E25+$F25)*Stock!AG25/100,Stock!AG25))</f>
        <v>0</v>
      </c>
      <c r="AM25" s="9">
        <f ca="1">IF(Stock!AH25="",0,IF(ISNUMBER($E25),($E25+$F25)*Stock!AH25/100,Stock!AH25))</f>
        <v>0</v>
      </c>
      <c r="AN25" s="9">
        <f ca="1">IF(Stock!AI25="",0,IF(ISNUMBER($E25),($E25+$F25)*Stock!AI25/100,Stock!AI25))</f>
        <v>0</v>
      </c>
      <c r="AO25" s="9">
        <f ca="1">IF(Stock!AJ25="",0,IF(ISNUMBER($E25),($E25+$F25)*Stock!AJ25/100,Stock!AJ25))</f>
        <v>0</v>
      </c>
      <c r="AP25" s="9">
        <f ca="1">IF(Stock!AK25="",0,IF(ISNUMBER($E25),($E25+$F25)*Stock!AK25/100,Stock!AK25))</f>
        <v>0</v>
      </c>
      <c r="AQ25" s="9">
        <f ca="1">IF(Stock!AL25="",0,IF(ISNUMBER($E25),($E25+$F25)*Stock!AL25/100,Stock!AL25))</f>
        <v>0</v>
      </c>
      <c r="AR25" s="9">
        <f ca="1">IF(Stock!AM25="",0,IF(ISNUMBER($E25),($E25+$F25)*Stock!AM25/100,Stock!AM25))</f>
        <v>0</v>
      </c>
      <c r="AS25" s="9">
        <f ca="1">IF(Stock!AN25="",0,IF(ISNUMBER($E25),($E25+$F25)*Stock!AN25/100,Stock!AN25))</f>
        <v>0</v>
      </c>
      <c r="AT25" s="9">
        <f ca="1">IF(Stock!AO25="",0,IF(ISNUMBER($E25),($E25+$F25)*Stock!AO25/100,Stock!AO25))</f>
        <v>0</v>
      </c>
      <c r="AU25" s="9">
        <f ca="1">IF(Stock!AP25="",0,IF(ISNUMBER($E25),($E25+$F25)*Stock!AP25/100,Stock!AP25))</f>
        <v>0</v>
      </c>
      <c r="AV25" s="9">
        <f ca="1">IF(Stock!AQ25="",0,IF(ISNUMBER($E25),($E25+$F25)*Stock!AQ25/100,Stock!AQ25))</f>
        <v>0</v>
      </c>
      <c r="AW25" s="9">
        <f ca="1">IF(Stock!AR25="",0,IF(ISNUMBER($E25),($E25+$F25)*Stock!AR25/100,Stock!AR25))</f>
        <v>0</v>
      </c>
      <c r="AX25" s="9">
        <f ca="1">IF(Stock!AS25="",0,IF(ISNUMBER($E25),($E25+$F25)*Stock!AS25/100,Stock!AS25))</f>
        <v>0</v>
      </c>
      <c r="AY25" s="9">
        <f ca="1">IF(Stock!AT25="",0,IF(ISNUMBER($E25),($E25+$F25)*Stock!AT25/100,Stock!AT25))</f>
        <v>0</v>
      </c>
      <c r="AZ25" s="9">
        <f ca="1">IF(Stock!AU25="",0,IF(ISNUMBER($E25),($E25+$F25)*Stock!AU25/100,Stock!AU25))</f>
        <v>0</v>
      </c>
      <c r="BA25" s="9">
        <f ca="1">IF(Stock!AV25="",0,IF(ISNUMBER($E25),($E25+$F25)*Stock!AV25/100,Stock!AV25))</f>
        <v>0</v>
      </c>
      <c r="BB25" s="9">
        <f ca="1">IF(Stock!AW25="",0,IF(ISNUMBER($E25),($E25+$F25)*Stock!AW25/100,Stock!AW25))</f>
        <v>0</v>
      </c>
      <c r="BC25" s="9">
        <f ca="1">IF(Stock!AX25="",0,IF(ISNUMBER($E25),($E25+$F25)*Stock!AX25/100,Stock!AX25))</f>
        <v>0</v>
      </c>
    </row>
    <row r="26" spans="1:55" x14ac:dyDescent="0.3">
      <c r="A26" s="2" t="str">
        <f t="shared" si="0"/>
        <v>2</v>
      </c>
      <c r="B26" s="3">
        <f t="shared" si="1"/>
        <v>44501</v>
      </c>
      <c r="C26" s="4" t="str">
        <f>IF(Repo!C30="","",Repo!C30)</f>
        <v>UST2021112</v>
      </c>
      <c r="D26" s="4" t="str">
        <f>IF(Repo!D30="","",Repo!D30)</f>
        <v>US912828RR30</v>
      </c>
      <c r="E26" s="62" t="e">
        <f ca="1">IF(A26="",0,IF(LEFT(C26,3) = "USB",100*(1-_xll.BDP(D26 &amp; " Govt",E$1)*(B26-TODAY()+1)/36000),_xll.BDP(D26 &amp; " Govt",E$1)))</f>
        <v>#NAME?</v>
      </c>
      <c r="F26" s="62" t="e">
        <f ca="1">IF(A26="",0,IF(LEFT(D26,1) = "B",0,_xll.BDP(D26 &amp; " Govt",F$1)))</f>
        <v>#NAME?</v>
      </c>
      <c r="G26" s="9">
        <f>IF(Stock!B26="",0,IF(ISNUMBER($E26),($E26+$F26)*Stock!B26/100,Stock!B26))</f>
        <v>0</v>
      </c>
      <c r="H26" s="9">
        <f ca="1">IF(Stock!C26="",0,IF(ISNUMBER($E26),($E26+$F26)*Stock!C26/100,Stock!C26))</f>
        <v>0</v>
      </c>
      <c r="I26" s="9">
        <f ca="1">IF(Stock!D26="",0,IF(ISNUMBER($E26),($E26+$F26)*Stock!D26/100,Stock!D26))</f>
        <v>0</v>
      </c>
      <c r="J26" s="9">
        <f ca="1">IF(Stock!E26="",0,IF(ISNUMBER($E26),($E26+$F26)*Stock!E26/100,Stock!E26))</f>
        <v>0</v>
      </c>
      <c r="K26" s="9">
        <f ca="1">IF(Stock!F26="",0,IF(ISNUMBER($E26),($E26+$F26)*Stock!F26/100,Stock!F26))</f>
        <v>0</v>
      </c>
      <c r="L26" s="9">
        <f ca="1">IF(Stock!G26="",0,IF(ISNUMBER($E26),($E26+$F26)*Stock!G26/100,Stock!G26))</f>
        <v>0</v>
      </c>
      <c r="M26" s="9">
        <f ca="1">IF(Stock!H26="",0,IF(ISNUMBER($E26),($E26+$F26)*Stock!H26/100,Stock!H26))</f>
        <v>0</v>
      </c>
      <c r="N26" s="9">
        <f ca="1">IF(Stock!I26="",0,IF(ISNUMBER($E26),($E26+$F26)*Stock!I26/100,Stock!I26))</f>
        <v>0</v>
      </c>
      <c r="O26" s="9">
        <f ca="1">IF(Stock!J26="",0,IF(ISNUMBER($E26),($E26+$F26)*Stock!J26/100,Stock!J26))</f>
        <v>0</v>
      </c>
      <c r="P26" s="9">
        <f ca="1">IF(Stock!K26="",0,IF(ISNUMBER($E26),($E26+$F26)*Stock!K26/100,Stock!K26))</f>
        <v>0</v>
      </c>
      <c r="Q26" s="9">
        <f ca="1">IF(Stock!L26="",0,IF(ISNUMBER($E26),($E26+$F26)*Stock!L26/100,Stock!L26))</f>
        <v>0</v>
      </c>
      <c r="R26" s="9">
        <f ca="1">IF(Stock!M26="",0,IF(ISNUMBER($E26),($E26+$F26)*Stock!M26/100,Stock!M26))</f>
        <v>0</v>
      </c>
      <c r="S26" s="9">
        <f ca="1">IF(Stock!N26="",0,IF(ISNUMBER($E26),($E26+$F26)*Stock!N26/100,Stock!N26))</f>
        <v>0</v>
      </c>
      <c r="T26" s="9">
        <f ca="1">IF(Stock!O26="",0,IF(ISNUMBER($E26),($E26+$F26)*Stock!O26/100,Stock!O26))</f>
        <v>0</v>
      </c>
      <c r="U26" s="9">
        <f ca="1">IF(Stock!P26="",0,IF(ISNUMBER($E26),($E26+$F26)*Stock!P26/100,Stock!P26))</f>
        <v>0</v>
      </c>
      <c r="V26" s="9">
        <f ca="1">IF(Stock!Q26="",0,IF(ISNUMBER($E26),($E26+$F26)*Stock!Q26/100,Stock!Q26))</f>
        <v>0</v>
      </c>
      <c r="W26" s="9">
        <f ca="1">IF(Stock!R26="",0,IF(ISNUMBER($E26),($E26+$F26)*Stock!R26/100,Stock!R26))</f>
        <v>0</v>
      </c>
      <c r="X26" s="9">
        <f ca="1">IF(Stock!S26="",0,IF(ISNUMBER($E26),($E26+$F26)*Stock!S26/100,Stock!S26))</f>
        <v>0</v>
      </c>
      <c r="Y26" s="9">
        <f ca="1">IF(Stock!T26="",0,IF(ISNUMBER($E26),($E26+$F26)*Stock!T26/100,Stock!T26))</f>
        <v>0</v>
      </c>
      <c r="Z26" s="9">
        <f ca="1">IF(Stock!U26="",0,IF(ISNUMBER($E26),($E26+$F26)*Stock!U26/100,Stock!U26))</f>
        <v>0</v>
      </c>
      <c r="AA26" s="9">
        <f ca="1">IF(Stock!V26="",0,IF(ISNUMBER($E26),($E26+$F26)*Stock!V26/100,Stock!V26))</f>
        <v>0</v>
      </c>
      <c r="AB26" s="9">
        <f ca="1">IF(Stock!W26="",0,IF(ISNUMBER($E26),($E26+$F26)*Stock!W26/100,Stock!W26))</f>
        <v>0</v>
      </c>
      <c r="AC26" s="9">
        <f ca="1">IF(Stock!X26="",0,IF(ISNUMBER($E26),($E26+$F26)*Stock!X26/100,Stock!X26))</f>
        <v>0</v>
      </c>
      <c r="AD26" s="9">
        <f ca="1">IF(Stock!Y26="",0,IF(ISNUMBER($E26),($E26+$F26)*Stock!Y26/100,Stock!Y26))</f>
        <v>0</v>
      </c>
      <c r="AE26" s="9">
        <f ca="1">IF(Stock!Z26="",0,IF(ISNUMBER($E26),($E26+$F26)*Stock!Z26/100,Stock!Z26))</f>
        <v>0</v>
      </c>
      <c r="AF26" s="9">
        <f ca="1">IF(Stock!AA26="",0,IF(ISNUMBER($E26),($E26+$F26)*Stock!AA26/100,Stock!AA26))</f>
        <v>0</v>
      </c>
      <c r="AG26" s="9">
        <f ca="1">IF(Stock!AB26="",0,IF(ISNUMBER($E26),($E26+$F26)*Stock!AB26/100,Stock!AB26))</f>
        <v>0</v>
      </c>
      <c r="AH26" s="9">
        <f ca="1">IF(Stock!AC26="",0,IF(ISNUMBER($E26),($E26+$F26)*Stock!AC26/100,Stock!AC26))</f>
        <v>0</v>
      </c>
      <c r="AI26" s="9">
        <f ca="1">IF(Stock!AD26="",0,IF(ISNUMBER($E26),($E26+$F26)*Stock!AD26/100,Stock!AD26))</f>
        <v>0</v>
      </c>
      <c r="AJ26" s="9">
        <f ca="1">IF(Stock!AE26="",0,IF(ISNUMBER($E26),($E26+$F26)*Stock!AE26/100,Stock!AE26))</f>
        <v>0</v>
      </c>
      <c r="AK26" s="9">
        <f ca="1">IF(Stock!AF26="",0,IF(ISNUMBER($E26),($E26+$F26)*Stock!AF26/100,Stock!AF26))</f>
        <v>0</v>
      </c>
      <c r="AL26" s="9">
        <f ca="1">IF(Stock!AG26="",0,IF(ISNUMBER($E26),($E26+$F26)*Stock!AG26/100,Stock!AG26))</f>
        <v>0</v>
      </c>
      <c r="AM26" s="9">
        <f ca="1">IF(Stock!AH26="",0,IF(ISNUMBER($E26),($E26+$F26)*Stock!AH26/100,Stock!AH26))</f>
        <v>0</v>
      </c>
      <c r="AN26" s="9">
        <f ca="1">IF(Stock!AI26="",0,IF(ISNUMBER($E26),($E26+$F26)*Stock!AI26/100,Stock!AI26))</f>
        <v>0</v>
      </c>
      <c r="AO26" s="9">
        <f ca="1">IF(Stock!AJ26="",0,IF(ISNUMBER($E26),($E26+$F26)*Stock!AJ26/100,Stock!AJ26))</f>
        <v>0</v>
      </c>
      <c r="AP26" s="9">
        <f ca="1">IF(Stock!AK26="",0,IF(ISNUMBER($E26),($E26+$F26)*Stock!AK26/100,Stock!AK26))</f>
        <v>0</v>
      </c>
      <c r="AQ26" s="9">
        <f ca="1">IF(Stock!AL26="",0,IF(ISNUMBER($E26),($E26+$F26)*Stock!AL26/100,Stock!AL26))</f>
        <v>0</v>
      </c>
      <c r="AR26" s="9">
        <f ca="1">IF(Stock!AM26="",0,IF(ISNUMBER($E26),($E26+$F26)*Stock!AM26/100,Stock!AM26))</f>
        <v>0</v>
      </c>
      <c r="AS26" s="9">
        <f ca="1">IF(Stock!AN26="",0,IF(ISNUMBER($E26),($E26+$F26)*Stock!AN26/100,Stock!AN26))</f>
        <v>0</v>
      </c>
      <c r="AT26" s="9">
        <f ca="1">IF(Stock!AO26="",0,IF(ISNUMBER($E26),($E26+$F26)*Stock!AO26/100,Stock!AO26))</f>
        <v>0</v>
      </c>
      <c r="AU26" s="9">
        <f ca="1">IF(Stock!AP26="",0,IF(ISNUMBER($E26),($E26+$F26)*Stock!AP26/100,Stock!AP26))</f>
        <v>0</v>
      </c>
      <c r="AV26" s="9">
        <f ca="1">IF(Stock!AQ26="",0,IF(ISNUMBER($E26),($E26+$F26)*Stock!AQ26/100,Stock!AQ26))</f>
        <v>0</v>
      </c>
      <c r="AW26" s="9">
        <f ca="1">IF(Stock!AR26="",0,IF(ISNUMBER($E26),($E26+$F26)*Stock!AR26/100,Stock!AR26))</f>
        <v>0</v>
      </c>
      <c r="AX26" s="9">
        <f ca="1">IF(Stock!AS26="",0,IF(ISNUMBER($E26),($E26+$F26)*Stock!AS26/100,Stock!AS26))</f>
        <v>0</v>
      </c>
      <c r="AY26" s="9">
        <f ca="1">IF(Stock!AT26="",0,IF(ISNUMBER($E26),($E26+$F26)*Stock!AT26/100,Stock!AT26))</f>
        <v>0</v>
      </c>
      <c r="AZ26" s="9">
        <f ca="1">IF(Stock!AU26="",0,IF(ISNUMBER($E26),($E26+$F26)*Stock!AU26/100,Stock!AU26))</f>
        <v>0</v>
      </c>
      <c r="BA26" s="9">
        <f ca="1">IF(Stock!AV26="",0,IF(ISNUMBER($E26),($E26+$F26)*Stock!AV26/100,Stock!AV26))</f>
        <v>0</v>
      </c>
      <c r="BB26" s="9">
        <f ca="1">IF(Stock!AW26="",0,IF(ISNUMBER($E26),($E26+$F26)*Stock!AW26/100,Stock!AW26))</f>
        <v>0</v>
      </c>
      <c r="BC26" s="9">
        <f ca="1">IF(Stock!AX26="",0,IF(ISNUMBER($E26),($E26+$F26)*Stock!AX26/100,Stock!AX26))</f>
        <v>0</v>
      </c>
    </row>
    <row r="27" spans="1:55" x14ac:dyDescent="0.3">
      <c r="A27" s="2" t="str">
        <f t="shared" si="0"/>
        <v>2</v>
      </c>
      <c r="B27" s="3">
        <f t="shared" si="1"/>
        <v>44593</v>
      </c>
      <c r="C27" s="4" t="str">
        <f>IF(Repo!C31="","",Repo!C31)</f>
        <v>UST2022022</v>
      </c>
      <c r="D27" s="4" t="str">
        <f>IF(Repo!D31="","",Repo!D31)</f>
        <v>US912828SF82</v>
      </c>
      <c r="E27" s="62" t="e">
        <f ca="1">IF(A27="",0,IF(LEFT(C27,3) = "USB",100*(1-_xll.BDP(D27 &amp; " Govt",E$1)*(B27-TODAY()+1)/36000),_xll.BDP(D27 &amp; " Govt",E$1)))</f>
        <v>#NAME?</v>
      </c>
      <c r="F27" s="62" t="e">
        <f ca="1">IF(A27="",0,IF(LEFT(D27,1) = "B",0,_xll.BDP(D27 &amp; " Govt",F$1)))</f>
        <v>#NAME?</v>
      </c>
      <c r="G27" s="9">
        <f ca="1">IF(Stock!B27="",0,IF(ISNUMBER($E27),($E27+$F27)*Stock!B27/100,Stock!B27))</f>
        <v>212000</v>
      </c>
      <c r="H27" s="9">
        <f ca="1">IF(Stock!C27="",0,IF(ISNUMBER($E27),($E27+$F27)*Stock!C27/100,Stock!C27))</f>
        <v>212000</v>
      </c>
      <c r="I27" s="9">
        <f ca="1">IF(Stock!D27="",0,IF(ISNUMBER($E27),($E27+$F27)*Stock!D27/100,Stock!D27))</f>
        <v>212000</v>
      </c>
      <c r="J27" s="9">
        <f ca="1">IF(Stock!E27="",0,IF(ISNUMBER($E27),($E27+$F27)*Stock!E27/100,Stock!E27))</f>
        <v>212000</v>
      </c>
      <c r="K27" s="9">
        <f ca="1">IF(Stock!F27="",0,IF(ISNUMBER($E27),($E27+$F27)*Stock!F27/100,Stock!F27))</f>
        <v>212000</v>
      </c>
      <c r="L27" s="9">
        <f ca="1">IF(Stock!G27="",0,IF(ISNUMBER($E27),($E27+$F27)*Stock!G27/100,Stock!G27))</f>
        <v>212000</v>
      </c>
      <c r="M27" s="9">
        <f ca="1">IF(Stock!H27="",0,IF(ISNUMBER($E27),($E27+$F27)*Stock!H27/100,Stock!H27))</f>
        <v>212000</v>
      </c>
      <c r="N27" s="9">
        <f ca="1">IF(Stock!I27="",0,IF(ISNUMBER($E27),($E27+$F27)*Stock!I27/100,Stock!I27))</f>
        <v>212000</v>
      </c>
      <c r="O27" s="9">
        <f ca="1">IF(Stock!J27="",0,IF(ISNUMBER($E27),($E27+$F27)*Stock!J27/100,Stock!J27))</f>
        <v>212000</v>
      </c>
      <c r="P27" s="9">
        <f ca="1">IF(Stock!K27="",0,IF(ISNUMBER($E27),($E27+$F27)*Stock!K27/100,Stock!K27))</f>
        <v>212000</v>
      </c>
      <c r="Q27" s="9">
        <f ca="1">IF(Stock!L27="",0,IF(ISNUMBER($E27),($E27+$F27)*Stock!L27/100,Stock!L27))</f>
        <v>212000</v>
      </c>
      <c r="R27" s="9">
        <f ca="1">IF(Stock!M27="",0,IF(ISNUMBER($E27),($E27+$F27)*Stock!M27/100,Stock!M27))</f>
        <v>212000</v>
      </c>
      <c r="S27" s="9">
        <f ca="1">IF(Stock!N27="",0,IF(ISNUMBER($E27),($E27+$F27)*Stock!N27/100,Stock!N27))</f>
        <v>212000</v>
      </c>
      <c r="T27" s="9">
        <f ca="1">IF(Stock!O27="",0,IF(ISNUMBER($E27),($E27+$F27)*Stock!O27/100,Stock!O27))</f>
        <v>212000</v>
      </c>
      <c r="U27" s="9">
        <f ca="1">IF(Stock!P27="",0,IF(ISNUMBER($E27),($E27+$F27)*Stock!P27/100,Stock!P27))</f>
        <v>212000</v>
      </c>
      <c r="V27" s="9">
        <f ca="1">IF(Stock!Q27="",0,IF(ISNUMBER($E27),($E27+$F27)*Stock!Q27/100,Stock!Q27))</f>
        <v>212000</v>
      </c>
      <c r="W27" s="9">
        <f ca="1">IF(Stock!R27="",0,IF(ISNUMBER($E27),($E27+$F27)*Stock!R27/100,Stock!R27))</f>
        <v>212000</v>
      </c>
      <c r="X27" s="9">
        <f ca="1">IF(Stock!S27="",0,IF(ISNUMBER($E27),($E27+$F27)*Stock!S27/100,Stock!S27))</f>
        <v>212000</v>
      </c>
      <c r="Y27" s="9">
        <f ca="1">IF(Stock!T27="",0,IF(ISNUMBER($E27),($E27+$F27)*Stock!T27/100,Stock!T27))</f>
        <v>212000</v>
      </c>
      <c r="Z27" s="9">
        <f ca="1">IF(Stock!U27="",0,IF(ISNUMBER($E27),($E27+$F27)*Stock!U27/100,Stock!U27))</f>
        <v>212000</v>
      </c>
      <c r="AA27" s="9">
        <f ca="1">IF(Stock!V27="",0,IF(ISNUMBER($E27),($E27+$F27)*Stock!V27/100,Stock!V27))</f>
        <v>212000</v>
      </c>
      <c r="AB27" s="9">
        <f ca="1">IF(Stock!W27="",0,IF(ISNUMBER($E27),($E27+$F27)*Stock!W27/100,Stock!W27))</f>
        <v>212000</v>
      </c>
      <c r="AC27" s="9">
        <f ca="1">IF(Stock!X27="",0,IF(ISNUMBER($E27),($E27+$F27)*Stock!X27/100,Stock!X27))</f>
        <v>212000</v>
      </c>
      <c r="AD27" s="9">
        <f ca="1">IF(Stock!Y27="",0,IF(ISNUMBER($E27),($E27+$F27)*Stock!Y27/100,Stock!Y27))</f>
        <v>212000</v>
      </c>
      <c r="AE27" s="9">
        <f ca="1">IF(Stock!Z27="",0,IF(ISNUMBER($E27),($E27+$F27)*Stock!Z27/100,Stock!Z27))</f>
        <v>212000</v>
      </c>
      <c r="AF27" s="9">
        <f ca="1">IF(Stock!AA27="",0,IF(ISNUMBER($E27),($E27+$F27)*Stock!AA27/100,Stock!AA27))</f>
        <v>212000</v>
      </c>
      <c r="AG27" s="9">
        <f ca="1">IF(Stock!AB27="",0,IF(ISNUMBER($E27),($E27+$F27)*Stock!AB27/100,Stock!AB27))</f>
        <v>212000</v>
      </c>
      <c r="AH27" s="9">
        <f ca="1">IF(Stock!AC27="",0,IF(ISNUMBER($E27),($E27+$F27)*Stock!AC27/100,Stock!AC27))</f>
        <v>212000</v>
      </c>
      <c r="AI27" s="9">
        <f ca="1">IF(Stock!AD27="",0,IF(ISNUMBER($E27),($E27+$F27)*Stock!AD27/100,Stock!AD27))</f>
        <v>212000</v>
      </c>
      <c r="AJ27" s="9">
        <f ca="1">IF(Stock!AE27="",0,IF(ISNUMBER($E27),($E27+$F27)*Stock!AE27/100,Stock!AE27))</f>
        <v>212000</v>
      </c>
      <c r="AK27" s="9">
        <f ca="1">IF(Stock!AF27="",0,IF(ISNUMBER($E27),($E27+$F27)*Stock!AF27/100,Stock!AF27))</f>
        <v>212000</v>
      </c>
      <c r="AL27" s="9">
        <f ca="1">IF(Stock!AG27="",0,IF(ISNUMBER($E27),($E27+$F27)*Stock!AG27/100,Stock!AG27))</f>
        <v>212000</v>
      </c>
      <c r="AM27" s="9">
        <f ca="1">IF(Stock!AH27="",0,IF(ISNUMBER($E27),($E27+$F27)*Stock!AH27/100,Stock!AH27))</f>
        <v>212000</v>
      </c>
      <c r="AN27" s="9">
        <f ca="1">IF(Stock!AI27="",0,IF(ISNUMBER($E27),($E27+$F27)*Stock!AI27/100,Stock!AI27))</f>
        <v>212000</v>
      </c>
      <c r="AO27" s="9">
        <f ca="1">IF(Stock!AJ27="",0,IF(ISNUMBER($E27),($E27+$F27)*Stock!AJ27/100,Stock!AJ27))</f>
        <v>212000</v>
      </c>
      <c r="AP27" s="9">
        <f ca="1">IF(Stock!AK27="",0,IF(ISNUMBER($E27),($E27+$F27)*Stock!AK27/100,Stock!AK27))</f>
        <v>212000</v>
      </c>
      <c r="AQ27" s="9">
        <f ca="1">IF(Stock!AL27="",0,IF(ISNUMBER($E27),($E27+$F27)*Stock!AL27/100,Stock!AL27))</f>
        <v>212000</v>
      </c>
      <c r="AR27" s="9">
        <f ca="1">IF(Stock!AM27="",0,IF(ISNUMBER($E27),($E27+$F27)*Stock!AM27/100,Stock!AM27))</f>
        <v>212000</v>
      </c>
      <c r="AS27" s="9">
        <f ca="1">IF(Stock!AN27="",0,IF(ISNUMBER($E27),($E27+$F27)*Stock!AN27/100,Stock!AN27))</f>
        <v>212000</v>
      </c>
      <c r="AT27" s="9">
        <f ca="1">IF(Stock!AO27="",0,IF(ISNUMBER($E27),($E27+$F27)*Stock!AO27/100,Stock!AO27))</f>
        <v>212000</v>
      </c>
      <c r="AU27" s="9">
        <f ca="1">IF(Stock!AP27="",0,IF(ISNUMBER($E27),($E27+$F27)*Stock!AP27/100,Stock!AP27))</f>
        <v>212000</v>
      </c>
      <c r="AV27" s="9">
        <f ca="1">IF(Stock!AQ27="",0,IF(ISNUMBER($E27),($E27+$F27)*Stock!AQ27/100,Stock!AQ27))</f>
        <v>212000</v>
      </c>
      <c r="AW27" s="9">
        <f ca="1">IF(Stock!AR27="",0,IF(ISNUMBER($E27),($E27+$F27)*Stock!AR27/100,Stock!AR27))</f>
        <v>212000</v>
      </c>
      <c r="AX27" s="9">
        <f ca="1">IF(Stock!AS27="",0,IF(ISNUMBER($E27),($E27+$F27)*Stock!AS27/100,Stock!AS27))</f>
        <v>212000</v>
      </c>
      <c r="AY27" s="9">
        <f ca="1">IF(Stock!AT27="",0,IF(ISNUMBER($E27),($E27+$F27)*Stock!AT27/100,Stock!AT27))</f>
        <v>212000</v>
      </c>
      <c r="AZ27" s="9">
        <f ca="1">IF(Stock!AU27="",0,IF(ISNUMBER($E27),($E27+$F27)*Stock!AU27/100,Stock!AU27))</f>
        <v>212000</v>
      </c>
      <c r="BA27" s="9">
        <f ca="1">IF(Stock!AV27="",0,IF(ISNUMBER($E27),($E27+$F27)*Stock!AV27/100,Stock!AV27))</f>
        <v>212000</v>
      </c>
      <c r="BB27" s="9">
        <f ca="1">IF(Stock!AW27="",0,IF(ISNUMBER($E27),($E27+$F27)*Stock!AW27/100,Stock!AW27))</f>
        <v>212000</v>
      </c>
      <c r="BC27" s="9">
        <f ca="1">IF(Stock!AX27="",0,IF(ISNUMBER($E27),($E27+$F27)*Stock!AX27/100,Stock!AX27))</f>
        <v>212000</v>
      </c>
    </row>
    <row r="28" spans="1:55" x14ac:dyDescent="0.3">
      <c r="A28" s="2" t="str">
        <f t="shared" si="0"/>
        <v>1.75</v>
      </c>
      <c r="B28" s="3">
        <f t="shared" si="1"/>
        <v>44682</v>
      </c>
      <c r="C28" s="4" t="str">
        <f>IF(Repo!C32="","",Repo!C32)</f>
        <v>UST2022051.75</v>
      </c>
      <c r="D28" s="4" t="str">
        <f>IF(Repo!D32="","",Repo!D32)</f>
        <v>US912828SV33</v>
      </c>
      <c r="E28" s="62" t="e">
        <f ca="1">IF(A28="",0,IF(LEFT(C28,3) = "USB",100*(1-_xll.BDP(D28 &amp; " Govt",E$1)*(B28-TODAY()+1)/36000),_xll.BDP(D28 &amp; " Govt",E$1)))</f>
        <v>#NAME?</v>
      </c>
      <c r="F28" s="62" t="e">
        <f ca="1">IF(A28="",0,IF(LEFT(D28,1) = "B",0,_xll.BDP(D28 &amp; " Govt",F$1)))</f>
        <v>#NAME?</v>
      </c>
      <c r="G28" s="9">
        <f ca="1">IF(Stock!B28="",0,IF(ISNUMBER($E28),($E28+$F28)*Stock!B28/100,Stock!B28))</f>
        <v>268000</v>
      </c>
      <c r="H28" s="9">
        <f ca="1">IF(Stock!C28="",0,IF(ISNUMBER($E28),($E28+$F28)*Stock!C28/100,Stock!C28))</f>
        <v>268000</v>
      </c>
      <c r="I28" s="9">
        <f ca="1">IF(Stock!D28="",0,IF(ISNUMBER($E28),($E28+$F28)*Stock!D28/100,Stock!D28))</f>
        <v>268000</v>
      </c>
      <c r="J28" s="9">
        <f ca="1">IF(Stock!E28="",0,IF(ISNUMBER($E28),($E28+$F28)*Stock!E28/100,Stock!E28))</f>
        <v>268000</v>
      </c>
      <c r="K28" s="9">
        <f ca="1">IF(Stock!F28="",0,IF(ISNUMBER($E28),($E28+$F28)*Stock!F28/100,Stock!F28))</f>
        <v>268000</v>
      </c>
      <c r="L28" s="9">
        <f ca="1">IF(Stock!G28="",0,IF(ISNUMBER($E28),($E28+$F28)*Stock!G28/100,Stock!G28))</f>
        <v>268000</v>
      </c>
      <c r="M28" s="9">
        <f ca="1">IF(Stock!H28="",0,IF(ISNUMBER($E28),($E28+$F28)*Stock!H28/100,Stock!H28))</f>
        <v>268000</v>
      </c>
      <c r="N28" s="9">
        <f ca="1">IF(Stock!I28="",0,IF(ISNUMBER($E28),($E28+$F28)*Stock!I28/100,Stock!I28))</f>
        <v>268000</v>
      </c>
      <c r="O28" s="9">
        <f ca="1">IF(Stock!J28="",0,IF(ISNUMBER($E28),($E28+$F28)*Stock!J28/100,Stock!J28))</f>
        <v>268000</v>
      </c>
      <c r="P28" s="9">
        <f ca="1">IF(Stock!K28="",0,IF(ISNUMBER($E28),($E28+$F28)*Stock!K28/100,Stock!K28))</f>
        <v>268000</v>
      </c>
      <c r="Q28" s="9">
        <f ca="1">IF(Stock!L28="",0,IF(ISNUMBER($E28),($E28+$F28)*Stock!L28/100,Stock!L28))</f>
        <v>268000</v>
      </c>
      <c r="R28" s="9">
        <f ca="1">IF(Stock!M28="",0,IF(ISNUMBER($E28),($E28+$F28)*Stock!M28/100,Stock!M28))</f>
        <v>268000</v>
      </c>
      <c r="S28" s="9">
        <f ca="1">IF(Stock!N28="",0,IF(ISNUMBER($E28),($E28+$F28)*Stock!N28/100,Stock!N28))</f>
        <v>268000</v>
      </c>
      <c r="T28" s="9">
        <f ca="1">IF(Stock!O28="",0,IF(ISNUMBER($E28),($E28+$F28)*Stock!O28/100,Stock!O28))</f>
        <v>268000</v>
      </c>
      <c r="U28" s="9">
        <f ca="1">IF(Stock!P28="",0,IF(ISNUMBER($E28),($E28+$F28)*Stock!P28/100,Stock!P28))</f>
        <v>268000</v>
      </c>
      <c r="V28" s="9">
        <f ca="1">IF(Stock!Q28="",0,IF(ISNUMBER($E28),($E28+$F28)*Stock!Q28/100,Stock!Q28))</f>
        <v>268000</v>
      </c>
      <c r="W28" s="9">
        <f ca="1">IF(Stock!R28="",0,IF(ISNUMBER($E28),($E28+$F28)*Stock!R28/100,Stock!R28))</f>
        <v>268000</v>
      </c>
      <c r="X28" s="9">
        <f ca="1">IF(Stock!S28="",0,IF(ISNUMBER($E28),($E28+$F28)*Stock!S28/100,Stock!S28))</f>
        <v>268000</v>
      </c>
      <c r="Y28" s="9">
        <f ca="1">IF(Stock!T28="",0,IF(ISNUMBER($E28),($E28+$F28)*Stock!T28/100,Stock!T28))</f>
        <v>268000</v>
      </c>
      <c r="Z28" s="9">
        <f ca="1">IF(Stock!U28="",0,IF(ISNUMBER($E28),($E28+$F28)*Stock!U28/100,Stock!U28))</f>
        <v>268000</v>
      </c>
      <c r="AA28" s="9">
        <f ca="1">IF(Stock!V28="",0,IF(ISNUMBER($E28),($E28+$F28)*Stock!V28/100,Stock!V28))</f>
        <v>268000</v>
      </c>
      <c r="AB28" s="9">
        <f ca="1">IF(Stock!W28="",0,IF(ISNUMBER($E28),($E28+$F28)*Stock!W28/100,Stock!W28))</f>
        <v>268000</v>
      </c>
      <c r="AC28" s="9">
        <f ca="1">IF(Stock!X28="",0,IF(ISNUMBER($E28),($E28+$F28)*Stock!X28/100,Stock!X28))</f>
        <v>268000</v>
      </c>
      <c r="AD28" s="9">
        <f ca="1">IF(Stock!Y28="",0,IF(ISNUMBER($E28),($E28+$F28)*Stock!Y28/100,Stock!Y28))</f>
        <v>268000</v>
      </c>
      <c r="AE28" s="9">
        <f ca="1">IF(Stock!Z28="",0,IF(ISNUMBER($E28),($E28+$F28)*Stock!Z28/100,Stock!Z28))</f>
        <v>268000</v>
      </c>
      <c r="AF28" s="9">
        <f ca="1">IF(Stock!AA28="",0,IF(ISNUMBER($E28),($E28+$F28)*Stock!AA28/100,Stock!AA28))</f>
        <v>268000</v>
      </c>
      <c r="AG28" s="9">
        <f ca="1">IF(Stock!AB28="",0,IF(ISNUMBER($E28),($E28+$F28)*Stock!AB28/100,Stock!AB28))</f>
        <v>268000</v>
      </c>
      <c r="AH28" s="9">
        <f ca="1">IF(Stock!AC28="",0,IF(ISNUMBER($E28),($E28+$F28)*Stock!AC28/100,Stock!AC28))</f>
        <v>268000</v>
      </c>
      <c r="AI28" s="9">
        <f ca="1">IF(Stock!AD28="",0,IF(ISNUMBER($E28),($E28+$F28)*Stock!AD28/100,Stock!AD28))</f>
        <v>268000</v>
      </c>
      <c r="AJ28" s="9">
        <f ca="1">IF(Stock!AE28="",0,IF(ISNUMBER($E28),($E28+$F28)*Stock!AE28/100,Stock!AE28))</f>
        <v>268000</v>
      </c>
      <c r="AK28" s="9">
        <f ca="1">IF(Stock!AF28="",0,IF(ISNUMBER($E28),($E28+$F28)*Stock!AF28/100,Stock!AF28))</f>
        <v>268000</v>
      </c>
      <c r="AL28" s="9">
        <f ca="1">IF(Stock!AG28="",0,IF(ISNUMBER($E28),($E28+$F28)*Stock!AG28/100,Stock!AG28))</f>
        <v>268000</v>
      </c>
      <c r="AM28" s="9">
        <f ca="1">IF(Stock!AH28="",0,IF(ISNUMBER($E28),($E28+$F28)*Stock!AH28/100,Stock!AH28))</f>
        <v>268000</v>
      </c>
      <c r="AN28" s="9">
        <f ca="1">IF(Stock!AI28="",0,IF(ISNUMBER($E28),($E28+$F28)*Stock!AI28/100,Stock!AI28))</f>
        <v>268000</v>
      </c>
      <c r="AO28" s="9">
        <f ca="1">IF(Stock!AJ28="",0,IF(ISNUMBER($E28),($E28+$F28)*Stock!AJ28/100,Stock!AJ28))</f>
        <v>268000</v>
      </c>
      <c r="AP28" s="9">
        <f ca="1">IF(Stock!AK28="",0,IF(ISNUMBER($E28),($E28+$F28)*Stock!AK28/100,Stock!AK28))</f>
        <v>268000</v>
      </c>
      <c r="AQ28" s="9">
        <f ca="1">IF(Stock!AL28="",0,IF(ISNUMBER($E28),($E28+$F28)*Stock!AL28/100,Stock!AL28))</f>
        <v>268000</v>
      </c>
      <c r="AR28" s="9">
        <f ca="1">IF(Stock!AM28="",0,IF(ISNUMBER($E28),($E28+$F28)*Stock!AM28/100,Stock!AM28))</f>
        <v>268000</v>
      </c>
      <c r="AS28" s="9">
        <f ca="1">IF(Stock!AN28="",0,IF(ISNUMBER($E28),($E28+$F28)*Stock!AN28/100,Stock!AN28))</f>
        <v>268000</v>
      </c>
      <c r="AT28" s="9">
        <f ca="1">IF(Stock!AO28="",0,IF(ISNUMBER($E28),($E28+$F28)*Stock!AO28/100,Stock!AO28))</f>
        <v>268000</v>
      </c>
      <c r="AU28" s="9">
        <f ca="1">IF(Stock!AP28="",0,IF(ISNUMBER($E28),($E28+$F28)*Stock!AP28/100,Stock!AP28))</f>
        <v>268000</v>
      </c>
      <c r="AV28" s="9">
        <f ca="1">IF(Stock!AQ28="",0,IF(ISNUMBER($E28),($E28+$F28)*Stock!AQ28/100,Stock!AQ28))</f>
        <v>268000</v>
      </c>
      <c r="AW28" s="9">
        <f ca="1">IF(Stock!AR28="",0,IF(ISNUMBER($E28),($E28+$F28)*Stock!AR28/100,Stock!AR28))</f>
        <v>268000</v>
      </c>
      <c r="AX28" s="9">
        <f ca="1">IF(Stock!AS28="",0,IF(ISNUMBER($E28),($E28+$F28)*Stock!AS28/100,Stock!AS28))</f>
        <v>268000</v>
      </c>
      <c r="AY28" s="9">
        <f ca="1">IF(Stock!AT28="",0,IF(ISNUMBER($E28),($E28+$F28)*Stock!AT28/100,Stock!AT28))</f>
        <v>268000</v>
      </c>
      <c r="AZ28" s="9">
        <f ca="1">IF(Stock!AU28="",0,IF(ISNUMBER($E28),($E28+$F28)*Stock!AU28/100,Stock!AU28))</f>
        <v>268000</v>
      </c>
      <c r="BA28" s="9">
        <f ca="1">IF(Stock!AV28="",0,IF(ISNUMBER($E28),($E28+$F28)*Stock!AV28/100,Stock!AV28))</f>
        <v>268000</v>
      </c>
      <c r="BB28" s="9">
        <f ca="1">IF(Stock!AW28="",0,IF(ISNUMBER($E28),($E28+$F28)*Stock!AW28/100,Stock!AW28))</f>
        <v>268000</v>
      </c>
      <c r="BC28" s="9">
        <f ca="1">IF(Stock!AX28="",0,IF(ISNUMBER($E28),($E28+$F28)*Stock!AX28/100,Stock!AX28))</f>
        <v>268000</v>
      </c>
    </row>
    <row r="29" spans="1:55" x14ac:dyDescent="0.3">
      <c r="A29" s="2" t="str">
        <f t="shared" si="0"/>
        <v/>
      </c>
      <c r="B29" s="3" t="str">
        <f t="shared" si="1"/>
        <v/>
      </c>
      <c r="C29" s="4" t="str">
        <f>IF(Repo!C33="","",Repo!C33)</f>
        <v/>
      </c>
      <c r="D29" s="4" t="str">
        <f>IF(Repo!D33="","",Repo!D33)</f>
        <v/>
      </c>
      <c r="E29" s="62">
        <f ca="1">IF(A29="",0,IF(LEFT(C29,3) = "USB",100*(1-_xll.BDP(D29 &amp; " Govt",E$1)*(B29-TODAY()+1)/36000),_xll.BDP(D29 &amp; " Govt",E$1)))</f>
        <v>0</v>
      </c>
      <c r="F29" s="62">
        <f>IF(A29="",0,IF(LEFT(D29,1) = "B",0,_xll.BDP(D29 &amp; " Govt",F$1)))</f>
        <v>0</v>
      </c>
      <c r="G29" s="9">
        <f>IF(Stock!B29="",0,IF(ISNUMBER($E29),($E29+$F29)*Stock!B29/100,Stock!B29))</f>
        <v>0</v>
      </c>
      <c r="H29" s="9">
        <f ca="1">IF(Stock!C29="",0,IF(ISNUMBER($E29),($E29+$F29)*Stock!C29/100,Stock!C29))</f>
        <v>0</v>
      </c>
      <c r="I29" s="9">
        <f ca="1">IF(Stock!D29="",0,IF(ISNUMBER($E29),($E29+$F29)*Stock!D29/100,Stock!D29))</f>
        <v>0</v>
      </c>
      <c r="J29" s="9">
        <f ca="1">IF(Stock!E29="",0,IF(ISNUMBER($E29),($E29+$F29)*Stock!E29/100,Stock!E29))</f>
        <v>0</v>
      </c>
      <c r="K29" s="9">
        <f ca="1">IF(Stock!F29="",0,IF(ISNUMBER($E29),($E29+$F29)*Stock!F29/100,Stock!F29))</f>
        <v>0</v>
      </c>
      <c r="L29" s="9">
        <f ca="1">IF(Stock!G29="",0,IF(ISNUMBER($E29),($E29+$F29)*Stock!G29/100,Stock!G29))</f>
        <v>0</v>
      </c>
      <c r="M29" s="9">
        <f ca="1">IF(Stock!H29="",0,IF(ISNUMBER($E29),($E29+$F29)*Stock!H29/100,Stock!H29))</f>
        <v>0</v>
      </c>
      <c r="N29" s="9">
        <f ca="1">IF(Stock!I29="",0,IF(ISNUMBER($E29),($E29+$F29)*Stock!I29/100,Stock!I29))</f>
        <v>0</v>
      </c>
      <c r="O29" s="9">
        <f ca="1">IF(Stock!J29="",0,IF(ISNUMBER($E29),($E29+$F29)*Stock!J29/100,Stock!J29))</f>
        <v>0</v>
      </c>
      <c r="P29" s="9">
        <f ca="1">IF(Stock!K29="",0,IF(ISNUMBER($E29),($E29+$F29)*Stock!K29/100,Stock!K29))</f>
        <v>0</v>
      </c>
      <c r="Q29" s="9">
        <f ca="1">IF(Stock!L29="",0,IF(ISNUMBER($E29),($E29+$F29)*Stock!L29/100,Stock!L29))</f>
        <v>0</v>
      </c>
      <c r="R29" s="9">
        <f ca="1">IF(Stock!M29="",0,IF(ISNUMBER($E29),($E29+$F29)*Stock!M29/100,Stock!M29))</f>
        <v>0</v>
      </c>
      <c r="S29" s="9">
        <f ca="1">IF(Stock!N29="",0,IF(ISNUMBER($E29),($E29+$F29)*Stock!N29/100,Stock!N29))</f>
        <v>0</v>
      </c>
      <c r="T29" s="9">
        <f ca="1">IF(Stock!O29="",0,IF(ISNUMBER($E29),($E29+$F29)*Stock!O29/100,Stock!O29))</f>
        <v>0</v>
      </c>
      <c r="U29" s="9">
        <f ca="1">IF(Stock!P29="",0,IF(ISNUMBER($E29),($E29+$F29)*Stock!P29/100,Stock!P29))</f>
        <v>0</v>
      </c>
      <c r="V29" s="9">
        <f ca="1">IF(Stock!Q29="",0,IF(ISNUMBER($E29),($E29+$F29)*Stock!Q29/100,Stock!Q29))</f>
        <v>0</v>
      </c>
      <c r="W29" s="9">
        <f ca="1">IF(Stock!R29="",0,IF(ISNUMBER($E29),($E29+$F29)*Stock!R29/100,Stock!R29))</f>
        <v>0</v>
      </c>
      <c r="X29" s="9">
        <f ca="1">IF(Stock!S29="",0,IF(ISNUMBER($E29),($E29+$F29)*Stock!S29/100,Stock!S29))</f>
        <v>0</v>
      </c>
      <c r="Y29" s="9">
        <f ca="1">IF(Stock!T29="",0,IF(ISNUMBER($E29),($E29+$F29)*Stock!T29/100,Stock!T29))</f>
        <v>0</v>
      </c>
      <c r="Z29" s="9">
        <f ca="1">IF(Stock!U29="",0,IF(ISNUMBER($E29),($E29+$F29)*Stock!U29/100,Stock!U29))</f>
        <v>0</v>
      </c>
      <c r="AA29" s="9">
        <f ca="1">IF(Stock!V29="",0,IF(ISNUMBER($E29),($E29+$F29)*Stock!V29/100,Stock!V29))</f>
        <v>0</v>
      </c>
      <c r="AB29" s="9">
        <f ca="1">IF(Stock!W29="",0,IF(ISNUMBER($E29),($E29+$F29)*Stock!W29/100,Stock!W29))</f>
        <v>0</v>
      </c>
      <c r="AC29" s="9">
        <f ca="1">IF(Stock!X29="",0,IF(ISNUMBER($E29),($E29+$F29)*Stock!X29/100,Stock!X29))</f>
        <v>0</v>
      </c>
      <c r="AD29" s="9">
        <f ca="1">IF(Stock!Y29="",0,IF(ISNUMBER($E29),($E29+$F29)*Stock!Y29/100,Stock!Y29))</f>
        <v>0</v>
      </c>
      <c r="AE29" s="9">
        <f ca="1">IF(Stock!Z29="",0,IF(ISNUMBER($E29),($E29+$F29)*Stock!Z29/100,Stock!Z29))</f>
        <v>0</v>
      </c>
      <c r="AF29" s="9">
        <f ca="1">IF(Stock!AA29="",0,IF(ISNUMBER($E29),($E29+$F29)*Stock!AA29/100,Stock!AA29))</f>
        <v>0</v>
      </c>
      <c r="AG29" s="9">
        <f ca="1">IF(Stock!AB29="",0,IF(ISNUMBER($E29),($E29+$F29)*Stock!AB29/100,Stock!AB29))</f>
        <v>0</v>
      </c>
      <c r="AH29" s="9">
        <f ca="1">IF(Stock!AC29="",0,IF(ISNUMBER($E29),($E29+$F29)*Stock!AC29/100,Stock!AC29))</f>
        <v>0</v>
      </c>
      <c r="AI29" s="9">
        <f ca="1">IF(Stock!AD29="",0,IF(ISNUMBER($E29),($E29+$F29)*Stock!AD29/100,Stock!AD29))</f>
        <v>0</v>
      </c>
      <c r="AJ29" s="9">
        <f ca="1">IF(Stock!AE29="",0,IF(ISNUMBER($E29),($E29+$F29)*Stock!AE29/100,Stock!AE29))</f>
        <v>0</v>
      </c>
      <c r="AK29" s="9">
        <f ca="1">IF(Stock!AF29="",0,IF(ISNUMBER($E29),($E29+$F29)*Stock!AF29/100,Stock!AF29))</f>
        <v>0</v>
      </c>
      <c r="AL29" s="9">
        <f ca="1">IF(Stock!AG29="",0,IF(ISNUMBER($E29),($E29+$F29)*Stock!AG29/100,Stock!AG29))</f>
        <v>0</v>
      </c>
      <c r="AM29" s="9">
        <f ca="1">IF(Stock!AH29="",0,IF(ISNUMBER($E29),($E29+$F29)*Stock!AH29/100,Stock!AH29))</f>
        <v>0</v>
      </c>
      <c r="AN29" s="9">
        <f ca="1">IF(Stock!AI29="",0,IF(ISNUMBER($E29),($E29+$F29)*Stock!AI29/100,Stock!AI29))</f>
        <v>0</v>
      </c>
      <c r="AO29" s="9">
        <f ca="1">IF(Stock!AJ29="",0,IF(ISNUMBER($E29),($E29+$F29)*Stock!AJ29/100,Stock!AJ29))</f>
        <v>0</v>
      </c>
      <c r="AP29" s="9">
        <f ca="1">IF(Stock!AK29="",0,IF(ISNUMBER($E29),($E29+$F29)*Stock!AK29/100,Stock!AK29))</f>
        <v>0</v>
      </c>
      <c r="AQ29" s="9">
        <f ca="1">IF(Stock!AL29="",0,IF(ISNUMBER($E29),($E29+$F29)*Stock!AL29/100,Stock!AL29))</f>
        <v>0</v>
      </c>
      <c r="AR29" s="9">
        <f ca="1">IF(Stock!AM29="",0,IF(ISNUMBER($E29),($E29+$F29)*Stock!AM29/100,Stock!AM29))</f>
        <v>0</v>
      </c>
      <c r="AS29" s="9">
        <f ca="1">IF(Stock!AN29="",0,IF(ISNUMBER($E29),($E29+$F29)*Stock!AN29/100,Stock!AN29))</f>
        <v>0</v>
      </c>
      <c r="AT29" s="9">
        <f ca="1">IF(Stock!AO29="",0,IF(ISNUMBER($E29),($E29+$F29)*Stock!AO29/100,Stock!AO29))</f>
        <v>0</v>
      </c>
      <c r="AU29" s="9">
        <f ca="1">IF(Stock!AP29="",0,IF(ISNUMBER($E29),($E29+$F29)*Stock!AP29/100,Stock!AP29))</f>
        <v>0</v>
      </c>
      <c r="AV29" s="9">
        <f ca="1">IF(Stock!AQ29="",0,IF(ISNUMBER($E29),($E29+$F29)*Stock!AQ29/100,Stock!AQ29))</f>
        <v>0</v>
      </c>
      <c r="AW29" s="9">
        <f ca="1">IF(Stock!AR29="",0,IF(ISNUMBER($E29),($E29+$F29)*Stock!AR29/100,Stock!AR29))</f>
        <v>0</v>
      </c>
      <c r="AX29" s="9">
        <f ca="1">IF(Stock!AS29="",0,IF(ISNUMBER($E29),($E29+$F29)*Stock!AS29/100,Stock!AS29))</f>
        <v>0</v>
      </c>
      <c r="AY29" s="9">
        <f ca="1">IF(Stock!AT29="",0,IF(ISNUMBER($E29),($E29+$F29)*Stock!AT29/100,Stock!AT29))</f>
        <v>0</v>
      </c>
      <c r="AZ29" s="9">
        <f ca="1">IF(Stock!AU29="",0,IF(ISNUMBER($E29),($E29+$F29)*Stock!AU29/100,Stock!AU29))</f>
        <v>0</v>
      </c>
      <c r="BA29" s="9">
        <f ca="1">IF(Stock!AV29="",0,IF(ISNUMBER($E29),($E29+$F29)*Stock!AV29/100,Stock!AV29))</f>
        <v>0</v>
      </c>
      <c r="BB29" s="9">
        <f ca="1">IF(Stock!AW29="",0,IF(ISNUMBER($E29),($E29+$F29)*Stock!AW29/100,Stock!AW29))</f>
        <v>0</v>
      </c>
      <c r="BC29" s="9">
        <f ca="1">IF(Stock!AX29="",0,IF(ISNUMBER($E29),($E29+$F29)*Stock!AX29/100,Stock!AX29))</f>
        <v>0</v>
      </c>
    </row>
    <row r="30" spans="1:55" x14ac:dyDescent="0.3">
      <c r="A30" s="2" t="str">
        <f t="shared" si="0"/>
        <v/>
      </c>
      <c r="B30" s="3" t="str">
        <f t="shared" si="1"/>
        <v/>
      </c>
      <c r="C30" s="4" t="str">
        <f>IF(Repo!C34="","",Repo!C34)</f>
        <v/>
      </c>
      <c r="D30" s="4" t="str">
        <f>IF(Repo!D34="","",Repo!D34)</f>
        <v/>
      </c>
      <c r="E30" s="62">
        <f ca="1">IF(A30="",0,IF(LEFT(C30,3) = "USB",100*(1-_xll.BDP(D30 &amp; " Govt",E$1)*(B30-TODAY()+1)/36000),_xll.BDP(D30 &amp; " Govt",E$1)))</f>
        <v>0</v>
      </c>
      <c r="F30" s="62">
        <f>IF(A30="",0,IF(LEFT(D30,1) = "B",0,_xll.BDP(D30 &amp; " Govt",F$1)))</f>
        <v>0</v>
      </c>
      <c r="G30" s="9">
        <f>IF(Stock!B30="",0,IF(ISNUMBER($E30),($E30+$F30)*Stock!B30/100,Stock!B30))</f>
        <v>0</v>
      </c>
      <c r="H30" s="9">
        <f ca="1">IF(Stock!C30="",0,IF(ISNUMBER($E30),($E30+$F30)*Stock!C30/100,Stock!C30))</f>
        <v>0</v>
      </c>
      <c r="I30" s="9">
        <f ca="1">IF(Stock!D30="",0,IF(ISNUMBER($E30),($E30+$F30)*Stock!D30/100,Stock!D30))</f>
        <v>0</v>
      </c>
      <c r="J30" s="9">
        <f ca="1">IF(Stock!E30="",0,IF(ISNUMBER($E30),($E30+$F30)*Stock!E30/100,Stock!E30))</f>
        <v>0</v>
      </c>
      <c r="K30" s="9">
        <f ca="1">IF(Stock!F30="",0,IF(ISNUMBER($E30),($E30+$F30)*Stock!F30/100,Stock!F30))</f>
        <v>0</v>
      </c>
      <c r="L30" s="9">
        <f ca="1">IF(Stock!G30="",0,IF(ISNUMBER($E30),($E30+$F30)*Stock!G30/100,Stock!G30))</f>
        <v>0</v>
      </c>
      <c r="M30" s="9">
        <f ca="1">IF(Stock!H30="",0,IF(ISNUMBER($E30),($E30+$F30)*Stock!H30/100,Stock!H30))</f>
        <v>0</v>
      </c>
      <c r="N30" s="9">
        <f ca="1">IF(Stock!I30="",0,IF(ISNUMBER($E30),($E30+$F30)*Stock!I30/100,Stock!I30))</f>
        <v>0</v>
      </c>
      <c r="O30" s="9">
        <f ca="1">IF(Stock!J30="",0,IF(ISNUMBER($E30),($E30+$F30)*Stock!J30/100,Stock!J30))</f>
        <v>0</v>
      </c>
      <c r="P30" s="9">
        <f ca="1">IF(Stock!K30="",0,IF(ISNUMBER($E30),($E30+$F30)*Stock!K30/100,Stock!K30))</f>
        <v>0</v>
      </c>
      <c r="Q30" s="9">
        <f ca="1">IF(Stock!L30="",0,IF(ISNUMBER($E30),($E30+$F30)*Stock!L30/100,Stock!L30))</f>
        <v>0</v>
      </c>
      <c r="R30" s="9">
        <f ca="1">IF(Stock!M30="",0,IF(ISNUMBER($E30),($E30+$F30)*Stock!M30/100,Stock!M30))</f>
        <v>0</v>
      </c>
      <c r="S30" s="9">
        <f ca="1">IF(Stock!N30="",0,IF(ISNUMBER($E30),($E30+$F30)*Stock!N30/100,Stock!N30))</f>
        <v>0</v>
      </c>
      <c r="T30" s="9">
        <f ca="1">IF(Stock!O30="",0,IF(ISNUMBER($E30),($E30+$F30)*Stock!O30/100,Stock!O30))</f>
        <v>0</v>
      </c>
      <c r="U30" s="9">
        <f ca="1">IF(Stock!P30="",0,IF(ISNUMBER($E30),($E30+$F30)*Stock!P30/100,Stock!P30))</f>
        <v>0</v>
      </c>
      <c r="V30" s="9">
        <f ca="1">IF(Stock!Q30="",0,IF(ISNUMBER($E30),($E30+$F30)*Stock!Q30/100,Stock!Q30))</f>
        <v>0</v>
      </c>
      <c r="W30" s="9">
        <f ca="1">IF(Stock!R30="",0,IF(ISNUMBER($E30),($E30+$F30)*Stock!R30/100,Stock!R30))</f>
        <v>0</v>
      </c>
      <c r="X30" s="9">
        <f ca="1">IF(Stock!S30="",0,IF(ISNUMBER($E30),($E30+$F30)*Stock!S30/100,Stock!S30))</f>
        <v>0</v>
      </c>
      <c r="Y30" s="9">
        <f ca="1">IF(Stock!T30="",0,IF(ISNUMBER($E30),($E30+$F30)*Stock!T30/100,Stock!T30))</f>
        <v>0</v>
      </c>
      <c r="Z30" s="9">
        <f ca="1">IF(Stock!U30="",0,IF(ISNUMBER($E30),($E30+$F30)*Stock!U30/100,Stock!U30))</f>
        <v>0</v>
      </c>
      <c r="AA30" s="9">
        <f ca="1">IF(Stock!V30="",0,IF(ISNUMBER($E30),($E30+$F30)*Stock!V30/100,Stock!V30))</f>
        <v>0</v>
      </c>
      <c r="AB30" s="9">
        <f ca="1">IF(Stock!W30="",0,IF(ISNUMBER($E30),($E30+$F30)*Stock!W30/100,Stock!W30))</f>
        <v>0</v>
      </c>
      <c r="AC30" s="9">
        <f ca="1">IF(Stock!X30="",0,IF(ISNUMBER($E30),($E30+$F30)*Stock!X30/100,Stock!X30))</f>
        <v>0</v>
      </c>
      <c r="AD30" s="9">
        <f ca="1">IF(Stock!Y30="",0,IF(ISNUMBER($E30),($E30+$F30)*Stock!Y30/100,Stock!Y30))</f>
        <v>0</v>
      </c>
      <c r="AE30" s="9">
        <f ca="1">IF(Stock!Z30="",0,IF(ISNUMBER($E30),($E30+$F30)*Stock!Z30/100,Stock!Z30))</f>
        <v>0</v>
      </c>
      <c r="AF30" s="9">
        <f ca="1">IF(Stock!AA30="",0,IF(ISNUMBER($E30),($E30+$F30)*Stock!AA30/100,Stock!AA30))</f>
        <v>0</v>
      </c>
      <c r="AG30" s="9">
        <f ca="1">IF(Stock!AB30="",0,IF(ISNUMBER($E30),($E30+$F30)*Stock!AB30/100,Stock!AB30))</f>
        <v>0</v>
      </c>
      <c r="AH30" s="9">
        <f ca="1">IF(Stock!AC30="",0,IF(ISNUMBER($E30),($E30+$F30)*Stock!AC30/100,Stock!AC30))</f>
        <v>0</v>
      </c>
      <c r="AI30" s="9">
        <f ca="1">IF(Stock!AD30="",0,IF(ISNUMBER($E30),($E30+$F30)*Stock!AD30/100,Stock!AD30))</f>
        <v>0</v>
      </c>
      <c r="AJ30" s="9">
        <f ca="1">IF(Stock!AE30="",0,IF(ISNUMBER($E30),($E30+$F30)*Stock!AE30/100,Stock!AE30))</f>
        <v>0</v>
      </c>
      <c r="AK30" s="9">
        <f ca="1">IF(Stock!AF30="",0,IF(ISNUMBER($E30),($E30+$F30)*Stock!AF30/100,Stock!AF30))</f>
        <v>0</v>
      </c>
      <c r="AL30" s="9">
        <f ca="1">IF(Stock!AG30="",0,IF(ISNUMBER($E30),($E30+$F30)*Stock!AG30/100,Stock!AG30))</f>
        <v>0</v>
      </c>
      <c r="AM30" s="9">
        <f ca="1">IF(Stock!AH30="",0,IF(ISNUMBER($E30),($E30+$F30)*Stock!AH30/100,Stock!AH30))</f>
        <v>0</v>
      </c>
      <c r="AN30" s="9">
        <f ca="1">IF(Stock!AI30="",0,IF(ISNUMBER($E30),($E30+$F30)*Stock!AI30/100,Stock!AI30))</f>
        <v>0</v>
      </c>
      <c r="AO30" s="9">
        <f ca="1">IF(Stock!AJ30="",0,IF(ISNUMBER($E30),($E30+$F30)*Stock!AJ30/100,Stock!AJ30))</f>
        <v>0</v>
      </c>
      <c r="AP30" s="9">
        <f ca="1">IF(Stock!AK30="",0,IF(ISNUMBER($E30),($E30+$F30)*Stock!AK30/100,Stock!AK30))</f>
        <v>0</v>
      </c>
      <c r="AQ30" s="9">
        <f ca="1">IF(Stock!AL30="",0,IF(ISNUMBER($E30),($E30+$F30)*Stock!AL30/100,Stock!AL30))</f>
        <v>0</v>
      </c>
      <c r="AR30" s="9">
        <f ca="1">IF(Stock!AM30="",0,IF(ISNUMBER($E30),($E30+$F30)*Stock!AM30/100,Stock!AM30))</f>
        <v>0</v>
      </c>
      <c r="AS30" s="9">
        <f ca="1">IF(Stock!AN30="",0,IF(ISNUMBER($E30),($E30+$F30)*Stock!AN30/100,Stock!AN30))</f>
        <v>0</v>
      </c>
      <c r="AT30" s="9">
        <f ca="1">IF(Stock!AO30="",0,IF(ISNUMBER($E30),($E30+$F30)*Stock!AO30/100,Stock!AO30))</f>
        <v>0</v>
      </c>
      <c r="AU30" s="9">
        <f ca="1">IF(Stock!AP30="",0,IF(ISNUMBER($E30),($E30+$F30)*Stock!AP30/100,Stock!AP30))</f>
        <v>0</v>
      </c>
      <c r="AV30" s="9">
        <f ca="1">IF(Stock!AQ30="",0,IF(ISNUMBER($E30),($E30+$F30)*Stock!AQ30/100,Stock!AQ30))</f>
        <v>0</v>
      </c>
      <c r="AW30" s="9">
        <f ca="1">IF(Stock!AR30="",0,IF(ISNUMBER($E30),($E30+$F30)*Stock!AR30/100,Stock!AR30))</f>
        <v>0</v>
      </c>
      <c r="AX30" s="9">
        <f ca="1">IF(Stock!AS30="",0,IF(ISNUMBER($E30),($E30+$F30)*Stock!AS30/100,Stock!AS30))</f>
        <v>0</v>
      </c>
      <c r="AY30" s="9">
        <f ca="1">IF(Stock!AT30="",0,IF(ISNUMBER($E30),($E30+$F30)*Stock!AT30/100,Stock!AT30))</f>
        <v>0</v>
      </c>
      <c r="AZ30" s="9">
        <f ca="1">IF(Stock!AU30="",0,IF(ISNUMBER($E30),($E30+$F30)*Stock!AU30/100,Stock!AU30))</f>
        <v>0</v>
      </c>
      <c r="BA30" s="9">
        <f ca="1">IF(Stock!AV30="",0,IF(ISNUMBER($E30),($E30+$F30)*Stock!AV30/100,Stock!AV30))</f>
        <v>0</v>
      </c>
      <c r="BB30" s="9">
        <f ca="1">IF(Stock!AW30="",0,IF(ISNUMBER($E30),($E30+$F30)*Stock!AW30/100,Stock!AW30))</f>
        <v>0</v>
      </c>
      <c r="BC30" s="9">
        <f ca="1">IF(Stock!AX30="",0,IF(ISNUMBER($E30),($E30+$F30)*Stock!AX30/100,Stock!AX30))</f>
        <v>0</v>
      </c>
    </row>
    <row r="31" spans="1:55" x14ac:dyDescent="0.3">
      <c r="A31" s="2" t="str">
        <f t="shared" si="0"/>
        <v/>
      </c>
      <c r="B31" s="3" t="str">
        <f t="shared" si="1"/>
        <v/>
      </c>
      <c r="C31" s="4" t="str">
        <f>IF(Repo!C35="","",Repo!C35)</f>
        <v/>
      </c>
      <c r="D31" s="4" t="str">
        <f>IF(Repo!D35="","",Repo!D35)</f>
        <v/>
      </c>
      <c r="E31" s="62">
        <f ca="1">IF(A31="",0,IF(LEFT(C31,3) = "USB",100*(1-_xll.BDP(D31 &amp; " Govt",E$1)*(B31-TODAY()+1)/36000),_xll.BDP(D31 &amp; " Govt",E$1)))</f>
        <v>0</v>
      </c>
      <c r="F31" s="62">
        <f>IF(A31="",0,IF(LEFT(D31,1) = "B",0,_xll.BDP(D31 &amp; " Govt",F$1)))</f>
        <v>0</v>
      </c>
      <c r="G31" s="9">
        <f>IF(Stock!B31="",0,IF(ISNUMBER($E31),($E31+$F31)*Stock!B31/100,Stock!B31))</f>
        <v>0</v>
      </c>
      <c r="H31" s="9">
        <f ca="1">IF(Stock!C31="",0,IF(ISNUMBER($E31),($E31+$F31)*Stock!C31/100,Stock!C31))</f>
        <v>0</v>
      </c>
      <c r="I31" s="9">
        <f ca="1">IF(Stock!D31="",0,IF(ISNUMBER($E31),($E31+$F31)*Stock!D31/100,Stock!D31))</f>
        <v>0</v>
      </c>
      <c r="J31" s="9">
        <f ca="1">IF(Stock!E31="",0,IF(ISNUMBER($E31),($E31+$F31)*Stock!E31/100,Stock!E31))</f>
        <v>0</v>
      </c>
      <c r="K31" s="9">
        <f ca="1">IF(Stock!F31="",0,IF(ISNUMBER($E31),($E31+$F31)*Stock!F31/100,Stock!F31))</f>
        <v>0</v>
      </c>
      <c r="L31" s="9">
        <f ca="1">IF(Stock!G31="",0,IF(ISNUMBER($E31),($E31+$F31)*Stock!G31/100,Stock!G31))</f>
        <v>0</v>
      </c>
      <c r="M31" s="9">
        <f ca="1">IF(Stock!H31="",0,IF(ISNUMBER($E31),($E31+$F31)*Stock!H31/100,Stock!H31))</f>
        <v>0</v>
      </c>
      <c r="N31" s="9">
        <f ca="1">IF(Stock!I31="",0,IF(ISNUMBER($E31),($E31+$F31)*Stock!I31/100,Stock!I31))</f>
        <v>0</v>
      </c>
      <c r="O31" s="9">
        <f ca="1">IF(Stock!J31="",0,IF(ISNUMBER($E31),($E31+$F31)*Stock!J31/100,Stock!J31))</f>
        <v>0</v>
      </c>
      <c r="P31" s="9">
        <f ca="1">IF(Stock!K31="",0,IF(ISNUMBER($E31),($E31+$F31)*Stock!K31/100,Stock!K31))</f>
        <v>0</v>
      </c>
      <c r="Q31" s="9">
        <f ca="1">IF(Stock!L31="",0,IF(ISNUMBER($E31),($E31+$F31)*Stock!L31/100,Stock!L31))</f>
        <v>0</v>
      </c>
      <c r="R31" s="9">
        <f ca="1">IF(Stock!M31="",0,IF(ISNUMBER($E31),($E31+$F31)*Stock!M31/100,Stock!M31))</f>
        <v>0</v>
      </c>
      <c r="S31" s="9">
        <f ca="1">IF(Stock!N31="",0,IF(ISNUMBER($E31),($E31+$F31)*Stock!N31/100,Stock!N31))</f>
        <v>0</v>
      </c>
      <c r="T31" s="9">
        <f ca="1">IF(Stock!O31="",0,IF(ISNUMBER($E31),($E31+$F31)*Stock!O31/100,Stock!O31))</f>
        <v>0</v>
      </c>
      <c r="U31" s="9">
        <f ca="1">IF(Stock!P31="",0,IF(ISNUMBER($E31),($E31+$F31)*Stock!P31/100,Stock!P31))</f>
        <v>0</v>
      </c>
      <c r="V31" s="9">
        <f ca="1">IF(Stock!Q31="",0,IF(ISNUMBER($E31),($E31+$F31)*Stock!Q31/100,Stock!Q31))</f>
        <v>0</v>
      </c>
      <c r="W31" s="9">
        <f ca="1">IF(Stock!R31="",0,IF(ISNUMBER($E31),($E31+$F31)*Stock!R31/100,Stock!R31))</f>
        <v>0</v>
      </c>
      <c r="X31" s="9">
        <f ca="1">IF(Stock!S31="",0,IF(ISNUMBER($E31),($E31+$F31)*Stock!S31/100,Stock!S31))</f>
        <v>0</v>
      </c>
      <c r="Y31" s="9">
        <f ca="1">IF(Stock!T31="",0,IF(ISNUMBER($E31),($E31+$F31)*Stock!T31/100,Stock!T31))</f>
        <v>0</v>
      </c>
      <c r="Z31" s="9">
        <f ca="1">IF(Stock!U31="",0,IF(ISNUMBER($E31),($E31+$F31)*Stock!U31/100,Stock!U31))</f>
        <v>0</v>
      </c>
      <c r="AA31" s="9">
        <f ca="1">IF(Stock!V31="",0,IF(ISNUMBER($E31),($E31+$F31)*Stock!V31/100,Stock!V31))</f>
        <v>0</v>
      </c>
      <c r="AB31" s="9">
        <f ca="1">IF(Stock!W31="",0,IF(ISNUMBER($E31),($E31+$F31)*Stock!W31/100,Stock!W31))</f>
        <v>0</v>
      </c>
      <c r="AC31" s="9">
        <f ca="1">IF(Stock!X31="",0,IF(ISNUMBER($E31),($E31+$F31)*Stock!X31/100,Stock!X31))</f>
        <v>0</v>
      </c>
      <c r="AD31" s="9">
        <f ca="1">IF(Stock!Y31="",0,IF(ISNUMBER($E31),($E31+$F31)*Stock!Y31/100,Stock!Y31))</f>
        <v>0</v>
      </c>
      <c r="AE31" s="9">
        <f ca="1">IF(Stock!Z31="",0,IF(ISNUMBER($E31),($E31+$F31)*Stock!Z31/100,Stock!Z31))</f>
        <v>0</v>
      </c>
      <c r="AF31" s="9">
        <f ca="1">IF(Stock!AA31="",0,IF(ISNUMBER($E31),($E31+$F31)*Stock!AA31/100,Stock!AA31))</f>
        <v>0</v>
      </c>
      <c r="AG31" s="9">
        <f ca="1">IF(Stock!AB31="",0,IF(ISNUMBER($E31),($E31+$F31)*Stock!AB31/100,Stock!AB31))</f>
        <v>0</v>
      </c>
      <c r="AH31" s="9">
        <f ca="1">IF(Stock!AC31="",0,IF(ISNUMBER($E31),($E31+$F31)*Stock!AC31/100,Stock!AC31))</f>
        <v>0</v>
      </c>
      <c r="AI31" s="9">
        <f ca="1">IF(Stock!AD31="",0,IF(ISNUMBER($E31),($E31+$F31)*Stock!AD31/100,Stock!AD31))</f>
        <v>0</v>
      </c>
      <c r="AJ31" s="9">
        <f ca="1">IF(Stock!AE31="",0,IF(ISNUMBER($E31),($E31+$F31)*Stock!AE31/100,Stock!AE31))</f>
        <v>0</v>
      </c>
      <c r="AK31" s="9">
        <f ca="1">IF(Stock!AF31="",0,IF(ISNUMBER($E31),($E31+$F31)*Stock!AF31/100,Stock!AF31))</f>
        <v>0</v>
      </c>
      <c r="AL31" s="9">
        <f ca="1">IF(Stock!AG31="",0,IF(ISNUMBER($E31),($E31+$F31)*Stock!AG31/100,Stock!AG31))</f>
        <v>0</v>
      </c>
      <c r="AM31" s="9">
        <f ca="1">IF(Stock!AH31="",0,IF(ISNUMBER($E31),($E31+$F31)*Stock!AH31/100,Stock!AH31))</f>
        <v>0</v>
      </c>
      <c r="AN31" s="9">
        <f ca="1">IF(Stock!AI31="",0,IF(ISNUMBER($E31),($E31+$F31)*Stock!AI31/100,Stock!AI31))</f>
        <v>0</v>
      </c>
      <c r="AO31" s="9">
        <f ca="1">IF(Stock!AJ31="",0,IF(ISNUMBER($E31),($E31+$F31)*Stock!AJ31/100,Stock!AJ31))</f>
        <v>0</v>
      </c>
      <c r="AP31" s="9">
        <f ca="1">IF(Stock!AK31="",0,IF(ISNUMBER($E31),($E31+$F31)*Stock!AK31/100,Stock!AK31))</f>
        <v>0</v>
      </c>
      <c r="AQ31" s="9">
        <f ca="1">IF(Stock!AL31="",0,IF(ISNUMBER($E31),($E31+$F31)*Stock!AL31/100,Stock!AL31))</f>
        <v>0</v>
      </c>
      <c r="AR31" s="9">
        <f ca="1">IF(Stock!AM31="",0,IF(ISNUMBER($E31),($E31+$F31)*Stock!AM31/100,Stock!AM31))</f>
        <v>0</v>
      </c>
      <c r="AS31" s="9">
        <f ca="1">IF(Stock!AN31="",0,IF(ISNUMBER($E31),($E31+$F31)*Stock!AN31/100,Stock!AN31))</f>
        <v>0</v>
      </c>
      <c r="AT31" s="9">
        <f ca="1">IF(Stock!AO31="",0,IF(ISNUMBER($E31),($E31+$F31)*Stock!AO31/100,Stock!AO31))</f>
        <v>0</v>
      </c>
      <c r="AU31" s="9">
        <f ca="1">IF(Stock!AP31="",0,IF(ISNUMBER($E31),($E31+$F31)*Stock!AP31/100,Stock!AP31))</f>
        <v>0</v>
      </c>
      <c r="AV31" s="9">
        <f ca="1">IF(Stock!AQ31="",0,IF(ISNUMBER($E31),($E31+$F31)*Stock!AQ31/100,Stock!AQ31))</f>
        <v>0</v>
      </c>
      <c r="AW31" s="9">
        <f ca="1">IF(Stock!AR31="",0,IF(ISNUMBER($E31),($E31+$F31)*Stock!AR31/100,Stock!AR31))</f>
        <v>0</v>
      </c>
      <c r="AX31" s="9">
        <f ca="1">IF(Stock!AS31="",0,IF(ISNUMBER($E31),($E31+$F31)*Stock!AS31/100,Stock!AS31))</f>
        <v>0</v>
      </c>
      <c r="AY31" s="9">
        <f ca="1">IF(Stock!AT31="",0,IF(ISNUMBER($E31),($E31+$F31)*Stock!AT31/100,Stock!AT31))</f>
        <v>0</v>
      </c>
      <c r="AZ31" s="9">
        <f ca="1">IF(Stock!AU31="",0,IF(ISNUMBER($E31),($E31+$F31)*Stock!AU31/100,Stock!AU31))</f>
        <v>0</v>
      </c>
      <c r="BA31" s="9">
        <f ca="1">IF(Stock!AV31="",0,IF(ISNUMBER($E31),($E31+$F31)*Stock!AV31/100,Stock!AV31))</f>
        <v>0</v>
      </c>
      <c r="BB31" s="9">
        <f ca="1">IF(Stock!AW31="",0,IF(ISNUMBER($E31),($E31+$F31)*Stock!AW31/100,Stock!AW31))</f>
        <v>0</v>
      </c>
      <c r="BC31" s="9">
        <f ca="1">IF(Stock!AX31="",0,IF(ISNUMBER($E31),($E31+$F31)*Stock!AX31/100,Stock!AX31))</f>
        <v>0</v>
      </c>
    </row>
    <row r="32" spans="1:55" x14ac:dyDescent="0.3">
      <c r="A32" s="2" t="str">
        <f t="shared" si="0"/>
        <v/>
      </c>
      <c r="B32" s="3" t="str">
        <f t="shared" si="1"/>
        <v/>
      </c>
      <c r="C32" s="4" t="str">
        <f>IF(Repo!C36="","",Repo!C36)</f>
        <v/>
      </c>
      <c r="D32" s="4" t="str">
        <f>IF(Repo!D36="","",Repo!D36)</f>
        <v/>
      </c>
      <c r="E32" s="62">
        <f ca="1">IF(A32="",0,IF(LEFT(C32,3) = "USB",100*(1-_xll.BDP(D32 &amp; " Govt",E$1)*(B32-TODAY()+1)/36000),_xll.BDP(D32 &amp; " Govt",E$1)))</f>
        <v>0</v>
      </c>
      <c r="F32" s="62">
        <f>IF(A32="",0,IF(LEFT(D32,1) = "B",0,_xll.BDP(D32 &amp; " Govt",F$1)))</f>
        <v>0</v>
      </c>
      <c r="G32" s="9">
        <f>IF(Stock!B32="",0,IF(ISNUMBER($E32),($E32+$F32)*Stock!B32/100,Stock!B32))</f>
        <v>0</v>
      </c>
      <c r="H32" s="9">
        <f ca="1">IF(Stock!C32="",0,IF(ISNUMBER($E32),($E32+$F32)*Stock!C32/100,Stock!C32))</f>
        <v>0</v>
      </c>
      <c r="I32" s="9">
        <f ca="1">IF(Stock!D32="",0,IF(ISNUMBER($E32),($E32+$F32)*Stock!D32/100,Stock!D32))</f>
        <v>0</v>
      </c>
      <c r="J32" s="9">
        <f ca="1">IF(Stock!E32="",0,IF(ISNUMBER($E32),($E32+$F32)*Stock!E32/100,Stock!E32))</f>
        <v>0</v>
      </c>
      <c r="K32" s="9">
        <f ca="1">IF(Stock!F32="",0,IF(ISNUMBER($E32),($E32+$F32)*Stock!F32/100,Stock!F32))</f>
        <v>0</v>
      </c>
      <c r="L32" s="9">
        <f ca="1">IF(Stock!G32="",0,IF(ISNUMBER($E32),($E32+$F32)*Stock!G32/100,Stock!G32))</f>
        <v>0</v>
      </c>
      <c r="M32" s="9">
        <f ca="1">IF(Stock!H32="",0,IF(ISNUMBER($E32),($E32+$F32)*Stock!H32/100,Stock!H32))</f>
        <v>0</v>
      </c>
      <c r="N32" s="9">
        <f ca="1">IF(Stock!I32="",0,IF(ISNUMBER($E32),($E32+$F32)*Stock!I32/100,Stock!I32))</f>
        <v>0</v>
      </c>
      <c r="O32" s="9">
        <f ca="1">IF(Stock!J32="",0,IF(ISNUMBER($E32),($E32+$F32)*Stock!J32/100,Stock!J32))</f>
        <v>0</v>
      </c>
      <c r="P32" s="9">
        <f ca="1">IF(Stock!K32="",0,IF(ISNUMBER($E32),($E32+$F32)*Stock!K32/100,Stock!K32))</f>
        <v>0</v>
      </c>
      <c r="Q32" s="9">
        <f ca="1">IF(Stock!L32="",0,IF(ISNUMBER($E32),($E32+$F32)*Stock!L32/100,Stock!L32))</f>
        <v>0</v>
      </c>
      <c r="R32" s="9">
        <f ca="1">IF(Stock!M32="",0,IF(ISNUMBER($E32),($E32+$F32)*Stock!M32/100,Stock!M32))</f>
        <v>0</v>
      </c>
      <c r="S32" s="9">
        <f ca="1">IF(Stock!N32="",0,IF(ISNUMBER($E32),($E32+$F32)*Stock!N32/100,Stock!N32))</f>
        <v>0</v>
      </c>
      <c r="T32" s="9">
        <f ca="1">IF(Stock!O32="",0,IF(ISNUMBER($E32),($E32+$F32)*Stock!O32/100,Stock!O32))</f>
        <v>0</v>
      </c>
      <c r="U32" s="9">
        <f ca="1">IF(Stock!P32="",0,IF(ISNUMBER($E32),($E32+$F32)*Stock!P32/100,Stock!P32))</f>
        <v>0</v>
      </c>
      <c r="V32" s="9">
        <f ca="1">IF(Stock!Q32="",0,IF(ISNUMBER($E32),($E32+$F32)*Stock!Q32/100,Stock!Q32))</f>
        <v>0</v>
      </c>
      <c r="W32" s="9">
        <f ca="1">IF(Stock!R32="",0,IF(ISNUMBER($E32),($E32+$F32)*Stock!R32/100,Stock!R32))</f>
        <v>0</v>
      </c>
      <c r="X32" s="9">
        <f ca="1">IF(Stock!S32="",0,IF(ISNUMBER($E32),($E32+$F32)*Stock!S32/100,Stock!S32))</f>
        <v>0</v>
      </c>
      <c r="Y32" s="9">
        <f ca="1">IF(Stock!T32="",0,IF(ISNUMBER($E32),($E32+$F32)*Stock!T32/100,Stock!T32))</f>
        <v>0</v>
      </c>
      <c r="Z32" s="9">
        <f ca="1">IF(Stock!U32="",0,IF(ISNUMBER($E32),($E32+$F32)*Stock!U32/100,Stock!U32))</f>
        <v>0</v>
      </c>
      <c r="AA32" s="9">
        <f ca="1">IF(Stock!V32="",0,IF(ISNUMBER($E32),($E32+$F32)*Stock!V32/100,Stock!V32))</f>
        <v>0</v>
      </c>
      <c r="AB32" s="9">
        <f ca="1">IF(Stock!W32="",0,IF(ISNUMBER($E32),($E32+$F32)*Stock!W32/100,Stock!W32))</f>
        <v>0</v>
      </c>
      <c r="AC32" s="9">
        <f ca="1">IF(Stock!X32="",0,IF(ISNUMBER($E32),($E32+$F32)*Stock!X32/100,Stock!X32))</f>
        <v>0</v>
      </c>
      <c r="AD32" s="9">
        <f ca="1">IF(Stock!Y32="",0,IF(ISNUMBER($E32),($E32+$F32)*Stock!Y32/100,Stock!Y32))</f>
        <v>0</v>
      </c>
      <c r="AE32" s="9">
        <f ca="1">IF(Stock!Z32="",0,IF(ISNUMBER($E32),($E32+$F32)*Stock!Z32/100,Stock!Z32))</f>
        <v>0</v>
      </c>
      <c r="AF32" s="9">
        <f ca="1">IF(Stock!AA32="",0,IF(ISNUMBER($E32),($E32+$F32)*Stock!AA32/100,Stock!AA32))</f>
        <v>0</v>
      </c>
      <c r="AG32" s="9">
        <f ca="1">IF(Stock!AB32="",0,IF(ISNUMBER($E32),($E32+$F32)*Stock!AB32/100,Stock!AB32))</f>
        <v>0</v>
      </c>
      <c r="AH32" s="9">
        <f ca="1">IF(Stock!AC32="",0,IF(ISNUMBER($E32),($E32+$F32)*Stock!AC32/100,Stock!AC32))</f>
        <v>0</v>
      </c>
      <c r="AI32" s="9">
        <f ca="1">IF(Stock!AD32="",0,IF(ISNUMBER($E32),($E32+$F32)*Stock!AD32/100,Stock!AD32))</f>
        <v>0</v>
      </c>
      <c r="AJ32" s="9">
        <f ca="1">IF(Stock!AE32="",0,IF(ISNUMBER($E32),($E32+$F32)*Stock!AE32/100,Stock!AE32))</f>
        <v>0</v>
      </c>
      <c r="AK32" s="9">
        <f ca="1">IF(Stock!AF32="",0,IF(ISNUMBER($E32),($E32+$F32)*Stock!AF32/100,Stock!AF32))</f>
        <v>0</v>
      </c>
      <c r="AL32" s="9">
        <f ca="1">IF(Stock!AG32="",0,IF(ISNUMBER($E32),($E32+$F32)*Stock!AG32/100,Stock!AG32))</f>
        <v>0</v>
      </c>
      <c r="AM32" s="9">
        <f ca="1">IF(Stock!AH32="",0,IF(ISNUMBER($E32),($E32+$F32)*Stock!AH32/100,Stock!AH32))</f>
        <v>0</v>
      </c>
      <c r="AN32" s="9">
        <f ca="1">IF(Stock!AI32="",0,IF(ISNUMBER($E32),($E32+$F32)*Stock!AI32/100,Stock!AI32))</f>
        <v>0</v>
      </c>
      <c r="AO32" s="9">
        <f ca="1">IF(Stock!AJ32="",0,IF(ISNUMBER($E32),($E32+$F32)*Stock!AJ32/100,Stock!AJ32))</f>
        <v>0</v>
      </c>
      <c r="AP32" s="9">
        <f ca="1">IF(Stock!AK32="",0,IF(ISNUMBER($E32),($E32+$F32)*Stock!AK32/100,Stock!AK32))</f>
        <v>0</v>
      </c>
      <c r="AQ32" s="9">
        <f ca="1">IF(Stock!AL32="",0,IF(ISNUMBER($E32),($E32+$F32)*Stock!AL32/100,Stock!AL32))</f>
        <v>0</v>
      </c>
      <c r="AR32" s="9">
        <f ca="1">IF(Stock!AM32="",0,IF(ISNUMBER($E32),($E32+$F32)*Stock!AM32/100,Stock!AM32))</f>
        <v>0</v>
      </c>
      <c r="AS32" s="9">
        <f ca="1">IF(Stock!AN32="",0,IF(ISNUMBER($E32),($E32+$F32)*Stock!AN32/100,Stock!AN32))</f>
        <v>0</v>
      </c>
      <c r="AT32" s="9">
        <f ca="1">IF(Stock!AO32="",0,IF(ISNUMBER($E32),($E32+$F32)*Stock!AO32/100,Stock!AO32))</f>
        <v>0</v>
      </c>
      <c r="AU32" s="9">
        <f ca="1">IF(Stock!AP32="",0,IF(ISNUMBER($E32),($E32+$F32)*Stock!AP32/100,Stock!AP32))</f>
        <v>0</v>
      </c>
      <c r="AV32" s="9">
        <f ca="1">IF(Stock!AQ32="",0,IF(ISNUMBER($E32),($E32+$F32)*Stock!AQ32/100,Stock!AQ32))</f>
        <v>0</v>
      </c>
      <c r="AW32" s="9">
        <f ca="1">IF(Stock!AR32="",0,IF(ISNUMBER($E32),($E32+$F32)*Stock!AR32/100,Stock!AR32))</f>
        <v>0</v>
      </c>
      <c r="AX32" s="9">
        <f ca="1">IF(Stock!AS32="",0,IF(ISNUMBER($E32),($E32+$F32)*Stock!AS32/100,Stock!AS32))</f>
        <v>0</v>
      </c>
      <c r="AY32" s="9">
        <f ca="1">IF(Stock!AT32="",0,IF(ISNUMBER($E32),($E32+$F32)*Stock!AT32/100,Stock!AT32))</f>
        <v>0</v>
      </c>
      <c r="AZ32" s="9">
        <f ca="1">IF(Stock!AU32="",0,IF(ISNUMBER($E32),($E32+$F32)*Stock!AU32/100,Stock!AU32))</f>
        <v>0</v>
      </c>
      <c r="BA32" s="9">
        <f ca="1">IF(Stock!AV32="",0,IF(ISNUMBER($E32),($E32+$F32)*Stock!AV32/100,Stock!AV32))</f>
        <v>0</v>
      </c>
      <c r="BB32" s="9">
        <f ca="1">IF(Stock!AW32="",0,IF(ISNUMBER($E32),($E32+$F32)*Stock!AW32/100,Stock!AW32))</f>
        <v>0</v>
      </c>
      <c r="BC32" s="9">
        <f ca="1">IF(Stock!AX32="",0,IF(ISNUMBER($E32),($E32+$F32)*Stock!AX32/100,Stock!AX32))</f>
        <v>0</v>
      </c>
    </row>
    <row r="33" spans="1:55" x14ac:dyDescent="0.3">
      <c r="A33" s="2" t="str">
        <f t="shared" si="0"/>
        <v/>
      </c>
      <c r="B33" s="3" t="str">
        <f t="shared" si="1"/>
        <v/>
      </c>
      <c r="C33" s="4" t="str">
        <f>IF(Repo!C37="","",Repo!C37)</f>
        <v/>
      </c>
      <c r="D33" s="4" t="str">
        <f>IF(Repo!D37="","",Repo!D37)</f>
        <v/>
      </c>
      <c r="E33" s="62">
        <f ca="1">IF(A33="",0,IF(LEFT(C33,3) = "USB",100*(1-_xll.BDP(D33 &amp; " Govt",E$1)*(B33-TODAY()+1)/36000),_xll.BDP(D33 &amp; " Govt",E$1)))</f>
        <v>0</v>
      </c>
      <c r="F33" s="62">
        <f>IF(A33="",0,IF(LEFT(D33,1) = "B",0,_xll.BDP(D33 &amp; " Govt",F$1)))</f>
        <v>0</v>
      </c>
      <c r="G33" s="9">
        <f>IF(Stock!B33="",0,IF(ISNUMBER($E33),($E33+$F33)*Stock!B33/100,Stock!B33))</f>
        <v>0</v>
      </c>
      <c r="H33" s="9">
        <f ca="1">IF(Stock!C33="",0,IF(ISNUMBER($E33),($E33+$F33)*Stock!C33/100,Stock!C33))</f>
        <v>0</v>
      </c>
      <c r="I33" s="9">
        <f ca="1">IF(Stock!D33="",0,IF(ISNUMBER($E33),($E33+$F33)*Stock!D33/100,Stock!D33))</f>
        <v>0</v>
      </c>
      <c r="J33" s="9">
        <f ca="1">IF(Stock!E33="",0,IF(ISNUMBER($E33),($E33+$F33)*Stock!E33/100,Stock!E33))</f>
        <v>0</v>
      </c>
      <c r="K33" s="9">
        <f ca="1">IF(Stock!F33="",0,IF(ISNUMBER($E33),($E33+$F33)*Stock!F33/100,Stock!F33))</f>
        <v>0</v>
      </c>
      <c r="L33" s="9">
        <f ca="1">IF(Stock!G33="",0,IF(ISNUMBER($E33),($E33+$F33)*Stock!G33/100,Stock!G33))</f>
        <v>0</v>
      </c>
      <c r="M33" s="9">
        <f ca="1">IF(Stock!H33="",0,IF(ISNUMBER($E33),($E33+$F33)*Stock!H33/100,Stock!H33))</f>
        <v>0</v>
      </c>
      <c r="N33" s="9">
        <f ca="1">IF(Stock!I33="",0,IF(ISNUMBER($E33),($E33+$F33)*Stock!I33/100,Stock!I33))</f>
        <v>0</v>
      </c>
      <c r="O33" s="9">
        <f ca="1">IF(Stock!J33="",0,IF(ISNUMBER($E33),($E33+$F33)*Stock!J33/100,Stock!J33))</f>
        <v>0</v>
      </c>
      <c r="P33" s="9">
        <f ca="1">IF(Stock!K33="",0,IF(ISNUMBER($E33),($E33+$F33)*Stock!K33/100,Stock!K33))</f>
        <v>0</v>
      </c>
      <c r="Q33" s="9">
        <f ca="1">IF(Stock!L33="",0,IF(ISNUMBER($E33),($E33+$F33)*Stock!L33/100,Stock!L33))</f>
        <v>0</v>
      </c>
      <c r="R33" s="9">
        <f ca="1">IF(Stock!M33="",0,IF(ISNUMBER($E33),($E33+$F33)*Stock!M33/100,Stock!M33))</f>
        <v>0</v>
      </c>
      <c r="S33" s="9">
        <f ca="1">IF(Stock!N33="",0,IF(ISNUMBER($E33),($E33+$F33)*Stock!N33/100,Stock!N33))</f>
        <v>0</v>
      </c>
      <c r="T33" s="9">
        <f ca="1">IF(Stock!O33="",0,IF(ISNUMBER($E33),($E33+$F33)*Stock!O33/100,Stock!O33))</f>
        <v>0</v>
      </c>
      <c r="U33" s="9">
        <f ca="1">IF(Stock!P33="",0,IF(ISNUMBER($E33),($E33+$F33)*Stock!P33/100,Stock!P33))</f>
        <v>0</v>
      </c>
      <c r="V33" s="9">
        <f ca="1">IF(Stock!Q33="",0,IF(ISNUMBER($E33),($E33+$F33)*Stock!Q33/100,Stock!Q33))</f>
        <v>0</v>
      </c>
      <c r="W33" s="9">
        <f ca="1">IF(Stock!R33="",0,IF(ISNUMBER($E33),($E33+$F33)*Stock!R33/100,Stock!R33))</f>
        <v>0</v>
      </c>
      <c r="X33" s="9">
        <f ca="1">IF(Stock!S33="",0,IF(ISNUMBER($E33),($E33+$F33)*Stock!S33/100,Stock!S33))</f>
        <v>0</v>
      </c>
      <c r="Y33" s="9">
        <f ca="1">IF(Stock!T33="",0,IF(ISNUMBER($E33),($E33+$F33)*Stock!T33/100,Stock!T33))</f>
        <v>0</v>
      </c>
      <c r="Z33" s="9">
        <f ca="1">IF(Stock!U33="",0,IF(ISNUMBER($E33),($E33+$F33)*Stock!U33/100,Stock!U33))</f>
        <v>0</v>
      </c>
      <c r="AA33" s="9">
        <f ca="1">IF(Stock!V33="",0,IF(ISNUMBER($E33),($E33+$F33)*Stock!V33/100,Stock!V33))</f>
        <v>0</v>
      </c>
      <c r="AB33" s="9">
        <f ca="1">IF(Stock!W33="",0,IF(ISNUMBER($E33),($E33+$F33)*Stock!W33/100,Stock!W33))</f>
        <v>0</v>
      </c>
      <c r="AC33" s="9">
        <f ca="1">IF(Stock!X33="",0,IF(ISNUMBER($E33),($E33+$F33)*Stock!X33/100,Stock!X33))</f>
        <v>0</v>
      </c>
      <c r="AD33" s="9">
        <f ca="1">IF(Stock!Y33="",0,IF(ISNUMBER($E33),($E33+$F33)*Stock!Y33/100,Stock!Y33))</f>
        <v>0</v>
      </c>
      <c r="AE33" s="9">
        <f ca="1">IF(Stock!Z33="",0,IF(ISNUMBER($E33),($E33+$F33)*Stock!Z33/100,Stock!Z33))</f>
        <v>0</v>
      </c>
      <c r="AF33" s="9">
        <f ca="1">IF(Stock!AA33="",0,IF(ISNUMBER($E33),($E33+$F33)*Stock!AA33/100,Stock!AA33))</f>
        <v>0</v>
      </c>
      <c r="AG33" s="9">
        <f ca="1">IF(Stock!AB33="",0,IF(ISNUMBER($E33),($E33+$F33)*Stock!AB33/100,Stock!AB33))</f>
        <v>0</v>
      </c>
      <c r="AH33" s="9">
        <f ca="1">IF(Stock!AC33="",0,IF(ISNUMBER($E33),($E33+$F33)*Stock!AC33/100,Stock!AC33))</f>
        <v>0</v>
      </c>
      <c r="AI33" s="9">
        <f ca="1">IF(Stock!AD33="",0,IF(ISNUMBER($E33),($E33+$F33)*Stock!AD33/100,Stock!AD33))</f>
        <v>0</v>
      </c>
      <c r="AJ33" s="9">
        <f ca="1">IF(Stock!AE33="",0,IF(ISNUMBER($E33),($E33+$F33)*Stock!AE33/100,Stock!AE33))</f>
        <v>0</v>
      </c>
      <c r="AK33" s="9">
        <f ca="1">IF(Stock!AF33="",0,IF(ISNUMBER($E33),($E33+$F33)*Stock!AF33/100,Stock!AF33))</f>
        <v>0</v>
      </c>
      <c r="AL33" s="9">
        <f ca="1">IF(Stock!AG33="",0,IF(ISNUMBER($E33),($E33+$F33)*Stock!AG33/100,Stock!AG33))</f>
        <v>0</v>
      </c>
      <c r="AM33" s="9">
        <f ca="1">IF(Stock!AH33="",0,IF(ISNUMBER($E33),($E33+$F33)*Stock!AH33/100,Stock!AH33))</f>
        <v>0</v>
      </c>
      <c r="AN33" s="9">
        <f ca="1">IF(Stock!AI33="",0,IF(ISNUMBER($E33),($E33+$F33)*Stock!AI33/100,Stock!AI33))</f>
        <v>0</v>
      </c>
      <c r="AO33" s="9">
        <f ca="1">IF(Stock!AJ33="",0,IF(ISNUMBER($E33),($E33+$F33)*Stock!AJ33/100,Stock!AJ33))</f>
        <v>0</v>
      </c>
      <c r="AP33" s="9">
        <f ca="1">IF(Stock!AK33="",0,IF(ISNUMBER($E33),($E33+$F33)*Stock!AK33/100,Stock!AK33))</f>
        <v>0</v>
      </c>
      <c r="AQ33" s="9">
        <f ca="1">IF(Stock!AL33="",0,IF(ISNUMBER($E33),($E33+$F33)*Stock!AL33/100,Stock!AL33))</f>
        <v>0</v>
      </c>
      <c r="AR33" s="9">
        <f ca="1">IF(Stock!AM33="",0,IF(ISNUMBER($E33),($E33+$F33)*Stock!AM33/100,Stock!AM33))</f>
        <v>0</v>
      </c>
      <c r="AS33" s="9">
        <f ca="1">IF(Stock!AN33="",0,IF(ISNUMBER($E33),($E33+$F33)*Stock!AN33/100,Stock!AN33))</f>
        <v>0</v>
      </c>
      <c r="AT33" s="9">
        <f ca="1">IF(Stock!AO33="",0,IF(ISNUMBER($E33),($E33+$F33)*Stock!AO33/100,Stock!AO33))</f>
        <v>0</v>
      </c>
      <c r="AU33" s="9">
        <f ca="1">IF(Stock!AP33="",0,IF(ISNUMBER($E33),($E33+$F33)*Stock!AP33/100,Stock!AP33))</f>
        <v>0</v>
      </c>
      <c r="AV33" s="9">
        <f ca="1">IF(Stock!AQ33="",0,IF(ISNUMBER($E33),($E33+$F33)*Stock!AQ33/100,Stock!AQ33))</f>
        <v>0</v>
      </c>
      <c r="AW33" s="9">
        <f ca="1">IF(Stock!AR33="",0,IF(ISNUMBER($E33),($E33+$F33)*Stock!AR33/100,Stock!AR33))</f>
        <v>0</v>
      </c>
      <c r="AX33" s="9">
        <f ca="1">IF(Stock!AS33="",0,IF(ISNUMBER($E33),($E33+$F33)*Stock!AS33/100,Stock!AS33))</f>
        <v>0</v>
      </c>
      <c r="AY33" s="9">
        <f ca="1">IF(Stock!AT33="",0,IF(ISNUMBER($E33),($E33+$F33)*Stock!AT33/100,Stock!AT33))</f>
        <v>0</v>
      </c>
      <c r="AZ33" s="9">
        <f ca="1">IF(Stock!AU33="",0,IF(ISNUMBER($E33),($E33+$F33)*Stock!AU33/100,Stock!AU33))</f>
        <v>0</v>
      </c>
      <c r="BA33" s="9">
        <f ca="1">IF(Stock!AV33="",0,IF(ISNUMBER($E33),($E33+$F33)*Stock!AV33/100,Stock!AV33))</f>
        <v>0</v>
      </c>
      <c r="BB33" s="9">
        <f ca="1">IF(Stock!AW33="",0,IF(ISNUMBER($E33),($E33+$F33)*Stock!AW33/100,Stock!AW33))</f>
        <v>0</v>
      </c>
      <c r="BC33" s="9">
        <f ca="1">IF(Stock!AX33="",0,IF(ISNUMBER($E33),($E33+$F33)*Stock!AX33/100,Stock!AX33))</f>
        <v>0</v>
      </c>
    </row>
    <row r="34" spans="1:55" x14ac:dyDescent="0.3">
      <c r="A34" s="2" t="str">
        <f t="shared" si="0"/>
        <v/>
      </c>
      <c r="B34" s="3" t="str">
        <f t="shared" si="1"/>
        <v/>
      </c>
      <c r="C34" s="4" t="str">
        <f>IF(Repo!C38="","",Repo!C38)</f>
        <v/>
      </c>
      <c r="D34" s="4" t="str">
        <f>IF(Repo!D38="","",Repo!D38)</f>
        <v/>
      </c>
      <c r="E34" s="62">
        <f ca="1">IF(A34="",0,IF(LEFT(C34,3) = "USB",100*(1-_xll.BDP(D34 &amp; " Govt",E$1)*(B34-TODAY()+1)/36000),_xll.BDP(D34 &amp; " Govt",E$1)))</f>
        <v>0</v>
      </c>
      <c r="F34" s="62">
        <f>IF(A34="",0,IF(LEFT(D34,1) = "B",0,_xll.BDP(D34 &amp; " Govt",F$1)))</f>
        <v>0</v>
      </c>
      <c r="G34" s="9">
        <f>IF(Stock!B34="",0,IF(ISNUMBER($E34),($E34+$F34)*Stock!B34/100,Stock!B34))</f>
        <v>0</v>
      </c>
      <c r="H34" s="9">
        <f ca="1">IF(Stock!C34="",0,IF(ISNUMBER($E34),($E34+$F34)*Stock!C34/100,Stock!C34))</f>
        <v>0</v>
      </c>
      <c r="I34" s="9">
        <f ca="1">IF(Stock!D34="",0,IF(ISNUMBER($E34),($E34+$F34)*Stock!D34/100,Stock!D34))</f>
        <v>0</v>
      </c>
      <c r="J34" s="9">
        <f ca="1">IF(Stock!E34="",0,IF(ISNUMBER($E34),($E34+$F34)*Stock!E34/100,Stock!E34))</f>
        <v>0</v>
      </c>
      <c r="K34" s="9">
        <f ca="1">IF(Stock!F34="",0,IF(ISNUMBER($E34),($E34+$F34)*Stock!F34/100,Stock!F34))</f>
        <v>0</v>
      </c>
      <c r="L34" s="9">
        <f ca="1">IF(Stock!G34="",0,IF(ISNUMBER($E34),($E34+$F34)*Stock!G34/100,Stock!G34))</f>
        <v>0</v>
      </c>
      <c r="M34" s="9">
        <f ca="1">IF(Stock!H34="",0,IF(ISNUMBER($E34),($E34+$F34)*Stock!H34/100,Stock!H34))</f>
        <v>0</v>
      </c>
      <c r="N34" s="9">
        <f ca="1">IF(Stock!I34="",0,IF(ISNUMBER($E34),($E34+$F34)*Stock!I34/100,Stock!I34))</f>
        <v>0</v>
      </c>
      <c r="O34" s="9">
        <f ca="1">IF(Stock!J34="",0,IF(ISNUMBER($E34),($E34+$F34)*Stock!J34/100,Stock!J34))</f>
        <v>0</v>
      </c>
      <c r="P34" s="9">
        <f ca="1">IF(Stock!K34="",0,IF(ISNUMBER($E34),($E34+$F34)*Stock!K34/100,Stock!K34))</f>
        <v>0</v>
      </c>
      <c r="Q34" s="9">
        <f ca="1">IF(Stock!L34="",0,IF(ISNUMBER($E34),($E34+$F34)*Stock!L34/100,Stock!L34))</f>
        <v>0</v>
      </c>
      <c r="R34" s="9">
        <f ca="1">IF(Stock!M34="",0,IF(ISNUMBER($E34),($E34+$F34)*Stock!M34/100,Stock!M34))</f>
        <v>0</v>
      </c>
      <c r="S34" s="9">
        <f ca="1">IF(Stock!N34="",0,IF(ISNUMBER($E34),($E34+$F34)*Stock!N34/100,Stock!N34))</f>
        <v>0</v>
      </c>
      <c r="T34" s="9">
        <f ca="1">IF(Stock!O34="",0,IF(ISNUMBER($E34),($E34+$F34)*Stock!O34/100,Stock!O34))</f>
        <v>0</v>
      </c>
      <c r="U34" s="9">
        <f ca="1">IF(Stock!P34="",0,IF(ISNUMBER($E34),($E34+$F34)*Stock!P34/100,Stock!P34))</f>
        <v>0</v>
      </c>
      <c r="V34" s="9">
        <f ca="1">IF(Stock!Q34="",0,IF(ISNUMBER($E34),($E34+$F34)*Stock!Q34/100,Stock!Q34))</f>
        <v>0</v>
      </c>
      <c r="W34" s="9">
        <f ca="1">IF(Stock!R34="",0,IF(ISNUMBER($E34),($E34+$F34)*Stock!R34/100,Stock!R34))</f>
        <v>0</v>
      </c>
      <c r="X34" s="9">
        <f ca="1">IF(Stock!S34="",0,IF(ISNUMBER($E34),($E34+$F34)*Stock!S34/100,Stock!S34))</f>
        <v>0</v>
      </c>
      <c r="Y34" s="9">
        <f ca="1">IF(Stock!T34="",0,IF(ISNUMBER($E34),($E34+$F34)*Stock!T34/100,Stock!T34))</f>
        <v>0</v>
      </c>
      <c r="Z34" s="9">
        <f ca="1">IF(Stock!U34="",0,IF(ISNUMBER($E34),($E34+$F34)*Stock!U34/100,Stock!U34))</f>
        <v>0</v>
      </c>
      <c r="AA34" s="9">
        <f ca="1">IF(Stock!V34="",0,IF(ISNUMBER($E34),($E34+$F34)*Stock!V34/100,Stock!V34))</f>
        <v>0</v>
      </c>
      <c r="AB34" s="9">
        <f ca="1">IF(Stock!W34="",0,IF(ISNUMBER($E34),($E34+$F34)*Stock!W34/100,Stock!W34))</f>
        <v>0</v>
      </c>
      <c r="AC34" s="9">
        <f ca="1">IF(Stock!X34="",0,IF(ISNUMBER($E34),($E34+$F34)*Stock!X34/100,Stock!X34))</f>
        <v>0</v>
      </c>
      <c r="AD34" s="9">
        <f ca="1">IF(Stock!Y34="",0,IF(ISNUMBER($E34),($E34+$F34)*Stock!Y34/100,Stock!Y34))</f>
        <v>0</v>
      </c>
      <c r="AE34" s="9">
        <f ca="1">IF(Stock!Z34="",0,IF(ISNUMBER($E34),($E34+$F34)*Stock!Z34/100,Stock!Z34))</f>
        <v>0</v>
      </c>
      <c r="AF34" s="9">
        <f ca="1">IF(Stock!AA34="",0,IF(ISNUMBER($E34),($E34+$F34)*Stock!AA34/100,Stock!AA34))</f>
        <v>0</v>
      </c>
      <c r="AG34" s="9">
        <f ca="1">IF(Stock!AB34="",0,IF(ISNUMBER($E34),($E34+$F34)*Stock!AB34/100,Stock!AB34))</f>
        <v>0</v>
      </c>
      <c r="AH34" s="9">
        <f ca="1">IF(Stock!AC34="",0,IF(ISNUMBER($E34),($E34+$F34)*Stock!AC34/100,Stock!AC34))</f>
        <v>0</v>
      </c>
      <c r="AI34" s="9">
        <f ca="1">IF(Stock!AD34="",0,IF(ISNUMBER($E34),($E34+$F34)*Stock!AD34/100,Stock!AD34))</f>
        <v>0</v>
      </c>
      <c r="AJ34" s="9">
        <f ca="1">IF(Stock!AE34="",0,IF(ISNUMBER($E34),($E34+$F34)*Stock!AE34/100,Stock!AE34))</f>
        <v>0</v>
      </c>
      <c r="AK34" s="9">
        <f ca="1">IF(Stock!AF34="",0,IF(ISNUMBER($E34),($E34+$F34)*Stock!AF34/100,Stock!AF34))</f>
        <v>0</v>
      </c>
      <c r="AL34" s="9">
        <f ca="1">IF(Stock!AG34="",0,IF(ISNUMBER($E34),($E34+$F34)*Stock!AG34/100,Stock!AG34))</f>
        <v>0</v>
      </c>
      <c r="AM34" s="9">
        <f ca="1">IF(Stock!AH34="",0,IF(ISNUMBER($E34),($E34+$F34)*Stock!AH34/100,Stock!AH34))</f>
        <v>0</v>
      </c>
      <c r="AN34" s="9">
        <f ca="1">IF(Stock!AI34="",0,IF(ISNUMBER($E34),($E34+$F34)*Stock!AI34/100,Stock!AI34))</f>
        <v>0</v>
      </c>
      <c r="AO34" s="9">
        <f ca="1">IF(Stock!AJ34="",0,IF(ISNUMBER($E34),($E34+$F34)*Stock!AJ34/100,Stock!AJ34))</f>
        <v>0</v>
      </c>
      <c r="AP34" s="9">
        <f ca="1">IF(Stock!AK34="",0,IF(ISNUMBER($E34),($E34+$F34)*Stock!AK34/100,Stock!AK34))</f>
        <v>0</v>
      </c>
      <c r="AQ34" s="9">
        <f ca="1">IF(Stock!AL34="",0,IF(ISNUMBER($E34),($E34+$F34)*Stock!AL34/100,Stock!AL34))</f>
        <v>0</v>
      </c>
      <c r="AR34" s="9">
        <f ca="1">IF(Stock!AM34="",0,IF(ISNUMBER($E34),($E34+$F34)*Stock!AM34/100,Stock!AM34))</f>
        <v>0</v>
      </c>
      <c r="AS34" s="9">
        <f ca="1">IF(Stock!AN34="",0,IF(ISNUMBER($E34),($E34+$F34)*Stock!AN34/100,Stock!AN34))</f>
        <v>0</v>
      </c>
      <c r="AT34" s="9">
        <f ca="1">IF(Stock!AO34="",0,IF(ISNUMBER($E34),($E34+$F34)*Stock!AO34/100,Stock!AO34))</f>
        <v>0</v>
      </c>
      <c r="AU34" s="9">
        <f ca="1">IF(Stock!AP34="",0,IF(ISNUMBER($E34),($E34+$F34)*Stock!AP34/100,Stock!AP34))</f>
        <v>0</v>
      </c>
      <c r="AV34" s="9">
        <f ca="1">IF(Stock!AQ34="",0,IF(ISNUMBER($E34),($E34+$F34)*Stock!AQ34/100,Stock!AQ34))</f>
        <v>0</v>
      </c>
      <c r="AW34" s="9">
        <f ca="1">IF(Stock!AR34="",0,IF(ISNUMBER($E34),($E34+$F34)*Stock!AR34/100,Stock!AR34))</f>
        <v>0</v>
      </c>
      <c r="AX34" s="9">
        <f ca="1">IF(Stock!AS34="",0,IF(ISNUMBER($E34),($E34+$F34)*Stock!AS34/100,Stock!AS34))</f>
        <v>0</v>
      </c>
      <c r="AY34" s="9">
        <f ca="1">IF(Stock!AT34="",0,IF(ISNUMBER($E34),($E34+$F34)*Stock!AT34/100,Stock!AT34))</f>
        <v>0</v>
      </c>
      <c r="AZ34" s="9">
        <f ca="1">IF(Stock!AU34="",0,IF(ISNUMBER($E34),($E34+$F34)*Stock!AU34/100,Stock!AU34))</f>
        <v>0</v>
      </c>
      <c r="BA34" s="9">
        <f ca="1">IF(Stock!AV34="",0,IF(ISNUMBER($E34),($E34+$F34)*Stock!AV34/100,Stock!AV34))</f>
        <v>0</v>
      </c>
      <c r="BB34" s="9">
        <f ca="1">IF(Stock!AW34="",0,IF(ISNUMBER($E34),($E34+$F34)*Stock!AW34/100,Stock!AW34))</f>
        <v>0</v>
      </c>
      <c r="BC34" s="9">
        <f ca="1">IF(Stock!AX34="",0,IF(ISNUMBER($E34),($E34+$F34)*Stock!AX34/100,Stock!AX34))</f>
        <v>0</v>
      </c>
    </row>
    <row r="35" spans="1:55" x14ac:dyDescent="0.3">
      <c r="A35" s="2" t="str">
        <f t="shared" ref="A35:A49" si="2">IF(OR(LEFT(C35,4)="FFCB",LEFT(C35,4)="FHLB"),RIGHT(C35,LEN(C35)-10),IF(LEFT(C35,3)="UST",RIGHT(C35,LEN(C35)-9),IF(LEFT(C35,3)="USB",0,"")))</f>
        <v/>
      </c>
      <c r="B35" s="3" t="str">
        <f t="shared" ref="B35:B49" si="3">IF(LEFT(C35,4)="FHLB",DATE(MID(C35,5,4),MID(C35,9,2),1),IF(LEFT(C35,3)&lt;&gt;"UST",IF(LEFT(C35,3)&lt;&gt;"USB","",DATE(MID(C35,4,4),MID(C35,8,2),RIGHT(C35,2))),DATE(MID(C35,4,4),MID(C35,8,2),1)))</f>
        <v/>
      </c>
      <c r="C35" s="4" t="str">
        <f>IF(Repo!C39="","",Repo!C39)</f>
        <v/>
      </c>
      <c r="D35" s="4" t="str">
        <f>IF(Repo!D39="","",Repo!D39)</f>
        <v/>
      </c>
      <c r="E35" s="62">
        <f ca="1">IF(A35="",0,IF(LEFT(C35,3) = "USB",100*(1-_xll.BDP(D35 &amp; " Govt",E$1)*(B35-TODAY()+1)/36000),_xll.BDP(D35 &amp; " Govt",E$1)))</f>
        <v>0</v>
      </c>
      <c r="F35" s="62">
        <f>IF(A35="",0,IF(LEFT(D35,1) = "B",0,_xll.BDP(D35 &amp; " Govt",F$1)))</f>
        <v>0</v>
      </c>
      <c r="G35" s="9">
        <f>IF(Stock!B35="",0,IF(ISNUMBER($E35),($E35+$F35)*Stock!B35/100,Stock!B35))</f>
        <v>0</v>
      </c>
      <c r="H35" s="9">
        <f ca="1">IF(Stock!C35="",0,IF(ISNUMBER($E35),($E35+$F35)*Stock!C35/100,Stock!C35))</f>
        <v>0</v>
      </c>
      <c r="I35" s="9">
        <f ca="1">IF(Stock!D35="",0,IF(ISNUMBER($E35),($E35+$F35)*Stock!D35/100,Stock!D35))</f>
        <v>0</v>
      </c>
      <c r="J35" s="9">
        <f ca="1">IF(Stock!E35="",0,IF(ISNUMBER($E35),($E35+$F35)*Stock!E35/100,Stock!E35))</f>
        <v>0</v>
      </c>
      <c r="K35" s="9">
        <f ca="1">IF(Stock!F35="",0,IF(ISNUMBER($E35),($E35+$F35)*Stock!F35/100,Stock!F35))</f>
        <v>0</v>
      </c>
      <c r="L35" s="9">
        <f ca="1">IF(Stock!G35="",0,IF(ISNUMBER($E35),($E35+$F35)*Stock!G35/100,Stock!G35))</f>
        <v>0</v>
      </c>
      <c r="M35" s="9">
        <f ca="1">IF(Stock!H35="",0,IF(ISNUMBER($E35),($E35+$F35)*Stock!H35/100,Stock!H35))</f>
        <v>0</v>
      </c>
      <c r="N35" s="9">
        <f ca="1">IF(Stock!I35="",0,IF(ISNUMBER($E35),($E35+$F35)*Stock!I35/100,Stock!I35))</f>
        <v>0</v>
      </c>
      <c r="O35" s="9">
        <f ca="1">IF(Stock!J35="",0,IF(ISNUMBER($E35),($E35+$F35)*Stock!J35/100,Stock!J35))</f>
        <v>0</v>
      </c>
      <c r="P35" s="9">
        <f ca="1">IF(Stock!K35="",0,IF(ISNUMBER($E35),($E35+$F35)*Stock!K35/100,Stock!K35))</f>
        <v>0</v>
      </c>
      <c r="Q35" s="9">
        <f ca="1">IF(Stock!L35="",0,IF(ISNUMBER($E35),($E35+$F35)*Stock!L35/100,Stock!L35))</f>
        <v>0</v>
      </c>
      <c r="R35" s="9">
        <f ca="1">IF(Stock!M35="",0,IF(ISNUMBER($E35),($E35+$F35)*Stock!M35/100,Stock!M35))</f>
        <v>0</v>
      </c>
      <c r="S35" s="9">
        <f ca="1">IF(Stock!N35="",0,IF(ISNUMBER($E35),($E35+$F35)*Stock!N35/100,Stock!N35))</f>
        <v>0</v>
      </c>
      <c r="T35" s="9">
        <f ca="1">IF(Stock!O35="",0,IF(ISNUMBER($E35),($E35+$F35)*Stock!O35/100,Stock!O35))</f>
        <v>0</v>
      </c>
      <c r="U35" s="9">
        <f ca="1">IF(Stock!P35="",0,IF(ISNUMBER($E35),($E35+$F35)*Stock!P35/100,Stock!P35))</f>
        <v>0</v>
      </c>
      <c r="V35" s="9">
        <f ca="1">IF(Stock!Q35="",0,IF(ISNUMBER($E35),($E35+$F35)*Stock!Q35/100,Stock!Q35))</f>
        <v>0</v>
      </c>
      <c r="W35" s="9">
        <f ca="1">IF(Stock!R35="",0,IF(ISNUMBER($E35),($E35+$F35)*Stock!R35/100,Stock!R35))</f>
        <v>0</v>
      </c>
      <c r="X35" s="9">
        <f ca="1">IF(Stock!S35="",0,IF(ISNUMBER($E35),($E35+$F35)*Stock!S35/100,Stock!S35))</f>
        <v>0</v>
      </c>
      <c r="Y35" s="9">
        <f ca="1">IF(Stock!T35="",0,IF(ISNUMBER($E35),($E35+$F35)*Stock!T35/100,Stock!T35))</f>
        <v>0</v>
      </c>
      <c r="Z35" s="9">
        <f ca="1">IF(Stock!U35="",0,IF(ISNUMBER($E35),($E35+$F35)*Stock!U35/100,Stock!U35))</f>
        <v>0</v>
      </c>
      <c r="AA35" s="9">
        <f ca="1">IF(Stock!V35="",0,IF(ISNUMBER($E35),($E35+$F35)*Stock!V35/100,Stock!V35))</f>
        <v>0</v>
      </c>
      <c r="AB35" s="9">
        <f ca="1">IF(Stock!W35="",0,IF(ISNUMBER($E35),($E35+$F35)*Stock!W35/100,Stock!W35))</f>
        <v>0</v>
      </c>
      <c r="AC35" s="9">
        <f ca="1">IF(Stock!X35="",0,IF(ISNUMBER($E35),($E35+$F35)*Stock!X35/100,Stock!X35))</f>
        <v>0</v>
      </c>
      <c r="AD35" s="9">
        <f ca="1">IF(Stock!Y35="",0,IF(ISNUMBER($E35),($E35+$F35)*Stock!Y35/100,Stock!Y35))</f>
        <v>0</v>
      </c>
      <c r="AE35" s="9">
        <f ca="1">IF(Stock!Z35="",0,IF(ISNUMBER($E35),($E35+$F35)*Stock!Z35/100,Stock!Z35))</f>
        <v>0</v>
      </c>
      <c r="AF35" s="9">
        <f ca="1">IF(Stock!AA35="",0,IF(ISNUMBER($E35),($E35+$F35)*Stock!AA35/100,Stock!AA35))</f>
        <v>0</v>
      </c>
      <c r="AG35" s="9">
        <f ca="1">IF(Stock!AB35="",0,IF(ISNUMBER($E35),($E35+$F35)*Stock!AB35/100,Stock!AB35))</f>
        <v>0</v>
      </c>
      <c r="AH35" s="9">
        <f ca="1">IF(Stock!AC35="",0,IF(ISNUMBER($E35),($E35+$F35)*Stock!AC35/100,Stock!AC35))</f>
        <v>0</v>
      </c>
      <c r="AI35" s="9">
        <f ca="1">IF(Stock!AD35="",0,IF(ISNUMBER($E35),($E35+$F35)*Stock!AD35/100,Stock!AD35))</f>
        <v>0</v>
      </c>
      <c r="AJ35" s="9">
        <f ca="1">IF(Stock!AE35="",0,IF(ISNUMBER($E35),($E35+$F35)*Stock!AE35/100,Stock!AE35))</f>
        <v>0</v>
      </c>
      <c r="AK35" s="9">
        <f ca="1">IF(Stock!AF35="",0,IF(ISNUMBER($E35),($E35+$F35)*Stock!AF35/100,Stock!AF35))</f>
        <v>0</v>
      </c>
      <c r="AL35" s="9">
        <f ca="1">IF(Stock!AG35="",0,IF(ISNUMBER($E35),($E35+$F35)*Stock!AG35/100,Stock!AG35))</f>
        <v>0</v>
      </c>
      <c r="AM35" s="9">
        <f ca="1">IF(Stock!AH35="",0,IF(ISNUMBER($E35),($E35+$F35)*Stock!AH35/100,Stock!AH35))</f>
        <v>0</v>
      </c>
      <c r="AN35" s="9">
        <f ca="1">IF(Stock!AI35="",0,IF(ISNUMBER($E35),($E35+$F35)*Stock!AI35/100,Stock!AI35))</f>
        <v>0</v>
      </c>
      <c r="AO35" s="9">
        <f ca="1">IF(Stock!AJ35="",0,IF(ISNUMBER($E35),($E35+$F35)*Stock!AJ35/100,Stock!AJ35))</f>
        <v>0</v>
      </c>
      <c r="AP35" s="9">
        <f ca="1">IF(Stock!AK35="",0,IF(ISNUMBER($E35),($E35+$F35)*Stock!AK35/100,Stock!AK35))</f>
        <v>0</v>
      </c>
      <c r="AQ35" s="9">
        <f ca="1">IF(Stock!AL35="",0,IF(ISNUMBER($E35),($E35+$F35)*Stock!AL35/100,Stock!AL35))</f>
        <v>0</v>
      </c>
      <c r="AR35" s="9">
        <f ca="1">IF(Stock!AM35="",0,IF(ISNUMBER($E35),($E35+$F35)*Stock!AM35/100,Stock!AM35))</f>
        <v>0</v>
      </c>
      <c r="AS35" s="9">
        <f ca="1">IF(Stock!AN35="",0,IF(ISNUMBER($E35),($E35+$F35)*Stock!AN35/100,Stock!AN35))</f>
        <v>0</v>
      </c>
      <c r="AT35" s="9">
        <f ca="1">IF(Stock!AO35="",0,IF(ISNUMBER($E35),($E35+$F35)*Stock!AO35/100,Stock!AO35))</f>
        <v>0</v>
      </c>
      <c r="AU35" s="9">
        <f ca="1">IF(Stock!AP35="",0,IF(ISNUMBER($E35),($E35+$F35)*Stock!AP35/100,Stock!AP35))</f>
        <v>0</v>
      </c>
      <c r="AV35" s="9">
        <f ca="1">IF(Stock!AQ35="",0,IF(ISNUMBER($E35),($E35+$F35)*Stock!AQ35/100,Stock!AQ35))</f>
        <v>0</v>
      </c>
      <c r="AW35" s="9">
        <f ca="1">IF(Stock!AR35="",0,IF(ISNUMBER($E35),($E35+$F35)*Stock!AR35/100,Stock!AR35))</f>
        <v>0</v>
      </c>
      <c r="AX35" s="9">
        <f ca="1">IF(Stock!AS35="",0,IF(ISNUMBER($E35),($E35+$F35)*Stock!AS35/100,Stock!AS35))</f>
        <v>0</v>
      </c>
      <c r="AY35" s="9">
        <f ca="1">IF(Stock!AT35="",0,IF(ISNUMBER($E35),($E35+$F35)*Stock!AT35/100,Stock!AT35))</f>
        <v>0</v>
      </c>
      <c r="AZ35" s="9">
        <f ca="1">IF(Stock!AU35="",0,IF(ISNUMBER($E35),($E35+$F35)*Stock!AU35/100,Stock!AU35))</f>
        <v>0</v>
      </c>
      <c r="BA35" s="9">
        <f ca="1">IF(Stock!AV35="",0,IF(ISNUMBER($E35),($E35+$F35)*Stock!AV35/100,Stock!AV35))</f>
        <v>0</v>
      </c>
      <c r="BB35" s="9">
        <f ca="1">IF(Stock!AW35="",0,IF(ISNUMBER($E35),($E35+$F35)*Stock!AW35/100,Stock!AW35))</f>
        <v>0</v>
      </c>
      <c r="BC35" s="9">
        <f ca="1">IF(Stock!AX35="",0,IF(ISNUMBER($E35),($E35+$F35)*Stock!AX35/100,Stock!AX35))</f>
        <v>0</v>
      </c>
    </row>
    <row r="36" spans="1:55" x14ac:dyDescent="0.3">
      <c r="A36" s="2" t="str">
        <f t="shared" si="2"/>
        <v/>
      </c>
      <c r="B36" s="3" t="str">
        <f t="shared" si="3"/>
        <v/>
      </c>
      <c r="C36" s="4" t="str">
        <f>IF(Repo!C40="","",Repo!C40)</f>
        <v/>
      </c>
      <c r="D36" s="4" t="str">
        <f>IF(Repo!D40="","",Repo!D40)</f>
        <v/>
      </c>
      <c r="E36" s="62">
        <f ca="1">IF(A36="",0,IF(LEFT(C36,3) = "USB",100*(1-_xll.BDP(D36 &amp; " Govt",E$1)*(B36-TODAY()+1)/36000),_xll.BDP(D36 &amp; " Govt",E$1)))</f>
        <v>0</v>
      </c>
      <c r="F36" s="62">
        <f>IF(A36="",0,IF(LEFT(D36,1) = "B",0,_xll.BDP(D36 &amp; " Govt",F$1)))</f>
        <v>0</v>
      </c>
      <c r="G36" s="9">
        <f>IF(Stock!B36="",0,IF(ISNUMBER($E36),($E36+$F36)*Stock!B36/100,Stock!B36))</f>
        <v>0</v>
      </c>
      <c r="H36" s="9">
        <f ca="1">IF(Stock!C36="",0,IF(ISNUMBER($E36),($E36+$F36)*Stock!C36/100,Stock!C36))</f>
        <v>0</v>
      </c>
      <c r="I36" s="9">
        <f ca="1">IF(Stock!D36="",0,IF(ISNUMBER($E36),($E36+$F36)*Stock!D36/100,Stock!D36))</f>
        <v>0</v>
      </c>
      <c r="J36" s="9">
        <f ca="1">IF(Stock!E36="",0,IF(ISNUMBER($E36),($E36+$F36)*Stock!E36/100,Stock!E36))</f>
        <v>0</v>
      </c>
      <c r="K36" s="9">
        <f ca="1">IF(Stock!F36="",0,IF(ISNUMBER($E36),($E36+$F36)*Stock!F36/100,Stock!F36))</f>
        <v>0</v>
      </c>
      <c r="L36" s="9">
        <f ca="1">IF(Stock!G36="",0,IF(ISNUMBER($E36),($E36+$F36)*Stock!G36/100,Stock!G36))</f>
        <v>0</v>
      </c>
      <c r="M36" s="9">
        <f ca="1">IF(Stock!H36="",0,IF(ISNUMBER($E36),($E36+$F36)*Stock!H36/100,Stock!H36))</f>
        <v>0</v>
      </c>
      <c r="N36" s="9">
        <f ca="1">IF(Stock!I36="",0,IF(ISNUMBER($E36),($E36+$F36)*Stock!I36/100,Stock!I36))</f>
        <v>0</v>
      </c>
      <c r="O36" s="9">
        <f ca="1">IF(Stock!J36="",0,IF(ISNUMBER($E36),($E36+$F36)*Stock!J36/100,Stock!J36))</f>
        <v>0</v>
      </c>
      <c r="P36" s="9">
        <f ca="1">IF(Stock!K36="",0,IF(ISNUMBER($E36),($E36+$F36)*Stock!K36/100,Stock!K36))</f>
        <v>0</v>
      </c>
      <c r="Q36" s="9">
        <f ca="1">IF(Stock!L36="",0,IF(ISNUMBER($E36),($E36+$F36)*Stock!L36/100,Stock!L36))</f>
        <v>0</v>
      </c>
      <c r="R36" s="9">
        <f ca="1">IF(Stock!M36="",0,IF(ISNUMBER($E36),($E36+$F36)*Stock!M36/100,Stock!M36))</f>
        <v>0</v>
      </c>
      <c r="S36" s="9">
        <f ca="1">IF(Stock!N36="",0,IF(ISNUMBER($E36),($E36+$F36)*Stock!N36/100,Stock!N36))</f>
        <v>0</v>
      </c>
      <c r="T36" s="9">
        <f ca="1">IF(Stock!O36="",0,IF(ISNUMBER($E36),($E36+$F36)*Stock!O36/100,Stock!O36))</f>
        <v>0</v>
      </c>
      <c r="U36" s="9">
        <f ca="1">IF(Stock!P36="",0,IF(ISNUMBER($E36),($E36+$F36)*Stock!P36/100,Stock!P36))</f>
        <v>0</v>
      </c>
      <c r="V36" s="9">
        <f ca="1">IF(Stock!Q36="",0,IF(ISNUMBER($E36),($E36+$F36)*Stock!Q36/100,Stock!Q36))</f>
        <v>0</v>
      </c>
      <c r="W36" s="9">
        <f ca="1">IF(Stock!R36="",0,IF(ISNUMBER($E36),($E36+$F36)*Stock!R36/100,Stock!R36))</f>
        <v>0</v>
      </c>
      <c r="X36" s="9">
        <f ca="1">IF(Stock!S36="",0,IF(ISNUMBER($E36),($E36+$F36)*Stock!S36/100,Stock!S36))</f>
        <v>0</v>
      </c>
      <c r="Y36" s="9">
        <f ca="1">IF(Stock!T36="",0,IF(ISNUMBER($E36),($E36+$F36)*Stock!T36/100,Stock!T36))</f>
        <v>0</v>
      </c>
      <c r="Z36" s="9">
        <f ca="1">IF(Stock!U36="",0,IF(ISNUMBER($E36),($E36+$F36)*Stock!U36/100,Stock!U36))</f>
        <v>0</v>
      </c>
      <c r="AA36" s="9">
        <f ca="1">IF(Stock!V36="",0,IF(ISNUMBER($E36),($E36+$F36)*Stock!V36/100,Stock!V36))</f>
        <v>0</v>
      </c>
      <c r="AB36" s="9">
        <f ca="1">IF(Stock!W36="",0,IF(ISNUMBER($E36),($E36+$F36)*Stock!W36/100,Stock!W36))</f>
        <v>0</v>
      </c>
      <c r="AC36" s="9">
        <f ca="1">IF(Stock!X36="",0,IF(ISNUMBER($E36),($E36+$F36)*Stock!X36/100,Stock!X36))</f>
        <v>0</v>
      </c>
      <c r="AD36" s="9">
        <f ca="1">IF(Stock!Y36="",0,IF(ISNUMBER($E36),($E36+$F36)*Stock!Y36/100,Stock!Y36))</f>
        <v>0</v>
      </c>
      <c r="AE36" s="9">
        <f ca="1">IF(Stock!Z36="",0,IF(ISNUMBER($E36),($E36+$F36)*Stock!Z36/100,Stock!Z36))</f>
        <v>0</v>
      </c>
      <c r="AF36" s="9">
        <f ca="1">IF(Stock!AA36="",0,IF(ISNUMBER($E36),($E36+$F36)*Stock!AA36/100,Stock!AA36))</f>
        <v>0</v>
      </c>
      <c r="AG36" s="9">
        <f ca="1">IF(Stock!AB36="",0,IF(ISNUMBER($E36),($E36+$F36)*Stock!AB36/100,Stock!AB36))</f>
        <v>0</v>
      </c>
      <c r="AH36" s="9">
        <f ca="1">IF(Stock!AC36="",0,IF(ISNUMBER($E36),($E36+$F36)*Stock!AC36/100,Stock!AC36))</f>
        <v>0</v>
      </c>
      <c r="AI36" s="9">
        <f ca="1">IF(Stock!AD36="",0,IF(ISNUMBER($E36),($E36+$F36)*Stock!AD36/100,Stock!AD36))</f>
        <v>0</v>
      </c>
      <c r="AJ36" s="9">
        <f ca="1">IF(Stock!AE36="",0,IF(ISNUMBER($E36),($E36+$F36)*Stock!AE36/100,Stock!AE36))</f>
        <v>0</v>
      </c>
      <c r="AK36" s="9">
        <f ca="1">IF(Stock!AF36="",0,IF(ISNUMBER($E36),($E36+$F36)*Stock!AF36/100,Stock!AF36))</f>
        <v>0</v>
      </c>
      <c r="AL36" s="9">
        <f ca="1">IF(Stock!AG36="",0,IF(ISNUMBER($E36),($E36+$F36)*Stock!AG36/100,Stock!AG36))</f>
        <v>0</v>
      </c>
      <c r="AM36" s="9">
        <f ca="1">IF(Stock!AH36="",0,IF(ISNUMBER($E36),($E36+$F36)*Stock!AH36/100,Stock!AH36))</f>
        <v>0</v>
      </c>
      <c r="AN36" s="9">
        <f ca="1">IF(Stock!AI36="",0,IF(ISNUMBER($E36),($E36+$F36)*Stock!AI36/100,Stock!AI36))</f>
        <v>0</v>
      </c>
      <c r="AO36" s="9">
        <f ca="1">IF(Stock!AJ36="",0,IF(ISNUMBER($E36),($E36+$F36)*Stock!AJ36/100,Stock!AJ36))</f>
        <v>0</v>
      </c>
      <c r="AP36" s="9">
        <f ca="1">IF(Stock!AK36="",0,IF(ISNUMBER($E36),($E36+$F36)*Stock!AK36/100,Stock!AK36))</f>
        <v>0</v>
      </c>
      <c r="AQ36" s="9">
        <f ca="1">IF(Stock!AL36="",0,IF(ISNUMBER($E36),($E36+$F36)*Stock!AL36/100,Stock!AL36))</f>
        <v>0</v>
      </c>
      <c r="AR36" s="9">
        <f ca="1">IF(Stock!AM36="",0,IF(ISNUMBER($E36),($E36+$F36)*Stock!AM36/100,Stock!AM36))</f>
        <v>0</v>
      </c>
      <c r="AS36" s="9">
        <f ca="1">IF(Stock!AN36="",0,IF(ISNUMBER($E36),($E36+$F36)*Stock!AN36/100,Stock!AN36))</f>
        <v>0</v>
      </c>
      <c r="AT36" s="9">
        <f ca="1">IF(Stock!AO36="",0,IF(ISNUMBER($E36),($E36+$F36)*Stock!AO36/100,Stock!AO36))</f>
        <v>0</v>
      </c>
      <c r="AU36" s="9">
        <f ca="1">IF(Stock!AP36="",0,IF(ISNUMBER($E36),($E36+$F36)*Stock!AP36/100,Stock!AP36))</f>
        <v>0</v>
      </c>
      <c r="AV36" s="9">
        <f ca="1">IF(Stock!AQ36="",0,IF(ISNUMBER($E36),($E36+$F36)*Stock!AQ36/100,Stock!AQ36))</f>
        <v>0</v>
      </c>
      <c r="AW36" s="9">
        <f ca="1">IF(Stock!AR36="",0,IF(ISNUMBER($E36),($E36+$F36)*Stock!AR36/100,Stock!AR36))</f>
        <v>0</v>
      </c>
      <c r="AX36" s="9">
        <f ca="1">IF(Stock!AS36="",0,IF(ISNUMBER($E36),($E36+$F36)*Stock!AS36/100,Stock!AS36))</f>
        <v>0</v>
      </c>
      <c r="AY36" s="9">
        <f ca="1">IF(Stock!AT36="",0,IF(ISNUMBER($E36),($E36+$F36)*Stock!AT36/100,Stock!AT36))</f>
        <v>0</v>
      </c>
      <c r="AZ36" s="9">
        <f ca="1">IF(Stock!AU36="",0,IF(ISNUMBER($E36),($E36+$F36)*Stock!AU36/100,Stock!AU36))</f>
        <v>0</v>
      </c>
      <c r="BA36" s="9">
        <f ca="1">IF(Stock!AV36="",0,IF(ISNUMBER($E36),($E36+$F36)*Stock!AV36/100,Stock!AV36))</f>
        <v>0</v>
      </c>
      <c r="BB36" s="9">
        <f ca="1">IF(Stock!AW36="",0,IF(ISNUMBER($E36),($E36+$F36)*Stock!AW36/100,Stock!AW36))</f>
        <v>0</v>
      </c>
      <c r="BC36" s="9">
        <f ca="1">IF(Stock!AX36="",0,IF(ISNUMBER($E36),($E36+$F36)*Stock!AX36/100,Stock!AX36))</f>
        <v>0</v>
      </c>
    </row>
    <row r="37" spans="1:55" x14ac:dyDescent="0.3">
      <c r="A37" s="2" t="str">
        <f t="shared" si="2"/>
        <v/>
      </c>
      <c r="B37" s="3" t="str">
        <f t="shared" si="3"/>
        <v/>
      </c>
      <c r="C37" s="4" t="str">
        <f>IF(Repo!C41="","",Repo!C41)</f>
        <v/>
      </c>
      <c r="D37" s="4" t="str">
        <f>IF(Repo!D41="","",Repo!D41)</f>
        <v/>
      </c>
      <c r="E37" s="62">
        <f ca="1">IF(A37="",0,IF(LEFT(C37,3) = "USB",100*(1-_xll.BDP(D37 &amp; " Govt",E$1)*(B37-TODAY()+1)/36000),_xll.BDP(D37 &amp; " Govt",E$1)))</f>
        <v>0</v>
      </c>
      <c r="F37" s="62">
        <f>IF(A37="",0,IF(LEFT(D37,1) = "B",0,_xll.BDP(D37 &amp; " Govt",F$1)))</f>
        <v>0</v>
      </c>
      <c r="G37" s="9">
        <f>IF(Stock!B37="",0,IF(ISNUMBER($E37),($E37+$F37)*Stock!B37/100,Stock!B37))</f>
        <v>0</v>
      </c>
      <c r="H37" s="9">
        <f ca="1">IF(Stock!C37="",0,IF(ISNUMBER($E37),($E37+$F37)*Stock!C37/100,Stock!C37))</f>
        <v>0</v>
      </c>
      <c r="I37" s="9">
        <f ca="1">IF(Stock!D37="",0,IF(ISNUMBER($E37),($E37+$F37)*Stock!D37/100,Stock!D37))</f>
        <v>0</v>
      </c>
      <c r="J37" s="9">
        <f ca="1">IF(Stock!E37="",0,IF(ISNUMBER($E37),($E37+$F37)*Stock!E37/100,Stock!E37))</f>
        <v>0</v>
      </c>
      <c r="K37" s="9">
        <f ca="1">IF(Stock!F37="",0,IF(ISNUMBER($E37),($E37+$F37)*Stock!F37/100,Stock!F37))</f>
        <v>0</v>
      </c>
      <c r="L37" s="9">
        <f ca="1">IF(Stock!G37="",0,IF(ISNUMBER($E37),($E37+$F37)*Stock!G37/100,Stock!G37))</f>
        <v>0</v>
      </c>
      <c r="M37" s="9">
        <f ca="1">IF(Stock!H37="",0,IF(ISNUMBER($E37),($E37+$F37)*Stock!H37/100,Stock!H37))</f>
        <v>0</v>
      </c>
      <c r="N37" s="9">
        <f ca="1">IF(Stock!I37="",0,IF(ISNUMBER($E37),($E37+$F37)*Stock!I37/100,Stock!I37))</f>
        <v>0</v>
      </c>
      <c r="O37" s="9">
        <f ca="1">IF(Stock!J37="",0,IF(ISNUMBER($E37),($E37+$F37)*Stock!J37/100,Stock!J37))</f>
        <v>0</v>
      </c>
      <c r="P37" s="9">
        <f ca="1">IF(Stock!K37="",0,IF(ISNUMBER($E37),($E37+$F37)*Stock!K37/100,Stock!K37))</f>
        <v>0</v>
      </c>
      <c r="Q37" s="9">
        <f ca="1">IF(Stock!L37="",0,IF(ISNUMBER($E37),($E37+$F37)*Stock!L37/100,Stock!L37))</f>
        <v>0</v>
      </c>
      <c r="R37" s="9">
        <f ca="1">IF(Stock!M37="",0,IF(ISNUMBER($E37),($E37+$F37)*Stock!M37/100,Stock!M37))</f>
        <v>0</v>
      </c>
      <c r="S37" s="9">
        <f ca="1">IF(Stock!N37="",0,IF(ISNUMBER($E37),($E37+$F37)*Stock!N37/100,Stock!N37))</f>
        <v>0</v>
      </c>
      <c r="T37" s="9">
        <f ca="1">IF(Stock!O37="",0,IF(ISNUMBER($E37),($E37+$F37)*Stock!O37/100,Stock!O37))</f>
        <v>0</v>
      </c>
      <c r="U37" s="9">
        <f ca="1">IF(Stock!P37="",0,IF(ISNUMBER($E37),($E37+$F37)*Stock!P37/100,Stock!P37))</f>
        <v>0</v>
      </c>
      <c r="V37" s="9">
        <f ca="1">IF(Stock!Q37="",0,IF(ISNUMBER($E37),($E37+$F37)*Stock!Q37/100,Stock!Q37))</f>
        <v>0</v>
      </c>
      <c r="W37" s="9">
        <f ca="1">IF(Stock!R37="",0,IF(ISNUMBER($E37),($E37+$F37)*Stock!R37/100,Stock!R37))</f>
        <v>0</v>
      </c>
      <c r="X37" s="9">
        <f ca="1">IF(Stock!S37="",0,IF(ISNUMBER($E37),($E37+$F37)*Stock!S37/100,Stock!S37))</f>
        <v>0</v>
      </c>
      <c r="Y37" s="9">
        <f ca="1">IF(Stock!T37="",0,IF(ISNUMBER($E37),($E37+$F37)*Stock!T37/100,Stock!T37))</f>
        <v>0</v>
      </c>
      <c r="Z37" s="9">
        <f ca="1">IF(Stock!U37="",0,IF(ISNUMBER($E37),($E37+$F37)*Stock!U37/100,Stock!U37))</f>
        <v>0</v>
      </c>
      <c r="AA37" s="9">
        <f ca="1">IF(Stock!V37="",0,IF(ISNUMBER($E37),($E37+$F37)*Stock!V37/100,Stock!V37))</f>
        <v>0</v>
      </c>
      <c r="AB37" s="9">
        <f ca="1">IF(Stock!W37="",0,IF(ISNUMBER($E37),($E37+$F37)*Stock!W37/100,Stock!W37))</f>
        <v>0</v>
      </c>
      <c r="AC37" s="9">
        <f ca="1">IF(Stock!X37="",0,IF(ISNUMBER($E37),($E37+$F37)*Stock!X37/100,Stock!X37))</f>
        <v>0</v>
      </c>
      <c r="AD37" s="9">
        <f ca="1">IF(Stock!Y37="",0,IF(ISNUMBER($E37),($E37+$F37)*Stock!Y37/100,Stock!Y37))</f>
        <v>0</v>
      </c>
      <c r="AE37" s="9">
        <f ca="1">IF(Stock!Z37="",0,IF(ISNUMBER($E37),($E37+$F37)*Stock!Z37/100,Stock!Z37))</f>
        <v>0</v>
      </c>
      <c r="AF37" s="9">
        <f ca="1">IF(Stock!AA37="",0,IF(ISNUMBER($E37),($E37+$F37)*Stock!AA37/100,Stock!AA37))</f>
        <v>0</v>
      </c>
      <c r="AG37" s="9">
        <f ca="1">IF(Stock!AB37="",0,IF(ISNUMBER($E37),($E37+$F37)*Stock!AB37/100,Stock!AB37))</f>
        <v>0</v>
      </c>
      <c r="AH37" s="9">
        <f ca="1">IF(Stock!AC37="",0,IF(ISNUMBER($E37),($E37+$F37)*Stock!AC37/100,Stock!AC37))</f>
        <v>0</v>
      </c>
      <c r="AI37" s="9">
        <f ca="1">IF(Stock!AD37="",0,IF(ISNUMBER($E37),($E37+$F37)*Stock!AD37/100,Stock!AD37))</f>
        <v>0</v>
      </c>
      <c r="AJ37" s="9">
        <f ca="1">IF(Stock!AE37="",0,IF(ISNUMBER($E37),($E37+$F37)*Stock!AE37/100,Stock!AE37))</f>
        <v>0</v>
      </c>
      <c r="AK37" s="9">
        <f ca="1">IF(Stock!AF37="",0,IF(ISNUMBER($E37),($E37+$F37)*Stock!AF37/100,Stock!AF37))</f>
        <v>0</v>
      </c>
      <c r="AL37" s="9">
        <f ca="1">IF(Stock!AG37="",0,IF(ISNUMBER($E37),($E37+$F37)*Stock!AG37/100,Stock!AG37))</f>
        <v>0</v>
      </c>
      <c r="AM37" s="9">
        <f ca="1">IF(Stock!AH37="",0,IF(ISNUMBER($E37),($E37+$F37)*Stock!AH37/100,Stock!AH37))</f>
        <v>0</v>
      </c>
      <c r="AN37" s="9">
        <f ca="1">IF(Stock!AI37="",0,IF(ISNUMBER($E37),($E37+$F37)*Stock!AI37/100,Stock!AI37))</f>
        <v>0</v>
      </c>
      <c r="AO37" s="9">
        <f ca="1">IF(Stock!AJ37="",0,IF(ISNUMBER($E37),($E37+$F37)*Stock!AJ37/100,Stock!AJ37))</f>
        <v>0</v>
      </c>
      <c r="AP37" s="9">
        <f ca="1">IF(Stock!AK37="",0,IF(ISNUMBER($E37),($E37+$F37)*Stock!AK37/100,Stock!AK37))</f>
        <v>0</v>
      </c>
      <c r="AQ37" s="9">
        <f ca="1">IF(Stock!AL37="",0,IF(ISNUMBER($E37),($E37+$F37)*Stock!AL37/100,Stock!AL37))</f>
        <v>0</v>
      </c>
      <c r="AR37" s="9">
        <f ca="1">IF(Stock!AM37="",0,IF(ISNUMBER($E37),($E37+$F37)*Stock!AM37/100,Stock!AM37))</f>
        <v>0</v>
      </c>
      <c r="AS37" s="9">
        <f ca="1">IF(Stock!AN37="",0,IF(ISNUMBER($E37),($E37+$F37)*Stock!AN37/100,Stock!AN37))</f>
        <v>0</v>
      </c>
      <c r="AT37" s="9">
        <f ca="1">IF(Stock!AO37="",0,IF(ISNUMBER($E37),($E37+$F37)*Stock!AO37/100,Stock!AO37))</f>
        <v>0</v>
      </c>
      <c r="AU37" s="9">
        <f ca="1">IF(Stock!AP37="",0,IF(ISNUMBER($E37),($E37+$F37)*Stock!AP37/100,Stock!AP37))</f>
        <v>0</v>
      </c>
      <c r="AV37" s="9">
        <f ca="1">IF(Stock!AQ37="",0,IF(ISNUMBER($E37),($E37+$F37)*Stock!AQ37/100,Stock!AQ37))</f>
        <v>0</v>
      </c>
      <c r="AW37" s="9">
        <f ca="1">IF(Stock!AR37="",0,IF(ISNUMBER($E37),($E37+$F37)*Stock!AR37/100,Stock!AR37))</f>
        <v>0</v>
      </c>
      <c r="AX37" s="9">
        <f ca="1">IF(Stock!AS37="",0,IF(ISNUMBER($E37),($E37+$F37)*Stock!AS37/100,Stock!AS37))</f>
        <v>0</v>
      </c>
      <c r="AY37" s="9">
        <f ca="1">IF(Stock!AT37="",0,IF(ISNUMBER($E37),($E37+$F37)*Stock!AT37/100,Stock!AT37))</f>
        <v>0</v>
      </c>
      <c r="AZ37" s="9">
        <f ca="1">IF(Stock!AU37="",0,IF(ISNUMBER($E37),($E37+$F37)*Stock!AU37/100,Stock!AU37))</f>
        <v>0</v>
      </c>
      <c r="BA37" s="9">
        <f ca="1">IF(Stock!AV37="",0,IF(ISNUMBER($E37),($E37+$F37)*Stock!AV37/100,Stock!AV37))</f>
        <v>0</v>
      </c>
      <c r="BB37" s="9">
        <f ca="1">IF(Stock!AW37="",0,IF(ISNUMBER($E37),($E37+$F37)*Stock!AW37/100,Stock!AW37))</f>
        <v>0</v>
      </c>
      <c r="BC37" s="9">
        <f ca="1">IF(Stock!AX37="",0,IF(ISNUMBER($E37),($E37+$F37)*Stock!AX37/100,Stock!AX37))</f>
        <v>0</v>
      </c>
    </row>
    <row r="38" spans="1:55" x14ac:dyDescent="0.3">
      <c r="A38" s="2" t="str">
        <f t="shared" si="2"/>
        <v/>
      </c>
      <c r="B38" s="3" t="str">
        <f t="shared" si="3"/>
        <v/>
      </c>
      <c r="C38" s="4" t="str">
        <f>IF(Repo!C42="","",Repo!C42)</f>
        <v/>
      </c>
      <c r="D38" s="4" t="str">
        <f>IF(Repo!D42="","",Repo!D42)</f>
        <v/>
      </c>
      <c r="E38" s="62">
        <f ca="1">IF(A38="",0,IF(LEFT(C38,3) = "USB",100*(1-_xll.BDP(D38 &amp; " Govt",E$1)*(B38-TODAY()+1)/36000),_xll.BDP(D38 &amp; " Govt",E$1)))</f>
        <v>0</v>
      </c>
      <c r="F38" s="62">
        <f>IF(A38="",0,IF(LEFT(D38,1) = "B",0,_xll.BDP(D38 &amp; " Govt",F$1)))</f>
        <v>0</v>
      </c>
      <c r="G38" s="9">
        <f>IF(Stock!B38="",0,IF(ISNUMBER($E38),($E38+$F38)*Stock!B38/100,Stock!B38))</f>
        <v>0</v>
      </c>
      <c r="H38" s="9">
        <f ca="1">IF(Stock!C38="",0,IF(ISNUMBER($E38),($E38+$F38)*Stock!C38/100,Stock!C38))</f>
        <v>0</v>
      </c>
      <c r="I38" s="9">
        <f ca="1">IF(Stock!D38="",0,IF(ISNUMBER($E38),($E38+$F38)*Stock!D38/100,Stock!D38))</f>
        <v>0</v>
      </c>
      <c r="J38" s="9">
        <f ca="1">IF(Stock!E38="",0,IF(ISNUMBER($E38),($E38+$F38)*Stock!E38/100,Stock!E38))</f>
        <v>0</v>
      </c>
      <c r="K38" s="9">
        <f ca="1">IF(Stock!F38="",0,IF(ISNUMBER($E38),($E38+$F38)*Stock!F38/100,Stock!F38))</f>
        <v>0</v>
      </c>
      <c r="L38" s="9">
        <f ca="1">IF(Stock!G38="",0,IF(ISNUMBER($E38),($E38+$F38)*Stock!G38/100,Stock!G38))</f>
        <v>0</v>
      </c>
      <c r="M38" s="9">
        <f ca="1">IF(Stock!H38="",0,IF(ISNUMBER($E38),($E38+$F38)*Stock!H38/100,Stock!H38))</f>
        <v>0</v>
      </c>
      <c r="N38" s="9">
        <f ca="1">IF(Stock!I38="",0,IF(ISNUMBER($E38),($E38+$F38)*Stock!I38/100,Stock!I38))</f>
        <v>0</v>
      </c>
      <c r="O38" s="9">
        <f ca="1">IF(Stock!J38="",0,IF(ISNUMBER($E38),($E38+$F38)*Stock!J38/100,Stock!J38))</f>
        <v>0</v>
      </c>
      <c r="P38" s="9">
        <f ca="1">IF(Stock!K38="",0,IF(ISNUMBER($E38),($E38+$F38)*Stock!K38/100,Stock!K38))</f>
        <v>0</v>
      </c>
      <c r="Q38" s="9">
        <f ca="1">IF(Stock!L38="",0,IF(ISNUMBER($E38),($E38+$F38)*Stock!L38/100,Stock!L38))</f>
        <v>0</v>
      </c>
      <c r="R38" s="9">
        <f ca="1">IF(Stock!M38="",0,IF(ISNUMBER($E38),($E38+$F38)*Stock!M38/100,Stock!M38))</f>
        <v>0</v>
      </c>
      <c r="S38" s="9">
        <f ca="1">IF(Stock!N38="",0,IF(ISNUMBER($E38),($E38+$F38)*Stock!N38/100,Stock!N38))</f>
        <v>0</v>
      </c>
      <c r="T38" s="9">
        <f ca="1">IF(Stock!O38="",0,IF(ISNUMBER($E38),($E38+$F38)*Stock!O38/100,Stock!O38))</f>
        <v>0</v>
      </c>
      <c r="U38" s="9">
        <f ca="1">IF(Stock!P38="",0,IF(ISNUMBER($E38),($E38+$F38)*Stock!P38/100,Stock!P38))</f>
        <v>0</v>
      </c>
      <c r="V38" s="9">
        <f ca="1">IF(Stock!Q38="",0,IF(ISNUMBER($E38),($E38+$F38)*Stock!Q38/100,Stock!Q38))</f>
        <v>0</v>
      </c>
      <c r="W38" s="9">
        <f ca="1">IF(Stock!R38="",0,IF(ISNUMBER($E38),($E38+$F38)*Stock!R38/100,Stock!R38))</f>
        <v>0</v>
      </c>
      <c r="X38" s="9">
        <f ca="1">IF(Stock!S38="",0,IF(ISNUMBER($E38),($E38+$F38)*Stock!S38/100,Stock!S38))</f>
        <v>0</v>
      </c>
      <c r="Y38" s="9">
        <f ca="1">IF(Stock!T38="",0,IF(ISNUMBER($E38),($E38+$F38)*Stock!T38/100,Stock!T38))</f>
        <v>0</v>
      </c>
      <c r="Z38" s="9">
        <f ca="1">IF(Stock!U38="",0,IF(ISNUMBER($E38),($E38+$F38)*Stock!U38/100,Stock!U38))</f>
        <v>0</v>
      </c>
      <c r="AA38" s="9">
        <f ca="1">IF(Stock!V38="",0,IF(ISNUMBER($E38),($E38+$F38)*Stock!V38/100,Stock!V38))</f>
        <v>0</v>
      </c>
      <c r="AB38" s="9">
        <f ca="1">IF(Stock!W38="",0,IF(ISNUMBER($E38),($E38+$F38)*Stock!W38/100,Stock!W38))</f>
        <v>0</v>
      </c>
      <c r="AC38" s="9">
        <f ca="1">IF(Stock!X38="",0,IF(ISNUMBER($E38),($E38+$F38)*Stock!X38/100,Stock!X38))</f>
        <v>0</v>
      </c>
      <c r="AD38" s="9">
        <f ca="1">IF(Stock!Y38="",0,IF(ISNUMBER($E38),($E38+$F38)*Stock!Y38/100,Stock!Y38))</f>
        <v>0</v>
      </c>
      <c r="AE38" s="9">
        <f ca="1">IF(Stock!Z38="",0,IF(ISNUMBER($E38),($E38+$F38)*Stock!Z38/100,Stock!Z38))</f>
        <v>0</v>
      </c>
      <c r="AF38" s="9">
        <f ca="1">IF(Stock!AA38="",0,IF(ISNUMBER($E38),($E38+$F38)*Stock!AA38/100,Stock!AA38))</f>
        <v>0</v>
      </c>
      <c r="AG38" s="9">
        <f ca="1">IF(Stock!AB38="",0,IF(ISNUMBER($E38),($E38+$F38)*Stock!AB38/100,Stock!AB38))</f>
        <v>0</v>
      </c>
      <c r="AH38" s="9">
        <f ca="1">IF(Stock!AC38="",0,IF(ISNUMBER($E38),($E38+$F38)*Stock!AC38/100,Stock!AC38))</f>
        <v>0</v>
      </c>
      <c r="AI38" s="9">
        <f ca="1">IF(Stock!AD38="",0,IF(ISNUMBER($E38),($E38+$F38)*Stock!AD38/100,Stock!AD38))</f>
        <v>0</v>
      </c>
      <c r="AJ38" s="9">
        <f ca="1">IF(Stock!AE38="",0,IF(ISNUMBER($E38),($E38+$F38)*Stock!AE38/100,Stock!AE38))</f>
        <v>0</v>
      </c>
      <c r="AK38" s="9">
        <f ca="1">IF(Stock!AF38="",0,IF(ISNUMBER($E38),($E38+$F38)*Stock!AF38/100,Stock!AF38))</f>
        <v>0</v>
      </c>
      <c r="AL38" s="9">
        <f ca="1">IF(Stock!AG38="",0,IF(ISNUMBER($E38),($E38+$F38)*Stock!AG38/100,Stock!AG38))</f>
        <v>0</v>
      </c>
      <c r="AM38" s="9">
        <f ca="1">IF(Stock!AH38="",0,IF(ISNUMBER($E38),($E38+$F38)*Stock!AH38/100,Stock!AH38))</f>
        <v>0</v>
      </c>
      <c r="AN38" s="9">
        <f ca="1">IF(Stock!AI38="",0,IF(ISNUMBER($E38),($E38+$F38)*Stock!AI38/100,Stock!AI38))</f>
        <v>0</v>
      </c>
      <c r="AO38" s="9">
        <f ca="1">IF(Stock!AJ38="",0,IF(ISNUMBER($E38),($E38+$F38)*Stock!AJ38/100,Stock!AJ38))</f>
        <v>0</v>
      </c>
      <c r="AP38" s="9">
        <f ca="1">IF(Stock!AK38="",0,IF(ISNUMBER($E38),($E38+$F38)*Stock!AK38/100,Stock!AK38))</f>
        <v>0</v>
      </c>
      <c r="AQ38" s="9">
        <f ca="1">IF(Stock!AL38="",0,IF(ISNUMBER($E38),($E38+$F38)*Stock!AL38/100,Stock!AL38))</f>
        <v>0</v>
      </c>
      <c r="AR38" s="9">
        <f ca="1">IF(Stock!AM38="",0,IF(ISNUMBER($E38),($E38+$F38)*Stock!AM38/100,Stock!AM38))</f>
        <v>0</v>
      </c>
      <c r="AS38" s="9">
        <f ca="1">IF(Stock!AN38="",0,IF(ISNUMBER($E38),($E38+$F38)*Stock!AN38/100,Stock!AN38))</f>
        <v>0</v>
      </c>
      <c r="AT38" s="9">
        <f ca="1">IF(Stock!AO38="",0,IF(ISNUMBER($E38),($E38+$F38)*Stock!AO38/100,Stock!AO38))</f>
        <v>0</v>
      </c>
      <c r="AU38" s="9">
        <f ca="1">IF(Stock!AP38="",0,IF(ISNUMBER($E38),($E38+$F38)*Stock!AP38/100,Stock!AP38))</f>
        <v>0</v>
      </c>
      <c r="AV38" s="9">
        <f ca="1">IF(Stock!AQ38="",0,IF(ISNUMBER($E38),($E38+$F38)*Stock!AQ38/100,Stock!AQ38))</f>
        <v>0</v>
      </c>
      <c r="AW38" s="9">
        <f ca="1">IF(Stock!AR38="",0,IF(ISNUMBER($E38),($E38+$F38)*Stock!AR38/100,Stock!AR38))</f>
        <v>0</v>
      </c>
      <c r="AX38" s="9">
        <f ca="1">IF(Stock!AS38="",0,IF(ISNUMBER($E38),($E38+$F38)*Stock!AS38/100,Stock!AS38))</f>
        <v>0</v>
      </c>
      <c r="AY38" s="9">
        <f ca="1">IF(Stock!AT38="",0,IF(ISNUMBER($E38),($E38+$F38)*Stock!AT38/100,Stock!AT38))</f>
        <v>0</v>
      </c>
      <c r="AZ38" s="9">
        <f ca="1">IF(Stock!AU38="",0,IF(ISNUMBER($E38),($E38+$F38)*Stock!AU38/100,Stock!AU38))</f>
        <v>0</v>
      </c>
      <c r="BA38" s="9">
        <f ca="1">IF(Stock!AV38="",0,IF(ISNUMBER($E38),($E38+$F38)*Stock!AV38/100,Stock!AV38))</f>
        <v>0</v>
      </c>
      <c r="BB38" s="9">
        <f ca="1">IF(Stock!AW38="",0,IF(ISNUMBER($E38),($E38+$F38)*Stock!AW38/100,Stock!AW38))</f>
        <v>0</v>
      </c>
      <c r="BC38" s="9">
        <f ca="1">IF(Stock!AX38="",0,IF(ISNUMBER($E38),($E38+$F38)*Stock!AX38/100,Stock!AX38))</f>
        <v>0</v>
      </c>
    </row>
    <row r="39" spans="1:55" x14ac:dyDescent="0.3">
      <c r="A39" s="2" t="str">
        <f t="shared" si="2"/>
        <v/>
      </c>
      <c r="B39" s="3" t="str">
        <f t="shared" si="3"/>
        <v/>
      </c>
      <c r="C39" s="4" t="str">
        <f>IF(Repo!C43="","",Repo!C43)</f>
        <v/>
      </c>
      <c r="D39" s="4" t="str">
        <f>IF(Repo!D43="","",Repo!D43)</f>
        <v/>
      </c>
      <c r="E39" s="62">
        <f ca="1">IF(A39="",0,IF(LEFT(C39,3) = "USB",100*(1-_xll.BDP(D39 &amp; " Govt",E$1)*(B39-TODAY()+1)/36000),_xll.BDP(D39 &amp; " Govt",E$1)))</f>
        <v>0</v>
      </c>
      <c r="F39" s="62">
        <f>IF(A39="",0,IF(LEFT(D39,1) = "B",0,_xll.BDP(D39 &amp; " Govt",F$1)))</f>
        <v>0</v>
      </c>
      <c r="G39" s="9">
        <f>IF(Stock!B39="",0,IF(ISNUMBER($E39),($E39+$F39)*Stock!B39/100,Stock!B39))</f>
        <v>0</v>
      </c>
      <c r="H39" s="9">
        <f ca="1">IF(Stock!C39="",0,IF(ISNUMBER($E39),($E39+$F39)*Stock!C39/100,Stock!C39))</f>
        <v>0</v>
      </c>
      <c r="I39" s="9">
        <f ca="1">IF(Stock!D39="",0,IF(ISNUMBER($E39),($E39+$F39)*Stock!D39/100,Stock!D39))</f>
        <v>0</v>
      </c>
      <c r="J39" s="9">
        <f ca="1">IF(Stock!E39="",0,IF(ISNUMBER($E39),($E39+$F39)*Stock!E39/100,Stock!E39))</f>
        <v>0</v>
      </c>
      <c r="K39" s="9">
        <f ca="1">IF(Stock!F39="",0,IF(ISNUMBER($E39),($E39+$F39)*Stock!F39/100,Stock!F39))</f>
        <v>0</v>
      </c>
      <c r="L39" s="9">
        <f ca="1">IF(Stock!G39="",0,IF(ISNUMBER($E39),($E39+$F39)*Stock!G39/100,Stock!G39))</f>
        <v>0</v>
      </c>
      <c r="M39" s="9">
        <f ca="1">IF(Stock!H39="",0,IF(ISNUMBER($E39),($E39+$F39)*Stock!H39/100,Stock!H39))</f>
        <v>0</v>
      </c>
      <c r="N39" s="9">
        <f ca="1">IF(Stock!I39="",0,IF(ISNUMBER($E39),($E39+$F39)*Stock!I39/100,Stock!I39))</f>
        <v>0</v>
      </c>
      <c r="O39" s="9">
        <f ca="1">IF(Stock!J39="",0,IF(ISNUMBER($E39),($E39+$F39)*Stock!J39/100,Stock!J39))</f>
        <v>0</v>
      </c>
      <c r="P39" s="9">
        <f ca="1">IF(Stock!K39="",0,IF(ISNUMBER($E39),($E39+$F39)*Stock!K39/100,Stock!K39))</f>
        <v>0</v>
      </c>
      <c r="Q39" s="9">
        <f ca="1">IF(Stock!L39="",0,IF(ISNUMBER($E39),($E39+$F39)*Stock!L39/100,Stock!L39))</f>
        <v>0</v>
      </c>
      <c r="R39" s="9">
        <f ca="1">IF(Stock!M39="",0,IF(ISNUMBER($E39),($E39+$F39)*Stock!M39/100,Stock!M39))</f>
        <v>0</v>
      </c>
      <c r="S39" s="9">
        <f ca="1">IF(Stock!N39="",0,IF(ISNUMBER($E39),($E39+$F39)*Stock!N39/100,Stock!N39))</f>
        <v>0</v>
      </c>
      <c r="T39" s="9">
        <f ca="1">IF(Stock!O39="",0,IF(ISNUMBER($E39),($E39+$F39)*Stock!O39/100,Stock!O39))</f>
        <v>0</v>
      </c>
      <c r="U39" s="9">
        <f ca="1">IF(Stock!P39="",0,IF(ISNUMBER($E39),($E39+$F39)*Stock!P39/100,Stock!P39))</f>
        <v>0</v>
      </c>
      <c r="V39" s="9">
        <f ca="1">IF(Stock!Q39="",0,IF(ISNUMBER($E39),($E39+$F39)*Stock!Q39/100,Stock!Q39))</f>
        <v>0</v>
      </c>
      <c r="W39" s="9">
        <f ca="1">IF(Stock!R39="",0,IF(ISNUMBER($E39),($E39+$F39)*Stock!R39/100,Stock!R39))</f>
        <v>0</v>
      </c>
      <c r="X39" s="9">
        <f ca="1">IF(Stock!S39="",0,IF(ISNUMBER($E39),($E39+$F39)*Stock!S39/100,Stock!S39))</f>
        <v>0</v>
      </c>
      <c r="Y39" s="9">
        <f ca="1">IF(Stock!T39="",0,IF(ISNUMBER($E39),($E39+$F39)*Stock!T39/100,Stock!T39))</f>
        <v>0</v>
      </c>
      <c r="Z39" s="9">
        <f ca="1">IF(Stock!U39="",0,IF(ISNUMBER($E39),($E39+$F39)*Stock!U39/100,Stock!U39))</f>
        <v>0</v>
      </c>
      <c r="AA39" s="9">
        <f ca="1">IF(Stock!V39="",0,IF(ISNUMBER($E39),($E39+$F39)*Stock!V39/100,Stock!V39))</f>
        <v>0</v>
      </c>
      <c r="AB39" s="9">
        <f ca="1">IF(Stock!W39="",0,IF(ISNUMBER($E39),($E39+$F39)*Stock!W39/100,Stock!W39))</f>
        <v>0</v>
      </c>
      <c r="AC39" s="9">
        <f ca="1">IF(Stock!X39="",0,IF(ISNUMBER($E39),($E39+$F39)*Stock!X39/100,Stock!X39))</f>
        <v>0</v>
      </c>
      <c r="AD39" s="9">
        <f ca="1">IF(Stock!Y39="",0,IF(ISNUMBER($E39),($E39+$F39)*Stock!Y39/100,Stock!Y39))</f>
        <v>0</v>
      </c>
      <c r="AE39" s="9">
        <f ca="1">IF(Stock!Z39="",0,IF(ISNUMBER($E39),($E39+$F39)*Stock!Z39/100,Stock!Z39))</f>
        <v>0</v>
      </c>
      <c r="AF39" s="9">
        <f ca="1">IF(Stock!AA39="",0,IF(ISNUMBER($E39),($E39+$F39)*Stock!AA39/100,Stock!AA39))</f>
        <v>0</v>
      </c>
      <c r="AG39" s="9">
        <f ca="1">IF(Stock!AB39="",0,IF(ISNUMBER($E39),($E39+$F39)*Stock!AB39/100,Stock!AB39))</f>
        <v>0</v>
      </c>
      <c r="AH39" s="9">
        <f ca="1">IF(Stock!AC39="",0,IF(ISNUMBER($E39),($E39+$F39)*Stock!AC39/100,Stock!AC39))</f>
        <v>0</v>
      </c>
      <c r="AI39" s="9">
        <f ca="1">IF(Stock!AD39="",0,IF(ISNUMBER($E39),($E39+$F39)*Stock!AD39/100,Stock!AD39))</f>
        <v>0</v>
      </c>
      <c r="AJ39" s="9">
        <f ca="1">IF(Stock!AE39="",0,IF(ISNUMBER($E39),($E39+$F39)*Stock!AE39/100,Stock!AE39))</f>
        <v>0</v>
      </c>
      <c r="AK39" s="9">
        <f ca="1">IF(Stock!AF39="",0,IF(ISNUMBER($E39),($E39+$F39)*Stock!AF39/100,Stock!AF39))</f>
        <v>0</v>
      </c>
      <c r="AL39" s="9">
        <f ca="1">IF(Stock!AG39="",0,IF(ISNUMBER($E39),($E39+$F39)*Stock!AG39/100,Stock!AG39))</f>
        <v>0</v>
      </c>
      <c r="AM39" s="9">
        <f ca="1">IF(Stock!AH39="",0,IF(ISNUMBER($E39),($E39+$F39)*Stock!AH39/100,Stock!AH39))</f>
        <v>0</v>
      </c>
      <c r="AN39" s="9">
        <f ca="1">IF(Stock!AI39="",0,IF(ISNUMBER($E39),($E39+$F39)*Stock!AI39/100,Stock!AI39))</f>
        <v>0</v>
      </c>
      <c r="AO39" s="9">
        <f ca="1">IF(Stock!AJ39="",0,IF(ISNUMBER($E39),($E39+$F39)*Stock!AJ39/100,Stock!AJ39))</f>
        <v>0</v>
      </c>
      <c r="AP39" s="9">
        <f ca="1">IF(Stock!AK39="",0,IF(ISNUMBER($E39),($E39+$F39)*Stock!AK39/100,Stock!AK39))</f>
        <v>0</v>
      </c>
      <c r="AQ39" s="9">
        <f ca="1">IF(Stock!AL39="",0,IF(ISNUMBER($E39),($E39+$F39)*Stock!AL39/100,Stock!AL39))</f>
        <v>0</v>
      </c>
      <c r="AR39" s="9">
        <f ca="1">IF(Stock!AM39="",0,IF(ISNUMBER($E39),($E39+$F39)*Stock!AM39/100,Stock!AM39))</f>
        <v>0</v>
      </c>
      <c r="AS39" s="9">
        <f ca="1">IF(Stock!AN39="",0,IF(ISNUMBER($E39),($E39+$F39)*Stock!AN39/100,Stock!AN39))</f>
        <v>0</v>
      </c>
      <c r="AT39" s="9">
        <f ca="1">IF(Stock!AO39="",0,IF(ISNUMBER($E39),($E39+$F39)*Stock!AO39/100,Stock!AO39))</f>
        <v>0</v>
      </c>
      <c r="AU39" s="9">
        <f ca="1">IF(Stock!AP39="",0,IF(ISNUMBER($E39),($E39+$F39)*Stock!AP39/100,Stock!AP39))</f>
        <v>0</v>
      </c>
      <c r="AV39" s="9">
        <f ca="1">IF(Stock!AQ39="",0,IF(ISNUMBER($E39),($E39+$F39)*Stock!AQ39/100,Stock!AQ39))</f>
        <v>0</v>
      </c>
      <c r="AW39" s="9">
        <f ca="1">IF(Stock!AR39="",0,IF(ISNUMBER($E39),($E39+$F39)*Stock!AR39/100,Stock!AR39))</f>
        <v>0</v>
      </c>
      <c r="AX39" s="9">
        <f ca="1">IF(Stock!AS39="",0,IF(ISNUMBER($E39),($E39+$F39)*Stock!AS39/100,Stock!AS39))</f>
        <v>0</v>
      </c>
      <c r="AY39" s="9">
        <f ca="1">IF(Stock!AT39="",0,IF(ISNUMBER($E39),($E39+$F39)*Stock!AT39/100,Stock!AT39))</f>
        <v>0</v>
      </c>
      <c r="AZ39" s="9">
        <f ca="1">IF(Stock!AU39="",0,IF(ISNUMBER($E39),($E39+$F39)*Stock!AU39/100,Stock!AU39))</f>
        <v>0</v>
      </c>
      <c r="BA39" s="9">
        <f ca="1">IF(Stock!AV39="",0,IF(ISNUMBER($E39),($E39+$F39)*Stock!AV39/100,Stock!AV39))</f>
        <v>0</v>
      </c>
      <c r="BB39" s="9">
        <f ca="1">IF(Stock!AW39="",0,IF(ISNUMBER($E39),($E39+$F39)*Stock!AW39/100,Stock!AW39))</f>
        <v>0</v>
      </c>
      <c r="BC39" s="9">
        <f ca="1">IF(Stock!AX39="",0,IF(ISNUMBER($E39),($E39+$F39)*Stock!AX39/100,Stock!AX39))</f>
        <v>0</v>
      </c>
    </row>
    <row r="40" spans="1:55" x14ac:dyDescent="0.3">
      <c r="A40" s="2" t="str">
        <f t="shared" si="2"/>
        <v/>
      </c>
      <c r="B40" s="3" t="str">
        <f t="shared" si="3"/>
        <v/>
      </c>
      <c r="C40" s="4" t="str">
        <f>IF(Repo!C44="","",Repo!C44)</f>
        <v/>
      </c>
      <c r="D40" s="4" t="str">
        <f>IF(Repo!D44="","",Repo!D44)</f>
        <v/>
      </c>
      <c r="E40" s="62">
        <f ca="1">IF(A40="",0,IF(LEFT(C40,3) = "USB",100*(1-_xll.BDP(D40 &amp; " Govt",E$1)*(B40-TODAY()+1)/36000),_xll.BDP(D40 &amp; " Govt",E$1)))</f>
        <v>0</v>
      </c>
      <c r="F40" s="62">
        <f>IF(A40="",0,IF(LEFT(D40,1) = "B",0,_xll.BDP(D40 &amp; " Govt",F$1)))</f>
        <v>0</v>
      </c>
      <c r="G40" s="9">
        <f>IF(Stock!B40="",0,IF(ISNUMBER($E40),($E40+$F40)*Stock!B40/100,Stock!B40))</f>
        <v>0</v>
      </c>
      <c r="H40" s="9">
        <f ca="1">IF(Stock!C40="",0,IF(ISNUMBER($E40),($E40+$F40)*Stock!C40/100,Stock!C40))</f>
        <v>0</v>
      </c>
      <c r="I40" s="9">
        <f ca="1">IF(Stock!D40="",0,IF(ISNUMBER($E40),($E40+$F40)*Stock!D40/100,Stock!D40))</f>
        <v>0</v>
      </c>
      <c r="J40" s="9">
        <f ca="1">IF(Stock!E40="",0,IF(ISNUMBER($E40),($E40+$F40)*Stock!E40/100,Stock!E40))</f>
        <v>0</v>
      </c>
      <c r="K40" s="9">
        <f ca="1">IF(Stock!F40="",0,IF(ISNUMBER($E40),($E40+$F40)*Stock!F40/100,Stock!F40))</f>
        <v>0</v>
      </c>
      <c r="L40" s="9">
        <f ca="1">IF(Stock!G40="",0,IF(ISNUMBER($E40),($E40+$F40)*Stock!G40/100,Stock!G40))</f>
        <v>0</v>
      </c>
      <c r="M40" s="9">
        <f ca="1">IF(Stock!H40="",0,IF(ISNUMBER($E40),($E40+$F40)*Stock!H40/100,Stock!H40))</f>
        <v>0</v>
      </c>
      <c r="N40" s="9">
        <f ca="1">IF(Stock!I40="",0,IF(ISNUMBER($E40),($E40+$F40)*Stock!I40/100,Stock!I40))</f>
        <v>0</v>
      </c>
      <c r="O40" s="9">
        <f ca="1">IF(Stock!J40="",0,IF(ISNUMBER($E40),($E40+$F40)*Stock!J40/100,Stock!J40))</f>
        <v>0</v>
      </c>
      <c r="P40" s="9">
        <f ca="1">IF(Stock!K40="",0,IF(ISNUMBER($E40),($E40+$F40)*Stock!K40/100,Stock!K40))</f>
        <v>0</v>
      </c>
      <c r="Q40" s="9">
        <f ca="1">IF(Stock!L40="",0,IF(ISNUMBER($E40),($E40+$F40)*Stock!L40/100,Stock!L40))</f>
        <v>0</v>
      </c>
      <c r="R40" s="9">
        <f ca="1">IF(Stock!M40="",0,IF(ISNUMBER($E40),($E40+$F40)*Stock!M40/100,Stock!M40))</f>
        <v>0</v>
      </c>
      <c r="S40" s="9">
        <f ca="1">IF(Stock!N40="",0,IF(ISNUMBER($E40),($E40+$F40)*Stock!N40/100,Stock!N40))</f>
        <v>0</v>
      </c>
      <c r="T40" s="9">
        <f ca="1">IF(Stock!O40="",0,IF(ISNUMBER($E40),($E40+$F40)*Stock!O40/100,Stock!O40))</f>
        <v>0</v>
      </c>
      <c r="U40" s="9">
        <f ca="1">IF(Stock!P40="",0,IF(ISNUMBER($E40),($E40+$F40)*Stock!P40/100,Stock!P40))</f>
        <v>0</v>
      </c>
      <c r="V40" s="9">
        <f ca="1">IF(Stock!Q40="",0,IF(ISNUMBER($E40),($E40+$F40)*Stock!Q40/100,Stock!Q40))</f>
        <v>0</v>
      </c>
      <c r="W40" s="9">
        <f ca="1">IF(Stock!R40="",0,IF(ISNUMBER($E40),($E40+$F40)*Stock!R40/100,Stock!R40))</f>
        <v>0</v>
      </c>
      <c r="X40" s="9">
        <f ca="1">IF(Stock!S40="",0,IF(ISNUMBER($E40),($E40+$F40)*Stock!S40/100,Stock!S40))</f>
        <v>0</v>
      </c>
      <c r="Y40" s="9">
        <f ca="1">IF(Stock!T40="",0,IF(ISNUMBER($E40),($E40+$F40)*Stock!T40/100,Stock!T40))</f>
        <v>0</v>
      </c>
      <c r="Z40" s="9">
        <f ca="1">IF(Stock!U40="",0,IF(ISNUMBER($E40),($E40+$F40)*Stock!U40/100,Stock!U40))</f>
        <v>0</v>
      </c>
      <c r="AA40" s="9">
        <f ca="1">IF(Stock!V40="",0,IF(ISNUMBER($E40),($E40+$F40)*Stock!V40/100,Stock!V40))</f>
        <v>0</v>
      </c>
      <c r="AB40" s="9">
        <f ca="1">IF(Stock!W40="",0,IF(ISNUMBER($E40),($E40+$F40)*Stock!W40/100,Stock!W40))</f>
        <v>0</v>
      </c>
      <c r="AC40" s="9">
        <f ca="1">IF(Stock!X40="",0,IF(ISNUMBER($E40),($E40+$F40)*Stock!X40/100,Stock!X40))</f>
        <v>0</v>
      </c>
      <c r="AD40" s="9">
        <f ca="1">IF(Stock!Y40="",0,IF(ISNUMBER($E40),($E40+$F40)*Stock!Y40/100,Stock!Y40))</f>
        <v>0</v>
      </c>
      <c r="AE40" s="9">
        <f ca="1">IF(Stock!Z40="",0,IF(ISNUMBER($E40),($E40+$F40)*Stock!Z40/100,Stock!Z40))</f>
        <v>0</v>
      </c>
      <c r="AF40" s="9">
        <f ca="1">IF(Stock!AA40="",0,IF(ISNUMBER($E40),($E40+$F40)*Stock!AA40/100,Stock!AA40))</f>
        <v>0</v>
      </c>
      <c r="AG40" s="9">
        <f ca="1">IF(Stock!AB40="",0,IF(ISNUMBER($E40),($E40+$F40)*Stock!AB40/100,Stock!AB40))</f>
        <v>0</v>
      </c>
      <c r="AH40" s="9">
        <f ca="1">IF(Stock!AC40="",0,IF(ISNUMBER($E40),($E40+$F40)*Stock!AC40/100,Stock!AC40))</f>
        <v>0</v>
      </c>
      <c r="AI40" s="9">
        <f ca="1">IF(Stock!AD40="",0,IF(ISNUMBER($E40),($E40+$F40)*Stock!AD40/100,Stock!AD40))</f>
        <v>0</v>
      </c>
      <c r="AJ40" s="9">
        <f ca="1">IF(Stock!AE40="",0,IF(ISNUMBER($E40),($E40+$F40)*Stock!AE40/100,Stock!AE40))</f>
        <v>0</v>
      </c>
      <c r="AK40" s="9">
        <f ca="1">IF(Stock!AF40="",0,IF(ISNUMBER($E40),($E40+$F40)*Stock!AF40/100,Stock!AF40))</f>
        <v>0</v>
      </c>
      <c r="AL40" s="9">
        <f ca="1">IF(Stock!AG40="",0,IF(ISNUMBER($E40),($E40+$F40)*Stock!AG40/100,Stock!AG40))</f>
        <v>0</v>
      </c>
      <c r="AM40" s="9">
        <f ca="1">IF(Stock!AH40="",0,IF(ISNUMBER($E40),($E40+$F40)*Stock!AH40/100,Stock!AH40))</f>
        <v>0</v>
      </c>
      <c r="AN40" s="9">
        <f ca="1">IF(Stock!AI40="",0,IF(ISNUMBER($E40),($E40+$F40)*Stock!AI40/100,Stock!AI40))</f>
        <v>0</v>
      </c>
      <c r="AO40" s="9">
        <f ca="1">IF(Stock!AJ40="",0,IF(ISNUMBER($E40),($E40+$F40)*Stock!AJ40/100,Stock!AJ40))</f>
        <v>0</v>
      </c>
      <c r="AP40" s="9">
        <f ca="1">IF(Stock!AK40="",0,IF(ISNUMBER($E40),($E40+$F40)*Stock!AK40/100,Stock!AK40))</f>
        <v>0</v>
      </c>
      <c r="AQ40" s="9">
        <f ca="1">IF(Stock!AL40="",0,IF(ISNUMBER($E40),($E40+$F40)*Stock!AL40/100,Stock!AL40))</f>
        <v>0</v>
      </c>
      <c r="AR40" s="9">
        <f ca="1">IF(Stock!AM40="",0,IF(ISNUMBER($E40),($E40+$F40)*Stock!AM40/100,Stock!AM40))</f>
        <v>0</v>
      </c>
      <c r="AS40" s="9">
        <f ca="1">IF(Stock!AN40="",0,IF(ISNUMBER($E40),($E40+$F40)*Stock!AN40/100,Stock!AN40))</f>
        <v>0</v>
      </c>
      <c r="AT40" s="9">
        <f ca="1">IF(Stock!AO40="",0,IF(ISNUMBER($E40),($E40+$F40)*Stock!AO40/100,Stock!AO40))</f>
        <v>0</v>
      </c>
      <c r="AU40" s="9">
        <f ca="1">IF(Stock!AP40="",0,IF(ISNUMBER($E40),($E40+$F40)*Stock!AP40/100,Stock!AP40))</f>
        <v>0</v>
      </c>
      <c r="AV40" s="9">
        <f ca="1">IF(Stock!AQ40="",0,IF(ISNUMBER($E40),($E40+$F40)*Stock!AQ40/100,Stock!AQ40))</f>
        <v>0</v>
      </c>
      <c r="AW40" s="9">
        <f ca="1">IF(Stock!AR40="",0,IF(ISNUMBER($E40),($E40+$F40)*Stock!AR40/100,Stock!AR40))</f>
        <v>0</v>
      </c>
      <c r="AX40" s="9">
        <f ca="1">IF(Stock!AS40="",0,IF(ISNUMBER($E40),($E40+$F40)*Stock!AS40/100,Stock!AS40))</f>
        <v>0</v>
      </c>
      <c r="AY40" s="9">
        <f ca="1">IF(Stock!AT40="",0,IF(ISNUMBER($E40),($E40+$F40)*Stock!AT40/100,Stock!AT40))</f>
        <v>0</v>
      </c>
      <c r="AZ40" s="9">
        <f ca="1">IF(Stock!AU40="",0,IF(ISNUMBER($E40),($E40+$F40)*Stock!AU40/100,Stock!AU40))</f>
        <v>0</v>
      </c>
      <c r="BA40" s="9">
        <f ca="1">IF(Stock!AV40="",0,IF(ISNUMBER($E40),($E40+$F40)*Stock!AV40/100,Stock!AV40))</f>
        <v>0</v>
      </c>
      <c r="BB40" s="9">
        <f ca="1">IF(Stock!AW40="",0,IF(ISNUMBER($E40),($E40+$F40)*Stock!AW40/100,Stock!AW40))</f>
        <v>0</v>
      </c>
      <c r="BC40" s="9">
        <f ca="1">IF(Stock!AX40="",0,IF(ISNUMBER($E40),($E40+$F40)*Stock!AX40/100,Stock!AX40))</f>
        <v>0</v>
      </c>
    </row>
    <row r="41" spans="1:55" x14ac:dyDescent="0.3">
      <c r="A41" s="2" t="str">
        <f t="shared" si="2"/>
        <v/>
      </c>
      <c r="B41" s="3" t="str">
        <f t="shared" si="3"/>
        <v/>
      </c>
      <c r="C41" s="4" t="str">
        <f>IF(Repo!C45="","",Repo!C45)</f>
        <v/>
      </c>
      <c r="D41" s="4" t="str">
        <f>IF(Repo!D45="","",Repo!D45)</f>
        <v/>
      </c>
      <c r="E41" s="62">
        <f ca="1">IF(A41="",0,IF(LEFT(C41,3) = "USB",100*(1-_xll.BDP(D41 &amp; " Govt",E$1)*(B41-TODAY()+1)/36000),_xll.BDP(D41 &amp; " Govt",E$1)))</f>
        <v>0</v>
      </c>
      <c r="F41" s="62">
        <f>IF(A41="",0,IF(LEFT(D41,1) = "B",0,_xll.BDP(D41 &amp; " Govt",F$1)))</f>
        <v>0</v>
      </c>
      <c r="G41" s="9">
        <f>IF(Stock!B41="",0,IF(ISNUMBER($E41),($E41+$F41)*Stock!B41/100,Stock!B41))</f>
        <v>0</v>
      </c>
      <c r="H41" s="9">
        <f ca="1">IF(Stock!C41="",0,IF(ISNUMBER($E41),($E41+$F41)*Stock!C41/100,Stock!C41))</f>
        <v>0</v>
      </c>
      <c r="I41" s="9">
        <f ca="1">IF(Stock!D41="",0,IF(ISNUMBER($E41),($E41+$F41)*Stock!D41/100,Stock!D41))</f>
        <v>0</v>
      </c>
      <c r="J41" s="9">
        <f ca="1">IF(Stock!E41="",0,IF(ISNUMBER($E41),($E41+$F41)*Stock!E41/100,Stock!E41))</f>
        <v>0</v>
      </c>
      <c r="K41" s="9">
        <f ca="1">IF(Stock!F41="",0,IF(ISNUMBER($E41),($E41+$F41)*Stock!F41/100,Stock!F41))</f>
        <v>0</v>
      </c>
      <c r="L41" s="9">
        <f ca="1">IF(Stock!G41="",0,IF(ISNUMBER($E41),($E41+$F41)*Stock!G41/100,Stock!G41))</f>
        <v>0</v>
      </c>
      <c r="M41" s="9">
        <f ca="1">IF(Stock!H41="",0,IF(ISNUMBER($E41),($E41+$F41)*Stock!H41/100,Stock!H41))</f>
        <v>0</v>
      </c>
      <c r="N41" s="9">
        <f ca="1">IF(Stock!I41="",0,IF(ISNUMBER($E41),($E41+$F41)*Stock!I41/100,Stock!I41))</f>
        <v>0</v>
      </c>
      <c r="O41" s="9">
        <f ca="1">IF(Stock!J41="",0,IF(ISNUMBER($E41),($E41+$F41)*Stock!J41/100,Stock!J41))</f>
        <v>0</v>
      </c>
      <c r="P41" s="9">
        <f ca="1">IF(Stock!K41="",0,IF(ISNUMBER($E41),($E41+$F41)*Stock!K41/100,Stock!K41))</f>
        <v>0</v>
      </c>
      <c r="Q41" s="9">
        <f ca="1">IF(Stock!L41="",0,IF(ISNUMBER($E41),($E41+$F41)*Stock!L41/100,Stock!L41))</f>
        <v>0</v>
      </c>
      <c r="R41" s="9">
        <f ca="1">IF(Stock!M41="",0,IF(ISNUMBER($E41),($E41+$F41)*Stock!M41/100,Stock!M41))</f>
        <v>0</v>
      </c>
      <c r="S41" s="9">
        <f ca="1">IF(Stock!N41="",0,IF(ISNUMBER($E41),($E41+$F41)*Stock!N41/100,Stock!N41))</f>
        <v>0</v>
      </c>
      <c r="T41" s="9">
        <f ca="1">IF(Stock!O41="",0,IF(ISNUMBER($E41),($E41+$F41)*Stock!O41/100,Stock!O41))</f>
        <v>0</v>
      </c>
      <c r="U41" s="9">
        <f ca="1">IF(Stock!P41="",0,IF(ISNUMBER($E41),($E41+$F41)*Stock!P41/100,Stock!P41))</f>
        <v>0</v>
      </c>
      <c r="V41" s="9">
        <f ca="1">IF(Stock!Q41="",0,IF(ISNUMBER($E41),($E41+$F41)*Stock!Q41/100,Stock!Q41))</f>
        <v>0</v>
      </c>
      <c r="W41" s="9">
        <f ca="1">IF(Stock!R41="",0,IF(ISNUMBER($E41),($E41+$F41)*Stock!R41/100,Stock!R41))</f>
        <v>0</v>
      </c>
      <c r="X41" s="9">
        <f ca="1">IF(Stock!S41="",0,IF(ISNUMBER($E41),($E41+$F41)*Stock!S41/100,Stock!S41))</f>
        <v>0</v>
      </c>
      <c r="Y41" s="9">
        <f ca="1">IF(Stock!T41="",0,IF(ISNUMBER($E41),($E41+$F41)*Stock!T41/100,Stock!T41))</f>
        <v>0</v>
      </c>
      <c r="Z41" s="9">
        <f ca="1">IF(Stock!U41="",0,IF(ISNUMBER($E41),($E41+$F41)*Stock!U41/100,Stock!U41))</f>
        <v>0</v>
      </c>
      <c r="AA41" s="9">
        <f ca="1">IF(Stock!V41="",0,IF(ISNUMBER($E41),($E41+$F41)*Stock!V41/100,Stock!V41))</f>
        <v>0</v>
      </c>
      <c r="AB41" s="9">
        <f ca="1">IF(Stock!W41="",0,IF(ISNUMBER($E41),($E41+$F41)*Stock!W41/100,Stock!W41))</f>
        <v>0</v>
      </c>
      <c r="AC41" s="9">
        <f ca="1">IF(Stock!X41="",0,IF(ISNUMBER($E41),($E41+$F41)*Stock!X41/100,Stock!X41))</f>
        <v>0</v>
      </c>
      <c r="AD41" s="9">
        <f ca="1">IF(Stock!Y41="",0,IF(ISNUMBER($E41),($E41+$F41)*Stock!Y41/100,Stock!Y41))</f>
        <v>0</v>
      </c>
      <c r="AE41" s="9">
        <f ca="1">IF(Stock!Z41="",0,IF(ISNUMBER($E41),($E41+$F41)*Stock!Z41/100,Stock!Z41))</f>
        <v>0</v>
      </c>
      <c r="AF41" s="9">
        <f ca="1">IF(Stock!AA41="",0,IF(ISNUMBER($E41),($E41+$F41)*Stock!AA41/100,Stock!AA41))</f>
        <v>0</v>
      </c>
      <c r="AG41" s="9">
        <f ca="1">IF(Stock!AB41="",0,IF(ISNUMBER($E41),($E41+$F41)*Stock!AB41/100,Stock!AB41))</f>
        <v>0</v>
      </c>
      <c r="AH41" s="9">
        <f ca="1">IF(Stock!AC41="",0,IF(ISNUMBER($E41),($E41+$F41)*Stock!AC41/100,Stock!AC41))</f>
        <v>0</v>
      </c>
      <c r="AI41" s="9">
        <f ca="1">IF(Stock!AD41="",0,IF(ISNUMBER($E41),($E41+$F41)*Stock!AD41/100,Stock!AD41))</f>
        <v>0</v>
      </c>
      <c r="AJ41" s="9">
        <f ca="1">IF(Stock!AE41="",0,IF(ISNUMBER($E41),($E41+$F41)*Stock!AE41/100,Stock!AE41))</f>
        <v>0</v>
      </c>
      <c r="AK41" s="9">
        <f ca="1">IF(Stock!AF41="",0,IF(ISNUMBER($E41),($E41+$F41)*Stock!AF41/100,Stock!AF41))</f>
        <v>0</v>
      </c>
      <c r="AL41" s="9">
        <f ca="1">IF(Stock!AG41="",0,IF(ISNUMBER($E41),($E41+$F41)*Stock!AG41/100,Stock!AG41))</f>
        <v>0</v>
      </c>
      <c r="AM41" s="9">
        <f ca="1">IF(Stock!AH41="",0,IF(ISNUMBER($E41),($E41+$F41)*Stock!AH41/100,Stock!AH41))</f>
        <v>0</v>
      </c>
      <c r="AN41" s="9">
        <f ca="1">IF(Stock!AI41="",0,IF(ISNUMBER($E41),($E41+$F41)*Stock!AI41/100,Stock!AI41))</f>
        <v>0</v>
      </c>
      <c r="AO41" s="9">
        <f ca="1">IF(Stock!AJ41="",0,IF(ISNUMBER($E41),($E41+$F41)*Stock!AJ41/100,Stock!AJ41))</f>
        <v>0</v>
      </c>
      <c r="AP41" s="9">
        <f ca="1">IF(Stock!AK41="",0,IF(ISNUMBER($E41),($E41+$F41)*Stock!AK41/100,Stock!AK41))</f>
        <v>0</v>
      </c>
      <c r="AQ41" s="9">
        <f ca="1">IF(Stock!AL41="",0,IF(ISNUMBER($E41),($E41+$F41)*Stock!AL41/100,Stock!AL41))</f>
        <v>0</v>
      </c>
      <c r="AR41" s="9">
        <f ca="1">IF(Stock!AM41="",0,IF(ISNUMBER($E41),($E41+$F41)*Stock!AM41/100,Stock!AM41))</f>
        <v>0</v>
      </c>
      <c r="AS41" s="9">
        <f ca="1">IF(Stock!AN41="",0,IF(ISNUMBER($E41),($E41+$F41)*Stock!AN41/100,Stock!AN41))</f>
        <v>0</v>
      </c>
      <c r="AT41" s="9">
        <f ca="1">IF(Stock!AO41="",0,IF(ISNUMBER($E41),($E41+$F41)*Stock!AO41/100,Stock!AO41))</f>
        <v>0</v>
      </c>
      <c r="AU41" s="9">
        <f ca="1">IF(Stock!AP41="",0,IF(ISNUMBER($E41),($E41+$F41)*Stock!AP41/100,Stock!AP41))</f>
        <v>0</v>
      </c>
      <c r="AV41" s="9">
        <f ca="1">IF(Stock!AQ41="",0,IF(ISNUMBER($E41),($E41+$F41)*Stock!AQ41/100,Stock!AQ41))</f>
        <v>0</v>
      </c>
      <c r="AW41" s="9">
        <f ca="1">IF(Stock!AR41="",0,IF(ISNUMBER($E41),($E41+$F41)*Stock!AR41/100,Stock!AR41))</f>
        <v>0</v>
      </c>
      <c r="AX41" s="9">
        <f ca="1">IF(Stock!AS41="",0,IF(ISNUMBER($E41),($E41+$F41)*Stock!AS41/100,Stock!AS41))</f>
        <v>0</v>
      </c>
      <c r="AY41" s="9">
        <f ca="1">IF(Stock!AT41="",0,IF(ISNUMBER($E41),($E41+$F41)*Stock!AT41/100,Stock!AT41))</f>
        <v>0</v>
      </c>
      <c r="AZ41" s="9">
        <f ca="1">IF(Stock!AU41="",0,IF(ISNUMBER($E41),($E41+$F41)*Stock!AU41/100,Stock!AU41))</f>
        <v>0</v>
      </c>
      <c r="BA41" s="9">
        <f ca="1">IF(Stock!AV41="",0,IF(ISNUMBER($E41),($E41+$F41)*Stock!AV41/100,Stock!AV41))</f>
        <v>0</v>
      </c>
      <c r="BB41" s="9">
        <f ca="1">IF(Stock!AW41="",0,IF(ISNUMBER($E41),($E41+$F41)*Stock!AW41/100,Stock!AW41))</f>
        <v>0</v>
      </c>
      <c r="BC41" s="9">
        <f ca="1">IF(Stock!AX41="",0,IF(ISNUMBER($E41),($E41+$F41)*Stock!AX41/100,Stock!AX41))</f>
        <v>0</v>
      </c>
    </row>
    <row r="42" spans="1:55" x14ac:dyDescent="0.3">
      <c r="A42" s="2" t="str">
        <f t="shared" si="2"/>
        <v/>
      </c>
      <c r="B42" s="3" t="str">
        <f t="shared" si="3"/>
        <v/>
      </c>
      <c r="C42" s="4" t="str">
        <f>IF(Repo!C46="","",Repo!C46)</f>
        <v/>
      </c>
      <c r="D42" s="4" t="str">
        <f>IF(Repo!D46="","",Repo!D46)</f>
        <v/>
      </c>
      <c r="E42" s="62">
        <f ca="1">IF(A42="",0,IF(LEFT(C42,3) = "USB",100*(1-_xll.BDP(D42 &amp; " Govt",E$1)*(B42-TODAY()+1)/36000),_xll.BDP(D42 &amp; " Govt",E$1)))</f>
        <v>0</v>
      </c>
      <c r="F42" s="62">
        <f>IF(A42="",0,IF(LEFT(D42,1) = "B",0,_xll.BDP(D42 &amp; " Govt",F$1)))</f>
        <v>0</v>
      </c>
      <c r="G42" s="9">
        <f>IF(Stock!B42="",0,IF(ISNUMBER($E42),($E42+$F42)*Stock!B42/100,Stock!B42))</f>
        <v>0</v>
      </c>
      <c r="H42" s="9">
        <f ca="1">IF(Stock!C42="",0,IF(ISNUMBER($E42),($E42+$F42)*Stock!C42/100,Stock!C42))</f>
        <v>0</v>
      </c>
      <c r="I42" s="9">
        <f ca="1">IF(Stock!D42="",0,IF(ISNUMBER($E42),($E42+$F42)*Stock!D42/100,Stock!D42))</f>
        <v>0</v>
      </c>
      <c r="J42" s="9">
        <f ca="1">IF(Stock!E42="",0,IF(ISNUMBER($E42),($E42+$F42)*Stock!E42/100,Stock!E42))</f>
        <v>0</v>
      </c>
      <c r="K42" s="9">
        <f ca="1">IF(Stock!F42="",0,IF(ISNUMBER($E42),($E42+$F42)*Stock!F42/100,Stock!F42))</f>
        <v>0</v>
      </c>
      <c r="L42" s="9">
        <f ca="1">IF(Stock!G42="",0,IF(ISNUMBER($E42),($E42+$F42)*Stock!G42/100,Stock!G42))</f>
        <v>0</v>
      </c>
      <c r="M42" s="9">
        <f ca="1">IF(Stock!H42="",0,IF(ISNUMBER($E42),($E42+$F42)*Stock!H42/100,Stock!H42))</f>
        <v>0</v>
      </c>
      <c r="N42" s="9">
        <f ca="1">IF(Stock!I42="",0,IF(ISNUMBER($E42),($E42+$F42)*Stock!I42/100,Stock!I42))</f>
        <v>0</v>
      </c>
      <c r="O42" s="9">
        <f ca="1">IF(Stock!J42="",0,IF(ISNUMBER($E42),($E42+$F42)*Stock!J42/100,Stock!J42))</f>
        <v>0</v>
      </c>
      <c r="P42" s="9">
        <f ca="1">IF(Stock!K42="",0,IF(ISNUMBER($E42),($E42+$F42)*Stock!K42/100,Stock!K42))</f>
        <v>0</v>
      </c>
      <c r="Q42" s="9">
        <f ca="1">IF(Stock!L42="",0,IF(ISNUMBER($E42),($E42+$F42)*Stock!L42/100,Stock!L42))</f>
        <v>0</v>
      </c>
      <c r="R42" s="9">
        <f ca="1">IF(Stock!M42="",0,IF(ISNUMBER($E42),($E42+$F42)*Stock!M42/100,Stock!M42))</f>
        <v>0</v>
      </c>
      <c r="S42" s="9">
        <f ca="1">IF(Stock!N42="",0,IF(ISNUMBER($E42),($E42+$F42)*Stock!N42/100,Stock!N42))</f>
        <v>0</v>
      </c>
      <c r="T42" s="9">
        <f ca="1">IF(Stock!O42="",0,IF(ISNUMBER($E42),($E42+$F42)*Stock!O42/100,Stock!O42))</f>
        <v>0</v>
      </c>
      <c r="U42" s="9">
        <f ca="1">IF(Stock!P42="",0,IF(ISNUMBER($E42),($E42+$F42)*Stock!P42/100,Stock!P42))</f>
        <v>0</v>
      </c>
      <c r="V42" s="9">
        <f ca="1">IF(Stock!Q42="",0,IF(ISNUMBER($E42),($E42+$F42)*Stock!Q42/100,Stock!Q42))</f>
        <v>0</v>
      </c>
      <c r="W42" s="9">
        <f ca="1">IF(Stock!R42="",0,IF(ISNUMBER($E42),($E42+$F42)*Stock!R42/100,Stock!R42))</f>
        <v>0</v>
      </c>
      <c r="X42" s="9">
        <f ca="1">IF(Stock!S42="",0,IF(ISNUMBER($E42),($E42+$F42)*Stock!S42/100,Stock!S42))</f>
        <v>0</v>
      </c>
      <c r="Y42" s="9">
        <f ca="1">IF(Stock!T42="",0,IF(ISNUMBER($E42),($E42+$F42)*Stock!T42/100,Stock!T42))</f>
        <v>0</v>
      </c>
      <c r="Z42" s="9">
        <f ca="1">IF(Stock!U42="",0,IF(ISNUMBER($E42),($E42+$F42)*Stock!U42/100,Stock!U42))</f>
        <v>0</v>
      </c>
      <c r="AA42" s="9">
        <f ca="1">IF(Stock!V42="",0,IF(ISNUMBER($E42),($E42+$F42)*Stock!V42/100,Stock!V42))</f>
        <v>0</v>
      </c>
      <c r="AB42" s="9">
        <f ca="1">IF(Stock!W42="",0,IF(ISNUMBER($E42),($E42+$F42)*Stock!W42/100,Stock!W42))</f>
        <v>0</v>
      </c>
      <c r="AC42" s="9">
        <f ca="1">IF(Stock!X42="",0,IF(ISNUMBER($E42),($E42+$F42)*Stock!X42/100,Stock!X42))</f>
        <v>0</v>
      </c>
      <c r="AD42" s="9">
        <f ca="1">IF(Stock!Y42="",0,IF(ISNUMBER($E42),($E42+$F42)*Stock!Y42/100,Stock!Y42))</f>
        <v>0</v>
      </c>
      <c r="AE42" s="9">
        <f ca="1">IF(Stock!Z42="",0,IF(ISNUMBER($E42),($E42+$F42)*Stock!Z42/100,Stock!Z42))</f>
        <v>0</v>
      </c>
      <c r="AF42" s="9">
        <f ca="1">IF(Stock!AA42="",0,IF(ISNUMBER($E42),($E42+$F42)*Stock!AA42/100,Stock!AA42))</f>
        <v>0</v>
      </c>
      <c r="AG42" s="9">
        <f ca="1">IF(Stock!AB42="",0,IF(ISNUMBER($E42),($E42+$F42)*Stock!AB42/100,Stock!AB42))</f>
        <v>0</v>
      </c>
      <c r="AH42" s="9">
        <f ca="1">IF(Stock!AC42="",0,IF(ISNUMBER($E42),($E42+$F42)*Stock!AC42/100,Stock!AC42))</f>
        <v>0</v>
      </c>
      <c r="AI42" s="9">
        <f ca="1">IF(Stock!AD42="",0,IF(ISNUMBER($E42),($E42+$F42)*Stock!AD42/100,Stock!AD42))</f>
        <v>0</v>
      </c>
      <c r="AJ42" s="9">
        <f ca="1">IF(Stock!AE42="",0,IF(ISNUMBER($E42),($E42+$F42)*Stock!AE42/100,Stock!AE42))</f>
        <v>0</v>
      </c>
      <c r="AK42" s="9">
        <f ca="1">IF(Stock!AF42="",0,IF(ISNUMBER($E42),($E42+$F42)*Stock!AF42/100,Stock!AF42))</f>
        <v>0</v>
      </c>
      <c r="AL42" s="9">
        <f ca="1">IF(Stock!AG42="",0,IF(ISNUMBER($E42),($E42+$F42)*Stock!AG42/100,Stock!AG42))</f>
        <v>0</v>
      </c>
      <c r="AM42" s="9">
        <f ca="1">IF(Stock!AH42="",0,IF(ISNUMBER($E42),($E42+$F42)*Stock!AH42/100,Stock!AH42))</f>
        <v>0</v>
      </c>
      <c r="AN42" s="9">
        <f ca="1">IF(Stock!AI42="",0,IF(ISNUMBER($E42),($E42+$F42)*Stock!AI42/100,Stock!AI42))</f>
        <v>0</v>
      </c>
      <c r="AO42" s="9">
        <f ca="1">IF(Stock!AJ42="",0,IF(ISNUMBER($E42),($E42+$F42)*Stock!AJ42/100,Stock!AJ42))</f>
        <v>0</v>
      </c>
      <c r="AP42" s="9">
        <f ca="1">IF(Stock!AK42="",0,IF(ISNUMBER($E42),($E42+$F42)*Stock!AK42/100,Stock!AK42))</f>
        <v>0</v>
      </c>
      <c r="AQ42" s="9">
        <f ca="1">IF(Stock!AL42="",0,IF(ISNUMBER($E42),($E42+$F42)*Stock!AL42/100,Stock!AL42))</f>
        <v>0</v>
      </c>
      <c r="AR42" s="9">
        <f ca="1">IF(Stock!AM42="",0,IF(ISNUMBER($E42),($E42+$F42)*Stock!AM42/100,Stock!AM42))</f>
        <v>0</v>
      </c>
      <c r="AS42" s="9">
        <f ca="1">IF(Stock!AN42="",0,IF(ISNUMBER($E42),($E42+$F42)*Stock!AN42/100,Stock!AN42))</f>
        <v>0</v>
      </c>
      <c r="AT42" s="9">
        <f ca="1">IF(Stock!AO42="",0,IF(ISNUMBER($E42),($E42+$F42)*Stock!AO42/100,Stock!AO42))</f>
        <v>0</v>
      </c>
      <c r="AU42" s="9">
        <f ca="1">IF(Stock!AP42="",0,IF(ISNUMBER($E42),($E42+$F42)*Stock!AP42/100,Stock!AP42))</f>
        <v>0</v>
      </c>
      <c r="AV42" s="9">
        <f ca="1">IF(Stock!AQ42="",0,IF(ISNUMBER($E42),($E42+$F42)*Stock!AQ42/100,Stock!AQ42))</f>
        <v>0</v>
      </c>
      <c r="AW42" s="9">
        <f ca="1">IF(Stock!AR42="",0,IF(ISNUMBER($E42),($E42+$F42)*Stock!AR42/100,Stock!AR42))</f>
        <v>0</v>
      </c>
      <c r="AX42" s="9">
        <f ca="1">IF(Stock!AS42="",0,IF(ISNUMBER($E42),($E42+$F42)*Stock!AS42/100,Stock!AS42))</f>
        <v>0</v>
      </c>
      <c r="AY42" s="9">
        <f ca="1">IF(Stock!AT42="",0,IF(ISNUMBER($E42),($E42+$F42)*Stock!AT42/100,Stock!AT42))</f>
        <v>0</v>
      </c>
      <c r="AZ42" s="9">
        <f ca="1">IF(Stock!AU42="",0,IF(ISNUMBER($E42),($E42+$F42)*Stock!AU42/100,Stock!AU42))</f>
        <v>0</v>
      </c>
      <c r="BA42" s="9">
        <f ca="1">IF(Stock!AV42="",0,IF(ISNUMBER($E42),($E42+$F42)*Stock!AV42/100,Stock!AV42))</f>
        <v>0</v>
      </c>
      <c r="BB42" s="9">
        <f ca="1">IF(Stock!AW42="",0,IF(ISNUMBER($E42),($E42+$F42)*Stock!AW42/100,Stock!AW42))</f>
        <v>0</v>
      </c>
      <c r="BC42" s="9">
        <f ca="1">IF(Stock!AX42="",0,IF(ISNUMBER($E42),($E42+$F42)*Stock!AX42/100,Stock!AX42))</f>
        <v>0</v>
      </c>
    </row>
    <row r="43" spans="1:55" x14ac:dyDescent="0.3">
      <c r="A43" s="2" t="str">
        <f t="shared" si="2"/>
        <v/>
      </c>
      <c r="B43" s="3" t="str">
        <f t="shared" si="3"/>
        <v/>
      </c>
      <c r="C43" s="4" t="str">
        <f>IF(Repo!C47="","",Repo!C47)</f>
        <v/>
      </c>
      <c r="D43" s="4" t="str">
        <f>IF(Repo!D47="","",Repo!D47)</f>
        <v/>
      </c>
      <c r="E43" s="62">
        <f ca="1">IF(A43="",0,IF(LEFT(C43,3) = "USB",100*(1-_xll.BDP(D43 &amp; " Govt",E$1)*(B43-TODAY()+1)/36000),_xll.BDP(D43 &amp; " Govt",E$1)))</f>
        <v>0</v>
      </c>
      <c r="F43" s="62">
        <f>IF(A43="",0,IF(LEFT(D43,1) = "B",0,_xll.BDP(D43 &amp; " Govt",F$1)))</f>
        <v>0</v>
      </c>
      <c r="G43" s="9">
        <f>IF(Stock!B43="",0,IF(ISNUMBER($E43),($E43+$F43)*Stock!B43/100,Stock!B43))</f>
        <v>0</v>
      </c>
      <c r="H43" s="9">
        <f ca="1">IF(Stock!C43="",0,IF(ISNUMBER($E43),($E43+$F43)*Stock!C43/100,Stock!C43))</f>
        <v>0</v>
      </c>
      <c r="I43" s="9">
        <f ca="1">IF(Stock!D43="",0,IF(ISNUMBER($E43),($E43+$F43)*Stock!D43/100,Stock!D43))</f>
        <v>0</v>
      </c>
      <c r="J43" s="9">
        <f ca="1">IF(Stock!E43="",0,IF(ISNUMBER($E43),($E43+$F43)*Stock!E43/100,Stock!E43))</f>
        <v>0</v>
      </c>
      <c r="K43" s="9">
        <f ca="1">IF(Stock!F43="",0,IF(ISNUMBER($E43),($E43+$F43)*Stock!F43/100,Stock!F43))</f>
        <v>0</v>
      </c>
      <c r="L43" s="9">
        <f ca="1">IF(Stock!G43="",0,IF(ISNUMBER($E43),($E43+$F43)*Stock!G43/100,Stock!G43))</f>
        <v>0</v>
      </c>
      <c r="M43" s="9">
        <f ca="1">IF(Stock!H43="",0,IF(ISNUMBER($E43),($E43+$F43)*Stock!H43/100,Stock!H43))</f>
        <v>0</v>
      </c>
      <c r="N43" s="9">
        <f ca="1">IF(Stock!I43="",0,IF(ISNUMBER($E43),($E43+$F43)*Stock!I43/100,Stock!I43))</f>
        <v>0</v>
      </c>
      <c r="O43" s="9">
        <f ca="1">IF(Stock!J43="",0,IF(ISNUMBER($E43),($E43+$F43)*Stock!J43/100,Stock!J43))</f>
        <v>0</v>
      </c>
      <c r="P43" s="9">
        <f ca="1">IF(Stock!K43="",0,IF(ISNUMBER($E43),($E43+$F43)*Stock!K43/100,Stock!K43))</f>
        <v>0</v>
      </c>
      <c r="Q43" s="9">
        <f ca="1">IF(Stock!L43="",0,IF(ISNUMBER($E43),($E43+$F43)*Stock!L43/100,Stock!L43))</f>
        <v>0</v>
      </c>
      <c r="R43" s="9">
        <f ca="1">IF(Stock!M43="",0,IF(ISNUMBER($E43),($E43+$F43)*Stock!M43/100,Stock!M43))</f>
        <v>0</v>
      </c>
      <c r="S43" s="9">
        <f ca="1">IF(Stock!N43="",0,IF(ISNUMBER($E43),($E43+$F43)*Stock!N43/100,Stock!N43))</f>
        <v>0</v>
      </c>
      <c r="T43" s="9">
        <f ca="1">IF(Stock!O43="",0,IF(ISNUMBER($E43),($E43+$F43)*Stock!O43/100,Stock!O43))</f>
        <v>0</v>
      </c>
      <c r="U43" s="9">
        <f ca="1">IF(Stock!P43="",0,IF(ISNUMBER($E43),($E43+$F43)*Stock!P43/100,Stock!P43))</f>
        <v>0</v>
      </c>
      <c r="V43" s="9">
        <f ca="1">IF(Stock!Q43="",0,IF(ISNUMBER($E43),($E43+$F43)*Stock!Q43/100,Stock!Q43))</f>
        <v>0</v>
      </c>
      <c r="W43" s="9">
        <f ca="1">IF(Stock!R43="",0,IF(ISNUMBER($E43),($E43+$F43)*Stock!R43/100,Stock!R43))</f>
        <v>0</v>
      </c>
      <c r="X43" s="9">
        <f ca="1">IF(Stock!S43="",0,IF(ISNUMBER($E43),($E43+$F43)*Stock!S43/100,Stock!S43))</f>
        <v>0</v>
      </c>
      <c r="Y43" s="9">
        <f ca="1">IF(Stock!T43="",0,IF(ISNUMBER($E43),($E43+$F43)*Stock!T43/100,Stock!T43))</f>
        <v>0</v>
      </c>
      <c r="Z43" s="9">
        <f ca="1">IF(Stock!U43="",0,IF(ISNUMBER($E43),($E43+$F43)*Stock!U43/100,Stock!U43))</f>
        <v>0</v>
      </c>
      <c r="AA43" s="9">
        <f ca="1">IF(Stock!V43="",0,IF(ISNUMBER($E43),($E43+$F43)*Stock!V43/100,Stock!V43))</f>
        <v>0</v>
      </c>
      <c r="AB43" s="9">
        <f ca="1">IF(Stock!W43="",0,IF(ISNUMBER($E43),($E43+$F43)*Stock!W43/100,Stock!W43))</f>
        <v>0</v>
      </c>
      <c r="AC43" s="9">
        <f ca="1">IF(Stock!X43="",0,IF(ISNUMBER($E43),($E43+$F43)*Stock!X43/100,Stock!X43))</f>
        <v>0</v>
      </c>
      <c r="AD43" s="9">
        <f ca="1">IF(Stock!Y43="",0,IF(ISNUMBER($E43),($E43+$F43)*Stock!Y43/100,Stock!Y43))</f>
        <v>0</v>
      </c>
      <c r="AE43" s="9">
        <f ca="1">IF(Stock!Z43="",0,IF(ISNUMBER($E43),($E43+$F43)*Stock!Z43/100,Stock!Z43))</f>
        <v>0</v>
      </c>
      <c r="AF43" s="9">
        <f ca="1">IF(Stock!AA43="",0,IF(ISNUMBER($E43),($E43+$F43)*Stock!AA43/100,Stock!AA43))</f>
        <v>0</v>
      </c>
      <c r="AG43" s="9">
        <f ca="1">IF(Stock!AB43="",0,IF(ISNUMBER($E43),($E43+$F43)*Stock!AB43/100,Stock!AB43))</f>
        <v>0</v>
      </c>
      <c r="AH43" s="9">
        <f ca="1">IF(Stock!AC43="",0,IF(ISNUMBER($E43),($E43+$F43)*Stock!AC43/100,Stock!AC43))</f>
        <v>0</v>
      </c>
      <c r="AI43" s="9">
        <f ca="1">IF(Stock!AD43="",0,IF(ISNUMBER($E43),($E43+$F43)*Stock!AD43/100,Stock!AD43))</f>
        <v>0</v>
      </c>
      <c r="AJ43" s="9">
        <f ca="1">IF(Stock!AE43="",0,IF(ISNUMBER($E43),($E43+$F43)*Stock!AE43/100,Stock!AE43))</f>
        <v>0</v>
      </c>
      <c r="AK43" s="9">
        <f ca="1">IF(Stock!AF43="",0,IF(ISNUMBER($E43),($E43+$F43)*Stock!AF43/100,Stock!AF43))</f>
        <v>0</v>
      </c>
      <c r="AL43" s="9">
        <f ca="1">IF(Stock!AG43="",0,IF(ISNUMBER($E43),($E43+$F43)*Stock!AG43/100,Stock!AG43))</f>
        <v>0</v>
      </c>
      <c r="AM43" s="9">
        <f ca="1">IF(Stock!AH43="",0,IF(ISNUMBER($E43),($E43+$F43)*Stock!AH43/100,Stock!AH43))</f>
        <v>0</v>
      </c>
      <c r="AN43" s="9">
        <f ca="1">IF(Stock!AI43="",0,IF(ISNUMBER($E43),($E43+$F43)*Stock!AI43/100,Stock!AI43))</f>
        <v>0</v>
      </c>
      <c r="AO43" s="9">
        <f ca="1">IF(Stock!AJ43="",0,IF(ISNUMBER($E43),($E43+$F43)*Stock!AJ43/100,Stock!AJ43))</f>
        <v>0</v>
      </c>
      <c r="AP43" s="9">
        <f ca="1">IF(Stock!AK43="",0,IF(ISNUMBER($E43),($E43+$F43)*Stock!AK43/100,Stock!AK43))</f>
        <v>0</v>
      </c>
      <c r="AQ43" s="9">
        <f ca="1">IF(Stock!AL43="",0,IF(ISNUMBER($E43),($E43+$F43)*Stock!AL43/100,Stock!AL43))</f>
        <v>0</v>
      </c>
      <c r="AR43" s="9">
        <f ca="1">IF(Stock!AM43="",0,IF(ISNUMBER($E43),($E43+$F43)*Stock!AM43/100,Stock!AM43))</f>
        <v>0</v>
      </c>
      <c r="AS43" s="9">
        <f ca="1">IF(Stock!AN43="",0,IF(ISNUMBER($E43),($E43+$F43)*Stock!AN43/100,Stock!AN43))</f>
        <v>0</v>
      </c>
      <c r="AT43" s="9">
        <f ca="1">IF(Stock!AO43="",0,IF(ISNUMBER($E43),($E43+$F43)*Stock!AO43/100,Stock!AO43))</f>
        <v>0</v>
      </c>
      <c r="AU43" s="9">
        <f ca="1">IF(Stock!AP43="",0,IF(ISNUMBER($E43),($E43+$F43)*Stock!AP43/100,Stock!AP43))</f>
        <v>0</v>
      </c>
      <c r="AV43" s="9">
        <f ca="1">IF(Stock!AQ43="",0,IF(ISNUMBER($E43),($E43+$F43)*Stock!AQ43/100,Stock!AQ43))</f>
        <v>0</v>
      </c>
      <c r="AW43" s="9">
        <f ca="1">IF(Stock!AR43="",0,IF(ISNUMBER($E43),($E43+$F43)*Stock!AR43/100,Stock!AR43))</f>
        <v>0</v>
      </c>
      <c r="AX43" s="9">
        <f ca="1">IF(Stock!AS43="",0,IF(ISNUMBER($E43),($E43+$F43)*Stock!AS43/100,Stock!AS43))</f>
        <v>0</v>
      </c>
      <c r="AY43" s="9">
        <f ca="1">IF(Stock!AT43="",0,IF(ISNUMBER($E43),($E43+$F43)*Stock!AT43/100,Stock!AT43))</f>
        <v>0</v>
      </c>
      <c r="AZ43" s="9">
        <f ca="1">IF(Stock!AU43="",0,IF(ISNUMBER($E43),($E43+$F43)*Stock!AU43/100,Stock!AU43))</f>
        <v>0</v>
      </c>
      <c r="BA43" s="9">
        <f ca="1">IF(Stock!AV43="",0,IF(ISNUMBER($E43),($E43+$F43)*Stock!AV43/100,Stock!AV43))</f>
        <v>0</v>
      </c>
      <c r="BB43" s="9">
        <f ca="1">IF(Stock!AW43="",0,IF(ISNUMBER($E43),($E43+$F43)*Stock!AW43/100,Stock!AW43))</f>
        <v>0</v>
      </c>
      <c r="BC43" s="9">
        <f ca="1">IF(Stock!AX43="",0,IF(ISNUMBER($E43),($E43+$F43)*Stock!AX43/100,Stock!AX43))</f>
        <v>0</v>
      </c>
    </row>
    <row r="44" spans="1:55" x14ac:dyDescent="0.3">
      <c r="A44" s="2" t="str">
        <f t="shared" si="2"/>
        <v/>
      </c>
      <c r="B44" s="3" t="str">
        <f t="shared" si="3"/>
        <v/>
      </c>
      <c r="C44" s="4" t="str">
        <f>IF(Repo!C48="","",Repo!C48)</f>
        <v/>
      </c>
      <c r="D44" s="4" t="str">
        <f>IF(Repo!D48="","",Repo!D48)</f>
        <v/>
      </c>
      <c r="E44" s="62">
        <f ca="1">IF(A44="",0,IF(LEFT(C44,3) = "USB",100*(1-_xll.BDP(D44 &amp; " Govt",E$1)*(B44-TODAY()+1)/36000),_xll.BDP(D44 &amp; " Govt",E$1)))</f>
        <v>0</v>
      </c>
      <c r="F44" s="62">
        <f>IF(A44="",0,IF(LEFT(D44,1) = "B",0,_xll.BDP(D44 &amp; " Govt",F$1)))</f>
        <v>0</v>
      </c>
      <c r="G44" s="9">
        <f>IF(Stock!B44="",0,IF(ISNUMBER($E44),($E44+$F44)*Stock!B44/100,Stock!B44))</f>
        <v>0</v>
      </c>
      <c r="H44" s="9">
        <f ca="1">IF(Stock!C44="",0,IF(ISNUMBER($E44),($E44+$F44)*Stock!C44/100,Stock!C44))</f>
        <v>0</v>
      </c>
      <c r="I44" s="9">
        <f ca="1">IF(Stock!D44="",0,IF(ISNUMBER($E44),($E44+$F44)*Stock!D44/100,Stock!D44))</f>
        <v>0</v>
      </c>
      <c r="J44" s="9">
        <f ca="1">IF(Stock!E44="",0,IF(ISNUMBER($E44),($E44+$F44)*Stock!E44/100,Stock!E44))</f>
        <v>0</v>
      </c>
      <c r="K44" s="9">
        <f ca="1">IF(Stock!F44="",0,IF(ISNUMBER($E44),($E44+$F44)*Stock!F44/100,Stock!F44))</f>
        <v>0</v>
      </c>
      <c r="L44" s="9">
        <f ca="1">IF(Stock!G44="",0,IF(ISNUMBER($E44),($E44+$F44)*Stock!G44/100,Stock!G44))</f>
        <v>0</v>
      </c>
      <c r="M44" s="9">
        <f ca="1">IF(Stock!H44="",0,IF(ISNUMBER($E44),($E44+$F44)*Stock!H44/100,Stock!H44))</f>
        <v>0</v>
      </c>
      <c r="N44" s="9">
        <f ca="1">IF(Stock!I44="",0,IF(ISNUMBER($E44),($E44+$F44)*Stock!I44/100,Stock!I44))</f>
        <v>0</v>
      </c>
      <c r="O44" s="9">
        <f ca="1">IF(Stock!J44="",0,IF(ISNUMBER($E44),($E44+$F44)*Stock!J44/100,Stock!J44))</f>
        <v>0</v>
      </c>
      <c r="P44" s="9">
        <f ca="1">IF(Stock!K44="",0,IF(ISNUMBER($E44),($E44+$F44)*Stock!K44/100,Stock!K44))</f>
        <v>0</v>
      </c>
      <c r="Q44" s="9">
        <f ca="1">IF(Stock!L44="",0,IF(ISNUMBER($E44),($E44+$F44)*Stock!L44/100,Stock!L44))</f>
        <v>0</v>
      </c>
      <c r="R44" s="9">
        <f ca="1">IF(Stock!M44="",0,IF(ISNUMBER($E44),($E44+$F44)*Stock!M44/100,Stock!M44))</f>
        <v>0</v>
      </c>
      <c r="S44" s="9">
        <f ca="1">IF(Stock!N44="",0,IF(ISNUMBER($E44),($E44+$F44)*Stock!N44/100,Stock!N44))</f>
        <v>0</v>
      </c>
      <c r="T44" s="9">
        <f ca="1">IF(Stock!O44="",0,IF(ISNUMBER($E44),($E44+$F44)*Stock!O44/100,Stock!O44))</f>
        <v>0</v>
      </c>
      <c r="U44" s="9">
        <f ca="1">IF(Stock!P44="",0,IF(ISNUMBER($E44),($E44+$F44)*Stock!P44/100,Stock!P44))</f>
        <v>0</v>
      </c>
      <c r="V44" s="9">
        <f ca="1">IF(Stock!Q44="",0,IF(ISNUMBER($E44),($E44+$F44)*Stock!Q44/100,Stock!Q44))</f>
        <v>0</v>
      </c>
      <c r="W44" s="9">
        <f ca="1">IF(Stock!R44="",0,IF(ISNUMBER($E44),($E44+$F44)*Stock!R44/100,Stock!R44))</f>
        <v>0</v>
      </c>
      <c r="X44" s="9">
        <f ca="1">IF(Stock!S44="",0,IF(ISNUMBER($E44),($E44+$F44)*Stock!S44/100,Stock!S44))</f>
        <v>0</v>
      </c>
      <c r="Y44" s="9">
        <f ca="1">IF(Stock!T44="",0,IF(ISNUMBER($E44),($E44+$F44)*Stock!T44/100,Stock!T44))</f>
        <v>0</v>
      </c>
      <c r="Z44" s="9">
        <f ca="1">IF(Stock!U44="",0,IF(ISNUMBER($E44),($E44+$F44)*Stock!U44/100,Stock!U44))</f>
        <v>0</v>
      </c>
      <c r="AA44" s="9">
        <f ca="1">IF(Stock!V44="",0,IF(ISNUMBER($E44),($E44+$F44)*Stock!V44/100,Stock!V44))</f>
        <v>0</v>
      </c>
      <c r="AB44" s="9">
        <f ca="1">IF(Stock!W44="",0,IF(ISNUMBER($E44),($E44+$F44)*Stock!W44/100,Stock!W44))</f>
        <v>0</v>
      </c>
      <c r="AC44" s="9">
        <f ca="1">IF(Stock!X44="",0,IF(ISNUMBER($E44),($E44+$F44)*Stock!X44/100,Stock!X44))</f>
        <v>0</v>
      </c>
      <c r="AD44" s="9">
        <f ca="1">IF(Stock!Y44="",0,IF(ISNUMBER($E44),($E44+$F44)*Stock!Y44/100,Stock!Y44))</f>
        <v>0</v>
      </c>
      <c r="AE44" s="9">
        <f ca="1">IF(Stock!Z44="",0,IF(ISNUMBER($E44),($E44+$F44)*Stock!Z44/100,Stock!Z44))</f>
        <v>0</v>
      </c>
      <c r="AF44" s="9">
        <f ca="1">IF(Stock!AA44="",0,IF(ISNUMBER($E44),($E44+$F44)*Stock!AA44/100,Stock!AA44))</f>
        <v>0</v>
      </c>
      <c r="AG44" s="9">
        <f ca="1">IF(Stock!AB44="",0,IF(ISNUMBER($E44),($E44+$F44)*Stock!AB44/100,Stock!AB44))</f>
        <v>0</v>
      </c>
      <c r="AH44" s="9">
        <f ca="1">IF(Stock!AC44="",0,IF(ISNUMBER($E44),($E44+$F44)*Stock!AC44/100,Stock!AC44))</f>
        <v>0</v>
      </c>
      <c r="AI44" s="9">
        <f ca="1">IF(Stock!AD44="",0,IF(ISNUMBER($E44),($E44+$F44)*Stock!AD44/100,Stock!AD44))</f>
        <v>0</v>
      </c>
      <c r="AJ44" s="9">
        <f ca="1">IF(Stock!AE44="",0,IF(ISNUMBER($E44),($E44+$F44)*Stock!AE44/100,Stock!AE44))</f>
        <v>0</v>
      </c>
      <c r="AK44" s="9">
        <f ca="1">IF(Stock!AF44="",0,IF(ISNUMBER($E44),($E44+$F44)*Stock!AF44/100,Stock!AF44))</f>
        <v>0</v>
      </c>
      <c r="AL44" s="9">
        <f ca="1">IF(Stock!AG44="",0,IF(ISNUMBER($E44),($E44+$F44)*Stock!AG44/100,Stock!AG44))</f>
        <v>0</v>
      </c>
      <c r="AM44" s="9">
        <f ca="1">IF(Stock!AH44="",0,IF(ISNUMBER($E44),($E44+$F44)*Stock!AH44/100,Stock!AH44))</f>
        <v>0</v>
      </c>
      <c r="AN44" s="9">
        <f ca="1">IF(Stock!AI44="",0,IF(ISNUMBER($E44),($E44+$F44)*Stock!AI44/100,Stock!AI44))</f>
        <v>0</v>
      </c>
      <c r="AO44" s="9">
        <f ca="1">IF(Stock!AJ44="",0,IF(ISNUMBER($E44),($E44+$F44)*Stock!AJ44/100,Stock!AJ44))</f>
        <v>0</v>
      </c>
      <c r="AP44" s="9">
        <f ca="1">IF(Stock!AK44="",0,IF(ISNUMBER($E44),($E44+$F44)*Stock!AK44/100,Stock!AK44))</f>
        <v>0</v>
      </c>
      <c r="AQ44" s="9">
        <f ca="1">IF(Stock!AL44="",0,IF(ISNUMBER($E44),($E44+$F44)*Stock!AL44/100,Stock!AL44))</f>
        <v>0</v>
      </c>
      <c r="AR44" s="9">
        <f ca="1">IF(Stock!AM44="",0,IF(ISNUMBER($E44),($E44+$F44)*Stock!AM44/100,Stock!AM44))</f>
        <v>0</v>
      </c>
      <c r="AS44" s="9">
        <f ca="1">IF(Stock!AN44="",0,IF(ISNUMBER($E44),($E44+$F44)*Stock!AN44/100,Stock!AN44))</f>
        <v>0</v>
      </c>
      <c r="AT44" s="9">
        <f ca="1">IF(Stock!AO44="",0,IF(ISNUMBER($E44),($E44+$F44)*Stock!AO44/100,Stock!AO44))</f>
        <v>0</v>
      </c>
      <c r="AU44" s="9">
        <f ca="1">IF(Stock!AP44="",0,IF(ISNUMBER($E44),($E44+$F44)*Stock!AP44/100,Stock!AP44))</f>
        <v>0</v>
      </c>
      <c r="AV44" s="9">
        <f ca="1">IF(Stock!AQ44="",0,IF(ISNUMBER($E44),($E44+$F44)*Stock!AQ44/100,Stock!AQ44))</f>
        <v>0</v>
      </c>
      <c r="AW44" s="9">
        <f ca="1">IF(Stock!AR44="",0,IF(ISNUMBER($E44),($E44+$F44)*Stock!AR44/100,Stock!AR44))</f>
        <v>0</v>
      </c>
      <c r="AX44" s="9">
        <f ca="1">IF(Stock!AS44="",0,IF(ISNUMBER($E44),($E44+$F44)*Stock!AS44/100,Stock!AS44))</f>
        <v>0</v>
      </c>
      <c r="AY44" s="9">
        <f ca="1">IF(Stock!AT44="",0,IF(ISNUMBER($E44),($E44+$F44)*Stock!AT44/100,Stock!AT44))</f>
        <v>0</v>
      </c>
      <c r="AZ44" s="9">
        <f ca="1">IF(Stock!AU44="",0,IF(ISNUMBER($E44),($E44+$F44)*Stock!AU44/100,Stock!AU44))</f>
        <v>0</v>
      </c>
      <c r="BA44" s="9">
        <f ca="1">IF(Stock!AV44="",0,IF(ISNUMBER($E44),($E44+$F44)*Stock!AV44/100,Stock!AV44))</f>
        <v>0</v>
      </c>
      <c r="BB44" s="9">
        <f ca="1">IF(Stock!AW44="",0,IF(ISNUMBER($E44),($E44+$F44)*Stock!AW44/100,Stock!AW44))</f>
        <v>0</v>
      </c>
      <c r="BC44" s="9">
        <f ca="1">IF(Stock!AX44="",0,IF(ISNUMBER($E44),($E44+$F44)*Stock!AX44/100,Stock!AX44))</f>
        <v>0</v>
      </c>
    </row>
    <row r="45" spans="1:55" x14ac:dyDescent="0.3">
      <c r="A45" s="2" t="str">
        <f t="shared" si="2"/>
        <v/>
      </c>
      <c r="B45" s="3" t="str">
        <f t="shared" si="3"/>
        <v/>
      </c>
      <c r="C45" s="4" t="str">
        <f>IF(Repo!C49="","",Repo!C49)</f>
        <v/>
      </c>
      <c r="D45" s="4" t="str">
        <f>IF(Repo!D49="","",Repo!D49)</f>
        <v/>
      </c>
      <c r="E45" s="62">
        <f ca="1">IF(A45="",0,IF(LEFT(C45,3) = "USB",100*(1-_xll.BDP(D45 &amp; " Govt",E$1)*(B45-TODAY()+1)/36000),_xll.BDP(D45 &amp; " Govt",E$1)))</f>
        <v>0</v>
      </c>
      <c r="F45" s="62">
        <f>IF(A45="",0,IF(LEFT(D45,1) = "B",0,_xll.BDP(D45 &amp; " Govt",F$1)))</f>
        <v>0</v>
      </c>
      <c r="G45" s="9">
        <f>IF(Stock!B45="",0,IF(ISNUMBER($E45),($E45+$F45)*Stock!B45/100,Stock!B45))</f>
        <v>0</v>
      </c>
      <c r="H45" s="9">
        <f ca="1">IF(Stock!C45="",0,IF(ISNUMBER($E45),($E45+$F45)*Stock!C45/100,Stock!C45))</f>
        <v>0</v>
      </c>
      <c r="I45" s="9">
        <f ca="1">IF(Stock!D45="",0,IF(ISNUMBER($E45),($E45+$F45)*Stock!D45/100,Stock!D45))</f>
        <v>0</v>
      </c>
      <c r="J45" s="9">
        <f ca="1">IF(Stock!E45="",0,IF(ISNUMBER($E45),($E45+$F45)*Stock!E45/100,Stock!E45))</f>
        <v>0</v>
      </c>
      <c r="K45" s="9">
        <f ca="1">IF(Stock!F45="",0,IF(ISNUMBER($E45),($E45+$F45)*Stock!F45/100,Stock!F45))</f>
        <v>0</v>
      </c>
      <c r="L45" s="9">
        <f ca="1">IF(Stock!G45="",0,IF(ISNUMBER($E45),($E45+$F45)*Stock!G45/100,Stock!G45))</f>
        <v>0</v>
      </c>
      <c r="M45" s="9">
        <f ca="1">IF(Stock!H45="",0,IF(ISNUMBER($E45),($E45+$F45)*Stock!H45/100,Stock!H45))</f>
        <v>0</v>
      </c>
      <c r="N45" s="9">
        <f ca="1">IF(Stock!I45="",0,IF(ISNUMBER($E45),($E45+$F45)*Stock!I45/100,Stock!I45))</f>
        <v>0</v>
      </c>
      <c r="O45" s="9">
        <f ca="1">IF(Stock!J45="",0,IF(ISNUMBER($E45),($E45+$F45)*Stock!J45/100,Stock!J45))</f>
        <v>0</v>
      </c>
      <c r="P45" s="9">
        <f ca="1">IF(Stock!K45="",0,IF(ISNUMBER($E45),($E45+$F45)*Stock!K45/100,Stock!K45))</f>
        <v>0</v>
      </c>
      <c r="Q45" s="9">
        <f ca="1">IF(Stock!L45="",0,IF(ISNUMBER($E45),($E45+$F45)*Stock!L45/100,Stock!L45))</f>
        <v>0</v>
      </c>
      <c r="R45" s="9">
        <f ca="1">IF(Stock!M45="",0,IF(ISNUMBER($E45),($E45+$F45)*Stock!M45/100,Stock!M45))</f>
        <v>0</v>
      </c>
      <c r="S45" s="9">
        <f ca="1">IF(Stock!N45="",0,IF(ISNUMBER($E45),($E45+$F45)*Stock!N45/100,Stock!N45))</f>
        <v>0</v>
      </c>
      <c r="T45" s="9">
        <f ca="1">IF(Stock!O45="",0,IF(ISNUMBER($E45),($E45+$F45)*Stock!O45/100,Stock!O45))</f>
        <v>0</v>
      </c>
      <c r="U45" s="9">
        <f ca="1">IF(Stock!P45="",0,IF(ISNUMBER($E45),($E45+$F45)*Stock!P45/100,Stock!P45))</f>
        <v>0</v>
      </c>
      <c r="V45" s="9">
        <f ca="1">IF(Stock!Q45="",0,IF(ISNUMBER($E45),($E45+$F45)*Stock!Q45/100,Stock!Q45))</f>
        <v>0</v>
      </c>
      <c r="W45" s="9">
        <f ca="1">IF(Stock!R45="",0,IF(ISNUMBER($E45),($E45+$F45)*Stock!R45/100,Stock!R45))</f>
        <v>0</v>
      </c>
      <c r="X45" s="9">
        <f ca="1">IF(Stock!S45="",0,IF(ISNUMBER($E45),($E45+$F45)*Stock!S45/100,Stock!S45))</f>
        <v>0</v>
      </c>
      <c r="Y45" s="9">
        <f ca="1">IF(Stock!T45="",0,IF(ISNUMBER($E45),($E45+$F45)*Stock!T45/100,Stock!T45))</f>
        <v>0</v>
      </c>
      <c r="Z45" s="9">
        <f ca="1">IF(Stock!U45="",0,IF(ISNUMBER($E45),($E45+$F45)*Stock!U45/100,Stock!U45))</f>
        <v>0</v>
      </c>
      <c r="AA45" s="9">
        <f ca="1">IF(Stock!V45="",0,IF(ISNUMBER($E45),($E45+$F45)*Stock!V45/100,Stock!V45))</f>
        <v>0</v>
      </c>
      <c r="AB45" s="9">
        <f ca="1">IF(Stock!W45="",0,IF(ISNUMBER($E45),($E45+$F45)*Stock!W45/100,Stock!W45))</f>
        <v>0</v>
      </c>
      <c r="AC45" s="9">
        <f ca="1">IF(Stock!X45="",0,IF(ISNUMBER($E45),($E45+$F45)*Stock!X45/100,Stock!X45))</f>
        <v>0</v>
      </c>
      <c r="AD45" s="9">
        <f ca="1">IF(Stock!Y45="",0,IF(ISNUMBER($E45),($E45+$F45)*Stock!Y45/100,Stock!Y45))</f>
        <v>0</v>
      </c>
      <c r="AE45" s="9">
        <f ca="1">IF(Stock!Z45="",0,IF(ISNUMBER($E45),($E45+$F45)*Stock!Z45/100,Stock!Z45))</f>
        <v>0</v>
      </c>
      <c r="AF45" s="9">
        <f ca="1">IF(Stock!AA45="",0,IF(ISNUMBER($E45),($E45+$F45)*Stock!AA45/100,Stock!AA45))</f>
        <v>0</v>
      </c>
      <c r="AG45" s="9">
        <f ca="1">IF(Stock!AB45="",0,IF(ISNUMBER($E45),($E45+$F45)*Stock!AB45/100,Stock!AB45))</f>
        <v>0</v>
      </c>
      <c r="AH45" s="9">
        <f ca="1">IF(Stock!AC45="",0,IF(ISNUMBER($E45),($E45+$F45)*Stock!AC45/100,Stock!AC45))</f>
        <v>0</v>
      </c>
      <c r="AI45" s="9">
        <f ca="1">IF(Stock!AD45="",0,IF(ISNUMBER($E45),($E45+$F45)*Stock!AD45/100,Stock!AD45))</f>
        <v>0</v>
      </c>
      <c r="AJ45" s="9">
        <f ca="1">IF(Stock!AE45="",0,IF(ISNUMBER($E45),($E45+$F45)*Stock!AE45/100,Stock!AE45))</f>
        <v>0</v>
      </c>
      <c r="AK45" s="9">
        <f ca="1">IF(Stock!AF45="",0,IF(ISNUMBER($E45),($E45+$F45)*Stock!AF45/100,Stock!AF45))</f>
        <v>0</v>
      </c>
      <c r="AL45" s="9">
        <f ca="1">IF(Stock!AG45="",0,IF(ISNUMBER($E45),($E45+$F45)*Stock!AG45/100,Stock!AG45))</f>
        <v>0</v>
      </c>
      <c r="AM45" s="9">
        <f ca="1">IF(Stock!AH45="",0,IF(ISNUMBER($E45),($E45+$F45)*Stock!AH45/100,Stock!AH45))</f>
        <v>0</v>
      </c>
      <c r="AN45" s="9">
        <f ca="1">IF(Stock!AI45="",0,IF(ISNUMBER($E45),($E45+$F45)*Stock!AI45/100,Stock!AI45))</f>
        <v>0</v>
      </c>
      <c r="AO45" s="9">
        <f ca="1">IF(Stock!AJ45="",0,IF(ISNUMBER($E45),($E45+$F45)*Stock!AJ45/100,Stock!AJ45))</f>
        <v>0</v>
      </c>
      <c r="AP45" s="9">
        <f ca="1">IF(Stock!AK45="",0,IF(ISNUMBER($E45),($E45+$F45)*Stock!AK45/100,Stock!AK45))</f>
        <v>0</v>
      </c>
      <c r="AQ45" s="9">
        <f ca="1">IF(Stock!AL45="",0,IF(ISNUMBER($E45),($E45+$F45)*Stock!AL45/100,Stock!AL45))</f>
        <v>0</v>
      </c>
      <c r="AR45" s="9">
        <f ca="1">IF(Stock!AM45="",0,IF(ISNUMBER($E45),($E45+$F45)*Stock!AM45/100,Stock!AM45))</f>
        <v>0</v>
      </c>
      <c r="AS45" s="9">
        <f ca="1">IF(Stock!AN45="",0,IF(ISNUMBER($E45),($E45+$F45)*Stock!AN45/100,Stock!AN45))</f>
        <v>0</v>
      </c>
      <c r="AT45" s="9">
        <f ca="1">IF(Stock!AO45="",0,IF(ISNUMBER($E45),($E45+$F45)*Stock!AO45/100,Stock!AO45))</f>
        <v>0</v>
      </c>
      <c r="AU45" s="9">
        <f ca="1">IF(Stock!AP45="",0,IF(ISNUMBER($E45),($E45+$F45)*Stock!AP45/100,Stock!AP45))</f>
        <v>0</v>
      </c>
      <c r="AV45" s="9">
        <f ca="1">IF(Stock!AQ45="",0,IF(ISNUMBER($E45),($E45+$F45)*Stock!AQ45/100,Stock!AQ45))</f>
        <v>0</v>
      </c>
      <c r="AW45" s="9">
        <f ca="1">IF(Stock!AR45="",0,IF(ISNUMBER($E45),($E45+$F45)*Stock!AR45/100,Stock!AR45))</f>
        <v>0</v>
      </c>
      <c r="AX45" s="9">
        <f ca="1">IF(Stock!AS45="",0,IF(ISNUMBER($E45),($E45+$F45)*Stock!AS45/100,Stock!AS45))</f>
        <v>0</v>
      </c>
      <c r="AY45" s="9">
        <f ca="1">IF(Stock!AT45="",0,IF(ISNUMBER($E45),($E45+$F45)*Stock!AT45/100,Stock!AT45))</f>
        <v>0</v>
      </c>
      <c r="AZ45" s="9">
        <f ca="1">IF(Stock!AU45="",0,IF(ISNUMBER($E45),($E45+$F45)*Stock!AU45/100,Stock!AU45))</f>
        <v>0</v>
      </c>
      <c r="BA45" s="9">
        <f ca="1">IF(Stock!AV45="",0,IF(ISNUMBER($E45),($E45+$F45)*Stock!AV45/100,Stock!AV45))</f>
        <v>0</v>
      </c>
      <c r="BB45" s="9">
        <f ca="1">IF(Stock!AW45="",0,IF(ISNUMBER($E45),($E45+$F45)*Stock!AW45/100,Stock!AW45))</f>
        <v>0</v>
      </c>
      <c r="BC45" s="9">
        <f ca="1">IF(Stock!AX45="",0,IF(ISNUMBER($E45),($E45+$F45)*Stock!AX45/100,Stock!AX45))</f>
        <v>0</v>
      </c>
    </row>
    <row r="46" spans="1:55" x14ac:dyDescent="0.3">
      <c r="A46" s="2" t="str">
        <f t="shared" si="2"/>
        <v/>
      </c>
      <c r="B46" s="3" t="str">
        <f t="shared" si="3"/>
        <v/>
      </c>
      <c r="C46" s="4" t="str">
        <f>IF(Repo!C50="","",Repo!C50)</f>
        <v/>
      </c>
      <c r="D46" s="4" t="str">
        <f>IF(Repo!D50="","",Repo!D50)</f>
        <v/>
      </c>
      <c r="E46" s="62">
        <f ca="1">IF(A46="",0,IF(LEFT(C46,3) = "USB",100*(1-_xll.BDP(D46 &amp; " Govt",E$1)*(B46-TODAY()+1)/36000),_xll.BDP(D46 &amp; " Govt",E$1)))</f>
        <v>0</v>
      </c>
      <c r="F46" s="62">
        <f>IF(A46="",0,IF(LEFT(D46,1) = "B",0,_xll.BDP(D46 &amp; " Govt",F$1)))</f>
        <v>0</v>
      </c>
      <c r="G46" s="9">
        <f>IF(Stock!B46="",0,IF(ISNUMBER($E46),($E46+$F46)*Stock!B46/100,Stock!B46))</f>
        <v>0</v>
      </c>
      <c r="H46" s="9">
        <f ca="1">IF(Stock!C46="",0,IF(ISNUMBER($E46),($E46+$F46)*Stock!C46/100,Stock!C46))</f>
        <v>0</v>
      </c>
      <c r="I46" s="9">
        <f ca="1">IF(Stock!D46="",0,IF(ISNUMBER($E46),($E46+$F46)*Stock!D46/100,Stock!D46))</f>
        <v>0</v>
      </c>
      <c r="J46" s="9">
        <f ca="1">IF(Stock!E46="",0,IF(ISNUMBER($E46),($E46+$F46)*Stock!E46/100,Stock!E46))</f>
        <v>0</v>
      </c>
      <c r="K46" s="9">
        <f ca="1">IF(Stock!F46="",0,IF(ISNUMBER($E46),($E46+$F46)*Stock!F46/100,Stock!F46))</f>
        <v>0</v>
      </c>
      <c r="L46" s="9">
        <f ca="1">IF(Stock!G46="",0,IF(ISNUMBER($E46),($E46+$F46)*Stock!G46/100,Stock!G46))</f>
        <v>0</v>
      </c>
      <c r="M46" s="9">
        <f ca="1">IF(Stock!H46="",0,IF(ISNUMBER($E46),($E46+$F46)*Stock!H46/100,Stock!H46))</f>
        <v>0</v>
      </c>
      <c r="N46" s="9">
        <f ca="1">IF(Stock!I46="",0,IF(ISNUMBER($E46),($E46+$F46)*Stock!I46/100,Stock!I46))</f>
        <v>0</v>
      </c>
      <c r="O46" s="9">
        <f ca="1">IF(Stock!J46="",0,IF(ISNUMBER($E46),($E46+$F46)*Stock!J46/100,Stock!J46))</f>
        <v>0</v>
      </c>
      <c r="P46" s="9">
        <f ca="1">IF(Stock!K46="",0,IF(ISNUMBER($E46),($E46+$F46)*Stock!K46/100,Stock!K46))</f>
        <v>0</v>
      </c>
      <c r="Q46" s="9">
        <f ca="1">IF(Stock!L46="",0,IF(ISNUMBER($E46),($E46+$F46)*Stock!L46/100,Stock!L46))</f>
        <v>0</v>
      </c>
      <c r="R46" s="9">
        <f ca="1">IF(Stock!M46="",0,IF(ISNUMBER($E46),($E46+$F46)*Stock!M46/100,Stock!M46))</f>
        <v>0</v>
      </c>
      <c r="S46" s="9">
        <f ca="1">IF(Stock!N46="",0,IF(ISNUMBER($E46),($E46+$F46)*Stock!N46/100,Stock!N46))</f>
        <v>0</v>
      </c>
      <c r="T46" s="9">
        <f ca="1">IF(Stock!O46="",0,IF(ISNUMBER($E46),($E46+$F46)*Stock!O46/100,Stock!O46))</f>
        <v>0</v>
      </c>
      <c r="U46" s="9">
        <f ca="1">IF(Stock!P46="",0,IF(ISNUMBER($E46),($E46+$F46)*Stock!P46/100,Stock!P46))</f>
        <v>0</v>
      </c>
      <c r="V46" s="9">
        <f ca="1">IF(Stock!Q46="",0,IF(ISNUMBER($E46),($E46+$F46)*Stock!Q46/100,Stock!Q46))</f>
        <v>0</v>
      </c>
      <c r="W46" s="9">
        <f ca="1">IF(Stock!R46="",0,IF(ISNUMBER($E46),($E46+$F46)*Stock!R46/100,Stock!R46))</f>
        <v>0</v>
      </c>
      <c r="X46" s="9">
        <f ca="1">IF(Stock!S46="",0,IF(ISNUMBER($E46),($E46+$F46)*Stock!S46/100,Stock!S46))</f>
        <v>0</v>
      </c>
      <c r="Y46" s="9">
        <f ca="1">IF(Stock!T46="",0,IF(ISNUMBER($E46),($E46+$F46)*Stock!T46/100,Stock!T46))</f>
        <v>0</v>
      </c>
      <c r="Z46" s="9">
        <f ca="1">IF(Stock!U46="",0,IF(ISNUMBER($E46),($E46+$F46)*Stock!U46/100,Stock!U46))</f>
        <v>0</v>
      </c>
      <c r="AA46" s="9">
        <f ca="1">IF(Stock!V46="",0,IF(ISNUMBER($E46),($E46+$F46)*Stock!V46/100,Stock!V46))</f>
        <v>0</v>
      </c>
      <c r="AB46" s="9">
        <f ca="1">IF(Stock!W46="",0,IF(ISNUMBER($E46),($E46+$F46)*Stock!W46/100,Stock!W46))</f>
        <v>0</v>
      </c>
      <c r="AC46" s="9">
        <f ca="1">IF(Stock!X46="",0,IF(ISNUMBER($E46),($E46+$F46)*Stock!X46/100,Stock!X46))</f>
        <v>0</v>
      </c>
      <c r="AD46" s="9">
        <f ca="1">IF(Stock!Y46="",0,IF(ISNUMBER($E46),($E46+$F46)*Stock!Y46/100,Stock!Y46))</f>
        <v>0</v>
      </c>
      <c r="AE46" s="9">
        <f ca="1">IF(Stock!Z46="",0,IF(ISNUMBER($E46),($E46+$F46)*Stock!Z46/100,Stock!Z46))</f>
        <v>0</v>
      </c>
      <c r="AF46" s="9">
        <f ca="1">IF(Stock!AA46="",0,IF(ISNUMBER($E46),($E46+$F46)*Stock!AA46/100,Stock!AA46))</f>
        <v>0</v>
      </c>
      <c r="AG46" s="9">
        <f ca="1">IF(Stock!AB46="",0,IF(ISNUMBER($E46),($E46+$F46)*Stock!AB46/100,Stock!AB46))</f>
        <v>0</v>
      </c>
      <c r="AH46" s="9">
        <f ca="1">IF(Stock!AC46="",0,IF(ISNUMBER($E46),($E46+$F46)*Stock!AC46/100,Stock!AC46))</f>
        <v>0</v>
      </c>
      <c r="AI46" s="9">
        <f ca="1">IF(Stock!AD46="",0,IF(ISNUMBER($E46),($E46+$F46)*Stock!AD46/100,Stock!AD46))</f>
        <v>0</v>
      </c>
      <c r="AJ46" s="9">
        <f ca="1">IF(Stock!AE46="",0,IF(ISNUMBER($E46),($E46+$F46)*Stock!AE46/100,Stock!AE46))</f>
        <v>0</v>
      </c>
      <c r="AK46" s="9">
        <f ca="1">IF(Stock!AF46="",0,IF(ISNUMBER($E46),($E46+$F46)*Stock!AF46/100,Stock!AF46))</f>
        <v>0</v>
      </c>
      <c r="AL46" s="9">
        <f ca="1">IF(Stock!AG46="",0,IF(ISNUMBER($E46),($E46+$F46)*Stock!AG46/100,Stock!AG46))</f>
        <v>0</v>
      </c>
      <c r="AM46" s="9">
        <f ca="1">IF(Stock!AH46="",0,IF(ISNUMBER($E46),($E46+$F46)*Stock!AH46/100,Stock!AH46))</f>
        <v>0</v>
      </c>
      <c r="AN46" s="9">
        <f ca="1">IF(Stock!AI46="",0,IF(ISNUMBER($E46),($E46+$F46)*Stock!AI46/100,Stock!AI46))</f>
        <v>0</v>
      </c>
      <c r="AO46" s="9">
        <f ca="1">IF(Stock!AJ46="",0,IF(ISNUMBER($E46),($E46+$F46)*Stock!AJ46/100,Stock!AJ46))</f>
        <v>0</v>
      </c>
      <c r="AP46" s="9">
        <f ca="1">IF(Stock!AK46="",0,IF(ISNUMBER($E46),($E46+$F46)*Stock!AK46/100,Stock!AK46))</f>
        <v>0</v>
      </c>
      <c r="AQ46" s="9">
        <f ca="1">IF(Stock!AL46="",0,IF(ISNUMBER($E46),($E46+$F46)*Stock!AL46/100,Stock!AL46))</f>
        <v>0</v>
      </c>
      <c r="AR46" s="9">
        <f ca="1">IF(Stock!AM46="",0,IF(ISNUMBER($E46),($E46+$F46)*Stock!AM46/100,Stock!AM46))</f>
        <v>0</v>
      </c>
      <c r="AS46" s="9">
        <f ca="1">IF(Stock!AN46="",0,IF(ISNUMBER($E46),($E46+$F46)*Stock!AN46/100,Stock!AN46))</f>
        <v>0</v>
      </c>
      <c r="AT46" s="9">
        <f ca="1">IF(Stock!AO46="",0,IF(ISNUMBER($E46),($E46+$F46)*Stock!AO46/100,Stock!AO46))</f>
        <v>0</v>
      </c>
      <c r="AU46" s="9">
        <f ca="1">IF(Stock!AP46="",0,IF(ISNUMBER($E46),($E46+$F46)*Stock!AP46/100,Stock!AP46))</f>
        <v>0</v>
      </c>
      <c r="AV46" s="9">
        <f ca="1">IF(Stock!AQ46="",0,IF(ISNUMBER($E46),($E46+$F46)*Stock!AQ46/100,Stock!AQ46))</f>
        <v>0</v>
      </c>
      <c r="AW46" s="9">
        <f ca="1">IF(Stock!AR46="",0,IF(ISNUMBER($E46),($E46+$F46)*Stock!AR46/100,Stock!AR46))</f>
        <v>0</v>
      </c>
      <c r="AX46" s="9">
        <f ca="1">IF(Stock!AS46="",0,IF(ISNUMBER($E46),($E46+$F46)*Stock!AS46/100,Stock!AS46))</f>
        <v>0</v>
      </c>
      <c r="AY46" s="9">
        <f ca="1">IF(Stock!AT46="",0,IF(ISNUMBER($E46),($E46+$F46)*Stock!AT46/100,Stock!AT46))</f>
        <v>0</v>
      </c>
      <c r="AZ46" s="9">
        <f ca="1">IF(Stock!AU46="",0,IF(ISNUMBER($E46),($E46+$F46)*Stock!AU46/100,Stock!AU46))</f>
        <v>0</v>
      </c>
      <c r="BA46" s="9">
        <f ca="1">IF(Stock!AV46="",0,IF(ISNUMBER($E46),($E46+$F46)*Stock!AV46/100,Stock!AV46))</f>
        <v>0</v>
      </c>
      <c r="BB46" s="9">
        <f ca="1">IF(Stock!AW46="",0,IF(ISNUMBER($E46),($E46+$F46)*Stock!AW46/100,Stock!AW46))</f>
        <v>0</v>
      </c>
      <c r="BC46" s="9">
        <f ca="1">IF(Stock!AX46="",0,IF(ISNUMBER($E46),($E46+$F46)*Stock!AX46/100,Stock!AX46))</f>
        <v>0</v>
      </c>
    </row>
    <row r="47" spans="1:55" x14ac:dyDescent="0.3">
      <c r="A47" s="2" t="str">
        <f t="shared" si="2"/>
        <v/>
      </c>
      <c r="B47" s="3" t="str">
        <f t="shared" si="3"/>
        <v/>
      </c>
      <c r="C47" s="4" t="str">
        <f>IF(Repo!C51="","",Repo!C51)</f>
        <v/>
      </c>
      <c r="D47" s="4" t="str">
        <f>IF(Repo!D51="","",Repo!D51)</f>
        <v/>
      </c>
      <c r="E47" s="62">
        <f ca="1">IF(A47="",0,IF(LEFT(C47,3) = "USB",100*(1-_xll.BDP(D47 &amp; " Govt",E$1)*(B47-TODAY()+1)/36000),_xll.BDP(D47 &amp; " Govt",E$1)))</f>
        <v>0</v>
      </c>
      <c r="F47" s="62">
        <f>IF(A47="",0,IF(LEFT(D47,1) = "B",0,_xll.BDP(D47 &amp; " Govt",F$1)))</f>
        <v>0</v>
      </c>
      <c r="G47" s="9">
        <f>IF(Stock!B47="",0,IF(ISNUMBER($E47),($E47+$F47)*Stock!B47/100,Stock!B47))</f>
        <v>0</v>
      </c>
      <c r="H47" s="9">
        <f ca="1">IF(Stock!C47="",0,IF(ISNUMBER($E47),($E47+$F47)*Stock!C47/100,Stock!C47))</f>
        <v>0</v>
      </c>
      <c r="I47" s="9">
        <f ca="1">IF(Stock!D47="",0,IF(ISNUMBER($E47),($E47+$F47)*Stock!D47/100,Stock!D47))</f>
        <v>0</v>
      </c>
      <c r="J47" s="9">
        <f ca="1">IF(Stock!E47="",0,IF(ISNUMBER($E47),($E47+$F47)*Stock!E47/100,Stock!E47))</f>
        <v>0</v>
      </c>
      <c r="K47" s="9">
        <f ca="1">IF(Stock!F47="",0,IF(ISNUMBER($E47),($E47+$F47)*Stock!F47/100,Stock!F47))</f>
        <v>0</v>
      </c>
      <c r="L47" s="9">
        <f ca="1">IF(Stock!G47="",0,IF(ISNUMBER($E47),($E47+$F47)*Stock!G47/100,Stock!G47))</f>
        <v>0</v>
      </c>
      <c r="M47" s="9">
        <f ca="1">IF(Stock!H47="",0,IF(ISNUMBER($E47),($E47+$F47)*Stock!H47/100,Stock!H47))</f>
        <v>0</v>
      </c>
      <c r="N47" s="9">
        <f ca="1">IF(Stock!I47="",0,IF(ISNUMBER($E47),($E47+$F47)*Stock!I47/100,Stock!I47))</f>
        <v>0</v>
      </c>
      <c r="O47" s="9">
        <f ca="1">IF(Stock!J47="",0,IF(ISNUMBER($E47),($E47+$F47)*Stock!J47/100,Stock!J47))</f>
        <v>0</v>
      </c>
      <c r="P47" s="9">
        <f ca="1">IF(Stock!K47="",0,IF(ISNUMBER($E47),($E47+$F47)*Stock!K47/100,Stock!K47))</f>
        <v>0</v>
      </c>
      <c r="Q47" s="9">
        <f ca="1">IF(Stock!L47="",0,IF(ISNUMBER($E47),($E47+$F47)*Stock!L47/100,Stock!L47))</f>
        <v>0</v>
      </c>
      <c r="R47" s="9">
        <f ca="1">IF(Stock!M47="",0,IF(ISNUMBER($E47),($E47+$F47)*Stock!M47/100,Stock!M47))</f>
        <v>0</v>
      </c>
      <c r="S47" s="9">
        <f ca="1">IF(Stock!N47="",0,IF(ISNUMBER($E47),($E47+$F47)*Stock!N47/100,Stock!N47))</f>
        <v>0</v>
      </c>
      <c r="T47" s="9">
        <f ca="1">IF(Stock!O47="",0,IF(ISNUMBER($E47),($E47+$F47)*Stock!O47/100,Stock!O47))</f>
        <v>0</v>
      </c>
      <c r="U47" s="9">
        <f ca="1">IF(Stock!P47="",0,IF(ISNUMBER($E47),($E47+$F47)*Stock!P47/100,Stock!P47))</f>
        <v>0</v>
      </c>
      <c r="V47" s="9">
        <f ca="1">IF(Stock!Q47="",0,IF(ISNUMBER($E47),($E47+$F47)*Stock!Q47/100,Stock!Q47))</f>
        <v>0</v>
      </c>
      <c r="W47" s="9">
        <f ca="1">IF(Stock!R47="",0,IF(ISNUMBER($E47),($E47+$F47)*Stock!R47/100,Stock!R47))</f>
        <v>0</v>
      </c>
      <c r="X47" s="9">
        <f ca="1">IF(Stock!S47="",0,IF(ISNUMBER($E47),($E47+$F47)*Stock!S47/100,Stock!S47))</f>
        <v>0</v>
      </c>
      <c r="Y47" s="9">
        <f ca="1">IF(Stock!T47="",0,IF(ISNUMBER($E47),($E47+$F47)*Stock!T47/100,Stock!T47))</f>
        <v>0</v>
      </c>
      <c r="Z47" s="9">
        <f ca="1">IF(Stock!U47="",0,IF(ISNUMBER($E47),($E47+$F47)*Stock!U47/100,Stock!U47))</f>
        <v>0</v>
      </c>
      <c r="AA47" s="9">
        <f ca="1">IF(Stock!V47="",0,IF(ISNUMBER($E47),($E47+$F47)*Stock!V47/100,Stock!V47))</f>
        <v>0</v>
      </c>
      <c r="AB47" s="9">
        <f ca="1">IF(Stock!W47="",0,IF(ISNUMBER($E47),($E47+$F47)*Stock!W47/100,Stock!W47))</f>
        <v>0</v>
      </c>
      <c r="AC47" s="9">
        <f ca="1">IF(Stock!X47="",0,IF(ISNUMBER($E47),($E47+$F47)*Stock!X47/100,Stock!X47))</f>
        <v>0</v>
      </c>
      <c r="AD47" s="9">
        <f ca="1">IF(Stock!Y47="",0,IF(ISNUMBER($E47),($E47+$F47)*Stock!Y47/100,Stock!Y47))</f>
        <v>0</v>
      </c>
      <c r="AE47" s="9">
        <f ca="1">IF(Stock!Z47="",0,IF(ISNUMBER($E47),($E47+$F47)*Stock!Z47/100,Stock!Z47))</f>
        <v>0</v>
      </c>
      <c r="AF47" s="9">
        <f ca="1">IF(Stock!AA47="",0,IF(ISNUMBER($E47),($E47+$F47)*Stock!AA47/100,Stock!AA47))</f>
        <v>0</v>
      </c>
      <c r="AG47" s="9">
        <f ca="1">IF(Stock!AB47="",0,IF(ISNUMBER($E47),($E47+$F47)*Stock!AB47/100,Stock!AB47))</f>
        <v>0</v>
      </c>
      <c r="AH47" s="9">
        <f ca="1">IF(Stock!AC47="",0,IF(ISNUMBER($E47),($E47+$F47)*Stock!AC47/100,Stock!AC47))</f>
        <v>0</v>
      </c>
      <c r="AI47" s="9">
        <f ca="1">IF(Stock!AD47="",0,IF(ISNUMBER($E47),($E47+$F47)*Stock!AD47/100,Stock!AD47))</f>
        <v>0</v>
      </c>
      <c r="AJ47" s="9">
        <f ca="1">IF(Stock!AE47="",0,IF(ISNUMBER($E47),($E47+$F47)*Stock!AE47/100,Stock!AE47))</f>
        <v>0</v>
      </c>
      <c r="AK47" s="9">
        <f ca="1">IF(Stock!AF47="",0,IF(ISNUMBER($E47),($E47+$F47)*Stock!AF47/100,Stock!AF47))</f>
        <v>0</v>
      </c>
      <c r="AL47" s="9">
        <f ca="1">IF(Stock!AG47="",0,IF(ISNUMBER($E47),($E47+$F47)*Stock!AG47/100,Stock!AG47))</f>
        <v>0</v>
      </c>
      <c r="AM47" s="9">
        <f ca="1">IF(Stock!AH47="",0,IF(ISNUMBER($E47),($E47+$F47)*Stock!AH47/100,Stock!AH47))</f>
        <v>0</v>
      </c>
      <c r="AN47" s="9">
        <f ca="1">IF(Stock!AI47="",0,IF(ISNUMBER($E47),($E47+$F47)*Stock!AI47/100,Stock!AI47))</f>
        <v>0</v>
      </c>
      <c r="AO47" s="9">
        <f ca="1">IF(Stock!AJ47="",0,IF(ISNUMBER($E47),($E47+$F47)*Stock!AJ47/100,Stock!AJ47))</f>
        <v>0</v>
      </c>
      <c r="AP47" s="9">
        <f ca="1">IF(Stock!AK47="",0,IF(ISNUMBER($E47),($E47+$F47)*Stock!AK47/100,Stock!AK47))</f>
        <v>0</v>
      </c>
      <c r="AQ47" s="9">
        <f ca="1">IF(Stock!AL47="",0,IF(ISNUMBER($E47),($E47+$F47)*Stock!AL47/100,Stock!AL47))</f>
        <v>0</v>
      </c>
      <c r="AR47" s="9">
        <f ca="1">IF(Stock!AM47="",0,IF(ISNUMBER($E47),($E47+$F47)*Stock!AM47/100,Stock!AM47))</f>
        <v>0</v>
      </c>
      <c r="AS47" s="9">
        <f ca="1">IF(Stock!AN47="",0,IF(ISNUMBER($E47),($E47+$F47)*Stock!AN47/100,Stock!AN47))</f>
        <v>0</v>
      </c>
      <c r="AT47" s="9">
        <f ca="1">IF(Stock!AO47="",0,IF(ISNUMBER($E47),($E47+$F47)*Stock!AO47/100,Stock!AO47))</f>
        <v>0</v>
      </c>
      <c r="AU47" s="9">
        <f ca="1">IF(Stock!AP47="",0,IF(ISNUMBER($E47),($E47+$F47)*Stock!AP47/100,Stock!AP47))</f>
        <v>0</v>
      </c>
      <c r="AV47" s="9">
        <f ca="1">IF(Stock!AQ47="",0,IF(ISNUMBER($E47),($E47+$F47)*Stock!AQ47/100,Stock!AQ47))</f>
        <v>0</v>
      </c>
      <c r="AW47" s="9">
        <f ca="1">IF(Stock!AR47="",0,IF(ISNUMBER($E47),($E47+$F47)*Stock!AR47/100,Stock!AR47))</f>
        <v>0</v>
      </c>
      <c r="AX47" s="9">
        <f ca="1">IF(Stock!AS47="",0,IF(ISNUMBER($E47),($E47+$F47)*Stock!AS47/100,Stock!AS47))</f>
        <v>0</v>
      </c>
      <c r="AY47" s="9">
        <f ca="1">IF(Stock!AT47="",0,IF(ISNUMBER($E47),($E47+$F47)*Stock!AT47/100,Stock!AT47))</f>
        <v>0</v>
      </c>
      <c r="AZ47" s="9">
        <f ca="1">IF(Stock!AU47="",0,IF(ISNUMBER($E47),($E47+$F47)*Stock!AU47/100,Stock!AU47))</f>
        <v>0</v>
      </c>
      <c r="BA47" s="9">
        <f ca="1">IF(Stock!AV47="",0,IF(ISNUMBER($E47),($E47+$F47)*Stock!AV47/100,Stock!AV47))</f>
        <v>0</v>
      </c>
      <c r="BB47" s="9">
        <f ca="1">IF(Stock!AW47="",0,IF(ISNUMBER($E47),($E47+$F47)*Stock!AW47/100,Stock!AW47))</f>
        <v>0</v>
      </c>
      <c r="BC47" s="9">
        <f ca="1">IF(Stock!AX47="",0,IF(ISNUMBER($E47),($E47+$F47)*Stock!AX47/100,Stock!AX47))</f>
        <v>0</v>
      </c>
    </row>
    <row r="48" spans="1:55" x14ac:dyDescent="0.3">
      <c r="A48" s="2" t="str">
        <f t="shared" si="2"/>
        <v/>
      </c>
      <c r="B48" s="3" t="str">
        <f t="shared" si="3"/>
        <v/>
      </c>
      <c r="C48" s="4" t="str">
        <f>IF(Repo!C52="","",Repo!C52)</f>
        <v/>
      </c>
      <c r="D48" s="4" t="str">
        <f>IF(Repo!D52="","",Repo!D52)</f>
        <v/>
      </c>
      <c r="E48" s="62">
        <f ca="1">IF(A48="",0,IF(LEFT(C48,3) = "USB",100*(1-_xll.BDP(D48 &amp; " Govt",E$1)*(B48-TODAY()+1)/36000),_xll.BDP(D48 &amp; " Govt",E$1)))</f>
        <v>0</v>
      </c>
      <c r="F48" s="62">
        <f>IF(A48="",0,IF(LEFT(D48,1) = "B",0,_xll.BDP(D48 &amp; " Govt",F$1)))</f>
        <v>0</v>
      </c>
      <c r="G48" s="9">
        <f>IF(Stock!B48="",0,IF(ISNUMBER($E48),($E48+$F48)*Stock!B48/100,Stock!B48))</f>
        <v>0</v>
      </c>
      <c r="H48" s="9">
        <f ca="1">IF(Stock!C48="",0,IF(ISNUMBER($E48),($E48+$F48)*Stock!C48/100,Stock!C48))</f>
        <v>0</v>
      </c>
      <c r="I48" s="9">
        <f ca="1">IF(Stock!D48="",0,IF(ISNUMBER($E48),($E48+$F48)*Stock!D48/100,Stock!D48))</f>
        <v>0</v>
      </c>
      <c r="J48" s="9">
        <f ca="1">IF(Stock!E48="",0,IF(ISNUMBER($E48),($E48+$F48)*Stock!E48/100,Stock!E48))</f>
        <v>0</v>
      </c>
      <c r="K48" s="9">
        <f ca="1">IF(Stock!F48="",0,IF(ISNUMBER($E48),($E48+$F48)*Stock!F48/100,Stock!F48))</f>
        <v>0</v>
      </c>
      <c r="L48" s="9">
        <f ca="1">IF(Stock!G48="",0,IF(ISNUMBER($E48),($E48+$F48)*Stock!G48/100,Stock!G48))</f>
        <v>0</v>
      </c>
      <c r="M48" s="9">
        <f ca="1">IF(Stock!H48="",0,IF(ISNUMBER($E48),($E48+$F48)*Stock!H48/100,Stock!H48))</f>
        <v>0</v>
      </c>
      <c r="N48" s="9">
        <f ca="1">IF(Stock!I48="",0,IF(ISNUMBER($E48),($E48+$F48)*Stock!I48/100,Stock!I48))</f>
        <v>0</v>
      </c>
      <c r="O48" s="9">
        <f ca="1">IF(Stock!J48="",0,IF(ISNUMBER($E48),($E48+$F48)*Stock!J48/100,Stock!J48))</f>
        <v>0</v>
      </c>
      <c r="P48" s="9">
        <f ca="1">IF(Stock!K48="",0,IF(ISNUMBER($E48),($E48+$F48)*Stock!K48/100,Stock!K48))</f>
        <v>0</v>
      </c>
      <c r="Q48" s="9">
        <f ca="1">IF(Stock!L48="",0,IF(ISNUMBER($E48),($E48+$F48)*Stock!L48/100,Stock!L48))</f>
        <v>0</v>
      </c>
      <c r="R48" s="9">
        <f ca="1">IF(Stock!M48="",0,IF(ISNUMBER($E48),($E48+$F48)*Stock!M48/100,Stock!M48))</f>
        <v>0</v>
      </c>
      <c r="S48" s="9">
        <f ca="1">IF(Stock!N48="",0,IF(ISNUMBER($E48),($E48+$F48)*Stock!N48/100,Stock!N48))</f>
        <v>0</v>
      </c>
      <c r="T48" s="9">
        <f ca="1">IF(Stock!O48="",0,IF(ISNUMBER($E48),($E48+$F48)*Stock!O48/100,Stock!O48))</f>
        <v>0</v>
      </c>
      <c r="U48" s="9">
        <f ca="1">IF(Stock!P48="",0,IF(ISNUMBER($E48),($E48+$F48)*Stock!P48/100,Stock!P48))</f>
        <v>0</v>
      </c>
      <c r="V48" s="9">
        <f ca="1">IF(Stock!Q48="",0,IF(ISNUMBER($E48),($E48+$F48)*Stock!Q48/100,Stock!Q48))</f>
        <v>0</v>
      </c>
      <c r="W48" s="9">
        <f ca="1">IF(Stock!R48="",0,IF(ISNUMBER($E48),($E48+$F48)*Stock!R48/100,Stock!R48))</f>
        <v>0</v>
      </c>
      <c r="X48" s="9">
        <f ca="1">IF(Stock!S48="",0,IF(ISNUMBER($E48),($E48+$F48)*Stock!S48/100,Stock!S48))</f>
        <v>0</v>
      </c>
      <c r="Y48" s="9">
        <f ca="1">IF(Stock!T48="",0,IF(ISNUMBER($E48),($E48+$F48)*Stock!T48/100,Stock!T48))</f>
        <v>0</v>
      </c>
      <c r="Z48" s="9">
        <f ca="1">IF(Stock!U48="",0,IF(ISNUMBER($E48),($E48+$F48)*Stock!U48/100,Stock!U48))</f>
        <v>0</v>
      </c>
      <c r="AA48" s="9">
        <f ca="1">IF(Stock!V48="",0,IF(ISNUMBER($E48),($E48+$F48)*Stock!V48/100,Stock!V48))</f>
        <v>0</v>
      </c>
      <c r="AB48" s="9">
        <f ca="1">IF(Stock!W48="",0,IF(ISNUMBER($E48),($E48+$F48)*Stock!W48/100,Stock!W48))</f>
        <v>0</v>
      </c>
      <c r="AC48" s="9">
        <f ca="1">IF(Stock!X48="",0,IF(ISNUMBER($E48),($E48+$F48)*Stock!X48/100,Stock!X48))</f>
        <v>0</v>
      </c>
      <c r="AD48" s="9">
        <f ca="1">IF(Stock!Y48="",0,IF(ISNUMBER($E48),($E48+$F48)*Stock!Y48/100,Stock!Y48))</f>
        <v>0</v>
      </c>
      <c r="AE48" s="9">
        <f ca="1">IF(Stock!Z48="",0,IF(ISNUMBER($E48),($E48+$F48)*Stock!Z48/100,Stock!Z48))</f>
        <v>0</v>
      </c>
      <c r="AF48" s="9">
        <f ca="1">IF(Stock!AA48="",0,IF(ISNUMBER($E48),($E48+$F48)*Stock!AA48/100,Stock!AA48))</f>
        <v>0</v>
      </c>
      <c r="AG48" s="9">
        <f ca="1">IF(Stock!AB48="",0,IF(ISNUMBER($E48),($E48+$F48)*Stock!AB48/100,Stock!AB48))</f>
        <v>0</v>
      </c>
      <c r="AH48" s="9">
        <f ca="1">IF(Stock!AC48="",0,IF(ISNUMBER($E48),($E48+$F48)*Stock!AC48/100,Stock!AC48))</f>
        <v>0</v>
      </c>
      <c r="AI48" s="9">
        <f ca="1">IF(Stock!AD48="",0,IF(ISNUMBER($E48),($E48+$F48)*Stock!AD48/100,Stock!AD48))</f>
        <v>0</v>
      </c>
      <c r="AJ48" s="9">
        <f ca="1">IF(Stock!AE48="",0,IF(ISNUMBER($E48),($E48+$F48)*Stock!AE48/100,Stock!AE48))</f>
        <v>0</v>
      </c>
      <c r="AK48" s="9">
        <f ca="1">IF(Stock!AF48="",0,IF(ISNUMBER($E48),($E48+$F48)*Stock!AF48/100,Stock!AF48))</f>
        <v>0</v>
      </c>
      <c r="AL48" s="9">
        <f ca="1">IF(Stock!AG48="",0,IF(ISNUMBER($E48),($E48+$F48)*Stock!AG48/100,Stock!AG48))</f>
        <v>0</v>
      </c>
      <c r="AM48" s="9">
        <f ca="1">IF(Stock!AH48="",0,IF(ISNUMBER($E48),($E48+$F48)*Stock!AH48/100,Stock!AH48))</f>
        <v>0</v>
      </c>
      <c r="AN48" s="9">
        <f ca="1">IF(Stock!AI48="",0,IF(ISNUMBER($E48),($E48+$F48)*Stock!AI48/100,Stock!AI48))</f>
        <v>0</v>
      </c>
      <c r="AO48" s="9">
        <f ca="1">IF(Stock!AJ48="",0,IF(ISNUMBER($E48),($E48+$F48)*Stock!AJ48/100,Stock!AJ48))</f>
        <v>0</v>
      </c>
      <c r="AP48" s="9">
        <f ca="1">IF(Stock!AK48="",0,IF(ISNUMBER($E48),($E48+$F48)*Stock!AK48/100,Stock!AK48))</f>
        <v>0</v>
      </c>
      <c r="AQ48" s="9">
        <f ca="1">IF(Stock!AL48="",0,IF(ISNUMBER($E48),($E48+$F48)*Stock!AL48/100,Stock!AL48))</f>
        <v>0</v>
      </c>
      <c r="AR48" s="9">
        <f ca="1">IF(Stock!AM48="",0,IF(ISNUMBER($E48),($E48+$F48)*Stock!AM48/100,Stock!AM48))</f>
        <v>0</v>
      </c>
      <c r="AS48" s="9">
        <f ca="1">IF(Stock!AN48="",0,IF(ISNUMBER($E48),($E48+$F48)*Stock!AN48/100,Stock!AN48))</f>
        <v>0</v>
      </c>
      <c r="AT48" s="9">
        <f ca="1">IF(Stock!AO48="",0,IF(ISNUMBER($E48),($E48+$F48)*Stock!AO48/100,Stock!AO48))</f>
        <v>0</v>
      </c>
      <c r="AU48" s="9">
        <f ca="1">IF(Stock!AP48="",0,IF(ISNUMBER($E48),($E48+$F48)*Stock!AP48/100,Stock!AP48))</f>
        <v>0</v>
      </c>
      <c r="AV48" s="9">
        <f ca="1">IF(Stock!AQ48="",0,IF(ISNUMBER($E48),($E48+$F48)*Stock!AQ48/100,Stock!AQ48))</f>
        <v>0</v>
      </c>
      <c r="AW48" s="9">
        <f ca="1">IF(Stock!AR48="",0,IF(ISNUMBER($E48),($E48+$F48)*Stock!AR48/100,Stock!AR48))</f>
        <v>0</v>
      </c>
      <c r="AX48" s="9">
        <f ca="1">IF(Stock!AS48="",0,IF(ISNUMBER($E48),($E48+$F48)*Stock!AS48/100,Stock!AS48))</f>
        <v>0</v>
      </c>
      <c r="AY48" s="9">
        <f ca="1">IF(Stock!AT48="",0,IF(ISNUMBER($E48),($E48+$F48)*Stock!AT48/100,Stock!AT48))</f>
        <v>0</v>
      </c>
      <c r="AZ48" s="9">
        <f ca="1">IF(Stock!AU48="",0,IF(ISNUMBER($E48),($E48+$F48)*Stock!AU48/100,Stock!AU48))</f>
        <v>0</v>
      </c>
      <c r="BA48" s="9">
        <f ca="1">IF(Stock!AV48="",0,IF(ISNUMBER($E48),($E48+$F48)*Stock!AV48/100,Stock!AV48))</f>
        <v>0</v>
      </c>
      <c r="BB48" s="9">
        <f ca="1">IF(Stock!AW48="",0,IF(ISNUMBER($E48),($E48+$F48)*Stock!AW48/100,Stock!AW48))</f>
        <v>0</v>
      </c>
      <c r="BC48" s="9">
        <f ca="1">IF(Stock!AX48="",0,IF(ISNUMBER($E48),($E48+$F48)*Stock!AX48/100,Stock!AX48))</f>
        <v>0</v>
      </c>
    </row>
    <row r="49" spans="1:55" x14ac:dyDescent="0.3">
      <c r="A49" s="2" t="str">
        <f t="shared" si="2"/>
        <v/>
      </c>
      <c r="B49" s="3" t="str">
        <f t="shared" si="3"/>
        <v/>
      </c>
      <c r="C49" s="4" t="str">
        <f>IF(Repo!C53="","",Repo!C53)</f>
        <v/>
      </c>
      <c r="D49" s="4" t="str">
        <f>IF(Repo!D53="","",Repo!D53)</f>
        <v/>
      </c>
      <c r="E49" s="62">
        <f ca="1">IF(A49="",0,IF(LEFT(C49,3) = "USB",100*(1-_xll.BDP(D49 &amp; " Govt",E$1)*(B49-TODAY()+1)/36000),_xll.BDP(D49 &amp; " Govt",E$1)))</f>
        <v>0</v>
      </c>
      <c r="F49" s="62">
        <f>IF(A49="",0,IF(LEFT(D49,1) = "B",0,_xll.BDP(D49 &amp; " Govt",F$1)))</f>
        <v>0</v>
      </c>
      <c r="G49" s="9">
        <f>IF(Stock!B49="",0,IF(ISNUMBER($E49),($E49+$F49)*Stock!B49/100,Stock!B49))</f>
        <v>0</v>
      </c>
      <c r="H49" s="9">
        <f ca="1">IF(Stock!C49="",0,IF(ISNUMBER($E49),($E49+$F49)*Stock!C49/100,Stock!C49))</f>
        <v>0</v>
      </c>
      <c r="I49" s="9">
        <f ca="1">IF(Stock!D49="",0,IF(ISNUMBER($E49),($E49+$F49)*Stock!D49/100,Stock!D49))</f>
        <v>0</v>
      </c>
      <c r="J49" s="9">
        <f ca="1">IF(Stock!E49="",0,IF(ISNUMBER($E49),($E49+$F49)*Stock!E49/100,Stock!E49))</f>
        <v>0</v>
      </c>
      <c r="K49" s="9">
        <f ca="1">IF(Stock!F49="",0,IF(ISNUMBER($E49),($E49+$F49)*Stock!F49/100,Stock!F49))</f>
        <v>0</v>
      </c>
      <c r="L49" s="9">
        <f ca="1">IF(Stock!G49="",0,IF(ISNUMBER($E49),($E49+$F49)*Stock!G49/100,Stock!G49))</f>
        <v>0</v>
      </c>
      <c r="M49" s="9">
        <f ca="1">IF(Stock!H49="",0,IF(ISNUMBER($E49),($E49+$F49)*Stock!H49/100,Stock!H49))</f>
        <v>0</v>
      </c>
      <c r="N49" s="9">
        <f ca="1">IF(Stock!I49="",0,IF(ISNUMBER($E49),($E49+$F49)*Stock!I49/100,Stock!I49))</f>
        <v>0</v>
      </c>
      <c r="O49" s="9">
        <f ca="1">IF(Stock!J49="",0,IF(ISNUMBER($E49),($E49+$F49)*Stock!J49/100,Stock!J49))</f>
        <v>0</v>
      </c>
      <c r="P49" s="9">
        <f ca="1">IF(Stock!K49="",0,IF(ISNUMBER($E49),($E49+$F49)*Stock!K49/100,Stock!K49))</f>
        <v>0</v>
      </c>
      <c r="Q49" s="9">
        <f ca="1">IF(Stock!L49="",0,IF(ISNUMBER($E49),($E49+$F49)*Stock!L49/100,Stock!L49))</f>
        <v>0</v>
      </c>
      <c r="R49" s="9">
        <f ca="1">IF(Stock!M49="",0,IF(ISNUMBER($E49),($E49+$F49)*Stock!M49/100,Stock!M49))</f>
        <v>0</v>
      </c>
      <c r="S49" s="9">
        <f ca="1">IF(Stock!N49="",0,IF(ISNUMBER($E49),($E49+$F49)*Stock!N49/100,Stock!N49))</f>
        <v>0</v>
      </c>
      <c r="T49" s="9">
        <f ca="1">IF(Stock!O49="",0,IF(ISNUMBER($E49),($E49+$F49)*Stock!O49/100,Stock!O49))</f>
        <v>0</v>
      </c>
      <c r="U49" s="9">
        <f ca="1">IF(Stock!P49="",0,IF(ISNUMBER($E49),($E49+$F49)*Stock!P49/100,Stock!P49))</f>
        <v>0</v>
      </c>
      <c r="V49" s="9">
        <f ca="1">IF(Stock!Q49="",0,IF(ISNUMBER($E49),($E49+$F49)*Stock!Q49/100,Stock!Q49))</f>
        <v>0</v>
      </c>
      <c r="W49" s="9">
        <f ca="1">IF(Stock!R49="",0,IF(ISNUMBER($E49),($E49+$F49)*Stock!R49/100,Stock!R49))</f>
        <v>0</v>
      </c>
      <c r="X49" s="9">
        <f ca="1">IF(Stock!S49="",0,IF(ISNUMBER($E49),($E49+$F49)*Stock!S49/100,Stock!S49))</f>
        <v>0</v>
      </c>
      <c r="Y49" s="9">
        <f ca="1">IF(Stock!T49="",0,IF(ISNUMBER($E49),($E49+$F49)*Stock!T49/100,Stock!T49))</f>
        <v>0</v>
      </c>
      <c r="Z49" s="9">
        <f ca="1">IF(Stock!U49="",0,IF(ISNUMBER($E49),($E49+$F49)*Stock!U49/100,Stock!U49))</f>
        <v>0</v>
      </c>
      <c r="AA49" s="9">
        <f ca="1">IF(Stock!V49="",0,IF(ISNUMBER($E49),($E49+$F49)*Stock!V49/100,Stock!V49))</f>
        <v>0</v>
      </c>
      <c r="AB49" s="9">
        <f ca="1">IF(Stock!W49="",0,IF(ISNUMBER($E49),($E49+$F49)*Stock!W49/100,Stock!W49))</f>
        <v>0</v>
      </c>
      <c r="AC49" s="9">
        <f ca="1">IF(Stock!X49="",0,IF(ISNUMBER($E49),($E49+$F49)*Stock!X49/100,Stock!X49))</f>
        <v>0</v>
      </c>
      <c r="AD49" s="9">
        <f ca="1">IF(Stock!Y49="",0,IF(ISNUMBER($E49),($E49+$F49)*Stock!Y49/100,Stock!Y49))</f>
        <v>0</v>
      </c>
      <c r="AE49" s="9">
        <f ca="1">IF(Stock!Z49="",0,IF(ISNUMBER($E49),($E49+$F49)*Stock!Z49/100,Stock!Z49))</f>
        <v>0</v>
      </c>
      <c r="AF49" s="9">
        <f ca="1">IF(Stock!AA49="",0,IF(ISNUMBER($E49),($E49+$F49)*Stock!AA49/100,Stock!AA49))</f>
        <v>0</v>
      </c>
      <c r="AG49" s="9">
        <f ca="1">IF(Stock!AB49="",0,IF(ISNUMBER($E49),($E49+$F49)*Stock!AB49/100,Stock!AB49))</f>
        <v>0</v>
      </c>
      <c r="AH49" s="9">
        <f ca="1">IF(Stock!AC49="",0,IF(ISNUMBER($E49),($E49+$F49)*Stock!AC49/100,Stock!AC49))</f>
        <v>0</v>
      </c>
      <c r="AI49" s="9">
        <f ca="1">IF(Stock!AD49="",0,IF(ISNUMBER($E49),($E49+$F49)*Stock!AD49/100,Stock!AD49))</f>
        <v>0</v>
      </c>
      <c r="AJ49" s="9">
        <f ca="1">IF(Stock!AE49="",0,IF(ISNUMBER($E49),($E49+$F49)*Stock!AE49/100,Stock!AE49))</f>
        <v>0</v>
      </c>
      <c r="AK49" s="9">
        <f ca="1">IF(Stock!AF49="",0,IF(ISNUMBER($E49),($E49+$F49)*Stock!AF49/100,Stock!AF49))</f>
        <v>0</v>
      </c>
      <c r="AL49" s="9">
        <f ca="1">IF(Stock!AG49="",0,IF(ISNUMBER($E49),($E49+$F49)*Stock!AG49/100,Stock!AG49))</f>
        <v>0</v>
      </c>
      <c r="AM49" s="9">
        <f ca="1">IF(Stock!AH49="",0,IF(ISNUMBER($E49),($E49+$F49)*Stock!AH49/100,Stock!AH49))</f>
        <v>0</v>
      </c>
      <c r="AN49" s="9">
        <f ca="1">IF(Stock!AI49="",0,IF(ISNUMBER($E49),($E49+$F49)*Stock!AI49/100,Stock!AI49))</f>
        <v>0</v>
      </c>
      <c r="AO49" s="9">
        <f ca="1">IF(Stock!AJ49="",0,IF(ISNUMBER($E49),($E49+$F49)*Stock!AJ49/100,Stock!AJ49))</f>
        <v>0</v>
      </c>
      <c r="AP49" s="9">
        <f ca="1">IF(Stock!AK49="",0,IF(ISNUMBER($E49),($E49+$F49)*Stock!AK49/100,Stock!AK49))</f>
        <v>0</v>
      </c>
      <c r="AQ49" s="9">
        <f ca="1">IF(Stock!AL49="",0,IF(ISNUMBER($E49),($E49+$F49)*Stock!AL49/100,Stock!AL49))</f>
        <v>0</v>
      </c>
      <c r="AR49" s="9">
        <f ca="1">IF(Stock!AM49="",0,IF(ISNUMBER($E49),($E49+$F49)*Stock!AM49/100,Stock!AM49))</f>
        <v>0</v>
      </c>
      <c r="AS49" s="9">
        <f ca="1">IF(Stock!AN49="",0,IF(ISNUMBER($E49),($E49+$F49)*Stock!AN49/100,Stock!AN49))</f>
        <v>0</v>
      </c>
      <c r="AT49" s="9">
        <f ca="1">IF(Stock!AO49="",0,IF(ISNUMBER($E49),($E49+$F49)*Stock!AO49/100,Stock!AO49))</f>
        <v>0</v>
      </c>
      <c r="AU49" s="9">
        <f ca="1">IF(Stock!AP49="",0,IF(ISNUMBER($E49),($E49+$F49)*Stock!AP49/100,Stock!AP49))</f>
        <v>0</v>
      </c>
      <c r="AV49" s="9">
        <f ca="1">IF(Stock!AQ49="",0,IF(ISNUMBER($E49),($E49+$F49)*Stock!AQ49/100,Stock!AQ49))</f>
        <v>0</v>
      </c>
      <c r="AW49" s="9">
        <f ca="1">IF(Stock!AR49="",0,IF(ISNUMBER($E49),($E49+$F49)*Stock!AR49/100,Stock!AR49))</f>
        <v>0</v>
      </c>
      <c r="AX49" s="9">
        <f ca="1">IF(Stock!AS49="",0,IF(ISNUMBER($E49),($E49+$F49)*Stock!AS49/100,Stock!AS49))</f>
        <v>0</v>
      </c>
      <c r="AY49" s="9">
        <f ca="1">IF(Stock!AT49="",0,IF(ISNUMBER($E49),($E49+$F49)*Stock!AT49/100,Stock!AT49))</f>
        <v>0</v>
      </c>
      <c r="AZ49" s="9">
        <f ca="1">IF(Stock!AU49="",0,IF(ISNUMBER($E49),($E49+$F49)*Stock!AU49/100,Stock!AU49))</f>
        <v>0</v>
      </c>
      <c r="BA49" s="9">
        <f ca="1">IF(Stock!AV49="",0,IF(ISNUMBER($E49),($E49+$F49)*Stock!AV49/100,Stock!AV49))</f>
        <v>0</v>
      </c>
      <c r="BB49" s="9">
        <f ca="1">IF(Stock!AW49="",0,IF(ISNUMBER($E49),($E49+$F49)*Stock!AW49/100,Stock!AW49))</f>
        <v>0</v>
      </c>
      <c r="BC49" s="9">
        <f ca="1">IF(Stock!AX49="",0,IF(ISNUMBER($E49),($E49+$F49)*Stock!AX49/100,Stock!AX49))</f>
        <v>0</v>
      </c>
    </row>
    <row r="50" spans="1:55" x14ac:dyDescent="0.3">
      <c r="A50" s="2" t="str">
        <f t="shared" si="0"/>
        <v/>
      </c>
      <c r="B50" s="3" t="str">
        <f t="shared" si="1"/>
        <v/>
      </c>
      <c r="C50" s="4" t="str">
        <f>IF(Repo!C54="","",Repo!C54)</f>
        <v/>
      </c>
      <c r="D50" s="4" t="str">
        <f>IF(Repo!D54="","",Repo!D54)</f>
        <v/>
      </c>
      <c r="E50" s="62">
        <f ca="1">IF(A50="",0,IF(LEFT(C50,3) = "USB",100*(1-_xll.BDP(D50 &amp; " Govt",E$1)*(B50-TODAY()+1)/36000),_xll.BDP(D50 &amp; " Govt",E$1)))</f>
        <v>0</v>
      </c>
      <c r="F50" s="62">
        <f>IF(A50="",0,IF(LEFT(D50,1) = "B",0,_xll.BDP(D50 &amp; " Govt",F$1)))</f>
        <v>0</v>
      </c>
      <c r="G50" s="9">
        <f>IF(Stock!B50="",0,IF(ISNUMBER($E50),($E50+$F50)*Stock!B50/100,Stock!B50))</f>
        <v>0</v>
      </c>
      <c r="H50" s="9">
        <f ca="1">IF(Stock!C50="",0,IF(ISNUMBER($E50),($E50+$F50)*Stock!C50/100,Stock!C50))</f>
        <v>0</v>
      </c>
      <c r="I50" s="9">
        <f ca="1">IF(Stock!D50="",0,IF(ISNUMBER($E50),($E50+$F50)*Stock!D50/100,Stock!D50))</f>
        <v>0</v>
      </c>
      <c r="J50" s="9">
        <f ca="1">IF(Stock!E50="",0,IF(ISNUMBER($E50),($E50+$F50)*Stock!E50/100,Stock!E50))</f>
        <v>0</v>
      </c>
      <c r="K50" s="9">
        <f ca="1">IF(Stock!F50="",0,IF(ISNUMBER($E50),($E50+$F50)*Stock!F50/100,Stock!F50))</f>
        <v>0</v>
      </c>
      <c r="L50" s="9">
        <f ca="1">IF(Stock!G50="",0,IF(ISNUMBER($E50),($E50+$F50)*Stock!G50/100,Stock!G50))</f>
        <v>0</v>
      </c>
      <c r="M50" s="9">
        <f ca="1">IF(Stock!H50="",0,IF(ISNUMBER($E50),($E50+$F50)*Stock!H50/100,Stock!H50))</f>
        <v>0</v>
      </c>
      <c r="N50" s="9">
        <f ca="1">IF(Stock!I50="",0,IF(ISNUMBER($E50),($E50+$F50)*Stock!I50/100,Stock!I50))</f>
        <v>0</v>
      </c>
      <c r="O50" s="9">
        <f ca="1">IF(Stock!J50="",0,IF(ISNUMBER($E50),($E50+$F50)*Stock!J50/100,Stock!J50))</f>
        <v>0</v>
      </c>
      <c r="P50" s="9">
        <f ca="1">IF(Stock!K50="",0,IF(ISNUMBER($E50),($E50+$F50)*Stock!K50/100,Stock!K50))</f>
        <v>0</v>
      </c>
      <c r="Q50" s="9">
        <f ca="1">IF(Stock!L50="",0,IF(ISNUMBER($E50),($E50+$F50)*Stock!L50/100,Stock!L50))</f>
        <v>0</v>
      </c>
      <c r="R50" s="9">
        <f ca="1">IF(Stock!M50="",0,IF(ISNUMBER($E50),($E50+$F50)*Stock!M50/100,Stock!M50))</f>
        <v>0</v>
      </c>
      <c r="S50" s="9">
        <f ca="1">IF(Stock!N50="",0,IF(ISNUMBER($E50),($E50+$F50)*Stock!N50/100,Stock!N50))</f>
        <v>0</v>
      </c>
      <c r="T50" s="9">
        <f ca="1">IF(Stock!O50="",0,IF(ISNUMBER($E50),($E50+$F50)*Stock!O50/100,Stock!O50))</f>
        <v>0</v>
      </c>
      <c r="U50" s="9">
        <f ca="1">IF(Stock!P50="",0,IF(ISNUMBER($E50),($E50+$F50)*Stock!P50/100,Stock!P50))</f>
        <v>0</v>
      </c>
      <c r="V50" s="9">
        <f ca="1">IF(Stock!Q50="",0,IF(ISNUMBER($E50),($E50+$F50)*Stock!Q50/100,Stock!Q50))</f>
        <v>0</v>
      </c>
      <c r="W50" s="9">
        <f ca="1">IF(Stock!R50="",0,IF(ISNUMBER($E50),($E50+$F50)*Stock!R50/100,Stock!R50))</f>
        <v>0</v>
      </c>
      <c r="X50" s="9">
        <f ca="1">IF(Stock!S50="",0,IF(ISNUMBER($E50),($E50+$F50)*Stock!S50/100,Stock!S50))</f>
        <v>0</v>
      </c>
      <c r="Y50" s="9">
        <f ca="1">IF(Stock!T50="",0,IF(ISNUMBER($E50),($E50+$F50)*Stock!T50/100,Stock!T50))</f>
        <v>0</v>
      </c>
      <c r="Z50" s="9">
        <f ca="1">IF(Stock!U50="",0,IF(ISNUMBER($E50),($E50+$F50)*Stock!U50/100,Stock!U50))</f>
        <v>0</v>
      </c>
      <c r="AA50" s="9">
        <f ca="1">IF(Stock!V50="",0,IF(ISNUMBER($E50),($E50+$F50)*Stock!V50/100,Stock!V50))</f>
        <v>0</v>
      </c>
      <c r="AB50" s="9">
        <f ca="1">IF(Stock!W50="",0,IF(ISNUMBER($E50),($E50+$F50)*Stock!W50/100,Stock!W50))</f>
        <v>0</v>
      </c>
      <c r="AC50" s="9">
        <f ca="1">IF(Stock!X50="",0,IF(ISNUMBER($E50),($E50+$F50)*Stock!X50/100,Stock!X50))</f>
        <v>0</v>
      </c>
      <c r="AD50" s="9">
        <f ca="1">IF(Stock!Y50="",0,IF(ISNUMBER($E50),($E50+$F50)*Stock!Y50/100,Stock!Y50))</f>
        <v>0</v>
      </c>
      <c r="AE50" s="9">
        <f ca="1">IF(Stock!Z50="",0,IF(ISNUMBER($E50),($E50+$F50)*Stock!Z50/100,Stock!Z50))</f>
        <v>0</v>
      </c>
      <c r="AF50" s="9">
        <f ca="1">IF(Stock!AA50="",0,IF(ISNUMBER($E50),($E50+$F50)*Stock!AA50/100,Stock!AA50))</f>
        <v>0</v>
      </c>
      <c r="AG50" s="9">
        <f ca="1">IF(Stock!AB50="",0,IF(ISNUMBER($E50),($E50+$F50)*Stock!AB50/100,Stock!AB50))</f>
        <v>0</v>
      </c>
      <c r="AH50" s="9">
        <f ca="1">IF(Stock!AC50="",0,IF(ISNUMBER($E50),($E50+$F50)*Stock!AC50/100,Stock!AC50))</f>
        <v>0</v>
      </c>
      <c r="AI50" s="9">
        <f ca="1">IF(Stock!AD50="",0,IF(ISNUMBER($E50),($E50+$F50)*Stock!AD50/100,Stock!AD50))</f>
        <v>0</v>
      </c>
      <c r="AJ50" s="9">
        <f ca="1">IF(Stock!AE50="",0,IF(ISNUMBER($E50),($E50+$F50)*Stock!AE50/100,Stock!AE50))</f>
        <v>0</v>
      </c>
      <c r="AK50" s="9">
        <f ca="1">IF(Stock!AF50="",0,IF(ISNUMBER($E50),($E50+$F50)*Stock!AF50/100,Stock!AF50))</f>
        <v>0</v>
      </c>
      <c r="AL50" s="9">
        <f ca="1">IF(Stock!AG50="",0,IF(ISNUMBER($E50),($E50+$F50)*Stock!AG50/100,Stock!AG50))</f>
        <v>0</v>
      </c>
      <c r="AM50" s="9">
        <f ca="1">IF(Stock!AH50="",0,IF(ISNUMBER($E50),($E50+$F50)*Stock!AH50/100,Stock!AH50))</f>
        <v>0</v>
      </c>
      <c r="AN50" s="9">
        <f ca="1">IF(Stock!AI50="",0,IF(ISNUMBER($E50),($E50+$F50)*Stock!AI50/100,Stock!AI50))</f>
        <v>0</v>
      </c>
      <c r="AO50" s="9">
        <f ca="1">IF(Stock!AJ50="",0,IF(ISNUMBER($E50),($E50+$F50)*Stock!AJ50/100,Stock!AJ50))</f>
        <v>0</v>
      </c>
      <c r="AP50" s="9">
        <f ca="1">IF(Stock!AK50="",0,IF(ISNUMBER($E50),($E50+$F50)*Stock!AK50/100,Stock!AK50))</f>
        <v>0</v>
      </c>
      <c r="AQ50" s="9">
        <f ca="1">IF(Stock!AL50="",0,IF(ISNUMBER($E50),($E50+$F50)*Stock!AL50/100,Stock!AL50))</f>
        <v>0</v>
      </c>
      <c r="AR50" s="9">
        <f ca="1">IF(Stock!AM50="",0,IF(ISNUMBER($E50),($E50+$F50)*Stock!AM50/100,Stock!AM50))</f>
        <v>0</v>
      </c>
      <c r="AS50" s="9">
        <f ca="1">IF(Stock!AN50="",0,IF(ISNUMBER($E50),($E50+$F50)*Stock!AN50/100,Stock!AN50))</f>
        <v>0</v>
      </c>
      <c r="AT50" s="9">
        <f ca="1">IF(Stock!AO50="",0,IF(ISNUMBER($E50),($E50+$F50)*Stock!AO50/100,Stock!AO50))</f>
        <v>0</v>
      </c>
      <c r="AU50" s="9">
        <f ca="1">IF(Stock!AP50="",0,IF(ISNUMBER($E50),($E50+$F50)*Stock!AP50/100,Stock!AP50))</f>
        <v>0</v>
      </c>
      <c r="AV50" s="9">
        <f ca="1">IF(Stock!AQ50="",0,IF(ISNUMBER($E50),($E50+$F50)*Stock!AQ50/100,Stock!AQ50))</f>
        <v>0</v>
      </c>
      <c r="AW50" s="9">
        <f ca="1">IF(Stock!AR50="",0,IF(ISNUMBER($E50),($E50+$F50)*Stock!AR50/100,Stock!AR50))</f>
        <v>0</v>
      </c>
      <c r="AX50" s="9">
        <f ca="1">IF(Stock!AS50="",0,IF(ISNUMBER($E50),($E50+$F50)*Stock!AS50/100,Stock!AS50))</f>
        <v>0</v>
      </c>
      <c r="AY50" s="9">
        <f ca="1">IF(Stock!AT50="",0,IF(ISNUMBER($E50),($E50+$F50)*Stock!AT50/100,Stock!AT50))</f>
        <v>0</v>
      </c>
      <c r="AZ50" s="9">
        <f ca="1">IF(Stock!AU50="",0,IF(ISNUMBER($E50),($E50+$F50)*Stock!AU50/100,Stock!AU50))</f>
        <v>0</v>
      </c>
      <c r="BA50" s="9">
        <f ca="1">IF(Stock!AV50="",0,IF(ISNUMBER($E50),($E50+$F50)*Stock!AV50/100,Stock!AV50))</f>
        <v>0</v>
      </c>
      <c r="BB50" s="9">
        <f ca="1">IF(Stock!AW50="",0,IF(ISNUMBER($E50),($E50+$F50)*Stock!AW50/100,Stock!AW50))</f>
        <v>0</v>
      </c>
      <c r="BC50" s="9">
        <f ca="1">IF(Stock!AX50="",0,IF(ISNUMBER($E50),($E50+$F50)*Stock!AX50/100,Stock!AX50))</f>
        <v>0</v>
      </c>
    </row>
    <row r="51" spans="1:55" x14ac:dyDescent="0.3">
      <c r="A51" s="2" t="str">
        <f t="shared" si="0"/>
        <v/>
      </c>
      <c r="B51" s="3" t="str">
        <f t="shared" si="1"/>
        <v/>
      </c>
      <c r="C51" s="4" t="str">
        <f>IF(Repo!C55="","",Repo!C55)</f>
        <v/>
      </c>
      <c r="D51" s="4" t="str">
        <f>IF(Repo!D55="","",Repo!D55)</f>
        <v/>
      </c>
      <c r="E51" s="62">
        <f ca="1">IF(A51="",0,IF(LEFT(C51,3) = "USB",100*(1-_xll.BDP(D51 &amp; " Govt",E$1)*(B51-TODAY()+1)/36000),_xll.BDP(D51 &amp; " Govt",E$1)))</f>
        <v>0</v>
      </c>
      <c r="F51" s="62">
        <f>IF(A51="",0,IF(LEFT(D51,1) = "B",0,_xll.BDP(D51 &amp; " Govt",F$1)))</f>
        <v>0</v>
      </c>
      <c r="G51" s="9">
        <f>IF(Stock!B51="",0,IF(ISNUMBER($E51),($E51+$F51)*Stock!B51/100,Stock!B51))</f>
        <v>0</v>
      </c>
      <c r="H51" s="9">
        <f ca="1">IF(Stock!C51="",0,IF(ISNUMBER($E51),($E51+$F51)*Stock!C51/100,Stock!C51))</f>
        <v>0</v>
      </c>
      <c r="I51" s="9">
        <f ca="1">IF(Stock!D51="",0,IF(ISNUMBER($E51),($E51+$F51)*Stock!D51/100,Stock!D51))</f>
        <v>0</v>
      </c>
      <c r="J51" s="9">
        <f ca="1">IF(Stock!E51="",0,IF(ISNUMBER($E51),($E51+$F51)*Stock!E51/100,Stock!E51))</f>
        <v>0</v>
      </c>
      <c r="K51" s="9">
        <f ca="1">IF(Stock!F51="",0,IF(ISNUMBER($E51),($E51+$F51)*Stock!F51/100,Stock!F51))</f>
        <v>0</v>
      </c>
      <c r="L51" s="9">
        <f ca="1">IF(Stock!G51="",0,IF(ISNUMBER($E51),($E51+$F51)*Stock!G51/100,Stock!G51))</f>
        <v>0</v>
      </c>
      <c r="M51" s="9">
        <f ca="1">IF(Stock!H51="",0,IF(ISNUMBER($E51),($E51+$F51)*Stock!H51/100,Stock!H51))</f>
        <v>0</v>
      </c>
      <c r="N51" s="9">
        <f ca="1">IF(Stock!I51="",0,IF(ISNUMBER($E51),($E51+$F51)*Stock!I51/100,Stock!I51))</f>
        <v>0</v>
      </c>
      <c r="O51" s="9">
        <f ca="1">IF(Stock!J51="",0,IF(ISNUMBER($E51),($E51+$F51)*Stock!J51/100,Stock!J51))</f>
        <v>0</v>
      </c>
      <c r="P51" s="9">
        <f ca="1">IF(Stock!K51="",0,IF(ISNUMBER($E51),($E51+$F51)*Stock!K51/100,Stock!K51))</f>
        <v>0</v>
      </c>
      <c r="Q51" s="9">
        <f ca="1">IF(Stock!L51="",0,IF(ISNUMBER($E51),($E51+$F51)*Stock!L51/100,Stock!L51))</f>
        <v>0</v>
      </c>
      <c r="R51" s="9">
        <f ca="1">IF(Stock!M51="",0,IF(ISNUMBER($E51),($E51+$F51)*Stock!M51/100,Stock!M51))</f>
        <v>0</v>
      </c>
      <c r="S51" s="9">
        <f ca="1">IF(Stock!N51="",0,IF(ISNUMBER($E51),($E51+$F51)*Stock!N51/100,Stock!N51))</f>
        <v>0</v>
      </c>
      <c r="T51" s="9">
        <f ca="1">IF(Stock!O51="",0,IF(ISNUMBER($E51),($E51+$F51)*Stock!O51/100,Stock!O51))</f>
        <v>0</v>
      </c>
      <c r="U51" s="9">
        <f ca="1">IF(Stock!P51="",0,IF(ISNUMBER($E51),($E51+$F51)*Stock!P51/100,Stock!P51))</f>
        <v>0</v>
      </c>
      <c r="V51" s="9">
        <f ca="1">IF(Stock!Q51="",0,IF(ISNUMBER($E51),($E51+$F51)*Stock!Q51/100,Stock!Q51))</f>
        <v>0</v>
      </c>
      <c r="W51" s="9">
        <f ca="1">IF(Stock!R51="",0,IF(ISNUMBER($E51),($E51+$F51)*Stock!R51/100,Stock!R51))</f>
        <v>0</v>
      </c>
      <c r="X51" s="9">
        <f ca="1">IF(Stock!S51="",0,IF(ISNUMBER($E51),($E51+$F51)*Stock!S51/100,Stock!S51))</f>
        <v>0</v>
      </c>
      <c r="Y51" s="9">
        <f ca="1">IF(Stock!T51="",0,IF(ISNUMBER($E51),($E51+$F51)*Stock!T51/100,Stock!T51))</f>
        <v>0</v>
      </c>
      <c r="Z51" s="9">
        <f ca="1">IF(Stock!U51="",0,IF(ISNUMBER($E51),($E51+$F51)*Stock!U51/100,Stock!U51))</f>
        <v>0</v>
      </c>
      <c r="AA51" s="9">
        <f ca="1">IF(Stock!V51="",0,IF(ISNUMBER($E51),($E51+$F51)*Stock!V51/100,Stock!V51))</f>
        <v>0</v>
      </c>
      <c r="AB51" s="9">
        <f ca="1">IF(Stock!W51="",0,IF(ISNUMBER($E51),($E51+$F51)*Stock!W51/100,Stock!W51))</f>
        <v>0</v>
      </c>
      <c r="AC51" s="9">
        <f ca="1">IF(Stock!X51="",0,IF(ISNUMBER($E51),($E51+$F51)*Stock!X51/100,Stock!X51))</f>
        <v>0</v>
      </c>
      <c r="AD51" s="9">
        <f ca="1">IF(Stock!Y51="",0,IF(ISNUMBER($E51),($E51+$F51)*Stock!Y51/100,Stock!Y51))</f>
        <v>0</v>
      </c>
      <c r="AE51" s="9">
        <f ca="1">IF(Stock!Z51="",0,IF(ISNUMBER($E51),($E51+$F51)*Stock!Z51/100,Stock!Z51))</f>
        <v>0</v>
      </c>
      <c r="AF51" s="9">
        <f ca="1">IF(Stock!AA51="",0,IF(ISNUMBER($E51),($E51+$F51)*Stock!AA51/100,Stock!AA51))</f>
        <v>0</v>
      </c>
      <c r="AG51" s="9">
        <f ca="1">IF(Stock!AB51="",0,IF(ISNUMBER($E51),($E51+$F51)*Stock!AB51/100,Stock!AB51))</f>
        <v>0</v>
      </c>
      <c r="AH51" s="9">
        <f ca="1">IF(Stock!AC51="",0,IF(ISNUMBER($E51),($E51+$F51)*Stock!AC51/100,Stock!AC51))</f>
        <v>0</v>
      </c>
      <c r="AI51" s="9">
        <f ca="1">IF(Stock!AD51="",0,IF(ISNUMBER($E51),($E51+$F51)*Stock!AD51/100,Stock!AD51))</f>
        <v>0</v>
      </c>
      <c r="AJ51" s="9">
        <f ca="1">IF(Stock!AE51="",0,IF(ISNUMBER($E51),($E51+$F51)*Stock!AE51/100,Stock!AE51))</f>
        <v>0</v>
      </c>
      <c r="AK51" s="9">
        <f ca="1">IF(Stock!AF51="",0,IF(ISNUMBER($E51),($E51+$F51)*Stock!AF51/100,Stock!AF51))</f>
        <v>0</v>
      </c>
      <c r="AL51" s="9">
        <f ca="1">IF(Stock!AG51="",0,IF(ISNUMBER($E51),($E51+$F51)*Stock!AG51/100,Stock!AG51))</f>
        <v>0</v>
      </c>
      <c r="AM51" s="9">
        <f ca="1">IF(Stock!AH51="",0,IF(ISNUMBER($E51),($E51+$F51)*Stock!AH51/100,Stock!AH51))</f>
        <v>0</v>
      </c>
      <c r="AN51" s="9">
        <f ca="1">IF(Stock!AI51="",0,IF(ISNUMBER($E51),($E51+$F51)*Stock!AI51/100,Stock!AI51))</f>
        <v>0</v>
      </c>
      <c r="AO51" s="9">
        <f ca="1">IF(Stock!AJ51="",0,IF(ISNUMBER($E51),($E51+$F51)*Stock!AJ51/100,Stock!AJ51))</f>
        <v>0</v>
      </c>
      <c r="AP51" s="9">
        <f ca="1">IF(Stock!AK51="",0,IF(ISNUMBER($E51),($E51+$F51)*Stock!AK51/100,Stock!AK51))</f>
        <v>0</v>
      </c>
      <c r="AQ51" s="9">
        <f ca="1">IF(Stock!AL51="",0,IF(ISNUMBER($E51),($E51+$F51)*Stock!AL51/100,Stock!AL51))</f>
        <v>0</v>
      </c>
      <c r="AR51" s="9">
        <f ca="1">IF(Stock!AM51="",0,IF(ISNUMBER($E51),($E51+$F51)*Stock!AM51/100,Stock!AM51))</f>
        <v>0</v>
      </c>
      <c r="AS51" s="9">
        <f ca="1">IF(Stock!AN51="",0,IF(ISNUMBER($E51),($E51+$F51)*Stock!AN51/100,Stock!AN51))</f>
        <v>0</v>
      </c>
      <c r="AT51" s="9">
        <f ca="1">IF(Stock!AO51="",0,IF(ISNUMBER($E51),($E51+$F51)*Stock!AO51/100,Stock!AO51))</f>
        <v>0</v>
      </c>
      <c r="AU51" s="9">
        <f ca="1">IF(Stock!AP51="",0,IF(ISNUMBER($E51),($E51+$F51)*Stock!AP51/100,Stock!AP51))</f>
        <v>0</v>
      </c>
      <c r="AV51" s="9">
        <f ca="1">IF(Stock!AQ51="",0,IF(ISNUMBER($E51),($E51+$F51)*Stock!AQ51/100,Stock!AQ51))</f>
        <v>0</v>
      </c>
      <c r="AW51" s="9">
        <f ca="1">IF(Stock!AR51="",0,IF(ISNUMBER($E51),($E51+$F51)*Stock!AR51/100,Stock!AR51))</f>
        <v>0</v>
      </c>
      <c r="AX51" s="9">
        <f ca="1">IF(Stock!AS51="",0,IF(ISNUMBER($E51),($E51+$F51)*Stock!AS51/100,Stock!AS51))</f>
        <v>0</v>
      </c>
      <c r="AY51" s="9">
        <f ca="1">IF(Stock!AT51="",0,IF(ISNUMBER($E51),($E51+$F51)*Stock!AT51/100,Stock!AT51))</f>
        <v>0</v>
      </c>
      <c r="AZ51" s="9">
        <f ca="1">IF(Stock!AU51="",0,IF(ISNUMBER($E51),($E51+$F51)*Stock!AU51/100,Stock!AU51))</f>
        <v>0</v>
      </c>
      <c r="BA51" s="9">
        <f ca="1">IF(Stock!AV51="",0,IF(ISNUMBER($E51),($E51+$F51)*Stock!AV51/100,Stock!AV51))</f>
        <v>0</v>
      </c>
      <c r="BB51" s="9">
        <f ca="1">IF(Stock!AW51="",0,IF(ISNUMBER($E51),($E51+$F51)*Stock!AW51/100,Stock!AW51))</f>
        <v>0</v>
      </c>
      <c r="BC51" s="9">
        <f ca="1">IF(Stock!AX51="",0,IF(ISNUMBER($E51),($E51+$F51)*Stock!AX51/100,Stock!AX51))</f>
        <v>0</v>
      </c>
    </row>
    <row r="52" spans="1:55" x14ac:dyDescent="0.3">
      <c r="A52" s="2" t="str">
        <f t="shared" si="0"/>
        <v/>
      </c>
      <c r="B52" s="3" t="str">
        <f t="shared" si="1"/>
        <v/>
      </c>
      <c r="C52" s="4" t="str">
        <f>IF(Repo!C56="","",Repo!C56)</f>
        <v/>
      </c>
      <c r="D52" s="4" t="str">
        <f>IF(Repo!D56="","",Repo!D56)</f>
        <v/>
      </c>
      <c r="E52" s="62">
        <f ca="1">IF(A52="",0,IF(LEFT(C52,3) = "USB",100*(1-_xll.BDP(D52 &amp; " Govt",E$1)*(B52-TODAY()+1)/36000),_xll.BDP(D52 &amp; " Govt",E$1)))</f>
        <v>0</v>
      </c>
      <c r="F52" s="62">
        <f>IF(A52="",0,IF(LEFT(D52,1) = "B",0,_xll.BDP(D52 &amp; " Govt",F$1)))</f>
        <v>0</v>
      </c>
      <c r="G52" s="9">
        <f>IF(Stock!B52="",0,IF(ISNUMBER($E52),($E52+$F52)*Stock!B52/100,Stock!B52))</f>
        <v>0</v>
      </c>
      <c r="H52" s="9">
        <f ca="1">IF(Stock!C52="",0,IF(ISNUMBER($E52),($E52+$F52)*Stock!C52/100,Stock!C52))</f>
        <v>0</v>
      </c>
      <c r="I52" s="9">
        <f ca="1">IF(Stock!D52="",0,IF(ISNUMBER($E52),($E52+$F52)*Stock!D52/100,Stock!D52))</f>
        <v>0</v>
      </c>
      <c r="J52" s="9">
        <f ca="1">IF(Stock!E52="",0,IF(ISNUMBER($E52),($E52+$F52)*Stock!E52/100,Stock!E52))</f>
        <v>0</v>
      </c>
      <c r="K52" s="9">
        <f ca="1">IF(Stock!F52="",0,IF(ISNUMBER($E52),($E52+$F52)*Stock!F52/100,Stock!F52))</f>
        <v>0</v>
      </c>
      <c r="L52" s="9">
        <f ca="1">IF(Stock!G52="",0,IF(ISNUMBER($E52),($E52+$F52)*Stock!G52/100,Stock!G52))</f>
        <v>0</v>
      </c>
      <c r="M52" s="9">
        <f ca="1">IF(Stock!H52="",0,IF(ISNUMBER($E52),($E52+$F52)*Stock!H52/100,Stock!H52))</f>
        <v>0</v>
      </c>
      <c r="N52" s="9">
        <f ca="1">IF(Stock!I52="",0,IF(ISNUMBER($E52),($E52+$F52)*Stock!I52/100,Stock!I52))</f>
        <v>0</v>
      </c>
      <c r="O52" s="9">
        <f ca="1">IF(Stock!J52="",0,IF(ISNUMBER($E52),($E52+$F52)*Stock!J52/100,Stock!J52))</f>
        <v>0</v>
      </c>
      <c r="P52" s="9">
        <f ca="1">IF(Stock!K52="",0,IF(ISNUMBER($E52),($E52+$F52)*Stock!K52/100,Stock!K52))</f>
        <v>0</v>
      </c>
      <c r="Q52" s="9">
        <f ca="1">IF(Stock!L52="",0,IF(ISNUMBER($E52),($E52+$F52)*Stock!L52/100,Stock!L52))</f>
        <v>0</v>
      </c>
      <c r="R52" s="9">
        <f ca="1">IF(Stock!M52="",0,IF(ISNUMBER($E52),($E52+$F52)*Stock!M52/100,Stock!M52))</f>
        <v>0</v>
      </c>
      <c r="S52" s="9">
        <f ca="1">IF(Stock!N52="",0,IF(ISNUMBER($E52),($E52+$F52)*Stock!N52/100,Stock!N52))</f>
        <v>0</v>
      </c>
      <c r="T52" s="9">
        <f ca="1">IF(Stock!O52="",0,IF(ISNUMBER($E52),($E52+$F52)*Stock!O52/100,Stock!O52))</f>
        <v>0</v>
      </c>
      <c r="U52" s="9">
        <f ca="1">IF(Stock!P52="",0,IF(ISNUMBER($E52),($E52+$F52)*Stock!P52/100,Stock!P52))</f>
        <v>0</v>
      </c>
      <c r="V52" s="9">
        <f ca="1">IF(Stock!Q52="",0,IF(ISNUMBER($E52),($E52+$F52)*Stock!Q52/100,Stock!Q52))</f>
        <v>0</v>
      </c>
      <c r="W52" s="9">
        <f ca="1">IF(Stock!R52="",0,IF(ISNUMBER($E52),($E52+$F52)*Stock!R52/100,Stock!R52))</f>
        <v>0</v>
      </c>
      <c r="X52" s="9">
        <f ca="1">IF(Stock!S52="",0,IF(ISNUMBER($E52),($E52+$F52)*Stock!S52/100,Stock!S52))</f>
        <v>0</v>
      </c>
      <c r="Y52" s="9">
        <f ca="1">IF(Stock!T52="",0,IF(ISNUMBER($E52),($E52+$F52)*Stock!T52/100,Stock!T52))</f>
        <v>0</v>
      </c>
      <c r="Z52" s="9">
        <f ca="1">IF(Stock!U52="",0,IF(ISNUMBER($E52),($E52+$F52)*Stock!U52/100,Stock!U52))</f>
        <v>0</v>
      </c>
      <c r="AA52" s="9">
        <f ca="1">IF(Stock!V52="",0,IF(ISNUMBER($E52),($E52+$F52)*Stock!V52/100,Stock!V52))</f>
        <v>0</v>
      </c>
      <c r="AB52" s="9">
        <f ca="1">IF(Stock!W52="",0,IF(ISNUMBER($E52),($E52+$F52)*Stock!W52/100,Stock!W52))</f>
        <v>0</v>
      </c>
      <c r="AC52" s="9">
        <f ca="1">IF(Stock!X52="",0,IF(ISNUMBER($E52),($E52+$F52)*Stock!X52/100,Stock!X52))</f>
        <v>0</v>
      </c>
      <c r="AD52" s="9">
        <f ca="1">IF(Stock!Y52="",0,IF(ISNUMBER($E52),($E52+$F52)*Stock!Y52/100,Stock!Y52))</f>
        <v>0</v>
      </c>
      <c r="AE52" s="9">
        <f ca="1">IF(Stock!Z52="",0,IF(ISNUMBER($E52),($E52+$F52)*Stock!Z52/100,Stock!Z52))</f>
        <v>0</v>
      </c>
      <c r="AF52" s="9">
        <f ca="1">IF(Stock!AA52="",0,IF(ISNUMBER($E52),($E52+$F52)*Stock!AA52/100,Stock!AA52))</f>
        <v>0</v>
      </c>
      <c r="AG52" s="9">
        <f ca="1">IF(Stock!AB52="",0,IF(ISNUMBER($E52),($E52+$F52)*Stock!AB52/100,Stock!AB52))</f>
        <v>0</v>
      </c>
      <c r="AH52" s="9">
        <f ca="1">IF(Stock!AC52="",0,IF(ISNUMBER($E52),($E52+$F52)*Stock!AC52/100,Stock!AC52))</f>
        <v>0</v>
      </c>
      <c r="AI52" s="9">
        <f ca="1">IF(Stock!AD52="",0,IF(ISNUMBER($E52),($E52+$F52)*Stock!AD52/100,Stock!AD52))</f>
        <v>0</v>
      </c>
      <c r="AJ52" s="9">
        <f ca="1">IF(Stock!AE52="",0,IF(ISNUMBER($E52),($E52+$F52)*Stock!AE52/100,Stock!AE52))</f>
        <v>0</v>
      </c>
      <c r="AK52" s="9">
        <f ca="1">IF(Stock!AF52="",0,IF(ISNUMBER($E52),($E52+$F52)*Stock!AF52/100,Stock!AF52))</f>
        <v>0</v>
      </c>
      <c r="AL52" s="9">
        <f ca="1">IF(Stock!AG52="",0,IF(ISNUMBER($E52),($E52+$F52)*Stock!AG52/100,Stock!AG52))</f>
        <v>0</v>
      </c>
      <c r="AM52" s="9">
        <f ca="1">IF(Stock!AH52="",0,IF(ISNUMBER($E52),($E52+$F52)*Stock!AH52/100,Stock!AH52))</f>
        <v>0</v>
      </c>
      <c r="AN52" s="9">
        <f ca="1">IF(Stock!AI52="",0,IF(ISNUMBER($E52),($E52+$F52)*Stock!AI52/100,Stock!AI52))</f>
        <v>0</v>
      </c>
      <c r="AO52" s="9">
        <f ca="1">IF(Stock!AJ52="",0,IF(ISNUMBER($E52),($E52+$F52)*Stock!AJ52/100,Stock!AJ52))</f>
        <v>0</v>
      </c>
      <c r="AP52" s="9">
        <f ca="1">IF(Stock!AK52="",0,IF(ISNUMBER($E52),($E52+$F52)*Stock!AK52/100,Stock!AK52))</f>
        <v>0</v>
      </c>
      <c r="AQ52" s="9">
        <f ca="1">IF(Stock!AL52="",0,IF(ISNUMBER($E52),($E52+$F52)*Stock!AL52/100,Stock!AL52))</f>
        <v>0</v>
      </c>
      <c r="AR52" s="9">
        <f ca="1">IF(Stock!AM52="",0,IF(ISNUMBER($E52),($E52+$F52)*Stock!AM52/100,Stock!AM52))</f>
        <v>0</v>
      </c>
      <c r="AS52" s="9">
        <f ca="1">IF(Stock!AN52="",0,IF(ISNUMBER($E52),($E52+$F52)*Stock!AN52/100,Stock!AN52))</f>
        <v>0</v>
      </c>
      <c r="AT52" s="9">
        <f ca="1">IF(Stock!AO52="",0,IF(ISNUMBER($E52),($E52+$F52)*Stock!AO52/100,Stock!AO52))</f>
        <v>0</v>
      </c>
      <c r="AU52" s="9">
        <f ca="1">IF(Stock!AP52="",0,IF(ISNUMBER($E52),($E52+$F52)*Stock!AP52/100,Stock!AP52))</f>
        <v>0</v>
      </c>
      <c r="AV52" s="9">
        <f ca="1">IF(Stock!AQ52="",0,IF(ISNUMBER($E52),($E52+$F52)*Stock!AQ52/100,Stock!AQ52))</f>
        <v>0</v>
      </c>
      <c r="AW52" s="9">
        <f ca="1">IF(Stock!AR52="",0,IF(ISNUMBER($E52),($E52+$F52)*Stock!AR52/100,Stock!AR52))</f>
        <v>0</v>
      </c>
      <c r="AX52" s="9">
        <f ca="1">IF(Stock!AS52="",0,IF(ISNUMBER($E52),($E52+$F52)*Stock!AS52/100,Stock!AS52))</f>
        <v>0</v>
      </c>
      <c r="AY52" s="9">
        <f ca="1">IF(Stock!AT52="",0,IF(ISNUMBER($E52),($E52+$F52)*Stock!AT52/100,Stock!AT52))</f>
        <v>0</v>
      </c>
      <c r="AZ52" s="9">
        <f ca="1">IF(Stock!AU52="",0,IF(ISNUMBER($E52),($E52+$F52)*Stock!AU52/100,Stock!AU52))</f>
        <v>0</v>
      </c>
      <c r="BA52" s="9">
        <f ca="1">IF(Stock!AV52="",0,IF(ISNUMBER($E52),($E52+$F52)*Stock!AV52/100,Stock!AV52))</f>
        <v>0</v>
      </c>
      <c r="BB52" s="9">
        <f ca="1">IF(Stock!AW52="",0,IF(ISNUMBER($E52),($E52+$F52)*Stock!AW52/100,Stock!AW52))</f>
        <v>0</v>
      </c>
      <c r="BC52" s="9">
        <f ca="1">IF(Stock!AX52="",0,IF(ISNUMBER($E52),($E52+$F52)*Stock!AX52/100,Stock!AX52))</f>
        <v>0</v>
      </c>
    </row>
    <row r="53" spans="1:55" x14ac:dyDescent="0.3">
      <c r="A53" s="2" t="str">
        <f t="shared" si="0"/>
        <v/>
      </c>
      <c r="B53" s="3" t="str">
        <f t="shared" si="1"/>
        <v/>
      </c>
      <c r="C53" s="4" t="str">
        <f>IF(Repo!C57="","",Repo!C57)</f>
        <v/>
      </c>
      <c r="D53" s="4" t="str">
        <f>IF(Repo!D57="","",Repo!D57)</f>
        <v/>
      </c>
      <c r="E53" s="62">
        <f ca="1">IF(A53="",0,IF(LEFT(C53,3) = "USB",100*(1-_xll.BDP(D53 &amp; " Govt",E$1)*(B53-TODAY()+1)/36000),_xll.BDP(D53 &amp; " Govt",E$1)))</f>
        <v>0</v>
      </c>
      <c r="F53" s="62">
        <f>IF(A53="",0,IF(LEFT(D53,1) = "B",0,_xll.BDP(D53 &amp; " Govt",F$1)))</f>
        <v>0</v>
      </c>
      <c r="G53" s="9">
        <f>IF(Stock!B53="",0,IF(ISNUMBER($E53),($E53+$F53)*Stock!B53/100,Stock!B53))</f>
        <v>0</v>
      </c>
      <c r="H53" s="9">
        <f ca="1">IF(Stock!C53="",0,IF(ISNUMBER($E53),($E53+$F53)*Stock!C53/100,Stock!C53))</f>
        <v>0</v>
      </c>
      <c r="I53" s="9">
        <f ca="1">IF(Stock!D53="",0,IF(ISNUMBER($E53),($E53+$F53)*Stock!D53/100,Stock!D53))</f>
        <v>0</v>
      </c>
      <c r="J53" s="9">
        <f ca="1">IF(Stock!E53="",0,IF(ISNUMBER($E53),($E53+$F53)*Stock!E53/100,Stock!E53))</f>
        <v>0</v>
      </c>
      <c r="K53" s="9">
        <f ca="1">IF(Stock!F53="",0,IF(ISNUMBER($E53),($E53+$F53)*Stock!F53/100,Stock!F53))</f>
        <v>0</v>
      </c>
      <c r="L53" s="9">
        <f ca="1">IF(Stock!G53="",0,IF(ISNUMBER($E53),($E53+$F53)*Stock!G53/100,Stock!G53))</f>
        <v>0</v>
      </c>
      <c r="M53" s="9">
        <f ca="1">IF(Stock!H53="",0,IF(ISNUMBER($E53),($E53+$F53)*Stock!H53/100,Stock!H53))</f>
        <v>0</v>
      </c>
      <c r="N53" s="9">
        <f ca="1">IF(Stock!I53="",0,IF(ISNUMBER($E53),($E53+$F53)*Stock!I53/100,Stock!I53))</f>
        <v>0</v>
      </c>
      <c r="O53" s="9">
        <f ca="1">IF(Stock!J53="",0,IF(ISNUMBER($E53),($E53+$F53)*Stock!J53/100,Stock!J53))</f>
        <v>0</v>
      </c>
      <c r="P53" s="9">
        <f ca="1">IF(Stock!K53="",0,IF(ISNUMBER($E53),($E53+$F53)*Stock!K53/100,Stock!K53))</f>
        <v>0</v>
      </c>
      <c r="Q53" s="9">
        <f ca="1">IF(Stock!L53="",0,IF(ISNUMBER($E53),($E53+$F53)*Stock!L53/100,Stock!L53))</f>
        <v>0</v>
      </c>
      <c r="R53" s="9">
        <f ca="1">IF(Stock!M53="",0,IF(ISNUMBER($E53),($E53+$F53)*Stock!M53/100,Stock!M53))</f>
        <v>0</v>
      </c>
      <c r="S53" s="9">
        <f ca="1">IF(Stock!N53="",0,IF(ISNUMBER($E53),($E53+$F53)*Stock!N53/100,Stock!N53))</f>
        <v>0</v>
      </c>
      <c r="T53" s="9">
        <f ca="1">IF(Stock!O53="",0,IF(ISNUMBER($E53),($E53+$F53)*Stock!O53/100,Stock!O53))</f>
        <v>0</v>
      </c>
      <c r="U53" s="9">
        <f ca="1">IF(Stock!P53="",0,IF(ISNUMBER($E53),($E53+$F53)*Stock!P53/100,Stock!P53))</f>
        <v>0</v>
      </c>
      <c r="V53" s="9">
        <f ca="1">IF(Stock!Q53="",0,IF(ISNUMBER($E53),($E53+$F53)*Stock!Q53/100,Stock!Q53))</f>
        <v>0</v>
      </c>
      <c r="W53" s="9">
        <f ca="1">IF(Stock!R53="",0,IF(ISNUMBER($E53),($E53+$F53)*Stock!R53/100,Stock!R53))</f>
        <v>0</v>
      </c>
      <c r="X53" s="9">
        <f ca="1">IF(Stock!S53="",0,IF(ISNUMBER($E53),($E53+$F53)*Stock!S53/100,Stock!S53))</f>
        <v>0</v>
      </c>
      <c r="Y53" s="9">
        <f ca="1">IF(Stock!T53="",0,IF(ISNUMBER($E53),($E53+$F53)*Stock!T53/100,Stock!T53))</f>
        <v>0</v>
      </c>
      <c r="Z53" s="9">
        <f ca="1">IF(Stock!U53="",0,IF(ISNUMBER($E53),($E53+$F53)*Stock!U53/100,Stock!U53))</f>
        <v>0</v>
      </c>
      <c r="AA53" s="9">
        <f ca="1">IF(Stock!V53="",0,IF(ISNUMBER($E53),($E53+$F53)*Stock!V53/100,Stock!V53))</f>
        <v>0</v>
      </c>
      <c r="AB53" s="9">
        <f ca="1">IF(Stock!W53="",0,IF(ISNUMBER($E53),($E53+$F53)*Stock!W53/100,Stock!W53))</f>
        <v>0</v>
      </c>
      <c r="AC53" s="9">
        <f ca="1">IF(Stock!X53="",0,IF(ISNUMBER($E53),($E53+$F53)*Stock!X53/100,Stock!X53))</f>
        <v>0</v>
      </c>
      <c r="AD53" s="9">
        <f ca="1">IF(Stock!Y53="",0,IF(ISNUMBER($E53),($E53+$F53)*Stock!Y53/100,Stock!Y53))</f>
        <v>0</v>
      </c>
      <c r="AE53" s="9">
        <f ca="1">IF(Stock!Z53="",0,IF(ISNUMBER($E53),($E53+$F53)*Stock!Z53/100,Stock!Z53))</f>
        <v>0</v>
      </c>
      <c r="AF53" s="9">
        <f ca="1">IF(Stock!AA53="",0,IF(ISNUMBER($E53),($E53+$F53)*Stock!AA53/100,Stock!AA53))</f>
        <v>0</v>
      </c>
      <c r="AG53" s="9">
        <f ca="1">IF(Stock!AB53="",0,IF(ISNUMBER($E53),($E53+$F53)*Stock!AB53/100,Stock!AB53))</f>
        <v>0</v>
      </c>
      <c r="AH53" s="9">
        <f ca="1">IF(Stock!AC53="",0,IF(ISNUMBER($E53),($E53+$F53)*Stock!AC53/100,Stock!AC53))</f>
        <v>0</v>
      </c>
      <c r="AI53" s="9">
        <f ca="1">IF(Stock!AD53="",0,IF(ISNUMBER($E53),($E53+$F53)*Stock!AD53/100,Stock!AD53))</f>
        <v>0</v>
      </c>
      <c r="AJ53" s="9">
        <f ca="1">IF(Stock!AE53="",0,IF(ISNUMBER($E53),($E53+$F53)*Stock!AE53/100,Stock!AE53))</f>
        <v>0</v>
      </c>
      <c r="AK53" s="9">
        <f ca="1">IF(Stock!AF53="",0,IF(ISNUMBER($E53),($E53+$F53)*Stock!AF53/100,Stock!AF53))</f>
        <v>0</v>
      </c>
      <c r="AL53" s="9">
        <f ca="1">IF(Stock!AG53="",0,IF(ISNUMBER($E53),($E53+$F53)*Stock!AG53/100,Stock!AG53))</f>
        <v>0</v>
      </c>
      <c r="AM53" s="9">
        <f ca="1">IF(Stock!AH53="",0,IF(ISNUMBER($E53),($E53+$F53)*Stock!AH53/100,Stock!AH53))</f>
        <v>0</v>
      </c>
      <c r="AN53" s="9">
        <f ca="1">IF(Stock!AI53="",0,IF(ISNUMBER($E53),($E53+$F53)*Stock!AI53/100,Stock!AI53))</f>
        <v>0</v>
      </c>
      <c r="AO53" s="9">
        <f ca="1">IF(Stock!AJ53="",0,IF(ISNUMBER($E53),($E53+$F53)*Stock!AJ53/100,Stock!AJ53))</f>
        <v>0</v>
      </c>
      <c r="AP53" s="9">
        <f ca="1">IF(Stock!AK53="",0,IF(ISNUMBER($E53),($E53+$F53)*Stock!AK53/100,Stock!AK53))</f>
        <v>0</v>
      </c>
      <c r="AQ53" s="9">
        <f ca="1">IF(Stock!AL53="",0,IF(ISNUMBER($E53),($E53+$F53)*Stock!AL53/100,Stock!AL53))</f>
        <v>0</v>
      </c>
      <c r="AR53" s="9">
        <f ca="1">IF(Stock!AM53="",0,IF(ISNUMBER($E53),($E53+$F53)*Stock!AM53/100,Stock!AM53))</f>
        <v>0</v>
      </c>
      <c r="AS53" s="9">
        <f ca="1">IF(Stock!AN53="",0,IF(ISNUMBER($E53),($E53+$F53)*Stock!AN53/100,Stock!AN53))</f>
        <v>0</v>
      </c>
      <c r="AT53" s="9">
        <f ca="1">IF(Stock!AO53="",0,IF(ISNUMBER($E53),($E53+$F53)*Stock!AO53/100,Stock!AO53))</f>
        <v>0</v>
      </c>
      <c r="AU53" s="9">
        <f ca="1">IF(Stock!AP53="",0,IF(ISNUMBER($E53),($E53+$F53)*Stock!AP53/100,Stock!AP53))</f>
        <v>0</v>
      </c>
      <c r="AV53" s="9">
        <f ca="1">IF(Stock!AQ53="",0,IF(ISNUMBER($E53),($E53+$F53)*Stock!AQ53/100,Stock!AQ53))</f>
        <v>0</v>
      </c>
      <c r="AW53" s="9">
        <f ca="1">IF(Stock!AR53="",0,IF(ISNUMBER($E53),($E53+$F53)*Stock!AR53/100,Stock!AR53))</f>
        <v>0</v>
      </c>
      <c r="AX53" s="9">
        <f ca="1">IF(Stock!AS53="",0,IF(ISNUMBER($E53),($E53+$F53)*Stock!AS53/100,Stock!AS53))</f>
        <v>0</v>
      </c>
      <c r="AY53" s="9">
        <f ca="1">IF(Stock!AT53="",0,IF(ISNUMBER($E53),($E53+$F53)*Stock!AT53/100,Stock!AT53))</f>
        <v>0</v>
      </c>
      <c r="AZ53" s="9">
        <f ca="1">IF(Stock!AU53="",0,IF(ISNUMBER($E53),($E53+$F53)*Stock!AU53/100,Stock!AU53))</f>
        <v>0</v>
      </c>
      <c r="BA53" s="9">
        <f ca="1">IF(Stock!AV53="",0,IF(ISNUMBER($E53),($E53+$F53)*Stock!AV53/100,Stock!AV53))</f>
        <v>0</v>
      </c>
      <c r="BB53" s="9">
        <f ca="1">IF(Stock!AW53="",0,IF(ISNUMBER($E53),($E53+$F53)*Stock!AW53/100,Stock!AW53))</f>
        <v>0</v>
      </c>
      <c r="BC53" s="9">
        <f ca="1">IF(Stock!AX53="",0,IF(ISNUMBER($E53),($E53+$F53)*Stock!AX53/100,Stock!AX53))</f>
        <v>0</v>
      </c>
    </row>
    <row r="54" spans="1:55" x14ac:dyDescent="0.3">
      <c r="A54" s="2" t="str">
        <f t="shared" si="0"/>
        <v/>
      </c>
      <c r="B54" s="3" t="str">
        <f t="shared" si="1"/>
        <v/>
      </c>
      <c r="C54" s="4" t="str">
        <f>IF(Repo!C58="","",Repo!C58)</f>
        <v/>
      </c>
      <c r="D54" s="4" t="str">
        <f>IF(Repo!D58="","",Repo!D58)</f>
        <v/>
      </c>
      <c r="E54" s="62">
        <f ca="1">IF(A54="",0,IF(LEFT(C54,3) = "USB",100*(1-_xll.BDP(D54 &amp; " Govt",E$1)*(B54-TODAY()+1)/36000),_xll.BDP(D54 &amp; " Govt",E$1)))</f>
        <v>0</v>
      </c>
      <c r="F54" s="62">
        <f>IF(A54="",0,IF(LEFT(D54,1) = "B",0,_xll.BDP(D54 &amp; " Govt",F$1)))</f>
        <v>0</v>
      </c>
      <c r="G54" s="9">
        <f>IF(Stock!B54="",0,IF(ISNUMBER($E54),($E54+$F54)*Stock!B54/100,Stock!B54))</f>
        <v>0</v>
      </c>
      <c r="H54" s="9">
        <f ca="1">IF(Stock!C54="",0,IF(ISNUMBER($E54),($E54+$F54)*Stock!C54/100,Stock!C54))</f>
        <v>0</v>
      </c>
      <c r="I54" s="9">
        <f ca="1">IF(Stock!D54="",0,IF(ISNUMBER($E54),($E54+$F54)*Stock!D54/100,Stock!D54))</f>
        <v>0</v>
      </c>
      <c r="J54" s="9">
        <f ca="1">IF(Stock!E54="",0,IF(ISNUMBER($E54),($E54+$F54)*Stock!E54/100,Stock!E54))</f>
        <v>0</v>
      </c>
      <c r="K54" s="9">
        <f ca="1">IF(Stock!F54="",0,IF(ISNUMBER($E54),($E54+$F54)*Stock!F54/100,Stock!F54))</f>
        <v>0</v>
      </c>
      <c r="L54" s="9">
        <f ca="1">IF(Stock!G54="",0,IF(ISNUMBER($E54),($E54+$F54)*Stock!G54/100,Stock!G54))</f>
        <v>0</v>
      </c>
      <c r="M54" s="9">
        <f ca="1">IF(Stock!H54="",0,IF(ISNUMBER($E54),($E54+$F54)*Stock!H54/100,Stock!H54))</f>
        <v>0</v>
      </c>
      <c r="N54" s="9">
        <f ca="1">IF(Stock!I54="",0,IF(ISNUMBER($E54),($E54+$F54)*Stock!I54/100,Stock!I54))</f>
        <v>0</v>
      </c>
      <c r="O54" s="9">
        <f ca="1">IF(Stock!J54="",0,IF(ISNUMBER($E54),($E54+$F54)*Stock!J54/100,Stock!J54))</f>
        <v>0</v>
      </c>
      <c r="P54" s="9">
        <f ca="1">IF(Stock!K54="",0,IF(ISNUMBER($E54),($E54+$F54)*Stock!K54/100,Stock!K54))</f>
        <v>0</v>
      </c>
      <c r="Q54" s="9">
        <f ca="1">IF(Stock!L54="",0,IF(ISNUMBER($E54),($E54+$F54)*Stock!L54/100,Stock!L54))</f>
        <v>0</v>
      </c>
      <c r="R54" s="9">
        <f ca="1">IF(Stock!M54="",0,IF(ISNUMBER($E54),($E54+$F54)*Stock!M54/100,Stock!M54))</f>
        <v>0</v>
      </c>
      <c r="S54" s="9">
        <f ca="1">IF(Stock!N54="",0,IF(ISNUMBER($E54),($E54+$F54)*Stock!N54/100,Stock!N54))</f>
        <v>0</v>
      </c>
      <c r="T54" s="9">
        <f ca="1">IF(Stock!O54="",0,IF(ISNUMBER($E54),($E54+$F54)*Stock!O54/100,Stock!O54))</f>
        <v>0</v>
      </c>
      <c r="U54" s="9">
        <f ca="1">IF(Stock!P54="",0,IF(ISNUMBER($E54),($E54+$F54)*Stock!P54/100,Stock!P54))</f>
        <v>0</v>
      </c>
      <c r="V54" s="9">
        <f ca="1">IF(Stock!Q54="",0,IF(ISNUMBER($E54),($E54+$F54)*Stock!Q54/100,Stock!Q54))</f>
        <v>0</v>
      </c>
      <c r="W54" s="9">
        <f ca="1">IF(Stock!R54="",0,IF(ISNUMBER($E54),($E54+$F54)*Stock!R54/100,Stock!R54))</f>
        <v>0</v>
      </c>
      <c r="X54" s="9">
        <f ca="1">IF(Stock!S54="",0,IF(ISNUMBER($E54),($E54+$F54)*Stock!S54/100,Stock!S54))</f>
        <v>0</v>
      </c>
      <c r="Y54" s="9">
        <f ca="1">IF(Stock!T54="",0,IF(ISNUMBER($E54),($E54+$F54)*Stock!T54/100,Stock!T54))</f>
        <v>0</v>
      </c>
      <c r="Z54" s="9">
        <f ca="1">IF(Stock!U54="",0,IF(ISNUMBER($E54),($E54+$F54)*Stock!U54/100,Stock!U54))</f>
        <v>0</v>
      </c>
      <c r="AA54" s="9">
        <f ca="1">IF(Stock!V54="",0,IF(ISNUMBER($E54),($E54+$F54)*Stock!V54/100,Stock!V54))</f>
        <v>0</v>
      </c>
      <c r="AB54" s="9">
        <f ca="1">IF(Stock!W54="",0,IF(ISNUMBER($E54),($E54+$F54)*Stock!W54/100,Stock!W54))</f>
        <v>0</v>
      </c>
      <c r="AC54" s="9">
        <f ca="1">IF(Stock!X54="",0,IF(ISNUMBER($E54),($E54+$F54)*Stock!X54/100,Stock!X54))</f>
        <v>0</v>
      </c>
      <c r="AD54" s="9">
        <f ca="1">IF(Stock!Y54="",0,IF(ISNUMBER($E54),($E54+$F54)*Stock!Y54/100,Stock!Y54))</f>
        <v>0</v>
      </c>
      <c r="AE54" s="9">
        <f ca="1">IF(Stock!Z54="",0,IF(ISNUMBER($E54),($E54+$F54)*Stock!Z54/100,Stock!Z54))</f>
        <v>0</v>
      </c>
      <c r="AF54" s="9">
        <f ca="1">IF(Stock!AA54="",0,IF(ISNUMBER($E54),($E54+$F54)*Stock!AA54/100,Stock!AA54))</f>
        <v>0</v>
      </c>
      <c r="AG54" s="9">
        <f ca="1">IF(Stock!AB54="",0,IF(ISNUMBER($E54),($E54+$F54)*Stock!AB54/100,Stock!AB54))</f>
        <v>0</v>
      </c>
      <c r="AH54" s="9">
        <f ca="1">IF(Stock!AC54="",0,IF(ISNUMBER($E54),($E54+$F54)*Stock!AC54/100,Stock!AC54))</f>
        <v>0</v>
      </c>
      <c r="AI54" s="9">
        <f ca="1">IF(Stock!AD54="",0,IF(ISNUMBER($E54),($E54+$F54)*Stock!AD54/100,Stock!AD54))</f>
        <v>0</v>
      </c>
      <c r="AJ54" s="9">
        <f ca="1">IF(Stock!AE54="",0,IF(ISNUMBER($E54),($E54+$F54)*Stock!AE54/100,Stock!AE54))</f>
        <v>0</v>
      </c>
      <c r="AK54" s="9">
        <f ca="1">IF(Stock!AF54="",0,IF(ISNUMBER($E54),($E54+$F54)*Stock!AF54/100,Stock!AF54))</f>
        <v>0</v>
      </c>
      <c r="AL54" s="9">
        <f ca="1">IF(Stock!AG54="",0,IF(ISNUMBER($E54),($E54+$F54)*Stock!AG54/100,Stock!AG54))</f>
        <v>0</v>
      </c>
      <c r="AM54" s="9">
        <f ca="1">IF(Stock!AH54="",0,IF(ISNUMBER($E54),($E54+$F54)*Stock!AH54/100,Stock!AH54))</f>
        <v>0</v>
      </c>
      <c r="AN54" s="9">
        <f ca="1">IF(Stock!AI54="",0,IF(ISNUMBER($E54),($E54+$F54)*Stock!AI54/100,Stock!AI54))</f>
        <v>0</v>
      </c>
      <c r="AO54" s="9">
        <f ca="1">IF(Stock!AJ54="",0,IF(ISNUMBER($E54),($E54+$F54)*Stock!AJ54/100,Stock!AJ54))</f>
        <v>0</v>
      </c>
      <c r="AP54" s="9">
        <f ca="1">IF(Stock!AK54="",0,IF(ISNUMBER($E54),($E54+$F54)*Stock!AK54/100,Stock!AK54))</f>
        <v>0</v>
      </c>
      <c r="AQ54" s="9">
        <f ca="1">IF(Stock!AL54="",0,IF(ISNUMBER($E54),($E54+$F54)*Stock!AL54/100,Stock!AL54))</f>
        <v>0</v>
      </c>
      <c r="AR54" s="9">
        <f ca="1">IF(Stock!AM54="",0,IF(ISNUMBER($E54),($E54+$F54)*Stock!AM54/100,Stock!AM54))</f>
        <v>0</v>
      </c>
      <c r="AS54" s="9">
        <f ca="1">IF(Stock!AN54="",0,IF(ISNUMBER($E54),($E54+$F54)*Stock!AN54/100,Stock!AN54))</f>
        <v>0</v>
      </c>
      <c r="AT54" s="9">
        <f ca="1">IF(Stock!AO54="",0,IF(ISNUMBER($E54),($E54+$F54)*Stock!AO54/100,Stock!AO54))</f>
        <v>0</v>
      </c>
      <c r="AU54" s="9">
        <f ca="1">IF(Stock!AP54="",0,IF(ISNUMBER($E54),($E54+$F54)*Stock!AP54/100,Stock!AP54))</f>
        <v>0</v>
      </c>
      <c r="AV54" s="9">
        <f ca="1">IF(Stock!AQ54="",0,IF(ISNUMBER($E54),($E54+$F54)*Stock!AQ54/100,Stock!AQ54))</f>
        <v>0</v>
      </c>
      <c r="AW54" s="9">
        <f ca="1">IF(Stock!AR54="",0,IF(ISNUMBER($E54),($E54+$F54)*Stock!AR54/100,Stock!AR54))</f>
        <v>0</v>
      </c>
      <c r="AX54" s="9">
        <f ca="1">IF(Stock!AS54="",0,IF(ISNUMBER($E54),($E54+$F54)*Stock!AS54/100,Stock!AS54))</f>
        <v>0</v>
      </c>
      <c r="AY54" s="9">
        <f ca="1">IF(Stock!AT54="",0,IF(ISNUMBER($E54),($E54+$F54)*Stock!AT54/100,Stock!AT54))</f>
        <v>0</v>
      </c>
      <c r="AZ54" s="9">
        <f ca="1">IF(Stock!AU54="",0,IF(ISNUMBER($E54),($E54+$F54)*Stock!AU54/100,Stock!AU54))</f>
        <v>0</v>
      </c>
      <c r="BA54" s="9">
        <f ca="1">IF(Stock!AV54="",0,IF(ISNUMBER($E54),($E54+$F54)*Stock!AV54/100,Stock!AV54))</f>
        <v>0</v>
      </c>
      <c r="BB54" s="9">
        <f ca="1">IF(Stock!AW54="",0,IF(ISNUMBER($E54),($E54+$F54)*Stock!AW54/100,Stock!AW54))</f>
        <v>0</v>
      </c>
      <c r="BC54" s="9">
        <f ca="1">IF(Stock!AX54="",0,IF(ISNUMBER($E54),($E54+$F54)*Stock!AX54/100,Stock!AX54))</f>
        <v>0</v>
      </c>
    </row>
    <row r="55" spans="1:55" x14ac:dyDescent="0.3">
      <c r="A55" s="2" t="str">
        <f t="shared" si="0"/>
        <v/>
      </c>
      <c r="B55" s="3" t="str">
        <f t="shared" si="1"/>
        <v/>
      </c>
      <c r="C55" s="4" t="str">
        <f>IF(Repo!C59="","",Repo!C59)</f>
        <v/>
      </c>
      <c r="D55" s="4" t="str">
        <f>IF(Repo!D59="","",Repo!D59)</f>
        <v/>
      </c>
      <c r="E55" s="62">
        <f ca="1">IF(A55="",0,IF(LEFT(C55,3) = "USB",100*(1-_xll.BDP(D55 &amp; " Govt",E$1)*(B55-TODAY()+1)/36000),_xll.BDP(D55 &amp; " Govt",E$1)))</f>
        <v>0</v>
      </c>
      <c r="F55" s="62">
        <f>IF(A55="",0,IF(LEFT(D55,1) = "B",0,_xll.BDP(D55 &amp; " Govt",F$1)))</f>
        <v>0</v>
      </c>
      <c r="G55" s="9">
        <f>IF(Stock!B55="",0,IF(ISNUMBER($E55),($E55+$F55)*Stock!B55/100,Stock!B55))</f>
        <v>0</v>
      </c>
      <c r="H55" s="9">
        <f ca="1">IF(Stock!C55="",0,IF(ISNUMBER($E55),($E55+$F55)*Stock!C55/100,Stock!C55))</f>
        <v>0</v>
      </c>
      <c r="I55" s="9">
        <f ca="1">IF(Stock!D55="",0,IF(ISNUMBER($E55),($E55+$F55)*Stock!D55/100,Stock!D55))</f>
        <v>0</v>
      </c>
      <c r="J55" s="9">
        <f ca="1">IF(Stock!E55="",0,IF(ISNUMBER($E55),($E55+$F55)*Stock!E55/100,Stock!E55))</f>
        <v>0</v>
      </c>
      <c r="K55" s="9">
        <f ca="1">IF(Stock!F55="",0,IF(ISNUMBER($E55),($E55+$F55)*Stock!F55/100,Stock!F55))</f>
        <v>0</v>
      </c>
      <c r="L55" s="9">
        <f ca="1">IF(Stock!G55="",0,IF(ISNUMBER($E55),($E55+$F55)*Stock!G55/100,Stock!G55))</f>
        <v>0</v>
      </c>
      <c r="M55" s="9">
        <f ca="1">IF(Stock!H55="",0,IF(ISNUMBER($E55),($E55+$F55)*Stock!H55/100,Stock!H55))</f>
        <v>0</v>
      </c>
      <c r="N55" s="9">
        <f ca="1">IF(Stock!I55="",0,IF(ISNUMBER($E55),($E55+$F55)*Stock!I55/100,Stock!I55))</f>
        <v>0</v>
      </c>
      <c r="O55" s="9">
        <f ca="1">IF(Stock!J55="",0,IF(ISNUMBER($E55),($E55+$F55)*Stock!J55/100,Stock!J55))</f>
        <v>0</v>
      </c>
      <c r="P55" s="9">
        <f ca="1">IF(Stock!K55="",0,IF(ISNUMBER($E55),($E55+$F55)*Stock!K55/100,Stock!K55))</f>
        <v>0</v>
      </c>
      <c r="Q55" s="9">
        <f ca="1">IF(Stock!L55="",0,IF(ISNUMBER($E55),($E55+$F55)*Stock!L55/100,Stock!L55))</f>
        <v>0</v>
      </c>
      <c r="R55" s="9">
        <f ca="1">IF(Stock!M55="",0,IF(ISNUMBER($E55),($E55+$F55)*Stock!M55/100,Stock!M55))</f>
        <v>0</v>
      </c>
      <c r="S55" s="9">
        <f ca="1">IF(Stock!N55="",0,IF(ISNUMBER($E55),($E55+$F55)*Stock!N55/100,Stock!N55))</f>
        <v>0</v>
      </c>
      <c r="T55" s="9">
        <f ca="1">IF(Stock!O55="",0,IF(ISNUMBER($E55),($E55+$F55)*Stock!O55/100,Stock!O55))</f>
        <v>0</v>
      </c>
      <c r="U55" s="9">
        <f ca="1">IF(Stock!P55="",0,IF(ISNUMBER($E55),($E55+$F55)*Stock!P55/100,Stock!P55))</f>
        <v>0</v>
      </c>
      <c r="V55" s="9">
        <f ca="1">IF(Stock!Q55="",0,IF(ISNUMBER($E55),($E55+$F55)*Stock!Q55/100,Stock!Q55))</f>
        <v>0</v>
      </c>
      <c r="W55" s="9">
        <f ca="1">IF(Stock!R55="",0,IF(ISNUMBER($E55),($E55+$F55)*Stock!R55/100,Stock!R55))</f>
        <v>0</v>
      </c>
      <c r="X55" s="9">
        <f ca="1">IF(Stock!S55="",0,IF(ISNUMBER($E55),($E55+$F55)*Stock!S55/100,Stock!S55))</f>
        <v>0</v>
      </c>
      <c r="Y55" s="9">
        <f ca="1">IF(Stock!T55="",0,IF(ISNUMBER($E55),($E55+$F55)*Stock!T55/100,Stock!T55))</f>
        <v>0</v>
      </c>
      <c r="Z55" s="9">
        <f ca="1">IF(Stock!U55="",0,IF(ISNUMBER($E55),($E55+$F55)*Stock!U55/100,Stock!U55))</f>
        <v>0</v>
      </c>
      <c r="AA55" s="9">
        <f ca="1">IF(Stock!V55="",0,IF(ISNUMBER($E55),($E55+$F55)*Stock!V55/100,Stock!V55))</f>
        <v>0</v>
      </c>
      <c r="AB55" s="9">
        <f ca="1">IF(Stock!W55="",0,IF(ISNUMBER($E55),($E55+$F55)*Stock!W55/100,Stock!W55))</f>
        <v>0</v>
      </c>
      <c r="AC55" s="9">
        <f ca="1">IF(Stock!X55="",0,IF(ISNUMBER($E55),($E55+$F55)*Stock!X55/100,Stock!X55))</f>
        <v>0</v>
      </c>
      <c r="AD55" s="9">
        <f ca="1">IF(Stock!Y55="",0,IF(ISNUMBER($E55),($E55+$F55)*Stock!Y55/100,Stock!Y55))</f>
        <v>0</v>
      </c>
      <c r="AE55" s="9">
        <f ca="1">IF(Stock!Z55="",0,IF(ISNUMBER($E55),($E55+$F55)*Stock!Z55/100,Stock!Z55))</f>
        <v>0</v>
      </c>
      <c r="AF55" s="9">
        <f ca="1">IF(Stock!AA55="",0,IF(ISNUMBER($E55),($E55+$F55)*Stock!AA55/100,Stock!AA55))</f>
        <v>0</v>
      </c>
      <c r="AG55" s="9">
        <f ca="1">IF(Stock!AB55="",0,IF(ISNUMBER($E55),($E55+$F55)*Stock!AB55/100,Stock!AB55))</f>
        <v>0</v>
      </c>
      <c r="AH55" s="9">
        <f ca="1">IF(Stock!AC55="",0,IF(ISNUMBER($E55),($E55+$F55)*Stock!AC55/100,Stock!AC55))</f>
        <v>0</v>
      </c>
      <c r="AI55" s="9">
        <f ca="1">IF(Stock!AD55="",0,IF(ISNUMBER($E55),($E55+$F55)*Stock!AD55/100,Stock!AD55))</f>
        <v>0</v>
      </c>
      <c r="AJ55" s="9">
        <f ca="1">IF(Stock!AE55="",0,IF(ISNUMBER($E55),($E55+$F55)*Stock!AE55/100,Stock!AE55))</f>
        <v>0</v>
      </c>
      <c r="AK55" s="9">
        <f ca="1">IF(Stock!AF55="",0,IF(ISNUMBER($E55),($E55+$F55)*Stock!AF55/100,Stock!AF55))</f>
        <v>0</v>
      </c>
      <c r="AL55" s="9">
        <f ca="1">IF(Stock!AG55="",0,IF(ISNUMBER($E55),($E55+$F55)*Stock!AG55/100,Stock!AG55))</f>
        <v>0</v>
      </c>
      <c r="AM55" s="9">
        <f ca="1">IF(Stock!AH55="",0,IF(ISNUMBER($E55),($E55+$F55)*Stock!AH55/100,Stock!AH55))</f>
        <v>0</v>
      </c>
      <c r="AN55" s="9">
        <f ca="1">IF(Stock!AI55="",0,IF(ISNUMBER($E55),($E55+$F55)*Stock!AI55/100,Stock!AI55))</f>
        <v>0</v>
      </c>
      <c r="AO55" s="9">
        <f ca="1">IF(Stock!AJ55="",0,IF(ISNUMBER($E55),($E55+$F55)*Stock!AJ55/100,Stock!AJ55))</f>
        <v>0</v>
      </c>
      <c r="AP55" s="9">
        <f ca="1">IF(Stock!AK55="",0,IF(ISNUMBER($E55),($E55+$F55)*Stock!AK55/100,Stock!AK55))</f>
        <v>0</v>
      </c>
      <c r="AQ55" s="9">
        <f ca="1">IF(Stock!AL55="",0,IF(ISNUMBER($E55),($E55+$F55)*Stock!AL55/100,Stock!AL55))</f>
        <v>0</v>
      </c>
      <c r="AR55" s="9">
        <f ca="1">IF(Stock!AM55="",0,IF(ISNUMBER($E55),($E55+$F55)*Stock!AM55/100,Stock!AM55))</f>
        <v>0</v>
      </c>
      <c r="AS55" s="9">
        <f ca="1">IF(Stock!AN55="",0,IF(ISNUMBER($E55),($E55+$F55)*Stock!AN55/100,Stock!AN55))</f>
        <v>0</v>
      </c>
      <c r="AT55" s="9">
        <f ca="1">IF(Stock!AO55="",0,IF(ISNUMBER($E55),($E55+$F55)*Stock!AO55/100,Stock!AO55))</f>
        <v>0</v>
      </c>
      <c r="AU55" s="9">
        <f ca="1">IF(Stock!AP55="",0,IF(ISNUMBER($E55),($E55+$F55)*Stock!AP55/100,Stock!AP55))</f>
        <v>0</v>
      </c>
      <c r="AV55" s="9">
        <f ca="1">IF(Stock!AQ55="",0,IF(ISNUMBER($E55),($E55+$F55)*Stock!AQ55/100,Stock!AQ55))</f>
        <v>0</v>
      </c>
      <c r="AW55" s="9">
        <f ca="1">IF(Stock!AR55="",0,IF(ISNUMBER($E55),($E55+$F55)*Stock!AR55/100,Stock!AR55))</f>
        <v>0</v>
      </c>
      <c r="AX55" s="9">
        <f ca="1">IF(Stock!AS55="",0,IF(ISNUMBER($E55),($E55+$F55)*Stock!AS55/100,Stock!AS55))</f>
        <v>0</v>
      </c>
      <c r="AY55" s="9">
        <f ca="1">IF(Stock!AT55="",0,IF(ISNUMBER($E55),($E55+$F55)*Stock!AT55/100,Stock!AT55))</f>
        <v>0</v>
      </c>
      <c r="AZ55" s="9">
        <f ca="1">IF(Stock!AU55="",0,IF(ISNUMBER($E55),($E55+$F55)*Stock!AU55/100,Stock!AU55))</f>
        <v>0</v>
      </c>
      <c r="BA55" s="9">
        <f ca="1">IF(Stock!AV55="",0,IF(ISNUMBER($E55),($E55+$F55)*Stock!AV55/100,Stock!AV55))</f>
        <v>0</v>
      </c>
      <c r="BB55" s="9">
        <f ca="1">IF(Stock!AW55="",0,IF(ISNUMBER($E55),($E55+$F55)*Stock!AW55/100,Stock!AW55))</f>
        <v>0</v>
      </c>
      <c r="BC55" s="9">
        <f ca="1">IF(Stock!AX55="",0,IF(ISNUMBER($E55),($E55+$F55)*Stock!AX55/100,Stock!AX55))</f>
        <v>0</v>
      </c>
    </row>
    <row r="56" spans="1:55" x14ac:dyDescent="0.3">
      <c r="A56" s="2" t="str">
        <f t="shared" si="0"/>
        <v/>
      </c>
      <c r="B56" s="3" t="str">
        <f t="shared" si="1"/>
        <v/>
      </c>
      <c r="C56" s="4" t="str">
        <f>IF(Repo!C60="","",Repo!C60)</f>
        <v/>
      </c>
      <c r="D56" s="4" t="str">
        <f>IF(Repo!D60="","",Repo!D60)</f>
        <v/>
      </c>
      <c r="E56" s="62">
        <f ca="1">IF(A56="",0,IF(LEFT(C56,3) = "USB",100*(1-_xll.BDP(D56 &amp; " Govt",E$1)*(B56-TODAY()+1)/36000),_xll.BDP(D56 &amp; " Govt",E$1)))</f>
        <v>0</v>
      </c>
      <c r="F56" s="62">
        <f>IF(A56="",0,IF(LEFT(D56,1) = "B",0,_xll.BDP(D56 &amp; " Govt",F$1)))</f>
        <v>0</v>
      </c>
      <c r="G56" s="9">
        <f>IF(Stock!B56="",0,IF(ISNUMBER($E56),($E56+$F56)*Stock!B56/100,Stock!B56))</f>
        <v>0</v>
      </c>
      <c r="H56" s="9">
        <f ca="1">IF(Stock!C56="",0,IF(ISNUMBER($E56),($E56+$F56)*Stock!C56/100,Stock!C56))</f>
        <v>0</v>
      </c>
      <c r="I56" s="9">
        <f ca="1">IF(Stock!D56="",0,IF(ISNUMBER($E56),($E56+$F56)*Stock!D56/100,Stock!D56))</f>
        <v>0</v>
      </c>
      <c r="J56" s="9">
        <f ca="1">IF(Stock!E56="",0,IF(ISNUMBER($E56),($E56+$F56)*Stock!E56/100,Stock!E56))</f>
        <v>0</v>
      </c>
      <c r="K56" s="9">
        <f ca="1">IF(Stock!F56="",0,IF(ISNUMBER($E56),($E56+$F56)*Stock!F56/100,Stock!F56))</f>
        <v>0</v>
      </c>
      <c r="L56" s="9">
        <f ca="1">IF(Stock!G56="",0,IF(ISNUMBER($E56),($E56+$F56)*Stock!G56/100,Stock!G56))</f>
        <v>0</v>
      </c>
      <c r="M56" s="9">
        <f ca="1">IF(Stock!H56="",0,IF(ISNUMBER($E56),($E56+$F56)*Stock!H56/100,Stock!H56))</f>
        <v>0</v>
      </c>
      <c r="N56" s="9">
        <f ca="1">IF(Stock!I56="",0,IF(ISNUMBER($E56),($E56+$F56)*Stock!I56/100,Stock!I56))</f>
        <v>0</v>
      </c>
      <c r="O56" s="9">
        <f ca="1">IF(Stock!J56="",0,IF(ISNUMBER($E56),($E56+$F56)*Stock!J56/100,Stock!J56))</f>
        <v>0</v>
      </c>
      <c r="P56" s="9">
        <f ca="1">IF(Stock!K56="",0,IF(ISNUMBER($E56),($E56+$F56)*Stock!K56/100,Stock!K56))</f>
        <v>0</v>
      </c>
      <c r="Q56" s="9">
        <f ca="1">IF(Stock!L56="",0,IF(ISNUMBER($E56),($E56+$F56)*Stock!L56/100,Stock!L56))</f>
        <v>0</v>
      </c>
      <c r="R56" s="9">
        <f ca="1">IF(Stock!M56="",0,IF(ISNUMBER($E56),($E56+$F56)*Stock!M56/100,Stock!M56))</f>
        <v>0</v>
      </c>
      <c r="S56" s="9">
        <f ca="1">IF(Stock!N56="",0,IF(ISNUMBER($E56),($E56+$F56)*Stock!N56/100,Stock!N56))</f>
        <v>0</v>
      </c>
      <c r="T56" s="9">
        <f ca="1">IF(Stock!O56="",0,IF(ISNUMBER($E56),($E56+$F56)*Stock!O56/100,Stock!O56))</f>
        <v>0</v>
      </c>
      <c r="U56" s="9">
        <f ca="1">IF(Stock!P56="",0,IF(ISNUMBER($E56),($E56+$F56)*Stock!P56/100,Stock!P56))</f>
        <v>0</v>
      </c>
      <c r="V56" s="9">
        <f ca="1">IF(Stock!Q56="",0,IF(ISNUMBER($E56),($E56+$F56)*Stock!Q56/100,Stock!Q56))</f>
        <v>0</v>
      </c>
      <c r="W56" s="9">
        <f ca="1">IF(Stock!R56="",0,IF(ISNUMBER($E56),($E56+$F56)*Stock!R56/100,Stock!R56))</f>
        <v>0</v>
      </c>
      <c r="X56" s="9">
        <f ca="1">IF(Stock!S56="",0,IF(ISNUMBER($E56),($E56+$F56)*Stock!S56/100,Stock!S56))</f>
        <v>0</v>
      </c>
      <c r="Y56" s="9">
        <f ca="1">IF(Stock!T56="",0,IF(ISNUMBER($E56),($E56+$F56)*Stock!T56/100,Stock!T56))</f>
        <v>0</v>
      </c>
      <c r="Z56" s="9">
        <f ca="1">IF(Stock!U56="",0,IF(ISNUMBER($E56),($E56+$F56)*Stock!U56/100,Stock!U56))</f>
        <v>0</v>
      </c>
      <c r="AA56" s="9">
        <f ca="1">IF(Stock!V56="",0,IF(ISNUMBER($E56),($E56+$F56)*Stock!V56/100,Stock!V56))</f>
        <v>0</v>
      </c>
      <c r="AB56" s="9">
        <f ca="1">IF(Stock!W56="",0,IF(ISNUMBER($E56),($E56+$F56)*Stock!W56/100,Stock!W56))</f>
        <v>0</v>
      </c>
      <c r="AC56" s="9">
        <f ca="1">IF(Stock!X56="",0,IF(ISNUMBER($E56),($E56+$F56)*Stock!X56/100,Stock!X56))</f>
        <v>0</v>
      </c>
      <c r="AD56" s="9">
        <f ca="1">IF(Stock!Y56="",0,IF(ISNUMBER($E56),($E56+$F56)*Stock!Y56/100,Stock!Y56))</f>
        <v>0</v>
      </c>
      <c r="AE56" s="9">
        <f ca="1">IF(Stock!Z56="",0,IF(ISNUMBER($E56),($E56+$F56)*Stock!Z56/100,Stock!Z56))</f>
        <v>0</v>
      </c>
      <c r="AF56" s="9">
        <f ca="1">IF(Stock!AA56="",0,IF(ISNUMBER($E56),($E56+$F56)*Stock!AA56/100,Stock!AA56))</f>
        <v>0</v>
      </c>
      <c r="AG56" s="9">
        <f ca="1">IF(Stock!AB56="",0,IF(ISNUMBER($E56),($E56+$F56)*Stock!AB56/100,Stock!AB56))</f>
        <v>0</v>
      </c>
      <c r="AH56" s="9">
        <f ca="1">IF(Stock!AC56="",0,IF(ISNUMBER($E56),($E56+$F56)*Stock!AC56/100,Stock!AC56))</f>
        <v>0</v>
      </c>
      <c r="AI56" s="9">
        <f ca="1">IF(Stock!AD56="",0,IF(ISNUMBER($E56),($E56+$F56)*Stock!AD56/100,Stock!AD56))</f>
        <v>0</v>
      </c>
      <c r="AJ56" s="9">
        <f ca="1">IF(Stock!AE56="",0,IF(ISNUMBER($E56),($E56+$F56)*Stock!AE56/100,Stock!AE56))</f>
        <v>0</v>
      </c>
      <c r="AK56" s="9">
        <f ca="1">IF(Stock!AF56="",0,IF(ISNUMBER($E56),($E56+$F56)*Stock!AF56/100,Stock!AF56))</f>
        <v>0</v>
      </c>
      <c r="AL56" s="9">
        <f ca="1">IF(Stock!AG56="",0,IF(ISNUMBER($E56),($E56+$F56)*Stock!AG56/100,Stock!AG56))</f>
        <v>0</v>
      </c>
      <c r="AM56" s="9">
        <f ca="1">IF(Stock!AH56="",0,IF(ISNUMBER($E56),($E56+$F56)*Stock!AH56/100,Stock!AH56))</f>
        <v>0</v>
      </c>
      <c r="AN56" s="9">
        <f ca="1">IF(Stock!AI56="",0,IF(ISNUMBER($E56),($E56+$F56)*Stock!AI56/100,Stock!AI56))</f>
        <v>0</v>
      </c>
      <c r="AO56" s="9">
        <f ca="1">IF(Stock!AJ56="",0,IF(ISNUMBER($E56),($E56+$F56)*Stock!AJ56/100,Stock!AJ56))</f>
        <v>0</v>
      </c>
      <c r="AP56" s="9">
        <f ca="1">IF(Stock!AK56="",0,IF(ISNUMBER($E56),($E56+$F56)*Stock!AK56/100,Stock!AK56))</f>
        <v>0</v>
      </c>
      <c r="AQ56" s="9">
        <f ca="1">IF(Stock!AL56="",0,IF(ISNUMBER($E56),($E56+$F56)*Stock!AL56/100,Stock!AL56))</f>
        <v>0</v>
      </c>
      <c r="AR56" s="9">
        <f ca="1">IF(Stock!AM56="",0,IF(ISNUMBER($E56),($E56+$F56)*Stock!AM56/100,Stock!AM56))</f>
        <v>0</v>
      </c>
      <c r="AS56" s="9">
        <f ca="1">IF(Stock!AN56="",0,IF(ISNUMBER($E56),($E56+$F56)*Stock!AN56/100,Stock!AN56))</f>
        <v>0</v>
      </c>
      <c r="AT56" s="9">
        <f ca="1">IF(Stock!AO56="",0,IF(ISNUMBER($E56),($E56+$F56)*Stock!AO56/100,Stock!AO56))</f>
        <v>0</v>
      </c>
      <c r="AU56" s="9">
        <f ca="1">IF(Stock!AP56="",0,IF(ISNUMBER($E56),($E56+$F56)*Stock!AP56/100,Stock!AP56))</f>
        <v>0</v>
      </c>
      <c r="AV56" s="9">
        <f ca="1">IF(Stock!AQ56="",0,IF(ISNUMBER($E56),($E56+$F56)*Stock!AQ56/100,Stock!AQ56))</f>
        <v>0</v>
      </c>
      <c r="AW56" s="9">
        <f ca="1">IF(Stock!AR56="",0,IF(ISNUMBER($E56),($E56+$F56)*Stock!AR56/100,Stock!AR56))</f>
        <v>0</v>
      </c>
      <c r="AX56" s="9">
        <f ca="1">IF(Stock!AS56="",0,IF(ISNUMBER($E56),($E56+$F56)*Stock!AS56/100,Stock!AS56))</f>
        <v>0</v>
      </c>
      <c r="AY56" s="9">
        <f ca="1">IF(Stock!AT56="",0,IF(ISNUMBER($E56),($E56+$F56)*Stock!AT56/100,Stock!AT56))</f>
        <v>0</v>
      </c>
      <c r="AZ56" s="9">
        <f ca="1">IF(Stock!AU56="",0,IF(ISNUMBER($E56),($E56+$F56)*Stock!AU56/100,Stock!AU56))</f>
        <v>0</v>
      </c>
      <c r="BA56" s="9">
        <f ca="1">IF(Stock!AV56="",0,IF(ISNUMBER($E56),($E56+$F56)*Stock!AV56/100,Stock!AV56))</f>
        <v>0</v>
      </c>
      <c r="BB56" s="9">
        <f ca="1">IF(Stock!AW56="",0,IF(ISNUMBER($E56),($E56+$F56)*Stock!AW56/100,Stock!AW56))</f>
        <v>0</v>
      </c>
      <c r="BC56" s="9">
        <f ca="1">IF(Stock!AX56="",0,IF(ISNUMBER($E56),($E56+$F56)*Stock!AX56/100,Stock!AX56))</f>
        <v>0</v>
      </c>
    </row>
    <row r="57" spans="1:55" x14ac:dyDescent="0.3">
      <c r="A57" s="2" t="str">
        <f t="shared" si="0"/>
        <v/>
      </c>
      <c r="B57" s="3" t="str">
        <f t="shared" si="1"/>
        <v/>
      </c>
      <c r="C57" s="4" t="str">
        <f>IF(Repo!C61="","",Repo!C61)</f>
        <v/>
      </c>
      <c r="D57" s="4" t="str">
        <f>IF(Repo!D61="","",Repo!D61)</f>
        <v/>
      </c>
      <c r="E57" s="62">
        <f ca="1">IF(A57="",0,IF(LEFT(C57,3) = "USB",100*(1-_xll.BDP(D57 &amp; " Govt",E$1)*(B57-TODAY()+1)/36000),_xll.BDP(D57 &amp; " Govt",E$1)))</f>
        <v>0</v>
      </c>
      <c r="F57" s="62">
        <f>IF(A57="",0,IF(LEFT(D57,1) = "B",0,_xll.BDP(D57 &amp; " Govt",F$1)))</f>
        <v>0</v>
      </c>
      <c r="G57" s="9">
        <f>IF(Stock!B57="",0,IF(ISNUMBER($E57),($E57+$F57)*Stock!B57/100,Stock!B57))</f>
        <v>0</v>
      </c>
      <c r="H57" s="9">
        <f ca="1">IF(Stock!C57="",0,IF(ISNUMBER($E57),($E57+$F57)*Stock!C57/100,Stock!C57))</f>
        <v>0</v>
      </c>
      <c r="I57" s="9">
        <f ca="1">IF(Stock!D57="",0,IF(ISNUMBER($E57),($E57+$F57)*Stock!D57/100,Stock!D57))</f>
        <v>0</v>
      </c>
      <c r="J57" s="9">
        <f ca="1">IF(Stock!E57="",0,IF(ISNUMBER($E57),($E57+$F57)*Stock!E57/100,Stock!E57))</f>
        <v>0</v>
      </c>
      <c r="K57" s="9">
        <f ca="1">IF(Stock!F57="",0,IF(ISNUMBER($E57),($E57+$F57)*Stock!F57/100,Stock!F57))</f>
        <v>0</v>
      </c>
      <c r="L57" s="9">
        <f ca="1">IF(Stock!G57="",0,IF(ISNUMBER($E57),($E57+$F57)*Stock!G57/100,Stock!G57))</f>
        <v>0</v>
      </c>
      <c r="M57" s="9">
        <f ca="1">IF(Stock!H57="",0,IF(ISNUMBER($E57),($E57+$F57)*Stock!H57/100,Stock!H57))</f>
        <v>0</v>
      </c>
      <c r="N57" s="9">
        <f ca="1">IF(Stock!I57="",0,IF(ISNUMBER($E57),($E57+$F57)*Stock!I57/100,Stock!I57))</f>
        <v>0</v>
      </c>
      <c r="O57" s="9">
        <f ca="1">IF(Stock!J57="",0,IF(ISNUMBER($E57),($E57+$F57)*Stock!J57/100,Stock!J57))</f>
        <v>0</v>
      </c>
      <c r="P57" s="9">
        <f ca="1">IF(Stock!K57="",0,IF(ISNUMBER($E57),($E57+$F57)*Stock!K57/100,Stock!K57))</f>
        <v>0</v>
      </c>
      <c r="Q57" s="9">
        <f ca="1">IF(Stock!L57="",0,IF(ISNUMBER($E57),($E57+$F57)*Stock!L57/100,Stock!L57))</f>
        <v>0</v>
      </c>
      <c r="R57" s="9">
        <f ca="1">IF(Stock!M57="",0,IF(ISNUMBER($E57),($E57+$F57)*Stock!M57/100,Stock!M57))</f>
        <v>0</v>
      </c>
      <c r="S57" s="9">
        <f ca="1">IF(Stock!N57="",0,IF(ISNUMBER($E57),($E57+$F57)*Stock!N57/100,Stock!N57))</f>
        <v>0</v>
      </c>
      <c r="T57" s="9">
        <f ca="1">IF(Stock!O57="",0,IF(ISNUMBER($E57),($E57+$F57)*Stock!O57/100,Stock!O57))</f>
        <v>0</v>
      </c>
      <c r="U57" s="9">
        <f ca="1">IF(Stock!P57="",0,IF(ISNUMBER($E57),($E57+$F57)*Stock!P57/100,Stock!P57))</f>
        <v>0</v>
      </c>
      <c r="V57" s="9">
        <f ca="1">IF(Stock!Q57="",0,IF(ISNUMBER($E57),($E57+$F57)*Stock!Q57/100,Stock!Q57))</f>
        <v>0</v>
      </c>
      <c r="W57" s="9">
        <f ca="1">IF(Stock!R57="",0,IF(ISNUMBER($E57),($E57+$F57)*Stock!R57/100,Stock!R57))</f>
        <v>0</v>
      </c>
      <c r="X57" s="9">
        <f ca="1">IF(Stock!S57="",0,IF(ISNUMBER($E57),($E57+$F57)*Stock!S57/100,Stock!S57))</f>
        <v>0</v>
      </c>
      <c r="Y57" s="9">
        <f ca="1">IF(Stock!T57="",0,IF(ISNUMBER($E57),($E57+$F57)*Stock!T57/100,Stock!T57))</f>
        <v>0</v>
      </c>
      <c r="Z57" s="9">
        <f ca="1">IF(Stock!U57="",0,IF(ISNUMBER($E57),($E57+$F57)*Stock!U57/100,Stock!U57))</f>
        <v>0</v>
      </c>
      <c r="AA57" s="9">
        <f ca="1">IF(Stock!V57="",0,IF(ISNUMBER($E57),($E57+$F57)*Stock!V57/100,Stock!V57))</f>
        <v>0</v>
      </c>
      <c r="AB57" s="9">
        <f ca="1">IF(Stock!W57="",0,IF(ISNUMBER($E57),($E57+$F57)*Stock!W57/100,Stock!W57))</f>
        <v>0</v>
      </c>
      <c r="AC57" s="9">
        <f ca="1">IF(Stock!X57="",0,IF(ISNUMBER($E57),($E57+$F57)*Stock!X57/100,Stock!X57))</f>
        <v>0</v>
      </c>
      <c r="AD57" s="9">
        <f ca="1">IF(Stock!Y57="",0,IF(ISNUMBER($E57),($E57+$F57)*Stock!Y57/100,Stock!Y57))</f>
        <v>0</v>
      </c>
      <c r="AE57" s="9">
        <f ca="1">IF(Stock!Z57="",0,IF(ISNUMBER($E57),($E57+$F57)*Stock!Z57/100,Stock!Z57))</f>
        <v>0</v>
      </c>
      <c r="AF57" s="9">
        <f ca="1">IF(Stock!AA57="",0,IF(ISNUMBER($E57),($E57+$F57)*Stock!AA57/100,Stock!AA57))</f>
        <v>0</v>
      </c>
      <c r="AG57" s="9">
        <f ca="1">IF(Stock!AB57="",0,IF(ISNUMBER($E57),($E57+$F57)*Stock!AB57/100,Stock!AB57))</f>
        <v>0</v>
      </c>
      <c r="AH57" s="9">
        <f ca="1">IF(Stock!AC57="",0,IF(ISNUMBER($E57),($E57+$F57)*Stock!AC57/100,Stock!AC57))</f>
        <v>0</v>
      </c>
      <c r="AI57" s="9">
        <f ca="1">IF(Stock!AD57="",0,IF(ISNUMBER($E57),($E57+$F57)*Stock!AD57/100,Stock!AD57))</f>
        <v>0</v>
      </c>
      <c r="AJ57" s="9">
        <f ca="1">IF(Stock!AE57="",0,IF(ISNUMBER($E57),($E57+$F57)*Stock!AE57/100,Stock!AE57))</f>
        <v>0</v>
      </c>
      <c r="AK57" s="9">
        <f ca="1">IF(Stock!AF57="",0,IF(ISNUMBER($E57),($E57+$F57)*Stock!AF57/100,Stock!AF57))</f>
        <v>0</v>
      </c>
      <c r="AL57" s="9">
        <f ca="1">IF(Stock!AG57="",0,IF(ISNUMBER($E57),($E57+$F57)*Stock!AG57/100,Stock!AG57))</f>
        <v>0</v>
      </c>
      <c r="AM57" s="9">
        <f ca="1">IF(Stock!AH57="",0,IF(ISNUMBER($E57),($E57+$F57)*Stock!AH57/100,Stock!AH57))</f>
        <v>0</v>
      </c>
      <c r="AN57" s="9">
        <f ca="1">IF(Stock!AI57="",0,IF(ISNUMBER($E57),($E57+$F57)*Stock!AI57/100,Stock!AI57))</f>
        <v>0</v>
      </c>
      <c r="AO57" s="9">
        <f ca="1">IF(Stock!AJ57="",0,IF(ISNUMBER($E57),($E57+$F57)*Stock!AJ57/100,Stock!AJ57))</f>
        <v>0</v>
      </c>
      <c r="AP57" s="9">
        <f ca="1">IF(Stock!AK57="",0,IF(ISNUMBER($E57),($E57+$F57)*Stock!AK57/100,Stock!AK57))</f>
        <v>0</v>
      </c>
      <c r="AQ57" s="9">
        <f ca="1">IF(Stock!AL57="",0,IF(ISNUMBER($E57),($E57+$F57)*Stock!AL57/100,Stock!AL57))</f>
        <v>0</v>
      </c>
      <c r="AR57" s="9">
        <f ca="1">IF(Stock!AM57="",0,IF(ISNUMBER($E57),($E57+$F57)*Stock!AM57/100,Stock!AM57))</f>
        <v>0</v>
      </c>
      <c r="AS57" s="9">
        <f ca="1">IF(Stock!AN57="",0,IF(ISNUMBER($E57),($E57+$F57)*Stock!AN57/100,Stock!AN57))</f>
        <v>0</v>
      </c>
      <c r="AT57" s="9">
        <f ca="1">IF(Stock!AO57="",0,IF(ISNUMBER($E57),($E57+$F57)*Stock!AO57/100,Stock!AO57))</f>
        <v>0</v>
      </c>
      <c r="AU57" s="9">
        <f ca="1">IF(Stock!AP57="",0,IF(ISNUMBER($E57),($E57+$F57)*Stock!AP57/100,Stock!AP57))</f>
        <v>0</v>
      </c>
      <c r="AV57" s="9">
        <f ca="1">IF(Stock!AQ57="",0,IF(ISNUMBER($E57),($E57+$F57)*Stock!AQ57/100,Stock!AQ57))</f>
        <v>0</v>
      </c>
      <c r="AW57" s="9">
        <f ca="1">IF(Stock!AR57="",0,IF(ISNUMBER($E57),($E57+$F57)*Stock!AR57/100,Stock!AR57))</f>
        <v>0</v>
      </c>
      <c r="AX57" s="9">
        <f ca="1">IF(Stock!AS57="",0,IF(ISNUMBER($E57),($E57+$F57)*Stock!AS57/100,Stock!AS57))</f>
        <v>0</v>
      </c>
      <c r="AY57" s="9">
        <f ca="1">IF(Stock!AT57="",0,IF(ISNUMBER($E57),($E57+$F57)*Stock!AT57/100,Stock!AT57))</f>
        <v>0</v>
      </c>
      <c r="AZ57" s="9">
        <f ca="1">IF(Stock!AU57="",0,IF(ISNUMBER($E57),($E57+$F57)*Stock!AU57/100,Stock!AU57))</f>
        <v>0</v>
      </c>
      <c r="BA57" s="9">
        <f ca="1">IF(Stock!AV57="",0,IF(ISNUMBER($E57),($E57+$F57)*Stock!AV57/100,Stock!AV57))</f>
        <v>0</v>
      </c>
      <c r="BB57" s="9">
        <f ca="1">IF(Stock!AW57="",0,IF(ISNUMBER($E57),($E57+$F57)*Stock!AW57/100,Stock!AW57))</f>
        <v>0</v>
      </c>
      <c r="BC57" s="9">
        <f ca="1">IF(Stock!AX57="",0,IF(ISNUMBER($E57),($E57+$F57)*Stock!AX57/100,Stock!AX57))</f>
        <v>0</v>
      </c>
    </row>
    <row r="58" spans="1:55" x14ac:dyDescent="0.3">
      <c r="A58" s="2" t="str">
        <f t="shared" si="0"/>
        <v/>
      </c>
      <c r="B58" s="3" t="str">
        <f t="shared" si="1"/>
        <v/>
      </c>
      <c r="C58" s="4" t="str">
        <f>IF(Repo!C62="","",Repo!C62)</f>
        <v/>
      </c>
      <c r="D58" s="4" t="str">
        <f>IF(Repo!D62="","",Repo!D62)</f>
        <v/>
      </c>
      <c r="E58" s="62">
        <f ca="1">IF(A58="",0,IF(LEFT(C58,3) = "USB",100*(1-_xll.BDP(D58 &amp; " Govt",E$1)*(B58-TODAY()+1)/36000),_xll.BDP(D58 &amp; " Govt",E$1)))</f>
        <v>0</v>
      </c>
      <c r="F58" s="62">
        <f>IF(A58="",0,IF(LEFT(D58,1) = "B",0,_xll.BDP(D58 &amp; " Govt",F$1)))</f>
        <v>0</v>
      </c>
      <c r="G58" s="9">
        <f>IF(Stock!B58="",0,IF(ISNUMBER($E58),($E58+$F58)*Stock!B58/100,Stock!B58))</f>
        <v>0</v>
      </c>
      <c r="H58" s="9">
        <f ca="1">IF(Stock!C58="",0,IF(ISNUMBER($E58),($E58+$F58)*Stock!C58/100,Stock!C58))</f>
        <v>0</v>
      </c>
      <c r="I58" s="9">
        <f ca="1">IF(Stock!D58="",0,IF(ISNUMBER($E58),($E58+$F58)*Stock!D58/100,Stock!D58))</f>
        <v>0</v>
      </c>
      <c r="J58" s="9">
        <f ca="1">IF(Stock!E58="",0,IF(ISNUMBER($E58),($E58+$F58)*Stock!E58/100,Stock!E58))</f>
        <v>0</v>
      </c>
      <c r="K58" s="9">
        <f ca="1">IF(Stock!F58="",0,IF(ISNUMBER($E58),($E58+$F58)*Stock!F58/100,Stock!F58))</f>
        <v>0</v>
      </c>
      <c r="L58" s="9">
        <f ca="1">IF(Stock!G58="",0,IF(ISNUMBER($E58),($E58+$F58)*Stock!G58/100,Stock!G58))</f>
        <v>0</v>
      </c>
      <c r="M58" s="9">
        <f ca="1">IF(Stock!H58="",0,IF(ISNUMBER($E58),($E58+$F58)*Stock!H58/100,Stock!H58))</f>
        <v>0</v>
      </c>
      <c r="N58" s="9">
        <f ca="1">IF(Stock!I58="",0,IF(ISNUMBER($E58),($E58+$F58)*Stock!I58/100,Stock!I58))</f>
        <v>0</v>
      </c>
      <c r="O58" s="9">
        <f ca="1">IF(Stock!J58="",0,IF(ISNUMBER($E58),($E58+$F58)*Stock!J58/100,Stock!J58))</f>
        <v>0</v>
      </c>
      <c r="P58" s="9">
        <f ca="1">IF(Stock!K58="",0,IF(ISNUMBER($E58),($E58+$F58)*Stock!K58/100,Stock!K58))</f>
        <v>0</v>
      </c>
      <c r="Q58" s="9">
        <f ca="1">IF(Stock!L58="",0,IF(ISNUMBER($E58),($E58+$F58)*Stock!L58/100,Stock!L58))</f>
        <v>0</v>
      </c>
      <c r="R58" s="9">
        <f ca="1">IF(Stock!M58="",0,IF(ISNUMBER($E58),($E58+$F58)*Stock!M58/100,Stock!M58))</f>
        <v>0</v>
      </c>
      <c r="S58" s="9">
        <f ca="1">IF(Stock!N58="",0,IF(ISNUMBER($E58),($E58+$F58)*Stock!N58/100,Stock!N58))</f>
        <v>0</v>
      </c>
      <c r="T58" s="9">
        <f ca="1">IF(Stock!O58="",0,IF(ISNUMBER($E58),($E58+$F58)*Stock!O58/100,Stock!O58))</f>
        <v>0</v>
      </c>
      <c r="U58" s="9">
        <f ca="1">IF(Stock!P58="",0,IF(ISNUMBER($E58),($E58+$F58)*Stock!P58/100,Stock!P58))</f>
        <v>0</v>
      </c>
      <c r="V58" s="9">
        <f ca="1">IF(Stock!Q58="",0,IF(ISNUMBER($E58),($E58+$F58)*Stock!Q58/100,Stock!Q58))</f>
        <v>0</v>
      </c>
      <c r="W58" s="9">
        <f ca="1">IF(Stock!R58="",0,IF(ISNUMBER($E58),($E58+$F58)*Stock!R58/100,Stock!R58))</f>
        <v>0</v>
      </c>
      <c r="X58" s="9">
        <f ca="1">IF(Stock!S58="",0,IF(ISNUMBER($E58),($E58+$F58)*Stock!S58/100,Stock!S58))</f>
        <v>0</v>
      </c>
      <c r="Y58" s="9">
        <f ca="1">IF(Stock!T58="",0,IF(ISNUMBER($E58),($E58+$F58)*Stock!T58/100,Stock!T58))</f>
        <v>0</v>
      </c>
      <c r="Z58" s="9">
        <f ca="1">IF(Stock!U58="",0,IF(ISNUMBER($E58),($E58+$F58)*Stock!U58/100,Stock!U58))</f>
        <v>0</v>
      </c>
      <c r="AA58" s="9">
        <f ca="1">IF(Stock!V58="",0,IF(ISNUMBER($E58),($E58+$F58)*Stock!V58/100,Stock!V58))</f>
        <v>0</v>
      </c>
      <c r="AB58" s="9">
        <f ca="1">IF(Stock!W58="",0,IF(ISNUMBER($E58),($E58+$F58)*Stock!W58/100,Stock!W58))</f>
        <v>0</v>
      </c>
      <c r="AC58" s="9">
        <f ca="1">IF(Stock!X58="",0,IF(ISNUMBER($E58),($E58+$F58)*Stock!X58/100,Stock!X58))</f>
        <v>0</v>
      </c>
      <c r="AD58" s="9">
        <f ca="1">IF(Stock!Y58="",0,IF(ISNUMBER($E58),($E58+$F58)*Stock!Y58/100,Stock!Y58))</f>
        <v>0</v>
      </c>
      <c r="AE58" s="9">
        <f ca="1">IF(Stock!Z58="",0,IF(ISNUMBER($E58),($E58+$F58)*Stock!Z58/100,Stock!Z58))</f>
        <v>0</v>
      </c>
      <c r="AF58" s="9">
        <f ca="1">IF(Stock!AA58="",0,IF(ISNUMBER($E58),($E58+$F58)*Stock!AA58/100,Stock!AA58))</f>
        <v>0</v>
      </c>
      <c r="AG58" s="9">
        <f ca="1">IF(Stock!AB58="",0,IF(ISNUMBER($E58),($E58+$F58)*Stock!AB58/100,Stock!AB58))</f>
        <v>0</v>
      </c>
      <c r="AH58" s="9">
        <f ca="1">IF(Stock!AC58="",0,IF(ISNUMBER($E58),($E58+$F58)*Stock!AC58/100,Stock!AC58))</f>
        <v>0</v>
      </c>
      <c r="AI58" s="9">
        <f ca="1">IF(Stock!AD58="",0,IF(ISNUMBER($E58),($E58+$F58)*Stock!AD58/100,Stock!AD58))</f>
        <v>0</v>
      </c>
      <c r="AJ58" s="9">
        <f ca="1">IF(Stock!AE58="",0,IF(ISNUMBER($E58),($E58+$F58)*Stock!AE58/100,Stock!AE58))</f>
        <v>0</v>
      </c>
      <c r="AK58" s="9">
        <f ca="1">IF(Stock!AF58="",0,IF(ISNUMBER($E58),($E58+$F58)*Stock!AF58/100,Stock!AF58))</f>
        <v>0</v>
      </c>
      <c r="AL58" s="9">
        <f ca="1">IF(Stock!AG58="",0,IF(ISNUMBER($E58),($E58+$F58)*Stock!AG58/100,Stock!AG58))</f>
        <v>0</v>
      </c>
      <c r="AM58" s="9">
        <f ca="1">IF(Stock!AH58="",0,IF(ISNUMBER($E58),($E58+$F58)*Stock!AH58/100,Stock!AH58))</f>
        <v>0</v>
      </c>
      <c r="AN58" s="9">
        <f ca="1">IF(Stock!AI58="",0,IF(ISNUMBER($E58),($E58+$F58)*Stock!AI58/100,Stock!AI58))</f>
        <v>0</v>
      </c>
      <c r="AO58" s="9">
        <f ca="1">IF(Stock!AJ58="",0,IF(ISNUMBER($E58),($E58+$F58)*Stock!AJ58/100,Stock!AJ58))</f>
        <v>0</v>
      </c>
      <c r="AP58" s="9">
        <f ca="1">IF(Stock!AK58="",0,IF(ISNUMBER($E58),($E58+$F58)*Stock!AK58/100,Stock!AK58))</f>
        <v>0</v>
      </c>
      <c r="AQ58" s="9">
        <f ca="1">IF(Stock!AL58="",0,IF(ISNUMBER($E58),($E58+$F58)*Stock!AL58/100,Stock!AL58))</f>
        <v>0</v>
      </c>
      <c r="AR58" s="9">
        <f ca="1">IF(Stock!AM58="",0,IF(ISNUMBER($E58),($E58+$F58)*Stock!AM58/100,Stock!AM58))</f>
        <v>0</v>
      </c>
      <c r="AS58" s="9">
        <f ca="1">IF(Stock!AN58="",0,IF(ISNUMBER($E58),($E58+$F58)*Stock!AN58/100,Stock!AN58))</f>
        <v>0</v>
      </c>
      <c r="AT58" s="9">
        <f ca="1">IF(Stock!AO58="",0,IF(ISNUMBER($E58),($E58+$F58)*Stock!AO58/100,Stock!AO58))</f>
        <v>0</v>
      </c>
      <c r="AU58" s="9">
        <f ca="1">IF(Stock!AP58="",0,IF(ISNUMBER($E58),($E58+$F58)*Stock!AP58/100,Stock!AP58))</f>
        <v>0</v>
      </c>
      <c r="AV58" s="9">
        <f ca="1">IF(Stock!AQ58="",0,IF(ISNUMBER($E58),($E58+$F58)*Stock!AQ58/100,Stock!AQ58))</f>
        <v>0</v>
      </c>
      <c r="AW58" s="9">
        <f ca="1">IF(Stock!AR58="",0,IF(ISNUMBER($E58),($E58+$F58)*Stock!AR58/100,Stock!AR58))</f>
        <v>0</v>
      </c>
      <c r="AX58" s="9">
        <f ca="1">IF(Stock!AS58="",0,IF(ISNUMBER($E58),($E58+$F58)*Stock!AS58/100,Stock!AS58))</f>
        <v>0</v>
      </c>
      <c r="AY58" s="9">
        <f ca="1">IF(Stock!AT58="",0,IF(ISNUMBER($E58),($E58+$F58)*Stock!AT58/100,Stock!AT58))</f>
        <v>0</v>
      </c>
      <c r="AZ58" s="9">
        <f ca="1">IF(Stock!AU58="",0,IF(ISNUMBER($E58),($E58+$F58)*Stock!AU58/100,Stock!AU58))</f>
        <v>0</v>
      </c>
      <c r="BA58" s="9">
        <f ca="1">IF(Stock!AV58="",0,IF(ISNUMBER($E58),($E58+$F58)*Stock!AV58/100,Stock!AV58))</f>
        <v>0</v>
      </c>
      <c r="BB58" s="9">
        <f ca="1">IF(Stock!AW58="",0,IF(ISNUMBER($E58),($E58+$F58)*Stock!AW58/100,Stock!AW58))</f>
        <v>0</v>
      </c>
      <c r="BC58" s="9">
        <f ca="1">IF(Stock!AX58="",0,IF(ISNUMBER($E58),($E58+$F58)*Stock!AX58/100,Stock!AX58))</f>
        <v>0</v>
      </c>
    </row>
    <row r="59" spans="1:55" x14ac:dyDescent="0.3">
      <c r="A59" s="2" t="str">
        <f t="shared" si="0"/>
        <v/>
      </c>
      <c r="B59" s="3" t="str">
        <f t="shared" si="1"/>
        <v/>
      </c>
      <c r="C59" s="4" t="str">
        <f>IF(Repo!C63="","",Repo!C63)</f>
        <v/>
      </c>
      <c r="D59" s="4" t="str">
        <f>IF(Repo!D63="","",Repo!D63)</f>
        <v/>
      </c>
      <c r="E59" s="62">
        <f ca="1">IF(A59="",0,IF(LEFT(C59,3) = "USB",100*(1-_xll.BDP(D59 &amp; " Govt",E$1)*(B59-TODAY()+1)/36000),_xll.BDP(D59 &amp; " Govt",E$1)))</f>
        <v>0</v>
      </c>
      <c r="F59" s="62">
        <f>IF(A59="",0,IF(LEFT(D59,1) = "B",0,_xll.BDP(D59 &amp; " Govt",F$1)))</f>
        <v>0</v>
      </c>
      <c r="G59" s="9">
        <f>IF(Stock!B59="",0,IF(ISNUMBER($E59),($E59+$F59)*Stock!B59/100,Stock!B59))</f>
        <v>0</v>
      </c>
      <c r="H59" s="9">
        <f ca="1">IF(Stock!C59="",0,IF(ISNUMBER($E59),($E59+$F59)*Stock!C59/100,Stock!C59))</f>
        <v>0</v>
      </c>
      <c r="I59" s="9">
        <f ca="1">IF(Stock!D59="",0,IF(ISNUMBER($E59),($E59+$F59)*Stock!D59/100,Stock!D59))</f>
        <v>0</v>
      </c>
      <c r="J59" s="9">
        <f ca="1">IF(Stock!E59="",0,IF(ISNUMBER($E59),($E59+$F59)*Stock!E59/100,Stock!E59))</f>
        <v>0</v>
      </c>
      <c r="K59" s="9">
        <f ca="1">IF(Stock!F59="",0,IF(ISNUMBER($E59),($E59+$F59)*Stock!F59/100,Stock!F59))</f>
        <v>0</v>
      </c>
      <c r="L59" s="9">
        <f ca="1">IF(Stock!G59="",0,IF(ISNUMBER($E59),($E59+$F59)*Stock!G59/100,Stock!G59))</f>
        <v>0</v>
      </c>
      <c r="M59" s="9">
        <f ca="1">IF(Stock!H59="",0,IF(ISNUMBER($E59),($E59+$F59)*Stock!H59/100,Stock!H59))</f>
        <v>0</v>
      </c>
      <c r="N59" s="9">
        <f ca="1">IF(Stock!I59="",0,IF(ISNUMBER($E59),($E59+$F59)*Stock!I59/100,Stock!I59))</f>
        <v>0</v>
      </c>
      <c r="O59" s="9">
        <f ca="1">IF(Stock!J59="",0,IF(ISNUMBER($E59),($E59+$F59)*Stock!J59/100,Stock!J59))</f>
        <v>0</v>
      </c>
      <c r="P59" s="9">
        <f ca="1">IF(Stock!K59="",0,IF(ISNUMBER($E59),($E59+$F59)*Stock!K59/100,Stock!K59))</f>
        <v>0</v>
      </c>
      <c r="Q59" s="9">
        <f ca="1">IF(Stock!L59="",0,IF(ISNUMBER($E59),($E59+$F59)*Stock!L59/100,Stock!L59))</f>
        <v>0</v>
      </c>
      <c r="R59" s="9">
        <f ca="1">IF(Stock!M59="",0,IF(ISNUMBER($E59),($E59+$F59)*Stock!M59/100,Stock!M59))</f>
        <v>0</v>
      </c>
      <c r="S59" s="9">
        <f ca="1">IF(Stock!N59="",0,IF(ISNUMBER($E59),($E59+$F59)*Stock!N59/100,Stock!N59))</f>
        <v>0</v>
      </c>
      <c r="T59" s="9">
        <f ca="1">IF(Stock!O59="",0,IF(ISNUMBER($E59),($E59+$F59)*Stock!O59/100,Stock!O59))</f>
        <v>0</v>
      </c>
      <c r="U59" s="9">
        <f ca="1">IF(Stock!P59="",0,IF(ISNUMBER($E59),($E59+$F59)*Stock!P59/100,Stock!P59))</f>
        <v>0</v>
      </c>
      <c r="V59" s="9">
        <f ca="1">IF(Stock!Q59="",0,IF(ISNUMBER($E59),($E59+$F59)*Stock!Q59/100,Stock!Q59))</f>
        <v>0</v>
      </c>
      <c r="W59" s="9">
        <f ca="1">IF(Stock!R59="",0,IF(ISNUMBER($E59),($E59+$F59)*Stock!R59/100,Stock!R59))</f>
        <v>0</v>
      </c>
      <c r="X59" s="9">
        <f ca="1">IF(Stock!S59="",0,IF(ISNUMBER($E59),($E59+$F59)*Stock!S59/100,Stock!S59))</f>
        <v>0</v>
      </c>
      <c r="Y59" s="9">
        <f ca="1">IF(Stock!T59="",0,IF(ISNUMBER($E59),($E59+$F59)*Stock!T59/100,Stock!T59))</f>
        <v>0</v>
      </c>
      <c r="Z59" s="9">
        <f ca="1">IF(Stock!U59="",0,IF(ISNUMBER($E59),($E59+$F59)*Stock!U59/100,Stock!U59))</f>
        <v>0</v>
      </c>
      <c r="AA59" s="9">
        <f ca="1">IF(Stock!V59="",0,IF(ISNUMBER($E59),($E59+$F59)*Stock!V59/100,Stock!V59))</f>
        <v>0</v>
      </c>
      <c r="AB59" s="9">
        <f ca="1">IF(Stock!W59="",0,IF(ISNUMBER($E59),($E59+$F59)*Stock!W59/100,Stock!W59))</f>
        <v>0</v>
      </c>
      <c r="AC59" s="9">
        <f ca="1">IF(Stock!X59="",0,IF(ISNUMBER($E59),($E59+$F59)*Stock!X59/100,Stock!X59))</f>
        <v>0</v>
      </c>
      <c r="AD59" s="9">
        <f ca="1">IF(Stock!Y59="",0,IF(ISNUMBER($E59),($E59+$F59)*Stock!Y59/100,Stock!Y59))</f>
        <v>0</v>
      </c>
      <c r="AE59" s="9">
        <f ca="1">IF(Stock!Z59="",0,IF(ISNUMBER($E59),($E59+$F59)*Stock!Z59/100,Stock!Z59))</f>
        <v>0</v>
      </c>
      <c r="AF59" s="9">
        <f ca="1">IF(Stock!AA59="",0,IF(ISNUMBER($E59),($E59+$F59)*Stock!AA59/100,Stock!AA59))</f>
        <v>0</v>
      </c>
      <c r="AG59" s="9">
        <f ca="1">IF(Stock!AB59="",0,IF(ISNUMBER($E59),($E59+$F59)*Stock!AB59/100,Stock!AB59))</f>
        <v>0</v>
      </c>
      <c r="AH59" s="9">
        <f ca="1">IF(Stock!AC59="",0,IF(ISNUMBER($E59),($E59+$F59)*Stock!AC59/100,Stock!AC59))</f>
        <v>0</v>
      </c>
      <c r="AI59" s="9">
        <f ca="1">IF(Stock!AD59="",0,IF(ISNUMBER($E59),($E59+$F59)*Stock!AD59/100,Stock!AD59))</f>
        <v>0</v>
      </c>
      <c r="AJ59" s="9">
        <f ca="1">IF(Stock!AE59="",0,IF(ISNUMBER($E59),($E59+$F59)*Stock!AE59/100,Stock!AE59))</f>
        <v>0</v>
      </c>
      <c r="AK59" s="9">
        <f ca="1">IF(Stock!AF59="",0,IF(ISNUMBER($E59),($E59+$F59)*Stock!AF59/100,Stock!AF59))</f>
        <v>0</v>
      </c>
      <c r="AL59" s="9">
        <f ca="1">IF(Stock!AG59="",0,IF(ISNUMBER($E59),($E59+$F59)*Stock!AG59/100,Stock!AG59))</f>
        <v>0</v>
      </c>
      <c r="AM59" s="9">
        <f ca="1">IF(Stock!AH59="",0,IF(ISNUMBER($E59),($E59+$F59)*Stock!AH59/100,Stock!AH59))</f>
        <v>0</v>
      </c>
      <c r="AN59" s="9">
        <f ca="1">IF(Stock!AI59="",0,IF(ISNUMBER($E59),($E59+$F59)*Stock!AI59/100,Stock!AI59))</f>
        <v>0</v>
      </c>
      <c r="AO59" s="9">
        <f ca="1">IF(Stock!AJ59="",0,IF(ISNUMBER($E59),($E59+$F59)*Stock!AJ59/100,Stock!AJ59))</f>
        <v>0</v>
      </c>
      <c r="AP59" s="9">
        <f ca="1">IF(Stock!AK59="",0,IF(ISNUMBER($E59),($E59+$F59)*Stock!AK59/100,Stock!AK59))</f>
        <v>0</v>
      </c>
      <c r="AQ59" s="9">
        <f ca="1">IF(Stock!AL59="",0,IF(ISNUMBER($E59),($E59+$F59)*Stock!AL59/100,Stock!AL59))</f>
        <v>0</v>
      </c>
      <c r="AR59" s="9">
        <f ca="1">IF(Stock!AM59="",0,IF(ISNUMBER($E59),($E59+$F59)*Stock!AM59/100,Stock!AM59))</f>
        <v>0</v>
      </c>
      <c r="AS59" s="9">
        <f ca="1">IF(Stock!AN59="",0,IF(ISNUMBER($E59),($E59+$F59)*Stock!AN59/100,Stock!AN59))</f>
        <v>0</v>
      </c>
      <c r="AT59" s="9">
        <f ca="1">IF(Stock!AO59="",0,IF(ISNUMBER($E59),($E59+$F59)*Stock!AO59/100,Stock!AO59))</f>
        <v>0</v>
      </c>
      <c r="AU59" s="9">
        <f ca="1">IF(Stock!AP59="",0,IF(ISNUMBER($E59),($E59+$F59)*Stock!AP59/100,Stock!AP59))</f>
        <v>0</v>
      </c>
      <c r="AV59" s="9">
        <f ca="1">IF(Stock!AQ59="",0,IF(ISNUMBER($E59),($E59+$F59)*Stock!AQ59/100,Stock!AQ59))</f>
        <v>0</v>
      </c>
      <c r="AW59" s="9">
        <f ca="1">IF(Stock!AR59="",0,IF(ISNUMBER($E59),($E59+$F59)*Stock!AR59/100,Stock!AR59))</f>
        <v>0</v>
      </c>
      <c r="AX59" s="9">
        <f ca="1">IF(Stock!AS59="",0,IF(ISNUMBER($E59),($E59+$F59)*Stock!AS59/100,Stock!AS59))</f>
        <v>0</v>
      </c>
      <c r="AY59" s="9">
        <f ca="1">IF(Stock!AT59="",0,IF(ISNUMBER($E59),($E59+$F59)*Stock!AT59/100,Stock!AT59))</f>
        <v>0</v>
      </c>
      <c r="AZ59" s="9">
        <f ca="1">IF(Stock!AU59="",0,IF(ISNUMBER($E59),($E59+$F59)*Stock!AU59/100,Stock!AU59))</f>
        <v>0</v>
      </c>
      <c r="BA59" s="9">
        <f ca="1">IF(Stock!AV59="",0,IF(ISNUMBER($E59),($E59+$F59)*Stock!AV59/100,Stock!AV59))</f>
        <v>0</v>
      </c>
      <c r="BB59" s="9">
        <f ca="1">IF(Stock!AW59="",0,IF(ISNUMBER($E59),($E59+$F59)*Stock!AW59/100,Stock!AW59))</f>
        <v>0</v>
      </c>
      <c r="BC59" s="9">
        <f ca="1">IF(Stock!AX59="",0,IF(ISNUMBER($E59),($E59+$F59)*Stock!AX59/100,Stock!AX59))</f>
        <v>0</v>
      </c>
    </row>
    <row r="60" spans="1:55" x14ac:dyDescent="0.3">
      <c r="A60" s="2" t="str">
        <f t="shared" si="0"/>
        <v/>
      </c>
      <c r="B60" s="3" t="str">
        <f t="shared" si="1"/>
        <v/>
      </c>
      <c r="C60" s="4" t="str">
        <f>IF(Repo!C64="","",Repo!C64)</f>
        <v/>
      </c>
      <c r="D60" s="4" t="str">
        <f>IF(Repo!D64="","",Repo!D64)</f>
        <v/>
      </c>
      <c r="E60" s="62">
        <f ca="1">IF(A60="",0,IF(LEFT(C60,3) = "USB",100*(1-_xll.BDP(D60 &amp; " Govt",E$1)*(B60-TODAY()+1)/36000),_xll.BDP(D60 &amp; " Govt",E$1)))</f>
        <v>0</v>
      </c>
      <c r="F60" s="62">
        <f>IF(A60="",0,IF(LEFT(D60,1) = "B",0,_xll.BDP(D60 &amp; " Govt",F$1)))</f>
        <v>0</v>
      </c>
      <c r="G60" s="9">
        <f>IF(Stock!B60="",0,IF(ISNUMBER($E60),($E60+$F60)*Stock!B60/100,Stock!B60))</f>
        <v>0</v>
      </c>
      <c r="H60" s="9">
        <f ca="1">IF(Stock!C60="",0,IF(ISNUMBER($E60),($E60+$F60)*Stock!C60/100,Stock!C60))</f>
        <v>0</v>
      </c>
      <c r="I60" s="9">
        <f ca="1">IF(Stock!D60="",0,IF(ISNUMBER($E60),($E60+$F60)*Stock!D60/100,Stock!D60))</f>
        <v>0</v>
      </c>
      <c r="J60" s="9">
        <f ca="1">IF(Stock!E60="",0,IF(ISNUMBER($E60),($E60+$F60)*Stock!E60/100,Stock!E60))</f>
        <v>0</v>
      </c>
      <c r="K60" s="9">
        <f ca="1">IF(Stock!F60="",0,IF(ISNUMBER($E60),($E60+$F60)*Stock!F60/100,Stock!F60))</f>
        <v>0</v>
      </c>
      <c r="L60" s="9">
        <f ca="1">IF(Stock!G60="",0,IF(ISNUMBER($E60),($E60+$F60)*Stock!G60/100,Stock!G60))</f>
        <v>0</v>
      </c>
      <c r="M60" s="9">
        <f ca="1">IF(Stock!H60="",0,IF(ISNUMBER($E60),($E60+$F60)*Stock!H60/100,Stock!H60))</f>
        <v>0</v>
      </c>
      <c r="N60" s="9">
        <f ca="1">IF(Stock!I60="",0,IF(ISNUMBER($E60),($E60+$F60)*Stock!I60/100,Stock!I60))</f>
        <v>0</v>
      </c>
      <c r="O60" s="9">
        <f ca="1">IF(Stock!J60="",0,IF(ISNUMBER($E60),($E60+$F60)*Stock!J60/100,Stock!J60))</f>
        <v>0</v>
      </c>
      <c r="P60" s="9">
        <f ca="1">IF(Stock!K60="",0,IF(ISNUMBER($E60),($E60+$F60)*Stock!K60/100,Stock!K60))</f>
        <v>0</v>
      </c>
      <c r="Q60" s="9">
        <f ca="1">IF(Stock!L60="",0,IF(ISNUMBER($E60),($E60+$F60)*Stock!L60/100,Stock!L60))</f>
        <v>0</v>
      </c>
      <c r="R60" s="9">
        <f ca="1">IF(Stock!M60="",0,IF(ISNUMBER($E60),($E60+$F60)*Stock!M60/100,Stock!M60))</f>
        <v>0</v>
      </c>
      <c r="S60" s="9">
        <f ca="1">IF(Stock!N60="",0,IF(ISNUMBER($E60),($E60+$F60)*Stock!N60/100,Stock!N60))</f>
        <v>0</v>
      </c>
      <c r="T60" s="9">
        <f ca="1">IF(Stock!O60="",0,IF(ISNUMBER($E60),($E60+$F60)*Stock!O60/100,Stock!O60))</f>
        <v>0</v>
      </c>
      <c r="U60" s="9">
        <f ca="1">IF(Stock!P60="",0,IF(ISNUMBER($E60),($E60+$F60)*Stock!P60/100,Stock!P60))</f>
        <v>0</v>
      </c>
      <c r="V60" s="9">
        <f ca="1">IF(Stock!Q60="",0,IF(ISNUMBER($E60),($E60+$F60)*Stock!Q60/100,Stock!Q60))</f>
        <v>0</v>
      </c>
      <c r="W60" s="9">
        <f ca="1">IF(Stock!R60="",0,IF(ISNUMBER($E60),($E60+$F60)*Stock!R60/100,Stock!R60))</f>
        <v>0</v>
      </c>
      <c r="X60" s="9">
        <f ca="1">IF(Stock!S60="",0,IF(ISNUMBER($E60),($E60+$F60)*Stock!S60/100,Stock!S60))</f>
        <v>0</v>
      </c>
      <c r="Y60" s="9">
        <f ca="1">IF(Stock!T60="",0,IF(ISNUMBER($E60),($E60+$F60)*Stock!T60/100,Stock!T60))</f>
        <v>0</v>
      </c>
      <c r="Z60" s="9">
        <f ca="1">IF(Stock!U60="",0,IF(ISNUMBER($E60),($E60+$F60)*Stock!U60/100,Stock!U60))</f>
        <v>0</v>
      </c>
      <c r="AA60" s="9">
        <f ca="1">IF(Stock!V60="",0,IF(ISNUMBER($E60),($E60+$F60)*Stock!V60/100,Stock!V60))</f>
        <v>0</v>
      </c>
      <c r="AB60" s="9">
        <f ca="1">IF(Stock!W60="",0,IF(ISNUMBER($E60),($E60+$F60)*Stock!W60/100,Stock!W60))</f>
        <v>0</v>
      </c>
      <c r="AC60" s="9">
        <f ca="1">IF(Stock!X60="",0,IF(ISNUMBER($E60),($E60+$F60)*Stock!X60/100,Stock!X60))</f>
        <v>0</v>
      </c>
      <c r="AD60" s="9">
        <f ca="1">IF(Stock!Y60="",0,IF(ISNUMBER($E60),($E60+$F60)*Stock!Y60/100,Stock!Y60))</f>
        <v>0</v>
      </c>
      <c r="AE60" s="9">
        <f ca="1">IF(Stock!Z60="",0,IF(ISNUMBER($E60),($E60+$F60)*Stock!Z60/100,Stock!Z60))</f>
        <v>0</v>
      </c>
      <c r="AF60" s="9">
        <f ca="1">IF(Stock!AA60="",0,IF(ISNUMBER($E60),($E60+$F60)*Stock!AA60/100,Stock!AA60))</f>
        <v>0</v>
      </c>
      <c r="AG60" s="9">
        <f ca="1">IF(Stock!AB60="",0,IF(ISNUMBER($E60),($E60+$F60)*Stock!AB60/100,Stock!AB60))</f>
        <v>0</v>
      </c>
      <c r="AH60" s="9">
        <f ca="1">IF(Stock!AC60="",0,IF(ISNUMBER($E60),($E60+$F60)*Stock!AC60/100,Stock!AC60))</f>
        <v>0</v>
      </c>
      <c r="AI60" s="9">
        <f ca="1">IF(Stock!AD60="",0,IF(ISNUMBER($E60),($E60+$F60)*Stock!AD60/100,Stock!AD60))</f>
        <v>0</v>
      </c>
      <c r="AJ60" s="9">
        <f ca="1">IF(Stock!AE60="",0,IF(ISNUMBER($E60),($E60+$F60)*Stock!AE60/100,Stock!AE60))</f>
        <v>0</v>
      </c>
      <c r="AK60" s="9">
        <f ca="1">IF(Stock!AF60="",0,IF(ISNUMBER($E60),($E60+$F60)*Stock!AF60/100,Stock!AF60))</f>
        <v>0</v>
      </c>
      <c r="AL60" s="9">
        <f ca="1">IF(Stock!AG60="",0,IF(ISNUMBER($E60),($E60+$F60)*Stock!AG60/100,Stock!AG60))</f>
        <v>0</v>
      </c>
      <c r="AM60" s="9">
        <f ca="1">IF(Stock!AH60="",0,IF(ISNUMBER($E60),($E60+$F60)*Stock!AH60/100,Stock!AH60))</f>
        <v>0</v>
      </c>
      <c r="AN60" s="9">
        <f ca="1">IF(Stock!AI60="",0,IF(ISNUMBER($E60),($E60+$F60)*Stock!AI60/100,Stock!AI60))</f>
        <v>0</v>
      </c>
      <c r="AO60" s="9">
        <f ca="1">IF(Stock!AJ60="",0,IF(ISNUMBER($E60),($E60+$F60)*Stock!AJ60/100,Stock!AJ60))</f>
        <v>0</v>
      </c>
      <c r="AP60" s="9">
        <f ca="1">IF(Stock!AK60="",0,IF(ISNUMBER($E60),($E60+$F60)*Stock!AK60/100,Stock!AK60))</f>
        <v>0</v>
      </c>
      <c r="AQ60" s="9">
        <f ca="1">IF(Stock!AL60="",0,IF(ISNUMBER($E60),($E60+$F60)*Stock!AL60/100,Stock!AL60))</f>
        <v>0</v>
      </c>
      <c r="AR60" s="9">
        <f ca="1">IF(Stock!AM60="",0,IF(ISNUMBER($E60),($E60+$F60)*Stock!AM60/100,Stock!AM60))</f>
        <v>0</v>
      </c>
      <c r="AS60" s="9">
        <f ca="1">IF(Stock!AN60="",0,IF(ISNUMBER($E60),($E60+$F60)*Stock!AN60/100,Stock!AN60))</f>
        <v>0</v>
      </c>
      <c r="AT60" s="9">
        <f ca="1">IF(Stock!AO60="",0,IF(ISNUMBER($E60),($E60+$F60)*Stock!AO60/100,Stock!AO60))</f>
        <v>0</v>
      </c>
      <c r="AU60" s="9">
        <f ca="1">IF(Stock!AP60="",0,IF(ISNUMBER($E60),($E60+$F60)*Stock!AP60/100,Stock!AP60))</f>
        <v>0</v>
      </c>
      <c r="AV60" s="9">
        <f ca="1">IF(Stock!AQ60="",0,IF(ISNUMBER($E60),($E60+$F60)*Stock!AQ60/100,Stock!AQ60))</f>
        <v>0</v>
      </c>
      <c r="AW60" s="9">
        <f ca="1">IF(Stock!AR60="",0,IF(ISNUMBER($E60),($E60+$F60)*Stock!AR60/100,Stock!AR60))</f>
        <v>0</v>
      </c>
      <c r="AX60" s="9">
        <f ca="1">IF(Stock!AS60="",0,IF(ISNUMBER($E60),($E60+$F60)*Stock!AS60/100,Stock!AS60))</f>
        <v>0</v>
      </c>
      <c r="AY60" s="9">
        <f ca="1">IF(Stock!AT60="",0,IF(ISNUMBER($E60),($E60+$F60)*Stock!AT60/100,Stock!AT60))</f>
        <v>0</v>
      </c>
      <c r="AZ60" s="9">
        <f ca="1">IF(Stock!AU60="",0,IF(ISNUMBER($E60),($E60+$F60)*Stock!AU60/100,Stock!AU60))</f>
        <v>0</v>
      </c>
      <c r="BA60" s="9">
        <f ca="1">IF(Stock!AV60="",0,IF(ISNUMBER($E60),($E60+$F60)*Stock!AV60/100,Stock!AV60))</f>
        <v>0</v>
      </c>
      <c r="BB60" s="9">
        <f ca="1">IF(Stock!AW60="",0,IF(ISNUMBER($E60),($E60+$F60)*Stock!AW60/100,Stock!AW60))</f>
        <v>0</v>
      </c>
      <c r="BC60" s="9">
        <f ca="1">IF(Stock!AX60="",0,IF(ISNUMBER($E60),($E60+$F60)*Stock!AX60/100,Stock!AX60))</f>
        <v>0</v>
      </c>
    </row>
    <row r="61" spans="1:55" x14ac:dyDescent="0.3">
      <c r="A61" s="2" t="str">
        <f t="shared" si="0"/>
        <v/>
      </c>
      <c r="B61" s="3" t="str">
        <f t="shared" si="1"/>
        <v/>
      </c>
      <c r="C61" s="4" t="str">
        <f>IF(Repo!C65="","",Repo!C65)</f>
        <v/>
      </c>
      <c r="D61" s="4" t="str">
        <f>IF(Repo!D65="","",Repo!D65)</f>
        <v/>
      </c>
      <c r="E61" s="62">
        <f ca="1">IF(A61="",0,IF(LEFT(C61,3) = "USB",100*(1-_xll.BDP(D61 &amp; " Govt",E$1)*(B61-TODAY()+1)/36000),_xll.BDP(D61 &amp; " Govt",E$1)))</f>
        <v>0</v>
      </c>
      <c r="F61" s="62">
        <f>IF(A61="",0,IF(LEFT(D61,1) = "B",0,_xll.BDP(D61 &amp; " Govt",F$1)))</f>
        <v>0</v>
      </c>
      <c r="G61" s="9">
        <f>IF(Stock!B61="",0,IF(ISNUMBER($E61),($E61+$F61)*Stock!B61/100,Stock!B61))</f>
        <v>0</v>
      </c>
      <c r="H61" s="9">
        <f ca="1">IF(Stock!C61="",0,IF(ISNUMBER($E61),($E61+$F61)*Stock!C61/100,Stock!C61))</f>
        <v>0</v>
      </c>
      <c r="I61" s="9">
        <f ca="1">IF(Stock!D61="",0,IF(ISNUMBER($E61),($E61+$F61)*Stock!D61/100,Stock!D61))</f>
        <v>0</v>
      </c>
      <c r="J61" s="9">
        <f ca="1">IF(Stock!E61="",0,IF(ISNUMBER($E61),($E61+$F61)*Stock!E61/100,Stock!E61))</f>
        <v>0</v>
      </c>
      <c r="K61" s="9">
        <f ca="1">IF(Stock!F61="",0,IF(ISNUMBER($E61),($E61+$F61)*Stock!F61/100,Stock!F61))</f>
        <v>0</v>
      </c>
      <c r="L61" s="9">
        <f ca="1">IF(Stock!G61="",0,IF(ISNUMBER($E61),($E61+$F61)*Stock!G61/100,Stock!G61))</f>
        <v>0</v>
      </c>
      <c r="M61" s="9">
        <f ca="1">IF(Stock!H61="",0,IF(ISNUMBER($E61),($E61+$F61)*Stock!H61/100,Stock!H61))</f>
        <v>0</v>
      </c>
      <c r="N61" s="9">
        <f ca="1">IF(Stock!I61="",0,IF(ISNUMBER($E61),($E61+$F61)*Stock!I61/100,Stock!I61))</f>
        <v>0</v>
      </c>
      <c r="O61" s="9">
        <f ca="1">IF(Stock!J61="",0,IF(ISNUMBER($E61),($E61+$F61)*Stock!J61/100,Stock!J61))</f>
        <v>0</v>
      </c>
      <c r="P61" s="9">
        <f ca="1">IF(Stock!K61="",0,IF(ISNUMBER($E61),($E61+$F61)*Stock!K61/100,Stock!K61))</f>
        <v>0</v>
      </c>
      <c r="Q61" s="9">
        <f ca="1">IF(Stock!L61="",0,IF(ISNUMBER($E61),($E61+$F61)*Stock!L61/100,Stock!L61))</f>
        <v>0</v>
      </c>
      <c r="R61" s="9">
        <f ca="1">IF(Stock!M61="",0,IF(ISNUMBER($E61),($E61+$F61)*Stock!M61/100,Stock!M61))</f>
        <v>0</v>
      </c>
      <c r="S61" s="9">
        <f ca="1">IF(Stock!N61="",0,IF(ISNUMBER($E61),($E61+$F61)*Stock!N61/100,Stock!N61))</f>
        <v>0</v>
      </c>
      <c r="T61" s="9">
        <f ca="1">IF(Stock!O61="",0,IF(ISNUMBER($E61),($E61+$F61)*Stock!O61/100,Stock!O61))</f>
        <v>0</v>
      </c>
      <c r="U61" s="9">
        <f ca="1">IF(Stock!P61="",0,IF(ISNUMBER($E61),($E61+$F61)*Stock!P61/100,Stock!P61))</f>
        <v>0</v>
      </c>
      <c r="V61" s="9">
        <f ca="1">IF(Stock!Q61="",0,IF(ISNUMBER($E61),($E61+$F61)*Stock!Q61/100,Stock!Q61))</f>
        <v>0</v>
      </c>
      <c r="W61" s="9">
        <f ca="1">IF(Stock!R61="",0,IF(ISNUMBER($E61),($E61+$F61)*Stock!R61/100,Stock!R61))</f>
        <v>0</v>
      </c>
      <c r="X61" s="9">
        <f ca="1">IF(Stock!S61="",0,IF(ISNUMBER($E61),($E61+$F61)*Stock!S61/100,Stock!S61))</f>
        <v>0</v>
      </c>
      <c r="Y61" s="9">
        <f ca="1">IF(Stock!T61="",0,IF(ISNUMBER($E61),($E61+$F61)*Stock!T61/100,Stock!T61))</f>
        <v>0</v>
      </c>
      <c r="Z61" s="9">
        <f ca="1">IF(Stock!U61="",0,IF(ISNUMBER($E61),($E61+$F61)*Stock!U61/100,Stock!U61))</f>
        <v>0</v>
      </c>
      <c r="AA61" s="9">
        <f ca="1">IF(Stock!V61="",0,IF(ISNUMBER($E61),($E61+$F61)*Stock!V61/100,Stock!V61))</f>
        <v>0</v>
      </c>
      <c r="AB61" s="9">
        <f ca="1">IF(Stock!W61="",0,IF(ISNUMBER($E61),($E61+$F61)*Stock!W61/100,Stock!W61))</f>
        <v>0</v>
      </c>
      <c r="AC61" s="9">
        <f ca="1">IF(Stock!X61="",0,IF(ISNUMBER($E61),($E61+$F61)*Stock!X61/100,Stock!X61))</f>
        <v>0</v>
      </c>
      <c r="AD61" s="9">
        <f ca="1">IF(Stock!Y61="",0,IF(ISNUMBER($E61),($E61+$F61)*Stock!Y61/100,Stock!Y61))</f>
        <v>0</v>
      </c>
      <c r="AE61" s="9">
        <f ca="1">IF(Stock!Z61="",0,IF(ISNUMBER($E61),($E61+$F61)*Stock!Z61/100,Stock!Z61))</f>
        <v>0</v>
      </c>
      <c r="AF61" s="9">
        <f ca="1">IF(Stock!AA61="",0,IF(ISNUMBER($E61),($E61+$F61)*Stock!AA61/100,Stock!AA61))</f>
        <v>0</v>
      </c>
      <c r="AG61" s="9">
        <f ca="1">IF(Stock!AB61="",0,IF(ISNUMBER($E61),($E61+$F61)*Stock!AB61/100,Stock!AB61))</f>
        <v>0</v>
      </c>
      <c r="AH61" s="9">
        <f ca="1">IF(Stock!AC61="",0,IF(ISNUMBER($E61),($E61+$F61)*Stock!AC61/100,Stock!AC61))</f>
        <v>0</v>
      </c>
      <c r="AI61" s="9">
        <f ca="1">IF(Stock!AD61="",0,IF(ISNUMBER($E61),($E61+$F61)*Stock!AD61/100,Stock!AD61))</f>
        <v>0</v>
      </c>
      <c r="AJ61" s="9">
        <f ca="1">IF(Stock!AE61="",0,IF(ISNUMBER($E61),($E61+$F61)*Stock!AE61/100,Stock!AE61))</f>
        <v>0</v>
      </c>
      <c r="AK61" s="9">
        <f ca="1">IF(Stock!AF61="",0,IF(ISNUMBER($E61),($E61+$F61)*Stock!AF61/100,Stock!AF61))</f>
        <v>0</v>
      </c>
      <c r="AL61" s="9">
        <f ca="1">IF(Stock!AG61="",0,IF(ISNUMBER($E61),($E61+$F61)*Stock!AG61/100,Stock!AG61))</f>
        <v>0</v>
      </c>
      <c r="AM61" s="9">
        <f ca="1">IF(Stock!AH61="",0,IF(ISNUMBER($E61),($E61+$F61)*Stock!AH61/100,Stock!AH61))</f>
        <v>0</v>
      </c>
      <c r="AN61" s="9">
        <f ca="1">IF(Stock!AI61="",0,IF(ISNUMBER($E61),($E61+$F61)*Stock!AI61/100,Stock!AI61))</f>
        <v>0</v>
      </c>
      <c r="AO61" s="9">
        <f ca="1">IF(Stock!AJ61="",0,IF(ISNUMBER($E61),($E61+$F61)*Stock!AJ61/100,Stock!AJ61))</f>
        <v>0</v>
      </c>
      <c r="AP61" s="9">
        <f ca="1">IF(Stock!AK61="",0,IF(ISNUMBER($E61),($E61+$F61)*Stock!AK61/100,Stock!AK61))</f>
        <v>0</v>
      </c>
      <c r="AQ61" s="9">
        <f ca="1">IF(Stock!AL61="",0,IF(ISNUMBER($E61),($E61+$F61)*Stock!AL61/100,Stock!AL61))</f>
        <v>0</v>
      </c>
      <c r="AR61" s="9">
        <f ca="1">IF(Stock!AM61="",0,IF(ISNUMBER($E61),($E61+$F61)*Stock!AM61/100,Stock!AM61))</f>
        <v>0</v>
      </c>
      <c r="AS61" s="9">
        <f ca="1">IF(Stock!AN61="",0,IF(ISNUMBER($E61),($E61+$F61)*Stock!AN61/100,Stock!AN61))</f>
        <v>0</v>
      </c>
      <c r="AT61" s="9">
        <f ca="1">IF(Stock!AO61="",0,IF(ISNUMBER($E61),($E61+$F61)*Stock!AO61/100,Stock!AO61))</f>
        <v>0</v>
      </c>
      <c r="AU61" s="9">
        <f ca="1">IF(Stock!AP61="",0,IF(ISNUMBER($E61),($E61+$F61)*Stock!AP61/100,Stock!AP61))</f>
        <v>0</v>
      </c>
      <c r="AV61" s="9">
        <f ca="1">IF(Stock!AQ61="",0,IF(ISNUMBER($E61),($E61+$F61)*Stock!AQ61/100,Stock!AQ61))</f>
        <v>0</v>
      </c>
      <c r="AW61" s="9">
        <f ca="1">IF(Stock!AR61="",0,IF(ISNUMBER($E61),($E61+$F61)*Stock!AR61/100,Stock!AR61))</f>
        <v>0</v>
      </c>
      <c r="AX61" s="9">
        <f ca="1">IF(Stock!AS61="",0,IF(ISNUMBER($E61),($E61+$F61)*Stock!AS61/100,Stock!AS61))</f>
        <v>0</v>
      </c>
      <c r="AY61" s="9">
        <f ca="1">IF(Stock!AT61="",0,IF(ISNUMBER($E61),($E61+$F61)*Stock!AT61/100,Stock!AT61))</f>
        <v>0</v>
      </c>
      <c r="AZ61" s="9">
        <f ca="1">IF(Stock!AU61="",0,IF(ISNUMBER($E61),($E61+$F61)*Stock!AU61/100,Stock!AU61))</f>
        <v>0</v>
      </c>
      <c r="BA61" s="9">
        <f ca="1">IF(Stock!AV61="",0,IF(ISNUMBER($E61),($E61+$F61)*Stock!AV61/100,Stock!AV61))</f>
        <v>0</v>
      </c>
      <c r="BB61" s="9">
        <f ca="1">IF(Stock!AW61="",0,IF(ISNUMBER($E61),($E61+$F61)*Stock!AW61/100,Stock!AW61))</f>
        <v>0</v>
      </c>
      <c r="BC61" s="9">
        <f ca="1">IF(Stock!AX61="",0,IF(ISNUMBER($E61),($E61+$F61)*Stock!AX61/100,Stock!AX61))</f>
        <v>0</v>
      </c>
    </row>
    <row r="62" spans="1:55" x14ac:dyDescent="0.3">
      <c r="A62" s="2" t="str">
        <f t="shared" si="0"/>
        <v/>
      </c>
      <c r="B62" s="3" t="str">
        <f t="shared" si="1"/>
        <v/>
      </c>
      <c r="C62" s="4" t="str">
        <f>IF(Repo!C66="","",Repo!C66)</f>
        <v/>
      </c>
      <c r="D62" s="4" t="str">
        <f>IF(Repo!D66="","",Repo!D66)</f>
        <v/>
      </c>
      <c r="E62" s="62">
        <f ca="1">IF(A62="",0,IF(LEFT(C62,3) = "USB",100*(1-_xll.BDP(D62 &amp; " Govt",E$1)*(B62-TODAY()+1)/36000),_xll.BDP(D62 &amp; " Govt",E$1)))</f>
        <v>0</v>
      </c>
      <c r="F62" s="62">
        <f>IF(A62="",0,IF(LEFT(D62,1) = "B",0,_xll.BDP(D62 &amp; " Govt",F$1)))</f>
        <v>0</v>
      </c>
      <c r="G62" s="9">
        <f>IF(Stock!B62="",0,IF(ISNUMBER($E62),($E62+$F62)*Stock!B62/100,Stock!B62))</f>
        <v>0</v>
      </c>
      <c r="H62" s="9">
        <f ca="1">IF(Stock!C62="",0,IF(ISNUMBER($E62),($E62+$F62)*Stock!C62/100,Stock!C62))</f>
        <v>0</v>
      </c>
      <c r="I62" s="9">
        <f ca="1">IF(Stock!D62="",0,IF(ISNUMBER($E62),($E62+$F62)*Stock!D62/100,Stock!D62))</f>
        <v>0</v>
      </c>
      <c r="J62" s="9">
        <f ca="1">IF(Stock!E62="",0,IF(ISNUMBER($E62),($E62+$F62)*Stock!E62/100,Stock!E62))</f>
        <v>0</v>
      </c>
      <c r="K62" s="9">
        <f ca="1">IF(Stock!F62="",0,IF(ISNUMBER($E62),($E62+$F62)*Stock!F62/100,Stock!F62))</f>
        <v>0</v>
      </c>
      <c r="L62" s="9">
        <f ca="1">IF(Stock!G62="",0,IF(ISNUMBER($E62),($E62+$F62)*Stock!G62/100,Stock!G62))</f>
        <v>0</v>
      </c>
      <c r="M62" s="9">
        <f ca="1">IF(Stock!H62="",0,IF(ISNUMBER($E62),($E62+$F62)*Stock!H62/100,Stock!H62))</f>
        <v>0</v>
      </c>
      <c r="N62" s="9">
        <f ca="1">IF(Stock!I62="",0,IF(ISNUMBER($E62),($E62+$F62)*Stock!I62/100,Stock!I62))</f>
        <v>0</v>
      </c>
      <c r="O62" s="9">
        <f ca="1">IF(Stock!J62="",0,IF(ISNUMBER($E62),($E62+$F62)*Stock!J62/100,Stock!J62))</f>
        <v>0</v>
      </c>
      <c r="P62" s="9">
        <f ca="1">IF(Stock!K62="",0,IF(ISNUMBER($E62),($E62+$F62)*Stock!K62/100,Stock!K62))</f>
        <v>0</v>
      </c>
      <c r="Q62" s="9">
        <f ca="1">IF(Stock!L62="",0,IF(ISNUMBER($E62),($E62+$F62)*Stock!L62/100,Stock!L62))</f>
        <v>0</v>
      </c>
      <c r="R62" s="9">
        <f ca="1">IF(Stock!M62="",0,IF(ISNUMBER($E62),($E62+$F62)*Stock!M62/100,Stock!M62))</f>
        <v>0</v>
      </c>
      <c r="S62" s="9">
        <f ca="1">IF(Stock!N62="",0,IF(ISNUMBER($E62),($E62+$F62)*Stock!N62/100,Stock!N62))</f>
        <v>0</v>
      </c>
      <c r="T62" s="9">
        <f ca="1">IF(Stock!O62="",0,IF(ISNUMBER($E62),($E62+$F62)*Stock!O62/100,Stock!O62))</f>
        <v>0</v>
      </c>
      <c r="U62" s="9">
        <f ca="1">IF(Stock!P62="",0,IF(ISNUMBER($E62),($E62+$F62)*Stock!P62/100,Stock!P62))</f>
        <v>0</v>
      </c>
      <c r="V62" s="9">
        <f ca="1">IF(Stock!Q62="",0,IF(ISNUMBER($E62),($E62+$F62)*Stock!Q62/100,Stock!Q62))</f>
        <v>0</v>
      </c>
      <c r="W62" s="9">
        <f ca="1">IF(Stock!R62="",0,IF(ISNUMBER($E62),($E62+$F62)*Stock!R62/100,Stock!R62))</f>
        <v>0</v>
      </c>
      <c r="X62" s="9">
        <f ca="1">IF(Stock!S62="",0,IF(ISNUMBER($E62),($E62+$F62)*Stock!S62/100,Stock!S62))</f>
        <v>0</v>
      </c>
      <c r="Y62" s="9">
        <f ca="1">IF(Stock!T62="",0,IF(ISNUMBER($E62),($E62+$F62)*Stock!T62/100,Stock!T62))</f>
        <v>0</v>
      </c>
      <c r="Z62" s="9">
        <f ca="1">IF(Stock!U62="",0,IF(ISNUMBER($E62),($E62+$F62)*Stock!U62/100,Stock!U62))</f>
        <v>0</v>
      </c>
      <c r="AA62" s="9">
        <f ca="1">IF(Stock!V62="",0,IF(ISNUMBER($E62),($E62+$F62)*Stock!V62/100,Stock!V62))</f>
        <v>0</v>
      </c>
      <c r="AB62" s="9">
        <f ca="1">IF(Stock!W62="",0,IF(ISNUMBER($E62),($E62+$F62)*Stock!W62/100,Stock!W62))</f>
        <v>0</v>
      </c>
      <c r="AC62" s="9">
        <f ca="1">IF(Stock!X62="",0,IF(ISNUMBER($E62),($E62+$F62)*Stock!X62/100,Stock!X62))</f>
        <v>0</v>
      </c>
      <c r="AD62" s="9">
        <f ca="1">IF(Stock!Y62="",0,IF(ISNUMBER($E62),($E62+$F62)*Stock!Y62/100,Stock!Y62))</f>
        <v>0</v>
      </c>
      <c r="AE62" s="9">
        <f ca="1">IF(Stock!Z62="",0,IF(ISNUMBER($E62),($E62+$F62)*Stock!Z62/100,Stock!Z62))</f>
        <v>0</v>
      </c>
      <c r="AF62" s="9">
        <f ca="1">IF(Stock!AA62="",0,IF(ISNUMBER($E62),($E62+$F62)*Stock!AA62/100,Stock!AA62))</f>
        <v>0</v>
      </c>
      <c r="AG62" s="9">
        <f ca="1">IF(Stock!AB62="",0,IF(ISNUMBER($E62),($E62+$F62)*Stock!AB62/100,Stock!AB62))</f>
        <v>0</v>
      </c>
      <c r="AH62" s="9">
        <f ca="1">IF(Stock!AC62="",0,IF(ISNUMBER($E62),($E62+$F62)*Stock!AC62/100,Stock!AC62))</f>
        <v>0</v>
      </c>
      <c r="AI62" s="9">
        <f ca="1">IF(Stock!AD62="",0,IF(ISNUMBER($E62),($E62+$F62)*Stock!AD62/100,Stock!AD62))</f>
        <v>0</v>
      </c>
      <c r="AJ62" s="9">
        <f ca="1">IF(Stock!AE62="",0,IF(ISNUMBER($E62),($E62+$F62)*Stock!AE62/100,Stock!AE62))</f>
        <v>0</v>
      </c>
      <c r="AK62" s="9">
        <f ca="1">IF(Stock!AF62="",0,IF(ISNUMBER($E62),($E62+$F62)*Stock!AF62/100,Stock!AF62))</f>
        <v>0</v>
      </c>
      <c r="AL62" s="9">
        <f ca="1">IF(Stock!AG62="",0,IF(ISNUMBER($E62),($E62+$F62)*Stock!AG62/100,Stock!AG62))</f>
        <v>0</v>
      </c>
      <c r="AM62" s="9">
        <f ca="1">IF(Stock!AH62="",0,IF(ISNUMBER($E62),($E62+$F62)*Stock!AH62/100,Stock!AH62))</f>
        <v>0</v>
      </c>
      <c r="AN62" s="9">
        <f ca="1">IF(Stock!AI62="",0,IF(ISNUMBER($E62),($E62+$F62)*Stock!AI62/100,Stock!AI62))</f>
        <v>0</v>
      </c>
      <c r="AO62" s="9">
        <f ca="1">IF(Stock!AJ62="",0,IF(ISNUMBER($E62),($E62+$F62)*Stock!AJ62/100,Stock!AJ62))</f>
        <v>0</v>
      </c>
      <c r="AP62" s="9">
        <f ca="1">IF(Stock!AK62="",0,IF(ISNUMBER($E62),($E62+$F62)*Stock!AK62/100,Stock!AK62))</f>
        <v>0</v>
      </c>
      <c r="AQ62" s="9">
        <f ca="1">IF(Stock!AL62="",0,IF(ISNUMBER($E62),($E62+$F62)*Stock!AL62/100,Stock!AL62))</f>
        <v>0</v>
      </c>
      <c r="AR62" s="9">
        <f ca="1">IF(Stock!AM62="",0,IF(ISNUMBER($E62),($E62+$F62)*Stock!AM62/100,Stock!AM62))</f>
        <v>0</v>
      </c>
      <c r="AS62" s="9">
        <f ca="1">IF(Stock!AN62="",0,IF(ISNUMBER($E62),($E62+$F62)*Stock!AN62/100,Stock!AN62))</f>
        <v>0</v>
      </c>
      <c r="AT62" s="9">
        <f ca="1">IF(Stock!AO62="",0,IF(ISNUMBER($E62),($E62+$F62)*Stock!AO62/100,Stock!AO62))</f>
        <v>0</v>
      </c>
      <c r="AU62" s="9">
        <f ca="1">IF(Stock!AP62="",0,IF(ISNUMBER($E62),($E62+$F62)*Stock!AP62/100,Stock!AP62))</f>
        <v>0</v>
      </c>
      <c r="AV62" s="9">
        <f ca="1">IF(Stock!AQ62="",0,IF(ISNUMBER($E62),($E62+$F62)*Stock!AQ62/100,Stock!AQ62))</f>
        <v>0</v>
      </c>
      <c r="AW62" s="9">
        <f ca="1">IF(Stock!AR62="",0,IF(ISNUMBER($E62),($E62+$F62)*Stock!AR62/100,Stock!AR62))</f>
        <v>0</v>
      </c>
      <c r="AX62" s="9">
        <f ca="1">IF(Stock!AS62="",0,IF(ISNUMBER($E62),($E62+$F62)*Stock!AS62/100,Stock!AS62))</f>
        <v>0</v>
      </c>
      <c r="AY62" s="9">
        <f ca="1">IF(Stock!AT62="",0,IF(ISNUMBER($E62),($E62+$F62)*Stock!AT62/100,Stock!AT62))</f>
        <v>0</v>
      </c>
      <c r="AZ62" s="9">
        <f ca="1">IF(Stock!AU62="",0,IF(ISNUMBER($E62),($E62+$F62)*Stock!AU62/100,Stock!AU62))</f>
        <v>0</v>
      </c>
      <c r="BA62" s="9">
        <f ca="1">IF(Stock!AV62="",0,IF(ISNUMBER($E62),($E62+$F62)*Stock!AV62/100,Stock!AV62))</f>
        <v>0</v>
      </c>
      <c r="BB62" s="9">
        <f ca="1">IF(Stock!AW62="",0,IF(ISNUMBER($E62),($E62+$F62)*Stock!AW62/100,Stock!AW62))</f>
        <v>0</v>
      </c>
      <c r="BC62" s="9">
        <f ca="1">IF(Stock!AX62="",0,IF(ISNUMBER($E62),($E62+$F62)*Stock!AX62/100,Stock!AX62))</f>
        <v>0</v>
      </c>
    </row>
    <row r="63" spans="1:55" x14ac:dyDescent="0.3">
      <c r="A63" s="2" t="str">
        <f t="shared" si="0"/>
        <v/>
      </c>
      <c r="B63" s="3" t="str">
        <f t="shared" si="1"/>
        <v/>
      </c>
      <c r="C63" s="4" t="str">
        <f>IF(Repo!C67="","",Repo!C67)</f>
        <v/>
      </c>
      <c r="D63" s="4" t="str">
        <f>IF(Repo!D67="","",Repo!D67)</f>
        <v/>
      </c>
      <c r="E63" s="62">
        <f ca="1">IF(A63="",0,IF(LEFT(C63,3) = "USB",100*(1-_xll.BDP(D63 &amp; " Govt",E$1)*(B63-TODAY()+1)/36000),_xll.BDP(D63 &amp; " Govt",E$1)))</f>
        <v>0</v>
      </c>
      <c r="F63" s="62">
        <f>IF(A63="",0,IF(LEFT(D63,1) = "B",0,_xll.BDP(D63 &amp; " Govt",F$1)))</f>
        <v>0</v>
      </c>
      <c r="G63" s="9">
        <f>IF(Stock!B63="",0,IF(ISNUMBER($E63),($E63+$F63)*Stock!B63/100,Stock!B63))</f>
        <v>0</v>
      </c>
      <c r="H63" s="9">
        <f ca="1">IF(Stock!C63="",0,IF(ISNUMBER($E63),($E63+$F63)*Stock!C63/100,Stock!C63))</f>
        <v>0</v>
      </c>
      <c r="I63" s="9">
        <f ca="1">IF(Stock!D63="",0,IF(ISNUMBER($E63),($E63+$F63)*Stock!D63/100,Stock!D63))</f>
        <v>0</v>
      </c>
      <c r="J63" s="9">
        <f ca="1">IF(Stock!E63="",0,IF(ISNUMBER($E63),($E63+$F63)*Stock!E63/100,Stock!E63))</f>
        <v>0</v>
      </c>
      <c r="K63" s="9">
        <f ca="1">IF(Stock!F63="",0,IF(ISNUMBER($E63),($E63+$F63)*Stock!F63/100,Stock!F63))</f>
        <v>0</v>
      </c>
      <c r="L63" s="9">
        <f ca="1">IF(Stock!G63="",0,IF(ISNUMBER($E63),($E63+$F63)*Stock!G63/100,Stock!G63))</f>
        <v>0</v>
      </c>
      <c r="M63" s="9">
        <f ca="1">IF(Stock!H63="",0,IF(ISNUMBER($E63),($E63+$F63)*Stock!H63/100,Stock!H63))</f>
        <v>0</v>
      </c>
      <c r="N63" s="9">
        <f ca="1">IF(Stock!I63="",0,IF(ISNUMBER($E63),($E63+$F63)*Stock!I63/100,Stock!I63))</f>
        <v>0</v>
      </c>
      <c r="O63" s="9">
        <f ca="1">IF(Stock!J63="",0,IF(ISNUMBER($E63),($E63+$F63)*Stock!J63/100,Stock!J63))</f>
        <v>0</v>
      </c>
      <c r="P63" s="9">
        <f ca="1">IF(Stock!K63="",0,IF(ISNUMBER($E63),($E63+$F63)*Stock!K63/100,Stock!K63))</f>
        <v>0</v>
      </c>
      <c r="Q63" s="9">
        <f ca="1">IF(Stock!L63="",0,IF(ISNUMBER($E63),($E63+$F63)*Stock!L63/100,Stock!L63))</f>
        <v>0</v>
      </c>
      <c r="R63" s="9">
        <f ca="1">IF(Stock!M63="",0,IF(ISNUMBER($E63),($E63+$F63)*Stock!M63/100,Stock!M63))</f>
        <v>0</v>
      </c>
      <c r="S63" s="9">
        <f ca="1">IF(Stock!N63="",0,IF(ISNUMBER($E63),($E63+$F63)*Stock!N63/100,Stock!N63))</f>
        <v>0</v>
      </c>
      <c r="T63" s="9">
        <f ca="1">IF(Stock!O63="",0,IF(ISNUMBER($E63),($E63+$F63)*Stock!O63/100,Stock!O63))</f>
        <v>0</v>
      </c>
      <c r="U63" s="9">
        <f ca="1">IF(Stock!P63="",0,IF(ISNUMBER($E63),($E63+$F63)*Stock!P63/100,Stock!P63))</f>
        <v>0</v>
      </c>
      <c r="V63" s="9">
        <f ca="1">IF(Stock!Q63="",0,IF(ISNUMBER($E63),($E63+$F63)*Stock!Q63/100,Stock!Q63))</f>
        <v>0</v>
      </c>
      <c r="W63" s="9">
        <f ca="1">IF(Stock!R63="",0,IF(ISNUMBER($E63),($E63+$F63)*Stock!R63/100,Stock!R63))</f>
        <v>0</v>
      </c>
      <c r="X63" s="9">
        <f ca="1">IF(Stock!S63="",0,IF(ISNUMBER($E63),($E63+$F63)*Stock!S63/100,Stock!S63))</f>
        <v>0</v>
      </c>
      <c r="Y63" s="9">
        <f ca="1">IF(Stock!T63="",0,IF(ISNUMBER($E63),($E63+$F63)*Stock!T63/100,Stock!T63))</f>
        <v>0</v>
      </c>
      <c r="Z63" s="9">
        <f ca="1">IF(Stock!U63="",0,IF(ISNUMBER($E63),($E63+$F63)*Stock!U63/100,Stock!U63))</f>
        <v>0</v>
      </c>
      <c r="AA63" s="9">
        <f ca="1">IF(Stock!V63="",0,IF(ISNUMBER($E63),($E63+$F63)*Stock!V63/100,Stock!V63))</f>
        <v>0</v>
      </c>
      <c r="AB63" s="9">
        <f ca="1">IF(Stock!W63="",0,IF(ISNUMBER($E63),($E63+$F63)*Stock!W63/100,Stock!W63))</f>
        <v>0</v>
      </c>
      <c r="AC63" s="9">
        <f ca="1">IF(Stock!X63="",0,IF(ISNUMBER($E63),($E63+$F63)*Stock!X63/100,Stock!X63))</f>
        <v>0</v>
      </c>
      <c r="AD63" s="9">
        <f ca="1">IF(Stock!Y63="",0,IF(ISNUMBER($E63),($E63+$F63)*Stock!Y63/100,Stock!Y63))</f>
        <v>0</v>
      </c>
      <c r="AE63" s="9">
        <f ca="1">IF(Stock!Z63="",0,IF(ISNUMBER($E63),($E63+$F63)*Stock!Z63/100,Stock!Z63))</f>
        <v>0</v>
      </c>
      <c r="AF63" s="9">
        <f ca="1">IF(Stock!AA63="",0,IF(ISNUMBER($E63),($E63+$F63)*Stock!AA63/100,Stock!AA63))</f>
        <v>0</v>
      </c>
      <c r="AG63" s="9">
        <f ca="1">IF(Stock!AB63="",0,IF(ISNUMBER($E63),($E63+$F63)*Stock!AB63/100,Stock!AB63))</f>
        <v>0</v>
      </c>
      <c r="AH63" s="9">
        <f ca="1">IF(Stock!AC63="",0,IF(ISNUMBER($E63),($E63+$F63)*Stock!AC63/100,Stock!AC63))</f>
        <v>0</v>
      </c>
      <c r="AI63" s="9">
        <f ca="1">IF(Stock!AD63="",0,IF(ISNUMBER($E63),($E63+$F63)*Stock!AD63/100,Stock!AD63))</f>
        <v>0</v>
      </c>
      <c r="AJ63" s="9">
        <f ca="1">IF(Stock!AE63="",0,IF(ISNUMBER($E63),($E63+$F63)*Stock!AE63/100,Stock!AE63))</f>
        <v>0</v>
      </c>
      <c r="AK63" s="9">
        <f ca="1">IF(Stock!AF63="",0,IF(ISNUMBER($E63),($E63+$F63)*Stock!AF63/100,Stock!AF63))</f>
        <v>0</v>
      </c>
      <c r="AL63" s="9">
        <f ca="1">IF(Stock!AG63="",0,IF(ISNUMBER($E63),($E63+$F63)*Stock!AG63/100,Stock!AG63))</f>
        <v>0</v>
      </c>
      <c r="AM63" s="9">
        <f ca="1">IF(Stock!AH63="",0,IF(ISNUMBER($E63),($E63+$F63)*Stock!AH63/100,Stock!AH63))</f>
        <v>0</v>
      </c>
      <c r="AN63" s="9">
        <f ca="1">IF(Stock!AI63="",0,IF(ISNUMBER($E63),($E63+$F63)*Stock!AI63/100,Stock!AI63))</f>
        <v>0</v>
      </c>
      <c r="AO63" s="9">
        <f ca="1">IF(Stock!AJ63="",0,IF(ISNUMBER($E63),($E63+$F63)*Stock!AJ63/100,Stock!AJ63))</f>
        <v>0</v>
      </c>
      <c r="AP63" s="9">
        <f ca="1">IF(Stock!AK63="",0,IF(ISNUMBER($E63),($E63+$F63)*Stock!AK63/100,Stock!AK63))</f>
        <v>0</v>
      </c>
      <c r="AQ63" s="9">
        <f ca="1">IF(Stock!AL63="",0,IF(ISNUMBER($E63),($E63+$F63)*Stock!AL63/100,Stock!AL63))</f>
        <v>0</v>
      </c>
      <c r="AR63" s="9">
        <f ca="1">IF(Stock!AM63="",0,IF(ISNUMBER($E63),($E63+$F63)*Stock!AM63/100,Stock!AM63))</f>
        <v>0</v>
      </c>
      <c r="AS63" s="9">
        <f ca="1">IF(Stock!AN63="",0,IF(ISNUMBER($E63),($E63+$F63)*Stock!AN63/100,Stock!AN63))</f>
        <v>0</v>
      </c>
      <c r="AT63" s="9">
        <f ca="1">IF(Stock!AO63="",0,IF(ISNUMBER($E63),($E63+$F63)*Stock!AO63/100,Stock!AO63))</f>
        <v>0</v>
      </c>
      <c r="AU63" s="9">
        <f ca="1">IF(Stock!AP63="",0,IF(ISNUMBER($E63),($E63+$F63)*Stock!AP63/100,Stock!AP63))</f>
        <v>0</v>
      </c>
      <c r="AV63" s="9">
        <f ca="1">IF(Stock!AQ63="",0,IF(ISNUMBER($E63),($E63+$F63)*Stock!AQ63/100,Stock!AQ63))</f>
        <v>0</v>
      </c>
      <c r="AW63" s="9">
        <f ca="1">IF(Stock!AR63="",0,IF(ISNUMBER($E63),($E63+$F63)*Stock!AR63/100,Stock!AR63))</f>
        <v>0</v>
      </c>
      <c r="AX63" s="9">
        <f ca="1">IF(Stock!AS63="",0,IF(ISNUMBER($E63),($E63+$F63)*Stock!AS63/100,Stock!AS63))</f>
        <v>0</v>
      </c>
      <c r="AY63" s="9">
        <f ca="1">IF(Stock!AT63="",0,IF(ISNUMBER($E63),($E63+$F63)*Stock!AT63/100,Stock!AT63))</f>
        <v>0</v>
      </c>
      <c r="AZ63" s="9">
        <f ca="1">IF(Stock!AU63="",0,IF(ISNUMBER($E63),($E63+$F63)*Stock!AU63/100,Stock!AU63))</f>
        <v>0</v>
      </c>
      <c r="BA63" s="9">
        <f ca="1">IF(Stock!AV63="",0,IF(ISNUMBER($E63),($E63+$F63)*Stock!AV63/100,Stock!AV63))</f>
        <v>0</v>
      </c>
      <c r="BB63" s="9">
        <f ca="1">IF(Stock!AW63="",0,IF(ISNUMBER($E63),($E63+$F63)*Stock!AW63/100,Stock!AW63))</f>
        <v>0</v>
      </c>
      <c r="BC63" s="9">
        <f ca="1">IF(Stock!AX63="",0,IF(ISNUMBER($E63),($E63+$F63)*Stock!AX63/100,Stock!AX63))</f>
        <v>0</v>
      </c>
    </row>
    <row r="64" spans="1:55" x14ac:dyDescent="0.3">
      <c r="A64" s="2" t="str">
        <f t="shared" si="0"/>
        <v/>
      </c>
      <c r="B64" s="3" t="str">
        <f t="shared" si="1"/>
        <v/>
      </c>
      <c r="C64" s="4" t="str">
        <f>IF(Repo!C68="","",Repo!C68)</f>
        <v/>
      </c>
      <c r="D64" s="4" t="str">
        <f>IF(Repo!D68="","",Repo!D68)</f>
        <v/>
      </c>
      <c r="E64" s="62">
        <f ca="1">IF(A64="",0,IF(LEFT(C64,3) = "USB",100*(1-_xll.BDP(D64 &amp; " Govt",E$1)*(B64-TODAY()+1)/36000),_xll.BDP(D64 &amp; " Govt",E$1)))</f>
        <v>0</v>
      </c>
      <c r="F64" s="62">
        <f>IF(A64="",0,IF(LEFT(D64,1) = "B",0,_xll.BDP(D64 &amp; " Govt",F$1)))</f>
        <v>0</v>
      </c>
      <c r="G64" s="9">
        <f>IF(Stock!B64="",0,IF(ISNUMBER($E64),($E64+$F64)*Stock!B64/100,Stock!B64))</f>
        <v>0</v>
      </c>
      <c r="H64" s="9">
        <f ca="1">IF(Stock!C64="",0,IF(ISNUMBER($E64),($E64+$F64)*Stock!C64/100,Stock!C64))</f>
        <v>0</v>
      </c>
      <c r="I64" s="9">
        <f ca="1">IF(Stock!D64="",0,IF(ISNUMBER($E64),($E64+$F64)*Stock!D64/100,Stock!D64))</f>
        <v>0</v>
      </c>
      <c r="J64" s="9">
        <f ca="1">IF(Stock!E64="",0,IF(ISNUMBER($E64),($E64+$F64)*Stock!E64/100,Stock!E64))</f>
        <v>0</v>
      </c>
      <c r="K64" s="9">
        <f ca="1">IF(Stock!F64="",0,IF(ISNUMBER($E64),($E64+$F64)*Stock!F64/100,Stock!F64))</f>
        <v>0</v>
      </c>
      <c r="L64" s="9">
        <f ca="1">IF(Stock!G64="",0,IF(ISNUMBER($E64),($E64+$F64)*Stock!G64/100,Stock!G64))</f>
        <v>0</v>
      </c>
      <c r="M64" s="9">
        <f ca="1">IF(Stock!H64="",0,IF(ISNUMBER($E64),($E64+$F64)*Stock!H64/100,Stock!H64))</f>
        <v>0</v>
      </c>
      <c r="N64" s="9">
        <f ca="1">IF(Stock!I64="",0,IF(ISNUMBER($E64),($E64+$F64)*Stock!I64/100,Stock!I64))</f>
        <v>0</v>
      </c>
      <c r="O64" s="9">
        <f ca="1">IF(Stock!J64="",0,IF(ISNUMBER($E64),($E64+$F64)*Stock!J64/100,Stock!J64))</f>
        <v>0</v>
      </c>
      <c r="P64" s="9">
        <f ca="1">IF(Stock!K64="",0,IF(ISNUMBER($E64),($E64+$F64)*Stock!K64/100,Stock!K64))</f>
        <v>0</v>
      </c>
      <c r="Q64" s="9">
        <f ca="1">IF(Stock!L64="",0,IF(ISNUMBER($E64),($E64+$F64)*Stock!L64/100,Stock!L64))</f>
        <v>0</v>
      </c>
      <c r="R64" s="9">
        <f ca="1">IF(Stock!M64="",0,IF(ISNUMBER($E64),($E64+$F64)*Stock!M64/100,Stock!M64))</f>
        <v>0</v>
      </c>
      <c r="S64" s="9">
        <f ca="1">IF(Stock!N64="",0,IF(ISNUMBER($E64),($E64+$F64)*Stock!N64/100,Stock!N64))</f>
        <v>0</v>
      </c>
      <c r="T64" s="9">
        <f ca="1">IF(Stock!O64="",0,IF(ISNUMBER($E64),($E64+$F64)*Stock!O64/100,Stock!O64))</f>
        <v>0</v>
      </c>
      <c r="U64" s="9">
        <f ca="1">IF(Stock!P64="",0,IF(ISNUMBER($E64),($E64+$F64)*Stock!P64/100,Stock!P64))</f>
        <v>0</v>
      </c>
      <c r="V64" s="9">
        <f ca="1">IF(Stock!Q64="",0,IF(ISNUMBER($E64),($E64+$F64)*Stock!Q64/100,Stock!Q64))</f>
        <v>0</v>
      </c>
      <c r="W64" s="9">
        <f ca="1">IF(Stock!R64="",0,IF(ISNUMBER($E64),($E64+$F64)*Stock!R64/100,Stock!R64))</f>
        <v>0</v>
      </c>
      <c r="X64" s="9">
        <f ca="1">IF(Stock!S64="",0,IF(ISNUMBER($E64),($E64+$F64)*Stock!S64/100,Stock!S64))</f>
        <v>0</v>
      </c>
      <c r="Y64" s="9">
        <f ca="1">IF(Stock!T64="",0,IF(ISNUMBER($E64),($E64+$F64)*Stock!T64/100,Stock!T64))</f>
        <v>0</v>
      </c>
      <c r="Z64" s="9">
        <f ca="1">IF(Stock!U64="",0,IF(ISNUMBER($E64),($E64+$F64)*Stock!U64/100,Stock!U64))</f>
        <v>0</v>
      </c>
      <c r="AA64" s="9">
        <f ca="1">IF(Stock!V64="",0,IF(ISNUMBER($E64),($E64+$F64)*Stock!V64/100,Stock!V64))</f>
        <v>0</v>
      </c>
      <c r="AB64" s="9">
        <f ca="1">IF(Stock!W64="",0,IF(ISNUMBER($E64),($E64+$F64)*Stock!W64/100,Stock!W64))</f>
        <v>0</v>
      </c>
      <c r="AC64" s="9">
        <f ca="1">IF(Stock!X64="",0,IF(ISNUMBER($E64),($E64+$F64)*Stock!X64/100,Stock!X64))</f>
        <v>0</v>
      </c>
      <c r="AD64" s="9">
        <f ca="1">IF(Stock!Y64="",0,IF(ISNUMBER($E64),($E64+$F64)*Stock!Y64/100,Stock!Y64))</f>
        <v>0</v>
      </c>
      <c r="AE64" s="9">
        <f ca="1">IF(Stock!Z64="",0,IF(ISNUMBER($E64),($E64+$F64)*Stock!Z64/100,Stock!Z64))</f>
        <v>0</v>
      </c>
      <c r="AF64" s="9">
        <f ca="1">IF(Stock!AA64="",0,IF(ISNUMBER($E64),($E64+$F64)*Stock!AA64/100,Stock!AA64))</f>
        <v>0</v>
      </c>
      <c r="AG64" s="9">
        <f ca="1">IF(Stock!AB64="",0,IF(ISNUMBER($E64),($E64+$F64)*Stock!AB64/100,Stock!AB64))</f>
        <v>0</v>
      </c>
      <c r="AH64" s="9">
        <f ca="1">IF(Stock!AC64="",0,IF(ISNUMBER($E64),($E64+$F64)*Stock!AC64/100,Stock!AC64))</f>
        <v>0</v>
      </c>
      <c r="AI64" s="9">
        <f ca="1">IF(Stock!AD64="",0,IF(ISNUMBER($E64),($E64+$F64)*Stock!AD64/100,Stock!AD64))</f>
        <v>0</v>
      </c>
      <c r="AJ64" s="9">
        <f ca="1">IF(Stock!AE64="",0,IF(ISNUMBER($E64),($E64+$F64)*Stock!AE64/100,Stock!AE64))</f>
        <v>0</v>
      </c>
      <c r="AK64" s="9">
        <f ca="1">IF(Stock!AF64="",0,IF(ISNUMBER($E64),($E64+$F64)*Stock!AF64/100,Stock!AF64))</f>
        <v>0</v>
      </c>
      <c r="AL64" s="9">
        <f ca="1">IF(Stock!AG64="",0,IF(ISNUMBER($E64),($E64+$F64)*Stock!AG64/100,Stock!AG64))</f>
        <v>0</v>
      </c>
      <c r="AM64" s="9">
        <f ca="1">IF(Stock!AH64="",0,IF(ISNUMBER($E64),($E64+$F64)*Stock!AH64/100,Stock!AH64))</f>
        <v>0</v>
      </c>
      <c r="AN64" s="9">
        <f ca="1">IF(Stock!AI64="",0,IF(ISNUMBER($E64),($E64+$F64)*Stock!AI64/100,Stock!AI64))</f>
        <v>0</v>
      </c>
      <c r="AO64" s="9">
        <f ca="1">IF(Stock!AJ64="",0,IF(ISNUMBER($E64),($E64+$F64)*Stock!AJ64/100,Stock!AJ64))</f>
        <v>0</v>
      </c>
      <c r="AP64" s="9">
        <f ca="1">IF(Stock!AK64="",0,IF(ISNUMBER($E64),($E64+$F64)*Stock!AK64/100,Stock!AK64))</f>
        <v>0</v>
      </c>
      <c r="AQ64" s="9">
        <f ca="1">IF(Stock!AL64="",0,IF(ISNUMBER($E64),($E64+$F64)*Stock!AL64/100,Stock!AL64))</f>
        <v>0</v>
      </c>
      <c r="AR64" s="9">
        <f ca="1">IF(Stock!AM64="",0,IF(ISNUMBER($E64),($E64+$F64)*Stock!AM64/100,Stock!AM64))</f>
        <v>0</v>
      </c>
      <c r="AS64" s="9">
        <f ca="1">IF(Stock!AN64="",0,IF(ISNUMBER($E64),($E64+$F64)*Stock!AN64/100,Stock!AN64))</f>
        <v>0</v>
      </c>
      <c r="AT64" s="9">
        <f ca="1">IF(Stock!AO64="",0,IF(ISNUMBER($E64),($E64+$F64)*Stock!AO64/100,Stock!AO64))</f>
        <v>0</v>
      </c>
      <c r="AU64" s="9">
        <f ca="1">IF(Stock!AP64="",0,IF(ISNUMBER($E64),($E64+$F64)*Stock!AP64/100,Stock!AP64))</f>
        <v>0</v>
      </c>
      <c r="AV64" s="9">
        <f ca="1">IF(Stock!AQ64="",0,IF(ISNUMBER($E64),($E64+$F64)*Stock!AQ64/100,Stock!AQ64))</f>
        <v>0</v>
      </c>
      <c r="AW64" s="9">
        <f ca="1">IF(Stock!AR64="",0,IF(ISNUMBER($E64),($E64+$F64)*Stock!AR64/100,Stock!AR64))</f>
        <v>0</v>
      </c>
      <c r="AX64" s="9">
        <f ca="1">IF(Stock!AS64="",0,IF(ISNUMBER($E64),($E64+$F64)*Stock!AS64/100,Stock!AS64))</f>
        <v>0</v>
      </c>
      <c r="AY64" s="9">
        <f ca="1">IF(Stock!AT64="",0,IF(ISNUMBER($E64),($E64+$F64)*Stock!AT64/100,Stock!AT64))</f>
        <v>0</v>
      </c>
      <c r="AZ64" s="9">
        <f ca="1">IF(Stock!AU64="",0,IF(ISNUMBER($E64),($E64+$F64)*Stock!AU64/100,Stock!AU64))</f>
        <v>0</v>
      </c>
      <c r="BA64" s="9">
        <f ca="1">IF(Stock!AV64="",0,IF(ISNUMBER($E64),($E64+$F64)*Stock!AV64/100,Stock!AV64))</f>
        <v>0</v>
      </c>
      <c r="BB64" s="9">
        <f ca="1">IF(Stock!AW64="",0,IF(ISNUMBER($E64),($E64+$F64)*Stock!AW64/100,Stock!AW64))</f>
        <v>0</v>
      </c>
      <c r="BC64" s="9">
        <f ca="1">IF(Stock!AX64="",0,IF(ISNUMBER($E64),($E64+$F64)*Stock!AX64/100,Stock!AX64))</f>
        <v>0</v>
      </c>
    </row>
    <row r="65" spans="1:55" x14ac:dyDescent="0.3">
      <c r="A65" s="2" t="str">
        <f t="shared" si="0"/>
        <v/>
      </c>
      <c r="B65" s="3" t="str">
        <f t="shared" si="1"/>
        <v/>
      </c>
      <c r="C65" s="4" t="str">
        <f>IF(Repo!C69="","",Repo!C69)</f>
        <v/>
      </c>
      <c r="D65" s="4" t="str">
        <f>IF(Repo!D69="","",Repo!D69)</f>
        <v/>
      </c>
      <c r="E65" s="62">
        <f ca="1">IF(A65="",0,IF(LEFT(C65,3) = "USB",100*(1-_xll.BDP(D65 &amp; " Govt",E$1)*(B65-TODAY()+1)/36000),_xll.BDP(D65 &amp; " Govt",E$1)))</f>
        <v>0</v>
      </c>
      <c r="F65" s="62">
        <f>IF(A65="",0,IF(LEFT(D65,1) = "B",0,_xll.BDP(D65 &amp; " Govt",F$1)))</f>
        <v>0</v>
      </c>
      <c r="G65" s="9">
        <f>IF(Stock!B65="",0,IF(ISNUMBER($E65),($E65+$F65)*Stock!B65/100,Stock!B65))</f>
        <v>0</v>
      </c>
      <c r="H65" s="9">
        <f ca="1">IF(Stock!C65="",0,IF(ISNUMBER($E65),($E65+$F65)*Stock!C65/100,Stock!C65))</f>
        <v>0</v>
      </c>
      <c r="I65" s="9">
        <f ca="1">IF(Stock!D65="",0,IF(ISNUMBER($E65),($E65+$F65)*Stock!D65/100,Stock!D65))</f>
        <v>0</v>
      </c>
      <c r="J65" s="9">
        <f ca="1">IF(Stock!E65="",0,IF(ISNUMBER($E65),($E65+$F65)*Stock!E65/100,Stock!E65))</f>
        <v>0</v>
      </c>
      <c r="K65" s="9">
        <f ca="1">IF(Stock!F65="",0,IF(ISNUMBER($E65),($E65+$F65)*Stock!F65/100,Stock!F65))</f>
        <v>0</v>
      </c>
      <c r="L65" s="9">
        <f ca="1">IF(Stock!G65="",0,IF(ISNUMBER($E65),($E65+$F65)*Stock!G65/100,Stock!G65))</f>
        <v>0</v>
      </c>
      <c r="M65" s="9">
        <f ca="1">IF(Stock!H65="",0,IF(ISNUMBER($E65),($E65+$F65)*Stock!H65/100,Stock!H65))</f>
        <v>0</v>
      </c>
      <c r="N65" s="9">
        <f ca="1">IF(Stock!I65="",0,IF(ISNUMBER($E65),($E65+$F65)*Stock!I65/100,Stock!I65))</f>
        <v>0</v>
      </c>
      <c r="O65" s="9">
        <f ca="1">IF(Stock!J65="",0,IF(ISNUMBER($E65),($E65+$F65)*Stock!J65/100,Stock!J65))</f>
        <v>0</v>
      </c>
      <c r="P65" s="9">
        <f ca="1">IF(Stock!K65="",0,IF(ISNUMBER($E65),($E65+$F65)*Stock!K65/100,Stock!K65))</f>
        <v>0</v>
      </c>
      <c r="Q65" s="9">
        <f ca="1">IF(Stock!L65="",0,IF(ISNUMBER($E65),($E65+$F65)*Stock!L65/100,Stock!L65))</f>
        <v>0</v>
      </c>
      <c r="R65" s="9">
        <f ca="1">IF(Stock!M65="",0,IF(ISNUMBER($E65),($E65+$F65)*Stock!M65/100,Stock!M65))</f>
        <v>0</v>
      </c>
      <c r="S65" s="9">
        <f ca="1">IF(Stock!N65="",0,IF(ISNUMBER($E65),($E65+$F65)*Stock!N65/100,Stock!N65))</f>
        <v>0</v>
      </c>
      <c r="T65" s="9">
        <f ca="1">IF(Stock!O65="",0,IF(ISNUMBER($E65),($E65+$F65)*Stock!O65/100,Stock!O65))</f>
        <v>0</v>
      </c>
      <c r="U65" s="9">
        <f ca="1">IF(Stock!P65="",0,IF(ISNUMBER($E65),($E65+$F65)*Stock!P65/100,Stock!P65))</f>
        <v>0</v>
      </c>
      <c r="V65" s="9">
        <f ca="1">IF(Stock!Q65="",0,IF(ISNUMBER($E65),($E65+$F65)*Stock!Q65/100,Stock!Q65))</f>
        <v>0</v>
      </c>
      <c r="W65" s="9">
        <f ca="1">IF(Stock!R65="",0,IF(ISNUMBER($E65),($E65+$F65)*Stock!R65/100,Stock!R65))</f>
        <v>0</v>
      </c>
      <c r="X65" s="9">
        <f ca="1">IF(Stock!S65="",0,IF(ISNUMBER($E65),($E65+$F65)*Stock!S65/100,Stock!S65))</f>
        <v>0</v>
      </c>
      <c r="Y65" s="9">
        <f ca="1">IF(Stock!T65="",0,IF(ISNUMBER($E65),($E65+$F65)*Stock!T65/100,Stock!T65))</f>
        <v>0</v>
      </c>
      <c r="Z65" s="9">
        <f ca="1">IF(Stock!U65="",0,IF(ISNUMBER($E65),($E65+$F65)*Stock!U65/100,Stock!U65))</f>
        <v>0</v>
      </c>
      <c r="AA65" s="9">
        <f ca="1">IF(Stock!V65="",0,IF(ISNUMBER($E65),($E65+$F65)*Stock!V65/100,Stock!V65))</f>
        <v>0</v>
      </c>
      <c r="AB65" s="9">
        <f ca="1">IF(Stock!W65="",0,IF(ISNUMBER($E65),($E65+$F65)*Stock!W65/100,Stock!W65))</f>
        <v>0</v>
      </c>
      <c r="AC65" s="9">
        <f ca="1">IF(Stock!X65="",0,IF(ISNUMBER($E65),($E65+$F65)*Stock!X65/100,Stock!X65))</f>
        <v>0</v>
      </c>
      <c r="AD65" s="9">
        <f ca="1">IF(Stock!Y65="",0,IF(ISNUMBER($E65),($E65+$F65)*Stock!Y65/100,Stock!Y65))</f>
        <v>0</v>
      </c>
      <c r="AE65" s="9">
        <f ca="1">IF(Stock!Z65="",0,IF(ISNUMBER($E65),($E65+$F65)*Stock!Z65/100,Stock!Z65))</f>
        <v>0</v>
      </c>
      <c r="AF65" s="9">
        <f ca="1">IF(Stock!AA65="",0,IF(ISNUMBER($E65),($E65+$F65)*Stock!AA65/100,Stock!AA65))</f>
        <v>0</v>
      </c>
      <c r="AG65" s="9">
        <f ca="1">IF(Stock!AB65="",0,IF(ISNUMBER($E65),($E65+$F65)*Stock!AB65/100,Stock!AB65))</f>
        <v>0</v>
      </c>
      <c r="AH65" s="9">
        <f ca="1">IF(Stock!AC65="",0,IF(ISNUMBER($E65),($E65+$F65)*Stock!AC65/100,Stock!AC65))</f>
        <v>0</v>
      </c>
      <c r="AI65" s="9">
        <f ca="1">IF(Stock!AD65="",0,IF(ISNUMBER($E65),($E65+$F65)*Stock!AD65/100,Stock!AD65))</f>
        <v>0</v>
      </c>
      <c r="AJ65" s="9">
        <f ca="1">IF(Stock!AE65="",0,IF(ISNUMBER($E65),($E65+$F65)*Stock!AE65/100,Stock!AE65))</f>
        <v>0</v>
      </c>
      <c r="AK65" s="9">
        <f ca="1">IF(Stock!AF65="",0,IF(ISNUMBER($E65),($E65+$F65)*Stock!AF65/100,Stock!AF65))</f>
        <v>0</v>
      </c>
      <c r="AL65" s="9">
        <f ca="1">IF(Stock!AG65="",0,IF(ISNUMBER($E65),($E65+$F65)*Stock!AG65/100,Stock!AG65))</f>
        <v>0</v>
      </c>
      <c r="AM65" s="9">
        <f ca="1">IF(Stock!AH65="",0,IF(ISNUMBER($E65),($E65+$F65)*Stock!AH65/100,Stock!AH65))</f>
        <v>0</v>
      </c>
      <c r="AN65" s="9">
        <f ca="1">IF(Stock!AI65="",0,IF(ISNUMBER($E65),($E65+$F65)*Stock!AI65/100,Stock!AI65))</f>
        <v>0</v>
      </c>
      <c r="AO65" s="9">
        <f ca="1">IF(Stock!AJ65="",0,IF(ISNUMBER($E65),($E65+$F65)*Stock!AJ65/100,Stock!AJ65))</f>
        <v>0</v>
      </c>
      <c r="AP65" s="9">
        <f ca="1">IF(Stock!AK65="",0,IF(ISNUMBER($E65),($E65+$F65)*Stock!AK65/100,Stock!AK65))</f>
        <v>0</v>
      </c>
      <c r="AQ65" s="9">
        <f ca="1">IF(Stock!AL65="",0,IF(ISNUMBER($E65),($E65+$F65)*Stock!AL65/100,Stock!AL65))</f>
        <v>0</v>
      </c>
      <c r="AR65" s="9">
        <f ca="1">IF(Stock!AM65="",0,IF(ISNUMBER($E65),($E65+$F65)*Stock!AM65/100,Stock!AM65))</f>
        <v>0</v>
      </c>
      <c r="AS65" s="9">
        <f ca="1">IF(Stock!AN65="",0,IF(ISNUMBER($E65),($E65+$F65)*Stock!AN65/100,Stock!AN65))</f>
        <v>0</v>
      </c>
      <c r="AT65" s="9">
        <f ca="1">IF(Stock!AO65="",0,IF(ISNUMBER($E65),($E65+$F65)*Stock!AO65/100,Stock!AO65))</f>
        <v>0</v>
      </c>
      <c r="AU65" s="9">
        <f ca="1">IF(Stock!AP65="",0,IF(ISNUMBER($E65),($E65+$F65)*Stock!AP65/100,Stock!AP65))</f>
        <v>0</v>
      </c>
      <c r="AV65" s="9">
        <f ca="1">IF(Stock!AQ65="",0,IF(ISNUMBER($E65),($E65+$F65)*Stock!AQ65/100,Stock!AQ65))</f>
        <v>0</v>
      </c>
      <c r="AW65" s="9">
        <f ca="1">IF(Stock!AR65="",0,IF(ISNUMBER($E65),($E65+$F65)*Stock!AR65/100,Stock!AR65))</f>
        <v>0</v>
      </c>
      <c r="AX65" s="9">
        <f ca="1">IF(Stock!AS65="",0,IF(ISNUMBER($E65),($E65+$F65)*Stock!AS65/100,Stock!AS65))</f>
        <v>0</v>
      </c>
      <c r="AY65" s="9">
        <f ca="1">IF(Stock!AT65="",0,IF(ISNUMBER($E65),($E65+$F65)*Stock!AT65/100,Stock!AT65))</f>
        <v>0</v>
      </c>
      <c r="AZ65" s="9">
        <f ca="1">IF(Stock!AU65="",0,IF(ISNUMBER($E65),($E65+$F65)*Stock!AU65/100,Stock!AU65))</f>
        <v>0</v>
      </c>
      <c r="BA65" s="9">
        <f ca="1">IF(Stock!AV65="",0,IF(ISNUMBER($E65),($E65+$F65)*Stock!AV65/100,Stock!AV65))</f>
        <v>0</v>
      </c>
      <c r="BB65" s="9">
        <f ca="1">IF(Stock!AW65="",0,IF(ISNUMBER($E65),($E65+$F65)*Stock!AW65/100,Stock!AW65))</f>
        <v>0</v>
      </c>
      <c r="BC65" s="9">
        <f ca="1">IF(Stock!AX65="",0,IF(ISNUMBER($E65),($E65+$F65)*Stock!AX65/100,Stock!AX65))</f>
        <v>0</v>
      </c>
    </row>
    <row r="66" spans="1:55" x14ac:dyDescent="0.3">
      <c r="A66" s="2" t="str">
        <f t="shared" si="0"/>
        <v/>
      </c>
      <c r="B66" s="3" t="str">
        <f t="shared" si="1"/>
        <v/>
      </c>
      <c r="C66" s="4" t="str">
        <f>IF(Repo!C70="","",Repo!C70)</f>
        <v/>
      </c>
      <c r="D66" s="4" t="str">
        <f>IF(Repo!D70="","",Repo!D70)</f>
        <v/>
      </c>
      <c r="E66" s="62">
        <f ca="1">IF(A66="",0,IF(LEFT(C66,3) = "USB",100*(1-_xll.BDP(D66 &amp; " Govt",E$1)*(B66-TODAY()+1)/36000),_xll.BDP(D66 &amp; " Govt",E$1)))</f>
        <v>0</v>
      </c>
      <c r="F66" s="62">
        <f>IF(A66="",0,IF(LEFT(D66,1) = "B",0,_xll.BDP(D66 &amp; " Govt",F$1)))</f>
        <v>0</v>
      </c>
      <c r="G66" s="9">
        <f>IF(Stock!B66="",0,IF(ISNUMBER($E66),($E66+$F66)*Stock!B66/100,Stock!B66))</f>
        <v>0</v>
      </c>
      <c r="H66" s="9">
        <f ca="1">IF(Stock!C66="",0,IF(ISNUMBER($E66),($E66+$F66)*Stock!C66/100,Stock!C66))</f>
        <v>0</v>
      </c>
      <c r="I66" s="9">
        <f ca="1">IF(Stock!D66="",0,IF(ISNUMBER($E66),($E66+$F66)*Stock!D66/100,Stock!D66))</f>
        <v>0</v>
      </c>
      <c r="J66" s="9">
        <f ca="1">IF(Stock!E66="",0,IF(ISNUMBER($E66),($E66+$F66)*Stock!E66/100,Stock!E66))</f>
        <v>0</v>
      </c>
      <c r="K66" s="9">
        <f ca="1">IF(Stock!F66="",0,IF(ISNUMBER($E66),($E66+$F66)*Stock!F66/100,Stock!F66))</f>
        <v>0</v>
      </c>
      <c r="L66" s="9">
        <f ca="1">IF(Stock!G66="",0,IF(ISNUMBER($E66),($E66+$F66)*Stock!G66/100,Stock!G66))</f>
        <v>0</v>
      </c>
      <c r="M66" s="9">
        <f ca="1">IF(Stock!H66="",0,IF(ISNUMBER($E66),($E66+$F66)*Stock!H66/100,Stock!H66))</f>
        <v>0</v>
      </c>
      <c r="N66" s="9">
        <f ca="1">IF(Stock!I66="",0,IF(ISNUMBER($E66),($E66+$F66)*Stock!I66/100,Stock!I66))</f>
        <v>0</v>
      </c>
      <c r="O66" s="9">
        <f ca="1">IF(Stock!J66="",0,IF(ISNUMBER($E66),($E66+$F66)*Stock!J66/100,Stock!J66))</f>
        <v>0</v>
      </c>
      <c r="P66" s="9">
        <f ca="1">IF(Stock!K66="",0,IF(ISNUMBER($E66),($E66+$F66)*Stock!K66/100,Stock!K66))</f>
        <v>0</v>
      </c>
      <c r="Q66" s="9">
        <f ca="1">IF(Stock!L66="",0,IF(ISNUMBER($E66),($E66+$F66)*Stock!L66/100,Stock!L66))</f>
        <v>0</v>
      </c>
      <c r="R66" s="9">
        <f ca="1">IF(Stock!M66="",0,IF(ISNUMBER($E66),($E66+$F66)*Stock!M66/100,Stock!M66))</f>
        <v>0</v>
      </c>
      <c r="S66" s="9">
        <f ca="1">IF(Stock!N66="",0,IF(ISNUMBER($E66),($E66+$F66)*Stock!N66/100,Stock!N66))</f>
        <v>0</v>
      </c>
      <c r="T66" s="9">
        <f ca="1">IF(Stock!O66="",0,IF(ISNUMBER($E66),($E66+$F66)*Stock!O66/100,Stock!O66))</f>
        <v>0</v>
      </c>
      <c r="U66" s="9">
        <f ca="1">IF(Stock!P66="",0,IF(ISNUMBER($E66),($E66+$F66)*Stock!P66/100,Stock!P66))</f>
        <v>0</v>
      </c>
      <c r="V66" s="9">
        <f ca="1">IF(Stock!Q66="",0,IF(ISNUMBER($E66),($E66+$F66)*Stock!Q66/100,Stock!Q66))</f>
        <v>0</v>
      </c>
      <c r="W66" s="9">
        <f ca="1">IF(Stock!R66="",0,IF(ISNUMBER($E66),($E66+$F66)*Stock!R66/100,Stock!R66))</f>
        <v>0</v>
      </c>
      <c r="X66" s="9">
        <f ca="1">IF(Stock!S66="",0,IF(ISNUMBER($E66),($E66+$F66)*Stock!S66/100,Stock!S66))</f>
        <v>0</v>
      </c>
      <c r="Y66" s="9">
        <f ca="1">IF(Stock!T66="",0,IF(ISNUMBER($E66),($E66+$F66)*Stock!T66/100,Stock!T66))</f>
        <v>0</v>
      </c>
      <c r="Z66" s="9">
        <f ca="1">IF(Stock!U66="",0,IF(ISNUMBER($E66),($E66+$F66)*Stock!U66/100,Stock!U66))</f>
        <v>0</v>
      </c>
      <c r="AA66" s="9">
        <f ca="1">IF(Stock!V66="",0,IF(ISNUMBER($E66),($E66+$F66)*Stock!V66/100,Stock!V66))</f>
        <v>0</v>
      </c>
      <c r="AB66" s="9">
        <f ca="1">IF(Stock!W66="",0,IF(ISNUMBER($E66),($E66+$F66)*Stock!W66/100,Stock!W66))</f>
        <v>0</v>
      </c>
      <c r="AC66" s="9">
        <f ca="1">IF(Stock!X66="",0,IF(ISNUMBER($E66),($E66+$F66)*Stock!X66/100,Stock!X66))</f>
        <v>0</v>
      </c>
      <c r="AD66" s="9">
        <f ca="1">IF(Stock!Y66="",0,IF(ISNUMBER($E66),($E66+$F66)*Stock!Y66/100,Stock!Y66))</f>
        <v>0</v>
      </c>
      <c r="AE66" s="9">
        <f ca="1">IF(Stock!Z66="",0,IF(ISNUMBER($E66),($E66+$F66)*Stock!Z66/100,Stock!Z66))</f>
        <v>0</v>
      </c>
      <c r="AF66" s="9">
        <f ca="1">IF(Stock!AA66="",0,IF(ISNUMBER($E66),($E66+$F66)*Stock!AA66/100,Stock!AA66))</f>
        <v>0</v>
      </c>
      <c r="AG66" s="9">
        <f ca="1">IF(Stock!AB66="",0,IF(ISNUMBER($E66),($E66+$F66)*Stock!AB66/100,Stock!AB66))</f>
        <v>0</v>
      </c>
      <c r="AH66" s="9">
        <f ca="1">IF(Stock!AC66="",0,IF(ISNUMBER($E66),($E66+$F66)*Stock!AC66/100,Stock!AC66))</f>
        <v>0</v>
      </c>
      <c r="AI66" s="9">
        <f ca="1">IF(Stock!AD66="",0,IF(ISNUMBER($E66),($E66+$F66)*Stock!AD66/100,Stock!AD66))</f>
        <v>0</v>
      </c>
      <c r="AJ66" s="9">
        <f ca="1">IF(Stock!AE66="",0,IF(ISNUMBER($E66),($E66+$F66)*Stock!AE66/100,Stock!AE66))</f>
        <v>0</v>
      </c>
      <c r="AK66" s="9">
        <f ca="1">IF(Stock!AF66="",0,IF(ISNUMBER($E66),($E66+$F66)*Stock!AF66/100,Stock!AF66))</f>
        <v>0</v>
      </c>
      <c r="AL66" s="9">
        <f ca="1">IF(Stock!AG66="",0,IF(ISNUMBER($E66),($E66+$F66)*Stock!AG66/100,Stock!AG66))</f>
        <v>0</v>
      </c>
      <c r="AM66" s="9">
        <f ca="1">IF(Stock!AH66="",0,IF(ISNUMBER($E66),($E66+$F66)*Stock!AH66/100,Stock!AH66))</f>
        <v>0</v>
      </c>
      <c r="AN66" s="9">
        <f ca="1">IF(Stock!AI66="",0,IF(ISNUMBER($E66),($E66+$F66)*Stock!AI66/100,Stock!AI66))</f>
        <v>0</v>
      </c>
      <c r="AO66" s="9">
        <f ca="1">IF(Stock!AJ66="",0,IF(ISNUMBER($E66),($E66+$F66)*Stock!AJ66/100,Stock!AJ66))</f>
        <v>0</v>
      </c>
      <c r="AP66" s="9">
        <f ca="1">IF(Stock!AK66="",0,IF(ISNUMBER($E66),($E66+$F66)*Stock!AK66/100,Stock!AK66))</f>
        <v>0</v>
      </c>
      <c r="AQ66" s="9">
        <f ca="1">IF(Stock!AL66="",0,IF(ISNUMBER($E66),($E66+$F66)*Stock!AL66/100,Stock!AL66))</f>
        <v>0</v>
      </c>
      <c r="AR66" s="9">
        <f ca="1">IF(Stock!AM66="",0,IF(ISNUMBER($E66),($E66+$F66)*Stock!AM66/100,Stock!AM66))</f>
        <v>0</v>
      </c>
      <c r="AS66" s="9">
        <f ca="1">IF(Stock!AN66="",0,IF(ISNUMBER($E66),($E66+$F66)*Stock!AN66/100,Stock!AN66))</f>
        <v>0</v>
      </c>
      <c r="AT66" s="9">
        <f ca="1">IF(Stock!AO66="",0,IF(ISNUMBER($E66),($E66+$F66)*Stock!AO66/100,Stock!AO66))</f>
        <v>0</v>
      </c>
      <c r="AU66" s="9">
        <f ca="1">IF(Stock!AP66="",0,IF(ISNUMBER($E66),($E66+$F66)*Stock!AP66/100,Stock!AP66))</f>
        <v>0</v>
      </c>
      <c r="AV66" s="9">
        <f ca="1">IF(Stock!AQ66="",0,IF(ISNUMBER($E66),($E66+$F66)*Stock!AQ66/100,Stock!AQ66))</f>
        <v>0</v>
      </c>
      <c r="AW66" s="9">
        <f ca="1">IF(Stock!AR66="",0,IF(ISNUMBER($E66),($E66+$F66)*Stock!AR66/100,Stock!AR66))</f>
        <v>0</v>
      </c>
      <c r="AX66" s="9">
        <f ca="1">IF(Stock!AS66="",0,IF(ISNUMBER($E66),($E66+$F66)*Stock!AS66/100,Stock!AS66))</f>
        <v>0</v>
      </c>
      <c r="AY66" s="9">
        <f ca="1">IF(Stock!AT66="",0,IF(ISNUMBER($E66),($E66+$F66)*Stock!AT66/100,Stock!AT66))</f>
        <v>0</v>
      </c>
      <c r="AZ66" s="9">
        <f ca="1">IF(Stock!AU66="",0,IF(ISNUMBER($E66),($E66+$F66)*Stock!AU66/100,Stock!AU66))</f>
        <v>0</v>
      </c>
      <c r="BA66" s="9">
        <f ca="1">IF(Stock!AV66="",0,IF(ISNUMBER($E66),($E66+$F66)*Stock!AV66/100,Stock!AV66))</f>
        <v>0</v>
      </c>
      <c r="BB66" s="9">
        <f ca="1">IF(Stock!AW66="",0,IF(ISNUMBER($E66),($E66+$F66)*Stock!AW66/100,Stock!AW66))</f>
        <v>0</v>
      </c>
      <c r="BC66" s="9">
        <f ca="1">IF(Stock!AX66="",0,IF(ISNUMBER($E66),($E66+$F66)*Stock!AX66/100,Stock!AX66))</f>
        <v>0</v>
      </c>
    </row>
    <row r="67" spans="1:55" x14ac:dyDescent="0.3">
      <c r="A67" s="2" t="str">
        <f t="shared" ref="A67:A76" si="4">IF(OR(LEFT(C67,4)="FFCB",LEFT(C67,4)="FHLB"),RIGHT(C67,LEN(C67)-10),IF(LEFT(C67,3)="UST",RIGHT(C67,LEN(C67)-9),IF(LEFT(C67,3)="USB",0,"")))</f>
        <v/>
      </c>
      <c r="B67" s="3" t="str">
        <f t="shared" ref="B67:B76" si="5">IF(LEFT(C67,4)="FHLB",DATE(MID(C67,5,4),MID(C67,9,2),1),IF(LEFT(C67,3)&lt;&gt;"UST",IF(LEFT(C67,3)&lt;&gt;"USB","",DATE(MID(C67,4,4),MID(C67,8,2),RIGHT(C67,2))),DATE(MID(C67,4,4),MID(C67,8,2),1)))</f>
        <v/>
      </c>
      <c r="C67" s="4" t="str">
        <f>IF(Repo!C71="","",Repo!C71)</f>
        <v/>
      </c>
      <c r="D67" s="4" t="str">
        <f>IF(Repo!D71="","",Repo!D71)</f>
        <v/>
      </c>
      <c r="E67" s="62">
        <f ca="1">IF(A67="",0,IF(LEFT(C67,3) = "USB",100*(1-_xll.BDP(D67 &amp; " Govt",E$1)*(B67-TODAY()+1)/36000),_xll.BDP(D67 &amp; " Govt",E$1)))</f>
        <v>0</v>
      </c>
      <c r="F67" s="62">
        <f>IF(A67="",0,IF(LEFT(D67,1) = "B",0,_xll.BDP(D67 &amp; " Govt",F$1)))</f>
        <v>0</v>
      </c>
      <c r="G67" s="9">
        <f>IF(Stock!B67="",0,IF(ISNUMBER($E67),($E67+$F67)*Stock!B67/100,Stock!B67))</f>
        <v>0</v>
      </c>
      <c r="H67" s="9">
        <f ca="1">IF(Stock!C67="",0,IF(ISNUMBER($E67),($E67+$F67)*Stock!C67/100,Stock!C67))</f>
        <v>0</v>
      </c>
      <c r="I67" s="9">
        <f ca="1">IF(Stock!D67="",0,IF(ISNUMBER($E67),($E67+$F67)*Stock!D67/100,Stock!D67))</f>
        <v>0</v>
      </c>
      <c r="J67" s="9">
        <f ca="1">IF(Stock!E67="",0,IF(ISNUMBER($E67),($E67+$F67)*Stock!E67/100,Stock!E67))</f>
        <v>0</v>
      </c>
      <c r="K67" s="9">
        <f ca="1">IF(Stock!F67="",0,IF(ISNUMBER($E67),($E67+$F67)*Stock!F67/100,Stock!F67))</f>
        <v>0</v>
      </c>
      <c r="L67" s="9">
        <f ca="1">IF(Stock!G67="",0,IF(ISNUMBER($E67),($E67+$F67)*Stock!G67/100,Stock!G67))</f>
        <v>0</v>
      </c>
      <c r="M67" s="9">
        <f ca="1">IF(Stock!H67="",0,IF(ISNUMBER($E67),($E67+$F67)*Stock!H67/100,Stock!H67))</f>
        <v>0</v>
      </c>
      <c r="N67" s="9">
        <f ca="1">IF(Stock!I67="",0,IF(ISNUMBER($E67),($E67+$F67)*Stock!I67/100,Stock!I67))</f>
        <v>0</v>
      </c>
      <c r="O67" s="9">
        <f ca="1">IF(Stock!J67="",0,IF(ISNUMBER($E67),($E67+$F67)*Stock!J67/100,Stock!J67))</f>
        <v>0</v>
      </c>
      <c r="P67" s="9">
        <f ca="1">IF(Stock!K67="",0,IF(ISNUMBER($E67),($E67+$F67)*Stock!K67/100,Stock!K67))</f>
        <v>0</v>
      </c>
      <c r="Q67" s="9">
        <f ca="1">IF(Stock!L67="",0,IF(ISNUMBER($E67),($E67+$F67)*Stock!L67/100,Stock!L67))</f>
        <v>0</v>
      </c>
      <c r="R67" s="9">
        <f ca="1">IF(Stock!M67="",0,IF(ISNUMBER($E67),($E67+$F67)*Stock!M67/100,Stock!M67))</f>
        <v>0</v>
      </c>
      <c r="S67" s="9">
        <f ca="1">IF(Stock!N67="",0,IF(ISNUMBER($E67),($E67+$F67)*Stock!N67/100,Stock!N67))</f>
        <v>0</v>
      </c>
      <c r="T67" s="9">
        <f ca="1">IF(Stock!O67="",0,IF(ISNUMBER($E67),($E67+$F67)*Stock!O67/100,Stock!O67))</f>
        <v>0</v>
      </c>
      <c r="U67" s="9">
        <f ca="1">IF(Stock!P67="",0,IF(ISNUMBER($E67),($E67+$F67)*Stock!P67/100,Stock!P67))</f>
        <v>0</v>
      </c>
      <c r="V67" s="9">
        <f ca="1">IF(Stock!Q67="",0,IF(ISNUMBER($E67),($E67+$F67)*Stock!Q67/100,Stock!Q67))</f>
        <v>0</v>
      </c>
      <c r="W67" s="9">
        <f ca="1">IF(Stock!R67="",0,IF(ISNUMBER($E67),($E67+$F67)*Stock!R67/100,Stock!R67))</f>
        <v>0</v>
      </c>
      <c r="X67" s="9">
        <f ca="1">IF(Stock!S67="",0,IF(ISNUMBER($E67),($E67+$F67)*Stock!S67/100,Stock!S67))</f>
        <v>0</v>
      </c>
      <c r="Y67" s="9">
        <f ca="1">IF(Stock!T67="",0,IF(ISNUMBER($E67),($E67+$F67)*Stock!T67/100,Stock!T67))</f>
        <v>0</v>
      </c>
      <c r="Z67" s="9">
        <f ca="1">IF(Stock!U67="",0,IF(ISNUMBER($E67),($E67+$F67)*Stock!U67/100,Stock!U67))</f>
        <v>0</v>
      </c>
      <c r="AA67" s="9">
        <f ca="1">IF(Stock!V67="",0,IF(ISNUMBER($E67),($E67+$F67)*Stock!V67/100,Stock!V67))</f>
        <v>0</v>
      </c>
      <c r="AB67" s="9">
        <f ca="1">IF(Stock!W67="",0,IF(ISNUMBER($E67),($E67+$F67)*Stock!W67/100,Stock!W67))</f>
        <v>0</v>
      </c>
      <c r="AC67" s="9">
        <f ca="1">IF(Stock!X67="",0,IF(ISNUMBER($E67),($E67+$F67)*Stock!X67/100,Stock!X67))</f>
        <v>0</v>
      </c>
      <c r="AD67" s="9">
        <f ca="1">IF(Stock!Y67="",0,IF(ISNUMBER($E67),($E67+$F67)*Stock!Y67/100,Stock!Y67))</f>
        <v>0</v>
      </c>
      <c r="AE67" s="9">
        <f ca="1">IF(Stock!Z67="",0,IF(ISNUMBER($E67),($E67+$F67)*Stock!Z67/100,Stock!Z67))</f>
        <v>0</v>
      </c>
      <c r="AF67" s="9">
        <f ca="1">IF(Stock!AA67="",0,IF(ISNUMBER($E67),($E67+$F67)*Stock!AA67/100,Stock!AA67))</f>
        <v>0</v>
      </c>
      <c r="AG67" s="9">
        <f ca="1">IF(Stock!AB67="",0,IF(ISNUMBER($E67),($E67+$F67)*Stock!AB67/100,Stock!AB67))</f>
        <v>0</v>
      </c>
      <c r="AH67" s="9">
        <f ca="1">IF(Stock!AC67="",0,IF(ISNUMBER($E67),($E67+$F67)*Stock!AC67/100,Stock!AC67))</f>
        <v>0</v>
      </c>
      <c r="AI67" s="9">
        <f ca="1">IF(Stock!AD67="",0,IF(ISNUMBER($E67),($E67+$F67)*Stock!AD67/100,Stock!AD67))</f>
        <v>0</v>
      </c>
      <c r="AJ67" s="9">
        <f ca="1">IF(Stock!AE67="",0,IF(ISNUMBER($E67),($E67+$F67)*Stock!AE67/100,Stock!AE67))</f>
        <v>0</v>
      </c>
      <c r="AK67" s="9">
        <f ca="1">IF(Stock!AF67="",0,IF(ISNUMBER($E67),($E67+$F67)*Stock!AF67/100,Stock!AF67))</f>
        <v>0</v>
      </c>
      <c r="AL67" s="9">
        <f ca="1">IF(Stock!AG67="",0,IF(ISNUMBER($E67),($E67+$F67)*Stock!AG67/100,Stock!AG67))</f>
        <v>0</v>
      </c>
      <c r="AM67" s="9">
        <f ca="1">IF(Stock!AH67="",0,IF(ISNUMBER($E67),($E67+$F67)*Stock!AH67/100,Stock!AH67))</f>
        <v>0</v>
      </c>
      <c r="AN67" s="9">
        <f ca="1">IF(Stock!AI67="",0,IF(ISNUMBER($E67),($E67+$F67)*Stock!AI67/100,Stock!AI67))</f>
        <v>0</v>
      </c>
      <c r="AO67" s="9">
        <f ca="1">IF(Stock!AJ67="",0,IF(ISNUMBER($E67),($E67+$F67)*Stock!AJ67/100,Stock!AJ67))</f>
        <v>0</v>
      </c>
      <c r="AP67" s="9">
        <f ca="1">IF(Stock!AK67="",0,IF(ISNUMBER($E67),($E67+$F67)*Stock!AK67/100,Stock!AK67))</f>
        <v>0</v>
      </c>
      <c r="AQ67" s="9">
        <f ca="1">IF(Stock!AL67="",0,IF(ISNUMBER($E67),($E67+$F67)*Stock!AL67/100,Stock!AL67))</f>
        <v>0</v>
      </c>
      <c r="AR67" s="9">
        <f ca="1">IF(Stock!AM67="",0,IF(ISNUMBER($E67),($E67+$F67)*Stock!AM67/100,Stock!AM67))</f>
        <v>0</v>
      </c>
      <c r="AS67" s="9">
        <f ca="1">IF(Stock!AN67="",0,IF(ISNUMBER($E67),($E67+$F67)*Stock!AN67/100,Stock!AN67))</f>
        <v>0</v>
      </c>
      <c r="AT67" s="9">
        <f ca="1">IF(Stock!AO67="",0,IF(ISNUMBER($E67),($E67+$F67)*Stock!AO67/100,Stock!AO67))</f>
        <v>0</v>
      </c>
      <c r="AU67" s="9">
        <f ca="1">IF(Stock!AP67="",0,IF(ISNUMBER($E67),($E67+$F67)*Stock!AP67/100,Stock!AP67))</f>
        <v>0</v>
      </c>
      <c r="AV67" s="9">
        <f ca="1">IF(Stock!AQ67="",0,IF(ISNUMBER($E67),($E67+$F67)*Stock!AQ67/100,Stock!AQ67))</f>
        <v>0</v>
      </c>
      <c r="AW67" s="9">
        <f ca="1">IF(Stock!AR67="",0,IF(ISNUMBER($E67),($E67+$F67)*Stock!AR67/100,Stock!AR67))</f>
        <v>0</v>
      </c>
      <c r="AX67" s="9">
        <f ca="1">IF(Stock!AS67="",0,IF(ISNUMBER($E67),($E67+$F67)*Stock!AS67/100,Stock!AS67))</f>
        <v>0</v>
      </c>
      <c r="AY67" s="9">
        <f ca="1">IF(Stock!AT67="",0,IF(ISNUMBER($E67),($E67+$F67)*Stock!AT67/100,Stock!AT67))</f>
        <v>0</v>
      </c>
      <c r="AZ67" s="9">
        <f ca="1">IF(Stock!AU67="",0,IF(ISNUMBER($E67),($E67+$F67)*Stock!AU67/100,Stock!AU67))</f>
        <v>0</v>
      </c>
      <c r="BA67" s="9">
        <f ca="1">IF(Stock!AV67="",0,IF(ISNUMBER($E67),($E67+$F67)*Stock!AV67/100,Stock!AV67))</f>
        <v>0</v>
      </c>
      <c r="BB67" s="9">
        <f ca="1">IF(Stock!AW67="",0,IF(ISNUMBER($E67),($E67+$F67)*Stock!AW67/100,Stock!AW67))</f>
        <v>0</v>
      </c>
      <c r="BC67" s="9">
        <f ca="1">IF(Stock!AX67="",0,IF(ISNUMBER($E67),($E67+$F67)*Stock!AX67/100,Stock!AX67))</f>
        <v>0</v>
      </c>
    </row>
    <row r="68" spans="1:55" x14ac:dyDescent="0.3">
      <c r="A68" s="2" t="str">
        <f t="shared" si="4"/>
        <v/>
      </c>
      <c r="B68" s="3" t="str">
        <f t="shared" si="5"/>
        <v/>
      </c>
      <c r="C68" s="4" t="str">
        <f>IF(Repo!C72="","",Repo!C72)</f>
        <v/>
      </c>
      <c r="D68" s="4" t="str">
        <f>IF(Repo!D72="","",Repo!D72)</f>
        <v/>
      </c>
      <c r="E68" s="62">
        <f ca="1">IF(A68="",0,IF(LEFT(C68,3) = "USB",100*(1-_xll.BDP(D68 &amp; " Govt",E$1)*(B68-TODAY()+1)/36000),_xll.BDP(D68 &amp; " Govt",E$1)))</f>
        <v>0</v>
      </c>
      <c r="F68" s="62">
        <f>IF(A68="",0,IF(LEFT(D68,1) = "B",0,_xll.BDP(D68 &amp; " Govt",F$1)))</f>
        <v>0</v>
      </c>
      <c r="G68" s="9">
        <f>IF(Stock!B68="",0,IF(ISNUMBER($E68),($E68+$F68)*Stock!B68/100,Stock!B68))</f>
        <v>0</v>
      </c>
      <c r="H68" s="9">
        <f ca="1">IF(Stock!C68="",0,IF(ISNUMBER($E68),($E68+$F68)*Stock!C68/100,Stock!C68))</f>
        <v>0</v>
      </c>
      <c r="I68" s="9">
        <f ca="1">IF(Stock!D68="",0,IF(ISNUMBER($E68),($E68+$F68)*Stock!D68/100,Stock!D68))</f>
        <v>0</v>
      </c>
      <c r="J68" s="9">
        <f ca="1">IF(Stock!E68="",0,IF(ISNUMBER($E68),($E68+$F68)*Stock!E68/100,Stock!E68))</f>
        <v>0</v>
      </c>
      <c r="K68" s="9">
        <f ca="1">IF(Stock!F68="",0,IF(ISNUMBER($E68),($E68+$F68)*Stock!F68/100,Stock!F68))</f>
        <v>0</v>
      </c>
      <c r="L68" s="9">
        <f ca="1">IF(Stock!G68="",0,IF(ISNUMBER($E68),($E68+$F68)*Stock!G68/100,Stock!G68))</f>
        <v>0</v>
      </c>
      <c r="M68" s="9">
        <f ca="1">IF(Stock!H68="",0,IF(ISNUMBER($E68),($E68+$F68)*Stock!H68/100,Stock!H68))</f>
        <v>0</v>
      </c>
      <c r="N68" s="9">
        <f ca="1">IF(Stock!I68="",0,IF(ISNUMBER($E68),($E68+$F68)*Stock!I68/100,Stock!I68))</f>
        <v>0</v>
      </c>
      <c r="O68" s="9">
        <f ca="1">IF(Stock!J68="",0,IF(ISNUMBER($E68),($E68+$F68)*Stock!J68/100,Stock!J68))</f>
        <v>0</v>
      </c>
      <c r="P68" s="9">
        <f ca="1">IF(Stock!K68="",0,IF(ISNUMBER($E68),($E68+$F68)*Stock!K68/100,Stock!K68))</f>
        <v>0</v>
      </c>
      <c r="Q68" s="9">
        <f ca="1">IF(Stock!L68="",0,IF(ISNUMBER($E68),($E68+$F68)*Stock!L68/100,Stock!L68))</f>
        <v>0</v>
      </c>
      <c r="R68" s="9">
        <f ca="1">IF(Stock!M68="",0,IF(ISNUMBER($E68),($E68+$F68)*Stock!M68/100,Stock!M68))</f>
        <v>0</v>
      </c>
      <c r="S68" s="9">
        <f ca="1">IF(Stock!N68="",0,IF(ISNUMBER($E68),($E68+$F68)*Stock!N68/100,Stock!N68))</f>
        <v>0</v>
      </c>
      <c r="T68" s="9">
        <f ca="1">IF(Stock!O68="",0,IF(ISNUMBER($E68),($E68+$F68)*Stock!O68/100,Stock!O68))</f>
        <v>0</v>
      </c>
      <c r="U68" s="9">
        <f ca="1">IF(Stock!P68="",0,IF(ISNUMBER($E68),($E68+$F68)*Stock!P68/100,Stock!P68))</f>
        <v>0</v>
      </c>
      <c r="V68" s="9">
        <f ca="1">IF(Stock!Q68="",0,IF(ISNUMBER($E68),($E68+$F68)*Stock!Q68/100,Stock!Q68))</f>
        <v>0</v>
      </c>
      <c r="W68" s="9">
        <f ca="1">IF(Stock!R68="",0,IF(ISNUMBER($E68),($E68+$F68)*Stock!R68/100,Stock!R68))</f>
        <v>0</v>
      </c>
      <c r="X68" s="9">
        <f ca="1">IF(Stock!S68="",0,IF(ISNUMBER($E68),($E68+$F68)*Stock!S68/100,Stock!S68))</f>
        <v>0</v>
      </c>
      <c r="Y68" s="9">
        <f ca="1">IF(Stock!T68="",0,IF(ISNUMBER($E68),($E68+$F68)*Stock!T68/100,Stock!T68))</f>
        <v>0</v>
      </c>
      <c r="Z68" s="9">
        <f ca="1">IF(Stock!U68="",0,IF(ISNUMBER($E68),($E68+$F68)*Stock!U68/100,Stock!U68))</f>
        <v>0</v>
      </c>
      <c r="AA68" s="9">
        <f ca="1">IF(Stock!V68="",0,IF(ISNUMBER($E68),($E68+$F68)*Stock!V68/100,Stock!V68))</f>
        <v>0</v>
      </c>
      <c r="AB68" s="9">
        <f ca="1">IF(Stock!W68="",0,IF(ISNUMBER($E68),($E68+$F68)*Stock!W68/100,Stock!W68))</f>
        <v>0</v>
      </c>
      <c r="AC68" s="9">
        <f ca="1">IF(Stock!X68="",0,IF(ISNUMBER($E68),($E68+$F68)*Stock!X68/100,Stock!X68))</f>
        <v>0</v>
      </c>
      <c r="AD68" s="9">
        <f ca="1">IF(Stock!Y68="",0,IF(ISNUMBER($E68),($E68+$F68)*Stock!Y68/100,Stock!Y68))</f>
        <v>0</v>
      </c>
      <c r="AE68" s="9">
        <f ca="1">IF(Stock!Z68="",0,IF(ISNUMBER($E68),($E68+$F68)*Stock!Z68/100,Stock!Z68))</f>
        <v>0</v>
      </c>
      <c r="AF68" s="9">
        <f ca="1">IF(Stock!AA68="",0,IF(ISNUMBER($E68),($E68+$F68)*Stock!AA68/100,Stock!AA68))</f>
        <v>0</v>
      </c>
      <c r="AG68" s="9">
        <f ca="1">IF(Stock!AB68="",0,IF(ISNUMBER($E68),($E68+$F68)*Stock!AB68/100,Stock!AB68))</f>
        <v>0</v>
      </c>
      <c r="AH68" s="9">
        <f ca="1">IF(Stock!AC68="",0,IF(ISNUMBER($E68),($E68+$F68)*Stock!AC68/100,Stock!AC68))</f>
        <v>0</v>
      </c>
      <c r="AI68" s="9">
        <f ca="1">IF(Stock!AD68="",0,IF(ISNUMBER($E68),($E68+$F68)*Stock!AD68/100,Stock!AD68))</f>
        <v>0</v>
      </c>
      <c r="AJ68" s="9">
        <f ca="1">IF(Stock!AE68="",0,IF(ISNUMBER($E68),($E68+$F68)*Stock!AE68/100,Stock!AE68))</f>
        <v>0</v>
      </c>
      <c r="AK68" s="9">
        <f ca="1">IF(Stock!AF68="",0,IF(ISNUMBER($E68),($E68+$F68)*Stock!AF68/100,Stock!AF68))</f>
        <v>0</v>
      </c>
      <c r="AL68" s="9">
        <f ca="1">IF(Stock!AG68="",0,IF(ISNUMBER($E68),($E68+$F68)*Stock!AG68/100,Stock!AG68))</f>
        <v>0</v>
      </c>
      <c r="AM68" s="9">
        <f ca="1">IF(Stock!AH68="",0,IF(ISNUMBER($E68),($E68+$F68)*Stock!AH68/100,Stock!AH68))</f>
        <v>0</v>
      </c>
      <c r="AN68" s="9">
        <f ca="1">IF(Stock!AI68="",0,IF(ISNUMBER($E68),($E68+$F68)*Stock!AI68/100,Stock!AI68))</f>
        <v>0</v>
      </c>
      <c r="AO68" s="9">
        <f ca="1">IF(Stock!AJ68="",0,IF(ISNUMBER($E68),($E68+$F68)*Stock!AJ68/100,Stock!AJ68))</f>
        <v>0</v>
      </c>
      <c r="AP68" s="9">
        <f ca="1">IF(Stock!AK68="",0,IF(ISNUMBER($E68),($E68+$F68)*Stock!AK68/100,Stock!AK68))</f>
        <v>0</v>
      </c>
      <c r="AQ68" s="9">
        <f ca="1">IF(Stock!AL68="",0,IF(ISNUMBER($E68),($E68+$F68)*Stock!AL68/100,Stock!AL68))</f>
        <v>0</v>
      </c>
      <c r="AR68" s="9">
        <f ca="1">IF(Stock!AM68="",0,IF(ISNUMBER($E68),($E68+$F68)*Stock!AM68/100,Stock!AM68))</f>
        <v>0</v>
      </c>
      <c r="AS68" s="9">
        <f ca="1">IF(Stock!AN68="",0,IF(ISNUMBER($E68),($E68+$F68)*Stock!AN68/100,Stock!AN68))</f>
        <v>0</v>
      </c>
      <c r="AT68" s="9">
        <f ca="1">IF(Stock!AO68="",0,IF(ISNUMBER($E68),($E68+$F68)*Stock!AO68/100,Stock!AO68))</f>
        <v>0</v>
      </c>
      <c r="AU68" s="9">
        <f ca="1">IF(Stock!AP68="",0,IF(ISNUMBER($E68),($E68+$F68)*Stock!AP68/100,Stock!AP68))</f>
        <v>0</v>
      </c>
      <c r="AV68" s="9">
        <f ca="1">IF(Stock!AQ68="",0,IF(ISNUMBER($E68),($E68+$F68)*Stock!AQ68/100,Stock!AQ68))</f>
        <v>0</v>
      </c>
      <c r="AW68" s="9">
        <f ca="1">IF(Stock!AR68="",0,IF(ISNUMBER($E68),($E68+$F68)*Stock!AR68/100,Stock!AR68))</f>
        <v>0</v>
      </c>
      <c r="AX68" s="9">
        <f ca="1">IF(Stock!AS68="",0,IF(ISNUMBER($E68),($E68+$F68)*Stock!AS68/100,Stock!AS68))</f>
        <v>0</v>
      </c>
      <c r="AY68" s="9">
        <f ca="1">IF(Stock!AT68="",0,IF(ISNUMBER($E68),($E68+$F68)*Stock!AT68/100,Stock!AT68))</f>
        <v>0</v>
      </c>
      <c r="AZ68" s="9">
        <f ca="1">IF(Stock!AU68="",0,IF(ISNUMBER($E68),($E68+$F68)*Stock!AU68/100,Stock!AU68))</f>
        <v>0</v>
      </c>
      <c r="BA68" s="9">
        <f ca="1">IF(Stock!AV68="",0,IF(ISNUMBER($E68),($E68+$F68)*Stock!AV68/100,Stock!AV68))</f>
        <v>0</v>
      </c>
      <c r="BB68" s="9">
        <f ca="1">IF(Stock!AW68="",0,IF(ISNUMBER($E68),($E68+$F68)*Stock!AW68/100,Stock!AW68))</f>
        <v>0</v>
      </c>
      <c r="BC68" s="9">
        <f ca="1">IF(Stock!AX68="",0,IF(ISNUMBER($E68),($E68+$F68)*Stock!AX68/100,Stock!AX68))</f>
        <v>0</v>
      </c>
    </row>
    <row r="69" spans="1:55" x14ac:dyDescent="0.3">
      <c r="A69" s="2" t="str">
        <f t="shared" si="4"/>
        <v/>
      </c>
      <c r="B69" s="3" t="str">
        <f t="shared" si="5"/>
        <v/>
      </c>
      <c r="C69" s="4" t="str">
        <f>IF(Repo!C73="","",Repo!C73)</f>
        <v/>
      </c>
      <c r="D69" s="4" t="str">
        <f>IF(Repo!D73="","",Repo!D73)</f>
        <v/>
      </c>
      <c r="E69" s="62">
        <f ca="1">IF(A69="",0,IF(LEFT(C69,3) = "USB",100*(1-_xll.BDP(D69 &amp; " Govt",E$1)*(B69-TODAY()+1)/36000),_xll.BDP(D69 &amp; " Govt",E$1)))</f>
        <v>0</v>
      </c>
      <c r="F69" s="62">
        <f>IF(A69="",0,IF(LEFT(D69,1) = "B",0,_xll.BDP(D69 &amp; " Govt",F$1)))</f>
        <v>0</v>
      </c>
      <c r="G69" s="9">
        <f>IF(Stock!B69="",0,IF(ISNUMBER($E69),($E69+$F69)*Stock!B69/100,Stock!B69))</f>
        <v>0</v>
      </c>
      <c r="H69" s="9">
        <f ca="1">IF(Stock!C69="",0,IF(ISNUMBER($E69),($E69+$F69)*Stock!C69/100,Stock!C69))</f>
        <v>0</v>
      </c>
      <c r="I69" s="9">
        <f ca="1">IF(Stock!D69="",0,IF(ISNUMBER($E69),($E69+$F69)*Stock!D69/100,Stock!D69))</f>
        <v>0</v>
      </c>
      <c r="J69" s="9">
        <f ca="1">IF(Stock!E69="",0,IF(ISNUMBER($E69),($E69+$F69)*Stock!E69/100,Stock!E69))</f>
        <v>0</v>
      </c>
      <c r="K69" s="9">
        <f ca="1">IF(Stock!F69="",0,IF(ISNUMBER($E69),($E69+$F69)*Stock!F69/100,Stock!F69))</f>
        <v>0</v>
      </c>
      <c r="L69" s="9">
        <f ca="1">IF(Stock!G69="",0,IF(ISNUMBER($E69),($E69+$F69)*Stock!G69/100,Stock!G69))</f>
        <v>0</v>
      </c>
      <c r="M69" s="9">
        <f ca="1">IF(Stock!H69="",0,IF(ISNUMBER($E69),($E69+$F69)*Stock!H69/100,Stock!H69))</f>
        <v>0</v>
      </c>
      <c r="N69" s="9">
        <f ca="1">IF(Stock!I69="",0,IF(ISNUMBER($E69),($E69+$F69)*Stock!I69/100,Stock!I69))</f>
        <v>0</v>
      </c>
      <c r="O69" s="9">
        <f ca="1">IF(Stock!J69="",0,IF(ISNUMBER($E69),($E69+$F69)*Stock!J69/100,Stock!J69))</f>
        <v>0</v>
      </c>
      <c r="P69" s="9">
        <f ca="1">IF(Stock!K69="",0,IF(ISNUMBER($E69),($E69+$F69)*Stock!K69/100,Stock!K69))</f>
        <v>0</v>
      </c>
      <c r="Q69" s="9">
        <f ca="1">IF(Stock!L69="",0,IF(ISNUMBER($E69),($E69+$F69)*Stock!L69/100,Stock!L69))</f>
        <v>0</v>
      </c>
      <c r="R69" s="9">
        <f ca="1">IF(Stock!M69="",0,IF(ISNUMBER($E69),($E69+$F69)*Stock!M69/100,Stock!M69))</f>
        <v>0</v>
      </c>
      <c r="S69" s="9">
        <f ca="1">IF(Stock!N69="",0,IF(ISNUMBER($E69),($E69+$F69)*Stock!N69/100,Stock!N69))</f>
        <v>0</v>
      </c>
      <c r="T69" s="9">
        <f ca="1">IF(Stock!O69="",0,IF(ISNUMBER($E69),($E69+$F69)*Stock!O69/100,Stock!O69))</f>
        <v>0</v>
      </c>
      <c r="U69" s="9">
        <f ca="1">IF(Stock!P69="",0,IF(ISNUMBER($E69),($E69+$F69)*Stock!P69/100,Stock!P69))</f>
        <v>0</v>
      </c>
      <c r="V69" s="9">
        <f ca="1">IF(Stock!Q69="",0,IF(ISNUMBER($E69),($E69+$F69)*Stock!Q69/100,Stock!Q69))</f>
        <v>0</v>
      </c>
      <c r="W69" s="9">
        <f ca="1">IF(Stock!R69="",0,IF(ISNUMBER($E69),($E69+$F69)*Stock!R69/100,Stock!R69))</f>
        <v>0</v>
      </c>
      <c r="X69" s="9">
        <f ca="1">IF(Stock!S69="",0,IF(ISNUMBER($E69),($E69+$F69)*Stock!S69/100,Stock!S69))</f>
        <v>0</v>
      </c>
      <c r="Y69" s="9">
        <f ca="1">IF(Stock!T69="",0,IF(ISNUMBER($E69),($E69+$F69)*Stock!T69/100,Stock!T69))</f>
        <v>0</v>
      </c>
      <c r="Z69" s="9">
        <f ca="1">IF(Stock!U69="",0,IF(ISNUMBER($E69),($E69+$F69)*Stock!U69/100,Stock!U69))</f>
        <v>0</v>
      </c>
      <c r="AA69" s="9">
        <f ca="1">IF(Stock!V69="",0,IF(ISNUMBER($E69),($E69+$F69)*Stock!V69/100,Stock!V69))</f>
        <v>0</v>
      </c>
      <c r="AB69" s="9">
        <f ca="1">IF(Stock!W69="",0,IF(ISNUMBER($E69),($E69+$F69)*Stock!W69/100,Stock!W69))</f>
        <v>0</v>
      </c>
      <c r="AC69" s="9">
        <f ca="1">IF(Stock!X69="",0,IF(ISNUMBER($E69),($E69+$F69)*Stock!X69/100,Stock!X69))</f>
        <v>0</v>
      </c>
      <c r="AD69" s="9">
        <f ca="1">IF(Stock!Y69="",0,IF(ISNUMBER($E69),($E69+$F69)*Stock!Y69/100,Stock!Y69))</f>
        <v>0</v>
      </c>
      <c r="AE69" s="9">
        <f ca="1">IF(Stock!Z69="",0,IF(ISNUMBER($E69),($E69+$F69)*Stock!Z69/100,Stock!Z69))</f>
        <v>0</v>
      </c>
      <c r="AF69" s="9">
        <f ca="1">IF(Stock!AA69="",0,IF(ISNUMBER($E69),($E69+$F69)*Stock!AA69/100,Stock!AA69))</f>
        <v>0</v>
      </c>
      <c r="AG69" s="9">
        <f ca="1">IF(Stock!AB69="",0,IF(ISNUMBER($E69),($E69+$F69)*Stock!AB69/100,Stock!AB69))</f>
        <v>0</v>
      </c>
      <c r="AH69" s="9">
        <f ca="1">IF(Stock!AC69="",0,IF(ISNUMBER($E69),($E69+$F69)*Stock!AC69/100,Stock!AC69))</f>
        <v>0</v>
      </c>
      <c r="AI69" s="9">
        <f ca="1">IF(Stock!AD69="",0,IF(ISNUMBER($E69),($E69+$F69)*Stock!AD69/100,Stock!AD69))</f>
        <v>0</v>
      </c>
      <c r="AJ69" s="9">
        <f ca="1">IF(Stock!AE69="",0,IF(ISNUMBER($E69),($E69+$F69)*Stock!AE69/100,Stock!AE69))</f>
        <v>0</v>
      </c>
      <c r="AK69" s="9">
        <f ca="1">IF(Stock!AF69="",0,IF(ISNUMBER($E69),($E69+$F69)*Stock!AF69/100,Stock!AF69))</f>
        <v>0</v>
      </c>
      <c r="AL69" s="9">
        <f ca="1">IF(Stock!AG69="",0,IF(ISNUMBER($E69),($E69+$F69)*Stock!AG69/100,Stock!AG69))</f>
        <v>0</v>
      </c>
      <c r="AM69" s="9">
        <f ca="1">IF(Stock!AH69="",0,IF(ISNUMBER($E69),($E69+$F69)*Stock!AH69/100,Stock!AH69))</f>
        <v>0</v>
      </c>
      <c r="AN69" s="9">
        <f ca="1">IF(Stock!AI69="",0,IF(ISNUMBER($E69),($E69+$F69)*Stock!AI69/100,Stock!AI69))</f>
        <v>0</v>
      </c>
      <c r="AO69" s="9">
        <f ca="1">IF(Stock!AJ69="",0,IF(ISNUMBER($E69),($E69+$F69)*Stock!AJ69/100,Stock!AJ69))</f>
        <v>0</v>
      </c>
      <c r="AP69" s="9">
        <f ca="1">IF(Stock!AK69="",0,IF(ISNUMBER($E69),($E69+$F69)*Stock!AK69/100,Stock!AK69))</f>
        <v>0</v>
      </c>
      <c r="AQ69" s="9">
        <f ca="1">IF(Stock!AL69="",0,IF(ISNUMBER($E69),($E69+$F69)*Stock!AL69/100,Stock!AL69))</f>
        <v>0</v>
      </c>
      <c r="AR69" s="9">
        <f ca="1">IF(Stock!AM69="",0,IF(ISNUMBER($E69),($E69+$F69)*Stock!AM69/100,Stock!AM69))</f>
        <v>0</v>
      </c>
      <c r="AS69" s="9">
        <f ca="1">IF(Stock!AN69="",0,IF(ISNUMBER($E69),($E69+$F69)*Stock!AN69/100,Stock!AN69))</f>
        <v>0</v>
      </c>
      <c r="AT69" s="9">
        <f ca="1">IF(Stock!AO69="",0,IF(ISNUMBER($E69),($E69+$F69)*Stock!AO69/100,Stock!AO69))</f>
        <v>0</v>
      </c>
      <c r="AU69" s="9">
        <f ca="1">IF(Stock!AP69="",0,IF(ISNUMBER($E69),($E69+$F69)*Stock!AP69/100,Stock!AP69))</f>
        <v>0</v>
      </c>
      <c r="AV69" s="9">
        <f ca="1">IF(Stock!AQ69="",0,IF(ISNUMBER($E69),($E69+$F69)*Stock!AQ69/100,Stock!AQ69))</f>
        <v>0</v>
      </c>
      <c r="AW69" s="9">
        <f ca="1">IF(Stock!AR69="",0,IF(ISNUMBER($E69),($E69+$F69)*Stock!AR69/100,Stock!AR69))</f>
        <v>0</v>
      </c>
      <c r="AX69" s="9">
        <f ca="1">IF(Stock!AS69="",0,IF(ISNUMBER($E69),($E69+$F69)*Stock!AS69/100,Stock!AS69))</f>
        <v>0</v>
      </c>
      <c r="AY69" s="9">
        <f ca="1">IF(Stock!AT69="",0,IF(ISNUMBER($E69),($E69+$F69)*Stock!AT69/100,Stock!AT69))</f>
        <v>0</v>
      </c>
      <c r="AZ69" s="9">
        <f ca="1">IF(Stock!AU69="",0,IF(ISNUMBER($E69),($E69+$F69)*Stock!AU69/100,Stock!AU69))</f>
        <v>0</v>
      </c>
      <c r="BA69" s="9">
        <f ca="1">IF(Stock!AV69="",0,IF(ISNUMBER($E69),($E69+$F69)*Stock!AV69/100,Stock!AV69))</f>
        <v>0</v>
      </c>
      <c r="BB69" s="9">
        <f ca="1">IF(Stock!AW69="",0,IF(ISNUMBER($E69),($E69+$F69)*Stock!AW69/100,Stock!AW69))</f>
        <v>0</v>
      </c>
      <c r="BC69" s="9">
        <f ca="1">IF(Stock!AX69="",0,IF(ISNUMBER($E69),($E69+$F69)*Stock!AX69/100,Stock!AX69))</f>
        <v>0</v>
      </c>
    </row>
    <row r="70" spans="1:55" x14ac:dyDescent="0.3">
      <c r="A70" s="2" t="str">
        <f t="shared" si="4"/>
        <v/>
      </c>
      <c r="B70" s="3" t="str">
        <f t="shared" si="5"/>
        <v/>
      </c>
      <c r="C70" s="4" t="str">
        <f>IF(Repo!C74="","",Repo!C74)</f>
        <v/>
      </c>
      <c r="D70" s="4" t="str">
        <f>IF(Repo!D74="","",Repo!D74)</f>
        <v/>
      </c>
      <c r="E70" s="62">
        <f ca="1">IF(A70="",0,IF(LEFT(C70,3) = "USB",100*(1-_xll.BDP(D70 &amp; " Govt",E$1)*(B70-TODAY()+1)/36000),_xll.BDP(D70 &amp; " Govt",E$1)))</f>
        <v>0</v>
      </c>
      <c r="F70" s="62">
        <f>IF(A70="",0,IF(LEFT(D70,1) = "B",0,_xll.BDP(D70 &amp; " Govt",F$1)))</f>
        <v>0</v>
      </c>
      <c r="G70" s="9">
        <f>IF(Stock!B70="",0,IF(ISNUMBER($E70),($E70+$F70)*Stock!B70/100,Stock!B70))</f>
        <v>0</v>
      </c>
      <c r="H70" s="9">
        <f ca="1">IF(Stock!C70="",0,IF(ISNUMBER($E70),($E70+$F70)*Stock!C70/100,Stock!C70))</f>
        <v>0</v>
      </c>
      <c r="I70" s="9">
        <f ca="1">IF(Stock!D70="",0,IF(ISNUMBER($E70),($E70+$F70)*Stock!D70/100,Stock!D70))</f>
        <v>0</v>
      </c>
      <c r="J70" s="9">
        <f ca="1">IF(Stock!E70="",0,IF(ISNUMBER($E70),($E70+$F70)*Stock!E70/100,Stock!E70))</f>
        <v>0</v>
      </c>
      <c r="K70" s="9">
        <f ca="1">IF(Stock!F70="",0,IF(ISNUMBER($E70),($E70+$F70)*Stock!F70/100,Stock!F70))</f>
        <v>0</v>
      </c>
      <c r="L70" s="9">
        <f ca="1">IF(Stock!G70="",0,IF(ISNUMBER($E70),($E70+$F70)*Stock!G70/100,Stock!G70))</f>
        <v>0</v>
      </c>
      <c r="M70" s="9">
        <f ca="1">IF(Stock!H70="",0,IF(ISNUMBER($E70),($E70+$F70)*Stock!H70/100,Stock!H70))</f>
        <v>0</v>
      </c>
      <c r="N70" s="9">
        <f ca="1">IF(Stock!I70="",0,IF(ISNUMBER($E70),($E70+$F70)*Stock!I70/100,Stock!I70))</f>
        <v>0</v>
      </c>
      <c r="O70" s="9">
        <f ca="1">IF(Stock!J70="",0,IF(ISNUMBER($E70),($E70+$F70)*Stock!J70/100,Stock!J70))</f>
        <v>0</v>
      </c>
      <c r="P70" s="9">
        <f ca="1">IF(Stock!K70="",0,IF(ISNUMBER($E70),($E70+$F70)*Stock!K70/100,Stock!K70))</f>
        <v>0</v>
      </c>
      <c r="Q70" s="9">
        <f ca="1">IF(Stock!L70="",0,IF(ISNUMBER($E70),($E70+$F70)*Stock!L70/100,Stock!L70))</f>
        <v>0</v>
      </c>
      <c r="R70" s="9">
        <f ca="1">IF(Stock!M70="",0,IF(ISNUMBER($E70),($E70+$F70)*Stock!M70/100,Stock!M70))</f>
        <v>0</v>
      </c>
      <c r="S70" s="9">
        <f ca="1">IF(Stock!N70="",0,IF(ISNUMBER($E70),($E70+$F70)*Stock!N70/100,Stock!N70))</f>
        <v>0</v>
      </c>
      <c r="T70" s="9">
        <f ca="1">IF(Stock!O70="",0,IF(ISNUMBER($E70),($E70+$F70)*Stock!O70/100,Stock!O70))</f>
        <v>0</v>
      </c>
      <c r="U70" s="9">
        <f ca="1">IF(Stock!P70="",0,IF(ISNUMBER($E70),($E70+$F70)*Stock!P70/100,Stock!P70))</f>
        <v>0</v>
      </c>
      <c r="V70" s="9">
        <f ca="1">IF(Stock!Q70="",0,IF(ISNUMBER($E70),($E70+$F70)*Stock!Q70/100,Stock!Q70))</f>
        <v>0</v>
      </c>
      <c r="W70" s="9">
        <f ca="1">IF(Stock!R70="",0,IF(ISNUMBER($E70),($E70+$F70)*Stock!R70/100,Stock!R70))</f>
        <v>0</v>
      </c>
      <c r="X70" s="9">
        <f ca="1">IF(Stock!S70="",0,IF(ISNUMBER($E70),($E70+$F70)*Stock!S70/100,Stock!S70))</f>
        <v>0</v>
      </c>
      <c r="Y70" s="9">
        <f ca="1">IF(Stock!T70="",0,IF(ISNUMBER($E70),($E70+$F70)*Stock!T70/100,Stock!T70))</f>
        <v>0</v>
      </c>
      <c r="Z70" s="9">
        <f ca="1">IF(Stock!U70="",0,IF(ISNUMBER($E70),($E70+$F70)*Stock!U70/100,Stock!U70))</f>
        <v>0</v>
      </c>
      <c r="AA70" s="9">
        <f ca="1">IF(Stock!V70="",0,IF(ISNUMBER($E70),($E70+$F70)*Stock!V70/100,Stock!V70))</f>
        <v>0</v>
      </c>
      <c r="AB70" s="9">
        <f ca="1">IF(Stock!W70="",0,IF(ISNUMBER($E70),($E70+$F70)*Stock!W70/100,Stock!W70))</f>
        <v>0</v>
      </c>
      <c r="AC70" s="9">
        <f ca="1">IF(Stock!X70="",0,IF(ISNUMBER($E70),($E70+$F70)*Stock!X70/100,Stock!X70))</f>
        <v>0</v>
      </c>
      <c r="AD70" s="9">
        <f ca="1">IF(Stock!Y70="",0,IF(ISNUMBER($E70),($E70+$F70)*Stock!Y70/100,Stock!Y70))</f>
        <v>0</v>
      </c>
      <c r="AE70" s="9">
        <f ca="1">IF(Stock!Z70="",0,IF(ISNUMBER($E70),($E70+$F70)*Stock!Z70/100,Stock!Z70))</f>
        <v>0</v>
      </c>
      <c r="AF70" s="9">
        <f ca="1">IF(Stock!AA70="",0,IF(ISNUMBER($E70),($E70+$F70)*Stock!AA70/100,Stock!AA70))</f>
        <v>0</v>
      </c>
      <c r="AG70" s="9">
        <f ca="1">IF(Stock!AB70="",0,IF(ISNUMBER($E70),($E70+$F70)*Stock!AB70/100,Stock!AB70))</f>
        <v>0</v>
      </c>
      <c r="AH70" s="9">
        <f ca="1">IF(Stock!AC70="",0,IF(ISNUMBER($E70),($E70+$F70)*Stock!AC70/100,Stock!AC70))</f>
        <v>0</v>
      </c>
      <c r="AI70" s="9">
        <f ca="1">IF(Stock!AD70="",0,IF(ISNUMBER($E70),($E70+$F70)*Stock!AD70/100,Stock!AD70))</f>
        <v>0</v>
      </c>
      <c r="AJ70" s="9">
        <f ca="1">IF(Stock!AE70="",0,IF(ISNUMBER($E70),($E70+$F70)*Stock!AE70/100,Stock!AE70))</f>
        <v>0</v>
      </c>
      <c r="AK70" s="9">
        <f ca="1">IF(Stock!AF70="",0,IF(ISNUMBER($E70),($E70+$F70)*Stock!AF70/100,Stock!AF70))</f>
        <v>0</v>
      </c>
      <c r="AL70" s="9">
        <f ca="1">IF(Stock!AG70="",0,IF(ISNUMBER($E70),($E70+$F70)*Stock!AG70/100,Stock!AG70))</f>
        <v>0</v>
      </c>
      <c r="AM70" s="9">
        <f ca="1">IF(Stock!AH70="",0,IF(ISNUMBER($E70),($E70+$F70)*Stock!AH70/100,Stock!AH70))</f>
        <v>0</v>
      </c>
      <c r="AN70" s="9">
        <f ca="1">IF(Stock!AI70="",0,IF(ISNUMBER($E70),($E70+$F70)*Stock!AI70/100,Stock!AI70))</f>
        <v>0</v>
      </c>
      <c r="AO70" s="9">
        <f ca="1">IF(Stock!AJ70="",0,IF(ISNUMBER($E70),($E70+$F70)*Stock!AJ70/100,Stock!AJ70))</f>
        <v>0</v>
      </c>
      <c r="AP70" s="9">
        <f ca="1">IF(Stock!AK70="",0,IF(ISNUMBER($E70),($E70+$F70)*Stock!AK70/100,Stock!AK70))</f>
        <v>0</v>
      </c>
      <c r="AQ70" s="9">
        <f ca="1">IF(Stock!AL70="",0,IF(ISNUMBER($E70),($E70+$F70)*Stock!AL70/100,Stock!AL70))</f>
        <v>0</v>
      </c>
      <c r="AR70" s="9">
        <f ca="1">IF(Stock!AM70="",0,IF(ISNUMBER($E70),($E70+$F70)*Stock!AM70/100,Stock!AM70))</f>
        <v>0</v>
      </c>
      <c r="AS70" s="9">
        <f ca="1">IF(Stock!AN70="",0,IF(ISNUMBER($E70),($E70+$F70)*Stock!AN70/100,Stock!AN70))</f>
        <v>0</v>
      </c>
      <c r="AT70" s="9">
        <f ca="1">IF(Stock!AO70="",0,IF(ISNUMBER($E70),($E70+$F70)*Stock!AO70/100,Stock!AO70))</f>
        <v>0</v>
      </c>
      <c r="AU70" s="9">
        <f ca="1">IF(Stock!AP70="",0,IF(ISNUMBER($E70),($E70+$F70)*Stock!AP70/100,Stock!AP70))</f>
        <v>0</v>
      </c>
      <c r="AV70" s="9">
        <f ca="1">IF(Stock!AQ70="",0,IF(ISNUMBER($E70),($E70+$F70)*Stock!AQ70/100,Stock!AQ70))</f>
        <v>0</v>
      </c>
      <c r="AW70" s="9">
        <f ca="1">IF(Stock!AR70="",0,IF(ISNUMBER($E70),($E70+$F70)*Stock!AR70/100,Stock!AR70))</f>
        <v>0</v>
      </c>
      <c r="AX70" s="9">
        <f ca="1">IF(Stock!AS70="",0,IF(ISNUMBER($E70),($E70+$F70)*Stock!AS70/100,Stock!AS70))</f>
        <v>0</v>
      </c>
      <c r="AY70" s="9">
        <f ca="1">IF(Stock!AT70="",0,IF(ISNUMBER($E70),($E70+$F70)*Stock!AT70/100,Stock!AT70))</f>
        <v>0</v>
      </c>
      <c r="AZ70" s="9">
        <f ca="1">IF(Stock!AU70="",0,IF(ISNUMBER($E70),($E70+$F70)*Stock!AU70/100,Stock!AU70))</f>
        <v>0</v>
      </c>
      <c r="BA70" s="9">
        <f ca="1">IF(Stock!AV70="",0,IF(ISNUMBER($E70),($E70+$F70)*Stock!AV70/100,Stock!AV70))</f>
        <v>0</v>
      </c>
      <c r="BB70" s="9">
        <f ca="1">IF(Stock!AW70="",0,IF(ISNUMBER($E70),($E70+$F70)*Stock!AW70/100,Stock!AW70))</f>
        <v>0</v>
      </c>
      <c r="BC70" s="9">
        <f ca="1">IF(Stock!AX70="",0,IF(ISNUMBER($E70),($E70+$F70)*Stock!AX70/100,Stock!AX70))</f>
        <v>0</v>
      </c>
    </row>
    <row r="71" spans="1:55" x14ac:dyDescent="0.3">
      <c r="A71" s="2" t="str">
        <f t="shared" si="4"/>
        <v/>
      </c>
      <c r="B71" s="3" t="str">
        <f t="shared" si="5"/>
        <v/>
      </c>
      <c r="C71" s="4" t="str">
        <f>IF(Repo!C75="","",Repo!C75)</f>
        <v/>
      </c>
      <c r="D71" s="4" t="str">
        <f>IF(Repo!D75="","",Repo!D75)</f>
        <v/>
      </c>
      <c r="E71" s="62">
        <f ca="1">IF(A71="",0,IF(LEFT(C71,3) = "USB",100*(1-_xll.BDP(D71 &amp; " Govt",E$1)*(B71-TODAY()+1)/36000),_xll.BDP(D71 &amp; " Govt",E$1)))</f>
        <v>0</v>
      </c>
      <c r="F71" s="62">
        <f>IF(A71="",0,IF(LEFT(D71,1) = "B",0,_xll.BDP(D71 &amp; " Govt",F$1)))</f>
        <v>0</v>
      </c>
      <c r="G71" s="9">
        <f>IF(Stock!B71="",0,IF(ISNUMBER($E71),($E71+$F71)*Stock!B71/100,Stock!B71))</f>
        <v>0</v>
      </c>
      <c r="H71" s="9">
        <f ca="1">IF(Stock!C71="",0,IF(ISNUMBER($E71),($E71+$F71)*Stock!C71/100,Stock!C71))</f>
        <v>0</v>
      </c>
      <c r="I71" s="9">
        <f ca="1">IF(Stock!D71="",0,IF(ISNUMBER($E71),($E71+$F71)*Stock!D71/100,Stock!D71))</f>
        <v>0</v>
      </c>
      <c r="J71" s="9">
        <f ca="1">IF(Stock!E71="",0,IF(ISNUMBER($E71),($E71+$F71)*Stock!E71/100,Stock!E71))</f>
        <v>0</v>
      </c>
      <c r="K71" s="9">
        <f ca="1">IF(Stock!F71="",0,IF(ISNUMBER($E71),($E71+$F71)*Stock!F71/100,Stock!F71))</f>
        <v>0</v>
      </c>
      <c r="L71" s="9">
        <f ca="1">IF(Stock!G71="",0,IF(ISNUMBER($E71),($E71+$F71)*Stock!G71/100,Stock!G71))</f>
        <v>0</v>
      </c>
      <c r="M71" s="9">
        <f ca="1">IF(Stock!H71="",0,IF(ISNUMBER($E71),($E71+$F71)*Stock!H71/100,Stock!H71))</f>
        <v>0</v>
      </c>
      <c r="N71" s="9">
        <f ca="1">IF(Stock!I71="",0,IF(ISNUMBER($E71),($E71+$F71)*Stock!I71/100,Stock!I71))</f>
        <v>0</v>
      </c>
      <c r="O71" s="9">
        <f ca="1">IF(Stock!J71="",0,IF(ISNUMBER($E71),($E71+$F71)*Stock!J71/100,Stock!J71))</f>
        <v>0</v>
      </c>
      <c r="P71" s="9">
        <f ca="1">IF(Stock!K71="",0,IF(ISNUMBER($E71),($E71+$F71)*Stock!K71/100,Stock!K71))</f>
        <v>0</v>
      </c>
      <c r="Q71" s="9">
        <f ca="1">IF(Stock!L71="",0,IF(ISNUMBER($E71),($E71+$F71)*Stock!L71/100,Stock!L71))</f>
        <v>0</v>
      </c>
      <c r="R71" s="9">
        <f ca="1">IF(Stock!M71="",0,IF(ISNUMBER($E71),($E71+$F71)*Stock!M71/100,Stock!M71))</f>
        <v>0</v>
      </c>
      <c r="S71" s="9">
        <f ca="1">IF(Stock!N71="",0,IF(ISNUMBER($E71),($E71+$F71)*Stock!N71/100,Stock!N71))</f>
        <v>0</v>
      </c>
      <c r="T71" s="9">
        <f ca="1">IF(Stock!O71="",0,IF(ISNUMBER($E71),($E71+$F71)*Stock!O71/100,Stock!O71))</f>
        <v>0</v>
      </c>
      <c r="U71" s="9">
        <f ca="1">IF(Stock!P71="",0,IF(ISNUMBER($E71),($E71+$F71)*Stock!P71/100,Stock!P71))</f>
        <v>0</v>
      </c>
      <c r="V71" s="9">
        <f ca="1">IF(Stock!Q71="",0,IF(ISNUMBER($E71),($E71+$F71)*Stock!Q71/100,Stock!Q71))</f>
        <v>0</v>
      </c>
      <c r="W71" s="9">
        <f ca="1">IF(Stock!R71="",0,IF(ISNUMBER($E71),($E71+$F71)*Stock!R71/100,Stock!R71))</f>
        <v>0</v>
      </c>
      <c r="X71" s="9">
        <f ca="1">IF(Stock!S71="",0,IF(ISNUMBER($E71),($E71+$F71)*Stock!S71/100,Stock!S71))</f>
        <v>0</v>
      </c>
      <c r="Y71" s="9">
        <f ca="1">IF(Stock!T71="",0,IF(ISNUMBER($E71),($E71+$F71)*Stock!T71/100,Stock!T71))</f>
        <v>0</v>
      </c>
      <c r="Z71" s="9">
        <f ca="1">IF(Stock!U71="",0,IF(ISNUMBER($E71),($E71+$F71)*Stock!U71/100,Stock!U71))</f>
        <v>0</v>
      </c>
      <c r="AA71" s="9">
        <f ca="1">IF(Stock!V71="",0,IF(ISNUMBER($E71),($E71+$F71)*Stock!V71/100,Stock!V71))</f>
        <v>0</v>
      </c>
      <c r="AB71" s="9">
        <f ca="1">IF(Stock!W71="",0,IF(ISNUMBER($E71),($E71+$F71)*Stock!W71/100,Stock!W71))</f>
        <v>0</v>
      </c>
      <c r="AC71" s="9">
        <f ca="1">IF(Stock!X71="",0,IF(ISNUMBER($E71),($E71+$F71)*Stock!X71/100,Stock!X71))</f>
        <v>0</v>
      </c>
      <c r="AD71" s="9">
        <f ca="1">IF(Stock!Y71="",0,IF(ISNUMBER($E71),($E71+$F71)*Stock!Y71/100,Stock!Y71))</f>
        <v>0</v>
      </c>
      <c r="AE71" s="9">
        <f ca="1">IF(Stock!Z71="",0,IF(ISNUMBER($E71),($E71+$F71)*Stock!Z71/100,Stock!Z71))</f>
        <v>0</v>
      </c>
      <c r="AF71" s="9">
        <f ca="1">IF(Stock!AA71="",0,IF(ISNUMBER($E71),($E71+$F71)*Stock!AA71/100,Stock!AA71))</f>
        <v>0</v>
      </c>
      <c r="AG71" s="9">
        <f ca="1">IF(Stock!AB71="",0,IF(ISNUMBER($E71),($E71+$F71)*Stock!AB71/100,Stock!AB71))</f>
        <v>0</v>
      </c>
      <c r="AH71" s="9">
        <f ca="1">IF(Stock!AC71="",0,IF(ISNUMBER($E71),($E71+$F71)*Stock!AC71/100,Stock!AC71))</f>
        <v>0</v>
      </c>
      <c r="AI71" s="9">
        <f ca="1">IF(Stock!AD71="",0,IF(ISNUMBER($E71),($E71+$F71)*Stock!AD71/100,Stock!AD71))</f>
        <v>0</v>
      </c>
      <c r="AJ71" s="9">
        <f ca="1">IF(Stock!AE71="",0,IF(ISNUMBER($E71),($E71+$F71)*Stock!AE71/100,Stock!AE71))</f>
        <v>0</v>
      </c>
      <c r="AK71" s="9">
        <f ca="1">IF(Stock!AF71="",0,IF(ISNUMBER($E71),($E71+$F71)*Stock!AF71/100,Stock!AF71))</f>
        <v>0</v>
      </c>
      <c r="AL71" s="9">
        <f ca="1">IF(Stock!AG71="",0,IF(ISNUMBER($E71),($E71+$F71)*Stock!AG71/100,Stock!AG71))</f>
        <v>0</v>
      </c>
      <c r="AM71" s="9">
        <f ca="1">IF(Stock!AH71="",0,IF(ISNUMBER($E71),($E71+$F71)*Stock!AH71/100,Stock!AH71))</f>
        <v>0</v>
      </c>
      <c r="AN71" s="9">
        <f ca="1">IF(Stock!AI71="",0,IF(ISNUMBER($E71),($E71+$F71)*Stock!AI71/100,Stock!AI71))</f>
        <v>0</v>
      </c>
      <c r="AO71" s="9">
        <f ca="1">IF(Stock!AJ71="",0,IF(ISNUMBER($E71),($E71+$F71)*Stock!AJ71/100,Stock!AJ71))</f>
        <v>0</v>
      </c>
      <c r="AP71" s="9">
        <f ca="1">IF(Stock!AK71="",0,IF(ISNUMBER($E71),($E71+$F71)*Stock!AK71/100,Stock!AK71))</f>
        <v>0</v>
      </c>
      <c r="AQ71" s="9">
        <f ca="1">IF(Stock!AL71="",0,IF(ISNUMBER($E71),($E71+$F71)*Stock!AL71/100,Stock!AL71))</f>
        <v>0</v>
      </c>
      <c r="AR71" s="9">
        <f ca="1">IF(Stock!AM71="",0,IF(ISNUMBER($E71),($E71+$F71)*Stock!AM71/100,Stock!AM71))</f>
        <v>0</v>
      </c>
      <c r="AS71" s="9">
        <f ca="1">IF(Stock!AN71="",0,IF(ISNUMBER($E71),($E71+$F71)*Stock!AN71/100,Stock!AN71))</f>
        <v>0</v>
      </c>
      <c r="AT71" s="9">
        <f ca="1">IF(Stock!AO71="",0,IF(ISNUMBER($E71),($E71+$F71)*Stock!AO71/100,Stock!AO71))</f>
        <v>0</v>
      </c>
      <c r="AU71" s="9">
        <f ca="1">IF(Stock!AP71="",0,IF(ISNUMBER($E71),($E71+$F71)*Stock!AP71/100,Stock!AP71))</f>
        <v>0</v>
      </c>
      <c r="AV71" s="9">
        <f ca="1">IF(Stock!AQ71="",0,IF(ISNUMBER($E71),($E71+$F71)*Stock!AQ71/100,Stock!AQ71))</f>
        <v>0</v>
      </c>
      <c r="AW71" s="9">
        <f ca="1">IF(Stock!AR71="",0,IF(ISNUMBER($E71),($E71+$F71)*Stock!AR71/100,Stock!AR71))</f>
        <v>0</v>
      </c>
      <c r="AX71" s="9">
        <f ca="1">IF(Stock!AS71="",0,IF(ISNUMBER($E71),($E71+$F71)*Stock!AS71/100,Stock!AS71))</f>
        <v>0</v>
      </c>
      <c r="AY71" s="9">
        <f ca="1">IF(Stock!AT71="",0,IF(ISNUMBER($E71),($E71+$F71)*Stock!AT71/100,Stock!AT71))</f>
        <v>0</v>
      </c>
      <c r="AZ71" s="9">
        <f ca="1">IF(Stock!AU71="",0,IF(ISNUMBER($E71),($E71+$F71)*Stock!AU71/100,Stock!AU71))</f>
        <v>0</v>
      </c>
      <c r="BA71" s="9">
        <f ca="1">IF(Stock!AV71="",0,IF(ISNUMBER($E71),($E71+$F71)*Stock!AV71/100,Stock!AV71))</f>
        <v>0</v>
      </c>
      <c r="BB71" s="9">
        <f ca="1">IF(Stock!AW71="",0,IF(ISNUMBER($E71),($E71+$F71)*Stock!AW71/100,Stock!AW71))</f>
        <v>0</v>
      </c>
      <c r="BC71" s="9">
        <f ca="1">IF(Stock!AX71="",0,IF(ISNUMBER($E71),($E71+$F71)*Stock!AX71/100,Stock!AX71))</f>
        <v>0</v>
      </c>
    </row>
    <row r="72" spans="1:55" x14ac:dyDescent="0.3">
      <c r="A72" s="2" t="str">
        <f t="shared" si="4"/>
        <v/>
      </c>
      <c r="B72" s="3" t="str">
        <f t="shared" si="5"/>
        <v/>
      </c>
      <c r="C72" s="4" t="str">
        <f>IF(Repo!C76="","",Repo!C76)</f>
        <v/>
      </c>
      <c r="D72" s="4" t="str">
        <f>IF(Repo!D76="","",Repo!D76)</f>
        <v/>
      </c>
      <c r="E72" s="62">
        <f ca="1">IF(A72="",0,IF(LEFT(C72,3) = "USB",100*(1-_xll.BDP(D72 &amp; " Govt",E$1)*(B72-TODAY()+1)/36000),_xll.BDP(D72 &amp; " Govt",E$1)))</f>
        <v>0</v>
      </c>
      <c r="F72" s="62">
        <f>IF(A72="",0,IF(LEFT(D72,1) = "B",0,_xll.BDP(D72 &amp; " Govt",F$1)))</f>
        <v>0</v>
      </c>
      <c r="G72" s="9">
        <f>IF(Stock!B72="",0,IF(ISNUMBER($E72),($E72+$F72)*Stock!B72/100,Stock!B72))</f>
        <v>0</v>
      </c>
      <c r="H72" s="9">
        <f ca="1">IF(Stock!C72="",0,IF(ISNUMBER($E72),($E72+$F72)*Stock!C72/100,Stock!C72))</f>
        <v>0</v>
      </c>
      <c r="I72" s="9">
        <f ca="1">IF(Stock!D72="",0,IF(ISNUMBER($E72),($E72+$F72)*Stock!D72/100,Stock!D72))</f>
        <v>0</v>
      </c>
      <c r="J72" s="9">
        <f ca="1">IF(Stock!E72="",0,IF(ISNUMBER($E72),($E72+$F72)*Stock!E72/100,Stock!E72))</f>
        <v>0</v>
      </c>
      <c r="K72" s="9">
        <f ca="1">IF(Stock!F72="",0,IF(ISNUMBER($E72),($E72+$F72)*Stock!F72/100,Stock!F72))</f>
        <v>0</v>
      </c>
      <c r="L72" s="9">
        <f ca="1">IF(Stock!G72="",0,IF(ISNUMBER($E72),($E72+$F72)*Stock!G72/100,Stock!G72))</f>
        <v>0</v>
      </c>
      <c r="M72" s="9">
        <f ca="1">IF(Stock!H72="",0,IF(ISNUMBER($E72),($E72+$F72)*Stock!H72/100,Stock!H72))</f>
        <v>0</v>
      </c>
      <c r="N72" s="9">
        <f ca="1">IF(Stock!I72="",0,IF(ISNUMBER($E72),($E72+$F72)*Stock!I72/100,Stock!I72))</f>
        <v>0</v>
      </c>
      <c r="O72" s="9">
        <f ca="1">IF(Stock!J72="",0,IF(ISNUMBER($E72),($E72+$F72)*Stock!J72/100,Stock!J72))</f>
        <v>0</v>
      </c>
      <c r="P72" s="9">
        <f ca="1">IF(Stock!K72="",0,IF(ISNUMBER($E72),($E72+$F72)*Stock!K72/100,Stock!K72))</f>
        <v>0</v>
      </c>
      <c r="Q72" s="9">
        <f ca="1">IF(Stock!L72="",0,IF(ISNUMBER($E72),($E72+$F72)*Stock!L72/100,Stock!L72))</f>
        <v>0</v>
      </c>
      <c r="R72" s="9">
        <f ca="1">IF(Stock!M72="",0,IF(ISNUMBER($E72),($E72+$F72)*Stock!M72/100,Stock!M72))</f>
        <v>0</v>
      </c>
      <c r="S72" s="9">
        <f ca="1">IF(Stock!N72="",0,IF(ISNUMBER($E72),($E72+$F72)*Stock!N72/100,Stock!N72))</f>
        <v>0</v>
      </c>
      <c r="T72" s="9">
        <f ca="1">IF(Stock!O72="",0,IF(ISNUMBER($E72),($E72+$F72)*Stock!O72/100,Stock!O72))</f>
        <v>0</v>
      </c>
      <c r="U72" s="9">
        <f ca="1">IF(Stock!P72="",0,IF(ISNUMBER($E72),($E72+$F72)*Stock!P72/100,Stock!P72))</f>
        <v>0</v>
      </c>
      <c r="V72" s="9">
        <f ca="1">IF(Stock!Q72="",0,IF(ISNUMBER($E72),($E72+$F72)*Stock!Q72/100,Stock!Q72))</f>
        <v>0</v>
      </c>
      <c r="W72" s="9">
        <f ca="1">IF(Stock!R72="",0,IF(ISNUMBER($E72),($E72+$F72)*Stock!R72/100,Stock!R72))</f>
        <v>0</v>
      </c>
      <c r="X72" s="9">
        <f ca="1">IF(Stock!S72="",0,IF(ISNUMBER($E72),($E72+$F72)*Stock!S72/100,Stock!S72))</f>
        <v>0</v>
      </c>
      <c r="Y72" s="9">
        <f ca="1">IF(Stock!T72="",0,IF(ISNUMBER($E72),($E72+$F72)*Stock!T72/100,Stock!T72))</f>
        <v>0</v>
      </c>
      <c r="Z72" s="9">
        <f ca="1">IF(Stock!U72="",0,IF(ISNUMBER($E72),($E72+$F72)*Stock!U72/100,Stock!U72))</f>
        <v>0</v>
      </c>
      <c r="AA72" s="9">
        <f ca="1">IF(Stock!V72="",0,IF(ISNUMBER($E72),($E72+$F72)*Stock!V72/100,Stock!V72))</f>
        <v>0</v>
      </c>
      <c r="AB72" s="9">
        <f ca="1">IF(Stock!W72="",0,IF(ISNUMBER($E72),($E72+$F72)*Stock!W72/100,Stock!W72))</f>
        <v>0</v>
      </c>
      <c r="AC72" s="9">
        <f ca="1">IF(Stock!X72="",0,IF(ISNUMBER($E72),($E72+$F72)*Stock!X72/100,Stock!X72))</f>
        <v>0</v>
      </c>
      <c r="AD72" s="9">
        <f ca="1">IF(Stock!Y72="",0,IF(ISNUMBER($E72),($E72+$F72)*Stock!Y72/100,Stock!Y72))</f>
        <v>0</v>
      </c>
      <c r="AE72" s="9">
        <f ca="1">IF(Stock!Z72="",0,IF(ISNUMBER($E72),($E72+$F72)*Stock!Z72/100,Stock!Z72))</f>
        <v>0</v>
      </c>
      <c r="AF72" s="9">
        <f ca="1">IF(Stock!AA72="",0,IF(ISNUMBER($E72),($E72+$F72)*Stock!AA72/100,Stock!AA72))</f>
        <v>0</v>
      </c>
      <c r="AG72" s="9">
        <f ca="1">IF(Stock!AB72="",0,IF(ISNUMBER($E72),($E72+$F72)*Stock!AB72/100,Stock!AB72))</f>
        <v>0</v>
      </c>
      <c r="AH72" s="9">
        <f ca="1">IF(Stock!AC72="",0,IF(ISNUMBER($E72),($E72+$F72)*Stock!AC72/100,Stock!AC72))</f>
        <v>0</v>
      </c>
      <c r="AI72" s="9">
        <f ca="1">IF(Stock!AD72="",0,IF(ISNUMBER($E72),($E72+$F72)*Stock!AD72/100,Stock!AD72))</f>
        <v>0</v>
      </c>
      <c r="AJ72" s="9">
        <f ca="1">IF(Stock!AE72="",0,IF(ISNUMBER($E72),($E72+$F72)*Stock!AE72/100,Stock!AE72))</f>
        <v>0</v>
      </c>
      <c r="AK72" s="9">
        <f ca="1">IF(Stock!AF72="",0,IF(ISNUMBER($E72),($E72+$F72)*Stock!AF72/100,Stock!AF72))</f>
        <v>0</v>
      </c>
      <c r="AL72" s="9">
        <f ca="1">IF(Stock!AG72="",0,IF(ISNUMBER($E72),($E72+$F72)*Stock!AG72/100,Stock!AG72))</f>
        <v>0</v>
      </c>
      <c r="AM72" s="9">
        <f ca="1">IF(Stock!AH72="",0,IF(ISNUMBER($E72),($E72+$F72)*Stock!AH72/100,Stock!AH72))</f>
        <v>0</v>
      </c>
      <c r="AN72" s="9">
        <f ca="1">IF(Stock!AI72="",0,IF(ISNUMBER($E72),($E72+$F72)*Stock!AI72/100,Stock!AI72))</f>
        <v>0</v>
      </c>
      <c r="AO72" s="9">
        <f ca="1">IF(Stock!AJ72="",0,IF(ISNUMBER($E72),($E72+$F72)*Stock!AJ72/100,Stock!AJ72))</f>
        <v>0</v>
      </c>
      <c r="AP72" s="9">
        <f ca="1">IF(Stock!AK72="",0,IF(ISNUMBER($E72),($E72+$F72)*Stock!AK72/100,Stock!AK72))</f>
        <v>0</v>
      </c>
      <c r="AQ72" s="9">
        <f ca="1">IF(Stock!AL72="",0,IF(ISNUMBER($E72),($E72+$F72)*Stock!AL72/100,Stock!AL72))</f>
        <v>0</v>
      </c>
      <c r="AR72" s="9">
        <f ca="1">IF(Stock!AM72="",0,IF(ISNUMBER($E72),($E72+$F72)*Stock!AM72/100,Stock!AM72))</f>
        <v>0</v>
      </c>
      <c r="AS72" s="9">
        <f ca="1">IF(Stock!AN72="",0,IF(ISNUMBER($E72),($E72+$F72)*Stock!AN72/100,Stock!AN72))</f>
        <v>0</v>
      </c>
      <c r="AT72" s="9">
        <f ca="1">IF(Stock!AO72="",0,IF(ISNUMBER($E72),($E72+$F72)*Stock!AO72/100,Stock!AO72))</f>
        <v>0</v>
      </c>
      <c r="AU72" s="9">
        <f ca="1">IF(Stock!AP72="",0,IF(ISNUMBER($E72),($E72+$F72)*Stock!AP72/100,Stock!AP72))</f>
        <v>0</v>
      </c>
      <c r="AV72" s="9">
        <f ca="1">IF(Stock!AQ72="",0,IF(ISNUMBER($E72),($E72+$F72)*Stock!AQ72/100,Stock!AQ72))</f>
        <v>0</v>
      </c>
      <c r="AW72" s="9">
        <f ca="1">IF(Stock!AR72="",0,IF(ISNUMBER($E72),($E72+$F72)*Stock!AR72/100,Stock!AR72))</f>
        <v>0</v>
      </c>
      <c r="AX72" s="9">
        <f ca="1">IF(Stock!AS72="",0,IF(ISNUMBER($E72),($E72+$F72)*Stock!AS72/100,Stock!AS72))</f>
        <v>0</v>
      </c>
      <c r="AY72" s="9">
        <f ca="1">IF(Stock!AT72="",0,IF(ISNUMBER($E72),($E72+$F72)*Stock!AT72/100,Stock!AT72))</f>
        <v>0</v>
      </c>
      <c r="AZ72" s="9">
        <f ca="1">IF(Stock!AU72="",0,IF(ISNUMBER($E72),($E72+$F72)*Stock!AU72/100,Stock!AU72))</f>
        <v>0</v>
      </c>
      <c r="BA72" s="9">
        <f ca="1">IF(Stock!AV72="",0,IF(ISNUMBER($E72),($E72+$F72)*Stock!AV72/100,Stock!AV72))</f>
        <v>0</v>
      </c>
      <c r="BB72" s="9">
        <f ca="1">IF(Stock!AW72="",0,IF(ISNUMBER($E72),($E72+$F72)*Stock!AW72/100,Stock!AW72))</f>
        <v>0</v>
      </c>
      <c r="BC72" s="9">
        <f ca="1">IF(Stock!AX72="",0,IF(ISNUMBER($E72),($E72+$F72)*Stock!AX72/100,Stock!AX72))</f>
        <v>0</v>
      </c>
    </row>
    <row r="73" spans="1:55" x14ac:dyDescent="0.3">
      <c r="A73" s="2" t="str">
        <f t="shared" si="4"/>
        <v/>
      </c>
      <c r="B73" s="3" t="str">
        <f t="shared" si="5"/>
        <v/>
      </c>
      <c r="C73" s="4" t="str">
        <f>IF(Repo!C77="","",Repo!C77)</f>
        <v/>
      </c>
      <c r="D73" s="4" t="str">
        <f>IF(Repo!D77="","",Repo!D77)</f>
        <v/>
      </c>
      <c r="E73" s="62">
        <f ca="1">IF(A73="",0,IF(LEFT(C73,3) = "USB",100*(1-_xll.BDP(D73 &amp; " Govt",E$1)*(B73-TODAY()+1)/36000),_xll.BDP(D73 &amp; " Govt",E$1)))</f>
        <v>0</v>
      </c>
      <c r="F73" s="62">
        <f>IF(A73="",0,IF(LEFT(D73,1) = "B",0,_xll.BDP(D73 &amp; " Govt",F$1)))</f>
        <v>0</v>
      </c>
      <c r="G73" s="9">
        <f>IF(Stock!B73="",0,IF(ISNUMBER($E73),($E73+$F73)*Stock!B73/100,Stock!B73))</f>
        <v>0</v>
      </c>
      <c r="H73" s="9">
        <f ca="1">IF(Stock!C73="",0,IF(ISNUMBER($E73),($E73+$F73)*Stock!C73/100,Stock!C73))</f>
        <v>0</v>
      </c>
      <c r="I73" s="9">
        <f ca="1">IF(Stock!D73="",0,IF(ISNUMBER($E73),($E73+$F73)*Stock!D73/100,Stock!D73))</f>
        <v>0</v>
      </c>
      <c r="J73" s="9">
        <f ca="1">IF(Stock!E73="",0,IF(ISNUMBER($E73),($E73+$F73)*Stock!E73/100,Stock!E73))</f>
        <v>0</v>
      </c>
      <c r="K73" s="9">
        <f ca="1">IF(Stock!F73="",0,IF(ISNUMBER($E73),($E73+$F73)*Stock!F73/100,Stock!F73))</f>
        <v>0</v>
      </c>
      <c r="L73" s="9">
        <f ca="1">IF(Stock!G73="",0,IF(ISNUMBER($E73),($E73+$F73)*Stock!G73/100,Stock!G73))</f>
        <v>0</v>
      </c>
      <c r="M73" s="9">
        <f ca="1">IF(Stock!H73="",0,IF(ISNUMBER($E73),($E73+$F73)*Stock!H73/100,Stock!H73))</f>
        <v>0</v>
      </c>
      <c r="N73" s="9">
        <f ca="1">IF(Stock!I73="",0,IF(ISNUMBER($E73),($E73+$F73)*Stock!I73/100,Stock!I73))</f>
        <v>0</v>
      </c>
      <c r="O73" s="9">
        <f ca="1">IF(Stock!J73="",0,IF(ISNUMBER($E73),($E73+$F73)*Stock!J73/100,Stock!J73))</f>
        <v>0</v>
      </c>
      <c r="P73" s="9">
        <f ca="1">IF(Stock!K73="",0,IF(ISNUMBER($E73),($E73+$F73)*Stock!K73/100,Stock!K73))</f>
        <v>0</v>
      </c>
      <c r="Q73" s="9">
        <f ca="1">IF(Stock!L73="",0,IF(ISNUMBER($E73),($E73+$F73)*Stock!L73/100,Stock!L73))</f>
        <v>0</v>
      </c>
      <c r="R73" s="9">
        <f ca="1">IF(Stock!M73="",0,IF(ISNUMBER($E73),($E73+$F73)*Stock!M73/100,Stock!M73))</f>
        <v>0</v>
      </c>
      <c r="S73" s="9">
        <f ca="1">IF(Stock!N73="",0,IF(ISNUMBER($E73),($E73+$F73)*Stock!N73/100,Stock!N73))</f>
        <v>0</v>
      </c>
      <c r="T73" s="9">
        <f ca="1">IF(Stock!O73="",0,IF(ISNUMBER($E73),($E73+$F73)*Stock!O73/100,Stock!O73))</f>
        <v>0</v>
      </c>
      <c r="U73" s="9">
        <f ca="1">IF(Stock!P73="",0,IF(ISNUMBER($E73),($E73+$F73)*Stock!P73/100,Stock!P73))</f>
        <v>0</v>
      </c>
      <c r="V73" s="9">
        <f ca="1">IF(Stock!Q73="",0,IF(ISNUMBER($E73),($E73+$F73)*Stock!Q73/100,Stock!Q73))</f>
        <v>0</v>
      </c>
      <c r="W73" s="9">
        <f ca="1">IF(Stock!R73="",0,IF(ISNUMBER($E73),($E73+$F73)*Stock!R73/100,Stock!R73))</f>
        <v>0</v>
      </c>
      <c r="X73" s="9">
        <f ca="1">IF(Stock!S73="",0,IF(ISNUMBER($E73),($E73+$F73)*Stock!S73/100,Stock!S73))</f>
        <v>0</v>
      </c>
      <c r="Y73" s="9">
        <f ca="1">IF(Stock!T73="",0,IF(ISNUMBER($E73),($E73+$F73)*Stock!T73/100,Stock!T73))</f>
        <v>0</v>
      </c>
      <c r="Z73" s="9">
        <f ca="1">IF(Stock!U73="",0,IF(ISNUMBER($E73),($E73+$F73)*Stock!U73/100,Stock!U73))</f>
        <v>0</v>
      </c>
      <c r="AA73" s="9">
        <f ca="1">IF(Stock!V73="",0,IF(ISNUMBER($E73),($E73+$F73)*Stock!V73/100,Stock!V73))</f>
        <v>0</v>
      </c>
      <c r="AB73" s="9">
        <f ca="1">IF(Stock!W73="",0,IF(ISNUMBER($E73),($E73+$F73)*Stock!W73/100,Stock!W73))</f>
        <v>0</v>
      </c>
      <c r="AC73" s="9">
        <f ca="1">IF(Stock!X73="",0,IF(ISNUMBER($E73),($E73+$F73)*Stock!X73/100,Stock!X73))</f>
        <v>0</v>
      </c>
      <c r="AD73" s="9">
        <f ca="1">IF(Stock!Y73="",0,IF(ISNUMBER($E73),($E73+$F73)*Stock!Y73/100,Stock!Y73))</f>
        <v>0</v>
      </c>
      <c r="AE73" s="9">
        <f ca="1">IF(Stock!Z73="",0,IF(ISNUMBER($E73),($E73+$F73)*Stock!Z73/100,Stock!Z73))</f>
        <v>0</v>
      </c>
      <c r="AF73" s="9">
        <f ca="1">IF(Stock!AA73="",0,IF(ISNUMBER($E73),($E73+$F73)*Stock!AA73/100,Stock!AA73))</f>
        <v>0</v>
      </c>
      <c r="AG73" s="9">
        <f ca="1">IF(Stock!AB73="",0,IF(ISNUMBER($E73),($E73+$F73)*Stock!AB73/100,Stock!AB73))</f>
        <v>0</v>
      </c>
      <c r="AH73" s="9">
        <f ca="1">IF(Stock!AC73="",0,IF(ISNUMBER($E73),($E73+$F73)*Stock!AC73/100,Stock!AC73))</f>
        <v>0</v>
      </c>
      <c r="AI73" s="9">
        <f ca="1">IF(Stock!AD73="",0,IF(ISNUMBER($E73),($E73+$F73)*Stock!AD73/100,Stock!AD73))</f>
        <v>0</v>
      </c>
      <c r="AJ73" s="9">
        <f ca="1">IF(Stock!AE73="",0,IF(ISNUMBER($E73),($E73+$F73)*Stock!AE73/100,Stock!AE73))</f>
        <v>0</v>
      </c>
      <c r="AK73" s="9">
        <f ca="1">IF(Stock!AF73="",0,IF(ISNUMBER($E73),($E73+$F73)*Stock!AF73/100,Stock!AF73))</f>
        <v>0</v>
      </c>
      <c r="AL73" s="9">
        <f ca="1">IF(Stock!AG73="",0,IF(ISNUMBER($E73),($E73+$F73)*Stock!AG73/100,Stock!AG73))</f>
        <v>0</v>
      </c>
      <c r="AM73" s="9">
        <f ca="1">IF(Stock!AH73="",0,IF(ISNUMBER($E73),($E73+$F73)*Stock!AH73/100,Stock!AH73))</f>
        <v>0</v>
      </c>
      <c r="AN73" s="9">
        <f ca="1">IF(Stock!AI73="",0,IF(ISNUMBER($E73),($E73+$F73)*Stock!AI73/100,Stock!AI73))</f>
        <v>0</v>
      </c>
      <c r="AO73" s="9">
        <f ca="1">IF(Stock!AJ73="",0,IF(ISNUMBER($E73),($E73+$F73)*Stock!AJ73/100,Stock!AJ73))</f>
        <v>0</v>
      </c>
      <c r="AP73" s="9">
        <f ca="1">IF(Stock!AK73="",0,IF(ISNUMBER($E73),($E73+$F73)*Stock!AK73/100,Stock!AK73))</f>
        <v>0</v>
      </c>
      <c r="AQ73" s="9">
        <f ca="1">IF(Stock!AL73="",0,IF(ISNUMBER($E73),($E73+$F73)*Stock!AL73/100,Stock!AL73))</f>
        <v>0</v>
      </c>
      <c r="AR73" s="9">
        <f ca="1">IF(Stock!AM73="",0,IF(ISNUMBER($E73),($E73+$F73)*Stock!AM73/100,Stock!AM73))</f>
        <v>0</v>
      </c>
      <c r="AS73" s="9">
        <f ca="1">IF(Stock!AN73="",0,IF(ISNUMBER($E73),($E73+$F73)*Stock!AN73/100,Stock!AN73))</f>
        <v>0</v>
      </c>
      <c r="AT73" s="9">
        <f ca="1">IF(Stock!AO73="",0,IF(ISNUMBER($E73),($E73+$F73)*Stock!AO73/100,Stock!AO73))</f>
        <v>0</v>
      </c>
      <c r="AU73" s="9">
        <f ca="1">IF(Stock!AP73="",0,IF(ISNUMBER($E73),($E73+$F73)*Stock!AP73/100,Stock!AP73))</f>
        <v>0</v>
      </c>
      <c r="AV73" s="9">
        <f ca="1">IF(Stock!AQ73="",0,IF(ISNUMBER($E73),($E73+$F73)*Stock!AQ73/100,Stock!AQ73))</f>
        <v>0</v>
      </c>
      <c r="AW73" s="9">
        <f ca="1">IF(Stock!AR73="",0,IF(ISNUMBER($E73),($E73+$F73)*Stock!AR73/100,Stock!AR73))</f>
        <v>0</v>
      </c>
      <c r="AX73" s="9">
        <f ca="1">IF(Stock!AS73="",0,IF(ISNUMBER($E73),($E73+$F73)*Stock!AS73/100,Stock!AS73))</f>
        <v>0</v>
      </c>
      <c r="AY73" s="9">
        <f ca="1">IF(Stock!AT73="",0,IF(ISNUMBER($E73),($E73+$F73)*Stock!AT73/100,Stock!AT73))</f>
        <v>0</v>
      </c>
      <c r="AZ73" s="9">
        <f ca="1">IF(Stock!AU73="",0,IF(ISNUMBER($E73),($E73+$F73)*Stock!AU73/100,Stock!AU73))</f>
        <v>0</v>
      </c>
      <c r="BA73" s="9">
        <f ca="1">IF(Stock!AV73="",0,IF(ISNUMBER($E73),($E73+$F73)*Stock!AV73/100,Stock!AV73))</f>
        <v>0</v>
      </c>
      <c r="BB73" s="9">
        <f ca="1">IF(Stock!AW73="",0,IF(ISNUMBER($E73),($E73+$F73)*Stock!AW73/100,Stock!AW73))</f>
        <v>0</v>
      </c>
      <c r="BC73" s="9">
        <f ca="1">IF(Stock!AX73="",0,IF(ISNUMBER($E73),($E73+$F73)*Stock!AX73/100,Stock!AX73))</f>
        <v>0</v>
      </c>
    </row>
    <row r="74" spans="1:55" x14ac:dyDescent="0.3">
      <c r="A74" s="2" t="str">
        <f t="shared" si="4"/>
        <v/>
      </c>
      <c r="B74" s="3" t="str">
        <f t="shared" si="5"/>
        <v/>
      </c>
      <c r="C74" s="4" t="str">
        <f>IF(Repo!C78="","",Repo!C78)</f>
        <v/>
      </c>
      <c r="D74" s="4" t="str">
        <f>IF(Repo!D78="","",Repo!D78)</f>
        <v/>
      </c>
      <c r="E74" s="62">
        <f ca="1">IF(A74="",0,IF(LEFT(C74,3) = "USB",100*(1-_xll.BDP(D74 &amp; " Govt",E$1)*(B74-TODAY()+1)/36000),_xll.BDP(D74 &amp; " Govt",E$1)))</f>
        <v>0</v>
      </c>
      <c r="F74" s="62">
        <f>IF(A74="",0,IF(LEFT(D74,1) = "B",0,_xll.BDP(D74 &amp; " Govt",F$1)))</f>
        <v>0</v>
      </c>
      <c r="G74" s="9">
        <f>IF(Stock!B74="",0,IF(ISNUMBER($E74),($E74+$F74)*Stock!B74/100,Stock!B74))</f>
        <v>0</v>
      </c>
      <c r="H74" s="9">
        <f ca="1">IF(Stock!C74="",0,IF(ISNUMBER($E74),($E74+$F74)*Stock!C74/100,Stock!C74))</f>
        <v>0</v>
      </c>
      <c r="I74" s="9">
        <f ca="1">IF(Stock!D74="",0,IF(ISNUMBER($E74),($E74+$F74)*Stock!D74/100,Stock!D74))</f>
        <v>0</v>
      </c>
      <c r="J74" s="9">
        <f ca="1">IF(Stock!E74="",0,IF(ISNUMBER($E74),($E74+$F74)*Stock!E74/100,Stock!E74))</f>
        <v>0</v>
      </c>
      <c r="K74" s="9">
        <f ca="1">IF(Stock!F74="",0,IF(ISNUMBER($E74),($E74+$F74)*Stock!F74/100,Stock!F74))</f>
        <v>0</v>
      </c>
      <c r="L74" s="9">
        <f ca="1">IF(Stock!G74="",0,IF(ISNUMBER($E74),($E74+$F74)*Stock!G74/100,Stock!G74))</f>
        <v>0</v>
      </c>
      <c r="M74" s="9">
        <f ca="1">IF(Stock!H74="",0,IF(ISNUMBER($E74),($E74+$F74)*Stock!H74/100,Stock!H74))</f>
        <v>0</v>
      </c>
      <c r="N74" s="9">
        <f ca="1">IF(Stock!I74="",0,IF(ISNUMBER($E74),($E74+$F74)*Stock!I74/100,Stock!I74))</f>
        <v>0</v>
      </c>
      <c r="O74" s="9">
        <f ca="1">IF(Stock!J74="",0,IF(ISNUMBER($E74),($E74+$F74)*Stock!J74/100,Stock!J74))</f>
        <v>0</v>
      </c>
      <c r="P74" s="9">
        <f ca="1">IF(Stock!K74="",0,IF(ISNUMBER($E74),($E74+$F74)*Stock!K74/100,Stock!K74))</f>
        <v>0</v>
      </c>
      <c r="Q74" s="9">
        <f ca="1">IF(Stock!L74="",0,IF(ISNUMBER($E74),($E74+$F74)*Stock!L74/100,Stock!L74))</f>
        <v>0</v>
      </c>
      <c r="R74" s="9">
        <f ca="1">IF(Stock!M74="",0,IF(ISNUMBER($E74),($E74+$F74)*Stock!M74/100,Stock!M74))</f>
        <v>0</v>
      </c>
      <c r="S74" s="9">
        <f ca="1">IF(Stock!N74="",0,IF(ISNUMBER($E74),($E74+$F74)*Stock!N74/100,Stock!N74))</f>
        <v>0</v>
      </c>
      <c r="T74" s="9">
        <f ca="1">IF(Stock!O74="",0,IF(ISNUMBER($E74),($E74+$F74)*Stock!O74/100,Stock!O74))</f>
        <v>0</v>
      </c>
      <c r="U74" s="9">
        <f ca="1">IF(Stock!P74="",0,IF(ISNUMBER($E74),($E74+$F74)*Stock!P74/100,Stock!P74))</f>
        <v>0</v>
      </c>
      <c r="V74" s="9">
        <f ca="1">IF(Stock!Q74="",0,IF(ISNUMBER($E74),($E74+$F74)*Stock!Q74/100,Stock!Q74))</f>
        <v>0</v>
      </c>
      <c r="W74" s="9">
        <f ca="1">IF(Stock!R74="",0,IF(ISNUMBER($E74),($E74+$F74)*Stock!R74/100,Stock!R74))</f>
        <v>0</v>
      </c>
      <c r="X74" s="9">
        <f ca="1">IF(Stock!S74="",0,IF(ISNUMBER($E74),($E74+$F74)*Stock!S74/100,Stock!S74))</f>
        <v>0</v>
      </c>
      <c r="Y74" s="9">
        <f ca="1">IF(Stock!T74="",0,IF(ISNUMBER($E74),($E74+$F74)*Stock!T74/100,Stock!T74))</f>
        <v>0</v>
      </c>
      <c r="Z74" s="9">
        <f ca="1">IF(Stock!U74="",0,IF(ISNUMBER($E74),($E74+$F74)*Stock!U74/100,Stock!U74))</f>
        <v>0</v>
      </c>
      <c r="AA74" s="9">
        <f ca="1">IF(Stock!V74="",0,IF(ISNUMBER($E74),($E74+$F74)*Stock!V74/100,Stock!V74))</f>
        <v>0</v>
      </c>
      <c r="AB74" s="9">
        <f ca="1">IF(Stock!W74="",0,IF(ISNUMBER($E74),($E74+$F74)*Stock!W74/100,Stock!W74))</f>
        <v>0</v>
      </c>
      <c r="AC74" s="9">
        <f ca="1">IF(Stock!X74="",0,IF(ISNUMBER($E74),($E74+$F74)*Stock!X74/100,Stock!X74))</f>
        <v>0</v>
      </c>
      <c r="AD74" s="9">
        <f ca="1">IF(Stock!Y74="",0,IF(ISNUMBER($E74),($E74+$F74)*Stock!Y74/100,Stock!Y74))</f>
        <v>0</v>
      </c>
      <c r="AE74" s="9">
        <f ca="1">IF(Stock!Z74="",0,IF(ISNUMBER($E74),($E74+$F74)*Stock!Z74/100,Stock!Z74))</f>
        <v>0</v>
      </c>
      <c r="AF74" s="9">
        <f ca="1">IF(Stock!AA74="",0,IF(ISNUMBER($E74),($E74+$F74)*Stock!AA74/100,Stock!AA74))</f>
        <v>0</v>
      </c>
      <c r="AG74" s="9">
        <f ca="1">IF(Stock!AB74="",0,IF(ISNUMBER($E74),($E74+$F74)*Stock!AB74/100,Stock!AB74))</f>
        <v>0</v>
      </c>
      <c r="AH74" s="9">
        <f ca="1">IF(Stock!AC74="",0,IF(ISNUMBER($E74),($E74+$F74)*Stock!AC74/100,Stock!AC74))</f>
        <v>0</v>
      </c>
      <c r="AI74" s="9">
        <f ca="1">IF(Stock!AD74="",0,IF(ISNUMBER($E74),($E74+$F74)*Stock!AD74/100,Stock!AD74))</f>
        <v>0</v>
      </c>
      <c r="AJ74" s="9">
        <f ca="1">IF(Stock!AE74="",0,IF(ISNUMBER($E74),($E74+$F74)*Stock!AE74/100,Stock!AE74))</f>
        <v>0</v>
      </c>
      <c r="AK74" s="9">
        <f ca="1">IF(Stock!AF74="",0,IF(ISNUMBER($E74),($E74+$F74)*Stock!AF74/100,Stock!AF74))</f>
        <v>0</v>
      </c>
      <c r="AL74" s="9">
        <f ca="1">IF(Stock!AG74="",0,IF(ISNUMBER($E74),($E74+$F74)*Stock!AG74/100,Stock!AG74))</f>
        <v>0</v>
      </c>
      <c r="AM74" s="9">
        <f ca="1">IF(Stock!AH74="",0,IF(ISNUMBER($E74),($E74+$F74)*Stock!AH74/100,Stock!AH74))</f>
        <v>0</v>
      </c>
      <c r="AN74" s="9">
        <f ca="1">IF(Stock!AI74="",0,IF(ISNUMBER($E74),($E74+$F74)*Stock!AI74/100,Stock!AI74))</f>
        <v>0</v>
      </c>
      <c r="AO74" s="9">
        <f ca="1">IF(Stock!AJ74="",0,IF(ISNUMBER($E74),($E74+$F74)*Stock!AJ74/100,Stock!AJ74))</f>
        <v>0</v>
      </c>
      <c r="AP74" s="9">
        <f ca="1">IF(Stock!AK74="",0,IF(ISNUMBER($E74),($E74+$F74)*Stock!AK74/100,Stock!AK74))</f>
        <v>0</v>
      </c>
      <c r="AQ74" s="9">
        <f ca="1">IF(Stock!AL74="",0,IF(ISNUMBER($E74),($E74+$F74)*Stock!AL74/100,Stock!AL74))</f>
        <v>0</v>
      </c>
      <c r="AR74" s="9">
        <f ca="1">IF(Stock!AM74="",0,IF(ISNUMBER($E74),($E74+$F74)*Stock!AM74/100,Stock!AM74))</f>
        <v>0</v>
      </c>
      <c r="AS74" s="9">
        <f ca="1">IF(Stock!AN74="",0,IF(ISNUMBER($E74),($E74+$F74)*Stock!AN74/100,Stock!AN74))</f>
        <v>0</v>
      </c>
      <c r="AT74" s="9">
        <f ca="1">IF(Stock!AO74="",0,IF(ISNUMBER($E74),($E74+$F74)*Stock!AO74/100,Stock!AO74))</f>
        <v>0</v>
      </c>
      <c r="AU74" s="9">
        <f ca="1">IF(Stock!AP74="",0,IF(ISNUMBER($E74),($E74+$F74)*Stock!AP74/100,Stock!AP74))</f>
        <v>0</v>
      </c>
      <c r="AV74" s="9">
        <f ca="1">IF(Stock!AQ74="",0,IF(ISNUMBER($E74),($E74+$F74)*Stock!AQ74/100,Stock!AQ74))</f>
        <v>0</v>
      </c>
      <c r="AW74" s="9">
        <f ca="1">IF(Stock!AR74="",0,IF(ISNUMBER($E74),($E74+$F74)*Stock!AR74/100,Stock!AR74))</f>
        <v>0</v>
      </c>
      <c r="AX74" s="9">
        <f ca="1">IF(Stock!AS74="",0,IF(ISNUMBER($E74),($E74+$F74)*Stock!AS74/100,Stock!AS74))</f>
        <v>0</v>
      </c>
      <c r="AY74" s="9">
        <f ca="1">IF(Stock!AT74="",0,IF(ISNUMBER($E74),($E74+$F74)*Stock!AT74/100,Stock!AT74))</f>
        <v>0</v>
      </c>
      <c r="AZ74" s="9">
        <f ca="1">IF(Stock!AU74="",0,IF(ISNUMBER($E74),($E74+$F74)*Stock!AU74/100,Stock!AU74))</f>
        <v>0</v>
      </c>
      <c r="BA74" s="9">
        <f ca="1">IF(Stock!AV74="",0,IF(ISNUMBER($E74),($E74+$F74)*Stock!AV74/100,Stock!AV74))</f>
        <v>0</v>
      </c>
      <c r="BB74" s="9">
        <f ca="1">IF(Stock!AW74="",0,IF(ISNUMBER($E74),($E74+$F74)*Stock!AW74/100,Stock!AW74))</f>
        <v>0</v>
      </c>
      <c r="BC74" s="9">
        <f ca="1">IF(Stock!AX74="",0,IF(ISNUMBER($E74),($E74+$F74)*Stock!AX74/100,Stock!AX74))</f>
        <v>0</v>
      </c>
    </row>
    <row r="75" spans="1:55" x14ac:dyDescent="0.3">
      <c r="A75" s="2" t="str">
        <f t="shared" si="4"/>
        <v/>
      </c>
      <c r="B75" s="3" t="str">
        <f t="shared" si="5"/>
        <v/>
      </c>
      <c r="C75" s="4" t="str">
        <f>IF(Repo!C79="","",Repo!C79)</f>
        <v/>
      </c>
      <c r="D75" s="4" t="str">
        <f>IF(Repo!D79="","",Repo!D79)</f>
        <v/>
      </c>
      <c r="E75" s="62">
        <f ca="1">IF(A75="",0,IF(LEFT(C75,3) = "USB",100*(1-_xll.BDP(D75 &amp; " Govt",E$1)*(B75-TODAY()+1)/36000),_xll.BDP(D75 &amp; " Govt",E$1)))</f>
        <v>0</v>
      </c>
      <c r="F75" s="62">
        <f>IF(A75="",0,IF(LEFT(D75,1) = "B",0,_xll.BDP(D75 &amp; " Govt",F$1)))</f>
        <v>0</v>
      </c>
      <c r="G75" s="9">
        <f>IF(Stock!B75="",0,IF(ISNUMBER($E75),($E75+$F75)*Stock!B75/100,Stock!B75))</f>
        <v>0</v>
      </c>
      <c r="H75" s="9">
        <f ca="1">IF(Stock!C75="",0,IF(ISNUMBER($E75),($E75+$F75)*Stock!C75/100,Stock!C75))</f>
        <v>0</v>
      </c>
      <c r="I75" s="9">
        <f ca="1">IF(Stock!D75="",0,IF(ISNUMBER($E75),($E75+$F75)*Stock!D75/100,Stock!D75))</f>
        <v>0</v>
      </c>
      <c r="J75" s="9">
        <f ca="1">IF(Stock!E75="",0,IF(ISNUMBER($E75),($E75+$F75)*Stock!E75/100,Stock!E75))</f>
        <v>0</v>
      </c>
      <c r="K75" s="9">
        <f ca="1">IF(Stock!F75="",0,IF(ISNUMBER($E75),($E75+$F75)*Stock!F75/100,Stock!F75))</f>
        <v>0</v>
      </c>
      <c r="L75" s="9">
        <f ca="1">IF(Stock!G75="",0,IF(ISNUMBER($E75),($E75+$F75)*Stock!G75/100,Stock!G75))</f>
        <v>0</v>
      </c>
      <c r="M75" s="9">
        <f ca="1">IF(Stock!H75="",0,IF(ISNUMBER($E75),($E75+$F75)*Stock!H75/100,Stock!H75))</f>
        <v>0</v>
      </c>
      <c r="N75" s="9">
        <f ca="1">IF(Stock!I75="",0,IF(ISNUMBER($E75),($E75+$F75)*Stock!I75/100,Stock!I75))</f>
        <v>0</v>
      </c>
      <c r="O75" s="9">
        <f ca="1">IF(Stock!J75="",0,IF(ISNUMBER($E75),($E75+$F75)*Stock!J75/100,Stock!J75))</f>
        <v>0</v>
      </c>
      <c r="P75" s="9">
        <f ca="1">IF(Stock!K75="",0,IF(ISNUMBER($E75),($E75+$F75)*Stock!K75/100,Stock!K75))</f>
        <v>0</v>
      </c>
      <c r="Q75" s="9">
        <f ca="1">IF(Stock!L75="",0,IF(ISNUMBER($E75),($E75+$F75)*Stock!L75/100,Stock!L75))</f>
        <v>0</v>
      </c>
      <c r="R75" s="9">
        <f ca="1">IF(Stock!M75="",0,IF(ISNUMBER($E75),($E75+$F75)*Stock!M75/100,Stock!M75))</f>
        <v>0</v>
      </c>
      <c r="S75" s="9">
        <f ca="1">IF(Stock!N75="",0,IF(ISNUMBER($E75),($E75+$F75)*Stock!N75/100,Stock!N75))</f>
        <v>0</v>
      </c>
      <c r="T75" s="9">
        <f ca="1">IF(Stock!O75="",0,IF(ISNUMBER($E75),($E75+$F75)*Stock!O75/100,Stock!O75))</f>
        <v>0</v>
      </c>
      <c r="U75" s="9">
        <f ca="1">IF(Stock!P75="",0,IF(ISNUMBER($E75),($E75+$F75)*Stock!P75/100,Stock!P75))</f>
        <v>0</v>
      </c>
      <c r="V75" s="9">
        <f ca="1">IF(Stock!Q75="",0,IF(ISNUMBER($E75),($E75+$F75)*Stock!Q75/100,Stock!Q75))</f>
        <v>0</v>
      </c>
      <c r="W75" s="9">
        <f ca="1">IF(Stock!R75="",0,IF(ISNUMBER($E75),($E75+$F75)*Stock!R75/100,Stock!R75))</f>
        <v>0</v>
      </c>
      <c r="X75" s="9">
        <f ca="1">IF(Stock!S75="",0,IF(ISNUMBER($E75),($E75+$F75)*Stock!S75/100,Stock!S75))</f>
        <v>0</v>
      </c>
      <c r="Y75" s="9">
        <f ca="1">IF(Stock!T75="",0,IF(ISNUMBER($E75),($E75+$F75)*Stock!T75/100,Stock!T75))</f>
        <v>0</v>
      </c>
      <c r="Z75" s="9">
        <f ca="1">IF(Stock!U75="",0,IF(ISNUMBER($E75),($E75+$F75)*Stock!U75/100,Stock!U75))</f>
        <v>0</v>
      </c>
      <c r="AA75" s="9">
        <f ca="1">IF(Stock!V75="",0,IF(ISNUMBER($E75),($E75+$F75)*Stock!V75/100,Stock!V75))</f>
        <v>0</v>
      </c>
      <c r="AB75" s="9">
        <f ca="1">IF(Stock!W75="",0,IF(ISNUMBER($E75),($E75+$F75)*Stock!W75/100,Stock!W75))</f>
        <v>0</v>
      </c>
      <c r="AC75" s="9">
        <f ca="1">IF(Stock!X75="",0,IF(ISNUMBER($E75),($E75+$F75)*Stock!X75/100,Stock!X75))</f>
        <v>0</v>
      </c>
      <c r="AD75" s="9">
        <f ca="1">IF(Stock!Y75="",0,IF(ISNUMBER($E75),($E75+$F75)*Stock!Y75/100,Stock!Y75))</f>
        <v>0</v>
      </c>
      <c r="AE75" s="9">
        <f ca="1">IF(Stock!Z75="",0,IF(ISNUMBER($E75),($E75+$F75)*Stock!Z75/100,Stock!Z75))</f>
        <v>0</v>
      </c>
      <c r="AF75" s="9">
        <f ca="1">IF(Stock!AA75="",0,IF(ISNUMBER($E75),($E75+$F75)*Stock!AA75/100,Stock!AA75))</f>
        <v>0</v>
      </c>
      <c r="AG75" s="9">
        <f ca="1">IF(Stock!AB75="",0,IF(ISNUMBER($E75),($E75+$F75)*Stock!AB75/100,Stock!AB75))</f>
        <v>0</v>
      </c>
      <c r="AH75" s="9">
        <f ca="1">IF(Stock!AC75="",0,IF(ISNUMBER($E75),($E75+$F75)*Stock!AC75/100,Stock!AC75))</f>
        <v>0</v>
      </c>
      <c r="AI75" s="9">
        <f ca="1">IF(Stock!AD75="",0,IF(ISNUMBER($E75),($E75+$F75)*Stock!AD75/100,Stock!AD75))</f>
        <v>0</v>
      </c>
      <c r="AJ75" s="9">
        <f ca="1">IF(Stock!AE75="",0,IF(ISNUMBER($E75),($E75+$F75)*Stock!AE75/100,Stock!AE75))</f>
        <v>0</v>
      </c>
      <c r="AK75" s="9">
        <f ca="1">IF(Stock!AF75="",0,IF(ISNUMBER($E75),($E75+$F75)*Stock!AF75/100,Stock!AF75))</f>
        <v>0</v>
      </c>
      <c r="AL75" s="9">
        <f ca="1">IF(Stock!AG75="",0,IF(ISNUMBER($E75),($E75+$F75)*Stock!AG75/100,Stock!AG75))</f>
        <v>0</v>
      </c>
      <c r="AM75" s="9">
        <f ca="1">IF(Stock!AH75="",0,IF(ISNUMBER($E75),($E75+$F75)*Stock!AH75/100,Stock!AH75))</f>
        <v>0</v>
      </c>
      <c r="AN75" s="9">
        <f ca="1">IF(Stock!AI75="",0,IF(ISNUMBER($E75),($E75+$F75)*Stock!AI75/100,Stock!AI75))</f>
        <v>0</v>
      </c>
      <c r="AO75" s="9">
        <f ca="1">IF(Stock!AJ75="",0,IF(ISNUMBER($E75),($E75+$F75)*Stock!AJ75/100,Stock!AJ75))</f>
        <v>0</v>
      </c>
      <c r="AP75" s="9">
        <f ca="1">IF(Stock!AK75="",0,IF(ISNUMBER($E75),($E75+$F75)*Stock!AK75/100,Stock!AK75))</f>
        <v>0</v>
      </c>
      <c r="AQ75" s="9">
        <f ca="1">IF(Stock!AL75="",0,IF(ISNUMBER($E75),($E75+$F75)*Stock!AL75/100,Stock!AL75))</f>
        <v>0</v>
      </c>
      <c r="AR75" s="9">
        <f ca="1">IF(Stock!AM75="",0,IF(ISNUMBER($E75),($E75+$F75)*Stock!AM75/100,Stock!AM75))</f>
        <v>0</v>
      </c>
      <c r="AS75" s="9">
        <f ca="1">IF(Stock!AN75="",0,IF(ISNUMBER($E75),($E75+$F75)*Stock!AN75/100,Stock!AN75))</f>
        <v>0</v>
      </c>
      <c r="AT75" s="9">
        <f ca="1">IF(Stock!AO75="",0,IF(ISNUMBER($E75),($E75+$F75)*Stock!AO75/100,Stock!AO75))</f>
        <v>0</v>
      </c>
      <c r="AU75" s="9">
        <f ca="1">IF(Stock!AP75="",0,IF(ISNUMBER($E75),($E75+$F75)*Stock!AP75/100,Stock!AP75))</f>
        <v>0</v>
      </c>
      <c r="AV75" s="9">
        <f ca="1">IF(Stock!AQ75="",0,IF(ISNUMBER($E75),($E75+$F75)*Stock!AQ75/100,Stock!AQ75))</f>
        <v>0</v>
      </c>
      <c r="AW75" s="9">
        <f ca="1">IF(Stock!AR75="",0,IF(ISNUMBER($E75),($E75+$F75)*Stock!AR75/100,Stock!AR75))</f>
        <v>0</v>
      </c>
      <c r="AX75" s="9">
        <f ca="1">IF(Stock!AS75="",0,IF(ISNUMBER($E75),($E75+$F75)*Stock!AS75/100,Stock!AS75))</f>
        <v>0</v>
      </c>
      <c r="AY75" s="9">
        <f ca="1">IF(Stock!AT75="",0,IF(ISNUMBER($E75),($E75+$F75)*Stock!AT75/100,Stock!AT75))</f>
        <v>0</v>
      </c>
      <c r="AZ75" s="9">
        <f ca="1">IF(Stock!AU75="",0,IF(ISNUMBER($E75),($E75+$F75)*Stock!AU75/100,Stock!AU75))</f>
        <v>0</v>
      </c>
      <c r="BA75" s="9">
        <f ca="1">IF(Stock!AV75="",0,IF(ISNUMBER($E75),($E75+$F75)*Stock!AV75/100,Stock!AV75))</f>
        <v>0</v>
      </c>
      <c r="BB75" s="9">
        <f ca="1">IF(Stock!AW75="",0,IF(ISNUMBER($E75),($E75+$F75)*Stock!AW75/100,Stock!AW75))</f>
        <v>0</v>
      </c>
      <c r="BC75" s="9">
        <f ca="1">IF(Stock!AX75="",0,IF(ISNUMBER($E75),($E75+$F75)*Stock!AX75/100,Stock!AX75))</f>
        <v>0</v>
      </c>
    </row>
    <row r="76" spans="1:55" x14ac:dyDescent="0.3">
      <c r="A76" s="2" t="str">
        <f t="shared" si="4"/>
        <v/>
      </c>
      <c r="B76" s="3" t="str">
        <f t="shared" si="5"/>
        <v/>
      </c>
      <c r="C76" s="4" t="str">
        <f>IF(Repo!C80="","",Repo!C80)</f>
        <v/>
      </c>
      <c r="D76" s="4" t="str">
        <f>IF(Repo!D80="","",Repo!D80)</f>
        <v/>
      </c>
      <c r="E76" s="62">
        <f ca="1">IF(A76="",0,IF(LEFT(C76,3) = "USB",100*(1-_xll.BDP(D76 &amp; " Govt",E$1)*(B76-TODAY()+1)/36000),_xll.BDP(D76 &amp; " Govt",E$1)))</f>
        <v>0</v>
      </c>
      <c r="F76" s="62">
        <f>IF(A76="",0,IF(LEFT(D76,1) = "B",0,_xll.BDP(D76 &amp; " Govt",F$1)))</f>
        <v>0</v>
      </c>
      <c r="G76" s="9">
        <f>IF(Stock!B76="",0,IF(ISNUMBER($E76),($E76+$F76)*Stock!B76/100,Stock!B76))</f>
        <v>0</v>
      </c>
      <c r="H76" s="9">
        <f ca="1">IF(Stock!C76="",0,IF(ISNUMBER($E76),($E76+$F76)*Stock!C76/100,Stock!C76))</f>
        <v>0</v>
      </c>
      <c r="I76" s="9">
        <f ca="1">IF(Stock!D76="",0,IF(ISNUMBER($E76),($E76+$F76)*Stock!D76/100,Stock!D76))</f>
        <v>0</v>
      </c>
      <c r="J76" s="9">
        <f ca="1">IF(Stock!E76="",0,IF(ISNUMBER($E76),($E76+$F76)*Stock!E76/100,Stock!E76))</f>
        <v>0</v>
      </c>
      <c r="K76" s="9">
        <f ca="1">IF(Stock!F76="",0,IF(ISNUMBER($E76),($E76+$F76)*Stock!F76/100,Stock!F76))</f>
        <v>0</v>
      </c>
      <c r="L76" s="9">
        <f ca="1">IF(Stock!G76="",0,IF(ISNUMBER($E76),($E76+$F76)*Stock!G76/100,Stock!G76))</f>
        <v>0</v>
      </c>
      <c r="M76" s="9">
        <f ca="1">IF(Stock!H76="",0,IF(ISNUMBER($E76),($E76+$F76)*Stock!H76/100,Stock!H76))</f>
        <v>0</v>
      </c>
      <c r="N76" s="9">
        <f ca="1">IF(Stock!I76="",0,IF(ISNUMBER($E76),($E76+$F76)*Stock!I76/100,Stock!I76))</f>
        <v>0</v>
      </c>
      <c r="O76" s="9">
        <f ca="1">IF(Stock!J76="",0,IF(ISNUMBER($E76),($E76+$F76)*Stock!J76/100,Stock!J76))</f>
        <v>0</v>
      </c>
      <c r="P76" s="9">
        <f ca="1">IF(Stock!K76="",0,IF(ISNUMBER($E76),($E76+$F76)*Stock!K76/100,Stock!K76))</f>
        <v>0</v>
      </c>
      <c r="Q76" s="9">
        <f ca="1">IF(Stock!L76="",0,IF(ISNUMBER($E76),($E76+$F76)*Stock!L76/100,Stock!L76))</f>
        <v>0</v>
      </c>
      <c r="R76" s="9">
        <f ca="1">IF(Stock!M76="",0,IF(ISNUMBER($E76),($E76+$F76)*Stock!M76/100,Stock!M76))</f>
        <v>0</v>
      </c>
      <c r="S76" s="9">
        <f ca="1">IF(Stock!N76="",0,IF(ISNUMBER($E76),($E76+$F76)*Stock!N76/100,Stock!N76))</f>
        <v>0</v>
      </c>
      <c r="T76" s="9">
        <f ca="1">IF(Stock!O76="",0,IF(ISNUMBER($E76),($E76+$F76)*Stock!O76/100,Stock!O76))</f>
        <v>0</v>
      </c>
      <c r="U76" s="9">
        <f ca="1">IF(Stock!P76="",0,IF(ISNUMBER($E76),($E76+$F76)*Stock!P76/100,Stock!P76))</f>
        <v>0</v>
      </c>
      <c r="V76" s="9">
        <f ca="1">IF(Stock!Q76="",0,IF(ISNUMBER($E76),($E76+$F76)*Stock!Q76/100,Stock!Q76))</f>
        <v>0</v>
      </c>
      <c r="W76" s="9">
        <f ca="1">IF(Stock!R76="",0,IF(ISNUMBER($E76),($E76+$F76)*Stock!R76/100,Stock!R76))</f>
        <v>0</v>
      </c>
      <c r="X76" s="9">
        <f ca="1">IF(Stock!S76="",0,IF(ISNUMBER($E76),($E76+$F76)*Stock!S76/100,Stock!S76))</f>
        <v>0</v>
      </c>
      <c r="Y76" s="9">
        <f ca="1">IF(Stock!T76="",0,IF(ISNUMBER($E76),($E76+$F76)*Stock!T76/100,Stock!T76))</f>
        <v>0</v>
      </c>
      <c r="Z76" s="9">
        <f ca="1">IF(Stock!U76="",0,IF(ISNUMBER($E76),($E76+$F76)*Stock!U76/100,Stock!U76))</f>
        <v>0</v>
      </c>
      <c r="AA76" s="9">
        <f ca="1">IF(Stock!V76="",0,IF(ISNUMBER($E76),($E76+$F76)*Stock!V76/100,Stock!V76))</f>
        <v>0</v>
      </c>
      <c r="AB76" s="9">
        <f ca="1">IF(Stock!W76="",0,IF(ISNUMBER($E76),($E76+$F76)*Stock!W76/100,Stock!W76))</f>
        <v>0</v>
      </c>
      <c r="AC76" s="9">
        <f ca="1">IF(Stock!X76="",0,IF(ISNUMBER($E76),($E76+$F76)*Stock!X76/100,Stock!X76))</f>
        <v>0</v>
      </c>
      <c r="AD76" s="9">
        <f ca="1">IF(Stock!Y76="",0,IF(ISNUMBER($E76),($E76+$F76)*Stock!Y76/100,Stock!Y76))</f>
        <v>0</v>
      </c>
      <c r="AE76" s="9">
        <f ca="1">IF(Stock!Z76="",0,IF(ISNUMBER($E76),($E76+$F76)*Stock!Z76/100,Stock!Z76))</f>
        <v>0</v>
      </c>
      <c r="AF76" s="9">
        <f ca="1">IF(Stock!AA76="",0,IF(ISNUMBER($E76),($E76+$F76)*Stock!AA76/100,Stock!AA76))</f>
        <v>0</v>
      </c>
      <c r="AG76" s="9">
        <f ca="1">IF(Stock!AB76="",0,IF(ISNUMBER($E76),($E76+$F76)*Stock!AB76/100,Stock!AB76))</f>
        <v>0</v>
      </c>
      <c r="AH76" s="9">
        <f ca="1">IF(Stock!AC76="",0,IF(ISNUMBER($E76),($E76+$F76)*Stock!AC76/100,Stock!AC76))</f>
        <v>0</v>
      </c>
      <c r="AI76" s="9">
        <f ca="1">IF(Stock!AD76="",0,IF(ISNUMBER($E76),($E76+$F76)*Stock!AD76/100,Stock!AD76))</f>
        <v>0</v>
      </c>
      <c r="AJ76" s="9">
        <f ca="1">IF(Stock!AE76="",0,IF(ISNUMBER($E76),($E76+$F76)*Stock!AE76/100,Stock!AE76))</f>
        <v>0</v>
      </c>
      <c r="AK76" s="9">
        <f ca="1">IF(Stock!AF76="",0,IF(ISNUMBER($E76),($E76+$F76)*Stock!AF76/100,Stock!AF76))</f>
        <v>0</v>
      </c>
      <c r="AL76" s="9">
        <f ca="1">IF(Stock!AG76="",0,IF(ISNUMBER($E76),($E76+$F76)*Stock!AG76/100,Stock!AG76))</f>
        <v>0</v>
      </c>
      <c r="AM76" s="9">
        <f ca="1">IF(Stock!AH76="",0,IF(ISNUMBER($E76),($E76+$F76)*Stock!AH76/100,Stock!AH76))</f>
        <v>0</v>
      </c>
      <c r="AN76" s="9">
        <f ca="1">IF(Stock!AI76="",0,IF(ISNUMBER($E76),($E76+$F76)*Stock!AI76/100,Stock!AI76))</f>
        <v>0</v>
      </c>
      <c r="AO76" s="9">
        <f ca="1">IF(Stock!AJ76="",0,IF(ISNUMBER($E76),($E76+$F76)*Stock!AJ76/100,Stock!AJ76))</f>
        <v>0</v>
      </c>
      <c r="AP76" s="9">
        <f ca="1">IF(Stock!AK76="",0,IF(ISNUMBER($E76),($E76+$F76)*Stock!AK76/100,Stock!AK76))</f>
        <v>0</v>
      </c>
      <c r="AQ76" s="9">
        <f ca="1">IF(Stock!AL76="",0,IF(ISNUMBER($E76),($E76+$F76)*Stock!AL76/100,Stock!AL76))</f>
        <v>0</v>
      </c>
      <c r="AR76" s="9">
        <f ca="1">IF(Stock!AM76="",0,IF(ISNUMBER($E76),($E76+$F76)*Stock!AM76/100,Stock!AM76))</f>
        <v>0</v>
      </c>
      <c r="AS76" s="9">
        <f ca="1">IF(Stock!AN76="",0,IF(ISNUMBER($E76),($E76+$F76)*Stock!AN76/100,Stock!AN76))</f>
        <v>0</v>
      </c>
      <c r="AT76" s="9">
        <f ca="1">IF(Stock!AO76="",0,IF(ISNUMBER($E76),($E76+$F76)*Stock!AO76/100,Stock!AO76))</f>
        <v>0</v>
      </c>
      <c r="AU76" s="9">
        <f ca="1">IF(Stock!AP76="",0,IF(ISNUMBER($E76),($E76+$F76)*Stock!AP76/100,Stock!AP76))</f>
        <v>0</v>
      </c>
      <c r="AV76" s="9">
        <f ca="1">IF(Stock!AQ76="",0,IF(ISNUMBER($E76),($E76+$F76)*Stock!AQ76/100,Stock!AQ76))</f>
        <v>0</v>
      </c>
      <c r="AW76" s="9">
        <f ca="1">IF(Stock!AR76="",0,IF(ISNUMBER($E76),($E76+$F76)*Stock!AR76/100,Stock!AR76))</f>
        <v>0</v>
      </c>
      <c r="AX76" s="9">
        <f ca="1">IF(Stock!AS76="",0,IF(ISNUMBER($E76),($E76+$F76)*Stock!AS76/100,Stock!AS76))</f>
        <v>0</v>
      </c>
      <c r="AY76" s="9">
        <f ca="1">IF(Stock!AT76="",0,IF(ISNUMBER($E76),($E76+$F76)*Stock!AT76/100,Stock!AT76))</f>
        <v>0</v>
      </c>
      <c r="AZ76" s="9">
        <f ca="1">IF(Stock!AU76="",0,IF(ISNUMBER($E76),($E76+$F76)*Stock!AU76/100,Stock!AU76))</f>
        <v>0</v>
      </c>
      <c r="BA76" s="9">
        <f ca="1">IF(Stock!AV76="",0,IF(ISNUMBER($E76),($E76+$F76)*Stock!AV76/100,Stock!AV76))</f>
        <v>0</v>
      </c>
      <c r="BB76" s="9">
        <f ca="1">IF(Stock!AW76="",0,IF(ISNUMBER($E76),($E76+$F76)*Stock!AW76/100,Stock!AW76))</f>
        <v>0</v>
      </c>
      <c r="BC76" s="9">
        <f ca="1">IF(Stock!AX76="",0,IF(ISNUMBER($E76),($E76+$F76)*Stock!AX76/100,Stock!AX76))</f>
        <v>0</v>
      </c>
    </row>
    <row r="77" spans="1:55" x14ac:dyDescent="0.3">
      <c r="E77" s="62">
        <f ca="1">IF(A77="",0,IF(LEFT(C77,3) = "USB",100*(1-_xll.BDP(D77 &amp; " Govt",E$1)*(B77-TODAY()+1)/36000),_xll.BDP(D77 &amp; " Govt",E$1)))</f>
        <v>0</v>
      </c>
      <c r="F77" s="62">
        <f>IF(A77="",0,IF(LEFT(D77,1) = "B",0,_xll.BDP(D77 &amp; " Govt",F$1)))</f>
        <v>0</v>
      </c>
      <c r="G77" s="9">
        <f>IF(Stock!B77="",0,IF(ISNUMBER($E77),($E77+$F77)*Stock!B77/100,Stock!B77))</f>
        <v>0</v>
      </c>
      <c r="H77" s="9">
        <f ca="1">IF(Stock!C77="",0,IF(ISNUMBER($E77),($E77+$F77)*Stock!C77/100,Stock!C77))</f>
        <v>0</v>
      </c>
      <c r="I77" s="9">
        <f ca="1">IF(Stock!D77="",0,IF(ISNUMBER($E77),($E77+$F77)*Stock!D77/100,Stock!D77))</f>
        <v>0</v>
      </c>
      <c r="J77" s="9">
        <f ca="1">IF(Stock!E77="",0,IF(ISNUMBER($E77),($E77+$F77)*Stock!E77/100,Stock!E77))</f>
        <v>0</v>
      </c>
      <c r="K77" s="9">
        <f ca="1">IF(Stock!F77="",0,IF(ISNUMBER($E77),($E77+$F77)*Stock!F77/100,Stock!F77))</f>
        <v>0</v>
      </c>
      <c r="L77" s="9">
        <f ca="1">IF(Stock!G77="",0,IF(ISNUMBER($E77),($E77+$F77)*Stock!G77/100,Stock!G77))</f>
        <v>0</v>
      </c>
      <c r="M77" s="9">
        <f ca="1">IF(Stock!H77="",0,IF(ISNUMBER($E77),($E77+$F77)*Stock!H77/100,Stock!H77))</f>
        <v>0</v>
      </c>
      <c r="N77" s="9">
        <f ca="1">IF(Stock!I77="",0,IF(ISNUMBER($E77),($E77+$F77)*Stock!I77/100,Stock!I77))</f>
        <v>0</v>
      </c>
      <c r="O77" s="9">
        <f ca="1">IF(Stock!J77="",0,IF(ISNUMBER($E77),($E77+$F77)*Stock!J77/100,Stock!J77))</f>
        <v>0</v>
      </c>
      <c r="P77" s="9">
        <f ca="1">IF(Stock!K77="",0,IF(ISNUMBER($E77),($E77+$F77)*Stock!K77/100,Stock!K77))</f>
        <v>0</v>
      </c>
      <c r="Q77" s="9">
        <f ca="1">IF(Stock!L77="",0,IF(ISNUMBER($E77),($E77+$F77)*Stock!L77/100,Stock!L77))</f>
        <v>0</v>
      </c>
      <c r="R77" s="9">
        <f ca="1">IF(Stock!M77="",0,IF(ISNUMBER($E77),($E77+$F77)*Stock!M77/100,Stock!M77))</f>
        <v>0</v>
      </c>
      <c r="S77" s="9">
        <f ca="1">IF(Stock!N77="",0,IF(ISNUMBER($E77),($E77+$F77)*Stock!N77/100,Stock!N77))</f>
        <v>0</v>
      </c>
      <c r="T77" s="9">
        <f ca="1">IF(Stock!O77="",0,IF(ISNUMBER($E77),($E77+$F77)*Stock!O77/100,Stock!O77))</f>
        <v>0</v>
      </c>
      <c r="U77" s="9">
        <f ca="1">IF(Stock!P77="",0,IF(ISNUMBER($E77),($E77+$F77)*Stock!P77/100,Stock!P77))</f>
        <v>0</v>
      </c>
      <c r="V77" s="9">
        <f ca="1">IF(Stock!Q77="",0,IF(ISNUMBER($E77),($E77+$F77)*Stock!Q77/100,Stock!Q77))</f>
        <v>0</v>
      </c>
      <c r="W77" s="9">
        <f ca="1">IF(Stock!R77="",0,IF(ISNUMBER($E77),($E77+$F77)*Stock!R77/100,Stock!R77))</f>
        <v>0</v>
      </c>
      <c r="X77" s="9">
        <f ca="1">IF(Stock!S77="",0,IF(ISNUMBER($E77),($E77+$F77)*Stock!S77/100,Stock!S77))</f>
        <v>0</v>
      </c>
      <c r="Y77" s="9">
        <f ca="1">IF(Stock!T77="",0,IF(ISNUMBER($E77),($E77+$F77)*Stock!T77/100,Stock!T77))</f>
        <v>0</v>
      </c>
      <c r="Z77" s="9">
        <f ca="1">IF(Stock!U77="",0,IF(ISNUMBER($E77),($E77+$F77)*Stock!U77/100,Stock!U77))</f>
        <v>0</v>
      </c>
      <c r="AA77" s="9">
        <f ca="1">IF(Stock!V77="",0,IF(ISNUMBER($E77),($E77+$F77)*Stock!V77/100,Stock!V77))</f>
        <v>0</v>
      </c>
      <c r="AB77" s="9">
        <f ca="1">IF(Stock!W77="",0,IF(ISNUMBER($E77),($E77+$F77)*Stock!W77/100,Stock!W77))</f>
        <v>0</v>
      </c>
      <c r="AC77" s="9">
        <f ca="1">IF(Stock!X77="",0,IF(ISNUMBER($E77),($E77+$F77)*Stock!X77/100,Stock!X77))</f>
        <v>0</v>
      </c>
      <c r="AD77" s="9">
        <f ca="1">IF(Stock!Y77="",0,IF(ISNUMBER($E77),($E77+$F77)*Stock!Y77/100,Stock!Y77))</f>
        <v>0</v>
      </c>
      <c r="AE77" s="9">
        <f ca="1">IF(Stock!Z77="",0,IF(ISNUMBER($E77),($E77+$F77)*Stock!Z77/100,Stock!Z77))</f>
        <v>0</v>
      </c>
      <c r="AF77" s="9">
        <f ca="1">IF(Stock!AA77="",0,IF(ISNUMBER($E77),($E77+$F77)*Stock!AA77/100,Stock!AA77))</f>
        <v>0</v>
      </c>
      <c r="AG77" s="9">
        <f ca="1">IF(Stock!AB77="",0,IF(ISNUMBER($E77),($E77+$F77)*Stock!AB77/100,Stock!AB77))</f>
        <v>0</v>
      </c>
      <c r="AH77" s="9">
        <f ca="1">IF(Stock!AC77="",0,IF(ISNUMBER($E77),($E77+$F77)*Stock!AC77/100,Stock!AC77))</f>
        <v>0</v>
      </c>
      <c r="AI77" s="9">
        <f ca="1">IF(Stock!AD77="",0,IF(ISNUMBER($E77),($E77+$F77)*Stock!AD77/100,Stock!AD77))</f>
        <v>0</v>
      </c>
      <c r="AJ77" s="9">
        <f ca="1">IF(Stock!AE77="",0,IF(ISNUMBER($E77),($E77+$F77)*Stock!AE77/100,Stock!AE77))</f>
        <v>0</v>
      </c>
      <c r="AK77" s="9">
        <f ca="1">IF(Stock!AF77="",0,IF(ISNUMBER($E77),($E77+$F77)*Stock!AF77/100,Stock!AF77))</f>
        <v>0</v>
      </c>
      <c r="AL77" s="9">
        <f ca="1">IF(Stock!AG77="",0,IF(ISNUMBER($E77),($E77+$F77)*Stock!AG77/100,Stock!AG77))</f>
        <v>0</v>
      </c>
      <c r="AM77" s="9">
        <f ca="1">IF(Stock!AH77="",0,IF(ISNUMBER($E77),($E77+$F77)*Stock!AH77/100,Stock!AH77))</f>
        <v>0</v>
      </c>
      <c r="AN77" s="9">
        <f ca="1">IF(Stock!AI77="",0,IF(ISNUMBER($E77),($E77+$F77)*Stock!AI77/100,Stock!AI77))</f>
        <v>0</v>
      </c>
      <c r="AO77" s="9">
        <f ca="1">IF(Stock!AJ77="",0,IF(ISNUMBER($E77),($E77+$F77)*Stock!AJ77/100,Stock!AJ77))</f>
        <v>0</v>
      </c>
      <c r="AP77" s="9">
        <f ca="1">IF(Stock!AK77="",0,IF(ISNUMBER($E77),($E77+$F77)*Stock!AK77/100,Stock!AK77))</f>
        <v>0</v>
      </c>
      <c r="AQ77" s="9">
        <f ca="1">IF(Stock!AL77="",0,IF(ISNUMBER($E77),($E77+$F77)*Stock!AL77/100,Stock!AL77))</f>
        <v>0</v>
      </c>
      <c r="AR77" s="9">
        <f ca="1">IF(Stock!AM77="",0,IF(ISNUMBER($E77),($E77+$F77)*Stock!AM77/100,Stock!AM77))</f>
        <v>0</v>
      </c>
      <c r="AS77" s="9">
        <f ca="1">IF(Stock!AN77="",0,IF(ISNUMBER($E77),($E77+$F77)*Stock!AN77/100,Stock!AN77))</f>
        <v>0</v>
      </c>
      <c r="AT77" s="9">
        <f ca="1">IF(Stock!AO77="",0,IF(ISNUMBER($E77),($E77+$F77)*Stock!AO77/100,Stock!AO77))</f>
        <v>0</v>
      </c>
      <c r="AU77" s="9">
        <f ca="1">IF(Stock!AP77="",0,IF(ISNUMBER($E77),($E77+$F77)*Stock!AP77/100,Stock!AP77))</f>
        <v>0</v>
      </c>
      <c r="AV77" s="9">
        <f ca="1">IF(Stock!AQ77="",0,IF(ISNUMBER($E77),($E77+$F77)*Stock!AQ77/100,Stock!AQ77))</f>
        <v>0</v>
      </c>
      <c r="AW77" s="9">
        <f ca="1">IF(Stock!AR77="",0,IF(ISNUMBER($E77),($E77+$F77)*Stock!AR77/100,Stock!AR77))</f>
        <v>0</v>
      </c>
      <c r="AX77" s="9">
        <f ca="1">IF(Stock!AS77="",0,IF(ISNUMBER($E77),($E77+$F77)*Stock!AS77/100,Stock!AS77))</f>
        <v>0</v>
      </c>
      <c r="AY77" s="9">
        <f ca="1">IF(Stock!AT77="",0,IF(ISNUMBER($E77),($E77+$F77)*Stock!AT77/100,Stock!AT77))</f>
        <v>0</v>
      </c>
      <c r="AZ77" s="9">
        <f ca="1">IF(Stock!AU77="",0,IF(ISNUMBER($E77),($E77+$F77)*Stock!AU77/100,Stock!AU77))</f>
        <v>0</v>
      </c>
      <c r="BA77" s="9">
        <f ca="1">IF(Stock!AV77="",0,IF(ISNUMBER($E77),($E77+$F77)*Stock!AV77/100,Stock!AV77))</f>
        <v>0</v>
      </c>
      <c r="BB77" s="9">
        <f ca="1">IF(Stock!AW77="",0,IF(ISNUMBER($E77),($E77+$F77)*Stock!AW77/100,Stock!AW77))</f>
        <v>0</v>
      </c>
      <c r="BC77" s="9">
        <f ca="1">IF(Stock!AX77="",0,IF(ISNUMBER($E77),($E77+$F77)*Stock!AX77/100,Stock!AX77))</f>
        <v>0</v>
      </c>
    </row>
    <row r="78" spans="1:55" x14ac:dyDescent="0.3">
      <c r="E78" s="62">
        <f ca="1">IF(A78="",0,IF(LEFT(C78,3) = "USB",100*(1-_xll.BDP(D78 &amp; " Govt",E$1)*(B78-TODAY()+1)/36000),_xll.BDP(D78 &amp; " Govt",E$1)))</f>
        <v>0</v>
      </c>
      <c r="F78" s="62">
        <f>IF(A78="",0,IF(LEFT(D78,1) = "B",0,_xll.BDP(D78 &amp; " Govt",F$1)))</f>
        <v>0</v>
      </c>
      <c r="G78" s="9">
        <f>IF(Stock!B78="",0,IF(ISNUMBER($E78),($E78+$F78)*Stock!B78/100,Stock!B78))</f>
        <v>0</v>
      </c>
      <c r="H78" s="9">
        <f ca="1">IF(Stock!C78="",0,IF(ISNUMBER($E78),($E78+$F78)*Stock!C78/100,Stock!C78))</f>
        <v>0</v>
      </c>
      <c r="I78" s="9">
        <f ca="1">IF(Stock!D78="",0,IF(ISNUMBER($E78),($E78+$F78)*Stock!D78/100,Stock!D78))</f>
        <v>0</v>
      </c>
      <c r="J78" s="9">
        <f ca="1">IF(Stock!E78="",0,IF(ISNUMBER($E78),($E78+$F78)*Stock!E78/100,Stock!E78))</f>
        <v>0</v>
      </c>
      <c r="K78" s="9">
        <f ca="1">IF(Stock!F78="",0,IF(ISNUMBER($E78),($E78+$F78)*Stock!F78/100,Stock!F78))</f>
        <v>0</v>
      </c>
      <c r="L78" s="9">
        <f ca="1">IF(Stock!G78="",0,IF(ISNUMBER($E78),($E78+$F78)*Stock!G78/100,Stock!G78))</f>
        <v>0</v>
      </c>
      <c r="M78" s="9">
        <f ca="1">IF(Stock!H78="",0,IF(ISNUMBER($E78),($E78+$F78)*Stock!H78/100,Stock!H78))</f>
        <v>0</v>
      </c>
      <c r="N78" s="9">
        <f ca="1">IF(Stock!I78="",0,IF(ISNUMBER($E78),($E78+$F78)*Stock!I78/100,Stock!I78))</f>
        <v>0</v>
      </c>
      <c r="O78" s="9">
        <f ca="1">IF(Stock!J78="",0,IF(ISNUMBER($E78),($E78+$F78)*Stock!J78/100,Stock!J78))</f>
        <v>0</v>
      </c>
      <c r="P78" s="9">
        <f ca="1">IF(Stock!K78="",0,IF(ISNUMBER($E78),($E78+$F78)*Stock!K78/100,Stock!K78))</f>
        <v>0</v>
      </c>
      <c r="Q78" s="9">
        <f ca="1">IF(Stock!L78="",0,IF(ISNUMBER($E78),($E78+$F78)*Stock!L78/100,Stock!L78))</f>
        <v>0</v>
      </c>
      <c r="R78" s="9">
        <f ca="1">IF(Stock!M78="",0,IF(ISNUMBER($E78),($E78+$F78)*Stock!M78/100,Stock!M78))</f>
        <v>0</v>
      </c>
      <c r="S78" s="9">
        <f ca="1">IF(Stock!N78="",0,IF(ISNUMBER($E78),($E78+$F78)*Stock!N78/100,Stock!N78))</f>
        <v>0</v>
      </c>
      <c r="T78" s="9">
        <f ca="1">IF(Stock!O78="",0,IF(ISNUMBER($E78),($E78+$F78)*Stock!O78/100,Stock!O78))</f>
        <v>0</v>
      </c>
      <c r="U78" s="9">
        <f ca="1">IF(Stock!P78="",0,IF(ISNUMBER($E78),($E78+$F78)*Stock!P78/100,Stock!P78))</f>
        <v>0</v>
      </c>
      <c r="V78" s="9">
        <f ca="1">IF(Stock!Q78="",0,IF(ISNUMBER($E78),($E78+$F78)*Stock!Q78/100,Stock!Q78))</f>
        <v>0</v>
      </c>
      <c r="W78" s="9">
        <f ca="1">IF(Stock!R78="",0,IF(ISNUMBER($E78),($E78+$F78)*Stock!R78/100,Stock!R78))</f>
        <v>0</v>
      </c>
      <c r="X78" s="9">
        <f ca="1">IF(Stock!S78="",0,IF(ISNUMBER($E78),($E78+$F78)*Stock!S78/100,Stock!S78))</f>
        <v>0</v>
      </c>
      <c r="Y78" s="9">
        <f ca="1">IF(Stock!T78="",0,IF(ISNUMBER($E78),($E78+$F78)*Stock!T78/100,Stock!T78))</f>
        <v>0</v>
      </c>
      <c r="Z78" s="9">
        <f ca="1">IF(Stock!U78="",0,IF(ISNUMBER($E78),($E78+$F78)*Stock!U78/100,Stock!U78))</f>
        <v>0</v>
      </c>
      <c r="AA78" s="9">
        <f ca="1">IF(Stock!V78="",0,IF(ISNUMBER($E78),($E78+$F78)*Stock!V78/100,Stock!V78))</f>
        <v>0</v>
      </c>
      <c r="AB78" s="9">
        <f ca="1">IF(Stock!W78="",0,IF(ISNUMBER($E78),($E78+$F78)*Stock!W78/100,Stock!W78))</f>
        <v>0</v>
      </c>
      <c r="AC78" s="9">
        <f ca="1">IF(Stock!X78="",0,IF(ISNUMBER($E78),($E78+$F78)*Stock!X78/100,Stock!X78))</f>
        <v>0</v>
      </c>
      <c r="AD78" s="9">
        <f ca="1">IF(Stock!Y78="",0,IF(ISNUMBER($E78),($E78+$F78)*Stock!Y78/100,Stock!Y78))</f>
        <v>0</v>
      </c>
      <c r="AE78" s="9">
        <f ca="1">IF(Stock!Z78="",0,IF(ISNUMBER($E78),($E78+$F78)*Stock!Z78/100,Stock!Z78))</f>
        <v>0</v>
      </c>
      <c r="AF78" s="9">
        <f ca="1">IF(Stock!AA78="",0,IF(ISNUMBER($E78),($E78+$F78)*Stock!AA78/100,Stock!AA78))</f>
        <v>0</v>
      </c>
      <c r="AG78" s="9">
        <f ca="1">IF(Stock!AB78="",0,IF(ISNUMBER($E78),($E78+$F78)*Stock!AB78/100,Stock!AB78))</f>
        <v>0</v>
      </c>
      <c r="AH78" s="9">
        <f ca="1">IF(Stock!AC78="",0,IF(ISNUMBER($E78),($E78+$F78)*Stock!AC78/100,Stock!AC78))</f>
        <v>0</v>
      </c>
      <c r="AI78" s="9">
        <f ca="1">IF(Stock!AD78="",0,IF(ISNUMBER($E78),($E78+$F78)*Stock!AD78/100,Stock!AD78))</f>
        <v>0</v>
      </c>
      <c r="AJ78" s="9">
        <f ca="1">IF(Stock!AE78="",0,IF(ISNUMBER($E78),($E78+$F78)*Stock!AE78/100,Stock!AE78))</f>
        <v>0</v>
      </c>
      <c r="AK78" s="9">
        <f ca="1">IF(Stock!AF78="",0,IF(ISNUMBER($E78),($E78+$F78)*Stock!AF78/100,Stock!AF78))</f>
        <v>0</v>
      </c>
      <c r="AL78" s="9">
        <f ca="1">IF(Stock!AG78="",0,IF(ISNUMBER($E78),($E78+$F78)*Stock!AG78/100,Stock!AG78))</f>
        <v>0</v>
      </c>
      <c r="AM78" s="9">
        <f ca="1">IF(Stock!AH78="",0,IF(ISNUMBER($E78),($E78+$F78)*Stock!AH78/100,Stock!AH78))</f>
        <v>0</v>
      </c>
      <c r="AN78" s="9">
        <f ca="1">IF(Stock!AI78="",0,IF(ISNUMBER($E78),($E78+$F78)*Stock!AI78/100,Stock!AI78))</f>
        <v>0</v>
      </c>
      <c r="AO78" s="9">
        <f ca="1">IF(Stock!AJ78="",0,IF(ISNUMBER($E78),($E78+$F78)*Stock!AJ78/100,Stock!AJ78))</f>
        <v>0</v>
      </c>
      <c r="AP78" s="9">
        <f ca="1">IF(Stock!AK78="",0,IF(ISNUMBER($E78),($E78+$F78)*Stock!AK78/100,Stock!AK78))</f>
        <v>0</v>
      </c>
      <c r="AQ78" s="9">
        <f ca="1">IF(Stock!AL78="",0,IF(ISNUMBER($E78),($E78+$F78)*Stock!AL78/100,Stock!AL78))</f>
        <v>0</v>
      </c>
      <c r="AR78" s="9">
        <f ca="1">IF(Stock!AM78="",0,IF(ISNUMBER($E78),($E78+$F78)*Stock!AM78/100,Stock!AM78))</f>
        <v>0</v>
      </c>
      <c r="AS78" s="9">
        <f ca="1">IF(Stock!AN78="",0,IF(ISNUMBER($E78),($E78+$F78)*Stock!AN78/100,Stock!AN78))</f>
        <v>0</v>
      </c>
      <c r="AT78" s="9">
        <f ca="1">IF(Stock!AO78="",0,IF(ISNUMBER($E78),($E78+$F78)*Stock!AO78/100,Stock!AO78))</f>
        <v>0</v>
      </c>
      <c r="AU78" s="9">
        <f ca="1">IF(Stock!AP78="",0,IF(ISNUMBER($E78),($E78+$F78)*Stock!AP78/100,Stock!AP78))</f>
        <v>0</v>
      </c>
      <c r="AV78" s="9">
        <f ca="1">IF(Stock!AQ78="",0,IF(ISNUMBER($E78),($E78+$F78)*Stock!AQ78/100,Stock!AQ78))</f>
        <v>0</v>
      </c>
      <c r="AW78" s="9">
        <f ca="1">IF(Stock!AR78="",0,IF(ISNUMBER($E78),($E78+$F78)*Stock!AR78/100,Stock!AR78))</f>
        <v>0</v>
      </c>
      <c r="AX78" s="9">
        <f ca="1">IF(Stock!AS78="",0,IF(ISNUMBER($E78),($E78+$F78)*Stock!AS78/100,Stock!AS78))</f>
        <v>0</v>
      </c>
      <c r="AY78" s="9">
        <f ca="1">IF(Stock!AT78="",0,IF(ISNUMBER($E78),($E78+$F78)*Stock!AT78/100,Stock!AT78))</f>
        <v>0</v>
      </c>
      <c r="AZ78" s="9">
        <f ca="1">IF(Stock!AU78="",0,IF(ISNUMBER($E78),($E78+$F78)*Stock!AU78/100,Stock!AU78))</f>
        <v>0</v>
      </c>
      <c r="BA78" s="9">
        <f ca="1">IF(Stock!AV78="",0,IF(ISNUMBER($E78),($E78+$F78)*Stock!AV78/100,Stock!AV78))</f>
        <v>0</v>
      </c>
      <c r="BB78" s="9">
        <f ca="1">IF(Stock!AW78="",0,IF(ISNUMBER($E78),($E78+$F78)*Stock!AW78/100,Stock!AW78))</f>
        <v>0</v>
      </c>
      <c r="BC78" s="9">
        <f ca="1">IF(Stock!AX78="",0,IF(ISNUMBER($E78),($E78+$F78)*Stock!AX78/100,Stock!AX78))</f>
        <v>0</v>
      </c>
    </row>
    <row r="79" spans="1:55" x14ac:dyDescent="0.3">
      <c r="E79" s="62">
        <f ca="1">IF(A79="",0,IF(LEFT(C79,3) = "USB",100*(1-_xll.BDP(D79 &amp; " Govt",E$1)*(B79-TODAY()+1)/36000),_xll.BDP(D79 &amp; " Govt",E$1)))</f>
        <v>0</v>
      </c>
      <c r="F79" s="62">
        <f>IF(A79="",0,IF(LEFT(D79,1) = "B",0,_xll.BDP(D79 &amp; " Govt",F$1)))</f>
        <v>0</v>
      </c>
      <c r="G79" s="9">
        <f>IF(Stock!B79="",0,IF(ISNUMBER($E79),($E79+$F79)*Stock!B79/100,Stock!B79))</f>
        <v>0</v>
      </c>
      <c r="H79" s="9">
        <f ca="1">IF(Stock!C79="",0,IF(ISNUMBER($E79),($E79+$F79)*Stock!C79/100,Stock!C79))</f>
        <v>0</v>
      </c>
      <c r="I79" s="9">
        <f ca="1">IF(Stock!D79="",0,IF(ISNUMBER($E79),($E79+$F79)*Stock!D79/100,Stock!D79))</f>
        <v>0</v>
      </c>
      <c r="J79" s="9">
        <f ca="1">IF(Stock!E79="",0,IF(ISNUMBER($E79),($E79+$F79)*Stock!E79/100,Stock!E79))</f>
        <v>0</v>
      </c>
      <c r="K79" s="9">
        <f ca="1">IF(Stock!F79="",0,IF(ISNUMBER($E79),($E79+$F79)*Stock!F79/100,Stock!F79))</f>
        <v>0</v>
      </c>
      <c r="L79" s="9">
        <f ca="1">IF(Stock!G79="",0,IF(ISNUMBER($E79),($E79+$F79)*Stock!G79/100,Stock!G79))</f>
        <v>0</v>
      </c>
      <c r="M79" s="9">
        <f ca="1">IF(Stock!H79="",0,IF(ISNUMBER($E79),($E79+$F79)*Stock!H79/100,Stock!H79))</f>
        <v>0</v>
      </c>
      <c r="N79" s="9">
        <f ca="1">IF(Stock!I79="",0,IF(ISNUMBER($E79),($E79+$F79)*Stock!I79/100,Stock!I79))</f>
        <v>0</v>
      </c>
      <c r="O79" s="9">
        <f ca="1">IF(Stock!J79="",0,IF(ISNUMBER($E79),($E79+$F79)*Stock!J79/100,Stock!J79))</f>
        <v>0</v>
      </c>
      <c r="P79" s="9">
        <f ca="1">IF(Stock!K79="",0,IF(ISNUMBER($E79),($E79+$F79)*Stock!K79/100,Stock!K79))</f>
        <v>0</v>
      </c>
      <c r="Q79" s="9">
        <f ca="1">IF(Stock!L79="",0,IF(ISNUMBER($E79),($E79+$F79)*Stock!L79/100,Stock!L79))</f>
        <v>0</v>
      </c>
      <c r="R79" s="9">
        <f ca="1">IF(Stock!M79="",0,IF(ISNUMBER($E79),($E79+$F79)*Stock!M79/100,Stock!M79))</f>
        <v>0</v>
      </c>
      <c r="S79" s="9">
        <f ca="1">IF(Stock!N79="",0,IF(ISNUMBER($E79),($E79+$F79)*Stock!N79/100,Stock!N79))</f>
        <v>0</v>
      </c>
      <c r="T79" s="9">
        <f ca="1">IF(Stock!O79="",0,IF(ISNUMBER($E79),($E79+$F79)*Stock!O79/100,Stock!O79))</f>
        <v>0</v>
      </c>
      <c r="U79" s="9">
        <f ca="1">IF(Stock!P79="",0,IF(ISNUMBER($E79),($E79+$F79)*Stock!P79/100,Stock!P79))</f>
        <v>0</v>
      </c>
      <c r="V79" s="9">
        <f ca="1">IF(Stock!Q79="",0,IF(ISNUMBER($E79),($E79+$F79)*Stock!Q79/100,Stock!Q79))</f>
        <v>0</v>
      </c>
      <c r="W79" s="9">
        <f ca="1">IF(Stock!R79="",0,IF(ISNUMBER($E79),($E79+$F79)*Stock!R79/100,Stock!R79))</f>
        <v>0</v>
      </c>
      <c r="X79" s="9">
        <f ca="1">IF(Stock!S79="",0,IF(ISNUMBER($E79),($E79+$F79)*Stock!S79/100,Stock!S79))</f>
        <v>0</v>
      </c>
      <c r="Y79" s="9">
        <f ca="1">IF(Stock!T79="",0,IF(ISNUMBER($E79),($E79+$F79)*Stock!T79/100,Stock!T79))</f>
        <v>0</v>
      </c>
      <c r="Z79" s="9">
        <f ca="1">IF(Stock!U79="",0,IF(ISNUMBER($E79),($E79+$F79)*Stock!U79/100,Stock!U79))</f>
        <v>0</v>
      </c>
      <c r="AA79" s="9">
        <f ca="1">IF(Stock!V79="",0,IF(ISNUMBER($E79),($E79+$F79)*Stock!V79/100,Stock!V79))</f>
        <v>0</v>
      </c>
      <c r="AB79" s="9">
        <f ca="1">IF(Stock!W79="",0,IF(ISNUMBER($E79),($E79+$F79)*Stock!W79/100,Stock!W79))</f>
        <v>0</v>
      </c>
      <c r="AC79" s="9">
        <f ca="1">IF(Stock!X79="",0,IF(ISNUMBER($E79),($E79+$F79)*Stock!X79/100,Stock!X79))</f>
        <v>0</v>
      </c>
      <c r="AD79" s="9">
        <f ca="1">IF(Stock!Y79="",0,IF(ISNUMBER($E79),($E79+$F79)*Stock!Y79/100,Stock!Y79))</f>
        <v>0</v>
      </c>
      <c r="AE79" s="9">
        <f ca="1">IF(Stock!Z79="",0,IF(ISNUMBER($E79),($E79+$F79)*Stock!Z79/100,Stock!Z79))</f>
        <v>0</v>
      </c>
      <c r="AF79" s="9">
        <f ca="1">IF(Stock!AA79="",0,IF(ISNUMBER($E79),($E79+$F79)*Stock!AA79/100,Stock!AA79))</f>
        <v>0</v>
      </c>
      <c r="AG79" s="9">
        <f ca="1">IF(Stock!AB79="",0,IF(ISNUMBER($E79),($E79+$F79)*Stock!AB79/100,Stock!AB79))</f>
        <v>0</v>
      </c>
      <c r="AH79" s="9">
        <f ca="1">IF(Stock!AC79="",0,IF(ISNUMBER($E79),($E79+$F79)*Stock!AC79/100,Stock!AC79))</f>
        <v>0</v>
      </c>
      <c r="AI79" s="9">
        <f ca="1">IF(Stock!AD79="",0,IF(ISNUMBER($E79),($E79+$F79)*Stock!AD79/100,Stock!AD79))</f>
        <v>0</v>
      </c>
      <c r="AJ79" s="9">
        <f ca="1">IF(Stock!AE79="",0,IF(ISNUMBER($E79),($E79+$F79)*Stock!AE79/100,Stock!AE79))</f>
        <v>0</v>
      </c>
      <c r="AK79" s="9">
        <f ca="1">IF(Stock!AF79="",0,IF(ISNUMBER($E79),($E79+$F79)*Stock!AF79/100,Stock!AF79))</f>
        <v>0</v>
      </c>
      <c r="AL79" s="9">
        <f ca="1">IF(Stock!AG79="",0,IF(ISNUMBER($E79),($E79+$F79)*Stock!AG79/100,Stock!AG79))</f>
        <v>0</v>
      </c>
      <c r="AM79" s="9">
        <f ca="1">IF(Stock!AH79="",0,IF(ISNUMBER($E79),($E79+$F79)*Stock!AH79/100,Stock!AH79))</f>
        <v>0</v>
      </c>
      <c r="AN79" s="9">
        <f ca="1">IF(Stock!AI79="",0,IF(ISNUMBER($E79),($E79+$F79)*Stock!AI79/100,Stock!AI79))</f>
        <v>0</v>
      </c>
      <c r="AO79" s="9">
        <f ca="1">IF(Stock!AJ79="",0,IF(ISNUMBER($E79),($E79+$F79)*Stock!AJ79/100,Stock!AJ79))</f>
        <v>0</v>
      </c>
      <c r="AP79" s="9">
        <f ca="1">IF(Stock!AK79="",0,IF(ISNUMBER($E79),($E79+$F79)*Stock!AK79/100,Stock!AK79))</f>
        <v>0</v>
      </c>
      <c r="AQ79" s="9">
        <f ca="1">IF(Stock!AL79="",0,IF(ISNUMBER($E79),($E79+$F79)*Stock!AL79/100,Stock!AL79))</f>
        <v>0</v>
      </c>
      <c r="AR79" s="9">
        <f ca="1">IF(Stock!AM79="",0,IF(ISNUMBER($E79),($E79+$F79)*Stock!AM79/100,Stock!AM79))</f>
        <v>0</v>
      </c>
      <c r="AS79" s="9">
        <f ca="1">IF(Stock!AN79="",0,IF(ISNUMBER($E79),($E79+$F79)*Stock!AN79/100,Stock!AN79))</f>
        <v>0</v>
      </c>
      <c r="AT79" s="9">
        <f ca="1">IF(Stock!AO79="",0,IF(ISNUMBER($E79),($E79+$F79)*Stock!AO79/100,Stock!AO79))</f>
        <v>0</v>
      </c>
      <c r="AU79" s="9">
        <f ca="1">IF(Stock!AP79="",0,IF(ISNUMBER($E79),($E79+$F79)*Stock!AP79/100,Stock!AP79))</f>
        <v>0</v>
      </c>
      <c r="AV79" s="9">
        <f ca="1">IF(Stock!AQ79="",0,IF(ISNUMBER($E79),($E79+$F79)*Stock!AQ79/100,Stock!AQ79))</f>
        <v>0</v>
      </c>
      <c r="AW79" s="9">
        <f ca="1">IF(Stock!AR79="",0,IF(ISNUMBER($E79),($E79+$F79)*Stock!AR79/100,Stock!AR79))</f>
        <v>0</v>
      </c>
      <c r="AX79" s="9">
        <f ca="1">IF(Stock!AS79="",0,IF(ISNUMBER($E79),($E79+$F79)*Stock!AS79/100,Stock!AS79))</f>
        <v>0</v>
      </c>
      <c r="AY79" s="9">
        <f ca="1">IF(Stock!AT79="",0,IF(ISNUMBER($E79),($E79+$F79)*Stock!AT79/100,Stock!AT79))</f>
        <v>0</v>
      </c>
      <c r="AZ79" s="9">
        <f ca="1">IF(Stock!AU79="",0,IF(ISNUMBER($E79),($E79+$F79)*Stock!AU79/100,Stock!AU79))</f>
        <v>0</v>
      </c>
      <c r="BA79" s="9">
        <f ca="1">IF(Stock!AV79="",0,IF(ISNUMBER($E79),($E79+$F79)*Stock!AV79/100,Stock!AV79))</f>
        <v>0</v>
      </c>
      <c r="BB79" s="9">
        <f ca="1">IF(Stock!AW79="",0,IF(ISNUMBER($E79),($E79+$F79)*Stock!AW79/100,Stock!AW79))</f>
        <v>0</v>
      </c>
      <c r="BC79" s="9">
        <f ca="1">IF(Stock!AX79="",0,IF(ISNUMBER($E79),($E79+$F79)*Stock!AX79/100,Stock!AX79))</f>
        <v>0</v>
      </c>
    </row>
    <row r="80" spans="1:55" x14ac:dyDescent="0.3">
      <c r="E80" s="62">
        <f ca="1">IF(A80="",0,IF(LEFT(C80,3) = "USB",100*(1-_xll.BDP(D80 &amp; " Govt",E$1)*(B80-TODAY()+1)/36000),_xll.BDP(D80 &amp; " Govt",E$1)))</f>
        <v>0</v>
      </c>
      <c r="F80" s="62">
        <f>IF(A80="",0,IF(LEFT(D80,1) = "B",0,_xll.BDP(D80 &amp; " Govt",F$1)))</f>
        <v>0</v>
      </c>
      <c r="G80" s="9">
        <f>IF(Stock!B80="",0,IF(ISNUMBER($E80),($E80+$F80)*Stock!B80/100,Stock!B80))</f>
        <v>0</v>
      </c>
      <c r="H80" s="9">
        <f ca="1">IF(Stock!C80="",0,IF(ISNUMBER($E80),($E80+$F80)*Stock!C80/100,Stock!C80))</f>
        <v>0</v>
      </c>
      <c r="I80" s="9">
        <f ca="1">IF(Stock!D80="",0,IF(ISNUMBER($E80),($E80+$F80)*Stock!D80/100,Stock!D80))</f>
        <v>0</v>
      </c>
      <c r="J80" s="9">
        <f ca="1">IF(Stock!E80="",0,IF(ISNUMBER($E80),($E80+$F80)*Stock!E80/100,Stock!E80))</f>
        <v>0</v>
      </c>
      <c r="K80" s="9">
        <f ca="1">IF(Stock!F80="",0,IF(ISNUMBER($E80),($E80+$F80)*Stock!F80/100,Stock!F80))</f>
        <v>0</v>
      </c>
      <c r="L80" s="9">
        <f ca="1">IF(Stock!G80="",0,IF(ISNUMBER($E80),($E80+$F80)*Stock!G80/100,Stock!G80))</f>
        <v>0</v>
      </c>
      <c r="M80" s="9">
        <f ca="1">IF(Stock!H80="",0,IF(ISNUMBER($E80),($E80+$F80)*Stock!H80/100,Stock!H80))</f>
        <v>0</v>
      </c>
      <c r="N80" s="9">
        <f ca="1">IF(Stock!I80="",0,IF(ISNUMBER($E80),($E80+$F80)*Stock!I80/100,Stock!I80))</f>
        <v>0</v>
      </c>
      <c r="O80" s="9">
        <f ca="1">IF(Stock!J80="",0,IF(ISNUMBER($E80),($E80+$F80)*Stock!J80/100,Stock!J80))</f>
        <v>0</v>
      </c>
      <c r="P80" s="9">
        <f ca="1">IF(Stock!K80="",0,IF(ISNUMBER($E80),($E80+$F80)*Stock!K80/100,Stock!K80))</f>
        <v>0</v>
      </c>
      <c r="Q80" s="9">
        <f ca="1">IF(Stock!L80="",0,IF(ISNUMBER($E80),($E80+$F80)*Stock!L80/100,Stock!L80))</f>
        <v>0</v>
      </c>
      <c r="R80" s="9">
        <f ca="1">IF(Stock!M80="",0,IF(ISNUMBER($E80),($E80+$F80)*Stock!M80/100,Stock!M80))</f>
        <v>0</v>
      </c>
      <c r="S80" s="9">
        <f ca="1">IF(Stock!N80="",0,IF(ISNUMBER($E80),($E80+$F80)*Stock!N80/100,Stock!N80))</f>
        <v>0</v>
      </c>
      <c r="T80" s="9">
        <f ca="1">IF(Stock!O80="",0,IF(ISNUMBER($E80),($E80+$F80)*Stock!O80/100,Stock!O80))</f>
        <v>0</v>
      </c>
      <c r="U80" s="9">
        <f ca="1">IF(Stock!P80="",0,IF(ISNUMBER($E80),($E80+$F80)*Stock!P80/100,Stock!P80))</f>
        <v>0</v>
      </c>
      <c r="V80" s="9">
        <f ca="1">IF(Stock!Q80="",0,IF(ISNUMBER($E80),($E80+$F80)*Stock!Q80/100,Stock!Q80))</f>
        <v>0</v>
      </c>
      <c r="W80" s="9">
        <f ca="1">IF(Stock!R80="",0,IF(ISNUMBER($E80),($E80+$F80)*Stock!R80/100,Stock!R80))</f>
        <v>0</v>
      </c>
      <c r="X80" s="9">
        <f ca="1">IF(Stock!S80="",0,IF(ISNUMBER($E80),($E80+$F80)*Stock!S80/100,Stock!S80))</f>
        <v>0</v>
      </c>
      <c r="Y80" s="9">
        <f ca="1">IF(Stock!T80="",0,IF(ISNUMBER($E80),($E80+$F80)*Stock!T80/100,Stock!T80))</f>
        <v>0</v>
      </c>
      <c r="Z80" s="9">
        <f ca="1">IF(Stock!U80="",0,IF(ISNUMBER($E80),($E80+$F80)*Stock!U80/100,Stock!U80))</f>
        <v>0</v>
      </c>
      <c r="AA80" s="9">
        <f ca="1">IF(Stock!V80="",0,IF(ISNUMBER($E80),($E80+$F80)*Stock!V80/100,Stock!V80))</f>
        <v>0</v>
      </c>
      <c r="AB80" s="9">
        <f ca="1">IF(Stock!W80="",0,IF(ISNUMBER($E80),($E80+$F80)*Stock!W80/100,Stock!W80))</f>
        <v>0</v>
      </c>
      <c r="AC80" s="9">
        <f ca="1">IF(Stock!X80="",0,IF(ISNUMBER($E80),($E80+$F80)*Stock!X80/100,Stock!X80))</f>
        <v>0</v>
      </c>
      <c r="AD80" s="9">
        <f ca="1">IF(Stock!Y80="",0,IF(ISNUMBER($E80),($E80+$F80)*Stock!Y80/100,Stock!Y80))</f>
        <v>0</v>
      </c>
      <c r="AE80" s="9">
        <f ca="1">IF(Stock!Z80="",0,IF(ISNUMBER($E80),($E80+$F80)*Stock!Z80/100,Stock!Z80))</f>
        <v>0</v>
      </c>
      <c r="AF80" s="9">
        <f ca="1">IF(Stock!AA80="",0,IF(ISNUMBER($E80),($E80+$F80)*Stock!AA80/100,Stock!AA80))</f>
        <v>0</v>
      </c>
      <c r="AG80" s="9">
        <f ca="1">IF(Stock!AB80="",0,IF(ISNUMBER($E80),($E80+$F80)*Stock!AB80/100,Stock!AB80))</f>
        <v>0</v>
      </c>
      <c r="AH80" s="9">
        <f ca="1">IF(Stock!AC80="",0,IF(ISNUMBER($E80),($E80+$F80)*Stock!AC80/100,Stock!AC80))</f>
        <v>0</v>
      </c>
      <c r="AI80" s="9">
        <f ca="1">IF(Stock!AD80="",0,IF(ISNUMBER($E80),($E80+$F80)*Stock!AD80/100,Stock!AD80))</f>
        <v>0</v>
      </c>
      <c r="AJ80" s="9">
        <f ca="1">IF(Stock!AE80="",0,IF(ISNUMBER($E80),($E80+$F80)*Stock!AE80/100,Stock!AE80))</f>
        <v>0</v>
      </c>
      <c r="AK80" s="9">
        <f ca="1">IF(Stock!AF80="",0,IF(ISNUMBER($E80),($E80+$F80)*Stock!AF80/100,Stock!AF80))</f>
        <v>0</v>
      </c>
      <c r="AL80" s="9">
        <f ca="1">IF(Stock!AG80="",0,IF(ISNUMBER($E80),($E80+$F80)*Stock!AG80/100,Stock!AG80))</f>
        <v>0</v>
      </c>
      <c r="AM80" s="9">
        <f ca="1">IF(Stock!AH80="",0,IF(ISNUMBER($E80),($E80+$F80)*Stock!AH80/100,Stock!AH80))</f>
        <v>0</v>
      </c>
      <c r="AN80" s="9">
        <f ca="1">IF(Stock!AI80="",0,IF(ISNUMBER($E80),($E80+$F80)*Stock!AI80/100,Stock!AI80))</f>
        <v>0</v>
      </c>
      <c r="AO80" s="9">
        <f ca="1">IF(Stock!AJ80="",0,IF(ISNUMBER($E80),($E80+$F80)*Stock!AJ80/100,Stock!AJ80))</f>
        <v>0</v>
      </c>
      <c r="AP80" s="9">
        <f ca="1">IF(Stock!AK80="",0,IF(ISNUMBER($E80),($E80+$F80)*Stock!AK80/100,Stock!AK80))</f>
        <v>0</v>
      </c>
      <c r="AQ80" s="9">
        <f ca="1">IF(Stock!AL80="",0,IF(ISNUMBER($E80),($E80+$F80)*Stock!AL80/100,Stock!AL80))</f>
        <v>0</v>
      </c>
      <c r="AR80" s="9">
        <f ca="1">IF(Stock!AM80="",0,IF(ISNUMBER($E80),($E80+$F80)*Stock!AM80/100,Stock!AM80))</f>
        <v>0</v>
      </c>
      <c r="AS80" s="9">
        <f ca="1">IF(Stock!AN80="",0,IF(ISNUMBER($E80),($E80+$F80)*Stock!AN80/100,Stock!AN80))</f>
        <v>0</v>
      </c>
      <c r="AT80" s="9">
        <f ca="1">IF(Stock!AO80="",0,IF(ISNUMBER($E80),($E80+$F80)*Stock!AO80/100,Stock!AO80))</f>
        <v>0</v>
      </c>
      <c r="AU80" s="9">
        <f ca="1">IF(Stock!AP80="",0,IF(ISNUMBER($E80),($E80+$F80)*Stock!AP80/100,Stock!AP80))</f>
        <v>0</v>
      </c>
      <c r="AV80" s="9">
        <f ca="1">IF(Stock!AQ80="",0,IF(ISNUMBER($E80),($E80+$F80)*Stock!AQ80/100,Stock!AQ80))</f>
        <v>0</v>
      </c>
      <c r="AW80" s="9">
        <f ca="1">IF(Stock!AR80="",0,IF(ISNUMBER($E80),($E80+$F80)*Stock!AR80/100,Stock!AR80))</f>
        <v>0</v>
      </c>
      <c r="AX80" s="9">
        <f ca="1">IF(Stock!AS80="",0,IF(ISNUMBER($E80),($E80+$F80)*Stock!AS80/100,Stock!AS80))</f>
        <v>0</v>
      </c>
      <c r="AY80" s="9">
        <f ca="1">IF(Stock!AT80="",0,IF(ISNUMBER($E80),($E80+$F80)*Stock!AT80/100,Stock!AT80))</f>
        <v>0</v>
      </c>
      <c r="AZ80" s="9">
        <f ca="1">IF(Stock!AU80="",0,IF(ISNUMBER($E80),($E80+$F80)*Stock!AU80/100,Stock!AU80))</f>
        <v>0</v>
      </c>
      <c r="BA80" s="9">
        <f ca="1">IF(Stock!AV80="",0,IF(ISNUMBER($E80),($E80+$F80)*Stock!AV80/100,Stock!AV80))</f>
        <v>0</v>
      </c>
      <c r="BB80" s="9">
        <f ca="1">IF(Stock!AW80="",0,IF(ISNUMBER($E80),($E80+$F80)*Stock!AW80/100,Stock!AW80))</f>
        <v>0</v>
      </c>
      <c r="BC80" s="9">
        <f ca="1">IF(Stock!AX80="",0,IF(ISNUMBER($E80),($E80+$F80)*Stock!AX80/100,Stock!AX80))</f>
        <v>0</v>
      </c>
    </row>
    <row r="81" spans="5:55" x14ac:dyDescent="0.3">
      <c r="E81" s="62">
        <f ca="1">IF(A81="",0,IF(LEFT(C81,3) = "USB",100*(1-_xll.BDP(D81 &amp; " Govt",E$1)*(B81-TODAY()+1)/36000),_xll.BDP(D81 &amp; " Govt",E$1)))</f>
        <v>0</v>
      </c>
      <c r="F81" s="62">
        <f>IF(A81="",0,IF(LEFT(D81,1) = "B",0,_xll.BDP(D81 &amp; " Govt",F$1)))</f>
        <v>0</v>
      </c>
      <c r="G81" s="9">
        <f>IF(Stock!B81="",0,IF(ISNUMBER($E81),($E81+$F81)*Stock!B81/100,Stock!B81))</f>
        <v>0</v>
      </c>
      <c r="H81" s="9">
        <f ca="1">IF(Stock!C81="",0,IF(ISNUMBER($E81),($E81+$F81)*Stock!C81/100,Stock!C81))</f>
        <v>0</v>
      </c>
      <c r="I81" s="9">
        <f ca="1">IF(Stock!D81="",0,IF(ISNUMBER($E81),($E81+$F81)*Stock!D81/100,Stock!D81))</f>
        <v>0</v>
      </c>
      <c r="J81" s="9">
        <f ca="1">IF(Stock!E81="",0,IF(ISNUMBER($E81),($E81+$F81)*Stock!E81/100,Stock!E81))</f>
        <v>0</v>
      </c>
      <c r="K81" s="9">
        <f ca="1">IF(Stock!F81="",0,IF(ISNUMBER($E81),($E81+$F81)*Stock!F81/100,Stock!F81))</f>
        <v>0</v>
      </c>
      <c r="L81" s="9">
        <f ca="1">IF(Stock!G81="",0,IF(ISNUMBER($E81),($E81+$F81)*Stock!G81/100,Stock!G81))</f>
        <v>0</v>
      </c>
      <c r="M81" s="9">
        <f ca="1">IF(Stock!H81="",0,IF(ISNUMBER($E81),($E81+$F81)*Stock!H81/100,Stock!H81))</f>
        <v>0</v>
      </c>
      <c r="N81" s="9">
        <f ca="1">IF(Stock!I81="",0,IF(ISNUMBER($E81),($E81+$F81)*Stock!I81/100,Stock!I81))</f>
        <v>0</v>
      </c>
      <c r="O81" s="9">
        <f ca="1">IF(Stock!J81="",0,IF(ISNUMBER($E81),($E81+$F81)*Stock!J81/100,Stock!J81))</f>
        <v>0</v>
      </c>
      <c r="P81" s="9">
        <f ca="1">IF(Stock!K81="",0,IF(ISNUMBER($E81),($E81+$F81)*Stock!K81/100,Stock!K81))</f>
        <v>0</v>
      </c>
      <c r="Q81" s="9">
        <f ca="1">IF(Stock!L81="",0,IF(ISNUMBER($E81),($E81+$F81)*Stock!L81/100,Stock!L81))</f>
        <v>0</v>
      </c>
      <c r="R81" s="9">
        <f ca="1">IF(Stock!M81="",0,IF(ISNUMBER($E81),($E81+$F81)*Stock!M81/100,Stock!M81))</f>
        <v>0</v>
      </c>
      <c r="S81" s="9">
        <f ca="1">IF(Stock!N81="",0,IF(ISNUMBER($E81),($E81+$F81)*Stock!N81/100,Stock!N81))</f>
        <v>0</v>
      </c>
      <c r="T81" s="9">
        <f ca="1">IF(Stock!O81="",0,IF(ISNUMBER($E81),($E81+$F81)*Stock!O81/100,Stock!O81))</f>
        <v>0</v>
      </c>
      <c r="U81" s="9">
        <f ca="1">IF(Stock!P81="",0,IF(ISNUMBER($E81),($E81+$F81)*Stock!P81/100,Stock!P81))</f>
        <v>0</v>
      </c>
      <c r="V81" s="9">
        <f ca="1">IF(Stock!Q81="",0,IF(ISNUMBER($E81),($E81+$F81)*Stock!Q81/100,Stock!Q81))</f>
        <v>0</v>
      </c>
      <c r="W81" s="9">
        <f ca="1">IF(Stock!R81="",0,IF(ISNUMBER($E81),($E81+$F81)*Stock!R81/100,Stock!R81))</f>
        <v>0</v>
      </c>
      <c r="X81" s="9">
        <f ca="1">IF(Stock!S81="",0,IF(ISNUMBER($E81),($E81+$F81)*Stock!S81/100,Stock!S81))</f>
        <v>0</v>
      </c>
      <c r="Y81" s="9">
        <f ca="1">IF(Stock!T81="",0,IF(ISNUMBER($E81),($E81+$F81)*Stock!T81/100,Stock!T81))</f>
        <v>0</v>
      </c>
      <c r="Z81" s="9">
        <f ca="1">IF(Stock!U81="",0,IF(ISNUMBER($E81),($E81+$F81)*Stock!U81/100,Stock!U81))</f>
        <v>0</v>
      </c>
      <c r="AA81" s="9">
        <f ca="1">IF(Stock!V81="",0,IF(ISNUMBER($E81),($E81+$F81)*Stock!V81/100,Stock!V81))</f>
        <v>0</v>
      </c>
      <c r="AB81" s="9">
        <f ca="1">IF(Stock!W81="",0,IF(ISNUMBER($E81),($E81+$F81)*Stock!W81/100,Stock!W81))</f>
        <v>0</v>
      </c>
      <c r="AC81" s="9">
        <f ca="1">IF(Stock!X81="",0,IF(ISNUMBER($E81),($E81+$F81)*Stock!X81/100,Stock!X81))</f>
        <v>0</v>
      </c>
      <c r="AD81" s="9">
        <f ca="1">IF(Stock!Y81="",0,IF(ISNUMBER($E81),($E81+$F81)*Stock!Y81/100,Stock!Y81))</f>
        <v>0</v>
      </c>
      <c r="AE81" s="9">
        <f ca="1">IF(Stock!Z81="",0,IF(ISNUMBER($E81),($E81+$F81)*Stock!Z81/100,Stock!Z81))</f>
        <v>0</v>
      </c>
      <c r="AF81" s="9">
        <f ca="1">IF(Stock!AA81="",0,IF(ISNUMBER($E81),($E81+$F81)*Stock!AA81/100,Stock!AA81))</f>
        <v>0</v>
      </c>
      <c r="AG81" s="9">
        <f ca="1">IF(Stock!AB81="",0,IF(ISNUMBER($E81),($E81+$F81)*Stock!AB81/100,Stock!AB81))</f>
        <v>0</v>
      </c>
      <c r="AH81" s="9">
        <f ca="1">IF(Stock!AC81="",0,IF(ISNUMBER($E81),($E81+$F81)*Stock!AC81/100,Stock!AC81))</f>
        <v>0</v>
      </c>
      <c r="AI81" s="9">
        <f ca="1">IF(Stock!AD81="",0,IF(ISNUMBER($E81),($E81+$F81)*Stock!AD81/100,Stock!AD81))</f>
        <v>0</v>
      </c>
      <c r="AJ81" s="9">
        <f ca="1">IF(Stock!AE81="",0,IF(ISNUMBER($E81),($E81+$F81)*Stock!AE81/100,Stock!AE81))</f>
        <v>0</v>
      </c>
      <c r="AK81" s="9">
        <f ca="1">IF(Stock!AF81="",0,IF(ISNUMBER($E81),($E81+$F81)*Stock!AF81/100,Stock!AF81))</f>
        <v>0</v>
      </c>
      <c r="AL81" s="9">
        <f ca="1">IF(Stock!AG81="",0,IF(ISNUMBER($E81),($E81+$F81)*Stock!AG81/100,Stock!AG81))</f>
        <v>0</v>
      </c>
      <c r="AM81" s="9">
        <f ca="1">IF(Stock!AH81="",0,IF(ISNUMBER($E81),($E81+$F81)*Stock!AH81/100,Stock!AH81))</f>
        <v>0</v>
      </c>
      <c r="AN81" s="9">
        <f ca="1">IF(Stock!AI81="",0,IF(ISNUMBER($E81),($E81+$F81)*Stock!AI81/100,Stock!AI81))</f>
        <v>0</v>
      </c>
      <c r="AO81" s="9">
        <f ca="1">IF(Stock!AJ81="",0,IF(ISNUMBER($E81),($E81+$F81)*Stock!AJ81/100,Stock!AJ81))</f>
        <v>0</v>
      </c>
      <c r="AP81" s="9">
        <f ca="1">IF(Stock!AK81="",0,IF(ISNUMBER($E81),($E81+$F81)*Stock!AK81/100,Stock!AK81))</f>
        <v>0</v>
      </c>
      <c r="AQ81" s="9">
        <f ca="1">IF(Stock!AL81="",0,IF(ISNUMBER($E81),($E81+$F81)*Stock!AL81/100,Stock!AL81))</f>
        <v>0</v>
      </c>
      <c r="AR81" s="9">
        <f ca="1">IF(Stock!AM81="",0,IF(ISNUMBER($E81),($E81+$F81)*Stock!AM81/100,Stock!AM81))</f>
        <v>0</v>
      </c>
      <c r="AS81" s="9">
        <f ca="1">IF(Stock!AN81="",0,IF(ISNUMBER($E81),($E81+$F81)*Stock!AN81/100,Stock!AN81))</f>
        <v>0</v>
      </c>
      <c r="AT81" s="9">
        <f ca="1">IF(Stock!AO81="",0,IF(ISNUMBER($E81),($E81+$F81)*Stock!AO81/100,Stock!AO81))</f>
        <v>0</v>
      </c>
      <c r="AU81" s="9">
        <f ca="1">IF(Stock!AP81="",0,IF(ISNUMBER($E81),($E81+$F81)*Stock!AP81/100,Stock!AP81))</f>
        <v>0</v>
      </c>
      <c r="AV81" s="9">
        <f ca="1">IF(Stock!AQ81="",0,IF(ISNUMBER($E81),($E81+$F81)*Stock!AQ81/100,Stock!AQ81))</f>
        <v>0</v>
      </c>
      <c r="AW81" s="9">
        <f ca="1">IF(Stock!AR81="",0,IF(ISNUMBER($E81),($E81+$F81)*Stock!AR81/100,Stock!AR81))</f>
        <v>0</v>
      </c>
      <c r="AX81" s="9">
        <f ca="1">IF(Stock!AS81="",0,IF(ISNUMBER($E81),($E81+$F81)*Stock!AS81/100,Stock!AS81))</f>
        <v>0</v>
      </c>
      <c r="AY81" s="9">
        <f ca="1">IF(Stock!AT81="",0,IF(ISNUMBER($E81),($E81+$F81)*Stock!AT81/100,Stock!AT81))</f>
        <v>0</v>
      </c>
      <c r="AZ81" s="9">
        <f ca="1">IF(Stock!AU81="",0,IF(ISNUMBER($E81),($E81+$F81)*Stock!AU81/100,Stock!AU81))</f>
        <v>0</v>
      </c>
      <c r="BA81" s="9">
        <f ca="1">IF(Stock!AV81="",0,IF(ISNUMBER($E81),($E81+$F81)*Stock!AV81/100,Stock!AV81))</f>
        <v>0</v>
      </c>
      <c r="BB81" s="9">
        <f ca="1">IF(Stock!AW81="",0,IF(ISNUMBER($E81),($E81+$F81)*Stock!AW81/100,Stock!AW81))</f>
        <v>0</v>
      </c>
      <c r="BC81" s="9">
        <f ca="1">IF(Stock!AX81="",0,IF(ISNUMBER($E81),($E81+$F81)*Stock!AX81/100,Stock!AX81))</f>
        <v>0</v>
      </c>
    </row>
    <row r="82" spans="5:55" x14ac:dyDescent="0.3">
      <c r="E82" s="62">
        <f ca="1">IF(A82="",0,IF(LEFT(C82,3) = "USB",100*(1-_xll.BDP(D82 &amp; " Govt",E$1)*(B82-TODAY()+1)/36000),_xll.BDP(D82 &amp; " Govt",E$1)))</f>
        <v>0</v>
      </c>
      <c r="F82" s="62">
        <f>IF(A82="",0,IF(LEFT(D82,1) = "B",0,_xll.BDP(D82 &amp; " Govt",F$1)))</f>
        <v>0</v>
      </c>
      <c r="G82" s="9">
        <f>IF(Stock!B82="",0,IF(ISNUMBER($E82),($E82+$F82)*Stock!B82/100,Stock!B82))</f>
        <v>0</v>
      </c>
      <c r="H82" s="9">
        <f ca="1">IF(Stock!C82="",0,IF(ISNUMBER($E82),($E82+$F82)*Stock!C82/100,Stock!C82))</f>
        <v>0</v>
      </c>
      <c r="I82" s="9">
        <f ca="1">IF(Stock!D82="",0,IF(ISNUMBER($E82),($E82+$F82)*Stock!D82/100,Stock!D82))</f>
        <v>0</v>
      </c>
      <c r="J82" s="9">
        <f ca="1">IF(Stock!E82="",0,IF(ISNUMBER($E82),($E82+$F82)*Stock!E82/100,Stock!E82))</f>
        <v>0</v>
      </c>
      <c r="K82" s="9">
        <f ca="1">IF(Stock!F82="",0,IF(ISNUMBER($E82),($E82+$F82)*Stock!F82/100,Stock!F82))</f>
        <v>0</v>
      </c>
      <c r="L82" s="9">
        <f ca="1">IF(Stock!G82="",0,IF(ISNUMBER($E82),($E82+$F82)*Stock!G82/100,Stock!G82))</f>
        <v>0</v>
      </c>
      <c r="M82" s="9">
        <f ca="1">IF(Stock!H82="",0,IF(ISNUMBER($E82),($E82+$F82)*Stock!H82/100,Stock!H82))</f>
        <v>0</v>
      </c>
      <c r="N82" s="9">
        <f ca="1">IF(Stock!I82="",0,IF(ISNUMBER($E82),($E82+$F82)*Stock!I82/100,Stock!I82))</f>
        <v>0</v>
      </c>
      <c r="O82" s="9">
        <f ca="1">IF(Stock!J82="",0,IF(ISNUMBER($E82),($E82+$F82)*Stock!J82/100,Stock!J82))</f>
        <v>0</v>
      </c>
      <c r="P82" s="9">
        <f ca="1">IF(Stock!K82="",0,IF(ISNUMBER($E82),($E82+$F82)*Stock!K82/100,Stock!K82))</f>
        <v>0</v>
      </c>
      <c r="Q82" s="9">
        <f ca="1">IF(Stock!L82="",0,IF(ISNUMBER($E82),($E82+$F82)*Stock!L82/100,Stock!L82))</f>
        <v>0</v>
      </c>
      <c r="R82" s="9">
        <f ca="1">IF(Stock!M82="",0,IF(ISNUMBER($E82),($E82+$F82)*Stock!M82/100,Stock!M82))</f>
        <v>0</v>
      </c>
      <c r="S82" s="9">
        <f ca="1">IF(Stock!N82="",0,IF(ISNUMBER($E82),($E82+$F82)*Stock!N82/100,Stock!N82))</f>
        <v>0</v>
      </c>
      <c r="T82" s="9">
        <f ca="1">IF(Stock!O82="",0,IF(ISNUMBER($E82),($E82+$F82)*Stock!O82/100,Stock!O82))</f>
        <v>0</v>
      </c>
      <c r="U82" s="9">
        <f ca="1">IF(Stock!P82="",0,IF(ISNUMBER($E82),($E82+$F82)*Stock!P82/100,Stock!P82))</f>
        <v>0</v>
      </c>
      <c r="V82" s="9">
        <f ca="1">IF(Stock!Q82="",0,IF(ISNUMBER($E82),($E82+$F82)*Stock!Q82/100,Stock!Q82))</f>
        <v>0</v>
      </c>
      <c r="W82" s="9">
        <f ca="1">IF(Stock!R82="",0,IF(ISNUMBER($E82),($E82+$F82)*Stock!R82/100,Stock!R82))</f>
        <v>0</v>
      </c>
      <c r="X82" s="9">
        <f ca="1">IF(Stock!S82="",0,IF(ISNUMBER($E82),($E82+$F82)*Stock!S82/100,Stock!S82))</f>
        <v>0</v>
      </c>
      <c r="Y82" s="9">
        <f ca="1">IF(Stock!T82="",0,IF(ISNUMBER($E82),($E82+$F82)*Stock!T82/100,Stock!T82))</f>
        <v>0</v>
      </c>
      <c r="Z82" s="9">
        <f ca="1">IF(Stock!U82="",0,IF(ISNUMBER($E82),($E82+$F82)*Stock!U82/100,Stock!U82))</f>
        <v>0</v>
      </c>
      <c r="AA82" s="9">
        <f ca="1">IF(Stock!V82="",0,IF(ISNUMBER($E82),($E82+$F82)*Stock!V82/100,Stock!V82))</f>
        <v>0</v>
      </c>
      <c r="AB82" s="9">
        <f ca="1">IF(Stock!W82="",0,IF(ISNUMBER($E82),($E82+$F82)*Stock!W82/100,Stock!W82))</f>
        <v>0</v>
      </c>
      <c r="AC82" s="9">
        <f ca="1">IF(Stock!X82="",0,IF(ISNUMBER($E82),($E82+$F82)*Stock!X82/100,Stock!X82))</f>
        <v>0</v>
      </c>
      <c r="AD82" s="9">
        <f ca="1">IF(Stock!Y82="",0,IF(ISNUMBER($E82),($E82+$F82)*Stock!Y82/100,Stock!Y82))</f>
        <v>0</v>
      </c>
      <c r="AE82" s="9">
        <f ca="1">IF(Stock!Z82="",0,IF(ISNUMBER($E82),($E82+$F82)*Stock!Z82/100,Stock!Z82))</f>
        <v>0</v>
      </c>
      <c r="AF82" s="9">
        <f ca="1">IF(Stock!AA82="",0,IF(ISNUMBER($E82),($E82+$F82)*Stock!AA82/100,Stock!AA82))</f>
        <v>0</v>
      </c>
      <c r="AG82" s="9">
        <f ca="1">IF(Stock!AB82="",0,IF(ISNUMBER($E82),($E82+$F82)*Stock!AB82/100,Stock!AB82))</f>
        <v>0</v>
      </c>
      <c r="AH82" s="9">
        <f ca="1">IF(Stock!AC82="",0,IF(ISNUMBER($E82),($E82+$F82)*Stock!AC82/100,Stock!AC82))</f>
        <v>0</v>
      </c>
      <c r="AI82" s="9">
        <f ca="1">IF(Stock!AD82="",0,IF(ISNUMBER($E82),($E82+$F82)*Stock!AD82/100,Stock!AD82))</f>
        <v>0</v>
      </c>
      <c r="AJ82" s="9">
        <f ca="1">IF(Stock!AE82="",0,IF(ISNUMBER($E82),($E82+$F82)*Stock!AE82/100,Stock!AE82))</f>
        <v>0</v>
      </c>
      <c r="AK82" s="9">
        <f ca="1">IF(Stock!AF82="",0,IF(ISNUMBER($E82),($E82+$F82)*Stock!AF82/100,Stock!AF82))</f>
        <v>0</v>
      </c>
      <c r="AL82" s="9">
        <f ca="1">IF(Stock!AG82="",0,IF(ISNUMBER($E82),($E82+$F82)*Stock!AG82/100,Stock!AG82))</f>
        <v>0</v>
      </c>
      <c r="AM82" s="9">
        <f ca="1">IF(Stock!AH82="",0,IF(ISNUMBER($E82),($E82+$F82)*Stock!AH82/100,Stock!AH82))</f>
        <v>0</v>
      </c>
      <c r="AN82" s="9">
        <f ca="1">IF(Stock!AI82="",0,IF(ISNUMBER($E82),($E82+$F82)*Stock!AI82/100,Stock!AI82))</f>
        <v>0</v>
      </c>
      <c r="AO82" s="9">
        <f ca="1">IF(Stock!AJ82="",0,IF(ISNUMBER($E82),($E82+$F82)*Stock!AJ82/100,Stock!AJ82))</f>
        <v>0</v>
      </c>
      <c r="AP82" s="9">
        <f ca="1">IF(Stock!AK82="",0,IF(ISNUMBER($E82),($E82+$F82)*Stock!AK82/100,Stock!AK82))</f>
        <v>0</v>
      </c>
      <c r="AQ82" s="9">
        <f ca="1">IF(Stock!AL82="",0,IF(ISNUMBER($E82),($E82+$F82)*Stock!AL82/100,Stock!AL82))</f>
        <v>0</v>
      </c>
      <c r="AR82" s="9">
        <f ca="1">IF(Stock!AM82="",0,IF(ISNUMBER($E82),($E82+$F82)*Stock!AM82/100,Stock!AM82))</f>
        <v>0</v>
      </c>
      <c r="AS82" s="9">
        <f ca="1">IF(Stock!AN82="",0,IF(ISNUMBER($E82),($E82+$F82)*Stock!AN82/100,Stock!AN82))</f>
        <v>0</v>
      </c>
      <c r="AT82" s="9">
        <f ca="1">IF(Stock!AO82="",0,IF(ISNUMBER($E82),($E82+$F82)*Stock!AO82/100,Stock!AO82))</f>
        <v>0</v>
      </c>
      <c r="AU82" s="9">
        <f ca="1">IF(Stock!AP82="",0,IF(ISNUMBER($E82),($E82+$F82)*Stock!AP82/100,Stock!AP82))</f>
        <v>0</v>
      </c>
      <c r="AV82" s="9">
        <f ca="1">IF(Stock!AQ82="",0,IF(ISNUMBER($E82),($E82+$F82)*Stock!AQ82/100,Stock!AQ82))</f>
        <v>0</v>
      </c>
      <c r="AW82" s="9">
        <f ca="1">IF(Stock!AR82="",0,IF(ISNUMBER($E82),($E82+$F82)*Stock!AR82/100,Stock!AR82))</f>
        <v>0</v>
      </c>
      <c r="AX82" s="9">
        <f ca="1">IF(Stock!AS82="",0,IF(ISNUMBER($E82),($E82+$F82)*Stock!AS82/100,Stock!AS82))</f>
        <v>0</v>
      </c>
      <c r="AY82" s="9">
        <f ca="1">IF(Stock!AT82="",0,IF(ISNUMBER($E82),($E82+$F82)*Stock!AT82/100,Stock!AT82))</f>
        <v>0</v>
      </c>
      <c r="AZ82" s="9">
        <f ca="1">IF(Stock!AU82="",0,IF(ISNUMBER($E82),($E82+$F82)*Stock!AU82/100,Stock!AU82))</f>
        <v>0</v>
      </c>
      <c r="BA82" s="9">
        <f ca="1">IF(Stock!AV82="",0,IF(ISNUMBER($E82),($E82+$F82)*Stock!AV82/100,Stock!AV82))</f>
        <v>0</v>
      </c>
      <c r="BB82" s="9">
        <f ca="1">IF(Stock!AW82="",0,IF(ISNUMBER($E82),($E82+$F82)*Stock!AW82/100,Stock!AW82))</f>
        <v>0</v>
      </c>
      <c r="BC82" s="9">
        <f ca="1">IF(Stock!AX82="",0,IF(ISNUMBER($E82),($E82+$F82)*Stock!AX82/100,Stock!AX82))</f>
        <v>0</v>
      </c>
    </row>
    <row r="83" spans="5:55" x14ac:dyDescent="0.3">
      <c r="E83" s="62">
        <f ca="1">IF(A83="",0,IF(LEFT(C83,3) = "USB",100*(1-_xll.BDP(D83 &amp; " Govt",E$1)*(B83-TODAY()+1)/36000),_xll.BDP(D83 &amp; " Govt",E$1)))</f>
        <v>0</v>
      </c>
      <c r="F83" s="62">
        <f>IF(A83="",0,IF(LEFT(D83,1) = "B",0,_xll.BDP(D83 &amp; " Govt",F$1)))</f>
        <v>0</v>
      </c>
      <c r="G83" s="9">
        <f>IF(Stock!B83="",0,IF(ISNUMBER($E83),($E83+$F83)*Stock!B83/100,Stock!B83))</f>
        <v>0</v>
      </c>
      <c r="H83" s="9">
        <f ca="1">IF(Stock!C83="",0,IF(ISNUMBER($E83),($E83+$F83)*Stock!C83/100,Stock!C83))</f>
        <v>0</v>
      </c>
      <c r="I83" s="9">
        <f ca="1">IF(Stock!D83="",0,IF(ISNUMBER($E83),($E83+$F83)*Stock!D83/100,Stock!D83))</f>
        <v>0</v>
      </c>
      <c r="J83" s="9">
        <f ca="1">IF(Stock!E83="",0,IF(ISNUMBER($E83),($E83+$F83)*Stock!E83/100,Stock!E83))</f>
        <v>0</v>
      </c>
      <c r="K83" s="9">
        <f ca="1">IF(Stock!F83="",0,IF(ISNUMBER($E83),($E83+$F83)*Stock!F83/100,Stock!F83))</f>
        <v>0</v>
      </c>
      <c r="L83" s="9">
        <f ca="1">IF(Stock!G83="",0,IF(ISNUMBER($E83),($E83+$F83)*Stock!G83/100,Stock!G83))</f>
        <v>0</v>
      </c>
      <c r="M83" s="9">
        <f ca="1">IF(Stock!H83="",0,IF(ISNUMBER($E83),($E83+$F83)*Stock!H83/100,Stock!H83))</f>
        <v>0</v>
      </c>
      <c r="N83" s="9">
        <f ca="1">IF(Stock!I83="",0,IF(ISNUMBER($E83),($E83+$F83)*Stock!I83/100,Stock!I83))</f>
        <v>0</v>
      </c>
      <c r="O83" s="9">
        <f ca="1">IF(Stock!J83="",0,IF(ISNUMBER($E83),($E83+$F83)*Stock!J83/100,Stock!J83))</f>
        <v>0</v>
      </c>
      <c r="P83" s="9">
        <f ca="1">IF(Stock!K83="",0,IF(ISNUMBER($E83),($E83+$F83)*Stock!K83/100,Stock!K83))</f>
        <v>0</v>
      </c>
      <c r="Q83" s="9">
        <f ca="1">IF(Stock!L83="",0,IF(ISNUMBER($E83),($E83+$F83)*Stock!L83/100,Stock!L83))</f>
        <v>0</v>
      </c>
      <c r="R83" s="9">
        <f ca="1">IF(Stock!M83="",0,IF(ISNUMBER($E83),($E83+$F83)*Stock!M83/100,Stock!M83))</f>
        <v>0</v>
      </c>
      <c r="S83" s="9">
        <f ca="1">IF(Stock!N83="",0,IF(ISNUMBER($E83),($E83+$F83)*Stock!N83/100,Stock!N83))</f>
        <v>0</v>
      </c>
      <c r="T83" s="9">
        <f ca="1">IF(Stock!O83="",0,IF(ISNUMBER($E83),($E83+$F83)*Stock!O83/100,Stock!O83))</f>
        <v>0</v>
      </c>
      <c r="U83" s="9">
        <f ca="1">IF(Stock!P83="",0,IF(ISNUMBER($E83),($E83+$F83)*Stock!P83/100,Stock!P83))</f>
        <v>0</v>
      </c>
      <c r="V83" s="9">
        <f ca="1">IF(Stock!Q83="",0,IF(ISNUMBER($E83),($E83+$F83)*Stock!Q83/100,Stock!Q83))</f>
        <v>0</v>
      </c>
      <c r="W83" s="9">
        <f ca="1">IF(Stock!R83="",0,IF(ISNUMBER($E83),($E83+$F83)*Stock!R83/100,Stock!R83))</f>
        <v>0</v>
      </c>
      <c r="X83" s="9">
        <f ca="1">IF(Stock!S83="",0,IF(ISNUMBER($E83),($E83+$F83)*Stock!S83/100,Stock!S83))</f>
        <v>0</v>
      </c>
      <c r="Y83" s="9">
        <f ca="1">IF(Stock!T83="",0,IF(ISNUMBER($E83),($E83+$F83)*Stock!T83/100,Stock!T83))</f>
        <v>0</v>
      </c>
      <c r="Z83" s="9">
        <f ca="1">IF(Stock!U83="",0,IF(ISNUMBER($E83),($E83+$F83)*Stock!U83/100,Stock!U83))</f>
        <v>0</v>
      </c>
      <c r="AA83" s="9">
        <f ca="1">IF(Stock!V83="",0,IF(ISNUMBER($E83),($E83+$F83)*Stock!V83/100,Stock!V83))</f>
        <v>0</v>
      </c>
      <c r="AB83" s="9">
        <f ca="1">IF(Stock!W83="",0,IF(ISNUMBER($E83),($E83+$F83)*Stock!W83/100,Stock!W83))</f>
        <v>0</v>
      </c>
      <c r="AC83" s="9">
        <f ca="1">IF(Stock!X83="",0,IF(ISNUMBER($E83),($E83+$F83)*Stock!X83/100,Stock!X83))</f>
        <v>0</v>
      </c>
      <c r="AD83" s="9">
        <f ca="1">IF(Stock!Y83="",0,IF(ISNUMBER($E83),($E83+$F83)*Stock!Y83/100,Stock!Y83))</f>
        <v>0</v>
      </c>
      <c r="AE83" s="9">
        <f ca="1">IF(Stock!Z83="",0,IF(ISNUMBER($E83),($E83+$F83)*Stock!Z83/100,Stock!Z83))</f>
        <v>0</v>
      </c>
      <c r="AF83" s="9">
        <f ca="1">IF(Stock!AA83="",0,IF(ISNUMBER($E83),($E83+$F83)*Stock!AA83/100,Stock!AA83))</f>
        <v>0</v>
      </c>
      <c r="AG83" s="9">
        <f ca="1">IF(Stock!AB83="",0,IF(ISNUMBER($E83),($E83+$F83)*Stock!AB83/100,Stock!AB83))</f>
        <v>0</v>
      </c>
      <c r="AH83" s="9">
        <f ca="1">IF(Stock!AC83="",0,IF(ISNUMBER($E83),($E83+$F83)*Stock!AC83/100,Stock!AC83))</f>
        <v>0</v>
      </c>
      <c r="AI83" s="9">
        <f ca="1">IF(Stock!AD83="",0,IF(ISNUMBER($E83),($E83+$F83)*Stock!AD83/100,Stock!AD83))</f>
        <v>0</v>
      </c>
      <c r="AJ83" s="9">
        <f ca="1">IF(Stock!AE83="",0,IF(ISNUMBER($E83),($E83+$F83)*Stock!AE83/100,Stock!AE83))</f>
        <v>0</v>
      </c>
      <c r="AK83" s="9">
        <f ca="1">IF(Stock!AF83="",0,IF(ISNUMBER($E83),($E83+$F83)*Stock!AF83/100,Stock!AF83))</f>
        <v>0</v>
      </c>
      <c r="AL83" s="9">
        <f ca="1">IF(Stock!AG83="",0,IF(ISNUMBER($E83),($E83+$F83)*Stock!AG83/100,Stock!AG83))</f>
        <v>0</v>
      </c>
      <c r="AM83" s="9">
        <f ca="1">IF(Stock!AH83="",0,IF(ISNUMBER($E83),($E83+$F83)*Stock!AH83/100,Stock!AH83))</f>
        <v>0</v>
      </c>
      <c r="AN83" s="9">
        <f ca="1">IF(Stock!AI83="",0,IF(ISNUMBER($E83),($E83+$F83)*Stock!AI83/100,Stock!AI83))</f>
        <v>0</v>
      </c>
      <c r="AO83" s="9">
        <f ca="1">IF(Stock!AJ83="",0,IF(ISNUMBER($E83),($E83+$F83)*Stock!AJ83/100,Stock!AJ83))</f>
        <v>0</v>
      </c>
      <c r="AP83" s="9">
        <f ca="1">IF(Stock!AK83="",0,IF(ISNUMBER($E83),($E83+$F83)*Stock!AK83/100,Stock!AK83))</f>
        <v>0</v>
      </c>
      <c r="AQ83" s="9">
        <f ca="1">IF(Stock!AL83="",0,IF(ISNUMBER($E83),($E83+$F83)*Stock!AL83/100,Stock!AL83))</f>
        <v>0</v>
      </c>
      <c r="AR83" s="9">
        <f ca="1">IF(Stock!AM83="",0,IF(ISNUMBER($E83),($E83+$F83)*Stock!AM83/100,Stock!AM83))</f>
        <v>0</v>
      </c>
      <c r="AS83" s="9">
        <f ca="1">IF(Stock!AN83="",0,IF(ISNUMBER($E83),($E83+$F83)*Stock!AN83/100,Stock!AN83))</f>
        <v>0</v>
      </c>
      <c r="AT83" s="9">
        <f ca="1">IF(Stock!AO83="",0,IF(ISNUMBER($E83),($E83+$F83)*Stock!AO83/100,Stock!AO83))</f>
        <v>0</v>
      </c>
      <c r="AU83" s="9">
        <f ca="1">IF(Stock!AP83="",0,IF(ISNUMBER($E83),($E83+$F83)*Stock!AP83/100,Stock!AP83))</f>
        <v>0</v>
      </c>
      <c r="AV83" s="9">
        <f ca="1">IF(Stock!AQ83="",0,IF(ISNUMBER($E83),($E83+$F83)*Stock!AQ83/100,Stock!AQ83))</f>
        <v>0</v>
      </c>
      <c r="AW83" s="9">
        <f ca="1">IF(Stock!AR83="",0,IF(ISNUMBER($E83),($E83+$F83)*Stock!AR83/100,Stock!AR83))</f>
        <v>0</v>
      </c>
      <c r="AX83" s="9">
        <f ca="1">IF(Stock!AS83="",0,IF(ISNUMBER($E83),($E83+$F83)*Stock!AS83/100,Stock!AS83))</f>
        <v>0</v>
      </c>
      <c r="AY83" s="9">
        <f ca="1">IF(Stock!AT83="",0,IF(ISNUMBER($E83),($E83+$F83)*Stock!AT83/100,Stock!AT83))</f>
        <v>0</v>
      </c>
      <c r="AZ83" s="9">
        <f ca="1">IF(Stock!AU83="",0,IF(ISNUMBER($E83),($E83+$F83)*Stock!AU83/100,Stock!AU83))</f>
        <v>0</v>
      </c>
      <c r="BA83" s="9">
        <f ca="1">IF(Stock!AV83="",0,IF(ISNUMBER($E83),($E83+$F83)*Stock!AV83/100,Stock!AV83))</f>
        <v>0</v>
      </c>
      <c r="BB83" s="9">
        <f ca="1">IF(Stock!AW83="",0,IF(ISNUMBER($E83),($E83+$F83)*Stock!AW83/100,Stock!AW83))</f>
        <v>0</v>
      </c>
      <c r="BC83" s="9">
        <f ca="1">IF(Stock!AX83="",0,IF(ISNUMBER($E83),($E83+$F83)*Stock!AX83/100,Stock!AX83))</f>
        <v>0</v>
      </c>
    </row>
    <row r="84" spans="5:55" x14ac:dyDescent="0.3">
      <c r="E84" s="62">
        <f ca="1">IF(A84="",0,IF(LEFT(C84,3) = "USB",100*(1-_xll.BDP(D84 &amp; " Govt",E$1)*(B84-TODAY()+1)/36000),_xll.BDP(D84 &amp; " Govt",E$1)))</f>
        <v>0</v>
      </c>
      <c r="F84" s="62">
        <f>IF(A84="",0,IF(LEFT(D84,1) = "B",0,_xll.BDP(D84 &amp; " Govt",F$1)))</f>
        <v>0</v>
      </c>
      <c r="G84" s="9">
        <f>IF(Stock!B84="",0,IF(ISNUMBER($E84),($E84+$F84)*Stock!B84/100,Stock!B84))</f>
        <v>0</v>
      </c>
      <c r="H84" s="9">
        <f ca="1">IF(Stock!C84="",0,IF(ISNUMBER($E84),($E84+$F84)*Stock!C84/100,Stock!C84))</f>
        <v>0</v>
      </c>
      <c r="I84" s="9">
        <f ca="1">IF(Stock!D84="",0,IF(ISNUMBER($E84),($E84+$F84)*Stock!D84/100,Stock!D84))</f>
        <v>0</v>
      </c>
      <c r="J84" s="9">
        <f ca="1">IF(Stock!E84="",0,IF(ISNUMBER($E84),($E84+$F84)*Stock!E84/100,Stock!E84))</f>
        <v>0</v>
      </c>
      <c r="K84" s="9">
        <f ca="1">IF(Stock!F84="",0,IF(ISNUMBER($E84),($E84+$F84)*Stock!F84/100,Stock!F84))</f>
        <v>0</v>
      </c>
      <c r="L84" s="9">
        <f ca="1">IF(Stock!G84="",0,IF(ISNUMBER($E84),($E84+$F84)*Stock!G84/100,Stock!G84))</f>
        <v>0</v>
      </c>
      <c r="M84" s="9">
        <f ca="1">IF(Stock!H84="",0,IF(ISNUMBER($E84),($E84+$F84)*Stock!H84/100,Stock!H84))</f>
        <v>0</v>
      </c>
      <c r="N84" s="9">
        <f ca="1">IF(Stock!I84="",0,IF(ISNUMBER($E84),($E84+$F84)*Stock!I84/100,Stock!I84))</f>
        <v>0</v>
      </c>
      <c r="O84" s="9">
        <f ca="1">IF(Stock!J84="",0,IF(ISNUMBER($E84),($E84+$F84)*Stock!J84/100,Stock!J84))</f>
        <v>0</v>
      </c>
      <c r="P84" s="9">
        <f ca="1">IF(Stock!K84="",0,IF(ISNUMBER($E84),($E84+$F84)*Stock!K84/100,Stock!K84))</f>
        <v>0</v>
      </c>
      <c r="Q84" s="9">
        <f ca="1">IF(Stock!L84="",0,IF(ISNUMBER($E84),($E84+$F84)*Stock!L84/100,Stock!L84))</f>
        <v>0</v>
      </c>
      <c r="R84" s="9">
        <f ca="1">IF(Stock!M84="",0,IF(ISNUMBER($E84),($E84+$F84)*Stock!M84/100,Stock!M84))</f>
        <v>0</v>
      </c>
      <c r="S84" s="9">
        <f ca="1">IF(Stock!N84="",0,IF(ISNUMBER($E84),($E84+$F84)*Stock!N84/100,Stock!N84))</f>
        <v>0</v>
      </c>
      <c r="T84" s="9">
        <f ca="1">IF(Stock!O84="",0,IF(ISNUMBER($E84),($E84+$F84)*Stock!O84/100,Stock!O84))</f>
        <v>0</v>
      </c>
      <c r="U84" s="9">
        <f ca="1">IF(Stock!P84="",0,IF(ISNUMBER($E84),($E84+$F84)*Stock!P84/100,Stock!P84))</f>
        <v>0</v>
      </c>
      <c r="V84" s="9">
        <f ca="1">IF(Stock!Q84="",0,IF(ISNUMBER($E84),($E84+$F84)*Stock!Q84/100,Stock!Q84))</f>
        <v>0</v>
      </c>
      <c r="W84" s="9">
        <f ca="1">IF(Stock!R84="",0,IF(ISNUMBER($E84),($E84+$F84)*Stock!R84/100,Stock!R84))</f>
        <v>0</v>
      </c>
      <c r="X84" s="9">
        <f ca="1">IF(Stock!S84="",0,IF(ISNUMBER($E84),($E84+$F84)*Stock!S84/100,Stock!S84))</f>
        <v>0</v>
      </c>
      <c r="Y84" s="9">
        <f ca="1">IF(Stock!T84="",0,IF(ISNUMBER($E84),($E84+$F84)*Stock!T84/100,Stock!T84))</f>
        <v>0</v>
      </c>
      <c r="Z84" s="9">
        <f ca="1">IF(Stock!U84="",0,IF(ISNUMBER($E84),($E84+$F84)*Stock!U84/100,Stock!U84))</f>
        <v>0</v>
      </c>
      <c r="AA84" s="9">
        <f ca="1">IF(Stock!V84="",0,IF(ISNUMBER($E84),($E84+$F84)*Stock!V84/100,Stock!V84))</f>
        <v>0</v>
      </c>
      <c r="AB84" s="9">
        <f ca="1">IF(Stock!W84="",0,IF(ISNUMBER($E84),($E84+$F84)*Stock!W84/100,Stock!W84))</f>
        <v>0</v>
      </c>
      <c r="AC84" s="9">
        <f ca="1">IF(Stock!X84="",0,IF(ISNUMBER($E84),($E84+$F84)*Stock!X84/100,Stock!X84))</f>
        <v>0</v>
      </c>
      <c r="AD84" s="9">
        <f ca="1">IF(Stock!Y84="",0,IF(ISNUMBER($E84),($E84+$F84)*Stock!Y84/100,Stock!Y84))</f>
        <v>0</v>
      </c>
      <c r="AE84" s="9">
        <f ca="1">IF(Stock!Z84="",0,IF(ISNUMBER($E84),($E84+$F84)*Stock!Z84/100,Stock!Z84))</f>
        <v>0</v>
      </c>
      <c r="AF84" s="9">
        <f ca="1">IF(Stock!AA84="",0,IF(ISNUMBER($E84),($E84+$F84)*Stock!AA84/100,Stock!AA84))</f>
        <v>0</v>
      </c>
      <c r="AG84" s="9">
        <f ca="1">IF(Stock!AB84="",0,IF(ISNUMBER($E84),($E84+$F84)*Stock!AB84/100,Stock!AB84))</f>
        <v>0</v>
      </c>
      <c r="AH84" s="9">
        <f ca="1">IF(Stock!AC84="",0,IF(ISNUMBER($E84),($E84+$F84)*Stock!AC84/100,Stock!AC84))</f>
        <v>0</v>
      </c>
      <c r="AI84" s="9">
        <f ca="1">IF(Stock!AD84="",0,IF(ISNUMBER($E84),($E84+$F84)*Stock!AD84/100,Stock!AD84))</f>
        <v>0</v>
      </c>
      <c r="AJ84" s="9">
        <f ca="1">IF(Stock!AE84="",0,IF(ISNUMBER($E84),($E84+$F84)*Stock!AE84/100,Stock!AE84))</f>
        <v>0</v>
      </c>
      <c r="AK84" s="9">
        <f ca="1">IF(Stock!AF84="",0,IF(ISNUMBER($E84),($E84+$F84)*Stock!AF84/100,Stock!AF84))</f>
        <v>0</v>
      </c>
      <c r="AL84" s="9">
        <f ca="1">IF(Stock!AG84="",0,IF(ISNUMBER($E84),($E84+$F84)*Stock!AG84/100,Stock!AG84))</f>
        <v>0</v>
      </c>
      <c r="AM84" s="9">
        <f ca="1">IF(Stock!AH84="",0,IF(ISNUMBER($E84),($E84+$F84)*Stock!AH84/100,Stock!AH84))</f>
        <v>0</v>
      </c>
      <c r="AN84" s="9">
        <f ca="1">IF(Stock!AI84="",0,IF(ISNUMBER($E84),($E84+$F84)*Stock!AI84/100,Stock!AI84))</f>
        <v>0</v>
      </c>
      <c r="AO84" s="9">
        <f ca="1">IF(Stock!AJ84="",0,IF(ISNUMBER($E84),($E84+$F84)*Stock!AJ84/100,Stock!AJ84))</f>
        <v>0</v>
      </c>
      <c r="AP84" s="9">
        <f ca="1">IF(Stock!AK84="",0,IF(ISNUMBER($E84),($E84+$F84)*Stock!AK84/100,Stock!AK84))</f>
        <v>0</v>
      </c>
      <c r="AQ84" s="9">
        <f ca="1">IF(Stock!AL84="",0,IF(ISNUMBER($E84),($E84+$F84)*Stock!AL84/100,Stock!AL84))</f>
        <v>0</v>
      </c>
      <c r="AR84" s="9">
        <f ca="1">IF(Stock!AM84="",0,IF(ISNUMBER($E84),($E84+$F84)*Stock!AM84/100,Stock!AM84))</f>
        <v>0</v>
      </c>
      <c r="AS84" s="9">
        <f ca="1">IF(Stock!AN84="",0,IF(ISNUMBER($E84),($E84+$F84)*Stock!AN84/100,Stock!AN84))</f>
        <v>0</v>
      </c>
      <c r="AT84" s="9">
        <f ca="1">IF(Stock!AO84="",0,IF(ISNUMBER($E84),($E84+$F84)*Stock!AO84/100,Stock!AO84))</f>
        <v>0</v>
      </c>
      <c r="AU84" s="9">
        <f ca="1">IF(Stock!AP84="",0,IF(ISNUMBER($E84),($E84+$F84)*Stock!AP84/100,Stock!AP84))</f>
        <v>0</v>
      </c>
      <c r="AV84" s="9">
        <f ca="1">IF(Stock!AQ84="",0,IF(ISNUMBER($E84),($E84+$F84)*Stock!AQ84/100,Stock!AQ84))</f>
        <v>0</v>
      </c>
      <c r="AW84" s="9">
        <f ca="1">IF(Stock!AR84="",0,IF(ISNUMBER($E84),($E84+$F84)*Stock!AR84/100,Stock!AR84))</f>
        <v>0</v>
      </c>
      <c r="AX84" s="9">
        <f ca="1">IF(Stock!AS84="",0,IF(ISNUMBER($E84),($E84+$F84)*Stock!AS84/100,Stock!AS84))</f>
        <v>0</v>
      </c>
      <c r="AY84" s="9">
        <f ca="1">IF(Stock!AT84="",0,IF(ISNUMBER($E84),($E84+$F84)*Stock!AT84/100,Stock!AT84))</f>
        <v>0</v>
      </c>
      <c r="AZ84" s="9">
        <f ca="1">IF(Stock!AU84="",0,IF(ISNUMBER($E84),($E84+$F84)*Stock!AU84/100,Stock!AU84))</f>
        <v>0</v>
      </c>
      <c r="BA84" s="9">
        <f ca="1">IF(Stock!AV84="",0,IF(ISNUMBER($E84),($E84+$F84)*Stock!AV84/100,Stock!AV84))</f>
        <v>0</v>
      </c>
      <c r="BB84" s="9">
        <f ca="1">IF(Stock!AW84="",0,IF(ISNUMBER($E84),($E84+$F84)*Stock!AW84/100,Stock!AW84))</f>
        <v>0</v>
      </c>
      <c r="BC84" s="9">
        <f ca="1">IF(Stock!AX84="",0,IF(ISNUMBER($E84),($E84+$F84)*Stock!AX84/100,Stock!AX84))</f>
        <v>0</v>
      </c>
    </row>
    <row r="85" spans="5:55" x14ac:dyDescent="0.3">
      <c r="E85" s="62">
        <f ca="1">IF(A85="",0,IF(LEFT(C85,3) = "USB",100*(1-_xll.BDP(D85 &amp; " Govt",E$1)*(B85-TODAY()+1)/36000),_xll.BDP(D85 &amp; " Govt",E$1)))</f>
        <v>0</v>
      </c>
      <c r="F85" s="62">
        <f>IF(A85="",0,IF(LEFT(D85,1) = "B",0,_xll.BDP(D85 &amp; " Govt",F$1)))</f>
        <v>0</v>
      </c>
      <c r="G85" s="9">
        <f>IF(Stock!B85="",0,IF(ISNUMBER($E85),($E85+$F85)*Stock!B85/100,Stock!B85))</f>
        <v>0</v>
      </c>
      <c r="H85" s="9">
        <f ca="1">IF(Stock!C85="",0,IF(ISNUMBER($E85),($E85+$F85)*Stock!C85/100,Stock!C85))</f>
        <v>0</v>
      </c>
      <c r="I85" s="9">
        <f ca="1">IF(Stock!D85="",0,IF(ISNUMBER($E85),($E85+$F85)*Stock!D85/100,Stock!D85))</f>
        <v>0</v>
      </c>
      <c r="J85" s="9">
        <f ca="1">IF(Stock!E85="",0,IF(ISNUMBER($E85),($E85+$F85)*Stock!E85/100,Stock!E85))</f>
        <v>0</v>
      </c>
      <c r="K85" s="9">
        <f ca="1">IF(Stock!F85="",0,IF(ISNUMBER($E85),($E85+$F85)*Stock!F85/100,Stock!F85))</f>
        <v>0</v>
      </c>
      <c r="L85" s="9">
        <f ca="1">IF(Stock!G85="",0,IF(ISNUMBER($E85),($E85+$F85)*Stock!G85/100,Stock!G85))</f>
        <v>0</v>
      </c>
      <c r="M85" s="9">
        <f ca="1">IF(Stock!H85="",0,IF(ISNUMBER($E85),($E85+$F85)*Stock!H85/100,Stock!H85))</f>
        <v>0</v>
      </c>
      <c r="N85" s="9">
        <f ca="1">IF(Stock!I85="",0,IF(ISNUMBER($E85),($E85+$F85)*Stock!I85/100,Stock!I85))</f>
        <v>0</v>
      </c>
      <c r="O85" s="9">
        <f ca="1">IF(Stock!J85="",0,IF(ISNUMBER($E85),($E85+$F85)*Stock!J85/100,Stock!J85))</f>
        <v>0</v>
      </c>
      <c r="P85" s="9">
        <f ca="1">IF(Stock!K85="",0,IF(ISNUMBER($E85),($E85+$F85)*Stock!K85/100,Stock!K85))</f>
        <v>0</v>
      </c>
      <c r="Q85" s="9">
        <f ca="1">IF(Stock!L85="",0,IF(ISNUMBER($E85),($E85+$F85)*Stock!L85/100,Stock!L85))</f>
        <v>0</v>
      </c>
      <c r="R85" s="9">
        <f ca="1">IF(Stock!M85="",0,IF(ISNUMBER($E85),($E85+$F85)*Stock!M85/100,Stock!M85))</f>
        <v>0</v>
      </c>
      <c r="S85" s="9">
        <f ca="1">IF(Stock!N85="",0,IF(ISNUMBER($E85),($E85+$F85)*Stock!N85/100,Stock!N85))</f>
        <v>0</v>
      </c>
      <c r="T85" s="9">
        <f ca="1">IF(Stock!O85="",0,IF(ISNUMBER($E85),($E85+$F85)*Stock!O85/100,Stock!O85))</f>
        <v>0</v>
      </c>
      <c r="U85" s="9">
        <f ca="1">IF(Stock!P85="",0,IF(ISNUMBER($E85),($E85+$F85)*Stock!P85/100,Stock!P85))</f>
        <v>0</v>
      </c>
      <c r="V85" s="9">
        <f ca="1">IF(Stock!Q85="",0,IF(ISNUMBER($E85),($E85+$F85)*Stock!Q85/100,Stock!Q85))</f>
        <v>0</v>
      </c>
      <c r="W85" s="9">
        <f ca="1">IF(Stock!R85="",0,IF(ISNUMBER($E85),($E85+$F85)*Stock!R85/100,Stock!R85))</f>
        <v>0</v>
      </c>
      <c r="X85" s="9">
        <f ca="1">IF(Stock!S85="",0,IF(ISNUMBER($E85),($E85+$F85)*Stock!S85/100,Stock!S85))</f>
        <v>0</v>
      </c>
      <c r="Y85" s="9">
        <f ca="1">IF(Stock!T85="",0,IF(ISNUMBER($E85),($E85+$F85)*Stock!T85/100,Stock!T85))</f>
        <v>0</v>
      </c>
      <c r="Z85" s="9">
        <f ca="1">IF(Stock!U85="",0,IF(ISNUMBER($E85),($E85+$F85)*Stock!U85/100,Stock!U85))</f>
        <v>0</v>
      </c>
      <c r="AA85" s="9">
        <f ca="1">IF(Stock!V85="",0,IF(ISNUMBER($E85),($E85+$F85)*Stock!V85/100,Stock!V85))</f>
        <v>0</v>
      </c>
      <c r="AB85" s="9">
        <f ca="1">IF(Stock!W85="",0,IF(ISNUMBER($E85),($E85+$F85)*Stock!W85/100,Stock!W85))</f>
        <v>0</v>
      </c>
      <c r="AC85" s="9">
        <f ca="1">IF(Stock!X85="",0,IF(ISNUMBER($E85),($E85+$F85)*Stock!X85/100,Stock!X85))</f>
        <v>0</v>
      </c>
      <c r="AD85" s="9">
        <f ca="1">IF(Stock!Y85="",0,IF(ISNUMBER($E85),($E85+$F85)*Stock!Y85/100,Stock!Y85))</f>
        <v>0</v>
      </c>
      <c r="AE85" s="9">
        <f ca="1">IF(Stock!Z85="",0,IF(ISNUMBER($E85),($E85+$F85)*Stock!Z85/100,Stock!Z85))</f>
        <v>0</v>
      </c>
      <c r="AF85" s="9">
        <f ca="1">IF(Stock!AA85="",0,IF(ISNUMBER($E85),($E85+$F85)*Stock!AA85/100,Stock!AA85))</f>
        <v>0</v>
      </c>
      <c r="AG85" s="9">
        <f ca="1">IF(Stock!AB85="",0,IF(ISNUMBER($E85),($E85+$F85)*Stock!AB85/100,Stock!AB85))</f>
        <v>0</v>
      </c>
      <c r="AH85" s="9">
        <f ca="1">IF(Stock!AC85="",0,IF(ISNUMBER($E85),($E85+$F85)*Stock!AC85/100,Stock!AC85))</f>
        <v>0</v>
      </c>
      <c r="AI85" s="9">
        <f ca="1">IF(Stock!AD85="",0,IF(ISNUMBER($E85),($E85+$F85)*Stock!AD85/100,Stock!AD85))</f>
        <v>0</v>
      </c>
      <c r="AJ85" s="9">
        <f ca="1">IF(Stock!AE85="",0,IF(ISNUMBER($E85),($E85+$F85)*Stock!AE85/100,Stock!AE85))</f>
        <v>0</v>
      </c>
      <c r="AK85" s="9">
        <f ca="1">IF(Stock!AF85="",0,IF(ISNUMBER($E85),($E85+$F85)*Stock!AF85/100,Stock!AF85))</f>
        <v>0</v>
      </c>
      <c r="AL85" s="9">
        <f ca="1">IF(Stock!AG85="",0,IF(ISNUMBER($E85),($E85+$F85)*Stock!AG85/100,Stock!AG85))</f>
        <v>0</v>
      </c>
      <c r="AM85" s="9">
        <f ca="1">IF(Stock!AH85="",0,IF(ISNUMBER($E85),($E85+$F85)*Stock!AH85/100,Stock!AH85))</f>
        <v>0</v>
      </c>
      <c r="AN85" s="9">
        <f ca="1">IF(Stock!AI85="",0,IF(ISNUMBER($E85),($E85+$F85)*Stock!AI85/100,Stock!AI85))</f>
        <v>0</v>
      </c>
      <c r="AO85" s="9">
        <f ca="1">IF(Stock!AJ85="",0,IF(ISNUMBER($E85),($E85+$F85)*Stock!AJ85/100,Stock!AJ85))</f>
        <v>0</v>
      </c>
      <c r="AP85" s="9">
        <f ca="1">IF(Stock!AK85="",0,IF(ISNUMBER($E85),($E85+$F85)*Stock!AK85/100,Stock!AK85))</f>
        <v>0</v>
      </c>
      <c r="AQ85" s="9">
        <f ca="1">IF(Stock!AL85="",0,IF(ISNUMBER($E85),($E85+$F85)*Stock!AL85/100,Stock!AL85))</f>
        <v>0</v>
      </c>
      <c r="AR85" s="9">
        <f ca="1">IF(Stock!AM85="",0,IF(ISNUMBER($E85),($E85+$F85)*Stock!AM85/100,Stock!AM85))</f>
        <v>0</v>
      </c>
      <c r="AS85" s="9">
        <f ca="1">IF(Stock!AN85="",0,IF(ISNUMBER($E85),($E85+$F85)*Stock!AN85/100,Stock!AN85))</f>
        <v>0</v>
      </c>
      <c r="AT85" s="9">
        <f ca="1">IF(Stock!AO85="",0,IF(ISNUMBER($E85),($E85+$F85)*Stock!AO85/100,Stock!AO85))</f>
        <v>0</v>
      </c>
      <c r="AU85" s="9">
        <f ca="1">IF(Stock!AP85="",0,IF(ISNUMBER($E85),($E85+$F85)*Stock!AP85/100,Stock!AP85))</f>
        <v>0</v>
      </c>
      <c r="AV85" s="9">
        <f ca="1">IF(Stock!AQ85="",0,IF(ISNUMBER($E85),($E85+$F85)*Stock!AQ85/100,Stock!AQ85))</f>
        <v>0</v>
      </c>
      <c r="AW85" s="9">
        <f ca="1">IF(Stock!AR85="",0,IF(ISNUMBER($E85),($E85+$F85)*Stock!AR85/100,Stock!AR85))</f>
        <v>0</v>
      </c>
      <c r="AX85" s="9">
        <f ca="1">IF(Stock!AS85="",0,IF(ISNUMBER($E85),($E85+$F85)*Stock!AS85/100,Stock!AS85))</f>
        <v>0</v>
      </c>
      <c r="AY85" s="9">
        <f ca="1">IF(Stock!AT85="",0,IF(ISNUMBER($E85),($E85+$F85)*Stock!AT85/100,Stock!AT85))</f>
        <v>0</v>
      </c>
      <c r="AZ85" s="9">
        <f ca="1">IF(Stock!AU85="",0,IF(ISNUMBER($E85),($E85+$F85)*Stock!AU85/100,Stock!AU85))</f>
        <v>0</v>
      </c>
      <c r="BA85" s="9">
        <f ca="1">IF(Stock!AV85="",0,IF(ISNUMBER($E85),($E85+$F85)*Stock!AV85/100,Stock!AV85))</f>
        <v>0</v>
      </c>
      <c r="BB85" s="9">
        <f ca="1">IF(Stock!AW85="",0,IF(ISNUMBER($E85),($E85+$F85)*Stock!AW85/100,Stock!AW85))</f>
        <v>0</v>
      </c>
      <c r="BC85" s="9">
        <f ca="1">IF(Stock!AX85="",0,IF(ISNUMBER($E85),($E85+$F85)*Stock!AX85/100,Stock!AX85))</f>
        <v>0</v>
      </c>
    </row>
    <row r="86" spans="5:55" x14ac:dyDescent="0.3">
      <c r="E86" s="62">
        <f ca="1">IF(A86="",0,IF(LEFT(C86,3) = "USB",100*(1-_xll.BDP(D86 &amp; " Govt",E$1)*(B86-TODAY()+1)/36000),_xll.BDP(D86 &amp; " Govt",E$1)))</f>
        <v>0</v>
      </c>
      <c r="F86" s="62">
        <f>IF(A86="",0,IF(LEFT(D86,1) = "B",0,_xll.BDP(D86 &amp; " Govt",F$1)))</f>
        <v>0</v>
      </c>
      <c r="G86" s="9">
        <f>IF(Stock!B86="",0,IF(ISNUMBER($E86),($E86+$F86)*Stock!B86/100,Stock!B86))</f>
        <v>0</v>
      </c>
      <c r="H86" s="9">
        <f ca="1">IF(Stock!C86="",0,IF(ISNUMBER($E86),($E86+$F86)*Stock!C86/100,Stock!C86))</f>
        <v>0</v>
      </c>
      <c r="I86" s="9">
        <f ca="1">IF(Stock!D86="",0,IF(ISNUMBER($E86),($E86+$F86)*Stock!D86/100,Stock!D86))</f>
        <v>0</v>
      </c>
      <c r="J86" s="9">
        <f ca="1">IF(Stock!E86="",0,IF(ISNUMBER($E86),($E86+$F86)*Stock!E86/100,Stock!E86))</f>
        <v>0</v>
      </c>
      <c r="K86" s="9">
        <f ca="1">IF(Stock!F86="",0,IF(ISNUMBER($E86),($E86+$F86)*Stock!F86/100,Stock!F86))</f>
        <v>0</v>
      </c>
      <c r="L86" s="9">
        <f ca="1">IF(Stock!G86="",0,IF(ISNUMBER($E86),($E86+$F86)*Stock!G86/100,Stock!G86))</f>
        <v>0</v>
      </c>
      <c r="M86" s="9">
        <f ca="1">IF(Stock!H86="",0,IF(ISNUMBER($E86),($E86+$F86)*Stock!H86/100,Stock!H86))</f>
        <v>0</v>
      </c>
      <c r="N86" s="9">
        <f ca="1">IF(Stock!I86="",0,IF(ISNUMBER($E86),($E86+$F86)*Stock!I86/100,Stock!I86))</f>
        <v>0</v>
      </c>
      <c r="O86" s="9">
        <f ca="1">IF(Stock!J86="",0,IF(ISNUMBER($E86),($E86+$F86)*Stock!J86/100,Stock!J86))</f>
        <v>0</v>
      </c>
      <c r="P86" s="9">
        <f ca="1">IF(Stock!K86="",0,IF(ISNUMBER($E86),($E86+$F86)*Stock!K86/100,Stock!K86))</f>
        <v>0</v>
      </c>
      <c r="Q86" s="9">
        <f ca="1">IF(Stock!L86="",0,IF(ISNUMBER($E86),($E86+$F86)*Stock!L86/100,Stock!L86))</f>
        <v>0</v>
      </c>
      <c r="R86" s="9">
        <f ca="1">IF(Stock!M86="",0,IF(ISNUMBER($E86),($E86+$F86)*Stock!M86/100,Stock!M86))</f>
        <v>0</v>
      </c>
      <c r="S86" s="9">
        <f ca="1">IF(Stock!N86="",0,IF(ISNUMBER($E86),($E86+$F86)*Stock!N86/100,Stock!N86))</f>
        <v>0</v>
      </c>
      <c r="T86" s="9">
        <f ca="1">IF(Stock!O86="",0,IF(ISNUMBER($E86),($E86+$F86)*Stock!O86/100,Stock!O86))</f>
        <v>0</v>
      </c>
      <c r="U86" s="9">
        <f ca="1">IF(Stock!P86="",0,IF(ISNUMBER($E86),($E86+$F86)*Stock!P86/100,Stock!P86))</f>
        <v>0</v>
      </c>
      <c r="V86" s="9">
        <f ca="1">IF(Stock!Q86="",0,IF(ISNUMBER($E86),($E86+$F86)*Stock!Q86/100,Stock!Q86))</f>
        <v>0</v>
      </c>
      <c r="W86" s="9">
        <f ca="1">IF(Stock!R86="",0,IF(ISNUMBER($E86),($E86+$F86)*Stock!R86/100,Stock!R86))</f>
        <v>0</v>
      </c>
      <c r="X86" s="9">
        <f ca="1">IF(Stock!S86="",0,IF(ISNUMBER($E86),($E86+$F86)*Stock!S86/100,Stock!S86))</f>
        <v>0</v>
      </c>
      <c r="Y86" s="9">
        <f ca="1">IF(Stock!T86="",0,IF(ISNUMBER($E86),($E86+$F86)*Stock!T86/100,Stock!T86))</f>
        <v>0</v>
      </c>
      <c r="Z86" s="9">
        <f ca="1">IF(Stock!U86="",0,IF(ISNUMBER($E86),($E86+$F86)*Stock!U86/100,Stock!U86))</f>
        <v>0</v>
      </c>
      <c r="AA86" s="9">
        <f ca="1">IF(Stock!V86="",0,IF(ISNUMBER($E86),($E86+$F86)*Stock!V86/100,Stock!V86))</f>
        <v>0</v>
      </c>
      <c r="AB86" s="9">
        <f ca="1">IF(Stock!W86="",0,IF(ISNUMBER($E86),($E86+$F86)*Stock!W86/100,Stock!W86))</f>
        <v>0</v>
      </c>
      <c r="AC86" s="9">
        <f ca="1">IF(Stock!X86="",0,IF(ISNUMBER($E86),($E86+$F86)*Stock!X86/100,Stock!X86))</f>
        <v>0</v>
      </c>
      <c r="AD86" s="9">
        <f ca="1">IF(Stock!Y86="",0,IF(ISNUMBER($E86),($E86+$F86)*Stock!Y86/100,Stock!Y86))</f>
        <v>0</v>
      </c>
      <c r="AE86" s="9">
        <f ca="1">IF(Stock!Z86="",0,IF(ISNUMBER($E86),($E86+$F86)*Stock!Z86/100,Stock!Z86))</f>
        <v>0</v>
      </c>
      <c r="AF86" s="9">
        <f ca="1">IF(Stock!AA86="",0,IF(ISNUMBER($E86),($E86+$F86)*Stock!AA86/100,Stock!AA86))</f>
        <v>0</v>
      </c>
      <c r="AG86" s="9">
        <f ca="1">IF(Stock!AB86="",0,IF(ISNUMBER($E86),($E86+$F86)*Stock!AB86/100,Stock!AB86))</f>
        <v>0</v>
      </c>
      <c r="AH86" s="9">
        <f ca="1">IF(Stock!AC86="",0,IF(ISNUMBER($E86),($E86+$F86)*Stock!AC86/100,Stock!AC86))</f>
        <v>0</v>
      </c>
      <c r="AI86" s="9">
        <f ca="1">IF(Stock!AD86="",0,IF(ISNUMBER($E86),($E86+$F86)*Stock!AD86/100,Stock!AD86))</f>
        <v>0</v>
      </c>
      <c r="AJ86" s="9">
        <f ca="1">IF(Stock!AE86="",0,IF(ISNUMBER($E86),($E86+$F86)*Stock!AE86/100,Stock!AE86))</f>
        <v>0</v>
      </c>
      <c r="AK86" s="9">
        <f ca="1">IF(Stock!AF86="",0,IF(ISNUMBER($E86),($E86+$F86)*Stock!AF86/100,Stock!AF86))</f>
        <v>0</v>
      </c>
      <c r="AL86" s="9">
        <f ca="1">IF(Stock!AG86="",0,IF(ISNUMBER($E86),($E86+$F86)*Stock!AG86/100,Stock!AG86))</f>
        <v>0</v>
      </c>
      <c r="AM86" s="9">
        <f ca="1">IF(Stock!AH86="",0,IF(ISNUMBER($E86),($E86+$F86)*Stock!AH86/100,Stock!AH86))</f>
        <v>0</v>
      </c>
      <c r="AN86" s="9">
        <f ca="1">IF(Stock!AI86="",0,IF(ISNUMBER($E86),($E86+$F86)*Stock!AI86/100,Stock!AI86))</f>
        <v>0</v>
      </c>
      <c r="AO86" s="9">
        <f ca="1">IF(Stock!AJ86="",0,IF(ISNUMBER($E86),($E86+$F86)*Stock!AJ86/100,Stock!AJ86))</f>
        <v>0</v>
      </c>
      <c r="AP86" s="9">
        <f ca="1">IF(Stock!AK86="",0,IF(ISNUMBER($E86),($E86+$F86)*Stock!AK86/100,Stock!AK86))</f>
        <v>0</v>
      </c>
      <c r="AQ86" s="9">
        <f ca="1">IF(Stock!AL86="",0,IF(ISNUMBER($E86),($E86+$F86)*Stock!AL86/100,Stock!AL86))</f>
        <v>0</v>
      </c>
      <c r="AR86" s="9">
        <f ca="1">IF(Stock!AM86="",0,IF(ISNUMBER($E86),($E86+$F86)*Stock!AM86/100,Stock!AM86))</f>
        <v>0</v>
      </c>
      <c r="AS86" s="9">
        <f ca="1">IF(Stock!AN86="",0,IF(ISNUMBER($E86),($E86+$F86)*Stock!AN86/100,Stock!AN86))</f>
        <v>0</v>
      </c>
      <c r="AT86" s="9">
        <f ca="1">IF(Stock!AO86="",0,IF(ISNUMBER($E86),($E86+$F86)*Stock!AO86/100,Stock!AO86))</f>
        <v>0</v>
      </c>
      <c r="AU86" s="9">
        <f ca="1">IF(Stock!AP86="",0,IF(ISNUMBER($E86),($E86+$F86)*Stock!AP86/100,Stock!AP86))</f>
        <v>0</v>
      </c>
      <c r="AV86" s="9">
        <f ca="1">IF(Stock!AQ86="",0,IF(ISNUMBER($E86),($E86+$F86)*Stock!AQ86/100,Stock!AQ86))</f>
        <v>0</v>
      </c>
      <c r="AW86" s="9">
        <f ca="1">IF(Stock!AR86="",0,IF(ISNUMBER($E86),($E86+$F86)*Stock!AR86/100,Stock!AR86))</f>
        <v>0</v>
      </c>
      <c r="AX86" s="9">
        <f ca="1">IF(Stock!AS86="",0,IF(ISNUMBER($E86),($E86+$F86)*Stock!AS86/100,Stock!AS86))</f>
        <v>0</v>
      </c>
      <c r="AY86" s="9">
        <f ca="1">IF(Stock!AT86="",0,IF(ISNUMBER($E86),($E86+$F86)*Stock!AT86/100,Stock!AT86))</f>
        <v>0</v>
      </c>
      <c r="AZ86" s="9">
        <f ca="1">IF(Stock!AU86="",0,IF(ISNUMBER($E86),($E86+$F86)*Stock!AU86/100,Stock!AU86))</f>
        <v>0</v>
      </c>
      <c r="BA86" s="9">
        <f ca="1">IF(Stock!AV86="",0,IF(ISNUMBER($E86),($E86+$F86)*Stock!AV86/100,Stock!AV86))</f>
        <v>0</v>
      </c>
      <c r="BB86" s="9">
        <f ca="1">IF(Stock!AW86="",0,IF(ISNUMBER($E86),($E86+$F86)*Stock!AW86/100,Stock!AW86))</f>
        <v>0</v>
      </c>
      <c r="BC86" s="9">
        <f ca="1">IF(Stock!AX86="",0,IF(ISNUMBER($E86),($E86+$F86)*Stock!AX86/100,Stock!AX86))</f>
        <v>0</v>
      </c>
    </row>
    <row r="87" spans="5:55" x14ac:dyDescent="0.3">
      <c r="E87" s="62">
        <f ca="1">IF(A87="",0,IF(LEFT(C87,3) = "USB",100*(1-_xll.BDP(D87 &amp; " Govt",E$1)*(B87-TODAY()+1)/36000),_xll.BDP(D87 &amp; " Govt",E$1)))</f>
        <v>0</v>
      </c>
      <c r="F87" s="62">
        <f>IF(A87="",0,IF(LEFT(D87,1) = "B",0,_xll.BDP(D87 &amp; " Govt",F$1)))</f>
        <v>0</v>
      </c>
      <c r="G87" s="9">
        <f>IF(Stock!B87="",0,IF(ISNUMBER($E87),($E87+$F87)*Stock!B87/100,Stock!B87))</f>
        <v>0</v>
      </c>
      <c r="H87" s="9">
        <f ca="1">IF(Stock!C87="",0,IF(ISNUMBER($E87),($E87+$F87)*Stock!C87/100,Stock!C87))</f>
        <v>0</v>
      </c>
      <c r="I87" s="9">
        <f ca="1">IF(Stock!D87="",0,IF(ISNUMBER($E87),($E87+$F87)*Stock!D87/100,Stock!D87))</f>
        <v>0</v>
      </c>
      <c r="J87" s="9">
        <f ca="1">IF(Stock!E87="",0,IF(ISNUMBER($E87),($E87+$F87)*Stock!E87/100,Stock!E87))</f>
        <v>0</v>
      </c>
      <c r="K87" s="9">
        <f ca="1">IF(Stock!F87="",0,IF(ISNUMBER($E87),($E87+$F87)*Stock!F87/100,Stock!F87))</f>
        <v>0</v>
      </c>
      <c r="L87" s="9">
        <f ca="1">IF(Stock!G87="",0,IF(ISNUMBER($E87),($E87+$F87)*Stock!G87/100,Stock!G87))</f>
        <v>0</v>
      </c>
      <c r="M87" s="9">
        <f ca="1">IF(Stock!H87="",0,IF(ISNUMBER($E87),($E87+$F87)*Stock!H87/100,Stock!H87))</f>
        <v>0</v>
      </c>
      <c r="N87" s="9">
        <f ca="1">IF(Stock!I87="",0,IF(ISNUMBER($E87),($E87+$F87)*Stock!I87/100,Stock!I87))</f>
        <v>0</v>
      </c>
      <c r="O87" s="9">
        <f ca="1">IF(Stock!J87="",0,IF(ISNUMBER($E87),($E87+$F87)*Stock!J87/100,Stock!J87))</f>
        <v>0</v>
      </c>
      <c r="P87" s="9">
        <f ca="1">IF(Stock!K87="",0,IF(ISNUMBER($E87),($E87+$F87)*Stock!K87/100,Stock!K87))</f>
        <v>0</v>
      </c>
      <c r="Q87" s="9">
        <f ca="1">IF(Stock!L87="",0,IF(ISNUMBER($E87),($E87+$F87)*Stock!L87/100,Stock!L87))</f>
        <v>0</v>
      </c>
      <c r="R87" s="9">
        <f ca="1">IF(Stock!M87="",0,IF(ISNUMBER($E87),($E87+$F87)*Stock!M87/100,Stock!M87))</f>
        <v>0</v>
      </c>
      <c r="S87" s="9">
        <f ca="1">IF(Stock!N87="",0,IF(ISNUMBER($E87),($E87+$F87)*Stock!N87/100,Stock!N87))</f>
        <v>0</v>
      </c>
      <c r="T87" s="9">
        <f ca="1">IF(Stock!O87="",0,IF(ISNUMBER($E87),($E87+$F87)*Stock!O87/100,Stock!O87))</f>
        <v>0</v>
      </c>
      <c r="U87" s="9">
        <f ca="1">IF(Stock!P87="",0,IF(ISNUMBER($E87),($E87+$F87)*Stock!P87/100,Stock!P87))</f>
        <v>0</v>
      </c>
      <c r="V87" s="9">
        <f ca="1">IF(Stock!Q87="",0,IF(ISNUMBER($E87),($E87+$F87)*Stock!Q87/100,Stock!Q87))</f>
        <v>0</v>
      </c>
      <c r="W87" s="9">
        <f ca="1">IF(Stock!R87="",0,IF(ISNUMBER($E87),($E87+$F87)*Stock!R87/100,Stock!R87))</f>
        <v>0</v>
      </c>
      <c r="X87" s="9">
        <f ca="1">IF(Stock!S87="",0,IF(ISNUMBER($E87),($E87+$F87)*Stock!S87/100,Stock!S87))</f>
        <v>0</v>
      </c>
      <c r="Y87" s="9">
        <f ca="1">IF(Stock!T87="",0,IF(ISNUMBER($E87),($E87+$F87)*Stock!T87/100,Stock!T87))</f>
        <v>0</v>
      </c>
      <c r="Z87" s="9">
        <f ca="1">IF(Stock!U87="",0,IF(ISNUMBER($E87),($E87+$F87)*Stock!U87/100,Stock!U87))</f>
        <v>0</v>
      </c>
      <c r="AA87" s="9">
        <f ca="1">IF(Stock!V87="",0,IF(ISNUMBER($E87),($E87+$F87)*Stock!V87/100,Stock!V87))</f>
        <v>0</v>
      </c>
      <c r="AB87" s="9">
        <f ca="1">IF(Stock!W87="",0,IF(ISNUMBER($E87),($E87+$F87)*Stock!W87/100,Stock!W87))</f>
        <v>0</v>
      </c>
      <c r="AC87" s="9">
        <f ca="1">IF(Stock!X87="",0,IF(ISNUMBER($E87),($E87+$F87)*Stock!X87/100,Stock!X87))</f>
        <v>0</v>
      </c>
      <c r="AD87" s="9">
        <f ca="1">IF(Stock!Y87="",0,IF(ISNUMBER($E87),($E87+$F87)*Stock!Y87/100,Stock!Y87))</f>
        <v>0</v>
      </c>
      <c r="AE87" s="9">
        <f ca="1">IF(Stock!Z87="",0,IF(ISNUMBER($E87),($E87+$F87)*Stock!Z87/100,Stock!Z87))</f>
        <v>0</v>
      </c>
      <c r="AF87" s="9">
        <f ca="1">IF(Stock!AA87="",0,IF(ISNUMBER($E87),($E87+$F87)*Stock!AA87/100,Stock!AA87))</f>
        <v>0</v>
      </c>
      <c r="AG87" s="9">
        <f ca="1">IF(Stock!AB87="",0,IF(ISNUMBER($E87),($E87+$F87)*Stock!AB87/100,Stock!AB87))</f>
        <v>0</v>
      </c>
      <c r="AH87" s="9">
        <f ca="1">IF(Stock!AC87="",0,IF(ISNUMBER($E87),($E87+$F87)*Stock!AC87/100,Stock!AC87))</f>
        <v>0</v>
      </c>
      <c r="AI87" s="9">
        <f ca="1">IF(Stock!AD87="",0,IF(ISNUMBER($E87),($E87+$F87)*Stock!AD87/100,Stock!AD87))</f>
        <v>0</v>
      </c>
      <c r="AJ87" s="9">
        <f ca="1">IF(Stock!AE87="",0,IF(ISNUMBER($E87),($E87+$F87)*Stock!AE87/100,Stock!AE87))</f>
        <v>0</v>
      </c>
      <c r="AK87" s="9">
        <f ca="1">IF(Stock!AF87="",0,IF(ISNUMBER($E87),($E87+$F87)*Stock!AF87/100,Stock!AF87))</f>
        <v>0</v>
      </c>
      <c r="AL87" s="9">
        <f ca="1">IF(Stock!AG87="",0,IF(ISNUMBER($E87),($E87+$F87)*Stock!AG87/100,Stock!AG87))</f>
        <v>0</v>
      </c>
      <c r="AM87" s="9">
        <f ca="1">IF(Stock!AH87="",0,IF(ISNUMBER($E87),($E87+$F87)*Stock!AH87/100,Stock!AH87))</f>
        <v>0</v>
      </c>
      <c r="AN87" s="9">
        <f ca="1">IF(Stock!AI87="",0,IF(ISNUMBER($E87),($E87+$F87)*Stock!AI87/100,Stock!AI87))</f>
        <v>0</v>
      </c>
      <c r="AO87" s="9">
        <f ca="1">IF(Stock!AJ87="",0,IF(ISNUMBER($E87),($E87+$F87)*Stock!AJ87/100,Stock!AJ87))</f>
        <v>0</v>
      </c>
      <c r="AP87" s="9">
        <f ca="1">IF(Stock!AK87="",0,IF(ISNUMBER($E87),($E87+$F87)*Stock!AK87/100,Stock!AK87))</f>
        <v>0</v>
      </c>
      <c r="AQ87" s="9">
        <f ca="1">IF(Stock!AL87="",0,IF(ISNUMBER($E87),($E87+$F87)*Stock!AL87/100,Stock!AL87))</f>
        <v>0</v>
      </c>
      <c r="AR87" s="9">
        <f ca="1">IF(Stock!AM87="",0,IF(ISNUMBER($E87),($E87+$F87)*Stock!AM87/100,Stock!AM87))</f>
        <v>0</v>
      </c>
      <c r="AS87" s="9">
        <f ca="1">IF(Stock!AN87="",0,IF(ISNUMBER($E87),($E87+$F87)*Stock!AN87/100,Stock!AN87))</f>
        <v>0</v>
      </c>
      <c r="AT87" s="9">
        <f ca="1">IF(Stock!AO87="",0,IF(ISNUMBER($E87),($E87+$F87)*Stock!AO87/100,Stock!AO87))</f>
        <v>0</v>
      </c>
      <c r="AU87" s="9">
        <f ca="1">IF(Stock!AP87="",0,IF(ISNUMBER($E87),($E87+$F87)*Stock!AP87/100,Stock!AP87))</f>
        <v>0</v>
      </c>
      <c r="AV87" s="9">
        <f ca="1">IF(Stock!AQ87="",0,IF(ISNUMBER($E87),($E87+$F87)*Stock!AQ87/100,Stock!AQ87))</f>
        <v>0</v>
      </c>
      <c r="AW87" s="9">
        <f ca="1">IF(Stock!AR87="",0,IF(ISNUMBER($E87),($E87+$F87)*Stock!AR87/100,Stock!AR87))</f>
        <v>0</v>
      </c>
      <c r="AX87" s="9">
        <f ca="1">IF(Stock!AS87="",0,IF(ISNUMBER($E87),($E87+$F87)*Stock!AS87/100,Stock!AS87))</f>
        <v>0</v>
      </c>
      <c r="AY87" s="9">
        <f ca="1">IF(Stock!AT87="",0,IF(ISNUMBER($E87),($E87+$F87)*Stock!AT87/100,Stock!AT87))</f>
        <v>0</v>
      </c>
      <c r="AZ87" s="9">
        <f ca="1">IF(Stock!AU87="",0,IF(ISNUMBER($E87),($E87+$F87)*Stock!AU87/100,Stock!AU87))</f>
        <v>0</v>
      </c>
      <c r="BA87" s="9">
        <f ca="1">IF(Stock!AV87="",0,IF(ISNUMBER($E87),($E87+$F87)*Stock!AV87/100,Stock!AV87))</f>
        <v>0</v>
      </c>
      <c r="BB87" s="9">
        <f ca="1">IF(Stock!AW87="",0,IF(ISNUMBER($E87),($E87+$F87)*Stock!AW87/100,Stock!AW87))</f>
        <v>0</v>
      </c>
      <c r="BC87" s="9">
        <f ca="1">IF(Stock!AX87="",0,IF(ISNUMBER($E87),($E87+$F87)*Stock!AX87/100,Stock!AX87))</f>
        <v>0</v>
      </c>
    </row>
    <row r="88" spans="5:55" x14ac:dyDescent="0.3">
      <c r="E88" s="62">
        <f ca="1">IF(A88="",0,IF(LEFT(C88,3) = "USB",100*(1-_xll.BDP(D88 &amp; " Govt",E$1)*(B88-TODAY()+1)/36000),_xll.BDP(D88 &amp; " Govt",E$1)))</f>
        <v>0</v>
      </c>
      <c r="F88" s="62">
        <f>IF(A88="",0,IF(LEFT(D88,1) = "B",0,_xll.BDP(D88 &amp; " Govt",F$1)))</f>
        <v>0</v>
      </c>
      <c r="G88" s="9">
        <f>IF(Stock!B88="",0,IF(ISNUMBER($E88),($E88+$F88)*Stock!B88/100,Stock!B88))</f>
        <v>0</v>
      </c>
      <c r="H88" s="9">
        <f ca="1">IF(Stock!C88="",0,IF(ISNUMBER($E88),($E88+$F88)*Stock!C88/100,Stock!C88))</f>
        <v>0</v>
      </c>
      <c r="I88" s="9">
        <f ca="1">IF(Stock!D88="",0,IF(ISNUMBER($E88),($E88+$F88)*Stock!D88/100,Stock!D88))</f>
        <v>0</v>
      </c>
      <c r="J88" s="9">
        <f ca="1">IF(Stock!E88="",0,IF(ISNUMBER($E88),($E88+$F88)*Stock!E88/100,Stock!E88))</f>
        <v>0</v>
      </c>
      <c r="K88" s="9">
        <f ca="1">IF(Stock!F88="",0,IF(ISNUMBER($E88),($E88+$F88)*Stock!F88/100,Stock!F88))</f>
        <v>0</v>
      </c>
      <c r="L88" s="9">
        <f ca="1">IF(Stock!G88="",0,IF(ISNUMBER($E88),($E88+$F88)*Stock!G88/100,Stock!G88))</f>
        <v>0</v>
      </c>
      <c r="M88" s="9">
        <f ca="1">IF(Stock!H88="",0,IF(ISNUMBER($E88),($E88+$F88)*Stock!H88/100,Stock!H88))</f>
        <v>0</v>
      </c>
      <c r="N88" s="9">
        <f ca="1">IF(Stock!I88="",0,IF(ISNUMBER($E88),($E88+$F88)*Stock!I88/100,Stock!I88))</f>
        <v>0</v>
      </c>
      <c r="O88" s="9">
        <f ca="1">IF(Stock!J88="",0,IF(ISNUMBER($E88),($E88+$F88)*Stock!J88/100,Stock!J88))</f>
        <v>0</v>
      </c>
      <c r="P88" s="9">
        <f ca="1">IF(Stock!K88="",0,IF(ISNUMBER($E88),($E88+$F88)*Stock!K88/100,Stock!K88))</f>
        <v>0</v>
      </c>
      <c r="Q88" s="9">
        <f ca="1">IF(Stock!L88="",0,IF(ISNUMBER($E88),($E88+$F88)*Stock!L88/100,Stock!L88))</f>
        <v>0</v>
      </c>
      <c r="R88" s="9">
        <f ca="1">IF(Stock!M88="",0,IF(ISNUMBER($E88),($E88+$F88)*Stock!M88/100,Stock!M88))</f>
        <v>0</v>
      </c>
      <c r="S88" s="9">
        <f ca="1">IF(Stock!N88="",0,IF(ISNUMBER($E88),($E88+$F88)*Stock!N88/100,Stock!N88))</f>
        <v>0</v>
      </c>
      <c r="T88" s="9">
        <f ca="1">IF(Stock!O88="",0,IF(ISNUMBER($E88),($E88+$F88)*Stock!O88/100,Stock!O88))</f>
        <v>0</v>
      </c>
      <c r="U88" s="9">
        <f ca="1">IF(Stock!P88="",0,IF(ISNUMBER($E88),($E88+$F88)*Stock!P88/100,Stock!P88))</f>
        <v>0</v>
      </c>
      <c r="V88" s="9">
        <f ca="1">IF(Stock!Q88="",0,IF(ISNUMBER($E88),($E88+$F88)*Stock!Q88/100,Stock!Q88))</f>
        <v>0</v>
      </c>
      <c r="W88" s="9">
        <f ca="1">IF(Stock!R88="",0,IF(ISNUMBER($E88),($E88+$F88)*Stock!R88/100,Stock!R88))</f>
        <v>0</v>
      </c>
      <c r="X88" s="9">
        <f ca="1">IF(Stock!S88="",0,IF(ISNUMBER($E88),($E88+$F88)*Stock!S88/100,Stock!S88))</f>
        <v>0</v>
      </c>
      <c r="Y88" s="9">
        <f ca="1">IF(Stock!T88="",0,IF(ISNUMBER($E88),($E88+$F88)*Stock!T88/100,Stock!T88))</f>
        <v>0</v>
      </c>
      <c r="Z88" s="9">
        <f ca="1">IF(Stock!U88="",0,IF(ISNUMBER($E88),($E88+$F88)*Stock!U88/100,Stock!U88))</f>
        <v>0</v>
      </c>
      <c r="AA88" s="9">
        <f ca="1">IF(Stock!V88="",0,IF(ISNUMBER($E88),($E88+$F88)*Stock!V88/100,Stock!V88))</f>
        <v>0</v>
      </c>
      <c r="AB88" s="9">
        <f ca="1">IF(Stock!W88="",0,IF(ISNUMBER($E88),($E88+$F88)*Stock!W88/100,Stock!W88))</f>
        <v>0</v>
      </c>
      <c r="AC88" s="9">
        <f ca="1">IF(Stock!X88="",0,IF(ISNUMBER($E88),($E88+$F88)*Stock!X88/100,Stock!X88))</f>
        <v>0</v>
      </c>
      <c r="AD88" s="9">
        <f ca="1">IF(Stock!Y88="",0,IF(ISNUMBER($E88),($E88+$F88)*Stock!Y88/100,Stock!Y88))</f>
        <v>0</v>
      </c>
      <c r="AE88" s="9">
        <f ca="1">IF(Stock!Z88="",0,IF(ISNUMBER($E88),($E88+$F88)*Stock!Z88/100,Stock!Z88))</f>
        <v>0</v>
      </c>
      <c r="AF88" s="9">
        <f ca="1">IF(Stock!AA88="",0,IF(ISNUMBER($E88),($E88+$F88)*Stock!AA88/100,Stock!AA88))</f>
        <v>0</v>
      </c>
      <c r="AG88" s="9">
        <f ca="1">IF(Stock!AB88="",0,IF(ISNUMBER($E88),($E88+$F88)*Stock!AB88/100,Stock!AB88))</f>
        <v>0</v>
      </c>
      <c r="AH88" s="9">
        <f ca="1">IF(Stock!AC88="",0,IF(ISNUMBER($E88),($E88+$F88)*Stock!AC88/100,Stock!AC88))</f>
        <v>0</v>
      </c>
      <c r="AI88" s="9">
        <f ca="1">IF(Stock!AD88="",0,IF(ISNUMBER($E88),($E88+$F88)*Stock!AD88/100,Stock!AD88))</f>
        <v>0</v>
      </c>
      <c r="AJ88" s="9">
        <f ca="1">IF(Stock!AE88="",0,IF(ISNUMBER($E88),($E88+$F88)*Stock!AE88/100,Stock!AE88))</f>
        <v>0</v>
      </c>
      <c r="AK88" s="9">
        <f ca="1">IF(Stock!AF88="",0,IF(ISNUMBER($E88),($E88+$F88)*Stock!AF88/100,Stock!AF88))</f>
        <v>0</v>
      </c>
      <c r="AL88" s="9">
        <f ca="1">IF(Stock!AG88="",0,IF(ISNUMBER($E88),($E88+$F88)*Stock!AG88/100,Stock!AG88))</f>
        <v>0</v>
      </c>
      <c r="AM88" s="9">
        <f ca="1">IF(Stock!AH88="",0,IF(ISNUMBER($E88),($E88+$F88)*Stock!AH88/100,Stock!AH88))</f>
        <v>0</v>
      </c>
      <c r="AN88" s="9">
        <f ca="1">IF(Stock!AI88="",0,IF(ISNUMBER($E88),($E88+$F88)*Stock!AI88/100,Stock!AI88))</f>
        <v>0</v>
      </c>
      <c r="AO88" s="9">
        <f ca="1">IF(Stock!AJ88="",0,IF(ISNUMBER($E88),($E88+$F88)*Stock!AJ88/100,Stock!AJ88))</f>
        <v>0</v>
      </c>
      <c r="AP88" s="9">
        <f ca="1">IF(Stock!AK88="",0,IF(ISNUMBER($E88),($E88+$F88)*Stock!AK88/100,Stock!AK88))</f>
        <v>0</v>
      </c>
      <c r="AQ88" s="9">
        <f ca="1">IF(Stock!AL88="",0,IF(ISNUMBER($E88),($E88+$F88)*Stock!AL88/100,Stock!AL88))</f>
        <v>0</v>
      </c>
      <c r="AR88" s="9">
        <f ca="1">IF(Stock!AM88="",0,IF(ISNUMBER($E88),($E88+$F88)*Stock!AM88/100,Stock!AM88))</f>
        <v>0</v>
      </c>
      <c r="AS88" s="9">
        <f ca="1">IF(Stock!AN88="",0,IF(ISNUMBER($E88),($E88+$F88)*Stock!AN88/100,Stock!AN88))</f>
        <v>0</v>
      </c>
      <c r="AT88" s="9">
        <f ca="1">IF(Stock!AO88="",0,IF(ISNUMBER($E88),($E88+$F88)*Stock!AO88/100,Stock!AO88))</f>
        <v>0</v>
      </c>
      <c r="AU88" s="9">
        <f ca="1">IF(Stock!AP88="",0,IF(ISNUMBER($E88),($E88+$F88)*Stock!AP88/100,Stock!AP88))</f>
        <v>0</v>
      </c>
      <c r="AV88" s="9">
        <f ca="1">IF(Stock!AQ88="",0,IF(ISNUMBER($E88),($E88+$F88)*Stock!AQ88/100,Stock!AQ88))</f>
        <v>0</v>
      </c>
      <c r="AW88" s="9">
        <f ca="1">IF(Stock!AR88="",0,IF(ISNUMBER($E88),($E88+$F88)*Stock!AR88/100,Stock!AR88))</f>
        <v>0</v>
      </c>
      <c r="AX88" s="9">
        <f ca="1">IF(Stock!AS88="",0,IF(ISNUMBER($E88),($E88+$F88)*Stock!AS88/100,Stock!AS88))</f>
        <v>0</v>
      </c>
      <c r="AY88" s="9">
        <f ca="1">IF(Stock!AT88="",0,IF(ISNUMBER($E88),($E88+$F88)*Stock!AT88/100,Stock!AT88))</f>
        <v>0</v>
      </c>
      <c r="AZ88" s="9">
        <f ca="1">IF(Stock!AU88="",0,IF(ISNUMBER($E88),($E88+$F88)*Stock!AU88/100,Stock!AU88))</f>
        <v>0</v>
      </c>
      <c r="BA88" s="9">
        <f ca="1">IF(Stock!AV88="",0,IF(ISNUMBER($E88),($E88+$F88)*Stock!AV88/100,Stock!AV88))</f>
        <v>0</v>
      </c>
      <c r="BB88" s="9">
        <f ca="1">IF(Stock!AW88="",0,IF(ISNUMBER($E88),($E88+$F88)*Stock!AW88/100,Stock!AW88))</f>
        <v>0</v>
      </c>
      <c r="BC88" s="9">
        <f ca="1">IF(Stock!AX88="",0,IF(ISNUMBER($E88),($E88+$F88)*Stock!AX88/100,Stock!AX88))</f>
        <v>0</v>
      </c>
    </row>
    <row r="89" spans="5:55" x14ac:dyDescent="0.3">
      <c r="E89" s="62">
        <f ca="1">IF(A89="",0,IF(LEFT(C89,3) = "USB",100*(1-_xll.BDP(D89 &amp; " Govt",E$1)*(B89-TODAY()+1)/36000),_xll.BDP(D89 &amp; " Govt",E$1)))</f>
        <v>0</v>
      </c>
      <c r="F89" s="62">
        <f>IF(A89="",0,IF(LEFT(D89,1) = "B",0,_xll.BDP(D89 &amp; " Govt",F$1)))</f>
        <v>0</v>
      </c>
      <c r="G89" s="9">
        <f>IF(Stock!B89="",0,IF(ISNUMBER($E89),($E89+$F89)*Stock!B89/100,Stock!B89))</f>
        <v>0</v>
      </c>
      <c r="H89" s="9">
        <f ca="1">IF(Stock!C89="",0,IF(ISNUMBER($E89),($E89+$F89)*Stock!C89/100,Stock!C89))</f>
        <v>0</v>
      </c>
      <c r="I89" s="9">
        <f ca="1">IF(Stock!D89="",0,IF(ISNUMBER($E89),($E89+$F89)*Stock!D89/100,Stock!D89))</f>
        <v>0</v>
      </c>
      <c r="J89" s="9">
        <f ca="1">IF(Stock!E89="",0,IF(ISNUMBER($E89),($E89+$F89)*Stock!E89/100,Stock!E89))</f>
        <v>0</v>
      </c>
      <c r="K89" s="9">
        <f ca="1">IF(Stock!F89="",0,IF(ISNUMBER($E89),($E89+$F89)*Stock!F89/100,Stock!F89))</f>
        <v>0</v>
      </c>
      <c r="L89" s="9">
        <f ca="1">IF(Stock!G89="",0,IF(ISNUMBER($E89),($E89+$F89)*Stock!G89/100,Stock!G89))</f>
        <v>0</v>
      </c>
      <c r="M89" s="9">
        <f ca="1">IF(Stock!H89="",0,IF(ISNUMBER($E89),($E89+$F89)*Stock!H89/100,Stock!H89))</f>
        <v>0</v>
      </c>
      <c r="N89" s="9">
        <f ca="1">IF(Stock!I89="",0,IF(ISNUMBER($E89),($E89+$F89)*Stock!I89/100,Stock!I89))</f>
        <v>0</v>
      </c>
      <c r="O89" s="9">
        <f ca="1">IF(Stock!J89="",0,IF(ISNUMBER($E89),($E89+$F89)*Stock!J89/100,Stock!J89))</f>
        <v>0</v>
      </c>
      <c r="P89" s="9">
        <f ca="1">IF(Stock!K89="",0,IF(ISNUMBER($E89),($E89+$F89)*Stock!K89/100,Stock!K89))</f>
        <v>0</v>
      </c>
      <c r="Q89" s="9">
        <f ca="1">IF(Stock!L89="",0,IF(ISNUMBER($E89),($E89+$F89)*Stock!L89/100,Stock!L89))</f>
        <v>0</v>
      </c>
      <c r="R89" s="9">
        <f ca="1">IF(Stock!M89="",0,IF(ISNUMBER($E89),($E89+$F89)*Stock!M89/100,Stock!M89))</f>
        <v>0</v>
      </c>
      <c r="S89" s="9">
        <f ca="1">IF(Stock!N89="",0,IF(ISNUMBER($E89),($E89+$F89)*Stock!N89/100,Stock!N89))</f>
        <v>0</v>
      </c>
      <c r="T89" s="9">
        <f ca="1">IF(Stock!O89="",0,IF(ISNUMBER($E89),($E89+$F89)*Stock!O89/100,Stock!O89))</f>
        <v>0</v>
      </c>
      <c r="U89" s="9">
        <f ca="1">IF(Stock!P89="",0,IF(ISNUMBER($E89),($E89+$F89)*Stock!P89/100,Stock!P89))</f>
        <v>0</v>
      </c>
      <c r="V89" s="9">
        <f ca="1">IF(Stock!Q89="",0,IF(ISNUMBER($E89),($E89+$F89)*Stock!Q89/100,Stock!Q89))</f>
        <v>0</v>
      </c>
      <c r="W89" s="9">
        <f ca="1">IF(Stock!R89="",0,IF(ISNUMBER($E89),($E89+$F89)*Stock!R89/100,Stock!R89))</f>
        <v>0</v>
      </c>
      <c r="X89" s="9">
        <f ca="1">IF(Stock!S89="",0,IF(ISNUMBER($E89),($E89+$F89)*Stock!S89/100,Stock!S89))</f>
        <v>0</v>
      </c>
      <c r="Y89" s="9">
        <f ca="1">IF(Stock!T89="",0,IF(ISNUMBER($E89),($E89+$F89)*Stock!T89/100,Stock!T89))</f>
        <v>0</v>
      </c>
      <c r="Z89" s="9">
        <f ca="1">IF(Stock!U89="",0,IF(ISNUMBER($E89),($E89+$F89)*Stock!U89/100,Stock!U89))</f>
        <v>0</v>
      </c>
      <c r="AA89" s="9">
        <f ca="1">IF(Stock!V89="",0,IF(ISNUMBER($E89),($E89+$F89)*Stock!V89/100,Stock!V89))</f>
        <v>0</v>
      </c>
      <c r="AB89" s="9">
        <f ca="1">IF(Stock!W89="",0,IF(ISNUMBER($E89),($E89+$F89)*Stock!W89/100,Stock!W89))</f>
        <v>0</v>
      </c>
      <c r="AC89" s="9">
        <f ca="1">IF(Stock!X89="",0,IF(ISNUMBER($E89),($E89+$F89)*Stock!X89/100,Stock!X89))</f>
        <v>0</v>
      </c>
      <c r="AD89" s="9">
        <f ca="1">IF(Stock!Y89="",0,IF(ISNUMBER($E89),($E89+$F89)*Stock!Y89/100,Stock!Y89))</f>
        <v>0</v>
      </c>
      <c r="AE89" s="9">
        <f ca="1">IF(Stock!Z89="",0,IF(ISNUMBER($E89),($E89+$F89)*Stock!Z89/100,Stock!Z89))</f>
        <v>0</v>
      </c>
      <c r="AF89" s="9">
        <f ca="1">IF(Stock!AA89="",0,IF(ISNUMBER($E89),($E89+$F89)*Stock!AA89/100,Stock!AA89))</f>
        <v>0</v>
      </c>
      <c r="AG89" s="9">
        <f ca="1">IF(Stock!AB89="",0,IF(ISNUMBER($E89),($E89+$F89)*Stock!AB89/100,Stock!AB89))</f>
        <v>0</v>
      </c>
      <c r="AH89" s="9">
        <f ca="1">IF(Stock!AC89="",0,IF(ISNUMBER($E89),($E89+$F89)*Stock!AC89/100,Stock!AC89))</f>
        <v>0</v>
      </c>
      <c r="AI89" s="9">
        <f ca="1">IF(Stock!AD89="",0,IF(ISNUMBER($E89),($E89+$F89)*Stock!AD89/100,Stock!AD89))</f>
        <v>0</v>
      </c>
      <c r="AJ89" s="9">
        <f ca="1">IF(Stock!AE89="",0,IF(ISNUMBER($E89),($E89+$F89)*Stock!AE89/100,Stock!AE89))</f>
        <v>0</v>
      </c>
      <c r="AK89" s="9">
        <f ca="1">IF(Stock!AF89="",0,IF(ISNUMBER($E89),($E89+$F89)*Stock!AF89/100,Stock!AF89))</f>
        <v>0</v>
      </c>
      <c r="AL89" s="9">
        <f ca="1">IF(Stock!AG89="",0,IF(ISNUMBER($E89),($E89+$F89)*Stock!AG89/100,Stock!AG89))</f>
        <v>0</v>
      </c>
      <c r="AM89" s="9">
        <f ca="1">IF(Stock!AH89="",0,IF(ISNUMBER($E89),($E89+$F89)*Stock!AH89/100,Stock!AH89))</f>
        <v>0</v>
      </c>
      <c r="AN89" s="9">
        <f ca="1">IF(Stock!AI89="",0,IF(ISNUMBER($E89),($E89+$F89)*Stock!AI89/100,Stock!AI89))</f>
        <v>0</v>
      </c>
      <c r="AO89" s="9">
        <f ca="1">IF(Stock!AJ89="",0,IF(ISNUMBER($E89),($E89+$F89)*Stock!AJ89/100,Stock!AJ89))</f>
        <v>0</v>
      </c>
      <c r="AP89" s="9">
        <f ca="1">IF(Stock!AK89="",0,IF(ISNUMBER($E89),($E89+$F89)*Stock!AK89/100,Stock!AK89))</f>
        <v>0</v>
      </c>
      <c r="AQ89" s="9">
        <f ca="1">IF(Stock!AL89="",0,IF(ISNUMBER($E89),($E89+$F89)*Stock!AL89/100,Stock!AL89))</f>
        <v>0</v>
      </c>
      <c r="AR89" s="9">
        <f ca="1">IF(Stock!AM89="",0,IF(ISNUMBER($E89),($E89+$F89)*Stock!AM89/100,Stock!AM89))</f>
        <v>0</v>
      </c>
      <c r="AS89" s="9">
        <f ca="1">IF(Stock!AN89="",0,IF(ISNUMBER($E89),($E89+$F89)*Stock!AN89/100,Stock!AN89))</f>
        <v>0</v>
      </c>
      <c r="AT89" s="9">
        <f ca="1">IF(Stock!AO89="",0,IF(ISNUMBER($E89),($E89+$F89)*Stock!AO89/100,Stock!AO89))</f>
        <v>0</v>
      </c>
      <c r="AU89" s="9">
        <f ca="1">IF(Stock!AP89="",0,IF(ISNUMBER($E89),($E89+$F89)*Stock!AP89/100,Stock!AP89))</f>
        <v>0</v>
      </c>
      <c r="AV89" s="9">
        <f ca="1">IF(Stock!AQ89="",0,IF(ISNUMBER($E89),($E89+$F89)*Stock!AQ89/100,Stock!AQ89))</f>
        <v>0</v>
      </c>
      <c r="AW89" s="9">
        <f ca="1">IF(Stock!AR89="",0,IF(ISNUMBER($E89),($E89+$F89)*Stock!AR89/100,Stock!AR89))</f>
        <v>0</v>
      </c>
      <c r="AX89" s="9">
        <f ca="1">IF(Stock!AS89="",0,IF(ISNUMBER($E89),($E89+$F89)*Stock!AS89/100,Stock!AS89))</f>
        <v>0</v>
      </c>
      <c r="AY89" s="9">
        <f ca="1">IF(Stock!AT89="",0,IF(ISNUMBER($E89),($E89+$F89)*Stock!AT89/100,Stock!AT89))</f>
        <v>0</v>
      </c>
      <c r="AZ89" s="9">
        <f ca="1">IF(Stock!AU89="",0,IF(ISNUMBER($E89),($E89+$F89)*Stock!AU89/100,Stock!AU89))</f>
        <v>0</v>
      </c>
      <c r="BA89" s="9">
        <f ca="1">IF(Stock!AV89="",0,IF(ISNUMBER($E89),($E89+$F89)*Stock!AV89/100,Stock!AV89))</f>
        <v>0</v>
      </c>
      <c r="BB89" s="9">
        <f ca="1">IF(Stock!AW89="",0,IF(ISNUMBER($E89),($E89+$F89)*Stock!AW89/100,Stock!AW89))</f>
        <v>0</v>
      </c>
      <c r="BC89" s="9">
        <f ca="1">IF(Stock!AX89="",0,IF(ISNUMBER($E89),($E89+$F89)*Stock!AX89/100,Stock!AX89))</f>
        <v>0</v>
      </c>
    </row>
    <row r="90" spans="5:55" x14ac:dyDescent="0.3">
      <c r="E90" s="62">
        <f ca="1">IF(A90="",0,IF(LEFT(C90,3) = "USB",100*(1-_xll.BDP(D90 &amp; " Govt",E$1)*(B90-TODAY()+1)/36000),_xll.BDP(D90 &amp; " Govt",E$1)))</f>
        <v>0</v>
      </c>
      <c r="F90" s="62">
        <f>IF(A90="",0,IF(LEFT(D90,1) = "B",0,_xll.BDP(D90 &amp; " Govt",F$1)))</f>
        <v>0</v>
      </c>
      <c r="G90" s="9">
        <f>IF(Stock!B90="",0,IF(ISNUMBER($E90),($E90+$F90)*Stock!B90/100,Stock!B90))</f>
        <v>0</v>
      </c>
      <c r="H90" s="9">
        <f ca="1">IF(Stock!C90="",0,IF(ISNUMBER($E90),($E90+$F90)*Stock!C90/100,Stock!C90))</f>
        <v>0</v>
      </c>
      <c r="I90" s="9">
        <f ca="1">IF(Stock!D90="",0,IF(ISNUMBER($E90),($E90+$F90)*Stock!D90/100,Stock!D90))</f>
        <v>0</v>
      </c>
      <c r="J90" s="9">
        <f ca="1">IF(Stock!E90="",0,IF(ISNUMBER($E90),($E90+$F90)*Stock!E90/100,Stock!E90))</f>
        <v>0</v>
      </c>
      <c r="K90" s="9">
        <f ca="1">IF(Stock!F90="",0,IF(ISNUMBER($E90),($E90+$F90)*Stock!F90/100,Stock!F90))</f>
        <v>0</v>
      </c>
      <c r="L90" s="9">
        <f ca="1">IF(Stock!G90="",0,IF(ISNUMBER($E90),($E90+$F90)*Stock!G90/100,Stock!G90))</f>
        <v>0</v>
      </c>
      <c r="M90" s="9">
        <f ca="1">IF(Stock!H90="",0,IF(ISNUMBER($E90),($E90+$F90)*Stock!H90/100,Stock!H90))</f>
        <v>0</v>
      </c>
      <c r="N90" s="9">
        <f ca="1">IF(Stock!I90="",0,IF(ISNUMBER($E90),($E90+$F90)*Stock!I90/100,Stock!I90))</f>
        <v>0</v>
      </c>
      <c r="O90" s="9">
        <f ca="1">IF(Stock!J90="",0,IF(ISNUMBER($E90),($E90+$F90)*Stock!J90/100,Stock!J90))</f>
        <v>0</v>
      </c>
      <c r="P90" s="9">
        <f ca="1">IF(Stock!K90="",0,IF(ISNUMBER($E90),($E90+$F90)*Stock!K90/100,Stock!K90))</f>
        <v>0</v>
      </c>
      <c r="Q90" s="9">
        <f ca="1">IF(Stock!L90="",0,IF(ISNUMBER($E90),($E90+$F90)*Stock!L90/100,Stock!L90))</f>
        <v>0</v>
      </c>
      <c r="R90" s="9">
        <f ca="1">IF(Stock!M90="",0,IF(ISNUMBER($E90),($E90+$F90)*Stock!M90/100,Stock!M90))</f>
        <v>0</v>
      </c>
      <c r="S90" s="9">
        <f ca="1">IF(Stock!N90="",0,IF(ISNUMBER($E90),($E90+$F90)*Stock!N90/100,Stock!N90))</f>
        <v>0</v>
      </c>
      <c r="T90" s="9">
        <f ca="1">IF(Stock!O90="",0,IF(ISNUMBER($E90),($E90+$F90)*Stock!O90/100,Stock!O90))</f>
        <v>0</v>
      </c>
      <c r="U90" s="9">
        <f ca="1">IF(Stock!P90="",0,IF(ISNUMBER($E90),($E90+$F90)*Stock!P90/100,Stock!P90))</f>
        <v>0</v>
      </c>
      <c r="V90" s="9">
        <f ca="1">IF(Stock!Q90="",0,IF(ISNUMBER($E90),($E90+$F90)*Stock!Q90/100,Stock!Q90))</f>
        <v>0</v>
      </c>
      <c r="W90" s="9">
        <f ca="1">IF(Stock!R90="",0,IF(ISNUMBER($E90),($E90+$F90)*Stock!R90/100,Stock!R90))</f>
        <v>0</v>
      </c>
      <c r="X90" s="9">
        <f ca="1">IF(Stock!S90="",0,IF(ISNUMBER($E90),($E90+$F90)*Stock!S90/100,Stock!S90))</f>
        <v>0</v>
      </c>
      <c r="Y90" s="9">
        <f ca="1">IF(Stock!T90="",0,IF(ISNUMBER($E90),($E90+$F90)*Stock!T90/100,Stock!T90))</f>
        <v>0</v>
      </c>
      <c r="Z90" s="9">
        <f ca="1">IF(Stock!U90="",0,IF(ISNUMBER($E90),($E90+$F90)*Stock!U90/100,Stock!U90))</f>
        <v>0</v>
      </c>
      <c r="AA90" s="9">
        <f ca="1">IF(Stock!V90="",0,IF(ISNUMBER($E90),($E90+$F90)*Stock!V90/100,Stock!V90))</f>
        <v>0</v>
      </c>
      <c r="AB90" s="9">
        <f ca="1">IF(Stock!W90="",0,IF(ISNUMBER($E90),($E90+$F90)*Stock!W90/100,Stock!W90))</f>
        <v>0</v>
      </c>
      <c r="AC90" s="9">
        <f ca="1">IF(Stock!X90="",0,IF(ISNUMBER($E90),($E90+$F90)*Stock!X90/100,Stock!X90))</f>
        <v>0</v>
      </c>
      <c r="AD90" s="9">
        <f ca="1">IF(Stock!Y90="",0,IF(ISNUMBER($E90),($E90+$F90)*Stock!Y90/100,Stock!Y90))</f>
        <v>0</v>
      </c>
      <c r="AE90" s="9">
        <f ca="1">IF(Stock!Z90="",0,IF(ISNUMBER($E90),($E90+$F90)*Stock!Z90/100,Stock!Z90))</f>
        <v>0</v>
      </c>
      <c r="AF90" s="9">
        <f ca="1">IF(Stock!AA90="",0,IF(ISNUMBER($E90),($E90+$F90)*Stock!AA90/100,Stock!AA90))</f>
        <v>0</v>
      </c>
      <c r="AG90" s="9">
        <f ca="1">IF(Stock!AB90="",0,IF(ISNUMBER($E90),($E90+$F90)*Stock!AB90/100,Stock!AB90))</f>
        <v>0</v>
      </c>
      <c r="AH90" s="9">
        <f ca="1">IF(Stock!AC90="",0,IF(ISNUMBER($E90),($E90+$F90)*Stock!AC90/100,Stock!AC90))</f>
        <v>0</v>
      </c>
      <c r="AI90" s="9">
        <f ca="1">IF(Stock!AD90="",0,IF(ISNUMBER($E90),($E90+$F90)*Stock!AD90/100,Stock!AD90))</f>
        <v>0</v>
      </c>
      <c r="AJ90" s="9">
        <f ca="1">IF(Stock!AE90="",0,IF(ISNUMBER($E90),($E90+$F90)*Stock!AE90/100,Stock!AE90))</f>
        <v>0</v>
      </c>
      <c r="AK90" s="9">
        <f ca="1">IF(Stock!AF90="",0,IF(ISNUMBER($E90),($E90+$F90)*Stock!AF90/100,Stock!AF90))</f>
        <v>0</v>
      </c>
      <c r="AL90" s="9">
        <f ca="1">IF(Stock!AG90="",0,IF(ISNUMBER($E90),($E90+$F90)*Stock!AG90/100,Stock!AG90))</f>
        <v>0</v>
      </c>
      <c r="AM90" s="9">
        <f ca="1">IF(Stock!AH90="",0,IF(ISNUMBER($E90),($E90+$F90)*Stock!AH90/100,Stock!AH90))</f>
        <v>0</v>
      </c>
      <c r="AN90" s="9">
        <f ca="1">IF(Stock!AI90="",0,IF(ISNUMBER($E90),($E90+$F90)*Stock!AI90/100,Stock!AI90))</f>
        <v>0</v>
      </c>
      <c r="AO90" s="9">
        <f ca="1">IF(Stock!AJ90="",0,IF(ISNUMBER($E90),($E90+$F90)*Stock!AJ90/100,Stock!AJ90))</f>
        <v>0</v>
      </c>
      <c r="AP90" s="9">
        <f ca="1">IF(Stock!AK90="",0,IF(ISNUMBER($E90),($E90+$F90)*Stock!AK90/100,Stock!AK90))</f>
        <v>0</v>
      </c>
      <c r="AQ90" s="9">
        <f ca="1">IF(Stock!AL90="",0,IF(ISNUMBER($E90),($E90+$F90)*Stock!AL90/100,Stock!AL90))</f>
        <v>0</v>
      </c>
      <c r="AR90" s="9">
        <f ca="1">IF(Stock!AM90="",0,IF(ISNUMBER($E90),($E90+$F90)*Stock!AM90/100,Stock!AM90))</f>
        <v>0</v>
      </c>
      <c r="AS90" s="9">
        <f ca="1">IF(Stock!AN90="",0,IF(ISNUMBER($E90),($E90+$F90)*Stock!AN90/100,Stock!AN90))</f>
        <v>0</v>
      </c>
      <c r="AT90" s="9">
        <f ca="1">IF(Stock!AO90="",0,IF(ISNUMBER($E90),($E90+$F90)*Stock!AO90/100,Stock!AO90))</f>
        <v>0</v>
      </c>
      <c r="AU90" s="9">
        <f ca="1">IF(Stock!AP90="",0,IF(ISNUMBER($E90),($E90+$F90)*Stock!AP90/100,Stock!AP90))</f>
        <v>0</v>
      </c>
      <c r="AV90" s="9">
        <f ca="1">IF(Stock!AQ90="",0,IF(ISNUMBER($E90),($E90+$F90)*Stock!AQ90/100,Stock!AQ90))</f>
        <v>0</v>
      </c>
      <c r="AW90" s="9">
        <f ca="1">IF(Stock!AR90="",0,IF(ISNUMBER($E90),($E90+$F90)*Stock!AR90/100,Stock!AR90))</f>
        <v>0</v>
      </c>
      <c r="AX90" s="9">
        <f ca="1">IF(Stock!AS90="",0,IF(ISNUMBER($E90),($E90+$F90)*Stock!AS90/100,Stock!AS90))</f>
        <v>0</v>
      </c>
      <c r="AY90" s="9">
        <f ca="1">IF(Stock!AT90="",0,IF(ISNUMBER($E90),($E90+$F90)*Stock!AT90/100,Stock!AT90))</f>
        <v>0</v>
      </c>
      <c r="AZ90" s="9">
        <f ca="1">IF(Stock!AU90="",0,IF(ISNUMBER($E90),($E90+$F90)*Stock!AU90/100,Stock!AU90))</f>
        <v>0</v>
      </c>
      <c r="BA90" s="9">
        <f ca="1">IF(Stock!AV90="",0,IF(ISNUMBER($E90),($E90+$F90)*Stock!AV90/100,Stock!AV90))</f>
        <v>0</v>
      </c>
      <c r="BB90" s="9">
        <f ca="1">IF(Stock!AW90="",0,IF(ISNUMBER($E90),($E90+$F90)*Stock!AW90/100,Stock!AW90))</f>
        <v>0</v>
      </c>
      <c r="BC90" s="9">
        <f ca="1">IF(Stock!AX90="",0,IF(ISNUMBER($E90),($E90+$F90)*Stock!AX90/100,Stock!AX90))</f>
        <v>0</v>
      </c>
    </row>
    <row r="91" spans="5:55" x14ac:dyDescent="0.3">
      <c r="E91" s="62">
        <f ca="1">IF(A91="",0,IF(LEFT(C91,3) = "USB",100*(1-_xll.BDP(D91 &amp; " Govt",E$1)*(B91-TODAY()+1)/36000),_xll.BDP(D91 &amp; " Govt",E$1)))</f>
        <v>0</v>
      </c>
      <c r="F91" s="62">
        <f>IF(A91="",0,IF(LEFT(D91,1) = "B",0,_xll.BDP(D91 &amp; " Govt",F$1)))</f>
        <v>0</v>
      </c>
      <c r="G91" s="9">
        <f>IF(Stock!B91="",0,IF(ISNUMBER($E91),($E91+$F91)*Stock!B91/100,Stock!B91))</f>
        <v>0</v>
      </c>
      <c r="H91" s="9">
        <f ca="1">IF(Stock!C91="",0,IF(ISNUMBER($E91),($E91+$F91)*Stock!C91/100,Stock!C91))</f>
        <v>0</v>
      </c>
      <c r="I91" s="9">
        <f ca="1">IF(Stock!D91="",0,IF(ISNUMBER($E91),($E91+$F91)*Stock!D91/100,Stock!D91))</f>
        <v>0</v>
      </c>
      <c r="J91" s="9">
        <f ca="1">IF(Stock!E91="",0,IF(ISNUMBER($E91),($E91+$F91)*Stock!E91/100,Stock!E91))</f>
        <v>0</v>
      </c>
      <c r="K91" s="9">
        <f ca="1">IF(Stock!F91="",0,IF(ISNUMBER($E91),($E91+$F91)*Stock!F91/100,Stock!F91))</f>
        <v>0</v>
      </c>
      <c r="L91" s="9">
        <f ca="1">IF(Stock!G91="",0,IF(ISNUMBER($E91),($E91+$F91)*Stock!G91/100,Stock!G91))</f>
        <v>0</v>
      </c>
      <c r="M91" s="9">
        <f ca="1">IF(Stock!H91="",0,IF(ISNUMBER($E91),($E91+$F91)*Stock!H91/100,Stock!H91))</f>
        <v>0</v>
      </c>
      <c r="N91" s="9">
        <f ca="1">IF(Stock!I91="",0,IF(ISNUMBER($E91),($E91+$F91)*Stock!I91/100,Stock!I91))</f>
        <v>0</v>
      </c>
      <c r="O91" s="9">
        <f ca="1">IF(Stock!J91="",0,IF(ISNUMBER($E91),($E91+$F91)*Stock!J91/100,Stock!J91))</f>
        <v>0</v>
      </c>
      <c r="P91" s="9">
        <f ca="1">IF(Stock!K91="",0,IF(ISNUMBER($E91),($E91+$F91)*Stock!K91/100,Stock!K91))</f>
        <v>0</v>
      </c>
      <c r="Q91" s="9">
        <f ca="1">IF(Stock!L91="",0,IF(ISNUMBER($E91),($E91+$F91)*Stock!L91/100,Stock!L91))</f>
        <v>0</v>
      </c>
      <c r="R91" s="9">
        <f ca="1">IF(Stock!M91="",0,IF(ISNUMBER($E91),($E91+$F91)*Stock!M91/100,Stock!M91))</f>
        <v>0</v>
      </c>
      <c r="S91" s="9">
        <f ca="1">IF(Stock!N91="",0,IF(ISNUMBER($E91),($E91+$F91)*Stock!N91/100,Stock!N91))</f>
        <v>0</v>
      </c>
      <c r="T91" s="9">
        <f ca="1">IF(Stock!O91="",0,IF(ISNUMBER($E91),($E91+$F91)*Stock!O91/100,Stock!O91))</f>
        <v>0</v>
      </c>
      <c r="U91" s="9">
        <f ca="1">IF(Stock!P91="",0,IF(ISNUMBER($E91),($E91+$F91)*Stock!P91/100,Stock!P91))</f>
        <v>0</v>
      </c>
      <c r="V91" s="9">
        <f ca="1">IF(Stock!Q91="",0,IF(ISNUMBER($E91),($E91+$F91)*Stock!Q91/100,Stock!Q91))</f>
        <v>0</v>
      </c>
      <c r="W91" s="9">
        <f ca="1">IF(Stock!R91="",0,IF(ISNUMBER($E91),($E91+$F91)*Stock!R91/100,Stock!R91))</f>
        <v>0</v>
      </c>
      <c r="X91" s="9">
        <f ca="1">IF(Stock!S91="",0,IF(ISNUMBER($E91),($E91+$F91)*Stock!S91/100,Stock!S91))</f>
        <v>0</v>
      </c>
      <c r="Y91" s="9">
        <f ca="1">IF(Stock!T91="",0,IF(ISNUMBER($E91),($E91+$F91)*Stock!T91/100,Stock!T91))</f>
        <v>0</v>
      </c>
      <c r="Z91" s="9">
        <f ca="1">IF(Stock!U91="",0,IF(ISNUMBER($E91),($E91+$F91)*Stock!U91/100,Stock!U91))</f>
        <v>0</v>
      </c>
      <c r="AA91" s="9">
        <f ca="1">IF(Stock!V91="",0,IF(ISNUMBER($E91),($E91+$F91)*Stock!V91/100,Stock!V91))</f>
        <v>0</v>
      </c>
      <c r="AB91" s="9">
        <f ca="1">IF(Stock!W91="",0,IF(ISNUMBER($E91),($E91+$F91)*Stock!W91/100,Stock!W91))</f>
        <v>0</v>
      </c>
      <c r="AC91" s="9">
        <f ca="1">IF(Stock!X91="",0,IF(ISNUMBER($E91),($E91+$F91)*Stock!X91/100,Stock!X91))</f>
        <v>0</v>
      </c>
      <c r="AD91" s="9">
        <f ca="1">IF(Stock!Y91="",0,IF(ISNUMBER($E91),($E91+$F91)*Stock!Y91/100,Stock!Y91))</f>
        <v>0</v>
      </c>
      <c r="AE91" s="9">
        <f ca="1">IF(Stock!Z91="",0,IF(ISNUMBER($E91),($E91+$F91)*Stock!Z91/100,Stock!Z91))</f>
        <v>0</v>
      </c>
      <c r="AF91" s="9">
        <f ca="1">IF(Stock!AA91="",0,IF(ISNUMBER($E91),($E91+$F91)*Stock!AA91/100,Stock!AA91))</f>
        <v>0</v>
      </c>
      <c r="AG91" s="9">
        <f ca="1">IF(Stock!AB91="",0,IF(ISNUMBER($E91),($E91+$F91)*Stock!AB91/100,Stock!AB91))</f>
        <v>0</v>
      </c>
      <c r="AH91" s="9">
        <f ca="1">IF(Stock!AC91="",0,IF(ISNUMBER($E91),($E91+$F91)*Stock!AC91/100,Stock!AC91))</f>
        <v>0</v>
      </c>
      <c r="AI91" s="9">
        <f ca="1">IF(Stock!AD91="",0,IF(ISNUMBER($E91),($E91+$F91)*Stock!AD91/100,Stock!AD91))</f>
        <v>0</v>
      </c>
      <c r="AJ91" s="9">
        <f ca="1">IF(Stock!AE91="",0,IF(ISNUMBER($E91),($E91+$F91)*Stock!AE91/100,Stock!AE91))</f>
        <v>0</v>
      </c>
      <c r="AK91" s="9">
        <f ca="1">IF(Stock!AF91="",0,IF(ISNUMBER($E91),($E91+$F91)*Stock!AF91/100,Stock!AF91))</f>
        <v>0</v>
      </c>
      <c r="AL91" s="9">
        <f ca="1">IF(Stock!AG91="",0,IF(ISNUMBER($E91),($E91+$F91)*Stock!AG91/100,Stock!AG91))</f>
        <v>0</v>
      </c>
      <c r="AM91" s="9">
        <f ca="1">IF(Stock!AH91="",0,IF(ISNUMBER($E91),($E91+$F91)*Stock!AH91/100,Stock!AH91))</f>
        <v>0</v>
      </c>
      <c r="AN91" s="9">
        <f ca="1">IF(Stock!AI91="",0,IF(ISNUMBER($E91),($E91+$F91)*Stock!AI91/100,Stock!AI91))</f>
        <v>0</v>
      </c>
      <c r="AO91" s="9">
        <f ca="1">IF(Stock!AJ91="",0,IF(ISNUMBER($E91),($E91+$F91)*Stock!AJ91/100,Stock!AJ91))</f>
        <v>0</v>
      </c>
      <c r="AP91" s="9">
        <f ca="1">IF(Stock!AK91="",0,IF(ISNUMBER($E91),($E91+$F91)*Stock!AK91/100,Stock!AK91))</f>
        <v>0</v>
      </c>
      <c r="AQ91" s="9">
        <f ca="1">IF(Stock!AL91="",0,IF(ISNUMBER($E91),($E91+$F91)*Stock!AL91/100,Stock!AL91))</f>
        <v>0</v>
      </c>
      <c r="AR91" s="9">
        <f ca="1">IF(Stock!AM91="",0,IF(ISNUMBER($E91),($E91+$F91)*Stock!AM91/100,Stock!AM91))</f>
        <v>0</v>
      </c>
      <c r="AS91" s="9">
        <f ca="1">IF(Stock!AN91="",0,IF(ISNUMBER($E91),($E91+$F91)*Stock!AN91/100,Stock!AN91))</f>
        <v>0</v>
      </c>
      <c r="AT91" s="9">
        <f ca="1">IF(Stock!AO91="",0,IF(ISNUMBER($E91),($E91+$F91)*Stock!AO91/100,Stock!AO91))</f>
        <v>0</v>
      </c>
      <c r="AU91" s="9">
        <f ca="1">IF(Stock!AP91="",0,IF(ISNUMBER($E91),($E91+$F91)*Stock!AP91/100,Stock!AP91))</f>
        <v>0</v>
      </c>
      <c r="AV91" s="9">
        <f ca="1">IF(Stock!AQ91="",0,IF(ISNUMBER($E91),($E91+$F91)*Stock!AQ91/100,Stock!AQ91))</f>
        <v>0</v>
      </c>
      <c r="AW91" s="9">
        <f ca="1">IF(Stock!AR91="",0,IF(ISNUMBER($E91),($E91+$F91)*Stock!AR91/100,Stock!AR91))</f>
        <v>0</v>
      </c>
      <c r="AX91" s="9">
        <f ca="1">IF(Stock!AS91="",0,IF(ISNUMBER($E91),($E91+$F91)*Stock!AS91/100,Stock!AS91))</f>
        <v>0</v>
      </c>
      <c r="AY91" s="9">
        <f ca="1">IF(Stock!AT91="",0,IF(ISNUMBER($E91),($E91+$F91)*Stock!AT91/100,Stock!AT91))</f>
        <v>0</v>
      </c>
      <c r="AZ91" s="9">
        <f ca="1">IF(Stock!AU91="",0,IF(ISNUMBER($E91),($E91+$F91)*Stock!AU91/100,Stock!AU91))</f>
        <v>0</v>
      </c>
      <c r="BA91" s="9">
        <f ca="1">IF(Stock!AV91="",0,IF(ISNUMBER($E91),($E91+$F91)*Stock!AV91/100,Stock!AV91))</f>
        <v>0</v>
      </c>
      <c r="BB91" s="9">
        <f ca="1">IF(Stock!AW91="",0,IF(ISNUMBER($E91),($E91+$F91)*Stock!AW91/100,Stock!AW91))</f>
        <v>0</v>
      </c>
      <c r="BC91" s="9">
        <f ca="1">IF(Stock!AX91="",0,IF(ISNUMBER($E91),($E91+$F91)*Stock!AX91/100,Stock!AX91))</f>
        <v>0</v>
      </c>
    </row>
    <row r="92" spans="5:55" x14ac:dyDescent="0.3">
      <c r="E92" s="62">
        <f ca="1">IF(A92="",0,IF(LEFT(C92,3) = "USB",100*(1-_xll.BDP(D92 &amp; " Govt",E$1)*(B92-TODAY()+1)/36000),_xll.BDP(D92 &amp; " Govt",E$1)))</f>
        <v>0</v>
      </c>
      <c r="F92" s="62">
        <f>IF(A92="",0,IF(LEFT(D92,1) = "B",0,_xll.BDP(D92 &amp; " Govt",F$1)))</f>
        <v>0</v>
      </c>
      <c r="G92" s="9">
        <f>IF(Stock!B92="",0,IF(ISNUMBER($E92),($E92+$F92)*Stock!B92/100,Stock!B92))</f>
        <v>0</v>
      </c>
      <c r="H92" s="9">
        <f ca="1">IF(Stock!C92="",0,IF(ISNUMBER($E92),($E92+$F92)*Stock!C92/100,Stock!C92))</f>
        <v>0</v>
      </c>
      <c r="I92" s="9">
        <f ca="1">IF(Stock!D92="",0,IF(ISNUMBER($E92),($E92+$F92)*Stock!D92/100,Stock!D92))</f>
        <v>0</v>
      </c>
      <c r="J92" s="9">
        <f ca="1">IF(Stock!E92="",0,IF(ISNUMBER($E92),($E92+$F92)*Stock!E92/100,Stock!E92))</f>
        <v>0</v>
      </c>
      <c r="K92" s="9">
        <f ca="1">IF(Stock!F92="",0,IF(ISNUMBER($E92),($E92+$F92)*Stock!F92/100,Stock!F92))</f>
        <v>0</v>
      </c>
      <c r="L92" s="9">
        <f ca="1">IF(Stock!G92="",0,IF(ISNUMBER($E92),($E92+$F92)*Stock!G92/100,Stock!G92))</f>
        <v>0</v>
      </c>
      <c r="M92" s="9">
        <f ca="1">IF(Stock!H92="",0,IF(ISNUMBER($E92),($E92+$F92)*Stock!H92/100,Stock!H92))</f>
        <v>0</v>
      </c>
      <c r="N92" s="9">
        <f ca="1">IF(Stock!I92="",0,IF(ISNUMBER($E92),($E92+$F92)*Stock!I92/100,Stock!I92))</f>
        <v>0</v>
      </c>
      <c r="O92" s="9">
        <f ca="1">IF(Stock!J92="",0,IF(ISNUMBER($E92),($E92+$F92)*Stock!J92/100,Stock!J92))</f>
        <v>0</v>
      </c>
      <c r="P92" s="9">
        <f ca="1">IF(Stock!K92="",0,IF(ISNUMBER($E92),($E92+$F92)*Stock!K92/100,Stock!K92))</f>
        <v>0</v>
      </c>
      <c r="Q92" s="9">
        <f ca="1">IF(Stock!L92="",0,IF(ISNUMBER($E92),($E92+$F92)*Stock!L92/100,Stock!L92))</f>
        <v>0</v>
      </c>
      <c r="R92" s="9">
        <f ca="1">IF(Stock!M92="",0,IF(ISNUMBER($E92),($E92+$F92)*Stock!M92/100,Stock!M92))</f>
        <v>0</v>
      </c>
      <c r="S92" s="9">
        <f ca="1">IF(Stock!N92="",0,IF(ISNUMBER($E92),($E92+$F92)*Stock!N92/100,Stock!N92))</f>
        <v>0</v>
      </c>
      <c r="T92" s="9">
        <f ca="1">IF(Stock!O92="",0,IF(ISNUMBER($E92),($E92+$F92)*Stock!O92/100,Stock!O92))</f>
        <v>0</v>
      </c>
      <c r="U92" s="9">
        <f ca="1">IF(Stock!P92="",0,IF(ISNUMBER($E92),($E92+$F92)*Stock!P92/100,Stock!P92))</f>
        <v>0</v>
      </c>
      <c r="V92" s="9">
        <f ca="1">IF(Stock!Q92="",0,IF(ISNUMBER($E92),($E92+$F92)*Stock!Q92/100,Stock!Q92))</f>
        <v>0</v>
      </c>
      <c r="W92" s="9">
        <f ca="1">IF(Stock!R92="",0,IF(ISNUMBER($E92),($E92+$F92)*Stock!R92/100,Stock!R92))</f>
        <v>0</v>
      </c>
      <c r="X92" s="9">
        <f ca="1">IF(Stock!S92="",0,IF(ISNUMBER($E92),($E92+$F92)*Stock!S92/100,Stock!S92))</f>
        <v>0</v>
      </c>
      <c r="Y92" s="9">
        <f ca="1">IF(Stock!T92="",0,IF(ISNUMBER($E92),($E92+$F92)*Stock!T92/100,Stock!T92))</f>
        <v>0</v>
      </c>
      <c r="Z92" s="9">
        <f ca="1">IF(Stock!U92="",0,IF(ISNUMBER($E92),($E92+$F92)*Stock!U92/100,Stock!U92))</f>
        <v>0</v>
      </c>
      <c r="AA92" s="9">
        <f ca="1">IF(Stock!V92="",0,IF(ISNUMBER($E92),($E92+$F92)*Stock!V92/100,Stock!V92))</f>
        <v>0</v>
      </c>
      <c r="AB92" s="9">
        <f ca="1">IF(Stock!W92="",0,IF(ISNUMBER($E92),($E92+$F92)*Stock!W92/100,Stock!W92))</f>
        <v>0</v>
      </c>
      <c r="AC92" s="9">
        <f ca="1">IF(Stock!X92="",0,IF(ISNUMBER($E92),($E92+$F92)*Stock!X92/100,Stock!X92))</f>
        <v>0</v>
      </c>
      <c r="AD92" s="9">
        <f ca="1">IF(Stock!Y92="",0,IF(ISNUMBER($E92),($E92+$F92)*Stock!Y92/100,Stock!Y92))</f>
        <v>0</v>
      </c>
      <c r="AE92" s="9">
        <f ca="1">IF(Stock!Z92="",0,IF(ISNUMBER($E92),($E92+$F92)*Stock!Z92/100,Stock!Z92))</f>
        <v>0</v>
      </c>
      <c r="AF92" s="9">
        <f ca="1">IF(Stock!AA92="",0,IF(ISNUMBER($E92),($E92+$F92)*Stock!AA92/100,Stock!AA92))</f>
        <v>0</v>
      </c>
      <c r="AG92" s="9">
        <f ca="1">IF(Stock!AB92="",0,IF(ISNUMBER($E92),($E92+$F92)*Stock!AB92/100,Stock!AB92))</f>
        <v>0</v>
      </c>
      <c r="AH92" s="9">
        <f ca="1">IF(Stock!AC92="",0,IF(ISNUMBER($E92),($E92+$F92)*Stock!AC92/100,Stock!AC92))</f>
        <v>0</v>
      </c>
      <c r="AI92" s="9">
        <f ca="1">IF(Stock!AD92="",0,IF(ISNUMBER($E92),($E92+$F92)*Stock!AD92/100,Stock!AD92))</f>
        <v>0</v>
      </c>
      <c r="AJ92" s="9">
        <f ca="1">IF(Stock!AE92="",0,IF(ISNUMBER($E92),($E92+$F92)*Stock!AE92/100,Stock!AE92))</f>
        <v>0</v>
      </c>
      <c r="AK92" s="9">
        <f ca="1">IF(Stock!AF92="",0,IF(ISNUMBER($E92),($E92+$F92)*Stock!AF92/100,Stock!AF92))</f>
        <v>0</v>
      </c>
      <c r="AL92" s="9">
        <f ca="1">IF(Stock!AG92="",0,IF(ISNUMBER($E92),($E92+$F92)*Stock!AG92/100,Stock!AG92))</f>
        <v>0</v>
      </c>
      <c r="AM92" s="9">
        <f ca="1">IF(Stock!AH92="",0,IF(ISNUMBER($E92),($E92+$F92)*Stock!AH92/100,Stock!AH92))</f>
        <v>0</v>
      </c>
      <c r="AN92" s="9">
        <f ca="1">IF(Stock!AI92="",0,IF(ISNUMBER($E92),($E92+$F92)*Stock!AI92/100,Stock!AI92))</f>
        <v>0</v>
      </c>
      <c r="AO92" s="9">
        <f ca="1">IF(Stock!AJ92="",0,IF(ISNUMBER($E92),($E92+$F92)*Stock!AJ92/100,Stock!AJ92))</f>
        <v>0</v>
      </c>
      <c r="AP92" s="9">
        <f ca="1">IF(Stock!AK92="",0,IF(ISNUMBER($E92),($E92+$F92)*Stock!AK92/100,Stock!AK92))</f>
        <v>0</v>
      </c>
      <c r="AQ92" s="9">
        <f ca="1">IF(Stock!AL92="",0,IF(ISNUMBER($E92),($E92+$F92)*Stock!AL92/100,Stock!AL92))</f>
        <v>0</v>
      </c>
      <c r="AR92" s="9">
        <f ca="1">IF(Stock!AM92="",0,IF(ISNUMBER($E92),($E92+$F92)*Stock!AM92/100,Stock!AM92))</f>
        <v>0</v>
      </c>
      <c r="AS92" s="9">
        <f ca="1">IF(Stock!AN92="",0,IF(ISNUMBER($E92),($E92+$F92)*Stock!AN92/100,Stock!AN92))</f>
        <v>0</v>
      </c>
      <c r="AT92" s="9">
        <f ca="1">IF(Stock!AO92="",0,IF(ISNUMBER($E92),($E92+$F92)*Stock!AO92/100,Stock!AO92))</f>
        <v>0</v>
      </c>
      <c r="AU92" s="9">
        <f ca="1">IF(Stock!AP92="",0,IF(ISNUMBER($E92),($E92+$F92)*Stock!AP92/100,Stock!AP92))</f>
        <v>0</v>
      </c>
      <c r="AV92" s="9">
        <f ca="1">IF(Stock!AQ92="",0,IF(ISNUMBER($E92),($E92+$F92)*Stock!AQ92/100,Stock!AQ92))</f>
        <v>0</v>
      </c>
      <c r="AW92" s="9">
        <f ca="1">IF(Stock!AR92="",0,IF(ISNUMBER($E92),($E92+$F92)*Stock!AR92/100,Stock!AR92))</f>
        <v>0</v>
      </c>
      <c r="AX92" s="9">
        <f ca="1">IF(Stock!AS92="",0,IF(ISNUMBER($E92),($E92+$F92)*Stock!AS92/100,Stock!AS92))</f>
        <v>0</v>
      </c>
      <c r="AY92" s="9">
        <f ca="1">IF(Stock!AT92="",0,IF(ISNUMBER($E92),($E92+$F92)*Stock!AT92/100,Stock!AT92))</f>
        <v>0</v>
      </c>
      <c r="AZ92" s="9">
        <f ca="1">IF(Stock!AU92="",0,IF(ISNUMBER($E92),($E92+$F92)*Stock!AU92/100,Stock!AU92))</f>
        <v>0</v>
      </c>
      <c r="BA92" s="9">
        <f ca="1">IF(Stock!AV92="",0,IF(ISNUMBER($E92),($E92+$F92)*Stock!AV92/100,Stock!AV92))</f>
        <v>0</v>
      </c>
      <c r="BB92" s="9">
        <f ca="1">IF(Stock!AW92="",0,IF(ISNUMBER($E92),($E92+$F92)*Stock!AW92/100,Stock!AW92))</f>
        <v>0</v>
      </c>
      <c r="BC92" s="9">
        <f ca="1">IF(Stock!AX92="",0,IF(ISNUMBER($E92),($E92+$F92)*Stock!AX92/100,Stock!AX92))</f>
        <v>0</v>
      </c>
    </row>
    <row r="93" spans="5:55" x14ac:dyDescent="0.3">
      <c r="E93" s="62">
        <f ca="1">IF(A93="",0,IF(LEFT(C93,3) = "USB",100*(1-_xll.BDP(D93 &amp; " Govt",E$1)*(B93-TODAY()+1)/36000),_xll.BDP(D93 &amp; " Govt",E$1)))</f>
        <v>0</v>
      </c>
      <c r="F93" s="62">
        <f>IF(A93="",0,IF(LEFT(D93,1) = "B",0,_xll.BDP(D93 &amp; " Govt",F$1)))</f>
        <v>0</v>
      </c>
      <c r="G93" s="9">
        <f>IF(Stock!B93="",0,IF(ISNUMBER($E93),($E93+$F93)*Stock!B93/100,Stock!B93))</f>
        <v>0</v>
      </c>
      <c r="H93" s="9">
        <f ca="1">IF(Stock!C93="",0,IF(ISNUMBER($E93),($E93+$F93)*Stock!C93/100,Stock!C93))</f>
        <v>0</v>
      </c>
      <c r="I93" s="9">
        <f ca="1">IF(Stock!D93="",0,IF(ISNUMBER($E93),($E93+$F93)*Stock!D93/100,Stock!D93))</f>
        <v>0</v>
      </c>
      <c r="J93" s="9">
        <f ca="1">IF(Stock!E93="",0,IF(ISNUMBER($E93),($E93+$F93)*Stock!E93/100,Stock!E93))</f>
        <v>0</v>
      </c>
      <c r="K93" s="9">
        <f ca="1">IF(Stock!F93="",0,IF(ISNUMBER($E93),($E93+$F93)*Stock!F93/100,Stock!F93))</f>
        <v>0</v>
      </c>
      <c r="L93" s="9">
        <f ca="1">IF(Stock!G93="",0,IF(ISNUMBER($E93),($E93+$F93)*Stock!G93/100,Stock!G93))</f>
        <v>0</v>
      </c>
      <c r="M93" s="9">
        <f ca="1">IF(Stock!H93="",0,IF(ISNUMBER($E93),($E93+$F93)*Stock!H93/100,Stock!H93))</f>
        <v>0</v>
      </c>
      <c r="N93" s="9">
        <f ca="1">IF(Stock!I93="",0,IF(ISNUMBER($E93),($E93+$F93)*Stock!I93/100,Stock!I93))</f>
        <v>0</v>
      </c>
      <c r="O93" s="9">
        <f ca="1">IF(Stock!J93="",0,IF(ISNUMBER($E93),($E93+$F93)*Stock!J93/100,Stock!J93))</f>
        <v>0</v>
      </c>
      <c r="P93" s="9">
        <f ca="1">IF(Stock!K93="",0,IF(ISNUMBER($E93),($E93+$F93)*Stock!K93/100,Stock!K93))</f>
        <v>0</v>
      </c>
      <c r="Q93" s="9">
        <f ca="1">IF(Stock!L93="",0,IF(ISNUMBER($E93),($E93+$F93)*Stock!L93/100,Stock!L93))</f>
        <v>0</v>
      </c>
      <c r="R93" s="9">
        <f ca="1">IF(Stock!M93="",0,IF(ISNUMBER($E93),($E93+$F93)*Stock!M93/100,Stock!M93))</f>
        <v>0</v>
      </c>
      <c r="S93" s="9">
        <f ca="1">IF(Stock!N93="",0,IF(ISNUMBER($E93),($E93+$F93)*Stock!N93/100,Stock!N93))</f>
        <v>0</v>
      </c>
      <c r="T93" s="9">
        <f ca="1">IF(Stock!O93="",0,IF(ISNUMBER($E93),($E93+$F93)*Stock!O93/100,Stock!O93))</f>
        <v>0</v>
      </c>
      <c r="U93" s="9">
        <f ca="1">IF(Stock!P93="",0,IF(ISNUMBER($E93),($E93+$F93)*Stock!P93/100,Stock!P93))</f>
        <v>0</v>
      </c>
      <c r="V93" s="9">
        <f ca="1">IF(Stock!Q93="",0,IF(ISNUMBER($E93),($E93+$F93)*Stock!Q93/100,Stock!Q93))</f>
        <v>0</v>
      </c>
      <c r="W93" s="9">
        <f ca="1">IF(Stock!R93="",0,IF(ISNUMBER($E93),($E93+$F93)*Stock!R93/100,Stock!R93))</f>
        <v>0</v>
      </c>
      <c r="X93" s="9">
        <f ca="1">IF(Stock!S93="",0,IF(ISNUMBER($E93),($E93+$F93)*Stock!S93/100,Stock!S93))</f>
        <v>0</v>
      </c>
      <c r="Y93" s="9">
        <f ca="1">IF(Stock!T93="",0,IF(ISNUMBER($E93),($E93+$F93)*Stock!T93/100,Stock!T93))</f>
        <v>0</v>
      </c>
      <c r="Z93" s="9">
        <f ca="1">IF(Stock!U93="",0,IF(ISNUMBER($E93),($E93+$F93)*Stock!U93/100,Stock!U93))</f>
        <v>0</v>
      </c>
      <c r="AA93" s="9">
        <f ca="1">IF(Stock!V93="",0,IF(ISNUMBER($E93),($E93+$F93)*Stock!V93/100,Stock!V93))</f>
        <v>0</v>
      </c>
      <c r="AB93" s="9">
        <f ca="1">IF(Stock!W93="",0,IF(ISNUMBER($E93),($E93+$F93)*Stock!W93/100,Stock!W93))</f>
        <v>0</v>
      </c>
      <c r="AC93" s="9">
        <f ca="1">IF(Stock!X93="",0,IF(ISNUMBER($E93),($E93+$F93)*Stock!X93/100,Stock!X93))</f>
        <v>0</v>
      </c>
      <c r="AD93" s="9">
        <f ca="1">IF(Stock!Y93="",0,IF(ISNUMBER($E93),($E93+$F93)*Stock!Y93/100,Stock!Y93))</f>
        <v>0</v>
      </c>
      <c r="AE93" s="9">
        <f ca="1">IF(Stock!Z93="",0,IF(ISNUMBER($E93),($E93+$F93)*Stock!Z93/100,Stock!Z93))</f>
        <v>0</v>
      </c>
      <c r="AF93" s="9">
        <f ca="1">IF(Stock!AA93="",0,IF(ISNUMBER($E93),($E93+$F93)*Stock!AA93/100,Stock!AA93))</f>
        <v>0</v>
      </c>
      <c r="AG93" s="9">
        <f ca="1">IF(Stock!AB93="",0,IF(ISNUMBER($E93),($E93+$F93)*Stock!AB93/100,Stock!AB93))</f>
        <v>0</v>
      </c>
      <c r="AH93" s="9">
        <f ca="1">IF(Stock!AC93="",0,IF(ISNUMBER($E93),($E93+$F93)*Stock!AC93/100,Stock!AC93))</f>
        <v>0</v>
      </c>
      <c r="AI93" s="9">
        <f ca="1">IF(Stock!AD93="",0,IF(ISNUMBER($E93),($E93+$F93)*Stock!AD93/100,Stock!AD93))</f>
        <v>0</v>
      </c>
      <c r="AJ93" s="9">
        <f ca="1">IF(Stock!AE93="",0,IF(ISNUMBER($E93),($E93+$F93)*Stock!AE93/100,Stock!AE93))</f>
        <v>0</v>
      </c>
      <c r="AK93" s="9">
        <f ca="1">IF(Stock!AF93="",0,IF(ISNUMBER($E93),($E93+$F93)*Stock!AF93/100,Stock!AF93))</f>
        <v>0</v>
      </c>
      <c r="AL93" s="9">
        <f ca="1">IF(Stock!AG93="",0,IF(ISNUMBER($E93),($E93+$F93)*Stock!AG93/100,Stock!AG93))</f>
        <v>0</v>
      </c>
      <c r="AM93" s="9">
        <f ca="1">IF(Stock!AH93="",0,IF(ISNUMBER($E93),($E93+$F93)*Stock!AH93/100,Stock!AH93))</f>
        <v>0</v>
      </c>
      <c r="AN93" s="9">
        <f ca="1">IF(Stock!AI93="",0,IF(ISNUMBER($E93),($E93+$F93)*Stock!AI93/100,Stock!AI93))</f>
        <v>0</v>
      </c>
      <c r="AO93" s="9">
        <f ca="1">IF(Stock!AJ93="",0,IF(ISNUMBER($E93),($E93+$F93)*Stock!AJ93/100,Stock!AJ93))</f>
        <v>0</v>
      </c>
      <c r="AP93" s="9">
        <f ca="1">IF(Stock!AK93="",0,IF(ISNUMBER($E93),($E93+$F93)*Stock!AK93/100,Stock!AK93))</f>
        <v>0</v>
      </c>
      <c r="AQ93" s="9">
        <f ca="1">IF(Stock!AL93="",0,IF(ISNUMBER($E93),($E93+$F93)*Stock!AL93/100,Stock!AL93))</f>
        <v>0</v>
      </c>
      <c r="AR93" s="9">
        <f ca="1">IF(Stock!AM93="",0,IF(ISNUMBER($E93),($E93+$F93)*Stock!AM93/100,Stock!AM93))</f>
        <v>0</v>
      </c>
      <c r="AS93" s="9">
        <f ca="1">IF(Stock!AN93="",0,IF(ISNUMBER($E93),($E93+$F93)*Stock!AN93/100,Stock!AN93))</f>
        <v>0</v>
      </c>
      <c r="AT93" s="9">
        <f ca="1">IF(Stock!AO93="",0,IF(ISNUMBER($E93),($E93+$F93)*Stock!AO93/100,Stock!AO93))</f>
        <v>0</v>
      </c>
      <c r="AU93" s="9">
        <f ca="1">IF(Stock!AP93="",0,IF(ISNUMBER($E93),($E93+$F93)*Stock!AP93/100,Stock!AP93))</f>
        <v>0</v>
      </c>
      <c r="AV93" s="9">
        <f ca="1">IF(Stock!AQ93="",0,IF(ISNUMBER($E93),($E93+$F93)*Stock!AQ93/100,Stock!AQ93))</f>
        <v>0</v>
      </c>
      <c r="AW93" s="9">
        <f ca="1">IF(Stock!AR93="",0,IF(ISNUMBER($E93),($E93+$F93)*Stock!AR93/100,Stock!AR93))</f>
        <v>0</v>
      </c>
      <c r="AX93" s="9">
        <f ca="1">IF(Stock!AS93="",0,IF(ISNUMBER($E93),($E93+$F93)*Stock!AS93/100,Stock!AS93))</f>
        <v>0</v>
      </c>
      <c r="AY93" s="9">
        <f ca="1">IF(Stock!AT93="",0,IF(ISNUMBER($E93),($E93+$F93)*Stock!AT93/100,Stock!AT93))</f>
        <v>0</v>
      </c>
      <c r="AZ93" s="9">
        <f ca="1">IF(Stock!AU93="",0,IF(ISNUMBER($E93),($E93+$F93)*Stock!AU93/100,Stock!AU93))</f>
        <v>0</v>
      </c>
      <c r="BA93" s="9">
        <f ca="1">IF(Stock!AV93="",0,IF(ISNUMBER($E93),($E93+$F93)*Stock!AV93/100,Stock!AV93))</f>
        <v>0</v>
      </c>
      <c r="BB93" s="9">
        <f ca="1">IF(Stock!AW93="",0,IF(ISNUMBER($E93),($E93+$F93)*Stock!AW93/100,Stock!AW93))</f>
        <v>0</v>
      </c>
      <c r="BC93" s="9">
        <f ca="1">IF(Stock!AX93="",0,IF(ISNUMBER($E93),($E93+$F93)*Stock!AX93/100,Stock!AX93))</f>
        <v>0</v>
      </c>
    </row>
    <row r="94" spans="5:55" x14ac:dyDescent="0.3">
      <c r="E94" s="62">
        <f ca="1">IF(A94="",0,IF(LEFT(C94,3) = "USB",100*(1-_xll.BDP(D94 &amp; " Govt",E$1)*(B94-TODAY()+1)/36000),_xll.BDP(D94 &amp; " Govt",E$1)))</f>
        <v>0</v>
      </c>
      <c r="F94" s="62">
        <f>IF(A94="",0,IF(LEFT(D94,1) = "B",0,_xll.BDP(D94 &amp; " Govt",F$1)))</f>
        <v>0</v>
      </c>
      <c r="G94" s="9">
        <f>IF(Stock!B94="",0,IF(ISNUMBER($E94),($E94+$F94)*Stock!B94/100,Stock!B94))</f>
        <v>0</v>
      </c>
      <c r="H94" s="9">
        <f ca="1">IF(Stock!C94="",0,IF(ISNUMBER($E94),($E94+$F94)*Stock!C94/100,Stock!C94))</f>
        <v>0</v>
      </c>
      <c r="I94" s="9">
        <f ca="1">IF(Stock!D94="",0,IF(ISNUMBER($E94),($E94+$F94)*Stock!D94/100,Stock!D94))</f>
        <v>0</v>
      </c>
      <c r="J94" s="9">
        <f ca="1">IF(Stock!E94="",0,IF(ISNUMBER($E94),($E94+$F94)*Stock!E94/100,Stock!E94))</f>
        <v>0</v>
      </c>
      <c r="K94" s="9">
        <f ca="1">IF(Stock!F94="",0,IF(ISNUMBER($E94),($E94+$F94)*Stock!F94/100,Stock!F94))</f>
        <v>0</v>
      </c>
      <c r="L94" s="9">
        <f ca="1">IF(Stock!G94="",0,IF(ISNUMBER($E94),($E94+$F94)*Stock!G94/100,Stock!G94))</f>
        <v>0</v>
      </c>
      <c r="M94" s="9">
        <f ca="1">IF(Stock!H94="",0,IF(ISNUMBER($E94),($E94+$F94)*Stock!H94/100,Stock!H94))</f>
        <v>0</v>
      </c>
      <c r="N94" s="9">
        <f ca="1">IF(Stock!I94="",0,IF(ISNUMBER($E94),($E94+$F94)*Stock!I94/100,Stock!I94))</f>
        <v>0</v>
      </c>
      <c r="O94" s="9">
        <f ca="1">IF(Stock!J94="",0,IF(ISNUMBER($E94),($E94+$F94)*Stock!J94/100,Stock!J94))</f>
        <v>0</v>
      </c>
      <c r="P94" s="9">
        <f ca="1">IF(Stock!K94="",0,IF(ISNUMBER($E94),($E94+$F94)*Stock!K94/100,Stock!K94))</f>
        <v>0</v>
      </c>
      <c r="Q94" s="9">
        <f ca="1">IF(Stock!L94="",0,IF(ISNUMBER($E94),($E94+$F94)*Stock!L94/100,Stock!L94))</f>
        <v>0</v>
      </c>
      <c r="R94" s="9">
        <f ca="1">IF(Stock!M94="",0,IF(ISNUMBER($E94),($E94+$F94)*Stock!M94/100,Stock!M94))</f>
        <v>0</v>
      </c>
      <c r="S94" s="9">
        <f ca="1">IF(Stock!N94="",0,IF(ISNUMBER($E94),($E94+$F94)*Stock!N94/100,Stock!N94))</f>
        <v>0</v>
      </c>
      <c r="T94" s="9">
        <f ca="1">IF(Stock!O94="",0,IF(ISNUMBER($E94),($E94+$F94)*Stock!O94/100,Stock!O94))</f>
        <v>0</v>
      </c>
      <c r="U94" s="9">
        <f ca="1">IF(Stock!P94="",0,IF(ISNUMBER($E94),($E94+$F94)*Stock!P94/100,Stock!P94))</f>
        <v>0</v>
      </c>
      <c r="V94" s="9">
        <f ca="1">IF(Stock!Q94="",0,IF(ISNUMBER($E94),($E94+$F94)*Stock!Q94/100,Stock!Q94))</f>
        <v>0</v>
      </c>
      <c r="W94" s="9">
        <f ca="1">IF(Stock!R94="",0,IF(ISNUMBER($E94),($E94+$F94)*Stock!R94/100,Stock!R94))</f>
        <v>0</v>
      </c>
      <c r="X94" s="9">
        <f ca="1">IF(Stock!S94="",0,IF(ISNUMBER($E94),($E94+$F94)*Stock!S94/100,Stock!S94))</f>
        <v>0</v>
      </c>
      <c r="Y94" s="9">
        <f ca="1">IF(Stock!T94="",0,IF(ISNUMBER($E94),($E94+$F94)*Stock!T94/100,Stock!T94))</f>
        <v>0</v>
      </c>
      <c r="Z94" s="9">
        <f ca="1">IF(Stock!U94="",0,IF(ISNUMBER($E94),($E94+$F94)*Stock!U94/100,Stock!U94))</f>
        <v>0</v>
      </c>
      <c r="AA94" s="9">
        <f ca="1">IF(Stock!V94="",0,IF(ISNUMBER($E94),($E94+$F94)*Stock!V94/100,Stock!V94))</f>
        <v>0</v>
      </c>
      <c r="AB94" s="9">
        <f ca="1">IF(Stock!W94="",0,IF(ISNUMBER($E94),($E94+$F94)*Stock!W94/100,Stock!W94))</f>
        <v>0</v>
      </c>
      <c r="AC94" s="9">
        <f ca="1">IF(Stock!X94="",0,IF(ISNUMBER($E94),($E94+$F94)*Stock!X94/100,Stock!X94))</f>
        <v>0</v>
      </c>
      <c r="AD94" s="9">
        <f ca="1">IF(Stock!Y94="",0,IF(ISNUMBER($E94),($E94+$F94)*Stock!Y94/100,Stock!Y94))</f>
        <v>0</v>
      </c>
      <c r="AE94" s="9">
        <f ca="1">IF(Stock!Z94="",0,IF(ISNUMBER($E94),($E94+$F94)*Stock!Z94/100,Stock!Z94))</f>
        <v>0</v>
      </c>
      <c r="AF94" s="9">
        <f ca="1">IF(Stock!AA94="",0,IF(ISNUMBER($E94),($E94+$F94)*Stock!AA94/100,Stock!AA94))</f>
        <v>0</v>
      </c>
      <c r="AG94" s="9">
        <f ca="1">IF(Stock!AB94="",0,IF(ISNUMBER($E94),($E94+$F94)*Stock!AB94/100,Stock!AB94))</f>
        <v>0</v>
      </c>
      <c r="AH94" s="9">
        <f ca="1">IF(Stock!AC94="",0,IF(ISNUMBER($E94),($E94+$F94)*Stock!AC94/100,Stock!AC94))</f>
        <v>0</v>
      </c>
      <c r="AI94" s="9">
        <f ca="1">IF(Stock!AD94="",0,IF(ISNUMBER($E94),($E94+$F94)*Stock!AD94/100,Stock!AD94))</f>
        <v>0</v>
      </c>
      <c r="AJ94" s="9">
        <f ca="1">IF(Stock!AE94="",0,IF(ISNUMBER($E94),($E94+$F94)*Stock!AE94/100,Stock!AE94))</f>
        <v>0</v>
      </c>
      <c r="AK94" s="9">
        <f ca="1">IF(Stock!AF94="",0,IF(ISNUMBER($E94),($E94+$F94)*Stock!AF94/100,Stock!AF94))</f>
        <v>0</v>
      </c>
      <c r="AL94" s="9">
        <f ca="1">IF(Stock!AG94="",0,IF(ISNUMBER($E94),($E94+$F94)*Stock!AG94/100,Stock!AG94))</f>
        <v>0</v>
      </c>
      <c r="AM94" s="9">
        <f ca="1">IF(Stock!AH94="",0,IF(ISNUMBER($E94),($E94+$F94)*Stock!AH94/100,Stock!AH94))</f>
        <v>0</v>
      </c>
      <c r="AN94" s="9">
        <f ca="1">IF(Stock!AI94="",0,IF(ISNUMBER($E94),($E94+$F94)*Stock!AI94/100,Stock!AI94))</f>
        <v>0</v>
      </c>
      <c r="AO94" s="9">
        <f ca="1">IF(Stock!AJ94="",0,IF(ISNUMBER($E94),($E94+$F94)*Stock!AJ94/100,Stock!AJ94))</f>
        <v>0</v>
      </c>
      <c r="AP94" s="9">
        <f ca="1">IF(Stock!AK94="",0,IF(ISNUMBER($E94),($E94+$F94)*Stock!AK94/100,Stock!AK94))</f>
        <v>0</v>
      </c>
      <c r="AQ94" s="9">
        <f ca="1">IF(Stock!AL94="",0,IF(ISNUMBER($E94),($E94+$F94)*Stock!AL94/100,Stock!AL94))</f>
        <v>0</v>
      </c>
      <c r="AR94" s="9">
        <f ca="1">IF(Stock!AM94="",0,IF(ISNUMBER($E94),($E94+$F94)*Stock!AM94/100,Stock!AM94))</f>
        <v>0</v>
      </c>
      <c r="AS94" s="9">
        <f ca="1">IF(Stock!AN94="",0,IF(ISNUMBER($E94),($E94+$F94)*Stock!AN94/100,Stock!AN94))</f>
        <v>0</v>
      </c>
      <c r="AT94" s="9">
        <f ca="1">IF(Stock!AO94="",0,IF(ISNUMBER($E94),($E94+$F94)*Stock!AO94/100,Stock!AO94))</f>
        <v>0</v>
      </c>
      <c r="AU94" s="9">
        <f ca="1">IF(Stock!AP94="",0,IF(ISNUMBER($E94),($E94+$F94)*Stock!AP94/100,Stock!AP94))</f>
        <v>0</v>
      </c>
      <c r="AV94" s="9">
        <f ca="1">IF(Stock!AQ94="",0,IF(ISNUMBER($E94),($E94+$F94)*Stock!AQ94/100,Stock!AQ94))</f>
        <v>0</v>
      </c>
      <c r="AW94" s="9">
        <f ca="1">IF(Stock!AR94="",0,IF(ISNUMBER($E94),($E94+$F94)*Stock!AR94/100,Stock!AR94))</f>
        <v>0</v>
      </c>
      <c r="AX94" s="9">
        <f ca="1">IF(Stock!AS94="",0,IF(ISNUMBER($E94),($E94+$F94)*Stock!AS94/100,Stock!AS94))</f>
        <v>0</v>
      </c>
      <c r="AY94" s="9">
        <f ca="1">IF(Stock!AT94="",0,IF(ISNUMBER($E94),($E94+$F94)*Stock!AT94/100,Stock!AT94))</f>
        <v>0</v>
      </c>
      <c r="AZ94" s="9">
        <f ca="1">IF(Stock!AU94="",0,IF(ISNUMBER($E94),($E94+$F94)*Stock!AU94/100,Stock!AU94))</f>
        <v>0</v>
      </c>
      <c r="BA94" s="9">
        <f ca="1">IF(Stock!AV94="",0,IF(ISNUMBER($E94),($E94+$F94)*Stock!AV94/100,Stock!AV94))</f>
        <v>0</v>
      </c>
      <c r="BB94" s="9">
        <f ca="1">IF(Stock!AW94="",0,IF(ISNUMBER($E94),($E94+$F94)*Stock!AW94/100,Stock!AW94))</f>
        <v>0</v>
      </c>
      <c r="BC94" s="9">
        <f ca="1">IF(Stock!AX94="",0,IF(ISNUMBER($E94),($E94+$F94)*Stock!AX94/100,Stock!AX94))</f>
        <v>0</v>
      </c>
    </row>
    <row r="95" spans="5:55" x14ac:dyDescent="0.3">
      <c r="E95" s="62">
        <f ca="1">IF(A95="",0,IF(LEFT(C95,3) = "USB",100*(1-_xll.BDP(D95 &amp; " Govt",E$1)*(B95-TODAY()+1)/36000),_xll.BDP(D95 &amp; " Govt",E$1)))</f>
        <v>0</v>
      </c>
      <c r="F95" s="62">
        <f>IF(A95="",0,IF(LEFT(D95,1) = "B",0,_xll.BDP(D95 &amp; " Govt",F$1)))</f>
        <v>0</v>
      </c>
      <c r="G95" s="9">
        <f>IF(Stock!B95="",0,IF(ISNUMBER($E95),($E95+$F95)*Stock!B95/100,Stock!B95))</f>
        <v>0</v>
      </c>
      <c r="H95" s="9">
        <f ca="1">IF(Stock!C95="",0,IF(ISNUMBER($E95),($E95+$F95)*Stock!C95/100,Stock!C95))</f>
        <v>0</v>
      </c>
      <c r="I95" s="9">
        <f ca="1">IF(Stock!D95="",0,IF(ISNUMBER($E95),($E95+$F95)*Stock!D95/100,Stock!D95))</f>
        <v>0</v>
      </c>
      <c r="J95" s="9">
        <f ca="1">IF(Stock!E95="",0,IF(ISNUMBER($E95),($E95+$F95)*Stock!E95/100,Stock!E95))</f>
        <v>0</v>
      </c>
      <c r="K95" s="9">
        <f ca="1">IF(Stock!F95="",0,IF(ISNUMBER($E95),($E95+$F95)*Stock!F95/100,Stock!F95))</f>
        <v>0</v>
      </c>
      <c r="L95" s="9">
        <f ca="1">IF(Stock!G95="",0,IF(ISNUMBER($E95),($E95+$F95)*Stock!G95/100,Stock!G95))</f>
        <v>0</v>
      </c>
      <c r="M95" s="9">
        <f ca="1">IF(Stock!H95="",0,IF(ISNUMBER($E95),($E95+$F95)*Stock!H95/100,Stock!H95))</f>
        <v>0</v>
      </c>
      <c r="N95" s="9">
        <f ca="1">IF(Stock!I95="",0,IF(ISNUMBER($E95),($E95+$F95)*Stock!I95/100,Stock!I95))</f>
        <v>0</v>
      </c>
      <c r="O95" s="9">
        <f ca="1">IF(Stock!J95="",0,IF(ISNUMBER($E95),($E95+$F95)*Stock!J95/100,Stock!J95))</f>
        <v>0</v>
      </c>
      <c r="P95" s="9">
        <f ca="1">IF(Stock!K95="",0,IF(ISNUMBER($E95),($E95+$F95)*Stock!K95/100,Stock!K95))</f>
        <v>0</v>
      </c>
      <c r="Q95" s="9">
        <f ca="1">IF(Stock!L95="",0,IF(ISNUMBER($E95),($E95+$F95)*Stock!L95/100,Stock!L95))</f>
        <v>0</v>
      </c>
      <c r="R95" s="9">
        <f ca="1">IF(Stock!M95="",0,IF(ISNUMBER($E95),($E95+$F95)*Stock!M95/100,Stock!M95))</f>
        <v>0</v>
      </c>
      <c r="S95" s="9">
        <f ca="1">IF(Stock!N95="",0,IF(ISNUMBER($E95),($E95+$F95)*Stock!N95/100,Stock!N95))</f>
        <v>0</v>
      </c>
      <c r="T95" s="9">
        <f ca="1">IF(Stock!O95="",0,IF(ISNUMBER($E95),($E95+$F95)*Stock!O95/100,Stock!O95))</f>
        <v>0</v>
      </c>
      <c r="U95" s="9">
        <f ca="1">IF(Stock!P95="",0,IF(ISNUMBER($E95),($E95+$F95)*Stock!P95/100,Stock!P95))</f>
        <v>0</v>
      </c>
      <c r="V95" s="9">
        <f ca="1">IF(Stock!Q95="",0,IF(ISNUMBER($E95),($E95+$F95)*Stock!Q95/100,Stock!Q95))</f>
        <v>0</v>
      </c>
      <c r="W95" s="9">
        <f ca="1">IF(Stock!R95="",0,IF(ISNUMBER($E95),($E95+$F95)*Stock!R95/100,Stock!R95))</f>
        <v>0</v>
      </c>
      <c r="X95" s="9">
        <f ca="1">IF(Stock!S95="",0,IF(ISNUMBER($E95),($E95+$F95)*Stock!S95/100,Stock!S95))</f>
        <v>0</v>
      </c>
      <c r="Y95" s="9">
        <f ca="1">IF(Stock!T95="",0,IF(ISNUMBER($E95),($E95+$F95)*Stock!T95/100,Stock!T95))</f>
        <v>0</v>
      </c>
      <c r="Z95" s="9">
        <f ca="1">IF(Stock!U95="",0,IF(ISNUMBER($E95),($E95+$F95)*Stock!U95/100,Stock!U95))</f>
        <v>0</v>
      </c>
      <c r="AA95" s="9">
        <f ca="1">IF(Stock!V95="",0,IF(ISNUMBER($E95),($E95+$F95)*Stock!V95/100,Stock!V95))</f>
        <v>0</v>
      </c>
      <c r="AB95" s="9">
        <f ca="1">IF(Stock!W95="",0,IF(ISNUMBER($E95),($E95+$F95)*Stock!W95/100,Stock!W95))</f>
        <v>0</v>
      </c>
      <c r="AC95" s="9">
        <f ca="1">IF(Stock!X95="",0,IF(ISNUMBER($E95),($E95+$F95)*Stock!X95/100,Stock!X95))</f>
        <v>0</v>
      </c>
      <c r="AD95" s="9">
        <f ca="1">IF(Stock!Y95="",0,IF(ISNUMBER($E95),($E95+$F95)*Stock!Y95/100,Stock!Y95))</f>
        <v>0</v>
      </c>
      <c r="AE95" s="9">
        <f ca="1">IF(Stock!Z95="",0,IF(ISNUMBER($E95),($E95+$F95)*Stock!Z95/100,Stock!Z95))</f>
        <v>0</v>
      </c>
      <c r="AF95" s="9">
        <f ca="1">IF(Stock!AA95="",0,IF(ISNUMBER($E95),($E95+$F95)*Stock!AA95/100,Stock!AA95))</f>
        <v>0</v>
      </c>
      <c r="AG95" s="9">
        <f ca="1">IF(Stock!AB95="",0,IF(ISNUMBER($E95),($E95+$F95)*Stock!AB95/100,Stock!AB95))</f>
        <v>0</v>
      </c>
      <c r="AH95" s="9">
        <f ca="1">IF(Stock!AC95="",0,IF(ISNUMBER($E95),($E95+$F95)*Stock!AC95/100,Stock!AC95))</f>
        <v>0</v>
      </c>
      <c r="AI95" s="9">
        <f ca="1">IF(Stock!AD95="",0,IF(ISNUMBER($E95),($E95+$F95)*Stock!AD95/100,Stock!AD95))</f>
        <v>0</v>
      </c>
      <c r="AJ95" s="9">
        <f ca="1">IF(Stock!AE95="",0,IF(ISNUMBER($E95),($E95+$F95)*Stock!AE95/100,Stock!AE95))</f>
        <v>0</v>
      </c>
      <c r="AK95" s="9">
        <f ca="1">IF(Stock!AF95="",0,IF(ISNUMBER($E95),($E95+$F95)*Stock!AF95/100,Stock!AF95))</f>
        <v>0</v>
      </c>
      <c r="AL95" s="9">
        <f ca="1">IF(Stock!AG95="",0,IF(ISNUMBER($E95),($E95+$F95)*Stock!AG95/100,Stock!AG95))</f>
        <v>0</v>
      </c>
      <c r="AM95" s="9">
        <f ca="1">IF(Stock!AH95="",0,IF(ISNUMBER($E95),($E95+$F95)*Stock!AH95/100,Stock!AH95))</f>
        <v>0</v>
      </c>
      <c r="AN95" s="9">
        <f ca="1">IF(Stock!AI95="",0,IF(ISNUMBER($E95),($E95+$F95)*Stock!AI95/100,Stock!AI95))</f>
        <v>0</v>
      </c>
      <c r="AO95" s="9">
        <f ca="1">IF(Stock!AJ95="",0,IF(ISNUMBER($E95),($E95+$F95)*Stock!AJ95/100,Stock!AJ95))</f>
        <v>0</v>
      </c>
      <c r="AP95" s="9">
        <f ca="1">IF(Stock!AK95="",0,IF(ISNUMBER($E95),($E95+$F95)*Stock!AK95/100,Stock!AK95))</f>
        <v>0</v>
      </c>
      <c r="AQ95" s="9">
        <f ca="1">IF(Stock!AL95="",0,IF(ISNUMBER($E95),($E95+$F95)*Stock!AL95/100,Stock!AL95))</f>
        <v>0</v>
      </c>
      <c r="AR95" s="9">
        <f ca="1">IF(Stock!AM95="",0,IF(ISNUMBER($E95),($E95+$F95)*Stock!AM95/100,Stock!AM95))</f>
        <v>0</v>
      </c>
      <c r="AS95" s="9">
        <f ca="1">IF(Stock!AN95="",0,IF(ISNUMBER($E95),($E95+$F95)*Stock!AN95/100,Stock!AN95))</f>
        <v>0</v>
      </c>
      <c r="AT95" s="9">
        <f ca="1">IF(Stock!AO95="",0,IF(ISNUMBER($E95),($E95+$F95)*Stock!AO95/100,Stock!AO95))</f>
        <v>0</v>
      </c>
      <c r="AU95" s="9">
        <f ca="1">IF(Stock!AP95="",0,IF(ISNUMBER($E95),($E95+$F95)*Stock!AP95/100,Stock!AP95))</f>
        <v>0</v>
      </c>
      <c r="AV95" s="9">
        <f ca="1">IF(Stock!AQ95="",0,IF(ISNUMBER($E95),($E95+$F95)*Stock!AQ95/100,Stock!AQ95))</f>
        <v>0</v>
      </c>
      <c r="AW95" s="9">
        <f ca="1">IF(Stock!AR95="",0,IF(ISNUMBER($E95),($E95+$F95)*Stock!AR95/100,Stock!AR95))</f>
        <v>0</v>
      </c>
      <c r="AX95" s="9">
        <f ca="1">IF(Stock!AS95="",0,IF(ISNUMBER($E95),($E95+$F95)*Stock!AS95/100,Stock!AS95))</f>
        <v>0</v>
      </c>
      <c r="AY95" s="9">
        <f ca="1">IF(Stock!AT95="",0,IF(ISNUMBER($E95),($E95+$F95)*Stock!AT95/100,Stock!AT95))</f>
        <v>0</v>
      </c>
      <c r="AZ95" s="9">
        <f ca="1">IF(Stock!AU95="",0,IF(ISNUMBER($E95),($E95+$F95)*Stock!AU95/100,Stock!AU95))</f>
        <v>0</v>
      </c>
      <c r="BA95" s="9">
        <f ca="1">IF(Stock!AV95="",0,IF(ISNUMBER($E95),($E95+$F95)*Stock!AV95/100,Stock!AV95))</f>
        <v>0</v>
      </c>
      <c r="BB95" s="9">
        <f ca="1">IF(Stock!AW95="",0,IF(ISNUMBER($E95),($E95+$F95)*Stock!AW95/100,Stock!AW95))</f>
        <v>0</v>
      </c>
      <c r="BC95" s="9">
        <f ca="1">IF(Stock!AX95="",0,IF(ISNUMBER($E95),($E95+$F95)*Stock!AX95/100,Stock!AX95))</f>
        <v>0</v>
      </c>
    </row>
    <row r="96" spans="5:55" x14ac:dyDescent="0.3">
      <c r="E96" s="62">
        <f ca="1">IF(A96="",0,IF(LEFT(C96,3) = "USB",100*(1-_xll.BDP(D96 &amp; " Govt",E$1)*(B96-TODAY()+1)/36000),_xll.BDP(D96 &amp; " Govt",E$1)))</f>
        <v>0</v>
      </c>
      <c r="F96" s="62">
        <f>IF(A96="",0,IF(LEFT(D96,1) = "B",0,_xll.BDP(D96 &amp; " Govt",F$1)))</f>
        <v>0</v>
      </c>
      <c r="G96" s="9">
        <f>IF(Stock!B96="",0,IF(ISNUMBER($E96),($E96+$F96)*Stock!B96/100,Stock!B96))</f>
        <v>0</v>
      </c>
      <c r="H96" s="9">
        <f ca="1">IF(Stock!C96="",0,IF(ISNUMBER($E96),($E96+$F96)*Stock!C96/100,Stock!C96))</f>
        <v>0</v>
      </c>
      <c r="I96" s="9">
        <f ca="1">IF(Stock!D96="",0,IF(ISNUMBER($E96),($E96+$F96)*Stock!D96/100,Stock!D96))</f>
        <v>0</v>
      </c>
      <c r="J96" s="9">
        <f ca="1">IF(Stock!E96="",0,IF(ISNUMBER($E96),($E96+$F96)*Stock!E96/100,Stock!E96))</f>
        <v>0</v>
      </c>
      <c r="K96" s="9">
        <f ca="1">IF(Stock!F96="",0,IF(ISNUMBER($E96),($E96+$F96)*Stock!F96/100,Stock!F96))</f>
        <v>0</v>
      </c>
      <c r="L96" s="9">
        <f ca="1">IF(Stock!G96="",0,IF(ISNUMBER($E96),($E96+$F96)*Stock!G96/100,Stock!G96))</f>
        <v>0</v>
      </c>
      <c r="M96" s="9">
        <f ca="1">IF(Stock!H96="",0,IF(ISNUMBER($E96),($E96+$F96)*Stock!H96/100,Stock!H96))</f>
        <v>0</v>
      </c>
      <c r="N96" s="9">
        <f ca="1">IF(Stock!I96="",0,IF(ISNUMBER($E96),($E96+$F96)*Stock!I96/100,Stock!I96))</f>
        <v>0</v>
      </c>
      <c r="O96" s="9">
        <f ca="1">IF(Stock!J96="",0,IF(ISNUMBER($E96),($E96+$F96)*Stock!J96/100,Stock!J96))</f>
        <v>0</v>
      </c>
      <c r="P96" s="9">
        <f ca="1">IF(Stock!K96="",0,IF(ISNUMBER($E96),($E96+$F96)*Stock!K96/100,Stock!K96))</f>
        <v>0</v>
      </c>
      <c r="Q96" s="9">
        <f ca="1">IF(Stock!L96="",0,IF(ISNUMBER($E96),($E96+$F96)*Stock!L96/100,Stock!L96))</f>
        <v>0</v>
      </c>
      <c r="R96" s="9">
        <f ca="1">IF(Stock!M96="",0,IF(ISNUMBER($E96),($E96+$F96)*Stock!M96/100,Stock!M96))</f>
        <v>0</v>
      </c>
      <c r="S96" s="9">
        <f ca="1">IF(Stock!N96="",0,IF(ISNUMBER($E96),($E96+$F96)*Stock!N96/100,Stock!N96))</f>
        <v>0</v>
      </c>
      <c r="T96" s="9">
        <f ca="1">IF(Stock!O96="",0,IF(ISNUMBER($E96),($E96+$F96)*Stock!O96/100,Stock!O96))</f>
        <v>0</v>
      </c>
      <c r="U96" s="9">
        <f ca="1">IF(Stock!P96="",0,IF(ISNUMBER($E96),($E96+$F96)*Stock!P96/100,Stock!P96))</f>
        <v>0</v>
      </c>
      <c r="V96" s="9">
        <f ca="1">IF(Stock!Q96="",0,IF(ISNUMBER($E96),($E96+$F96)*Stock!Q96/100,Stock!Q96))</f>
        <v>0</v>
      </c>
      <c r="W96" s="9">
        <f ca="1">IF(Stock!R96="",0,IF(ISNUMBER($E96),($E96+$F96)*Stock!R96/100,Stock!R96))</f>
        <v>0</v>
      </c>
      <c r="X96" s="9">
        <f ca="1">IF(Stock!S96="",0,IF(ISNUMBER($E96),($E96+$F96)*Stock!S96/100,Stock!S96))</f>
        <v>0</v>
      </c>
      <c r="Y96" s="9">
        <f ca="1">IF(Stock!T96="",0,IF(ISNUMBER($E96),($E96+$F96)*Stock!T96/100,Stock!T96))</f>
        <v>0</v>
      </c>
      <c r="Z96" s="9">
        <f ca="1">IF(Stock!U96="",0,IF(ISNUMBER($E96),($E96+$F96)*Stock!U96/100,Stock!U96))</f>
        <v>0</v>
      </c>
      <c r="AA96" s="9">
        <f ca="1">IF(Stock!V96="",0,IF(ISNUMBER($E96),($E96+$F96)*Stock!V96/100,Stock!V96))</f>
        <v>0</v>
      </c>
      <c r="AB96" s="9">
        <f ca="1">IF(Stock!W96="",0,IF(ISNUMBER($E96),($E96+$F96)*Stock!W96/100,Stock!W96))</f>
        <v>0</v>
      </c>
      <c r="AC96" s="9">
        <f ca="1">IF(Stock!X96="",0,IF(ISNUMBER($E96),($E96+$F96)*Stock!X96/100,Stock!X96))</f>
        <v>0</v>
      </c>
      <c r="AD96" s="9">
        <f ca="1">IF(Stock!Y96="",0,IF(ISNUMBER($E96),($E96+$F96)*Stock!Y96/100,Stock!Y96))</f>
        <v>0</v>
      </c>
      <c r="AE96" s="9">
        <f ca="1">IF(Stock!Z96="",0,IF(ISNUMBER($E96),($E96+$F96)*Stock!Z96/100,Stock!Z96))</f>
        <v>0</v>
      </c>
      <c r="AF96" s="9">
        <f ca="1">IF(Stock!AA96="",0,IF(ISNUMBER($E96),($E96+$F96)*Stock!AA96/100,Stock!AA96))</f>
        <v>0</v>
      </c>
      <c r="AG96" s="9">
        <f ca="1">IF(Stock!AB96="",0,IF(ISNUMBER($E96),($E96+$F96)*Stock!AB96/100,Stock!AB96))</f>
        <v>0</v>
      </c>
      <c r="AH96" s="9">
        <f ca="1">IF(Stock!AC96="",0,IF(ISNUMBER($E96),($E96+$F96)*Stock!AC96/100,Stock!AC96))</f>
        <v>0</v>
      </c>
      <c r="AI96" s="9">
        <f ca="1">IF(Stock!AD96="",0,IF(ISNUMBER($E96),($E96+$F96)*Stock!AD96/100,Stock!AD96))</f>
        <v>0</v>
      </c>
      <c r="AJ96" s="9">
        <f ca="1">IF(Stock!AE96="",0,IF(ISNUMBER($E96),($E96+$F96)*Stock!AE96/100,Stock!AE96))</f>
        <v>0</v>
      </c>
      <c r="AK96" s="9">
        <f ca="1">IF(Stock!AF96="",0,IF(ISNUMBER($E96),($E96+$F96)*Stock!AF96/100,Stock!AF96))</f>
        <v>0</v>
      </c>
      <c r="AL96" s="9">
        <f ca="1">IF(Stock!AG96="",0,IF(ISNUMBER($E96),($E96+$F96)*Stock!AG96/100,Stock!AG96))</f>
        <v>0</v>
      </c>
      <c r="AM96" s="9">
        <f ca="1">IF(Stock!AH96="",0,IF(ISNUMBER($E96),($E96+$F96)*Stock!AH96/100,Stock!AH96))</f>
        <v>0</v>
      </c>
      <c r="AN96" s="9">
        <f ca="1">IF(Stock!AI96="",0,IF(ISNUMBER($E96),($E96+$F96)*Stock!AI96/100,Stock!AI96))</f>
        <v>0</v>
      </c>
      <c r="AO96" s="9">
        <f ca="1">IF(Stock!AJ96="",0,IF(ISNUMBER($E96),($E96+$F96)*Stock!AJ96/100,Stock!AJ96))</f>
        <v>0</v>
      </c>
      <c r="AP96" s="9">
        <f ca="1">IF(Stock!AK96="",0,IF(ISNUMBER($E96),($E96+$F96)*Stock!AK96/100,Stock!AK96))</f>
        <v>0</v>
      </c>
      <c r="AQ96" s="9">
        <f ca="1">IF(Stock!AL96="",0,IF(ISNUMBER($E96),($E96+$F96)*Stock!AL96/100,Stock!AL96))</f>
        <v>0</v>
      </c>
      <c r="AR96" s="9">
        <f ca="1">IF(Stock!AM96="",0,IF(ISNUMBER($E96),($E96+$F96)*Stock!AM96/100,Stock!AM96))</f>
        <v>0</v>
      </c>
      <c r="AS96" s="9">
        <f ca="1">IF(Stock!AN96="",0,IF(ISNUMBER($E96),($E96+$F96)*Stock!AN96/100,Stock!AN96))</f>
        <v>0</v>
      </c>
      <c r="AT96" s="9">
        <f ca="1">IF(Stock!AO96="",0,IF(ISNUMBER($E96),($E96+$F96)*Stock!AO96/100,Stock!AO96))</f>
        <v>0</v>
      </c>
      <c r="AU96" s="9">
        <f ca="1">IF(Stock!AP96="",0,IF(ISNUMBER($E96),($E96+$F96)*Stock!AP96/100,Stock!AP96))</f>
        <v>0</v>
      </c>
      <c r="AV96" s="9">
        <f ca="1">IF(Stock!AQ96="",0,IF(ISNUMBER($E96),($E96+$F96)*Stock!AQ96/100,Stock!AQ96))</f>
        <v>0</v>
      </c>
      <c r="AW96" s="9">
        <f ca="1">IF(Stock!AR96="",0,IF(ISNUMBER($E96),($E96+$F96)*Stock!AR96/100,Stock!AR96))</f>
        <v>0</v>
      </c>
      <c r="AX96" s="9">
        <f ca="1">IF(Stock!AS96="",0,IF(ISNUMBER($E96),($E96+$F96)*Stock!AS96/100,Stock!AS96))</f>
        <v>0</v>
      </c>
      <c r="AY96" s="9">
        <f ca="1">IF(Stock!AT96="",0,IF(ISNUMBER($E96),($E96+$F96)*Stock!AT96/100,Stock!AT96))</f>
        <v>0</v>
      </c>
      <c r="AZ96" s="9">
        <f ca="1">IF(Stock!AU96="",0,IF(ISNUMBER($E96),($E96+$F96)*Stock!AU96/100,Stock!AU96))</f>
        <v>0</v>
      </c>
      <c r="BA96" s="9">
        <f ca="1">IF(Stock!AV96="",0,IF(ISNUMBER($E96),($E96+$F96)*Stock!AV96/100,Stock!AV96))</f>
        <v>0</v>
      </c>
      <c r="BB96" s="9">
        <f ca="1">IF(Stock!AW96="",0,IF(ISNUMBER($E96),($E96+$F96)*Stock!AW96/100,Stock!AW96))</f>
        <v>0</v>
      </c>
      <c r="BC96" s="9">
        <f ca="1">IF(Stock!AX96="",0,IF(ISNUMBER($E96),($E96+$F96)*Stock!AX96/100,Stock!AX96))</f>
        <v>0</v>
      </c>
    </row>
    <row r="97" spans="5:55" x14ac:dyDescent="0.3">
      <c r="E97" s="62">
        <f ca="1">IF(A97="",0,IF(LEFT(C97,3) = "USB",100*(1-_xll.BDP(D97 &amp; " Govt",E$1)*(B97-TODAY()+1)/36000),_xll.BDP(D97 &amp; " Govt",E$1)))</f>
        <v>0</v>
      </c>
      <c r="F97" s="62">
        <f>IF(A97="",0,IF(LEFT(D97,1) = "B",0,_xll.BDP(D97 &amp; " Govt",F$1)))</f>
        <v>0</v>
      </c>
      <c r="G97" s="9">
        <f>IF(Stock!B97="",0,IF(ISNUMBER($E97),($E97+$F97)*Stock!B97/100,Stock!B97))</f>
        <v>0</v>
      </c>
      <c r="H97" s="9">
        <f ca="1">IF(Stock!C97="",0,IF(ISNUMBER($E97),($E97+$F97)*Stock!C97/100,Stock!C97))</f>
        <v>0</v>
      </c>
      <c r="I97" s="9">
        <f ca="1">IF(Stock!D97="",0,IF(ISNUMBER($E97),($E97+$F97)*Stock!D97/100,Stock!D97))</f>
        <v>0</v>
      </c>
      <c r="J97" s="9">
        <f ca="1">IF(Stock!E97="",0,IF(ISNUMBER($E97),($E97+$F97)*Stock!E97/100,Stock!E97))</f>
        <v>0</v>
      </c>
      <c r="K97" s="9">
        <f ca="1">IF(Stock!F97="",0,IF(ISNUMBER($E97),($E97+$F97)*Stock!F97/100,Stock!F97))</f>
        <v>0</v>
      </c>
      <c r="L97" s="9">
        <f ca="1">IF(Stock!G97="",0,IF(ISNUMBER($E97),($E97+$F97)*Stock!G97/100,Stock!G97))</f>
        <v>0</v>
      </c>
      <c r="M97" s="9">
        <f ca="1">IF(Stock!H97="",0,IF(ISNUMBER($E97),($E97+$F97)*Stock!H97/100,Stock!H97))</f>
        <v>0</v>
      </c>
      <c r="N97" s="9">
        <f ca="1">IF(Stock!I97="",0,IF(ISNUMBER($E97),($E97+$F97)*Stock!I97/100,Stock!I97))</f>
        <v>0</v>
      </c>
      <c r="O97" s="9">
        <f ca="1">IF(Stock!J97="",0,IF(ISNUMBER($E97),($E97+$F97)*Stock!J97/100,Stock!J97))</f>
        <v>0</v>
      </c>
      <c r="P97" s="9">
        <f ca="1">IF(Stock!K97="",0,IF(ISNUMBER($E97),($E97+$F97)*Stock!K97/100,Stock!K97))</f>
        <v>0</v>
      </c>
      <c r="Q97" s="9">
        <f ca="1">IF(Stock!L97="",0,IF(ISNUMBER($E97),($E97+$F97)*Stock!L97/100,Stock!L97))</f>
        <v>0</v>
      </c>
      <c r="R97" s="9">
        <f ca="1">IF(Stock!M97="",0,IF(ISNUMBER($E97),($E97+$F97)*Stock!M97/100,Stock!M97))</f>
        <v>0</v>
      </c>
      <c r="S97" s="9">
        <f ca="1">IF(Stock!N97="",0,IF(ISNUMBER($E97),($E97+$F97)*Stock!N97/100,Stock!N97))</f>
        <v>0</v>
      </c>
      <c r="T97" s="9">
        <f ca="1">IF(Stock!O97="",0,IF(ISNUMBER($E97),($E97+$F97)*Stock!O97/100,Stock!O97))</f>
        <v>0</v>
      </c>
      <c r="U97" s="9">
        <f ca="1">IF(Stock!P97="",0,IF(ISNUMBER($E97),($E97+$F97)*Stock!P97/100,Stock!P97))</f>
        <v>0</v>
      </c>
      <c r="V97" s="9">
        <f ca="1">IF(Stock!Q97="",0,IF(ISNUMBER($E97),($E97+$F97)*Stock!Q97/100,Stock!Q97))</f>
        <v>0</v>
      </c>
      <c r="W97" s="9">
        <f ca="1">IF(Stock!R97="",0,IF(ISNUMBER($E97),($E97+$F97)*Stock!R97/100,Stock!R97))</f>
        <v>0</v>
      </c>
      <c r="X97" s="9">
        <f ca="1">IF(Stock!S97="",0,IF(ISNUMBER($E97),($E97+$F97)*Stock!S97/100,Stock!S97))</f>
        <v>0</v>
      </c>
      <c r="Y97" s="9">
        <f ca="1">IF(Stock!T97="",0,IF(ISNUMBER($E97),($E97+$F97)*Stock!T97/100,Stock!T97))</f>
        <v>0</v>
      </c>
      <c r="Z97" s="9">
        <f ca="1">IF(Stock!U97="",0,IF(ISNUMBER($E97),($E97+$F97)*Stock!U97/100,Stock!U97))</f>
        <v>0</v>
      </c>
      <c r="AA97" s="9">
        <f ca="1">IF(Stock!V97="",0,IF(ISNUMBER($E97),($E97+$F97)*Stock!V97/100,Stock!V97))</f>
        <v>0</v>
      </c>
      <c r="AB97" s="9">
        <f ca="1">IF(Stock!W97="",0,IF(ISNUMBER($E97),($E97+$F97)*Stock!W97/100,Stock!W97))</f>
        <v>0</v>
      </c>
      <c r="AC97" s="9">
        <f ca="1">IF(Stock!X97="",0,IF(ISNUMBER($E97),($E97+$F97)*Stock!X97/100,Stock!X97))</f>
        <v>0</v>
      </c>
      <c r="AD97" s="9">
        <f ca="1">IF(Stock!Y97="",0,IF(ISNUMBER($E97),($E97+$F97)*Stock!Y97/100,Stock!Y97))</f>
        <v>0</v>
      </c>
      <c r="AE97" s="9">
        <f ca="1">IF(Stock!Z97="",0,IF(ISNUMBER($E97),($E97+$F97)*Stock!Z97/100,Stock!Z97))</f>
        <v>0</v>
      </c>
      <c r="AF97" s="9">
        <f ca="1">IF(Stock!AA97="",0,IF(ISNUMBER($E97),($E97+$F97)*Stock!AA97/100,Stock!AA97))</f>
        <v>0</v>
      </c>
      <c r="AG97" s="9">
        <f ca="1">IF(Stock!AB97="",0,IF(ISNUMBER($E97),($E97+$F97)*Stock!AB97/100,Stock!AB97))</f>
        <v>0</v>
      </c>
      <c r="AH97" s="9">
        <f ca="1">IF(Stock!AC97="",0,IF(ISNUMBER($E97),($E97+$F97)*Stock!AC97/100,Stock!AC97))</f>
        <v>0</v>
      </c>
      <c r="AI97" s="9">
        <f ca="1">IF(Stock!AD97="",0,IF(ISNUMBER($E97),($E97+$F97)*Stock!AD97/100,Stock!AD97))</f>
        <v>0</v>
      </c>
      <c r="AJ97" s="9">
        <f ca="1">IF(Stock!AE97="",0,IF(ISNUMBER($E97),($E97+$F97)*Stock!AE97/100,Stock!AE97))</f>
        <v>0</v>
      </c>
      <c r="AK97" s="9">
        <f ca="1">IF(Stock!AF97="",0,IF(ISNUMBER($E97),($E97+$F97)*Stock!AF97/100,Stock!AF97))</f>
        <v>0</v>
      </c>
      <c r="AL97" s="9">
        <f ca="1">IF(Stock!AG97="",0,IF(ISNUMBER($E97),($E97+$F97)*Stock!AG97/100,Stock!AG97))</f>
        <v>0</v>
      </c>
      <c r="AM97" s="9">
        <f ca="1">IF(Stock!AH97="",0,IF(ISNUMBER($E97),($E97+$F97)*Stock!AH97/100,Stock!AH97))</f>
        <v>0</v>
      </c>
      <c r="AN97" s="9">
        <f ca="1">IF(Stock!AI97="",0,IF(ISNUMBER($E97),($E97+$F97)*Stock!AI97/100,Stock!AI97))</f>
        <v>0</v>
      </c>
      <c r="AO97" s="9">
        <f ca="1">IF(Stock!AJ97="",0,IF(ISNUMBER($E97),($E97+$F97)*Stock!AJ97/100,Stock!AJ97))</f>
        <v>0</v>
      </c>
      <c r="AP97" s="9">
        <f ca="1">IF(Stock!AK97="",0,IF(ISNUMBER($E97),($E97+$F97)*Stock!AK97/100,Stock!AK97))</f>
        <v>0</v>
      </c>
      <c r="AQ97" s="9">
        <f ca="1">IF(Stock!AL97="",0,IF(ISNUMBER($E97),($E97+$F97)*Stock!AL97/100,Stock!AL97))</f>
        <v>0</v>
      </c>
      <c r="AR97" s="9">
        <f ca="1">IF(Stock!AM97="",0,IF(ISNUMBER($E97),($E97+$F97)*Stock!AM97/100,Stock!AM97))</f>
        <v>0</v>
      </c>
      <c r="AS97" s="9">
        <f ca="1">IF(Stock!AN97="",0,IF(ISNUMBER($E97),($E97+$F97)*Stock!AN97/100,Stock!AN97))</f>
        <v>0</v>
      </c>
      <c r="AT97" s="9">
        <f ca="1">IF(Stock!AO97="",0,IF(ISNUMBER($E97),($E97+$F97)*Stock!AO97/100,Stock!AO97))</f>
        <v>0</v>
      </c>
      <c r="AU97" s="9">
        <f ca="1">IF(Stock!AP97="",0,IF(ISNUMBER($E97),($E97+$F97)*Stock!AP97/100,Stock!AP97))</f>
        <v>0</v>
      </c>
      <c r="AV97" s="9">
        <f ca="1">IF(Stock!AQ97="",0,IF(ISNUMBER($E97),($E97+$F97)*Stock!AQ97/100,Stock!AQ97))</f>
        <v>0</v>
      </c>
      <c r="AW97" s="9">
        <f ca="1">IF(Stock!AR97="",0,IF(ISNUMBER($E97),($E97+$F97)*Stock!AR97/100,Stock!AR97))</f>
        <v>0</v>
      </c>
      <c r="AX97" s="9">
        <f ca="1">IF(Stock!AS97="",0,IF(ISNUMBER($E97),($E97+$F97)*Stock!AS97/100,Stock!AS97))</f>
        <v>0</v>
      </c>
      <c r="AY97" s="9">
        <f ca="1">IF(Stock!AT97="",0,IF(ISNUMBER($E97),($E97+$F97)*Stock!AT97/100,Stock!AT97))</f>
        <v>0</v>
      </c>
      <c r="AZ97" s="9">
        <f ca="1">IF(Stock!AU97="",0,IF(ISNUMBER($E97),($E97+$F97)*Stock!AU97/100,Stock!AU97))</f>
        <v>0</v>
      </c>
      <c r="BA97" s="9">
        <f ca="1">IF(Stock!AV97="",0,IF(ISNUMBER($E97),($E97+$F97)*Stock!AV97/100,Stock!AV97))</f>
        <v>0</v>
      </c>
      <c r="BB97" s="9">
        <f ca="1">IF(Stock!AW97="",0,IF(ISNUMBER($E97),($E97+$F97)*Stock!AW97/100,Stock!AW97))</f>
        <v>0</v>
      </c>
      <c r="BC97" s="9">
        <f ca="1">IF(Stock!AX97="",0,IF(ISNUMBER($E97),($E97+$F97)*Stock!AX97/100,Stock!AX97))</f>
        <v>0</v>
      </c>
    </row>
    <row r="98" spans="5:55" x14ac:dyDescent="0.3">
      <c r="E98" s="62">
        <f ca="1">IF(A98="",0,IF(LEFT(C98,3) = "USB",100*(1-_xll.BDP(D98 &amp; " Govt",E$1)*(B98-TODAY()+1)/36000),_xll.BDP(D98 &amp; " Govt",E$1)))</f>
        <v>0</v>
      </c>
      <c r="F98" s="62">
        <f>IF(A98="",0,IF(LEFT(D98,1) = "B",0,_xll.BDP(D98 &amp; " Govt",F$1)))</f>
        <v>0</v>
      </c>
      <c r="G98" s="9">
        <f>IF(Stock!B98="",0,IF(ISNUMBER($E98),($E98+$F98)*Stock!B98/100,Stock!B98))</f>
        <v>0</v>
      </c>
      <c r="H98" s="9">
        <f ca="1">IF(Stock!C98="",0,IF(ISNUMBER($E98),($E98+$F98)*Stock!C98/100,Stock!C98))</f>
        <v>0</v>
      </c>
      <c r="I98" s="9">
        <f ca="1">IF(Stock!D98="",0,IF(ISNUMBER($E98),($E98+$F98)*Stock!D98/100,Stock!D98))</f>
        <v>0</v>
      </c>
      <c r="J98" s="9">
        <f ca="1">IF(Stock!E98="",0,IF(ISNUMBER($E98),($E98+$F98)*Stock!E98/100,Stock!E98))</f>
        <v>0</v>
      </c>
      <c r="K98" s="9">
        <f ca="1">IF(Stock!F98="",0,IF(ISNUMBER($E98),($E98+$F98)*Stock!F98/100,Stock!F98))</f>
        <v>0</v>
      </c>
      <c r="L98" s="9">
        <f ca="1">IF(Stock!G98="",0,IF(ISNUMBER($E98),($E98+$F98)*Stock!G98/100,Stock!G98))</f>
        <v>0</v>
      </c>
      <c r="M98" s="9">
        <f ca="1">IF(Stock!H98="",0,IF(ISNUMBER($E98),($E98+$F98)*Stock!H98/100,Stock!H98))</f>
        <v>0</v>
      </c>
      <c r="N98" s="9">
        <f ca="1">IF(Stock!I98="",0,IF(ISNUMBER($E98),($E98+$F98)*Stock!I98/100,Stock!I98))</f>
        <v>0</v>
      </c>
      <c r="O98" s="9">
        <f ca="1">IF(Stock!J98="",0,IF(ISNUMBER($E98),($E98+$F98)*Stock!J98/100,Stock!J98))</f>
        <v>0</v>
      </c>
      <c r="P98" s="9">
        <f ca="1">IF(Stock!K98="",0,IF(ISNUMBER($E98),($E98+$F98)*Stock!K98/100,Stock!K98))</f>
        <v>0</v>
      </c>
      <c r="Q98" s="9">
        <f ca="1">IF(Stock!L98="",0,IF(ISNUMBER($E98),($E98+$F98)*Stock!L98/100,Stock!L98))</f>
        <v>0</v>
      </c>
      <c r="R98" s="9">
        <f ca="1">IF(Stock!M98="",0,IF(ISNUMBER($E98),($E98+$F98)*Stock!M98/100,Stock!M98))</f>
        <v>0</v>
      </c>
      <c r="S98" s="9">
        <f ca="1">IF(Stock!N98="",0,IF(ISNUMBER($E98),($E98+$F98)*Stock!N98/100,Stock!N98))</f>
        <v>0</v>
      </c>
      <c r="T98" s="9">
        <f ca="1">IF(Stock!O98="",0,IF(ISNUMBER($E98),($E98+$F98)*Stock!O98/100,Stock!O98))</f>
        <v>0</v>
      </c>
      <c r="U98" s="9">
        <f ca="1">IF(Stock!P98="",0,IF(ISNUMBER($E98),($E98+$F98)*Stock!P98/100,Stock!P98))</f>
        <v>0</v>
      </c>
      <c r="V98" s="9">
        <f ca="1">IF(Stock!Q98="",0,IF(ISNUMBER($E98),($E98+$F98)*Stock!Q98/100,Stock!Q98))</f>
        <v>0</v>
      </c>
      <c r="W98" s="9">
        <f ca="1">IF(Stock!R98="",0,IF(ISNUMBER($E98),($E98+$F98)*Stock!R98/100,Stock!R98))</f>
        <v>0</v>
      </c>
      <c r="X98" s="9">
        <f ca="1">IF(Stock!S98="",0,IF(ISNUMBER($E98),($E98+$F98)*Stock!S98/100,Stock!S98))</f>
        <v>0</v>
      </c>
      <c r="Y98" s="9">
        <f ca="1">IF(Stock!T98="",0,IF(ISNUMBER($E98),($E98+$F98)*Stock!T98/100,Stock!T98))</f>
        <v>0</v>
      </c>
      <c r="Z98" s="9">
        <f ca="1">IF(Stock!U98="",0,IF(ISNUMBER($E98),($E98+$F98)*Stock!U98/100,Stock!U98))</f>
        <v>0</v>
      </c>
      <c r="AA98" s="9">
        <f ca="1">IF(Stock!V98="",0,IF(ISNUMBER($E98),($E98+$F98)*Stock!V98/100,Stock!V98))</f>
        <v>0</v>
      </c>
      <c r="AB98" s="9">
        <f ca="1">IF(Stock!W98="",0,IF(ISNUMBER($E98),($E98+$F98)*Stock!W98/100,Stock!W98))</f>
        <v>0</v>
      </c>
      <c r="AC98" s="9">
        <f ca="1">IF(Stock!X98="",0,IF(ISNUMBER($E98),($E98+$F98)*Stock!X98/100,Stock!X98))</f>
        <v>0</v>
      </c>
      <c r="AD98" s="9">
        <f ca="1">IF(Stock!Y98="",0,IF(ISNUMBER($E98),($E98+$F98)*Stock!Y98/100,Stock!Y98))</f>
        <v>0</v>
      </c>
      <c r="AE98" s="9">
        <f ca="1">IF(Stock!Z98="",0,IF(ISNUMBER($E98),($E98+$F98)*Stock!Z98/100,Stock!Z98))</f>
        <v>0</v>
      </c>
      <c r="AF98" s="9">
        <f ca="1">IF(Stock!AA98="",0,IF(ISNUMBER($E98),($E98+$F98)*Stock!AA98/100,Stock!AA98))</f>
        <v>0</v>
      </c>
      <c r="AG98" s="9">
        <f ca="1">IF(Stock!AB98="",0,IF(ISNUMBER($E98),($E98+$F98)*Stock!AB98/100,Stock!AB98))</f>
        <v>0</v>
      </c>
      <c r="AH98" s="9">
        <f ca="1">IF(Stock!AC98="",0,IF(ISNUMBER($E98),($E98+$F98)*Stock!AC98/100,Stock!AC98))</f>
        <v>0</v>
      </c>
      <c r="AI98" s="9">
        <f ca="1">IF(Stock!AD98="",0,IF(ISNUMBER($E98),($E98+$F98)*Stock!AD98/100,Stock!AD98))</f>
        <v>0</v>
      </c>
      <c r="AJ98" s="9">
        <f ca="1">IF(Stock!AE98="",0,IF(ISNUMBER($E98),($E98+$F98)*Stock!AE98/100,Stock!AE98))</f>
        <v>0</v>
      </c>
      <c r="AK98" s="9">
        <f ca="1">IF(Stock!AF98="",0,IF(ISNUMBER($E98),($E98+$F98)*Stock!AF98/100,Stock!AF98))</f>
        <v>0</v>
      </c>
      <c r="AL98" s="9">
        <f ca="1">IF(Stock!AG98="",0,IF(ISNUMBER($E98),($E98+$F98)*Stock!AG98/100,Stock!AG98))</f>
        <v>0</v>
      </c>
      <c r="AM98" s="9">
        <f ca="1">IF(Stock!AH98="",0,IF(ISNUMBER($E98),($E98+$F98)*Stock!AH98/100,Stock!AH98))</f>
        <v>0</v>
      </c>
      <c r="AN98" s="9">
        <f ca="1">IF(Stock!AI98="",0,IF(ISNUMBER($E98),($E98+$F98)*Stock!AI98/100,Stock!AI98))</f>
        <v>0</v>
      </c>
      <c r="AO98" s="9">
        <f ca="1">IF(Stock!AJ98="",0,IF(ISNUMBER($E98),($E98+$F98)*Stock!AJ98/100,Stock!AJ98))</f>
        <v>0</v>
      </c>
      <c r="AP98" s="9">
        <f ca="1">IF(Stock!AK98="",0,IF(ISNUMBER($E98),($E98+$F98)*Stock!AK98/100,Stock!AK98))</f>
        <v>0</v>
      </c>
      <c r="AQ98" s="9">
        <f ca="1">IF(Stock!AL98="",0,IF(ISNUMBER($E98),($E98+$F98)*Stock!AL98/100,Stock!AL98))</f>
        <v>0</v>
      </c>
      <c r="AR98" s="9">
        <f ca="1">IF(Stock!AM98="",0,IF(ISNUMBER($E98),($E98+$F98)*Stock!AM98/100,Stock!AM98))</f>
        <v>0</v>
      </c>
      <c r="AS98" s="9">
        <f ca="1">IF(Stock!AN98="",0,IF(ISNUMBER($E98),($E98+$F98)*Stock!AN98/100,Stock!AN98))</f>
        <v>0</v>
      </c>
      <c r="AT98" s="9">
        <f ca="1">IF(Stock!AO98="",0,IF(ISNUMBER($E98),($E98+$F98)*Stock!AO98/100,Stock!AO98))</f>
        <v>0</v>
      </c>
      <c r="AU98" s="9">
        <f ca="1">IF(Stock!AP98="",0,IF(ISNUMBER($E98),($E98+$F98)*Stock!AP98/100,Stock!AP98))</f>
        <v>0</v>
      </c>
      <c r="AV98" s="9">
        <f ca="1">IF(Stock!AQ98="",0,IF(ISNUMBER($E98),($E98+$F98)*Stock!AQ98/100,Stock!AQ98))</f>
        <v>0</v>
      </c>
      <c r="AW98" s="9">
        <f ca="1">IF(Stock!AR98="",0,IF(ISNUMBER($E98),($E98+$F98)*Stock!AR98/100,Stock!AR98))</f>
        <v>0</v>
      </c>
      <c r="AX98" s="9">
        <f ca="1">IF(Stock!AS98="",0,IF(ISNUMBER($E98),($E98+$F98)*Stock!AS98/100,Stock!AS98))</f>
        <v>0</v>
      </c>
      <c r="AY98" s="9">
        <f ca="1">IF(Stock!AT98="",0,IF(ISNUMBER($E98),($E98+$F98)*Stock!AT98/100,Stock!AT98))</f>
        <v>0</v>
      </c>
      <c r="AZ98" s="9">
        <f ca="1">IF(Stock!AU98="",0,IF(ISNUMBER($E98),($E98+$F98)*Stock!AU98/100,Stock!AU98))</f>
        <v>0</v>
      </c>
      <c r="BA98" s="9">
        <f ca="1">IF(Stock!AV98="",0,IF(ISNUMBER($E98),($E98+$F98)*Stock!AV98/100,Stock!AV98))</f>
        <v>0</v>
      </c>
      <c r="BB98" s="9">
        <f ca="1">IF(Stock!AW98="",0,IF(ISNUMBER($E98),($E98+$F98)*Stock!AW98/100,Stock!AW98))</f>
        <v>0</v>
      </c>
      <c r="BC98" s="9">
        <f ca="1">IF(Stock!AX98="",0,IF(ISNUMBER($E98),($E98+$F98)*Stock!AX98/100,Stock!AX98))</f>
        <v>0</v>
      </c>
    </row>
    <row r="99" spans="5:55" x14ac:dyDescent="0.3">
      <c r="E99" s="62">
        <f ca="1">IF(A99="",0,IF(LEFT(C99,3) = "USB",100*(1-_xll.BDP(D99 &amp; " Govt",E$1)*(B99-TODAY()+1)/36000),_xll.BDP(D99 &amp; " Govt",E$1)))</f>
        <v>0</v>
      </c>
      <c r="F99" s="62">
        <f>IF(A99="",0,IF(LEFT(D99,1) = "B",0,_xll.BDP(D99 &amp; " Govt",F$1)))</f>
        <v>0</v>
      </c>
      <c r="G99" s="9">
        <f>IF(Stock!B99="",0,IF(ISNUMBER($E99),($E99+$F99)*Stock!B99/100,Stock!B99))</f>
        <v>0</v>
      </c>
      <c r="H99" s="9">
        <f ca="1">IF(Stock!C99="",0,IF(ISNUMBER($E99),($E99+$F99)*Stock!C99/100,Stock!C99))</f>
        <v>0</v>
      </c>
      <c r="I99" s="9">
        <f ca="1">IF(Stock!D99="",0,IF(ISNUMBER($E99),($E99+$F99)*Stock!D99/100,Stock!D99))</f>
        <v>0</v>
      </c>
      <c r="J99" s="9">
        <f ca="1">IF(Stock!E99="",0,IF(ISNUMBER($E99),($E99+$F99)*Stock!E99/100,Stock!E99))</f>
        <v>0</v>
      </c>
      <c r="K99" s="9">
        <f ca="1">IF(Stock!F99="",0,IF(ISNUMBER($E99),($E99+$F99)*Stock!F99/100,Stock!F99))</f>
        <v>0</v>
      </c>
      <c r="L99" s="9">
        <f ca="1">IF(Stock!G99="",0,IF(ISNUMBER($E99),($E99+$F99)*Stock!G99/100,Stock!G99))</f>
        <v>0</v>
      </c>
      <c r="M99" s="9">
        <f ca="1">IF(Stock!H99="",0,IF(ISNUMBER($E99),($E99+$F99)*Stock!H99/100,Stock!H99))</f>
        <v>0</v>
      </c>
      <c r="N99" s="9">
        <f ca="1">IF(Stock!I99="",0,IF(ISNUMBER($E99),($E99+$F99)*Stock!I99/100,Stock!I99))</f>
        <v>0</v>
      </c>
      <c r="O99" s="9">
        <f ca="1">IF(Stock!J99="",0,IF(ISNUMBER($E99),($E99+$F99)*Stock!J99/100,Stock!J99))</f>
        <v>0</v>
      </c>
      <c r="P99" s="9">
        <f ca="1">IF(Stock!K99="",0,IF(ISNUMBER($E99),($E99+$F99)*Stock!K99/100,Stock!K99))</f>
        <v>0</v>
      </c>
      <c r="Q99" s="9">
        <f ca="1">IF(Stock!L99="",0,IF(ISNUMBER($E99),($E99+$F99)*Stock!L99/100,Stock!L99))</f>
        <v>0</v>
      </c>
      <c r="R99" s="9">
        <f ca="1">IF(Stock!M99="",0,IF(ISNUMBER($E99),($E99+$F99)*Stock!M99/100,Stock!M99))</f>
        <v>0</v>
      </c>
      <c r="S99" s="9">
        <f ca="1">IF(Stock!N99="",0,IF(ISNUMBER($E99),($E99+$F99)*Stock!N99/100,Stock!N99))</f>
        <v>0</v>
      </c>
      <c r="T99" s="9">
        <f ca="1">IF(Stock!O99="",0,IF(ISNUMBER($E99),($E99+$F99)*Stock!O99/100,Stock!O99))</f>
        <v>0</v>
      </c>
      <c r="U99" s="9">
        <f ca="1">IF(Stock!P99="",0,IF(ISNUMBER($E99),($E99+$F99)*Stock!P99/100,Stock!P99))</f>
        <v>0</v>
      </c>
      <c r="V99" s="9">
        <f ca="1">IF(Stock!Q99="",0,IF(ISNUMBER($E99),($E99+$F99)*Stock!Q99/100,Stock!Q99))</f>
        <v>0</v>
      </c>
      <c r="W99" s="9">
        <f ca="1">IF(Stock!R99="",0,IF(ISNUMBER($E99),($E99+$F99)*Stock!R99/100,Stock!R99))</f>
        <v>0</v>
      </c>
      <c r="X99" s="9">
        <f ca="1">IF(Stock!S99="",0,IF(ISNUMBER($E99),($E99+$F99)*Stock!S99/100,Stock!S99))</f>
        <v>0</v>
      </c>
      <c r="Y99" s="9">
        <f ca="1">IF(Stock!T99="",0,IF(ISNUMBER($E99),($E99+$F99)*Stock!T99/100,Stock!T99))</f>
        <v>0</v>
      </c>
      <c r="Z99" s="9">
        <f ca="1">IF(Stock!U99="",0,IF(ISNUMBER($E99),($E99+$F99)*Stock!U99/100,Stock!U99))</f>
        <v>0</v>
      </c>
      <c r="AA99" s="9">
        <f ca="1">IF(Stock!V99="",0,IF(ISNUMBER($E99),($E99+$F99)*Stock!V99/100,Stock!V99))</f>
        <v>0</v>
      </c>
      <c r="AB99" s="9">
        <f ca="1">IF(Stock!W99="",0,IF(ISNUMBER($E99),($E99+$F99)*Stock!W99/100,Stock!W99))</f>
        <v>0</v>
      </c>
      <c r="AC99" s="9">
        <f ca="1">IF(Stock!X99="",0,IF(ISNUMBER($E99),($E99+$F99)*Stock!X99/100,Stock!X99))</f>
        <v>0</v>
      </c>
      <c r="AD99" s="9">
        <f ca="1">IF(Stock!Y99="",0,IF(ISNUMBER($E99),($E99+$F99)*Stock!Y99/100,Stock!Y99))</f>
        <v>0</v>
      </c>
      <c r="AE99" s="9">
        <f ca="1">IF(Stock!Z99="",0,IF(ISNUMBER($E99),($E99+$F99)*Stock!Z99/100,Stock!Z99))</f>
        <v>0</v>
      </c>
      <c r="AF99" s="9">
        <f ca="1">IF(Stock!AA99="",0,IF(ISNUMBER($E99),($E99+$F99)*Stock!AA99/100,Stock!AA99))</f>
        <v>0</v>
      </c>
      <c r="AG99" s="9">
        <f ca="1">IF(Stock!AB99="",0,IF(ISNUMBER($E99),($E99+$F99)*Stock!AB99/100,Stock!AB99))</f>
        <v>0</v>
      </c>
      <c r="AH99" s="9">
        <f ca="1">IF(Stock!AC99="",0,IF(ISNUMBER($E99),($E99+$F99)*Stock!AC99/100,Stock!AC99))</f>
        <v>0</v>
      </c>
      <c r="AI99" s="9">
        <f ca="1">IF(Stock!AD99="",0,IF(ISNUMBER($E99),($E99+$F99)*Stock!AD99/100,Stock!AD99))</f>
        <v>0</v>
      </c>
      <c r="AJ99" s="9">
        <f ca="1">IF(Stock!AE99="",0,IF(ISNUMBER($E99),($E99+$F99)*Stock!AE99/100,Stock!AE99))</f>
        <v>0</v>
      </c>
      <c r="AK99" s="9">
        <f ca="1">IF(Stock!AF99="",0,IF(ISNUMBER($E99),($E99+$F99)*Stock!AF99/100,Stock!AF99))</f>
        <v>0</v>
      </c>
      <c r="AL99" s="9">
        <f ca="1">IF(Stock!AG99="",0,IF(ISNUMBER($E99),($E99+$F99)*Stock!AG99/100,Stock!AG99))</f>
        <v>0</v>
      </c>
      <c r="AM99" s="9">
        <f ca="1">IF(Stock!AH99="",0,IF(ISNUMBER($E99),($E99+$F99)*Stock!AH99/100,Stock!AH99))</f>
        <v>0</v>
      </c>
      <c r="AN99" s="9">
        <f ca="1">IF(Stock!AI99="",0,IF(ISNUMBER($E99),($E99+$F99)*Stock!AI99/100,Stock!AI99))</f>
        <v>0</v>
      </c>
      <c r="AO99" s="9">
        <f ca="1">IF(Stock!AJ99="",0,IF(ISNUMBER($E99),($E99+$F99)*Stock!AJ99/100,Stock!AJ99))</f>
        <v>0</v>
      </c>
      <c r="AP99" s="9">
        <f ca="1">IF(Stock!AK99="",0,IF(ISNUMBER($E99),($E99+$F99)*Stock!AK99/100,Stock!AK99))</f>
        <v>0</v>
      </c>
      <c r="AQ99" s="9">
        <f ca="1">IF(Stock!AL99="",0,IF(ISNUMBER($E99),($E99+$F99)*Stock!AL99/100,Stock!AL99))</f>
        <v>0</v>
      </c>
      <c r="AR99" s="9">
        <f ca="1">IF(Stock!AM99="",0,IF(ISNUMBER($E99),($E99+$F99)*Stock!AM99/100,Stock!AM99))</f>
        <v>0</v>
      </c>
      <c r="AS99" s="9">
        <f ca="1">IF(Stock!AN99="",0,IF(ISNUMBER($E99),($E99+$F99)*Stock!AN99/100,Stock!AN99))</f>
        <v>0</v>
      </c>
      <c r="AT99" s="9">
        <f ca="1">IF(Stock!AO99="",0,IF(ISNUMBER($E99),($E99+$F99)*Stock!AO99/100,Stock!AO99))</f>
        <v>0</v>
      </c>
      <c r="AU99" s="9">
        <f ca="1">IF(Stock!AP99="",0,IF(ISNUMBER($E99),($E99+$F99)*Stock!AP99/100,Stock!AP99))</f>
        <v>0</v>
      </c>
      <c r="AV99" s="9">
        <f ca="1">IF(Stock!AQ99="",0,IF(ISNUMBER($E99),($E99+$F99)*Stock!AQ99/100,Stock!AQ99))</f>
        <v>0</v>
      </c>
      <c r="AW99" s="9">
        <f ca="1">IF(Stock!AR99="",0,IF(ISNUMBER($E99),($E99+$F99)*Stock!AR99/100,Stock!AR99))</f>
        <v>0</v>
      </c>
      <c r="AX99" s="9">
        <f ca="1">IF(Stock!AS99="",0,IF(ISNUMBER($E99),($E99+$F99)*Stock!AS99/100,Stock!AS99))</f>
        <v>0</v>
      </c>
      <c r="AY99" s="9">
        <f ca="1">IF(Stock!AT99="",0,IF(ISNUMBER($E99),($E99+$F99)*Stock!AT99/100,Stock!AT99))</f>
        <v>0</v>
      </c>
      <c r="AZ99" s="9">
        <f ca="1">IF(Stock!AU99="",0,IF(ISNUMBER($E99),($E99+$F99)*Stock!AU99/100,Stock!AU99))</f>
        <v>0</v>
      </c>
      <c r="BA99" s="9">
        <f ca="1">IF(Stock!AV99="",0,IF(ISNUMBER($E99),($E99+$F99)*Stock!AV99/100,Stock!AV99))</f>
        <v>0</v>
      </c>
      <c r="BB99" s="9">
        <f ca="1">IF(Stock!AW99="",0,IF(ISNUMBER($E99),($E99+$F99)*Stock!AW99/100,Stock!AW99))</f>
        <v>0</v>
      </c>
      <c r="BC99" s="9">
        <f ca="1">IF(Stock!AX99="",0,IF(ISNUMBER($E99),($E99+$F99)*Stock!AX99/100,Stock!AX99))</f>
        <v>0</v>
      </c>
    </row>
  </sheetData>
  <sheetProtection selectLockedCells="1"/>
  <customSheetViews>
    <customSheetView guid="{00EB2128-6FEB-46D9-8228-9DEE2E0F997A}">
      <selection activeCell="I3" sqref="I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selection activeCell="I3" sqref="I3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legacy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4"/>
  </sheetPr>
  <dimension ref="A1:CM99"/>
  <sheetViews>
    <sheetView workbookViewId="0">
      <selection activeCell="I38" sqref="I38"/>
    </sheetView>
  </sheetViews>
  <sheetFormatPr baseColWidth="10" defaultColWidth="11.3984375" defaultRowHeight="10.199999999999999" x14ac:dyDescent="0.3"/>
  <cols>
    <col min="1" max="1" width="10.86328125" style="1" customWidth="1"/>
    <col min="2" max="2" width="10.86328125" style="1" bestFit="1" customWidth="1"/>
    <col min="3" max="16384" width="11.3984375" style="1"/>
  </cols>
  <sheetData>
    <row r="1" spans="1:91" s="7" customFormat="1" x14ac:dyDescent="0.3">
      <c r="A1" s="7" t="s">
        <v>21</v>
      </c>
      <c r="B1" s="14">
        <f>'Stock UST'!F$1</f>
        <v>41089</v>
      </c>
      <c r="C1" s="14" t="e">
        <f ca="1">_xll.CALENDRIER.JOURS.OUVRES(B$1,"USD",1)</f>
        <v>#NAME?</v>
      </c>
      <c r="D1" s="14" t="e">
        <f ca="1">_xll.CALENDRIER.JOURS.OUVRES(C$1,"USD",1)</f>
        <v>#NAME?</v>
      </c>
      <c r="E1" s="14" t="e">
        <f ca="1">_xll.CALENDRIER.JOURS.OUVRES(D$1,"USD",1)</f>
        <v>#NAME?</v>
      </c>
      <c r="F1" s="14" t="e">
        <f ca="1">_xll.CALENDRIER.JOURS.OUVRES(E$1,"USD",1)</f>
        <v>#NAME?</v>
      </c>
      <c r="G1" s="14" t="e">
        <f ca="1">_xll.CALENDRIER.JOURS.OUVRES(F$1,"USD",1)</f>
        <v>#NAME?</v>
      </c>
      <c r="H1" s="14" t="e">
        <f ca="1">_xll.CALENDRIER.JOURS.OUVRES(G$1,"USD",1)</f>
        <v>#NAME?</v>
      </c>
      <c r="I1" s="14" t="e">
        <f ca="1">_xll.CALENDRIER.JOURS.OUVRES(H$1,"USD",1)</f>
        <v>#NAME?</v>
      </c>
      <c r="J1" s="14" t="e">
        <f ca="1">_xll.CALENDRIER.JOURS.OUVRES(I$1,"USD",1)</f>
        <v>#NAME?</v>
      </c>
      <c r="K1" s="14" t="e">
        <f ca="1">_xll.CALENDRIER.JOURS.OUVRES(J$1,"USD",1)</f>
        <v>#NAME?</v>
      </c>
      <c r="L1" s="14" t="e">
        <f ca="1">_xll.CALENDRIER.JOURS.OUVRES(K$1,"USD",1)</f>
        <v>#NAME?</v>
      </c>
      <c r="M1" s="14" t="e">
        <f ca="1">_xll.CALENDRIER.JOURS.OUVRES(L$1,"USD",1)</f>
        <v>#NAME?</v>
      </c>
      <c r="N1" s="14" t="e">
        <f ca="1">_xll.CALENDRIER.JOURS.OUVRES(M$1,"USD",1)</f>
        <v>#NAME?</v>
      </c>
      <c r="O1" s="14" t="e">
        <f ca="1">_xll.CALENDRIER.JOURS.OUVRES(N$1,"USD",1)</f>
        <v>#NAME?</v>
      </c>
      <c r="P1" s="14" t="e">
        <f ca="1">_xll.CALENDRIER.JOURS.OUVRES(O$1,"USD",1)</f>
        <v>#NAME?</v>
      </c>
      <c r="Q1" s="14" t="e">
        <f ca="1">_xll.CALENDRIER.JOURS.OUVRES(P$1,"USD",1)</f>
        <v>#NAME?</v>
      </c>
      <c r="R1" s="14" t="e">
        <f ca="1">_xll.CALENDRIER.JOURS.OUVRES(Q$1,"USD",1)</f>
        <v>#NAME?</v>
      </c>
      <c r="S1" s="14" t="e">
        <f ca="1">_xll.CALENDRIER.JOURS.OUVRES(R$1,"USD",1)</f>
        <v>#NAME?</v>
      </c>
      <c r="T1" s="14" t="e">
        <f ca="1">_xll.CALENDRIER.JOURS.OUVRES(S$1,"USD",1)</f>
        <v>#NAME?</v>
      </c>
      <c r="U1" s="14" t="e">
        <f ca="1">_xll.CALENDRIER.JOURS.OUVRES(T$1,"USD",1)</f>
        <v>#NAME?</v>
      </c>
      <c r="V1" s="14" t="e">
        <f ca="1">_xll.CALENDRIER.JOURS.OUVRES(U$1,"USD",1)</f>
        <v>#NAME?</v>
      </c>
      <c r="W1" s="14" t="e">
        <f ca="1">_xll.CALENDRIER.JOURS.OUVRES(V$1,"USD",1)</f>
        <v>#NAME?</v>
      </c>
      <c r="X1" s="14" t="e">
        <f ca="1">_xll.CALENDRIER.JOURS.OUVRES(W$1,"USD",1)</f>
        <v>#NAME?</v>
      </c>
      <c r="Y1" s="14" t="e">
        <f ca="1">_xll.CALENDRIER.JOURS.OUVRES(X$1,"USD",1)</f>
        <v>#NAME?</v>
      </c>
      <c r="Z1" s="14" t="e">
        <f ca="1">_xll.CALENDRIER.JOURS.OUVRES(Y$1,"USD",1)</f>
        <v>#NAME?</v>
      </c>
      <c r="AA1" s="14" t="e">
        <f ca="1">_xll.CALENDRIER.JOURS.OUVRES(Z$1,"USD",1)</f>
        <v>#NAME?</v>
      </c>
      <c r="AB1" s="14" t="e">
        <f ca="1">_xll.CALENDRIER.JOURS.OUVRES(AA$1,"USD",1)</f>
        <v>#NAME?</v>
      </c>
      <c r="AC1" s="14" t="e">
        <f ca="1">_xll.CALENDRIER.JOURS.OUVRES(AB$1,"USD",1)</f>
        <v>#NAME?</v>
      </c>
      <c r="AD1" s="14" t="e">
        <f ca="1">_xll.CALENDRIER.JOURS.OUVRES(AC$1,"USD",1)</f>
        <v>#NAME?</v>
      </c>
      <c r="AE1" s="14" t="e">
        <f ca="1">_xll.CALENDRIER.JOURS.OUVRES(AD$1,"USD",1)</f>
        <v>#NAME?</v>
      </c>
      <c r="AF1" s="14" t="e">
        <f ca="1">_xll.CALENDRIER.JOURS.OUVRES(AE$1,"USD",1)</f>
        <v>#NAME?</v>
      </c>
      <c r="AG1" s="14" t="e">
        <f ca="1">_xll.CALENDRIER.JOURS.OUVRES(AF$1,"USD",1)</f>
        <v>#NAME?</v>
      </c>
      <c r="AH1" s="14" t="e">
        <f ca="1">_xll.CALENDRIER.JOURS.OUVRES(AG$1,"USD",1)</f>
        <v>#NAME?</v>
      </c>
      <c r="AI1" s="14" t="e">
        <f ca="1">_xll.CALENDRIER.JOURS.OUVRES(AH$1,"USD",1)</f>
        <v>#NAME?</v>
      </c>
      <c r="AJ1" s="14" t="e">
        <f ca="1">_xll.CALENDRIER.JOURS.OUVRES(AI$1,"USD",1)</f>
        <v>#NAME?</v>
      </c>
      <c r="AK1" s="14" t="e">
        <f ca="1">_xll.CALENDRIER.JOURS.OUVRES(AJ$1,"USD",1)</f>
        <v>#NAME?</v>
      </c>
      <c r="AL1" s="14" t="e">
        <f ca="1">_xll.CALENDRIER.JOURS.OUVRES(AK$1,"USD",1)</f>
        <v>#NAME?</v>
      </c>
      <c r="AM1" s="14" t="e">
        <f ca="1">_xll.CALENDRIER.JOURS.OUVRES(AL$1,"USD",1)</f>
        <v>#NAME?</v>
      </c>
      <c r="AN1" s="14" t="e">
        <f ca="1">_xll.CALENDRIER.JOURS.OUVRES(AM$1,"USD",1)</f>
        <v>#NAME?</v>
      </c>
      <c r="AO1" s="14" t="e">
        <f ca="1">_xll.CALENDRIER.JOURS.OUVRES(AN$1,"USD",1)</f>
        <v>#NAME?</v>
      </c>
      <c r="AP1" s="14" t="e">
        <f ca="1">_xll.CALENDRIER.JOURS.OUVRES(AO$1,"USD",1)</f>
        <v>#NAME?</v>
      </c>
      <c r="AQ1" s="14" t="e">
        <f ca="1">_xll.CALENDRIER.JOURS.OUVRES(AP$1,"USD",1)</f>
        <v>#NAME?</v>
      </c>
      <c r="AR1" s="14" t="e">
        <f ca="1">_xll.CALENDRIER.JOURS.OUVRES(AQ$1,"USD",1)</f>
        <v>#NAME?</v>
      </c>
      <c r="AS1" s="14" t="e">
        <f ca="1">_xll.CALENDRIER.JOURS.OUVRES(AR$1,"USD",1)</f>
        <v>#NAME?</v>
      </c>
      <c r="AT1" s="14" t="e">
        <f ca="1">_xll.CALENDRIER.JOURS.OUVRES(AS$1,"USD",1)</f>
        <v>#NAME?</v>
      </c>
      <c r="AU1" s="14" t="e">
        <f ca="1">_xll.CALENDRIER.JOURS.OUVRES(AT$1,"USD",1)</f>
        <v>#NAME?</v>
      </c>
      <c r="AV1" s="14" t="e">
        <f ca="1">_xll.CALENDRIER.JOURS.OUVRES(AU$1,"USD",1)</f>
        <v>#NAME?</v>
      </c>
      <c r="AW1" s="14" t="e">
        <f ca="1">_xll.CALENDRIER.JOURS.OUVRES(AV$1,"USD",1)</f>
        <v>#NAME?</v>
      </c>
      <c r="AX1" s="14" t="e">
        <f ca="1">_xll.CALENDRIER.JOURS.OUVRES(AW$1,"USD",1)</f>
        <v>#NAME?</v>
      </c>
    </row>
    <row r="2" spans="1:91" x14ac:dyDescent="0.3">
      <c r="A2" s="9">
        <f>IF('Stock UST'!E2="","",'Stock UST'!E2)</f>
        <v>0</v>
      </c>
      <c r="B2" s="9" t="str">
        <f>IF(IF(ISERROR(MATCH(Stock!B$1,'Stock UST'!$1:$1,0)),A2,INDEX('Stock UST'!2:2,1,MATCH(Stock!B$1,'Stock UST'!$1:$1,0)))=0,"",IF(ISERROR(MATCH(Stock!B$1,'Stock UST'!$1:$1,0)),A2,INDEX('Stock UST'!2:2,1,MATCH(Stock!B$1,'Stock UST'!$1:$1,0))))</f>
        <v/>
      </c>
      <c r="C2" s="9" t="str">
        <f ca="1">IF(IF(ISERROR(MATCH(Stock!C$1,'Stock UST'!$1:$1,0)),B2,INDEX('Stock UST'!2:2,1,MATCH(Stock!C$1,'Stock UST'!$1:$1,0)))=0,"",IF(ISERROR(MATCH(Stock!C$1,'Stock UST'!$1:$1,0)),B2,INDEX('Stock UST'!2:2,1,MATCH(Stock!C$1,'Stock UST'!$1:$1,0))))</f>
        <v/>
      </c>
      <c r="D2" s="9" t="str">
        <f ca="1">IF(IF(ISERROR(MATCH(Stock!D$1,'Stock UST'!$1:$1,0)),C2,INDEX('Stock UST'!2:2,1,MATCH(Stock!D$1,'Stock UST'!$1:$1,0)))=0,"",IF(ISERROR(MATCH(Stock!D$1,'Stock UST'!$1:$1,0)),C2,INDEX('Stock UST'!2:2,1,MATCH(Stock!D$1,'Stock UST'!$1:$1,0))))</f>
        <v/>
      </c>
      <c r="E2" s="9" t="str">
        <f ca="1">IF(IF(ISERROR(MATCH(Stock!E$1,'Stock UST'!$1:$1,0)),D2,INDEX('Stock UST'!2:2,1,MATCH(Stock!E$1,'Stock UST'!$1:$1,0)))=0,"",IF(ISERROR(MATCH(Stock!E$1,'Stock UST'!$1:$1,0)),D2,INDEX('Stock UST'!2:2,1,MATCH(Stock!E$1,'Stock UST'!$1:$1,0))))</f>
        <v/>
      </c>
      <c r="F2" s="9" t="str">
        <f ca="1">IF(IF(ISERROR(MATCH(Stock!F$1,'Stock UST'!$1:$1,0)),E2,INDEX('Stock UST'!2:2,1,MATCH(Stock!F$1,'Stock UST'!$1:$1,0)))=0,"",IF(ISERROR(MATCH(Stock!F$1,'Stock UST'!$1:$1,0)),E2,INDEX('Stock UST'!2:2,1,MATCH(Stock!F$1,'Stock UST'!$1:$1,0))))</f>
        <v/>
      </c>
      <c r="G2" s="9" t="str">
        <f ca="1">IF(IF(ISERROR(MATCH(Stock!G$1,'Stock UST'!$1:$1,0)),F2,INDEX('Stock UST'!2:2,1,MATCH(Stock!G$1,'Stock UST'!$1:$1,0)))=0,"",IF(ISERROR(MATCH(Stock!G$1,'Stock UST'!$1:$1,0)),F2,INDEX('Stock UST'!2:2,1,MATCH(Stock!G$1,'Stock UST'!$1:$1,0))))</f>
        <v/>
      </c>
      <c r="H2" s="9" t="str">
        <f ca="1">IF(IF(ISERROR(MATCH(Stock!H$1,'Stock UST'!$1:$1,0)),G2,INDEX('Stock UST'!2:2,1,MATCH(Stock!H$1,'Stock UST'!$1:$1,0)))=0,"",IF(ISERROR(MATCH(Stock!H$1,'Stock UST'!$1:$1,0)),G2,INDEX('Stock UST'!2:2,1,MATCH(Stock!H$1,'Stock UST'!$1:$1,0))))</f>
        <v/>
      </c>
      <c r="I2" s="9" t="str">
        <f ca="1">IF(IF(ISERROR(MATCH(Stock!I$1,'Stock UST'!$1:$1,0)),H2,INDEX('Stock UST'!2:2,1,MATCH(Stock!I$1,'Stock UST'!$1:$1,0)))=0,"",IF(ISERROR(MATCH(Stock!I$1,'Stock UST'!$1:$1,0)),H2,INDEX('Stock UST'!2:2,1,MATCH(Stock!I$1,'Stock UST'!$1:$1,0))))</f>
        <v/>
      </c>
      <c r="J2" s="9" t="str">
        <f ca="1">IF(IF(ISERROR(MATCH(Stock!J$1,'Stock UST'!$1:$1,0)),I2,INDEX('Stock UST'!2:2,1,MATCH(Stock!J$1,'Stock UST'!$1:$1,0)))=0,"",IF(ISERROR(MATCH(Stock!J$1,'Stock UST'!$1:$1,0)),I2,INDEX('Stock UST'!2:2,1,MATCH(Stock!J$1,'Stock UST'!$1:$1,0))))</f>
        <v/>
      </c>
      <c r="K2" s="9" t="str">
        <f ca="1">IF(IF(ISERROR(MATCH(Stock!K$1,'Stock UST'!$1:$1,0)),J2,INDEX('Stock UST'!2:2,1,MATCH(Stock!K$1,'Stock UST'!$1:$1,0)))=0,"",IF(ISERROR(MATCH(Stock!K$1,'Stock UST'!$1:$1,0)),J2,INDEX('Stock UST'!2:2,1,MATCH(Stock!K$1,'Stock UST'!$1:$1,0))))</f>
        <v/>
      </c>
      <c r="L2" s="9" t="str">
        <f ca="1">IF(IF(ISERROR(MATCH(Stock!L$1,'Stock UST'!$1:$1,0)),K2,INDEX('Stock UST'!2:2,1,MATCH(Stock!L$1,'Stock UST'!$1:$1,0)))=0,"",IF(ISERROR(MATCH(Stock!L$1,'Stock UST'!$1:$1,0)),K2,INDEX('Stock UST'!2:2,1,MATCH(Stock!L$1,'Stock UST'!$1:$1,0))))</f>
        <v/>
      </c>
      <c r="M2" s="9" t="str">
        <f ca="1">IF(IF(ISERROR(MATCH(Stock!M$1,'Stock UST'!$1:$1,0)),L2,INDEX('Stock UST'!2:2,1,MATCH(Stock!M$1,'Stock UST'!$1:$1,0)))=0,"",IF(ISERROR(MATCH(Stock!M$1,'Stock UST'!$1:$1,0)),L2,INDEX('Stock UST'!2:2,1,MATCH(Stock!M$1,'Stock UST'!$1:$1,0))))</f>
        <v/>
      </c>
      <c r="N2" s="9" t="str">
        <f ca="1">IF(IF(ISERROR(MATCH(Stock!N$1,'Stock UST'!$1:$1,0)),M2,INDEX('Stock UST'!2:2,1,MATCH(Stock!N$1,'Stock UST'!$1:$1,0)))=0,"",IF(ISERROR(MATCH(Stock!N$1,'Stock UST'!$1:$1,0)),M2,INDEX('Stock UST'!2:2,1,MATCH(Stock!N$1,'Stock UST'!$1:$1,0))))</f>
        <v/>
      </c>
      <c r="O2" s="9" t="str">
        <f ca="1">IF(IF(ISERROR(MATCH(Stock!O$1,'Stock UST'!$1:$1,0)),N2,INDEX('Stock UST'!2:2,1,MATCH(Stock!O$1,'Stock UST'!$1:$1,0)))=0,"",IF(ISERROR(MATCH(Stock!O$1,'Stock UST'!$1:$1,0)),N2,INDEX('Stock UST'!2:2,1,MATCH(Stock!O$1,'Stock UST'!$1:$1,0))))</f>
        <v/>
      </c>
      <c r="P2" s="9" t="str">
        <f ca="1">IF(IF(ISERROR(MATCH(Stock!P$1,'Stock UST'!$1:$1,0)),O2,INDEX('Stock UST'!2:2,1,MATCH(Stock!P$1,'Stock UST'!$1:$1,0)))=0,"",IF(ISERROR(MATCH(Stock!P$1,'Stock UST'!$1:$1,0)),O2,INDEX('Stock UST'!2:2,1,MATCH(Stock!P$1,'Stock UST'!$1:$1,0))))</f>
        <v/>
      </c>
      <c r="Q2" s="9" t="str">
        <f ca="1">IF(IF(ISERROR(MATCH(Stock!Q$1,'Stock UST'!$1:$1,0)),P2,INDEX('Stock UST'!2:2,1,MATCH(Stock!Q$1,'Stock UST'!$1:$1,0)))=0,"",IF(ISERROR(MATCH(Stock!Q$1,'Stock UST'!$1:$1,0)),P2,INDEX('Stock UST'!2:2,1,MATCH(Stock!Q$1,'Stock UST'!$1:$1,0))))</f>
        <v/>
      </c>
      <c r="R2" s="9" t="str">
        <f ca="1">IF(IF(ISERROR(MATCH(Stock!R$1,'Stock UST'!$1:$1,0)),Q2,INDEX('Stock UST'!2:2,1,MATCH(Stock!R$1,'Stock UST'!$1:$1,0)))=0,"",IF(ISERROR(MATCH(Stock!R$1,'Stock UST'!$1:$1,0)),Q2,INDEX('Stock UST'!2:2,1,MATCH(Stock!R$1,'Stock UST'!$1:$1,0))))</f>
        <v/>
      </c>
      <c r="S2" s="9" t="str">
        <f ca="1">IF(IF(ISERROR(MATCH(Stock!S$1,'Stock UST'!$1:$1,0)),R2,INDEX('Stock UST'!2:2,1,MATCH(Stock!S$1,'Stock UST'!$1:$1,0)))=0,"",IF(ISERROR(MATCH(Stock!S$1,'Stock UST'!$1:$1,0)),R2,INDEX('Stock UST'!2:2,1,MATCH(Stock!S$1,'Stock UST'!$1:$1,0))))</f>
        <v/>
      </c>
      <c r="T2" s="9" t="str">
        <f ca="1">IF(IF(ISERROR(MATCH(Stock!T$1,'Stock UST'!$1:$1,0)),S2,INDEX('Stock UST'!2:2,1,MATCH(Stock!T$1,'Stock UST'!$1:$1,0)))=0,"",IF(ISERROR(MATCH(Stock!T$1,'Stock UST'!$1:$1,0)),S2,INDEX('Stock UST'!2:2,1,MATCH(Stock!T$1,'Stock UST'!$1:$1,0))))</f>
        <v/>
      </c>
      <c r="U2" s="9" t="str">
        <f ca="1">IF(IF(ISERROR(MATCH(Stock!U$1,'Stock UST'!$1:$1,0)),T2,INDEX('Stock UST'!2:2,1,MATCH(Stock!U$1,'Stock UST'!$1:$1,0)))=0,"",IF(ISERROR(MATCH(Stock!U$1,'Stock UST'!$1:$1,0)),T2,INDEX('Stock UST'!2:2,1,MATCH(Stock!U$1,'Stock UST'!$1:$1,0))))</f>
        <v/>
      </c>
      <c r="V2" s="9" t="str">
        <f ca="1">IF(IF(ISERROR(MATCH(Stock!V$1,'Stock UST'!$1:$1,0)),U2,INDEX('Stock UST'!2:2,1,MATCH(Stock!V$1,'Stock UST'!$1:$1,0)))=0,"",IF(ISERROR(MATCH(Stock!V$1,'Stock UST'!$1:$1,0)),U2,INDEX('Stock UST'!2:2,1,MATCH(Stock!V$1,'Stock UST'!$1:$1,0))))</f>
        <v/>
      </c>
      <c r="W2" s="9" t="str">
        <f ca="1">IF(IF(ISERROR(MATCH(Stock!W$1,'Stock UST'!$1:$1,0)),V2,INDEX('Stock UST'!2:2,1,MATCH(Stock!W$1,'Stock UST'!$1:$1,0)))=0,"",IF(ISERROR(MATCH(Stock!W$1,'Stock UST'!$1:$1,0)),V2,INDEX('Stock UST'!2:2,1,MATCH(Stock!W$1,'Stock UST'!$1:$1,0))))</f>
        <v/>
      </c>
      <c r="X2" s="9" t="str">
        <f ca="1">IF(IF(ISERROR(MATCH(Stock!X$1,'Stock UST'!$1:$1,0)),W2,INDEX('Stock UST'!2:2,1,MATCH(Stock!X$1,'Stock UST'!$1:$1,0)))=0,"",IF(ISERROR(MATCH(Stock!X$1,'Stock UST'!$1:$1,0)),W2,INDEX('Stock UST'!2:2,1,MATCH(Stock!X$1,'Stock UST'!$1:$1,0))))</f>
        <v/>
      </c>
      <c r="Y2" s="9" t="str">
        <f ca="1">IF(IF(ISERROR(MATCH(Stock!Y$1,'Stock UST'!$1:$1,0)),X2,INDEX('Stock UST'!2:2,1,MATCH(Stock!Y$1,'Stock UST'!$1:$1,0)))=0,"",IF(ISERROR(MATCH(Stock!Y$1,'Stock UST'!$1:$1,0)),X2,INDEX('Stock UST'!2:2,1,MATCH(Stock!Y$1,'Stock UST'!$1:$1,0))))</f>
        <v/>
      </c>
      <c r="Z2" s="9" t="str">
        <f ca="1">IF(IF(ISERROR(MATCH(Stock!Z$1,'Stock UST'!$1:$1,0)),Y2,INDEX('Stock UST'!2:2,1,MATCH(Stock!Z$1,'Stock UST'!$1:$1,0)))=0,"",IF(ISERROR(MATCH(Stock!Z$1,'Stock UST'!$1:$1,0)),Y2,INDEX('Stock UST'!2:2,1,MATCH(Stock!Z$1,'Stock UST'!$1:$1,0))))</f>
        <v/>
      </c>
      <c r="AA2" s="9" t="str">
        <f ca="1">IF(IF(ISERROR(MATCH(Stock!AA$1,'Stock UST'!$1:$1,0)),Z2,INDEX('Stock UST'!2:2,1,MATCH(Stock!AA$1,'Stock UST'!$1:$1,0)))=0,"",IF(ISERROR(MATCH(Stock!AA$1,'Stock UST'!$1:$1,0)),Z2,INDEX('Stock UST'!2:2,1,MATCH(Stock!AA$1,'Stock UST'!$1:$1,0))))</f>
        <v/>
      </c>
      <c r="AB2" s="9" t="str">
        <f ca="1">IF(IF(ISERROR(MATCH(Stock!AB$1,'Stock UST'!$1:$1,0)),AA2,INDEX('Stock UST'!2:2,1,MATCH(Stock!AB$1,'Stock UST'!$1:$1,0)))=0,"",IF(ISERROR(MATCH(Stock!AB$1,'Stock UST'!$1:$1,0)),AA2,INDEX('Stock UST'!2:2,1,MATCH(Stock!AB$1,'Stock UST'!$1:$1,0))))</f>
        <v/>
      </c>
      <c r="AC2" s="9" t="str">
        <f ca="1">IF(IF(ISERROR(MATCH(Stock!AC$1,'Stock UST'!$1:$1,0)),AB2,INDEX('Stock UST'!2:2,1,MATCH(Stock!AC$1,'Stock UST'!$1:$1,0)))=0,"",IF(ISERROR(MATCH(Stock!AC$1,'Stock UST'!$1:$1,0)),AB2,INDEX('Stock UST'!2:2,1,MATCH(Stock!AC$1,'Stock UST'!$1:$1,0))))</f>
        <v/>
      </c>
      <c r="AD2" s="9" t="str">
        <f ca="1">IF(IF(ISERROR(MATCH(Stock!AD$1,'Stock UST'!$1:$1,0)),AC2,INDEX('Stock UST'!2:2,1,MATCH(Stock!AD$1,'Stock UST'!$1:$1,0)))=0,"",IF(ISERROR(MATCH(Stock!AD$1,'Stock UST'!$1:$1,0)),AC2,INDEX('Stock UST'!2:2,1,MATCH(Stock!AD$1,'Stock UST'!$1:$1,0))))</f>
        <v/>
      </c>
      <c r="AE2" s="9" t="str">
        <f ca="1">IF(IF(ISERROR(MATCH(Stock!AE$1,'Stock UST'!$1:$1,0)),AD2,INDEX('Stock UST'!2:2,1,MATCH(Stock!AE$1,'Stock UST'!$1:$1,0)))=0,"",IF(ISERROR(MATCH(Stock!AE$1,'Stock UST'!$1:$1,0)),AD2,INDEX('Stock UST'!2:2,1,MATCH(Stock!AE$1,'Stock UST'!$1:$1,0))))</f>
        <v/>
      </c>
      <c r="AF2" s="9" t="str">
        <f ca="1">IF(IF(ISERROR(MATCH(Stock!AF$1,'Stock UST'!$1:$1,0)),AE2,INDEX('Stock UST'!2:2,1,MATCH(Stock!AF$1,'Stock UST'!$1:$1,0)))=0,"",IF(ISERROR(MATCH(Stock!AF$1,'Stock UST'!$1:$1,0)),AE2,INDEX('Stock UST'!2:2,1,MATCH(Stock!AF$1,'Stock UST'!$1:$1,0))))</f>
        <v/>
      </c>
      <c r="AG2" s="9" t="str">
        <f ca="1">IF(IF(ISERROR(MATCH(Stock!AG$1,'Stock UST'!$1:$1,0)),AF2,INDEX('Stock UST'!2:2,1,MATCH(Stock!AG$1,'Stock UST'!$1:$1,0)))=0,"",IF(ISERROR(MATCH(Stock!AG$1,'Stock UST'!$1:$1,0)),AF2,INDEX('Stock UST'!2:2,1,MATCH(Stock!AG$1,'Stock UST'!$1:$1,0))))</f>
        <v/>
      </c>
      <c r="AH2" s="9" t="str">
        <f ca="1">IF(IF(ISERROR(MATCH(Stock!AH$1,'Stock UST'!$1:$1,0)),AG2,INDEX('Stock UST'!2:2,1,MATCH(Stock!AH$1,'Stock UST'!$1:$1,0)))=0,"",IF(ISERROR(MATCH(Stock!AH$1,'Stock UST'!$1:$1,0)),AG2,INDEX('Stock UST'!2:2,1,MATCH(Stock!AH$1,'Stock UST'!$1:$1,0))))</f>
        <v/>
      </c>
      <c r="AI2" s="9" t="str">
        <f ca="1">IF(IF(ISERROR(MATCH(Stock!AI$1,'Stock UST'!$1:$1,0)),AH2,INDEX('Stock UST'!2:2,1,MATCH(Stock!AI$1,'Stock UST'!$1:$1,0)))=0,"",IF(ISERROR(MATCH(Stock!AI$1,'Stock UST'!$1:$1,0)),AH2,INDEX('Stock UST'!2:2,1,MATCH(Stock!AI$1,'Stock UST'!$1:$1,0))))</f>
        <v/>
      </c>
      <c r="AJ2" s="9" t="str">
        <f ca="1">IF(IF(ISERROR(MATCH(Stock!AJ$1,'Stock UST'!$1:$1,0)),AI2,INDEX('Stock UST'!2:2,1,MATCH(Stock!AJ$1,'Stock UST'!$1:$1,0)))=0,"",IF(ISERROR(MATCH(Stock!AJ$1,'Stock UST'!$1:$1,0)),AI2,INDEX('Stock UST'!2:2,1,MATCH(Stock!AJ$1,'Stock UST'!$1:$1,0))))</f>
        <v/>
      </c>
      <c r="AK2" s="9" t="str">
        <f ca="1">IF(IF(ISERROR(MATCH(Stock!AK$1,'Stock UST'!$1:$1,0)),AJ2,INDEX('Stock UST'!2:2,1,MATCH(Stock!AK$1,'Stock UST'!$1:$1,0)))=0,"",IF(ISERROR(MATCH(Stock!AK$1,'Stock UST'!$1:$1,0)),AJ2,INDEX('Stock UST'!2:2,1,MATCH(Stock!AK$1,'Stock UST'!$1:$1,0))))</f>
        <v/>
      </c>
      <c r="AL2" s="9" t="str">
        <f ca="1">IF(IF(ISERROR(MATCH(Stock!AL$1,'Stock UST'!$1:$1,0)),AK2,INDEX('Stock UST'!2:2,1,MATCH(Stock!AL$1,'Stock UST'!$1:$1,0)))=0,"",IF(ISERROR(MATCH(Stock!AL$1,'Stock UST'!$1:$1,0)),AK2,INDEX('Stock UST'!2:2,1,MATCH(Stock!AL$1,'Stock UST'!$1:$1,0))))</f>
        <v/>
      </c>
      <c r="AM2" s="9" t="str">
        <f ca="1">IF(IF(ISERROR(MATCH(Stock!AM$1,'Stock UST'!$1:$1,0)),AL2,INDEX('Stock UST'!2:2,1,MATCH(Stock!AM$1,'Stock UST'!$1:$1,0)))=0,"",IF(ISERROR(MATCH(Stock!AM$1,'Stock UST'!$1:$1,0)),AL2,INDEX('Stock UST'!2:2,1,MATCH(Stock!AM$1,'Stock UST'!$1:$1,0))))</f>
        <v/>
      </c>
      <c r="AN2" s="9" t="str">
        <f ca="1">IF(IF(ISERROR(MATCH(Stock!AN$1,'Stock UST'!$1:$1,0)),AM2,INDEX('Stock UST'!2:2,1,MATCH(Stock!AN$1,'Stock UST'!$1:$1,0)))=0,"",IF(ISERROR(MATCH(Stock!AN$1,'Stock UST'!$1:$1,0)),AM2,INDEX('Stock UST'!2:2,1,MATCH(Stock!AN$1,'Stock UST'!$1:$1,0))))</f>
        <v/>
      </c>
      <c r="AO2" s="9" t="str">
        <f ca="1">IF(IF(ISERROR(MATCH(Stock!AO$1,'Stock UST'!$1:$1,0)),AN2,INDEX('Stock UST'!2:2,1,MATCH(Stock!AO$1,'Stock UST'!$1:$1,0)))=0,"",IF(ISERROR(MATCH(Stock!AO$1,'Stock UST'!$1:$1,0)),AN2,INDEX('Stock UST'!2:2,1,MATCH(Stock!AO$1,'Stock UST'!$1:$1,0))))</f>
        <v/>
      </c>
      <c r="AP2" s="9" t="str">
        <f ca="1">IF(IF(ISERROR(MATCH(Stock!AP$1,'Stock UST'!$1:$1,0)),AO2,INDEX('Stock UST'!2:2,1,MATCH(Stock!AP$1,'Stock UST'!$1:$1,0)))=0,"",IF(ISERROR(MATCH(Stock!AP$1,'Stock UST'!$1:$1,0)),AO2,INDEX('Stock UST'!2:2,1,MATCH(Stock!AP$1,'Stock UST'!$1:$1,0))))</f>
        <v/>
      </c>
      <c r="AQ2" s="9" t="str">
        <f ca="1">IF(IF(ISERROR(MATCH(Stock!AQ$1,'Stock UST'!$1:$1,0)),AP2,INDEX('Stock UST'!2:2,1,MATCH(Stock!AQ$1,'Stock UST'!$1:$1,0)))=0,"",IF(ISERROR(MATCH(Stock!AQ$1,'Stock UST'!$1:$1,0)),AP2,INDEX('Stock UST'!2:2,1,MATCH(Stock!AQ$1,'Stock UST'!$1:$1,0))))</f>
        <v/>
      </c>
      <c r="AR2" s="9" t="str">
        <f ca="1">IF(IF(ISERROR(MATCH(Stock!AR$1,'Stock UST'!$1:$1,0)),AQ2,INDEX('Stock UST'!2:2,1,MATCH(Stock!AR$1,'Stock UST'!$1:$1,0)))=0,"",IF(ISERROR(MATCH(Stock!AR$1,'Stock UST'!$1:$1,0)),AQ2,INDEX('Stock UST'!2:2,1,MATCH(Stock!AR$1,'Stock UST'!$1:$1,0))))</f>
        <v/>
      </c>
      <c r="AS2" s="9" t="str">
        <f ca="1">IF(IF(ISERROR(MATCH(Stock!AS$1,'Stock UST'!$1:$1,0)),AR2,INDEX('Stock UST'!2:2,1,MATCH(Stock!AS$1,'Stock UST'!$1:$1,0)))=0,"",IF(ISERROR(MATCH(Stock!AS$1,'Stock UST'!$1:$1,0)),AR2,INDEX('Stock UST'!2:2,1,MATCH(Stock!AS$1,'Stock UST'!$1:$1,0))))</f>
        <v/>
      </c>
      <c r="AT2" s="9" t="str">
        <f ca="1">IF(IF(ISERROR(MATCH(Stock!AT$1,'Stock UST'!$1:$1,0)),AS2,INDEX('Stock UST'!2:2,1,MATCH(Stock!AT$1,'Stock UST'!$1:$1,0)))=0,"",IF(ISERROR(MATCH(Stock!AT$1,'Stock UST'!$1:$1,0)),AS2,INDEX('Stock UST'!2:2,1,MATCH(Stock!AT$1,'Stock UST'!$1:$1,0))))</f>
        <v/>
      </c>
      <c r="AU2" s="9" t="str">
        <f ca="1">IF(IF(ISERROR(MATCH(Stock!AU$1,'Stock UST'!$1:$1,0)),AT2,INDEX('Stock UST'!2:2,1,MATCH(Stock!AU$1,'Stock UST'!$1:$1,0)))=0,"",IF(ISERROR(MATCH(Stock!AU$1,'Stock UST'!$1:$1,0)),AT2,INDEX('Stock UST'!2:2,1,MATCH(Stock!AU$1,'Stock UST'!$1:$1,0))))</f>
        <v/>
      </c>
      <c r="AV2" s="9" t="str">
        <f ca="1">IF(IF(ISERROR(MATCH(Stock!AV$1,'Stock UST'!$1:$1,0)),AU2,INDEX('Stock UST'!2:2,1,MATCH(Stock!AV$1,'Stock UST'!$1:$1,0)))=0,"",IF(ISERROR(MATCH(Stock!AV$1,'Stock UST'!$1:$1,0)),AU2,INDEX('Stock UST'!2:2,1,MATCH(Stock!AV$1,'Stock UST'!$1:$1,0))))</f>
        <v/>
      </c>
      <c r="AW2" s="9" t="str">
        <f ca="1">IF(IF(ISERROR(MATCH(Stock!AW$1,'Stock UST'!$1:$1,0)),AV2,INDEX('Stock UST'!2:2,1,MATCH(Stock!AW$1,'Stock UST'!$1:$1,0)))=0,"",IF(ISERROR(MATCH(Stock!AW$1,'Stock UST'!$1:$1,0)),AV2,INDEX('Stock UST'!2:2,1,MATCH(Stock!AW$1,'Stock UST'!$1:$1,0))))</f>
        <v/>
      </c>
      <c r="AX2" s="9" t="str">
        <f ca="1">IF(IF(ISERROR(MATCH(Stock!AX$1,'Stock UST'!$1:$1,0)),AW2,INDEX('Stock UST'!2:2,1,MATCH(Stock!AX$1,'Stock UST'!$1:$1,0)))=0,"",IF(ISERROR(MATCH(Stock!AX$1,'Stock UST'!$1:$1,0)),AW2,INDEX('Stock UST'!2:2,1,MATCH(Stock!AX$1,'Stock UST'!$1:$1,0))))</f>
        <v/>
      </c>
      <c r="AY2" s="9" t="str">
        <f>IF(Repo!BC6="","",IF(ISNUMBER(#REF!),#REF!*Repo!BC6/100,Repo!BC6))</f>
        <v/>
      </c>
      <c r="AZ2" s="9" t="str">
        <f>IF(Repo!BD6="","",IF(ISNUMBER(#REF!),#REF!*Repo!BD6/100,Repo!BD6))</f>
        <v/>
      </c>
      <c r="BA2" s="9" t="str">
        <f>IF(Repo!BE6="","",IF(ISNUMBER(#REF!),#REF!*Repo!BE6/100,Repo!BE6))</f>
        <v/>
      </c>
      <c r="BB2" s="9" t="str">
        <f>IF(Repo!BF6="","",IF(ISNUMBER(#REF!),#REF!*Repo!BF6/100,Repo!BF6))</f>
        <v/>
      </c>
      <c r="BC2" s="9" t="str">
        <f>IF(Repo!BG6="","",IF(ISNUMBER(#REF!),#REF!*Repo!BG6/100,Repo!BG6))</f>
        <v/>
      </c>
      <c r="BD2" s="9" t="str">
        <f>IF(Repo!BH6="","",IF(ISNUMBER(#REF!),#REF!*Repo!BH6/100,Repo!BH6))</f>
        <v/>
      </c>
      <c r="BE2" s="9" t="str">
        <f>IF(Repo!BI6="","",IF(ISNUMBER(#REF!),#REF!*Repo!BI6/100,Repo!BI6))</f>
        <v/>
      </c>
      <c r="BF2" s="9" t="str">
        <f>IF(Repo!BJ6="","",IF(ISNUMBER(#REF!),#REF!*Repo!BJ6/100,Repo!BJ6))</f>
        <v/>
      </c>
      <c r="BG2" s="9" t="str">
        <f>IF(Repo!BK6="","",IF(ISNUMBER(#REF!),#REF!*Repo!BK6/100,Repo!BK6))</f>
        <v/>
      </c>
      <c r="BH2" s="9" t="str">
        <f>IF(Repo!BL6="","",IF(ISNUMBER(#REF!),#REF!*Repo!BL6/100,Repo!BL6))</f>
        <v/>
      </c>
      <c r="BI2" s="9" t="str">
        <f>IF(Repo!BM6="","",IF(ISNUMBER(#REF!),#REF!*Repo!BM6/100,Repo!BM6))</f>
        <v/>
      </c>
      <c r="BJ2" s="9" t="str">
        <f>IF(Repo!BN6="","",IF(ISNUMBER(#REF!),#REF!*Repo!BN6/100,Repo!BN6))</f>
        <v/>
      </c>
      <c r="BK2" s="9" t="str">
        <f>IF(Repo!BO6="","",IF(ISNUMBER(#REF!),#REF!*Repo!BO6/100,Repo!BO6))</f>
        <v/>
      </c>
      <c r="BL2" s="9" t="str">
        <f>IF(Repo!BP6="","",IF(ISNUMBER(#REF!),#REF!*Repo!BP6/100,Repo!BP6))</f>
        <v/>
      </c>
      <c r="BM2" s="9" t="str">
        <f>IF(Repo!BQ6="","",IF(ISNUMBER(#REF!),#REF!*Repo!BQ6/100,Repo!BQ6))</f>
        <v/>
      </c>
      <c r="BN2" s="9" t="str">
        <f>IF(Repo!BR6="","",IF(ISNUMBER(#REF!),#REF!*Repo!BR6/100,Repo!BR6))</f>
        <v/>
      </c>
      <c r="BO2" s="9" t="str">
        <f>IF(Repo!BS6="","",IF(ISNUMBER(#REF!),#REF!*Repo!BS6/100,Repo!BS6))</f>
        <v/>
      </c>
      <c r="BP2" s="9" t="str">
        <f>IF(Repo!BT6="","",IF(ISNUMBER(#REF!),#REF!*Repo!BT6/100,Repo!BT6))</f>
        <v/>
      </c>
      <c r="BQ2" s="9" t="str">
        <f>IF(Repo!BU6="","",IF(ISNUMBER(#REF!),#REF!*Repo!BU6/100,Repo!BU6))</f>
        <v/>
      </c>
      <c r="BR2" s="9" t="str">
        <f>IF(Repo!BV6="","",IF(ISNUMBER(#REF!),#REF!*Repo!BV6/100,Repo!BV6))</f>
        <v/>
      </c>
      <c r="BS2" s="9" t="str">
        <f>IF(Repo!BW6="","",IF(ISNUMBER(#REF!),#REF!*Repo!BW6/100,Repo!BW6))</f>
        <v/>
      </c>
      <c r="BT2" s="9" t="str">
        <f>IF(Repo!BX6="","",IF(ISNUMBER(#REF!),#REF!*Repo!BX6/100,Repo!BX6))</f>
        <v/>
      </c>
      <c r="BU2" s="9" t="str">
        <f>IF(Repo!BY6="","",IF(ISNUMBER(#REF!),#REF!*Repo!BY6/100,Repo!BY6))</f>
        <v/>
      </c>
      <c r="BV2" s="9" t="str">
        <f>IF(Repo!BZ6="","",IF(ISNUMBER(#REF!),#REF!*Repo!BZ6/100,Repo!BZ6))</f>
        <v/>
      </c>
      <c r="BW2" s="9" t="str">
        <f>IF(Repo!CA6="","",IF(ISNUMBER(#REF!),#REF!*Repo!CA6/100,Repo!CA6))</f>
        <v/>
      </c>
      <c r="BX2" s="9" t="str">
        <f>IF(Repo!CB6="","",IF(ISNUMBER(#REF!),#REF!*Repo!CB6/100,Repo!CB6))</f>
        <v/>
      </c>
      <c r="BY2" s="9" t="str">
        <f>IF(Repo!CC6="","",IF(ISNUMBER(#REF!),#REF!*Repo!CC6/100,Repo!CC6))</f>
        <v/>
      </c>
      <c r="BZ2" s="9" t="str">
        <f>IF(Repo!CD6="","",IF(ISNUMBER(#REF!),#REF!*Repo!CD6/100,Repo!CD6))</f>
        <v/>
      </c>
      <c r="CA2" s="9" t="str">
        <f>IF(Repo!CE6="","",IF(ISNUMBER(#REF!),#REF!*Repo!CE6/100,Repo!CE6))</f>
        <v/>
      </c>
      <c r="CB2" s="9" t="str">
        <f>IF(Repo!CF6="","",IF(ISNUMBER(#REF!),#REF!*Repo!CF6/100,Repo!CF6))</f>
        <v/>
      </c>
      <c r="CC2" s="9" t="str">
        <f>IF(Repo!CG6="","",IF(ISNUMBER(#REF!),#REF!*Repo!CG6/100,Repo!CG6))</f>
        <v/>
      </c>
      <c r="CD2" s="9" t="str">
        <f>IF(Repo!CH6="","",IF(ISNUMBER(#REF!),#REF!*Repo!CH6/100,Repo!CH6))</f>
        <v/>
      </c>
      <c r="CE2" s="9" t="str">
        <f>IF(Repo!CI6="","",IF(ISNUMBER(#REF!),#REF!*Repo!CI6/100,Repo!CI6))</f>
        <v/>
      </c>
      <c r="CF2" s="9" t="str">
        <f>IF(Repo!CJ6="","",IF(ISNUMBER(#REF!),#REF!*Repo!CJ6/100,Repo!CJ6))</f>
        <v/>
      </c>
      <c r="CG2" s="9" t="str">
        <f>IF(Repo!CK6="","",IF(ISNUMBER(#REF!),#REF!*Repo!CK6/100,Repo!CK6))</f>
        <v/>
      </c>
      <c r="CH2" s="9" t="str">
        <f>IF(Repo!CL6="","",IF(ISNUMBER(#REF!),#REF!*Repo!CL6/100,Repo!CL6))</f>
        <v/>
      </c>
      <c r="CI2" s="9" t="str">
        <f>IF(Repo!CM6="","",IF(ISNUMBER(#REF!),#REF!*Repo!CM6/100,Repo!CM6))</f>
        <v/>
      </c>
      <c r="CJ2" s="9" t="str">
        <f>IF(Repo!CN6="","",IF(ISNUMBER(#REF!),#REF!*Repo!CN6/100,Repo!CN6))</f>
        <v/>
      </c>
      <c r="CK2" s="9" t="str">
        <f>IF(Repo!CO6="","",IF(ISNUMBER(#REF!),#REF!*Repo!CO6/100,Repo!CO6))</f>
        <v/>
      </c>
      <c r="CL2" s="9" t="str">
        <f>IF(Repo!CP6="","",IF(ISNUMBER(#REF!),#REF!*Repo!CP6/100,Repo!CP6))</f>
        <v/>
      </c>
      <c r="CM2" s="9" t="str">
        <f>IF(Repo!CQ6="","",IF(ISNUMBER(#REF!),#REF!*Repo!CQ6/100,Repo!CQ6))</f>
        <v/>
      </c>
    </row>
    <row r="3" spans="1:91" x14ac:dyDescent="0.3">
      <c r="A3" s="9">
        <f>IF('Stock UST'!E3="","",'Stock UST'!E3)</f>
        <v>400000</v>
      </c>
      <c r="B3" s="9">
        <f>IF(IF(ISERROR(MATCH(Stock!B$1,'Stock UST'!$1:$1,0)),A3,INDEX('Stock UST'!3:3,1,MATCH(Stock!B$1,'Stock UST'!$1:$1,0)))=0,"",IF(ISERROR(MATCH(Stock!B$1,'Stock UST'!$1:$1,0)),A3,INDEX('Stock UST'!3:3,1,MATCH(Stock!B$1,'Stock UST'!$1:$1,0))))</f>
        <v>400000</v>
      </c>
      <c r="C3" s="9">
        <f ca="1">IF(IF(ISERROR(MATCH(Stock!C$1,'Stock UST'!$1:$1,0)),B3,INDEX('Stock UST'!3:3,1,MATCH(Stock!C$1,'Stock UST'!$1:$1,0)))=0,"",IF(ISERROR(MATCH(Stock!C$1,'Stock UST'!$1:$1,0)),B3,INDEX('Stock UST'!3:3,1,MATCH(Stock!C$1,'Stock UST'!$1:$1,0))))</f>
        <v>400000</v>
      </c>
      <c r="D3" s="9">
        <f ca="1">IF(IF(ISERROR(MATCH(Stock!D$1,'Stock UST'!$1:$1,0)),C3,INDEX('Stock UST'!3:3,1,MATCH(Stock!D$1,'Stock UST'!$1:$1,0)))=0,"",IF(ISERROR(MATCH(Stock!D$1,'Stock UST'!$1:$1,0)),C3,INDEX('Stock UST'!3:3,1,MATCH(Stock!D$1,'Stock UST'!$1:$1,0))))</f>
        <v>400000</v>
      </c>
      <c r="E3" s="9">
        <f ca="1">IF(IF(ISERROR(MATCH(Stock!E$1,'Stock UST'!$1:$1,0)),D3,INDEX('Stock UST'!3:3,1,MATCH(Stock!E$1,'Stock UST'!$1:$1,0)))=0,"",IF(ISERROR(MATCH(Stock!E$1,'Stock UST'!$1:$1,0)),D3,INDEX('Stock UST'!3:3,1,MATCH(Stock!E$1,'Stock UST'!$1:$1,0))))</f>
        <v>400000</v>
      </c>
      <c r="F3" s="9">
        <f ca="1">IF(IF(ISERROR(MATCH(Stock!F$1,'Stock UST'!$1:$1,0)),E3,INDEX('Stock UST'!3:3,1,MATCH(Stock!F$1,'Stock UST'!$1:$1,0)))=0,"",IF(ISERROR(MATCH(Stock!F$1,'Stock UST'!$1:$1,0)),E3,INDEX('Stock UST'!3:3,1,MATCH(Stock!F$1,'Stock UST'!$1:$1,0))))</f>
        <v>400000</v>
      </c>
      <c r="G3" s="9">
        <f ca="1">IF(IF(ISERROR(MATCH(Stock!G$1,'Stock UST'!$1:$1,0)),F3,INDEX('Stock UST'!3:3,1,MATCH(Stock!G$1,'Stock UST'!$1:$1,0)))=0,"",IF(ISERROR(MATCH(Stock!G$1,'Stock UST'!$1:$1,0)),F3,INDEX('Stock UST'!3:3,1,MATCH(Stock!G$1,'Stock UST'!$1:$1,0))))</f>
        <v>400000</v>
      </c>
      <c r="H3" s="9">
        <f ca="1">IF(IF(ISERROR(MATCH(Stock!H$1,'Stock UST'!$1:$1,0)),G3,INDEX('Stock UST'!3:3,1,MATCH(Stock!H$1,'Stock UST'!$1:$1,0)))=0,"",IF(ISERROR(MATCH(Stock!H$1,'Stock UST'!$1:$1,0)),G3,INDEX('Stock UST'!3:3,1,MATCH(Stock!H$1,'Stock UST'!$1:$1,0))))</f>
        <v>400000</v>
      </c>
      <c r="I3" s="9">
        <f ca="1">IF(IF(ISERROR(MATCH(Stock!I$1,'Stock UST'!$1:$1,0)),H3,INDEX('Stock UST'!3:3,1,MATCH(Stock!I$1,'Stock UST'!$1:$1,0)))=0,"",IF(ISERROR(MATCH(Stock!I$1,'Stock UST'!$1:$1,0)),H3,INDEX('Stock UST'!3:3,1,MATCH(Stock!I$1,'Stock UST'!$1:$1,0))))</f>
        <v>400000</v>
      </c>
      <c r="J3" s="9">
        <f ca="1">IF(IF(ISERROR(MATCH(Stock!J$1,'Stock UST'!$1:$1,0)),I3,INDEX('Stock UST'!3:3,1,MATCH(Stock!J$1,'Stock UST'!$1:$1,0)))=0,"",IF(ISERROR(MATCH(Stock!J$1,'Stock UST'!$1:$1,0)),I3,INDEX('Stock UST'!3:3,1,MATCH(Stock!J$1,'Stock UST'!$1:$1,0))))</f>
        <v>400000</v>
      </c>
      <c r="K3" s="9">
        <f ca="1">IF(IF(ISERROR(MATCH(Stock!K$1,'Stock UST'!$1:$1,0)),J3,INDEX('Stock UST'!3:3,1,MATCH(Stock!K$1,'Stock UST'!$1:$1,0)))=0,"",IF(ISERROR(MATCH(Stock!K$1,'Stock UST'!$1:$1,0)),J3,INDEX('Stock UST'!3:3,1,MATCH(Stock!K$1,'Stock UST'!$1:$1,0))))</f>
        <v>400000</v>
      </c>
      <c r="L3" s="9">
        <f ca="1">IF(IF(ISERROR(MATCH(Stock!L$1,'Stock UST'!$1:$1,0)),K3,INDEX('Stock UST'!3:3,1,MATCH(Stock!L$1,'Stock UST'!$1:$1,0)))=0,"",IF(ISERROR(MATCH(Stock!L$1,'Stock UST'!$1:$1,0)),K3,INDEX('Stock UST'!3:3,1,MATCH(Stock!L$1,'Stock UST'!$1:$1,0))))</f>
        <v>400000</v>
      </c>
      <c r="M3" s="9">
        <f ca="1">IF(IF(ISERROR(MATCH(Stock!M$1,'Stock UST'!$1:$1,0)),L3,INDEX('Stock UST'!3:3,1,MATCH(Stock!M$1,'Stock UST'!$1:$1,0)))=0,"",IF(ISERROR(MATCH(Stock!M$1,'Stock UST'!$1:$1,0)),L3,INDEX('Stock UST'!3:3,1,MATCH(Stock!M$1,'Stock UST'!$1:$1,0))))</f>
        <v>400000</v>
      </c>
      <c r="N3" s="9">
        <f ca="1">IF(IF(ISERROR(MATCH(Stock!N$1,'Stock UST'!$1:$1,0)),M3,INDEX('Stock UST'!3:3,1,MATCH(Stock!N$1,'Stock UST'!$1:$1,0)))=0,"",IF(ISERROR(MATCH(Stock!N$1,'Stock UST'!$1:$1,0)),M3,INDEX('Stock UST'!3:3,1,MATCH(Stock!N$1,'Stock UST'!$1:$1,0))))</f>
        <v>400000</v>
      </c>
      <c r="O3" s="9">
        <f ca="1">IF(IF(ISERROR(MATCH(Stock!O$1,'Stock UST'!$1:$1,0)),N3,INDEX('Stock UST'!3:3,1,MATCH(Stock!O$1,'Stock UST'!$1:$1,0)))=0,"",IF(ISERROR(MATCH(Stock!O$1,'Stock UST'!$1:$1,0)),N3,INDEX('Stock UST'!3:3,1,MATCH(Stock!O$1,'Stock UST'!$1:$1,0))))</f>
        <v>400000</v>
      </c>
      <c r="P3" s="9">
        <f ca="1">IF(IF(ISERROR(MATCH(Stock!P$1,'Stock UST'!$1:$1,0)),O3,INDEX('Stock UST'!3:3,1,MATCH(Stock!P$1,'Stock UST'!$1:$1,0)))=0,"",IF(ISERROR(MATCH(Stock!P$1,'Stock UST'!$1:$1,0)),O3,INDEX('Stock UST'!3:3,1,MATCH(Stock!P$1,'Stock UST'!$1:$1,0))))</f>
        <v>400000</v>
      </c>
      <c r="Q3" s="9">
        <f ca="1">IF(IF(ISERROR(MATCH(Stock!Q$1,'Stock UST'!$1:$1,0)),P3,INDEX('Stock UST'!3:3,1,MATCH(Stock!Q$1,'Stock UST'!$1:$1,0)))=0,"",IF(ISERROR(MATCH(Stock!Q$1,'Stock UST'!$1:$1,0)),P3,INDEX('Stock UST'!3:3,1,MATCH(Stock!Q$1,'Stock UST'!$1:$1,0))))</f>
        <v>400000</v>
      </c>
      <c r="R3" s="9">
        <f ca="1">IF(IF(ISERROR(MATCH(Stock!R$1,'Stock UST'!$1:$1,0)),Q3,INDEX('Stock UST'!3:3,1,MATCH(Stock!R$1,'Stock UST'!$1:$1,0)))=0,"",IF(ISERROR(MATCH(Stock!R$1,'Stock UST'!$1:$1,0)),Q3,INDEX('Stock UST'!3:3,1,MATCH(Stock!R$1,'Stock UST'!$1:$1,0))))</f>
        <v>400000</v>
      </c>
      <c r="S3" s="9">
        <f ca="1">IF(IF(ISERROR(MATCH(Stock!S$1,'Stock UST'!$1:$1,0)),R3,INDEX('Stock UST'!3:3,1,MATCH(Stock!S$1,'Stock UST'!$1:$1,0)))=0,"",IF(ISERROR(MATCH(Stock!S$1,'Stock UST'!$1:$1,0)),R3,INDEX('Stock UST'!3:3,1,MATCH(Stock!S$1,'Stock UST'!$1:$1,0))))</f>
        <v>400000</v>
      </c>
      <c r="T3" s="9">
        <f ca="1">IF(IF(ISERROR(MATCH(Stock!T$1,'Stock UST'!$1:$1,0)),S3,INDEX('Stock UST'!3:3,1,MATCH(Stock!T$1,'Stock UST'!$1:$1,0)))=0,"",IF(ISERROR(MATCH(Stock!T$1,'Stock UST'!$1:$1,0)),S3,INDEX('Stock UST'!3:3,1,MATCH(Stock!T$1,'Stock UST'!$1:$1,0))))</f>
        <v>400000</v>
      </c>
      <c r="U3" s="9">
        <f ca="1">IF(IF(ISERROR(MATCH(Stock!U$1,'Stock UST'!$1:$1,0)),T3,INDEX('Stock UST'!3:3,1,MATCH(Stock!U$1,'Stock UST'!$1:$1,0)))=0,"",IF(ISERROR(MATCH(Stock!U$1,'Stock UST'!$1:$1,0)),T3,INDEX('Stock UST'!3:3,1,MATCH(Stock!U$1,'Stock UST'!$1:$1,0))))</f>
        <v>400000</v>
      </c>
      <c r="V3" s="9">
        <f ca="1">IF(IF(ISERROR(MATCH(Stock!V$1,'Stock UST'!$1:$1,0)),U3,INDEX('Stock UST'!3:3,1,MATCH(Stock!V$1,'Stock UST'!$1:$1,0)))=0,"",IF(ISERROR(MATCH(Stock!V$1,'Stock UST'!$1:$1,0)),U3,INDEX('Stock UST'!3:3,1,MATCH(Stock!V$1,'Stock UST'!$1:$1,0))))</f>
        <v>400000</v>
      </c>
      <c r="W3" s="9">
        <f ca="1">IF(IF(ISERROR(MATCH(Stock!W$1,'Stock UST'!$1:$1,0)),V3,INDEX('Stock UST'!3:3,1,MATCH(Stock!W$1,'Stock UST'!$1:$1,0)))=0,"",IF(ISERROR(MATCH(Stock!W$1,'Stock UST'!$1:$1,0)),V3,INDEX('Stock UST'!3:3,1,MATCH(Stock!W$1,'Stock UST'!$1:$1,0))))</f>
        <v>400000</v>
      </c>
      <c r="X3" s="9">
        <f ca="1">IF(IF(ISERROR(MATCH(Stock!X$1,'Stock UST'!$1:$1,0)),W3,INDEX('Stock UST'!3:3,1,MATCH(Stock!X$1,'Stock UST'!$1:$1,0)))=0,"",IF(ISERROR(MATCH(Stock!X$1,'Stock UST'!$1:$1,0)),W3,INDEX('Stock UST'!3:3,1,MATCH(Stock!X$1,'Stock UST'!$1:$1,0))))</f>
        <v>400000</v>
      </c>
      <c r="Y3" s="9">
        <f ca="1">IF(IF(ISERROR(MATCH(Stock!Y$1,'Stock UST'!$1:$1,0)),X3,INDEX('Stock UST'!3:3,1,MATCH(Stock!Y$1,'Stock UST'!$1:$1,0)))=0,"",IF(ISERROR(MATCH(Stock!Y$1,'Stock UST'!$1:$1,0)),X3,INDEX('Stock UST'!3:3,1,MATCH(Stock!Y$1,'Stock UST'!$1:$1,0))))</f>
        <v>400000</v>
      </c>
      <c r="Z3" s="9">
        <f ca="1">IF(IF(ISERROR(MATCH(Stock!Z$1,'Stock UST'!$1:$1,0)),Y3,INDEX('Stock UST'!3:3,1,MATCH(Stock!Z$1,'Stock UST'!$1:$1,0)))=0,"",IF(ISERROR(MATCH(Stock!Z$1,'Stock UST'!$1:$1,0)),Y3,INDEX('Stock UST'!3:3,1,MATCH(Stock!Z$1,'Stock UST'!$1:$1,0))))</f>
        <v>400000</v>
      </c>
      <c r="AA3" s="9">
        <f ca="1">IF(IF(ISERROR(MATCH(Stock!AA$1,'Stock UST'!$1:$1,0)),Z3,INDEX('Stock UST'!3:3,1,MATCH(Stock!AA$1,'Stock UST'!$1:$1,0)))=0,"",IF(ISERROR(MATCH(Stock!AA$1,'Stock UST'!$1:$1,0)),Z3,INDEX('Stock UST'!3:3,1,MATCH(Stock!AA$1,'Stock UST'!$1:$1,0))))</f>
        <v>400000</v>
      </c>
      <c r="AB3" s="9">
        <f ca="1">IF(IF(ISERROR(MATCH(Stock!AB$1,'Stock UST'!$1:$1,0)),AA3,INDEX('Stock UST'!3:3,1,MATCH(Stock!AB$1,'Stock UST'!$1:$1,0)))=0,"",IF(ISERROR(MATCH(Stock!AB$1,'Stock UST'!$1:$1,0)),AA3,INDEX('Stock UST'!3:3,1,MATCH(Stock!AB$1,'Stock UST'!$1:$1,0))))</f>
        <v>400000</v>
      </c>
      <c r="AC3" s="9">
        <f ca="1">IF(IF(ISERROR(MATCH(Stock!AC$1,'Stock UST'!$1:$1,0)),AB3,INDEX('Stock UST'!3:3,1,MATCH(Stock!AC$1,'Stock UST'!$1:$1,0)))=0,"",IF(ISERROR(MATCH(Stock!AC$1,'Stock UST'!$1:$1,0)),AB3,INDEX('Stock UST'!3:3,1,MATCH(Stock!AC$1,'Stock UST'!$1:$1,0))))</f>
        <v>400000</v>
      </c>
      <c r="AD3" s="9">
        <f ca="1">IF(IF(ISERROR(MATCH(Stock!AD$1,'Stock UST'!$1:$1,0)),AC3,INDEX('Stock UST'!3:3,1,MATCH(Stock!AD$1,'Stock UST'!$1:$1,0)))=0,"",IF(ISERROR(MATCH(Stock!AD$1,'Stock UST'!$1:$1,0)),AC3,INDEX('Stock UST'!3:3,1,MATCH(Stock!AD$1,'Stock UST'!$1:$1,0))))</f>
        <v>400000</v>
      </c>
      <c r="AE3" s="9">
        <f ca="1">IF(IF(ISERROR(MATCH(Stock!AE$1,'Stock UST'!$1:$1,0)),AD3,INDEX('Stock UST'!3:3,1,MATCH(Stock!AE$1,'Stock UST'!$1:$1,0)))=0,"",IF(ISERROR(MATCH(Stock!AE$1,'Stock UST'!$1:$1,0)),AD3,INDEX('Stock UST'!3:3,1,MATCH(Stock!AE$1,'Stock UST'!$1:$1,0))))</f>
        <v>400000</v>
      </c>
      <c r="AF3" s="9">
        <f ca="1">IF(IF(ISERROR(MATCH(Stock!AF$1,'Stock UST'!$1:$1,0)),AE3,INDEX('Stock UST'!3:3,1,MATCH(Stock!AF$1,'Stock UST'!$1:$1,0)))=0,"",IF(ISERROR(MATCH(Stock!AF$1,'Stock UST'!$1:$1,0)),AE3,INDEX('Stock UST'!3:3,1,MATCH(Stock!AF$1,'Stock UST'!$1:$1,0))))</f>
        <v>400000</v>
      </c>
      <c r="AG3" s="9">
        <f ca="1">IF(IF(ISERROR(MATCH(Stock!AG$1,'Stock UST'!$1:$1,0)),AF3,INDEX('Stock UST'!3:3,1,MATCH(Stock!AG$1,'Stock UST'!$1:$1,0)))=0,"",IF(ISERROR(MATCH(Stock!AG$1,'Stock UST'!$1:$1,0)),AF3,INDEX('Stock UST'!3:3,1,MATCH(Stock!AG$1,'Stock UST'!$1:$1,0))))</f>
        <v>400000</v>
      </c>
      <c r="AH3" s="9">
        <f ca="1">IF(IF(ISERROR(MATCH(Stock!AH$1,'Stock UST'!$1:$1,0)),AG3,INDEX('Stock UST'!3:3,1,MATCH(Stock!AH$1,'Stock UST'!$1:$1,0)))=0,"",IF(ISERROR(MATCH(Stock!AH$1,'Stock UST'!$1:$1,0)),AG3,INDEX('Stock UST'!3:3,1,MATCH(Stock!AH$1,'Stock UST'!$1:$1,0))))</f>
        <v>400000</v>
      </c>
      <c r="AI3" s="9">
        <f ca="1">IF(IF(ISERROR(MATCH(Stock!AI$1,'Stock UST'!$1:$1,0)),AH3,INDEX('Stock UST'!3:3,1,MATCH(Stock!AI$1,'Stock UST'!$1:$1,0)))=0,"",IF(ISERROR(MATCH(Stock!AI$1,'Stock UST'!$1:$1,0)),AH3,INDEX('Stock UST'!3:3,1,MATCH(Stock!AI$1,'Stock UST'!$1:$1,0))))</f>
        <v>400000</v>
      </c>
      <c r="AJ3" s="9">
        <f ca="1">IF(IF(ISERROR(MATCH(Stock!AJ$1,'Stock UST'!$1:$1,0)),AI3,INDEX('Stock UST'!3:3,1,MATCH(Stock!AJ$1,'Stock UST'!$1:$1,0)))=0,"",IF(ISERROR(MATCH(Stock!AJ$1,'Stock UST'!$1:$1,0)),AI3,INDEX('Stock UST'!3:3,1,MATCH(Stock!AJ$1,'Stock UST'!$1:$1,0))))</f>
        <v>400000</v>
      </c>
      <c r="AK3" s="9">
        <f ca="1">IF(IF(ISERROR(MATCH(Stock!AK$1,'Stock UST'!$1:$1,0)),AJ3,INDEX('Stock UST'!3:3,1,MATCH(Stock!AK$1,'Stock UST'!$1:$1,0)))=0,"",IF(ISERROR(MATCH(Stock!AK$1,'Stock UST'!$1:$1,0)),AJ3,INDEX('Stock UST'!3:3,1,MATCH(Stock!AK$1,'Stock UST'!$1:$1,0))))</f>
        <v>400000</v>
      </c>
      <c r="AL3" s="9">
        <f ca="1">IF(IF(ISERROR(MATCH(Stock!AL$1,'Stock UST'!$1:$1,0)),AK3,INDEX('Stock UST'!3:3,1,MATCH(Stock!AL$1,'Stock UST'!$1:$1,0)))=0,"",IF(ISERROR(MATCH(Stock!AL$1,'Stock UST'!$1:$1,0)),AK3,INDEX('Stock UST'!3:3,1,MATCH(Stock!AL$1,'Stock UST'!$1:$1,0))))</f>
        <v>400000</v>
      </c>
      <c r="AM3" s="9">
        <f ca="1">IF(IF(ISERROR(MATCH(Stock!AM$1,'Stock UST'!$1:$1,0)),AL3,INDEX('Stock UST'!3:3,1,MATCH(Stock!AM$1,'Stock UST'!$1:$1,0)))=0,"",IF(ISERROR(MATCH(Stock!AM$1,'Stock UST'!$1:$1,0)),AL3,INDEX('Stock UST'!3:3,1,MATCH(Stock!AM$1,'Stock UST'!$1:$1,0))))</f>
        <v>400000</v>
      </c>
      <c r="AN3" s="9">
        <f ca="1">IF(IF(ISERROR(MATCH(Stock!AN$1,'Stock UST'!$1:$1,0)),AM3,INDEX('Stock UST'!3:3,1,MATCH(Stock!AN$1,'Stock UST'!$1:$1,0)))=0,"",IF(ISERROR(MATCH(Stock!AN$1,'Stock UST'!$1:$1,0)),AM3,INDEX('Stock UST'!3:3,1,MATCH(Stock!AN$1,'Stock UST'!$1:$1,0))))</f>
        <v>400000</v>
      </c>
      <c r="AO3" s="9">
        <f ca="1">IF(IF(ISERROR(MATCH(Stock!AO$1,'Stock UST'!$1:$1,0)),AN3,INDEX('Stock UST'!3:3,1,MATCH(Stock!AO$1,'Stock UST'!$1:$1,0)))=0,"",IF(ISERROR(MATCH(Stock!AO$1,'Stock UST'!$1:$1,0)),AN3,INDEX('Stock UST'!3:3,1,MATCH(Stock!AO$1,'Stock UST'!$1:$1,0))))</f>
        <v>400000</v>
      </c>
      <c r="AP3" s="9">
        <f ca="1">IF(IF(ISERROR(MATCH(Stock!AP$1,'Stock UST'!$1:$1,0)),AO3,INDEX('Stock UST'!3:3,1,MATCH(Stock!AP$1,'Stock UST'!$1:$1,0)))=0,"",IF(ISERROR(MATCH(Stock!AP$1,'Stock UST'!$1:$1,0)),AO3,INDEX('Stock UST'!3:3,1,MATCH(Stock!AP$1,'Stock UST'!$1:$1,0))))</f>
        <v>400000</v>
      </c>
      <c r="AQ3" s="9">
        <f ca="1">IF(IF(ISERROR(MATCH(Stock!AQ$1,'Stock UST'!$1:$1,0)),AP3,INDEX('Stock UST'!3:3,1,MATCH(Stock!AQ$1,'Stock UST'!$1:$1,0)))=0,"",IF(ISERROR(MATCH(Stock!AQ$1,'Stock UST'!$1:$1,0)),AP3,INDEX('Stock UST'!3:3,1,MATCH(Stock!AQ$1,'Stock UST'!$1:$1,0))))</f>
        <v>400000</v>
      </c>
      <c r="AR3" s="9">
        <f ca="1">IF(IF(ISERROR(MATCH(Stock!AR$1,'Stock UST'!$1:$1,0)),AQ3,INDEX('Stock UST'!3:3,1,MATCH(Stock!AR$1,'Stock UST'!$1:$1,0)))=0,"",IF(ISERROR(MATCH(Stock!AR$1,'Stock UST'!$1:$1,0)),AQ3,INDEX('Stock UST'!3:3,1,MATCH(Stock!AR$1,'Stock UST'!$1:$1,0))))</f>
        <v>400000</v>
      </c>
      <c r="AS3" s="9">
        <f ca="1">IF(IF(ISERROR(MATCH(Stock!AS$1,'Stock UST'!$1:$1,0)),AR3,INDEX('Stock UST'!3:3,1,MATCH(Stock!AS$1,'Stock UST'!$1:$1,0)))=0,"",IF(ISERROR(MATCH(Stock!AS$1,'Stock UST'!$1:$1,0)),AR3,INDEX('Stock UST'!3:3,1,MATCH(Stock!AS$1,'Stock UST'!$1:$1,0))))</f>
        <v>400000</v>
      </c>
      <c r="AT3" s="9">
        <f ca="1">IF(IF(ISERROR(MATCH(Stock!AT$1,'Stock UST'!$1:$1,0)),AS3,INDEX('Stock UST'!3:3,1,MATCH(Stock!AT$1,'Stock UST'!$1:$1,0)))=0,"",IF(ISERROR(MATCH(Stock!AT$1,'Stock UST'!$1:$1,0)),AS3,INDEX('Stock UST'!3:3,1,MATCH(Stock!AT$1,'Stock UST'!$1:$1,0))))</f>
        <v>400000</v>
      </c>
      <c r="AU3" s="9">
        <f ca="1">IF(IF(ISERROR(MATCH(Stock!AU$1,'Stock UST'!$1:$1,0)),AT3,INDEX('Stock UST'!3:3,1,MATCH(Stock!AU$1,'Stock UST'!$1:$1,0)))=0,"",IF(ISERROR(MATCH(Stock!AU$1,'Stock UST'!$1:$1,0)),AT3,INDEX('Stock UST'!3:3,1,MATCH(Stock!AU$1,'Stock UST'!$1:$1,0))))</f>
        <v>400000</v>
      </c>
      <c r="AV3" s="9">
        <f ca="1">IF(IF(ISERROR(MATCH(Stock!AV$1,'Stock UST'!$1:$1,0)),AU3,INDEX('Stock UST'!3:3,1,MATCH(Stock!AV$1,'Stock UST'!$1:$1,0)))=0,"",IF(ISERROR(MATCH(Stock!AV$1,'Stock UST'!$1:$1,0)),AU3,INDEX('Stock UST'!3:3,1,MATCH(Stock!AV$1,'Stock UST'!$1:$1,0))))</f>
        <v>400000</v>
      </c>
      <c r="AW3" s="9">
        <f ca="1">IF(IF(ISERROR(MATCH(Stock!AW$1,'Stock UST'!$1:$1,0)),AV3,INDEX('Stock UST'!3:3,1,MATCH(Stock!AW$1,'Stock UST'!$1:$1,0)))=0,"",IF(ISERROR(MATCH(Stock!AW$1,'Stock UST'!$1:$1,0)),AV3,INDEX('Stock UST'!3:3,1,MATCH(Stock!AW$1,'Stock UST'!$1:$1,0))))</f>
        <v>400000</v>
      </c>
      <c r="AX3" s="9">
        <f ca="1">IF(IF(ISERROR(MATCH(Stock!AX$1,'Stock UST'!$1:$1,0)),AW3,INDEX('Stock UST'!3:3,1,MATCH(Stock!AX$1,'Stock UST'!$1:$1,0)))=0,"",IF(ISERROR(MATCH(Stock!AX$1,'Stock UST'!$1:$1,0)),AW3,INDEX('Stock UST'!3:3,1,MATCH(Stock!AX$1,'Stock UST'!$1:$1,0))))</f>
        <v>400000</v>
      </c>
    </row>
    <row r="4" spans="1:91" x14ac:dyDescent="0.3">
      <c r="A4" s="9">
        <f>IF('Stock UST'!E4="","",'Stock UST'!E4)</f>
        <v>0</v>
      </c>
      <c r="B4" s="9" t="str">
        <f>IF(IF(ISERROR(MATCH(Stock!B$1,'Stock UST'!$1:$1,0)),A4,INDEX('Stock UST'!4:4,1,MATCH(Stock!B$1,'Stock UST'!$1:$1,0)))=0,"",IF(ISERROR(MATCH(Stock!B$1,'Stock UST'!$1:$1,0)),A4,INDEX('Stock UST'!4:4,1,MATCH(Stock!B$1,'Stock UST'!$1:$1,0))))</f>
        <v/>
      </c>
      <c r="C4" s="9" t="str">
        <f ca="1">IF(IF(ISERROR(MATCH(Stock!C$1,'Stock UST'!$1:$1,0)),B4,INDEX('Stock UST'!4:4,1,MATCH(Stock!C$1,'Stock UST'!$1:$1,0)))=0,"",IF(ISERROR(MATCH(Stock!C$1,'Stock UST'!$1:$1,0)),B4,INDEX('Stock UST'!4:4,1,MATCH(Stock!C$1,'Stock UST'!$1:$1,0))))</f>
        <v/>
      </c>
      <c r="D4" s="9" t="str">
        <f ca="1">IF(IF(ISERROR(MATCH(Stock!D$1,'Stock UST'!$1:$1,0)),C4,INDEX('Stock UST'!4:4,1,MATCH(Stock!D$1,'Stock UST'!$1:$1,0)))=0,"",IF(ISERROR(MATCH(Stock!D$1,'Stock UST'!$1:$1,0)),C4,INDEX('Stock UST'!4:4,1,MATCH(Stock!D$1,'Stock UST'!$1:$1,0))))</f>
        <v/>
      </c>
      <c r="E4" s="9" t="str">
        <f ca="1">IF(IF(ISERROR(MATCH(Stock!E$1,'Stock UST'!$1:$1,0)),D4,INDEX('Stock UST'!4:4,1,MATCH(Stock!E$1,'Stock UST'!$1:$1,0)))=0,"",IF(ISERROR(MATCH(Stock!E$1,'Stock UST'!$1:$1,0)),D4,INDEX('Stock UST'!4:4,1,MATCH(Stock!E$1,'Stock UST'!$1:$1,0))))</f>
        <v/>
      </c>
      <c r="F4" s="9" t="str">
        <f ca="1">IF(IF(ISERROR(MATCH(Stock!F$1,'Stock UST'!$1:$1,0)),E4,INDEX('Stock UST'!4:4,1,MATCH(Stock!F$1,'Stock UST'!$1:$1,0)))=0,"",IF(ISERROR(MATCH(Stock!F$1,'Stock UST'!$1:$1,0)),E4,INDEX('Stock UST'!4:4,1,MATCH(Stock!F$1,'Stock UST'!$1:$1,0))))</f>
        <v/>
      </c>
      <c r="G4" s="9" t="str">
        <f ca="1">IF(IF(ISERROR(MATCH(Stock!G$1,'Stock UST'!$1:$1,0)),F4,INDEX('Stock UST'!4:4,1,MATCH(Stock!G$1,'Stock UST'!$1:$1,0)))=0,"",IF(ISERROR(MATCH(Stock!G$1,'Stock UST'!$1:$1,0)),F4,INDEX('Stock UST'!4:4,1,MATCH(Stock!G$1,'Stock UST'!$1:$1,0))))</f>
        <v/>
      </c>
      <c r="H4" s="9" t="str">
        <f ca="1">IF(IF(ISERROR(MATCH(Stock!H$1,'Stock UST'!$1:$1,0)),G4,INDEX('Stock UST'!4:4,1,MATCH(Stock!H$1,'Stock UST'!$1:$1,0)))=0,"",IF(ISERROR(MATCH(Stock!H$1,'Stock UST'!$1:$1,0)),G4,INDEX('Stock UST'!4:4,1,MATCH(Stock!H$1,'Stock UST'!$1:$1,0))))</f>
        <v/>
      </c>
      <c r="I4" s="9" t="str">
        <f ca="1">IF(IF(ISERROR(MATCH(Stock!I$1,'Stock UST'!$1:$1,0)),H4,INDEX('Stock UST'!4:4,1,MATCH(Stock!I$1,'Stock UST'!$1:$1,0)))=0,"",IF(ISERROR(MATCH(Stock!I$1,'Stock UST'!$1:$1,0)),H4,INDEX('Stock UST'!4:4,1,MATCH(Stock!I$1,'Stock UST'!$1:$1,0))))</f>
        <v/>
      </c>
      <c r="J4" s="9" t="str">
        <f ca="1">IF(IF(ISERROR(MATCH(Stock!J$1,'Stock UST'!$1:$1,0)),I4,INDEX('Stock UST'!4:4,1,MATCH(Stock!J$1,'Stock UST'!$1:$1,0)))=0,"",IF(ISERROR(MATCH(Stock!J$1,'Stock UST'!$1:$1,0)),I4,INDEX('Stock UST'!4:4,1,MATCH(Stock!J$1,'Stock UST'!$1:$1,0))))</f>
        <v/>
      </c>
      <c r="K4" s="9" t="str">
        <f ca="1">IF(IF(ISERROR(MATCH(Stock!K$1,'Stock UST'!$1:$1,0)),J4,INDEX('Stock UST'!4:4,1,MATCH(Stock!K$1,'Stock UST'!$1:$1,0)))=0,"",IF(ISERROR(MATCH(Stock!K$1,'Stock UST'!$1:$1,0)),J4,INDEX('Stock UST'!4:4,1,MATCH(Stock!K$1,'Stock UST'!$1:$1,0))))</f>
        <v/>
      </c>
      <c r="L4" s="9" t="str">
        <f ca="1">IF(IF(ISERROR(MATCH(Stock!L$1,'Stock UST'!$1:$1,0)),K4,INDEX('Stock UST'!4:4,1,MATCH(Stock!L$1,'Stock UST'!$1:$1,0)))=0,"",IF(ISERROR(MATCH(Stock!L$1,'Stock UST'!$1:$1,0)),K4,INDEX('Stock UST'!4:4,1,MATCH(Stock!L$1,'Stock UST'!$1:$1,0))))</f>
        <v/>
      </c>
      <c r="M4" s="9" t="str">
        <f ca="1">IF(IF(ISERROR(MATCH(Stock!M$1,'Stock UST'!$1:$1,0)),L4,INDEX('Stock UST'!4:4,1,MATCH(Stock!M$1,'Stock UST'!$1:$1,0)))=0,"",IF(ISERROR(MATCH(Stock!M$1,'Stock UST'!$1:$1,0)),L4,INDEX('Stock UST'!4:4,1,MATCH(Stock!M$1,'Stock UST'!$1:$1,0))))</f>
        <v/>
      </c>
      <c r="N4" s="9" t="str">
        <f ca="1">IF(IF(ISERROR(MATCH(Stock!N$1,'Stock UST'!$1:$1,0)),M4,INDEX('Stock UST'!4:4,1,MATCH(Stock!N$1,'Stock UST'!$1:$1,0)))=0,"",IF(ISERROR(MATCH(Stock!N$1,'Stock UST'!$1:$1,0)),M4,INDEX('Stock UST'!4:4,1,MATCH(Stock!N$1,'Stock UST'!$1:$1,0))))</f>
        <v/>
      </c>
      <c r="O4" s="9" t="str">
        <f ca="1">IF(IF(ISERROR(MATCH(Stock!O$1,'Stock UST'!$1:$1,0)),N4,INDEX('Stock UST'!4:4,1,MATCH(Stock!O$1,'Stock UST'!$1:$1,0)))=0,"",IF(ISERROR(MATCH(Stock!O$1,'Stock UST'!$1:$1,0)),N4,INDEX('Stock UST'!4:4,1,MATCH(Stock!O$1,'Stock UST'!$1:$1,0))))</f>
        <v/>
      </c>
      <c r="P4" s="9" t="str">
        <f ca="1">IF(IF(ISERROR(MATCH(Stock!P$1,'Stock UST'!$1:$1,0)),O4,INDEX('Stock UST'!4:4,1,MATCH(Stock!P$1,'Stock UST'!$1:$1,0)))=0,"",IF(ISERROR(MATCH(Stock!P$1,'Stock UST'!$1:$1,0)),O4,INDEX('Stock UST'!4:4,1,MATCH(Stock!P$1,'Stock UST'!$1:$1,0))))</f>
        <v/>
      </c>
      <c r="Q4" s="9" t="str">
        <f ca="1">IF(IF(ISERROR(MATCH(Stock!Q$1,'Stock UST'!$1:$1,0)),P4,INDEX('Stock UST'!4:4,1,MATCH(Stock!Q$1,'Stock UST'!$1:$1,0)))=0,"",IF(ISERROR(MATCH(Stock!Q$1,'Stock UST'!$1:$1,0)),P4,INDEX('Stock UST'!4:4,1,MATCH(Stock!Q$1,'Stock UST'!$1:$1,0))))</f>
        <v/>
      </c>
      <c r="R4" s="9" t="str">
        <f ca="1">IF(IF(ISERROR(MATCH(Stock!R$1,'Stock UST'!$1:$1,0)),Q4,INDEX('Stock UST'!4:4,1,MATCH(Stock!R$1,'Stock UST'!$1:$1,0)))=0,"",IF(ISERROR(MATCH(Stock!R$1,'Stock UST'!$1:$1,0)),Q4,INDEX('Stock UST'!4:4,1,MATCH(Stock!R$1,'Stock UST'!$1:$1,0))))</f>
        <v/>
      </c>
      <c r="S4" s="9" t="str">
        <f ca="1">IF(IF(ISERROR(MATCH(Stock!S$1,'Stock UST'!$1:$1,0)),R4,INDEX('Stock UST'!4:4,1,MATCH(Stock!S$1,'Stock UST'!$1:$1,0)))=0,"",IF(ISERROR(MATCH(Stock!S$1,'Stock UST'!$1:$1,0)),R4,INDEX('Stock UST'!4:4,1,MATCH(Stock!S$1,'Stock UST'!$1:$1,0))))</f>
        <v/>
      </c>
      <c r="T4" s="9" t="str">
        <f ca="1">IF(IF(ISERROR(MATCH(Stock!T$1,'Stock UST'!$1:$1,0)),S4,INDEX('Stock UST'!4:4,1,MATCH(Stock!T$1,'Stock UST'!$1:$1,0)))=0,"",IF(ISERROR(MATCH(Stock!T$1,'Stock UST'!$1:$1,0)),S4,INDEX('Stock UST'!4:4,1,MATCH(Stock!T$1,'Stock UST'!$1:$1,0))))</f>
        <v/>
      </c>
      <c r="U4" s="9" t="str">
        <f ca="1">IF(IF(ISERROR(MATCH(Stock!U$1,'Stock UST'!$1:$1,0)),T4,INDEX('Stock UST'!4:4,1,MATCH(Stock!U$1,'Stock UST'!$1:$1,0)))=0,"",IF(ISERROR(MATCH(Stock!U$1,'Stock UST'!$1:$1,0)),T4,INDEX('Stock UST'!4:4,1,MATCH(Stock!U$1,'Stock UST'!$1:$1,0))))</f>
        <v/>
      </c>
      <c r="V4" s="9" t="str">
        <f ca="1">IF(IF(ISERROR(MATCH(Stock!V$1,'Stock UST'!$1:$1,0)),U4,INDEX('Stock UST'!4:4,1,MATCH(Stock!V$1,'Stock UST'!$1:$1,0)))=0,"",IF(ISERROR(MATCH(Stock!V$1,'Stock UST'!$1:$1,0)),U4,INDEX('Stock UST'!4:4,1,MATCH(Stock!V$1,'Stock UST'!$1:$1,0))))</f>
        <v/>
      </c>
      <c r="W4" s="9" t="str">
        <f ca="1">IF(IF(ISERROR(MATCH(Stock!W$1,'Stock UST'!$1:$1,0)),V4,INDEX('Stock UST'!4:4,1,MATCH(Stock!W$1,'Stock UST'!$1:$1,0)))=0,"",IF(ISERROR(MATCH(Stock!W$1,'Stock UST'!$1:$1,0)),V4,INDEX('Stock UST'!4:4,1,MATCH(Stock!W$1,'Stock UST'!$1:$1,0))))</f>
        <v/>
      </c>
      <c r="X4" s="9" t="str">
        <f ca="1">IF(IF(ISERROR(MATCH(Stock!X$1,'Stock UST'!$1:$1,0)),W4,INDEX('Stock UST'!4:4,1,MATCH(Stock!X$1,'Stock UST'!$1:$1,0)))=0,"",IF(ISERROR(MATCH(Stock!X$1,'Stock UST'!$1:$1,0)),W4,INDEX('Stock UST'!4:4,1,MATCH(Stock!X$1,'Stock UST'!$1:$1,0))))</f>
        <v/>
      </c>
      <c r="Y4" s="9" t="str">
        <f ca="1">IF(IF(ISERROR(MATCH(Stock!Y$1,'Stock UST'!$1:$1,0)),X4,INDEX('Stock UST'!4:4,1,MATCH(Stock!Y$1,'Stock UST'!$1:$1,0)))=0,"",IF(ISERROR(MATCH(Stock!Y$1,'Stock UST'!$1:$1,0)),X4,INDEX('Stock UST'!4:4,1,MATCH(Stock!Y$1,'Stock UST'!$1:$1,0))))</f>
        <v/>
      </c>
      <c r="Z4" s="9" t="str">
        <f ca="1">IF(IF(ISERROR(MATCH(Stock!Z$1,'Stock UST'!$1:$1,0)),Y4,INDEX('Stock UST'!4:4,1,MATCH(Stock!Z$1,'Stock UST'!$1:$1,0)))=0,"",IF(ISERROR(MATCH(Stock!Z$1,'Stock UST'!$1:$1,0)),Y4,INDEX('Stock UST'!4:4,1,MATCH(Stock!Z$1,'Stock UST'!$1:$1,0))))</f>
        <v/>
      </c>
      <c r="AA4" s="9" t="str">
        <f ca="1">IF(IF(ISERROR(MATCH(Stock!AA$1,'Stock UST'!$1:$1,0)),Z4,INDEX('Stock UST'!4:4,1,MATCH(Stock!AA$1,'Stock UST'!$1:$1,0)))=0,"",IF(ISERROR(MATCH(Stock!AA$1,'Stock UST'!$1:$1,0)),Z4,INDEX('Stock UST'!4:4,1,MATCH(Stock!AA$1,'Stock UST'!$1:$1,0))))</f>
        <v/>
      </c>
      <c r="AB4" s="9" t="str">
        <f ca="1">IF(IF(ISERROR(MATCH(Stock!AB$1,'Stock UST'!$1:$1,0)),AA4,INDEX('Stock UST'!4:4,1,MATCH(Stock!AB$1,'Stock UST'!$1:$1,0)))=0,"",IF(ISERROR(MATCH(Stock!AB$1,'Stock UST'!$1:$1,0)),AA4,INDEX('Stock UST'!4:4,1,MATCH(Stock!AB$1,'Stock UST'!$1:$1,0))))</f>
        <v/>
      </c>
      <c r="AC4" s="9" t="str">
        <f ca="1">IF(IF(ISERROR(MATCH(Stock!AC$1,'Stock UST'!$1:$1,0)),AB4,INDEX('Stock UST'!4:4,1,MATCH(Stock!AC$1,'Stock UST'!$1:$1,0)))=0,"",IF(ISERROR(MATCH(Stock!AC$1,'Stock UST'!$1:$1,0)),AB4,INDEX('Stock UST'!4:4,1,MATCH(Stock!AC$1,'Stock UST'!$1:$1,0))))</f>
        <v/>
      </c>
      <c r="AD4" s="9" t="str">
        <f ca="1">IF(IF(ISERROR(MATCH(Stock!AD$1,'Stock UST'!$1:$1,0)),AC4,INDEX('Stock UST'!4:4,1,MATCH(Stock!AD$1,'Stock UST'!$1:$1,0)))=0,"",IF(ISERROR(MATCH(Stock!AD$1,'Stock UST'!$1:$1,0)),AC4,INDEX('Stock UST'!4:4,1,MATCH(Stock!AD$1,'Stock UST'!$1:$1,0))))</f>
        <v/>
      </c>
      <c r="AE4" s="9" t="str">
        <f ca="1">IF(IF(ISERROR(MATCH(Stock!AE$1,'Stock UST'!$1:$1,0)),AD4,INDEX('Stock UST'!4:4,1,MATCH(Stock!AE$1,'Stock UST'!$1:$1,0)))=0,"",IF(ISERROR(MATCH(Stock!AE$1,'Stock UST'!$1:$1,0)),AD4,INDEX('Stock UST'!4:4,1,MATCH(Stock!AE$1,'Stock UST'!$1:$1,0))))</f>
        <v/>
      </c>
      <c r="AF4" s="9" t="str">
        <f ca="1">IF(IF(ISERROR(MATCH(Stock!AF$1,'Stock UST'!$1:$1,0)),AE4,INDEX('Stock UST'!4:4,1,MATCH(Stock!AF$1,'Stock UST'!$1:$1,0)))=0,"",IF(ISERROR(MATCH(Stock!AF$1,'Stock UST'!$1:$1,0)),AE4,INDEX('Stock UST'!4:4,1,MATCH(Stock!AF$1,'Stock UST'!$1:$1,0))))</f>
        <v/>
      </c>
      <c r="AG4" s="9" t="str">
        <f ca="1">IF(IF(ISERROR(MATCH(Stock!AG$1,'Stock UST'!$1:$1,0)),AF4,INDEX('Stock UST'!4:4,1,MATCH(Stock!AG$1,'Stock UST'!$1:$1,0)))=0,"",IF(ISERROR(MATCH(Stock!AG$1,'Stock UST'!$1:$1,0)),AF4,INDEX('Stock UST'!4:4,1,MATCH(Stock!AG$1,'Stock UST'!$1:$1,0))))</f>
        <v/>
      </c>
      <c r="AH4" s="9" t="str">
        <f ca="1">IF(IF(ISERROR(MATCH(Stock!AH$1,'Stock UST'!$1:$1,0)),AG4,INDEX('Stock UST'!4:4,1,MATCH(Stock!AH$1,'Stock UST'!$1:$1,0)))=0,"",IF(ISERROR(MATCH(Stock!AH$1,'Stock UST'!$1:$1,0)),AG4,INDEX('Stock UST'!4:4,1,MATCH(Stock!AH$1,'Stock UST'!$1:$1,0))))</f>
        <v/>
      </c>
      <c r="AI4" s="9" t="str">
        <f ca="1">IF(IF(ISERROR(MATCH(Stock!AI$1,'Stock UST'!$1:$1,0)),AH4,INDEX('Stock UST'!4:4,1,MATCH(Stock!AI$1,'Stock UST'!$1:$1,0)))=0,"",IF(ISERROR(MATCH(Stock!AI$1,'Stock UST'!$1:$1,0)),AH4,INDEX('Stock UST'!4:4,1,MATCH(Stock!AI$1,'Stock UST'!$1:$1,0))))</f>
        <v/>
      </c>
      <c r="AJ4" s="9" t="str">
        <f ca="1">IF(IF(ISERROR(MATCH(Stock!AJ$1,'Stock UST'!$1:$1,0)),AI4,INDEX('Stock UST'!4:4,1,MATCH(Stock!AJ$1,'Stock UST'!$1:$1,0)))=0,"",IF(ISERROR(MATCH(Stock!AJ$1,'Stock UST'!$1:$1,0)),AI4,INDEX('Stock UST'!4:4,1,MATCH(Stock!AJ$1,'Stock UST'!$1:$1,0))))</f>
        <v/>
      </c>
      <c r="AK4" s="9" t="str">
        <f ca="1">IF(IF(ISERROR(MATCH(Stock!AK$1,'Stock UST'!$1:$1,0)),AJ4,INDEX('Stock UST'!4:4,1,MATCH(Stock!AK$1,'Stock UST'!$1:$1,0)))=0,"",IF(ISERROR(MATCH(Stock!AK$1,'Stock UST'!$1:$1,0)),AJ4,INDEX('Stock UST'!4:4,1,MATCH(Stock!AK$1,'Stock UST'!$1:$1,0))))</f>
        <v/>
      </c>
      <c r="AL4" s="9" t="str">
        <f ca="1">IF(IF(ISERROR(MATCH(Stock!AL$1,'Stock UST'!$1:$1,0)),AK4,INDEX('Stock UST'!4:4,1,MATCH(Stock!AL$1,'Stock UST'!$1:$1,0)))=0,"",IF(ISERROR(MATCH(Stock!AL$1,'Stock UST'!$1:$1,0)),AK4,INDEX('Stock UST'!4:4,1,MATCH(Stock!AL$1,'Stock UST'!$1:$1,0))))</f>
        <v/>
      </c>
      <c r="AM4" s="9" t="str">
        <f ca="1">IF(IF(ISERROR(MATCH(Stock!AM$1,'Stock UST'!$1:$1,0)),AL4,INDEX('Stock UST'!4:4,1,MATCH(Stock!AM$1,'Stock UST'!$1:$1,0)))=0,"",IF(ISERROR(MATCH(Stock!AM$1,'Stock UST'!$1:$1,0)),AL4,INDEX('Stock UST'!4:4,1,MATCH(Stock!AM$1,'Stock UST'!$1:$1,0))))</f>
        <v/>
      </c>
      <c r="AN4" s="9" t="str">
        <f ca="1">IF(IF(ISERROR(MATCH(Stock!AN$1,'Stock UST'!$1:$1,0)),AM4,INDEX('Stock UST'!4:4,1,MATCH(Stock!AN$1,'Stock UST'!$1:$1,0)))=0,"",IF(ISERROR(MATCH(Stock!AN$1,'Stock UST'!$1:$1,0)),AM4,INDEX('Stock UST'!4:4,1,MATCH(Stock!AN$1,'Stock UST'!$1:$1,0))))</f>
        <v/>
      </c>
      <c r="AO4" s="9" t="str">
        <f ca="1">IF(IF(ISERROR(MATCH(Stock!AO$1,'Stock UST'!$1:$1,0)),AN4,INDEX('Stock UST'!4:4,1,MATCH(Stock!AO$1,'Stock UST'!$1:$1,0)))=0,"",IF(ISERROR(MATCH(Stock!AO$1,'Stock UST'!$1:$1,0)),AN4,INDEX('Stock UST'!4:4,1,MATCH(Stock!AO$1,'Stock UST'!$1:$1,0))))</f>
        <v/>
      </c>
      <c r="AP4" s="9" t="str">
        <f ca="1">IF(IF(ISERROR(MATCH(Stock!AP$1,'Stock UST'!$1:$1,0)),AO4,INDEX('Stock UST'!4:4,1,MATCH(Stock!AP$1,'Stock UST'!$1:$1,0)))=0,"",IF(ISERROR(MATCH(Stock!AP$1,'Stock UST'!$1:$1,0)),AO4,INDEX('Stock UST'!4:4,1,MATCH(Stock!AP$1,'Stock UST'!$1:$1,0))))</f>
        <v/>
      </c>
      <c r="AQ4" s="9" t="str">
        <f ca="1">IF(IF(ISERROR(MATCH(Stock!AQ$1,'Stock UST'!$1:$1,0)),AP4,INDEX('Stock UST'!4:4,1,MATCH(Stock!AQ$1,'Stock UST'!$1:$1,0)))=0,"",IF(ISERROR(MATCH(Stock!AQ$1,'Stock UST'!$1:$1,0)),AP4,INDEX('Stock UST'!4:4,1,MATCH(Stock!AQ$1,'Stock UST'!$1:$1,0))))</f>
        <v/>
      </c>
      <c r="AR4" s="9" t="str">
        <f ca="1">IF(IF(ISERROR(MATCH(Stock!AR$1,'Stock UST'!$1:$1,0)),AQ4,INDEX('Stock UST'!4:4,1,MATCH(Stock!AR$1,'Stock UST'!$1:$1,0)))=0,"",IF(ISERROR(MATCH(Stock!AR$1,'Stock UST'!$1:$1,0)),AQ4,INDEX('Stock UST'!4:4,1,MATCH(Stock!AR$1,'Stock UST'!$1:$1,0))))</f>
        <v/>
      </c>
      <c r="AS4" s="9" t="str">
        <f ca="1">IF(IF(ISERROR(MATCH(Stock!AS$1,'Stock UST'!$1:$1,0)),AR4,INDEX('Stock UST'!4:4,1,MATCH(Stock!AS$1,'Stock UST'!$1:$1,0)))=0,"",IF(ISERROR(MATCH(Stock!AS$1,'Stock UST'!$1:$1,0)),AR4,INDEX('Stock UST'!4:4,1,MATCH(Stock!AS$1,'Stock UST'!$1:$1,0))))</f>
        <v/>
      </c>
      <c r="AT4" s="9" t="str">
        <f ca="1">IF(IF(ISERROR(MATCH(Stock!AT$1,'Stock UST'!$1:$1,0)),AS4,INDEX('Stock UST'!4:4,1,MATCH(Stock!AT$1,'Stock UST'!$1:$1,0)))=0,"",IF(ISERROR(MATCH(Stock!AT$1,'Stock UST'!$1:$1,0)),AS4,INDEX('Stock UST'!4:4,1,MATCH(Stock!AT$1,'Stock UST'!$1:$1,0))))</f>
        <v/>
      </c>
      <c r="AU4" s="9" t="str">
        <f ca="1">IF(IF(ISERROR(MATCH(Stock!AU$1,'Stock UST'!$1:$1,0)),AT4,INDEX('Stock UST'!4:4,1,MATCH(Stock!AU$1,'Stock UST'!$1:$1,0)))=0,"",IF(ISERROR(MATCH(Stock!AU$1,'Stock UST'!$1:$1,0)),AT4,INDEX('Stock UST'!4:4,1,MATCH(Stock!AU$1,'Stock UST'!$1:$1,0))))</f>
        <v/>
      </c>
      <c r="AV4" s="9" t="str">
        <f ca="1">IF(IF(ISERROR(MATCH(Stock!AV$1,'Stock UST'!$1:$1,0)),AU4,INDEX('Stock UST'!4:4,1,MATCH(Stock!AV$1,'Stock UST'!$1:$1,0)))=0,"",IF(ISERROR(MATCH(Stock!AV$1,'Stock UST'!$1:$1,0)),AU4,INDEX('Stock UST'!4:4,1,MATCH(Stock!AV$1,'Stock UST'!$1:$1,0))))</f>
        <v/>
      </c>
      <c r="AW4" s="9" t="str">
        <f ca="1">IF(IF(ISERROR(MATCH(Stock!AW$1,'Stock UST'!$1:$1,0)),AV4,INDEX('Stock UST'!4:4,1,MATCH(Stock!AW$1,'Stock UST'!$1:$1,0)))=0,"",IF(ISERROR(MATCH(Stock!AW$1,'Stock UST'!$1:$1,0)),AV4,INDEX('Stock UST'!4:4,1,MATCH(Stock!AW$1,'Stock UST'!$1:$1,0))))</f>
        <v/>
      </c>
      <c r="AX4" s="9" t="str">
        <f ca="1">IF(IF(ISERROR(MATCH(Stock!AX$1,'Stock UST'!$1:$1,0)),AW4,INDEX('Stock UST'!4:4,1,MATCH(Stock!AX$1,'Stock UST'!$1:$1,0)))=0,"",IF(ISERROR(MATCH(Stock!AX$1,'Stock UST'!$1:$1,0)),AW4,INDEX('Stock UST'!4:4,1,MATCH(Stock!AX$1,'Stock UST'!$1:$1,0))))</f>
        <v/>
      </c>
    </row>
    <row r="5" spans="1:91" x14ac:dyDescent="0.3">
      <c r="A5" s="9">
        <f>IF('Stock UST'!E5="","",'Stock UST'!E5)</f>
        <v>252000</v>
      </c>
      <c r="B5" s="9">
        <f>IF(IF(ISERROR(MATCH(Stock!B$1,'Stock UST'!$1:$1,0)),A5,INDEX('Stock UST'!5:5,1,MATCH(Stock!B$1,'Stock UST'!$1:$1,0)))=0,"",IF(ISERROR(MATCH(Stock!B$1,'Stock UST'!$1:$1,0)),A5,INDEX('Stock UST'!5:5,1,MATCH(Stock!B$1,'Stock UST'!$1:$1,0))))</f>
        <v>252000</v>
      </c>
      <c r="C5" s="9">
        <f ca="1">IF(IF(ISERROR(MATCH(Stock!C$1,'Stock UST'!$1:$1,0)),B5,INDEX('Stock UST'!5:5,1,MATCH(Stock!C$1,'Stock UST'!$1:$1,0)))=0,"",IF(ISERROR(MATCH(Stock!C$1,'Stock UST'!$1:$1,0)),B5,INDEX('Stock UST'!5:5,1,MATCH(Stock!C$1,'Stock UST'!$1:$1,0))))</f>
        <v>252000</v>
      </c>
      <c r="D5" s="9">
        <f ca="1">IF(IF(ISERROR(MATCH(Stock!D$1,'Stock UST'!$1:$1,0)),C5,INDEX('Stock UST'!5:5,1,MATCH(Stock!D$1,'Stock UST'!$1:$1,0)))=0,"",IF(ISERROR(MATCH(Stock!D$1,'Stock UST'!$1:$1,0)),C5,INDEX('Stock UST'!5:5,1,MATCH(Stock!D$1,'Stock UST'!$1:$1,0))))</f>
        <v>252000</v>
      </c>
      <c r="E5" s="9">
        <f ca="1">IF(IF(ISERROR(MATCH(Stock!E$1,'Stock UST'!$1:$1,0)),D5,INDEX('Stock UST'!5:5,1,MATCH(Stock!E$1,'Stock UST'!$1:$1,0)))=0,"",IF(ISERROR(MATCH(Stock!E$1,'Stock UST'!$1:$1,0)),D5,INDEX('Stock UST'!5:5,1,MATCH(Stock!E$1,'Stock UST'!$1:$1,0))))</f>
        <v>252000</v>
      </c>
      <c r="F5" s="9">
        <f ca="1">IF(IF(ISERROR(MATCH(Stock!F$1,'Stock UST'!$1:$1,0)),E5,INDEX('Stock UST'!5:5,1,MATCH(Stock!F$1,'Stock UST'!$1:$1,0)))=0,"",IF(ISERROR(MATCH(Stock!F$1,'Stock UST'!$1:$1,0)),E5,INDEX('Stock UST'!5:5,1,MATCH(Stock!F$1,'Stock UST'!$1:$1,0))))</f>
        <v>252000</v>
      </c>
      <c r="G5" s="9">
        <f ca="1">IF(IF(ISERROR(MATCH(Stock!G$1,'Stock UST'!$1:$1,0)),F5,INDEX('Stock UST'!5:5,1,MATCH(Stock!G$1,'Stock UST'!$1:$1,0)))=0,"",IF(ISERROR(MATCH(Stock!G$1,'Stock UST'!$1:$1,0)),F5,INDEX('Stock UST'!5:5,1,MATCH(Stock!G$1,'Stock UST'!$1:$1,0))))</f>
        <v>252000</v>
      </c>
      <c r="H5" s="9">
        <f ca="1">IF(IF(ISERROR(MATCH(Stock!H$1,'Stock UST'!$1:$1,0)),G5,INDEX('Stock UST'!5:5,1,MATCH(Stock!H$1,'Stock UST'!$1:$1,0)))=0,"",IF(ISERROR(MATCH(Stock!H$1,'Stock UST'!$1:$1,0)),G5,INDEX('Stock UST'!5:5,1,MATCH(Stock!H$1,'Stock UST'!$1:$1,0))))</f>
        <v>252000</v>
      </c>
      <c r="I5" s="9">
        <f ca="1">IF(IF(ISERROR(MATCH(Stock!I$1,'Stock UST'!$1:$1,0)),H5,INDEX('Stock UST'!5:5,1,MATCH(Stock!I$1,'Stock UST'!$1:$1,0)))=0,"",IF(ISERROR(MATCH(Stock!I$1,'Stock UST'!$1:$1,0)),H5,INDEX('Stock UST'!5:5,1,MATCH(Stock!I$1,'Stock UST'!$1:$1,0))))</f>
        <v>252000</v>
      </c>
      <c r="J5" s="9">
        <f ca="1">IF(IF(ISERROR(MATCH(Stock!J$1,'Stock UST'!$1:$1,0)),I5,INDEX('Stock UST'!5:5,1,MATCH(Stock!J$1,'Stock UST'!$1:$1,0)))=0,"",IF(ISERROR(MATCH(Stock!J$1,'Stock UST'!$1:$1,0)),I5,INDEX('Stock UST'!5:5,1,MATCH(Stock!J$1,'Stock UST'!$1:$1,0))))</f>
        <v>252000</v>
      </c>
      <c r="K5" s="9">
        <f ca="1">IF(IF(ISERROR(MATCH(Stock!K$1,'Stock UST'!$1:$1,0)),J5,INDEX('Stock UST'!5:5,1,MATCH(Stock!K$1,'Stock UST'!$1:$1,0)))=0,"",IF(ISERROR(MATCH(Stock!K$1,'Stock UST'!$1:$1,0)),J5,INDEX('Stock UST'!5:5,1,MATCH(Stock!K$1,'Stock UST'!$1:$1,0))))</f>
        <v>252000</v>
      </c>
      <c r="L5" s="9">
        <f ca="1">IF(IF(ISERROR(MATCH(Stock!L$1,'Stock UST'!$1:$1,0)),K5,INDEX('Stock UST'!5:5,1,MATCH(Stock!L$1,'Stock UST'!$1:$1,0)))=0,"",IF(ISERROR(MATCH(Stock!L$1,'Stock UST'!$1:$1,0)),K5,INDEX('Stock UST'!5:5,1,MATCH(Stock!L$1,'Stock UST'!$1:$1,0))))</f>
        <v>252000</v>
      </c>
      <c r="M5" s="9">
        <f ca="1">IF(IF(ISERROR(MATCH(Stock!M$1,'Stock UST'!$1:$1,0)),L5,INDEX('Stock UST'!5:5,1,MATCH(Stock!M$1,'Stock UST'!$1:$1,0)))=0,"",IF(ISERROR(MATCH(Stock!M$1,'Stock UST'!$1:$1,0)),L5,INDEX('Stock UST'!5:5,1,MATCH(Stock!M$1,'Stock UST'!$1:$1,0))))</f>
        <v>252000</v>
      </c>
      <c r="N5" s="9">
        <f ca="1">IF(IF(ISERROR(MATCH(Stock!N$1,'Stock UST'!$1:$1,0)),M5,INDEX('Stock UST'!5:5,1,MATCH(Stock!N$1,'Stock UST'!$1:$1,0)))=0,"",IF(ISERROR(MATCH(Stock!N$1,'Stock UST'!$1:$1,0)),M5,INDEX('Stock UST'!5:5,1,MATCH(Stock!N$1,'Stock UST'!$1:$1,0))))</f>
        <v>252000</v>
      </c>
      <c r="O5" s="9">
        <f ca="1">IF(IF(ISERROR(MATCH(Stock!O$1,'Stock UST'!$1:$1,0)),N5,INDEX('Stock UST'!5:5,1,MATCH(Stock!O$1,'Stock UST'!$1:$1,0)))=0,"",IF(ISERROR(MATCH(Stock!O$1,'Stock UST'!$1:$1,0)),N5,INDEX('Stock UST'!5:5,1,MATCH(Stock!O$1,'Stock UST'!$1:$1,0))))</f>
        <v>252000</v>
      </c>
      <c r="P5" s="9">
        <f ca="1">IF(IF(ISERROR(MATCH(Stock!P$1,'Stock UST'!$1:$1,0)),O5,INDEX('Stock UST'!5:5,1,MATCH(Stock!P$1,'Stock UST'!$1:$1,0)))=0,"",IF(ISERROR(MATCH(Stock!P$1,'Stock UST'!$1:$1,0)),O5,INDEX('Stock UST'!5:5,1,MATCH(Stock!P$1,'Stock UST'!$1:$1,0))))</f>
        <v>252000</v>
      </c>
      <c r="Q5" s="9">
        <f ca="1">IF(IF(ISERROR(MATCH(Stock!Q$1,'Stock UST'!$1:$1,0)),P5,INDEX('Stock UST'!5:5,1,MATCH(Stock!Q$1,'Stock UST'!$1:$1,0)))=0,"",IF(ISERROR(MATCH(Stock!Q$1,'Stock UST'!$1:$1,0)),P5,INDEX('Stock UST'!5:5,1,MATCH(Stock!Q$1,'Stock UST'!$1:$1,0))))</f>
        <v>252000</v>
      </c>
      <c r="R5" s="9">
        <f ca="1">IF(IF(ISERROR(MATCH(Stock!R$1,'Stock UST'!$1:$1,0)),Q5,INDEX('Stock UST'!5:5,1,MATCH(Stock!R$1,'Stock UST'!$1:$1,0)))=0,"",IF(ISERROR(MATCH(Stock!R$1,'Stock UST'!$1:$1,0)),Q5,INDEX('Stock UST'!5:5,1,MATCH(Stock!R$1,'Stock UST'!$1:$1,0))))</f>
        <v>252000</v>
      </c>
      <c r="S5" s="9">
        <f ca="1">IF(IF(ISERROR(MATCH(Stock!S$1,'Stock UST'!$1:$1,0)),R5,INDEX('Stock UST'!5:5,1,MATCH(Stock!S$1,'Stock UST'!$1:$1,0)))=0,"",IF(ISERROR(MATCH(Stock!S$1,'Stock UST'!$1:$1,0)),R5,INDEX('Stock UST'!5:5,1,MATCH(Stock!S$1,'Stock UST'!$1:$1,0))))</f>
        <v>252000</v>
      </c>
      <c r="T5" s="9">
        <f ca="1">IF(IF(ISERROR(MATCH(Stock!T$1,'Stock UST'!$1:$1,0)),S5,INDEX('Stock UST'!5:5,1,MATCH(Stock!T$1,'Stock UST'!$1:$1,0)))=0,"",IF(ISERROR(MATCH(Stock!T$1,'Stock UST'!$1:$1,0)),S5,INDEX('Stock UST'!5:5,1,MATCH(Stock!T$1,'Stock UST'!$1:$1,0))))</f>
        <v>252000</v>
      </c>
      <c r="U5" s="9">
        <f ca="1">IF(IF(ISERROR(MATCH(Stock!U$1,'Stock UST'!$1:$1,0)),T5,INDEX('Stock UST'!5:5,1,MATCH(Stock!U$1,'Stock UST'!$1:$1,0)))=0,"",IF(ISERROR(MATCH(Stock!U$1,'Stock UST'!$1:$1,0)),T5,INDEX('Stock UST'!5:5,1,MATCH(Stock!U$1,'Stock UST'!$1:$1,0))))</f>
        <v>252000</v>
      </c>
      <c r="V5" s="9">
        <f ca="1">IF(IF(ISERROR(MATCH(Stock!V$1,'Stock UST'!$1:$1,0)),U5,INDEX('Stock UST'!5:5,1,MATCH(Stock!V$1,'Stock UST'!$1:$1,0)))=0,"",IF(ISERROR(MATCH(Stock!V$1,'Stock UST'!$1:$1,0)),U5,INDEX('Stock UST'!5:5,1,MATCH(Stock!V$1,'Stock UST'!$1:$1,0))))</f>
        <v>252000</v>
      </c>
      <c r="W5" s="9">
        <f ca="1">IF(IF(ISERROR(MATCH(Stock!W$1,'Stock UST'!$1:$1,0)),V5,INDEX('Stock UST'!5:5,1,MATCH(Stock!W$1,'Stock UST'!$1:$1,0)))=0,"",IF(ISERROR(MATCH(Stock!W$1,'Stock UST'!$1:$1,0)),V5,INDEX('Stock UST'!5:5,1,MATCH(Stock!W$1,'Stock UST'!$1:$1,0))))</f>
        <v>252000</v>
      </c>
      <c r="X5" s="9">
        <f ca="1">IF(IF(ISERROR(MATCH(Stock!X$1,'Stock UST'!$1:$1,0)),W5,INDEX('Stock UST'!5:5,1,MATCH(Stock!X$1,'Stock UST'!$1:$1,0)))=0,"",IF(ISERROR(MATCH(Stock!X$1,'Stock UST'!$1:$1,0)),W5,INDEX('Stock UST'!5:5,1,MATCH(Stock!X$1,'Stock UST'!$1:$1,0))))</f>
        <v>252000</v>
      </c>
      <c r="Y5" s="9">
        <f ca="1">IF(IF(ISERROR(MATCH(Stock!Y$1,'Stock UST'!$1:$1,0)),X5,INDEX('Stock UST'!5:5,1,MATCH(Stock!Y$1,'Stock UST'!$1:$1,0)))=0,"",IF(ISERROR(MATCH(Stock!Y$1,'Stock UST'!$1:$1,0)),X5,INDEX('Stock UST'!5:5,1,MATCH(Stock!Y$1,'Stock UST'!$1:$1,0))))</f>
        <v>252000</v>
      </c>
      <c r="Z5" s="9">
        <f ca="1">IF(IF(ISERROR(MATCH(Stock!Z$1,'Stock UST'!$1:$1,0)),Y5,INDEX('Stock UST'!5:5,1,MATCH(Stock!Z$1,'Stock UST'!$1:$1,0)))=0,"",IF(ISERROR(MATCH(Stock!Z$1,'Stock UST'!$1:$1,0)),Y5,INDEX('Stock UST'!5:5,1,MATCH(Stock!Z$1,'Stock UST'!$1:$1,0))))</f>
        <v>252000</v>
      </c>
      <c r="AA5" s="9">
        <f ca="1">IF(IF(ISERROR(MATCH(Stock!AA$1,'Stock UST'!$1:$1,0)),Z5,INDEX('Stock UST'!5:5,1,MATCH(Stock!AA$1,'Stock UST'!$1:$1,0)))=0,"",IF(ISERROR(MATCH(Stock!AA$1,'Stock UST'!$1:$1,0)),Z5,INDEX('Stock UST'!5:5,1,MATCH(Stock!AA$1,'Stock UST'!$1:$1,0))))</f>
        <v>252000</v>
      </c>
      <c r="AB5" s="9">
        <f ca="1">IF(IF(ISERROR(MATCH(Stock!AB$1,'Stock UST'!$1:$1,0)),AA5,INDEX('Stock UST'!5:5,1,MATCH(Stock!AB$1,'Stock UST'!$1:$1,0)))=0,"",IF(ISERROR(MATCH(Stock!AB$1,'Stock UST'!$1:$1,0)),AA5,INDEX('Stock UST'!5:5,1,MATCH(Stock!AB$1,'Stock UST'!$1:$1,0))))</f>
        <v>252000</v>
      </c>
      <c r="AC5" s="9">
        <f ca="1">IF(IF(ISERROR(MATCH(Stock!AC$1,'Stock UST'!$1:$1,0)),AB5,INDEX('Stock UST'!5:5,1,MATCH(Stock!AC$1,'Stock UST'!$1:$1,0)))=0,"",IF(ISERROR(MATCH(Stock!AC$1,'Stock UST'!$1:$1,0)),AB5,INDEX('Stock UST'!5:5,1,MATCH(Stock!AC$1,'Stock UST'!$1:$1,0))))</f>
        <v>252000</v>
      </c>
      <c r="AD5" s="9">
        <f ca="1">IF(IF(ISERROR(MATCH(Stock!AD$1,'Stock UST'!$1:$1,0)),AC5,INDEX('Stock UST'!5:5,1,MATCH(Stock!AD$1,'Stock UST'!$1:$1,0)))=0,"",IF(ISERROR(MATCH(Stock!AD$1,'Stock UST'!$1:$1,0)),AC5,INDEX('Stock UST'!5:5,1,MATCH(Stock!AD$1,'Stock UST'!$1:$1,0))))</f>
        <v>252000</v>
      </c>
      <c r="AE5" s="9">
        <f ca="1">IF(IF(ISERROR(MATCH(Stock!AE$1,'Stock UST'!$1:$1,0)),AD5,INDEX('Stock UST'!5:5,1,MATCH(Stock!AE$1,'Stock UST'!$1:$1,0)))=0,"",IF(ISERROR(MATCH(Stock!AE$1,'Stock UST'!$1:$1,0)),AD5,INDEX('Stock UST'!5:5,1,MATCH(Stock!AE$1,'Stock UST'!$1:$1,0))))</f>
        <v>252000</v>
      </c>
      <c r="AF5" s="9">
        <f ca="1">IF(IF(ISERROR(MATCH(Stock!AF$1,'Stock UST'!$1:$1,0)),AE5,INDEX('Stock UST'!5:5,1,MATCH(Stock!AF$1,'Stock UST'!$1:$1,0)))=0,"",IF(ISERROR(MATCH(Stock!AF$1,'Stock UST'!$1:$1,0)),AE5,INDEX('Stock UST'!5:5,1,MATCH(Stock!AF$1,'Stock UST'!$1:$1,0))))</f>
        <v>252000</v>
      </c>
      <c r="AG5" s="9">
        <f ca="1">IF(IF(ISERROR(MATCH(Stock!AG$1,'Stock UST'!$1:$1,0)),AF5,INDEX('Stock UST'!5:5,1,MATCH(Stock!AG$1,'Stock UST'!$1:$1,0)))=0,"",IF(ISERROR(MATCH(Stock!AG$1,'Stock UST'!$1:$1,0)),AF5,INDEX('Stock UST'!5:5,1,MATCH(Stock!AG$1,'Stock UST'!$1:$1,0))))</f>
        <v>252000</v>
      </c>
      <c r="AH5" s="9">
        <f ca="1">IF(IF(ISERROR(MATCH(Stock!AH$1,'Stock UST'!$1:$1,0)),AG5,INDEX('Stock UST'!5:5,1,MATCH(Stock!AH$1,'Stock UST'!$1:$1,0)))=0,"",IF(ISERROR(MATCH(Stock!AH$1,'Stock UST'!$1:$1,0)),AG5,INDEX('Stock UST'!5:5,1,MATCH(Stock!AH$1,'Stock UST'!$1:$1,0))))</f>
        <v>252000</v>
      </c>
      <c r="AI5" s="9">
        <f ca="1">IF(IF(ISERROR(MATCH(Stock!AI$1,'Stock UST'!$1:$1,0)),AH5,INDEX('Stock UST'!5:5,1,MATCH(Stock!AI$1,'Stock UST'!$1:$1,0)))=0,"",IF(ISERROR(MATCH(Stock!AI$1,'Stock UST'!$1:$1,0)),AH5,INDEX('Stock UST'!5:5,1,MATCH(Stock!AI$1,'Stock UST'!$1:$1,0))))</f>
        <v>252000</v>
      </c>
      <c r="AJ5" s="9">
        <f ca="1">IF(IF(ISERROR(MATCH(Stock!AJ$1,'Stock UST'!$1:$1,0)),AI5,INDEX('Stock UST'!5:5,1,MATCH(Stock!AJ$1,'Stock UST'!$1:$1,0)))=0,"",IF(ISERROR(MATCH(Stock!AJ$1,'Stock UST'!$1:$1,0)),AI5,INDEX('Stock UST'!5:5,1,MATCH(Stock!AJ$1,'Stock UST'!$1:$1,0))))</f>
        <v>252000</v>
      </c>
      <c r="AK5" s="9">
        <f ca="1">IF(IF(ISERROR(MATCH(Stock!AK$1,'Stock UST'!$1:$1,0)),AJ5,INDEX('Stock UST'!5:5,1,MATCH(Stock!AK$1,'Stock UST'!$1:$1,0)))=0,"",IF(ISERROR(MATCH(Stock!AK$1,'Stock UST'!$1:$1,0)),AJ5,INDEX('Stock UST'!5:5,1,MATCH(Stock!AK$1,'Stock UST'!$1:$1,0))))</f>
        <v>252000</v>
      </c>
      <c r="AL5" s="9">
        <f ca="1">IF(IF(ISERROR(MATCH(Stock!AL$1,'Stock UST'!$1:$1,0)),AK5,INDEX('Stock UST'!5:5,1,MATCH(Stock!AL$1,'Stock UST'!$1:$1,0)))=0,"",IF(ISERROR(MATCH(Stock!AL$1,'Stock UST'!$1:$1,0)),AK5,INDEX('Stock UST'!5:5,1,MATCH(Stock!AL$1,'Stock UST'!$1:$1,0))))</f>
        <v>252000</v>
      </c>
      <c r="AM5" s="9">
        <f ca="1">IF(IF(ISERROR(MATCH(Stock!AM$1,'Stock UST'!$1:$1,0)),AL5,INDEX('Stock UST'!5:5,1,MATCH(Stock!AM$1,'Stock UST'!$1:$1,0)))=0,"",IF(ISERROR(MATCH(Stock!AM$1,'Stock UST'!$1:$1,0)),AL5,INDEX('Stock UST'!5:5,1,MATCH(Stock!AM$1,'Stock UST'!$1:$1,0))))</f>
        <v>252000</v>
      </c>
      <c r="AN5" s="9">
        <f ca="1">IF(IF(ISERROR(MATCH(Stock!AN$1,'Stock UST'!$1:$1,0)),AM5,INDEX('Stock UST'!5:5,1,MATCH(Stock!AN$1,'Stock UST'!$1:$1,0)))=0,"",IF(ISERROR(MATCH(Stock!AN$1,'Stock UST'!$1:$1,0)),AM5,INDEX('Stock UST'!5:5,1,MATCH(Stock!AN$1,'Stock UST'!$1:$1,0))))</f>
        <v>252000</v>
      </c>
      <c r="AO5" s="9">
        <f ca="1">IF(IF(ISERROR(MATCH(Stock!AO$1,'Stock UST'!$1:$1,0)),AN5,INDEX('Stock UST'!5:5,1,MATCH(Stock!AO$1,'Stock UST'!$1:$1,0)))=0,"",IF(ISERROR(MATCH(Stock!AO$1,'Stock UST'!$1:$1,0)),AN5,INDEX('Stock UST'!5:5,1,MATCH(Stock!AO$1,'Stock UST'!$1:$1,0))))</f>
        <v>252000</v>
      </c>
      <c r="AP5" s="9">
        <f ca="1">IF(IF(ISERROR(MATCH(Stock!AP$1,'Stock UST'!$1:$1,0)),AO5,INDEX('Stock UST'!5:5,1,MATCH(Stock!AP$1,'Stock UST'!$1:$1,0)))=0,"",IF(ISERROR(MATCH(Stock!AP$1,'Stock UST'!$1:$1,0)),AO5,INDEX('Stock UST'!5:5,1,MATCH(Stock!AP$1,'Stock UST'!$1:$1,0))))</f>
        <v>252000</v>
      </c>
      <c r="AQ5" s="9">
        <f ca="1">IF(IF(ISERROR(MATCH(Stock!AQ$1,'Stock UST'!$1:$1,0)),AP5,INDEX('Stock UST'!5:5,1,MATCH(Stock!AQ$1,'Stock UST'!$1:$1,0)))=0,"",IF(ISERROR(MATCH(Stock!AQ$1,'Stock UST'!$1:$1,0)),AP5,INDEX('Stock UST'!5:5,1,MATCH(Stock!AQ$1,'Stock UST'!$1:$1,0))))</f>
        <v>252000</v>
      </c>
      <c r="AR5" s="9">
        <f ca="1">IF(IF(ISERROR(MATCH(Stock!AR$1,'Stock UST'!$1:$1,0)),AQ5,INDEX('Stock UST'!5:5,1,MATCH(Stock!AR$1,'Stock UST'!$1:$1,0)))=0,"",IF(ISERROR(MATCH(Stock!AR$1,'Stock UST'!$1:$1,0)),AQ5,INDEX('Stock UST'!5:5,1,MATCH(Stock!AR$1,'Stock UST'!$1:$1,0))))</f>
        <v>252000</v>
      </c>
      <c r="AS5" s="9">
        <f ca="1">IF(IF(ISERROR(MATCH(Stock!AS$1,'Stock UST'!$1:$1,0)),AR5,INDEX('Stock UST'!5:5,1,MATCH(Stock!AS$1,'Stock UST'!$1:$1,0)))=0,"",IF(ISERROR(MATCH(Stock!AS$1,'Stock UST'!$1:$1,0)),AR5,INDEX('Stock UST'!5:5,1,MATCH(Stock!AS$1,'Stock UST'!$1:$1,0))))</f>
        <v>252000</v>
      </c>
      <c r="AT5" s="9">
        <f ca="1">IF(IF(ISERROR(MATCH(Stock!AT$1,'Stock UST'!$1:$1,0)),AS5,INDEX('Stock UST'!5:5,1,MATCH(Stock!AT$1,'Stock UST'!$1:$1,0)))=0,"",IF(ISERROR(MATCH(Stock!AT$1,'Stock UST'!$1:$1,0)),AS5,INDEX('Stock UST'!5:5,1,MATCH(Stock!AT$1,'Stock UST'!$1:$1,0))))</f>
        <v>252000</v>
      </c>
      <c r="AU5" s="9">
        <f ca="1">IF(IF(ISERROR(MATCH(Stock!AU$1,'Stock UST'!$1:$1,0)),AT5,INDEX('Stock UST'!5:5,1,MATCH(Stock!AU$1,'Stock UST'!$1:$1,0)))=0,"",IF(ISERROR(MATCH(Stock!AU$1,'Stock UST'!$1:$1,0)),AT5,INDEX('Stock UST'!5:5,1,MATCH(Stock!AU$1,'Stock UST'!$1:$1,0))))</f>
        <v>252000</v>
      </c>
      <c r="AV5" s="9">
        <f ca="1">IF(IF(ISERROR(MATCH(Stock!AV$1,'Stock UST'!$1:$1,0)),AU5,INDEX('Stock UST'!5:5,1,MATCH(Stock!AV$1,'Stock UST'!$1:$1,0)))=0,"",IF(ISERROR(MATCH(Stock!AV$1,'Stock UST'!$1:$1,0)),AU5,INDEX('Stock UST'!5:5,1,MATCH(Stock!AV$1,'Stock UST'!$1:$1,0))))</f>
        <v>252000</v>
      </c>
      <c r="AW5" s="9">
        <f ca="1">IF(IF(ISERROR(MATCH(Stock!AW$1,'Stock UST'!$1:$1,0)),AV5,INDEX('Stock UST'!5:5,1,MATCH(Stock!AW$1,'Stock UST'!$1:$1,0)))=0,"",IF(ISERROR(MATCH(Stock!AW$1,'Stock UST'!$1:$1,0)),AV5,INDEX('Stock UST'!5:5,1,MATCH(Stock!AW$1,'Stock UST'!$1:$1,0))))</f>
        <v>252000</v>
      </c>
      <c r="AX5" s="9">
        <f ca="1">IF(IF(ISERROR(MATCH(Stock!AX$1,'Stock UST'!$1:$1,0)),AW5,INDEX('Stock UST'!5:5,1,MATCH(Stock!AX$1,'Stock UST'!$1:$1,0)))=0,"",IF(ISERROR(MATCH(Stock!AX$1,'Stock UST'!$1:$1,0)),AW5,INDEX('Stock UST'!5:5,1,MATCH(Stock!AX$1,'Stock UST'!$1:$1,0))))</f>
        <v>252000</v>
      </c>
    </row>
    <row r="6" spans="1:91" x14ac:dyDescent="0.3">
      <c r="A6" s="9">
        <f>IF('Stock UST'!E6="","",'Stock UST'!E6)</f>
        <v>267000</v>
      </c>
      <c r="B6" s="9">
        <f>IF(IF(ISERROR(MATCH(Stock!B$1,'Stock UST'!$1:$1,0)),A6,INDEX('Stock UST'!6:6,1,MATCH(Stock!B$1,'Stock UST'!$1:$1,0)))=0,"",IF(ISERROR(MATCH(Stock!B$1,'Stock UST'!$1:$1,0)),A6,INDEX('Stock UST'!6:6,1,MATCH(Stock!B$1,'Stock UST'!$1:$1,0))))</f>
        <v>267000</v>
      </c>
      <c r="C6" s="9">
        <f ca="1">IF(IF(ISERROR(MATCH(Stock!C$1,'Stock UST'!$1:$1,0)),B6,INDEX('Stock UST'!6:6,1,MATCH(Stock!C$1,'Stock UST'!$1:$1,0)))=0,"",IF(ISERROR(MATCH(Stock!C$1,'Stock UST'!$1:$1,0)),B6,INDEX('Stock UST'!6:6,1,MATCH(Stock!C$1,'Stock UST'!$1:$1,0))))</f>
        <v>267000</v>
      </c>
      <c r="D6" s="9">
        <f ca="1">IF(IF(ISERROR(MATCH(Stock!D$1,'Stock UST'!$1:$1,0)),C6,INDEX('Stock UST'!6:6,1,MATCH(Stock!D$1,'Stock UST'!$1:$1,0)))=0,"",IF(ISERROR(MATCH(Stock!D$1,'Stock UST'!$1:$1,0)),C6,INDEX('Stock UST'!6:6,1,MATCH(Stock!D$1,'Stock UST'!$1:$1,0))))</f>
        <v>267000</v>
      </c>
      <c r="E6" s="9">
        <f ca="1">IF(IF(ISERROR(MATCH(Stock!E$1,'Stock UST'!$1:$1,0)),D6,INDEX('Stock UST'!6:6,1,MATCH(Stock!E$1,'Stock UST'!$1:$1,0)))=0,"",IF(ISERROR(MATCH(Stock!E$1,'Stock UST'!$1:$1,0)),D6,INDEX('Stock UST'!6:6,1,MATCH(Stock!E$1,'Stock UST'!$1:$1,0))))</f>
        <v>267000</v>
      </c>
      <c r="F6" s="9">
        <f ca="1">IF(IF(ISERROR(MATCH(Stock!F$1,'Stock UST'!$1:$1,0)),E6,INDEX('Stock UST'!6:6,1,MATCH(Stock!F$1,'Stock UST'!$1:$1,0)))=0,"",IF(ISERROR(MATCH(Stock!F$1,'Stock UST'!$1:$1,0)),E6,INDEX('Stock UST'!6:6,1,MATCH(Stock!F$1,'Stock UST'!$1:$1,0))))</f>
        <v>267000</v>
      </c>
      <c r="G6" s="9">
        <f ca="1">IF(IF(ISERROR(MATCH(Stock!G$1,'Stock UST'!$1:$1,0)),F6,INDEX('Stock UST'!6:6,1,MATCH(Stock!G$1,'Stock UST'!$1:$1,0)))=0,"",IF(ISERROR(MATCH(Stock!G$1,'Stock UST'!$1:$1,0)),F6,INDEX('Stock UST'!6:6,1,MATCH(Stock!G$1,'Stock UST'!$1:$1,0))))</f>
        <v>267000</v>
      </c>
      <c r="H6" s="9">
        <f ca="1">IF(IF(ISERROR(MATCH(Stock!H$1,'Stock UST'!$1:$1,0)),G6,INDEX('Stock UST'!6:6,1,MATCH(Stock!H$1,'Stock UST'!$1:$1,0)))=0,"",IF(ISERROR(MATCH(Stock!H$1,'Stock UST'!$1:$1,0)),G6,INDEX('Stock UST'!6:6,1,MATCH(Stock!H$1,'Stock UST'!$1:$1,0))))</f>
        <v>267000</v>
      </c>
      <c r="I6" s="9">
        <f ca="1">IF(IF(ISERROR(MATCH(Stock!I$1,'Stock UST'!$1:$1,0)),H6,INDEX('Stock UST'!6:6,1,MATCH(Stock!I$1,'Stock UST'!$1:$1,0)))=0,"",IF(ISERROR(MATCH(Stock!I$1,'Stock UST'!$1:$1,0)),H6,INDEX('Stock UST'!6:6,1,MATCH(Stock!I$1,'Stock UST'!$1:$1,0))))</f>
        <v>267000</v>
      </c>
      <c r="J6" s="9">
        <f ca="1">IF(IF(ISERROR(MATCH(Stock!J$1,'Stock UST'!$1:$1,0)),I6,INDEX('Stock UST'!6:6,1,MATCH(Stock!J$1,'Stock UST'!$1:$1,0)))=0,"",IF(ISERROR(MATCH(Stock!J$1,'Stock UST'!$1:$1,0)),I6,INDEX('Stock UST'!6:6,1,MATCH(Stock!J$1,'Stock UST'!$1:$1,0))))</f>
        <v>267000</v>
      </c>
      <c r="K6" s="9">
        <f ca="1">IF(IF(ISERROR(MATCH(Stock!K$1,'Stock UST'!$1:$1,0)),J6,INDEX('Stock UST'!6:6,1,MATCH(Stock!K$1,'Stock UST'!$1:$1,0)))=0,"",IF(ISERROR(MATCH(Stock!K$1,'Stock UST'!$1:$1,0)),J6,INDEX('Stock UST'!6:6,1,MATCH(Stock!K$1,'Stock UST'!$1:$1,0))))</f>
        <v>267000</v>
      </c>
      <c r="L6" s="9">
        <f ca="1">IF(IF(ISERROR(MATCH(Stock!L$1,'Stock UST'!$1:$1,0)),K6,INDEX('Stock UST'!6:6,1,MATCH(Stock!L$1,'Stock UST'!$1:$1,0)))=0,"",IF(ISERROR(MATCH(Stock!L$1,'Stock UST'!$1:$1,0)),K6,INDEX('Stock UST'!6:6,1,MATCH(Stock!L$1,'Stock UST'!$1:$1,0))))</f>
        <v>267000</v>
      </c>
      <c r="M6" s="9">
        <f ca="1">IF(IF(ISERROR(MATCH(Stock!M$1,'Stock UST'!$1:$1,0)),L6,INDEX('Stock UST'!6:6,1,MATCH(Stock!M$1,'Stock UST'!$1:$1,0)))=0,"",IF(ISERROR(MATCH(Stock!M$1,'Stock UST'!$1:$1,0)),L6,INDEX('Stock UST'!6:6,1,MATCH(Stock!M$1,'Stock UST'!$1:$1,0))))</f>
        <v>267000</v>
      </c>
      <c r="N6" s="9">
        <f ca="1">IF(IF(ISERROR(MATCH(Stock!N$1,'Stock UST'!$1:$1,0)),M6,INDEX('Stock UST'!6:6,1,MATCH(Stock!N$1,'Stock UST'!$1:$1,0)))=0,"",IF(ISERROR(MATCH(Stock!N$1,'Stock UST'!$1:$1,0)),M6,INDEX('Stock UST'!6:6,1,MATCH(Stock!N$1,'Stock UST'!$1:$1,0))))</f>
        <v>267000</v>
      </c>
      <c r="O6" s="9">
        <f ca="1">IF(IF(ISERROR(MATCH(Stock!O$1,'Stock UST'!$1:$1,0)),N6,INDEX('Stock UST'!6:6,1,MATCH(Stock!O$1,'Stock UST'!$1:$1,0)))=0,"",IF(ISERROR(MATCH(Stock!O$1,'Stock UST'!$1:$1,0)),N6,INDEX('Stock UST'!6:6,1,MATCH(Stock!O$1,'Stock UST'!$1:$1,0))))</f>
        <v>267000</v>
      </c>
      <c r="P6" s="9">
        <f ca="1">IF(IF(ISERROR(MATCH(Stock!P$1,'Stock UST'!$1:$1,0)),O6,INDEX('Stock UST'!6:6,1,MATCH(Stock!P$1,'Stock UST'!$1:$1,0)))=0,"",IF(ISERROR(MATCH(Stock!P$1,'Stock UST'!$1:$1,0)),O6,INDEX('Stock UST'!6:6,1,MATCH(Stock!P$1,'Stock UST'!$1:$1,0))))</f>
        <v>267000</v>
      </c>
      <c r="Q6" s="9">
        <f ca="1">IF(IF(ISERROR(MATCH(Stock!Q$1,'Stock UST'!$1:$1,0)),P6,INDEX('Stock UST'!6:6,1,MATCH(Stock!Q$1,'Stock UST'!$1:$1,0)))=0,"",IF(ISERROR(MATCH(Stock!Q$1,'Stock UST'!$1:$1,0)),P6,INDEX('Stock UST'!6:6,1,MATCH(Stock!Q$1,'Stock UST'!$1:$1,0))))</f>
        <v>267000</v>
      </c>
      <c r="R6" s="9">
        <f ca="1">IF(IF(ISERROR(MATCH(Stock!R$1,'Stock UST'!$1:$1,0)),Q6,INDEX('Stock UST'!6:6,1,MATCH(Stock!R$1,'Stock UST'!$1:$1,0)))=0,"",IF(ISERROR(MATCH(Stock!R$1,'Stock UST'!$1:$1,0)),Q6,INDEX('Stock UST'!6:6,1,MATCH(Stock!R$1,'Stock UST'!$1:$1,0))))</f>
        <v>267000</v>
      </c>
      <c r="S6" s="9">
        <f ca="1">IF(IF(ISERROR(MATCH(Stock!S$1,'Stock UST'!$1:$1,0)),R6,INDEX('Stock UST'!6:6,1,MATCH(Stock!S$1,'Stock UST'!$1:$1,0)))=0,"",IF(ISERROR(MATCH(Stock!S$1,'Stock UST'!$1:$1,0)),R6,INDEX('Stock UST'!6:6,1,MATCH(Stock!S$1,'Stock UST'!$1:$1,0))))</f>
        <v>267000</v>
      </c>
      <c r="T6" s="9">
        <f ca="1">IF(IF(ISERROR(MATCH(Stock!T$1,'Stock UST'!$1:$1,0)),S6,INDEX('Stock UST'!6:6,1,MATCH(Stock!T$1,'Stock UST'!$1:$1,0)))=0,"",IF(ISERROR(MATCH(Stock!T$1,'Stock UST'!$1:$1,0)),S6,INDEX('Stock UST'!6:6,1,MATCH(Stock!T$1,'Stock UST'!$1:$1,0))))</f>
        <v>267000</v>
      </c>
      <c r="U6" s="9">
        <f ca="1">IF(IF(ISERROR(MATCH(Stock!U$1,'Stock UST'!$1:$1,0)),T6,INDEX('Stock UST'!6:6,1,MATCH(Stock!U$1,'Stock UST'!$1:$1,0)))=0,"",IF(ISERROR(MATCH(Stock!U$1,'Stock UST'!$1:$1,0)),T6,INDEX('Stock UST'!6:6,1,MATCH(Stock!U$1,'Stock UST'!$1:$1,0))))</f>
        <v>267000</v>
      </c>
      <c r="V6" s="9">
        <f ca="1">IF(IF(ISERROR(MATCH(Stock!V$1,'Stock UST'!$1:$1,0)),U6,INDEX('Stock UST'!6:6,1,MATCH(Stock!V$1,'Stock UST'!$1:$1,0)))=0,"",IF(ISERROR(MATCH(Stock!V$1,'Stock UST'!$1:$1,0)),U6,INDEX('Stock UST'!6:6,1,MATCH(Stock!V$1,'Stock UST'!$1:$1,0))))</f>
        <v>267000</v>
      </c>
      <c r="W6" s="9">
        <f ca="1">IF(IF(ISERROR(MATCH(Stock!W$1,'Stock UST'!$1:$1,0)),V6,INDEX('Stock UST'!6:6,1,MATCH(Stock!W$1,'Stock UST'!$1:$1,0)))=0,"",IF(ISERROR(MATCH(Stock!W$1,'Stock UST'!$1:$1,0)),V6,INDEX('Stock UST'!6:6,1,MATCH(Stock!W$1,'Stock UST'!$1:$1,0))))</f>
        <v>267000</v>
      </c>
      <c r="X6" s="9">
        <f ca="1">IF(IF(ISERROR(MATCH(Stock!X$1,'Stock UST'!$1:$1,0)),W6,INDEX('Stock UST'!6:6,1,MATCH(Stock!X$1,'Stock UST'!$1:$1,0)))=0,"",IF(ISERROR(MATCH(Stock!X$1,'Stock UST'!$1:$1,0)),W6,INDEX('Stock UST'!6:6,1,MATCH(Stock!X$1,'Stock UST'!$1:$1,0))))</f>
        <v>267000</v>
      </c>
      <c r="Y6" s="9">
        <f ca="1">IF(IF(ISERROR(MATCH(Stock!Y$1,'Stock UST'!$1:$1,0)),X6,INDEX('Stock UST'!6:6,1,MATCH(Stock!Y$1,'Stock UST'!$1:$1,0)))=0,"",IF(ISERROR(MATCH(Stock!Y$1,'Stock UST'!$1:$1,0)),X6,INDEX('Stock UST'!6:6,1,MATCH(Stock!Y$1,'Stock UST'!$1:$1,0))))</f>
        <v>267000</v>
      </c>
      <c r="Z6" s="9">
        <f ca="1">IF(IF(ISERROR(MATCH(Stock!Z$1,'Stock UST'!$1:$1,0)),Y6,INDEX('Stock UST'!6:6,1,MATCH(Stock!Z$1,'Stock UST'!$1:$1,0)))=0,"",IF(ISERROR(MATCH(Stock!Z$1,'Stock UST'!$1:$1,0)),Y6,INDEX('Stock UST'!6:6,1,MATCH(Stock!Z$1,'Stock UST'!$1:$1,0))))</f>
        <v>267000</v>
      </c>
      <c r="AA6" s="9">
        <f ca="1">IF(IF(ISERROR(MATCH(Stock!AA$1,'Stock UST'!$1:$1,0)),Z6,INDEX('Stock UST'!6:6,1,MATCH(Stock!AA$1,'Stock UST'!$1:$1,0)))=0,"",IF(ISERROR(MATCH(Stock!AA$1,'Stock UST'!$1:$1,0)),Z6,INDEX('Stock UST'!6:6,1,MATCH(Stock!AA$1,'Stock UST'!$1:$1,0))))</f>
        <v>267000</v>
      </c>
      <c r="AB6" s="9">
        <f ca="1">IF(IF(ISERROR(MATCH(Stock!AB$1,'Stock UST'!$1:$1,0)),AA6,INDEX('Stock UST'!6:6,1,MATCH(Stock!AB$1,'Stock UST'!$1:$1,0)))=0,"",IF(ISERROR(MATCH(Stock!AB$1,'Stock UST'!$1:$1,0)),AA6,INDEX('Stock UST'!6:6,1,MATCH(Stock!AB$1,'Stock UST'!$1:$1,0))))</f>
        <v>267000</v>
      </c>
      <c r="AC6" s="9">
        <f ca="1">IF(IF(ISERROR(MATCH(Stock!AC$1,'Stock UST'!$1:$1,0)),AB6,INDEX('Stock UST'!6:6,1,MATCH(Stock!AC$1,'Stock UST'!$1:$1,0)))=0,"",IF(ISERROR(MATCH(Stock!AC$1,'Stock UST'!$1:$1,0)),AB6,INDEX('Stock UST'!6:6,1,MATCH(Stock!AC$1,'Stock UST'!$1:$1,0))))</f>
        <v>267000</v>
      </c>
      <c r="AD6" s="9">
        <f ca="1">IF(IF(ISERROR(MATCH(Stock!AD$1,'Stock UST'!$1:$1,0)),AC6,INDEX('Stock UST'!6:6,1,MATCH(Stock!AD$1,'Stock UST'!$1:$1,0)))=0,"",IF(ISERROR(MATCH(Stock!AD$1,'Stock UST'!$1:$1,0)),AC6,INDEX('Stock UST'!6:6,1,MATCH(Stock!AD$1,'Stock UST'!$1:$1,0))))</f>
        <v>267000</v>
      </c>
      <c r="AE6" s="9">
        <f ca="1">IF(IF(ISERROR(MATCH(Stock!AE$1,'Stock UST'!$1:$1,0)),AD6,INDEX('Stock UST'!6:6,1,MATCH(Stock!AE$1,'Stock UST'!$1:$1,0)))=0,"",IF(ISERROR(MATCH(Stock!AE$1,'Stock UST'!$1:$1,0)),AD6,INDEX('Stock UST'!6:6,1,MATCH(Stock!AE$1,'Stock UST'!$1:$1,0))))</f>
        <v>267000</v>
      </c>
      <c r="AF6" s="9">
        <f ca="1">IF(IF(ISERROR(MATCH(Stock!AF$1,'Stock UST'!$1:$1,0)),AE6,INDEX('Stock UST'!6:6,1,MATCH(Stock!AF$1,'Stock UST'!$1:$1,0)))=0,"",IF(ISERROR(MATCH(Stock!AF$1,'Stock UST'!$1:$1,0)),AE6,INDEX('Stock UST'!6:6,1,MATCH(Stock!AF$1,'Stock UST'!$1:$1,0))))</f>
        <v>267000</v>
      </c>
      <c r="AG6" s="9">
        <f ca="1">IF(IF(ISERROR(MATCH(Stock!AG$1,'Stock UST'!$1:$1,0)),AF6,INDEX('Stock UST'!6:6,1,MATCH(Stock!AG$1,'Stock UST'!$1:$1,0)))=0,"",IF(ISERROR(MATCH(Stock!AG$1,'Stock UST'!$1:$1,0)),AF6,INDEX('Stock UST'!6:6,1,MATCH(Stock!AG$1,'Stock UST'!$1:$1,0))))</f>
        <v>267000</v>
      </c>
      <c r="AH6" s="9">
        <f ca="1">IF(IF(ISERROR(MATCH(Stock!AH$1,'Stock UST'!$1:$1,0)),AG6,INDEX('Stock UST'!6:6,1,MATCH(Stock!AH$1,'Stock UST'!$1:$1,0)))=0,"",IF(ISERROR(MATCH(Stock!AH$1,'Stock UST'!$1:$1,0)),AG6,INDEX('Stock UST'!6:6,1,MATCH(Stock!AH$1,'Stock UST'!$1:$1,0))))</f>
        <v>267000</v>
      </c>
      <c r="AI6" s="9">
        <f ca="1">IF(IF(ISERROR(MATCH(Stock!AI$1,'Stock UST'!$1:$1,0)),AH6,INDEX('Stock UST'!6:6,1,MATCH(Stock!AI$1,'Stock UST'!$1:$1,0)))=0,"",IF(ISERROR(MATCH(Stock!AI$1,'Stock UST'!$1:$1,0)),AH6,INDEX('Stock UST'!6:6,1,MATCH(Stock!AI$1,'Stock UST'!$1:$1,0))))</f>
        <v>267000</v>
      </c>
      <c r="AJ6" s="9">
        <f ca="1">IF(IF(ISERROR(MATCH(Stock!AJ$1,'Stock UST'!$1:$1,0)),AI6,INDEX('Stock UST'!6:6,1,MATCH(Stock!AJ$1,'Stock UST'!$1:$1,0)))=0,"",IF(ISERROR(MATCH(Stock!AJ$1,'Stock UST'!$1:$1,0)),AI6,INDEX('Stock UST'!6:6,1,MATCH(Stock!AJ$1,'Stock UST'!$1:$1,0))))</f>
        <v>267000</v>
      </c>
      <c r="AK6" s="9">
        <f ca="1">IF(IF(ISERROR(MATCH(Stock!AK$1,'Stock UST'!$1:$1,0)),AJ6,INDEX('Stock UST'!6:6,1,MATCH(Stock!AK$1,'Stock UST'!$1:$1,0)))=0,"",IF(ISERROR(MATCH(Stock!AK$1,'Stock UST'!$1:$1,0)),AJ6,INDEX('Stock UST'!6:6,1,MATCH(Stock!AK$1,'Stock UST'!$1:$1,0))))</f>
        <v>267000</v>
      </c>
      <c r="AL6" s="9">
        <f ca="1">IF(IF(ISERROR(MATCH(Stock!AL$1,'Stock UST'!$1:$1,0)),AK6,INDEX('Stock UST'!6:6,1,MATCH(Stock!AL$1,'Stock UST'!$1:$1,0)))=0,"",IF(ISERROR(MATCH(Stock!AL$1,'Stock UST'!$1:$1,0)),AK6,INDEX('Stock UST'!6:6,1,MATCH(Stock!AL$1,'Stock UST'!$1:$1,0))))</f>
        <v>267000</v>
      </c>
      <c r="AM6" s="9">
        <f ca="1">IF(IF(ISERROR(MATCH(Stock!AM$1,'Stock UST'!$1:$1,0)),AL6,INDEX('Stock UST'!6:6,1,MATCH(Stock!AM$1,'Stock UST'!$1:$1,0)))=0,"",IF(ISERROR(MATCH(Stock!AM$1,'Stock UST'!$1:$1,0)),AL6,INDEX('Stock UST'!6:6,1,MATCH(Stock!AM$1,'Stock UST'!$1:$1,0))))</f>
        <v>267000</v>
      </c>
      <c r="AN6" s="9">
        <f ca="1">IF(IF(ISERROR(MATCH(Stock!AN$1,'Stock UST'!$1:$1,0)),AM6,INDEX('Stock UST'!6:6,1,MATCH(Stock!AN$1,'Stock UST'!$1:$1,0)))=0,"",IF(ISERROR(MATCH(Stock!AN$1,'Stock UST'!$1:$1,0)),AM6,INDEX('Stock UST'!6:6,1,MATCH(Stock!AN$1,'Stock UST'!$1:$1,0))))</f>
        <v>267000</v>
      </c>
      <c r="AO6" s="9">
        <f ca="1">IF(IF(ISERROR(MATCH(Stock!AO$1,'Stock UST'!$1:$1,0)),AN6,INDEX('Stock UST'!6:6,1,MATCH(Stock!AO$1,'Stock UST'!$1:$1,0)))=0,"",IF(ISERROR(MATCH(Stock!AO$1,'Stock UST'!$1:$1,0)),AN6,INDEX('Stock UST'!6:6,1,MATCH(Stock!AO$1,'Stock UST'!$1:$1,0))))</f>
        <v>267000</v>
      </c>
      <c r="AP6" s="9">
        <f ca="1">IF(IF(ISERROR(MATCH(Stock!AP$1,'Stock UST'!$1:$1,0)),AO6,INDEX('Stock UST'!6:6,1,MATCH(Stock!AP$1,'Stock UST'!$1:$1,0)))=0,"",IF(ISERROR(MATCH(Stock!AP$1,'Stock UST'!$1:$1,0)),AO6,INDEX('Stock UST'!6:6,1,MATCH(Stock!AP$1,'Stock UST'!$1:$1,0))))</f>
        <v>267000</v>
      </c>
      <c r="AQ6" s="9">
        <f ca="1">IF(IF(ISERROR(MATCH(Stock!AQ$1,'Stock UST'!$1:$1,0)),AP6,INDEX('Stock UST'!6:6,1,MATCH(Stock!AQ$1,'Stock UST'!$1:$1,0)))=0,"",IF(ISERROR(MATCH(Stock!AQ$1,'Stock UST'!$1:$1,0)),AP6,INDEX('Stock UST'!6:6,1,MATCH(Stock!AQ$1,'Stock UST'!$1:$1,0))))</f>
        <v>267000</v>
      </c>
      <c r="AR6" s="9">
        <f ca="1">IF(IF(ISERROR(MATCH(Stock!AR$1,'Stock UST'!$1:$1,0)),AQ6,INDEX('Stock UST'!6:6,1,MATCH(Stock!AR$1,'Stock UST'!$1:$1,0)))=0,"",IF(ISERROR(MATCH(Stock!AR$1,'Stock UST'!$1:$1,0)),AQ6,INDEX('Stock UST'!6:6,1,MATCH(Stock!AR$1,'Stock UST'!$1:$1,0))))</f>
        <v>267000</v>
      </c>
      <c r="AS6" s="9">
        <f ca="1">IF(IF(ISERROR(MATCH(Stock!AS$1,'Stock UST'!$1:$1,0)),AR6,INDEX('Stock UST'!6:6,1,MATCH(Stock!AS$1,'Stock UST'!$1:$1,0)))=0,"",IF(ISERROR(MATCH(Stock!AS$1,'Stock UST'!$1:$1,0)),AR6,INDEX('Stock UST'!6:6,1,MATCH(Stock!AS$1,'Stock UST'!$1:$1,0))))</f>
        <v>267000</v>
      </c>
      <c r="AT6" s="9">
        <f ca="1">IF(IF(ISERROR(MATCH(Stock!AT$1,'Stock UST'!$1:$1,0)),AS6,INDEX('Stock UST'!6:6,1,MATCH(Stock!AT$1,'Stock UST'!$1:$1,0)))=0,"",IF(ISERROR(MATCH(Stock!AT$1,'Stock UST'!$1:$1,0)),AS6,INDEX('Stock UST'!6:6,1,MATCH(Stock!AT$1,'Stock UST'!$1:$1,0))))</f>
        <v>267000</v>
      </c>
      <c r="AU6" s="9">
        <f ca="1">IF(IF(ISERROR(MATCH(Stock!AU$1,'Stock UST'!$1:$1,0)),AT6,INDEX('Stock UST'!6:6,1,MATCH(Stock!AU$1,'Stock UST'!$1:$1,0)))=0,"",IF(ISERROR(MATCH(Stock!AU$1,'Stock UST'!$1:$1,0)),AT6,INDEX('Stock UST'!6:6,1,MATCH(Stock!AU$1,'Stock UST'!$1:$1,0))))</f>
        <v>267000</v>
      </c>
      <c r="AV6" s="9">
        <f ca="1">IF(IF(ISERROR(MATCH(Stock!AV$1,'Stock UST'!$1:$1,0)),AU6,INDEX('Stock UST'!6:6,1,MATCH(Stock!AV$1,'Stock UST'!$1:$1,0)))=0,"",IF(ISERROR(MATCH(Stock!AV$1,'Stock UST'!$1:$1,0)),AU6,INDEX('Stock UST'!6:6,1,MATCH(Stock!AV$1,'Stock UST'!$1:$1,0))))</f>
        <v>267000</v>
      </c>
      <c r="AW6" s="9">
        <f ca="1">IF(IF(ISERROR(MATCH(Stock!AW$1,'Stock UST'!$1:$1,0)),AV6,INDEX('Stock UST'!6:6,1,MATCH(Stock!AW$1,'Stock UST'!$1:$1,0)))=0,"",IF(ISERROR(MATCH(Stock!AW$1,'Stock UST'!$1:$1,0)),AV6,INDEX('Stock UST'!6:6,1,MATCH(Stock!AW$1,'Stock UST'!$1:$1,0))))</f>
        <v>267000</v>
      </c>
      <c r="AX6" s="9">
        <f ca="1">IF(IF(ISERROR(MATCH(Stock!AX$1,'Stock UST'!$1:$1,0)),AW6,INDEX('Stock UST'!6:6,1,MATCH(Stock!AX$1,'Stock UST'!$1:$1,0)))=0,"",IF(ISERROR(MATCH(Stock!AX$1,'Stock UST'!$1:$1,0)),AW6,INDEX('Stock UST'!6:6,1,MATCH(Stock!AX$1,'Stock UST'!$1:$1,0))))</f>
        <v>267000</v>
      </c>
    </row>
    <row r="7" spans="1:91" x14ac:dyDescent="0.3">
      <c r="A7" s="9">
        <f>IF('Stock UST'!E7="","",'Stock UST'!E7)</f>
        <v>210000</v>
      </c>
      <c r="B7" s="9" t="str">
        <f>IF(IF(ISERROR(MATCH(Stock!B$1,'Stock UST'!$1:$1,0)),A7,INDEX('Stock UST'!7:7,1,MATCH(Stock!B$1,'Stock UST'!$1:$1,0)))=0,"",IF(ISERROR(MATCH(Stock!B$1,'Stock UST'!$1:$1,0)),A7,INDEX('Stock UST'!7:7,1,MATCH(Stock!B$1,'Stock UST'!$1:$1,0))))</f>
        <v/>
      </c>
      <c r="C7" s="9" t="str">
        <f ca="1">IF(IF(ISERROR(MATCH(Stock!C$1,'Stock UST'!$1:$1,0)),B7,INDEX('Stock UST'!7:7,1,MATCH(Stock!C$1,'Stock UST'!$1:$1,0)))=0,"",IF(ISERROR(MATCH(Stock!C$1,'Stock UST'!$1:$1,0)),B7,INDEX('Stock UST'!7:7,1,MATCH(Stock!C$1,'Stock UST'!$1:$1,0))))</f>
        <v/>
      </c>
      <c r="D7" s="9" t="str">
        <f ca="1">IF(IF(ISERROR(MATCH(Stock!D$1,'Stock UST'!$1:$1,0)),C7,INDEX('Stock UST'!7:7,1,MATCH(Stock!D$1,'Stock UST'!$1:$1,0)))=0,"",IF(ISERROR(MATCH(Stock!D$1,'Stock UST'!$1:$1,0)),C7,INDEX('Stock UST'!7:7,1,MATCH(Stock!D$1,'Stock UST'!$1:$1,0))))</f>
        <v/>
      </c>
      <c r="E7" s="9" t="str">
        <f ca="1">IF(IF(ISERROR(MATCH(Stock!E$1,'Stock UST'!$1:$1,0)),D7,INDEX('Stock UST'!7:7,1,MATCH(Stock!E$1,'Stock UST'!$1:$1,0)))=0,"",IF(ISERROR(MATCH(Stock!E$1,'Stock UST'!$1:$1,0)),D7,INDEX('Stock UST'!7:7,1,MATCH(Stock!E$1,'Stock UST'!$1:$1,0))))</f>
        <v/>
      </c>
      <c r="F7" s="9" t="str">
        <f ca="1">IF(IF(ISERROR(MATCH(Stock!F$1,'Stock UST'!$1:$1,0)),E7,INDEX('Stock UST'!7:7,1,MATCH(Stock!F$1,'Stock UST'!$1:$1,0)))=0,"",IF(ISERROR(MATCH(Stock!F$1,'Stock UST'!$1:$1,0)),E7,INDEX('Stock UST'!7:7,1,MATCH(Stock!F$1,'Stock UST'!$1:$1,0))))</f>
        <v/>
      </c>
      <c r="G7" s="9" t="str">
        <f ca="1">IF(IF(ISERROR(MATCH(Stock!G$1,'Stock UST'!$1:$1,0)),F7,INDEX('Stock UST'!7:7,1,MATCH(Stock!G$1,'Stock UST'!$1:$1,0)))=0,"",IF(ISERROR(MATCH(Stock!G$1,'Stock UST'!$1:$1,0)),F7,INDEX('Stock UST'!7:7,1,MATCH(Stock!G$1,'Stock UST'!$1:$1,0))))</f>
        <v/>
      </c>
      <c r="H7" s="9" t="str">
        <f ca="1">IF(IF(ISERROR(MATCH(Stock!H$1,'Stock UST'!$1:$1,0)),G7,INDEX('Stock UST'!7:7,1,MATCH(Stock!H$1,'Stock UST'!$1:$1,0)))=0,"",IF(ISERROR(MATCH(Stock!H$1,'Stock UST'!$1:$1,0)),G7,INDEX('Stock UST'!7:7,1,MATCH(Stock!H$1,'Stock UST'!$1:$1,0))))</f>
        <v/>
      </c>
      <c r="I7" s="9" t="str">
        <f ca="1">IF(IF(ISERROR(MATCH(Stock!I$1,'Stock UST'!$1:$1,0)),H7,INDEX('Stock UST'!7:7,1,MATCH(Stock!I$1,'Stock UST'!$1:$1,0)))=0,"",IF(ISERROR(MATCH(Stock!I$1,'Stock UST'!$1:$1,0)),H7,INDEX('Stock UST'!7:7,1,MATCH(Stock!I$1,'Stock UST'!$1:$1,0))))</f>
        <v/>
      </c>
      <c r="J7" s="9" t="str">
        <f ca="1">IF(IF(ISERROR(MATCH(Stock!J$1,'Stock UST'!$1:$1,0)),I7,INDEX('Stock UST'!7:7,1,MATCH(Stock!J$1,'Stock UST'!$1:$1,0)))=0,"",IF(ISERROR(MATCH(Stock!J$1,'Stock UST'!$1:$1,0)),I7,INDEX('Stock UST'!7:7,1,MATCH(Stock!J$1,'Stock UST'!$1:$1,0))))</f>
        <v/>
      </c>
      <c r="K7" s="9" t="str">
        <f ca="1">IF(IF(ISERROR(MATCH(Stock!K$1,'Stock UST'!$1:$1,0)),J7,INDEX('Stock UST'!7:7,1,MATCH(Stock!K$1,'Stock UST'!$1:$1,0)))=0,"",IF(ISERROR(MATCH(Stock!K$1,'Stock UST'!$1:$1,0)),J7,INDEX('Stock UST'!7:7,1,MATCH(Stock!K$1,'Stock UST'!$1:$1,0))))</f>
        <v/>
      </c>
      <c r="L7" s="9" t="str">
        <f ca="1">IF(IF(ISERROR(MATCH(Stock!L$1,'Stock UST'!$1:$1,0)),K7,INDEX('Stock UST'!7:7,1,MATCH(Stock!L$1,'Stock UST'!$1:$1,0)))=0,"",IF(ISERROR(MATCH(Stock!L$1,'Stock UST'!$1:$1,0)),K7,INDEX('Stock UST'!7:7,1,MATCH(Stock!L$1,'Stock UST'!$1:$1,0))))</f>
        <v/>
      </c>
      <c r="M7" s="9" t="str">
        <f ca="1">IF(IF(ISERROR(MATCH(Stock!M$1,'Stock UST'!$1:$1,0)),L7,INDEX('Stock UST'!7:7,1,MATCH(Stock!M$1,'Stock UST'!$1:$1,0)))=0,"",IF(ISERROR(MATCH(Stock!M$1,'Stock UST'!$1:$1,0)),L7,INDEX('Stock UST'!7:7,1,MATCH(Stock!M$1,'Stock UST'!$1:$1,0))))</f>
        <v/>
      </c>
      <c r="N7" s="9" t="str">
        <f ca="1">IF(IF(ISERROR(MATCH(Stock!N$1,'Stock UST'!$1:$1,0)),M7,INDEX('Stock UST'!7:7,1,MATCH(Stock!N$1,'Stock UST'!$1:$1,0)))=0,"",IF(ISERROR(MATCH(Stock!N$1,'Stock UST'!$1:$1,0)),M7,INDEX('Stock UST'!7:7,1,MATCH(Stock!N$1,'Stock UST'!$1:$1,0))))</f>
        <v/>
      </c>
      <c r="O7" s="9" t="str">
        <f ca="1">IF(IF(ISERROR(MATCH(Stock!O$1,'Stock UST'!$1:$1,0)),N7,INDEX('Stock UST'!7:7,1,MATCH(Stock!O$1,'Stock UST'!$1:$1,0)))=0,"",IF(ISERROR(MATCH(Stock!O$1,'Stock UST'!$1:$1,0)),N7,INDEX('Stock UST'!7:7,1,MATCH(Stock!O$1,'Stock UST'!$1:$1,0))))</f>
        <v/>
      </c>
      <c r="P7" s="9" t="str">
        <f ca="1">IF(IF(ISERROR(MATCH(Stock!P$1,'Stock UST'!$1:$1,0)),O7,INDEX('Stock UST'!7:7,1,MATCH(Stock!P$1,'Stock UST'!$1:$1,0)))=0,"",IF(ISERROR(MATCH(Stock!P$1,'Stock UST'!$1:$1,0)),O7,INDEX('Stock UST'!7:7,1,MATCH(Stock!P$1,'Stock UST'!$1:$1,0))))</f>
        <v/>
      </c>
      <c r="Q7" s="9" t="str">
        <f ca="1">IF(IF(ISERROR(MATCH(Stock!Q$1,'Stock UST'!$1:$1,0)),P7,INDEX('Stock UST'!7:7,1,MATCH(Stock!Q$1,'Stock UST'!$1:$1,0)))=0,"",IF(ISERROR(MATCH(Stock!Q$1,'Stock UST'!$1:$1,0)),P7,INDEX('Stock UST'!7:7,1,MATCH(Stock!Q$1,'Stock UST'!$1:$1,0))))</f>
        <v/>
      </c>
      <c r="R7" s="9" t="str">
        <f ca="1">IF(IF(ISERROR(MATCH(Stock!R$1,'Stock UST'!$1:$1,0)),Q7,INDEX('Stock UST'!7:7,1,MATCH(Stock!R$1,'Stock UST'!$1:$1,0)))=0,"",IF(ISERROR(MATCH(Stock!R$1,'Stock UST'!$1:$1,0)),Q7,INDEX('Stock UST'!7:7,1,MATCH(Stock!R$1,'Stock UST'!$1:$1,0))))</f>
        <v/>
      </c>
      <c r="S7" s="9" t="str">
        <f ca="1">IF(IF(ISERROR(MATCH(Stock!S$1,'Stock UST'!$1:$1,0)),R7,INDEX('Stock UST'!7:7,1,MATCH(Stock!S$1,'Stock UST'!$1:$1,0)))=0,"",IF(ISERROR(MATCH(Stock!S$1,'Stock UST'!$1:$1,0)),R7,INDEX('Stock UST'!7:7,1,MATCH(Stock!S$1,'Stock UST'!$1:$1,0))))</f>
        <v/>
      </c>
      <c r="T7" s="9" t="str">
        <f ca="1">IF(IF(ISERROR(MATCH(Stock!T$1,'Stock UST'!$1:$1,0)),S7,INDEX('Stock UST'!7:7,1,MATCH(Stock!T$1,'Stock UST'!$1:$1,0)))=0,"",IF(ISERROR(MATCH(Stock!T$1,'Stock UST'!$1:$1,0)),S7,INDEX('Stock UST'!7:7,1,MATCH(Stock!T$1,'Stock UST'!$1:$1,0))))</f>
        <v/>
      </c>
      <c r="U7" s="9" t="str">
        <f ca="1">IF(IF(ISERROR(MATCH(Stock!U$1,'Stock UST'!$1:$1,0)),T7,INDEX('Stock UST'!7:7,1,MATCH(Stock!U$1,'Stock UST'!$1:$1,0)))=0,"",IF(ISERROR(MATCH(Stock!U$1,'Stock UST'!$1:$1,0)),T7,INDEX('Stock UST'!7:7,1,MATCH(Stock!U$1,'Stock UST'!$1:$1,0))))</f>
        <v/>
      </c>
      <c r="V7" s="9" t="str">
        <f ca="1">IF(IF(ISERROR(MATCH(Stock!V$1,'Stock UST'!$1:$1,0)),U7,INDEX('Stock UST'!7:7,1,MATCH(Stock!V$1,'Stock UST'!$1:$1,0)))=0,"",IF(ISERROR(MATCH(Stock!V$1,'Stock UST'!$1:$1,0)),U7,INDEX('Stock UST'!7:7,1,MATCH(Stock!V$1,'Stock UST'!$1:$1,0))))</f>
        <v/>
      </c>
      <c r="W7" s="9" t="str">
        <f ca="1">IF(IF(ISERROR(MATCH(Stock!W$1,'Stock UST'!$1:$1,0)),V7,INDEX('Stock UST'!7:7,1,MATCH(Stock!W$1,'Stock UST'!$1:$1,0)))=0,"",IF(ISERROR(MATCH(Stock!W$1,'Stock UST'!$1:$1,0)),V7,INDEX('Stock UST'!7:7,1,MATCH(Stock!W$1,'Stock UST'!$1:$1,0))))</f>
        <v/>
      </c>
      <c r="X7" s="9" t="str">
        <f ca="1">IF(IF(ISERROR(MATCH(Stock!X$1,'Stock UST'!$1:$1,0)),W7,INDEX('Stock UST'!7:7,1,MATCH(Stock!X$1,'Stock UST'!$1:$1,0)))=0,"",IF(ISERROR(MATCH(Stock!X$1,'Stock UST'!$1:$1,0)),W7,INDEX('Stock UST'!7:7,1,MATCH(Stock!X$1,'Stock UST'!$1:$1,0))))</f>
        <v/>
      </c>
      <c r="Y7" s="9" t="str">
        <f ca="1">IF(IF(ISERROR(MATCH(Stock!Y$1,'Stock UST'!$1:$1,0)),X7,INDEX('Stock UST'!7:7,1,MATCH(Stock!Y$1,'Stock UST'!$1:$1,0)))=0,"",IF(ISERROR(MATCH(Stock!Y$1,'Stock UST'!$1:$1,0)),X7,INDEX('Stock UST'!7:7,1,MATCH(Stock!Y$1,'Stock UST'!$1:$1,0))))</f>
        <v/>
      </c>
      <c r="Z7" s="9" t="str">
        <f ca="1">IF(IF(ISERROR(MATCH(Stock!Z$1,'Stock UST'!$1:$1,0)),Y7,INDEX('Stock UST'!7:7,1,MATCH(Stock!Z$1,'Stock UST'!$1:$1,0)))=0,"",IF(ISERROR(MATCH(Stock!Z$1,'Stock UST'!$1:$1,0)),Y7,INDEX('Stock UST'!7:7,1,MATCH(Stock!Z$1,'Stock UST'!$1:$1,0))))</f>
        <v/>
      </c>
      <c r="AA7" s="9" t="str">
        <f ca="1">IF(IF(ISERROR(MATCH(Stock!AA$1,'Stock UST'!$1:$1,0)),Z7,INDEX('Stock UST'!7:7,1,MATCH(Stock!AA$1,'Stock UST'!$1:$1,0)))=0,"",IF(ISERROR(MATCH(Stock!AA$1,'Stock UST'!$1:$1,0)),Z7,INDEX('Stock UST'!7:7,1,MATCH(Stock!AA$1,'Stock UST'!$1:$1,0))))</f>
        <v/>
      </c>
      <c r="AB7" s="9" t="str">
        <f ca="1">IF(IF(ISERROR(MATCH(Stock!AB$1,'Stock UST'!$1:$1,0)),AA7,INDEX('Stock UST'!7:7,1,MATCH(Stock!AB$1,'Stock UST'!$1:$1,0)))=0,"",IF(ISERROR(MATCH(Stock!AB$1,'Stock UST'!$1:$1,0)),AA7,INDEX('Stock UST'!7:7,1,MATCH(Stock!AB$1,'Stock UST'!$1:$1,0))))</f>
        <v/>
      </c>
      <c r="AC7" s="9" t="str">
        <f ca="1">IF(IF(ISERROR(MATCH(Stock!AC$1,'Stock UST'!$1:$1,0)),AB7,INDEX('Stock UST'!7:7,1,MATCH(Stock!AC$1,'Stock UST'!$1:$1,0)))=0,"",IF(ISERROR(MATCH(Stock!AC$1,'Stock UST'!$1:$1,0)),AB7,INDEX('Stock UST'!7:7,1,MATCH(Stock!AC$1,'Stock UST'!$1:$1,0))))</f>
        <v/>
      </c>
      <c r="AD7" s="9" t="str">
        <f ca="1">IF(IF(ISERROR(MATCH(Stock!AD$1,'Stock UST'!$1:$1,0)),AC7,INDEX('Stock UST'!7:7,1,MATCH(Stock!AD$1,'Stock UST'!$1:$1,0)))=0,"",IF(ISERROR(MATCH(Stock!AD$1,'Stock UST'!$1:$1,0)),AC7,INDEX('Stock UST'!7:7,1,MATCH(Stock!AD$1,'Stock UST'!$1:$1,0))))</f>
        <v/>
      </c>
      <c r="AE7" s="9" t="str">
        <f ca="1">IF(IF(ISERROR(MATCH(Stock!AE$1,'Stock UST'!$1:$1,0)),AD7,INDEX('Stock UST'!7:7,1,MATCH(Stock!AE$1,'Stock UST'!$1:$1,0)))=0,"",IF(ISERROR(MATCH(Stock!AE$1,'Stock UST'!$1:$1,0)),AD7,INDEX('Stock UST'!7:7,1,MATCH(Stock!AE$1,'Stock UST'!$1:$1,0))))</f>
        <v/>
      </c>
      <c r="AF7" s="9" t="str">
        <f ca="1">IF(IF(ISERROR(MATCH(Stock!AF$1,'Stock UST'!$1:$1,0)),AE7,INDEX('Stock UST'!7:7,1,MATCH(Stock!AF$1,'Stock UST'!$1:$1,0)))=0,"",IF(ISERROR(MATCH(Stock!AF$1,'Stock UST'!$1:$1,0)),AE7,INDEX('Stock UST'!7:7,1,MATCH(Stock!AF$1,'Stock UST'!$1:$1,0))))</f>
        <v/>
      </c>
      <c r="AG7" s="9" t="str">
        <f ca="1">IF(IF(ISERROR(MATCH(Stock!AG$1,'Stock UST'!$1:$1,0)),AF7,INDEX('Stock UST'!7:7,1,MATCH(Stock!AG$1,'Stock UST'!$1:$1,0)))=0,"",IF(ISERROR(MATCH(Stock!AG$1,'Stock UST'!$1:$1,0)),AF7,INDEX('Stock UST'!7:7,1,MATCH(Stock!AG$1,'Stock UST'!$1:$1,0))))</f>
        <v/>
      </c>
      <c r="AH7" s="9" t="str">
        <f ca="1">IF(IF(ISERROR(MATCH(Stock!AH$1,'Stock UST'!$1:$1,0)),AG7,INDEX('Stock UST'!7:7,1,MATCH(Stock!AH$1,'Stock UST'!$1:$1,0)))=0,"",IF(ISERROR(MATCH(Stock!AH$1,'Stock UST'!$1:$1,0)),AG7,INDEX('Stock UST'!7:7,1,MATCH(Stock!AH$1,'Stock UST'!$1:$1,0))))</f>
        <v/>
      </c>
      <c r="AI7" s="9" t="str">
        <f ca="1">IF(IF(ISERROR(MATCH(Stock!AI$1,'Stock UST'!$1:$1,0)),AH7,INDEX('Stock UST'!7:7,1,MATCH(Stock!AI$1,'Stock UST'!$1:$1,0)))=0,"",IF(ISERROR(MATCH(Stock!AI$1,'Stock UST'!$1:$1,0)),AH7,INDEX('Stock UST'!7:7,1,MATCH(Stock!AI$1,'Stock UST'!$1:$1,0))))</f>
        <v/>
      </c>
      <c r="AJ7" s="9" t="str">
        <f ca="1">IF(IF(ISERROR(MATCH(Stock!AJ$1,'Stock UST'!$1:$1,0)),AI7,INDEX('Stock UST'!7:7,1,MATCH(Stock!AJ$1,'Stock UST'!$1:$1,0)))=0,"",IF(ISERROR(MATCH(Stock!AJ$1,'Stock UST'!$1:$1,0)),AI7,INDEX('Stock UST'!7:7,1,MATCH(Stock!AJ$1,'Stock UST'!$1:$1,0))))</f>
        <v/>
      </c>
      <c r="AK7" s="9" t="str">
        <f ca="1">IF(IF(ISERROR(MATCH(Stock!AK$1,'Stock UST'!$1:$1,0)),AJ7,INDEX('Stock UST'!7:7,1,MATCH(Stock!AK$1,'Stock UST'!$1:$1,0)))=0,"",IF(ISERROR(MATCH(Stock!AK$1,'Stock UST'!$1:$1,0)),AJ7,INDEX('Stock UST'!7:7,1,MATCH(Stock!AK$1,'Stock UST'!$1:$1,0))))</f>
        <v/>
      </c>
      <c r="AL7" s="9" t="str">
        <f ca="1">IF(IF(ISERROR(MATCH(Stock!AL$1,'Stock UST'!$1:$1,0)),AK7,INDEX('Stock UST'!7:7,1,MATCH(Stock!AL$1,'Stock UST'!$1:$1,0)))=0,"",IF(ISERROR(MATCH(Stock!AL$1,'Stock UST'!$1:$1,0)),AK7,INDEX('Stock UST'!7:7,1,MATCH(Stock!AL$1,'Stock UST'!$1:$1,0))))</f>
        <v/>
      </c>
      <c r="AM7" s="9" t="str">
        <f ca="1">IF(IF(ISERROR(MATCH(Stock!AM$1,'Stock UST'!$1:$1,0)),AL7,INDEX('Stock UST'!7:7,1,MATCH(Stock!AM$1,'Stock UST'!$1:$1,0)))=0,"",IF(ISERROR(MATCH(Stock!AM$1,'Stock UST'!$1:$1,0)),AL7,INDEX('Stock UST'!7:7,1,MATCH(Stock!AM$1,'Stock UST'!$1:$1,0))))</f>
        <v/>
      </c>
      <c r="AN7" s="9" t="str">
        <f ca="1">IF(IF(ISERROR(MATCH(Stock!AN$1,'Stock UST'!$1:$1,0)),AM7,INDEX('Stock UST'!7:7,1,MATCH(Stock!AN$1,'Stock UST'!$1:$1,0)))=0,"",IF(ISERROR(MATCH(Stock!AN$1,'Stock UST'!$1:$1,0)),AM7,INDEX('Stock UST'!7:7,1,MATCH(Stock!AN$1,'Stock UST'!$1:$1,0))))</f>
        <v/>
      </c>
      <c r="AO7" s="9" t="str">
        <f ca="1">IF(IF(ISERROR(MATCH(Stock!AO$1,'Stock UST'!$1:$1,0)),AN7,INDEX('Stock UST'!7:7,1,MATCH(Stock!AO$1,'Stock UST'!$1:$1,0)))=0,"",IF(ISERROR(MATCH(Stock!AO$1,'Stock UST'!$1:$1,0)),AN7,INDEX('Stock UST'!7:7,1,MATCH(Stock!AO$1,'Stock UST'!$1:$1,0))))</f>
        <v/>
      </c>
      <c r="AP7" s="9" t="str">
        <f ca="1">IF(IF(ISERROR(MATCH(Stock!AP$1,'Stock UST'!$1:$1,0)),AO7,INDEX('Stock UST'!7:7,1,MATCH(Stock!AP$1,'Stock UST'!$1:$1,0)))=0,"",IF(ISERROR(MATCH(Stock!AP$1,'Stock UST'!$1:$1,0)),AO7,INDEX('Stock UST'!7:7,1,MATCH(Stock!AP$1,'Stock UST'!$1:$1,0))))</f>
        <v/>
      </c>
      <c r="AQ7" s="9" t="str">
        <f ca="1">IF(IF(ISERROR(MATCH(Stock!AQ$1,'Stock UST'!$1:$1,0)),AP7,INDEX('Stock UST'!7:7,1,MATCH(Stock!AQ$1,'Stock UST'!$1:$1,0)))=0,"",IF(ISERROR(MATCH(Stock!AQ$1,'Stock UST'!$1:$1,0)),AP7,INDEX('Stock UST'!7:7,1,MATCH(Stock!AQ$1,'Stock UST'!$1:$1,0))))</f>
        <v/>
      </c>
      <c r="AR7" s="9" t="str">
        <f ca="1">IF(IF(ISERROR(MATCH(Stock!AR$1,'Stock UST'!$1:$1,0)),AQ7,INDEX('Stock UST'!7:7,1,MATCH(Stock!AR$1,'Stock UST'!$1:$1,0)))=0,"",IF(ISERROR(MATCH(Stock!AR$1,'Stock UST'!$1:$1,0)),AQ7,INDEX('Stock UST'!7:7,1,MATCH(Stock!AR$1,'Stock UST'!$1:$1,0))))</f>
        <v/>
      </c>
      <c r="AS7" s="9" t="str">
        <f ca="1">IF(IF(ISERROR(MATCH(Stock!AS$1,'Stock UST'!$1:$1,0)),AR7,INDEX('Stock UST'!7:7,1,MATCH(Stock!AS$1,'Stock UST'!$1:$1,0)))=0,"",IF(ISERROR(MATCH(Stock!AS$1,'Stock UST'!$1:$1,0)),AR7,INDEX('Stock UST'!7:7,1,MATCH(Stock!AS$1,'Stock UST'!$1:$1,0))))</f>
        <v/>
      </c>
      <c r="AT7" s="9" t="str">
        <f ca="1">IF(IF(ISERROR(MATCH(Stock!AT$1,'Stock UST'!$1:$1,0)),AS7,INDEX('Stock UST'!7:7,1,MATCH(Stock!AT$1,'Stock UST'!$1:$1,0)))=0,"",IF(ISERROR(MATCH(Stock!AT$1,'Stock UST'!$1:$1,0)),AS7,INDEX('Stock UST'!7:7,1,MATCH(Stock!AT$1,'Stock UST'!$1:$1,0))))</f>
        <v/>
      </c>
      <c r="AU7" s="9" t="str">
        <f ca="1">IF(IF(ISERROR(MATCH(Stock!AU$1,'Stock UST'!$1:$1,0)),AT7,INDEX('Stock UST'!7:7,1,MATCH(Stock!AU$1,'Stock UST'!$1:$1,0)))=0,"",IF(ISERROR(MATCH(Stock!AU$1,'Stock UST'!$1:$1,0)),AT7,INDEX('Stock UST'!7:7,1,MATCH(Stock!AU$1,'Stock UST'!$1:$1,0))))</f>
        <v/>
      </c>
      <c r="AV7" s="9" t="str">
        <f ca="1">IF(IF(ISERROR(MATCH(Stock!AV$1,'Stock UST'!$1:$1,0)),AU7,INDEX('Stock UST'!7:7,1,MATCH(Stock!AV$1,'Stock UST'!$1:$1,0)))=0,"",IF(ISERROR(MATCH(Stock!AV$1,'Stock UST'!$1:$1,0)),AU7,INDEX('Stock UST'!7:7,1,MATCH(Stock!AV$1,'Stock UST'!$1:$1,0))))</f>
        <v/>
      </c>
      <c r="AW7" s="9" t="str">
        <f ca="1">IF(IF(ISERROR(MATCH(Stock!AW$1,'Stock UST'!$1:$1,0)),AV7,INDEX('Stock UST'!7:7,1,MATCH(Stock!AW$1,'Stock UST'!$1:$1,0)))=0,"",IF(ISERROR(MATCH(Stock!AW$1,'Stock UST'!$1:$1,0)),AV7,INDEX('Stock UST'!7:7,1,MATCH(Stock!AW$1,'Stock UST'!$1:$1,0))))</f>
        <v/>
      </c>
      <c r="AX7" s="9" t="str">
        <f ca="1">IF(IF(ISERROR(MATCH(Stock!AX$1,'Stock UST'!$1:$1,0)),AW7,INDEX('Stock UST'!7:7,1,MATCH(Stock!AX$1,'Stock UST'!$1:$1,0)))=0,"",IF(ISERROR(MATCH(Stock!AX$1,'Stock UST'!$1:$1,0)),AW7,INDEX('Stock UST'!7:7,1,MATCH(Stock!AX$1,'Stock UST'!$1:$1,0))))</f>
        <v/>
      </c>
    </row>
    <row r="8" spans="1:91" x14ac:dyDescent="0.3">
      <c r="A8" s="9">
        <f>IF('Stock UST'!E8="","",'Stock UST'!E8)</f>
        <v>456000</v>
      </c>
      <c r="B8" s="9">
        <f>IF(IF(ISERROR(MATCH(Stock!B$1,'Stock UST'!$1:$1,0)),A8,INDEX('Stock UST'!8:8,1,MATCH(Stock!B$1,'Stock UST'!$1:$1,0)))=0,"",IF(ISERROR(MATCH(Stock!B$1,'Stock UST'!$1:$1,0)),A8,INDEX('Stock UST'!8:8,1,MATCH(Stock!B$1,'Stock UST'!$1:$1,0))))</f>
        <v>456000</v>
      </c>
      <c r="C8" s="9">
        <f ca="1">IF(IF(ISERROR(MATCH(Stock!C$1,'Stock UST'!$1:$1,0)),B8,INDEX('Stock UST'!8:8,1,MATCH(Stock!C$1,'Stock UST'!$1:$1,0)))=0,"",IF(ISERROR(MATCH(Stock!C$1,'Stock UST'!$1:$1,0)),B8,INDEX('Stock UST'!8:8,1,MATCH(Stock!C$1,'Stock UST'!$1:$1,0))))</f>
        <v>456000</v>
      </c>
      <c r="D8" s="9">
        <f ca="1">IF(IF(ISERROR(MATCH(Stock!D$1,'Stock UST'!$1:$1,0)),C8,INDEX('Stock UST'!8:8,1,MATCH(Stock!D$1,'Stock UST'!$1:$1,0)))=0,"",IF(ISERROR(MATCH(Stock!D$1,'Stock UST'!$1:$1,0)),C8,INDEX('Stock UST'!8:8,1,MATCH(Stock!D$1,'Stock UST'!$1:$1,0))))</f>
        <v>456000</v>
      </c>
      <c r="E8" s="9">
        <f ca="1">IF(IF(ISERROR(MATCH(Stock!E$1,'Stock UST'!$1:$1,0)),D8,INDEX('Stock UST'!8:8,1,MATCH(Stock!E$1,'Stock UST'!$1:$1,0)))=0,"",IF(ISERROR(MATCH(Stock!E$1,'Stock UST'!$1:$1,0)),D8,INDEX('Stock UST'!8:8,1,MATCH(Stock!E$1,'Stock UST'!$1:$1,0))))</f>
        <v>456000</v>
      </c>
      <c r="F8" s="9">
        <f ca="1">IF(IF(ISERROR(MATCH(Stock!F$1,'Stock UST'!$1:$1,0)),E8,INDEX('Stock UST'!8:8,1,MATCH(Stock!F$1,'Stock UST'!$1:$1,0)))=0,"",IF(ISERROR(MATCH(Stock!F$1,'Stock UST'!$1:$1,0)),E8,INDEX('Stock UST'!8:8,1,MATCH(Stock!F$1,'Stock UST'!$1:$1,0))))</f>
        <v>456000</v>
      </c>
      <c r="G8" s="9">
        <f ca="1">IF(IF(ISERROR(MATCH(Stock!G$1,'Stock UST'!$1:$1,0)),F8,INDEX('Stock UST'!8:8,1,MATCH(Stock!G$1,'Stock UST'!$1:$1,0)))=0,"",IF(ISERROR(MATCH(Stock!G$1,'Stock UST'!$1:$1,0)),F8,INDEX('Stock UST'!8:8,1,MATCH(Stock!G$1,'Stock UST'!$1:$1,0))))</f>
        <v>456000</v>
      </c>
      <c r="H8" s="9">
        <f ca="1">IF(IF(ISERROR(MATCH(Stock!H$1,'Stock UST'!$1:$1,0)),G8,INDEX('Stock UST'!8:8,1,MATCH(Stock!H$1,'Stock UST'!$1:$1,0)))=0,"",IF(ISERROR(MATCH(Stock!H$1,'Stock UST'!$1:$1,0)),G8,INDEX('Stock UST'!8:8,1,MATCH(Stock!H$1,'Stock UST'!$1:$1,0))))</f>
        <v>456000</v>
      </c>
      <c r="I8" s="9">
        <f ca="1">IF(IF(ISERROR(MATCH(Stock!I$1,'Stock UST'!$1:$1,0)),H8,INDEX('Stock UST'!8:8,1,MATCH(Stock!I$1,'Stock UST'!$1:$1,0)))=0,"",IF(ISERROR(MATCH(Stock!I$1,'Stock UST'!$1:$1,0)),H8,INDEX('Stock UST'!8:8,1,MATCH(Stock!I$1,'Stock UST'!$1:$1,0))))</f>
        <v>456000</v>
      </c>
      <c r="J8" s="9">
        <f ca="1">IF(IF(ISERROR(MATCH(Stock!J$1,'Stock UST'!$1:$1,0)),I8,INDEX('Stock UST'!8:8,1,MATCH(Stock!J$1,'Stock UST'!$1:$1,0)))=0,"",IF(ISERROR(MATCH(Stock!J$1,'Stock UST'!$1:$1,0)),I8,INDEX('Stock UST'!8:8,1,MATCH(Stock!J$1,'Stock UST'!$1:$1,0))))</f>
        <v>456000</v>
      </c>
      <c r="K8" s="9">
        <f ca="1">IF(IF(ISERROR(MATCH(Stock!K$1,'Stock UST'!$1:$1,0)),J8,INDEX('Stock UST'!8:8,1,MATCH(Stock!K$1,'Stock UST'!$1:$1,0)))=0,"",IF(ISERROR(MATCH(Stock!K$1,'Stock UST'!$1:$1,0)),J8,INDEX('Stock UST'!8:8,1,MATCH(Stock!K$1,'Stock UST'!$1:$1,0))))</f>
        <v>456000</v>
      </c>
      <c r="L8" s="9">
        <f ca="1">IF(IF(ISERROR(MATCH(Stock!L$1,'Stock UST'!$1:$1,0)),K8,INDEX('Stock UST'!8:8,1,MATCH(Stock!L$1,'Stock UST'!$1:$1,0)))=0,"",IF(ISERROR(MATCH(Stock!L$1,'Stock UST'!$1:$1,0)),K8,INDEX('Stock UST'!8:8,1,MATCH(Stock!L$1,'Stock UST'!$1:$1,0))))</f>
        <v>456000</v>
      </c>
      <c r="M8" s="9">
        <f ca="1">IF(IF(ISERROR(MATCH(Stock!M$1,'Stock UST'!$1:$1,0)),L8,INDEX('Stock UST'!8:8,1,MATCH(Stock!M$1,'Stock UST'!$1:$1,0)))=0,"",IF(ISERROR(MATCH(Stock!M$1,'Stock UST'!$1:$1,0)),L8,INDEX('Stock UST'!8:8,1,MATCH(Stock!M$1,'Stock UST'!$1:$1,0))))</f>
        <v>456000</v>
      </c>
      <c r="N8" s="9">
        <f ca="1">IF(IF(ISERROR(MATCH(Stock!N$1,'Stock UST'!$1:$1,0)),M8,INDEX('Stock UST'!8:8,1,MATCH(Stock!N$1,'Stock UST'!$1:$1,0)))=0,"",IF(ISERROR(MATCH(Stock!N$1,'Stock UST'!$1:$1,0)),M8,INDEX('Stock UST'!8:8,1,MATCH(Stock!N$1,'Stock UST'!$1:$1,0))))</f>
        <v>456000</v>
      </c>
      <c r="O8" s="9">
        <f ca="1">IF(IF(ISERROR(MATCH(Stock!O$1,'Stock UST'!$1:$1,0)),N8,INDEX('Stock UST'!8:8,1,MATCH(Stock!O$1,'Stock UST'!$1:$1,0)))=0,"",IF(ISERROR(MATCH(Stock!O$1,'Stock UST'!$1:$1,0)),N8,INDEX('Stock UST'!8:8,1,MATCH(Stock!O$1,'Stock UST'!$1:$1,0))))</f>
        <v>456000</v>
      </c>
      <c r="P8" s="9">
        <f ca="1">IF(IF(ISERROR(MATCH(Stock!P$1,'Stock UST'!$1:$1,0)),O8,INDEX('Stock UST'!8:8,1,MATCH(Stock!P$1,'Stock UST'!$1:$1,0)))=0,"",IF(ISERROR(MATCH(Stock!P$1,'Stock UST'!$1:$1,0)),O8,INDEX('Stock UST'!8:8,1,MATCH(Stock!P$1,'Stock UST'!$1:$1,0))))</f>
        <v>456000</v>
      </c>
      <c r="Q8" s="9">
        <f ca="1">IF(IF(ISERROR(MATCH(Stock!Q$1,'Stock UST'!$1:$1,0)),P8,INDEX('Stock UST'!8:8,1,MATCH(Stock!Q$1,'Stock UST'!$1:$1,0)))=0,"",IF(ISERROR(MATCH(Stock!Q$1,'Stock UST'!$1:$1,0)),P8,INDEX('Stock UST'!8:8,1,MATCH(Stock!Q$1,'Stock UST'!$1:$1,0))))</f>
        <v>456000</v>
      </c>
      <c r="R8" s="9">
        <f ca="1">IF(IF(ISERROR(MATCH(Stock!R$1,'Stock UST'!$1:$1,0)),Q8,INDEX('Stock UST'!8:8,1,MATCH(Stock!R$1,'Stock UST'!$1:$1,0)))=0,"",IF(ISERROR(MATCH(Stock!R$1,'Stock UST'!$1:$1,0)),Q8,INDEX('Stock UST'!8:8,1,MATCH(Stock!R$1,'Stock UST'!$1:$1,0))))</f>
        <v>456000</v>
      </c>
      <c r="S8" s="9">
        <f ca="1">IF(IF(ISERROR(MATCH(Stock!S$1,'Stock UST'!$1:$1,0)),R8,INDEX('Stock UST'!8:8,1,MATCH(Stock!S$1,'Stock UST'!$1:$1,0)))=0,"",IF(ISERROR(MATCH(Stock!S$1,'Stock UST'!$1:$1,0)),R8,INDEX('Stock UST'!8:8,1,MATCH(Stock!S$1,'Stock UST'!$1:$1,0))))</f>
        <v>456000</v>
      </c>
      <c r="T8" s="9">
        <f ca="1">IF(IF(ISERROR(MATCH(Stock!T$1,'Stock UST'!$1:$1,0)),S8,INDEX('Stock UST'!8:8,1,MATCH(Stock!T$1,'Stock UST'!$1:$1,0)))=0,"",IF(ISERROR(MATCH(Stock!T$1,'Stock UST'!$1:$1,0)),S8,INDEX('Stock UST'!8:8,1,MATCH(Stock!T$1,'Stock UST'!$1:$1,0))))</f>
        <v>456000</v>
      </c>
      <c r="U8" s="9">
        <f ca="1">IF(IF(ISERROR(MATCH(Stock!U$1,'Stock UST'!$1:$1,0)),T8,INDEX('Stock UST'!8:8,1,MATCH(Stock!U$1,'Stock UST'!$1:$1,0)))=0,"",IF(ISERROR(MATCH(Stock!U$1,'Stock UST'!$1:$1,0)),T8,INDEX('Stock UST'!8:8,1,MATCH(Stock!U$1,'Stock UST'!$1:$1,0))))</f>
        <v>456000</v>
      </c>
      <c r="V8" s="9">
        <f ca="1">IF(IF(ISERROR(MATCH(Stock!V$1,'Stock UST'!$1:$1,0)),U8,INDEX('Stock UST'!8:8,1,MATCH(Stock!V$1,'Stock UST'!$1:$1,0)))=0,"",IF(ISERROR(MATCH(Stock!V$1,'Stock UST'!$1:$1,0)),U8,INDEX('Stock UST'!8:8,1,MATCH(Stock!V$1,'Stock UST'!$1:$1,0))))</f>
        <v>456000</v>
      </c>
      <c r="W8" s="9">
        <f ca="1">IF(IF(ISERROR(MATCH(Stock!W$1,'Stock UST'!$1:$1,0)),V8,INDEX('Stock UST'!8:8,1,MATCH(Stock!W$1,'Stock UST'!$1:$1,0)))=0,"",IF(ISERROR(MATCH(Stock!W$1,'Stock UST'!$1:$1,0)),V8,INDEX('Stock UST'!8:8,1,MATCH(Stock!W$1,'Stock UST'!$1:$1,0))))</f>
        <v>456000</v>
      </c>
      <c r="X8" s="9">
        <f ca="1">IF(IF(ISERROR(MATCH(Stock!X$1,'Stock UST'!$1:$1,0)),W8,INDEX('Stock UST'!8:8,1,MATCH(Stock!X$1,'Stock UST'!$1:$1,0)))=0,"",IF(ISERROR(MATCH(Stock!X$1,'Stock UST'!$1:$1,0)),W8,INDEX('Stock UST'!8:8,1,MATCH(Stock!X$1,'Stock UST'!$1:$1,0))))</f>
        <v>456000</v>
      </c>
      <c r="Y8" s="9">
        <f ca="1">IF(IF(ISERROR(MATCH(Stock!Y$1,'Stock UST'!$1:$1,0)),X8,INDEX('Stock UST'!8:8,1,MATCH(Stock!Y$1,'Stock UST'!$1:$1,0)))=0,"",IF(ISERROR(MATCH(Stock!Y$1,'Stock UST'!$1:$1,0)),X8,INDEX('Stock UST'!8:8,1,MATCH(Stock!Y$1,'Stock UST'!$1:$1,0))))</f>
        <v>456000</v>
      </c>
      <c r="Z8" s="9">
        <f ca="1">IF(IF(ISERROR(MATCH(Stock!Z$1,'Stock UST'!$1:$1,0)),Y8,INDEX('Stock UST'!8:8,1,MATCH(Stock!Z$1,'Stock UST'!$1:$1,0)))=0,"",IF(ISERROR(MATCH(Stock!Z$1,'Stock UST'!$1:$1,0)),Y8,INDEX('Stock UST'!8:8,1,MATCH(Stock!Z$1,'Stock UST'!$1:$1,0))))</f>
        <v>456000</v>
      </c>
      <c r="AA8" s="9">
        <f ca="1">IF(IF(ISERROR(MATCH(Stock!AA$1,'Stock UST'!$1:$1,0)),Z8,INDEX('Stock UST'!8:8,1,MATCH(Stock!AA$1,'Stock UST'!$1:$1,0)))=0,"",IF(ISERROR(MATCH(Stock!AA$1,'Stock UST'!$1:$1,0)),Z8,INDEX('Stock UST'!8:8,1,MATCH(Stock!AA$1,'Stock UST'!$1:$1,0))))</f>
        <v>456000</v>
      </c>
      <c r="AB8" s="9">
        <f ca="1">IF(IF(ISERROR(MATCH(Stock!AB$1,'Stock UST'!$1:$1,0)),AA8,INDEX('Stock UST'!8:8,1,MATCH(Stock!AB$1,'Stock UST'!$1:$1,0)))=0,"",IF(ISERROR(MATCH(Stock!AB$1,'Stock UST'!$1:$1,0)),AA8,INDEX('Stock UST'!8:8,1,MATCH(Stock!AB$1,'Stock UST'!$1:$1,0))))</f>
        <v>456000</v>
      </c>
      <c r="AC8" s="9">
        <f ca="1">IF(IF(ISERROR(MATCH(Stock!AC$1,'Stock UST'!$1:$1,0)),AB8,INDEX('Stock UST'!8:8,1,MATCH(Stock!AC$1,'Stock UST'!$1:$1,0)))=0,"",IF(ISERROR(MATCH(Stock!AC$1,'Stock UST'!$1:$1,0)),AB8,INDEX('Stock UST'!8:8,1,MATCH(Stock!AC$1,'Stock UST'!$1:$1,0))))</f>
        <v>456000</v>
      </c>
      <c r="AD8" s="9">
        <f ca="1">IF(IF(ISERROR(MATCH(Stock!AD$1,'Stock UST'!$1:$1,0)),AC8,INDEX('Stock UST'!8:8,1,MATCH(Stock!AD$1,'Stock UST'!$1:$1,0)))=0,"",IF(ISERROR(MATCH(Stock!AD$1,'Stock UST'!$1:$1,0)),AC8,INDEX('Stock UST'!8:8,1,MATCH(Stock!AD$1,'Stock UST'!$1:$1,0))))</f>
        <v>456000</v>
      </c>
      <c r="AE8" s="9">
        <f ca="1">IF(IF(ISERROR(MATCH(Stock!AE$1,'Stock UST'!$1:$1,0)),AD8,INDEX('Stock UST'!8:8,1,MATCH(Stock!AE$1,'Stock UST'!$1:$1,0)))=0,"",IF(ISERROR(MATCH(Stock!AE$1,'Stock UST'!$1:$1,0)),AD8,INDEX('Stock UST'!8:8,1,MATCH(Stock!AE$1,'Stock UST'!$1:$1,0))))</f>
        <v>456000</v>
      </c>
      <c r="AF8" s="9">
        <f ca="1">IF(IF(ISERROR(MATCH(Stock!AF$1,'Stock UST'!$1:$1,0)),AE8,INDEX('Stock UST'!8:8,1,MATCH(Stock!AF$1,'Stock UST'!$1:$1,0)))=0,"",IF(ISERROR(MATCH(Stock!AF$1,'Stock UST'!$1:$1,0)),AE8,INDEX('Stock UST'!8:8,1,MATCH(Stock!AF$1,'Stock UST'!$1:$1,0))))</f>
        <v>456000</v>
      </c>
      <c r="AG8" s="9">
        <f ca="1">IF(IF(ISERROR(MATCH(Stock!AG$1,'Stock UST'!$1:$1,0)),AF8,INDEX('Stock UST'!8:8,1,MATCH(Stock!AG$1,'Stock UST'!$1:$1,0)))=0,"",IF(ISERROR(MATCH(Stock!AG$1,'Stock UST'!$1:$1,0)),AF8,INDEX('Stock UST'!8:8,1,MATCH(Stock!AG$1,'Stock UST'!$1:$1,0))))</f>
        <v>456000</v>
      </c>
      <c r="AH8" s="9">
        <f ca="1">IF(IF(ISERROR(MATCH(Stock!AH$1,'Stock UST'!$1:$1,0)),AG8,INDEX('Stock UST'!8:8,1,MATCH(Stock!AH$1,'Stock UST'!$1:$1,0)))=0,"",IF(ISERROR(MATCH(Stock!AH$1,'Stock UST'!$1:$1,0)),AG8,INDEX('Stock UST'!8:8,1,MATCH(Stock!AH$1,'Stock UST'!$1:$1,0))))</f>
        <v>456000</v>
      </c>
      <c r="AI8" s="9">
        <f ca="1">IF(IF(ISERROR(MATCH(Stock!AI$1,'Stock UST'!$1:$1,0)),AH8,INDEX('Stock UST'!8:8,1,MATCH(Stock!AI$1,'Stock UST'!$1:$1,0)))=0,"",IF(ISERROR(MATCH(Stock!AI$1,'Stock UST'!$1:$1,0)),AH8,INDEX('Stock UST'!8:8,1,MATCH(Stock!AI$1,'Stock UST'!$1:$1,0))))</f>
        <v>456000</v>
      </c>
      <c r="AJ8" s="9">
        <f ca="1">IF(IF(ISERROR(MATCH(Stock!AJ$1,'Stock UST'!$1:$1,0)),AI8,INDEX('Stock UST'!8:8,1,MATCH(Stock!AJ$1,'Stock UST'!$1:$1,0)))=0,"",IF(ISERROR(MATCH(Stock!AJ$1,'Stock UST'!$1:$1,0)),AI8,INDEX('Stock UST'!8:8,1,MATCH(Stock!AJ$1,'Stock UST'!$1:$1,0))))</f>
        <v>456000</v>
      </c>
      <c r="AK8" s="9">
        <f ca="1">IF(IF(ISERROR(MATCH(Stock!AK$1,'Stock UST'!$1:$1,0)),AJ8,INDEX('Stock UST'!8:8,1,MATCH(Stock!AK$1,'Stock UST'!$1:$1,0)))=0,"",IF(ISERROR(MATCH(Stock!AK$1,'Stock UST'!$1:$1,0)),AJ8,INDEX('Stock UST'!8:8,1,MATCH(Stock!AK$1,'Stock UST'!$1:$1,0))))</f>
        <v>456000</v>
      </c>
      <c r="AL8" s="9">
        <f ca="1">IF(IF(ISERROR(MATCH(Stock!AL$1,'Stock UST'!$1:$1,0)),AK8,INDEX('Stock UST'!8:8,1,MATCH(Stock!AL$1,'Stock UST'!$1:$1,0)))=0,"",IF(ISERROR(MATCH(Stock!AL$1,'Stock UST'!$1:$1,0)),AK8,INDEX('Stock UST'!8:8,1,MATCH(Stock!AL$1,'Stock UST'!$1:$1,0))))</f>
        <v>456000</v>
      </c>
      <c r="AM8" s="9">
        <f ca="1">IF(IF(ISERROR(MATCH(Stock!AM$1,'Stock UST'!$1:$1,0)),AL8,INDEX('Stock UST'!8:8,1,MATCH(Stock!AM$1,'Stock UST'!$1:$1,0)))=0,"",IF(ISERROR(MATCH(Stock!AM$1,'Stock UST'!$1:$1,0)),AL8,INDEX('Stock UST'!8:8,1,MATCH(Stock!AM$1,'Stock UST'!$1:$1,0))))</f>
        <v>456000</v>
      </c>
      <c r="AN8" s="9">
        <f ca="1">IF(IF(ISERROR(MATCH(Stock!AN$1,'Stock UST'!$1:$1,0)),AM8,INDEX('Stock UST'!8:8,1,MATCH(Stock!AN$1,'Stock UST'!$1:$1,0)))=0,"",IF(ISERROR(MATCH(Stock!AN$1,'Stock UST'!$1:$1,0)),AM8,INDEX('Stock UST'!8:8,1,MATCH(Stock!AN$1,'Stock UST'!$1:$1,0))))</f>
        <v>456000</v>
      </c>
      <c r="AO8" s="9">
        <f ca="1">IF(IF(ISERROR(MATCH(Stock!AO$1,'Stock UST'!$1:$1,0)),AN8,INDEX('Stock UST'!8:8,1,MATCH(Stock!AO$1,'Stock UST'!$1:$1,0)))=0,"",IF(ISERROR(MATCH(Stock!AO$1,'Stock UST'!$1:$1,0)),AN8,INDEX('Stock UST'!8:8,1,MATCH(Stock!AO$1,'Stock UST'!$1:$1,0))))</f>
        <v>456000</v>
      </c>
      <c r="AP8" s="9">
        <f ca="1">IF(IF(ISERROR(MATCH(Stock!AP$1,'Stock UST'!$1:$1,0)),AO8,INDEX('Stock UST'!8:8,1,MATCH(Stock!AP$1,'Stock UST'!$1:$1,0)))=0,"",IF(ISERROR(MATCH(Stock!AP$1,'Stock UST'!$1:$1,0)),AO8,INDEX('Stock UST'!8:8,1,MATCH(Stock!AP$1,'Stock UST'!$1:$1,0))))</f>
        <v>456000</v>
      </c>
      <c r="AQ8" s="9">
        <f ca="1">IF(IF(ISERROR(MATCH(Stock!AQ$1,'Stock UST'!$1:$1,0)),AP8,INDEX('Stock UST'!8:8,1,MATCH(Stock!AQ$1,'Stock UST'!$1:$1,0)))=0,"",IF(ISERROR(MATCH(Stock!AQ$1,'Stock UST'!$1:$1,0)),AP8,INDEX('Stock UST'!8:8,1,MATCH(Stock!AQ$1,'Stock UST'!$1:$1,0))))</f>
        <v>456000</v>
      </c>
      <c r="AR8" s="9">
        <f ca="1">IF(IF(ISERROR(MATCH(Stock!AR$1,'Stock UST'!$1:$1,0)),AQ8,INDEX('Stock UST'!8:8,1,MATCH(Stock!AR$1,'Stock UST'!$1:$1,0)))=0,"",IF(ISERROR(MATCH(Stock!AR$1,'Stock UST'!$1:$1,0)),AQ8,INDEX('Stock UST'!8:8,1,MATCH(Stock!AR$1,'Stock UST'!$1:$1,0))))</f>
        <v>456000</v>
      </c>
      <c r="AS8" s="9">
        <f ca="1">IF(IF(ISERROR(MATCH(Stock!AS$1,'Stock UST'!$1:$1,0)),AR8,INDEX('Stock UST'!8:8,1,MATCH(Stock!AS$1,'Stock UST'!$1:$1,0)))=0,"",IF(ISERROR(MATCH(Stock!AS$1,'Stock UST'!$1:$1,0)),AR8,INDEX('Stock UST'!8:8,1,MATCH(Stock!AS$1,'Stock UST'!$1:$1,0))))</f>
        <v>456000</v>
      </c>
      <c r="AT8" s="9">
        <f ca="1">IF(IF(ISERROR(MATCH(Stock!AT$1,'Stock UST'!$1:$1,0)),AS8,INDEX('Stock UST'!8:8,1,MATCH(Stock!AT$1,'Stock UST'!$1:$1,0)))=0,"",IF(ISERROR(MATCH(Stock!AT$1,'Stock UST'!$1:$1,0)),AS8,INDEX('Stock UST'!8:8,1,MATCH(Stock!AT$1,'Stock UST'!$1:$1,0))))</f>
        <v>456000</v>
      </c>
      <c r="AU8" s="9">
        <f ca="1">IF(IF(ISERROR(MATCH(Stock!AU$1,'Stock UST'!$1:$1,0)),AT8,INDEX('Stock UST'!8:8,1,MATCH(Stock!AU$1,'Stock UST'!$1:$1,0)))=0,"",IF(ISERROR(MATCH(Stock!AU$1,'Stock UST'!$1:$1,0)),AT8,INDEX('Stock UST'!8:8,1,MATCH(Stock!AU$1,'Stock UST'!$1:$1,0))))</f>
        <v>456000</v>
      </c>
      <c r="AV8" s="9">
        <f ca="1">IF(IF(ISERROR(MATCH(Stock!AV$1,'Stock UST'!$1:$1,0)),AU8,INDEX('Stock UST'!8:8,1,MATCH(Stock!AV$1,'Stock UST'!$1:$1,0)))=0,"",IF(ISERROR(MATCH(Stock!AV$1,'Stock UST'!$1:$1,0)),AU8,INDEX('Stock UST'!8:8,1,MATCH(Stock!AV$1,'Stock UST'!$1:$1,0))))</f>
        <v>456000</v>
      </c>
      <c r="AW8" s="9">
        <f ca="1">IF(IF(ISERROR(MATCH(Stock!AW$1,'Stock UST'!$1:$1,0)),AV8,INDEX('Stock UST'!8:8,1,MATCH(Stock!AW$1,'Stock UST'!$1:$1,0)))=0,"",IF(ISERROR(MATCH(Stock!AW$1,'Stock UST'!$1:$1,0)),AV8,INDEX('Stock UST'!8:8,1,MATCH(Stock!AW$1,'Stock UST'!$1:$1,0))))</f>
        <v>456000</v>
      </c>
      <c r="AX8" s="9">
        <f ca="1">IF(IF(ISERROR(MATCH(Stock!AX$1,'Stock UST'!$1:$1,0)),AW8,INDEX('Stock UST'!8:8,1,MATCH(Stock!AX$1,'Stock UST'!$1:$1,0)))=0,"",IF(ISERROR(MATCH(Stock!AX$1,'Stock UST'!$1:$1,0)),AW8,INDEX('Stock UST'!8:8,1,MATCH(Stock!AX$1,'Stock UST'!$1:$1,0))))</f>
        <v>456000</v>
      </c>
    </row>
    <row r="9" spans="1:91" x14ac:dyDescent="0.3">
      <c r="A9" s="9">
        <f>IF('Stock UST'!E9="","",'Stock UST'!E9)</f>
        <v>0</v>
      </c>
      <c r="B9" s="9" t="str">
        <f>IF(IF(ISERROR(MATCH(Stock!B$1,'Stock UST'!$1:$1,0)),A9,INDEX('Stock UST'!9:9,1,MATCH(Stock!B$1,'Stock UST'!$1:$1,0)))=0,"",IF(ISERROR(MATCH(Stock!B$1,'Stock UST'!$1:$1,0)),A9,INDEX('Stock UST'!9:9,1,MATCH(Stock!B$1,'Stock UST'!$1:$1,0))))</f>
        <v/>
      </c>
      <c r="C9" s="9" t="str">
        <f ca="1">IF(IF(ISERROR(MATCH(Stock!C$1,'Stock UST'!$1:$1,0)),B9,INDEX('Stock UST'!9:9,1,MATCH(Stock!C$1,'Stock UST'!$1:$1,0)))=0,"",IF(ISERROR(MATCH(Stock!C$1,'Stock UST'!$1:$1,0)),B9,INDEX('Stock UST'!9:9,1,MATCH(Stock!C$1,'Stock UST'!$1:$1,0))))</f>
        <v/>
      </c>
      <c r="D9" s="9" t="str">
        <f ca="1">IF(IF(ISERROR(MATCH(Stock!D$1,'Stock UST'!$1:$1,0)),C9,INDEX('Stock UST'!9:9,1,MATCH(Stock!D$1,'Stock UST'!$1:$1,0)))=0,"",IF(ISERROR(MATCH(Stock!D$1,'Stock UST'!$1:$1,0)),C9,INDEX('Stock UST'!9:9,1,MATCH(Stock!D$1,'Stock UST'!$1:$1,0))))</f>
        <v/>
      </c>
      <c r="E9" s="9" t="str">
        <f ca="1">IF(IF(ISERROR(MATCH(Stock!E$1,'Stock UST'!$1:$1,0)),D9,INDEX('Stock UST'!9:9,1,MATCH(Stock!E$1,'Stock UST'!$1:$1,0)))=0,"",IF(ISERROR(MATCH(Stock!E$1,'Stock UST'!$1:$1,0)),D9,INDEX('Stock UST'!9:9,1,MATCH(Stock!E$1,'Stock UST'!$1:$1,0))))</f>
        <v/>
      </c>
      <c r="F9" s="9" t="str">
        <f ca="1">IF(IF(ISERROR(MATCH(Stock!F$1,'Stock UST'!$1:$1,0)),E9,INDEX('Stock UST'!9:9,1,MATCH(Stock!F$1,'Stock UST'!$1:$1,0)))=0,"",IF(ISERROR(MATCH(Stock!F$1,'Stock UST'!$1:$1,0)),E9,INDEX('Stock UST'!9:9,1,MATCH(Stock!F$1,'Stock UST'!$1:$1,0))))</f>
        <v/>
      </c>
      <c r="G9" s="9" t="str">
        <f ca="1">IF(IF(ISERROR(MATCH(Stock!G$1,'Stock UST'!$1:$1,0)),F9,INDEX('Stock UST'!9:9,1,MATCH(Stock!G$1,'Stock UST'!$1:$1,0)))=0,"",IF(ISERROR(MATCH(Stock!G$1,'Stock UST'!$1:$1,0)),F9,INDEX('Stock UST'!9:9,1,MATCH(Stock!G$1,'Stock UST'!$1:$1,0))))</f>
        <v/>
      </c>
      <c r="H9" s="9" t="str">
        <f ca="1">IF(IF(ISERROR(MATCH(Stock!H$1,'Stock UST'!$1:$1,0)),G9,INDEX('Stock UST'!9:9,1,MATCH(Stock!H$1,'Stock UST'!$1:$1,0)))=0,"",IF(ISERROR(MATCH(Stock!H$1,'Stock UST'!$1:$1,0)),G9,INDEX('Stock UST'!9:9,1,MATCH(Stock!H$1,'Stock UST'!$1:$1,0))))</f>
        <v/>
      </c>
      <c r="I9" s="9" t="str">
        <f ca="1">IF(IF(ISERROR(MATCH(Stock!I$1,'Stock UST'!$1:$1,0)),H9,INDEX('Stock UST'!9:9,1,MATCH(Stock!I$1,'Stock UST'!$1:$1,0)))=0,"",IF(ISERROR(MATCH(Stock!I$1,'Stock UST'!$1:$1,0)),H9,INDEX('Stock UST'!9:9,1,MATCH(Stock!I$1,'Stock UST'!$1:$1,0))))</f>
        <v/>
      </c>
      <c r="J9" s="9" t="str">
        <f ca="1">IF(IF(ISERROR(MATCH(Stock!J$1,'Stock UST'!$1:$1,0)),I9,INDEX('Stock UST'!9:9,1,MATCH(Stock!J$1,'Stock UST'!$1:$1,0)))=0,"",IF(ISERROR(MATCH(Stock!J$1,'Stock UST'!$1:$1,0)),I9,INDEX('Stock UST'!9:9,1,MATCH(Stock!J$1,'Stock UST'!$1:$1,0))))</f>
        <v/>
      </c>
      <c r="K9" s="9" t="str">
        <f ca="1">IF(IF(ISERROR(MATCH(Stock!K$1,'Stock UST'!$1:$1,0)),J9,INDEX('Stock UST'!9:9,1,MATCH(Stock!K$1,'Stock UST'!$1:$1,0)))=0,"",IF(ISERROR(MATCH(Stock!K$1,'Stock UST'!$1:$1,0)),J9,INDEX('Stock UST'!9:9,1,MATCH(Stock!K$1,'Stock UST'!$1:$1,0))))</f>
        <v/>
      </c>
      <c r="L9" s="9" t="str">
        <f ca="1">IF(IF(ISERROR(MATCH(Stock!L$1,'Stock UST'!$1:$1,0)),K9,INDEX('Stock UST'!9:9,1,MATCH(Stock!L$1,'Stock UST'!$1:$1,0)))=0,"",IF(ISERROR(MATCH(Stock!L$1,'Stock UST'!$1:$1,0)),K9,INDEX('Stock UST'!9:9,1,MATCH(Stock!L$1,'Stock UST'!$1:$1,0))))</f>
        <v/>
      </c>
      <c r="M9" s="9" t="str">
        <f ca="1">IF(IF(ISERROR(MATCH(Stock!M$1,'Stock UST'!$1:$1,0)),L9,INDEX('Stock UST'!9:9,1,MATCH(Stock!M$1,'Stock UST'!$1:$1,0)))=0,"",IF(ISERROR(MATCH(Stock!M$1,'Stock UST'!$1:$1,0)),L9,INDEX('Stock UST'!9:9,1,MATCH(Stock!M$1,'Stock UST'!$1:$1,0))))</f>
        <v/>
      </c>
      <c r="N9" s="9" t="str">
        <f ca="1">IF(IF(ISERROR(MATCH(Stock!N$1,'Stock UST'!$1:$1,0)),M9,INDEX('Stock UST'!9:9,1,MATCH(Stock!N$1,'Stock UST'!$1:$1,0)))=0,"",IF(ISERROR(MATCH(Stock!N$1,'Stock UST'!$1:$1,0)),M9,INDEX('Stock UST'!9:9,1,MATCH(Stock!N$1,'Stock UST'!$1:$1,0))))</f>
        <v/>
      </c>
      <c r="O9" s="9" t="str">
        <f ca="1">IF(IF(ISERROR(MATCH(Stock!O$1,'Stock UST'!$1:$1,0)),N9,INDEX('Stock UST'!9:9,1,MATCH(Stock!O$1,'Stock UST'!$1:$1,0)))=0,"",IF(ISERROR(MATCH(Stock!O$1,'Stock UST'!$1:$1,0)),N9,INDEX('Stock UST'!9:9,1,MATCH(Stock!O$1,'Stock UST'!$1:$1,0))))</f>
        <v/>
      </c>
      <c r="P9" s="9" t="str">
        <f ca="1">IF(IF(ISERROR(MATCH(Stock!P$1,'Stock UST'!$1:$1,0)),O9,INDEX('Stock UST'!9:9,1,MATCH(Stock!P$1,'Stock UST'!$1:$1,0)))=0,"",IF(ISERROR(MATCH(Stock!P$1,'Stock UST'!$1:$1,0)),O9,INDEX('Stock UST'!9:9,1,MATCH(Stock!P$1,'Stock UST'!$1:$1,0))))</f>
        <v/>
      </c>
      <c r="Q9" s="9" t="str">
        <f ca="1">IF(IF(ISERROR(MATCH(Stock!Q$1,'Stock UST'!$1:$1,0)),P9,INDEX('Stock UST'!9:9,1,MATCH(Stock!Q$1,'Stock UST'!$1:$1,0)))=0,"",IF(ISERROR(MATCH(Stock!Q$1,'Stock UST'!$1:$1,0)),P9,INDEX('Stock UST'!9:9,1,MATCH(Stock!Q$1,'Stock UST'!$1:$1,0))))</f>
        <v/>
      </c>
      <c r="R9" s="9" t="str">
        <f ca="1">IF(IF(ISERROR(MATCH(Stock!R$1,'Stock UST'!$1:$1,0)),Q9,INDEX('Stock UST'!9:9,1,MATCH(Stock!R$1,'Stock UST'!$1:$1,0)))=0,"",IF(ISERROR(MATCH(Stock!R$1,'Stock UST'!$1:$1,0)),Q9,INDEX('Stock UST'!9:9,1,MATCH(Stock!R$1,'Stock UST'!$1:$1,0))))</f>
        <v/>
      </c>
      <c r="S9" s="9" t="str">
        <f ca="1">IF(IF(ISERROR(MATCH(Stock!S$1,'Stock UST'!$1:$1,0)),R9,INDEX('Stock UST'!9:9,1,MATCH(Stock!S$1,'Stock UST'!$1:$1,0)))=0,"",IF(ISERROR(MATCH(Stock!S$1,'Stock UST'!$1:$1,0)),R9,INDEX('Stock UST'!9:9,1,MATCH(Stock!S$1,'Stock UST'!$1:$1,0))))</f>
        <v/>
      </c>
      <c r="T9" s="9" t="str">
        <f ca="1">IF(IF(ISERROR(MATCH(Stock!T$1,'Stock UST'!$1:$1,0)),S9,INDEX('Stock UST'!9:9,1,MATCH(Stock!T$1,'Stock UST'!$1:$1,0)))=0,"",IF(ISERROR(MATCH(Stock!T$1,'Stock UST'!$1:$1,0)),S9,INDEX('Stock UST'!9:9,1,MATCH(Stock!T$1,'Stock UST'!$1:$1,0))))</f>
        <v/>
      </c>
      <c r="U9" s="9" t="str">
        <f ca="1">IF(IF(ISERROR(MATCH(Stock!U$1,'Stock UST'!$1:$1,0)),T9,INDEX('Stock UST'!9:9,1,MATCH(Stock!U$1,'Stock UST'!$1:$1,0)))=0,"",IF(ISERROR(MATCH(Stock!U$1,'Stock UST'!$1:$1,0)),T9,INDEX('Stock UST'!9:9,1,MATCH(Stock!U$1,'Stock UST'!$1:$1,0))))</f>
        <v/>
      </c>
      <c r="V9" s="9" t="str">
        <f ca="1">IF(IF(ISERROR(MATCH(Stock!V$1,'Stock UST'!$1:$1,0)),U9,INDEX('Stock UST'!9:9,1,MATCH(Stock!V$1,'Stock UST'!$1:$1,0)))=0,"",IF(ISERROR(MATCH(Stock!V$1,'Stock UST'!$1:$1,0)),U9,INDEX('Stock UST'!9:9,1,MATCH(Stock!V$1,'Stock UST'!$1:$1,0))))</f>
        <v/>
      </c>
      <c r="W9" s="9" t="str">
        <f ca="1">IF(IF(ISERROR(MATCH(Stock!W$1,'Stock UST'!$1:$1,0)),V9,INDEX('Stock UST'!9:9,1,MATCH(Stock!W$1,'Stock UST'!$1:$1,0)))=0,"",IF(ISERROR(MATCH(Stock!W$1,'Stock UST'!$1:$1,0)),V9,INDEX('Stock UST'!9:9,1,MATCH(Stock!W$1,'Stock UST'!$1:$1,0))))</f>
        <v/>
      </c>
      <c r="X9" s="9" t="str">
        <f ca="1">IF(IF(ISERROR(MATCH(Stock!X$1,'Stock UST'!$1:$1,0)),W9,INDEX('Stock UST'!9:9,1,MATCH(Stock!X$1,'Stock UST'!$1:$1,0)))=0,"",IF(ISERROR(MATCH(Stock!X$1,'Stock UST'!$1:$1,0)),W9,INDEX('Stock UST'!9:9,1,MATCH(Stock!X$1,'Stock UST'!$1:$1,0))))</f>
        <v/>
      </c>
      <c r="Y9" s="9" t="str">
        <f ca="1">IF(IF(ISERROR(MATCH(Stock!Y$1,'Stock UST'!$1:$1,0)),X9,INDEX('Stock UST'!9:9,1,MATCH(Stock!Y$1,'Stock UST'!$1:$1,0)))=0,"",IF(ISERROR(MATCH(Stock!Y$1,'Stock UST'!$1:$1,0)),X9,INDEX('Stock UST'!9:9,1,MATCH(Stock!Y$1,'Stock UST'!$1:$1,0))))</f>
        <v/>
      </c>
      <c r="Z9" s="9" t="str">
        <f ca="1">IF(IF(ISERROR(MATCH(Stock!Z$1,'Stock UST'!$1:$1,0)),Y9,INDEX('Stock UST'!9:9,1,MATCH(Stock!Z$1,'Stock UST'!$1:$1,0)))=0,"",IF(ISERROR(MATCH(Stock!Z$1,'Stock UST'!$1:$1,0)),Y9,INDEX('Stock UST'!9:9,1,MATCH(Stock!Z$1,'Stock UST'!$1:$1,0))))</f>
        <v/>
      </c>
      <c r="AA9" s="9" t="str">
        <f ca="1">IF(IF(ISERROR(MATCH(Stock!AA$1,'Stock UST'!$1:$1,0)),Z9,INDEX('Stock UST'!9:9,1,MATCH(Stock!AA$1,'Stock UST'!$1:$1,0)))=0,"",IF(ISERROR(MATCH(Stock!AA$1,'Stock UST'!$1:$1,0)),Z9,INDEX('Stock UST'!9:9,1,MATCH(Stock!AA$1,'Stock UST'!$1:$1,0))))</f>
        <v/>
      </c>
      <c r="AB9" s="9" t="str">
        <f ca="1">IF(IF(ISERROR(MATCH(Stock!AB$1,'Stock UST'!$1:$1,0)),AA9,INDEX('Stock UST'!9:9,1,MATCH(Stock!AB$1,'Stock UST'!$1:$1,0)))=0,"",IF(ISERROR(MATCH(Stock!AB$1,'Stock UST'!$1:$1,0)),AA9,INDEX('Stock UST'!9:9,1,MATCH(Stock!AB$1,'Stock UST'!$1:$1,0))))</f>
        <v/>
      </c>
      <c r="AC9" s="9" t="str">
        <f ca="1">IF(IF(ISERROR(MATCH(Stock!AC$1,'Stock UST'!$1:$1,0)),AB9,INDEX('Stock UST'!9:9,1,MATCH(Stock!AC$1,'Stock UST'!$1:$1,0)))=0,"",IF(ISERROR(MATCH(Stock!AC$1,'Stock UST'!$1:$1,0)),AB9,INDEX('Stock UST'!9:9,1,MATCH(Stock!AC$1,'Stock UST'!$1:$1,0))))</f>
        <v/>
      </c>
      <c r="AD9" s="9" t="str">
        <f ca="1">IF(IF(ISERROR(MATCH(Stock!AD$1,'Stock UST'!$1:$1,0)),AC9,INDEX('Stock UST'!9:9,1,MATCH(Stock!AD$1,'Stock UST'!$1:$1,0)))=0,"",IF(ISERROR(MATCH(Stock!AD$1,'Stock UST'!$1:$1,0)),AC9,INDEX('Stock UST'!9:9,1,MATCH(Stock!AD$1,'Stock UST'!$1:$1,0))))</f>
        <v/>
      </c>
      <c r="AE9" s="9" t="str">
        <f ca="1">IF(IF(ISERROR(MATCH(Stock!AE$1,'Stock UST'!$1:$1,0)),AD9,INDEX('Stock UST'!9:9,1,MATCH(Stock!AE$1,'Stock UST'!$1:$1,0)))=0,"",IF(ISERROR(MATCH(Stock!AE$1,'Stock UST'!$1:$1,0)),AD9,INDEX('Stock UST'!9:9,1,MATCH(Stock!AE$1,'Stock UST'!$1:$1,0))))</f>
        <v/>
      </c>
      <c r="AF9" s="9" t="str">
        <f ca="1">IF(IF(ISERROR(MATCH(Stock!AF$1,'Stock UST'!$1:$1,0)),AE9,INDEX('Stock UST'!9:9,1,MATCH(Stock!AF$1,'Stock UST'!$1:$1,0)))=0,"",IF(ISERROR(MATCH(Stock!AF$1,'Stock UST'!$1:$1,0)),AE9,INDEX('Stock UST'!9:9,1,MATCH(Stock!AF$1,'Stock UST'!$1:$1,0))))</f>
        <v/>
      </c>
      <c r="AG9" s="9" t="str">
        <f ca="1">IF(IF(ISERROR(MATCH(Stock!AG$1,'Stock UST'!$1:$1,0)),AF9,INDEX('Stock UST'!9:9,1,MATCH(Stock!AG$1,'Stock UST'!$1:$1,0)))=0,"",IF(ISERROR(MATCH(Stock!AG$1,'Stock UST'!$1:$1,0)),AF9,INDEX('Stock UST'!9:9,1,MATCH(Stock!AG$1,'Stock UST'!$1:$1,0))))</f>
        <v/>
      </c>
      <c r="AH9" s="9" t="str">
        <f ca="1">IF(IF(ISERROR(MATCH(Stock!AH$1,'Stock UST'!$1:$1,0)),AG9,INDEX('Stock UST'!9:9,1,MATCH(Stock!AH$1,'Stock UST'!$1:$1,0)))=0,"",IF(ISERROR(MATCH(Stock!AH$1,'Stock UST'!$1:$1,0)),AG9,INDEX('Stock UST'!9:9,1,MATCH(Stock!AH$1,'Stock UST'!$1:$1,0))))</f>
        <v/>
      </c>
      <c r="AI9" s="9" t="str">
        <f ca="1">IF(IF(ISERROR(MATCH(Stock!AI$1,'Stock UST'!$1:$1,0)),AH9,INDEX('Stock UST'!9:9,1,MATCH(Stock!AI$1,'Stock UST'!$1:$1,0)))=0,"",IF(ISERROR(MATCH(Stock!AI$1,'Stock UST'!$1:$1,0)),AH9,INDEX('Stock UST'!9:9,1,MATCH(Stock!AI$1,'Stock UST'!$1:$1,0))))</f>
        <v/>
      </c>
      <c r="AJ9" s="9" t="str">
        <f ca="1">IF(IF(ISERROR(MATCH(Stock!AJ$1,'Stock UST'!$1:$1,0)),AI9,INDEX('Stock UST'!9:9,1,MATCH(Stock!AJ$1,'Stock UST'!$1:$1,0)))=0,"",IF(ISERROR(MATCH(Stock!AJ$1,'Stock UST'!$1:$1,0)),AI9,INDEX('Stock UST'!9:9,1,MATCH(Stock!AJ$1,'Stock UST'!$1:$1,0))))</f>
        <v/>
      </c>
      <c r="AK9" s="9" t="str">
        <f ca="1">IF(IF(ISERROR(MATCH(Stock!AK$1,'Stock UST'!$1:$1,0)),AJ9,INDEX('Stock UST'!9:9,1,MATCH(Stock!AK$1,'Stock UST'!$1:$1,0)))=0,"",IF(ISERROR(MATCH(Stock!AK$1,'Stock UST'!$1:$1,0)),AJ9,INDEX('Stock UST'!9:9,1,MATCH(Stock!AK$1,'Stock UST'!$1:$1,0))))</f>
        <v/>
      </c>
      <c r="AL9" s="9" t="str">
        <f ca="1">IF(IF(ISERROR(MATCH(Stock!AL$1,'Stock UST'!$1:$1,0)),AK9,INDEX('Stock UST'!9:9,1,MATCH(Stock!AL$1,'Stock UST'!$1:$1,0)))=0,"",IF(ISERROR(MATCH(Stock!AL$1,'Stock UST'!$1:$1,0)),AK9,INDEX('Stock UST'!9:9,1,MATCH(Stock!AL$1,'Stock UST'!$1:$1,0))))</f>
        <v/>
      </c>
      <c r="AM9" s="9" t="str">
        <f ca="1">IF(IF(ISERROR(MATCH(Stock!AM$1,'Stock UST'!$1:$1,0)),AL9,INDEX('Stock UST'!9:9,1,MATCH(Stock!AM$1,'Stock UST'!$1:$1,0)))=0,"",IF(ISERROR(MATCH(Stock!AM$1,'Stock UST'!$1:$1,0)),AL9,INDEX('Stock UST'!9:9,1,MATCH(Stock!AM$1,'Stock UST'!$1:$1,0))))</f>
        <v/>
      </c>
      <c r="AN9" s="9" t="str">
        <f ca="1">IF(IF(ISERROR(MATCH(Stock!AN$1,'Stock UST'!$1:$1,0)),AM9,INDEX('Stock UST'!9:9,1,MATCH(Stock!AN$1,'Stock UST'!$1:$1,0)))=0,"",IF(ISERROR(MATCH(Stock!AN$1,'Stock UST'!$1:$1,0)),AM9,INDEX('Stock UST'!9:9,1,MATCH(Stock!AN$1,'Stock UST'!$1:$1,0))))</f>
        <v/>
      </c>
      <c r="AO9" s="9" t="str">
        <f ca="1">IF(IF(ISERROR(MATCH(Stock!AO$1,'Stock UST'!$1:$1,0)),AN9,INDEX('Stock UST'!9:9,1,MATCH(Stock!AO$1,'Stock UST'!$1:$1,0)))=0,"",IF(ISERROR(MATCH(Stock!AO$1,'Stock UST'!$1:$1,0)),AN9,INDEX('Stock UST'!9:9,1,MATCH(Stock!AO$1,'Stock UST'!$1:$1,0))))</f>
        <v/>
      </c>
      <c r="AP9" s="9" t="str">
        <f ca="1">IF(IF(ISERROR(MATCH(Stock!AP$1,'Stock UST'!$1:$1,0)),AO9,INDEX('Stock UST'!9:9,1,MATCH(Stock!AP$1,'Stock UST'!$1:$1,0)))=0,"",IF(ISERROR(MATCH(Stock!AP$1,'Stock UST'!$1:$1,0)),AO9,INDEX('Stock UST'!9:9,1,MATCH(Stock!AP$1,'Stock UST'!$1:$1,0))))</f>
        <v/>
      </c>
      <c r="AQ9" s="9" t="str">
        <f ca="1">IF(IF(ISERROR(MATCH(Stock!AQ$1,'Stock UST'!$1:$1,0)),AP9,INDEX('Stock UST'!9:9,1,MATCH(Stock!AQ$1,'Stock UST'!$1:$1,0)))=0,"",IF(ISERROR(MATCH(Stock!AQ$1,'Stock UST'!$1:$1,0)),AP9,INDEX('Stock UST'!9:9,1,MATCH(Stock!AQ$1,'Stock UST'!$1:$1,0))))</f>
        <v/>
      </c>
      <c r="AR9" s="9" t="str">
        <f ca="1">IF(IF(ISERROR(MATCH(Stock!AR$1,'Stock UST'!$1:$1,0)),AQ9,INDEX('Stock UST'!9:9,1,MATCH(Stock!AR$1,'Stock UST'!$1:$1,0)))=0,"",IF(ISERROR(MATCH(Stock!AR$1,'Stock UST'!$1:$1,0)),AQ9,INDEX('Stock UST'!9:9,1,MATCH(Stock!AR$1,'Stock UST'!$1:$1,0))))</f>
        <v/>
      </c>
      <c r="AS9" s="9" t="str">
        <f ca="1">IF(IF(ISERROR(MATCH(Stock!AS$1,'Stock UST'!$1:$1,0)),AR9,INDEX('Stock UST'!9:9,1,MATCH(Stock!AS$1,'Stock UST'!$1:$1,0)))=0,"",IF(ISERROR(MATCH(Stock!AS$1,'Stock UST'!$1:$1,0)),AR9,INDEX('Stock UST'!9:9,1,MATCH(Stock!AS$1,'Stock UST'!$1:$1,0))))</f>
        <v/>
      </c>
      <c r="AT9" s="9" t="str">
        <f ca="1">IF(IF(ISERROR(MATCH(Stock!AT$1,'Stock UST'!$1:$1,0)),AS9,INDEX('Stock UST'!9:9,1,MATCH(Stock!AT$1,'Stock UST'!$1:$1,0)))=0,"",IF(ISERROR(MATCH(Stock!AT$1,'Stock UST'!$1:$1,0)),AS9,INDEX('Stock UST'!9:9,1,MATCH(Stock!AT$1,'Stock UST'!$1:$1,0))))</f>
        <v/>
      </c>
      <c r="AU9" s="9" t="str">
        <f ca="1">IF(IF(ISERROR(MATCH(Stock!AU$1,'Stock UST'!$1:$1,0)),AT9,INDEX('Stock UST'!9:9,1,MATCH(Stock!AU$1,'Stock UST'!$1:$1,0)))=0,"",IF(ISERROR(MATCH(Stock!AU$1,'Stock UST'!$1:$1,0)),AT9,INDEX('Stock UST'!9:9,1,MATCH(Stock!AU$1,'Stock UST'!$1:$1,0))))</f>
        <v/>
      </c>
      <c r="AV9" s="9" t="str">
        <f ca="1">IF(IF(ISERROR(MATCH(Stock!AV$1,'Stock UST'!$1:$1,0)),AU9,INDEX('Stock UST'!9:9,1,MATCH(Stock!AV$1,'Stock UST'!$1:$1,0)))=0,"",IF(ISERROR(MATCH(Stock!AV$1,'Stock UST'!$1:$1,0)),AU9,INDEX('Stock UST'!9:9,1,MATCH(Stock!AV$1,'Stock UST'!$1:$1,0))))</f>
        <v/>
      </c>
      <c r="AW9" s="9" t="str">
        <f ca="1">IF(IF(ISERROR(MATCH(Stock!AW$1,'Stock UST'!$1:$1,0)),AV9,INDEX('Stock UST'!9:9,1,MATCH(Stock!AW$1,'Stock UST'!$1:$1,0)))=0,"",IF(ISERROR(MATCH(Stock!AW$1,'Stock UST'!$1:$1,0)),AV9,INDEX('Stock UST'!9:9,1,MATCH(Stock!AW$1,'Stock UST'!$1:$1,0))))</f>
        <v/>
      </c>
      <c r="AX9" s="9" t="str">
        <f ca="1">IF(IF(ISERROR(MATCH(Stock!AX$1,'Stock UST'!$1:$1,0)),AW9,INDEX('Stock UST'!9:9,1,MATCH(Stock!AX$1,'Stock UST'!$1:$1,0)))=0,"",IF(ISERROR(MATCH(Stock!AX$1,'Stock UST'!$1:$1,0)),AW9,INDEX('Stock UST'!9:9,1,MATCH(Stock!AX$1,'Stock UST'!$1:$1,0))))</f>
        <v/>
      </c>
    </row>
    <row r="10" spans="1:91" x14ac:dyDescent="0.3">
      <c r="A10" s="9">
        <f>IF('Stock UST'!E10="","",'Stock UST'!E10)</f>
        <v>0</v>
      </c>
      <c r="B10" s="9">
        <f>IF(IF(ISERROR(MATCH(Stock!B$1,'Stock UST'!$1:$1,0)),A10,INDEX('Stock UST'!10:10,1,MATCH(Stock!B$1,'Stock UST'!$1:$1,0)))=0,"",IF(ISERROR(MATCH(Stock!B$1,'Stock UST'!$1:$1,0)),A10,INDEX('Stock UST'!10:10,1,MATCH(Stock!B$1,'Stock UST'!$1:$1,0))))</f>
        <v>194000</v>
      </c>
      <c r="C10" s="9">
        <f ca="1">IF(IF(ISERROR(MATCH(Stock!C$1,'Stock UST'!$1:$1,0)),B10,INDEX('Stock UST'!10:10,1,MATCH(Stock!C$1,'Stock UST'!$1:$1,0)))=0,"",IF(ISERROR(MATCH(Stock!C$1,'Stock UST'!$1:$1,0)),B10,INDEX('Stock UST'!10:10,1,MATCH(Stock!C$1,'Stock UST'!$1:$1,0))))</f>
        <v>194000</v>
      </c>
      <c r="D10" s="9">
        <f ca="1">IF(IF(ISERROR(MATCH(Stock!D$1,'Stock UST'!$1:$1,0)),C10,INDEX('Stock UST'!10:10,1,MATCH(Stock!D$1,'Stock UST'!$1:$1,0)))=0,"",IF(ISERROR(MATCH(Stock!D$1,'Stock UST'!$1:$1,0)),C10,INDEX('Stock UST'!10:10,1,MATCH(Stock!D$1,'Stock UST'!$1:$1,0))))</f>
        <v>194000</v>
      </c>
      <c r="E10" s="9">
        <f ca="1">IF(IF(ISERROR(MATCH(Stock!E$1,'Stock UST'!$1:$1,0)),D10,INDEX('Stock UST'!10:10,1,MATCH(Stock!E$1,'Stock UST'!$1:$1,0)))=0,"",IF(ISERROR(MATCH(Stock!E$1,'Stock UST'!$1:$1,0)),D10,INDEX('Stock UST'!10:10,1,MATCH(Stock!E$1,'Stock UST'!$1:$1,0))))</f>
        <v>194000</v>
      </c>
      <c r="F10" s="9">
        <f ca="1">IF(IF(ISERROR(MATCH(Stock!F$1,'Stock UST'!$1:$1,0)),E10,INDEX('Stock UST'!10:10,1,MATCH(Stock!F$1,'Stock UST'!$1:$1,0)))=0,"",IF(ISERROR(MATCH(Stock!F$1,'Stock UST'!$1:$1,0)),E10,INDEX('Stock UST'!10:10,1,MATCH(Stock!F$1,'Stock UST'!$1:$1,0))))</f>
        <v>194000</v>
      </c>
      <c r="G10" s="9">
        <f ca="1">IF(IF(ISERROR(MATCH(Stock!G$1,'Stock UST'!$1:$1,0)),F10,INDEX('Stock UST'!10:10,1,MATCH(Stock!G$1,'Stock UST'!$1:$1,0)))=0,"",IF(ISERROR(MATCH(Stock!G$1,'Stock UST'!$1:$1,0)),F10,INDEX('Stock UST'!10:10,1,MATCH(Stock!G$1,'Stock UST'!$1:$1,0))))</f>
        <v>194000</v>
      </c>
      <c r="H10" s="9">
        <f ca="1">IF(IF(ISERROR(MATCH(Stock!H$1,'Stock UST'!$1:$1,0)),G10,INDEX('Stock UST'!10:10,1,MATCH(Stock!H$1,'Stock UST'!$1:$1,0)))=0,"",IF(ISERROR(MATCH(Stock!H$1,'Stock UST'!$1:$1,0)),G10,INDEX('Stock UST'!10:10,1,MATCH(Stock!H$1,'Stock UST'!$1:$1,0))))</f>
        <v>194000</v>
      </c>
      <c r="I10" s="9">
        <f ca="1">IF(IF(ISERROR(MATCH(Stock!I$1,'Stock UST'!$1:$1,0)),H10,INDEX('Stock UST'!10:10,1,MATCH(Stock!I$1,'Stock UST'!$1:$1,0)))=0,"",IF(ISERROR(MATCH(Stock!I$1,'Stock UST'!$1:$1,0)),H10,INDEX('Stock UST'!10:10,1,MATCH(Stock!I$1,'Stock UST'!$1:$1,0))))</f>
        <v>194000</v>
      </c>
      <c r="J10" s="9">
        <f ca="1">IF(IF(ISERROR(MATCH(Stock!J$1,'Stock UST'!$1:$1,0)),I10,INDEX('Stock UST'!10:10,1,MATCH(Stock!J$1,'Stock UST'!$1:$1,0)))=0,"",IF(ISERROR(MATCH(Stock!J$1,'Stock UST'!$1:$1,0)),I10,INDEX('Stock UST'!10:10,1,MATCH(Stock!J$1,'Stock UST'!$1:$1,0))))</f>
        <v>194000</v>
      </c>
      <c r="K10" s="9">
        <f ca="1">IF(IF(ISERROR(MATCH(Stock!K$1,'Stock UST'!$1:$1,0)),J10,INDEX('Stock UST'!10:10,1,MATCH(Stock!K$1,'Stock UST'!$1:$1,0)))=0,"",IF(ISERROR(MATCH(Stock!K$1,'Stock UST'!$1:$1,0)),J10,INDEX('Stock UST'!10:10,1,MATCH(Stock!K$1,'Stock UST'!$1:$1,0))))</f>
        <v>194000</v>
      </c>
      <c r="L10" s="9">
        <f ca="1">IF(IF(ISERROR(MATCH(Stock!L$1,'Stock UST'!$1:$1,0)),K10,INDEX('Stock UST'!10:10,1,MATCH(Stock!L$1,'Stock UST'!$1:$1,0)))=0,"",IF(ISERROR(MATCH(Stock!L$1,'Stock UST'!$1:$1,0)),K10,INDEX('Stock UST'!10:10,1,MATCH(Stock!L$1,'Stock UST'!$1:$1,0))))</f>
        <v>194000</v>
      </c>
      <c r="M10" s="9">
        <f ca="1">IF(IF(ISERROR(MATCH(Stock!M$1,'Stock UST'!$1:$1,0)),L10,INDEX('Stock UST'!10:10,1,MATCH(Stock!M$1,'Stock UST'!$1:$1,0)))=0,"",IF(ISERROR(MATCH(Stock!M$1,'Stock UST'!$1:$1,0)),L10,INDEX('Stock UST'!10:10,1,MATCH(Stock!M$1,'Stock UST'!$1:$1,0))))</f>
        <v>194000</v>
      </c>
      <c r="N10" s="9">
        <f ca="1">IF(IF(ISERROR(MATCH(Stock!N$1,'Stock UST'!$1:$1,0)),M10,INDEX('Stock UST'!10:10,1,MATCH(Stock!N$1,'Stock UST'!$1:$1,0)))=0,"",IF(ISERROR(MATCH(Stock!N$1,'Stock UST'!$1:$1,0)),M10,INDEX('Stock UST'!10:10,1,MATCH(Stock!N$1,'Stock UST'!$1:$1,0))))</f>
        <v>194000</v>
      </c>
      <c r="O10" s="9">
        <f ca="1">IF(IF(ISERROR(MATCH(Stock!O$1,'Stock UST'!$1:$1,0)),N10,INDEX('Stock UST'!10:10,1,MATCH(Stock!O$1,'Stock UST'!$1:$1,0)))=0,"",IF(ISERROR(MATCH(Stock!O$1,'Stock UST'!$1:$1,0)),N10,INDEX('Stock UST'!10:10,1,MATCH(Stock!O$1,'Stock UST'!$1:$1,0))))</f>
        <v>194000</v>
      </c>
      <c r="P10" s="9">
        <f ca="1">IF(IF(ISERROR(MATCH(Stock!P$1,'Stock UST'!$1:$1,0)),O10,INDEX('Stock UST'!10:10,1,MATCH(Stock!P$1,'Stock UST'!$1:$1,0)))=0,"",IF(ISERROR(MATCH(Stock!P$1,'Stock UST'!$1:$1,0)),O10,INDEX('Stock UST'!10:10,1,MATCH(Stock!P$1,'Stock UST'!$1:$1,0))))</f>
        <v>194000</v>
      </c>
      <c r="Q10" s="9">
        <f ca="1">IF(IF(ISERROR(MATCH(Stock!Q$1,'Stock UST'!$1:$1,0)),P10,INDEX('Stock UST'!10:10,1,MATCH(Stock!Q$1,'Stock UST'!$1:$1,0)))=0,"",IF(ISERROR(MATCH(Stock!Q$1,'Stock UST'!$1:$1,0)),P10,INDEX('Stock UST'!10:10,1,MATCH(Stock!Q$1,'Stock UST'!$1:$1,0))))</f>
        <v>194000</v>
      </c>
      <c r="R10" s="9">
        <f ca="1">IF(IF(ISERROR(MATCH(Stock!R$1,'Stock UST'!$1:$1,0)),Q10,INDEX('Stock UST'!10:10,1,MATCH(Stock!R$1,'Stock UST'!$1:$1,0)))=0,"",IF(ISERROR(MATCH(Stock!R$1,'Stock UST'!$1:$1,0)),Q10,INDEX('Stock UST'!10:10,1,MATCH(Stock!R$1,'Stock UST'!$1:$1,0))))</f>
        <v>194000</v>
      </c>
      <c r="S10" s="9">
        <f ca="1">IF(IF(ISERROR(MATCH(Stock!S$1,'Stock UST'!$1:$1,0)),R10,INDEX('Stock UST'!10:10,1,MATCH(Stock!S$1,'Stock UST'!$1:$1,0)))=0,"",IF(ISERROR(MATCH(Stock!S$1,'Stock UST'!$1:$1,0)),R10,INDEX('Stock UST'!10:10,1,MATCH(Stock!S$1,'Stock UST'!$1:$1,0))))</f>
        <v>194000</v>
      </c>
      <c r="T10" s="9">
        <f ca="1">IF(IF(ISERROR(MATCH(Stock!T$1,'Stock UST'!$1:$1,0)),S10,INDEX('Stock UST'!10:10,1,MATCH(Stock!T$1,'Stock UST'!$1:$1,0)))=0,"",IF(ISERROR(MATCH(Stock!T$1,'Stock UST'!$1:$1,0)),S10,INDEX('Stock UST'!10:10,1,MATCH(Stock!T$1,'Stock UST'!$1:$1,0))))</f>
        <v>194000</v>
      </c>
      <c r="U10" s="9">
        <f ca="1">IF(IF(ISERROR(MATCH(Stock!U$1,'Stock UST'!$1:$1,0)),T10,INDEX('Stock UST'!10:10,1,MATCH(Stock!U$1,'Stock UST'!$1:$1,0)))=0,"",IF(ISERROR(MATCH(Stock!U$1,'Stock UST'!$1:$1,0)),T10,INDEX('Stock UST'!10:10,1,MATCH(Stock!U$1,'Stock UST'!$1:$1,0))))</f>
        <v>194000</v>
      </c>
      <c r="V10" s="9">
        <f ca="1">IF(IF(ISERROR(MATCH(Stock!V$1,'Stock UST'!$1:$1,0)),U10,INDEX('Stock UST'!10:10,1,MATCH(Stock!V$1,'Stock UST'!$1:$1,0)))=0,"",IF(ISERROR(MATCH(Stock!V$1,'Stock UST'!$1:$1,0)),U10,INDEX('Stock UST'!10:10,1,MATCH(Stock!V$1,'Stock UST'!$1:$1,0))))</f>
        <v>194000</v>
      </c>
      <c r="W10" s="9">
        <f ca="1">IF(IF(ISERROR(MATCH(Stock!W$1,'Stock UST'!$1:$1,0)),V10,INDEX('Stock UST'!10:10,1,MATCH(Stock!W$1,'Stock UST'!$1:$1,0)))=0,"",IF(ISERROR(MATCH(Stock!W$1,'Stock UST'!$1:$1,0)),V10,INDEX('Stock UST'!10:10,1,MATCH(Stock!W$1,'Stock UST'!$1:$1,0))))</f>
        <v>194000</v>
      </c>
      <c r="X10" s="9">
        <f ca="1">IF(IF(ISERROR(MATCH(Stock!X$1,'Stock UST'!$1:$1,0)),W10,INDEX('Stock UST'!10:10,1,MATCH(Stock!X$1,'Stock UST'!$1:$1,0)))=0,"",IF(ISERROR(MATCH(Stock!X$1,'Stock UST'!$1:$1,0)),W10,INDEX('Stock UST'!10:10,1,MATCH(Stock!X$1,'Stock UST'!$1:$1,0))))</f>
        <v>194000</v>
      </c>
      <c r="Y10" s="9">
        <f ca="1">IF(IF(ISERROR(MATCH(Stock!Y$1,'Stock UST'!$1:$1,0)),X10,INDEX('Stock UST'!10:10,1,MATCH(Stock!Y$1,'Stock UST'!$1:$1,0)))=0,"",IF(ISERROR(MATCH(Stock!Y$1,'Stock UST'!$1:$1,0)),X10,INDEX('Stock UST'!10:10,1,MATCH(Stock!Y$1,'Stock UST'!$1:$1,0))))</f>
        <v>194000</v>
      </c>
      <c r="Z10" s="9">
        <f ca="1">IF(IF(ISERROR(MATCH(Stock!Z$1,'Stock UST'!$1:$1,0)),Y10,INDEX('Stock UST'!10:10,1,MATCH(Stock!Z$1,'Stock UST'!$1:$1,0)))=0,"",IF(ISERROR(MATCH(Stock!Z$1,'Stock UST'!$1:$1,0)),Y10,INDEX('Stock UST'!10:10,1,MATCH(Stock!Z$1,'Stock UST'!$1:$1,0))))</f>
        <v>194000</v>
      </c>
      <c r="AA10" s="9">
        <f ca="1">IF(IF(ISERROR(MATCH(Stock!AA$1,'Stock UST'!$1:$1,0)),Z10,INDEX('Stock UST'!10:10,1,MATCH(Stock!AA$1,'Stock UST'!$1:$1,0)))=0,"",IF(ISERROR(MATCH(Stock!AA$1,'Stock UST'!$1:$1,0)),Z10,INDEX('Stock UST'!10:10,1,MATCH(Stock!AA$1,'Stock UST'!$1:$1,0))))</f>
        <v>194000</v>
      </c>
      <c r="AB10" s="9">
        <f ca="1">IF(IF(ISERROR(MATCH(Stock!AB$1,'Stock UST'!$1:$1,0)),AA10,INDEX('Stock UST'!10:10,1,MATCH(Stock!AB$1,'Stock UST'!$1:$1,0)))=0,"",IF(ISERROR(MATCH(Stock!AB$1,'Stock UST'!$1:$1,0)),AA10,INDEX('Stock UST'!10:10,1,MATCH(Stock!AB$1,'Stock UST'!$1:$1,0))))</f>
        <v>194000</v>
      </c>
      <c r="AC10" s="9">
        <f ca="1">IF(IF(ISERROR(MATCH(Stock!AC$1,'Stock UST'!$1:$1,0)),AB10,INDEX('Stock UST'!10:10,1,MATCH(Stock!AC$1,'Stock UST'!$1:$1,0)))=0,"",IF(ISERROR(MATCH(Stock!AC$1,'Stock UST'!$1:$1,0)),AB10,INDEX('Stock UST'!10:10,1,MATCH(Stock!AC$1,'Stock UST'!$1:$1,0))))</f>
        <v>194000</v>
      </c>
      <c r="AD10" s="9">
        <f ca="1">IF(IF(ISERROR(MATCH(Stock!AD$1,'Stock UST'!$1:$1,0)),AC10,INDEX('Stock UST'!10:10,1,MATCH(Stock!AD$1,'Stock UST'!$1:$1,0)))=0,"",IF(ISERROR(MATCH(Stock!AD$1,'Stock UST'!$1:$1,0)),AC10,INDEX('Stock UST'!10:10,1,MATCH(Stock!AD$1,'Stock UST'!$1:$1,0))))</f>
        <v>194000</v>
      </c>
      <c r="AE10" s="9">
        <f ca="1">IF(IF(ISERROR(MATCH(Stock!AE$1,'Stock UST'!$1:$1,0)),AD10,INDEX('Stock UST'!10:10,1,MATCH(Stock!AE$1,'Stock UST'!$1:$1,0)))=0,"",IF(ISERROR(MATCH(Stock!AE$1,'Stock UST'!$1:$1,0)),AD10,INDEX('Stock UST'!10:10,1,MATCH(Stock!AE$1,'Stock UST'!$1:$1,0))))</f>
        <v>194000</v>
      </c>
      <c r="AF10" s="9">
        <f ca="1">IF(IF(ISERROR(MATCH(Stock!AF$1,'Stock UST'!$1:$1,0)),AE10,INDEX('Stock UST'!10:10,1,MATCH(Stock!AF$1,'Stock UST'!$1:$1,0)))=0,"",IF(ISERROR(MATCH(Stock!AF$1,'Stock UST'!$1:$1,0)),AE10,INDEX('Stock UST'!10:10,1,MATCH(Stock!AF$1,'Stock UST'!$1:$1,0))))</f>
        <v>194000</v>
      </c>
      <c r="AG10" s="9">
        <f ca="1">IF(IF(ISERROR(MATCH(Stock!AG$1,'Stock UST'!$1:$1,0)),AF10,INDEX('Stock UST'!10:10,1,MATCH(Stock!AG$1,'Stock UST'!$1:$1,0)))=0,"",IF(ISERROR(MATCH(Stock!AG$1,'Stock UST'!$1:$1,0)),AF10,INDEX('Stock UST'!10:10,1,MATCH(Stock!AG$1,'Stock UST'!$1:$1,0))))</f>
        <v>194000</v>
      </c>
      <c r="AH10" s="9">
        <f ca="1">IF(IF(ISERROR(MATCH(Stock!AH$1,'Stock UST'!$1:$1,0)),AG10,INDEX('Stock UST'!10:10,1,MATCH(Stock!AH$1,'Stock UST'!$1:$1,0)))=0,"",IF(ISERROR(MATCH(Stock!AH$1,'Stock UST'!$1:$1,0)),AG10,INDEX('Stock UST'!10:10,1,MATCH(Stock!AH$1,'Stock UST'!$1:$1,0))))</f>
        <v>194000</v>
      </c>
      <c r="AI10" s="9">
        <f ca="1">IF(IF(ISERROR(MATCH(Stock!AI$1,'Stock UST'!$1:$1,0)),AH10,INDEX('Stock UST'!10:10,1,MATCH(Stock!AI$1,'Stock UST'!$1:$1,0)))=0,"",IF(ISERROR(MATCH(Stock!AI$1,'Stock UST'!$1:$1,0)),AH10,INDEX('Stock UST'!10:10,1,MATCH(Stock!AI$1,'Stock UST'!$1:$1,0))))</f>
        <v>194000</v>
      </c>
      <c r="AJ10" s="9">
        <f ca="1">IF(IF(ISERROR(MATCH(Stock!AJ$1,'Stock UST'!$1:$1,0)),AI10,INDEX('Stock UST'!10:10,1,MATCH(Stock!AJ$1,'Stock UST'!$1:$1,0)))=0,"",IF(ISERROR(MATCH(Stock!AJ$1,'Stock UST'!$1:$1,0)),AI10,INDEX('Stock UST'!10:10,1,MATCH(Stock!AJ$1,'Stock UST'!$1:$1,0))))</f>
        <v>194000</v>
      </c>
      <c r="AK10" s="9">
        <f ca="1">IF(IF(ISERROR(MATCH(Stock!AK$1,'Stock UST'!$1:$1,0)),AJ10,INDEX('Stock UST'!10:10,1,MATCH(Stock!AK$1,'Stock UST'!$1:$1,0)))=0,"",IF(ISERROR(MATCH(Stock!AK$1,'Stock UST'!$1:$1,0)),AJ10,INDEX('Stock UST'!10:10,1,MATCH(Stock!AK$1,'Stock UST'!$1:$1,0))))</f>
        <v>194000</v>
      </c>
      <c r="AL10" s="9">
        <f ca="1">IF(IF(ISERROR(MATCH(Stock!AL$1,'Stock UST'!$1:$1,0)),AK10,INDEX('Stock UST'!10:10,1,MATCH(Stock!AL$1,'Stock UST'!$1:$1,0)))=0,"",IF(ISERROR(MATCH(Stock!AL$1,'Stock UST'!$1:$1,0)),AK10,INDEX('Stock UST'!10:10,1,MATCH(Stock!AL$1,'Stock UST'!$1:$1,0))))</f>
        <v>194000</v>
      </c>
      <c r="AM10" s="9">
        <f ca="1">IF(IF(ISERROR(MATCH(Stock!AM$1,'Stock UST'!$1:$1,0)),AL10,INDEX('Stock UST'!10:10,1,MATCH(Stock!AM$1,'Stock UST'!$1:$1,0)))=0,"",IF(ISERROR(MATCH(Stock!AM$1,'Stock UST'!$1:$1,0)),AL10,INDEX('Stock UST'!10:10,1,MATCH(Stock!AM$1,'Stock UST'!$1:$1,0))))</f>
        <v>194000</v>
      </c>
      <c r="AN10" s="9">
        <f ca="1">IF(IF(ISERROR(MATCH(Stock!AN$1,'Stock UST'!$1:$1,0)),AM10,INDEX('Stock UST'!10:10,1,MATCH(Stock!AN$1,'Stock UST'!$1:$1,0)))=0,"",IF(ISERROR(MATCH(Stock!AN$1,'Stock UST'!$1:$1,0)),AM10,INDEX('Stock UST'!10:10,1,MATCH(Stock!AN$1,'Stock UST'!$1:$1,0))))</f>
        <v>194000</v>
      </c>
      <c r="AO10" s="9">
        <f ca="1">IF(IF(ISERROR(MATCH(Stock!AO$1,'Stock UST'!$1:$1,0)),AN10,INDEX('Stock UST'!10:10,1,MATCH(Stock!AO$1,'Stock UST'!$1:$1,0)))=0,"",IF(ISERROR(MATCH(Stock!AO$1,'Stock UST'!$1:$1,0)),AN10,INDEX('Stock UST'!10:10,1,MATCH(Stock!AO$1,'Stock UST'!$1:$1,0))))</f>
        <v>194000</v>
      </c>
      <c r="AP10" s="9">
        <f ca="1">IF(IF(ISERROR(MATCH(Stock!AP$1,'Stock UST'!$1:$1,0)),AO10,INDEX('Stock UST'!10:10,1,MATCH(Stock!AP$1,'Stock UST'!$1:$1,0)))=0,"",IF(ISERROR(MATCH(Stock!AP$1,'Stock UST'!$1:$1,0)),AO10,INDEX('Stock UST'!10:10,1,MATCH(Stock!AP$1,'Stock UST'!$1:$1,0))))</f>
        <v>194000</v>
      </c>
      <c r="AQ10" s="9">
        <f ca="1">IF(IF(ISERROR(MATCH(Stock!AQ$1,'Stock UST'!$1:$1,0)),AP10,INDEX('Stock UST'!10:10,1,MATCH(Stock!AQ$1,'Stock UST'!$1:$1,0)))=0,"",IF(ISERROR(MATCH(Stock!AQ$1,'Stock UST'!$1:$1,0)),AP10,INDEX('Stock UST'!10:10,1,MATCH(Stock!AQ$1,'Stock UST'!$1:$1,0))))</f>
        <v>194000</v>
      </c>
      <c r="AR10" s="9">
        <f ca="1">IF(IF(ISERROR(MATCH(Stock!AR$1,'Stock UST'!$1:$1,0)),AQ10,INDEX('Stock UST'!10:10,1,MATCH(Stock!AR$1,'Stock UST'!$1:$1,0)))=0,"",IF(ISERROR(MATCH(Stock!AR$1,'Stock UST'!$1:$1,0)),AQ10,INDEX('Stock UST'!10:10,1,MATCH(Stock!AR$1,'Stock UST'!$1:$1,0))))</f>
        <v>194000</v>
      </c>
      <c r="AS10" s="9">
        <f ca="1">IF(IF(ISERROR(MATCH(Stock!AS$1,'Stock UST'!$1:$1,0)),AR10,INDEX('Stock UST'!10:10,1,MATCH(Stock!AS$1,'Stock UST'!$1:$1,0)))=0,"",IF(ISERROR(MATCH(Stock!AS$1,'Stock UST'!$1:$1,0)),AR10,INDEX('Stock UST'!10:10,1,MATCH(Stock!AS$1,'Stock UST'!$1:$1,0))))</f>
        <v>194000</v>
      </c>
      <c r="AT10" s="9">
        <f ca="1">IF(IF(ISERROR(MATCH(Stock!AT$1,'Stock UST'!$1:$1,0)),AS10,INDEX('Stock UST'!10:10,1,MATCH(Stock!AT$1,'Stock UST'!$1:$1,0)))=0,"",IF(ISERROR(MATCH(Stock!AT$1,'Stock UST'!$1:$1,0)),AS10,INDEX('Stock UST'!10:10,1,MATCH(Stock!AT$1,'Stock UST'!$1:$1,0))))</f>
        <v>194000</v>
      </c>
      <c r="AU10" s="9">
        <f ca="1">IF(IF(ISERROR(MATCH(Stock!AU$1,'Stock UST'!$1:$1,0)),AT10,INDEX('Stock UST'!10:10,1,MATCH(Stock!AU$1,'Stock UST'!$1:$1,0)))=0,"",IF(ISERROR(MATCH(Stock!AU$1,'Stock UST'!$1:$1,0)),AT10,INDEX('Stock UST'!10:10,1,MATCH(Stock!AU$1,'Stock UST'!$1:$1,0))))</f>
        <v>194000</v>
      </c>
      <c r="AV10" s="9">
        <f ca="1">IF(IF(ISERROR(MATCH(Stock!AV$1,'Stock UST'!$1:$1,0)),AU10,INDEX('Stock UST'!10:10,1,MATCH(Stock!AV$1,'Stock UST'!$1:$1,0)))=0,"",IF(ISERROR(MATCH(Stock!AV$1,'Stock UST'!$1:$1,0)),AU10,INDEX('Stock UST'!10:10,1,MATCH(Stock!AV$1,'Stock UST'!$1:$1,0))))</f>
        <v>194000</v>
      </c>
      <c r="AW10" s="9">
        <f ca="1">IF(IF(ISERROR(MATCH(Stock!AW$1,'Stock UST'!$1:$1,0)),AV10,INDEX('Stock UST'!10:10,1,MATCH(Stock!AW$1,'Stock UST'!$1:$1,0)))=0,"",IF(ISERROR(MATCH(Stock!AW$1,'Stock UST'!$1:$1,0)),AV10,INDEX('Stock UST'!10:10,1,MATCH(Stock!AW$1,'Stock UST'!$1:$1,0))))</f>
        <v>194000</v>
      </c>
      <c r="AX10" s="9">
        <f ca="1">IF(IF(ISERROR(MATCH(Stock!AX$1,'Stock UST'!$1:$1,0)),AW10,INDEX('Stock UST'!10:10,1,MATCH(Stock!AX$1,'Stock UST'!$1:$1,0)))=0,"",IF(ISERROR(MATCH(Stock!AX$1,'Stock UST'!$1:$1,0)),AW10,INDEX('Stock UST'!10:10,1,MATCH(Stock!AX$1,'Stock UST'!$1:$1,0))))</f>
        <v>194000</v>
      </c>
    </row>
    <row r="11" spans="1:91" x14ac:dyDescent="0.3">
      <c r="A11" s="9">
        <f>IF('Stock UST'!E11="","",'Stock UST'!E11)</f>
        <v>0</v>
      </c>
      <c r="B11" s="9" t="str">
        <f>IF(IF(ISERROR(MATCH(Stock!B$1,'Stock UST'!$1:$1,0)),A11,INDEX('Stock UST'!11:11,1,MATCH(Stock!B$1,'Stock UST'!$1:$1,0)))=0,"",IF(ISERROR(MATCH(Stock!B$1,'Stock UST'!$1:$1,0)),A11,INDEX('Stock UST'!11:11,1,MATCH(Stock!B$1,'Stock UST'!$1:$1,0))))</f>
        <v/>
      </c>
      <c r="C11" s="9" t="str">
        <f ca="1">IF(IF(ISERROR(MATCH(Stock!C$1,'Stock UST'!$1:$1,0)),B11,INDEX('Stock UST'!11:11,1,MATCH(Stock!C$1,'Stock UST'!$1:$1,0)))=0,"",IF(ISERROR(MATCH(Stock!C$1,'Stock UST'!$1:$1,0)),B11,INDEX('Stock UST'!11:11,1,MATCH(Stock!C$1,'Stock UST'!$1:$1,0))))</f>
        <v/>
      </c>
      <c r="D11" s="9" t="str">
        <f ca="1">IF(IF(ISERROR(MATCH(Stock!D$1,'Stock UST'!$1:$1,0)),C11,INDEX('Stock UST'!11:11,1,MATCH(Stock!D$1,'Stock UST'!$1:$1,0)))=0,"",IF(ISERROR(MATCH(Stock!D$1,'Stock UST'!$1:$1,0)),C11,INDEX('Stock UST'!11:11,1,MATCH(Stock!D$1,'Stock UST'!$1:$1,0))))</f>
        <v/>
      </c>
      <c r="E11" s="9" t="str">
        <f ca="1">IF(IF(ISERROR(MATCH(Stock!E$1,'Stock UST'!$1:$1,0)),D11,INDEX('Stock UST'!11:11,1,MATCH(Stock!E$1,'Stock UST'!$1:$1,0)))=0,"",IF(ISERROR(MATCH(Stock!E$1,'Stock UST'!$1:$1,0)),D11,INDEX('Stock UST'!11:11,1,MATCH(Stock!E$1,'Stock UST'!$1:$1,0))))</f>
        <v/>
      </c>
      <c r="F11" s="9" t="str">
        <f ca="1">IF(IF(ISERROR(MATCH(Stock!F$1,'Stock UST'!$1:$1,0)),E11,INDEX('Stock UST'!11:11,1,MATCH(Stock!F$1,'Stock UST'!$1:$1,0)))=0,"",IF(ISERROR(MATCH(Stock!F$1,'Stock UST'!$1:$1,0)),E11,INDEX('Stock UST'!11:11,1,MATCH(Stock!F$1,'Stock UST'!$1:$1,0))))</f>
        <v/>
      </c>
      <c r="G11" s="9" t="str">
        <f ca="1">IF(IF(ISERROR(MATCH(Stock!G$1,'Stock UST'!$1:$1,0)),F11,INDEX('Stock UST'!11:11,1,MATCH(Stock!G$1,'Stock UST'!$1:$1,0)))=0,"",IF(ISERROR(MATCH(Stock!G$1,'Stock UST'!$1:$1,0)),F11,INDEX('Stock UST'!11:11,1,MATCH(Stock!G$1,'Stock UST'!$1:$1,0))))</f>
        <v/>
      </c>
      <c r="H11" s="9" t="str">
        <f ca="1">IF(IF(ISERROR(MATCH(Stock!H$1,'Stock UST'!$1:$1,0)),G11,INDEX('Stock UST'!11:11,1,MATCH(Stock!H$1,'Stock UST'!$1:$1,0)))=0,"",IF(ISERROR(MATCH(Stock!H$1,'Stock UST'!$1:$1,0)),G11,INDEX('Stock UST'!11:11,1,MATCH(Stock!H$1,'Stock UST'!$1:$1,0))))</f>
        <v/>
      </c>
      <c r="I11" s="9" t="str">
        <f ca="1">IF(IF(ISERROR(MATCH(Stock!I$1,'Stock UST'!$1:$1,0)),H11,INDEX('Stock UST'!11:11,1,MATCH(Stock!I$1,'Stock UST'!$1:$1,0)))=0,"",IF(ISERROR(MATCH(Stock!I$1,'Stock UST'!$1:$1,0)),H11,INDEX('Stock UST'!11:11,1,MATCH(Stock!I$1,'Stock UST'!$1:$1,0))))</f>
        <v/>
      </c>
      <c r="J11" s="9" t="str">
        <f ca="1">IF(IF(ISERROR(MATCH(Stock!J$1,'Stock UST'!$1:$1,0)),I11,INDEX('Stock UST'!11:11,1,MATCH(Stock!J$1,'Stock UST'!$1:$1,0)))=0,"",IF(ISERROR(MATCH(Stock!J$1,'Stock UST'!$1:$1,0)),I11,INDEX('Stock UST'!11:11,1,MATCH(Stock!J$1,'Stock UST'!$1:$1,0))))</f>
        <v/>
      </c>
      <c r="K11" s="9" t="str">
        <f ca="1">IF(IF(ISERROR(MATCH(Stock!K$1,'Stock UST'!$1:$1,0)),J11,INDEX('Stock UST'!11:11,1,MATCH(Stock!K$1,'Stock UST'!$1:$1,0)))=0,"",IF(ISERROR(MATCH(Stock!K$1,'Stock UST'!$1:$1,0)),J11,INDEX('Stock UST'!11:11,1,MATCH(Stock!K$1,'Stock UST'!$1:$1,0))))</f>
        <v/>
      </c>
      <c r="L11" s="9" t="str">
        <f ca="1">IF(IF(ISERROR(MATCH(Stock!L$1,'Stock UST'!$1:$1,0)),K11,INDEX('Stock UST'!11:11,1,MATCH(Stock!L$1,'Stock UST'!$1:$1,0)))=0,"",IF(ISERROR(MATCH(Stock!L$1,'Stock UST'!$1:$1,0)),K11,INDEX('Stock UST'!11:11,1,MATCH(Stock!L$1,'Stock UST'!$1:$1,0))))</f>
        <v/>
      </c>
      <c r="M11" s="9" t="str">
        <f ca="1">IF(IF(ISERROR(MATCH(Stock!M$1,'Stock UST'!$1:$1,0)),L11,INDEX('Stock UST'!11:11,1,MATCH(Stock!M$1,'Stock UST'!$1:$1,0)))=0,"",IF(ISERROR(MATCH(Stock!M$1,'Stock UST'!$1:$1,0)),L11,INDEX('Stock UST'!11:11,1,MATCH(Stock!M$1,'Stock UST'!$1:$1,0))))</f>
        <v/>
      </c>
      <c r="N11" s="9" t="str">
        <f ca="1">IF(IF(ISERROR(MATCH(Stock!N$1,'Stock UST'!$1:$1,0)),M11,INDEX('Stock UST'!11:11,1,MATCH(Stock!N$1,'Stock UST'!$1:$1,0)))=0,"",IF(ISERROR(MATCH(Stock!N$1,'Stock UST'!$1:$1,0)),M11,INDEX('Stock UST'!11:11,1,MATCH(Stock!N$1,'Stock UST'!$1:$1,0))))</f>
        <v/>
      </c>
      <c r="O11" s="9" t="str">
        <f ca="1">IF(IF(ISERROR(MATCH(Stock!O$1,'Stock UST'!$1:$1,0)),N11,INDEX('Stock UST'!11:11,1,MATCH(Stock!O$1,'Stock UST'!$1:$1,0)))=0,"",IF(ISERROR(MATCH(Stock!O$1,'Stock UST'!$1:$1,0)),N11,INDEX('Stock UST'!11:11,1,MATCH(Stock!O$1,'Stock UST'!$1:$1,0))))</f>
        <v/>
      </c>
      <c r="P11" s="9" t="str">
        <f ca="1">IF(IF(ISERROR(MATCH(Stock!P$1,'Stock UST'!$1:$1,0)),O11,INDEX('Stock UST'!11:11,1,MATCH(Stock!P$1,'Stock UST'!$1:$1,0)))=0,"",IF(ISERROR(MATCH(Stock!P$1,'Stock UST'!$1:$1,0)),O11,INDEX('Stock UST'!11:11,1,MATCH(Stock!P$1,'Stock UST'!$1:$1,0))))</f>
        <v/>
      </c>
      <c r="Q11" s="9" t="str">
        <f ca="1">IF(IF(ISERROR(MATCH(Stock!Q$1,'Stock UST'!$1:$1,0)),P11,INDEX('Stock UST'!11:11,1,MATCH(Stock!Q$1,'Stock UST'!$1:$1,0)))=0,"",IF(ISERROR(MATCH(Stock!Q$1,'Stock UST'!$1:$1,0)),P11,INDEX('Stock UST'!11:11,1,MATCH(Stock!Q$1,'Stock UST'!$1:$1,0))))</f>
        <v/>
      </c>
      <c r="R11" s="9" t="str">
        <f ca="1">IF(IF(ISERROR(MATCH(Stock!R$1,'Stock UST'!$1:$1,0)),Q11,INDEX('Stock UST'!11:11,1,MATCH(Stock!R$1,'Stock UST'!$1:$1,0)))=0,"",IF(ISERROR(MATCH(Stock!R$1,'Stock UST'!$1:$1,0)),Q11,INDEX('Stock UST'!11:11,1,MATCH(Stock!R$1,'Stock UST'!$1:$1,0))))</f>
        <v/>
      </c>
      <c r="S11" s="9" t="str">
        <f ca="1">IF(IF(ISERROR(MATCH(Stock!S$1,'Stock UST'!$1:$1,0)),R11,INDEX('Stock UST'!11:11,1,MATCH(Stock!S$1,'Stock UST'!$1:$1,0)))=0,"",IF(ISERROR(MATCH(Stock!S$1,'Stock UST'!$1:$1,0)),R11,INDEX('Stock UST'!11:11,1,MATCH(Stock!S$1,'Stock UST'!$1:$1,0))))</f>
        <v/>
      </c>
      <c r="T11" s="9" t="str">
        <f ca="1">IF(IF(ISERROR(MATCH(Stock!T$1,'Stock UST'!$1:$1,0)),S11,INDEX('Stock UST'!11:11,1,MATCH(Stock!T$1,'Stock UST'!$1:$1,0)))=0,"",IF(ISERROR(MATCH(Stock!T$1,'Stock UST'!$1:$1,0)),S11,INDEX('Stock UST'!11:11,1,MATCH(Stock!T$1,'Stock UST'!$1:$1,0))))</f>
        <v/>
      </c>
      <c r="U11" s="9" t="str">
        <f ca="1">IF(IF(ISERROR(MATCH(Stock!U$1,'Stock UST'!$1:$1,0)),T11,INDEX('Stock UST'!11:11,1,MATCH(Stock!U$1,'Stock UST'!$1:$1,0)))=0,"",IF(ISERROR(MATCH(Stock!U$1,'Stock UST'!$1:$1,0)),T11,INDEX('Stock UST'!11:11,1,MATCH(Stock!U$1,'Stock UST'!$1:$1,0))))</f>
        <v/>
      </c>
      <c r="V11" s="9" t="str">
        <f ca="1">IF(IF(ISERROR(MATCH(Stock!V$1,'Stock UST'!$1:$1,0)),U11,INDEX('Stock UST'!11:11,1,MATCH(Stock!V$1,'Stock UST'!$1:$1,0)))=0,"",IF(ISERROR(MATCH(Stock!V$1,'Stock UST'!$1:$1,0)),U11,INDEX('Stock UST'!11:11,1,MATCH(Stock!V$1,'Stock UST'!$1:$1,0))))</f>
        <v/>
      </c>
      <c r="W11" s="9" t="str">
        <f ca="1">IF(IF(ISERROR(MATCH(Stock!W$1,'Stock UST'!$1:$1,0)),V11,INDEX('Stock UST'!11:11,1,MATCH(Stock!W$1,'Stock UST'!$1:$1,0)))=0,"",IF(ISERROR(MATCH(Stock!W$1,'Stock UST'!$1:$1,0)),V11,INDEX('Stock UST'!11:11,1,MATCH(Stock!W$1,'Stock UST'!$1:$1,0))))</f>
        <v/>
      </c>
      <c r="X11" s="9" t="str">
        <f ca="1">IF(IF(ISERROR(MATCH(Stock!X$1,'Stock UST'!$1:$1,0)),W11,INDEX('Stock UST'!11:11,1,MATCH(Stock!X$1,'Stock UST'!$1:$1,0)))=0,"",IF(ISERROR(MATCH(Stock!X$1,'Stock UST'!$1:$1,0)),W11,INDEX('Stock UST'!11:11,1,MATCH(Stock!X$1,'Stock UST'!$1:$1,0))))</f>
        <v/>
      </c>
      <c r="Y11" s="9" t="str">
        <f ca="1">IF(IF(ISERROR(MATCH(Stock!Y$1,'Stock UST'!$1:$1,0)),X11,INDEX('Stock UST'!11:11,1,MATCH(Stock!Y$1,'Stock UST'!$1:$1,0)))=0,"",IF(ISERROR(MATCH(Stock!Y$1,'Stock UST'!$1:$1,0)),X11,INDEX('Stock UST'!11:11,1,MATCH(Stock!Y$1,'Stock UST'!$1:$1,0))))</f>
        <v/>
      </c>
      <c r="Z11" s="9" t="str">
        <f ca="1">IF(IF(ISERROR(MATCH(Stock!Z$1,'Stock UST'!$1:$1,0)),Y11,INDEX('Stock UST'!11:11,1,MATCH(Stock!Z$1,'Stock UST'!$1:$1,0)))=0,"",IF(ISERROR(MATCH(Stock!Z$1,'Stock UST'!$1:$1,0)),Y11,INDEX('Stock UST'!11:11,1,MATCH(Stock!Z$1,'Stock UST'!$1:$1,0))))</f>
        <v/>
      </c>
      <c r="AA11" s="9" t="str">
        <f ca="1">IF(IF(ISERROR(MATCH(Stock!AA$1,'Stock UST'!$1:$1,0)),Z11,INDEX('Stock UST'!11:11,1,MATCH(Stock!AA$1,'Stock UST'!$1:$1,0)))=0,"",IF(ISERROR(MATCH(Stock!AA$1,'Stock UST'!$1:$1,0)),Z11,INDEX('Stock UST'!11:11,1,MATCH(Stock!AA$1,'Stock UST'!$1:$1,0))))</f>
        <v/>
      </c>
      <c r="AB11" s="9" t="str">
        <f ca="1">IF(IF(ISERROR(MATCH(Stock!AB$1,'Stock UST'!$1:$1,0)),AA11,INDEX('Stock UST'!11:11,1,MATCH(Stock!AB$1,'Stock UST'!$1:$1,0)))=0,"",IF(ISERROR(MATCH(Stock!AB$1,'Stock UST'!$1:$1,0)),AA11,INDEX('Stock UST'!11:11,1,MATCH(Stock!AB$1,'Stock UST'!$1:$1,0))))</f>
        <v/>
      </c>
      <c r="AC11" s="9" t="str">
        <f ca="1">IF(IF(ISERROR(MATCH(Stock!AC$1,'Stock UST'!$1:$1,0)),AB11,INDEX('Stock UST'!11:11,1,MATCH(Stock!AC$1,'Stock UST'!$1:$1,0)))=0,"",IF(ISERROR(MATCH(Stock!AC$1,'Stock UST'!$1:$1,0)),AB11,INDEX('Stock UST'!11:11,1,MATCH(Stock!AC$1,'Stock UST'!$1:$1,0))))</f>
        <v/>
      </c>
      <c r="AD11" s="9" t="str">
        <f ca="1">IF(IF(ISERROR(MATCH(Stock!AD$1,'Stock UST'!$1:$1,0)),AC11,INDEX('Stock UST'!11:11,1,MATCH(Stock!AD$1,'Stock UST'!$1:$1,0)))=0,"",IF(ISERROR(MATCH(Stock!AD$1,'Stock UST'!$1:$1,0)),AC11,INDEX('Stock UST'!11:11,1,MATCH(Stock!AD$1,'Stock UST'!$1:$1,0))))</f>
        <v/>
      </c>
      <c r="AE11" s="9" t="str">
        <f ca="1">IF(IF(ISERROR(MATCH(Stock!AE$1,'Stock UST'!$1:$1,0)),AD11,INDEX('Stock UST'!11:11,1,MATCH(Stock!AE$1,'Stock UST'!$1:$1,0)))=0,"",IF(ISERROR(MATCH(Stock!AE$1,'Stock UST'!$1:$1,0)),AD11,INDEX('Stock UST'!11:11,1,MATCH(Stock!AE$1,'Stock UST'!$1:$1,0))))</f>
        <v/>
      </c>
      <c r="AF11" s="9" t="str">
        <f ca="1">IF(IF(ISERROR(MATCH(Stock!AF$1,'Stock UST'!$1:$1,0)),AE11,INDEX('Stock UST'!11:11,1,MATCH(Stock!AF$1,'Stock UST'!$1:$1,0)))=0,"",IF(ISERROR(MATCH(Stock!AF$1,'Stock UST'!$1:$1,0)),AE11,INDEX('Stock UST'!11:11,1,MATCH(Stock!AF$1,'Stock UST'!$1:$1,0))))</f>
        <v/>
      </c>
      <c r="AG11" s="9" t="str">
        <f ca="1">IF(IF(ISERROR(MATCH(Stock!AG$1,'Stock UST'!$1:$1,0)),AF11,INDEX('Stock UST'!11:11,1,MATCH(Stock!AG$1,'Stock UST'!$1:$1,0)))=0,"",IF(ISERROR(MATCH(Stock!AG$1,'Stock UST'!$1:$1,0)),AF11,INDEX('Stock UST'!11:11,1,MATCH(Stock!AG$1,'Stock UST'!$1:$1,0))))</f>
        <v/>
      </c>
      <c r="AH11" s="9" t="str">
        <f ca="1">IF(IF(ISERROR(MATCH(Stock!AH$1,'Stock UST'!$1:$1,0)),AG11,INDEX('Stock UST'!11:11,1,MATCH(Stock!AH$1,'Stock UST'!$1:$1,0)))=0,"",IF(ISERROR(MATCH(Stock!AH$1,'Stock UST'!$1:$1,0)),AG11,INDEX('Stock UST'!11:11,1,MATCH(Stock!AH$1,'Stock UST'!$1:$1,0))))</f>
        <v/>
      </c>
      <c r="AI11" s="9" t="str">
        <f ca="1">IF(IF(ISERROR(MATCH(Stock!AI$1,'Stock UST'!$1:$1,0)),AH11,INDEX('Stock UST'!11:11,1,MATCH(Stock!AI$1,'Stock UST'!$1:$1,0)))=0,"",IF(ISERROR(MATCH(Stock!AI$1,'Stock UST'!$1:$1,0)),AH11,INDEX('Stock UST'!11:11,1,MATCH(Stock!AI$1,'Stock UST'!$1:$1,0))))</f>
        <v/>
      </c>
      <c r="AJ11" s="9" t="str">
        <f ca="1">IF(IF(ISERROR(MATCH(Stock!AJ$1,'Stock UST'!$1:$1,0)),AI11,INDEX('Stock UST'!11:11,1,MATCH(Stock!AJ$1,'Stock UST'!$1:$1,0)))=0,"",IF(ISERROR(MATCH(Stock!AJ$1,'Stock UST'!$1:$1,0)),AI11,INDEX('Stock UST'!11:11,1,MATCH(Stock!AJ$1,'Stock UST'!$1:$1,0))))</f>
        <v/>
      </c>
      <c r="AK11" s="9" t="str">
        <f ca="1">IF(IF(ISERROR(MATCH(Stock!AK$1,'Stock UST'!$1:$1,0)),AJ11,INDEX('Stock UST'!11:11,1,MATCH(Stock!AK$1,'Stock UST'!$1:$1,0)))=0,"",IF(ISERROR(MATCH(Stock!AK$1,'Stock UST'!$1:$1,0)),AJ11,INDEX('Stock UST'!11:11,1,MATCH(Stock!AK$1,'Stock UST'!$1:$1,0))))</f>
        <v/>
      </c>
      <c r="AL11" s="9" t="str">
        <f ca="1">IF(IF(ISERROR(MATCH(Stock!AL$1,'Stock UST'!$1:$1,0)),AK11,INDEX('Stock UST'!11:11,1,MATCH(Stock!AL$1,'Stock UST'!$1:$1,0)))=0,"",IF(ISERROR(MATCH(Stock!AL$1,'Stock UST'!$1:$1,0)),AK11,INDEX('Stock UST'!11:11,1,MATCH(Stock!AL$1,'Stock UST'!$1:$1,0))))</f>
        <v/>
      </c>
      <c r="AM11" s="9" t="str">
        <f ca="1">IF(IF(ISERROR(MATCH(Stock!AM$1,'Stock UST'!$1:$1,0)),AL11,INDEX('Stock UST'!11:11,1,MATCH(Stock!AM$1,'Stock UST'!$1:$1,0)))=0,"",IF(ISERROR(MATCH(Stock!AM$1,'Stock UST'!$1:$1,0)),AL11,INDEX('Stock UST'!11:11,1,MATCH(Stock!AM$1,'Stock UST'!$1:$1,0))))</f>
        <v/>
      </c>
      <c r="AN11" s="9" t="str">
        <f ca="1">IF(IF(ISERROR(MATCH(Stock!AN$1,'Stock UST'!$1:$1,0)),AM11,INDEX('Stock UST'!11:11,1,MATCH(Stock!AN$1,'Stock UST'!$1:$1,0)))=0,"",IF(ISERROR(MATCH(Stock!AN$1,'Stock UST'!$1:$1,0)),AM11,INDEX('Stock UST'!11:11,1,MATCH(Stock!AN$1,'Stock UST'!$1:$1,0))))</f>
        <v/>
      </c>
      <c r="AO11" s="9" t="str">
        <f ca="1">IF(IF(ISERROR(MATCH(Stock!AO$1,'Stock UST'!$1:$1,0)),AN11,INDEX('Stock UST'!11:11,1,MATCH(Stock!AO$1,'Stock UST'!$1:$1,0)))=0,"",IF(ISERROR(MATCH(Stock!AO$1,'Stock UST'!$1:$1,0)),AN11,INDEX('Stock UST'!11:11,1,MATCH(Stock!AO$1,'Stock UST'!$1:$1,0))))</f>
        <v/>
      </c>
      <c r="AP11" s="9" t="str">
        <f ca="1">IF(IF(ISERROR(MATCH(Stock!AP$1,'Stock UST'!$1:$1,0)),AO11,INDEX('Stock UST'!11:11,1,MATCH(Stock!AP$1,'Stock UST'!$1:$1,0)))=0,"",IF(ISERROR(MATCH(Stock!AP$1,'Stock UST'!$1:$1,0)),AO11,INDEX('Stock UST'!11:11,1,MATCH(Stock!AP$1,'Stock UST'!$1:$1,0))))</f>
        <v/>
      </c>
      <c r="AQ11" s="9" t="str">
        <f ca="1">IF(IF(ISERROR(MATCH(Stock!AQ$1,'Stock UST'!$1:$1,0)),AP11,INDEX('Stock UST'!11:11,1,MATCH(Stock!AQ$1,'Stock UST'!$1:$1,0)))=0,"",IF(ISERROR(MATCH(Stock!AQ$1,'Stock UST'!$1:$1,0)),AP11,INDEX('Stock UST'!11:11,1,MATCH(Stock!AQ$1,'Stock UST'!$1:$1,0))))</f>
        <v/>
      </c>
      <c r="AR11" s="9" t="str">
        <f ca="1">IF(IF(ISERROR(MATCH(Stock!AR$1,'Stock UST'!$1:$1,0)),AQ11,INDEX('Stock UST'!11:11,1,MATCH(Stock!AR$1,'Stock UST'!$1:$1,0)))=0,"",IF(ISERROR(MATCH(Stock!AR$1,'Stock UST'!$1:$1,0)),AQ11,INDEX('Stock UST'!11:11,1,MATCH(Stock!AR$1,'Stock UST'!$1:$1,0))))</f>
        <v/>
      </c>
      <c r="AS11" s="9" t="str">
        <f ca="1">IF(IF(ISERROR(MATCH(Stock!AS$1,'Stock UST'!$1:$1,0)),AR11,INDEX('Stock UST'!11:11,1,MATCH(Stock!AS$1,'Stock UST'!$1:$1,0)))=0,"",IF(ISERROR(MATCH(Stock!AS$1,'Stock UST'!$1:$1,0)),AR11,INDEX('Stock UST'!11:11,1,MATCH(Stock!AS$1,'Stock UST'!$1:$1,0))))</f>
        <v/>
      </c>
      <c r="AT11" s="9" t="str">
        <f ca="1">IF(IF(ISERROR(MATCH(Stock!AT$1,'Stock UST'!$1:$1,0)),AS11,INDEX('Stock UST'!11:11,1,MATCH(Stock!AT$1,'Stock UST'!$1:$1,0)))=0,"",IF(ISERROR(MATCH(Stock!AT$1,'Stock UST'!$1:$1,0)),AS11,INDEX('Stock UST'!11:11,1,MATCH(Stock!AT$1,'Stock UST'!$1:$1,0))))</f>
        <v/>
      </c>
      <c r="AU11" s="9" t="str">
        <f ca="1">IF(IF(ISERROR(MATCH(Stock!AU$1,'Stock UST'!$1:$1,0)),AT11,INDEX('Stock UST'!11:11,1,MATCH(Stock!AU$1,'Stock UST'!$1:$1,0)))=0,"",IF(ISERROR(MATCH(Stock!AU$1,'Stock UST'!$1:$1,0)),AT11,INDEX('Stock UST'!11:11,1,MATCH(Stock!AU$1,'Stock UST'!$1:$1,0))))</f>
        <v/>
      </c>
      <c r="AV11" s="9" t="str">
        <f ca="1">IF(IF(ISERROR(MATCH(Stock!AV$1,'Stock UST'!$1:$1,0)),AU11,INDEX('Stock UST'!11:11,1,MATCH(Stock!AV$1,'Stock UST'!$1:$1,0)))=0,"",IF(ISERROR(MATCH(Stock!AV$1,'Stock UST'!$1:$1,0)),AU11,INDEX('Stock UST'!11:11,1,MATCH(Stock!AV$1,'Stock UST'!$1:$1,0))))</f>
        <v/>
      </c>
      <c r="AW11" s="9" t="str">
        <f ca="1">IF(IF(ISERROR(MATCH(Stock!AW$1,'Stock UST'!$1:$1,0)),AV11,INDEX('Stock UST'!11:11,1,MATCH(Stock!AW$1,'Stock UST'!$1:$1,0)))=0,"",IF(ISERROR(MATCH(Stock!AW$1,'Stock UST'!$1:$1,0)),AV11,INDEX('Stock UST'!11:11,1,MATCH(Stock!AW$1,'Stock UST'!$1:$1,0))))</f>
        <v/>
      </c>
      <c r="AX11" s="9" t="str">
        <f ca="1">IF(IF(ISERROR(MATCH(Stock!AX$1,'Stock UST'!$1:$1,0)),AW11,INDEX('Stock UST'!11:11,1,MATCH(Stock!AX$1,'Stock UST'!$1:$1,0)))=0,"",IF(ISERROR(MATCH(Stock!AX$1,'Stock UST'!$1:$1,0)),AW11,INDEX('Stock UST'!11:11,1,MATCH(Stock!AX$1,'Stock UST'!$1:$1,0))))</f>
        <v/>
      </c>
    </row>
    <row r="12" spans="1:91" x14ac:dyDescent="0.3">
      <c r="A12" s="9">
        <f>IF('Stock UST'!E12="","",'Stock UST'!E12)</f>
        <v>505000</v>
      </c>
      <c r="B12" s="9">
        <f>IF(IF(ISERROR(MATCH(Stock!B$1,'Stock UST'!$1:$1,0)),A12,INDEX('Stock UST'!12:12,1,MATCH(Stock!B$1,'Stock UST'!$1:$1,0)))=0,"",IF(ISERROR(MATCH(Stock!B$1,'Stock UST'!$1:$1,0)),A12,INDEX('Stock UST'!12:12,1,MATCH(Stock!B$1,'Stock UST'!$1:$1,0))))</f>
        <v>505000</v>
      </c>
      <c r="C12" s="9">
        <f ca="1">IF(IF(ISERROR(MATCH(Stock!C$1,'Stock UST'!$1:$1,0)),B12,INDEX('Stock UST'!12:12,1,MATCH(Stock!C$1,'Stock UST'!$1:$1,0)))=0,"",IF(ISERROR(MATCH(Stock!C$1,'Stock UST'!$1:$1,0)),B12,INDEX('Stock UST'!12:12,1,MATCH(Stock!C$1,'Stock UST'!$1:$1,0))))</f>
        <v>505000</v>
      </c>
      <c r="D12" s="9">
        <f ca="1">IF(IF(ISERROR(MATCH(Stock!D$1,'Stock UST'!$1:$1,0)),C12,INDEX('Stock UST'!12:12,1,MATCH(Stock!D$1,'Stock UST'!$1:$1,0)))=0,"",IF(ISERROR(MATCH(Stock!D$1,'Stock UST'!$1:$1,0)),C12,INDEX('Stock UST'!12:12,1,MATCH(Stock!D$1,'Stock UST'!$1:$1,0))))</f>
        <v>505000</v>
      </c>
      <c r="E12" s="9">
        <f ca="1">IF(IF(ISERROR(MATCH(Stock!E$1,'Stock UST'!$1:$1,0)),D12,INDEX('Stock UST'!12:12,1,MATCH(Stock!E$1,'Stock UST'!$1:$1,0)))=0,"",IF(ISERROR(MATCH(Stock!E$1,'Stock UST'!$1:$1,0)),D12,INDEX('Stock UST'!12:12,1,MATCH(Stock!E$1,'Stock UST'!$1:$1,0))))</f>
        <v>505000</v>
      </c>
      <c r="F12" s="9">
        <f ca="1">IF(IF(ISERROR(MATCH(Stock!F$1,'Stock UST'!$1:$1,0)),E12,INDEX('Stock UST'!12:12,1,MATCH(Stock!F$1,'Stock UST'!$1:$1,0)))=0,"",IF(ISERROR(MATCH(Stock!F$1,'Stock UST'!$1:$1,0)),E12,INDEX('Stock UST'!12:12,1,MATCH(Stock!F$1,'Stock UST'!$1:$1,0))))</f>
        <v>505000</v>
      </c>
      <c r="G12" s="9">
        <f ca="1">IF(IF(ISERROR(MATCH(Stock!G$1,'Stock UST'!$1:$1,0)),F12,INDEX('Stock UST'!12:12,1,MATCH(Stock!G$1,'Stock UST'!$1:$1,0)))=0,"",IF(ISERROR(MATCH(Stock!G$1,'Stock UST'!$1:$1,0)),F12,INDEX('Stock UST'!12:12,1,MATCH(Stock!G$1,'Stock UST'!$1:$1,0))))</f>
        <v>505000</v>
      </c>
      <c r="H12" s="9">
        <f ca="1">IF(IF(ISERROR(MATCH(Stock!H$1,'Stock UST'!$1:$1,0)),G12,INDEX('Stock UST'!12:12,1,MATCH(Stock!H$1,'Stock UST'!$1:$1,0)))=0,"",IF(ISERROR(MATCH(Stock!H$1,'Stock UST'!$1:$1,0)),G12,INDEX('Stock UST'!12:12,1,MATCH(Stock!H$1,'Stock UST'!$1:$1,0))))</f>
        <v>505000</v>
      </c>
      <c r="I12" s="9">
        <f ca="1">IF(IF(ISERROR(MATCH(Stock!I$1,'Stock UST'!$1:$1,0)),H12,INDEX('Stock UST'!12:12,1,MATCH(Stock!I$1,'Stock UST'!$1:$1,0)))=0,"",IF(ISERROR(MATCH(Stock!I$1,'Stock UST'!$1:$1,0)),H12,INDEX('Stock UST'!12:12,1,MATCH(Stock!I$1,'Stock UST'!$1:$1,0))))</f>
        <v>505000</v>
      </c>
      <c r="J12" s="9">
        <f ca="1">IF(IF(ISERROR(MATCH(Stock!J$1,'Stock UST'!$1:$1,0)),I12,INDEX('Stock UST'!12:12,1,MATCH(Stock!J$1,'Stock UST'!$1:$1,0)))=0,"",IF(ISERROR(MATCH(Stock!J$1,'Stock UST'!$1:$1,0)),I12,INDEX('Stock UST'!12:12,1,MATCH(Stock!J$1,'Stock UST'!$1:$1,0))))</f>
        <v>505000</v>
      </c>
      <c r="K12" s="9">
        <f ca="1">IF(IF(ISERROR(MATCH(Stock!K$1,'Stock UST'!$1:$1,0)),J12,INDEX('Stock UST'!12:12,1,MATCH(Stock!K$1,'Stock UST'!$1:$1,0)))=0,"",IF(ISERROR(MATCH(Stock!K$1,'Stock UST'!$1:$1,0)),J12,INDEX('Stock UST'!12:12,1,MATCH(Stock!K$1,'Stock UST'!$1:$1,0))))</f>
        <v>505000</v>
      </c>
      <c r="L12" s="9">
        <f ca="1">IF(IF(ISERROR(MATCH(Stock!L$1,'Stock UST'!$1:$1,0)),K12,INDEX('Stock UST'!12:12,1,MATCH(Stock!L$1,'Stock UST'!$1:$1,0)))=0,"",IF(ISERROR(MATCH(Stock!L$1,'Stock UST'!$1:$1,0)),K12,INDEX('Stock UST'!12:12,1,MATCH(Stock!L$1,'Stock UST'!$1:$1,0))))</f>
        <v>505000</v>
      </c>
      <c r="M12" s="9">
        <f ca="1">IF(IF(ISERROR(MATCH(Stock!M$1,'Stock UST'!$1:$1,0)),L12,INDEX('Stock UST'!12:12,1,MATCH(Stock!M$1,'Stock UST'!$1:$1,0)))=0,"",IF(ISERROR(MATCH(Stock!M$1,'Stock UST'!$1:$1,0)),L12,INDEX('Stock UST'!12:12,1,MATCH(Stock!M$1,'Stock UST'!$1:$1,0))))</f>
        <v>505000</v>
      </c>
      <c r="N12" s="9">
        <f ca="1">IF(IF(ISERROR(MATCH(Stock!N$1,'Stock UST'!$1:$1,0)),M12,INDEX('Stock UST'!12:12,1,MATCH(Stock!N$1,'Stock UST'!$1:$1,0)))=0,"",IF(ISERROR(MATCH(Stock!N$1,'Stock UST'!$1:$1,0)),M12,INDEX('Stock UST'!12:12,1,MATCH(Stock!N$1,'Stock UST'!$1:$1,0))))</f>
        <v>505000</v>
      </c>
      <c r="O12" s="9">
        <f ca="1">IF(IF(ISERROR(MATCH(Stock!O$1,'Stock UST'!$1:$1,0)),N12,INDEX('Stock UST'!12:12,1,MATCH(Stock!O$1,'Stock UST'!$1:$1,0)))=0,"",IF(ISERROR(MATCH(Stock!O$1,'Stock UST'!$1:$1,0)),N12,INDEX('Stock UST'!12:12,1,MATCH(Stock!O$1,'Stock UST'!$1:$1,0))))</f>
        <v>505000</v>
      </c>
      <c r="P12" s="9">
        <f ca="1">IF(IF(ISERROR(MATCH(Stock!P$1,'Stock UST'!$1:$1,0)),O12,INDEX('Stock UST'!12:12,1,MATCH(Stock!P$1,'Stock UST'!$1:$1,0)))=0,"",IF(ISERROR(MATCH(Stock!P$1,'Stock UST'!$1:$1,0)),O12,INDEX('Stock UST'!12:12,1,MATCH(Stock!P$1,'Stock UST'!$1:$1,0))))</f>
        <v>505000</v>
      </c>
      <c r="Q12" s="9">
        <f ca="1">IF(IF(ISERROR(MATCH(Stock!Q$1,'Stock UST'!$1:$1,0)),P12,INDEX('Stock UST'!12:12,1,MATCH(Stock!Q$1,'Stock UST'!$1:$1,0)))=0,"",IF(ISERROR(MATCH(Stock!Q$1,'Stock UST'!$1:$1,0)),P12,INDEX('Stock UST'!12:12,1,MATCH(Stock!Q$1,'Stock UST'!$1:$1,0))))</f>
        <v>505000</v>
      </c>
      <c r="R12" s="9">
        <f ca="1">IF(IF(ISERROR(MATCH(Stock!R$1,'Stock UST'!$1:$1,0)),Q12,INDEX('Stock UST'!12:12,1,MATCH(Stock!R$1,'Stock UST'!$1:$1,0)))=0,"",IF(ISERROR(MATCH(Stock!R$1,'Stock UST'!$1:$1,0)),Q12,INDEX('Stock UST'!12:12,1,MATCH(Stock!R$1,'Stock UST'!$1:$1,0))))</f>
        <v>505000</v>
      </c>
      <c r="S12" s="9">
        <f ca="1">IF(IF(ISERROR(MATCH(Stock!S$1,'Stock UST'!$1:$1,0)),R12,INDEX('Stock UST'!12:12,1,MATCH(Stock!S$1,'Stock UST'!$1:$1,0)))=0,"",IF(ISERROR(MATCH(Stock!S$1,'Stock UST'!$1:$1,0)),R12,INDEX('Stock UST'!12:12,1,MATCH(Stock!S$1,'Stock UST'!$1:$1,0))))</f>
        <v>505000</v>
      </c>
      <c r="T12" s="9">
        <f ca="1">IF(IF(ISERROR(MATCH(Stock!T$1,'Stock UST'!$1:$1,0)),S12,INDEX('Stock UST'!12:12,1,MATCH(Stock!T$1,'Stock UST'!$1:$1,0)))=0,"",IF(ISERROR(MATCH(Stock!T$1,'Stock UST'!$1:$1,0)),S12,INDEX('Stock UST'!12:12,1,MATCH(Stock!T$1,'Stock UST'!$1:$1,0))))</f>
        <v>505000</v>
      </c>
      <c r="U12" s="9">
        <f ca="1">IF(IF(ISERROR(MATCH(Stock!U$1,'Stock UST'!$1:$1,0)),T12,INDEX('Stock UST'!12:12,1,MATCH(Stock!U$1,'Stock UST'!$1:$1,0)))=0,"",IF(ISERROR(MATCH(Stock!U$1,'Stock UST'!$1:$1,0)),T12,INDEX('Stock UST'!12:12,1,MATCH(Stock!U$1,'Stock UST'!$1:$1,0))))</f>
        <v>505000</v>
      </c>
      <c r="V12" s="9">
        <f ca="1">IF(IF(ISERROR(MATCH(Stock!V$1,'Stock UST'!$1:$1,0)),U12,INDEX('Stock UST'!12:12,1,MATCH(Stock!V$1,'Stock UST'!$1:$1,0)))=0,"",IF(ISERROR(MATCH(Stock!V$1,'Stock UST'!$1:$1,0)),U12,INDEX('Stock UST'!12:12,1,MATCH(Stock!V$1,'Stock UST'!$1:$1,0))))</f>
        <v>505000</v>
      </c>
      <c r="W12" s="9">
        <f ca="1">IF(IF(ISERROR(MATCH(Stock!W$1,'Stock UST'!$1:$1,0)),V12,INDEX('Stock UST'!12:12,1,MATCH(Stock!W$1,'Stock UST'!$1:$1,0)))=0,"",IF(ISERROR(MATCH(Stock!W$1,'Stock UST'!$1:$1,0)),V12,INDEX('Stock UST'!12:12,1,MATCH(Stock!W$1,'Stock UST'!$1:$1,0))))</f>
        <v>505000</v>
      </c>
      <c r="X12" s="9">
        <f ca="1">IF(IF(ISERROR(MATCH(Stock!X$1,'Stock UST'!$1:$1,0)),W12,INDEX('Stock UST'!12:12,1,MATCH(Stock!X$1,'Stock UST'!$1:$1,0)))=0,"",IF(ISERROR(MATCH(Stock!X$1,'Stock UST'!$1:$1,0)),W12,INDEX('Stock UST'!12:12,1,MATCH(Stock!X$1,'Stock UST'!$1:$1,0))))</f>
        <v>505000</v>
      </c>
      <c r="Y12" s="9">
        <f ca="1">IF(IF(ISERROR(MATCH(Stock!Y$1,'Stock UST'!$1:$1,0)),X12,INDEX('Stock UST'!12:12,1,MATCH(Stock!Y$1,'Stock UST'!$1:$1,0)))=0,"",IF(ISERROR(MATCH(Stock!Y$1,'Stock UST'!$1:$1,0)),X12,INDEX('Stock UST'!12:12,1,MATCH(Stock!Y$1,'Stock UST'!$1:$1,0))))</f>
        <v>505000</v>
      </c>
      <c r="Z12" s="9">
        <f ca="1">IF(IF(ISERROR(MATCH(Stock!Z$1,'Stock UST'!$1:$1,0)),Y12,INDEX('Stock UST'!12:12,1,MATCH(Stock!Z$1,'Stock UST'!$1:$1,0)))=0,"",IF(ISERROR(MATCH(Stock!Z$1,'Stock UST'!$1:$1,0)),Y12,INDEX('Stock UST'!12:12,1,MATCH(Stock!Z$1,'Stock UST'!$1:$1,0))))</f>
        <v>505000</v>
      </c>
      <c r="AA12" s="9">
        <f ca="1">IF(IF(ISERROR(MATCH(Stock!AA$1,'Stock UST'!$1:$1,0)),Z12,INDEX('Stock UST'!12:12,1,MATCH(Stock!AA$1,'Stock UST'!$1:$1,0)))=0,"",IF(ISERROR(MATCH(Stock!AA$1,'Stock UST'!$1:$1,0)),Z12,INDEX('Stock UST'!12:12,1,MATCH(Stock!AA$1,'Stock UST'!$1:$1,0))))</f>
        <v>505000</v>
      </c>
      <c r="AB12" s="9">
        <f ca="1">IF(IF(ISERROR(MATCH(Stock!AB$1,'Stock UST'!$1:$1,0)),AA12,INDEX('Stock UST'!12:12,1,MATCH(Stock!AB$1,'Stock UST'!$1:$1,0)))=0,"",IF(ISERROR(MATCH(Stock!AB$1,'Stock UST'!$1:$1,0)),AA12,INDEX('Stock UST'!12:12,1,MATCH(Stock!AB$1,'Stock UST'!$1:$1,0))))</f>
        <v>505000</v>
      </c>
      <c r="AC12" s="9">
        <f ca="1">IF(IF(ISERROR(MATCH(Stock!AC$1,'Stock UST'!$1:$1,0)),AB12,INDEX('Stock UST'!12:12,1,MATCH(Stock!AC$1,'Stock UST'!$1:$1,0)))=0,"",IF(ISERROR(MATCH(Stock!AC$1,'Stock UST'!$1:$1,0)),AB12,INDEX('Stock UST'!12:12,1,MATCH(Stock!AC$1,'Stock UST'!$1:$1,0))))</f>
        <v>505000</v>
      </c>
      <c r="AD12" s="9">
        <f ca="1">IF(IF(ISERROR(MATCH(Stock!AD$1,'Stock UST'!$1:$1,0)),AC12,INDEX('Stock UST'!12:12,1,MATCH(Stock!AD$1,'Stock UST'!$1:$1,0)))=0,"",IF(ISERROR(MATCH(Stock!AD$1,'Stock UST'!$1:$1,0)),AC12,INDEX('Stock UST'!12:12,1,MATCH(Stock!AD$1,'Stock UST'!$1:$1,0))))</f>
        <v>505000</v>
      </c>
      <c r="AE12" s="9">
        <f ca="1">IF(IF(ISERROR(MATCH(Stock!AE$1,'Stock UST'!$1:$1,0)),AD12,INDEX('Stock UST'!12:12,1,MATCH(Stock!AE$1,'Stock UST'!$1:$1,0)))=0,"",IF(ISERROR(MATCH(Stock!AE$1,'Stock UST'!$1:$1,0)),AD12,INDEX('Stock UST'!12:12,1,MATCH(Stock!AE$1,'Stock UST'!$1:$1,0))))</f>
        <v>505000</v>
      </c>
      <c r="AF12" s="9">
        <f ca="1">IF(IF(ISERROR(MATCH(Stock!AF$1,'Stock UST'!$1:$1,0)),AE12,INDEX('Stock UST'!12:12,1,MATCH(Stock!AF$1,'Stock UST'!$1:$1,0)))=0,"",IF(ISERROR(MATCH(Stock!AF$1,'Stock UST'!$1:$1,0)),AE12,INDEX('Stock UST'!12:12,1,MATCH(Stock!AF$1,'Stock UST'!$1:$1,0))))</f>
        <v>505000</v>
      </c>
      <c r="AG12" s="9">
        <f ca="1">IF(IF(ISERROR(MATCH(Stock!AG$1,'Stock UST'!$1:$1,0)),AF12,INDEX('Stock UST'!12:12,1,MATCH(Stock!AG$1,'Stock UST'!$1:$1,0)))=0,"",IF(ISERROR(MATCH(Stock!AG$1,'Stock UST'!$1:$1,0)),AF12,INDEX('Stock UST'!12:12,1,MATCH(Stock!AG$1,'Stock UST'!$1:$1,0))))</f>
        <v>505000</v>
      </c>
      <c r="AH12" s="9">
        <f ca="1">IF(IF(ISERROR(MATCH(Stock!AH$1,'Stock UST'!$1:$1,0)),AG12,INDEX('Stock UST'!12:12,1,MATCH(Stock!AH$1,'Stock UST'!$1:$1,0)))=0,"",IF(ISERROR(MATCH(Stock!AH$1,'Stock UST'!$1:$1,0)),AG12,INDEX('Stock UST'!12:12,1,MATCH(Stock!AH$1,'Stock UST'!$1:$1,0))))</f>
        <v>505000</v>
      </c>
      <c r="AI12" s="9">
        <f ca="1">IF(IF(ISERROR(MATCH(Stock!AI$1,'Stock UST'!$1:$1,0)),AH12,INDEX('Stock UST'!12:12,1,MATCH(Stock!AI$1,'Stock UST'!$1:$1,0)))=0,"",IF(ISERROR(MATCH(Stock!AI$1,'Stock UST'!$1:$1,0)),AH12,INDEX('Stock UST'!12:12,1,MATCH(Stock!AI$1,'Stock UST'!$1:$1,0))))</f>
        <v>505000</v>
      </c>
      <c r="AJ12" s="9">
        <f ca="1">IF(IF(ISERROR(MATCH(Stock!AJ$1,'Stock UST'!$1:$1,0)),AI12,INDEX('Stock UST'!12:12,1,MATCH(Stock!AJ$1,'Stock UST'!$1:$1,0)))=0,"",IF(ISERROR(MATCH(Stock!AJ$1,'Stock UST'!$1:$1,0)),AI12,INDEX('Stock UST'!12:12,1,MATCH(Stock!AJ$1,'Stock UST'!$1:$1,0))))</f>
        <v>505000</v>
      </c>
      <c r="AK12" s="9">
        <f ca="1">IF(IF(ISERROR(MATCH(Stock!AK$1,'Stock UST'!$1:$1,0)),AJ12,INDEX('Stock UST'!12:12,1,MATCH(Stock!AK$1,'Stock UST'!$1:$1,0)))=0,"",IF(ISERROR(MATCH(Stock!AK$1,'Stock UST'!$1:$1,0)),AJ12,INDEX('Stock UST'!12:12,1,MATCH(Stock!AK$1,'Stock UST'!$1:$1,0))))</f>
        <v>505000</v>
      </c>
      <c r="AL12" s="9">
        <f ca="1">IF(IF(ISERROR(MATCH(Stock!AL$1,'Stock UST'!$1:$1,0)),AK12,INDEX('Stock UST'!12:12,1,MATCH(Stock!AL$1,'Stock UST'!$1:$1,0)))=0,"",IF(ISERROR(MATCH(Stock!AL$1,'Stock UST'!$1:$1,0)),AK12,INDEX('Stock UST'!12:12,1,MATCH(Stock!AL$1,'Stock UST'!$1:$1,0))))</f>
        <v>505000</v>
      </c>
      <c r="AM12" s="9">
        <f ca="1">IF(IF(ISERROR(MATCH(Stock!AM$1,'Stock UST'!$1:$1,0)),AL12,INDEX('Stock UST'!12:12,1,MATCH(Stock!AM$1,'Stock UST'!$1:$1,0)))=0,"",IF(ISERROR(MATCH(Stock!AM$1,'Stock UST'!$1:$1,0)),AL12,INDEX('Stock UST'!12:12,1,MATCH(Stock!AM$1,'Stock UST'!$1:$1,0))))</f>
        <v>505000</v>
      </c>
      <c r="AN12" s="9">
        <f ca="1">IF(IF(ISERROR(MATCH(Stock!AN$1,'Stock UST'!$1:$1,0)),AM12,INDEX('Stock UST'!12:12,1,MATCH(Stock!AN$1,'Stock UST'!$1:$1,0)))=0,"",IF(ISERROR(MATCH(Stock!AN$1,'Stock UST'!$1:$1,0)),AM12,INDEX('Stock UST'!12:12,1,MATCH(Stock!AN$1,'Stock UST'!$1:$1,0))))</f>
        <v>505000</v>
      </c>
      <c r="AO12" s="9">
        <f ca="1">IF(IF(ISERROR(MATCH(Stock!AO$1,'Stock UST'!$1:$1,0)),AN12,INDEX('Stock UST'!12:12,1,MATCH(Stock!AO$1,'Stock UST'!$1:$1,0)))=0,"",IF(ISERROR(MATCH(Stock!AO$1,'Stock UST'!$1:$1,0)),AN12,INDEX('Stock UST'!12:12,1,MATCH(Stock!AO$1,'Stock UST'!$1:$1,0))))</f>
        <v>505000</v>
      </c>
      <c r="AP12" s="9">
        <f ca="1">IF(IF(ISERROR(MATCH(Stock!AP$1,'Stock UST'!$1:$1,0)),AO12,INDEX('Stock UST'!12:12,1,MATCH(Stock!AP$1,'Stock UST'!$1:$1,0)))=0,"",IF(ISERROR(MATCH(Stock!AP$1,'Stock UST'!$1:$1,0)),AO12,INDEX('Stock UST'!12:12,1,MATCH(Stock!AP$1,'Stock UST'!$1:$1,0))))</f>
        <v>505000</v>
      </c>
      <c r="AQ12" s="9">
        <f ca="1">IF(IF(ISERROR(MATCH(Stock!AQ$1,'Stock UST'!$1:$1,0)),AP12,INDEX('Stock UST'!12:12,1,MATCH(Stock!AQ$1,'Stock UST'!$1:$1,0)))=0,"",IF(ISERROR(MATCH(Stock!AQ$1,'Stock UST'!$1:$1,0)),AP12,INDEX('Stock UST'!12:12,1,MATCH(Stock!AQ$1,'Stock UST'!$1:$1,0))))</f>
        <v>505000</v>
      </c>
      <c r="AR12" s="9">
        <f ca="1">IF(IF(ISERROR(MATCH(Stock!AR$1,'Stock UST'!$1:$1,0)),AQ12,INDEX('Stock UST'!12:12,1,MATCH(Stock!AR$1,'Stock UST'!$1:$1,0)))=0,"",IF(ISERROR(MATCH(Stock!AR$1,'Stock UST'!$1:$1,0)),AQ12,INDEX('Stock UST'!12:12,1,MATCH(Stock!AR$1,'Stock UST'!$1:$1,0))))</f>
        <v>505000</v>
      </c>
      <c r="AS12" s="9">
        <f ca="1">IF(IF(ISERROR(MATCH(Stock!AS$1,'Stock UST'!$1:$1,0)),AR12,INDEX('Stock UST'!12:12,1,MATCH(Stock!AS$1,'Stock UST'!$1:$1,0)))=0,"",IF(ISERROR(MATCH(Stock!AS$1,'Stock UST'!$1:$1,0)),AR12,INDEX('Stock UST'!12:12,1,MATCH(Stock!AS$1,'Stock UST'!$1:$1,0))))</f>
        <v>505000</v>
      </c>
      <c r="AT12" s="9">
        <f ca="1">IF(IF(ISERROR(MATCH(Stock!AT$1,'Stock UST'!$1:$1,0)),AS12,INDEX('Stock UST'!12:12,1,MATCH(Stock!AT$1,'Stock UST'!$1:$1,0)))=0,"",IF(ISERROR(MATCH(Stock!AT$1,'Stock UST'!$1:$1,0)),AS12,INDEX('Stock UST'!12:12,1,MATCH(Stock!AT$1,'Stock UST'!$1:$1,0))))</f>
        <v>505000</v>
      </c>
      <c r="AU12" s="9">
        <f ca="1">IF(IF(ISERROR(MATCH(Stock!AU$1,'Stock UST'!$1:$1,0)),AT12,INDEX('Stock UST'!12:12,1,MATCH(Stock!AU$1,'Stock UST'!$1:$1,0)))=0,"",IF(ISERROR(MATCH(Stock!AU$1,'Stock UST'!$1:$1,0)),AT12,INDEX('Stock UST'!12:12,1,MATCH(Stock!AU$1,'Stock UST'!$1:$1,0))))</f>
        <v>505000</v>
      </c>
      <c r="AV12" s="9">
        <f ca="1">IF(IF(ISERROR(MATCH(Stock!AV$1,'Stock UST'!$1:$1,0)),AU12,INDEX('Stock UST'!12:12,1,MATCH(Stock!AV$1,'Stock UST'!$1:$1,0)))=0,"",IF(ISERROR(MATCH(Stock!AV$1,'Stock UST'!$1:$1,0)),AU12,INDEX('Stock UST'!12:12,1,MATCH(Stock!AV$1,'Stock UST'!$1:$1,0))))</f>
        <v>505000</v>
      </c>
      <c r="AW12" s="9">
        <f ca="1">IF(IF(ISERROR(MATCH(Stock!AW$1,'Stock UST'!$1:$1,0)),AV12,INDEX('Stock UST'!12:12,1,MATCH(Stock!AW$1,'Stock UST'!$1:$1,0)))=0,"",IF(ISERROR(MATCH(Stock!AW$1,'Stock UST'!$1:$1,0)),AV12,INDEX('Stock UST'!12:12,1,MATCH(Stock!AW$1,'Stock UST'!$1:$1,0))))</f>
        <v>505000</v>
      </c>
      <c r="AX12" s="9">
        <f ca="1">IF(IF(ISERROR(MATCH(Stock!AX$1,'Stock UST'!$1:$1,0)),AW12,INDEX('Stock UST'!12:12,1,MATCH(Stock!AX$1,'Stock UST'!$1:$1,0)))=0,"",IF(ISERROR(MATCH(Stock!AX$1,'Stock UST'!$1:$1,0)),AW12,INDEX('Stock UST'!12:12,1,MATCH(Stock!AX$1,'Stock UST'!$1:$1,0))))</f>
        <v>505000</v>
      </c>
    </row>
    <row r="13" spans="1:91" x14ac:dyDescent="0.3">
      <c r="A13" s="9">
        <f>IF('Stock UST'!E13="","",'Stock UST'!E13)</f>
        <v>183000</v>
      </c>
      <c r="B13" s="9">
        <f>IF(IF(ISERROR(MATCH(Stock!B$1,'Stock UST'!$1:$1,0)),A13,INDEX('Stock UST'!13:13,1,MATCH(Stock!B$1,'Stock UST'!$1:$1,0)))=0,"",IF(ISERROR(MATCH(Stock!B$1,'Stock UST'!$1:$1,0)),A13,INDEX('Stock UST'!13:13,1,MATCH(Stock!B$1,'Stock UST'!$1:$1,0))))</f>
        <v>183000</v>
      </c>
      <c r="C13" s="9">
        <f ca="1">IF(IF(ISERROR(MATCH(Stock!C$1,'Stock UST'!$1:$1,0)),B13,INDEX('Stock UST'!13:13,1,MATCH(Stock!C$1,'Stock UST'!$1:$1,0)))=0,"",IF(ISERROR(MATCH(Stock!C$1,'Stock UST'!$1:$1,0)),B13,INDEX('Stock UST'!13:13,1,MATCH(Stock!C$1,'Stock UST'!$1:$1,0))))</f>
        <v>183000</v>
      </c>
      <c r="D13" s="9">
        <f ca="1">IF(IF(ISERROR(MATCH(Stock!D$1,'Stock UST'!$1:$1,0)),C13,INDEX('Stock UST'!13:13,1,MATCH(Stock!D$1,'Stock UST'!$1:$1,0)))=0,"",IF(ISERROR(MATCH(Stock!D$1,'Stock UST'!$1:$1,0)),C13,INDEX('Stock UST'!13:13,1,MATCH(Stock!D$1,'Stock UST'!$1:$1,0))))</f>
        <v>183000</v>
      </c>
      <c r="E13" s="9">
        <f ca="1">IF(IF(ISERROR(MATCH(Stock!E$1,'Stock UST'!$1:$1,0)),D13,INDEX('Stock UST'!13:13,1,MATCH(Stock!E$1,'Stock UST'!$1:$1,0)))=0,"",IF(ISERROR(MATCH(Stock!E$1,'Stock UST'!$1:$1,0)),D13,INDEX('Stock UST'!13:13,1,MATCH(Stock!E$1,'Stock UST'!$1:$1,0))))</f>
        <v>183000</v>
      </c>
      <c r="F13" s="9">
        <f ca="1">IF(IF(ISERROR(MATCH(Stock!F$1,'Stock UST'!$1:$1,0)),E13,INDEX('Stock UST'!13:13,1,MATCH(Stock!F$1,'Stock UST'!$1:$1,0)))=0,"",IF(ISERROR(MATCH(Stock!F$1,'Stock UST'!$1:$1,0)),E13,INDEX('Stock UST'!13:13,1,MATCH(Stock!F$1,'Stock UST'!$1:$1,0))))</f>
        <v>183000</v>
      </c>
      <c r="G13" s="9">
        <f ca="1">IF(IF(ISERROR(MATCH(Stock!G$1,'Stock UST'!$1:$1,0)),F13,INDEX('Stock UST'!13:13,1,MATCH(Stock!G$1,'Stock UST'!$1:$1,0)))=0,"",IF(ISERROR(MATCH(Stock!G$1,'Stock UST'!$1:$1,0)),F13,INDEX('Stock UST'!13:13,1,MATCH(Stock!G$1,'Stock UST'!$1:$1,0))))</f>
        <v>183000</v>
      </c>
      <c r="H13" s="9">
        <f ca="1">IF(IF(ISERROR(MATCH(Stock!H$1,'Stock UST'!$1:$1,0)),G13,INDEX('Stock UST'!13:13,1,MATCH(Stock!H$1,'Stock UST'!$1:$1,0)))=0,"",IF(ISERROR(MATCH(Stock!H$1,'Stock UST'!$1:$1,0)),G13,INDEX('Stock UST'!13:13,1,MATCH(Stock!H$1,'Stock UST'!$1:$1,0))))</f>
        <v>183000</v>
      </c>
      <c r="I13" s="9">
        <f ca="1">IF(IF(ISERROR(MATCH(Stock!I$1,'Stock UST'!$1:$1,0)),H13,INDEX('Stock UST'!13:13,1,MATCH(Stock!I$1,'Stock UST'!$1:$1,0)))=0,"",IF(ISERROR(MATCH(Stock!I$1,'Stock UST'!$1:$1,0)),H13,INDEX('Stock UST'!13:13,1,MATCH(Stock!I$1,'Stock UST'!$1:$1,0))))</f>
        <v>183000</v>
      </c>
      <c r="J13" s="9">
        <f ca="1">IF(IF(ISERROR(MATCH(Stock!J$1,'Stock UST'!$1:$1,0)),I13,INDEX('Stock UST'!13:13,1,MATCH(Stock!J$1,'Stock UST'!$1:$1,0)))=0,"",IF(ISERROR(MATCH(Stock!J$1,'Stock UST'!$1:$1,0)),I13,INDEX('Stock UST'!13:13,1,MATCH(Stock!J$1,'Stock UST'!$1:$1,0))))</f>
        <v>183000</v>
      </c>
      <c r="K13" s="9">
        <f ca="1">IF(IF(ISERROR(MATCH(Stock!K$1,'Stock UST'!$1:$1,0)),J13,INDEX('Stock UST'!13:13,1,MATCH(Stock!K$1,'Stock UST'!$1:$1,0)))=0,"",IF(ISERROR(MATCH(Stock!K$1,'Stock UST'!$1:$1,0)),J13,INDEX('Stock UST'!13:13,1,MATCH(Stock!K$1,'Stock UST'!$1:$1,0))))</f>
        <v>183000</v>
      </c>
      <c r="L13" s="9">
        <f ca="1">IF(IF(ISERROR(MATCH(Stock!L$1,'Stock UST'!$1:$1,0)),K13,INDEX('Stock UST'!13:13,1,MATCH(Stock!L$1,'Stock UST'!$1:$1,0)))=0,"",IF(ISERROR(MATCH(Stock!L$1,'Stock UST'!$1:$1,0)),K13,INDEX('Stock UST'!13:13,1,MATCH(Stock!L$1,'Stock UST'!$1:$1,0))))</f>
        <v>183000</v>
      </c>
      <c r="M13" s="9">
        <f ca="1">IF(IF(ISERROR(MATCH(Stock!M$1,'Stock UST'!$1:$1,0)),L13,INDEX('Stock UST'!13:13,1,MATCH(Stock!M$1,'Stock UST'!$1:$1,0)))=0,"",IF(ISERROR(MATCH(Stock!M$1,'Stock UST'!$1:$1,0)),L13,INDEX('Stock UST'!13:13,1,MATCH(Stock!M$1,'Stock UST'!$1:$1,0))))</f>
        <v>183000</v>
      </c>
      <c r="N13" s="9">
        <f ca="1">IF(IF(ISERROR(MATCH(Stock!N$1,'Stock UST'!$1:$1,0)),M13,INDEX('Stock UST'!13:13,1,MATCH(Stock!N$1,'Stock UST'!$1:$1,0)))=0,"",IF(ISERROR(MATCH(Stock!N$1,'Stock UST'!$1:$1,0)),M13,INDEX('Stock UST'!13:13,1,MATCH(Stock!N$1,'Stock UST'!$1:$1,0))))</f>
        <v>183000</v>
      </c>
      <c r="O13" s="9">
        <f ca="1">IF(IF(ISERROR(MATCH(Stock!O$1,'Stock UST'!$1:$1,0)),N13,INDEX('Stock UST'!13:13,1,MATCH(Stock!O$1,'Stock UST'!$1:$1,0)))=0,"",IF(ISERROR(MATCH(Stock!O$1,'Stock UST'!$1:$1,0)),N13,INDEX('Stock UST'!13:13,1,MATCH(Stock!O$1,'Stock UST'!$1:$1,0))))</f>
        <v>183000</v>
      </c>
      <c r="P13" s="9">
        <f ca="1">IF(IF(ISERROR(MATCH(Stock!P$1,'Stock UST'!$1:$1,0)),O13,INDEX('Stock UST'!13:13,1,MATCH(Stock!P$1,'Stock UST'!$1:$1,0)))=0,"",IF(ISERROR(MATCH(Stock!P$1,'Stock UST'!$1:$1,0)),O13,INDEX('Stock UST'!13:13,1,MATCH(Stock!P$1,'Stock UST'!$1:$1,0))))</f>
        <v>183000</v>
      </c>
      <c r="Q13" s="9">
        <f ca="1">IF(IF(ISERROR(MATCH(Stock!Q$1,'Stock UST'!$1:$1,0)),P13,INDEX('Stock UST'!13:13,1,MATCH(Stock!Q$1,'Stock UST'!$1:$1,0)))=0,"",IF(ISERROR(MATCH(Stock!Q$1,'Stock UST'!$1:$1,0)),P13,INDEX('Stock UST'!13:13,1,MATCH(Stock!Q$1,'Stock UST'!$1:$1,0))))</f>
        <v>183000</v>
      </c>
      <c r="R13" s="9">
        <f ca="1">IF(IF(ISERROR(MATCH(Stock!R$1,'Stock UST'!$1:$1,0)),Q13,INDEX('Stock UST'!13:13,1,MATCH(Stock!R$1,'Stock UST'!$1:$1,0)))=0,"",IF(ISERROR(MATCH(Stock!R$1,'Stock UST'!$1:$1,0)),Q13,INDEX('Stock UST'!13:13,1,MATCH(Stock!R$1,'Stock UST'!$1:$1,0))))</f>
        <v>183000</v>
      </c>
      <c r="S13" s="9">
        <f ca="1">IF(IF(ISERROR(MATCH(Stock!S$1,'Stock UST'!$1:$1,0)),R13,INDEX('Stock UST'!13:13,1,MATCH(Stock!S$1,'Stock UST'!$1:$1,0)))=0,"",IF(ISERROR(MATCH(Stock!S$1,'Stock UST'!$1:$1,0)),R13,INDEX('Stock UST'!13:13,1,MATCH(Stock!S$1,'Stock UST'!$1:$1,0))))</f>
        <v>183000</v>
      </c>
      <c r="T13" s="9">
        <f ca="1">IF(IF(ISERROR(MATCH(Stock!T$1,'Stock UST'!$1:$1,0)),S13,INDEX('Stock UST'!13:13,1,MATCH(Stock!T$1,'Stock UST'!$1:$1,0)))=0,"",IF(ISERROR(MATCH(Stock!T$1,'Stock UST'!$1:$1,0)),S13,INDEX('Stock UST'!13:13,1,MATCH(Stock!T$1,'Stock UST'!$1:$1,0))))</f>
        <v>183000</v>
      </c>
      <c r="U13" s="9">
        <f ca="1">IF(IF(ISERROR(MATCH(Stock!U$1,'Stock UST'!$1:$1,0)),T13,INDEX('Stock UST'!13:13,1,MATCH(Stock!U$1,'Stock UST'!$1:$1,0)))=0,"",IF(ISERROR(MATCH(Stock!U$1,'Stock UST'!$1:$1,0)),T13,INDEX('Stock UST'!13:13,1,MATCH(Stock!U$1,'Stock UST'!$1:$1,0))))</f>
        <v>183000</v>
      </c>
      <c r="V13" s="9">
        <f ca="1">IF(IF(ISERROR(MATCH(Stock!V$1,'Stock UST'!$1:$1,0)),U13,INDEX('Stock UST'!13:13,1,MATCH(Stock!V$1,'Stock UST'!$1:$1,0)))=0,"",IF(ISERROR(MATCH(Stock!V$1,'Stock UST'!$1:$1,0)),U13,INDEX('Stock UST'!13:13,1,MATCH(Stock!V$1,'Stock UST'!$1:$1,0))))</f>
        <v>183000</v>
      </c>
      <c r="W13" s="9">
        <f ca="1">IF(IF(ISERROR(MATCH(Stock!W$1,'Stock UST'!$1:$1,0)),V13,INDEX('Stock UST'!13:13,1,MATCH(Stock!W$1,'Stock UST'!$1:$1,0)))=0,"",IF(ISERROR(MATCH(Stock!W$1,'Stock UST'!$1:$1,0)),V13,INDEX('Stock UST'!13:13,1,MATCH(Stock!W$1,'Stock UST'!$1:$1,0))))</f>
        <v>183000</v>
      </c>
      <c r="X13" s="9">
        <f ca="1">IF(IF(ISERROR(MATCH(Stock!X$1,'Stock UST'!$1:$1,0)),W13,INDEX('Stock UST'!13:13,1,MATCH(Stock!X$1,'Stock UST'!$1:$1,0)))=0,"",IF(ISERROR(MATCH(Stock!X$1,'Stock UST'!$1:$1,0)),W13,INDEX('Stock UST'!13:13,1,MATCH(Stock!X$1,'Stock UST'!$1:$1,0))))</f>
        <v>183000</v>
      </c>
      <c r="Y13" s="9">
        <f ca="1">IF(IF(ISERROR(MATCH(Stock!Y$1,'Stock UST'!$1:$1,0)),X13,INDEX('Stock UST'!13:13,1,MATCH(Stock!Y$1,'Stock UST'!$1:$1,0)))=0,"",IF(ISERROR(MATCH(Stock!Y$1,'Stock UST'!$1:$1,0)),X13,INDEX('Stock UST'!13:13,1,MATCH(Stock!Y$1,'Stock UST'!$1:$1,0))))</f>
        <v>183000</v>
      </c>
      <c r="Z13" s="9">
        <f ca="1">IF(IF(ISERROR(MATCH(Stock!Z$1,'Stock UST'!$1:$1,0)),Y13,INDEX('Stock UST'!13:13,1,MATCH(Stock!Z$1,'Stock UST'!$1:$1,0)))=0,"",IF(ISERROR(MATCH(Stock!Z$1,'Stock UST'!$1:$1,0)),Y13,INDEX('Stock UST'!13:13,1,MATCH(Stock!Z$1,'Stock UST'!$1:$1,0))))</f>
        <v>183000</v>
      </c>
      <c r="AA13" s="9">
        <f ca="1">IF(IF(ISERROR(MATCH(Stock!AA$1,'Stock UST'!$1:$1,0)),Z13,INDEX('Stock UST'!13:13,1,MATCH(Stock!AA$1,'Stock UST'!$1:$1,0)))=0,"",IF(ISERROR(MATCH(Stock!AA$1,'Stock UST'!$1:$1,0)),Z13,INDEX('Stock UST'!13:13,1,MATCH(Stock!AA$1,'Stock UST'!$1:$1,0))))</f>
        <v>183000</v>
      </c>
      <c r="AB13" s="9">
        <f ca="1">IF(IF(ISERROR(MATCH(Stock!AB$1,'Stock UST'!$1:$1,0)),AA13,INDEX('Stock UST'!13:13,1,MATCH(Stock!AB$1,'Stock UST'!$1:$1,0)))=0,"",IF(ISERROR(MATCH(Stock!AB$1,'Stock UST'!$1:$1,0)),AA13,INDEX('Stock UST'!13:13,1,MATCH(Stock!AB$1,'Stock UST'!$1:$1,0))))</f>
        <v>183000</v>
      </c>
      <c r="AC13" s="9">
        <f ca="1">IF(IF(ISERROR(MATCH(Stock!AC$1,'Stock UST'!$1:$1,0)),AB13,INDEX('Stock UST'!13:13,1,MATCH(Stock!AC$1,'Stock UST'!$1:$1,0)))=0,"",IF(ISERROR(MATCH(Stock!AC$1,'Stock UST'!$1:$1,0)),AB13,INDEX('Stock UST'!13:13,1,MATCH(Stock!AC$1,'Stock UST'!$1:$1,0))))</f>
        <v>183000</v>
      </c>
      <c r="AD13" s="9">
        <f ca="1">IF(IF(ISERROR(MATCH(Stock!AD$1,'Stock UST'!$1:$1,0)),AC13,INDEX('Stock UST'!13:13,1,MATCH(Stock!AD$1,'Stock UST'!$1:$1,0)))=0,"",IF(ISERROR(MATCH(Stock!AD$1,'Stock UST'!$1:$1,0)),AC13,INDEX('Stock UST'!13:13,1,MATCH(Stock!AD$1,'Stock UST'!$1:$1,0))))</f>
        <v>183000</v>
      </c>
      <c r="AE13" s="9">
        <f ca="1">IF(IF(ISERROR(MATCH(Stock!AE$1,'Stock UST'!$1:$1,0)),AD13,INDEX('Stock UST'!13:13,1,MATCH(Stock!AE$1,'Stock UST'!$1:$1,0)))=0,"",IF(ISERROR(MATCH(Stock!AE$1,'Stock UST'!$1:$1,0)),AD13,INDEX('Stock UST'!13:13,1,MATCH(Stock!AE$1,'Stock UST'!$1:$1,0))))</f>
        <v>183000</v>
      </c>
      <c r="AF13" s="9">
        <f ca="1">IF(IF(ISERROR(MATCH(Stock!AF$1,'Stock UST'!$1:$1,0)),AE13,INDEX('Stock UST'!13:13,1,MATCH(Stock!AF$1,'Stock UST'!$1:$1,0)))=0,"",IF(ISERROR(MATCH(Stock!AF$1,'Stock UST'!$1:$1,0)),AE13,INDEX('Stock UST'!13:13,1,MATCH(Stock!AF$1,'Stock UST'!$1:$1,0))))</f>
        <v>183000</v>
      </c>
      <c r="AG13" s="9">
        <f ca="1">IF(IF(ISERROR(MATCH(Stock!AG$1,'Stock UST'!$1:$1,0)),AF13,INDEX('Stock UST'!13:13,1,MATCH(Stock!AG$1,'Stock UST'!$1:$1,0)))=0,"",IF(ISERROR(MATCH(Stock!AG$1,'Stock UST'!$1:$1,0)),AF13,INDEX('Stock UST'!13:13,1,MATCH(Stock!AG$1,'Stock UST'!$1:$1,0))))</f>
        <v>183000</v>
      </c>
      <c r="AH13" s="9">
        <f ca="1">IF(IF(ISERROR(MATCH(Stock!AH$1,'Stock UST'!$1:$1,0)),AG13,INDEX('Stock UST'!13:13,1,MATCH(Stock!AH$1,'Stock UST'!$1:$1,0)))=0,"",IF(ISERROR(MATCH(Stock!AH$1,'Stock UST'!$1:$1,0)),AG13,INDEX('Stock UST'!13:13,1,MATCH(Stock!AH$1,'Stock UST'!$1:$1,0))))</f>
        <v>183000</v>
      </c>
      <c r="AI13" s="9">
        <f ca="1">IF(IF(ISERROR(MATCH(Stock!AI$1,'Stock UST'!$1:$1,0)),AH13,INDEX('Stock UST'!13:13,1,MATCH(Stock!AI$1,'Stock UST'!$1:$1,0)))=0,"",IF(ISERROR(MATCH(Stock!AI$1,'Stock UST'!$1:$1,0)),AH13,INDEX('Stock UST'!13:13,1,MATCH(Stock!AI$1,'Stock UST'!$1:$1,0))))</f>
        <v>183000</v>
      </c>
      <c r="AJ13" s="9">
        <f ca="1">IF(IF(ISERROR(MATCH(Stock!AJ$1,'Stock UST'!$1:$1,0)),AI13,INDEX('Stock UST'!13:13,1,MATCH(Stock!AJ$1,'Stock UST'!$1:$1,0)))=0,"",IF(ISERROR(MATCH(Stock!AJ$1,'Stock UST'!$1:$1,0)),AI13,INDEX('Stock UST'!13:13,1,MATCH(Stock!AJ$1,'Stock UST'!$1:$1,0))))</f>
        <v>183000</v>
      </c>
      <c r="AK13" s="9">
        <f ca="1">IF(IF(ISERROR(MATCH(Stock!AK$1,'Stock UST'!$1:$1,0)),AJ13,INDEX('Stock UST'!13:13,1,MATCH(Stock!AK$1,'Stock UST'!$1:$1,0)))=0,"",IF(ISERROR(MATCH(Stock!AK$1,'Stock UST'!$1:$1,0)),AJ13,INDEX('Stock UST'!13:13,1,MATCH(Stock!AK$1,'Stock UST'!$1:$1,0))))</f>
        <v>183000</v>
      </c>
      <c r="AL13" s="9">
        <f ca="1">IF(IF(ISERROR(MATCH(Stock!AL$1,'Stock UST'!$1:$1,0)),AK13,INDEX('Stock UST'!13:13,1,MATCH(Stock!AL$1,'Stock UST'!$1:$1,0)))=0,"",IF(ISERROR(MATCH(Stock!AL$1,'Stock UST'!$1:$1,0)),AK13,INDEX('Stock UST'!13:13,1,MATCH(Stock!AL$1,'Stock UST'!$1:$1,0))))</f>
        <v>183000</v>
      </c>
      <c r="AM13" s="9">
        <f ca="1">IF(IF(ISERROR(MATCH(Stock!AM$1,'Stock UST'!$1:$1,0)),AL13,INDEX('Stock UST'!13:13,1,MATCH(Stock!AM$1,'Stock UST'!$1:$1,0)))=0,"",IF(ISERROR(MATCH(Stock!AM$1,'Stock UST'!$1:$1,0)),AL13,INDEX('Stock UST'!13:13,1,MATCH(Stock!AM$1,'Stock UST'!$1:$1,0))))</f>
        <v>183000</v>
      </c>
      <c r="AN13" s="9">
        <f ca="1">IF(IF(ISERROR(MATCH(Stock!AN$1,'Stock UST'!$1:$1,0)),AM13,INDEX('Stock UST'!13:13,1,MATCH(Stock!AN$1,'Stock UST'!$1:$1,0)))=0,"",IF(ISERROR(MATCH(Stock!AN$1,'Stock UST'!$1:$1,0)),AM13,INDEX('Stock UST'!13:13,1,MATCH(Stock!AN$1,'Stock UST'!$1:$1,0))))</f>
        <v>183000</v>
      </c>
      <c r="AO13" s="9">
        <f ca="1">IF(IF(ISERROR(MATCH(Stock!AO$1,'Stock UST'!$1:$1,0)),AN13,INDEX('Stock UST'!13:13,1,MATCH(Stock!AO$1,'Stock UST'!$1:$1,0)))=0,"",IF(ISERROR(MATCH(Stock!AO$1,'Stock UST'!$1:$1,0)),AN13,INDEX('Stock UST'!13:13,1,MATCH(Stock!AO$1,'Stock UST'!$1:$1,0))))</f>
        <v>183000</v>
      </c>
      <c r="AP13" s="9">
        <f ca="1">IF(IF(ISERROR(MATCH(Stock!AP$1,'Stock UST'!$1:$1,0)),AO13,INDEX('Stock UST'!13:13,1,MATCH(Stock!AP$1,'Stock UST'!$1:$1,0)))=0,"",IF(ISERROR(MATCH(Stock!AP$1,'Stock UST'!$1:$1,0)),AO13,INDEX('Stock UST'!13:13,1,MATCH(Stock!AP$1,'Stock UST'!$1:$1,0))))</f>
        <v>183000</v>
      </c>
      <c r="AQ13" s="9">
        <f ca="1">IF(IF(ISERROR(MATCH(Stock!AQ$1,'Stock UST'!$1:$1,0)),AP13,INDEX('Stock UST'!13:13,1,MATCH(Stock!AQ$1,'Stock UST'!$1:$1,0)))=0,"",IF(ISERROR(MATCH(Stock!AQ$1,'Stock UST'!$1:$1,0)),AP13,INDEX('Stock UST'!13:13,1,MATCH(Stock!AQ$1,'Stock UST'!$1:$1,0))))</f>
        <v>183000</v>
      </c>
      <c r="AR13" s="9">
        <f ca="1">IF(IF(ISERROR(MATCH(Stock!AR$1,'Stock UST'!$1:$1,0)),AQ13,INDEX('Stock UST'!13:13,1,MATCH(Stock!AR$1,'Stock UST'!$1:$1,0)))=0,"",IF(ISERROR(MATCH(Stock!AR$1,'Stock UST'!$1:$1,0)),AQ13,INDEX('Stock UST'!13:13,1,MATCH(Stock!AR$1,'Stock UST'!$1:$1,0))))</f>
        <v>183000</v>
      </c>
      <c r="AS13" s="9">
        <f ca="1">IF(IF(ISERROR(MATCH(Stock!AS$1,'Stock UST'!$1:$1,0)),AR13,INDEX('Stock UST'!13:13,1,MATCH(Stock!AS$1,'Stock UST'!$1:$1,0)))=0,"",IF(ISERROR(MATCH(Stock!AS$1,'Stock UST'!$1:$1,0)),AR13,INDEX('Stock UST'!13:13,1,MATCH(Stock!AS$1,'Stock UST'!$1:$1,0))))</f>
        <v>183000</v>
      </c>
      <c r="AT13" s="9">
        <f ca="1">IF(IF(ISERROR(MATCH(Stock!AT$1,'Stock UST'!$1:$1,0)),AS13,INDEX('Stock UST'!13:13,1,MATCH(Stock!AT$1,'Stock UST'!$1:$1,0)))=0,"",IF(ISERROR(MATCH(Stock!AT$1,'Stock UST'!$1:$1,0)),AS13,INDEX('Stock UST'!13:13,1,MATCH(Stock!AT$1,'Stock UST'!$1:$1,0))))</f>
        <v>183000</v>
      </c>
      <c r="AU13" s="9">
        <f ca="1">IF(IF(ISERROR(MATCH(Stock!AU$1,'Stock UST'!$1:$1,0)),AT13,INDEX('Stock UST'!13:13,1,MATCH(Stock!AU$1,'Stock UST'!$1:$1,0)))=0,"",IF(ISERROR(MATCH(Stock!AU$1,'Stock UST'!$1:$1,0)),AT13,INDEX('Stock UST'!13:13,1,MATCH(Stock!AU$1,'Stock UST'!$1:$1,0))))</f>
        <v>183000</v>
      </c>
      <c r="AV13" s="9">
        <f ca="1">IF(IF(ISERROR(MATCH(Stock!AV$1,'Stock UST'!$1:$1,0)),AU13,INDEX('Stock UST'!13:13,1,MATCH(Stock!AV$1,'Stock UST'!$1:$1,0)))=0,"",IF(ISERROR(MATCH(Stock!AV$1,'Stock UST'!$1:$1,0)),AU13,INDEX('Stock UST'!13:13,1,MATCH(Stock!AV$1,'Stock UST'!$1:$1,0))))</f>
        <v>183000</v>
      </c>
      <c r="AW13" s="9">
        <f ca="1">IF(IF(ISERROR(MATCH(Stock!AW$1,'Stock UST'!$1:$1,0)),AV13,INDEX('Stock UST'!13:13,1,MATCH(Stock!AW$1,'Stock UST'!$1:$1,0)))=0,"",IF(ISERROR(MATCH(Stock!AW$1,'Stock UST'!$1:$1,0)),AV13,INDEX('Stock UST'!13:13,1,MATCH(Stock!AW$1,'Stock UST'!$1:$1,0))))</f>
        <v>183000</v>
      </c>
      <c r="AX13" s="9">
        <f ca="1">IF(IF(ISERROR(MATCH(Stock!AX$1,'Stock UST'!$1:$1,0)),AW13,INDEX('Stock UST'!13:13,1,MATCH(Stock!AX$1,'Stock UST'!$1:$1,0)))=0,"",IF(ISERROR(MATCH(Stock!AX$1,'Stock UST'!$1:$1,0)),AW13,INDEX('Stock UST'!13:13,1,MATCH(Stock!AX$1,'Stock UST'!$1:$1,0))))</f>
        <v>183000</v>
      </c>
    </row>
    <row r="14" spans="1:91" x14ac:dyDescent="0.3">
      <c r="A14" s="9">
        <f>IF('Stock UST'!E14="","",'Stock UST'!E14)</f>
        <v>0</v>
      </c>
      <c r="B14" s="9" t="str">
        <f>IF(IF(ISERROR(MATCH(Stock!B$1,'Stock UST'!$1:$1,0)),A14,INDEX('Stock UST'!14:14,1,MATCH(Stock!B$1,'Stock UST'!$1:$1,0)))=0,"",IF(ISERROR(MATCH(Stock!B$1,'Stock UST'!$1:$1,0)),A14,INDEX('Stock UST'!14:14,1,MATCH(Stock!B$1,'Stock UST'!$1:$1,0))))</f>
        <v/>
      </c>
      <c r="C14" s="9" t="str">
        <f ca="1">IF(IF(ISERROR(MATCH(Stock!C$1,'Stock UST'!$1:$1,0)),B14,INDEX('Stock UST'!14:14,1,MATCH(Stock!C$1,'Stock UST'!$1:$1,0)))=0,"",IF(ISERROR(MATCH(Stock!C$1,'Stock UST'!$1:$1,0)),B14,INDEX('Stock UST'!14:14,1,MATCH(Stock!C$1,'Stock UST'!$1:$1,0))))</f>
        <v/>
      </c>
      <c r="D14" s="9" t="str">
        <f ca="1">IF(IF(ISERROR(MATCH(Stock!D$1,'Stock UST'!$1:$1,0)),C14,INDEX('Stock UST'!14:14,1,MATCH(Stock!D$1,'Stock UST'!$1:$1,0)))=0,"",IF(ISERROR(MATCH(Stock!D$1,'Stock UST'!$1:$1,0)),C14,INDEX('Stock UST'!14:14,1,MATCH(Stock!D$1,'Stock UST'!$1:$1,0))))</f>
        <v/>
      </c>
      <c r="E14" s="9" t="str">
        <f ca="1">IF(IF(ISERROR(MATCH(Stock!E$1,'Stock UST'!$1:$1,0)),D14,INDEX('Stock UST'!14:14,1,MATCH(Stock!E$1,'Stock UST'!$1:$1,0)))=0,"",IF(ISERROR(MATCH(Stock!E$1,'Stock UST'!$1:$1,0)),D14,INDEX('Stock UST'!14:14,1,MATCH(Stock!E$1,'Stock UST'!$1:$1,0))))</f>
        <v/>
      </c>
      <c r="F14" s="9" t="str">
        <f ca="1">IF(IF(ISERROR(MATCH(Stock!F$1,'Stock UST'!$1:$1,0)),E14,INDEX('Stock UST'!14:14,1,MATCH(Stock!F$1,'Stock UST'!$1:$1,0)))=0,"",IF(ISERROR(MATCH(Stock!F$1,'Stock UST'!$1:$1,0)),E14,INDEX('Stock UST'!14:14,1,MATCH(Stock!F$1,'Stock UST'!$1:$1,0))))</f>
        <v/>
      </c>
      <c r="G14" s="9" t="str">
        <f ca="1">IF(IF(ISERROR(MATCH(Stock!G$1,'Stock UST'!$1:$1,0)),F14,INDEX('Stock UST'!14:14,1,MATCH(Stock!G$1,'Stock UST'!$1:$1,0)))=0,"",IF(ISERROR(MATCH(Stock!G$1,'Stock UST'!$1:$1,0)),F14,INDEX('Stock UST'!14:14,1,MATCH(Stock!G$1,'Stock UST'!$1:$1,0))))</f>
        <v/>
      </c>
      <c r="H14" s="9" t="str">
        <f ca="1">IF(IF(ISERROR(MATCH(Stock!H$1,'Stock UST'!$1:$1,0)),G14,INDEX('Stock UST'!14:14,1,MATCH(Stock!H$1,'Stock UST'!$1:$1,0)))=0,"",IF(ISERROR(MATCH(Stock!H$1,'Stock UST'!$1:$1,0)),G14,INDEX('Stock UST'!14:14,1,MATCH(Stock!H$1,'Stock UST'!$1:$1,0))))</f>
        <v/>
      </c>
      <c r="I14" s="9" t="str">
        <f ca="1">IF(IF(ISERROR(MATCH(Stock!I$1,'Stock UST'!$1:$1,0)),H14,INDEX('Stock UST'!14:14,1,MATCH(Stock!I$1,'Stock UST'!$1:$1,0)))=0,"",IF(ISERROR(MATCH(Stock!I$1,'Stock UST'!$1:$1,0)),H14,INDEX('Stock UST'!14:14,1,MATCH(Stock!I$1,'Stock UST'!$1:$1,0))))</f>
        <v/>
      </c>
      <c r="J14" s="9" t="str">
        <f ca="1">IF(IF(ISERROR(MATCH(Stock!J$1,'Stock UST'!$1:$1,0)),I14,INDEX('Stock UST'!14:14,1,MATCH(Stock!J$1,'Stock UST'!$1:$1,0)))=0,"",IF(ISERROR(MATCH(Stock!J$1,'Stock UST'!$1:$1,0)),I14,INDEX('Stock UST'!14:14,1,MATCH(Stock!J$1,'Stock UST'!$1:$1,0))))</f>
        <v/>
      </c>
      <c r="K14" s="9" t="str">
        <f ca="1">IF(IF(ISERROR(MATCH(Stock!K$1,'Stock UST'!$1:$1,0)),J14,INDEX('Stock UST'!14:14,1,MATCH(Stock!K$1,'Stock UST'!$1:$1,0)))=0,"",IF(ISERROR(MATCH(Stock!K$1,'Stock UST'!$1:$1,0)),J14,INDEX('Stock UST'!14:14,1,MATCH(Stock!K$1,'Stock UST'!$1:$1,0))))</f>
        <v/>
      </c>
      <c r="L14" s="9" t="str">
        <f ca="1">IF(IF(ISERROR(MATCH(Stock!L$1,'Stock UST'!$1:$1,0)),K14,INDEX('Stock UST'!14:14,1,MATCH(Stock!L$1,'Stock UST'!$1:$1,0)))=0,"",IF(ISERROR(MATCH(Stock!L$1,'Stock UST'!$1:$1,0)),K14,INDEX('Stock UST'!14:14,1,MATCH(Stock!L$1,'Stock UST'!$1:$1,0))))</f>
        <v/>
      </c>
      <c r="M14" s="9" t="str">
        <f ca="1">IF(IF(ISERROR(MATCH(Stock!M$1,'Stock UST'!$1:$1,0)),L14,INDEX('Stock UST'!14:14,1,MATCH(Stock!M$1,'Stock UST'!$1:$1,0)))=0,"",IF(ISERROR(MATCH(Stock!M$1,'Stock UST'!$1:$1,0)),L14,INDEX('Stock UST'!14:14,1,MATCH(Stock!M$1,'Stock UST'!$1:$1,0))))</f>
        <v/>
      </c>
      <c r="N14" s="9" t="str">
        <f ca="1">IF(IF(ISERROR(MATCH(Stock!N$1,'Stock UST'!$1:$1,0)),M14,INDEX('Stock UST'!14:14,1,MATCH(Stock!N$1,'Stock UST'!$1:$1,0)))=0,"",IF(ISERROR(MATCH(Stock!N$1,'Stock UST'!$1:$1,0)),M14,INDEX('Stock UST'!14:14,1,MATCH(Stock!N$1,'Stock UST'!$1:$1,0))))</f>
        <v/>
      </c>
      <c r="O14" s="9" t="str">
        <f ca="1">IF(IF(ISERROR(MATCH(Stock!O$1,'Stock UST'!$1:$1,0)),N14,INDEX('Stock UST'!14:14,1,MATCH(Stock!O$1,'Stock UST'!$1:$1,0)))=0,"",IF(ISERROR(MATCH(Stock!O$1,'Stock UST'!$1:$1,0)),N14,INDEX('Stock UST'!14:14,1,MATCH(Stock!O$1,'Stock UST'!$1:$1,0))))</f>
        <v/>
      </c>
      <c r="P14" s="9" t="str">
        <f ca="1">IF(IF(ISERROR(MATCH(Stock!P$1,'Stock UST'!$1:$1,0)),O14,INDEX('Stock UST'!14:14,1,MATCH(Stock!P$1,'Stock UST'!$1:$1,0)))=0,"",IF(ISERROR(MATCH(Stock!P$1,'Stock UST'!$1:$1,0)),O14,INDEX('Stock UST'!14:14,1,MATCH(Stock!P$1,'Stock UST'!$1:$1,0))))</f>
        <v/>
      </c>
      <c r="Q14" s="9" t="str">
        <f ca="1">IF(IF(ISERROR(MATCH(Stock!Q$1,'Stock UST'!$1:$1,0)),P14,INDEX('Stock UST'!14:14,1,MATCH(Stock!Q$1,'Stock UST'!$1:$1,0)))=0,"",IF(ISERROR(MATCH(Stock!Q$1,'Stock UST'!$1:$1,0)),P14,INDEX('Stock UST'!14:14,1,MATCH(Stock!Q$1,'Stock UST'!$1:$1,0))))</f>
        <v/>
      </c>
      <c r="R14" s="9" t="str">
        <f ca="1">IF(IF(ISERROR(MATCH(Stock!R$1,'Stock UST'!$1:$1,0)),Q14,INDEX('Stock UST'!14:14,1,MATCH(Stock!R$1,'Stock UST'!$1:$1,0)))=0,"",IF(ISERROR(MATCH(Stock!R$1,'Stock UST'!$1:$1,0)),Q14,INDEX('Stock UST'!14:14,1,MATCH(Stock!R$1,'Stock UST'!$1:$1,0))))</f>
        <v/>
      </c>
      <c r="S14" s="9" t="str">
        <f ca="1">IF(IF(ISERROR(MATCH(Stock!S$1,'Stock UST'!$1:$1,0)),R14,INDEX('Stock UST'!14:14,1,MATCH(Stock!S$1,'Stock UST'!$1:$1,0)))=0,"",IF(ISERROR(MATCH(Stock!S$1,'Stock UST'!$1:$1,0)),R14,INDEX('Stock UST'!14:14,1,MATCH(Stock!S$1,'Stock UST'!$1:$1,0))))</f>
        <v/>
      </c>
      <c r="T14" s="9" t="str">
        <f ca="1">IF(IF(ISERROR(MATCH(Stock!T$1,'Stock UST'!$1:$1,0)),S14,INDEX('Stock UST'!14:14,1,MATCH(Stock!T$1,'Stock UST'!$1:$1,0)))=0,"",IF(ISERROR(MATCH(Stock!T$1,'Stock UST'!$1:$1,0)),S14,INDEX('Stock UST'!14:14,1,MATCH(Stock!T$1,'Stock UST'!$1:$1,0))))</f>
        <v/>
      </c>
      <c r="U14" s="9" t="str">
        <f ca="1">IF(IF(ISERROR(MATCH(Stock!U$1,'Stock UST'!$1:$1,0)),T14,INDEX('Stock UST'!14:14,1,MATCH(Stock!U$1,'Stock UST'!$1:$1,0)))=0,"",IF(ISERROR(MATCH(Stock!U$1,'Stock UST'!$1:$1,0)),T14,INDEX('Stock UST'!14:14,1,MATCH(Stock!U$1,'Stock UST'!$1:$1,0))))</f>
        <v/>
      </c>
      <c r="V14" s="9" t="str">
        <f ca="1">IF(IF(ISERROR(MATCH(Stock!V$1,'Stock UST'!$1:$1,0)),U14,INDEX('Stock UST'!14:14,1,MATCH(Stock!V$1,'Stock UST'!$1:$1,0)))=0,"",IF(ISERROR(MATCH(Stock!V$1,'Stock UST'!$1:$1,0)),U14,INDEX('Stock UST'!14:14,1,MATCH(Stock!V$1,'Stock UST'!$1:$1,0))))</f>
        <v/>
      </c>
      <c r="W14" s="9" t="str">
        <f ca="1">IF(IF(ISERROR(MATCH(Stock!W$1,'Stock UST'!$1:$1,0)),V14,INDEX('Stock UST'!14:14,1,MATCH(Stock!W$1,'Stock UST'!$1:$1,0)))=0,"",IF(ISERROR(MATCH(Stock!W$1,'Stock UST'!$1:$1,0)),V14,INDEX('Stock UST'!14:14,1,MATCH(Stock!W$1,'Stock UST'!$1:$1,0))))</f>
        <v/>
      </c>
      <c r="X14" s="9" t="str">
        <f ca="1">IF(IF(ISERROR(MATCH(Stock!X$1,'Stock UST'!$1:$1,0)),W14,INDEX('Stock UST'!14:14,1,MATCH(Stock!X$1,'Stock UST'!$1:$1,0)))=0,"",IF(ISERROR(MATCH(Stock!X$1,'Stock UST'!$1:$1,0)),W14,INDEX('Stock UST'!14:14,1,MATCH(Stock!X$1,'Stock UST'!$1:$1,0))))</f>
        <v/>
      </c>
      <c r="Y14" s="9" t="str">
        <f ca="1">IF(IF(ISERROR(MATCH(Stock!Y$1,'Stock UST'!$1:$1,0)),X14,INDEX('Stock UST'!14:14,1,MATCH(Stock!Y$1,'Stock UST'!$1:$1,0)))=0,"",IF(ISERROR(MATCH(Stock!Y$1,'Stock UST'!$1:$1,0)),X14,INDEX('Stock UST'!14:14,1,MATCH(Stock!Y$1,'Stock UST'!$1:$1,0))))</f>
        <v/>
      </c>
      <c r="Z14" s="9" t="str">
        <f ca="1">IF(IF(ISERROR(MATCH(Stock!Z$1,'Stock UST'!$1:$1,0)),Y14,INDEX('Stock UST'!14:14,1,MATCH(Stock!Z$1,'Stock UST'!$1:$1,0)))=0,"",IF(ISERROR(MATCH(Stock!Z$1,'Stock UST'!$1:$1,0)),Y14,INDEX('Stock UST'!14:14,1,MATCH(Stock!Z$1,'Stock UST'!$1:$1,0))))</f>
        <v/>
      </c>
      <c r="AA14" s="9" t="str">
        <f ca="1">IF(IF(ISERROR(MATCH(Stock!AA$1,'Stock UST'!$1:$1,0)),Z14,INDEX('Stock UST'!14:14,1,MATCH(Stock!AA$1,'Stock UST'!$1:$1,0)))=0,"",IF(ISERROR(MATCH(Stock!AA$1,'Stock UST'!$1:$1,0)),Z14,INDEX('Stock UST'!14:14,1,MATCH(Stock!AA$1,'Stock UST'!$1:$1,0))))</f>
        <v/>
      </c>
      <c r="AB14" s="9" t="str">
        <f ca="1">IF(IF(ISERROR(MATCH(Stock!AB$1,'Stock UST'!$1:$1,0)),AA14,INDEX('Stock UST'!14:14,1,MATCH(Stock!AB$1,'Stock UST'!$1:$1,0)))=0,"",IF(ISERROR(MATCH(Stock!AB$1,'Stock UST'!$1:$1,0)),AA14,INDEX('Stock UST'!14:14,1,MATCH(Stock!AB$1,'Stock UST'!$1:$1,0))))</f>
        <v/>
      </c>
      <c r="AC14" s="9" t="str">
        <f ca="1">IF(IF(ISERROR(MATCH(Stock!AC$1,'Stock UST'!$1:$1,0)),AB14,INDEX('Stock UST'!14:14,1,MATCH(Stock!AC$1,'Stock UST'!$1:$1,0)))=0,"",IF(ISERROR(MATCH(Stock!AC$1,'Stock UST'!$1:$1,0)),AB14,INDEX('Stock UST'!14:14,1,MATCH(Stock!AC$1,'Stock UST'!$1:$1,0))))</f>
        <v/>
      </c>
      <c r="AD14" s="9" t="str">
        <f ca="1">IF(IF(ISERROR(MATCH(Stock!AD$1,'Stock UST'!$1:$1,0)),AC14,INDEX('Stock UST'!14:14,1,MATCH(Stock!AD$1,'Stock UST'!$1:$1,0)))=0,"",IF(ISERROR(MATCH(Stock!AD$1,'Stock UST'!$1:$1,0)),AC14,INDEX('Stock UST'!14:14,1,MATCH(Stock!AD$1,'Stock UST'!$1:$1,0))))</f>
        <v/>
      </c>
      <c r="AE14" s="9" t="str">
        <f ca="1">IF(IF(ISERROR(MATCH(Stock!AE$1,'Stock UST'!$1:$1,0)),AD14,INDEX('Stock UST'!14:14,1,MATCH(Stock!AE$1,'Stock UST'!$1:$1,0)))=0,"",IF(ISERROR(MATCH(Stock!AE$1,'Stock UST'!$1:$1,0)),AD14,INDEX('Stock UST'!14:14,1,MATCH(Stock!AE$1,'Stock UST'!$1:$1,0))))</f>
        <v/>
      </c>
      <c r="AF14" s="9" t="str">
        <f ca="1">IF(IF(ISERROR(MATCH(Stock!AF$1,'Stock UST'!$1:$1,0)),AE14,INDEX('Stock UST'!14:14,1,MATCH(Stock!AF$1,'Stock UST'!$1:$1,0)))=0,"",IF(ISERROR(MATCH(Stock!AF$1,'Stock UST'!$1:$1,0)),AE14,INDEX('Stock UST'!14:14,1,MATCH(Stock!AF$1,'Stock UST'!$1:$1,0))))</f>
        <v/>
      </c>
      <c r="AG14" s="9" t="str">
        <f ca="1">IF(IF(ISERROR(MATCH(Stock!AG$1,'Stock UST'!$1:$1,0)),AF14,INDEX('Stock UST'!14:14,1,MATCH(Stock!AG$1,'Stock UST'!$1:$1,0)))=0,"",IF(ISERROR(MATCH(Stock!AG$1,'Stock UST'!$1:$1,0)),AF14,INDEX('Stock UST'!14:14,1,MATCH(Stock!AG$1,'Stock UST'!$1:$1,0))))</f>
        <v/>
      </c>
      <c r="AH14" s="9" t="str">
        <f ca="1">IF(IF(ISERROR(MATCH(Stock!AH$1,'Stock UST'!$1:$1,0)),AG14,INDEX('Stock UST'!14:14,1,MATCH(Stock!AH$1,'Stock UST'!$1:$1,0)))=0,"",IF(ISERROR(MATCH(Stock!AH$1,'Stock UST'!$1:$1,0)),AG14,INDEX('Stock UST'!14:14,1,MATCH(Stock!AH$1,'Stock UST'!$1:$1,0))))</f>
        <v/>
      </c>
      <c r="AI14" s="9" t="str">
        <f ca="1">IF(IF(ISERROR(MATCH(Stock!AI$1,'Stock UST'!$1:$1,0)),AH14,INDEX('Stock UST'!14:14,1,MATCH(Stock!AI$1,'Stock UST'!$1:$1,0)))=0,"",IF(ISERROR(MATCH(Stock!AI$1,'Stock UST'!$1:$1,0)),AH14,INDEX('Stock UST'!14:14,1,MATCH(Stock!AI$1,'Stock UST'!$1:$1,0))))</f>
        <v/>
      </c>
      <c r="AJ14" s="9" t="str">
        <f ca="1">IF(IF(ISERROR(MATCH(Stock!AJ$1,'Stock UST'!$1:$1,0)),AI14,INDEX('Stock UST'!14:14,1,MATCH(Stock!AJ$1,'Stock UST'!$1:$1,0)))=0,"",IF(ISERROR(MATCH(Stock!AJ$1,'Stock UST'!$1:$1,0)),AI14,INDEX('Stock UST'!14:14,1,MATCH(Stock!AJ$1,'Stock UST'!$1:$1,0))))</f>
        <v/>
      </c>
      <c r="AK14" s="9" t="str">
        <f ca="1">IF(IF(ISERROR(MATCH(Stock!AK$1,'Stock UST'!$1:$1,0)),AJ14,INDEX('Stock UST'!14:14,1,MATCH(Stock!AK$1,'Stock UST'!$1:$1,0)))=0,"",IF(ISERROR(MATCH(Stock!AK$1,'Stock UST'!$1:$1,0)),AJ14,INDEX('Stock UST'!14:14,1,MATCH(Stock!AK$1,'Stock UST'!$1:$1,0))))</f>
        <v/>
      </c>
      <c r="AL14" s="9" t="str">
        <f ca="1">IF(IF(ISERROR(MATCH(Stock!AL$1,'Stock UST'!$1:$1,0)),AK14,INDEX('Stock UST'!14:14,1,MATCH(Stock!AL$1,'Stock UST'!$1:$1,0)))=0,"",IF(ISERROR(MATCH(Stock!AL$1,'Stock UST'!$1:$1,0)),AK14,INDEX('Stock UST'!14:14,1,MATCH(Stock!AL$1,'Stock UST'!$1:$1,0))))</f>
        <v/>
      </c>
      <c r="AM14" s="9" t="str">
        <f ca="1">IF(IF(ISERROR(MATCH(Stock!AM$1,'Stock UST'!$1:$1,0)),AL14,INDEX('Stock UST'!14:14,1,MATCH(Stock!AM$1,'Stock UST'!$1:$1,0)))=0,"",IF(ISERROR(MATCH(Stock!AM$1,'Stock UST'!$1:$1,0)),AL14,INDEX('Stock UST'!14:14,1,MATCH(Stock!AM$1,'Stock UST'!$1:$1,0))))</f>
        <v/>
      </c>
      <c r="AN14" s="9" t="str">
        <f ca="1">IF(IF(ISERROR(MATCH(Stock!AN$1,'Stock UST'!$1:$1,0)),AM14,INDEX('Stock UST'!14:14,1,MATCH(Stock!AN$1,'Stock UST'!$1:$1,0)))=0,"",IF(ISERROR(MATCH(Stock!AN$1,'Stock UST'!$1:$1,0)),AM14,INDEX('Stock UST'!14:14,1,MATCH(Stock!AN$1,'Stock UST'!$1:$1,0))))</f>
        <v/>
      </c>
      <c r="AO14" s="9" t="str">
        <f ca="1">IF(IF(ISERROR(MATCH(Stock!AO$1,'Stock UST'!$1:$1,0)),AN14,INDEX('Stock UST'!14:14,1,MATCH(Stock!AO$1,'Stock UST'!$1:$1,0)))=0,"",IF(ISERROR(MATCH(Stock!AO$1,'Stock UST'!$1:$1,0)),AN14,INDEX('Stock UST'!14:14,1,MATCH(Stock!AO$1,'Stock UST'!$1:$1,0))))</f>
        <v/>
      </c>
      <c r="AP14" s="9" t="str">
        <f ca="1">IF(IF(ISERROR(MATCH(Stock!AP$1,'Stock UST'!$1:$1,0)),AO14,INDEX('Stock UST'!14:14,1,MATCH(Stock!AP$1,'Stock UST'!$1:$1,0)))=0,"",IF(ISERROR(MATCH(Stock!AP$1,'Stock UST'!$1:$1,0)),AO14,INDEX('Stock UST'!14:14,1,MATCH(Stock!AP$1,'Stock UST'!$1:$1,0))))</f>
        <v/>
      </c>
      <c r="AQ14" s="9" t="str">
        <f ca="1">IF(IF(ISERROR(MATCH(Stock!AQ$1,'Stock UST'!$1:$1,0)),AP14,INDEX('Stock UST'!14:14,1,MATCH(Stock!AQ$1,'Stock UST'!$1:$1,0)))=0,"",IF(ISERROR(MATCH(Stock!AQ$1,'Stock UST'!$1:$1,0)),AP14,INDEX('Stock UST'!14:14,1,MATCH(Stock!AQ$1,'Stock UST'!$1:$1,0))))</f>
        <v/>
      </c>
      <c r="AR14" s="9" t="str">
        <f ca="1">IF(IF(ISERROR(MATCH(Stock!AR$1,'Stock UST'!$1:$1,0)),AQ14,INDEX('Stock UST'!14:14,1,MATCH(Stock!AR$1,'Stock UST'!$1:$1,0)))=0,"",IF(ISERROR(MATCH(Stock!AR$1,'Stock UST'!$1:$1,0)),AQ14,INDEX('Stock UST'!14:14,1,MATCH(Stock!AR$1,'Stock UST'!$1:$1,0))))</f>
        <v/>
      </c>
      <c r="AS14" s="9" t="str">
        <f ca="1">IF(IF(ISERROR(MATCH(Stock!AS$1,'Stock UST'!$1:$1,0)),AR14,INDEX('Stock UST'!14:14,1,MATCH(Stock!AS$1,'Stock UST'!$1:$1,0)))=0,"",IF(ISERROR(MATCH(Stock!AS$1,'Stock UST'!$1:$1,0)),AR14,INDEX('Stock UST'!14:14,1,MATCH(Stock!AS$1,'Stock UST'!$1:$1,0))))</f>
        <v/>
      </c>
      <c r="AT14" s="9" t="str">
        <f ca="1">IF(IF(ISERROR(MATCH(Stock!AT$1,'Stock UST'!$1:$1,0)),AS14,INDEX('Stock UST'!14:14,1,MATCH(Stock!AT$1,'Stock UST'!$1:$1,0)))=0,"",IF(ISERROR(MATCH(Stock!AT$1,'Stock UST'!$1:$1,0)),AS14,INDEX('Stock UST'!14:14,1,MATCH(Stock!AT$1,'Stock UST'!$1:$1,0))))</f>
        <v/>
      </c>
      <c r="AU14" s="9" t="str">
        <f ca="1">IF(IF(ISERROR(MATCH(Stock!AU$1,'Stock UST'!$1:$1,0)),AT14,INDEX('Stock UST'!14:14,1,MATCH(Stock!AU$1,'Stock UST'!$1:$1,0)))=0,"",IF(ISERROR(MATCH(Stock!AU$1,'Stock UST'!$1:$1,0)),AT14,INDEX('Stock UST'!14:14,1,MATCH(Stock!AU$1,'Stock UST'!$1:$1,0))))</f>
        <v/>
      </c>
      <c r="AV14" s="9" t="str">
        <f ca="1">IF(IF(ISERROR(MATCH(Stock!AV$1,'Stock UST'!$1:$1,0)),AU14,INDEX('Stock UST'!14:14,1,MATCH(Stock!AV$1,'Stock UST'!$1:$1,0)))=0,"",IF(ISERROR(MATCH(Stock!AV$1,'Stock UST'!$1:$1,0)),AU14,INDEX('Stock UST'!14:14,1,MATCH(Stock!AV$1,'Stock UST'!$1:$1,0))))</f>
        <v/>
      </c>
      <c r="AW14" s="9" t="str">
        <f ca="1">IF(IF(ISERROR(MATCH(Stock!AW$1,'Stock UST'!$1:$1,0)),AV14,INDEX('Stock UST'!14:14,1,MATCH(Stock!AW$1,'Stock UST'!$1:$1,0)))=0,"",IF(ISERROR(MATCH(Stock!AW$1,'Stock UST'!$1:$1,0)),AV14,INDEX('Stock UST'!14:14,1,MATCH(Stock!AW$1,'Stock UST'!$1:$1,0))))</f>
        <v/>
      </c>
      <c r="AX14" s="9" t="str">
        <f ca="1">IF(IF(ISERROR(MATCH(Stock!AX$1,'Stock UST'!$1:$1,0)),AW14,INDEX('Stock UST'!14:14,1,MATCH(Stock!AX$1,'Stock UST'!$1:$1,0)))=0,"",IF(ISERROR(MATCH(Stock!AX$1,'Stock UST'!$1:$1,0)),AW14,INDEX('Stock UST'!14:14,1,MATCH(Stock!AX$1,'Stock UST'!$1:$1,0))))</f>
        <v/>
      </c>
    </row>
    <row r="15" spans="1:91" x14ac:dyDescent="0.3">
      <c r="A15" s="9">
        <f>IF('Stock UST'!E15="","",'Stock UST'!E15)</f>
        <v>637000</v>
      </c>
      <c r="B15" s="9">
        <f>IF(IF(ISERROR(MATCH(Stock!B$1,'Stock UST'!$1:$1,0)),A15,INDEX('Stock UST'!15:15,1,MATCH(Stock!B$1,'Stock UST'!$1:$1,0)))=0,"",IF(ISERROR(MATCH(Stock!B$1,'Stock UST'!$1:$1,0)),A15,INDEX('Stock UST'!15:15,1,MATCH(Stock!B$1,'Stock UST'!$1:$1,0))))</f>
        <v>637000</v>
      </c>
      <c r="C15" s="9">
        <f ca="1">IF(IF(ISERROR(MATCH(Stock!C$1,'Stock UST'!$1:$1,0)),B15,INDEX('Stock UST'!15:15,1,MATCH(Stock!C$1,'Stock UST'!$1:$1,0)))=0,"",IF(ISERROR(MATCH(Stock!C$1,'Stock UST'!$1:$1,0)),B15,INDEX('Stock UST'!15:15,1,MATCH(Stock!C$1,'Stock UST'!$1:$1,0))))</f>
        <v>637000</v>
      </c>
      <c r="D15" s="9">
        <f ca="1">IF(IF(ISERROR(MATCH(Stock!D$1,'Stock UST'!$1:$1,0)),C15,INDEX('Stock UST'!15:15,1,MATCH(Stock!D$1,'Stock UST'!$1:$1,0)))=0,"",IF(ISERROR(MATCH(Stock!D$1,'Stock UST'!$1:$1,0)),C15,INDEX('Stock UST'!15:15,1,MATCH(Stock!D$1,'Stock UST'!$1:$1,0))))</f>
        <v>637000</v>
      </c>
      <c r="E15" s="9">
        <f ca="1">IF(IF(ISERROR(MATCH(Stock!E$1,'Stock UST'!$1:$1,0)),D15,INDEX('Stock UST'!15:15,1,MATCH(Stock!E$1,'Stock UST'!$1:$1,0)))=0,"",IF(ISERROR(MATCH(Stock!E$1,'Stock UST'!$1:$1,0)),D15,INDEX('Stock UST'!15:15,1,MATCH(Stock!E$1,'Stock UST'!$1:$1,0))))</f>
        <v>637000</v>
      </c>
      <c r="F15" s="9">
        <f ca="1">IF(IF(ISERROR(MATCH(Stock!F$1,'Stock UST'!$1:$1,0)),E15,INDEX('Stock UST'!15:15,1,MATCH(Stock!F$1,'Stock UST'!$1:$1,0)))=0,"",IF(ISERROR(MATCH(Stock!F$1,'Stock UST'!$1:$1,0)),E15,INDEX('Stock UST'!15:15,1,MATCH(Stock!F$1,'Stock UST'!$1:$1,0))))</f>
        <v>637000</v>
      </c>
      <c r="G15" s="9">
        <f ca="1">IF(IF(ISERROR(MATCH(Stock!G$1,'Stock UST'!$1:$1,0)),F15,INDEX('Stock UST'!15:15,1,MATCH(Stock!G$1,'Stock UST'!$1:$1,0)))=0,"",IF(ISERROR(MATCH(Stock!G$1,'Stock UST'!$1:$1,0)),F15,INDEX('Stock UST'!15:15,1,MATCH(Stock!G$1,'Stock UST'!$1:$1,0))))</f>
        <v>637000</v>
      </c>
      <c r="H15" s="9">
        <f ca="1">IF(IF(ISERROR(MATCH(Stock!H$1,'Stock UST'!$1:$1,0)),G15,INDEX('Stock UST'!15:15,1,MATCH(Stock!H$1,'Stock UST'!$1:$1,0)))=0,"",IF(ISERROR(MATCH(Stock!H$1,'Stock UST'!$1:$1,0)),G15,INDEX('Stock UST'!15:15,1,MATCH(Stock!H$1,'Stock UST'!$1:$1,0))))</f>
        <v>637000</v>
      </c>
      <c r="I15" s="9">
        <f ca="1">IF(IF(ISERROR(MATCH(Stock!I$1,'Stock UST'!$1:$1,0)),H15,INDEX('Stock UST'!15:15,1,MATCH(Stock!I$1,'Stock UST'!$1:$1,0)))=0,"",IF(ISERROR(MATCH(Stock!I$1,'Stock UST'!$1:$1,0)),H15,INDEX('Stock UST'!15:15,1,MATCH(Stock!I$1,'Stock UST'!$1:$1,0))))</f>
        <v>637000</v>
      </c>
      <c r="J15" s="9">
        <f ca="1">IF(IF(ISERROR(MATCH(Stock!J$1,'Stock UST'!$1:$1,0)),I15,INDEX('Stock UST'!15:15,1,MATCH(Stock!J$1,'Stock UST'!$1:$1,0)))=0,"",IF(ISERROR(MATCH(Stock!J$1,'Stock UST'!$1:$1,0)),I15,INDEX('Stock UST'!15:15,1,MATCH(Stock!J$1,'Stock UST'!$1:$1,0))))</f>
        <v>637000</v>
      </c>
      <c r="K15" s="9">
        <f ca="1">IF(IF(ISERROR(MATCH(Stock!K$1,'Stock UST'!$1:$1,0)),J15,INDEX('Stock UST'!15:15,1,MATCH(Stock!K$1,'Stock UST'!$1:$1,0)))=0,"",IF(ISERROR(MATCH(Stock!K$1,'Stock UST'!$1:$1,0)),J15,INDEX('Stock UST'!15:15,1,MATCH(Stock!K$1,'Stock UST'!$1:$1,0))))</f>
        <v>637000</v>
      </c>
      <c r="L15" s="9">
        <f ca="1">IF(IF(ISERROR(MATCH(Stock!L$1,'Stock UST'!$1:$1,0)),K15,INDEX('Stock UST'!15:15,1,MATCH(Stock!L$1,'Stock UST'!$1:$1,0)))=0,"",IF(ISERROR(MATCH(Stock!L$1,'Stock UST'!$1:$1,0)),K15,INDEX('Stock UST'!15:15,1,MATCH(Stock!L$1,'Stock UST'!$1:$1,0))))</f>
        <v>637000</v>
      </c>
      <c r="M15" s="9">
        <f ca="1">IF(IF(ISERROR(MATCH(Stock!M$1,'Stock UST'!$1:$1,0)),L15,INDEX('Stock UST'!15:15,1,MATCH(Stock!M$1,'Stock UST'!$1:$1,0)))=0,"",IF(ISERROR(MATCH(Stock!M$1,'Stock UST'!$1:$1,0)),L15,INDEX('Stock UST'!15:15,1,MATCH(Stock!M$1,'Stock UST'!$1:$1,0))))</f>
        <v>637000</v>
      </c>
      <c r="N15" s="9">
        <f ca="1">IF(IF(ISERROR(MATCH(Stock!N$1,'Stock UST'!$1:$1,0)),M15,INDEX('Stock UST'!15:15,1,MATCH(Stock!N$1,'Stock UST'!$1:$1,0)))=0,"",IF(ISERROR(MATCH(Stock!N$1,'Stock UST'!$1:$1,0)),M15,INDEX('Stock UST'!15:15,1,MATCH(Stock!N$1,'Stock UST'!$1:$1,0))))</f>
        <v>637000</v>
      </c>
      <c r="O15" s="9">
        <f ca="1">IF(IF(ISERROR(MATCH(Stock!O$1,'Stock UST'!$1:$1,0)),N15,INDEX('Stock UST'!15:15,1,MATCH(Stock!O$1,'Stock UST'!$1:$1,0)))=0,"",IF(ISERROR(MATCH(Stock!O$1,'Stock UST'!$1:$1,0)),N15,INDEX('Stock UST'!15:15,1,MATCH(Stock!O$1,'Stock UST'!$1:$1,0))))</f>
        <v>637000</v>
      </c>
      <c r="P15" s="9">
        <f ca="1">IF(IF(ISERROR(MATCH(Stock!P$1,'Stock UST'!$1:$1,0)),O15,INDEX('Stock UST'!15:15,1,MATCH(Stock!P$1,'Stock UST'!$1:$1,0)))=0,"",IF(ISERROR(MATCH(Stock!P$1,'Stock UST'!$1:$1,0)),O15,INDEX('Stock UST'!15:15,1,MATCH(Stock!P$1,'Stock UST'!$1:$1,0))))</f>
        <v>637000</v>
      </c>
      <c r="Q15" s="9">
        <f ca="1">IF(IF(ISERROR(MATCH(Stock!Q$1,'Stock UST'!$1:$1,0)),P15,INDEX('Stock UST'!15:15,1,MATCH(Stock!Q$1,'Stock UST'!$1:$1,0)))=0,"",IF(ISERROR(MATCH(Stock!Q$1,'Stock UST'!$1:$1,0)),P15,INDEX('Stock UST'!15:15,1,MATCH(Stock!Q$1,'Stock UST'!$1:$1,0))))</f>
        <v>637000</v>
      </c>
      <c r="R15" s="9">
        <f ca="1">IF(IF(ISERROR(MATCH(Stock!R$1,'Stock UST'!$1:$1,0)),Q15,INDEX('Stock UST'!15:15,1,MATCH(Stock!R$1,'Stock UST'!$1:$1,0)))=0,"",IF(ISERROR(MATCH(Stock!R$1,'Stock UST'!$1:$1,0)),Q15,INDEX('Stock UST'!15:15,1,MATCH(Stock!R$1,'Stock UST'!$1:$1,0))))</f>
        <v>637000</v>
      </c>
      <c r="S15" s="9">
        <f ca="1">IF(IF(ISERROR(MATCH(Stock!S$1,'Stock UST'!$1:$1,0)),R15,INDEX('Stock UST'!15:15,1,MATCH(Stock!S$1,'Stock UST'!$1:$1,0)))=0,"",IF(ISERROR(MATCH(Stock!S$1,'Stock UST'!$1:$1,0)),R15,INDEX('Stock UST'!15:15,1,MATCH(Stock!S$1,'Stock UST'!$1:$1,0))))</f>
        <v>637000</v>
      </c>
      <c r="T15" s="9">
        <f ca="1">IF(IF(ISERROR(MATCH(Stock!T$1,'Stock UST'!$1:$1,0)),S15,INDEX('Stock UST'!15:15,1,MATCH(Stock!T$1,'Stock UST'!$1:$1,0)))=0,"",IF(ISERROR(MATCH(Stock!T$1,'Stock UST'!$1:$1,0)),S15,INDEX('Stock UST'!15:15,1,MATCH(Stock!T$1,'Stock UST'!$1:$1,0))))</f>
        <v>637000</v>
      </c>
      <c r="U15" s="9">
        <f ca="1">IF(IF(ISERROR(MATCH(Stock!U$1,'Stock UST'!$1:$1,0)),T15,INDEX('Stock UST'!15:15,1,MATCH(Stock!U$1,'Stock UST'!$1:$1,0)))=0,"",IF(ISERROR(MATCH(Stock!U$1,'Stock UST'!$1:$1,0)),T15,INDEX('Stock UST'!15:15,1,MATCH(Stock!U$1,'Stock UST'!$1:$1,0))))</f>
        <v>637000</v>
      </c>
      <c r="V15" s="9">
        <f ca="1">IF(IF(ISERROR(MATCH(Stock!V$1,'Stock UST'!$1:$1,0)),U15,INDEX('Stock UST'!15:15,1,MATCH(Stock!V$1,'Stock UST'!$1:$1,0)))=0,"",IF(ISERROR(MATCH(Stock!V$1,'Stock UST'!$1:$1,0)),U15,INDEX('Stock UST'!15:15,1,MATCH(Stock!V$1,'Stock UST'!$1:$1,0))))</f>
        <v>637000</v>
      </c>
      <c r="W15" s="9">
        <f ca="1">IF(IF(ISERROR(MATCH(Stock!W$1,'Stock UST'!$1:$1,0)),V15,INDEX('Stock UST'!15:15,1,MATCH(Stock!W$1,'Stock UST'!$1:$1,0)))=0,"",IF(ISERROR(MATCH(Stock!W$1,'Stock UST'!$1:$1,0)),V15,INDEX('Stock UST'!15:15,1,MATCH(Stock!W$1,'Stock UST'!$1:$1,0))))</f>
        <v>637000</v>
      </c>
      <c r="X15" s="9">
        <f ca="1">IF(IF(ISERROR(MATCH(Stock!X$1,'Stock UST'!$1:$1,0)),W15,INDEX('Stock UST'!15:15,1,MATCH(Stock!X$1,'Stock UST'!$1:$1,0)))=0,"",IF(ISERROR(MATCH(Stock!X$1,'Stock UST'!$1:$1,0)),W15,INDEX('Stock UST'!15:15,1,MATCH(Stock!X$1,'Stock UST'!$1:$1,0))))</f>
        <v>637000</v>
      </c>
      <c r="Y15" s="9">
        <f ca="1">IF(IF(ISERROR(MATCH(Stock!Y$1,'Stock UST'!$1:$1,0)),X15,INDEX('Stock UST'!15:15,1,MATCH(Stock!Y$1,'Stock UST'!$1:$1,0)))=0,"",IF(ISERROR(MATCH(Stock!Y$1,'Stock UST'!$1:$1,0)),X15,INDEX('Stock UST'!15:15,1,MATCH(Stock!Y$1,'Stock UST'!$1:$1,0))))</f>
        <v>637000</v>
      </c>
      <c r="Z15" s="9">
        <f ca="1">IF(IF(ISERROR(MATCH(Stock!Z$1,'Stock UST'!$1:$1,0)),Y15,INDEX('Stock UST'!15:15,1,MATCH(Stock!Z$1,'Stock UST'!$1:$1,0)))=0,"",IF(ISERROR(MATCH(Stock!Z$1,'Stock UST'!$1:$1,0)),Y15,INDEX('Stock UST'!15:15,1,MATCH(Stock!Z$1,'Stock UST'!$1:$1,0))))</f>
        <v>637000</v>
      </c>
      <c r="AA15" s="9">
        <f ca="1">IF(IF(ISERROR(MATCH(Stock!AA$1,'Stock UST'!$1:$1,0)),Z15,INDEX('Stock UST'!15:15,1,MATCH(Stock!AA$1,'Stock UST'!$1:$1,0)))=0,"",IF(ISERROR(MATCH(Stock!AA$1,'Stock UST'!$1:$1,0)),Z15,INDEX('Stock UST'!15:15,1,MATCH(Stock!AA$1,'Stock UST'!$1:$1,0))))</f>
        <v>637000</v>
      </c>
      <c r="AB15" s="9">
        <f ca="1">IF(IF(ISERROR(MATCH(Stock!AB$1,'Stock UST'!$1:$1,0)),AA15,INDEX('Stock UST'!15:15,1,MATCH(Stock!AB$1,'Stock UST'!$1:$1,0)))=0,"",IF(ISERROR(MATCH(Stock!AB$1,'Stock UST'!$1:$1,0)),AA15,INDEX('Stock UST'!15:15,1,MATCH(Stock!AB$1,'Stock UST'!$1:$1,0))))</f>
        <v>637000</v>
      </c>
      <c r="AC15" s="9">
        <f ca="1">IF(IF(ISERROR(MATCH(Stock!AC$1,'Stock UST'!$1:$1,0)),AB15,INDEX('Stock UST'!15:15,1,MATCH(Stock!AC$1,'Stock UST'!$1:$1,0)))=0,"",IF(ISERROR(MATCH(Stock!AC$1,'Stock UST'!$1:$1,0)),AB15,INDEX('Stock UST'!15:15,1,MATCH(Stock!AC$1,'Stock UST'!$1:$1,0))))</f>
        <v>637000</v>
      </c>
      <c r="AD15" s="9">
        <f ca="1">IF(IF(ISERROR(MATCH(Stock!AD$1,'Stock UST'!$1:$1,0)),AC15,INDEX('Stock UST'!15:15,1,MATCH(Stock!AD$1,'Stock UST'!$1:$1,0)))=0,"",IF(ISERROR(MATCH(Stock!AD$1,'Stock UST'!$1:$1,0)),AC15,INDEX('Stock UST'!15:15,1,MATCH(Stock!AD$1,'Stock UST'!$1:$1,0))))</f>
        <v>637000</v>
      </c>
      <c r="AE15" s="9">
        <f ca="1">IF(IF(ISERROR(MATCH(Stock!AE$1,'Stock UST'!$1:$1,0)),AD15,INDEX('Stock UST'!15:15,1,MATCH(Stock!AE$1,'Stock UST'!$1:$1,0)))=0,"",IF(ISERROR(MATCH(Stock!AE$1,'Stock UST'!$1:$1,0)),AD15,INDEX('Stock UST'!15:15,1,MATCH(Stock!AE$1,'Stock UST'!$1:$1,0))))</f>
        <v>637000</v>
      </c>
      <c r="AF15" s="9">
        <f ca="1">IF(IF(ISERROR(MATCH(Stock!AF$1,'Stock UST'!$1:$1,0)),AE15,INDEX('Stock UST'!15:15,1,MATCH(Stock!AF$1,'Stock UST'!$1:$1,0)))=0,"",IF(ISERROR(MATCH(Stock!AF$1,'Stock UST'!$1:$1,0)),AE15,INDEX('Stock UST'!15:15,1,MATCH(Stock!AF$1,'Stock UST'!$1:$1,0))))</f>
        <v>637000</v>
      </c>
      <c r="AG15" s="9">
        <f ca="1">IF(IF(ISERROR(MATCH(Stock!AG$1,'Stock UST'!$1:$1,0)),AF15,INDEX('Stock UST'!15:15,1,MATCH(Stock!AG$1,'Stock UST'!$1:$1,0)))=0,"",IF(ISERROR(MATCH(Stock!AG$1,'Stock UST'!$1:$1,0)),AF15,INDEX('Stock UST'!15:15,1,MATCH(Stock!AG$1,'Stock UST'!$1:$1,0))))</f>
        <v>637000</v>
      </c>
      <c r="AH15" s="9">
        <f ca="1">IF(IF(ISERROR(MATCH(Stock!AH$1,'Stock UST'!$1:$1,0)),AG15,INDEX('Stock UST'!15:15,1,MATCH(Stock!AH$1,'Stock UST'!$1:$1,0)))=0,"",IF(ISERROR(MATCH(Stock!AH$1,'Stock UST'!$1:$1,0)),AG15,INDEX('Stock UST'!15:15,1,MATCH(Stock!AH$1,'Stock UST'!$1:$1,0))))</f>
        <v>637000</v>
      </c>
      <c r="AI15" s="9">
        <f ca="1">IF(IF(ISERROR(MATCH(Stock!AI$1,'Stock UST'!$1:$1,0)),AH15,INDEX('Stock UST'!15:15,1,MATCH(Stock!AI$1,'Stock UST'!$1:$1,0)))=0,"",IF(ISERROR(MATCH(Stock!AI$1,'Stock UST'!$1:$1,0)),AH15,INDEX('Stock UST'!15:15,1,MATCH(Stock!AI$1,'Stock UST'!$1:$1,0))))</f>
        <v>637000</v>
      </c>
      <c r="AJ15" s="9">
        <f ca="1">IF(IF(ISERROR(MATCH(Stock!AJ$1,'Stock UST'!$1:$1,0)),AI15,INDEX('Stock UST'!15:15,1,MATCH(Stock!AJ$1,'Stock UST'!$1:$1,0)))=0,"",IF(ISERROR(MATCH(Stock!AJ$1,'Stock UST'!$1:$1,0)),AI15,INDEX('Stock UST'!15:15,1,MATCH(Stock!AJ$1,'Stock UST'!$1:$1,0))))</f>
        <v>637000</v>
      </c>
      <c r="AK15" s="9">
        <f ca="1">IF(IF(ISERROR(MATCH(Stock!AK$1,'Stock UST'!$1:$1,0)),AJ15,INDEX('Stock UST'!15:15,1,MATCH(Stock!AK$1,'Stock UST'!$1:$1,0)))=0,"",IF(ISERROR(MATCH(Stock!AK$1,'Stock UST'!$1:$1,0)),AJ15,INDEX('Stock UST'!15:15,1,MATCH(Stock!AK$1,'Stock UST'!$1:$1,0))))</f>
        <v>637000</v>
      </c>
      <c r="AL15" s="9">
        <f ca="1">IF(IF(ISERROR(MATCH(Stock!AL$1,'Stock UST'!$1:$1,0)),AK15,INDEX('Stock UST'!15:15,1,MATCH(Stock!AL$1,'Stock UST'!$1:$1,0)))=0,"",IF(ISERROR(MATCH(Stock!AL$1,'Stock UST'!$1:$1,0)),AK15,INDEX('Stock UST'!15:15,1,MATCH(Stock!AL$1,'Stock UST'!$1:$1,0))))</f>
        <v>637000</v>
      </c>
      <c r="AM15" s="9">
        <f ca="1">IF(IF(ISERROR(MATCH(Stock!AM$1,'Stock UST'!$1:$1,0)),AL15,INDEX('Stock UST'!15:15,1,MATCH(Stock!AM$1,'Stock UST'!$1:$1,0)))=0,"",IF(ISERROR(MATCH(Stock!AM$1,'Stock UST'!$1:$1,0)),AL15,INDEX('Stock UST'!15:15,1,MATCH(Stock!AM$1,'Stock UST'!$1:$1,0))))</f>
        <v>637000</v>
      </c>
      <c r="AN15" s="9">
        <f ca="1">IF(IF(ISERROR(MATCH(Stock!AN$1,'Stock UST'!$1:$1,0)),AM15,INDEX('Stock UST'!15:15,1,MATCH(Stock!AN$1,'Stock UST'!$1:$1,0)))=0,"",IF(ISERROR(MATCH(Stock!AN$1,'Stock UST'!$1:$1,0)),AM15,INDEX('Stock UST'!15:15,1,MATCH(Stock!AN$1,'Stock UST'!$1:$1,0))))</f>
        <v>637000</v>
      </c>
      <c r="AO15" s="9">
        <f ca="1">IF(IF(ISERROR(MATCH(Stock!AO$1,'Stock UST'!$1:$1,0)),AN15,INDEX('Stock UST'!15:15,1,MATCH(Stock!AO$1,'Stock UST'!$1:$1,0)))=0,"",IF(ISERROR(MATCH(Stock!AO$1,'Stock UST'!$1:$1,0)),AN15,INDEX('Stock UST'!15:15,1,MATCH(Stock!AO$1,'Stock UST'!$1:$1,0))))</f>
        <v>637000</v>
      </c>
      <c r="AP15" s="9">
        <f ca="1">IF(IF(ISERROR(MATCH(Stock!AP$1,'Stock UST'!$1:$1,0)),AO15,INDEX('Stock UST'!15:15,1,MATCH(Stock!AP$1,'Stock UST'!$1:$1,0)))=0,"",IF(ISERROR(MATCH(Stock!AP$1,'Stock UST'!$1:$1,0)),AO15,INDEX('Stock UST'!15:15,1,MATCH(Stock!AP$1,'Stock UST'!$1:$1,0))))</f>
        <v>637000</v>
      </c>
      <c r="AQ15" s="9">
        <f ca="1">IF(IF(ISERROR(MATCH(Stock!AQ$1,'Stock UST'!$1:$1,0)),AP15,INDEX('Stock UST'!15:15,1,MATCH(Stock!AQ$1,'Stock UST'!$1:$1,0)))=0,"",IF(ISERROR(MATCH(Stock!AQ$1,'Stock UST'!$1:$1,0)),AP15,INDEX('Stock UST'!15:15,1,MATCH(Stock!AQ$1,'Stock UST'!$1:$1,0))))</f>
        <v>637000</v>
      </c>
      <c r="AR15" s="9">
        <f ca="1">IF(IF(ISERROR(MATCH(Stock!AR$1,'Stock UST'!$1:$1,0)),AQ15,INDEX('Stock UST'!15:15,1,MATCH(Stock!AR$1,'Stock UST'!$1:$1,0)))=0,"",IF(ISERROR(MATCH(Stock!AR$1,'Stock UST'!$1:$1,0)),AQ15,INDEX('Stock UST'!15:15,1,MATCH(Stock!AR$1,'Stock UST'!$1:$1,0))))</f>
        <v>637000</v>
      </c>
      <c r="AS15" s="9">
        <f ca="1">IF(IF(ISERROR(MATCH(Stock!AS$1,'Stock UST'!$1:$1,0)),AR15,INDEX('Stock UST'!15:15,1,MATCH(Stock!AS$1,'Stock UST'!$1:$1,0)))=0,"",IF(ISERROR(MATCH(Stock!AS$1,'Stock UST'!$1:$1,0)),AR15,INDEX('Stock UST'!15:15,1,MATCH(Stock!AS$1,'Stock UST'!$1:$1,0))))</f>
        <v>637000</v>
      </c>
      <c r="AT15" s="9">
        <f ca="1">IF(IF(ISERROR(MATCH(Stock!AT$1,'Stock UST'!$1:$1,0)),AS15,INDEX('Stock UST'!15:15,1,MATCH(Stock!AT$1,'Stock UST'!$1:$1,0)))=0,"",IF(ISERROR(MATCH(Stock!AT$1,'Stock UST'!$1:$1,0)),AS15,INDEX('Stock UST'!15:15,1,MATCH(Stock!AT$1,'Stock UST'!$1:$1,0))))</f>
        <v>637000</v>
      </c>
      <c r="AU15" s="9">
        <f ca="1">IF(IF(ISERROR(MATCH(Stock!AU$1,'Stock UST'!$1:$1,0)),AT15,INDEX('Stock UST'!15:15,1,MATCH(Stock!AU$1,'Stock UST'!$1:$1,0)))=0,"",IF(ISERROR(MATCH(Stock!AU$1,'Stock UST'!$1:$1,0)),AT15,INDEX('Stock UST'!15:15,1,MATCH(Stock!AU$1,'Stock UST'!$1:$1,0))))</f>
        <v>637000</v>
      </c>
      <c r="AV15" s="9">
        <f ca="1">IF(IF(ISERROR(MATCH(Stock!AV$1,'Stock UST'!$1:$1,0)),AU15,INDEX('Stock UST'!15:15,1,MATCH(Stock!AV$1,'Stock UST'!$1:$1,0)))=0,"",IF(ISERROR(MATCH(Stock!AV$1,'Stock UST'!$1:$1,0)),AU15,INDEX('Stock UST'!15:15,1,MATCH(Stock!AV$1,'Stock UST'!$1:$1,0))))</f>
        <v>637000</v>
      </c>
      <c r="AW15" s="9">
        <f ca="1">IF(IF(ISERROR(MATCH(Stock!AW$1,'Stock UST'!$1:$1,0)),AV15,INDEX('Stock UST'!15:15,1,MATCH(Stock!AW$1,'Stock UST'!$1:$1,0)))=0,"",IF(ISERROR(MATCH(Stock!AW$1,'Stock UST'!$1:$1,0)),AV15,INDEX('Stock UST'!15:15,1,MATCH(Stock!AW$1,'Stock UST'!$1:$1,0))))</f>
        <v>637000</v>
      </c>
      <c r="AX15" s="9">
        <f ca="1">IF(IF(ISERROR(MATCH(Stock!AX$1,'Stock UST'!$1:$1,0)),AW15,INDEX('Stock UST'!15:15,1,MATCH(Stock!AX$1,'Stock UST'!$1:$1,0)))=0,"",IF(ISERROR(MATCH(Stock!AX$1,'Stock UST'!$1:$1,0)),AW15,INDEX('Stock UST'!15:15,1,MATCH(Stock!AX$1,'Stock UST'!$1:$1,0))))</f>
        <v>637000</v>
      </c>
    </row>
    <row r="16" spans="1:91" x14ac:dyDescent="0.3">
      <c r="A16" s="9">
        <f>IF('Stock UST'!E16="","",'Stock UST'!E16)</f>
        <v>208000</v>
      </c>
      <c r="B16" s="9">
        <f>IF(IF(ISERROR(MATCH(Stock!B$1,'Stock UST'!$1:$1,0)),A16,INDEX('Stock UST'!16:16,1,MATCH(Stock!B$1,'Stock UST'!$1:$1,0)))=0,"",IF(ISERROR(MATCH(Stock!B$1,'Stock UST'!$1:$1,0)),A16,INDEX('Stock UST'!16:16,1,MATCH(Stock!B$1,'Stock UST'!$1:$1,0))))</f>
        <v>208000</v>
      </c>
      <c r="C16" s="9">
        <f ca="1">IF(IF(ISERROR(MATCH(Stock!C$1,'Stock UST'!$1:$1,0)),B16,INDEX('Stock UST'!16:16,1,MATCH(Stock!C$1,'Stock UST'!$1:$1,0)))=0,"",IF(ISERROR(MATCH(Stock!C$1,'Stock UST'!$1:$1,0)),B16,INDEX('Stock UST'!16:16,1,MATCH(Stock!C$1,'Stock UST'!$1:$1,0))))</f>
        <v>208000</v>
      </c>
      <c r="D16" s="9">
        <f ca="1">IF(IF(ISERROR(MATCH(Stock!D$1,'Stock UST'!$1:$1,0)),C16,INDEX('Stock UST'!16:16,1,MATCH(Stock!D$1,'Stock UST'!$1:$1,0)))=0,"",IF(ISERROR(MATCH(Stock!D$1,'Stock UST'!$1:$1,0)),C16,INDEX('Stock UST'!16:16,1,MATCH(Stock!D$1,'Stock UST'!$1:$1,0))))</f>
        <v>208000</v>
      </c>
      <c r="E16" s="9">
        <f ca="1">IF(IF(ISERROR(MATCH(Stock!E$1,'Stock UST'!$1:$1,0)),D16,INDEX('Stock UST'!16:16,1,MATCH(Stock!E$1,'Stock UST'!$1:$1,0)))=0,"",IF(ISERROR(MATCH(Stock!E$1,'Stock UST'!$1:$1,0)),D16,INDEX('Stock UST'!16:16,1,MATCH(Stock!E$1,'Stock UST'!$1:$1,0))))</f>
        <v>208000</v>
      </c>
      <c r="F16" s="9">
        <f ca="1">IF(IF(ISERROR(MATCH(Stock!F$1,'Stock UST'!$1:$1,0)),E16,INDEX('Stock UST'!16:16,1,MATCH(Stock!F$1,'Stock UST'!$1:$1,0)))=0,"",IF(ISERROR(MATCH(Stock!F$1,'Stock UST'!$1:$1,0)),E16,INDEX('Stock UST'!16:16,1,MATCH(Stock!F$1,'Stock UST'!$1:$1,0))))</f>
        <v>208000</v>
      </c>
      <c r="G16" s="9">
        <f ca="1">IF(IF(ISERROR(MATCH(Stock!G$1,'Stock UST'!$1:$1,0)),F16,INDEX('Stock UST'!16:16,1,MATCH(Stock!G$1,'Stock UST'!$1:$1,0)))=0,"",IF(ISERROR(MATCH(Stock!G$1,'Stock UST'!$1:$1,0)),F16,INDEX('Stock UST'!16:16,1,MATCH(Stock!G$1,'Stock UST'!$1:$1,0))))</f>
        <v>208000</v>
      </c>
      <c r="H16" s="9">
        <f ca="1">IF(IF(ISERROR(MATCH(Stock!H$1,'Stock UST'!$1:$1,0)),G16,INDEX('Stock UST'!16:16,1,MATCH(Stock!H$1,'Stock UST'!$1:$1,0)))=0,"",IF(ISERROR(MATCH(Stock!H$1,'Stock UST'!$1:$1,0)),G16,INDEX('Stock UST'!16:16,1,MATCH(Stock!H$1,'Stock UST'!$1:$1,0))))</f>
        <v>208000</v>
      </c>
      <c r="I16" s="9">
        <f ca="1">IF(IF(ISERROR(MATCH(Stock!I$1,'Stock UST'!$1:$1,0)),H16,INDEX('Stock UST'!16:16,1,MATCH(Stock!I$1,'Stock UST'!$1:$1,0)))=0,"",IF(ISERROR(MATCH(Stock!I$1,'Stock UST'!$1:$1,0)),H16,INDEX('Stock UST'!16:16,1,MATCH(Stock!I$1,'Stock UST'!$1:$1,0))))</f>
        <v>208000</v>
      </c>
      <c r="J16" s="9">
        <f ca="1">IF(IF(ISERROR(MATCH(Stock!J$1,'Stock UST'!$1:$1,0)),I16,INDEX('Stock UST'!16:16,1,MATCH(Stock!J$1,'Stock UST'!$1:$1,0)))=0,"",IF(ISERROR(MATCH(Stock!J$1,'Stock UST'!$1:$1,0)),I16,INDEX('Stock UST'!16:16,1,MATCH(Stock!J$1,'Stock UST'!$1:$1,0))))</f>
        <v>208000</v>
      </c>
      <c r="K16" s="9">
        <f ca="1">IF(IF(ISERROR(MATCH(Stock!K$1,'Stock UST'!$1:$1,0)),J16,INDEX('Stock UST'!16:16,1,MATCH(Stock!K$1,'Stock UST'!$1:$1,0)))=0,"",IF(ISERROR(MATCH(Stock!K$1,'Stock UST'!$1:$1,0)),J16,INDEX('Stock UST'!16:16,1,MATCH(Stock!K$1,'Stock UST'!$1:$1,0))))</f>
        <v>208000</v>
      </c>
      <c r="L16" s="9">
        <f ca="1">IF(IF(ISERROR(MATCH(Stock!L$1,'Stock UST'!$1:$1,0)),K16,INDEX('Stock UST'!16:16,1,MATCH(Stock!L$1,'Stock UST'!$1:$1,0)))=0,"",IF(ISERROR(MATCH(Stock!L$1,'Stock UST'!$1:$1,0)),K16,INDEX('Stock UST'!16:16,1,MATCH(Stock!L$1,'Stock UST'!$1:$1,0))))</f>
        <v>208000</v>
      </c>
      <c r="M16" s="9">
        <f ca="1">IF(IF(ISERROR(MATCH(Stock!M$1,'Stock UST'!$1:$1,0)),L16,INDEX('Stock UST'!16:16,1,MATCH(Stock!M$1,'Stock UST'!$1:$1,0)))=0,"",IF(ISERROR(MATCH(Stock!M$1,'Stock UST'!$1:$1,0)),L16,INDEX('Stock UST'!16:16,1,MATCH(Stock!M$1,'Stock UST'!$1:$1,0))))</f>
        <v>208000</v>
      </c>
      <c r="N16" s="9">
        <f ca="1">IF(IF(ISERROR(MATCH(Stock!N$1,'Stock UST'!$1:$1,0)),M16,INDEX('Stock UST'!16:16,1,MATCH(Stock!N$1,'Stock UST'!$1:$1,0)))=0,"",IF(ISERROR(MATCH(Stock!N$1,'Stock UST'!$1:$1,0)),M16,INDEX('Stock UST'!16:16,1,MATCH(Stock!N$1,'Stock UST'!$1:$1,0))))</f>
        <v>208000</v>
      </c>
      <c r="O16" s="9">
        <f ca="1">IF(IF(ISERROR(MATCH(Stock!O$1,'Stock UST'!$1:$1,0)),N16,INDEX('Stock UST'!16:16,1,MATCH(Stock!O$1,'Stock UST'!$1:$1,0)))=0,"",IF(ISERROR(MATCH(Stock!O$1,'Stock UST'!$1:$1,0)),N16,INDEX('Stock UST'!16:16,1,MATCH(Stock!O$1,'Stock UST'!$1:$1,0))))</f>
        <v>208000</v>
      </c>
      <c r="P16" s="9">
        <f ca="1">IF(IF(ISERROR(MATCH(Stock!P$1,'Stock UST'!$1:$1,0)),O16,INDEX('Stock UST'!16:16,1,MATCH(Stock!P$1,'Stock UST'!$1:$1,0)))=0,"",IF(ISERROR(MATCH(Stock!P$1,'Stock UST'!$1:$1,0)),O16,INDEX('Stock UST'!16:16,1,MATCH(Stock!P$1,'Stock UST'!$1:$1,0))))</f>
        <v>208000</v>
      </c>
      <c r="Q16" s="9">
        <f ca="1">IF(IF(ISERROR(MATCH(Stock!Q$1,'Stock UST'!$1:$1,0)),P16,INDEX('Stock UST'!16:16,1,MATCH(Stock!Q$1,'Stock UST'!$1:$1,0)))=0,"",IF(ISERROR(MATCH(Stock!Q$1,'Stock UST'!$1:$1,0)),P16,INDEX('Stock UST'!16:16,1,MATCH(Stock!Q$1,'Stock UST'!$1:$1,0))))</f>
        <v>208000</v>
      </c>
      <c r="R16" s="9">
        <f ca="1">IF(IF(ISERROR(MATCH(Stock!R$1,'Stock UST'!$1:$1,0)),Q16,INDEX('Stock UST'!16:16,1,MATCH(Stock!R$1,'Stock UST'!$1:$1,0)))=0,"",IF(ISERROR(MATCH(Stock!R$1,'Stock UST'!$1:$1,0)),Q16,INDEX('Stock UST'!16:16,1,MATCH(Stock!R$1,'Stock UST'!$1:$1,0))))</f>
        <v>208000</v>
      </c>
      <c r="S16" s="9">
        <f ca="1">IF(IF(ISERROR(MATCH(Stock!S$1,'Stock UST'!$1:$1,0)),R16,INDEX('Stock UST'!16:16,1,MATCH(Stock!S$1,'Stock UST'!$1:$1,0)))=0,"",IF(ISERROR(MATCH(Stock!S$1,'Stock UST'!$1:$1,0)),R16,INDEX('Stock UST'!16:16,1,MATCH(Stock!S$1,'Stock UST'!$1:$1,0))))</f>
        <v>208000</v>
      </c>
      <c r="T16" s="9">
        <f ca="1">IF(IF(ISERROR(MATCH(Stock!T$1,'Stock UST'!$1:$1,0)),S16,INDEX('Stock UST'!16:16,1,MATCH(Stock!T$1,'Stock UST'!$1:$1,0)))=0,"",IF(ISERROR(MATCH(Stock!T$1,'Stock UST'!$1:$1,0)),S16,INDEX('Stock UST'!16:16,1,MATCH(Stock!T$1,'Stock UST'!$1:$1,0))))</f>
        <v>208000</v>
      </c>
      <c r="U16" s="9">
        <f ca="1">IF(IF(ISERROR(MATCH(Stock!U$1,'Stock UST'!$1:$1,0)),T16,INDEX('Stock UST'!16:16,1,MATCH(Stock!U$1,'Stock UST'!$1:$1,0)))=0,"",IF(ISERROR(MATCH(Stock!U$1,'Stock UST'!$1:$1,0)),T16,INDEX('Stock UST'!16:16,1,MATCH(Stock!U$1,'Stock UST'!$1:$1,0))))</f>
        <v>208000</v>
      </c>
      <c r="V16" s="9">
        <f ca="1">IF(IF(ISERROR(MATCH(Stock!V$1,'Stock UST'!$1:$1,0)),U16,INDEX('Stock UST'!16:16,1,MATCH(Stock!V$1,'Stock UST'!$1:$1,0)))=0,"",IF(ISERROR(MATCH(Stock!V$1,'Stock UST'!$1:$1,0)),U16,INDEX('Stock UST'!16:16,1,MATCH(Stock!V$1,'Stock UST'!$1:$1,0))))</f>
        <v>208000</v>
      </c>
      <c r="W16" s="9">
        <f ca="1">IF(IF(ISERROR(MATCH(Stock!W$1,'Stock UST'!$1:$1,0)),V16,INDEX('Stock UST'!16:16,1,MATCH(Stock!W$1,'Stock UST'!$1:$1,0)))=0,"",IF(ISERROR(MATCH(Stock!W$1,'Stock UST'!$1:$1,0)),V16,INDEX('Stock UST'!16:16,1,MATCH(Stock!W$1,'Stock UST'!$1:$1,0))))</f>
        <v>208000</v>
      </c>
      <c r="X16" s="9">
        <f ca="1">IF(IF(ISERROR(MATCH(Stock!X$1,'Stock UST'!$1:$1,0)),W16,INDEX('Stock UST'!16:16,1,MATCH(Stock!X$1,'Stock UST'!$1:$1,0)))=0,"",IF(ISERROR(MATCH(Stock!X$1,'Stock UST'!$1:$1,0)),W16,INDEX('Stock UST'!16:16,1,MATCH(Stock!X$1,'Stock UST'!$1:$1,0))))</f>
        <v>208000</v>
      </c>
      <c r="Y16" s="9">
        <f ca="1">IF(IF(ISERROR(MATCH(Stock!Y$1,'Stock UST'!$1:$1,0)),X16,INDEX('Stock UST'!16:16,1,MATCH(Stock!Y$1,'Stock UST'!$1:$1,0)))=0,"",IF(ISERROR(MATCH(Stock!Y$1,'Stock UST'!$1:$1,0)),X16,INDEX('Stock UST'!16:16,1,MATCH(Stock!Y$1,'Stock UST'!$1:$1,0))))</f>
        <v>208000</v>
      </c>
      <c r="Z16" s="9">
        <f ca="1">IF(IF(ISERROR(MATCH(Stock!Z$1,'Stock UST'!$1:$1,0)),Y16,INDEX('Stock UST'!16:16,1,MATCH(Stock!Z$1,'Stock UST'!$1:$1,0)))=0,"",IF(ISERROR(MATCH(Stock!Z$1,'Stock UST'!$1:$1,0)),Y16,INDEX('Stock UST'!16:16,1,MATCH(Stock!Z$1,'Stock UST'!$1:$1,0))))</f>
        <v>208000</v>
      </c>
      <c r="AA16" s="9">
        <f ca="1">IF(IF(ISERROR(MATCH(Stock!AA$1,'Stock UST'!$1:$1,0)),Z16,INDEX('Stock UST'!16:16,1,MATCH(Stock!AA$1,'Stock UST'!$1:$1,0)))=0,"",IF(ISERROR(MATCH(Stock!AA$1,'Stock UST'!$1:$1,0)),Z16,INDEX('Stock UST'!16:16,1,MATCH(Stock!AA$1,'Stock UST'!$1:$1,0))))</f>
        <v>208000</v>
      </c>
      <c r="AB16" s="9">
        <f ca="1">IF(IF(ISERROR(MATCH(Stock!AB$1,'Stock UST'!$1:$1,0)),AA16,INDEX('Stock UST'!16:16,1,MATCH(Stock!AB$1,'Stock UST'!$1:$1,0)))=0,"",IF(ISERROR(MATCH(Stock!AB$1,'Stock UST'!$1:$1,0)),AA16,INDEX('Stock UST'!16:16,1,MATCH(Stock!AB$1,'Stock UST'!$1:$1,0))))</f>
        <v>208000</v>
      </c>
      <c r="AC16" s="9">
        <f ca="1">IF(IF(ISERROR(MATCH(Stock!AC$1,'Stock UST'!$1:$1,0)),AB16,INDEX('Stock UST'!16:16,1,MATCH(Stock!AC$1,'Stock UST'!$1:$1,0)))=0,"",IF(ISERROR(MATCH(Stock!AC$1,'Stock UST'!$1:$1,0)),AB16,INDEX('Stock UST'!16:16,1,MATCH(Stock!AC$1,'Stock UST'!$1:$1,0))))</f>
        <v>208000</v>
      </c>
      <c r="AD16" s="9">
        <f ca="1">IF(IF(ISERROR(MATCH(Stock!AD$1,'Stock UST'!$1:$1,0)),AC16,INDEX('Stock UST'!16:16,1,MATCH(Stock!AD$1,'Stock UST'!$1:$1,0)))=0,"",IF(ISERROR(MATCH(Stock!AD$1,'Stock UST'!$1:$1,0)),AC16,INDEX('Stock UST'!16:16,1,MATCH(Stock!AD$1,'Stock UST'!$1:$1,0))))</f>
        <v>208000</v>
      </c>
      <c r="AE16" s="9">
        <f ca="1">IF(IF(ISERROR(MATCH(Stock!AE$1,'Stock UST'!$1:$1,0)),AD16,INDEX('Stock UST'!16:16,1,MATCH(Stock!AE$1,'Stock UST'!$1:$1,0)))=0,"",IF(ISERROR(MATCH(Stock!AE$1,'Stock UST'!$1:$1,0)),AD16,INDEX('Stock UST'!16:16,1,MATCH(Stock!AE$1,'Stock UST'!$1:$1,0))))</f>
        <v>208000</v>
      </c>
      <c r="AF16" s="9">
        <f ca="1">IF(IF(ISERROR(MATCH(Stock!AF$1,'Stock UST'!$1:$1,0)),AE16,INDEX('Stock UST'!16:16,1,MATCH(Stock!AF$1,'Stock UST'!$1:$1,0)))=0,"",IF(ISERROR(MATCH(Stock!AF$1,'Stock UST'!$1:$1,0)),AE16,INDEX('Stock UST'!16:16,1,MATCH(Stock!AF$1,'Stock UST'!$1:$1,0))))</f>
        <v>208000</v>
      </c>
      <c r="AG16" s="9">
        <f ca="1">IF(IF(ISERROR(MATCH(Stock!AG$1,'Stock UST'!$1:$1,0)),AF16,INDEX('Stock UST'!16:16,1,MATCH(Stock!AG$1,'Stock UST'!$1:$1,0)))=0,"",IF(ISERROR(MATCH(Stock!AG$1,'Stock UST'!$1:$1,0)),AF16,INDEX('Stock UST'!16:16,1,MATCH(Stock!AG$1,'Stock UST'!$1:$1,0))))</f>
        <v>208000</v>
      </c>
      <c r="AH16" s="9">
        <f ca="1">IF(IF(ISERROR(MATCH(Stock!AH$1,'Stock UST'!$1:$1,0)),AG16,INDEX('Stock UST'!16:16,1,MATCH(Stock!AH$1,'Stock UST'!$1:$1,0)))=0,"",IF(ISERROR(MATCH(Stock!AH$1,'Stock UST'!$1:$1,0)),AG16,INDEX('Stock UST'!16:16,1,MATCH(Stock!AH$1,'Stock UST'!$1:$1,0))))</f>
        <v>208000</v>
      </c>
      <c r="AI16" s="9">
        <f ca="1">IF(IF(ISERROR(MATCH(Stock!AI$1,'Stock UST'!$1:$1,0)),AH16,INDEX('Stock UST'!16:16,1,MATCH(Stock!AI$1,'Stock UST'!$1:$1,0)))=0,"",IF(ISERROR(MATCH(Stock!AI$1,'Stock UST'!$1:$1,0)),AH16,INDEX('Stock UST'!16:16,1,MATCH(Stock!AI$1,'Stock UST'!$1:$1,0))))</f>
        <v>208000</v>
      </c>
      <c r="AJ16" s="9">
        <f ca="1">IF(IF(ISERROR(MATCH(Stock!AJ$1,'Stock UST'!$1:$1,0)),AI16,INDEX('Stock UST'!16:16,1,MATCH(Stock!AJ$1,'Stock UST'!$1:$1,0)))=0,"",IF(ISERROR(MATCH(Stock!AJ$1,'Stock UST'!$1:$1,0)),AI16,INDEX('Stock UST'!16:16,1,MATCH(Stock!AJ$1,'Stock UST'!$1:$1,0))))</f>
        <v>208000</v>
      </c>
      <c r="AK16" s="9">
        <f ca="1">IF(IF(ISERROR(MATCH(Stock!AK$1,'Stock UST'!$1:$1,0)),AJ16,INDEX('Stock UST'!16:16,1,MATCH(Stock!AK$1,'Stock UST'!$1:$1,0)))=0,"",IF(ISERROR(MATCH(Stock!AK$1,'Stock UST'!$1:$1,0)),AJ16,INDEX('Stock UST'!16:16,1,MATCH(Stock!AK$1,'Stock UST'!$1:$1,0))))</f>
        <v>208000</v>
      </c>
      <c r="AL16" s="9">
        <f ca="1">IF(IF(ISERROR(MATCH(Stock!AL$1,'Stock UST'!$1:$1,0)),AK16,INDEX('Stock UST'!16:16,1,MATCH(Stock!AL$1,'Stock UST'!$1:$1,0)))=0,"",IF(ISERROR(MATCH(Stock!AL$1,'Stock UST'!$1:$1,0)),AK16,INDEX('Stock UST'!16:16,1,MATCH(Stock!AL$1,'Stock UST'!$1:$1,0))))</f>
        <v>208000</v>
      </c>
      <c r="AM16" s="9">
        <f ca="1">IF(IF(ISERROR(MATCH(Stock!AM$1,'Stock UST'!$1:$1,0)),AL16,INDEX('Stock UST'!16:16,1,MATCH(Stock!AM$1,'Stock UST'!$1:$1,0)))=0,"",IF(ISERROR(MATCH(Stock!AM$1,'Stock UST'!$1:$1,0)),AL16,INDEX('Stock UST'!16:16,1,MATCH(Stock!AM$1,'Stock UST'!$1:$1,0))))</f>
        <v>208000</v>
      </c>
      <c r="AN16" s="9">
        <f ca="1">IF(IF(ISERROR(MATCH(Stock!AN$1,'Stock UST'!$1:$1,0)),AM16,INDEX('Stock UST'!16:16,1,MATCH(Stock!AN$1,'Stock UST'!$1:$1,0)))=0,"",IF(ISERROR(MATCH(Stock!AN$1,'Stock UST'!$1:$1,0)),AM16,INDEX('Stock UST'!16:16,1,MATCH(Stock!AN$1,'Stock UST'!$1:$1,0))))</f>
        <v>208000</v>
      </c>
      <c r="AO16" s="9">
        <f ca="1">IF(IF(ISERROR(MATCH(Stock!AO$1,'Stock UST'!$1:$1,0)),AN16,INDEX('Stock UST'!16:16,1,MATCH(Stock!AO$1,'Stock UST'!$1:$1,0)))=0,"",IF(ISERROR(MATCH(Stock!AO$1,'Stock UST'!$1:$1,0)),AN16,INDEX('Stock UST'!16:16,1,MATCH(Stock!AO$1,'Stock UST'!$1:$1,0))))</f>
        <v>208000</v>
      </c>
      <c r="AP16" s="9">
        <f ca="1">IF(IF(ISERROR(MATCH(Stock!AP$1,'Stock UST'!$1:$1,0)),AO16,INDEX('Stock UST'!16:16,1,MATCH(Stock!AP$1,'Stock UST'!$1:$1,0)))=0,"",IF(ISERROR(MATCH(Stock!AP$1,'Stock UST'!$1:$1,0)),AO16,INDEX('Stock UST'!16:16,1,MATCH(Stock!AP$1,'Stock UST'!$1:$1,0))))</f>
        <v>208000</v>
      </c>
      <c r="AQ16" s="9">
        <f ca="1">IF(IF(ISERROR(MATCH(Stock!AQ$1,'Stock UST'!$1:$1,0)),AP16,INDEX('Stock UST'!16:16,1,MATCH(Stock!AQ$1,'Stock UST'!$1:$1,0)))=0,"",IF(ISERROR(MATCH(Stock!AQ$1,'Stock UST'!$1:$1,0)),AP16,INDEX('Stock UST'!16:16,1,MATCH(Stock!AQ$1,'Stock UST'!$1:$1,0))))</f>
        <v>208000</v>
      </c>
      <c r="AR16" s="9">
        <f ca="1">IF(IF(ISERROR(MATCH(Stock!AR$1,'Stock UST'!$1:$1,0)),AQ16,INDEX('Stock UST'!16:16,1,MATCH(Stock!AR$1,'Stock UST'!$1:$1,0)))=0,"",IF(ISERROR(MATCH(Stock!AR$1,'Stock UST'!$1:$1,0)),AQ16,INDEX('Stock UST'!16:16,1,MATCH(Stock!AR$1,'Stock UST'!$1:$1,0))))</f>
        <v>208000</v>
      </c>
      <c r="AS16" s="9">
        <f ca="1">IF(IF(ISERROR(MATCH(Stock!AS$1,'Stock UST'!$1:$1,0)),AR16,INDEX('Stock UST'!16:16,1,MATCH(Stock!AS$1,'Stock UST'!$1:$1,0)))=0,"",IF(ISERROR(MATCH(Stock!AS$1,'Stock UST'!$1:$1,0)),AR16,INDEX('Stock UST'!16:16,1,MATCH(Stock!AS$1,'Stock UST'!$1:$1,0))))</f>
        <v>208000</v>
      </c>
      <c r="AT16" s="9">
        <f ca="1">IF(IF(ISERROR(MATCH(Stock!AT$1,'Stock UST'!$1:$1,0)),AS16,INDEX('Stock UST'!16:16,1,MATCH(Stock!AT$1,'Stock UST'!$1:$1,0)))=0,"",IF(ISERROR(MATCH(Stock!AT$1,'Stock UST'!$1:$1,0)),AS16,INDEX('Stock UST'!16:16,1,MATCH(Stock!AT$1,'Stock UST'!$1:$1,0))))</f>
        <v>208000</v>
      </c>
      <c r="AU16" s="9">
        <f ca="1">IF(IF(ISERROR(MATCH(Stock!AU$1,'Stock UST'!$1:$1,0)),AT16,INDEX('Stock UST'!16:16,1,MATCH(Stock!AU$1,'Stock UST'!$1:$1,0)))=0,"",IF(ISERROR(MATCH(Stock!AU$1,'Stock UST'!$1:$1,0)),AT16,INDEX('Stock UST'!16:16,1,MATCH(Stock!AU$1,'Stock UST'!$1:$1,0))))</f>
        <v>208000</v>
      </c>
      <c r="AV16" s="9">
        <f ca="1">IF(IF(ISERROR(MATCH(Stock!AV$1,'Stock UST'!$1:$1,0)),AU16,INDEX('Stock UST'!16:16,1,MATCH(Stock!AV$1,'Stock UST'!$1:$1,0)))=0,"",IF(ISERROR(MATCH(Stock!AV$1,'Stock UST'!$1:$1,0)),AU16,INDEX('Stock UST'!16:16,1,MATCH(Stock!AV$1,'Stock UST'!$1:$1,0))))</f>
        <v>208000</v>
      </c>
      <c r="AW16" s="9">
        <f ca="1">IF(IF(ISERROR(MATCH(Stock!AW$1,'Stock UST'!$1:$1,0)),AV16,INDEX('Stock UST'!16:16,1,MATCH(Stock!AW$1,'Stock UST'!$1:$1,0)))=0,"",IF(ISERROR(MATCH(Stock!AW$1,'Stock UST'!$1:$1,0)),AV16,INDEX('Stock UST'!16:16,1,MATCH(Stock!AW$1,'Stock UST'!$1:$1,0))))</f>
        <v>208000</v>
      </c>
      <c r="AX16" s="9">
        <f ca="1">IF(IF(ISERROR(MATCH(Stock!AX$1,'Stock UST'!$1:$1,0)),AW16,INDEX('Stock UST'!16:16,1,MATCH(Stock!AX$1,'Stock UST'!$1:$1,0)))=0,"",IF(ISERROR(MATCH(Stock!AX$1,'Stock UST'!$1:$1,0)),AW16,INDEX('Stock UST'!16:16,1,MATCH(Stock!AX$1,'Stock UST'!$1:$1,0))))</f>
        <v>208000</v>
      </c>
    </row>
    <row r="17" spans="1:50" x14ac:dyDescent="0.3">
      <c r="A17" s="9">
        <f>IF('Stock UST'!E17="","",'Stock UST'!E17)</f>
        <v>312000</v>
      </c>
      <c r="B17" s="9">
        <f>IF(IF(ISERROR(MATCH(Stock!B$1,'Stock UST'!$1:$1,0)),A17,INDEX('Stock UST'!17:17,1,MATCH(Stock!B$1,'Stock UST'!$1:$1,0)))=0,"",IF(ISERROR(MATCH(Stock!B$1,'Stock UST'!$1:$1,0)),A17,INDEX('Stock UST'!17:17,1,MATCH(Stock!B$1,'Stock UST'!$1:$1,0))))</f>
        <v>312000</v>
      </c>
      <c r="C17" s="9">
        <f ca="1">IF(IF(ISERROR(MATCH(Stock!C$1,'Stock UST'!$1:$1,0)),B17,INDEX('Stock UST'!17:17,1,MATCH(Stock!C$1,'Stock UST'!$1:$1,0)))=0,"",IF(ISERROR(MATCH(Stock!C$1,'Stock UST'!$1:$1,0)),B17,INDEX('Stock UST'!17:17,1,MATCH(Stock!C$1,'Stock UST'!$1:$1,0))))</f>
        <v>312000</v>
      </c>
      <c r="D17" s="9">
        <f ca="1">IF(IF(ISERROR(MATCH(Stock!D$1,'Stock UST'!$1:$1,0)),C17,INDEX('Stock UST'!17:17,1,MATCH(Stock!D$1,'Stock UST'!$1:$1,0)))=0,"",IF(ISERROR(MATCH(Stock!D$1,'Stock UST'!$1:$1,0)),C17,INDEX('Stock UST'!17:17,1,MATCH(Stock!D$1,'Stock UST'!$1:$1,0))))</f>
        <v>312000</v>
      </c>
      <c r="E17" s="9">
        <f ca="1">IF(IF(ISERROR(MATCH(Stock!E$1,'Stock UST'!$1:$1,0)),D17,INDEX('Stock UST'!17:17,1,MATCH(Stock!E$1,'Stock UST'!$1:$1,0)))=0,"",IF(ISERROR(MATCH(Stock!E$1,'Stock UST'!$1:$1,0)),D17,INDEX('Stock UST'!17:17,1,MATCH(Stock!E$1,'Stock UST'!$1:$1,0))))</f>
        <v>312000</v>
      </c>
      <c r="F17" s="9">
        <f ca="1">IF(IF(ISERROR(MATCH(Stock!F$1,'Stock UST'!$1:$1,0)),E17,INDEX('Stock UST'!17:17,1,MATCH(Stock!F$1,'Stock UST'!$1:$1,0)))=0,"",IF(ISERROR(MATCH(Stock!F$1,'Stock UST'!$1:$1,0)),E17,INDEX('Stock UST'!17:17,1,MATCH(Stock!F$1,'Stock UST'!$1:$1,0))))</f>
        <v>312000</v>
      </c>
      <c r="G17" s="9">
        <f ca="1">IF(IF(ISERROR(MATCH(Stock!G$1,'Stock UST'!$1:$1,0)),F17,INDEX('Stock UST'!17:17,1,MATCH(Stock!G$1,'Stock UST'!$1:$1,0)))=0,"",IF(ISERROR(MATCH(Stock!G$1,'Stock UST'!$1:$1,0)),F17,INDEX('Stock UST'!17:17,1,MATCH(Stock!G$1,'Stock UST'!$1:$1,0))))</f>
        <v>312000</v>
      </c>
      <c r="H17" s="9">
        <f ca="1">IF(IF(ISERROR(MATCH(Stock!H$1,'Stock UST'!$1:$1,0)),G17,INDEX('Stock UST'!17:17,1,MATCH(Stock!H$1,'Stock UST'!$1:$1,0)))=0,"",IF(ISERROR(MATCH(Stock!H$1,'Stock UST'!$1:$1,0)),G17,INDEX('Stock UST'!17:17,1,MATCH(Stock!H$1,'Stock UST'!$1:$1,0))))</f>
        <v>312000</v>
      </c>
      <c r="I17" s="9">
        <f ca="1">IF(IF(ISERROR(MATCH(Stock!I$1,'Stock UST'!$1:$1,0)),H17,INDEX('Stock UST'!17:17,1,MATCH(Stock!I$1,'Stock UST'!$1:$1,0)))=0,"",IF(ISERROR(MATCH(Stock!I$1,'Stock UST'!$1:$1,0)),H17,INDEX('Stock UST'!17:17,1,MATCH(Stock!I$1,'Stock UST'!$1:$1,0))))</f>
        <v>312000</v>
      </c>
      <c r="J17" s="9">
        <f ca="1">IF(IF(ISERROR(MATCH(Stock!J$1,'Stock UST'!$1:$1,0)),I17,INDEX('Stock UST'!17:17,1,MATCH(Stock!J$1,'Stock UST'!$1:$1,0)))=0,"",IF(ISERROR(MATCH(Stock!J$1,'Stock UST'!$1:$1,0)),I17,INDEX('Stock UST'!17:17,1,MATCH(Stock!J$1,'Stock UST'!$1:$1,0))))</f>
        <v>312000</v>
      </c>
      <c r="K17" s="9">
        <f ca="1">IF(IF(ISERROR(MATCH(Stock!K$1,'Stock UST'!$1:$1,0)),J17,INDEX('Stock UST'!17:17,1,MATCH(Stock!K$1,'Stock UST'!$1:$1,0)))=0,"",IF(ISERROR(MATCH(Stock!K$1,'Stock UST'!$1:$1,0)),J17,INDEX('Stock UST'!17:17,1,MATCH(Stock!K$1,'Stock UST'!$1:$1,0))))</f>
        <v>312000</v>
      </c>
      <c r="L17" s="9">
        <f ca="1">IF(IF(ISERROR(MATCH(Stock!L$1,'Stock UST'!$1:$1,0)),K17,INDEX('Stock UST'!17:17,1,MATCH(Stock!L$1,'Stock UST'!$1:$1,0)))=0,"",IF(ISERROR(MATCH(Stock!L$1,'Stock UST'!$1:$1,0)),K17,INDEX('Stock UST'!17:17,1,MATCH(Stock!L$1,'Stock UST'!$1:$1,0))))</f>
        <v>312000</v>
      </c>
      <c r="M17" s="9">
        <f ca="1">IF(IF(ISERROR(MATCH(Stock!M$1,'Stock UST'!$1:$1,0)),L17,INDEX('Stock UST'!17:17,1,MATCH(Stock!M$1,'Stock UST'!$1:$1,0)))=0,"",IF(ISERROR(MATCH(Stock!M$1,'Stock UST'!$1:$1,0)),L17,INDEX('Stock UST'!17:17,1,MATCH(Stock!M$1,'Stock UST'!$1:$1,0))))</f>
        <v>312000</v>
      </c>
      <c r="N17" s="9">
        <f ca="1">IF(IF(ISERROR(MATCH(Stock!N$1,'Stock UST'!$1:$1,0)),M17,INDEX('Stock UST'!17:17,1,MATCH(Stock!N$1,'Stock UST'!$1:$1,0)))=0,"",IF(ISERROR(MATCH(Stock!N$1,'Stock UST'!$1:$1,0)),M17,INDEX('Stock UST'!17:17,1,MATCH(Stock!N$1,'Stock UST'!$1:$1,0))))</f>
        <v>312000</v>
      </c>
      <c r="O17" s="9">
        <f ca="1">IF(IF(ISERROR(MATCH(Stock!O$1,'Stock UST'!$1:$1,0)),N17,INDEX('Stock UST'!17:17,1,MATCH(Stock!O$1,'Stock UST'!$1:$1,0)))=0,"",IF(ISERROR(MATCH(Stock!O$1,'Stock UST'!$1:$1,0)),N17,INDEX('Stock UST'!17:17,1,MATCH(Stock!O$1,'Stock UST'!$1:$1,0))))</f>
        <v>312000</v>
      </c>
      <c r="P17" s="9">
        <f ca="1">IF(IF(ISERROR(MATCH(Stock!P$1,'Stock UST'!$1:$1,0)),O17,INDEX('Stock UST'!17:17,1,MATCH(Stock!P$1,'Stock UST'!$1:$1,0)))=0,"",IF(ISERROR(MATCH(Stock!P$1,'Stock UST'!$1:$1,0)),O17,INDEX('Stock UST'!17:17,1,MATCH(Stock!P$1,'Stock UST'!$1:$1,0))))</f>
        <v>312000</v>
      </c>
      <c r="Q17" s="9">
        <f ca="1">IF(IF(ISERROR(MATCH(Stock!Q$1,'Stock UST'!$1:$1,0)),P17,INDEX('Stock UST'!17:17,1,MATCH(Stock!Q$1,'Stock UST'!$1:$1,0)))=0,"",IF(ISERROR(MATCH(Stock!Q$1,'Stock UST'!$1:$1,0)),P17,INDEX('Stock UST'!17:17,1,MATCH(Stock!Q$1,'Stock UST'!$1:$1,0))))</f>
        <v>312000</v>
      </c>
      <c r="R17" s="9">
        <f ca="1">IF(IF(ISERROR(MATCH(Stock!R$1,'Stock UST'!$1:$1,0)),Q17,INDEX('Stock UST'!17:17,1,MATCH(Stock!R$1,'Stock UST'!$1:$1,0)))=0,"",IF(ISERROR(MATCH(Stock!R$1,'Stock UST'!$1:$1,0)),Q17,INDEX('Stock UST'!17:17,1,MATCH(Stock!R$1,'Stock UST'!$1:$1,0))))</f>
        <v>312000</v>
      </c>
      <c r="S17" s="9">
        <f ca="1">IF(IF(ISERROR(MATCH(Stock!S$1,'Stock UST'!$1:$1,0)),R17,INDEX('Stock UST'!17:17,1,MATCH(Stock!S$1,'Stock UST'!$1:$1,0)))=0,"",IF(ISERROR(MATCH(Stock!S$1,'Stock UST'!$1:$1,0)),R17,INDEX('Stock UST'!17:17,1,MATCH(Stock!S$1,'Stock UST'!$1:$1,0))))</f>
        <v>312000</v>
      </c>
      <c r="T17" s="9">
        <f ca="1">IF(IF(ISERROR(MATCH(Stock!T$1,'Stock UST'!$1:$1,0)),S17,INDEX('Stock UST'!17:17,1,MATCH(Stock!T$1,'Stock UST'!$1:$1,0)))=0,"",IF(ISERROR(MATCH(Stock!T$1,'Stock UST'!$1:$1,0)),S17,INDEX('Stock UST'!17:17,1,MATCH(Stock!T$1,'Stock UST'!$1:$1,0))))</f>
        <v>312000</v>
      </c>
      <c r="U17" s="9">
        <f ca="1">IF(IF(ISERROR(MATCH(Stock!U$1,'Stock UST'!$1:$1,0)),T17,INDEX('Stock UST'!17:17,1,MATCH(Stock!U$1,'Stock UST'!$1:$1,0)))=0,"",IF(ISERROR(MATCH(Stock!U$1,'Stock UST'!$1:$1,0)),T17,INDEX('Stock UST'!17:17,1,MATCH(Stock!U$1,'Stock UST'!$1:$1,0))))</f>
        <v>312000</v>
      </c>
      <c r="V17" s="9">
        <f ca="1">IF(IF(ISERROR(MATCH(Stock!V$1,'Stock UST'!$1:$1,0)),U17,INDEX('Stock UST'!17:17,1,MATCH(Stock!V$1,'Stock UST'!$1:$1,0)))=0,"",IF(ISERROR(MATCH(Stock!V$1,'Stock UST'!$1:$1,0)),U17,INDEX('Stock UST'!17:17,1,MATCH(Stock!V$1,'Stock UST'!$1:$1,0))))</f>
        <v>312000</v>
      </c>
      <c r="W17" s="9">
        <f ca="1">IF(IF(ISERROR(MATCH(Stock!W$1,'Stock UST'!$1:$1,0)),V17,INDEX('Stock UST'!17:17,1,MATCH(Stock!W$1,'Stock UST'!$1:$1,0)))=0,"",IF(ISERROR(MATCH(Stock!W$1,'Stock UST'!$1:$1,0)),V17,INDEX('Stock UST'!17:17,1,MATCH(Stock!W$1,'Stock UST'!$1:$1,0))))</f>
        <v>312000</v>
      </c>
      <c r="X17" s="9">
        <f ca="1">IF(IF(ISERROR(MATCH(Stock!X$1,'Stock UST'!$1:$1,0)),W17,INDEX('Stock UST'!17:17,1,MATCH(Stock!X$1,'Stock UST'!$1:$1,0)))=0,"",IF(ISERROR(MATCH(Stock!X$1,'Stock UST'!$1:$1,0)),W17,INDEX('Stock UST'!17:17,1,MATCH(Stock!X$1,'Stock UST'!$1:$1,0))))</f>
        <v>312000</v>
      </c>
      <c r="Y17" s="9">
        <f ca="1">IF(IF(ISERROR(MATCH(Stock!Y$1,'Stock UST'!$1:$1,0)),X17,INDEX('Stock UST'!17:17,1,MATCH(Stock!Y$1,'Stock UST'!$1:$1,0)))=0,"",IF(ISERROR(MATCH(Stock!Y$1,'Stock UST'!$1:$1,0)),X17,INDEX('Stock UST'!17:17,1,MATCH(Stock!Y$1,'Stock UST'!$1:$1,0))))</f>
        <v>312000</v>
      </c>
      <c r="Z17" s="9">
        <f ca="1">IF(IF(ISERROR(MATCH(Stock!Z$1,'Stock UST'!$1:$1,0)),Y17,INDEX('Stock UST'!17:17,1,MATCH(Stock!Z$1,'Stock UST'!$1:$1,0)))=0,"",IF(ISERROR(MATCH(Stock!Z$1,'Stock UST'!$1:$1,0)),Y17,INDEX('Stock UST'!17:17,1,MATCH(Stock!Z$1,'Stock UST'!$1:$1,0))))</f>
        <v>312000</v>
      </c>
      <c r="AA17" s="9">
        <f ca="1">IF(IF(ISERROR(MATCH(Stock!AA$1,'Stock UST'!$1:$1,0)),Z17,INDEX('Stock UST'!17:17,1,MATCH(Stock!AA$1,'Stock UST'!$1:$1,0)))=0,"",IF(ISERROR(MATCH(Stock!AA$1,'Stock UST'!$1:$1,0)),Z17,INDEX('Stock UST'!17:17,1,MATCH(Stock!AA$1,'Stock UST'!$1:$1,0))))</f>
        <v>312000</v>
      </c>
      <c r="AB17" s="9">
        <f ca="1">IF(IF(ISERROR(MATCH(Stock!AB$1,'Stock UST'!$1:$1,0)),AA17,INDEX('Stock UST'!17:17,1,MATCH(Stock!AB$1,'Stock UST'!$1:$1,0)))=0,"",IF(ISERROR(MATCH(Stock!AB$1,'Stock UST'!$1:$1,0)),AA17,INDEX('Stock UST'!17:17,1,MATCH(Stock!AB$1,'Stock UST'!$1:$1,0))))</f>
        <v>312000</v>
      </c>
      <c r="AC17" s="9">
        <f ca="1">IF(IF(ISERROR(MATCH(Stock!AC$1,'Stock UST'!$1:$1,0)),AB17,INDEX('Stock UST'!17:17,1,MATCH(Stock!AC$1,'Stock UST'!$1:$1,0)))=0,"",IF(ISERROR(MATCH(Stock!AC$1,'Stock UST'!$1:$1,0)),AB17,INDEX('Stock UST'!17:17,1,MATCH(Stock!AC$1,'Stock UST'!$1:$1,0))))</f>
        <v>312000</v>
      </c>
      <c r="AD17" s="9">
        <f ca="1">IF(IF(ISERROR(MATCH(Stock!AD$1,'Stock UST'!$1:$1,0)),AC17,INDEX('Stock UST'!17:17,1,MATCH(Stock!AD$1,'Stock UST'!$1:$1,0)))=0,"",IF(ISERROR(MATCH(Stock!AD$1,'Stock UST'!$1:$1,0)),AC17,INDEX('Stock UST'!17:17,1,MATCH(Stock!AD$1,'Stock UST'!$1:$1,0))))</f>
        <v>312000</v>
      </c>
      <c r="AE17" s="9">
        <f ca="1">IF(IF(ISERROR(MATCH(Stock!AE$1,'Stock UST'!$1:$1,0)),AD17,INDEX('Stock UST'!17:17,1,MATCH(Stock!AE$1,'Stock UST'!$1:$1,0)))=0,"",IF(ISERROR(MATCH(Stock!AE$1,'Stock UST'!$1:$1,0)),AD17,INDEX('Stock UST'!17:17,1,MATCH(Stock!AE$1,'Stock UST'!$1:$1,0))))</f>
        <v>312000</v>
      </c>
      <c r="AF17" s="9">
        <f ca="1">IF(IF(ISERROR(MATCH(Stock!AF$1,'Stock UST'!$1:$1,0)),AE17,INDEX('Stock UST'!17:17,1,MATCH(Stock!AF$1,'Stock UST'!$1:$1,0)))=0,"",IF(ISERROR(MATCH(Stock!AF$1,'Stock UST'!$1:$1,0)),AE17,INDEX('Stock UST'!17:17,1,MATCH(Stock!AF$1,'Stock UST'!$1:$1,0))))</f>
        <v>312000</v>
      </c>
      <c r="AG17" s="9">
        <f ca="1">IF(IF(ISERROR(MATCH(Stock!AG$1,'Stock UST'!$1:$1,0)),AF17,INDEX('Stock UST'!17:17,1,MATCH(Stock!AG$1,'Stock UST'!$1:$1,0)))=0,"",IF(ISERROR(MATCH(Stock!AG$1,'Stock UST'!$1:$1,0)),AF17,INDEX('Stock UST'!17:17,1,MATCH(Stock!AG$1,'Stock UST'!$1:$1,0))))</f>
        <v>312000</v>
      </c>
      <c r="AH17" s="9">
        <f ca="1">IF(IF(ISERROR(MATCH(Stock!AH$1,'Stock UST'!$1:$1,0)),AG17,INDEX('Stock UST'!17:17,1,MATCH(Stock!AH$1,'Stock UST'!$1:$1,0)))=0,"",IF(ISERROR(MATCH(Stock!AH$1,'Stock UST'!$1:$1,0)),AG17,INDEX('Stock UST'!17:17,1,MATCH(Stock!AH$1,'Stock UST'!$1:$1,0))))</f>
        <v>312000</v>
      </c>
      <c r="AI17" s="9">
        <f ca="1">IF(IF(ISERROR(MATCH(Stock!AI$1,'Stock UST'!$1:$1,0)),AH17,INDEX('Stock UST'!17:17,1,MATCH(Stock!AI$1,'Stock UST'!$1:$1,0)))=0,"",IF(ISERROR(MATCH(Stock!AI$1,'Stock UST'!$1:$1,0)),AH17,INDEX('Stock UST'!17:17,1,MATCH(Stock!AI$1,'Stock UST'!$1:$1,0))))</f>
        <v>312000</v>
      </c>
      <c r="AJ17" s="9">
        <f ca="1">IF(IF(ISERROR(MATCH(Stock!AJ$1,'Stock UST'!$1:$1,0)),AI17,INDEX('Stock UST'!17:17,1,MATCH(Stock!AJ$1,'Stock UST'!$1:$1,0)))=0,"",IF(ISERROR(MATCH(Stock!AJ$1,'Stock UST'!$1:$1,0)),AI17,INDEX('Stock UST'!17:17,1,MATCH(Stock!AJ$1,'Stock UST'!$1:$1,0))))</f>
        <v>312000</v>
      </c>
      <c r="AK17" s="9">
        <f ca="1">IF(IF(ISERROR(MATCH(Stock!AK$1,'Stock UST'!$1:$1,0)),AJ17,INDEX('Stock UST'!17:17,1,MATCH(Stock!AK$1,'Stock UST'!$1:$1,0)))=0,"",IF(ISERROR(MATCH(Stock!AK$1,'Stock UST'!$1:$1,0)),AJ17,INDEX('Stock UST'!17:17,1,MATCH(Stock!AK$1,'Stock UST'!$1:$1,0))))</f>
        <v>312000</v>
      </c>
      <c r="AL17" s="9">
        <f ca="1">IF(IF(ISERROR(MATCH(Stock!AL$1,'Stock UST'!$1:$1,0)),AK17,INDEX('Stock UST'!17:17,1,MATCH(Stock!AL$1,'Stock UST'!$1:$1,0)))=0,"",IF(ISERROR(MATCH(Stock!AL$1,'Stock UST'!$1:$1,0)),AK17,INDEX('Stock UST'!17:17,1,MATCH(Stock!AL$1,'Stock UST'!$1:$1,0))))</f>
        <v>312000</v>
      </c>
      <c r="AM17" s="9">
        <f ca="1">IF(IF(ISERROR(MATCH(Stock!AM$1,'Stock UST'!$1:$1,0)),AL17,INDEX('Stock UST'!17:17,1,MATCH(Stock!AM$1,'Stock UST'!$1:$1,0)))=0,"",IF(ISERROR(MATCH(Stock!AM$1,'Stock UST'!$1:$1,0)),AL17,INDEX('Stock UST'!17:17,1,MATCH(Stock!AM$1,'Stock UST'!$1:$1,0))))</f>
        <v>312000</v>
      </c>
      <c r="AN17" s="9">
        <f ca="1">IF(IF(ISERROR(MATCH(Stock!AN$1,'Stock UST'!$1:$1,0)),AM17,INDEX('Stock UST'!17:17,1,MATCH(Stock!AN$1,'Stock UST'!$1:$1,0)))=0,"",IF(ISERROR(MATCH(Stock!AN$1,'Stock UST'!$1:$1,0)),AM17,INDEX('Stock UST'!17:17,1,MATCH(Stock!AN$1,'Stock UST'!$1:$1,0))))</f>
        <v>312000</v>
      </c>
      <c r="AO17" s="9">
        <f ca="1">IF(IF(ISERROR(MATCH(Stock!AO$1,'Stock UST'!$1:$1,0)),AN17,INDEX('Stock UST'!17:17,1,MATCH(Stock!AO$1,'Stock UST'!$1:$1,0)))=0,"",IF(ISERROR(MATCH(Stock!AO$1,'Stock UST'!$1:$1,0)),AN17,INDEX('Stock UST'!17:17,1,MATCH(Stock!AO$1,'Stock UST'!$1:$1,0))))</f>
        <v>312000</v>
      </c>
      <c r="AP17" s="9">
        <f ca="1">IF(IF(ISERROR(MATCH(Stock!AP$1,'Stock UST'!$1:$1,0)),AO17,INDEX('Stock UST'!17:17,1,MATCH(Stock!AP$1,'Stock UST'!$1:$1,0)))=0,"",IF(ISERROR(MATCH(Stock!AP$1,'Stock UST'!$1:$1,0)),AO17,INDEX('Stock UST'!17:17,1,MATCH(Stock!AP$1,'Stock UST'!$1:$1,0))))</f>
        <v>312000</v>
      </c>
      <c r="AQ17" s="9">
        <f ca="1">IF(IF(ISERROR(MATCH(Stock!AQ$1,'Stock UST'!$1:$1,0)),AP17,INDEX('Stock UST'!17:17,1,MATCH(Stock!AQ$1,'Stock UST'!$1:$1,0)))=0,"",IF(ISERROR(MATCH(Stock!AQ$1,'Stock UST'!$1:$1,0)),AP17,INDEX('Stock UST'!17:17,1,MATCH(Stock!AQ$1,'Stock UST'!$1:$1,0))))</f>
        <v>312000</v>
      </c>
      <c r="AR17" s="9">
        <f ca="1">IF(IF(ISERROR(MATCH(Stock!AR$1,'Stock UST'!$1:$1,0)),AQ17,INDEX('Stock UST'!17:17,1,MATCH(Stock!AR$1,'Stock UST'!$1:$1,0)))=0,"",IF(ISERROR(MATCH(Stock!AR$1,'Stock UST'!$1:$1,0)),AQ17,INDEX('Stock UST'!17:17,1,MATCH(Stock!AR$1,'Stock UST'!$1:$1,0))))</f>
        <v>312000</v>
      </c>
      <c r="AS17" s="9">
        <f ca="1">IF(IF(ISERROR(MATCH(Stock!AS$1,'Stock UST'!$1:$1,0)),AR17,INDEX('Stock UST'!17:17,1,MATCH(Stock!AS$1,'Stock UST'!$1:$1,0)))=0,"",IF(ISERROR(MATCH(Stock!AS$1,'Stock UST'!$1:$1,0)),AR17,INDEX('Stock UST'!17:17,1,MATCH(Stock!AS$1,'Stock UST'!$1:$1,0))))</f>
        <v>312000</v>
      </c>
      <c r="AT17" s="9">
        <f ca="1">IF(IF(ISERROR(MATCH(Stock!AT$1,'Stock UST'!$1:$1,0)),AS17,INDEX('Stock UST'!17:17,1,MATCH(Stock!AT$1,'Stock UST'!$1:$1,0)))=0,"",IF(ISERROR(MATCH(Stock!AT$1,'Stock UST'!$1:$1,0)),AS17,INDEX('Stock UST'!17:17,1,MATCH(Stock!AT$1,'Stock UST'!$1:$1,0))))</f>
        <v>312000</v>
      </c>
      <c r="AU17" s="9">
        <f ca="1">IF(IF(ISERROR(MATCH(Stock!AU$1,'Stock UST'!$1:$1,0)),AT17,INDEX('Stock UST'!17:17,1,MATCH(Stock!AU$1,'Stock UST'!$1:$1,0)))=0,"",IF(ISERROR(MATCH(Stock!AU$1,'Stock UST'!$1:$1,0)),AT17,INDEX('Stock UST'!17:17,1,MATCH(Stock!AU$1,'Stock UST'!$1:$1,0))))</f>
        <v>312000</v>
      </c>
      <c r="AV17" s="9">
        <f ca="1">IF(IF(ISERROR(MATCH(Stock!AV$1,'Stock UST'!$1:$1,0)),AU17,INDEX('Stock UST'!17:17,1,MATCH(Stock!AV$1,'Stock UST'!$1:$1,0)))=0,"",IF(ISERROR(MATCH(Stock!AV$1,'Stock UST'!$1:$1,0)),AU17,INDEX('Stock UST'!17:17,1,MATCH(Stock!AV$1,'Stock UST'!$1:$1,0))))</f>
        <v>312000</v>
      </c>
      <c r="AW17" s="9">
        <f ca="1">IF(IF(ISERROR(MATCH(Stock!AW$1,'Stock UST'!$1:$1,0)),AV17,INDEX('Stock UST'!17:17,1,MATCH(Stock!AW$1,'Stock UST'!$1:$1,0)))=0,"",IF(ISERROR(MATCH(Stock!AW$1,'Stock UST'!$1:$1,0)),AV17,INDEX('Stock UST'!17:17,1,MATCH(Stock!AW$1,'Stock UST'!$1:$1,0))))</f>
        <v>312000</v>
      </c>
      <c r="AX17" s="9">
        <f ca="1">IF(IF(ISERROR(MATCH(Stock!AX$1,'Stock UST'!$1:$1,0)),AW17,INDEX('Stock UST'!17:17,1,MATCH(Stock!AX$1,'Stock UST'!$1:$1,0)))=0,"",IF(ISERROR(MATCH(Stock!AX$1,'Stock UST'!$1:$1,0)),AW17,INDEX('Stock UST'!17:17,1,MATCH(Stock!AX$1,'Stock UST'!$1:$1,0))))</f>
        <v>312000</v>
      </c>
    </row>
    <row r="18" spans="1:50" x14ac:dyDescent="0.3">
      <c r="A18" s="9">
        <f>IF('Stock UST'!E18="","",'Stock UST'!E18)</f>
        <v>0</v>
      </c>
      <c r="B18" s="9" t="str">
        <f>IF(IF(ISERROR(MATCH(Stock!B$1,'Stock UST'!$1:$1,0)),A18,INDEX('Stock UST'!18:18,1,MATCH(Stock!B$1,'Stock UST'!$1:$1,0)))=0,"",IF(ISERROR(MATCH(Stock!B$1,'Stock UST'!$1:$1,0)),A18,INDEX('Stock UST'!18:18,1,MATCH(Stock!B$1,'Stock UST'!$1:$1,0))))</f>
        <v/>
      </c>
      <c r="C18" s="9" t="str">
        <f ca="1">IF(IF(ISERROR(MATCH(Stock!C$1,'Stock UST'!$1:$1,0)),B18,INDEX('Stock UST'!18:18,1,MATCH(Stock!C$1,'Stock UST'!$1:$1,0)))=0,"",IF(ISERROR(MATCH(Stock!C$1,'Stock UST'!$1:$1,0)),B18,INDEX('Stock UST'!18:18,1,MATCH(Stock!C$1,'Stock UST'!$1:$1,0))))</f>
        <v/>
      </c>
      <c r="D18" s="9" t="str">
        <f ca="1">IF(IF(ISERROR(MATCH(Stock!D$1,'Stock UST'!$1:$1,0)),C18,INDEX('Stock UST'!18:18,1,MATCH(Stock!D$1,'Stock UST'!$1:$1,0)))=0,"",IF(ISERROR(MATCH(Stock!D$1,'Stock UST'!$1:$1,0)),C18,INDEX('Stock UST'!18:18,1,MATCH(Stock!D$1,'Stock UST'!$1:$1,0))))</f>
        <v/>
      </c>
      <c r="E18" s="9" t="str">
        <f ca="1">IF(IF(ISERROR(MATCH(Stock!E$1,'Stock UST'!$1:$1,0)),D18,INDEX('Stock UST'!18:18,1,MATCH(Stock!E$1,'Stock UST'!$1:$1,0)))=0,"",IF(ISERROR(MATCH(Stock!E$1,'Stock UST'!$1:$1,0)),D18,INDEX('Stock UST'!18:18,1,MATCH(Stock!E$1,'Stock UST'!$1:$1,0))))</f>
        <v/>
      </c>
      <c r="F18" s="9" t="str">
        <f ca="1">IF(IF(ISERROR(MATCH(Stock!F$1,'Stock UST'!$1:$1,0)),E18,INDEX('Stock UST'!18:18,1,MATCH(Stock!F$1,'Stock UST'!$1:$1,0)))=0,"",IF(ISERROR(MATCH(Stock!F$1,'Stock UST'!$1:$1,0)),E18,INDEX('Stock UST'!18:18,1,MATCH(Stock!F$1,'Stock UST'!$1:$1,0))))</f>
        <v/>
      </c>
      <c r="G18" s="9" t="str">
        <f ca="1">IF(IF(ISERROR(MATCH(Stock!G$1,'Stock UST'!$1:$1,0)),F18,INDEX('Stock UST'!18:18,1,MATCH(Stock!G$1,'Stock UST'!$1:$1,0)))=0,"",IF(ISERROR(MATCH(Stock!G$1,'Stock UST'!$1:$1,0)),F18,INDEX('Stock UST'!18:18,1,MATCH(Stock!G$1,'Stock UST'!$1:$1,0))))</f>
        <v/>
      </c>
      <c r="H18" s="9" t="str">
        <f ca="1">IF(IF(ISERROR(MATCH(Stock!H$1,'Stock UST'!$1:$1,0)),G18,INDEX('Stock UST'!18:18,1,MATCH(Stock!H$1,'Stock UST'!$1:$1,0)))=0,"",IF(ISERROR(MATCH(Stock!H$1,'Stock UST'!$1:$1,0)),G18,INDEX('Stock UST'!18:18,1,MATCH(Stock!H$1,'Stock UST'!$1:$1,0))))</f>
        <v/>
      </c>
      <c r="I18" s="9" t="str">
        <f ca="1">IF(IF(ISERROR(MATCH(Stock!I$1,'Stock UST'!$1:$1,0)),H18,INDEX('Stock UST'!18:18,1,MATCH(Stock!I$1,'Stock UST'!$1:$1,0)))=0,"",IF(ISERROR(MATCH(Stock!I$1,'Stock UST'!$1:$1,0)),H18,INDEX('Stock UST'!18:18,1,MATCH(Stock!I$1,'Stock UST'!$1:$1,0))))</f>
        <v/>
      </c>
      <c r="J18" s="9" t="str">
        <f ca="1">IF(IF(ISERROR(MATCH(Stock!J$1,'Stock UST'!$1:$1,0)),I18,INDEX('Stock UST'!18:18,1,MATCH(Stock!J$1,'Stock UST'!$1:$1,0)))=0,"",IF(ISERROR(MATCH(Stock!J$1,'Stock UST'!$1:$1,0)),I18,INDEX('Stock UST'!18:18,1,MATCH(Stock!J$1,'Stock UST'!$1:$1,0))))</f>
        <v/>
      </c>
      <c r="K18" s="9" t="str">
        <f ca="1">IF(IF(ISERROR(MATCH(Stock!K$1,'Stock UST'!$1:$1,0)),J18,INDEX('Stock UST'!18:18,1,MATCH(Stock!K$1,'Stock UST'!$1:$1,0)))=0,"",IF(ISERROR(MATCH(Stock!K$1,'Stock UST'!$1:$1,0)),J18,INDEX('Stock UST'!18:18,1,MATCH(Stock!K$1,'Stock UST'!$1:$1,0))))</f>
        <v/>
      </c>
      <c r="L18" s="9" t="str">
        <f ca="1">IF(IF(ISERROR(MATCH(Stock!L$1,'Stock UST'!$1:$1,0)),K18,INDEX('Stock UST'!18:18,1,MATCH(Stock!L$1,'Stock UST'!$1:$1,0)))=0,"",IF(ISERROR(MATCH(Stock!L$1,'Stock UST'!$1:$1,0)),K18,INDEX('Stock UST'!18:18,1,MATCH(Stock!L$1,'Stock UST'!$1:$1,0))))</f>
        <v/>
      </c>
      <c r="M18" s="9" t="str">
        <f ca="1">IF(IF(ISERROR(MATCH(Stock!M$1,'Stock UST'!$1:$1,0)),L18,INDEX('Stock UST'!18:18,1,MATCH(Stock!M$1,'Stock UST'!$1:$1,0)))=0,"",IF(ISERROR(MATCH(Stock!M$1,'Stock UST'!$1:$1,0)),L18,INDEX('Stock UST'!18:18,1,MATCH(Stock!M$1,'Stock UST'!$1:$1,0))))</f>
        <v/>
      </c>
      <c r="N18" s="9" t="str">
        <f ca="1">IF(IF(ISERROR(MATCH(Stock!N$1,'Stock UST'!$1:$1,0)),M18,INDEX('Stock UST'!18:18,1,MATCH(Stock!N$1,'Stock UST'!$1:$1,0)))=0,"",IF(ISERROR(MATCH(Stock!N$1,'Stock UST'!$1:$1,0)),M18,INDEX('Stock UST'!18:18,1,MATCH(Stock!N$1,'Stock UST'!$1:$1,0))))</f>
        <v/>
      </c>
      <c r="O18" s="9" t="str">
        <f ca="1">IF(IF(ISERROR(MATCH(Stock!O$1,'Stock UST'!$1:$1,0)),N18,INDEX('Stock UST'!18:18,1,MATCH(Stock!O$1,'Stock UST'!$1:$1,0)))=0,"",IF(ISERROR(MATCH(Stock!O$1,'Stock UST'!$1:$1,0)),N18,INDEX('Stock UST'!18:18,1,MATCH(Stock!O$1,'Stock UST'!$1:$1,0))))</f>
        <v/>
      </c>
      <c r="P18" s="9" t="str">
        <f ca="1">IF(IF(ISERROR(MATCH(Stock!P$1,'Stock UST'!$1:$1,0)),O18,INDEX('Stock UST'!18:18,1,MATCH(Stock!P$1,'Stock UST'!$1:$1,0)))=0,"",IF(ISERROR(MATCH(Stock!P$1,'Stock UST'!$1:$1,0)),O18,INDEX('Stock UST'!18:18,1,MATCH(Stock!P$1,'Stock UST'!$1:$1,0))))</f>
        <v/>
      </c>
      <c r="Q18" s="9" t="str">
        <f ca="1">IF(IF(ISERROR(MATCH(Stock!Q$1,'Stock UST'!$1:$1,0)),P18,INDEX('Stock UST'!18:18,1,MATCH(Stock!Q$1,'Stock UST'!$1:$1,0)))=0,"",IF(ISERROR(MATCH(Stock!Q$1,'Stock UST'!$1:$1,0)),P18,INDEX('Stock UST'!18:18,1,MATCH(Stock!Q$1,'Stock UST'!$1:$1,0))))</f>
        <v/>
      </c>
      <c r="R18" s="9" t="str">
        <f ca="1">IF(IF(ISERROR(MATCH(Stock!R$1,'Stock UST'!$1:$1,0)),Q18,INDEX('Stock UST'!18:18,1,MATCH(Stock!R$1,'Stock UST'!$1:$1,0)))=0,"",IF(ISERROR(MATCH(Stock!R$1,'Stock UST'!$1:$1,0)),Q18,INDEX('Stock UST'!18:18,1,MATCH(Stock!R$1,'Stock UST'!$1:$1,0))))</f>
        <v/>
      </c>
      <c r="S18" s="9" t="str">
        <f ca="1">IF(IF(ISERROR(MATCH(Stock!S$1,'Stock UST'!$1:$1,0)),R18,INDEX('Stock UST'!18:18,1,MATCH(Stock!S$1,'Stock UST'!$1:$1,0)))=0,"",IF(ISERROR(MATCH(Stock!S$1,'Stock UST'!$1:$1,0)),R18,INDEX('Stock UST'!18:18,1,MATCH(Stock!S$1,'Stock UST'!$1:$1,0))))</f>
        <v/>
      </c>
      <c r="T18" s="9" t="str">
        <f ca="1">IF(IF(ISERROR(MATCH(Stock!T$1,'Stock UST'!$1:$1,0)),S18,INDEX('Stock UST'!18:18,1,MATCH(Stock!T$1,'Stock UST'!$1:$1,0)))=0,"",IF(ISERROR(MATCH(Stock!T$1,'Stock UST'!$1:$1,0)),S18,INDEX('Stock UST'!18:18,1,MATCH(Stock!T$1,'Stock UST'!$1:$1,0))))</f>
        <v/>
      </c>
      <c r="U18" s="9" t="str">
        <f ca="1">IF(IF(ISERROR(MATCH(Stock!U$1,'Stock UST'!$1:$1,0)),T18,INDEX('Stock UST'!18:18,1,MATCH(Stock!U$1,'Stock UST'!$1:$1,0)))=0,"",IF(ISERROR(MATCH(Stock!U$1,'Stock UST'!$1:$1,0)),T18,INDEX('Stock UST'!18:18,1,MATCH(Stock!U$1,'Stock UST'!$1:$1,0))))</f>
        <v/>
      </c>
      <c r="V18" s="9" t="str">
        <f ca="1">IF(IF(ISERROR(MATCH(Stock!V$1,'Stock UST'!$1:$1,0)),U18,INDEX('Stock UST'!18:18,1,MATCH(Stock!V$1,'Stock UST'!$1:$1,0)))=0,"",IF(ISERROR(MATCH(Stock!V$1,'Stock UST'!$1:$1,0)),U18,INDEX('Stock UST'!18:18,1,MATCH(Stock!V$1,'Stock UST'!$1:$1,0))))</f>
        <v/>
      </c>
      <c r="W18" s="9" t="str">
        <f ca="1">IF(IF(ISERROR(MATCH(Stock!W$1,'Stock UST'!$1:$1,0)),V18,INDEX('Stock UST'!18:18,1,MATCH(Stock!W$1,'Stock UST'!$1:$1,0)))=0,"",IF(ISERROR(MATCH(Stock!W$1,'Stock UST'!$1:$1,0)),V18,INDEX('Stock UST'!18:18,1,MATCH(Stock!W$1,'Stock UST'!$1:$1,0))))</f>
        <v/>
      </c>
      <c r="X18" s="9" t="str">
        <f ca="1">IF(IF(ISERROR(MATCH(Stock!X$1,'Stock UST'!$1:$1,0)),W18,INDEX('Stock UST'!18:18,1,MATCH(Stock!X$1,'Stock UST'!$1:$1,0)))=0,"",IF(ISERROR(MATCH(Stock!X$1,'Stock UST'!$1:$1,0)),W18,INDEX('Stock UST'!18:18,1,MATCH(Stock!X$1,'Stock UST'!$1:$1,0))))</f>
        <v/>
      </c>
      <c r="Y18" s="9" t="str">
        <f ca="1">IF(IF(ISERROR(MATCH(Stock!Y$1,'Stock UST'!$1:$1,0)),X18,INDEX('Stock UST'!18:18,1,MATCH(Stock!Y$1,'Stock UST'!$1:$1,0)))=0,"",IF(ISERROR(MATCH(Stock!Y$1,'Stock UST'!$1:$1,0)),X18,INDEX('Stock UST'!18:18,1,MATCH(Stock!Y$1,'Stock UST'!$1:$1,0))))</f>
        <v/>
      </c>
      <c r="Z18" s="9" t="str">
        <f ca="1">IF(IF(ISERROR(MATCH(Stock!Z$1,'Stock UST'!$1:$1,0)),Y18,INDEX('Stock UST'!18:18,1,MATCH(Stock!Z$1,'Stock UST'!$1:$1,0)))=0,"",IF(ISERROR(MATCH(Stock!Z$1,'Stock UST'!$1:$1,0)),Y18,INDEX('Stock UST'!18:18,1,MATCH(Stock!Z$1,'Stock UST'!$1:$1,0))))</f>
        <v/>
      </c>
      <c r="AA18" s="9" t="str">
        <f ca="1">IF(IF(ISERROR(MATCH(Stock!AA$1,'Stock UST'!$1:$1,0)),Z18,INDEX('Stock UST'!18:18,1,MATCH(Stock!AA$1,'Stock UST'!$1:$1,0)))=0,"",IF(ISERROR(MATCH(Stock!AA$1,'Stock UST'!$1:$1,0)),Z18,INDEX('Stock UST'!18:18,1,MATCH(Stock!AA$1,'Stock UST'!$1:$1,0))))</f>
        <v/>
      </c>
      <c r="AB18" s="9" t="str">
        <f ca="1">IF(IF(ISERROR(MATCH(Stock!AB$1,'Stock UST'!$1:$1,0)),AA18,INDEX('Stock UST'!18:18,1,MATCH(Stock!AB$1,'Stock UST'!$1:$1,0)))=0,"",IF(ISERROR(MATCH(Stock!AB$1,'Stock UST'!$1:$1,0)),AA18,INDEX('Stock UST'!18:18,1,MATCH(Stock!AB$1,'Stock UST'!$1:$1,0))))</f>
        <v/>
      </c>
      <c r="AC18" s="9" t="str">
        <f ca="1">IF(IF(ISERROR(MATCH(Stock!AC$1,'Stock UST'!$1:$1,0)),AB18,INDEX('Stock UST'!18:18,1,MATCH(Stock!AC$1,'Stock UST'!$1:$1,0)))=0,"",IF(ISERROR(MATCH(Stock!AC$1,'Stock UST'!$1:$1,0)),AB18,INDEX('Stock UST'!18:18,1,MATCH(Stock!AC$1,'Stock UST'!$1:$1,0))))</f>
        <v/>
      </c>
      <c r="AD18" s="9" t="str">
        <f ca="1">IF(IF(ISERROR(MATCH(Stock!AD$1,'Stock UST'!$1:$1,0)),AC18,INDEX('Stock UST'!18:18,1,MATCH(Stock!AD$1,'Stock UST'!$1:$1,0)))=0,"",IF(ISERROR(MATCH(Stock!AD$1,'Stock UST'!$1:$1,0)),AC18,INDEX('Stock UST'!18:18,1,MATCH(Stock!AD$1,'Stock UST'!$1:$1,0))))</f>
        <v/>
      </c>
      <c r="AE18" s="9" t="str">
        <f ca="1">IF(IF(ISERROR(MATCH(Stock!AE$1,'Stock UST'!$1:$1,0)),AD18,INDEX('Stock UST'!18:18,1,MATCH(Stock!AE$1,'Stock UST'!$1:$1,0)))=0,"",IF(ISERROR(MATCH(Stock!AE$1,'Stock UST'!$1:$1,0)),AD18,INDEX('Stock UST'!18:18,1,MATCH(Stock!AE$1,'Stock UST'!$1:$1,0))))</f>
        <v/>
      </c>
      <c r="AF18" s="9" t="str">
        <f ca="1">IF(IF(ISERROR(MATCH(Stock!AF$1,'Stock UST'!$1:$1,0)),AE18,INDEX('Stock UST'!18:18,1,MATCH(Stock!AF$1,'Stock UST'!$1:$1,0)))=0,"",IF(ISERROR(MATCH(Stock!AF$1,'Stock UST'!$1:$1,0)),AE18,INDEX('Stock UST'!18:18,1,MATCH(Stock!AF$1,'Stock UST'!$1:$1,0))))</f>
        <v/>
      </c>
      <c r="AG18" s="9" t="str">
        <f ca="1">IF(IF(ISERROR(MATCH(Stock!AG$1,'Stock UST'!$1:$1,0)),AF18,INDEX('Stock UST'!18:18,1,MATCH(Stock!AG$1,'Stock UST'!$1:$1,0)))=0,"",IF(ISERROR(MATCH(Stock!AG$1,'Stock UST'!$1:$1,0)),AF18,INDEX('Stock UST'!18:18,1,MATCH(Stock!AG$1,'Stock UST'!$1:$1,0))))</f>
        <v/>
      </c>
      <c r="AH18" s="9" t="str">
        <f ca="1">IF(IF(ISERROR(MATCH(Stock!AH$1,'Stock UST'!$1:$1,0)),AG18,INDEX('Stock UST'!18:18,1,MATCH(Stock!AH$1,'Stock UST'!$1:$1,0)))=0,"",IF(ISERROR(MATCH(Stock!AH$1,'Stock UST'!$1:$1,0)),AG18,INDEX('Stock UST'!18:18,1,MATCH(Stock!AH$1,'Stock UST'!$1:$1,0))))</f>
        <v/>
      </c>
      <c r="AI18" s="9" t="str">
        <f ca="1">IF(IF(ISERROR(MATCH(Stock!AI$1,'Stock UST'!$1:$1,0)),AH18,INDEX('Stock UST'!18:18,1,MATCH(Stock!AI$1,'Stock UST'!$1:$1,0)))=0,"",IF(ISERROR(MATCH(Stock!AI$1,'Stock UST'!$1:$1,0)),AH18,INDEX('Stock UST'!18:18,1,MATCH(Stock!AI$1,'Stock UST'!$1:$1,0))))</f>
        <v/>
      </c>
      <c r="AJ18" s="9" t="str">
        <f ca="1">IF(IF(ISERROR(MATCH(Stock!AJ$1,'Stock UST'!$1:$1,0)),AI18,INDEX('Stock UST'!18:18,1,MATCH(Stock!AJ$1,'Stock UST'!$1:$1,0)))=0,"",IF(ISERROR(MATCH(Stock!AJ$1,'Stock UST'!$1:$1,0)),AI18,INDEX('Stock UST'!18:18,1,MATCH(Stock!AJ$1,'Stock UST'!$1:$1,0))))</f>
        <v/>
      </c>
      <c r="AK18" s="9" t="str">
        <f ca="1">IF(IF(ISERROR(MATCH(Stock!AK$1,'Stock UST'!$1:$1,0)),AJ18,INDEX('Stock UST'!18:18,1,MATCH(Stock!AK$1,'Stock UST'!$1:$1,0)))=0,"",IF(ISERROR(MATCH(Stock!AK$1,'Stock UST'!$1:$1,0)),AJ18,INDEX('Stock UST'!18:18,1,MATCH(Stock!AK$1,'Stock UST'!$1:$1,0))))</f>
        <v/>
      </c>
      <c r="AL18" s="9" t="str">
        <f ca="1">IF(IF(ISERROR(MATCH(Stock!AL$1,'Stock UST'!$1:$1,0)),AK18,INDEX('Stock UST'!18:18,1,MATCH(Stock!AL$1,'Stock UST'!$1:$1,0)))=0,"",IF(ISERROR(MATCH(Stock!AL$1,'Stock UST'!$1:$1,0)),AK18,INDEX('Stock UST'!18:18,1,MATCH(Stock!AL$1,'Stock UST'!$1:$1,0))))</f>
        <v/>
      </c>
      <c r="AM18" s="9" t="str">
        <f ca="1">IF(IF(ISERROR(MATCH(Stock!AM$1,'Stock UST'!$1:$1,0)),AL18,INDEX('Stock UST'!18:18,1,MATCH(Stock!AM$1,'Stock UST'!$1:$1,0)))=0,"",IF(ISERROR(MATCH(Stock!AM$1,'Stock UST'!$1:$1,0)),AL18,INDEX('Stock UST'!18:18,1,MATCH(Stock!AM$1,'Stock UST'!$1:$1,0))))</f>
        <v/>
      </c>
      <c r="AN18" s="9" t="str">
        <f ca="1">IF(IF(ISERROR(MATCH(Stock!AN$1,'Stock UST'!$1:$1,0)),AM18,INDEX('Stock UST'!18:18,1,MATCH(Stock!AN$1,'Stock UST'!$1:$1,0)))=0,"",IF(ISERROR(MATCH(Stock!AN$1,'Stock UST'!$1:$1,0)),AM18,INDEX('Stock UST'!18:18,1,MATCH(Stock!AN$1,'Stock UST'!$1:$1,0))))</f>
        <v/>
      </c>
      <c r="AO18" s="9" t="str">
        <f ca="1">IF(IF(ISERROR(MATCH(Stock!AO$1,'Stock UST'!$1:$1,0)),AN18,INDEX('Stock UST'!18:18,1,MATCH(Stock!AO$1,'Stock UST'!$1:$1,0)))=0,"",IF(ISERROR(MATCH(Stock!AO$1,'Stock UST'!$1:$1,0)),AN18,INDEX('Stock UST'!18:18,1,MATCH(Stock!AO$1,'Stock UST'!$1:$1,0))))</f>
        <v/>
      </c>
      <c r="AP18" s="9" t="str">
        <f ca="1">IF(IF(ISERROR(MATCH(Stock!AP$1,'Stock UST'!$1:$1,0)),AO18,INDEX('Stock UST'!18:18,1,MATCH(Stock!AP$1,'Stock UST'!$1:$1,0)))=0,"",IF(ISERROR(MATCH(Stock!AP$1,'Stock UST'!$1:$1,0)),AO18,INDEX('Stock UST'!18:18,1,MATCH(Stock!AP$1,'Stock UST'!$1:$1,0))))</f>
        <v/>
      </c>
      <c r="AQ18" s="9" t="str">
        <f ca="1">IF(IF(ISERROR(MATCH(Stock!AQ$1,'Stock UST'!$1:$1,0)),AP18,INDEX('Stock UST'!18:18,1,MATCH(Stock!AQ$1,'Stock UST'!$1:$1,0)))=0,"",IF(ISERROR(MATCH(Stock!AQ$1,'Stock UST'!$1:$1,0)),AP18,INDEX('Stock UST'!18:18,1,MATCH(Stock!AQ$1,'Stock UST'!$1:$1,0))))</f>
        <v/>
      </c>
      <c r="AR18" s="9" t="str">
        <f ca="1">IF(IF(ISERROR(MATCH(Stock!AR$1,'Stock UST'!$1:$1,0)),AQ18,INDEX('Stock UST'!18:18,1,MATCH(Stock!AR$1,'Stock UST'!$1:$1,0)))=0,"",IF(ISERROR(MATCH(Stock!AR$1,'Stock UST'!$1:$1,0)),AQ18,INDEX('Stock UST'!18:18,1,MATCH(Stock!AR$1,'Stock UST'!$1:$1,0))))</f>
        <v/>
      </c>
      <c r="AS18" s="9" t="str">
        <f ca="1">IF(IF(ISERROR(MATCH(Stock!AS$1,'Stock UST'!$1:$1,0)),AR18,INDEX('Stock UST'!18:18,1,MATCH(Stock!AS$1,'Stock UST'!$1:$1,0)))=0,"",IF(ISERROR(MATCH(Stock!AS$1,'Stock UST'!$1:$1,0)),AR18,INDEX('Stock UST'!18:18,1,MATCH(Stock!AS$1,'Stock UST'!$1:$1,0))))</f>
        <v/>
      </c>
      <c r="AT18" s="9" t="str">
        <f ca="1">IF(IF(ISERROR(MATCH(Stock!AT$1,'Stock UST'!$1:$1,0)),AS18,INDEX('Stock UST'!18:18,1,MATCH(Stock!AT$1,'Stock UST'!$1:$1,0)))=0,"",IF(ISERROR(MATCH(Stock!AT$1,'Stock UST'!$1:$1,0)),AS18,INDEX('Stock UST'!18:18,1,MATCH(Stock!AT$1,'Stock UST'!$1:$1,0))))</f>
        <v/>
      </c>
      <c r="AU18" s="9" t="str">
        <f ca="1">IF(IF(ISERROR(MATCH(Stock!AU$1,'Stock UST'!$1:$1,0)),AT18,INDEX('Stock UST'!18:18,1,MATCH(Stock!AU$1,'Stock UST'!$1:$1,0)))=0,"",IF(ISERROR(MATCH(Stock!AU$1,'Stock UST'!$1:$1,0)),AT18,INDEX('Stock UST'!18:18,1,MATCH(Stock!AU$1,'Stock UST'!$1:$1,0))))</f>
        <v/>
      </c>
      <c r="AV18" s="9" t="str">
        <f ca="1">IF(IF(ISERROR(MATCH(Stock!AV$1,'Stock UST'!$1:$1,0)),AU18,INDEX('Stock UST'!18:18,1,MATCH(Stock!AV$1,'Stock UST'!$1:$1,0)))=0,"",IF(ISERROR(MATCH(Stock!AV$1,'Stock UST'!$1:$1,0)),AU18,INDEX('Stock UST'!18:18,1,MATCH(Stock!AV$1,'Stock UST'!$1:$1,0))))</f>
        <v/>
      </c>
      <c r="AW18" s="9" t="str">
        <f ca="1">IF(IF(ISERROR(MATCH(Stock!AW$1,'Stock UST'!$1:$1,0)),AV18,INDEX('Stock UST'!18:18,1,MATCH(Stock!AW$1,'Stock UST'!$1:$1,0)))=0,"",IF(ISERROR(MATCH(Stock!AW$1,'Stock UST'!$1:$1,0)),AV18,INDEX('Stock UST'!18:18,1,MATCH(Stock!AW$1,'Stock UST'!$1:$1,0))))</f>
        <v/>
      </c>
      <c r="AX18" s="9" t="str">
        <f ca="1">IF(IF(ISERROR(MATCH(Stock!AX$1,'Stock UST'!$1:$1,0)),AW18,INDEX('Stock UST'!18:18,1,MATCH(Stock!AX$1,'Stock UST'!$1:$1,0)))=0,"",IF(ISERROR(MATCH(Stock!AX$1,'Stock UST'!$1:$1,0)),AW18,INDEX('Stock UST'!18:18,1,MATCH(Stock!AX$1,'Stock UST'!$1:$1,0))))</f>
        <v/>
      </c>
    </row>
    <row r="19" spans="1:50" x14ac:dyDescent="0.3">
      <c r="A19" s="9">
        <f>IF('Stock UST'!E19="","",'Stock UST'!E19)</f>
        <v>0</v>
      </c>
      <c r="B19" s="9" t="str">
        <f>IF(IF(ISERROR(MATCH(Stock!B$1,'Stock UST'!$1:$1,0)),A19,INDEX('Stock UST'!19:19,1,MATCH(Stock!B$1,'Stock UST'!$1:$1,0)))=0,"",IF(ISERROR(MATCH(Stock!B$1,'Stock UST'!$1:$1,0)),A19,INDEX('Stock UST'!19:19,1,MATCH(Stock!B$1,'Stock UST'!$1:$1,0))))</f>
        <v/>
      </c>
      <c r="C19" s="9" t="str">
        <f ca="1">IF(IF(ISERROR(MATCH(Stock!C$1,'Stock UST'!$1:$1,0)),B19,INDEX('Stock UST'!19:19,1,MATCH(Stock!C$1,'Stock UST'!$1:$1,0)))=0,"",IF(ISERROR(MATCH(Stock!C$1,'Stock UST'!$1:$1,0)),B19,INDEX('Stock UST'!19:19,1,MATCH(Stock!C$1,'Stock UST'!$1:$1,0))))</f>
        <v/>
      </c>
      <c r="D19" s="9" t="str">
        <f ca="1">IF(IF(ISERROR(MATCH(Stock!D$1,'Stock UST'!$1:$1,0)),C19,INDEX('Stock UST'!19:19,1,MATCH(Stock!D$1,'Stock UST'!$1:$1,0)))=0,"",IF(ISERROR(MATCH(Stock!D$1,'Stock UST'!$1:$1,0)),C19,INDEX('Stock UST'!19:19,1,MATCH(Stock!D$1,'Stock UST'!$1:$1,0))))</f>
        <v/>
      </c>
      <c r="E19" s="9" t="str">
        <f ca="1">IF(IF(ISERROR(MATCH(Stock!E$1,'Stock UST'!$1:$1,0)),D19,INDEX('Stock UST'!19:19,1,MATCH(Stock!E$1,'Stock UST'!$1:$1,0)))=0,"",IF(ISERROR(MATCH(Stock!E$1,'Stock UST'!$1:$1,0)),D19,INDEX('Stock UST'!19:19,1,MATCH(Stock!E$1,'Stock UST'!$1:$1,0))))</f>
        <v/>
      </c>
      <c r="F19" s="9" t="str">
        <f ca="1">IF(IF(ISERROR(MATCH(Stock!F$1,'Stock UST'!$1:$1,0)),E19,INDEX('Stock UST'!19:19,1,MATCH(Stock!F$1,'Stock UST'!$1:$1,0)))=0,"",IF(ISERROR(MATCH(Stock!F$1,'Stock UST'!$1:$1,0)),E19,INDEX('Stock UST'!19:19,1,MATCH(Stock!F$1,'Stock UST'!$1:$1,0))))</f>
        <v/>
      </c>
      <c r="G19" s="9" t="str">
        <f ca="1">IF(IF(ISERROR(MATCH(Stock!G$1,'Stock UST'!$1:$1,0)),F19,INDEX('Stock UST'!19:19,1,MATCH(Stock!G$1,'Stock UST'!$1:$1,0)))=0,"",IF(ISERROR(MATCH(Stock!G$1,'Stock UST'!$1:$1,0)),F19,INDEX('Stock UST'!19:19,1,MATCH(Stock!G$1,'Stock UST'!$1:$1,0))))</f>
        <v/>
      </c>
      <c r="H19" s="9" t="str">
        <f ca="1">IF(IF(ISERROR(MATCH(Stock!H$1,'Stock UST'!$1:$1,0)),G19,INDEX('Stock UST'!19:19,1,MATCH(Stock!H$1,'Stock UST'!$1:$1,0)))=0,"",IF(ISERROR(MATCH(Stock!H$1,'Stock UST'!$1:$1,0)),G19,INDEX('Stock UST'!19:19,1,MATCH(Stock!H$1,'Stock UST'!$1:$1,0))))</f>
        <v/>
      </c>
      <c r="I19" s="9" t="str">
        <f ca="1">IF(IF(ISERROR(MATCH(Stock!I$1,'Stock UST'!$1:$1,0)),H19,INDEX('Stock UST'!19:19,1,MATCH(Stock!I$1,'Stock UST'!$1:$1,0)))=0,"",IF(ISERROR(MATCH(Stock!I$1,'Stock UST'!$1:$1,0)),H19,INDEX('Stock UST'!19:19,1,MATCH(Stock!I$1,'Stock UST'!$1:$1,0))))</f>
        <v/>
      </c>
      <c r="J19" s="9" t="str">
        <f ca="1">IF(IF(ISERROR(MATCH(Stock!J$1,'Stock UST'!$1:$1,0)),I19,INDEX('Stock UST'!19:19,1,MATCH(Stock!J$1,'Stock UST'!$1:$1,0)))=0,"",IF(ISERROR(MATCH(Stock!J$1,'Stock UST'!$1:$1,0)),I19,INDEX('Stock UST'!19:19,1,MATCH(Stock!J$1,'Stock UST'!$1:$1,0))))</f>
        <v/>
      </c>
      <c r="K19" s="9" t="str">
        <f ca="1">IF(IF(ISERROR(MATCH(Stock!K$1,'Stock UST'!$1:$1,0)),J19,INDEX('Stock UST'!19:19,1,MATCH(Stock!K$1,'Stock UST'!$1:$1,0)))=0,"",IF(ISERROR(MATCH(Stock!K$1,'Stock UST'!$1:$1,0)),J19,INDEX('Stock UST'!19:19,1,MATCH(Stock!K$1,'Stock UST'!$1:$1,0))))</f>
        <v/>
      </c>
      <c r="L19" s="9" t="str">
        <f ca="1">IF(IF(ISERROR(MATCH(Stock!L$1,'Stock UST'!$1:$1,0)),K19,INDEX('Stock UST'!19:19,1,MATCH(Stock!L$1,'Stock UST'!$1:$1,0)))=0,"",IF(ISERROR(MATCH(Stock!L$1,'Stock UST'!$1:$1,0)),K19,INDEX('Stock UST'!19:19,1,MATCH(Stock!L$1,'Stock UST'!$1:$1,0))))</f>
        <v/>
      </c>
      <c r="M19" s="9" t="str">
        <f ca="1">IF(IF(ISERROR(MATCH(Stock!M$1,'Stock UST'!$1:$1,0)),L19,INDEX('Stock UST'!19:19,1,MATCH(Stock!M$1,'Stock UST'!$1:$1,0)))=0,"",IF(ISERROR(MATCH(Stock!M$1,'Stock UST'!$1:$1,0)),L19,INDEX('Stock UST'!19:19,1,MATCH(Stock!M$1,'Stock UST'!$1:$1,0))))</f>
        <v/>
      </c>
      <c r="N19" s="9" t="str">
        <f ca="1">IF(IF(ISERROR(MATCH(Stock!N$1,'Stock UST'!$1:$1,0)),M19,INDEX('Stock UST'!19:19,1,MATCH(Stock!N$1,'Stock UST'!$1:$1,0)))=0,"",IF(ISERROR(MATCH(Stock!N$1,'Stock UST'!$1:$1,0)),M19,INDEX('Stock UST'!19:19,1,MATCH(Stock!N$1,'Stock UST'!$1:$1,0))))</f>
        <v/>
      </c>
      <c r="O19" s="9" t="str">
        <f ca="1">IF(IF(ISERROR(MATCH(Stock!O$1,'Stock UST'!$1:$1,0)),N19,INDEX('Stock UST'!19:19,1,MATCH(Stock!O$1,'Stock UST'!$1:$1,0)))=0,"",IF(ISERROR(MATCH(Stock!O$1,'Stock UST'!$1:$1,0)),N19,INDEX('Stock UST'!19:19,1,MATCH(Stock!O$1,'Stock UST'!$1:$1,0))))</f>
        <v/>
      </c>
      <c r="P19" s="9" t="str">
        <f ca="1">IF(IF(ISERROR(MATCH(Stock!P$1,'Stock UST'!$1:$1,0)),O19,INDEX('Stock UST'!19:19,1,MATCH(Stock!P$1,'Stock UST'!$1:$1,0)))=0,"",IF(ISERROR(MATCH(Stock!P$1,'Stock UST'!$1:$1,0)),O19,INDEX('Stock UST'!19:19,1,MATCH(Stock!P$1,'Stock UST'!$1:$1,0))))</f>
        <v/>
      </c>
      <c r="Q19" s="9" t="str">
        <f ca="1">IF(IF(ISERROR(MATCH(Stock!Q$1,'Stock UST'!$1:$1,0)),P19,INDEX('Stock UST'!19:19,1,MATCH(Stock!Q$1,'Stock UST'!$1:$1,0)))=0,"",IF(ISERROR(MATCH(Stock!Q$1,'Stock UST'!$1:$1,0)),P19,INDEX('Stock UST'!19:19,1,MATCH(Stock!Q$1,'Stock UST'!$1:$1,0))))</f>
        <v/>
      </c>
      <c r="R19" s="9" t="str">
        <f ca="1">IF(IF(ISERROR(MATCH(Stock!R$1,'Stock UST'!$1:$1,0)),Q19,INDEX('Stock UST'!19:19,1,MATCH(Stock!R$1,'Stock UST'!$1:$1,0)))=0,"",IF(ISERROR(MATCH(Stock!R$1,'Stock UST'!$1:$1,0)),Q19,INDEX('Stock UST'!19:19,1,MATCH(Stock!R$1,'Stock UST'!$1:$1,0))))</f>
        <v/>
      </c>
      <c r="S19" s="9" t="str">
        <f ca="1">IF(IF(ISERROR(MATCH(Stock!S$1,'Stock UST'!$1:$1,0)),R19,INDEX('Stock UST'!19:19,1,MATCH(Stock!S$1,'Stock UST'!$1:$1,0)))=0,"",IF(ISERROR(MATCH(Stock!S$1,'Stock UST'!$1:$1,0)),R19,INDEX('Stock UST'!19:19,1,MATCH(Stock!S$1,'Stock UST'!$1:$1,0))))</f>
        <v/>
      </c>
      <c r="T19" s="9" t="str">
        <f ca="1">IF(IF(ISERROR(MATCH(Stock!T$1,'Stock UST'!$1:$1,0)),S19,INDEX('Stock UST'!19:19,1,MATCH(Stock!T$1,'Stock UST'!$1:$1,0)))=0,"",IF(ISERROR(MATCH(Stock!T$1,'Stock UST'!$1:$1,0)),S19,INDEX('Stock UST'!19:19,1,MATCH(Stock!T$1,'Stock UST'!$1:$1,0))))</f>
        <v/>
      </c>
      <c r="U19" s="9" t="str">
        <f ca="1">IF(IF(ISERROR(MATCH(Stock!U$1,'Stock UST'!$1:$1,0)),T19,INDEX('Stock UST'!19:19,1,MATCH(Stock!U$1,'Stock UST'!$1:$1,0)))=0,"",IF(ISERROR(MATCH(Stock!U$1,'Stock UST'!$1:$1,0)),T19,INDEX('Stock UST'!19:19,1,MATCH(Stock!U$1,'Stock UST'!$1:$1,0))))</f>
        <v/>
      </c>
      <c r="V19" s="9" t="str">
        <f ca="1">IF(IF(ISERROR(MATCH(Stock!V$1,'Stock UST'!$1:$1,0)),U19,INDEX('Stock UST'!19:19,1,MATCH(Stock!V$1,'Stock UST'!$1:$1,0)))=0,"",IF(ISERROR(MATCH(Stock!V$1,'Stock UST'!$1:$1,0)),U19,INDEX('Stock UST'!19:19,1,MATCH(Stock!V$1,'Stock UST'!$1:$1,0))))</f>
        <v/>
      </c>
      <c r="W19" s="9" t="str">
        <f ca="1">IF(IF(ISERROR(MATCH(Stock!W$1,'Stock UST'!$1:$1,0)),V19,INDEX('Stock UST'!19:19,1,MATCH(Stock!W$1,'Stock UST'!$1:$1,0)))=0,"",IF(ISERROR(MATCH(Stock!W$1,'Stock UST'!$1:$1,0)),V19,INDEX('Stock UST'!19:19,1,MATCH(Stock!W$1,'Stock UST'!$1:$1,0))))</f>
        <v/>
      </c>
      <c r="X19" s="9" t="str">
        <f ca="1">IF(IF(ISERROR(MATCH(Stock!X$1,'Stock UST'!$1:$1,0)),W19,INDEX('Stock UST'!19:19,1,MATCH(Stock!X$1,'Stock UST'!$1:$1,0)))=0,"",IF(ISERROR(MATCH(Stock!X$1,'Stock UST'!$1:$1,0)),W19,INDEX('Stock UST'!19:19,1,MATCH(Stock!X$1,'Stock UST'!$1:$1,0))))</f>
        <v/>
      </c>
      <c r="Y19" s="9" t="str">
        <f ca="1">IF(IF(ISERROR(MATCH(Stock!Y$1,'Stock UST'!$1:$1,0)),X19,INDEX('Stock UST'!19:19,1,MATCH(Stock!Y$1,'Stock UST'!$1:$1,0)))=0,"",IF(ISERROR(MATCH(Stock!Y$1,'Stock UST'!$1:$1,0)),X19,INDEX('Stock UST'!19:19,1,MATCH(Stock!Y$1,'Stock UST'!$1:$1,0))))</f>
        <v/>
      </c>
      <c r="Z19" s="9" t="str">
        <f ca="1">IF(IF(ISERROR(MATCH(Stock!Z$1,'Stock UST'!$1:$1,0)),Y19,INDEX('Stock UST'!19:19,1,MATCH(Stock!Z$1,'Stock UST'!$1:$1,0)))=0,"",IF(ISERROR(MATCH(Stock!Z$1,'Stock UST'!$1:$1,0)),Y19,INDEX('Stock UST'!19:19,1,MATCH(Stock!Z$1,'Stock UST'!$1:$1,0))))</f>
        <v/>
      </c>
      <c r="AA19" s="9" t="str">
        <f ca="1">IF(IF(ISERROR(MATCH(Stock!AA$1,'Stock UST'!$1:$1,0)),Z19,INDEX('Stock UST'!19:19,1,MATCH(Stock!AA$1,'Stock UST'!$1:$1,0)))=0,"",IF(ISERROR(MATCH(Stock!AA$1,'Stock UST'!$1:$1,0)),Z19,INDEX('Stock UST'!19:19,1,MATCH(Stock!AA$1,'Stock UST'!$1:$1,0))))</f>
        <v/>
      </c>
      <c r="AB19" s="9" t="str">
        <f ca="1">IF(IF(ISERROR(MATCH(Stock!AB$1,'Stock UST'!$1:$1,0)),AA19,INDEX('Stock UST'!19:19,1,MATCH(Stock!AB$1,'Stock UST'!$1:$1,0)))=0,"",IF(ISERROR(MATCH(Stock!AB$1,'Stock UST'!$1:$1,0)),AA19,INDEX('Stock UST'!19:19,1,MATCH(Stock!AB$1,'Stock UST'!$1:$1,0))))</f>
        <v/>
      </c>
      <c r="AC19" s="9" t="str">
        <f ca="1">IF(IF(ISERROR(MATCH(Stock!AC$1,'Stock UST'!$1:$1,0)),AB19,INDEX('Stock UST'!19:19,1,MATCH(Stock!AC$1,'Stock UST'!$1:$1,0)))=0,"",IF(ISERROR(MATCH(Stock!AC$1,'Stock UST'!$1:$1,0)),AB19,INDEX('Stock UST'!19:19,1,MATCH(Stock!AC$1,'Stock UST'!$1:$1,0))))</f>
        <v/>
      </c>
      <c r="AD19" s="9" t="str">
        <f ca="1">IF(IF(ISERROR(MATCH(Stock!AD$1,'Stock UST'!$1:$1,0)),AC19,INDEX('Stock UST'!19:19,1,MATCH(Stock!AD$1,'Stock UST'!$1:$1,0)))=0,"",IF(ISERROR(MATCH(Stock!AD$1,'Stock UST'!$1:$1,0)),AC19,INDEX('Stock UST'!19:19,1,MATCH(Stock!AD$1,'Stock UST'!$1:$1,0))))</f>
        <v/>
      </c>
      <c r="AE19" s="9" t="str">
        <f ca="1">IF(IF(ISERROR(MATCH(Stock!AE$1,'Stock UST'!$1:$1,0)),AD19,INDEX('Stock UST'!19:19,1,MATCH(Stock!AE$1,'Stock UST'!$1:$1,0)))=0,"",IF(ISERROR(MATCH(Stock!AE$1,'Stock UST'!$1:$1,0)),AD19,INDEX('Stock UST'!19:19,1,MATCH(Stock!AE$1,'Stock UST'!$1:$1,0))))</f>
        <v/>
      </c>
      <c r="AF19" s="9" t="str">
        <f ca="1">IF(IF(ISERROR(MATCH(Stock!AF$1,'Stock UST'!$1:$1,0)),AE19,INDEX('Stock UST'!19:19,1,MATCH(Stock!AF$1,'Stock UST'!$1:$1,0)))=0,"",IF(ISERROR(MATCH(Stock!AF$1,'Stock UST'!$1:$1,0)),AE19,INDEX('Stock UST'!19:19,1,MATCH(Stock!AF$1,'Stock UST'!$1:$1,0))))</f>
        <v/>
      </c>
      <c r="AG19" s="9" t="str">
        <f ca="1">IF(IF(ISERROR(MATCH(Stock!AG$1,'Stock UST'!$1:$1,0)),AF19,INDEX('Stock UST'!19:19,1,MATCH(Stock!AG$1,'Stock UST'!$1:$1,0)))=0,"",IF(ISERROR(MATCH(Stock!AG$1,'Stock UST'!$1:$1,0)),AF19,INDEX('Stock UST'!19:19,1,MATCH(Stock!AG$1,'Stock UST'!$1:$1,0))))</f>
        <v/>
      </c>
      <c r="AH19" s="9" t="str">
        <f ca="1">IF(IF(ISERROR(MATCH(Stock!AH$1,'Stock UST'!$1:$1,0)),AG19,INDEX('Stock UST'!19:19,1,MATCH(Stock!AH$1,'Stock UST'!$1:$1,0)))=0,"",IF(ISERROR(MATCH(Stock!AH$1,'Stock UST'!$1:$1,0)),AG19,INDEX('Stock UST'!19:19,1,MATCH(Stock!AH$1,'Stock UST'!$1:$1,0))))</f>
        <v/>
      </c>
      <c r="AI19" s="9" t="str">
        <f ca="1">IF(IF(ISERROR(MATCH(Stock!AI$1,'Stock UST'!$1:$1,0)),AH19,INDEX('Stock UST'!19:19,1,MATCH(Stock!AI$1,'Stock UST'!$1:$1,0)))=0,"",IF(ISERROR(MATCH(Stock!AI$1,'Stock UST'!$1:$1,0)),AH19,INDEX('Stock UST'!19:19,1,MATCH(Stock!AI$1,'Stock UST'!$1:$1,0))))</f>
        <v/>
      </c>
      <c r="AJ19" s="9" t="str">
        <f ca="1">IF(IF(ISERROR(MATCH(Stock!AJ$1,'Stock UST'!$1:$1,0)),AI19,INDEX('Stock UST'!19:19,1,MATCH(Stock!AJ$1,'Stock UST'!$1:$1,0)))=0,"",IF(ISERROR(MATCH(Stock!AJ$1,'Stock UST'!$1:$1,0)),AI19,INDEX('Stock UST'!19:19,1,MATCH(Stock!AJ$1,'Stock UST'!$1:$1,0))))</f>
        <v/>
      </c>
      <c r="AK19" s="9" t="str">
        <f ca="1">IF(IF(ISERROR(MATCH(Stock!AK$1,'Stock UST'!$1:$1,0)),AJ19,INDEX('Stock UST'!19:19,1,MATCH(Stock!AK$1,'Stock UST'!$1:$1,0)))=0,"",IF(ISERROR(MATCH(Stock!AK$1,'Stock UST'!$1:$1,0)),AJ19,INDEX('Stock UST'!19:19,1,MATCH(Stock!AK$1,'Stock UST'!$1:$1,0))))</f>
        <v/>
      </c>
      <c r="AL19" s="9" t="str">
        <f ca="1">IF(IF(ISERROR(MATCH(Stock!AL$1,'Stock UST'!$1:$1,0)),AK19,INDEX('Stock UST'!19:19,1,MATCH(Stock!AL$1,'Stock UST'!$1:$1,0)))=0,"",IF(ISERROR(MATCH(Stock!AL$1,'Stock UST'!$1:$1,0)),AK19,INDEX('Stock UST'!19:19,1,MATCH(Stock!AL$1,'Stock UST'!$1:$1,0))))</f>
        <v/>
      </c>
      <c r="AM19" s="9" t="str">
        <f ca="1">IF(IF(ISERROR(MATCH(Stock!AM$1,'Stock UST'!$1:$1,0)),AL19,INDEX('Stock UST'!19:19,1,MATCH(Stock!AM$1,'Stock UST'!$1:$1,0)))=0,"",IF(ISERROR(MATCH(Stock!AM$1,'Stock UST'!$1:$1,0)),AL19,INDEX('Stock UST'!19:19,1,MATCH(Stock!AM$1,'Stock UST'!$1:$1,0))))</f>
        <v/>
      </c>
      <c r="AN19" s="9" t="str">
        <f ca="1">IF(IF(ISERROR(MATCH(Stock!AN$1,'Stock UST'!$1:$1,0)),AM19,INDEX('Stock UST'!19:19,1,MATCH(Stock!AN$1,'Stock UST'!$1:$1,0)))=0,"",IF(ISERROR(MATCH(Stock!AN$1,'Stock UST'!$1:$1,0)),AM19,INDEX('Stock UST'!19:19,1,MATCH(Stock!AN$1,'Stock UST'!$1:$1,0))))</f>
        <v/>
      </c>
      <c r="AO19" s="9" t="str">
        <f ca="1">IF(IF(ISERROR(MATCH(Stock!AO$1,'Stock UST'!$1:$1,0)),AN19,INDEX('Stock UST'!19:19,1,MATCH(Stock!AO$1,'Stock UST'!$1:$1,0)))=0,"",IF(ISERROR(MATCH(Stock!AO$1,'Stock UST'!$1:$1,0)),AN19,INDEX('Stock UST'!19:19,1,MATCH(Stock!AO$1,'Stock UST'!$1:$1,0))))</f>
        <v/>
      </c>
      <c r="AP19" s="9" t="str">
        <f ca="1">IF(IF(ISERROR(MATCH(Stock!AP$1,'Stock UST'!$1:$1,0)),AO19,INDEX('Stock UST'!19:19,1,MATCH(Stock!AP$1,'Stock UST'!$1:$1,0)))=0,"",IF(ISERROR(MATCH(Stock!AP$1,'Stock UST'!$1:$1,0)),AO19,INDEX('Stock UST'!19:19,1,MATCH(Stock!AP$1,'Stock UST'!$1:$1,0))))</f>
        <v/>
      </c>
      <c r="AQ19" s="9" t="str">
        <f ca="1">IF(IF(ISERROR(MATCH(Stock!AQ$1,'Stock UST'!$1:$1,0)),AP19,INDEX('Stock UST'!19:19,1,MATCH(Stock!AQ$1,'Stock UST'!$1:$1,0)))=0,"",IF(ISERROR(MATCH(Stock!AQ$1,'Stock UST'!$1:$1,0)),AP19,INDEX('Stock UST'!19:19,1,MATCH(Stock!AQ$1,'Stock UST'!$1:$1,0))))</f>
        <v/>
      </c>
      <c r="AR19" s="9" t="str">
        <f ca="1">IF(IF(ISERROR(MATCH(Stock!AR$1,'Stock UST'!$1:$1,0)),AQ19,INDEX('Stock UST'!19:19,1,MATCH(Stock!AR$1,'Stock UST'!$1:$1,0)))=0,"",IF(ISERROR(MATCH(Stock!AR$1,'Stock UST'!$1:$1,0)),AQ19,INDEX('Stock UST'!19:19,1,MATCH(Stock!AR$1,'Stock UST'!$1:$1,0))))</f>
        <v/>
      </c>
      <c r="AS19" s="9" t="str">
        <f ca="1">IF(IF(ISERROR(MATCH(Stock!AS$1,'Stock UST'!$1:$1,0)),AR19,INDEX('Stock UST'!19:19,1,MATCH(Stock!AS$1,'Stock UST'!$1:$1,0)))=0,"",IF(ISERROR(MATCH(Stock!AS$1,'Stock UST'!$1:$1,0)),AR19,INDEX('Stock UST'!19:19,1,MATCH(Stock!AS$1,'Stock UST'!$1:$1,0))))</f>
        <v/>
      </c>
      <c r="AT19" s="9" t="str">
        <f ca="1">IF(IF(ISERROR(MATCH(Stock!AT$1,'Stock UST'!$1:$1,0)),AS19,INDEX('Stock UST'!19:19,1,MATCH(Stock!AT$1,'Stock UST'!$1:$1,0)))=0,"",IF(ISERROR(MATCH(Stock!AT$1,'Stock UST'!$1:$1,0)),AS19,INDEX('Stock UST'!19:19,1,MATCH(Stock!AT$1,'Stock UST'!$1:$1,0))))</f>
        <v/>
      </c>
      <c r="AU19" s="9" t="str">
        <f ca="1">IF(IF(ISERROR(MATCH(Stock!AU$1,'Stock UST'!$1:$1,0)),AT19,INDEX('Stock UST'!19:19,1,MATCH(Stock!AU$1,'Stock UST'!$1:$1,0)))=0,"",IF(ISERROR(MATCH(Stock!AU$1,'Stock UST'!$1:$1,0)),AT19,INDEX('Stock UST'!19:19,1,MATCH(Stock!AU$1,'Stock UST'!$1:$1,0))))</f>
        <v/>
      </c>
      <c r="AV19" s="9" t="str">
        <f ca="1">IF(IF(ISERROR(MATCH(Stock!AV$1,'Stock UST'!$1:$1,0)),AU19,INDEX('Stock UST'!19:19,1,MATCH(Stock!AV$1,'Stock UST'!$1:$1,0)))=0,"",IF(ISERROR(MATCH(Stock!AV$1,'Stock UST'!$1:$1,0)),AU19,INDEX('Stock UST'!19:19,1,MATCH(Stock!AV$1,'Stock UST'!$1:$1,0))))</f>
        <v/>
      </c>
      <c r="AW19" s="9" t="str">
        <f ca="1">IF(IF(ISERROR(MATCH(Stock!AW$1,'Stock UST'!$1:$1,0)),AV19,INDEX('Stock UST'!19:19,1,MATCH(Stock!AW$1,'Stock UST'!$1:$1,0)))=0,"",IF(ISERROR(MATCH(Stock!AW$1,'Stock UST'!$1:$1,0)),AV19,INDEX('Stock UST'!19:19,1,MATCH(Stock!AW$1,'Stock UST'!$1:$1,0))))</f>
        <v/>
      </c>
      <c r="AX19" s="9" t="str">
        <f ca="1">IF(IF(ISERROR(MATCH(Stock!AX$1,'Stock UST'!$1:$1,0)),AW19,INDEX('Stock UST'!19:19,1,MATCH(Stock!AX$1,'Stock UST'!$1:$1,0)))=0,"",IF(ISERROR(MATCH(Stock!AX$1,'Stock UST'!$1:$1,0)),AW19,INDEX('Stock UST'!19:19,1,MATCH(Stock!AX$1,'Stock UST'!$1:$1,0))))</f>
        <v/>
      </c>
    </row>
    <row r="20" spans="1:50" x14ac:dyDescent="0.3">
      <c r="A20" s="9">
        <f>IF('Stock UST'!E20="","",'Stock UST'!E20)</f>
        <v>0</v>
      </c>
      <c r="B20" s="9" t="str">
        <f>IF(IF(ISERROR(MATCH(Stock!B$1,'Stock UST'!$1:$1,0)),A20,INDEX('Stock UST'!20:20,1,MATCH(Stock!B$1,'Stock UST'!$1:$1,0)))=0,"",IF(ISERROR(MATCH(Stock!B$1,'Stock UST'!$1:$1,0)),A20,INDEX('Stock UST'!20:20,1,MATCH(Stock!B$1,'Stock UST'!$1:$1,0))))</f>
        <v/>
      </c>
      <c r="C20" s="9" t="str">
        <f ca="1">IF(IF(ISERROR(MATCH(Stock!C$1,'Stock UST'!$1:$1,0)),B20,INDEX('Stock UST'!20:20,1,MATCH(Stock!C$1,'Stock UST'!$1:$1,0)))=0,"",IF(ISERROR(MATCH(Stock!C$1,'Stock UST'!$1:$1,0)),B20,INDEX('Stock UST'!20:20,1,MATCH(Stock!C$1,'Stock UST'!$1:$1,0))))</f>
        <v/>
      </c>
      <c r="D20" s="9" t="str">
        <f ca="1">IF(IF(ISERROR(MATCH(Stock!D$1,'Stock UST'!$1:$1,0)),C20,INDEX('Stock UST'!20:20,1,MATCH(Stock!D$1,'Stock UST'!$1:$1,0)))=0,"",IF(ISERROR(MATCH(Stock!D$1,'Stock UST'!$1:$1,0)),C20,INDEX('Stock UST'!20:20,1,MATCH(Stock!D$1,'Stock UST'!$1:$1,0))))</f>
        <v/>
      </c>
      <c r="E20" s="9" t="str">
        <f ca="1">IF(IF(ISERROR(MATCH(Stock!E$1,'Stock UST'!$1:$1,0)),D20,INDEX('Stock UST'!20:20,1,MATCH(Stock!E$1,'Stock UST'!$1:$1,0)))=0,"",IF(ISERROR(MATCH(Stock!E$1,'Stock UST'!$1:$1,0)),D20,INDEX('Stock UST'!20:20,1,MATCH(Stock!E$1,'Stock UST'!$1:$1,0))))</f>
        <v/>
      </c>
      <c r="F20" s="9" t="str">
        <f ca="1">IF(IF(ISERROR(MATCH(Stock!F$1,'Stock UST'!$1:$1,0)),E20,INDEX('Stock UST'!20:20,1,MATCH(Stock!F$1,'Stock UST'!$1:$1,0)))=0,"",IF(ISERROR(MATCH(Stock!F$1,'Stock UST'!$1:$1,0)),E20,INDEX('Stock UST'!20:20,1,MATCH(Stock!F$1,'Stock UST'!$1:$1,0))))</f>
        <v/>
      </c>
      <c r="G20" s="9" t="str">
        <f ca="1">IF(IF(ISERROR(MATCH(Stock!G$1,'Stock UST'!$1:$1,0)),F20,INDEX('Stock UST'!20:20,1,MATCH(Stock!G$1,'Stock UST'!$1:$1,0)))=0,"",IF(ISERROR(MATCH(Stock!G$1,'Stock UST'!$1:$1,0)),F20,INDEX('Stock UST'!20:20,1,MATCH(Stock!G$1,'Stock UST'!$1:$1,0))))</f>
        <v/>
      </c>
      <c r="H20" s="9" t="str">
        <f ca="1">IF(IF(ISERROR(MATCH(Stock!H$1,'Stock UST'!$1:$1,0)),G20,INDEX('Stock UST'!20:20,1,MATCH(Stock!H$1,'Stock UST'!$1:$1,0)))=0,"",IF(ISERROR(MATCH(Stock!H$1,'Stock UST'!$1:$1,0)),G20,INDEX('Stock UST'!20:20,1,MATCH(Stock!H$1,'Stock UST'!$1:$1,0))))</f>
        <v/>
      </c>
      <c r="I20" s="9" t="str">
        <f ca="1">IF(IF(ISERROR(MATCH(Stock!I$1,'Stock UST'!$1:$1,0)),H20,INDEX('Stock UST'!20:20,1,MATCH(Stock!I$1,'Stock UST'!$1:$1,0)))=0,"",IF(ISERROR(MATCH(Stock!I$1,'Stock UST'!$1:$1,0)),H20,INDEX('Stock UST'!20:20,1,MATCH(Stock!I$1,'Stock UST'!$1:$1,0))))</f>
        <v/>
      </c>
      <c r="J20" s="9" t="str">
        <f ca="1">IF(IF(ISERROR(MATCH(Stock!J$1,'Stock UST'!$1:$1,0)),I20,INDEX('Stock UST'!20:20,1,MATCH(Stock!J$1,'Stock UST'!$1:$1,0)))=0,"",IF(ISERROR(MATCH(Stock!J$1,'Stock UST'!$1:$1,0)),I20,INDEX('Stock UST'!20:20,1,MATCH(Stock!J$1,'Stock UST'!$1:$1,0))))</f>
        <v/>
      </c>
      <c r="K20" s="9" t="str">
        <f ca="1">IF(IF(ISERROR(MATCH(Stock!K$1,'Stock UST'!$1:$1,0)),J20,INDEX('Stock UST'!20:20,1,MATCH(Stock!K$1,'Stock UST'!$1:$1,0)))=0,"",IF(ISERROR(MATCH(Stock!K$1,'Stock UST'!$1:$1,0)),J20,INDEX('Stock UST'!20:20,1,MATCH(Stock!K$1,'Stock UST'!$1:$1,0))))</f>
        <v/>
      </c>
      <c r="L20" s="9" t="str">
        <f ca="1">IF(IF(ISERROR(MATCH(Stock!L$1,'Stock UST'!$1:$1,0)),K20,INDEX('Stock UST'!20:20,1,MATCH(Stock!L$1,'Stock UST'!$1:$1,0)))=0,"",IF(ISERROR(MATCH(Stock!L$1,'Stock UST'!$1:$1,0)),K20,INDEX('Stock UST'!20:20,1,MATCH(Stock!L$1,'Stock UST'!$1:$1,0))))</f>
        <v/>
      </c>
      <c r="M20" s="9" t="str">
        <f ca="1">IF(IF(ISERROR(MATCH(Stock!M$1,'Stock UST'!$1:$1,0)),L20,INDEX('Stock UST'!20:20,1,MATCH(Stock!M$1,'Stock UST'!$1:$1,0)))=0,"",IF(ISERROR(MATCH(Stock!M$1,'Stock UST'!$1:$1,0)),L20,INDEX('Stock UST'!20:20,1,MATCH(Stock!M$1,'Stock UST'!$1:$1,0))))</f>
        <v/>
      </c>
      <c r="N20" s="9" t="str">
        <f ca="1">IF(IF(ISERROR(MATCH(Stock!N$1,'Stock UST'!$1:$1,0)),M20,INDEX('Stock UST'!20:20,1,MATCH(Stock!N$1,'Stock UST'!$1:$1,0)))=0,"",IF(ISERROR(MATCH(Stock!N$1,'Stock UST'!$1:$1,0)),M20,INDEX('Stock UST'!20:20,1,MATCH(Stock!N$1,'Stock UST'!$1:$1,0))))</f>
        <v/>
      </c>
      <c r="O20" s="9" t="str">
        <f ca="1">IF(IF(ISERROR(MATCH(Stock!O$1,'Stock UST'!$1:$1,0)),N20,INDEX('Stock UST'!20:20,1,MATCH(Stock!O$1,'Stock UST'!$1:$1,0)))=0,"",IF(ISERROR(MATCH(Stock!O$1,'Stock UST'!$1:$1,0)),N20,INDEX('Stock UST'!20:20,1,MATCH(Stock!O$1,'Stock UST'!$1:$1,0))))</f>
        <v/>
      </c>
      <c r="P20" s="9" t="str">
        <f ca="1">IF(IF(ISERROR(MATCH(Stock!P$1,'Stock UST'!$1:$1,0)),O20,INDEX('Stock UST'!20:20,1,MATCH(Stock!P$1,'Stock UST'!$1:$1,0)))=0,"",IF(ISERROR(MATCH(Stock!P$1,'Stock UST'!$1:$1,0)),O20,INDEX('Stock UST'!20:20,1,MATCH(Stock!P$1,'Stock UST'!$1:$1,0))))</f>
        <v/>
      </c>
      <c r="Q20" s="9" t="str">
        <f ca="1">IF(IF(ISERROR(MATCH(Stock!Q$1,'Stock UST'!$1:$1,0)),P20,INDEX('Stock UST'!20:20,1,MATCH(Stock!Q$1,'Stock UST'!$1:$1,0)))=0,"",IF(ISERROR(MATCH(Stock!Q$1,'Stock UST'!$1:$1,0)),P20,INDEX('Stock UST'!20:20,1,MATCH(Stock!Q$1,'Stock UST'!$1:$1,0))))</f>
        <v/>
      </c>
      <c r="R20" s="9" t="str">
        <f ca="1">IF(IF(ISERROR(MATCH(Stock!R$1,'Stock UST'!$1:$1,0)),Q20,INDEX('Stock UST'!20:20,1,MATCH(Stock!R$1,'Stock UST'!$1:$1,0)))=0,"",IF(ISERROR(MATCH(Stock!R$1,'Stock UST'!$1:$1,0)),Q20,INDEX('Stock UST'!20:20,1,MATCH(Stock!R$1,'Stock UST'!$1:$1,0))))</f>
        <v/>
      </c>
      <c r="S20" s="9" t="str">
        <f ca="1">IF(IF(ISERROR(MATCH(Stock!S$1,'Stock UST'!$1:$1,0)),R20,INDEX('Stock UST'!20:20,1,MATCH(Stock!S$1,'Stock UST'!$1:$1,0)))=0,"",IF(ISERROR(MATCH(Stock!S$1,'Stock UST'!$1:$1,0)),R20,INDEX('Stock UST'!20:20,1,MATCH(Stock!S$1,'Stock UST'!$1:$1,0))))</f>
        <v/>
      </c>
      <c r="T20" s="9" t="str">
        <f ca="1">IF(IF(ISERROR(MATCH(Stock!T$1,'Stock UST'!$1:$1,0)),S20,INDEX('Stock UST'!20:20,1,MATCH(Stock!T$1,'Stock UST'!$1:$1,0)))=0,"",IF(ISERROR(MATCH(Stock!T$1,'Stock UST'!$1:$1,0)),S20,INDEX('Stock UST'!20:20,1,MATCH(Stock!T$1,'Stock UST'!$1:$1,0))))</f>
        <v/>
      </c>
      <c r="U20" s="9" t="str">
        <f ca="1">IF(IF(ISERROR(MATCH(Stock!U$1,'Stock UST'!$1:$1,0)),T20,INDEX('Stock UST'!20:20,1,MATCH(Stock!U$1,'Stock UST'!$1:$1,0)))=0,"",IF(ISERROR(MATCH(Stock!U$1,'Stock UST'!$1:$1,0)),T20,INDEX('Stock UST'!20:20,1,MATCH(Stock!U$1,'Stock UST'!$1:$1,0))))</f>
        <v/>
      </c>
      <c r="V20" s="9" t="str">
        <f ca="1">IF(IF(ISERROR(MATCH(Stock!V$1,'Stock UST'!$1:$1,0)),U20,INDEX('Stock UST'!20:20,1,MATCH(Stock!V$1,'Stock UST'!$1:$1,0)))=0,"",IF(ISERROR(MATCH(Stock!V$1,'Stock UST'!$1:$1,0)),U20,INDEX('Stock UST'!20:20,1,MATCH(Stock!V$1,'Stock UST'!$1:$1,0))))</f>
        <v/>
      </c>
      <c r="W20" s="9" t="str">
        <f ca="1">IF(IF(ISERROR(MATCH(Stock!W$1,'Stock UST'!$1:$1,0)),V20,INDEX('Stock UST'!20:20,1,MATCH(Stock!W$1,'Stock UST'!$1:$1,0)))=0,"",IF(ISERROR(MATCH(Stock!W$1,'Stock UST'!$1:$1,0)),V20,INDEX('Stock UST'!20:20,1,MATCH(Stock!W$1,'Stock UST'!$1:$1,0))))</f>
        <v/>
      </c>
      <c r="X20" s="9" t="str">
        <f ca="1">IF(IF(ISERROR(MATCH(Stock!X$1,'Stock UST'!$1:$1,0)),W20,INDEX('Stock UST'!20:20,1,MATCH(Stock!X$1,'Stock UST'!$1:$1,0)))=0,"",IF(ISERROR(MATCH(Stock!X$1,'Stock UST'!$1:$1,0)),W20,INDEX('Stock UST'!20:20,1,MATCH(Stock!X$1,'Stock UST'!$1:$1,0))))</f>
        <v/>
      </c>
      <c r="Y20" s="9" t="str">
        <f ca="1">IF(IF(ISERROR(MATCH(Stock!Y$1,'Stock UST'!$1:$1,0)),X20,INDEX('Stock UST'!20:20,1,MATCH(Stock!Y$1,'Stock UST'!$1:$1,0)))=0,"",IF(ISERROR(MATCH(Stock!Y$1,'Stock UST'!$1:$1,0)),X20,INDEX('Stock UST'!20:20,1,MATCH(Stock!Y$1,'Stock UST'!$1:$1,0))))</f>
        <v/>
      </c>
      <c r="Z20" s="9" t="str">
        <f ca="1">IF(IF(ISERROR(MATCH(Stock!Z$1,'Stock UST'!$1:$1,0)),Y20,INDEX('Stock UST'!20:20,1,MATCH(Stock!Z$1,'Stock UST'!$1:$1,0)))=0,"",IF(ISERROR(MATCH(Stock!Z$1,'Stock UST'!$1:$1,0)),Y20,INDEX('Stock UST'!20:20,1,MATCH(Stock!Z$1,'Stock UST'!$1:$1,0))))</f>
        <v/>
      </c>
      <c r="AA20" s="9" t="str">
        <f ca="1">IF(IF(ISERROR(MATCH(Stock!AA$1,'Stock UST'!$1:$1,0)),Z20,INDEX('Stock UST'!20:20,1,MATCH(Stock!AA$1,'Stock UST'!$1:$1,0)))=0,"",IF(ISERROR(MATCH(Stock!AA$1,'Stock UST'!$1:$1,0)),Z20,INDEX('Stock UST'!20:20,1,MATCH(Stock!AA$1,'Stock UST'!$1:$1,0))))</f>
        <v/>
      </c>
      <c r="AB20" s="9" t="str">
        <f ca="1">IF(IF(ISERROR(MATCH(Stock!AB$1,'Stock UST'!$1:$1,0)),AA20,INDEX('Stock UST'!20:20,1,MATCH(Stock!AB$1,'Stock UST'!$1:$1,0)))=0,"",IF(ISERROR(MATCH(Stock!AB$1,'Stock UST'!$1:$1,0)),AA20,INDEX('Stock UST'!20:20,1,MATCH(Stock!AB$1,'Stock UST'!$1:$1,0))))</f>
        <v/>
      </c>
      <c r="AC20" s="9" t="str">
        <f ca="1">IF(IF(ISERROR(MATCH(Stock!AC$1,'Stock UST'!$1:$1,0)),AB20,INDEX('Stock UST'!20:20,1,MATCH(Stock!AC$1,'Stock UST'!$1:$1,0)))=0,"",IF(ISERROR(MATCH(Stock!AC$1,'Stock UST'!$1:$1,0)),AB20,INDEX('Stock UST'!20:20,1,MATCH(Stock!AC$1,'Stock UST'!$1:$1,0))))</f>
        <v/>
      </c>
      <c r="AD20" s="9" t="str">
        <f ca="1">IF(IF(ISERROR(MATCH(Stock!AD$1,'Stock UST'!$1:$1,0)),AC20,INDEX('Stock UST'!20:20,1,MATCH(Stock!AD$1,'Stock UST'!$1:$1,0)))=0,"",IF(ISERROR(MATCH(Stock!AD$1,'Stock UST'!$1:$1,0)),AC20,INDEX('Stock UST'!20:20,1,MATCH(Stock!AD$1,'Stock UST'!$1:$1,0))))</f>
        <v/>
      </c>
      <c r="AE20" s="9" t="str">
        <f ca="1">IF(IF(ISERROR(MATCH(Stock!AE$1,'Stock UST'!$1:$1,0)),AD20,INDEX('Stock UST'!20:20,1,MATCH(Stock!AE$1,'Stock UST'!$1:$1,0)))=0,"",IF(ISERROR(MATCH(Stock!AE$1,'Stock UST'!$1:$1,0)),AD20,INDEX('Stock UST'!20:20,1,MATCH(Stock!AE$1,'Stock UST'!$1:$1,0))))</f>
        <v/>
      </c>
      <c r="AF20" s="9" t="str">
        <f ca="1">IF(IF(ISERROR(MATCH(Stock!AF$1,'Stock UST'!$1:$1,0)),AE20,INDEX('Stock UST'!20:20,1,MATCH(Stock!AF$1,'Stock UST'!$1:$1,0)))=0,"",IF(ISERROR(MATCH(Stock!AF$1,'Stock UST'!$1:$1,0)),AE20,INDEX('Stock UST'!20:20,1,MATCH(Stock!AF$1,'Stock UST'!$1:$1,0))))</f>
        <v/>
      </c>
      <c r="AG20" s="9" t="str">
        <f ca="1">IF(IF(ISERROR(MATCH(Stock!AG$1,'Stock UST'!$1:$1,0)),AF20,INDEX('Stock UST'!20:20,1,MATCH(Stock!AG$1,'Stock UST'!$1:$1,0)))=0,"",IF(ISERROR(MATCH(Stock!AG$1,'Stock UST'!$1:$1,0)),AF20,INDEX('Stock UST'!20:20,1,MATCH(Stock!AG$1,'Stock UST'!$1:$1,0))))</f>
        <v/>
      </c>
      <c r="AH20" s="9" t="str">
        <f ca="1">IF(IF(ISERROR(MATCH(Stock!AH$1,'Stock UST'!$1:$1,0)),AG20,INDEX('Stock UST'!20:20,1,MATCH(Stock!AH$1,'Stock UST'!$1:$1,0)))=0,"",IF(ISERROR(MATCH(Stock!AH$1,'Stock UST'!$1:$1,0)),AG20,INDEX('Stock UST'!20:20,1,MATCH(Stock!AH$1,'Stock UST'!$1:$1,0))))</f>
        <v/>
      </c>
      <c r="AI20" s="9" t="str">
        <f ca="1">IF(IF(ISERROR(MATCH(Stock!AI$1,'Stock UST'!$1:$1,0)),AH20,INDEX('Stock UST'!20:20,1,MATCH(Stock!AI$1,'Stock UST'!$1:$1,0)))=0,"",IF(ISERROR(MATCH(Stock!AI$1,'Stock UST'!$1:$1,0)),AH20,INDEX('Stock UST'!20:20,1,MATCH(Stock!AI$1,'Stock UST'!$1:$1,0))))</f>
        <v/>
      </c>
      <c r="AJ20" s="9" t="str">
        <f ca="1">IF(IF(ISERROR(MATCH(Stock!AJ$1,'Stock UST'!$1:$1,0)),AI20,INDEX('Stock UST'!20:20,1,MATCH(Stock!AJ$1,'Stock UST'!$1:$1,0)))=0,"",IF(ISERROR(MATCH(Stock!AJ$1,'Stock UST'!$1:$1,0)),AI20,INDEX('Stock UST'!20:20,1,MATCH(Stock!AJ$1,'Stock UST'!$1:$1,0))))</f>
        <v/>
      </c>
      <c r="AK20" s="9" t="str">
        <f ca="1">IF(IF(ISERROR(MATCH(Stock!AK$1,'Stock UST'!$1:$1,0)),AJ20,INDEX('Stock UST'!20:20,1,MATCH(Stock!AK$1,'Stock UST'!$1:$1,0)))=0,"",IF(ISERROR(MATCH(Stock!AK$1,'Stock UST'!$1:$1,0)),AJ20,INDEX('Stock UST'!20:20,1,MATCH(Stock!AK$1,'Stock UST'!$1:$1,0))))</f>
        <v/>
      </c>
      <c r="AL20" s="9" t="str">
        <f ca="1">IF(IF(ISERROR(MATCH(Stock!AL$1,'Stock UST'!$1:$1,0)),AK20,INDEX('Stock UST'!20:20,1,MATCH(Stock!AL$1,'Stock UST'!$1:$1,0)))=0,"",IF(ISERROR(MATCH(Stock!AL$1,'Stock UST'!$1:$1,0)),AK20,INDEX('Stock UST'!20:20,1,MATCH(Stock!AL$1,'Stock UST'!$1:$1,0))))</f>
        <v/>
      </c>
      <c r="AM20" s="9" t="str">
        <f ca="1">IF(IF(ISERROR(MATCH(Stock!AM$1,'Stock UST'!$1:$1,0)),AL20,INDEX('Stock UST'!20:20,1,MATCH(Stock!AM$1,'Stock UST'!$1:$1,0)))=0,"",IF(ISERROR(MATCH(Stock!AM$1,'Stock UST'!$1:$1,0)),AL20,INDEX('Stock UST'!20:20,1,MATCH(Stock!AM$1,'Stock UST'!$1:$1,0))))</f>
        <v/>
      </c>
      <c r="AN20" s="9" t="str">
        <f ca="1">IF(IF(ISERROR(MATCH(Stock!AN$1,'Stock UST'!$1:$1,0)),AM20,INDEX('Stock UST'!20:20,1,MATCH(Stock!AN$1,'Stock UST'!$1:$1,0)))=0,"",IF(ISERROR(MATCH(Stock!AN$1,'Stock UST'!$1:$1,0)),AM20,INDEX('Stock UST'!20:20,1,MATCH(Stock!AN$1,'Stock UST'!$1:$1,0))))</f>
        <v/>
      </c>
      <c r="AO20" s="9" t="str">
        <f ca="1">IF(IF(ISERROR(MATCH(Stock!AO$1,'Stock UST'!$1:$1,0)),AN20,INDEX('Stock UST'!20:20,1,MATCH(Stock!AO$1,'Stock UST'!$1:$1,0)))=0,"",IF(ISERROR(MATCH(Stock!AO$1,'Stock UST'!$1:$1,0)),AN20,INDEX('Stock UST'!20:20,1,MATCH(Stock!AO$1,'Stock UST'!$1:$1,0))))</f>
        <v/>
      </c>
      <c r="AP20" s="9" t="str">
        <f ca="1">IF(IF(ISERROR(MATCH(Stock!AP$1,'Stock UST'!$1:$1,0)),AO20,INDEX('Stock UST'!20:20,1,MATCH(Stock!AP$1,'Stock UST'!$1:$1,0)))=0,"",IF(ISERROR(MATCH(Stock!AP$1,'Stock UST'!$1:$1,0)),AO20,INDEX('Stock UST'!20:20,1,MATCH(Stock!AP$1,'Stock UST'!$1:$1,0))))</f>
        <v/>
      </c>
      <c r="AQ20" s="9" t="str">
        <f ca="1">IF(IF(ISERROR(MATCH(Stock!AQ$1,'Stock UST'!$1:$1,0)),AP20,INDEX('Stock UST'!20:20,1,MATCH(Stock!AQ$1,'Stock UST'!$1:$1,0)))=0,"",IF(ISERROR(MATCH(Stock!AQ$1,'Stock UST'!$1:$1,0)),AP20,INDEX('Stock UST'!20:20,1,MATCH(Stock!AQ$1,'Stock UST'!$1:$1,0))))</f>
        <v/>
      </c>
      <c r="AR20" s="9" t="str">
        <f ca="1">IF(IF(ISERROR(MATCH(Stock!AR$1,'Stock UST'!$1:$1,0)),AQ20,INDEX('Stock UST'!20:20,1,MATCH(Stock!AR$1,'Stock UST'!$1:$1,0)))=0,"",IF(ISERROR(MATCH(Stock!AR$1,'Stock UST'!$1:$1,0)),AQ20,INDEX('Stock UST'!20:20,1,MATCH(Stock!AR$1,'Stock UST'!$1:$1,0))))</f>
        <v/>
      </c>
      <c r="AS20" s="9" t="str">
        <f ca="1">IF(IF(ISERROR(MATCH(Stock!AS$1,'Stock UST'!$1:$1,0)),AR20,INDEX('Stock UST'!20:20,1,MATCH(Stock!AS$1,'Stock UST'!$1:$1,0)))=0,"",IF(ISERROR(MATCH(Stock!AS$1,'Stock UST'!$1:$1,0)),AR20,INDEX('Stock UST'!20:20,1,MATCH(Stock!AS$1,'Stock UST'!$1:$1,0))))</f>
        <v/>
      </c>
      <c r="AT20" s="9" t="str">
        <f ca="1">IF(IF(ISERROR(MATCH(Stock!AT$1,'Stock UST'!$1:$1,0)),AS20,INDEX('Stock UST'!20:20,1,MATCH(Stock!AT$1,'Stock UST'!$1:$1,0)))=0,"",IF(ISERROR(MATCH(Stock!AT$1,'Stock UST'!$1:$1,0)),AS20,INDEX('Stock UST'!20:20,1,MATCH(Stock!AT$1,'Stock UST'!$1:$1,0))))</f>
        <v/>
      </c>
      <c r="AU20" s="9" t="str">
        <f ca="1">IF(IF(ISERROR(MATCH(Stock!AU$1,'Stock UST'!$1:$1,0)),AT20,INDEX('Stock UST'!20:20,1,MATCH(Stock!AU$1,'Stock UST'!$1:$1,0)))=0,"",IF(ISERROR(MATCH(Stock!AU$1,'Stock UST'!$1:$1,0)),AT20,INDEX('Stock UST'!20:20,1,MATCH(Stock!AU$1,'Stock UST'!$1:$1,0))))</f>
        <v/>
      </c>
      <c r="AV20" s="9" t="str">
        <f ca="1">IF(IF(ISERROR(MATCH(Stock!AV$1,'Stock UST'!$1:$1,0)),AU20,INDEX('Stock UST'!20:20,1,MATCH(Stock!AV$1,'Stock UST'!$1:$1,0)))=0,"",IF(ISERROR(MATCH(Stock!AV$1,'Stock UST'!$1:$1,0)),AU20,INDEX('Stock UST'!20:20,1,MATCH(Stock!AV$1,'Stock UST'!$1:$1,0))))</f>
        <v/>
      </c>
      <c r="AW20" s="9" t="str">
        <f ca="1">IF(IF(ISERROR(MATCH(Stock!AW$1,'Stock UST'!$1:$1,0)),AV20,INDEX('Stock UST'!20:20,1,MATCH(Stock!AW$1,'Stock UST'!$1:$1,0)))=0,"",IF(ISERROR(MATCH(Stock!AW$1,'Stock UST'!$1:$1,0)),AV20,INDEX('Stock UST'!20:20,1,MATCH(Stock!AW$1,'Stock UST'!$1:$1,0))))</f>
        <v/>
      </c>
      <c r="AX20" s="9" t="str">
        <f ca="1">IF(IF(ISERROR(MATCH(Stock!AX$1,'Stock UST'!$1:$1,0)),AW20,INDEX('Stock UST'!20:20,1,MATCH(Stock!AX$1,'Stock UST'!$1:$1,0)))=0,"",IF(ISERROR(MATCH(Stock!AX$1,'Stock UST'!$1:$1,0)),AW20,INDEX('Stock UST'!20:20,1,MATCH(Stock!AX$1,'Stock UST'!$1:$1,0))))</f>
        <v/>
      </c>
    </row>
    <row r="21" spans="1:50" x14ac:dyDescent="0.3">
      <c r="A21" s="9">
        <f>IF('Stock UST'!E21="","",'Stock UST'!E21)</f>
        <v>0</v>
      </c>
      <c r="B21" s="9" t="str">
        <f>IF(IF(ISERROR(MATCH(Stock!B$1,'Stock UST'!$1:$1,0)),A21,INDEX('Stock UST'!21:21,1,MATCH(Stock!B$1,'Stock UST'!$1:$1,0)))=0,"",IF(ISERROR(MATCH(Stock!B$1,'Stock UST'!$1:$1,0)),A21,INDEX('Stock UST'!21:21,1,MATCH(Stock!B$1,'Stock UST'!$1:$1,0))))</f>
        <v/>
      </c>
      <c r="C21" s="9" t="str">
        <f ca="1">IF(IF(ISERROR(MATCH(Stock!C$1,'Stock UST'!$1:$1,0)),B21,INDEX('Stock UST'!21:21,1,MATCH(Stock!C$1,'Stock UST'!$1:$1,0)))=0,"",IF(ISERROR(MATCH(Stock!C$1,'Stock UST'!$1:$1,0)),B21,INDEX('Stock UST'!21:21,1,MATCH(Stock!C$1,'Stock UST'!$1:$1,0))))</f>
        <v/>
      </c>
      <c r="D21" s="9" t="str">
        <f ca="1">IF(IF(ISERROR(MATCH(Stock!D$1,'Stock UST'!$1:$1,0)),C21,INDEX('Stock UST'!21:21,1,MATCH(Stock!D$1,'Stock UST'!$1:$1,0)))=0,"",IF(ISERROR(MATCH(Stock!D$1,'Stock UST'!$1:$1,0)),C21,INDEX('Stock UST'!21:21,1,MATCH(Stock!D$1,'Stock UST'!$1:$1,0))))</f>
        <v/>
      </c>
      <c r="E21" s="9" t="str">
        <f ca="1">IF(IF(ISERROR(MATCH(Stock!E$1,'Stock UST'!$1:$1,0)),D21,INDEX('Stock UST'!21:21,1,MATCH(Stock!E$1,'Stock UST'!$1:$1,0)))=0,"",IF(ISERROR(MATCH(Stock!E$1,'Stock UST'!$1:$1,0)),D21,INDEX('Stock UST'!21:21,1,MATCH(Stock!E$1,'Stock UST'!$1:$1,0))))</f>
        <v/>
      </c>
      <c r="F21" s="9" t="str">
        <f ca="1">IF(IF(ISERROR(MATCH(Stock!F$1,'Stock UST'!$1:$1,0)),E21,INDEX('Stock UST'!21:21,1,MATCH(Stock!F$1,'Stock UST'!$1:$1,0)))=0,"",IF(ISERROR(MATCH(Stock!F$1,'Stock UST'!$1:$1,0)),E21,INDEX('Stock UST'!21:21,1,MATCH(Stock!F$1,'Stock UST'!$1:$1,0))))</f>
        <v/>
      </c>
      <c r="G21" s="9" t="str">
        <f ca="1">IF(IF(ISERROR(MATCH(Stock!G$1,'Stock UST'!$1:$1,0)),F21,INDEX('Stock UST'!21:21,1,MATCH(Stock!G$1,'Stock UST'!$1:$1,0)))=0,"",IF(ISERROR(MATCH(Stock!G$1,'Stock UST'!$1:$1,0)),F21,INDEX('Stock UST'!21:21,1,MATCH(Stock!G$1,'Stock UST'!$1:$1,0))))</f>
        <v/>
      </c>
      <c r="H21" s="9" t="str">
        <f ca="1">IF(IF(ISERROR(MATCH(Stock!H$1,'Stock UST'!$1:$1,0)),G21,INDEX('Stock UST'!21:21,1,MATCH(Stock!H$1,'Stock UST'!$1:$1,0)))=0,"",IF(ISERROR(MATCH(Stock!H$1,'Stock UST'!$1:$1,0)),G21,INDEX('Stock UST'!21:21,1,MATCH(Stock!H$1,'Stock UST'!$1:$1,0))))</f>
        <v/>
      </c>
      <c r="I21" s="9" t="str">
        <f ca="1">IF(IF(ISERROR(MATCH(Stock!I$1,'Stock UST'!$1:$1,0)),H21,INDEX('Stock UST'!21:21,1,MATCH(Stock!I$1,'Stock UST'!$1:$1,0)))=0,"",IF(ISERROR(MATCH(Stock!I$1,'Stock UST'!$1:$1,0)),H21,INDEX('Stock UST'!21:21,1,MATCH(Stock!I$1,'Stock UST'!$1:$1,0))))</f>
        <v/>
      </c>
      <c r="J21" s="9" t="str">
        <f ca="1">IF(IF(ISERROR(MATCH(Stock!J$1,'Stock UST'!$1:$1,0)),I21,INDEX('Stock UST'!21:21,1,MATCH(Stock!J$1,'Stock UST'!$1:$1,0)))=0,"",IF(ISERROR(MATCH(Stock!J$1,'Stock UST'!$1:$1,0)),I21,INDEX('Stock UST'!21:21,1,MATCH(Stock!J$1,'Stock UST'!$1:$1,0))))</f>
        <v/>
      </c>
      <c r="K21" s="9" t="str">
        <f ca="1">IF(IF(ISERROR(MATCH(Stock!K$1,'Stock UST'!$1:$1,0)),J21,INDEX('Stock UST'!21:21,1,MATCH(Stock!K$1,'Stock UST'!$1:$1,0)))=0,"",IF(ISERROR(MATCH(Stock!K$1,'Stock UST'!$1:$1,0)),J21,INDEX('Stock UST'!21:21,1,MATCH(Stock!K$1,'Stock UST'!$1:$1,0))))</f>
        <v/>
      </c>
      <c r="L21" s="9" t="str">
        <f ca="1">IF(IF(ISERROR(MATCH(Stock!L$1,'Stock UST'!$1:$1,0)),K21,INDEX('Stock UST'!21:21,1,MATCH(Stock!L$1,'Stock UST'!$1:$1,0)))=0,"",IF(ISERROR(MATCH(Stock!L$1,'Stock UST'!$1:$1,0)),K21,INDEX('Stock UST'!21:21,1,MATCH(Stock!L$1,'Stock UST'!$1:$1,0))))</f>
        <v/>
      </c>
      <c r="M21" s="9" t="str">
        <f ca="1">IF(IF(ISERROR(MATCH(Stock!M$1,'Stock UST'!$1:$1,0)),L21,INDEX('Stock UST'!21:21,1,MATCH(Stock!M$1,'Stock UST'!$1:$1,0)))=0,"",IF(ISERROR(MATCH(Stock!M$1,'Stock UST'!$1:$1,0)),L21,INDEX('Stock UST'!21:21,1,MATCH(Stock!M$1,'Stock UST'!$1:$1,0))))</f>
        <v/>
      </c>
      <c r="N21" s="9" t="str">
        <f ca="1">IF(IF(ISERROR(MATCH(Stock!N$1,'Stock UST'!$1:$1,0)),M21,INDEX('Stock UST'!21:21,1,MATCH(Stock!N$1,'Stock UST'!$1:$1,0)))=0,"",IF(ISERROR(MATCH(Stock!N$1,'Stock UST'!$1:$1,0)),M21,INDEX('Stock UST'!21:21,1,MATCH(Stock!N$1,'Stock UST'!$1:$1,0))))</f>
        <v/>
      </c>
      <c r="O21" s="9" t="str">
        <f ca="1">IF(IF(ISERROR(MATCH(Stock!O$1,'Stock UST'!$1:$1,0)),N21,INDEX('Stock UST'!21:21,1,MATCH(Stock!O$1,'Stock UST'!$1:$1,0)))=0,"",IF(ISERROR(MATCH(Stock!O$1,'Stock UST'!$1:$1,0)),N21,INDEX('Stock UST'!21:21,1,MATCH(Stock!O$1,'Stock UST'!$1:$1,0))))</f>
        <v/>
      </c>
      <c r="P21" s="9" t="str">
        <f ca="1">IF(IF(ISERROR(MATCH(Stock!P$1,'Stock UST'!$1:$1,0)),O21,INDEX('Stock UST'!21:21,1,MATCH(Stock!P$1,'Stock UST'!$1:$1,0)))=0,"",IF(ISERROR(MATCH(Stock!P$1,'Stock UST'!$1:$1,0)),O21,INDEX('Stock UST'!21:21,1,MATCH(Stock!P$1,'Stock UST'!$1:$1,0))))</f>
        <v/>
      </c>
      <c r="Q21" s="9" t="str">
        <f ca="1">IF(IF(ISERROR(MATCH(Stock!Q$1,'Stock UST'!$1:$1,0)),P21,INDEX('Stock UST'!21:21,1,MATCH(Stock!Q$1,'Stock UST'!$1:$1,0)))=0,"",IF(ISERROR(MATCH(Stock!Q$1,'Stock UST'!$1:$1,0)),P21,INDEX('Stock UST'!21:21,1,MATCH(Stock!Q$1,'Stock UST'!$1:$1,0))))</f>
        <v/>
      </c>
      <c r="R21" s="9" t="str">
        <f ca="1">IF(IF(ISERROR(MATCH(Stock!R$1,'Stock UST'!$1:$1,0)),Q21,INDEX('Stock UST'!21:21,1,MATCH(Stock!R$1,'Stock UST'!$1:$1,0)))=0,"",IF(ISERROR(MATCH(Stock!R$1,'Stock UST'!$1:$1,0)),Q21,INDEX('Stock UST'!21:21,1,MATCH(Stock!R$1,'Stock UST'!$1:$1,0))))</f>
        <v/>
      </c>
      <c r="S21" s="9" t="str">
        <f ca="1">IF(IF(ISERROR(MATCH(Stock!S$1,'Stock UST'!$1:$1,0)),R21,INDEX('Stock UST'!21:21,1,MATCH(Stock!S$1,'Stock UST'!$1:$1,0)))=0,"",IF(ISERROR(MATCH(Stock!S$1,'Stock UST'!$1:$1,0)),R21,INDEX('Stock UST'!21:21,1,MATCH(Stock!S$1,'Stock UST'!$1:$1,0))))</f>
        <v/>
      </c>
      <c r="T21" s="9" t="str">
        <f ca="1">IF(IF(ISERROR(MATCH(Stock!T$1,'Stock UST'!$1:$1,0)),S21,INDEX('Stock UST'!21:21,1,MATCH(Stock!T$1,'Stock UST'!$1:$1,0)))=0,"",IF(ISERROR(MATCH(Stock!T$1,'Stock UST'!$1:$1,0)),S21,INDEX('Stock UST'!21:21,1,MATCH(Stock!T$1,'Stock UST'!$1:$1,0))))</f>
        <v/>
      </c>
      <c r="U21" s="9" t="str">
        <f ca="1">IF(IF(ISERROR(MATCH(Stock!U$1,'Stock UST'!$1:$1,0)),T21,INDEX('Stock UST'!21:21,1,MATCH(Stock!U$1,'Stock UST'!$1:$1,0)))=0,"",IF(ISERROR(MATCH(Stock!U$1,'Stock UST'!$1:$1,0)),T21,INDEX('Stock UST'!21:21,1,MATCH(Stock!U$1,'Stock UST'!$1:$1,0))))</f>
        <v/>
      </c>
      <c r="V21" s="9" t="str">
        <f ca="1">IF(IF(ISERROR(MATCH(Stock!V$1,'Stock UST'!$1:$1,0)),U21,INDEX('Stock UST'!21:21,1,MATCH(Stock!V$1,'Stock UST'!$1:$1,0)))=0,"",IF(ISERROR(MATCH(Stock!V$1,'Stock UST'!$1:$1,0)),U21,INDEX('Stock UST'!21:21,1,MATCH(Stock!V$1,'Stock UST'!$1:$1,0))))</f>
        <v/>
      </c>
      <c r="W21" s="9" t="str">
        <f ca="1">IF(IF(ISERROR(MATCH(Stock!W$1,'Stock UST'!$1:$1,0)),V21,INDEX('Stock UST'!21:21,1,MATCH(Stock!W$1,'Stock UST'!$1:$1,0)))=0,"",IF(ISERROR(MATCH(Stock!W$1,'Stock UST'!$1:$1,0)),V21,INDEX('Stock UST'!21:21,1,MATCH(Stock!W$1,'Stock UST'!$1:$1,0))))</f>
        <v/>
      </c>
      <c r="X21" s="9" t="str">
        <f ca="1">IF(IF(ISERROR(MATCH(Stock!X$1,'Stock UST'!$1:$1,0)),W21,INDEX('Stock UST'!21:21,1,MATCH(Stock!X$1,'Stock UST'!$1:$1,0)))=0,"",IF(ISERROR(MATCH(Stock!X$1,'Stock UST'!$1:$1,0)),W21,INDEX('Stock UST'!21:21,1,MATCH(Stock!X$1,'Stock UST'!$1:$1,0))))</f>
        <v/>
      </c>
      <c r="Y21" s="9" t="str">
        <f ca="1">IF(IF(ISERROR(MATCH(Stock!Y$1,'Stock UST'!$1:$1,0)),X21,INDEX('Stock UST'!21:21,1,MATCH(Stock!Y$1,'Stock UST'!$1:$1,0)))=0,"",IF(ISERROR(MATCH(Stock!Y$1,'Stock UST'!$1:$1,0)),X21,INDEX('Stock UST'!21:21,1,MATCH(Stock!Y$1,'Stock UST'!$1:$1,0))))</f>
        <v/>
      </c>
      <c r="Z21" s="9" t="str">
        <f ca="1">IF(IF(ISERROR(MATCH(Stock!Z$1,'Stock UST'!$1:$1,0)),Y21,INDEX('Stock UST'!21:21,1,MATCH(Stock!Z$1,'Stock UST'!$1:$1,0)))=0,"",IF(ISERROR(MATCH(Stock!Z$1,'Stock UST'!$1:$1,0)),Y21,INDEX('Stock UST'!21:21,1,MATCH(Stock!Z$1,'Stock UST'!$1:$1,0))))</f>
        <v/>
      </c>
      <c r="AA21" s="9" t="str">
        <f ca="1">IF(IF(ISERROR(MATCH(Stock!AA$1,'Stock UST'!$1:$1,0)),Z21,INDEX('Stock UST'!21:21,1,MATCH(Stock!AA$1,'Stock UST'!$1:$1,0)))=0,"",IF(ISERROR(MATCH(Stock!AA$1,'Stock UST'!$1:$1,0)),Z21,INDEX('Stock UST'!21:21,1,MATCH(Stock!AA$1,'Stock UST'!$1:$1,0))))</f>
        <v/>
      </c>
      <c r="AB21" s="9" t="str">
        <f ca="1">IF(IF(ISERROR(MATCH(Stock!AB$1,'Stock UST'!$1:$1,0)),AA21,INDEX('Stock UST'!21:21,1,MATCH(Stock!AB$1,'Stock UST'!$1:$1,0)))=0,"",IF(ISERROR(MATCH(Stock!AB$1,'Stock UST'!$1:$1,0)),AA21,INDEX('Stock UST'!21:21,1,MATCH(Stock!AB$1,'Stock UST'!$1:$1,0))))</f>
        <v/>
      </c>
      <c r="AC21" s="9" t="str">
        <f ca="1">IF(IF(ISERROR(MATCH(Stock!AC$1,'Stock UST'!$1:$1,0)),AB21,INDEX('Stock UST'!21:21,1,MATCH(Stock!AC$1,'Stock UST'!$1:$1,0)))=0,"",IF(ISERROR(MATCH(Stock!AC$1,'Stock UST'!$1:$1,0)),AB21,INDEX('Stock UST'!21:21,1,MATCH(Stock!AC$1,'Stock UST'!$1:$1,0))))</f>
        <v/>
      </c>
      <c r="AD21" s="9" t="str">
        <f ca="1">IF(IF(ISERROR(MATCH(Stock!AD$1,'Stock UST'!$1:$1,0)),AC21,INDEX('Stock UST'!21:21,1,MATCH(Stock!AD$1,'Stock UST'!$1:$1,0)))=0,"",IF(ISERROR(MATCH(Stock!AD$1,'Stock UST'!$1:$1,0)),AC21,INDEX('Stock UST'!21:21,1,MATCH(Stock!AD$1,'Stock UST'!$1:$1,0))))</f>
        <v/>
      </c>
      <c r="AE21" s="9" t="str">
        <f ca="1">IF(IF(ISERROR(MATCH(Stock!AE$1,'Stock UST'!$1:$1,0)),AD21,INDEX('Stock UST'!21:21,1,MATCH(Stock!AE$1,'Stock UST'!$1:$1,0)))=0,"",IF(ISERROR(MATCH(Stock!AE$1,'Stock UST'!$1:$1,0)),AD21,INDEX('Stock UST'!21:21,1,MATCH(Stock!AE$1,'Stock UST'!$1:$1,0))))</f>
        <v/>
      </c>
      <c r="AF21" s="9" t="str">
        <f ca="1">IF(IF(ISERROR(MATCH(Stock!AF$1,'Stock UST'!$1:$1,0)),AE21,INDEX('Stock UST'!21:21,1,MATCH(Stock!AF$1,'Stock UST'!$1:$1,0)))=0,"",IF(ISERROR(MATCH(Stock!AF$1,'Stock UST'!$1:$1,0)),AE21,INDEX('Stock UST'!21:21,1,MATCH(Stock!AF$1,'Stock UST'!$1:$1,0))))</f>
        <v/>
      </c>
      <c r="AG21" s="9" t="str">
        <f ca="1">IF(IF(ISERROR(MATCH(Stock!AG$1,'Stock UST'!$1:$1,0)),AF21,INDEX('Stock UST'!21:21,1,MATCH(Stock!AG$1,'Stock UST'!$1:$1,0)))=0,"",IF(ISERROR(MATCH(Stock!AG$1,'Stock UST'!$1:$1,0)),AF21,INDEX('Stock UST'!21:21,1,MATCH(Stock!AG$1,'Stock UST'!$1:$1,0))))</f>
        <v/>
      </c>
      <c r="AH21" s="9" t="str">
        <f ca="1">IF(IF(ISERROR(MATCH(Stock!AH$1,'Stock UST'!$1:$1,0)),AG21,INDEX('Stock UST'!21:21,1,MATCH(Stock!AH$1,'Stock UST'!$1:$1,0)))=0,"",IF(ISERROR(MATCH(Stock!AH$1,'Stock UST'!$1:$1,0)),AG21,INDEX('Stock UST'!21:21,1,MATCH(Stock!AH$1,'Stock UST'!$1:$1,0))))</f>
        <v/>
      </c>
      <c r="AI21" s="9" t="str">
        <f ca="1">IF(IF(ISERROR(MATCH(Stock!AI$1,'Stock UST'!$1:$1,0)),AH21,INDEX('Stock UST'!21:21,1,MATCH(Stock!AI$1,'Stock UST'!$1:$1,0)))=0,"",IF(ISERROR(MATCH(Stock!AI$1,'Stock UST'!$1:$1,0)),AH21,INDEX('Stock UST'!21:21,1,MATCH(Stock!AI$1,'Stock UST'!$1:$1,0))))</f>
        <v/>
      </c>
      <c r="AJ21" s="9" t="str">
        <f ca="1">IF(IF(ISERROR(MATCH(Stock!AJ$1,'Stock UST'!$1:$1,0)),AI21,INDEX('Stock UST'!21:21,1,MATCH(Stock!AJ$1,'Stock UST'!$1:$1,0)))=0,"",IF(ISERROR(MATCH(Stock!AJ$1,'Stock UST'!$1:$1,0)),AI21,INDEX('Stock UST'!21:21,1,MATCH(Stock!AJ$1,'Stock UST'!$1:$1,0))))</f>
        <v/>
      </c>
      <c r="AK21" s="9" t="str">
        <f ca="1">IF(IF(ISERROR(MATCH(Stock!AK$1,'Stock UST'!$1:$1,0)),AJ21,INDEX('Stock UST'!21:21,1,MATCH(Stock!AK$1,'Stock UST'!$1:$1,0)))=0,"",IF(ISERROR(MATCH(Stock!AK$1,'Stock UST'!$1:$1,0)),AJ21,INDEX('Stock UST'!21:21,1,MATCH(Stock!AK$1,'Stock UST'!$1:$1,0))))</f>
        <v/>
      </c>
      <c r="AL21" s="9" t="str">
        <f ca="1">IF(IF(ISERROR(MATCH(Stock!AL$1,'Stock UST'!$1:$1,0)),AK21,INDEX('Stock UST'!21:21,1,MATCH(Stock!AL$1,'Stock UST'!$1:$1,0)))=0,"",IF(ISERROR(MATCH(Stock!AL$1,'Stock UST'!$1:$1,0)),AK21,INDEX('Stock UST'!21:21,1,MATCH(Stock!AL$1,'Stock UST'!$1:$1,0))))</f>
        <v/>
      </c>
      <c r="AM21" s="9" t="str">
        <f ca="1">IF(IF(ISERROR(MATCH(Stock!AM$1,'Stock UST'!$1:$1,0)),AL21,INDEX('Stock UST'!21:21,1,MATCH(Stock!AM$1,'Stock UST'!$1:$1,0)))=0,"",IF(ISERROR(MATCH(Stock!AM$1,'Stock UST'!$1:$1,0)),AL21,INDEX('Stock UST'!21:21,1,MATCH(Stock!AM$1,'Stock UST'!$1:$1,0))))</f>
        <v/>
      </c>
      <c r="AN21" s="9" t="str">
        <f ca="1">IF(IF(ISERROR(MATCH(Stock!AN$1,'Stock UST'!$1:$1,0)),AM21,INDEX('Stock UST'!21:21,1,MATCH(Stock!AN$1,'Stock UST'!$1:$1,0)))=0,"",IF(ISERROR(MATCH(Stock!AN$1,'Stock UST'!$1:$1,0)),AM21,INDEX('Stock UST'!21:21,1,MATCH(Stock!AN$1,'Stock UST'!$1:$1,0))))</f>
        <v/>
      </c>
      <c r="AO21" s="9" t="str">
        <f ca="1">IF(IF(ISERROR(MATCH(Stock!AO$1,'Stock UST'!$1:$1,0)),AN21,INDEX('Stock UST'!21:21,1,MATCH(Stock!AO$1,'Stock UST'!$1:$1,0)))=0,"",IF(ISERROR(MATCH(Stock!AO$1,'Stock UST'!$1:$1,0)),AN21,INDEX('Stock UST'!21:21,1,MATCH(Stock!AO$1,'Stock UST'!$1:$1,0))))</f>
        <v/>
      </c>
      <c r="AP21" s="9" t="str">
        <f ca="1">IF(IF(ISERROR(MATCH(Stock!AP$1,'Stock UST'!$1:$1,0)),AO21,INDEX('Stock UST'!21:21,1,MATCH(Stock!AP$1,'Stock UST'!$1:$1,0)))=0,"",IF(ISERROR(MATCH(Stock!AP$1,'Stock UST'!$1:$1,0)),AO21,INDEX('Stock UST'!21:21,1,MATCH(Stock!AP$1,'Stock UST'!$1:$1,0))))</f>
        <v/>
      </c>
      <c r="AQ21" s="9" t="str">
        <f ca="1">IF(IF(ISERROR(MATCH(Stock!AQ$1,'Stock UST'!$1:$1,0)),AP21,INDEX('Stock UST'!21:21,1,MATCH(Stock!AQ$1,'Stock UST'!$1:$1,0)))=0,"",IF(ISERROR(MATCH(Stock!AQ$1,'Stock UST'!$1:$1,0)),AP21,INDEX('Stock UST'!21:21,1,MATCH(Stock!AQ$1,'Stock UST'!$1:$1,0))))</f>
        <v/>
      </c>
      <c r="AR21" s="9" t="str">
        <f ca="1">IF(IF(ISERROR(MATCH(Stock!AR$1,'Stock UST'!$1:$1,0)),AQ21,INDEX('Stock UST'!21:21,1,MATCH(Stock!AR$1,'Stock UST'!$1:$1,0)))=0,"",IF(ISERROR(MATCH(Stock!AR$1,'Stock UST'!$1:$1,0)),AQ21,INDEX('Stock UST'!21:21,1,MATCH(Stock!AR$1,'Stock UST'!$1:$1,0))))</f>
        <v/>
      </c>
      <c r="AS21" s="9" t="str">
        <f ca="1">IF(IF(ISERROR(MATCH(Stock!AS$1,'Stock UST'!$1:$1,0)),AR21,INDEX('Stock UST'!21:21,1,MATCH(Stock!AS$1,'Stock UST'!$1:$1,0)))=0,"",IF(ISERROR(MATCH(Stock!AS$1,'Stock UST'!$1:$1,0)),AR21,INDEX('Stock UST'!21:21,1,MATCH(Stock!AS$1,'Stock UST'!$1:$1,0))))</f>
        <v/>
      </c>
      <c r="AT21" s="9" t="str">
        <f ca="1">IF(IF(ISERROR(MATCH(Stock!AT$1,'Stock UST'!$1:$1,0)),AS21,INDEX('Stock UST'!21:21,1,MATCH(Stock!AT$1,'Stock UST'!$1:$1,0)))=0,"",IF(ISERROR(MATCH(Stock!AT$1,'Stock UST'!$1:$1,0)),AS21,INDEX('Stock UST'!21:21,1,MATCH(Stock!AT$1,'Stock UST'!$1:$1,0))))</f>
        <v/>
      </c>
      <c r="AU21" s="9" t="str">
        <f ca="1">IF(IF(ISERROR(MATCH(Stock!AU$1,'Stock UST'!$1:$1,0)),AT21,INDEX('Stock UST'!21:21,1,MATCH(Stock!AU$1,'Stock UST'!$1:$1,0)))=0,"",IF(ISERROR(MATCH(Stock!AU$1,'Stock UST'!$1:$1,0)),AT21,INDEX('Stock UST'!21:21,1,MATCH(Stock!AU$1,'Stock UST'!$1:$1,0))))</f>
        <v/>
      </c>
      <c r="AV21" s="9" t="str">
        <f ca="1">IF(IF(ISERROR(MATCH(Stock!AV$1,'Stock UST'!$1:$1,0)),AU21,INDEX('Stock UST'!21:21,1,MATCH(Stock!AV$1,'Stock UST'!$1:$1,0)))=0,"",IF(ISERROR(MATCH(Stock!AV$1,'Stock UST'!$1:$1,0)),AU21,INDEX('Stock UST'!21:21,1,MATCH(Stock!AV$1,'Stock UST'!$1:$1,0))))</f>
        <v/>
      </c>
      <c r="AW21" s="9" t="str">
        <f ca="1">IF(IF(ISERROR(MATCH(Stock!AW$1,'Stock UST'!$1:$1,0)),AV21,INDEX('Stock UST'!21:21,1,MATCH(Stock!AW$1,'Stock UST'!$1:$1,0)))=0,"",IF(ISERROR(MATCH(Stock!AW$1,'Stock UST'!$1:$1,0)),AV21,INDEX('Stock UST'!21:21,1,MATCH(Stock!AW$1,'Stock UST'!$1:$1,0))))</f>
        <v/>
      </c>
      <c r="AX21" s="9" t="str">
        <f ca="1">IF(IF(ISERROR(MATCH(Stock!AX$1,'Stock UST'!$1:$1,0)),AW21,INDEX('Stock UST'!21:21,1,MATCH(Stock!AX$1,'Stock UST'!$1:$1,0)))=0,"",IF(ISERROR(MATCH(Stock!AX$1,'Stock UST'!$1:$1,0)),AW21,INDEX('Stock UST'!21:21,1,MATCH(Stock!AX$1,'Stock UST'!$1:$1,0))))</f>
        <v/>
      </c>
    </row>
    <row r="22" spans="1:50" x14ac:dyDescent="0.3">
      <c r="A22" s="9">
        <f>IF('Stock UST'!E22="","",'Stock UST'!E22)</f>
        <v>0</v>
      </c>
      <c r="B22" s="9" t="str">
        <f>IF(IF(ISERROR(MATCH(Stock!B$1,'Stock UST'!$1:$1,0)),A22,INDEX('Stock UST'!22:22,1,MATCH(Stock!B$1,'Stock UST'!$1:$1,0)))=0,"",IF(ISERROR(MATCH(Stock!B$1,'Stock UST'!$1:$1,0)),A22,INDEX('Stock UST'!22:22,1,MATCH(Stock!B$1,'Stock UST'!$1:$1,0))))</f>
        <v/>
      </c>
      <c r="C22" s="9" t="str">
        <f ca="1">IF(IF(ISERROR(MATCH(Stock!C$1,'Stock UST'!$1:$1,0)),B22,INDEX('Stock UST'!22:22,1,MATCH(Stock!C$1,'Stock UST'!$1:$1,0)))=0,"",IF(ISERROR(MATCH(Stock!C$1,'Stock UST'!$1:$1,0)),B22,INDEX('Stock UST'!22:22,1,MATCH(Stock!C$1,'Stock UST'!$1:$1,0))))</f>
        <v/>
      </c>
      <c r="D22" s="9" t="str">
        <f ca="1">IF(IF(ISERROR(MATCH(Stock!D$1,'Stock UST'!$1:$1,0)),C22,INDEX('Stock UST'!22:22,1,MATCH(Stock!D$1,'Stock UST'!$1:$1,0)))=0,"",IF(ISERROR(MATCH(Stock!D$1,'Stock UST'!$1:$1,0)),C22,INDEX('Stock UST'!22:22,1,MATCH(Stock!D$1,'Stock UST'!$1:$1,0))))</f>
        <v/>
      </c>
      <c r="E22" s="9" t="str">
        <f ca="1">IF(IF(ISERROR(MATCH(Stock!E$1,'Stock UST'!$1:$1,0)),D22,INDEX('Stock UST'!22:22,1,MATCH(Stock!E$1,'Stock UST'!$1:$1,0)))=0,"",IF(ISERROR(MATCH(Stock!E$1,'Stock UST'!$1:$1,0)),D22,INDEX('Stock UST'!22:22,1,MATCH(Stock!E$1,'Stock UST'!$1:$1,0))))</f>
        <v/>
      </c>
      <c r="F22" s="9" t="str">
        <f ca="1">IF(IF(ISERROR(MATCH(Stock!F$1,'Stock UST'!$1:$1,0)),E22,INDEX('Stock UST'!22:22,1,MATCH(Stock!F$1,'Stock UST'!$1:$1,0)))=0,"",IF(ISERROR(MATCH(Stock!F$1,'Stock UST'!$1:$1,0)),E22,INDEX('Stock UST'!22:22,1,MATCH(Stock!F$1,'Stock UST'!$1:$1,0))))</f>
        <v/>
      </c>
      <c r="G22" s="9" t="str">
        <f ca="1">IF(IF(ISERROR(MATCH(Stock!G$1,'Stock UST'!$1:$1,0)),F22,INDEX('Stock UST'!22:22,1,MATCH(Stock!G$1,'Stock UST'!$1:$1,0)))=0,"",IF(ISERROR(MATCH(Stock!G$1,'Stock UST'!$1:$1,0)),F22,INDEX('Stock UST'!22:22,1,MATCH(Stock!G$1,'Stock UST'!$1:$1,0))))</f>
        <v/>
      </c>
      <c r="H22" s="9" t="str">
        <f ca="1">IF(IF(ISERROR(MATCH(Stock!H$1,'Stock UST'!$1:$1,0)),G22,INDEX('Stock UST'!22:22,1,MATCH(Stock!H$1,'Stock UST'!$1:$1,0)))=0,"",IF(ISERROR(MATCH(Stock!H$1,'Stock UST'!$1:$1,0)),G22,INDEX('Stock UST'!22:22,1,MATCH(Stock!H$1,'Stock UST'!$1:$1,0))))</f>
        <v/>
      </c>
      <c r="I22" s="9" t="str">
        <f ca="1">IF(IF(ISERROR(MATCH(Stock!I$1,'Stock UST'!$1:$1,0)),H22,INDEX('Stock UST'!22:22,1,MATCH(Stock!I$1,'Stock UST'!$1:$1,0)))=0,"",IF(ISERROR(MATCH(Stock!I$1,'Stock UST'!$1:$1,0)),H22,INDEX('Stock UST'!22:22,1,MATCH(Stock!I$1,'Stock UST'!$1:$1,0))))</f>
        <v/>
      </c>
      <c r="J22" s="9" t="str">
        <f ca="1">IF(IF(ISERROR(MATCH(Stock!J$1,'Stock UST'!$1:$1,0)),I22,INDEX('Stock UST'!22:22,1,MATCH(Stock!J$1,'Stock UST'!$1:$1,0)))=0,"",IF(ISERROR(MATCH(Stock!J$1,'Stock UST'!$1:$1,0)),I22,INDEX('Stock UST'!22:22,1,MATCH(Stock!J$1,'Stock UST'!$1:$1,0))))</f>
        <v/>
      </c>
      <c r="K22" s="9" t="str">
        <f ca="1">IF(IF(ISERROR(MATCH(Stock!K$1,'Stock UST'!$1:$1,0)),J22,INDEX('Stock UST'!22:22,1,MATCH(Stock!K$1,'Stock UST'!$1:$1,0)))=0,"",IF(ISERROR(MATCH(Stock!K$1,'Stock UST'!$1:$1,0)),J22,INDEX('Stock UST'!22:22,1,MATCH(Stock!K$1,'Stock UST'!$1:$1,0))))</f>
        <v/>
      </c>
      <c r="L22" s="9" t="str">
        <f ca="1">IF(IF(ISERROR(MATCH(Stock!L$1,'Stock UST'!$1:$1,0)),K22,INDEX('Stock UST'!22:22,1,MATCH(Stock!L$1,'Stock UST'!$1:$1,0)))=0,"",IF(ISERROR(MATCH(Stock!L$1,'Stock UST'!$1:$1,0)),K22,INDEX('Stock UST'!22:22,1,MATCH(Stock!L$1,'Stock UST'!$1:$1,0))))</f>
        <v/>
      </c>
      <c r="M22" s="9" t="str">
        <f ca="1">IF(IF(ISERROR(MATCH(Stock!M$1,'Stock UST'!$1:$1,0)),L22,INDEX('Stock UST'!22:22,1,MATCH(Stock!M$1,'Stock UST'!$1:$1,0)))=0,"",IF(ISERROR(MATCH(Stock!M$1,'Stock UST'!$1:$1,0)),L22,INDEX('Stock UST'!22:22,1,MATCH(Stock!M$1,'Stock UST'!$1:$1,0))))</f>
        <v/>
      </c>
      <c r="N22" s="9" t="str">
        <f ca="1">IF(IF(ISERROR(MATCH(Stock!N$1,'Stock UST'!$1:$1,0)),M22,INDEX('Stock UST'!22:22,1,MATCH(Stock!N$1,'Stock UST'!$1:$1,0)))=0,"",IF(ISERROR(MATCH(Stock!N$1,'Stock UST'!$1:$1,0)),M22,INDEX('Stock UST'!22:22,1,MATCH(Stock!N$1,'Stock UST'!$1:$1,0))))</f>
        <v/>
      </c>
      <c r="O22" s="9" t="str">
        <f ca="1">IF(IF(ISERROR(MATCH(Stock!O$1,'Stock UST'!$1:$1,0)),N22,INDEX('Stock UST'!22:22,1,MATCH(Stock!O$1,'Stock UST'!$1:$1,0)))=0,"",IF(ISERROR(MATCH(Stock!O$1,'Stock UST'!$1:$1,0)),N22,INDEX('Stock UST'!22:22,1,MATCH(Stock!O$1,'Stock UST'!$1:$1,0))))</f>
        <v/>
      </c>
      <c r="P22" s="9" t="str">
        <f ca="1">IF(IF(ISERROR(MATCH(Stock!P$1,'Stock UST'!$1:$1,0)),O22,INDEX('Stock UST'!22:22,1,MATCH(Stock!P$1,'Stock UST'!$1:$1,0)))=0,"",IF(ISERROR(MATCH(Stock!P$1,'Stock UST'!$1:$1,0)),O22,INDEX('Stock UST'!22:22,1,MATCH(Stock!P$1,'Stock UST'!$1:$1,0))))</f>
        <v/>
      </c>
      <c r="Q22" s="9" t="str">
        <f ca="1">IF(IF(ISERROR(MATCH(Stock!Q$1,'Stock UST'!$1:$1,0)),P22,INDEX('Stock UST'!22:22,1,MATCH(Stock!Q$1,'Stock UST'!$1:$1,0)))=0,"",IF(ISERROR(MATCH(Stock!Q$1,'Stock UST'!$1:$1,0)),P22,INDEX('Stock UST'!22:22,1,MATCH(Stock!Q$1,'Stock UST'!$1:$1,0))))</f>
        <v/>
      </c>
      <c r="R22" s="9" t="str">
        <f ca="1">IF(IF(ISERROR(MATCH(Stock!R$1,'Stock UST'!$1:$1,0)),Q22,INDEX('Stock UST'!22:22,1,MATCH(Stock!R$1,'Stock UST'!$1:$1,0)))=0,"",IF(ISERROR(MATCH(Stock!R$1,'Stock UST'!$1:$1,0)),Q22,INDEX('Stock UST'!22:22,1,MATCH(Stock!R$1,'Stock UST'!$1:$1,0))))</f>
        <v/>
      </c>
      <c r="S22" s="9" t="str">
        <f ca="1">IF(IF(ISERROR(MATCH(Stock!S$1,'Stock UST'!$1:$1,0)),R22,INDEX('Stock UST'!22:22,1,MATCH(Stock!S$1,'Stock UST'!$1:$1,0)))=0,"",IF(ISERROR(MATCH(Stock!S$1,'Stock UST'!$1:$1,0)),R22,INDEX('Stock UST'!22:22,1,MATCH(Stock!S$1,'Stock UST'!$1:$1,0))))</f>
        <v/>
      </c>
      <c r="T22" s="9" t="str">
        <f ca="1">IF(IF(ISERROR(MATCH(Stock!T$1,'Stock UST'!$1:$1,0)),S22,INDEX('Stock UST'!22:22,1,MATCH(Stock!T$1,'Stock UST'!$1:$1,0)))=0,"",IF(ISERROR(MATCH(Stock!T$1,'Stock UST'!$1:$1,0)),S22,INDEX('Stock UST'!22:22,1,MATCH(Stock!T$1,'Stock UST'!$1:$1,0))))</f>
        <v/>
      </c>
      <c r="U22" s="9" t="str">
        <f ca="1">IF(IF(ISERROR(MATCH(Stock!U$1,'Stock UST'!$1:$1,0)),T22,INDEX('Stock UST'!22:22,1,MATCH(Stock!U$1,'Stock UST'!$1:$1,0)))=0,"",IF(ISERROR(MATCH(Stock!U$1,'Stock UST'!$1:$1,0)),T22,INDEX('Stock UST'!22:22,1,MATCH(Stock!U$1,'Stock UST'!$1:$1,0))))</f>
        <v/>
      </c>
      <c r="V22" s="9" t="str">
        <f ca="1">IF(IF(ISERROR(MATCH(Stock!V$1,'Stock UST'!$1:$1,0)),U22,INDEX('Stock UST'!22:22,1,MATCH(Stock!V$1,'Stock UST'!$1:$1,0)))=0,"",IF(ISERROR(MATCH(Stock!V$1,'Stock UST'!$1:$1,0)),U22,INDEX('Stock UST'!22:22,1,MATCH(Stock!V$1,'Stock UST'!$1:$1,0))))</f>
        <v/>
      </c>
      <c r="W22" s="9" t="str">
        <f ca="1">IF(IF(ISERROR(MATCH(Stock!W$1,'Stock UST'!$1:$1,0)),V22,INDEX('Stock UST'!22:22,1,MATCH(Stock!W$1,'Stock UST'!$1:$1,0)))=0,"",IF(ISERROR(MATCH(Stock!W$1,'Stock UST'!$1:$1,0)),V22,INDEX('Stock UST'!22:22,1,MATCH(Stock!W$1,'Stock UST'!$1:$1,0))))</f>
        <v/>
      </c>
      <c r="X22" s="9" t="str">
        <f ca="1">IF(IF(ISERROR(MATCH(Stock!X$1,'Stock UST'!$1:$1,0)),W22,INDEX('Stock UST'!22:22,1,MATCH(Stock!X$1,'Stock UST'!$1:$1,0)))=0,"",IF(ISERROR(MATCH(Stock!X$1,'Stock UST'!$1:$1,0)),W22,INDEX('Stock UST'!22:22,1,MATCH(Stock!X$1,'Stock UST'!$1:$1,0))))</f>
        <v/>
      </c>
      <c r="Y22" s="9" t="str">
        <f ca="1">IF(IF(ISERROR(MATCH(Stock!Y$1,'Stock UST'!$1:$1,0)),X22,INDEX('Stock UST'!22:22,1,MATCH(Stock!Y$1,'Stock UST'!$1:$1,0)))=0,"",IF(ISERROR(MATCH(Stock!Y$1,'Stock UST'!$1:$1,0)),X22,INDEX('Stock UST'!22:22,1,MATCH(Stock!Y$1,'Stock UST'!$1:$1,0))))</f>
        <v/>
      </c>
      <c r="Z22" s="9" t="str">
        <f ca="1">IF(IF(ISERROR(MATCH(Stock!Z$1,'Stock UST'!$1:$1,0)),Y22,INDEX('Stock UST'!22:22,1,MATCH(Stock!Z$1,'Stock UST'!$1:$1,0)))=0,"",IF(ISERROR(MATCH(Stock!Z$1,'Stock UST'!$1:$1,0)),Y22,INDEX('Stock UST'!22:22,1,MATCH(Stock!Z$1,'Stock UST'!$1:$1,0))))</f>
        <v/>
      </c>
      <c r="AA22" s="9" t="str">
        <f ca="1">IF(IF(ISERROR(MATCH(Stock!AA$1,'Stock UST'!$1:$1,0)),Z22,INDEX('Stock UST'!22:22,1,MATCH(Stock!AA$1,'Stock UST'!$1:$1,0)))=0,"",IF(ISERROR(MATCH(Stock!AA$1,'Stock UST'!$1:$1,0)),Z22,INDEX('Stock UST'!22:22,1,MATCH(Stock!AA$1,'Stock UST'!$1:$1,0))))</f>
        <v/>
      </c>
      <c r="AB22" s="9" t="str">
        <f ca="1">IF(IF(ISERROR(MATCH(Stock!AB$1,'Stock UST'!$1:$1,0)),AA22,INDEX('Stock UST'!22:22,1,MATCH(Stock!AB$1,'Stock UST'!$1:$1,0)))=0,"",IF(ISERROR(MATCH(Stock!AB$1,'Stock UST'!$1:$1,0)),AA22,INDEX('Stock UST'!22:22,1,MATCH(Stock!AB$1,'Stock UST'!$1:$1,0))))</f>
        <v/>
      </c>
      <c r="AC22" s="9" t="str">
        <f ca="1">IF(IF(ISERROR(MATCH(Stock!AC$1,'Stock UST'!$1:$1,0)),AB22,INDEX('Stock UST'!22:22,1,MATCH(Stock!AC$1,'Stock UST'!$1:$1,0)))=0,"",IF(ISERROR(MATCH(Stock!AC$1,'Stock UST'!$1:$1,0)),AB22,INDEX('Stock UST'!22:22,1,MATCH(Stock!AC$1,'Stock UST'!$1:$1,0))))</f>
        <v/>
      </c>
      <c r="AD22" s="9" t="str">
        <f ca="1">IF(IF(ISERROR(MATCH(Stock!AD$1,'Stock UST'!$1:$1,0)),AC22,INDEX('Stock UST'!22:22,1,MATCH(Stock!AD$1,'Stock UST'!$1:$1,0)))=0,"",IF(ISERROR(MATCH(Stock!AD$1,'Stock UST'!$1:$1,0)),AC22,INDEX('Stock UST'!22:22,1,MATCH(Stock!AD$1,'Stock UST'!$1:$1,0))))</f>
        <v/>
      </c>
      <c r="AE22" s="9" t="str">
        <f ca="1">IF(IF(ISERROR(MATCH(Stock!AE$1,'Stock UST'!$1:$1,0)),AD22,INDEX('Stock UST'!22:22,1,MATCH(Stock!AE$1,'Stock UST'!$1:$1,0)))=0,"",IF(ISERROR(MATCH(Stock!AE$1,'Stock UST'!$1:$1,0)),AD22,INDEX('Stock UST'!22:22,1,MATCH(Stock!AE$1,'Stock UST'!$1:$1,0))))</f>
        <v/>
      </c>
      <c r="AF22" s="9" t="str">
        <f ca="1">IF(IF(ISERROR(MATCH(Stock!AF$1,'Stock UST'!$1:$1,0)),AE22,INDEX('Stock UST'!22:22,1,MATCH(Stock!AF$1,'Stock UST'!$1:$1,0)))=0,"",IF(ISERROR(MATCH(Stock!AF$1,'Stock UST'!$1:$1,0)),AE22,INDEX('Stock UST'!22:22,1,MATCH(Stock!AF$1,'Stock UST'!$1:$1,0))))</f>
        <v/>
      </c>
      <c r="AG22" s="9" t="str">
        <f ca="1">IF(IF(ISERROR(MATCH(Stock!AG$1,'Stock UST'!$1:$1,0)),AF22,INDEX('Stock UST'!22:22,1,MATCH(Stock!AG$1,'Stock UST'!$1:$1,0)))=0,"",IF(ISERROR(MATCH(Stock!AG$1,'Stock UST'!$1:$1,0)),AF22,INDEX('Stock UST'!22:22,1,MATCH(Stock!AG$1,'Stock UST'!$1:$1,0))))</f>
        <v/>
      </c>
      <c r="AH22" s="9" t="str">
        <f ca="1">IF(IF(ISERROR(MATCH(Stock!AH$1,'Stock UST'!$1:$1,0)),AG22,INDEX('Stock UST'!22:22,1,MATCH(Stock!AH$1,'Stock UST'!$1:$1,0)))=0,"",IF(ISERROR(MATCH(Stock!AH$1,'Stock UST'!$1:$1,0)),AG22,INDEX('Stock UST'!22:22,1,MATCH(Stock!AH$1,'Stock UST'!$1:$1,0))))</f>
        <v/>
      </c>
      <c r="AI22" s="9" t="str">
        <f ca="1">IF(IF(ISERROR(MATCH(Stock!AI$1,'Stock UST'!$1:$1,0)),AH22,INDEX('Stock UST'!22:22,1,MATCH(Stock!AI$1,'Stock UST'!$1:$1,0)))=0,"",IF(ISERROR(MATCH(Stock!AI$1,'Stock UST'!$1:$1,0)),AH22,INDEX('Stock UST'!22:22,1,MATCH(Stock!AI$1,'Stock UST'!$1:$1,0))))</f>
        <v/>
      </c>
      <c r="AJ22" s="9" t="str">
        <f ca="1">IF(IF(ISERROR(MATCH(Stock!AJ$1,'Stock UST'!$1:$1,0)),AI22,INDEX('Stock UST'!22:22,1,MATCH(Stock!AJ$1,'Stock UST'!$1:$1,0)))=0,"",IF(ISERROR(MATCH(Stock!AJ$1,'Stock UST'!$1:$1,0)),AI22,INDEX('Stock UST'!22:22,1,MATCH(Stock!AJ$1,'Stock UST'!$1:$1,0))))</f>
        <v/>
      </c>
      <c r="AK22" s="9" t="str">
        <f ca="1">IF(IF(ISERROR(MATCH(Stock!AK$1,'Stock UST'!$1:$1,0)),AJ22,INDEX('Stock UST'!22:22,1,MATCH(Stock!AK$1,'Stock UST'!$1:$1,0)))=0,"",IF(ISERROR(MATCH(Stock!AK$1,'Stock UST'!$1:$1,0)),AJ22,INDEX('Stock UST'!22:22,1,MATCH(Stock!AK$1,'Stock UST'!$1:$1,0))))</f>
        <v/>
      </c>
      <c r="AL22" s="9" t="str">
        <f ca="1">IF(IF(ISERROR(MATCH(Stock!AL$1,'Stock UST'!$1:$1,0)),AK22,INDEX('Stock UST'!22:22,1,MATCH(Stock!AL$1,'Stock UST'!$1:$1,0)))=0,"",IF(ISERROR(MATCH(Stock!AL$1,'Stock UST'!$1:$1,0)),AK22,INDEX('Stock UST'!22:22,1,MATCH(Stock!AL$1,'Stock UST'!$1:$1,0))))</f>
        <v/>
      </c>
      <c r="AM22" s="9" t="str">
        <f ca="1">IF(IF(ISERROR(MATCH(Stock!AM$1,'Stock UST'!$1:$1,0)),AL22,INDEX('Stock UST'!22:22,1,MATCH(Stock!AM$1,'Stock UST'!$1:$1,0)))=0,"",IF(ISERROR(MATCH(Stock!AM$1,'Stock UST'!$1:$1,0)),AL22,INDEX('Stock UST'!22:22,1,MATCH(Stock!AM$1,'Stock UST'!$1:$1,0))))</f>
        <v/>
      </c>
      <c r="AN22" s="9" t="str">
        <f ca="1">IF(IF(ISERROR(MATCH(Stock!AN$1,'Stock UST'!$1:$1,0)),AM22,INDEX('Stock UST'!22:22,1,MATCH(Stock!AN$1,'Stock UST'!$1:$1,0)))=0,"",IF(ISERROR(MATCH(Stock!AN$1,'Stock UST'!$1:$1,0)),AM22,INDEX('Stock UST'!22:22,1,MATCH(Stock!AN$1,'Stock UST'!$1:$1,0))))</f>
        <v/>
      </c>
      <c r="AO22" s="9" t="str">
        <f ca="1">IF(IF(ISERROR(MATCH(Stock!AO$1,'Stock UST'!$1:$1,0)),AN22,INDEX('Stock UST'!22:22,1,MATCH(Stock!AO$1,'Stock UST'!$1:$1,0)))=0,"",IF(ISERROR(MATCH(Stock!AO$1,'Stock UST'!$1:$1,0)),AN22,INDEX('Stock UST'!22:22,1,MATCH(Stock!AO$1,'Stock UST'!$1:$1,0))))</f>
        <v/>
      </c>
      <c r="AP22" s="9" t="str">
        <f ca="1">IF(IF(ISERROR(MATCH(Stock!AP$1,'Stock UST'!$1:$1,0)),AO22,INDEX('Stock UST'!22:22,1,MATCH(Stock!AP$1,'Stock UST'!$1:$1,0)))=0,"",IF(ISERROR(MATCH(Stock!AP$1,'Stock UST'!$1:$1,0)),AO22,INDEX('Stock UST'!22:22,1,MATCH(Stock!AP$1,'Stock UST'!$1:$1,0))))</f>
        <v/>
      </c>
      <c r="AQ22" s="9" t="str">
        <f ca="1">IF(IF(ISERROR(MATCH(Stock!AQ$1,'Stock UST'!$1:$1,0)),AP22,INDEX('Stock UST'!22:22,1,MATCH(Stock!AQ$1,'Stock UST'!$1:$1,0)))=0,"",IF(ISERROR(MATCH(Stock!AQ$1,'Stock UST'!$1:$1,0)),AP22,INDEX('Stock UST'!22:22,1,MATCH(Stock!AQ$1,'Stock UST'!$1:$1,0))))</f>
        <v/>
      </c>
      <c r="AR22" s="9" t="str">
        <f ca="1">IF(IF(ISERROR(MATCH(Stock!AR$1,'Stock UST'!$1:$1,0)),AQ22,INDEX('Stock UST'!22:22,1,MATCH(Stock!AR$1,'Stock UST'!$1:$1,0)))=0,"",IF(ISERROR(MATCH(Stock!AR$1,'Stock UST'!$1:$1,0)),AQ22,INDEX('Stock UST'!22:22,1,MATCH(Stock!AR$1,'Stock UST'!$1:$1,0))))</f>
        <v/>
      </c>
      <c r="AS22" s="9" t="str">
        <f ca="1">IF(IF(ISERROR(MATCH(Stock!AS$1,'Stock UST'!$1:$1,0)),AR22,INDEX('Stock UST'!22:22,1,MATCH(Stock!AS$1,'Stock UST'!$1:$1,0)))=0,"",IF(ISERROR(MATCH(Stock!AS$1,'Stock UST'!$1:$1,0)),AR22,INDEX('Stock UST'!22:22,1,MATCH(Stock!AS$1,'Stock UST'!$1:$1,0))))</f>
        <v/>
      </c>
      <c r="AT22" s="9" t="str">
        <f ca="1">IF(IF(ISERROR(MATCH(Stock!AT$1,'Stock UST'!$1:$1,0)),AS22,INDEX('Stock UST'!22:22,1,MATCH(Stock!AT$1,'Stock UST'!$1:$1,0)))=0,"",IF(ISERROR(MATCH(Stock!AT$1,'Stock UST'!$1:$1,0)),AS22,INDEX('Stock UST'!22:22,1,MATCH(Stock!AT$1,'Stock UST'!$1:$1,0))))</f>
        <v/>
      </c>
      <c r="AU22" s="9" t="str">
        <f ca="1">IF(IF(ISERROR(MATCH(Stock!AU$1,'Stock UST'!$1:$1,0)),AT22,INDEX('Stock UST'!22:22,1,MATCH(Stock!AU$1,'Stock UST'!$1:$1,0)))=0,"",IF(ISERROR(MATCH(Stock!AU$1,'Stock UST'!$1:$1,0)),AT22,INDEX('Stock UST'!22:22,1,MATCH(Stock!AU$1,'Stock UST'!$1:$1,0))))</f>
        <v/>
      </c>
      <c r="AV22" s="9" t="str">
        <f ca="1">IF(IF(ISERROR(MATCH(Stock!AV$1,'Stock UST'!$1:$1,0)),AU22,INDEX('Stock UST'!22:22,1,MATCH(Stock!AV$1,'Stock UST'!$1:$1,0)))=0,"",IF(ISERROR(MATCH(Stock!AV$1,'Stock UST'!$1:$1,0)),AU22,INDEX('Stock UST'!22:22,1,MATCH(Stock!AV$1,'Stock UST'!$1:$1,0))))</f>
        <v/>
      </c>
      <c r="AW22" s="9" t="str">
        <f ca="1">IF(IF(ISERROR(MATCH(Stock!AW$1,'Stock UST'!$1:$1,0)),AV22,INDEX('Stock UST'!22:22,1,MATCH(Stock!AW$1,'Stock UST'!$1:$1,0)))=0,"",IF(ISERROR(MATCH(Stock!AW$1,'Stock UST'!$1:$1,0)),AV22,INDEX('Stock UST'!22:22,1,MATCH(Stock!AW$1,'Stock UST'!$1:$1,0))))</f>
        <v/>
      </c>
      <c r="AX22" s="9" t="str">
        <f ca="1">IF(IF(ISERROR(MATCH(Stock!AX$1,'Stock UST'!$1:$1,0)),AW22,INDEX('Stock UST'!22:22,1,MATCH(Stock!AX$1,'Stock UST'!$1:$1,0)))=0,"",IF(ISERROR(MATCH(Stock!AX$1,'Stock UST'!$1:$1,0)),AW22,INDEX('Stock UST'!22:22,1,MATCH(Stock!AX$1,'Stock UST'!$1:$1,0))))</f>
        <v/>
      </c>
    </row>
    <row r="23" spans="1:50" x14ac:dyDescent="0.3">
      <c r="A23" s="9">
        <f>IF('Stock UST'!E23="","",'Stock UST'!E23)</f>
        <v>33000</v>
      </c>
      <c r="B23" s="9">
        <f>IF(IF(ISERROR(MATCH(Stock!B$1,'Stock UST'!$1:$1,0)),A23,INDEX('Stock UST'!23:23,1,MATCH(Stock!B$1,'Stock UST'!$1:$1,0)))=0,"",IF(ISERROR(MATCH(Stock!B$1,'Stock UST'!$1:$1,0)),A23,INDEX('Stock UST'!23:23,1,MATCH(Stock!B$1,'Stock UST'!$1:$1,0))))</f>
        <v>33000</v>
      </c>
      <c r="C23" s="9">
        <f ca="1">IF(IF(ISERROR(MATCH(Stock!C$1,'Stock UST'!$1:$1,0)),B23,INDEX('Stock UST'!23:23,1,MATCH(Stock!C$1,'Stock UST'!$1:$1,0)))=0,"",IF(ISERROR(MATCH(Stock!C$1,'Stock UST'!$1:$1,0)),B23,INDEX('Stock UST'!23:23,1,MATCH(Stock!C$1,'Stock UST'!$1:$1,0))))</f>
        <v>33000</v>
      </c>
      <c r="D23" s="9">
        <f ca="1">IF(IF(ISERROR(MATCH(Stock!D$1,'Stock UST'!$1:$1,0)),C23,INDEX('Stock UST'!23:23,1,MATCH(Stock!D$1,'Stock UST'!$1:$1,0)))=0,"",IF(ISERROR(MATCH(Stock!D$1,'Stock UST'!$1:$1,0)),C23,INDEX('Stock UST'!23:23,1,MATCH(Stock!D$1,'Stock UST'!$1:$1,0))))</f>
        <v>33000</v>
      </c>
      <c r="E23" s="9">
        <f ca="1">IF(IF(ISERROR(MATCH(Stock!E$1,'Stock UST'!$1:$1,0)),D23,INDEX('Stock UST'!23:23,1,MATCH(Stock!E$1,'Stock UST'!$1:$1,0)))=0,"",IF(ISERROR(MATCH(Stock!E$1,'Stock UST'!$1:$1,0)),D23,INDEX('Stock UST'!23:23,1,MATCH(Stock!E$1,'Stock UST'!$1:$1,0))))</f>
        <v>33000</v>
      </c>
      <c r="F23" s="9">
        <f ca="1">IF(IF(ISERROR(MATCH(Stock!F$1,'Stock UST'!$1:$1,0)),E23,INDEX('Stock UST'!23:23,1,MATCH(Stock!F$1,'Stock UST'!$1:$1,0)))=0,"",IF(ISERROR(MATCH(Stock!F$1,'Stock UST'!$1:$1,0)),E23,INDEX('Stock UST'!23:23,1,MATCH(Stock!F$1,'Stock UST'!$1:$1,0))))</f>
        <v>33000</v>
      </c>
      <c r="G23" s="9">
        <f ca="1">IF(IF(ISERROR(MATCH(Stock!G$1,'Stock UST'!$1:$1,0)),F23,INDEX('Stock UST'!23:23,1,MATCH(Stock!G$1,'Stock UST'!$1:$1,0)))=0,"",IF(ISERROR(MATCH(Stock!G$1,'Stock UST'!$1:$1,0)),F23,INDEX('Stock UST'!23:23,1,MATCH(Stock!G$1,'Stock UST'!$1:$1,0))))</f>
        <v>33000</v>
      </c>
      <c r="H23" s="9">
        <f ca="1">IF(IF(ISERROR(MATCH(Stock!H$1,'Stock UST'!$1:$1,0)),G23,INDEX('Stock UST'!23:23,1,MATCH(Stock!H$1,'Stock UST'!$1:$1,0)))=0,"",IF(ISERROR(MATCH(Stock!H$1,'Stock UST'!$1:$1,0)),G23,INDEX('Stock UST'!23:23,1,MATCH(Stock!H$1,'Stock UST'!$1:$1,0))))</f>
        <v>33000</v>
      </c>
      <c r="I23" s="9">
        <f ca="1">IF(IF(ISERROR(MATCH(Stock!I$1,'Stock UST'!$1:$1,0)),H23,INDEX('Stock UST'!23:23,1,MATCH(Stock!I$1,'Stock UST'!$1:$1,0)))=0,"",IF(ISERROR(MATCH(Stock!I$1,'Stock UST'!$1:$1,0)),H23,INDEX('Stock UST'!23:23,1,MATCH(Stock!I$1,'Stock UST'!$1:$1,0))))</f>
        <v>33000</v>
      </c>
      <c r="J23" s="9">
        <f ca="1">IF(IF(ISERROR(MATCH(Stock!J$1,'Stock UST'!$1:$1,0)),I23,INDEX('Stock UST'!23:23,1,MATCH(Stock!J$1,'Stock UST'!$1:$1,0)))=0,"",IF(ISERROR(MATCH(Stock!J$1,'Stock UST'!$1:$1,0)),I23,INDEX('Stock UST'!23:23,1,MATCH(Stock!J$1,'Stock UST'!$1:$1,0))))</f>
        <v>33000</v>
      </c>
      <c r="K23" s="9">
        <f ca="1">IF(IF(ISERROR(MATCH(Stock!K$1,'Stock UST'!$1:$1,0)),J23,INDEX('Stock UST'!23:23,1,MATCH(Stock!K$1,'Stock UST'!$1:$1,0)))=0,"",IF(ISERROR(MATCH(Stock!K$1,'Stock UST'!$1:$1,0)),J23,INDEX('Stock UST'!23:23,1,MATCH(Stock!K$1,'Stock UST'!$1:$1,0))))</f>
        <v>33000</v>
      </c>
      <c r="L23" s="9">
        <f ca="1">IF(IF(ISERROR(MATCH(Stock!L$1,'Stock UST'!$1:$1,0)),K23,INDEX('Stock UST'!23:23,1,MATCH(Stock!L$1,'Stock UST'!$1:$1,0)))=0,"",IF(ISERROR(MATCH(Stock!L$1,'Stock UST'!$1:$1,0)),K23,INDEX('Stock UST'!23:23,1,MATCH(Stock!L$1,'Stock UST'!$1:$1,0))))</f>
        <v>33000</v>
      </c>
      <c r="M23" s="9">
        <f ca="1">IF(IF(ISERROR(MATCH(Stock!M$1,'Stock UST'!$1:$1,0)),L23,INDEX('Stock UST'!23:23,1,MATCH(Stock!M$1,'Stock UST'!$1:$1,0)))=0,"",IF(ISERROR(MATCH(Stock!M$1,'Stock UST'!$1:$1,0)),L23,INDEX('Stock UST'!23:23,1,MATCH(Stock!M$1,'Stock UST'!$1:$1,0))))</f>
        <v>33000</v>
      </c>
      <c r="N23" s="9">
        <f ca="1">IF(IF(ISERROR(MATCH(Stock!N$1,'Stock UST'!$1:$1,0)),M23,INDEX('Stock UST'!23:23,1,MATCH(Stock!N$1,'Stock UST'!$1:$1,0)))=0,"",IF(ISERROR(MATCH(Stock!N$1,'Stock UST'!$1:$1,0)),M23,INDEX('Stock UST'!23:23,1,MATCH(Stock!N$1,'Stock UST'!$1:$1,0))))</f>
        <v>33000</v>
      </c>
      <c r="O23" s="9">
        <f ca="1">IF(IF(ISERROR(MATCH(Stock!O$1,'Stock UST'!$1:$1,0)),N23,INDEX('Stock UST'!23:23,1,MATCH(Stock!O$1,'Stock UST'!$1:$1,0)))=0,"",IF(ISERROR(MATCH(Stock!O$1,'Stock UST'!$1:$1,0)),N23,INDEX('Stock UST'!23:23,1,MATCH(Stock!O$1,'Stock UST'!$1:$1,0))))</f>
        <v>33000</v>
      </c>
      <c r="P23" s="9">
        <f ca="1">IF(IF(ISERROR(MATCH(Stock!P$1,'Stock UST'!$1:$1,0)),O23,INDEX('Stock UST'!23:23,1,MATCH(Stock!P$1,'Stock UST'!$1:$1,0)))=0,"",IF(ISERROR(MATCH(Stock!P$1,'Stock UST'!$1:$1,0)),O23,INDEX('Stock UST'!23:23,1,MATCH(Stock!P$1,'Stock UST'!$1:$1,0))))</f>
        <v>33000</v>
      </c>
      <c r="Q23" s="9">
        <f ca="1">IF(IF(ISERROR(MATCH(Stock!Q$1,'Stock UST'!$1:$1,0)),P23,INDEX('Stock UST'!23:23,1,MATCH(Stock!Q$1,'Stock UST'!$1:$1,0)))=0,"",IF(ISERROR(MATCH(Stock!Q$1,'Stock UST'!$1:$1,0)),P23,INDEX('Stock UST'!23:23,1,MATCH(Stock!Q$1,'Stock UST'!$1:$1,0))))</f>
        <v>33000</v>
      </c>
      <c r="R23" s="9">
        <f ca="1">IF(IF(ISERROR(MATCH(Stock!R$1,'Stock UST'!$1:$1,0)),Q23,INDEX('Stock UST'!23:23,1,MATCH(Stock!R$1,'Stock UST'!$1:$1,0)))=0,"",IF(ISERROR(MATCH(Stock!R$1,'Stock UST'!$1:$1,0)),Q23,INDEX('Stock UST'!23:23,1,MATCH(Stock!R$1,'Stock UST'!$1:$1,0))))</f>
        <v>33000</v>
      </c>
      <c r="S23" s="9">
        <f ca="1">IF(IF(ISERROR(MATCH(Stock!S$1,'Stock UST'!$1:$1,0)),R23,INDEX('Stock UST'!23:23,1,MATCH(Stock!S$1,'Stock UST'!$1:$1,0)))=0,"",IF(ISERROR(MATCH(Stock!S$1,'Stock UST'!$1:$1,0)),R23,INDEX('Stock UST'!23:23,1,MATCH(Stock!S$1,'Stock UST'!$1:$1,0))))</f>
        <v>33000</v>
      </c>
      <c r="T23" s="9">
        <f ca="1">IF(IF(ISERROR(MATCH(Stock!T$1,'Stock UST'!$1:$1,0)),S23,INDEX('Stock UST'!23:23,1,MATCH(Stock!T$1,'Stock UST'!$1:$1,0)))=0,"",IF(ISERROR(MATCH(Stock!T$1,'Stock UST'!$1:$1,0)),S23,INDEX('Stock UST'!23:23,1,MATCH(Stock!T$1,'Stock UST'!$1:$1,0))))</f>
        <v>33000</v>
      </c>
      <c r="U23" s="9">
        <f ca="1">IF(IF(ISERROR(MATCH(Stock!U$1,'Stock UST'!$1:$1,0)),T23,INDEX('Stock UST'!23:23,1,MATCH(Stock!U$1,'Stock UST'!$1:$1,0)))=0,"",IF(ISERROR(MATCH(Stock!U$1,'Stock UST'!$1:$1,0)),T23,INDEX('Stock UST'!23:23,1,MATCH(Stock!U$1,'Stock UST'!$1:$1,0))))</f>
        <v>33000</v>
      </c>
      <c r="V23" s="9">
        <f ca="1">IF(IF(ISERROR(MATCH(Stock!V$1,'Stock UST'!$1:$1,0)),U23,INDEX('Stock UST'!23:23,1,MATCH(Stock!V$1,'Stock UST'!$1:$1,0)))=0,"",IF(ISERROR(MATCH(Stock!V$1,'Stock UST'!$1:$1,0)),U23,INDEX('Stock UST'!23:23,1,MATCH(Stock!V$1,'Stock UST'!$1:$1,0))))</f>
        <v>33000</v>
      </c>
      <c r="W23" s="9">
        <f ca="1">IF(IF(ISERROR(MATCH(Stock!W$1,'Stock UST'!$1:$1,0)),V23,INDEX('Stock UST'!23:23,1,MATCH(Stock!W$1,'Stock UST'!$1:$1,0)))=0,"",IF(ISERROR(MATCH(Stock!W$1,'Stock UST'!$1:$1,0)),V23,INDEX('Stock UST'!23:23,1,MATCH(Stock!W$1,'Stock UST'!$1:$1,0))))</f>
        <v>33000</v>
      </c>
      <c r="X23" s="9">
        <f ca="1">IF(IF(ISERROR(MATCH(Stock!X$1,'Stock UST'!$1:$1,0)),W23,INDEX('Stock UST'!23:23,1,MATCH(Stock!X$1,'Stock UST'!$1:$1,0)))=0,"",IF(ISERROR(MATCH(Stock!X$1,'Stock UST'!$1:$1,0)),W23,INDEX('Stock UST'!23:23,1,MATCH(Stock!X$1,'Stock UST'!$1:$1,0))))</f>
        <v>33000</v>
      </c>
      <c r="Y23" s="9">
        <f ca="1">IF(IF(ISERROR(MATCH(Stock!Y$1,'Stock UST'!$1:$1,0)),X23,INDEX('Stock UST'!23:23,1,MATCH(Stock!Y$1,'Stock UST'!$1:$1,0)))=0,"",IF(ISERROR(MATCH(Stock!Y$1,'Stock UST'!$1:$1,0)),X23,INDEX('Stock UST'!23:23,1,MATCH(Stock!Y$1,'Stock UST'!$1:$1,0))))</f>
        <v>33000</v>
      </c>
      <c r="Z23" s="9">
        <f ca="1">IF(IF(ISERROR(MATCH(Stock!Z$1,'Stock UST'!$1:$1,0)),Y23,INDEX('Stock UST'!23:23,1,MATCH(Stock!Z$1,'Stock UST'!$1:$1,0)))=0,"",IF(ISERROR(MATCH(Stock!Z$1,'Stock UST'!$1:$1,0)),Y23,INDEX('Stock UST'!23:23,1,MATCH(Stock!Z$1,'Stock UST'!$1:$1,0))))</f>
        <v>33000</v>
      </c>
      <c r="AA23" s="9">
        <f ca="1">IF(IF(ISERROR(MATCH(Stock!AA$1,'Stock UST'!$1:$1,0)),Z23,INDEX('Stock UST'!23:23,1,MATCH(Stock!AA$1,'Stock UST'!$1:$1,0)))=0,"",IF(ISERROR(MATCH(Stock!AA$1,'Stock UST'!$1:$1,0)),Z23,INDEX('Stock UST'!23:23,1,MATCH(Stock!AA$1,'Stock UST'!$1:$1,0))))</f>
        <v>33000</v>
      </c>
      <c r="AB23" s="9">
        <f ca="1">IF(IF(ISERROR(MATCH(Stock!AB$1,'Stock UST'!$1:$1,0)),AA23,INDEX('Stock UST'!23:23,1,MATCH(Stock!AB$1,'Stock UST'!$1:$1,0)))=0,"",IF(ISERROR(MATCH(Stock!AB$1,'Stock UST'!$1:$1,0)),AA23,INDEX('Stock UST'!23:23,1,MATCH(Stock!AB$1,'Stock UST'!$1:$1,0))))</f>
        <v>33000</v>
      </c>
      <c r="AC23" s="9">
        <f ca="1">IF(IF(ISERROR(MATCH(Stock!AC$1,'Stock UST'!$1:$1,0)),AB23,INDEX('Stock UST'!23:23,1,MATCH(Stock!AC$1,'Stock UST'!$1:$1,0)))=0,"",IF(ISERROR(MATCH(Stock!AC$1,'Stock UST'!$1:$1,0)),AB23,INDEX('Stock UST'!23:23,1,MATCH(Stock!AC$1,'Stock UST'!$1:$1,0))))</f>
        <v>33000</v>
      </c>
      <c r="AD23" s="9">
        <f ca="1">IF(IF(ISERROR(MATCH(Stock!AD$1,'Stock UST'!$1:$1,0)),AC23,INDEX('Stock UST'!23:23,1,MATCH(Stock!AD$1,'Stock UST'!$1:$1,0)))=0,"",IF(ISERROR(MATCH(Stock!AD$1,'Stock UST'!$1:$1,0)),AC23,INDEX('Stock UST'!23:23,1,MATCH(Stock!AD$1,'Stock UST'!$1:$1,0))))</f>
        <v>33000</v>
      </c>
      <c r="AE23" s="9">
        <f ca="1">IF(IF(ISERROR(MATCH(Stock!AE$1,'Stock UST'!$1:$1,0)),AD23,INDEX('Stock UST'!23:23,1,MATCH(Stock!AE$1,'Stock UST'!$1:$1,0)))=0,"",IF(ISERROR(MATCH(Stock!AE$1,'Stock UST'!$1:$1,0)),AD23,INDEX('Stock UST'!23:23,1,MATCH(Stock!AE$1,'Stock UST'!$1:$1,0))))</f>
        <v>33000</v>
      </c>
      <c r="AF23" s="9">
        <f ca="1">IF(IF(ISERROR(MATCH(Stock!AF$1,'Stock UST'!$1:$1,0)),AE23,INDEX('Stock UST'!23:23,1,MATCH(Stock!AF$1,'Stock UST'!$1:$1,0)))=0,"",IF(ISERROR(MATCH(Stock!AF$1,'Stock UST'!$1:$1,0)),AE23,INDEX('Stock UST'!23:23,1,MATCH(Stock!AF$1,'Stock UST'!$1:$1,0))))</f>
        <v>33000</v>
      </c>
      <c r="AG23" s="9">
        <f ca="1">IF(IF(ISERROR(MATCH(Stock!AG$1,'Stock UST'!$1:$1,0)),AF23,INDEX('Stock UST'!23:23,1,MATCH(Stock!AG$1,'Stock UST'!$1:$1,0)))=0,"",IF(ISERROR(MATCH(Stock!AG$1,'Stock UST'!$1:$1,0)),AF23,INDEX('Stock UST'!23:23,1,MATCH(Stock!AG$1,'Stock UST'!$1:$1,0))))</f>
        <v>33000</v>
      </c>
      <c r="AH23" s="9">
        <f ca="1">IF(IF(ISERROR(MATCH(Stock!AH$1,'Stock UST'!$1:$1,0)),AG23,INDEX('Stock UST'!23:23,1,MATCH(Stock!AH$1,'Stock UST'!$1:$1,0)))=0,"",IF(ISERROR(MATCH(Stock!AH$1,'Stock UST'!$1:$1,0)),AG23,INDEX('Stock UST'!23:23,1,MATCH(Stock!AH$1,'Stock UST'!$1:$1,0))))</f>
        <v>33000</v>
      </c>
      <c r="AI23" s="9">
        <f ca="1">IF(IF(ISERROR(MATCH(Stock!AI$1,'Stock UST'!$1:$1,0)),AH23,INDEX('Stock UST'!23:23,1,MATCH(Stock!AI$1,'Stock UST'!$1:$1,0)))=0,"",IF(ISERROR(MATCH(Stock!AI$1,'Stock UST'!$1:$1,0)),AH23,INDEX('Stock UST'!23:23,1,MATCH(Stock!AI$1,'Stock UST'!$1:$1,0))))</f>
        <v>33000</v>
      </c>
      <c r="AJ23" s="9">
        <f ca="1">IF(IF(ISERROR(MATCH(Stock!AJ$1,'Stock UST'!$1:$1,0)),AI23,INDEX('Stock UST'!23:23,1,MATCH(Stock!AJ$1,'Stock UST'!$1:$1,0)))=0,"",IF(ISERROR(MATCH(Stock!AJ$1,'Stock UST'!$1:$1,0)),AI23,INDEX('Stock UST'!23:23,1,MATCH(Stock!AJ$1,'Stock UST'!$1:$1,0))))</f>
        <v>33000</v>
      </c>
      <c r="AK23" s="9">
        <f ca="1">IF(IF(ISERROR(MATCH(Stock!AK$1,'Stock UST'!$1:$1,0)),AJ23,INDEX('Stock UST'!23:23,1,MATCH(Stock!AK$1,'Stock UST'!$1:$1,0)))=0,"",IF(ISERROR(MATCH(Stock!AK$1,'Stock UST'!$1:$1,0)),AJ23,INDEX('Stock UST'!23:23,1,MATCH(Stock!AK$1,'Stock UST'!$1:$1,0))))</f>
        <v>33000</v>
      </c>
      <c r="AL23" s="9">
        <f ca="1">IF(IF(ISERROR(MATCH(Stock!AL$1,'Stock UST'!$1:$1,0)),AK23,INDEX('Stock UST'!23:23,1,MATCH(Stock!AL$1,'Stock UST'!$1:$1,0)))=0,"",IF(ISERROR(MATCH(Stock!AL$1,'Stock UST'!$1:$1,0)),AK23,INDEX('Stock UST'!23:23,1,MATCH(Stock!AL$1,'Stock UST'!$1:$1,0))))</f>
        <v>33000</v>
      </c>
      <c r="AM23" s="9">
        <f ca="1">IF(IF(ISERROR(MATCH(Stock!AM$1,'Stock UST'!$1:$1,0)),AL23,INDEX('Stock UST'!23:23,1,MATCH(Stock!AM$1,'Stock UST'!$1:$1,0)))=0,"",IF(ISERROR(MATCH(Stock!AM$1,'Stock UST'!$1:$1,0)),AL23,INDEX('Stock UST'!23:23,1,MATCH(Stock!AM$1,'Stock UST'!$1:$1,0))))</f>
        <v>33000</v>
      </c>
      <c r="AN23" s="9">
        <f ca="1">IF(IF(ISERROR(MATCH(Stock!AN$1,'Stock UST'!$1:$1,0)),AM23,INDEX('Stock UST'!23:23,1,MATCH(Stock!AN$1,'Stock UST'!$1:$1,0)))=0,"",IF(ISERROR(MATCH(Stock!AN$1,'Stock UST'!$1:$1,0)),AM23,INDEX('Stock UST'!23:23,1,MATCH(Stock!AN$1,'Stock UST'!$1:$1,0))))</f>
        <v>33000</v>
      </c>
      <c r="AO23" s="9">
        <f ca="1">IF(IF(ISERROR(MATCH(Stock!AO$1,'Stock UST'!$1:$1,0)),AN23,INDEX('Stock UST'!23:23,1,MATCH(Stock!AO$1,'Stock UST'!$1:$1,0)))=0,"",IF(ISERROR(MATCH(Stock!AO$1,'Stock UST'!$1:$1,0)),AN23,INDEX('Stock UST'!23:23,1,MATCH(Stock!AO$1,'Stock UST'!$1:$1,0))))</f>
        <v>33000</v>
      </c>
      <c r="AP23" s="9">
        <f ca="1">IF(IF(ISERROR(MATCH(Stock!AP$1,'Stock UST'!$1:$1,0)),AO23,INDEX('Stock UST'!23:23,1,MATCH(Stock!AP$1,'Stock UST'!$1:$1,0)))=0,"",IF(ISERROR(MATCH(Stock!AP$1,'Stock UST'!$1:$1,0)),AO23,INDEX('Stock UST'!23:23,1,MATCH(Stock!AP$1,'Stock UST'!$1:$1,0))))</f>
        <v>33000</v>
      </c>
      <c r="AQ23" s="9">
        <f ca="1">IF(IF(ISERROR(MATCH(Stock!AQ$1,'Stock UST'!$1:$1,0)),AP23,INDEX('Stock UST'!23:23,1,MATCH(Stock!AQ$1,'Stock UST'!$1:$1,0)))=0,"",IF(ISERROR(MATCH(Stock!AQ$1,'Stock UST'!$1:$1,0)),AP23,INDEX('Stock UST'!23:23,1,MATCH(Stock!AQ$1,'Stock UST'!$1:$1,0))))</f>
        <v>33000</v>
      </c>
      <c r="AR23" s="9">
        <f ca="1">IF(IF(ISERROR(MATCH(Stock!AR$1,'Stock UST'!$1:$1,0)),AQ23,INDEX('Stock UST'!23:23,1,MATCH(Stock!AR$1,'Stock UST'!$1:$1,0)))=0,"",IF(ISERROR(MATCH(Stock!AR$1,'Stock UST'!$1:$1,0)),AQ23,INDEX('Stock UST'!23:23,1,MATCH(Stock!AR$1,'Stock UST'!$1:$1,0))))</f>
        <v>33000</v>
      </c>
      <c r="AS23" s="9">
        <f ca="1">IF(IF(ISERROR(MATCH(Stock!AS$1,'Stock UST'!$1:$1,0)),AR23,INDEX('Stock UST'!23:23,1,MATCH(Stock!AS$1,'Stock UST'!$1:$1,0)))=0,"",IF(ISERROR(MATCH(Stock!AS$1,'Stock UST'!$1:$1,0)),AR23,INDEX('Stock UST'!23:23,1,MATCH(Stock!AS$1,'Stock UST'!$1:$1,0))))</f>
        <v>33000</v>
      </c>
      <c r="AT23" s="9">
        <f ca="1">IF(IF(ISERROR(MATCH(Stock!AT$1,'Stock UST'!$1:$1,0)),AS23,INDEX('Stock UST'!23:23,1,MATCH(Stock!AT$1,'Stock UST'!$1:$1,0)))=0,"",IF(ISERROR(MATCH(Stock!AT$1,'Stock UST'!$1:$1,0)),AS23,INDEX('Stock UST'!23:23,1,MATCH(Stock!AT$1,'Stock UST'!$1:$1,0))))</f>
        <v>33000</v>
      </c>
      <c r="AU23" s="9">
        <f ca="1">IF(IF(ISERROR(MATCH(Stock!AU$1,'Stock UST'!$1:$1,0)),AT23,INDEX('Stock UST'!23:23,1,MATCH(Stock!AU$1,'Stock UST'!$1:$1,0)))=0,"",IF(ISERROR(MATCH(Stock!AU$1,'Stock UST'!$1:$1,0)),AT23,INDEX('Stock UST'!23:23,1,MATCH(Stock!AU$1,'Stock UST'!$1:$1,0))))</f>
        <v>33000</v>
      </c>
      <c r="AV23" s="9">
        <f ca="1">IF(IF(ISERROR(MATCH(Stock!AV$1,'Stock UST'!$1:$1,0)),AU23,INDEX('Stock UST'!23:23,1,MATCH(Stock!AV$1,'Stock UST'!$1:$1,0)))=0,"",IF(ISERROR(MATCH(Stock!AV$1,'Stock UST'!$1:$1,0)),AU23,INDEX('Stock UST'!23:23,1,MATCH(Stock!AV$1,'Stock UST'!$1:$1,0))))</f>
        <v>33000</v>
      </c>
      <c r="AW23" s="9">
        <f ca="1">IF(IF(ISERROR(MATCH(Stock!AW$1,'Stock UST'!$1:$1,0)),AV23,INDEX('Stock UST'!23:23,1,MATCH(Stock!AW$1,'Stock UST'!$1:$1,0)))=0,"",IF(ISERROR(MATCH(Stock!AW$1,'Stock UST'!$1:$1,0)),AV23,INDEX('Stock UST'!23:23,1,MATCH(Stock!AW$1,'Stock UST'!$1:$1,0))))</f>
        <v>33000</v>
      </c>
      <c r="AX23" s="9">
        <f ca="1">IF(IF(ISERROR(MATCH(Stock!AX$1,'Stock UST'!$1:$1,0)),AW23,INDEX('Stock UST'!23:23,1,MATCH(Stock!AX$1,'Stock UST'!$1:$1,0)))=0,"",IF(ISERROR(MATCH(Stock!AX$1,'Stock UST'!$1:$1,0)),AW23,INDEX('Stock UST'!23:23,1,MATCH(Stock!AX$1,'Stock UST'!$1:$1,0))))</f>
        <v>33000</v>
      </c>
    </row>
    <row r="24" spans="1:50" x14ac:dyDescent="0.3">
      <c r="A24" s="9">
        <f>IF('Stock UST'!E24="","",'Stock UST'!E24)</f>
        <v>477000</v>
      </c>
      <c r="B24" s="9">
        <f>IF(IF(ISERROR(MATCH(Stock!B$1,'Stock UST'!$1:$1,0)),A24,INDEX('Stock UST'!24:24,1,MATCH(Stock!B$1,'Stock UST'!$1:$1,0)))=0,"",IF(ISERROR(MATCH(Stock!B$1,'Stock UST'!$1:$1,0)),A24,INDEX('Stock UST'!24:24,1,MATCH(Stock!B$1,'Stock UST'!$1:$1,0))))</f>
        <v>477000</v>
      </c>
      <c r="C24" s="9">
        <f ca="1">IF(IF(ISERROR(MATCH(Stock!C$1,'Stock UST'!$1:$1,0)),B24,INDEX('Stock UST'!24:24,1,MATCH(Stock!C$1,'Stock UST'!$1:$1,0)))=0,"",IF(ISERROR(MATCH(Stock!C$1,'Stock UST'!$1:$1,0)),B24,INDEX('Stock UST'!24:24,1,MATCH(Stock!C$1,'Stock UST'!$1:$1,0))))</f>
        <v>477000</v>
      </c>
      <c r="D24" s="9">
        <f ca="1">IF(IF(ISERROR(MATCH(Stock!D$1,'Stock UST'!$1:$1,0)),C24,INDEX('Stock UST'!24:24,1,MATCH(Stock!D$1,'Stock UST'!$1:$1,0)))=0,"",IF(ISERROR(MATCH(Stock!D$1,'Stock UST'!$1:$1,0)),C24,INDEX('Stock UST'!24:24,1,MATCH(Stock!D$1,'Stock UST'!$1:$1,0))))</f>
        <v>477000</v>
      </c>
      <c r="E24" s="9">
        <f ca="1">IF(IF(ISERROR(MATCH(Stock!E$1,'Stock UST'!$1:$1,0)),D24,INDEX('Stock UST'!24:24,1,MATCH(Stock!E$1,'Stock UST'!$1:$1,0)))=0,"",IF(ISERROR(MATCH(Stock!E$1,'Stock UST'!$1:$1,0)),D24,INDEX('Stock UST'!24:24,1,MATCH(Stock!E$1,'Stock UST'!$1:$1,0))))</f>
        <v>477000</v>
      </c>
      <c r="F24" s="9">
        <f ca="1">IF(IF(ISERROR(MATCH(Stock!F$1,'Stock UST'!$1:$1,0)),E24,INDEX('Stock UST'!24:24,1,MATCH(Stock!F$1,'Stock UST'!$1:$1,0)))=0,"",IF(ISERROR(MATCH(Stock!F$1,'Stock UST'!$1:$1,0)),E24,INDEX('Stock UST'!24:24,1,MATCH(Stock!F$1,'Stock UST'!$1:$1,0))))</f>
        <v>477000</v>
      </c>
      <c r="G24" s="9">
        <f ca="1">IF(IF(ISERROR(MATCH(Stock!G$1,'Stock UST'!$1:$1,0)),F24,INDEX('Stock UST'!24:24,1,MATCH(Stock!G$1,'Stock UST'!$1:$1,0)))=0,"",IF(ISERROR(MATCH(Stock!G$1,'Stock UST'!$1:$1,0)),F24,INDEX('Stock UST'!24:24,1,MATCH(Stock!G$1,'Stock UST'!$1:$1,0))))</f>
        <v>477000</v>
      </c>
      <c r="H24" s="9">
        <f ca="1">IF(IF(ISERROR(MATCH(Stock!H$1,'Stock UST'!$1:$1,0)),G24,INDEX('Stock UST'!24:24,1,MATCH(Stock!H$1,'Stock UST'!$1:$1,0)))=0,"",IF(ISERROR(MATCH(Stock!H$1,'Stock UST'!$1:$1,0)),G24,INDEX('Stock UST'!24:24,1,MATCH(Stock!H$1,'Stock UST'!$1:$1,0))))</f>
        <v>477000</v>
      </c>
      <c r="I24" s="9">
        <f ca="1">IF(IF(ISERROR(MATCH(Stock!I$1,'Stock UST'!$1:$1,0)),H24,INDEX('Stock UST'!24:24,1,MATCH(Stock!I$1,'Stock UST'!$1:$1,0)))=0,"",IF(ISERROR(MATCH(Stock!I$1,'Stock UST'!$1:$1,0)),H24,INDEX('Stock UST'!24:24,1,MATCH(Stock!I$1,'Stock UST'!$1:$1,0))))</f>
        <v>477000</v>
      </c>
      <c r="J24" s="9">
        <f ca="1">IF(IF(ISERROR(MATCH(Stock!J$1,'Stock UST'!$1:$1,0)),I24,INDEX('Stock UST'!24:24,1,MATCH(Stock!J$1,'Stock UST'!$1:$1,0)))=0,"",IF(ISERROR(MATCH(Stock!J$1,'Stock UST'!$1:$1,0)),I24,INDEX('Stock UST'!24:24,1,MATCH(Stock!J$1,'Stock UST'!$1:$1,0))))</f>
        <v>477000</v>
      </c>
      <c r="K24" s="9">
        <f ca="1">IF(IF(ISERROR(MATCH(Stock!K$1,'Stock UST'!$1:$1,0)),J24,INDEX('Stock UST'!24:24,1,MATCH(Stock!K$1,'Stock UST'!$1:$1,0)))=0,"",IF(ISERROR(MATCH(Stock!K$1,'Stock UST'!$1:$1,0)),J24,INDEX('Stock UST'!24:24,1,MATCH(Stock!K$1,'Stock UST'!$1:$1,0))))</f>
        <v>477000</v>
      </c>
      <c r="L24" s="9">
        <f ca="1">IF(IF(ISERROR(MATCH(Stock!L$1,'Stock UST'!$1:$1,0)),K24,INDEX('Stock UST'!24:24,1,MATCH(Stock!L$1,'Stock UST'!$1:$1,0)))=0,"",IF(ISERROR(MATCH(Stock!L$1,'Stock UST'!$1:$1,0)),K24,INDEX('Stock UST'!24:24,1,MATCH(Stock!L$1,'Stock UST'!$1:$1,0))))</f>
        <v>477000</v>
      </c>
      <c r="M24" s="9">
        <f ca="1">IF(IF(ISERROR(MATCH(Stock!M$1,'Stock UST'!$1:$1,0)),L24,INDEX('Stock UST'!24:24,1,MATCH(Stock!M$1,'Stock UST'!$1:$1,0)))=0,"",IF(ISERROR(MATCH(Stock!M$1,'Stock UST'!$1:$1,0)),L24,INDEX('Stock UST'!24:24,1,MATCH(Stock!M$1,'Stock UST'!$1:$1,0))))</f>
        <v>477000</v>
      </c>
      <c r="N24" s="9">
        <f ca="1">IF(IF(ISERROR(MATCH(Stock!N$1,'Stock UST'!$1:$1,0)),M24,INDEX('Stock UST'!24:24,1,MATCH(Stock!N$1,'Stock UST'!$1:$1,0)))=0,"",IF(ISERROR(MATCH(Stock!N$1,'Stock UST'!$1:$1,0)),M24,INDEX('Stock UST'!24:24,1,MATCH(Stock!N$1,'Stock UST'!$1:$1,0))))</f>
        <v>477000</v>
      </c>
      <c r="O24" s="9">
        <f ca="1">IF(IF(ISERROR(MATCH(Stock!O$1,'Stock UST'!$1:$1,0)),N24,INDEX('Stock UST'!24:24,1,MATCH(Stock!O$1,'Stock UST'!$1:$1,0)))=0,"",IF(ISERROR(MATCH(Stock!O$1,'Stock UST'!$1:$1,0)),N24,INDEX('Stock UST'!24:24,1,MATCH(Stock!O$1,'Stock UST'!$1:$1,0))))</f>
        <v>477000</v>
      </c>
      <c r="P24" s="9">
        <f ca="1">IF(IF(ISERROR(MATCH(Stock!P$1,'Stock UST'!$1:$1,0)),O24,INDEX('Stock UST'!24:24,1,MATCH(Stock!P$1,'Stock UST'!$1:$1,0)))=0,"",IF(ISERROR(MATCH(Stock!P$1,'Stock UST'!$1:$1,0)),O24,INDEX('Stock UST'!24:24,1,MATCH(Stock!P$1,'Stock UST'!$1:$1,0))))</f>
        <v>477000</v>
      </c>
      <c r="Q24" s="9">
        <f ca="1">IF(IF(ISERROR(MATCH(Stock!Q$1,'Stock UST'!$1:$1,0)),P24,INDEX('Stock UST'!24:24,1,MATCH(Stock!Q$1,'Stock UST'!$1:$1,0)))=0,"",IF(ISERROR(MATCH(Stock!Q$1,'Stock UST'!$1:$1,0)),P24,INDEX('Stock UST'!24:24,1,MATCH(Stock!Q$1,'Stock UST'!$1:$1,0))))</f>
        <v>477000</v>
      </c>
      <c r="R24" s="9">
        <f ca="1">IF(IF(ISERROR(MATCH(Stock!R$1,'Stock UST'!$1:$1,0)),Q24,INDEX('Stock UST'!24:24,1,MATCH(Stock!R$1,'Stock UST'!$1:$1,0)))=0,"",IF(ISERROR(MATCH(Stock!R$1,'Stock UST'!$1:$1,0)),Q24,INDEX('Stock UST'!24:24,1,MATCH(Stock!R$1,'Stock UST'!$1:$1,0))))</f>
        <v>477000</v>
      </c>
      <c r="S24" s="9">
        <f ca="1">IF(IF(ISERROR(MATCH(Stock!S$1,'Stock UST'!$1:$1,0)),R24,INDEX('Stock UST'!24:24,1,MATCH(Stock!S$1,'Stock UST'!$1:$1,0)))=0,"",IF(ISERROR(MATCH(Stock!S$1,'Stock UST'!$1:$1,0)),R24,INDEX('Stock UST'!24:24,1,MATCH(Stock!S$1,'Stock UST'!$1:$1,0))))</f>
        <v>477000</v>
      </c>
      <c r="T24" s="9">
        <f ca="1">IF(IF(ISERROR(MATCH(Stock!T$1,'Stock UST'!$1:$1,0)),S24,INDEX('Stock UST'!24:24,1,MATCH(Stock!T$1,'Stock UST'!$1:$1,0)))=0,"",IF(ISERROR(MATCH(Stock!T$1,'Stock UST'!$1:$1,0)),S24,INDEX('Stock UST'!24:24,1,MATCH(Stock!T$1,'Stock UST'!$1:$1,0))))</f>
        <v>477000</v>
      </c>
      <c r="U24" s="9">
        <f ca="1">IF(IF(ISERROR(MATCH(Stock!U$1,'Stock UST'!$1:$1,0)),T24,INDEX('Stock UST'!24:24,1,MATCH(Stock!U$1,'Stock UST'!$1:$1,0)))=0,"",IF(ISERROR(MATCH(Stock!U$1,'Stock UST'!$1:$1,0)),T24,INDEX('Stock UST'!24:24,1,MATCH(Stock!U$1,'Stock UST'!$1:$1,0))))</f>
        <v>477000</v>
      </c>
      <c r="V24" s="9">
        <f ca="1">IF(IF(ISERROR(MATCH(Stock!V$1,'Stock UST'!$1:$1,0)),U24,INDEX('Stock UST'!24:24,1,MATCH(Stock!V$1,'Stock UST'!$1:$1,0)))=0,"",IF(ISERROR(MATCH(Stock!V$1,'Stock UST'!$1:$1,0)),U24,INDEX('Stock UST'!24:24,1,MATCH(Stock!V$1,'Stock UST'!$1:$1,0))))</f>
        <v>477000</v>
      </c>
      <c r="W24" s="9">
        <f ca="1">IF(IF(ISERROR(MATCH(Stock!W$1,'Stock UST'!$1:$1,0)),V24,INDEX('Stock UST'!24:24,1,MATCH(Stock!W$1,'Stock UST'!$1:$1,0)))=0,"",IF(ISERROR(MATCH(Stock!W$1,'Stock UST'!$1:$1,0)),V24,INDEX('Stock UST'!24:24,1,MATCH(Stock!W$1,'Stock UST'!$1:$1,0))))</f>
        <v>477000</v>
      </c>
      <c r="X24" s="9">
        <f ca="1">IF(IF(ISERROR(MATCH(Stock!X$1,'Stock UST'!$1:$1,0)),W24,INDEX('Stock UST'!24:24,1,MATCH(Stock!X$1,'Stock UST'!$1:$1,0)))=0,"",IF(ISERROR(MATCH(Stock!X$1,'Stock UST'!$1:$1,0)),W24,INDEX('Stock UST'!24:24,1,MATCH(Stock!X$1,'Stock UST'!$1:$1,0))))</f>
        <v>477000</v>
      </c>
      <c r="Y24" s="9">
        <f ca="1">IF(IF(ISERROR(MATCH(Stock!Y$1,'Stock UST'!$1:$1,0)),X24,INDEX('Stock UST'!24:24,1,MATCH(Stock!Y$1,'Stock UST'!$1:$1,0)))=0,"",IF(ISERROR(MATCH(Stock!Y$1,'Stock UST'!$1:$1,0)),X24,INDEX('Stock UST'!24:24,1,MATCH(Stock!Y$1,'Stock UST'!$1:$1,0))))</f>
        <v>477000</v>
      </c>
      <c r="Z24" s="9">
        <f ca="1">IF(IF(ISERROR(MATCH(Stock!Z$1,'Stock UST'!$1:$1,0)),Y24,INDEX('Stock UST'!24:24,1,MATCH(Stock!Z$1,'Stock UST'!$1:$1,0)))=0,"",IF(ISERROR(MATCH(Stock!Z$1,'Stock UST'!$1:$1,0)),Y24,INDEX('Stock UST'!24:24,1,MATCH(Stock!Z$1,'Stock UST'!$1:$1,0))))</f>
        <v>477000</v>
      </c>
      <c r="AA24" s="9">
        <f ca="1">IF(IF(ISERROR(MATCH(Stock!AA$1,'Stock UST'!$1:$1,0)),Z24,INDEX('Stock UST'!24:24,1,MATCH(Stock!AA$1,'Stock UST'!$1:$1,0)))=0,"",IF(ISERROR(MATCH(Stock!AA$1,'Stock UST'!$1:$1,0)),Z24,INDEX('Stock UST'!24:24,1,MATCH(Stock!AA$1,'Stock UST'!$1:$1,0))))</f>
        <v>477000</v>
      </c>
      <c r="AB24" s="9">
        <f ca="1">IF(IF(ISERROR(MATCH(Stock!AB$1,'Stock UST'!$1:$1,0)),AA24,INDEX('Stock UST'!24:24,1,MATCH(Stock!AB$1,'Stock UST'!$1:$1,0)))=0,"",IF(ISERROR(MATCH(Stock!AB$1,'Stock UST'!$1:$1,0)),AA24,INDEX('Stock UST'!24:24,1,MATCH(Stock!AB$1,'Stock UST'!$1:$1,0))))</f>
        <v>477000</v>
      </c>
      <c r="AC24" s="9">
        <f ca="1">IF(IF(ISERROR(MATCH(Stock!AC$1,'Stock UST'!$1:$1,0)),AB24,INDEX('Stock UST'!24:24,1,MATCH(Stock!AC$1,'Stock UST'!$1:$1,0)))=0,"",IF(ISERROR(MATCH(Stock!AC$1,'Stock UST'!$1:$1,0)),AB24,INDEX('Stock UST'!24:24,1,MATCH(Stock!AC$1,'Stock UST'!$1:$1,0))))</f>
        <v>477000</v>
      </c>
      <c r="AD24" s="9">
        <f ca="1">IF(IF(ISERROR(MATCH(Stock!AD$1,'Stock UST'!$1:$1,0)),AC24,INDEX('Stock UST'!24:24,1,MATCH(Stock!AD$1,'Stock UST'!$1:$1,0)))=0,"",IF(ISERROR(MATCH(Stock!AD$1,'Stock UST'!$1:$1,0)),AC24,INDEX('Stock UST'!24:24,1,MATCH(Stock!AD$1,'Stock UST'!$1:$1,0))))</f>
        <v>477000</v>
      </c>
      <c r="AE24" s="9">
        <f ca="1">IF(IF(ISERROR(MATCH(Stock!AE$1,'Stock UST'!$1:$1,0)),AD24,INDEX('Stock UST'!24:24,1,MATCH(Stock!AE$1,'Stock UST'!$1:$1,0)))=0,"",IF(ISERROR(MATCH(Stock!AE$1,'Stock UST'!$1:$1,0)),AD24,INDEX('Stock UST'!24:24,1,MATCH(Stock!AE$1,'Stock UST'!$1:$1,0))))</f>
        <v>477000</v>
      </c>
      <c r="AF24" s="9">
        <f ca="1">IF(IF(ISERROR(MATCH(Stock!AF$1,'Stock UST'!$1:$1,0)),AE24,INDEX('Stock UST'!24:24,1,MATCH(Stock!AF$1,'Stock UST'!$1:$1,0)))=0,"",IF(ISERROR(MATCH(Stock!AF$1,'Stock UST'!$1:$1,0)),AE24,INDEX('Stock UST'!24:24,1,MATCH(Stock!AF$1,'Stock UST'!$1:$1,0))))</f>
        <v>477000</v>
      </c>
      <c r="AG24" s="9">
        <f ca="1">IF(IF(ISERROR(MATCH(Stock!AG$1,'Stock UST'!$1:$1,0)),AF24,INDEX('Stock UST'!24:24,1,MATCH(Stock!AG$1,'Stock UST'!$1:$1,0)))=0,"",IF(ISERROR(MATCH(Stock!AG$1,'Stock UST'!$1:$1,0)),AF24,INDEX('Stock UST'!24:24,1,MATCH(Stock!AG$1,'Stock UST'!$1:$1,0))))</f>
        <v>477000</v>
      </c>
      <c r="AH24" s="9">
        <f ca="1">IF(IF(ISERROR(MATCH(Stock!AH$1,'Stock UST'!$1:$1,0)),AG24,INDEX('Stock UST'!24:24,1,MATCH(Stock!AH$1,'Stock UST'!$1:$1,0)))=0,"",IF(ISERROR(MATCH(Stock!AH$1,'Stock UST'!$1:$1,0)),AG24,INDEX('Stock UST'!24:24,1,MATCH(Stock!AH$1,'Stock UST'!$1:$1,0))))</f>
        <v>477000</v>
      </c>
      <c r="AI24" s="9">
        <f ca="1">IF(IF(ISERROR(MATCH(Stock!AI$1,'Stock UST'!$1:$1,0)),AH24,INDEX('Stock UST'!24:24,1,MATCH(Stock!AI$1,'Stock UST'!$1:$1,0)))=0,"",IF(ISERROR(MATCH(Stock!AI$1,'Stock UST'!$1:$1,0)),AH24,INDEX('Stock UST'!24:24,1,MATCH(Stock!AI$1,'Stock UST'!$1:$1,0))))</f>
        <v>477000</v>
      </c>
      <c r="AJ24" s="9">
        <f ca="1">IF(IF(ISERROR(MATCH(Stock!AJ$1,'Stock UST'!$1:$1,0)),AI24,INDEX('Stock UST'!24:24,1,MATCH(Stock!AJ$1,'Stock UST'!$1:$1,0)))=0,"",IF(ISERROR(MATCH(Stock!AJ$1,'Stock UST'!$1:$1,0)),AI24,INDEX('Stock UST'!24:24,1,MATCH(Stock!AJ$1,'Stock UST'!$1:$1,0))))</f>
        <v>477000</v>
      </c>
      <c r="AK24" s="9">
        <f ca="1">IF(IF(ISERROR(MATCH(Stock!AK$1,'Stock UST'!$1:$1,0)),AJ24,INDEX('Stock UST'!24:24,1,MATCH(Stock!AK$1,'Stock UST'!$1:$1,0)))=0,"",IF(ISERROR(MATCH(Stock!AK$1,'Stock UST'!$1:$1,0)),AJ24,INDEX('Stock UST'!24:24,1,MATCH(Stock!AK$1,'Stock UST'!$1:$1,0))))</f>
        <v>477000</v>
      </c>
      <c r="AL24" s="9">
        <f ca="1">IF(IF(ISERROR(MATCH(Stock!AL$1,'Stock UST'!$1:$1,0)),AK24,INDEX('Stock UST'!24:24,1,MATCH(Stock!AL$1,'Stock UST'!$1:$1,0)))=0,"",IF(ISERROR(MATCH(Stock!AL$1,'Stock UST'!$1:$1,0)),AK24,INDEX('Stock UST'!24:24,1,MATCH(Stock!AL$1,'Stock UST'!$1:$1,0))))</f>
        <v>477000</v>
      </c>
      <c r="AM24" s="9">
        <f ca="1">IF(IF(ISERROR(MATCH(Stock!AM$1,'Stock UST'!$1:$1,0)),AL24,INDEX('Stock UST'!24:24,1,MATCH(Stock!AM$1,'Stock UST'!$1:$1,0)))=0,"",IF(ISERROR(MATCH(Stock!AM$1,'Stock UST'!$1:$1,0)),AL24,INDEX('Stock UST'!24:24,1,MATCH(Stock!AM$1,'Stock UST'!$1:$1,0))))</f>
        <v>477000</v>
      </c>
      <c r="AN24" s="9">
        <f ca="1">IF(IF(ISERROR(MATCH(Stock!AN$1,'Stock UST'!$1:$1,0)),AM24,INDEX('Stock UST'!24:24,1,MATCH(Stock!AN$1,'Stock UST'!$1:$1,0)))=0,"",IF(ISERROR(MATCH(Stock!AN$1,'Stock UST'!$1:$1,0)),AM24,INDEX('Stock UST'!24:24,1,MATCH(Stock!AN$1,'Stock UST'!$1:$1,0))))</f>
        <v>477000</v>
      </c>
      <c r="AO24" s="9">
        <f ca="1">IF(IF(ISERROR(MATCH(Stock!AO$1,'Stock UST'!$1:$1,0)),AN24,INDEX('Stock UST'!24:24,1,MATCH(Stock!AO$1,'Stock UST'!$1:$1,0)))=0,"",IF(ISERROR(MATCH(Stock!AO$1,'Stock UST'!$1:$1,0)),AN24,INDEX('Stock UST'!24:24,1,MATCH(Stock!AO$1,'Stock UST'!$1:$1,0))))</f>
        <v>477000</v>
      </c>
      <c r="AP24" s="9">
        <f ca="1">IF(IF(ISERROR(MATCH(Stock!AP$1,'Stock UST'!$1:$1,0)),AO24,INDEX('Stock UST'!24:24,1,MATCH(Stock!AP$1,'Stock UST'!$1:$1,0)))=0,"",IF(ISERROR(MATCH(Stock!AP$1,'Stock UST'!$1:$1,0)),AO24,INDEX('Stock UST'!24:24,1,MATCH(Stock!AP$1,'Stock UST'!$1:$1,0))))</f>
        <v>477000</v>
      </c>
      <c r="AQ24" s="9">
        <f ca="1">IF(IF(ISERROR(MATCH(Stock!AQ$1,'Stock UST'!$1:$1,0)),AP24,INDEX('Stock UST'!24:24,1,MATCH(Stock!AQ$1,'Stock UST'!$1:$1,0)))=0,"",IF(ISERROR(MATCH(Stock!AQ$1,'Stock UST'!$1:$1,0)),AP24,INDEX('Stock UST'!24:24,1,MATCH(Stock!AQ$1,'Stock UST'!$1:$1,0))))</f>
        <v>477000</v>
      </c>
      <c r="AR24" s="9">
        <f ca="1">IF(IF(ISERROR(MATCH(Stock!AR$1,'Stock UST'!$1:$1,0)),AQ24,INDEX('Stock UST'!24:24,1,MATCH(Stock!AR$1,'Stock UST'!$1:$1,0)))=0,"",IF(ISERROR(MATCH(Stock!AR$1,'Stock UST'!$1:$1,0)),AQ24,INDEX('Stock UST'!24:24,1,MATCH(Stock!AR$1,'Stock UST'!$1:$1,0))))</f>
        <v>477000</v>
      </c>
      <c r="AS24" s="9">
        <f ca="1">IF(IF(ISERROR(MATCH(Stock!AS$1,'Stock UST'!$1:$1,0)),AR24,INDEX('Stock UST'!24:24,1,MATCH(Stock!AS$1,'Stock UST'!$1:$1,0)))=0,"",IF(ISERROR(MATCH(Stock!AS$1,'Stock UST'!$1:$1,0)),AR24,INDEX('Stock UST'!24:24,1,MATCH(Stock!AS$1,'Stock UST'!$1:$1,0))))</f>
        <v>477000</v>
      </c>
      <c r="AT24" s="9">
        <f ca="1">IF(IF(ISERROR(MATCH(Stock!AT$1,'Stock UST'!$1:$1,0)),AS24,INDEX('Stock UST'!24:24,1,MATCH(Stock!AT$1,'Stock UST'!$1:$1,0)))=0,"",IF(ISERROR(MATCH(Stock!AT$1,'Stock UST'!$1:$1,0)),AS24,INDEX('Stock UST'!24:24,1,MATCH(Stock!AT$1,'Stock UST'!$1:$1,0))))</f>
        <v>477000</v>
      </c>
      <c r="AU24" s="9">
        <f ca="1">IF(IF(ISERROR(MATCH(Stock!AU$1,'Stock UST'!$1:$1,0)),AT24,INDEX('Stock UST'!24:24,1,MATCH(Stock!AU$1,'Stock UST'!$1:$1,0)))=0,"",IF(ISERROR(MATCH(Stock!AU$1,'Stock UST'!$1:$1,0)),AT24,INDEX('Stock UST'!24:24,1,MATCH(Stock!AU$1,'Stock UST'!$1:$1,0))))</f>
        <v>477000</v>
      </c>
      <c r="AV24" s="9">
        <f ca="1">IF(IF(ISERROR(MATCH(Stock!AV$1,'Stock UST'!$1:$1,0)),AU24,INDEX('Stock UST'!24:24,1,MATCH(Stock!AV$1,'Stock UST'!$1:$1,0)))=0,"",IF(ISERROR(MATCH(Stock!AV$1,'Stock UST'!$1:$1,0)),AU24,INDEX('Stock UST'!24:24,1,MATCH(Stock!AV$1,'Stock UST'!$1:$1,0))))</f>
        <v>477000</v>
      </c>
      <c r="AW24" s="9">
        <f ca="1">IF(IF(ISERROR(MATCH(Stock!AW$1,'Stock UST'!$1:$1,0)),AV24,INDEX('Stock UST'!24:24,1,MATCH(Stock!AW$1,'Stock UST'!$1:$1,0)))=0,"",IF(ISERROR(MATCH(Stock!AW$1,'Stock UST'!$1:$1,0)),AV24,INDEX('Stock UST'!24:24,1,MATCH(Stock!AW$1,'Stock UST'!$1:$1,0))))</f>
        <v>477000</v>
      </c>
      <c r="AX24" s="9">
        <f ca="1">IF(IF(ISERROR(MATCH(Stock!AX$1,'Stock UST'!$1:$1,0)),AW24,INDEX('Stock UST'!24:24,1,MATCH(Stock!AX$1,'Stock UST'!$1:$1,0)))=0,"",IF(ISERROR(MATCH(Stock!AX$1,'Stock UST'!$1:$1,0)),AW24,INDEX('Stock UST'!24:24,1,MATCH(Stock!AX$1,'Stock UST'!$1:$1,0))))</f>
        <v>477000</v>
      </c>
    </row>
    <row r="25" spans="1:50" x14ac:dyDescent="0.3">
      <c r="A25" s="9">
        <f>IF('Stock UST'!E25="","",'Stock UST'!E25)</f>
        <v>0</v>
      </c>
      <c r="B25" s="9" t="str">
        <f>IF(IF(ISERROR(MATCH(Stock!B$1,'Stock UST'!$1:$1,0)),A25,INDEX('Stock UST'!25:25,1,MATCH(Stock!B$1,'Stock UST'!$1:$1,0)))=0,"",IF(ISERROR(MATCH(Stock!B$1,'Stock UST'!$1:$1,0)),A25,INDEX('Stock UST'!25:25,1,MATCH(Stock!B$1,'Stock UST'!$1:$1,0))))</f>
        <v/>
      </c>
      <c r="C25" s="9" t="str">
        <f ca="1">IF(IF(ISERROR(MATCH(Stock!C$1,'Stock UST'!$1:$1,0)),B25,INDEX('Stock UST'!25:25,1,MATCH(Stock!C$1,'Stock UST'!$1:$1,0)))=0,"",IF(ISERROR(MATCH(Stock!C$1,'Stock UST'!$1:$1,0)),B25,INDEX('Stock UST'!25:25,1,MATCH(Stock!C$1,'Stock UST'!$1:$1,0))))</f>
        <v/>
      </c>
      <c r="D25" s="9" t="str">
        <f ca="1">IF(IF(ISERROR(MATCH(Stock!D$1,'Stock UST'!$1:$1,0)),C25,INDEX('Stock UST'!25:25,1,MATCH(Stock!D$1,'Stock UST'!$1:$1,0)))=0,"",IF(ISERROR(MATCH(Stock!D$1,'Stock UST'!$1:$1,0)),C25,INDEX('Stock UST'!25:25,1,MATCH(Stock!D$1,'Stock UST'!$1:$1,0))))</f>
        <v/>
      </c>
      <c r="E25" s="9" t="str">
        <f ca="1">IF(IF(ISERROR(MATCH(Stock!E$1,'Stock UST'!$1:$1,0)),D25,INDEX('Stock UST'!25:25,1,MATCH(Stock!E$1,'Stock UST'!$1:$1,0)))=0,"",IF(ISERROR(MATCH(Stock!E$1,'Stock UST'!$1:$1,0)),D25,INDEX('Stock UST'!25:25,1,MATCH(Stock!E$1,'Stock UST'!$1:$1,0))))</f>
        <v/>
      </c>
      <c r="F25" s="9" t="str">
        <f ca="1">IF(IF(ISERROR(MATCH(Stock!F$1,'Stock UST'!$1:$1,0)),E25,INDEX('Stock UST'!25:25,1,MATCH(Stock!F$1,'Stock UST'!$1:$1,0)))=0,"",IF(ISERROR(MATCH(Stock!F$1,'Stock UST'!$1:$1,0)),E25,INDEX('Stock UST'!25:25,1,MATCH(Stock!F$1,'Stock UST'!$1:$1,0))))</f>
        <v/>
      </c>
      <c r="G25" s="9" t="str">
        <f ca="1">IF(IF(ISERROR(MATCH(Stock!G$1,'Stock UST'!$1:$1,0)),F25,INDEX('Stock UST'!25:25,1,MATCH(Stock!G$1,'Stock UST'!$1:$1,0)))=0,"",IF(ISERROR(MATCH(Stock!G$1,'Stock UST'!$1:$1,0)),F25,INDEX('Stock UST'!25:25,1,MATCH(Stock!G$1,'Stock UST'!$1:$1,0))))</f>
        <v/>
      </c>
      <c r="H25" s="9" t="str">
        <f ca="1">IF(IF(ISERROR(MATCH(Stock!H$1,'Stock UST'!$1:$1,0)),G25,INDEX('Stock UST'!25:25,1,MATCH(Stock!H$1,'Stock UST'!$1:$1,0)))=0,"",IF(ISERROR(MATCH(Stock!H$1,'Stock UST'!$1:$1,0)),G25,INDEX('Stock UST'!25:25,1,MATCH(Stock!H$1,'Stock UST'!$1:$1,0))))</f>
        <v/>
      </c>
      <c r="I25" s="9" t="str">
        <f ca="1">IF(IF(ISERROR(MATCH(Stock!I$1,'Stock UST'!$1:$1,0)),H25,INDEX('Stock UST'!25:25,1,MATCH(Stock!I$1,'Stock UST'!$1:$1,0)))=0,"",IF(ISERROR(MATCH(Stock!I$1,'Stock UST'!$1:$1,0)),H25,INDEX('Stock UST'!25:25,1,MATCH(Stock!I$1,'Stock UST'!$1:$1,0))))</f>
        <v/>
      </c>
      <c r="J25" s="9" t="str">
        <f ca="1">IF(IF(ISERROR(MATCH(Stock!J$1,'Stock UST'!$1:$1,0)),I25,INDEX('Stock UST'!25:25,1,MATCH(Stock!J$1,'Stock UST'!$1:$1,0)))=0,"",IF(ISERROR(MATCH(Stock!J$1,'Stock UST'!$1:$1,0)),I25,INDEX('Stock UST'!25:25,1,MATCH(Stock!J$1,'Stock UST'!$1:$1,0))))</f>
        <v/>
      </c>
      <c r="K25" s="9" t="str">
        <f ca="1">IF(IF(ISERROR(MATCH(Stock!K$1,'Stock UST'!$1:$1,0)),J25,INDEX('Stock UST'!25:25,1,MATCH(Stock!K$1,'Stock UST'!$1:$1,0)))=0,"",IF(ISERROR(MATCH(Stock!K$1,'Stock UST'!$1:$1,0)),J25,INDEX('Stock UST'!25:25,1,MATCH(Stock!K$1,'Stock UST'!$1:$1,0))))</f>
        <v/>
      </c>
      <c r="L25" s="9" t="str">
        <f ca="1">IF(IF(ISERROR(MATCH(Stock!L$1,'Stock UST'!$1:$1,0)),K25,INDEX('Stock UST'!25:25,1,MATCH(Stock!L$1,'Stock UST'!$1:$1,0)))=0,"",IF(ISERROR(MATCH(Stock!L$1,'Stock UST'!$1:$1,0)),K25,INDEX('Stock UST'!25:25,1,MATCH(Stock!L$1,'Stock UST'!$1:$1,0))))</f>
        <v/>
      </c>
      <c r="M25" s="9" t="str">
        <f ca="1">IF(IF(ISERROR(MATCH(Stock!M$1,'Stock UST'!$1:$1,0)),L25,INDEX('Stock UST'!25:25,1,MATCH(Stock!M$1,'Stock UST'!$1:$1,0)))=0,"",IF(ISERROR(MATCH(Stock!M$1,'Stock UST'!$1:$1,0)),L25,INDEX('Stock UST'!25:25,1,MATCH(Stock!M$1,'Stock UST'!$1:$1,0))))</f>
        <v/>
      </c>
      <c r="N25" s="9" t="str">
        <f ca="1">IF(IF(ISERROR(MATCH(Stock!N$1,'Stock UST'!$1:$1,0)),M25,INDEX('Stock UST'!25:25,1,MATCH(Stock!N$1,'Stock UST'!$1:$1,0)))=0,"",IF(ISERROR(MATCH(Stock!N$1,'Stock UST'!$1:$1,0)),M25,INDEX('Stock UST'!25:25,1,MATCH(Stock!N$1,'Stock UST'!$1:$1,0))))</f>
        <v/>
      </c>
      <c r="O25" s="9" t="str">
        <f ca="1">IF(IF(ISERROR(MATCH(Stock!O$1,'Stock UST'!$1:$1,0)),N25,INDEX('Stock UST'!25:25,1,MATCH(Stock!O$1,'Stock UST'!$1:$1,0)))=0,"",IF(ISERROR(MATCH(Stock!O$1,'Stock UST'!$1:$1,0)),N25,INDEX('Stock UST'!25:25,1,MATCH(Stock!O$1,'Stock UST'!$1:$1,0))))</f>
        <v/>
      </c>
      <c r="P25" s="9" t="str">
        <f ca="1">IF(IF(ISERROR(MATCH(Stock!P$1,'Stock UST'!$1:$1,0)),O25,INDEX('Stock UST'!25:25,1,MATCH(Stock!P$1,'Stock UST'!$1:$1,0)))=0,"",IF(ISERROR(MATCH(Stock!P$1,'Stock UST'!$1:$1,0)),O25,INDEX('Stock UST'!25:25,1,MATCH(Stock!P$1,'Stock UST'!$1:$1,0))))</f>
        <v/>
      </c>
      <c r="Q25" s="9" t="str">
        <f ca="1">IF(IF(ISERROR(MATCH(Stock!Q$1,'Stock UST'!$1:$1,0)),P25,INDEX('Stock UST'!25:25,1,MATCH(Stock!Q$1,'Stock UST'!$1:$1,0)))=0,"",IF(ISERROR(MATCH(Stock!Q$1,'Stock UST'!$1:$1,0)),P25,INDEX('Stock UST'!25:25,1,MATCH(Stock!Q$1,'Stock UST'!$1:$1,0))))</f>
        <v/>
      </c>
      <c r="R25" s="9" t="str">
        <f ca="1">IF(IF(ISERROR(MATCH(Stock!R$1,'Stock UST'!$1:$1,0)),Q25,INDEX('Stock UST'!25:25,1,MATCH(Stock!R$1,'Stock UST'!$1:$1,0)))=0,"",IF(ISERROR(MATCH(Stock!R$1,'Stock UST'!$1:$1,0)),Q25,INDEX('Stock UST'!25:25,1,MATCH(Stock!R$1,'Stock UST'!$1:$1,0))))</f>
        <v/>
      </c>
      <c r="S25" s="9" t="str">
        <f ca="1">IF(IF(ISERROR(MATCH(Stock!S$1,'Stock UST'!$1:$1,0)),R25,INDEX('Stock UST'!25:25,1,MATCH(Stock!S$1,'Stock UST'!$1:$1,0)))=0,"",IF(ISERROR(MATCH(Stock!S$1,'Stock UST'!$1:$1,0)),R25,INDEX('Stock UST'!25:25,1,MATCH(Stock!S$1,'Stock UST'!$1:$1,0))))</f>
        <v/>
      </c>
      <c r="T25" s="9" t="str">
        <f ca="1">IF(IF(ISERROR(MATCH(Stock!T$1,'Stock UST'!$1:$1,0)),S25,INDEX('Stock UST'!25:25,1,MATCH(Stock!T$1,'Stock UST'!$1:$1,0)))=0,"",IF(ISERROR(MATCH(Stock!T$1,'Stock UST'!$1:$1,0)),S25,INDEX('Stock UST'!25:25,1,MATCH(Stock!T$1,'Stock UST'!$1:$1,0))))</f>
        <v/>
      </c>
      <c r="U25" s="9" t="str">
        <f ca="1">IF(IF(ISERROR(MATCH(Stock!U$1,'Stock UST'!$1:$1,0)),T25,INDEX('Stock UST'!25:25,1,MATCH(Stock!U$1,'Stock UST'!$1:$1,0)))=0,"",IF(ISERROR(MATCH(Stock!U$1,'Stock UST'!$1:$1,0)),T25,INDEX('Stock UST'!25:25,1,MATCH(Stock!U$1,'Stock UST'!$1:$1,0))))</f>
        <v/>
      </c>
      <c r="V25" s="9" t="str">
        <f ca="1">IF(IF(ISERROR(MATCH(Stock!V$1,'Stock UST'!$1:$1,0)),U25,INDEX('Stock UST'!25:25,1,MATCH(Stock!V$1,'Stock UST'!$1:$1,0)))=0,"",IF(ISERROR(MATCH(Stock!V$1,'Stock UST'!$1:$1,0)),U25,INDEX('Stock UST'!25:25,1,MATCH(Stock!V$1,'Stock UST'!$1:$1,0))))</f>
        <v/>
      </c>
      <c r="W25" s="9" t="str">
        <f ca="1">IF(IF(ISERROR(MATCH(Stock!W$1,'Stock UST'!$1:$1,0)),V25,INDEX('Stock UST'!25:25,1,MATCH(Stock!W$1,'Stock UST'!$1:$1,0)))=0,"",IF(ISERROR(MATCH(Stock!W$1,'Stock UST'!$1:$1,0)),V25,INDEX('Stock UST'!25:25,1,MATCH(Stock!W$1,'Stock UST'!$1:$1,0))))</f>
        <v/>
      </c>
      <c r="X25" s="9" t="str">
        <f ca="1">IF(IF(ISERROR(MATCH(Stock!X$1,'Stock UST'!$1:$1,0)),W25,INDEX('Stock UST'!25:25,1,MATCH(Stock!X$1,'Stock UST'!$1:$1,0)))=0,"",IF(ISERROR(MATCH(Stock!X$1,'Stock UST'!$1:$1,0)),W25,INDEX('Stock UST'!25:25,1,MATCH(Stock!X$1,'Stock UST'!$1:$1,0))))</f>
        <v/>
      </c>
      <c r="Y25" s="9" t="str">
        <f ca="1">IF(IF(ISERROR(MATCH(Stock!Y$1,'Stock UST'!$1:$1,0)),X25,INDEX('Stock UST'!25:25,1,MATCH(Stock!Y$1,'Stock UST'!$1:$1,0)))=0,"",IF(ISERROR(MATCH(Stock!Y$1,'Stock UST'!$1:$1,0)),X25,INDEX('Stock UST'!25:25,1,MATCH(Stock!Y$1,'Stock UST'!$1:$1,0))))</f>
        <v/>
      </c>
      <c r="Z25" s="9" t="str">
        <f ca="1">IF(IF(ISERROR(MATCH(Stock!Z$1,'Stock UST'!$1:$1,0)),Y25,INDEX('Stock UST'!25:25,1,MATCH(Stock!Z$1,'Stock UST'!$1:$1,0)))=0,"",IF(ISERROR(MATCH(Stock!Z$1,'Stock UST'!$1:$1,0)),Y25,INDEX('Stock UST'!25:25,1,MATCH(Stock!Z$1,'Stock UST'!$1:$1,0))))</f>
        <v/>
      </c>
      <c r="AA25" s="9" t="str">
        <f ca="1">IF(IF(ISERROR(MATCH(Stock!AA$1,'Stock UST'!$1:$1,0)),Z25,INDEX('Stock UST'!25:25,1,MATCH(Stock!AA$1,'Stock UST'!$1:$1,0)))=0,"",IF(ISERROR(MATCH(Stock!AA$1,'Stock UST'!$1:$1,0)),Z25,INDEX('Stock UST'!25:25,1,MATCH(Stock!AA$1,'Stock UST'!$1:$1,0))))</f>
        <v/>
      </c>
      <c r="AB25" s="9" t="str">
        <f ca="1">IF(IF(ISERROR(MATCH(Stock!AB$1,'Stock UST'!$1:$1,0)),AA25,INDEX('Stock UST'!25:25,1,MATCH(Stock!AB$1,'Stock UST'!$1:$1,0)))=0,"",IF(ISERROR(MATCH(Stock!AB$1,'Stock UST'!$1:$1,0)),AA25,INDEX('Stock UST'!25:25,1,MATCH(Stock!AB$1,'Stock UST'!$1:$1,0))))</f>
        <v/>
      </c>
      <c r="AC25" s="9" t="str">
        <f ca="1">IF(IF(ISERROR(MATCH(Stock!AC$1,'Stock UST'!$1:$1,0)),AB25,INDEX('Stock UST'!25:25,1,MATCH(Stock!AC$1,'Stock UST'!$1:$1,0)))=0,"",IF(ISERROR(MATCH(Stock!AC$1,'Stock UST'!$1:$1,0)),AB25,INDEX('Stock UST'!25:25,1,MATCH(Stock!AC$1,'Stock UST'!$1:$1,0))))</f>
        <v/>
      </c>
      <c r="AD25" s="9" t="str">
        <f ca="1">IF(IF(ISERROR(MATCH(Stock!AD$1,'Stock UST'!$1:$1,0)),AC25,INDEX('Stock UST'!25:25,1,MATCH(Stock!AD$1,'Stock UST'!$1:$1,0)))=0,"",IF(ISERROR(MATCH(Stock!AD$1,'Stock UST'!$1:$1,0)),AC25,INDEX('Stock UST'!25:25,1,MATCH(Stock!AD$1,'Stock UST'!$1:$1,0))))</f>
        <v/>
      </c>
      <c r="AE25" s="9" t="str">
        <f ca="1">IF(IF(ISERROR(MATCH(Stock!AE$1,'Stock UST'!$1:$1,0)),AD25,INDEX('Stock UST'!25:25,1,MATCH(Stock!AE$1,'Stock UST'!$1:$1,0)))=0,"",IF(ISERROR(MATCH(Stock!AE$1,'Stock UST'!$1:$1,0)),AD25,INDEX('Stock UST'!25:25,1,MATCH(Stock!AE$1,'Stock UST'!$1:$1,0))))</f>
        <v/>
      </c>
      <c r="AF25" s="9" t="str">
        <f ca="1">IF(IF(ISERROR(MATCH(Stock!AF$1,'Stock UST'!$1:$1,0)),AE25,INDEX('Stock UST'!25:25,1,MATCH(Stock!AF$1,'Stock UST'!$1:$1,0)))=0,"",IF(ISERROR(MATCH(Stock!AF$1,'Stock UST'!$1:$1,0)),AE25,INDEX('Stock UST'!25:25,1,MATCH(Stock!AF$1,'Stock UST'!$1:$1,0))))</f>
        <v/>
      </c>
      <c r="AG25" s="9" t="str">
        <f ca="1">IF(IF(ISERROR(MATCH(Stock!AG$1,'Stock UST'!$1:$1,0)),AF25,INDEX('Stock UST'!25:25,1,MATCH(Stock!AG$1,'Stock UST'!$1:$1,0)))=0,"",IF(ISERROR(MATCH(Stock!AG$1,'Stock UST'!$1:$1,0)),AF25,INDEX('Stock UST'!25:25,1,MATCH(Stock!AG$1,'Stock UST'!$1:$1,0))))</f>
        <v/>
      </c>
      <c r="AH25" s="9" t="str">
        <f ca="1">IF(IF(ISERROR(MATCH(Stock!AH$1,'Stock UST'!$1:$1,0)),AG25,INDEX('Stock UST'!25:25,1,MATCH(Stock!AH$1,'Stock UST'!$1:$1,0)))=0,"",IF(ISERROR(MATCH(Stock!AH$1,'Stock UST'!$1:$1,0)),AG25,INDEX('Stock UST'!25:25,1,MATCH(Stock!AH$1,'Stock UST'!$1:$1,0))))</f>
        <v/>
      </c>
      <c r="AI25" s="9" t="str">
        <f ca="1">IF(IF(ISERROR(MATCH(Stock!AI$1,'Stock UST'!$1:$1,0)),AH25,INDEX('Stock UST'!25:25,1,MATCH(Stock!AI$1,'Stock UST'!$1:$1,0)))=0,"",IF(ISERROR(MATCH(Stock!AI$1,'Stock UST'!$1:$1,0)),AH25,INDEX('Stock UST'!25:25,1,MATCH(Stock!AI$1,'Stock UST'!$1:$1,0))))</f>
        <v/>
      </c>
      <c r="AJ25" s="9" t="str">
        <f ca="1">IF(IF(ISERROR(MATCH(Stock!AJ$1,'Stock UST'!$1:$1,0)),AI25,INDEX('Stock UST'!25:25,1,MATCH(Stock!AJ$1,'Stock UST'!$1:$1,0)))=0,"",IF(ISERROR(MATCH(Stock!AJ$1,'Stock UST'!$1:$1,0)),AI25,INDEX('Stock UST'!25:25,1,MATCH(Stock!AJ$1,'Stock UST'!$1:$1,0))))</f>
        <v/>
      </c>
      <c r="AK25" s="9" t="str">
        <f ca="1">IF(IF(ISERROR(MATCH(Stock!AK$1,'Stock UST'!$1:$1,0)),AJ25,INDEX('Stock UST'!25:25,1,MATCH(Stock!AK$1,'Stock UST'!$1:$1,0)))=0,"",IF(ISERROR(MATCH(Stock!AK$1,'Stock UST'!$1:$1,0)),AJ25,INDEX('Stock UST'!25:25,1,MATCH(Stock!AK$1,'Stock UST'!$1:$1,0))))</f>
        <v/>
      </c>
      <c r="AL25" s="9" t="str">
        <f ca="1">IF(IF(ISERROR(MATCH(Stock!AL$1,'Stock UST'!$1:$1,0)),AK25,INDEX('Stock UST'!25:25,1,MATCH(Stock!AL$1,'Stock UST'!$1:$1,0)))=0,"",IF(ISERROR(MATCH(Stock!AL$1,'Stock UST'!$1:$1,0)),AK25,INDEX('Stock UST'!25:25,1,MATCH(Stock!AL$1,'Stock UST'!$1:$1,0))))</f>
        <v/>
      </c>
      <c r="AM25" s="9" t="str">
        <f ca="1">IF(IF(ISERROR(MATCH(Stock!AM$1,'Stock UST'!$1:$1,0)),AL25,INDEX('Stock UST'!25:25,1,MATCH(Stock!AM$1,'Stock UST'!$1:$1,0)))=0,"",IF(ISERROR(MATCH(Stock!AM$1,'Stock UST'!$1:$1,0)),AL25,INDEX('Stock UST'!25:25,1,MATCH(Stock!AM$1,'Stock UST'!$1:$1,0))))</f>
        <v/>
      </c>
      <c r="AN25" s="9" t="str">
        <f ca="1">IF(IF(ISERROR(MATCH(Stock!AN$1,'Stock UST'!$1:$1,0)),AM25,INDEX('Stock UST'!25:25,1,MATCH(Stock!AN$1,'Stock UST'!$1:$1,0)))=0,"",IF(ISERROR(MATCH(Stock!AN$1,'Stock UST'!$1:$1,0)),AM25,INDEX('Stock UST'!25:25,1,MATCH(Stock!AN$1,'Stock UST'!$1:$1,0))))</f>
        <v/>
      </c>
      <c r="AO25" s="9" t="str">
        <f ca="1">IF(IF(ISERROR(MATCH(Stock!AO$1,'Stock UST'!$1:$1,0)),AN25,INDEX('Stock UST'!25:25,1,MATCH(Stock!AO$1,'Stock UST'!$1:$1,0)))=0,"",IF(ISERROR(MATCH(Stock!AO$1,'Stock UST'!$1:$1,0)),AN25,INDEX('Stock UST'!25:25,1,MATCH(Stock!AO$1,'Stock UST'!$1:$1,0))))</f>
        <v/>
      </c>
      <c r="AP25" s="9" t="str">
        <f ca="1">IF(IF(ISERROR(MATCH(Stock!AP$1,'Stock UST'!$1:$1,0)),AO25,INDEX('Stock UST'!25:25,1,MATCH(Stock!AP$1,'Stock UST'!$1:$1,0)))=0,"",IF(ISERROR(MATCH(Stock!AP$1,'Stock UST'!$1:$1,0)),AO25,INDEX('Stock UST'!25:25,1,MATCH(Stock!AP$1,'Stock UST'!$1:$1,0))))</f>
        <v/>
      </c>
      <c r="AQ25" s="9" t="str">
        <f ca="1">IF(IF(ISERROR(MATCH(Stock!AQ$1,'Stock UST'!$1:$1,0)),AP25,INDEX('Stock UST'!25:25,1,MATCH(Stock!AQ$1,'Stock UST'!$1:$1,0)))=0,"",IF(ISERROR(MATCH(Stock!AQ$1,'Stock UST'!$1:$1,0)),AP25,INDEX('Stock UST'!25:25,1,MATCH(Stock!AQ$1,'Stock UST'!$1:$1,0))))</f>
        <v/>
      </c>
      <c r="AR25" s="9" t="str">
        <f ca="1">IF(IF(ISERROR(MATCH(Stock!AR$1,'Stock UST'!$1:$1,0)),AQ25,INDEX('Stock UST'!25:25,1,MATCH(Stock!AR$1,'Stock UST'!$1:$1,0)))=0,"",IF(ISERROR(MATCH(Stock!AR$1,'Stock UST'!$1:$1,0)),AQ25,INDEX('Stock UST'!25:25,1,MATCH(Stock!AR$1,'Stock UST'!$1:$1,0))))</f>
        <v/>
      </c>
      <c r="AS25" s="9" t="str">
        <f ca="1">IF(IF(ISERROR(MATCH(Stock!AS$1,'Stock UST'!$1:$1,0)),AR25,INDEX('Stock UST'!25:25,1,MATCH(Stock!AS$1,'Stock UST'!$1:$1,0)))=0,"",IF(ISERROR(MATCH(Stock!AS$1,'Stock UST'!$1:$1,0)),AR25,INDEX('Stock UST'!25:25,1,MATCH(Stock!AS$1,'Stock UST'!$1:$1,0))))</f>
        <v/>
      </c>
      <c r="AT25" s="9" t="str">
        <f ca="1">IF(IF(ISERROR(MATCH(Stock!AT$1,'Stock UST'!$1:$1,0)),AS25,INDEX('Stock UST'!25:25,1,MATCH(Stock!AT$1,'Stock UST'!$1:$1,0)))=0,"",IF(ISERROR(MATCH(Stock!AT$1,'Stock UST'!$1:$1,0)),AS25,INDEX('Stock UST'!25:25,1,MATCH(Stock!AT$1,'Stock UST'!$1:$1,0))))</f>
        <v/>
      </c>
      <c r="AU25" s="9" t="str">
        <f ca="1">IF(IF(ISERROR(MATCH(Stock!AU$1,'Stock UST'!$1:$1,0)),AT25,INDEX('Stock UST'!25:25,1,MATCH(Stock!AU$1,'Stock UST'!$1:$1,0)))=0,"",IF(ISERROR(MATCH(Stock!AU$1,'Stock UST'!$1:$1,0)),AT25,INDEX('Stock UST'!25:25,1,MATCH(Stock!AU$1,'Stock UST'!$1:$1,0))))</f>
        <v/>
      </c>
      <c r="AV25" s="9" t="str">
        <f ca="1">IF(IF(ISERROR(MATCH(Stock!AV$1,'Stock UST'!$1:$1,0)),AU25,INDEX('Stock UST'!25:25,1,MATCH(Stock!AV$1,'Stock UST'!$1:$1,0)))=0,"",IF(ISERROR(MATCH(Stock!AV$1,'Stock UST'!$1:$1,0)),AU25,INDEX('Stock UST'!25:25,1,MATCH(Stock!AV$1,'Stock UST'!$1:$1,0))))</f>
        <v/>
      </c>
      <c r="AW25" s="9" t="str">
        <f ca="1">IF(IF(ISERROR(MATCH(Stock!AW$1,'Stock UST'!$1:$1,0)),AV25,INDEX('Stock UST'!25:25,1,MATCH(Stock!AW$1,'Stock UST'!$1:$1,0)))=0,"",IF(ISERROR(MATCH(Stock!AW$1,'Stock UST'!$1:$1,0)),AV25,INDEX('Stock UST'!25:25,1,MATCH(Stock!AW$1,'Stock UST'!$1:$1,0))))</f>
        <v/>
      </c>
      <c r="AX25" s="9" t="str">
        <f ca="1">IF(IF(ISERROR(MATCH(Stock!AX$1,'Stock UST'!$1:$1,0)),AW25,INDEX('Stock UST'!25:25,1,MATCH(Stock!AX$1,'Stock UST'!$1:$1,0)))=0,"",IF(ISERROR(MATCH(Stock!AX$1,'Stock UST'!$1:$1,0)),AW25,INDEX('Stock UST'!25:25,1,MATCH(Stock!AX$1,'Stock UST'!$1:$1,0))))</f>
        <v/>
      </c>
    </row>
    <row r="26" spans="1:50" x14ac:dyDescent="0.3">
      <c r="A26" s="9">
        <f>IF('Stock UST'!E26="","",'Stock UST'!E26)</f>
        <v>0</v>
      </c>
      <c r="B26" s="9" t="str">
        <f>IF(IF(ISERROR(MATCH(Stock!B$1,'Stock UST'!$1:$1,0)),A26,INDEX('Stock UST'!26:26,1,MATCH(Stock!B$1,'Stock UST'!$1:$1,0)))=0,"",IF(ISERROR(MATCH(Stock!B$1,'Stock UST'!$1:$1,0)),A26,INDEX('Stock UST'!26:26,1,MATCH(Stock!B$1,'Stock UST'!$1:$1,0))))</f>
        <v/>
      </c>
      <c r="C26" s="9" t="str">
        <f ca="1">IF(IF(ISERROR(MATCH(Stock!C$1,'Stock UST'!$1:$1,0)),B26,INDEX('Stock UST'!26:26,1,MATCH(Stock!C$1,'Stock UST'!$1:$1,0)))=0,"",IF(ISERROR(MATCH(Stock!C$1,'Stock UST'!$1:$1,0)),B26,INDEX('Stock UST'!26:26,1,MATCH(Stock!C$1,'Stock UST'!$1:$1,0))))</f>
        <v/>
      </c>
      <c r="D26" s="9" t="str">
        <f ca="1">IF(IF(ISERROR(MATCH(Stock!D$1,'Stock UST'!$1:$1,0)),C26,INDEX('Stock UST'!26:26,1,MATCH(Stock!D$1,'Stock UST'!$1:$1,0)))=0,"",IF(ISERROR(MATCH(Stock!D$1,'Stock UST'!$1:$1,0)),C26,INDEX('Stock UST'!26:26,1,MATCH(Stock!D$1,'Stock UST'!$1:$1,0))))</f>
        <v/>
      </c>
      <c r="E26" s="9" t="str">
        <f ca="1">IF(IF(ISERROR(MATCH(Stock!E$1,'Stock UST'!$1:$1,0)),D26,INDEX('Stock UST'!26:26,1,MATCH(Stock!E$1,'Stock UST'!$1:$1,0)))=0,"",IF(ISERROR(MATCH(Stock!E$1,'Stock UST'!$1:$1,0)),D26,INDEX('Stock UST'!26:26,1,MATCH(Stock!E$1,'Stock UST'!$1:$1,0))))</f>
        <v/>
      </c>
      <c r="F26" s="9" t="str">
        <f ca="1">IF(IF(ISERROR(MATCH(Stock!F$1,'Stock UST'!$1:$1,0)),E26,INDEX('Stock UST'!26:26,1,MATCH(Stock!F$1,'Stock UST'!$1:$1,0)))=0,"",IF(ISERROR(MATCH(Stock!F$1,'Stock UST'!$1:$1,0)),E26,INDEX('Stock UST'!26:26,1,MATCH(Stock!F$1,'Stock UST'!$1:$1,0))))</f>
        <v/>
      </c>
      <c r="G26" s="9" t="str">
        <f ca="1">IF(IF(ISERROR(MATCH(Stock!G$1,'Stock UST'!$1:$1,0)),F26,INDEX('Stock UST'!26:26,1,MATCH(Stock!G$1,'Stock UST'!$1:$1,0)))=0,"",IF(ISERROR(MATCH(Stock!G$1,'Stock UST'!$1:$1,0)),F26,INDEX('Stock UST'!26:26,1,MATCH(Stock!G$1,'Stock UST'!$1:$1,0))))</f>
        <v/>
      </c>
      <c r="H26" s="9" t="str">
        <f ca="1">IF(IF(ISERROR(MATCH(Stock!H$1,'Stock UST'!$1:$1,0)),G26,INDEX('Stock UST'!26:26,1,MATCH(Stock!H$1,'Stock UST'!$1:$1,0)))=0,"",IF(ISERROR(MATCH(Stock!H$1,'Stock UST'!$1:$1,0)),G26,INDEX('Stock UST'!26:26,1,MATCH(Stock!H$1,'Stock UST'!$1:$1,0))))</f>
        <v/>
      </c>
      <c r="I26" s="9" t="str">
        <f ca="1">IF(IF(ISERROR(MATCH(Stock!I$1,'Stock UST'!$1:$1,0)),H26,INDEX('Stock UST'!26:26,1,MATCH(Stock!I$1,'Stock UST'!$1:$1,0)))=0,"",IF(ISERROR(MATCH(Stock!I$1,'Stock UST'!$1:$1,0)),H26,INDEX('Stock UST'!26:26,1,MATCH(Stock!I$1,'Stock UST'!$1:$1,0))))</f>
        <v/>
      </c>
      <c r="J26" s="9" t="str">
        <f ca="1">IF(IF(ISERROR(MATCH(Stock!J$1,'Stock UST'!$1:$1,0)),I26,INDEX('Stock UST'!26:26,1,MATCH(Stock!J$1,'Stock UST'!$1:$1,0)))=0,"",IF(ISERROR(MATCH(Stock!J$1,'Stock UST'!$1:$1,0)),I26,INDEX('Stock UST'!26:26,1,MATCH(Stock!J$1,'Stock UST'!$1:$1,0))))</f>
        <v/>
      </c>
      <c r="K26" s="9" t="str">
        <f ca="1">IF(IF(ISERROR(MATCH(Stock!K$1,'Stock UST'!$1:$1,0)),J26,INDEX('Stock UST'!26:26,1,MATCH(Stock!K$1,'Stock UST'!$1:$1,0)))=0,"",IF(ISERROR(MATCH(Stock!K$1,'Stock UST'!$1:$1,0)),J26,INDEX('Stock UST'!26:26,1,MATCH(Stock!K$1,'Stock UST'!$1:$1,0))))</f>
        <v/>
      </c>
      <c r="L26" s="9" t="str">
        <f ca="1">IF(IF(ISERROR(MATCH(Stock!L$1,'Stock UST'!$1:$1,0)),K26,INDEX('Stock UST'!26:26,1,MATCH(Stock!L$1,'Stock UST'!$1:$1,0)))=0,"",IF(ISERROR(MATCH(Stock!L$1,'Stock UST'!$1:$1,0)),K26,INDEX('Stock UST'!26:26,1,MATCH(Stock!L$1,'Stock UST'!$1:$1,0))))</f>
        <v/>
      </c>
      <c r="M26" s="9" t="str">
        <f ca="1">IF(IF(ISERROR(MATCH(Stock!M$1,'Stock UST'!$1:$1,0)),L26,INDEX('Stock UST'!26:26,1,MATCH(Stock!M$1,'Stock UST'!$1:$1,0)))=0,"",IF(ISERROR(MATCH(Stock!M$1,'Stock UST'!$1:$1,0)),L26,INDEX('Stock UST'!26:26,1,MATCH(Stock!M$1,'Stock UST'!$1:$1,0))))</f>
        <v/>
      </c>
      <c r="N26" s="9" t="str">
        <f ca="1">IF(IF(ISERROR(MATCH(Stock!N$1,'Stock UST'!$1:$1,0)),M26,INDEX('Stock UST'!26:26,1,MATCH(Stock!N$1,'Stock UST'!$1:$1,0)))=0,"",IF(ISERROR(MATCH(Stock!N$1,'Stock UST'!$1:$1,0)),M26,INDEX('Stock UST'!26:26,1,MATCH(Stock!N$1,'Stock UST'!$1:$1,0))))</f>
        <v/>
      </c>
      <c r="O26" s="9" t="str">
        <f ca="1">IF(IF(ISERROR(MATCH(Stock!O$1,'Stock UST'!$1:$1,0)),N26,INDEX('Stock UST'!26:26,1,MATCH(Stock!O$1,'Stock UST'!$1:$1,0)))=0,"",IF(ISERROR(MATCH(Stock!O$1,'Stock UST'!$1:$1,0)),N26,INDEX('Stock UST'!26:26,1,MATCH(Stock!O$1,'Stock UST'!$1:$1,0))))</f>
        <v/>
      </c>
      <c r="P26" s="9" t="str">
        <f ca="1">IF(IF(ISERROR(MATCH(Stock!P$1,'Stock UST'!$1:$1,0)),O26,INDEX('Stock UST'!26:26,1,MATCH(Stock!P$1,'Stock UST'!$1:$1,0)))=0,"",IF(ISERROR(MATCH(Stock!P$1,'Stock UST'!$1:$1,0)),O26,INDEX('Stock UST'!26:26,1,MATCH(Stock!P$1,'Stock UST'!$1:$1,0))))</f>
        <v/>
      </c>
      <c r="Q26" s="9" t="str">
        <f ca="1">IF(IF(ISERROR(MATCH(Stock!Q$1,'Stock UST'!$1:$1,0)),P26,INDEX('Stock UST'!26:26,1,MATCH(Stock!Q$1,'Stock UST'!$1:$1,0)))=0,"",IF(ISERROR(MATCH(Stock!Q$1,'Stock UST'!$1:$1,0)),P26,INDEX('Stock UST'!26:26,1,MATCH(Stock!Q$1,'Stock UST'!$1:$1,0))))</f>
        <v/>
      </c>
      <c r="R26" s="9" t="str">
        <f ca="1">IF(IF(ISERROR(MATCH(Stock!R$1,'Stock UST'!$1:$1,0)),Q26,INDEX('Stock UST'!26:26,1,MATCH(Stock!R$1,'Stock UST'!$1:$1,0)))=0,"",IF(ISERROR(MATCH(Stock!R$1,'Stock UST'!$1:$1,0)),Q26,INDEX('Stock UST'!26:26,1,MATCH(Stock!R$1,'Stock UST'!$1:$1,0))))</f>
        <v/>
      </c>
      <c r="S26" s="9" t="str">
        <f ca="1">IF(IF(ISERROR(MATCH(Stock!S$1,'Stock UST'!$1:$1,0)),R26,INDEX('Stock UST'!26:26,1,MATCH(Stock!S$1,'Stock UST'!$1:$1,0)))=0,"",IF(ISERROR(MATCH(Stock!S$1,'Stock UST'!$1:$1,0)),R26,INDEX('Stock UST'!26:26,1,MATCH(Stock!S$1,'Stock UST'!$1:$1,0))))</f>
        <v/>
      </c>
      <c r="T26" s="9" t="str">
        <f ca="1">IF(IF(ISERROR(MATCH(Stock!T$1,'Stock UST'!$1:$1,0)),S26,INDEX('Stock UST'!26:26,1,MATCH(Stock!T$1,'Stock UST'!$1:$1,0)))=0,"",IF(ISERROR(MATCH(Stock!T$1,'Stock UST'!$1:$1,0)),S26,INDEX('Stock UST'!26:26,1,MATCH(Stock!T$1,'Stock UST'!$1:$1,0))))</f>
        <v/>
      </c>
      <c r="U26" s="9" t="str">
        <f ca="1">IF(IF(ISERROR(MATCH(Stock!U$1,'Stock UST'!$1:$1,0)),T26,INDEX('Stock UST'!26:26,1,MATCH(Stock!U$1,'Stock UST'!$1:$1,0)))=0,"",IF(ISERROR(MATCH(Stock!U$1,'Stock UST'!$1:$1,0)),T26,INDEX('Stock UST'!26:26,1,MATCH(Stock!U$1,'Stock UST'!$1:$1,0))))</f>
        <v/>
      </c>
      <c r="V26" s="9" t="str">
        <f ca="1">IF(IF(ISERROR(MATCH(Stock!V$1,'Stock UST'!$1:$1,0)),U26,INDEX('Stock UST'!26:26,1,MATCH(Stock!V$1,'Stock UST'!$1:$1,0)))=0,"",IF(ISERROR(MATCH(Stock!V$1,'Stock UST'!$1:$1,0)),U26,INDEX('Stock UST'!26:26,1,MATCH(Stock!V$1,'Stock UST'!$1:$1,0))))</f>
        <v/>
      </c>
      <c r="W26" s="9" t="str">
        <f ca="1">IF(IF(ISERROR(MATCH(Stock!W$1,'Stock UST'!$1:$1,0)),V26,INDEX('Stock UST'!26:26,1,MATCH(Stock!W$1,'Stock UST'!$1:$1,0)))=0,"",IF(ISERROR(MATCH(Stock!W$1,'Stock UST'!$1:$1,0)),V26,INDEX('Stock UST'!26:26,1,MATCH(Stock!W$1,'Stock UST'!$1:$1,0))))</f>
        <v/>
      </c>
      <c r="X26" s="9" t="str">
        <f ca="1">IF(IF(ISERROR(MATCH(Stock!X$1,'Stock UST'!$1:$1,0)),W26,INDEX('Stock UST'!26:26,1,MATCH(Stock!X$1,'Stock UST'!$1:$1,0)))=0,"",IF(ISERROR(MATCH(Stock!X$1,'Stock UST'!$1:$1,0)),W26,INDEX('Stock UST'!26:26,1,MATCH(Stock!X$1,'Stock UST'!$1:$1,0))))</f>
        <v/>
      </c>
      <c r="Y26" s="9" t="str">
        <f ca="1">IF(IF(ISERROR(MATCH(Stock!Y$1,'Stock UST'!$1:$1,0)),X26,INDEX('Stock UST'!26:26,1,MATCH(Stock!Y$1,'Stock UST'!$1:$1,0)))=0,"",IF(ISERROR(MATCH(Stock!Y$1,'Stock UST'!$1:$1,0)),X26,INDEX('Stock UST'!26:26,1,MATCH(Stock!Y$1,'Stock UST'!$1:$1,0))))</f>
        <v/>
      </c>
      <c r="Z26" s="9" t="str">
        <f ca="1">IF(IF(ISERROR(MATCH(Stock!Z$1,'Stock UST'!$1:$1,0)),Y26,INDEX('Stock UST'!26:26,1,MATCH(Stock!Z$1,'Stock UST'!$1:$1,0)))=0,"",IF(ISERROR(MATCH(Stock!Z$1,'Stock UST'!$1:$1,0)),Y26,INDEX('Stock UST'!26:26,1,MATCH(Stock!Z$1,'Stock UST'!$1:$1,0))))</f>
        <v/>
      </c>
      <c r="AA26" s="9" t="str">
        <f ca="1">IF(IF(ISERROR(MATCH(Stock!AA$1,'Stock UST'!$1:$1,0)),Z26,INDEX('Stock UST'!26:26,1,MATCH(Stock!AA$1,'Stock UST'!$1:$1,0)))=0,"",IF(ISERROR(MATCH(Stock!AA$1,'Stock UST'!$1:$1,0)),Z26,INDEX('Stock UST'!26:26,1,MATCH(Stock!AA$1,'Stock UST'!$1:$1,0))))</f>
        <v/>
      </c>
      <c r="AB26" s="9" t="str">
        <f ca="1">IF(IF(ISERROR(MATCH(Stock!AB$1,'Stock UST'!$1:$1,0)),AA26,INDEX('Stock UST'!26:26,1,MATCH(Stock!AB$1,'Stock UST'!$1:$1,0)))=0,"",IF(ISERROR(MATCH(Stock!AB$1,'Stock UST'!$1:$1,0)),AA26,INDEX('Stock UST'!26:26,1,MATCH(Stock!AB$1,'Stock UST'!$1:$1,0))))</f>
        <v/>
      </c>
      <c r="AC26" s="9" t="str">
        <f ca="1">IF(IF(ISERROR(MATCH(Stock!AC$1,'Stock UST'!$1:$1,0)),AB26,INDEX('Stock UST'!26:26,1,MATCH(Stock!AC$1,'Stock UST'!$1:$1,0)))=0,"",IF(ISERROR(MATCH(Stock!AC$1,'Stock UST'!$1:$1,0)),AB26,INDEX('Stock UST'!26:26,1,MATCH(Stock!AC$1,'Stock UST'!$1:$1,0))))</f>
        <v/>
      </c>
      <c r="AD26" s="9" t="str">
        <f ca="1">IF(IF(ISERROR(MATCH(Stock!AD$1,'Stock UST'!$1:$1,0)),AC26,INDEX('Stock UST'!26:26,1,MATCH(Stock!AD$1,'Stock UST'!$1:$1,0)))=0,"",IF(ISERROR(MATCH(Stock!AD$1,'Stock UST'!$1:$1,0)),AC26,INDEX('Stock UST'!26:26,1,MATCH(Stock!AD$1,'Stock UST'!$1:$1,0))))</f>
        <v/>
      </c>
      <c r="AE26" s="9" t="str">
        <f ca="1">IF(IF(ISERROR(MATCH(Stock!AE$1,'Stock UST'!$1:$1,0)),AD26,INDEX('Stock UST'!26:26,1,MATCH(Stock!AE$1,'Stock UST'!$1:$1,0)))=0,"",IF(ISERROR(MATCH(Stock!AE$1,'Stock UST'!$1:$1,0)),AD26,INDEX('Stock UST'!26:26,1,MATCH(Stock!AE$1,'Stock UST'!$1:$1,0))))</f>
        <v/>
      </c>
      <c r="AF26" s="9" t="str">
        <f ca="1">IF(IF(ISERROR(MATCH(Stock!AF$1,'Stock UST'!$1:$1,0)),AE26,INDEX('Stock UST'!26:26,1,MATCH(Stock!AF$1,'Stock UST'!$1:$1,0)))=0,"",IF(ISERROR(MATCH(Stock!AF$1,'Stock UST'!$1:$1,0)),AE26,INDEX('Stock UST'!26:26,1,MATCH(Stock!AF$1,'Stock UST'!$1:$1,0))))</f>
        <v/>
      </c>
      <c r="AG26" s="9" t="str">
        <f ca="1">IF(IF(ISERROR(MATCH(Stock!AG$1,'Stock UST'!$1:$1,0)),AF26,INDEX('Stock UST'!26:26,1,MATCH(Stock!AG$1,'Stock UST'!$1:$1,0)))=0,"",IF(ISERROR(MATCH(Stock!AG$1,'Stock UST'!$1:$1,0)),AF26,INDEX('Stock UST'!26:26,1,MATCH(Stock!AG$1,'Stock UST'!$1:$1,0))))</f>
        <v/>
      </c>
      <c r="AH26" s="9" t="str">
        <f ca="1">IF(IF(ISERROR(MATCH(Stock!AH$1,'Stock UST'!$1:$1,0)),AG26,INDEX('Stock UST'!26:26,1,MATCH(Stock!AH$1,'Stock UST'!$1:$1,0)))=0,"",IF(ISERROR(MATCH(Stock!AH$1,'Stock UST'!$1:$1,0)),AG26,INDEX('Stock UST'!26:26,1,MATCH(Stock!AH$1,'Stock UST'!$1:$1,0))))</f>
        <v/>
      </c>
      <c r="AI26" s="9" t="str">
        <f ca="1">IF(IF(ISERROR(MATCH(Stock!AI$1,'Stock UST'!$1:$1,0)),AH26,INDEX('Stock UST'!26:26,1,MATCH(Stock!AI$1,'Stock UST'!$1:$1,0)))=0,"",IF(ISERROR(MATCH(Stock!AI$1,'Stock UST'!$1:$1,0)),AH26,INDEX('Stock UST'!26:26,1,MATCH(Stock!AI$1,'Stock UST'!$1:$1,0))))</f>
        <v/>
      </c>
      <c r="AJ26" s="9" t="str">
        <f ca="1">IF(IF(ISERROR(MATCH(Stock!AJ$1,'Stock UST'!$1:$1,0)),AI26,INDEX('Stock UST'!26:26,1,MATCH(Stock!AJ$1,'Stock UST'!$1:$1,0)))=0,"",IF(ISERROR(MATCH(Stock!AJ$1,'Stock UST'!$1:$1,0)),AI26,INDEX('Stock UST'!26:26,1,MATCH(Stock!AJ$1,'Stock UST'!$1:$1,0))))</f>
        <v/>
      </c>
      <c r="AK26" s="9" t="str">
        <f ca="1">IF(IF(ISERROR(MATCH(Stock!AK$1,'Stock UST'!$1:$1,0)),AJ26,INDEX('Stock UST'!26:26,1,MATCH(Stock!AK$1,'Stock UST'!$1:$1,0)))=0,"",IF(ISERROR(MATCH(Stock!AK$1,'Stock UST'!$1:$1,0)),AJ26,INDEX('Stock UST'!26:26,1,MATCH(Stock!AK$1,'Stock UST'!$1:$1,0))))</f>
        <v/>
      </c>
      <c r="AL26" s="9" t="str">
        <f ca="1">IF(IF(ISERROR(MATCH(Stock!AL$1,'Stock UST'!$1:$1,0)),AK26,INDEX('Stock UST'!26:26,1,MATCH(Stock!AL$1,'Stock UST'!$1:$1,0)))=0,"",IF(ISERROR(MATCH(Stock!AL$1,'Stock UST'!$1:$1,0)),AK26,INDEX('Stock UST'!26:26,1,MATCH(Stock!AL$1,'Stock UST'!$1:$1,0))))</f>
        <v/>
      </c>
      <c r="AM26" s="9" t="str">
        <f ca="1">IF(IF(ISERROR(MATCH(Stock!AM$1,'Stock UST'!$1:$1,0)),AL26,INDEX('Stock UST'!26:26,1,MATCH(Stock!AM$1,'Stock UST'!$1:$1,0)))=0,"",IF(ISERROR(MATCH(Stock!AM$1,'Stock UST'!$1:$1,0)),AL26,INDEX('Stock UST'!26:26,1,MATCH(Stock!AM$1,'Stock UST'!$1:$1,0))))</f>
        <v/>
      </c>
      <c r="AN26" s="9" t="str">
        <f ca="1">IF(IF(ISERROR(MATCH(Stock!AN$1,'Stock UST'!$1:$1,0)),AM26,INDEX('Stock UST'!26:26,1,MATCH(Stock!AN$1,'Stock UST'!$1:$1,0)))=0,"",IF(ISERROR(MATCH(Stock!AN$1,'Stock UST'!$1:$1,0)),AM26,INDEX('Stock UST'!26:26,1,MATCH(Stock!AN$1,'Stock UST'!$1:$1,0))))</f>
        <v/>
      </c>
      <c r="AO26" s="9" t="str">
        <f ca="1">IF(IF(ISERROR(MATCH(Stock!AO$1,'Stock UST'!$1:$1,0)),AN26,INDEX('Stock UST'!26:26,1,MATCH(Stock!AO$1,'Stock UST'!$1:$1,0)))=0,"",IF(ISERROR(MATCH(Stock!AO$1,'Stock UST'!$1:$1,0)),AN26,INDEX('Stock UST'!26:26,1,MATCH(Stock!AO$1,'Stock UST'!$1:$1,0))))</f>
        <v/>
      </c>
      <c r="AP26" s="9" t="str">
        <f ca="1">IF(IF(ISERROR(MATCH(Stock!AP$1,'Stock UST'!$1:$1,0)),AO26,INDEX('Stock UST'!26:26,1,MATCH(Stock!AP$1,'Stock UST'!$1:$1,0)))=0,"",IF(ISERROR(MATCH(Stock!AP$1,'Stock UST'!$1:$1,0)),AO26,INDEX('Stock UST'!26:26,1,MATCH(Stock!AP$1,'Stock UST'!$1:$1,0))))</f>
        <v/>
      </c>
      <c r="AQ26" s="9" t="str">
        <f ca="1">IF(IF(ISERROR(MATCH(Stock!AQ$1,'Stock UST'!$1:$1,0)),AP26,INDEX('Stock UST'!26:26,1,MATCH(Stock!AQ$1,'Stock UST'!$1:$1,0)))=0,"",IF(ISERROR(MATCH(Stock!AQ$1,'Stock UST'!$1:$1,0)),AP26,INDEX('Stock UST'!26:26,1,MATCH(Stock!AQ$1,'Stock UST'!$1:$1,0))))</f>
        <v/>
      </c>
      <c r="AR26" s="9" t="str">
        <f ca="1">IF(IF(ISERROR(MATCH(Stock!AR$1,'Stock UST'!$1:$1,0)),AQ26,INDEX('Stock UST'!26:26,1,MATCH(Stock!AR$1,'Stock UST'!$1:$1,0)))=0,"",IF(ISERROR(MATCH(Stock!AR$1,'Stock UST'!$1:$1,0)),AQ26,INDEX('Stock UST'!26:26,1,MATCH(Stock!AR$1,'Stock UST'!$1:$1,0))))</f>
        <v/>
      </c>
      <c r="AS26" s="9" t="str">
        <f ca="1">IF(IF(ISERROR(MATCH(Stock!AS$1,'Stock UST'!$1:$1,0)),AR26,INDEX('Stock UST'!26:26,1,MATCH(Stock!AS$1,'Stock UST'!$1:$1,0)))=0,"",IF(ISERROR(MATCH(Stock!AS$1,'Stock UST'!$1:$1,0)),AR26,INDEX('Stock UST'!26:26,1,MATCH(Stock!AS$1,'Stock UST'!$1:$1,0))))</f>
        <v/>
      </c>
      <c r="AT26" s="9" t="str">
        <f ca="1">IF(IF(ISERROR(MATCH(Stock!AT$1,'Stock UST'!$1:$1,0)),AS26,INDEX('Stock UST'!26:26,1,MATCH(Stock!AT$1,'Stock UST'!$1:$1,0)))=0,"",IF(ISERROR(MATCH(Stock!AT$1,'Stock UST'!$1:$1,0)),AS26,INDEX('Stock UST'!26:26,1,MATCH(Stock!AT$1,'Stock UST'!$1:$1,0))))</f>
        <v/>
      </c>
      <c r="AU26" s="9" t="str">
        <f ca="1">IF(IF(ISERROR(MATCH(Stock!AU$1,'Stock UST'!$1:$1,0)),AT26,INDEX('Stock UST'!26:26,1,MATCH(Stock!AU$1,'Stock UST'!$1:$1,0)))=0,"",IF(ISERROR(MATCH(Stock!AU$1,'Stock UST'!$1:$1,0)),AT26,INDEX('Stock UST'!26:26,1,MATCH(Stock!AU$1,'Stock UST'!$1:$1,0))))</f>
        <v/>
      </c>
      <c r="AV26" s="9" t="str">
        <f ca="1">IF(IF(ISERROR(MATCH(Stock!AV$1,'Stock UST'!$1:$1,0)),AU26,INDEX('Stock UST'!26:26,1,MATCH(Stock!AV$1,'Stock UST'!$1:$1,0)))=0,"",IF(ISERROR(MATCH(Stock!AV$1,'Stock UST'!$1:$1,0)),AU26,INDEX('Stock UST'!26:26,1,MATCH(Stock!AV$1,'Stock UST'!$1:$1,0))))</f>
        <v/>
      </c>
      <c r="AW26" s="9" t="str">
        <f ca="1">IF(IF(ISERROR(MATCH(Stock!AW$1,'Stock UST'!$1:$1,0)),AV26,INDEX('Stock UST'!26:26,1,MATCH(Stock!AW$1,'Stock UST'!$1:$1,0)))=0,"",IF(ISERROR(MATCH(Stock!AW$1,'Stock UST'!$1:$1,0)),AV26,INDEX('Stock UST'!26:26,1,MATCH(Stock!AW$1,'Stock UST'!$1:$1,0))))</f>
        <v/>
      </c>
      <c r="AX26" s="9" t="str">
        <f ca="1">IF(IF(ISERROR(MATCH(Stock!AX$1,'Stock UST'!$1:$1,0)),AW26,INDEX('Stock UST'!26:26,1,MATCH(Stock!AX$1,'Stock UST'!$1:$1,0)))=0,"",IF(ISERROR(MATCH(Stock!AX$1,'Stock UST'!$1:$1,0)),AW26,INDEX('Stock UST'!26:26,1,MATCH(Stock!AX$1,'Stock UST'!$1:$1,0))))</f>
        <v/>
      </c>
    </row>
    <row r="27" spans="1:50" x14ac:dyDescent="0.3">
      <c r="A27" s="9">
        <f>IF('Stock UST'!E27="","",'Stock UST'!E27)</f>
        <v>212000</v>
      </c>
      <c r="B27" s="9">
        <f>IF(IF(ISERROR(MATCH(Stock!B$1,'Stock UST'!$1:$1,0)),A27,INDEX('Stock UST'!27:27,1,MATCH(Stock!B$1,'Stock UST'!$1:$1,0)))=0,"",IF(ISERROR(MATCH(Stock!B$1,'Stock UST'!$1:$1,0)),A27,INDEX('Stock UST'!27:27,1,MATCH(Stock!B$1,'Stock UST'!$1:$1,0))))</f>
        <v>212000</v>
      </c>
      <c r="C27" s="9">
        <f ca="1">IF(IF(ISERROR(MATCH(Stock!C$1,'Stock UST'!$1:$1,0)),B27,INDEX('Stock UST'!27:27,1,MATCH(Stock!C$1,'Stock UST'!$1:$1,0)))=0,"",IF(ISERROR(MATCH(Stock!C$1,'Stock UST'!$1:$1,0)),B27,INDEX('Stock UST'!27:27,1,MATCH(Stock!C$1,'Stock UST'!$1:$1,0))))</f>
        <v>212000</v>
      </c>
      <c r="D27" s="9">
        <f ca="1">IF(IF(ISERROR(MATCH(Stock!D$1,'Stock UST'!$1:$1,0)),C27,INDEX('Stock UST'!27:27,1,MATCH(Stock!D$1,'Stock UST'!$1:$1,0)))=0,"",IF(ISERROR(MATCH(Stock!D$1,'Stock UST'!$1:$1,0)),C27,INDEX('Stock UST'!27:27,1,MATCH(Stock!D$1,'Stock UST'!$1:$1,0))))</f>
        <v>212000</v>
      </c>
      <c r="E27" s="9">
        <f ca="1">IF(IF(ISERROR(MATCH(Stock!E$1,'Stock UST'!$1:$1,0)),D27,INDEX('Stock UST'!27:27,1,MATCH(Stock!E$1,'Stock UST'!$1:$1,0)))=0,"",IF(ISERROR(MATCH(Stock!E$1,'Stock UST'!$1:$1,0)),D27,INDEX('Stock UST'!27:27,1,MATCH(Stock!E$1,'Stock UST'!$1:$1,0))))</f>
        <v>212000</v>
      </c>
      <c r="F27" s="9">
        <f ca="1">IF(IF(ISERROR(MATCH(Stock!F$1,'Stock UST'!$1:$1,0)),E27,INDEX('Stock UST'!27:27,1,MATCH(Stock!F$1,'Stock UST'!$1:$1,0)))=0,"",IF(ISERROR(MATCH(Stock!F$1,'Stock UST'!$1:$1,0)),E27,INDEX('Stock UST'!27:27,1,MATCH(Stock!F$1,'Stock UST'!$1:$1,0))))</f>
        <v>212000</v>
      </c>
      <c r="G27" s="9">
        <f ca="1">IF(IF(ISERROR(MATCH(Stock!G$1,'Stock UST'!$1:$1,0)),F27,INDEX('Stock UST'!27:27,1,MATCH(Stock!G$1,'Stock UST'!$1:$1,0)))=0,"",IF(ISERROR(MATCH(Stock!G$1,'Stock UST'!$1:$1,0)),F27,INDEX('Stock UST'!27:27,1,MATCH(Stock!G$1,'Stock UST'!$1:$1,0))))</f>
        <v>212000</v>
      </c>
      <c r="H27" s="9">
        <f ca="1">IF(IF(ISERROR(MATCH(Stock!H$1,'Stock UST'!$1:$1,0)),G27,INDEX('Stock UST'!27:27,1,MATCH(Stock!H$1,'Stock UST'!$1:$1,0)))=0,"",IF(ISERROR(MATCH(Stock!H$1,'Stock UST'!$1:$1,0)),G27,INDEX('Stock UST'!27:27,1,MATCH(Stock!H$1,'Stock UST'!$1:$1,0))))</f>
        <v>212000</v>
      </c>
      <c r="I27" s="9">
        <f ca="1">IF(IF(ISERROR(MATCH(Stock!I$1,'Stock UST'!$1:$1,0)),H27,INDEX('Stock UST'!27:27,1,MATCH(Stock!I$1,'Stock UST'!$1:$1,0)))=0,"",IF(ISERROR(MATCH(Stock!I$1,'Stock UST'!$1:$1,0)),H27,INDEX('Stock UST'!27:27,1,MATCH(Stock!I$1,'Stock UST'!$1:$1,0))))</f>
        <v>212000</v>
      </c>
      <c r="J27" s="9">
        <f ca="1">IF(IF(ISERROR(MATCH(Stock!J$1,'Stock UST'!$1:$1,0)),I27,INDEX('Stock UST'!27:27,1,MATCH(Stock!J$1,'Stock UST'!$1:$1,0)))=0,"",IF(ISERROR(MATCH(Stock!J$1,'Stock UST'!$1:$1,0)),I27,INDEX('Stock UST'!27:27,1,MATCH(Stock!J$1,'Stock UST'!$1:$1,0))))</f>
        <v>212000</v>
      </c>
      <c r="K27" s="9">
        <f ca="1">IF(IF(ISERROR(MATCH(Stock!K$1,'Stock UST'!$1:$1,0)),J27,INDEX('Stock UST'!27:27,1,MATCH(Stock!K$1,'Stock UST'!$1:$1,0)))=0,"",IF(ISERROR(MATCH(Stock!K$1,'Stock UST'!$1:$1,0)),J27,INDEX('Stock UST'!27:27,1,MATCH(Stock!K$1,'Stock UST'!$1:$1,0))))</f>
        <v>212000</v>
      </c>
      <c r="L27" s="9">
        <f ca="1">IF(IF(ISERROR(MATCH(Stock!L$1,'Stock UST'!$1:$1,0)),K27,INDEX('Stock UST'!27:27,1,MATCH(Stock!L$1,'Stock UST'!$1:$1,0)))=0,"",IF(ISERROR(MATCH(Stock!L$1,'Stock UST'!$1:$1,0)),K27,INDEX('Stock UST'!27:27,1,MATCH(Stock!L$1,'Stock UST'!$1:$1,0))))</f>
        <v>212000</v>
      </c>
      <c r="M27" s="9">
        <f ca="1">IF(IF(ISERROR(MATCH(Stock!M$1,'Stock UST'!$1:$1,0)),L27,INDEX('Stock UST'!27:27,1,MATCH(Stock!M$1,'Stock UST'!$1:$1,0)))=0,"",IF(ISERROR(MATCH(Stock!M$1,'Stock UST'!$1:$1,0)),L27,INDEX('Stock UST'!27:27,1,MATCH(Stock!M$1,'Stock UST'!$1:$1,0))))</f>
        <v>212000</v>
      </c>
      <c r="N27" s="9">
        <f ca="1">IF(IF(ISERROR(MATCH(Stock!N$1,'Stock UST'!$1:$1,0)),M27,INDEX('Stock UST'!27:27,1,MATCH(Stock!N$1,'Stock UST'!$1:$1,0)))=0,"",IF(ISERROR(MATCH(Stock!N$1,'Stock UST'!$1:$1,0)),M27,INDEX('Stock UST'!27:27,1,MATCH(Stock!N$1,'Stock UST'!$1:$1,0))))</f>
        <v>212000</v>
      </c>
      <c r="O27" s="9">
        <f ca="1">IF(IF(ISERROR(MATCH(Stock!O$1,'Stock UST'!$1:$1,0)),N27,INDEX('Stock UST'!27:27,1,MATCH(Stock!O$1,'Stock UST'!$1:$1,0)))=0,"",IF(ISERROR(MATCH(Stock!O$1,'Stock UST'!$1:$1,0)),N27,INDEX('Stock UST'!27:27,1,MATCH(Stock!O$1,'Stock UST'!$1:$1,0))))</f>
        <v>212000</v>
      </c>
      <c r="P27" s="9">
        <f ca="1">IF(IF(ISERROR(MATCH(Stock!P$1,'Stock UST'!$1:$1,0)),O27,INDEX('Stock UST'!27:27,1,MATCH(Stock!P$1,'Stock UST'!$1:$1,0)))=0,"",IF(ISERROR(MATCH(Stock!P$1,'Stock UST'!$1:$1,0)),O27,INDEX('Stock UST'!27:27,1,MATCH(Stock!P$1,'Stock UST'!$1:$1,0))))</f>
        <v>212000</v>
      </c>
      <c r="Q27" s="9">
        <f ca="1">IF(IF(ISERROR(MATCH(Stock!Q$1,'Stock UST'!$1:$1,0)),P27,INDEX('Stock UST'!27:27,1,MATCH(Stock!Q$1,'Stock UST'!$1:$1,0)))=0,"",IF(ISERROR(MATCH(Stock!Q$1,'Stock UST'!$1:$1,0)),P27,INDEX('Stock UST'!27:27,1,MATCH(Stock!Q$1,'Stock UST'!$1:$1,0))))</f>
        <v>212000</v>
      </c>
      <c r="R27" s="9">
        <f ca="1">IF(IF(ISERROR(MATCH(Stock!R$1,'Stock UST'!$1:$1,0)),Q27,INDEX('Stock UST'!27:27,1,MATCH(Stock!R$1,'Stock UST'!$1:$1,0)))=0,"",IF(ISERROR(MATCH(Stock!R$1,'Stock UST'!$1:$1,0)),Q27,INDEX('Stock UST'!27:27,1,MATCH(Stock!R$1,'Stock UST'!$1:$1,0))))</f>
        <v>212000</v>
      </c>
      <c r="S27" s="9">
        <f ca="1">IF(IF(ISERROR(MATCH(Stock!S$1,'Stock UST'!$1:$1,0)),R27,INDEX('Stock UST'!27:27,1,MATCH(Stock!S$1,'Stock UST'!$1:$1,0)))=0,"",IF(ISERROR(MATCH(Stock!S$1,'Stock UST'!$1:$1,0)),R27,INDEX('Stock UST'!27:27,1,MATCH(Stock!S$1,'Stock UST'!$1:$1,0))))</f>
        <v>212000</v>
      </c>
      <c r="T27" s="9">
        <f ca="1">IF(IF(ISERROR(MATCH(Stock!T$1,'Stock UST'!$1:$1,0)),S27,INDEX('Stock UST'!27:27,1,MATCH(Stock!T$1,'Stock UST'!$1:$1,0)))=0,"",IF(ISERROR(MATCH(Stock!T$1,'Stock UST'!$1:$1,0)),S27,INDEX('Stock UST'!27:27,1,MATCH(Stock!T$1,'Stock UST'!$1:$1,0))))</f>
        <v>212000</v>
      </c>
      <c r="U27" s="9">
        <f ca="1">IF(IF(ISERROR(MATCH(Stock!U$1,'Stock UST'!$1:$1,0)),T27,INDEX('Stock UST'!27:27,1,MATCH(Stock!U$1,'Stock UST'!$1:$1,0)))=0,"",IF(ISERROR(MATCH(Stock!U$1,'Stock UST'!$1:$1,0)),T27,INDEX('Stock UST'!27:27,1,MATCH(Stock!U$1,'Stock UST'!$1:$1,0))))</f>
        <v>212000</v>
      </c>
      <c r="V27" s="9">
        <f ca="1">IF(IF(ISERROR(MATCH(Stock!V$1,'Stock UST'!$1:$1,0)),U27,INDEX('Stock UST'!27:27,1,MATCH(Stock!V$1,'Stock UST'!$1:$1,0)))=0,"",IF(ISERROR(MATCH(Stock!V$1,'Stock UST'!$1:$1,0)),U27,INDEX('Stock UST'!27:27,1,MATCH(Stock!V$1,'Stock UST'!$1:$1,0))))</f>
        <v>212000</v>
      </c>
      <c r="W27" s="9">
        <f ca="1">IF(IF(ISERROR(MATCH(Stock!W$1,'Stock UST'!$1:$1,0)),V27,INDEX('Stock UST'!27:27,1,MATCH(Stock!W$1,'Stock UST'!$1:$1,0)))=0,"",IF(ISERROR(MATCH(Stock!W$1,'Stock UST'!$1:$1,0)),V27,INDEX('Stock UST'!27:27,1,MATCH(Stock!W$1,'Stock UST'!$1:$1,0))))</f>
        <v>212000</v>
      </c>
      <c r="X27" s="9">
        <f ca="1">IF(IF(ISERROR(MATCH(Stock!X$1,'Stock UST'!$1:$1,0)),W27,INDEX('Stock UST'!27:27,1,MATCH(Stock!X$1,'Stock UST'!$1:$1,0)))=0,"",IF(ISERROR(MATCH(Stock!X$1,'Stock UST'!$1:$1,0)),W27,INDEX('Stock UST'!27:27,1,MATCH(Stock!X$1,'Stock UST'!$1:$1,0))))</f>
        <v>212000</v>
      </c>
      <c r="Y27" s="9">
        <f ca="1">IF(IF(ISERROR(MATCH(Stock!Y$1,'Stock UST'!$1:$1,0)),X27,INDEX('Stock UST'!27:27,1,MATCH(Stock!Y$1,'Stock UST'!$1:$1,0)))=0,"",IF(ISERROR(MATCH(Stock!Y$1,'Stock UST'!$1:$1,0)),X27,INDEX('Stock UST'!27:27,1,MATCH(Stock!Y$1,'Stock UST'!$1:$1,0))))</f>
        <v>212000</v>
      </c>
      <c r="Z27" s="9">
        <f ca="1">IF(IF(ISERROR(MATCH(Stock!Z$1,'Stock UST'!$1:$1,0)),Y27,INDEX('Stock UST'!27:27,1,MATCH(Stock!Z$1,'Stock UST'!$1:$1,0)))=0,"",IF(ISERROR(MATCH(Stock!Z$1,'Stock UST'!$1:$1,0)),Y27,INDEX('Stock UST'!27:27,1,MATCH(Stock!Z$1,'Stock UST'!$1:$1,0))))</f>
        <v>212000</v>
      </c>
      <c r="AA27" s="9">
        <f ca="1">IF(IF(ISERROR(MATCH(Stock!AA$1,'Stock UST'!$1:$1,0)),Z27,INDEX('Stock UST'!27:27,1,MATCH(Stock!AA$1,'Stock UST'!$1:$1,0)))=0,"",IF(ISERROR(MATCH(Stock!AA$1,'Stock UST'!$1:$1,0)),Z27,INDEX('Stock UST'!27:27,1,MATCH(Stock!AA$1,'Stock UST'!$1:$1,0))))</f>
        <v>212000</v>
      </c>
      <c r="AB27" s="9">
        <f ca="1">IF(IF(ISERROR(MATCH(Stock!AB$1,'Stock UST'!$1:$1,0)),AA27,INDEX('Stock UST'!27:27,1,MATCH(Stock!AB$1,'Stock UST'!$1:$1,0)))=0,"",IF(ISERROR(MATCH(Stock!AB$1,'Stock UST'!$1:$1,0)),AA27,INDEX('Stock UST'!27:27,1,MATCH(Stock!AB$1,'Stock UST'!$1:$1,0))))</f>
        <v>212000</v>
      </c>
      <c r="AC27" s="9">
        <f ca="1">IF(IF(ISERROR(MATCH(Stock!AC$1,'Stock UST'!$1:$1,0)),AB27,INDEX('Stock UST'!27:27,1,MATCH(Stock!AC$1,'Stock UST'!$1:$1,0)))=0,"",IF(ISERROR(MATCH(Stock!AC$1,'Stock UST'!$1:$1,0)),AB27,INDEX('Stock UST'!27:27,1,MATCH(Stock!AC$1,'Stock UST'!$1:$1,0))))</f>
        <v>212000</v>
      </c>
      <c r="AD27" s="9">
        <f ca="1">IF(IF(ISERROR(MATCH(Stock!AD$1,'Stock UST'!$1:$1,0)),AC27,INDEX('Stock UST'!27:27,1,MATCH(Stock!AD$1,'Stock UST'!$1:$1,0)))=0,"",IF(ISERROR(MATCH(Stock!AD$1,'Stock UST'!$1:$1,0)),AC27,INDEX('Stock UST'!27:27,1,MATCH(Stock!AD$1,'Stock UST'!$1:$1,0))))</f>
        <v>212000</v>
      </c>
      <c r="AE27" s="9">
        <f ca="1">IF(IF(ISERROR(MATCH(Stock!AE$1,'Stock UST'!$1:$1,0)),AD27,INDEX('Stock UST'!27:27,1,MATCH(Stock!AE$1,'Stock UST'!$1:$1,0)))=0,"",IF(ISERROR(MATCH(Stock!AE$1,'Stock UST'!$1:$1,0)),AD27,INDEX('Stock UST'!27:27,1,MATCH(Stock!AE$1,'Stock UST'!$1:$1,0))))</f>
        <v>212000</v>
      </c>
      <c r="AF27" s="9">
        <f ca="1">IF(IF(ISERROR(MATCH(Stock!AF$1,'Stock UST'!$1:$1,0)),AE27,INDEX('Stock UST'!27:27,1,MATCH(Stock!AF$1,'Stock UST'!$1:$1,0)))=0,"",IF(ISERROR(MATCH(Stock!AF$1,'Stock UST'!$1:$1,0)),AE27,INDEX('Stock UST'!27:27,1,MATCH(Stock!AF$1,'Stock UST'!$1:$1,0))))</f>
        <v>212000</v>
      </c>
      <c r="AG27" s="9">
        <f ca="1">IF(IF(ISERROR(MATCH(Stock!AG$1,'Stock UST'!$1:$1,0)),AF27,INDEX('Stock UST'!27:27,1,MATCH(Stock!AG$1,'Stock UST'!$1:$1,0)))=0,"",IF(ISERROR(MATCH(Stock!AG$1,'Stock UST'!$1:$1,0)),AF27,INDEX('Stock UST'!27:27,1,MATCH(Stock!AG$1,'Stock UST'!$1:$1,0))))</f>
        <v>212000</v>
      </c>
      <c r="AH27" s="9">
        <f ca="1">IF(IF(ISERROR(MATCH(Stock!AH$1,'Stock UST'!$1:$1,0)),AG27,INDEX('Stock UST'!27:27,1,MATCH(Stock!AH$1,'Stock UST'!$1:$1,0)))=0,"",IF(ISERROR(MATCH(Stock!AH$1,'Stock UST'!$1:$1,0)),AG27,INDEX('Stock UST'!27:27,1,MATCH(Stock!AH$1,'Stock UST'!$1:$1,0))))</f>
        <v>212000</v>
      </c>
      <c r="AI27" s="9">
        <f ca="1">IF(IF(ISERROR(MATCH(Stock!AI$1,'Stock UST'!$1:$1,0)),AH27,INDEX('Stock UST'!27:27,1,MATCH(Stock!AI$1,'Stock UST'!$1:$1,0)))=0,"",IF(ISERROR(MATCH(Stock!AI$1,'Stock UST'!$1:$1,0)),AH27,INDEX('Stock UST'!27:27,1,MATCH(Stock!AI$1,'Stock UST'!$1:$1,0))))</f>
        <v>212000</v>
      </c>
      <c r="AJ27" s="9">
        <f ca="1">IF(IF(ISERROR(MATCH(Stock!AJ$1,'Stock UST'!$1:$1,0)),AI27,INDEX('Stock UST'!27:27,1,MATCH(Stock!AJ$1,'Stock UST'!$1:$1,0)))=0,"",IF(ISERROR(MATCH(Stock!AJ$1,'Stock UST'!$1:$1,0)),AI27,INDEX('Stock UST'!27:27,1,MATCH(Stock!AJ$1,'Stock UST'!$1:$1,0))))</f>
        <v>212000</v>
      </c>
      <c r="AK27" s="9">
        <f ca="1">IF(IF(ISERROR(MATCH(Stock!AK$1,'Stock UST'!$1:$1,0)),AJ27,INDEX('Stock UST'!27:27,1,MATCH(Stock!AK$1,'Stock UST'!$1:$1,0)))=0,"",IF(ISERROR(MATCH(Stock!AK$1,'Stock UST'!$1:$1,0)),AJ27,INDEX('Stock UST'!27:27,1,MATCH(Stock!AK$1,'Stock UST'!$1:$1,0))))</f>
        <v>212000</v>
      </c>
      <c r="AL27" s="9">
        <f ca="1">IF(IF(ISERROR(MATCH(Stock!AL$1,'Stock UST'!$1:$1,0)),AK27,INDEX('Stock UST'!27:27,1,MATCH(Stock!AL$1,'Stock UST'!$1:$1,0)))=0,"",IF(ISERROR(MATCH(Stock!AL$1,'Stock UST'!$1:$1,0)),AK27,INDEX('Stock UST'!27:27,1,MATCH(Stock!AL$1,'Stock UST'!$1:$1,0))))</f>
        <v>212000</v>
      </c>
      <c r="AM27" s="9">
        <f ca="1">IF(IF(ISERROR(MATCH(Stock!AM$1,'Stock UST'!$1:$1,0)),AL27,INDEX('Stock UST'!27:27,1,MATCH(Stock!AM$1,'Stock UST'!$1:$1,0)))=0,"",IF(ISERROR(MATCH(Stock!AM$1,'Stock UST'!$1:$1,0)),AL27,INDEX('Stock UST'!27:27,1,MATCH(Stock!AM$1,'Stock UST'!$1:$1,0))))</f>
        <v>212000</v>
      </c>
      <c r="AN27" s="9">
        <f ca="1">IF(IF(ISERROR(MATCH(Stock!AN$1,'Stock UST'!$1:$1,0)),AM27,INDEX('Stock UST'!27:27,1,MATCH(Stock!AN$1,'Stock UST'!$1:$1,0)))=0,"",IF(ISERROR(MATCH(Stock!AN$1,'Stock UST'!$1:$1,0)),AM27,INDEX('Stock UST'!27:27,1,MATCH(Stock!AN$1,'Stock UST'!$1:$1,0))))</f>
        <v>212000</v>
      </c>
      <c r="AO27" s="9">
        <f ca="1">IF(IF(ISERROR(MATCH(Stock!AO$1,'Stock UST'!$1:$1,0)),AN27,INDEX('Stock UST'!27:27,1,MATCH(Stock!AO$1,'Stock UST'!$1:$1,0)))=0,"",IF(ISERROR(MATCH(Stock!AO$1,'Stock UST'!$1:$1,0)),AN27,INDEX('Stock UST'!27:27,1,MATCH(Stock!AO$1,'Stock UST'!$1:$1,0))))</f>
        <v>212000</v>
      </c>
      <c r="AP27" s="9">
        <f ca="1">IF(IF(ISERROR(MATCH(Stock!AP$1,'Stock UST'!$1:$1,0)),AO27,INDEX('Stock UST'!27:27,1,MATCH(Stock!AP$1,'Stock UST'!$1:$1,0)))=0,"",IF(ISERROR(MATCH(Stock!AP$1,'Stock UST'!$1:$1,0)),AO27,INDEX('Stock UST'!27:27,1,MATCH(Stock!AP$1,'Stock UST'!$1:$1,0))))</f>
        <v>212000</v>
      </c>
      <c r="AQ27" s="9">
        <f ca="1">IF(IF(ISERROR(MATCH(Stock!AQ$1,'Stock UST'!$1:$1,0)),AP27,INDEX('Stock UST'!27:27,1,MATCH(Stock!AQ$1,'Stock UST'!$1:$1,0)))=0,"",IF(ISERROR(MATCH(Stock!AQ$1,'Stock UST'!$1:$1,0)),AP27,INDEX('Stock UST'!27:27,1,MATCH(Stock!AQ$1,'Stock UST'!$1:$1,0))))</f>
        <v>212000</v>
      </c>
      <c r="AR27" s="9">
        <f ca="1">IF(IF(ISERROR(MATCH(Stock!AR$1,'Stock UST'!$1:$1,0)),AQ27,INDEX('Stock UST'!27:27,1,MATCH(Stock!AR$1,'Stock UST'!$1:$1,0)))=0,"",IF(ISERROR(MATCH(Stock!AR$1,'Stock UST'!$1:$1,0)),AQ27,INDEX('Stock UST'!27:27,1,MATCH(Stock!AR$1,'Stock UST'!$1:$1,0))))</f>
        <v>212000</v>
      </c>
      <c r="AS27" s="9">
        <f ca="1">IF(IF(ISERROR(MATCH(Stock!AS$1,'Stock UST'!$1:$1,0)),AR27,INDEX('Stock UST'!27:27,1,MATCH(Stock!AS$1,'Stock UST'!$1:$1,0)))=0,"",IF(ISERROR(MATCH(Stock!AS$1,'Stock UST'!$1:$1,0)),AR27,INDEX('Stock UST'!27:27,1,MATCH(Stock!AS$1,'Stock UST'!$1:$1,0))))</f>
        <v>212000</v>
      </c>
      <c r="AT27" s="9">
        <f ca="1">IF(IF(ISERROR(MATCH(Stock!AT$1,'Stock UST'!$1:$1,0)),AS27,INDEX('Stock UST'!27:27,1,MATCH(Stock!AT$1,'Stock UST'!$1:$1,0)))=0,"",IF(ISERROR(MATCH(Stock!AT$1,'Stock UST'!$1:$1,0)),AS27,INDEX('Stock UST'!27:27,1,MATCH(Stock!AT$1,'Stock UST'!$1:$1,0))))</f>
        <v>212000</v>
      </c>
      <c r="AU27" s="9">
        <f ca="1">IF(IF(ISERROR(MATCH(Stock!AU$1,'Stock UST'!$1:$1,0)),AT27,INDEX('Stock UST'!27:27,1,MATCH(Stock!AU$1,'Stock UST'!$1:$1,0)))=0,"",IF(ISERROR(MATCH(Stock!AU$1,'Stock UST'!$1:$1,0)),AT27,INDEX('Stock UST'!27:27,1,MATCH(Stock!AU$1,'Stock UST'!$1:$1,0))))</f>
        <v>212000</v>
      </c>
      <c r="AV27" s="9">
        <f ca="1">IF(IF(ISERROR(MATCH(Stock!AV$1,'Stock UST'!$1:$1,0)),AU27,INDEX('Stock UST'!27:27,1,MATCH(Stock!AV$1,'Stock UST'!$1:$1,0)))=0,"",IF(ISERROR(MATCH(Stock!AV$1,'Stock UST'!$1:$1,0)),AU27,INDEX('Stock UST'!27:27,1,MATCH(Stock!AV$1,'Stock UST'!$1:$1,0))))</f>
        <v>212000</v>
      </c>
      <c r="AW27" s="9">
        <f ca="1">IF(IF(ISERROR(MATCH(Stock!AW$1,'Stock UST'!$1:$1,0)),AV27,INDEX('Stock UST'!27:27,1,MATCH(Stock!AW$1,'Stock UST'!$1:$1,0)))=0,"",IF(ISERROR(MATCH(Stock!AW$1,'Stock UST'!$1:$1,0)),AV27,INDEX('Stock UST'!27:27,1,MATCH(Stock!AW$1,'Stock UST'!$1:$1,0))))</f>
        <v>212000</v>
      </c>
      <c r="AX27" s="9">
        <f ca="1">IF(IF(ISERROR(MATCH(Stock!AX$1,'Stock UST'!$1:$1,0)),AW27,INDEX('Stock UST'!27:27,1,MATCH(Stock!AX$1,'Stock UST'!$1:$1,0)))=0,"",IF(ISERROR(MATCH(Stock!AX$1,'Stock UST'!$1:$1,0)),AW27,INDEX('Stock UST'!27:27,1,MATCH(Stock!AX$1,'Stock UST'!$1:$1,0))))</f>
        <v>212000</v>
      </c>
    </row>
    <row r="28" spans="1:50" x14ac:dyDescent="0.3">
      <c r="A28" s="9">
        <f>IF('Stock UST'!E28="","",'Stock UST'!E28)</f>
        <v>153000</v>
      </c>
      <c r="B28" s="9">
        <f>IF(IF(ISERROR(MATCH(Stock!B$1,'Stock UST'!$1:$1,0)),A28,INDEX('Stock UST'!28:28,1,MATCH(Stock!B$1,'Stock UST'!$1:$1,0)))=0,"",IF(ISERROR(MATCH(Stock!B$1,'Stock UST'!$1:$1,0)),A28,INDEX('Stock UST'!28:28,1,MATCH(Stock!B$1,'Stock UST'!$1:$1,0))))</f>
        <v>268000</v>
      </c>
      <c r="C28" s="9">
        <f ca="1">IF(IF(ISERROR(MATCH(Stock!C$1,'Stock UST'!$1:$1,0)),B28,INDEX('Stock UST'!28:28,1,MATCH(Stock!C$1,'Stock UST'!$1:$1,0)))=0,"",IF(ISERROR(MATCH(Stock!C$1,'Stock UST'!$1:$1,0)),B28,INDEX('Stock UST'!28:28,1,MATCH(Stock!C$1,'Stock UST'!$1:$1,0))))</f>
        <v>268000</v>
      </c>
      <c r="D28" s="9">
        <f ca="1">IF(IF(ISERROR(MATCH(Stock!D$1,'Stock UST'!$1:$1,0)),C28,INDEX('Stock UST'!28:28,1,MATCH(Stock!D$1,'Stock UST'!$1:$1,0)))=0,"",IF(ISERROR(MATCH(Stock!D$1,'Stock UST'!$1:$1,0)),C28,INDEX('Stock UST'!28:28,1,MATCH(Stock!D$1,'Stock UST'!$1:$1,0))))</f>
        <v>268000</v>
      </c>
      <c r="E28" s="9">
        <f ca="1">IF(IF(ISERROR(MATCH(Stock!E$1,'Stock UST'!$1:$1,0)),D28,INDEX('Stock UST'!28:28,1,MATCH(Stock!E$1,'Stock UST'!$1:$1,0)))=0,"",IF(ISERROR(MATCH(Stock!E$1,'Stock UST'!$1:$1,0)),D28,INDEX('Stock UST'!28:28,1,MATCH(Stock!E$1,'Stock UST'!$1:$1,0))))</f>
        <v>268000</v>
      </c>
      <c r="F28" s="9">
        <f ca="1">IF(IF(ISERROR(MATCH(Stock!F$1,'Stock UST'!$1:$1,0)),E28,INDEX('Stock UST'!28:28,1,MATCH(Stock!F$1,'Stock UST'!$1:$1,0)))=0,"",IF(ISERROR(MATCH(Stock!F$1,'Stock UST'!$1:$1,0)),E28,INDEX('Stock UST'!28:28,1,MATCH(Stock!F$1,'Stock UST'!$1:$1,0))))</f>
        <v>268000</v>
      </c>
      <c r="G28" s="9">
        <f ca="1">IF(IF(ISERROR(MATCH(Stock!G$1,'Stock UST'!$1:$1,0)),F28,INDEX('Stock UST'!28:28,1,MATCH(Stock!G$1,'Stock UST'!$1:$1,0)))=0,"",IF(ISERROR(MATCH(Stock!G$1,'Stock UST'!$1:$1,0)),F28,INDEX('Stock UST'!28:28,1,MATCH(Stock!G$1,'Stock UST'!$1:$1,0))))</f>
        <v>268000</v>
      </c>
      <c r="H28" s="9">
        <f ca="1">IF(IF(ISERROR(MATCH(Stock!H$1,'Stock UST'!$1:$1,0)),G28,INDEX('Stock UST'!28:28,1,MATCH(Stock!H$1,'Stock UST'!$1:$1,0)))=0,"",IF(ISERROR(MATCH(Stock!H$1,'Stock UST'!$1:$1,0)),G28,INDEX('Stock UST'!28:28,1,MATCH(Stock!H$1,'Stock UST'!$1:$1,0))))</f>
        <v>268000</v>
      </c>
      <c r="I28" s="9">
        <f ca="1">IF(IF(ISERROR(MATCH(Stock!I$1,'Stock UST'!$1:$1,0)),H28,INDEX('Stock UST'!28:28,1,MATCH(Stock!I$1,'Stock UST'!$1:$1,0)))=0,"",IF(ISERROR(MATCH(Stock!I$1,'Stock UST'!$1:$1,0)),H28,INDEX('Stock UST'!28:28,1,MATCH(Stock!I$1,'Stock UST'!$1:$1,0))))</f>
        <v>268000</v>
      </c>
      <c r="J28" s="9">
        <f ca="1">IF(IF(ISERROR(MATCH(Stock!J$1,'Stock UST'!$1:$1,0)),I28,INDEX('Stock UST'!28:28,1,MATCH(Stock!J$1,'Stock UST'!$1:$1,0)))=0,"",IF(ISERROR(MATCH(Stock!J$1,'Stock UST'!$1:$1,0)),I28,INDEX('Stock UST'!28:28,1,MATCH(Stock!J$1,'Stock UST'!$1:$1,0))))</f>
        <v>268000</v>
      </c>
      <c r="K28" s="9">
        <f ca="1">IF(IF(ISERROR(MATCH(Stock!K$1,'Stock UST'!$1:$1,0)),J28,INDEX('Stock UST'!28:28,1,MATCH(Stock!K$1,'Stock UST'!$1:$1,0)))=0,"",IF(ISERROR(MATCH(Stock!K$1,'Stock UST'!$1:$1,0)),J28,INDEX('Stock UST'!28:28,1,MATCH(Stock!K$1,'Stock UST'!$1:$1,0))))</f>
        <v>268000</v>
      </c>
      <c r="L28" s="9">
        <f ca="1">IF(IF(ISERROR(MATCH(Stock!L$1,'Stock UST'!$1:$1,0)),K28,INDEX('Stock UST'!28:28,1,MATCH(Stock!L$1,'Stock UST'!$1:$1,0)))=0,"",IF(ISERROR(MATCH(Stock!L$1,'Stock UST'!$1:$1,0)),K28,INDEX('Stock UST'!28:28,1,MATCH(Stock!L$1,'Stock UST'!$1:$1,0))))</f>
        <v>268000</v>
      </c>
      <c r="M28" s="9">
        <f ca="1">IF(IF(ISERROR(MATCH(Stock!M$1,'Stock UST'!$1:$1,0)),L28,INDEX('Stock UST'!28:28,1,MATCH(Stock!M$1,'Stock UST'!$1:$1,0)))=0,"",IF(ISERROR(MATCH(Stock!M$1,'Stock UST'!$1:$1,0)),L28,INDEX('Stock UST'!28:28,1,MATCH(Stock!M$1,'Stock UST'!$1:$1,0))))</f>
        <v>268000</v>
      </c>
      <c r="N28" s="9">
        <f ca="1">IF(IF(ISERROR(MATCH(Stock!N$1,'Stock UST'!$1:$1,0)),M28,INDEX('Stock UST'!28:28,1,MATCH(Stock!N$1,'Stock UST'!$1:$1,0)))=0,"",IF(ISERROR(MATCH(Stock!N$1,'Stock UST'!$1:$1,0)),M28,INDEX('Stock UST'!28:28,1,MATCH(Stock!N$1,'Stock UST'!$1:$1,0))))</f>
        <v>268000</v>
      </c>
      <c r="O28" s="9">
        <f ca="1">IF(IF(ISERROR(MATCH(Stock!O$1,'Stock UST'!$1:$1,0)),N28,INDEX('Stock UST'!28:28,1,MATCH(Stock!O$1,'Stock UST'!$1:$1,0)))=0,"",IF(ISERROR(MATCH(Stock!O$1,'Stock UST'!$1:$1,0)),N28,INDEX('Stock UST'!28:28,1,MATCH(Stock!O$1,'Stock UST'!$1:$1,0))))</f>
        <v>268000</v>
      </c>
      <c r="P28" s="9">
        <f ca="1">IF(IF(ISERROR(MATCH(Stock!P$1,'Stock UST'!$1:$1,0)),O28,INDEX('Stock UST'!28:28,1,MATCH(Stock!P$1,'Stock UST'!$1:$1,0)))=0,"",IF(ISERROR(MATCH(Stock!P$1,'Stock UST'!$1:$1,0)),O28,INDEX('Stock UST'!28:28,1,MATCH(Stock!P$1,'Stock UST'!$1:$1,0))))</f>
        <v>268000</v>
      </c>
      <c r="Q28" s="9">
        <f ca="1">IF(IF(ISERROR(MATCH(Stock!Q$1,'Stock UST'!$1:$1,0)),P28,INDEX('Stock UST'!28:28,1,MATCH(Stock!Q$1,'Stock UST'!$1:$1,0)))=0,"",IF(ISERROR(MATCH(Stock!Q$1,'Stock UST'!$1:$1,0)),P28,INDEX('Stock UST'!28:28,1,MATCH(Stock!Q$1,'Stock UST'!$1:$1,0))))</f>
        <v>268000</v>
      </c>
      <c r="R28" s="9">
        <f ca="1">IF(IF(ISERROR(MATCH(Stock!R$1,'Stock UST'!$1:$1,0)),Q28,INDEX('Stock UST'!28:28,1,MATCH(Stock!R$1,'Stock UST'!$1:$1,0)))=0,"",IF(ISERROR(MATCH(Stock!R$1,'Stock UST'!$1:$1,0)),Q28,INDEX('Stock UST'!28:28,1,MATCH(Stock!R$1,'Stock UST'!$1:$1,0))))</f>
        <v>268000</v>
      </c>
      <c r="S28" s="9">
        <f ca="1">IF(IF(ISERROR(MATCH(Stock!S$1,'Stock UST'!$1:$1,0)),R28,INDEX('Stock UST'!28:28,1,MATCH(Stock!S$1,'Stock UST'!$1:$1,0)))=0,"",IF(ISERROR(MATCH(Stock!S$1,'Stock UST'!$1:$1,0)),R28,INDEX('Stock UST'!28:28,1,MATCH(Stock!S$1,'Stock UST'!$1:$1,0))))</f>
        <v>268000</v>
      </c>
      <c r="T28" s="9">
        <f ca="1">IF(IF(ISERROR(MATCH(Stock!T$1,'Stock UST'!$1:$1,0)),S28,INDEX('Stock UST'!28:28,1,MATCH(Stock!T$1,'Stock UST'!$1:$1,0)))=0,"",IF(ISERROR(MATCH(Stock!T$1,'Stock UST'!$1:$1,0)),S28,INDEX('Stock UST'!28:28,1,MATCH(Stock!T$1,'Stock UST'!$1:$1,0))))</f>
        <v>268000</v>
      </c>
      <c r="U28" s="9">
        <f ca="1">IF(IF(ISERROR(MATCH(Stock!U$1,'Stock UST'!$1:$1,0)),T28,INDEX('Stock UST'!28:28,1,MATCH(Stock!U$1,'Stock UST'!$1:$1,0)))=0,"",IF(ISERROR(MATCH(Stock!U$1,'Stock UST'!$1:$1,0)),T28,INDEX('Stock UST'!28:28,1,MATCH(Stock!U$1,'Stock UST'!$1:$1,0))))</f>
        <v>268000</v>
      </c>
      <c r="V28" s="9">
        <f ca="1">IF(IF(ISERROR(MATCH(Stock!V$1,'Stock UST'!$1:$1,0)),U28,INDEX('Stock UST'!28:28,1,MATCH(Stock!V$1,'Stock UST'!$1:$1,0)))=0,"",IF(ISERROR(MATCH(Stock!V$1,'Stock UST'!$1:$1,0)),U28,INDEX('Stock UST'!28:28,1,MATCH(Stock!V$1,'Stock UST'!$1:$1,0))))</f>
        <v>268000</v>
      </c>
      <c r="W28" s="9">
        <f ca="1">IF(IF(ISERROR(MATCH(Stock!W$1,'Stock UST'!$1:$1,0)),V28,INDEX('Stock UST'!28:28,1,MATCH(Stock!W$1,'Stock UST'!$1:$1,0)))=0,"",IF(ISERROR(MATCH(Stock!W$1,'Stock UST'!$1:$1,0)),V28,INDEX('Stock UST'!28:28,1,MATCH(Stock!W$1,'Stock UST'!$1:$1,0))))</f>
        <v>268000</v>
      </c>
      <c r="X28" s="9">
        <f ca="1">IF(IF(ISERROR(MATCH(Stock!X$1,'Stock UST'!$1:$1,0)),W28,INDEX('Stock UST'!28:28,1,MATCH(Stock!X$1,'Stock UST'!$1:$1,0)))=0,"",IF(ISERROR(MATCH(Stock!X$1,'Stock UST'!$1:$1,0)),W28,INDEX('Stock UST'!28:28,1,MATCH(Stock!X$1,'Stock UST'!$1:$1,0))))</f>
        <v>268000</v>
      </c>
      <c r="Y28" s="9">
        <f ca="1">IF(IF(ISERROR(MATCH(Stock!Y$1,'Stock UST'!$1:$1,0)),X28,INDEX('Stock UST'!28:28,1,MATCH(Stock!Y$1,'Stock UST'!$1:$1,0)))=0,"",IF(ISERROR(MATCH(Stock!Y$1,'Stock UST'!$1:$1,0)),X28,INDEX('Stock UST'!28:28,1,MATCH(Stock!Y$1,'Stock UST'!$1:$1,0))))</f>
        <v>268000</v>
      </c>
      <c r="Z28" s="9">
        <f ca="1">IF(IF(ISERROR(MATCH(Stock!Z$1,'Stock UST'!$1:$1,0)),Y28,INDEX('Stock UST'!28:28,1,MATCH(Stock!Z$1,'Stock UST'!$1:$1,0)))=0,"",IF(ISERROR(MATCH(Stock!Z$1,'Stock UST'!$1:$1,0)),Y28,INDEX('Stock UST'!28:28,1,MATCH(Stock!Z$1,'Stock UST'!$1:$1,0))))</f>
        <v>268000</v>
      </c>
      <c r="AA28" s="9">
        <f ca="1">IF(IF(ISERROR(MATCH(Stock!AA$1,'Stock UST'!$1:$1,0)),Z28,INDEX('Stock UST'!28:28,1,MATCH(Stock!AA$1,'Stock UST'!$1:$1,0)))=0,"",IF(ISERROR(MATCH(Stock!AA$1,'Stock UST'!$1:$1,0)),Z28,INDEX('Stock UST'!28:28,1,MATCH(Stock!AA$1,'Stock UST'!$1:$1,0))))</f>
        <v>268000</v>
      </c>
      <c r="AB28" s="9">
        <f ca="1">IF(IF(ISERROR(MATCH(Stock!AB$1,'Stock UST'!$1:$1,0)),AA28,INDEX('Stock UST'!28:28,1,MATCH(Stock!AB$1,'Stock UST'!$1:$1,0)))=0,"",IF(ISERROR(MATCH(Stock!AB$1,'Stock UST'!$1:$1,0)),AA28,INDEX('Stock UST'!28:28,1,MATCH(Stock!AB$1,'Stock UST'!$1:$1,0))))</f>
        <v>268000</v>
      </c>
      <c r="AC28" s="9">
        <f ca="1">IF(IF(ISERROR(MATCH(Stock!AC$1,'Stock UST'!$1:$1,0)),AB28,INDEX('Stock UST'!28:28,1,MATCH(Stock!AC$1,'Stock UST'!$1:$1,0)))=0,"",IF(ISERROR(MATCH(Stock!AC$1,'Stock UST'!$1:$1,0)),AB28,INDEX('Stock UST'!28:28,1,MATCH(Stock!AC$1,'Stock UST'!$1:$1,0))))</f>
        <v>268000</v>
      </c>
      <c r="AD28" s="9">
        <f ca="1">IF(IF(ISERROR(MATCH(Stock!AD$1,'Stock UST'!$1:$1,0)),AC28,INDEX('Stock UST'!28:28,1,MATCH(Stock!AD$1,'Stock UST'!$1:$1,0)))=0,"",IF(ISERROR(MATCH(Stock!AD$1,'Stock UST'!$1:$1,0)),AC28,INDEX('Stock UST'!28:28,1,MATCH(Stock!AD$1,'Stock UST'!$1:$1,0))))</f>
        <v>268000</v>
      </c>
      <c r="AE28" s="9">
        <f ca="1">IF(IF(ISERROR(MATCH(Stock!AE$1,'Stock UST'!$1:$1,0)),AD28,INDEX('Stock UST'!28:28,1,MATCH(Stock!AE$1,'Stock UST'!$1:$1,0)))=0,"",IF(ISERROR(MATCH(Stock!AE$1,'Stock UST'!$1:$1,0)),AD28,INDEX('Stock UST'!28:28,1,MATCH(Stock!AE$1,'Stock UST'!$1:$1,0))))</f>
        <v>268000</v>
      </c>
      <c r="AF28" s="9">
        <f ca="1">IF(IF(ISERROR(MATCH(Stock!AF$1,'Stock UST'!$1:$1,0)),AE28,INDEX('Stock UST'!28:28,1,MATCH(Stock!AF$1,'Stock UST'!$1:$1,0)))=0,"",IF(ISERROR(MATCH(Stock!AF$1,'Stock UST'!$1:$1,0)),AE28,INDEX('Stock UST'!28:28,1,MATCH(Stock!AF$1,'Stock UST'!$1:$1,0))))</f>
        <v>268000</v>
      </c>
      <c r="AG28" s="9">
        <f ca="1">IF(IF(ISERROR(MATCH(Stock!AG$1,'Stock UST'!$1:$1,0)),AF28,INDEX('Stock UST'!28:28,1,MATCH(Stock!AG$1,'Stock UST'!$1:$1,0)))=0,"",IF(ISERROR(MATCH(Stock!AG$1,'Stock UST'!$1:$1,0)),AF28,INDEX('Stock UST'!28:28,1,MATCH(Stock!AG$1,'Stock UST'!$1:$1,0))))</f>
        <v>268000</v>
      </c>
      <c r="AH28" s="9">
        <f ca="1">IF(IF(ISERROR(MATCH(Stock!AH$1,'Stock UST'!$1:$1,0)),AG28,INDEX('Stock UST'!28:28,1,MATCH(Stock!AH$1,'Stock UST'!$1:$1,0)))=0,"",IF(ISERROR(MATCH(Stock!AH$1,'Stock UST'!$1:$1,0)),AG28,INDEX('Stock UST'!28:28,1,MATCH(Stock!AH$1,'Stock UST'!$1:$1,0))))</f>
        <v>268000</v>
      </c>
      <c r="AI28" s="9">
        <f ca="1">IF(IF(ISERROR(MATCH(Stock!AI$1,'Stock UST'!$1:$1,0)),AH28,INDEX('Stock UST'!28:28,1,MATCH(Stock!AI$1,'Stock UST'!$1:$1,0)))=0,"",IF(ISERROR(MATCH(Stock!AI$1,'Stock UST'!$1:$1,0)),AH28,INDEX('Stock UST'!28:28,1,MATCH(Stock!AI$1,'Stock UST'!$1:$1,0))))</f>
        <v>268000</v>
      </c>
      <c r="AJ28" s="9">
        <f ca="1">IF(IF(ISERROR(MATCH(Stock!AJ$1,'Stock UST'!$1:$1,0)),AI28,INDEX('Stock UST'!28:28,1,MATCH(Stock!AJ$1,'Stock UST'!$1:$1,0)))=0,"",IF(ISERROR(MATCH(Stock!AJ$1,'Stock UST'!$1:$1,0)),AI28,INDEX('Stock UST'!28:28,1,MATCH(Stock!AJ$1,'Stock UST'!$1:$1,0))))</f>
        <v>268000</v>
      </c>
      <c r="AK28" s="9">
        <f ca="1">IF(IF(ISERROR(MATCH(Stock!AK$1,'Stock UST'!$1:$1,0)),AJ28,INDEX('Stock UST'!28:28,1,MATCH(Stock!AK$1,'Stock UST'!$1:$1,0)))=0,"",IF(ISERROR(MATCH(Stock!AK$1,'Stock UST'!$1:$1,0)),AJ28,INDEX('Stock UST'!28:28,1,MATCH(Stock!AK$1,'Stock UST'!$1:$1,0))))</f>
        <v>268000</v>
      </c>
      <c r="AL28" s="9">
        <f ca="1">IF(IF(ISERROR(MATCH(Stock!AL$1,'Stock UST'!$1:$1,0)),AK28,INDEX('Stock UST'!28:28,1,MATCH(Stock!AL$1,'Stock UST'!$1:$1,0)))=0,"",IF(ISERROR(MATCH(Stock!AL$1,'Stock UST'!$1:$1,0)),AK28,INDEX('Stock UST'!28:28,1,MATCH(Stock!AL$1,'Stock UST'!$1:$1,0))))</f>
        <v>268000</v>
      </c>
      <c r="AM28" s="9">
        <f ca="1">IF(IF(ISERROR(MATCH(Stock!AM$1,'Stock UST'!$1:$1,0)),AL28,INDEX('Stock UST'!28:28,1,MATCH(Stock!AM$1,'Stock UST'!$1:$1,0)))=0,"",IF(ISERROR(MATCH(Stock!AM$1,'Stock UST'!$1:$1,0)),AL28,INDEX('Stock UST'!28:28,1,MATCH(Stock!AM$1,'Stock UST'!$1:$1,0))))</f>
        <v>268000</v>
      </c>
      <c r="AN28" s="9">
        <f ca="1">IF(IF(ISERROR(MATCH(Stock!AN$1,'Stock UST'!$1:$1,0)),AM28,INDEX('Stock UST'!28:28,1,MATCH(Stock!AN$1,'Stock UST'!$1:$1,0)))=0,"",IF(ISERROR(MATCH(Stock!AN$1,'Stock UST'!$1:$1,0)),AM28,INDEX('Stock UST'!28:28,1,MATCH(Stock!AN$1,'Stock UST'!$1:$1,0))))</f>
        <v>268000</v>
      </c>
      <c r="AO28" s="9">
        <f ca="1">IF(IF(ISERROR(MATCH(Stock!AO$1,'Stock UST'!$1:$1,0)),AN28,INDEX('Stock UST'!28:28,1,MATCH(Stock!AO$1,'Stock UST'!$1:$1,0)))=0,"",IF(ISERROR(MATCH(Stock!AO$1,'Stock UST'!$1:$1,0)),AN28,INDEX('Stock UST'!28:28,1,MATCH(Stock!AO$1,'Stock UST'!$1:$1,0))))</f>
        <v>268000</v>
      </c>
      <c r="AP28" s="9">
        <f ca="1">IF(IF(ISERROR(MATCH(Stock!AP$1,'Stock UST'!$1:$1,0)),AO28,INDEX('Stock UST'!28:28,1,MATCH(Stock!AP$1,'Stock UST'!$1:$1,0)))=0,"",IF(ISERROR(MATCH(Stock!AP$1,'Stock UST'!$1:$1,0)),AO28,INDEX('Stock UST'!28:28,1,MATCH(Stock!AP$1,'Stock UST'!$1:$1,0))))</f>
        <v>268000</v>
      </c>
      <c r="AQ28" s="9">
        <f ca="1">IF(IF(ISERROR(MATCH(Stock!AQ$1,'Stock UST'!$1:$1,0)),AP28,INDEX('Stock UST'!28:28,1,MATCH(Stock!AQ$1,'Stock UST'!$1:$1,0)))=0,"",IF(ISERROR(MATCH(Stock!AQ$1,'Stock UST'!$1:$1,0)),AP28,INDEX('Stock UST'!28:28,1,MATCH(Stock!AQ$1,'Stock UST'!$1:$1,0))))</f>
        <v>268000</v>
      </c>
      <c r="AR28" s="9">
        <f ca="1">IF(IF(ISERROR(MATCH(Stock!AR$1,'Stock UST'!$1:$1,0)),AQ28,INDEX('Stock UST'!28:28,1,MATCH(Stock!AR$1,'Stock UST'!$1:$1,0)))=0,"",IF(ISERROR(MATCH(Stock!AR$1,'Stock UST'!$1:$1,0)),AQ28,INDEX('Stock UST'!28:28,1,MATCH(Stock!AR$1,'Stock UST'!$1:$1,0))))</f>
        <v>268000</v>
      </c>
      <c r="AS28" s="9">
        <f ca="1">IF(IF(ISERROR(MATCH(Stock!AS$1,'Stock UST'!$1:$1,0)),AR28,INDEX('Stock UST'!28:28,1,MATCH(Stock!AS$1,'Stock UST'!$1:$1,0)))=0,"",IF(ISERROR(MATCH(Stock!AS$1,'Stock UST'!$1:$1,0)),AR28,INDEX('Stock UST'!28:28,1,MATCH(Stock!AS$1,'Stock UST'!$1:$1,0))))</f>
        <v>268000</v>
      </c>
      <c r="AT28" s="9">
        <f ca="1">IF(IF(ISERROR(MATCH(Stock!AT$1,'Stock UST'!$1:$1,0)),AS28,INDEX('Stock UST'!28:28,1,MATCH(Stock!AT$1,'Stock UST'!$1:$1,0)))=0,"",IF(ISERROR(MATCH(Stock!AT$1,'Stock UST'!$1:$1,0)),AS28,INDEX('Stock UST'!28:28,1,MATCH(Stock!AT$1,'Stock UST'!$1:$1,0))))</f>
        <v>268000</v>
      </c>
      <c r="AU28" s="9">
        <f ca="1">IF(IF(ISERROR(MATCH(Stock!AU$1,'Stock UST'!$1:$1,0)),AT28,INDEX('Stock UST'!28:28,1,MATCH(Stock!AU$1,'Stock UST'!$1:$1,0)))=0,"",IF(ISERROR(MATCH(Stock!AU$1,'Stock UST'!$1:$1,0)),AT28,INDEX('Stock UST'!28:28,1,MATCH(Stock!AU$1,'Stock UST'!$1:$1,0))))</f>
        <v>268000</v>
      </c>
      <c r="AV28" s="9">
        <f ca="1">IF(IF(ISERROR(MATCH(Stock!AV$1,'Stock UST'!$1:$1,0)),AU28,INDEX('Stock UST'!28:28,1,MATCH(Stock!AV$1,'Stock UST'!$1:$1,0)))=0,"",IF(ISERROR(MATCH(Stock!AV$1,'Stock UST'!$1:$1,0)),AU28,INDEX('Stock UST'!28:28,1,MATCH(Stock!AV$1,'Stock UST'!$1:$1,0))))</f>
        <v>268000</v>
      </c>
      <c r="AW28" s="9">
        <f ca="1">IF(IF(ISERROR(MATCH(Stock!AW$1,'Stock UST'!$1:$1,0)),AV28,INDEX('Stock UST'!28:28,1,MATCH(Stock!AW$1,'Stock UST'!$1:$1,0)))=0,"",IF(ISERROR(MATCH(Stock!AW$1,'Stock UST'!$1:$1,0)),AV28,INDEX('Stock UST'!28:28,1,MATCH(Stock!AW$1,'Stock UST'!$1:$1,0))))</f>
        <v>268000</v>
      </c>
      <c r="AX28" s="9">
        <f ca="1">IF(IF(ISERROR(MATCH(Stock!AX$1,'Stock UST'!$1:$1,0)),AW28,INDEX('Stock UST'!28:28,1,MATCH(Stock!AX$1,'Stock UST'!$1:$1,0)))=0,"",IF(ISERROR(MATCH(Stock!AX$1,'Stock UST'!$1:$1,0)),AW28,INDEX('Stock UST'!28:28,1,MATCH(Stock!AX$1,'Stock UST'!$1:$1,0))))</f>
        <v>268000</v>
      </c>
    </row>
    <row r="29" spans="1:50" x14ac:dyDescent="0.3">
      <c r="A29" s="9" t="str">
        <f>IF('Stock UST'!E29="","",'Stock UST'!E29)</f>
        <v/>
      </c>
      <c r="B29" s="9" t="str">
        <f>IF(IF(ISERROR(MATCH(Stock!B$1,'Stock UST'!$1:$1,0)),A29,INDEX('Stock UST'!29:29,1,MATCH(Stock!B$1,'Stock UST'!$1:$1,0)))=0,"",IF(ISERROR(MATCH(Stock!B$1,'Stock UST'!$1:$1,0)),A29,INDEX('Stock UST'!29:29,1,MATCH(Stock!B$1,'Stock UST'!$1:$1,0))))</f>
        <v/>
      </c>
      <c r="C29" s="9" t="str">
        <f ca="1">IF(IF(ISERROR(MATCH(Stock!C$1,'Stock UST'!$1:$1,0)),B29,INDEX('Stock UST'!29:29,1,MATCH(Stock!C$1,'Stock UST'!$1:$1,0)))=0,"",IF(ISERROR(MATCH(Stock!C$1,'Stock UST'!$1:$1,0)),B29,INDEX('Stock UST'!29:29,1,MATCH(Stock!C$1,'Stock UST'!$1:$1,0))))</f>
        <v/>
      </c>
      <c r="D29" s="9" t="str">
        <f ca="1">IF(IF(ISERROR(MATCH(Stock!D$1,'Stock UST'!$1:$1,0)),C29,INDEX('Stock UST'!29:29,1,MATCH(Stock!D$1,'Stock UST'!$1:$1,0)))=0,"",IF(ISERROR(MATCH(Stock!D$1,'Stock UST'!$1:$1,0)),C29,INDEX('Stock UST'!29:29,1,MATCH(Stock!D$1,'Stock UST'!$1:$1,0))))</f>
        <v/>
      </c>
      <c r="E29" s="9" t="str">
        <f ca="1">IF(IF(ISERROR(MATCH(Stock!E$1,'Stock UST'!$1:$1,0)),D29,INDEX('Stock UST'!29:29,1,MATCH(Stock!E$1,'Stock UST'!$1:$1,0)))=0,"",IF(ISERROR(MATCH(Stock!E$1,'Stock UST'!$1:$1,0)),D29,INDEX('Stock UST'!29:29,1,MATCH(Stock!E$1,'Stock UST'!$1:$1,0))))</f>
        <v/>
      </c>
      <c r="F29" s="9" t="str">
        <f ca="1">IF(IF(ISERROR(MATCH(Stock!F$1,'Stock UST'!$1:$1,0)),E29,INDEX('Stock UST'!29:29,1,MATCH(Stock!F$1,'Stock UST'!$1:$1,0)))=0,"",IF(ISERROR(MATCH(Stock!F$1,'Stock UST'!$1:$1,0)),E29,INDEX('Stock UST'!29:29,1,MATCH(Stock!F$1,'Stock UST'!$1:$1,0))))</f>
        <v/>
      </c>
      <c r="G29" s="9" t="str">
        <f ca="1">IF(IF(ISERROR(MATCH(Stock!G$1,'Stock UST'!$1:$1,0)),F29,INDEX('Stock UST'!29:29,1,MATCH(Stock!G$1,'Stock UST'!$1:$1,0)))=0,"",IF(ISERROR(MATCH(Stock!G$1,'Stock UST'!$1:$1,0)),F29,INDEX('Stock UST'!29:29,1,MATCH(Stock!G$1,'Stock UST'!$1:$1,0))))</f>
        <v/>
      </c>
      <c r="H29" s="9" t="str">
        <f ca="1">IF(IF(ISERROR(MATCH(Stock!H$1,'Stock UST'!$1:$1,0)),G29,INDEX('Stock UST'!29:29,1,MATCH(Stock!H$1,'Stock UST'!$1:$1,0)))=0,"",IF(ISERROR(MATCH(Stock!H$1,'Stock UST'!$1:$1,0)),G29,INDEX('Stock UST'!29:29,1,MATCH(Stock!H$1,'Stock UST'!$1:$1,0))))</f>
        <v/>
      </c>
      <c r="I29" s="9" t="str">
        <f ca="1">IF(IF(ISERROR(MATCH(Stock!I$1,'Stock UST'!$1:$1,0)),H29,INDEX('Stock UST'!29:29,1,MATCH(Stock!I$1,'Stock UST'!$1:$1,0)))=0,"",IF(ISERROR(MATCH(Stock!I$1,'Stock UST'!$1:$1,0)),H29,INDEX('Stock UST'!29:29,1,MATCH(Stock!I$1,'Stock UST'!$1:$1,0))))</f>
        <v/>
      </c>
      <c r="J29" s="9" t="str">
        <f ca="1">IF(IF(ISERROR(MATCH(Stock!J$1,'Stock UST'!$1:$1,0)),I29,INDEX('Stock UST'!29:29,1,MATCH(Stock!J$1,'Stock UST'!$1:$1,0)))=0,"",IF(ISERROR(MATCH(Stock!J$1,'Stock UST'!$1:$1,0)),I29,INDEX('Stock UST'!29:29,1,MATCH(Stock!J$1,'Stock UST'!$1:$1,0))))</f>
        <v/>
      </c>
      <c r="K29" s="9" t="str">
        <f ca="1">IF(IF(ISERROR(MATCH(Stock!K$1,'Stock UST'!$1:$1,0)),J29,INDEX('Stock UST'!29:29,1,MATCH(Stock!K$1,'Stock UST'!$1:$1,0)))=0,"",IF(ISERROR(MATCH(Stock!K$1,'Stock UST'!$1:$1,0)),J29,INDEX('Stock UST'!29:29,1,MATCH(Stock!K$1,'Stock UST'!$1:$1,0))))</f>
        <v/>
      </c>
      <c r="L29" s="9" t="str">
        <f ca="1">IF(IF(ISERROR(MATCH(Stock!L$1,'Stock UST'!$1:$1,0)),K29,INDEX('Stock UST'!29:29,1,MATCH(Stock!L$1,'Stock UST'!$1:$1,0)))=0,"",IF(ISERROR(MATCH(Stock!L$1,'Stock UST'!$1:$1,0)),K29,INDEX('Stock UST'!29:29,1,MATCH(Stock!L$1,'Stock UST'!$1:$1,0))))</f>
        <v/>
      </c>
      <c r="M29" s="9" t="str">
        <f ca="1">IF(IF(ISERROR(MATCH(Stock!M$1,'Stock UST'!$1:$1,0)),L29,INDEX('Stock UST'!29:29,1,MATCH(Stock!M$1,'Stock UST'!$1:$1,0)))=0,"",IF(ISERROR(MATCH(Stock!M$1,'Stock UST'!$1:$1,0)),L29,INDEX('Stock UST'!29:29,1,MATCH(Stock!M$1,'Stock UST'!$1:$1,0))))</f>
        <v/>
      </c>
      <c r="N29" s="9" t="str">
        <f ca="1">IF(IF(ISERROR(MATCH(Stock!N$1,'Stock UST'!$1:$1,0)),M29,INDEX('Stock UST'!29:29,1,MATCH(Stock!N$1,'Stock UST'!$1:$1,0)))=0,"",IF(ISERROR(MATCH(Stock!N$1,'Stock UST'!$1:$1,0)),M29,INDEX('Stock UST'!29:29,1,MATCH(Stock!N$1,'Stock UST'!$1:$1,0))))</f>
        <v/>
      </c>
      <c r="O29" s="9" t="str">
        <f ca="1">IF(IF(ISERROR(MATCH(Stock!O$1,'Stock UST'!$1:$1,0)),N29,INDEX('Stock UST'!29:29,1,MATCH(Stock!O$1,'Stock UST'!$1:$1,0)))=0,"",IF(ISERROR(MATCH(Stock!O$1,'Stock UST'!$1:$1,0)),N29,INDEX('Stock UST'!29:29,1,MATCH(Stock!O$1,'Stock UST'!$1:$1,0))))</f>
        <v/>
      </c>
      <c r="P29" s="9" t="str">
        <f ca="1">IF(IF(ISERROR(MATCH(Stock!P$1,'Stock UST'!$1:$1,0)),O29,INDEX('Stock UST'!29:29,1,MATCH(Stock!P$1,'Stock UST'!$1:$1,0)))=0,"",IF(ISERROR(MATCH(Stock!P$1,'Stock UST'!$1:$1,0)),O29,INDEX('Stock UST'!29:29,1,MATCH(Stock!P$1,'Stock UST'!$1:$1,0))))</f>
        <v/>
      </c>
      <c r="Q29" s="9" t="str">
        <f ca="1">IF(IF(ISERROR(MATCH(Stock!Q$1,'Stock UST'!$1:$1,0)),P29,INDEX('Stock UST'!29:29,1,MATCH(Stock!Q$1,'Stock UST'!$1:$1,0)))=0,"",IF(ISERROR(MATCH(Stock!Q$1,'Stock UST'!$1:$1,0)),P29,INDEX('Stock UST'!29:29,1,MATCH(Stock!Q$1,'Stock UST'!$1:$1,0))))</f>
        <v/>
      </c>
      <c r="R29" s="9" t="str">
        <f ca="1">IF(IF(ISERROR(MATCH(Stock!R$1,'Stock UST'!$1:$1,0)),Q29,INDEX('Stock UST'!29:29,1,MATCH(Stock!R$1,'Stock UST'!$1:$1,0)))=0,"",IF(ISERROR(MATCH(Stock!R$1,'Stock UST'!$1:$1,0)),Q29,INDEX('Stock UST'!29:29,1,MATCH(Stock!R$1,'Stock UST'!$1:$1,0))))</f>
        <v/>
      </c>
      <c r="S29" s="9" t="str">
        <f ca="1">IF(IF(ISERROR(MATCH(Stock!S$1,'Stock UST'!$1:$1,0)),R29,INDEX('Stock UST'!29:29,1,MATCH(Stock!S$1,'Stock UST'!$1:$1,0)))=0,"",IF(ISERROR(MATCH(Stock!S$1,'Stock UST'!$1:$1,0)),R29,INDEX('Stock UST'!29:29,1,MATCH(Stock!S$1,'Stock UST'!$1:$1,0))))</f>
        <v/>
      </c>
      <c r="T29" s="9" t="str">
        <f ca="1">IF(IF(ISERROR(MATCH(Stock!T$1,'Stock UST'!$1:$1,0)),S29,INDEX('Stock UST'!29:29,1,MATCH(Stock!T$1,'Stock UST'!$1:$1,0)))=0,"",IF(ISERROR(MATCH(Stock!T$1,'Stock UST'!$1:$1,0)),S29,INDEX('Stock UST'!29:29,1,MATCH(Stock!T$1,'Stock UST'!$1:$1,0))))</f>
        <v/>
      </c>
      <c r="U29" s="9" t="str">
        <f ca="1">IF(IF(ISERROR(MATCH(Stock!U$1,'Stock UST'!$1:$1,0)),T29,INDEX('Stock UST'!29:29,1,MATCH(Stock!U$1,'Stock UST'!$1:$1,0)))=0,"",IF(ISERROR(MATCH(Stock!U$1,'Stock UST'!$1:$1,0)),T29,INDEX('Stock UST'!29:29,1,MATCH(Stock!U$1,'Stock UST'!$1:$1,0))))</f>
        <v/>
      </c>
      <c r="V29" s="9" t="str">
        <f ca="1">IF(IF(ISERROR(MATCH(Stock!V$1,'Stock UST'!$1:$1,0)),U29,INDEX('Stock UST'!29:29,1,MATCH(Stock!V$1,'Stock UST'!$1:$1,0)))=0,"",IF(ISERROR(MATCH(Stock!V$1,'Stock UST'!$1:$1,0)),U29,INDEX('Stock UST'!29:29,1,MATCH(Stock!V$1,'Stock UST'!$1:$1,0))))</f>
        <v/>
      </c>
      <c r="W29" s="9" t="str">
        <f ca="1">IF(IF(ISERROR(MATCH(Stock!W$1,'Stock UST'!$1:$1,0)),V29,INDEX('Stock UST'!29:29,1,MATCH(Stock!W$1,'Stock UST'!$1:$1,0)))=0,"",IF(ISERROR(MATCH(Stock!W$1,'Stock UST'!$1:$1,0)),V29,INDEX('Stock UST'!29:29,1,MATCH(Stock!W$1,'Stock UST'!$1:$1,0))))</f>
        <v/>
      </c>
      <c r="X29" s="9" t="str">
        <f ca="1">IF(IF(ISERROR(MATCH(Stock!X$1,'Stock UST'!$1:$1,0)),W29,INDEX('Stock UST'!29:29,1,MATCH(Stock!X$1,'Stock UST'!$1:$1,0)))=0,"",IF(ISERROR(MATCH(Stock!X$1,'Stock UST'!$1:$1,0)),W29,INDEX('Stock UST'!29:29,1,MATCH(Stock!X$1,'Stock UST'!$1:$1,0))))</f>
        <v/>
      </c>
      <c r="Y29" s="9" t="str">
        <f ca="1">IF(IF(ISERROR(MATCH(Stock!Y$1,'Stock UST'!$1:$1,0)),X29,INDEX('Stock UST'!29:29,1,MATCH(Stock!Y$1,'Stock UST'!$1:$1,0)))=0,"",IF(ISERROR(MATCH(Stock!Y$1,'Stock UST'!$1:$1,0)),X29,INDEX('Stock UST'!29:29,1,MATCH(Stock!Y$1,'Stock UST'!$1:$1,0))))</f>
        <v/>
      </c>
      <c r="Z29" s="9" t="str">
        <f ca="1">IF(IF(ISERROR(MATCH(Stock!Z$1,'Stock UST'!$1:$1,0)),Y29,INDEX('Stock UST'!29:29,1,MATCH(Stock!Z$1,'Stock UST'!$1:$1,0)))=0,"",IF(ISERROR(MATCH(Stock!Z$1,'Stock UST'!$1:$1,0)),Y29,INDEX('Stock UST'!29:29,1,MATCH(Stock!Z$1,'Stock UST'!$1:$1,0))))</f>
        <v/>
      </c>
      <c r="AA29" s="9" t="str">
        <f ca="1">IF(IF(ISERROR(MATCH(Stock!AA$1,'Stock UST'!$1:$1,0)),Z29,INDEX('Stock UST'!29:29,1,MATCH(Stock!AA$1,'Stock UST'!$1:$1,0)))=0,"",IF(ISERROR(MATCH(Stock!AA$1,'Stock UST'!$1:$1,0)),Z29,INDEX('Stock UST'!29:29,1,MATCH(Stock!AA$1,'Stock UST'!$1:$1,0))))</f>
        <v/>
      </c>
      <c r="AB29" s="9" t="str">
        <f ca="1">IF(IF(ISERROR(MATCH(Stock!AB$1,'Stock UST'!$1:$1,0)),AA29,INDEX('Stock UST'!29:29,1,MATCH(Stock!AB$1,'Stock UST'!$1:$1,0)))=0,"",IF(ISERROR(MATCH(Stock!AB$1,'Stock UST'!$1:$1,0)),AA29,INDEX('Stock UST'!29:29,1,MATCH(Stock!AB$1,'Stock UST'!$1:$1,0))))</f>
        <v/>
      </c>
      <c r="AC29" s="9" t="str">
        <f ca="1">IF(IF(ISERROR(MATCH(Stock!AC$1,'Stock UST'!$1:$1,0)),AB29,INDEX('Stock UST'!29:29,1,MATCH(Stock!AC$1,'Stock UST'!$1:$1,0)))=0,"",IF(ISERROR(MATCH(Stock!AC$1,'Stock UST'!$1:$1,0)),AB29,INDEX('Stock UST'!29:29,1,MATCH(Stock!AC$1,'Stock UST'!$1:$1,0))))</f>
        <v/>
      </c>
      <c r="AD29" s="9" t="str">
        <f ca="1">IF(IF(ISERROR(MATCH(Stock!AD$1,'Stock UST'!$1:$1,0)),AC29,INDEX('Stock UST'!29:29,1,MATCH(Stock!AD$1,'Stock UST'!$1:$1,0)))=0,"",IF(ISERROR(MATCH(Stock!AD$1,'Stock UST'!$1:$1,0)),AC29,INDEX('Stock UST'!29:29,1,MATCH(Stock!AD$1,'Stock UST'!$1:$1,0))))</f>
        <v/>
      </c>
      <c r="AE29" s="9" t="str">
        <f ca="1">IF(IF(ISERROR(MATCH(Stock!AE$1,'Stock UST'!$1:$1,0)),AD29,INDEX('Stock UST'!29:29,1,MATCH(Stock!AE$1,'Stock UST'!$1:$1,0)))=0,"",IF(ISERROR(MATCH(Stock!AE$1,'Stock UST'!$1:$1,0)),AD29,INDEX('Stock UST'!29:29,1,MATCH(Stock!AE$1,'Stock UST'!$1:$1,0))))</f>
        <v/>
      </c>
      <c r="AF29" s="9" t="str">
        <f ca="1">IF(IF(ISERROR(MATCH(Stock!AF$1,'Stock UST'!$1:$1,0)),AE29,INDEX('Stock UST'!29:29,1,MATCH(Stock!AF$1,'Stock UST'!$1:$1,0)))=0,"",IF(ISERROR(MATCH(Stock!AF$1,'Stock UST'!$1:$1,0)),AE29,INDEX('Stock UST'!29:29,1,MATCH(Stock!AF$1,'Stock UST'!$1:$1,0))))</f>
        <v/>
      </c>
      <c r="AG29" s="9" t="str">
        <f ca="1">IF(IF(ISERROR(MATCH(Stock!AG$1,'Stock UST'!$1:$1,0)),AF29,INDEX('Stock UST'!29:29,1,MATCH(Stock!AG$1,'Stock UST'!$1:$1,0)))=0,"",IF(ISERROR(MATCH(Stock!AG$1,'Stock UST'!$1:$1,0)),AF29,INDEX('Stock UST'!29:29,1,MATCH(Stock!AG$1,'Stock UST'!$1:$1,0))))</f>
        <v/>
      </c>
      <c r="AH29" s="9" t="str">
        <f ca="1">IF(IF(ISERROR(MATCH(Stock!AH$1,'Stock UST'!$1:$1,0)),AG29,INDEX('Stock UST'!29:29,1,MATCH(Stock!AH$1,'Stock UST'!$1:$1,0)))=0,"",IF(ISERROR(MATCH(Stock!AH$1,'Stock UST'!$1:$1,0)),AG29,INDEX('Stock UST'!29:29,1,MATCH(Stock!AH$1,'Stock UST'!$1:$1,0))))</f>
        <v/>
      </c>
      <c r="AI29" s="9" t="str">
        <f ca="1">IF(IF(ISERROR(MATCH(Stock!AI$1,'Stock UST'!$1:$1,0)),AH29,INDEX('Stock UST'!29:29,1,MATCH(Stock!AI$1,'Stock UST'!$1:$1,0)))=0,"",IF(ISERROR(MATCH(Stock!AI$1,'Stock UST'!$1:$1,0)),AH29,INDEX('Stock UST'!29:29,1,MATCH(Stock!AI$1,'Stock UST'!$1:$1,0))))</f>
        <v/>
      </c>
      <c r="AJ29" s="9" t="str">
        <f ca="1">IF(IF(ISERROR(MATCH(Stock!AJ$1,'Stock UST'!$1:$1,0)),AI29,INDEX('Stock UST'!29:29,1,MATCH(Stock!AJ$1,'Stock UST'!$1:$1,0)))=0,"",IF(ISERROR(MATCH(Stock!AJ$1,'Stock UST'!$1:$1,0)),AI29,INDEX('Stock UST'!29:29,1,MATCH(Stock!AJ$1,'Stock UST'!$1:$1,0))))</f>
        <v/>
      </c>
      <c r="AK29" s="9" t="str">
        <f ca="1">IF(IF(ISERROR(MATCH(Stock!AK$1,'Stock UST'!$1:$1,0)),AJ29,INDEX('Stock UST'!29:29,1,MATCH(Stock!AK$1,'Stock UST'!$1:$1,0)))=0,"",IF(ISERROR(MATCH(Stock!AK$1,'Stock UST'!$1:$1,0)),AJ29,INDEX('Stock UST'!29:29,1,MATCH(Stock!AK$1,'Stock UST'!$1:$1,0))))</f>
        <v/>
      </c>
      <c r="AL29" s="9" t="str">
        <f ca="1">IF(IF(ISERROR(MATCH(Stock!AL$1,'Stock UST'!$1:$1,0)),AK29,INDEX('Stock UST'!29:29,1,MATCH(Stock!AL$1,'Stock UST'!$1:$1,0)))=0,"",IF(ISERROR(MATCH(Stock!AL$1,'Stock UST'!$1:$1,0)),AK29,INDEX('Stock UST'!29:29,1,MATCH(Stock!AL$1,'Stock UST'!$1:$1,0))))</f>
        <v/>
      </c>
      <c r="AM29" s="9" t="str">
        <f ca="1">IF(IF(ISERROR(MATCH(Stock!AM$1,'Stock UST'!$1:$1,0)),AL29,INDEX('Stock UST'!29:29,1,MATCH(Stock!AM$1,'Stock UST'!$1:$1,0)))=0,"",IF(ISERROR(MATCH(Stock!AM$1,'Stock UST'!$1:$1,0)),AL29,INDEX('Stock UST'!29:29,1,MATCH(Stock!AM$1,'Stock UST'!$1:$1,0))))</f>
        <v/>
      </c>
      <c r="AN29" s="9" t="str">
        <f ca="1">IF(IF(ISERROR(MATCH(Stock!AN$1,'Stock UST'!$1:$1,0)),AM29,INDEX('Stock UST'!29:29,1,MATCH(Stock!AN$1,'Stock UST'!$1:$1,0)))=0,"",IF(ISERROR(MATCH(Stock!AN$1,'Stock UST'!$1:$1,0)),AM29,INDEX('Stock UST'!29:29,1,MATCH(Stock!AN$1,'Stock UST'!$1:$1,0))))</f>
        <v/>
      </c>
      <c r="AO29" s="9" t="str">
        <f ca="1">IF(IF(ISERROR(MATCH(Stock!AO$1,'Stock UST'!$1:$1,0)),AN29,INDEX('Stock UST'!29:29,1,MATCH(Stock!AO$1,'Stock UST'!$1:$1,0)))=0,"",IF(ISERROR(MATCH(Stock!AO$1,'Stock UST'!$1:$1,0)),AN29,INDEX('Stock UST'!29:29,1,MATCH(Stock!AO$1,'Stock UST'!$1:$1,0))))</f>
        <v/>
      </c>
      <c r="AP29" s="9" t="str">
        <f ca="1">IF(IF(ISERROR(MATCH(Stock!AP$1,'Stock UST'!$1:$1,0)),AO29,INDEX('Stock UST'!29:29,1,MATCH(Stock!AP$1,'Stock UST'!$1:$1,0)))=0,"",IF(ISERROR(MATCH(Stock!AP$1,'Stock UST'!$1:$1,0)),AO29,INDEX('Stock UST'!29:29,1,MATCH(Stock!AP$1,'Stock UST'!$1:$1,0))))</f>
        <v/>
      </c>
      <c r="AQ29" s="9" t="str">
        <f ca="1">IF(IF(ISERROR(MATCH(Stock!AQ$1,'Stock UST'!$1:$1,0)),AP29,INDEX('Stock UST'!29:29,1,MATCH(Stock!AQ$1,'Stock UST'!$1:$1,0)))=0,"",IF(ISERROR(MATCH(Stock!AQ$1,'Stock UST'!$1:$1,0)),AP29,INDEX('Stock UST'!29:29,1,MATCH(Stock!AQ$1,'Stock UST'!$1:$1,0))))</f>
        <v/>
      </c>
      <c r="AR29" s="9" t="str">
        <f ca="1">IF(IF(ISERROR(MATCH(Stock!AR$1,'Stock UST'!$1:$1,0)),AQ29,INDEX('Stock UST'!29:29,1,MATCH(Stock!AR$1,'Stock UST'!$1:$1,0)))=0,"",IF(ISERROR(MATCH(Stock!AR$1,'Stock UST'!$1:$1,0)),AQ29,INDEX('Stock UST'!29:29,1,MATCH(Stock!AR$1,'Stock UST'!$1:$1,0))))</f>
        <v/>
      </c>
      <c r="AS29" s="9" t="str">
        <f ca="1">IF(IF(ISERROR(MATCH(Stock!AS$1,'Stock UST'!$1:$1,0)),AR29,INDEX('Stock UST'!29:29,1,MATCH(Stock!AS$1,'Stock UST'!$1:$1,0)))=0,"",IF(ISERROR(MATCH(Stock!AS$1,'Stock UST'!$1:$1,0)),AR29,INDEX('Stock UST'!29:29,1,MATCH(Stock!AS$1,'Stock UST'!$1:$1,0))))</f>
        <v/>
      </c>
      <c r="AT29" s="9" t="str">
        <f ca="1">IF(IF(ISERROR(MATCH(Stock!AT$1,'Stock UST'!$1:$1,0)),AS29,INDEX('Stock UST'!29:29,1,MATCH(Stock!AT$1,'Stock UST'!$1:$1,0)))=0,"",IF(ISERROR(MATCH(Stock!AT$1,'Stock UST'!$1:$1,0)),AS29,INDEX('Stock UST'!29:29,1,MATCH(Stock!AT$1,'Stock UST'!$1:$1,0))))</f>
        <v/>
      </c>
      <c r="AU29" s="9" t="str">
        <f ca="1">IF(IF(ISERROR(MATCH(Stock!AU$1,'Stock UST'!$1:$1,0)),AT29,INDEX('Stock UST'!29:29,1,MATCH(Stock!AU$1,'Stock UST'!$1:$1,0)))=0,"",IF(ISERROR(MATCH(Stock!AU$1,'Stock UST'!$1:$1,0)),AT29,INDEX('Stock UST'!29:29,1,MATCH(Stock!AU$1,'Stock UST'!$1:$1,0))))</f>
        <v/>
      </c>
      <c r="AV29" s="9" t="str">
        <f ca="1">IF(IF(ISERROR(MATCH(Stock!AV$1,'Stock UST'!$1:$1,0)),AU29,INDEX('Stock UST'!29:29,1,MATCH(Stock!AV$1,'Stock UST'!$1:$1,0)))=0,"",IF(ISERROR(MATCH(Stock!AV$1,'Stock UST'!$1:$1,0)),AU29,INDEX('Stock UST'!29:29,1,MATCH(Stock!AV$1,'Stock UST'!$1:$1,0))))</f>
        <v/>
      </c>
      <c r="AW29" s="9" t="str">
        <f ca="1">IF(IF(ISERROR(MATCH(Stock!AW$1,'Stock UST'!$1:$1,0)),AV29,INDEX('Stock UST'!29:29,1,MATCH(Stock!AW$1,'Stock UST'!$1:$1,0)))=0,"",IF(ISERROR(MATCH(Stock!AW$1,'Stock UST'!$1:$1,0)),AV29,INDEX('Stock UST'!29:29,1,MATCH(Stock!AW$1,'Stock UST'!$1:$1,0))))</f>
        <v/>
      </c>
      <c r="AX29" s="9" t="str">
        <f ca="1">IF(IF(ISERROR(MATCH(Stock!AX$1,'Stock UST'!$1:$1,0)),AW29,INDEX('Stock UST'!29:29,1,MATCH(Stock!AX$1,'Stock UST'!$1:$1,0)))=0,"",IF(ISERROR(MATCH(Stock!AX$1,'Stock UST'!$1:$1,0)),AW29,INDEX('Stock UST'!29:29,1,MATCH(Stock!AX$1,'Stock UST'!$1:$1,0))))</f>
        <v/>
      </c>
    </row>
    <row r="30" spans="1:50" x14ac:dyDescent="0.3">
      <c r="A30" s="9" t="str">
        <f>IF('Stock UST'!E30="","",'Stock UST'!E30)</f>
        <v/>
      </c>
      <c r="B30" s="9" t="str">
        <f>IF(IF(ISERROR(MATCH(Stock!B$1,'Stock UST'!$1:$1,0)),A30,INDEX('Stock UST'!30:30,1,MATCH(Stock!B$1,'Stock UST'!$1:$1,0)))=0,"",IF(ISERROR(MATCH(Stock!B$1,'Stock UST'!$1:$1,0)),A30,INDEX('Stock UST'!30:30,1,MATCH(Stock!B$1,'Stock UST'!$1:$1,0))))</f>
        <v/>
      </c>
      <c r="C30" s="9" t="str">
        <f ca="1">IF(IF(ISERROR(MATCH(Stock!C$1,'Stock UST'!$1:$1,0)),B30,INDEX('Stock UST'!30:30,1,MATCH(Stock!C$1,'Stock UST'!$1:$1,0)))=0,"",IF(ISERROR(MATCH(Stock!C$1,'Stock UST'!$1:$1,0)),B30,INDEX('Stock UST'!30:30,1,MATCH(Stock!C$1,'Stock UST'!$1:$1,0))))</f>
        <v/>
      </c>
      <c r="D30" s="9" t="str">
        <f ca="1">IF(IF(ISERROR(MATCH(Stock!D$1,'Stock UST'!$1:$1,0)),C30,INDEX('Stock UST'!30:30,1,MATCH(Stock!D$1,'Stock UST'!$1:$1,0)))=0,"",IF(ISERROR(MATCH(Stock!D$1,'Stock UST'!$1:$1,0)),C30,INDEX('Stock UST'!30:30,1,MATCH(Stock!D$1,'Stock UST'!$1:$1,0))))</f>
        <v/>
      </c>
      <c r="E30" s="9" t="str">
        <f ca="1">IF(IF(ISERROR(MATCH(Stock!E$1,'Stock UST'!$1:$1,0)),D30,INDEX('Stock UST'!30:30,1,MATCH(Stock!E$1,'Stock UST'!$1:$1,0)))=0,"",IF(ISERROR(MATCH(Stock!E$1,'Stock UST'!$1:$1,0)),D30,INDEX('Stock UST'!30:30,1,MATCH(Stock!E$1,'Stock UST'!$1:$1,0))))</f>
        <v/>
      </c>
      <c r="F30" s="9" t="str">
        <f ca="1">IF(IF(ISERROR(MATCH(Stock!F$1,'Stock UST'!$1:$1,0)),E30,INDEX('Stock UST'!30:30,1,MATCH(Stock!F$1,'Stock UST'!$1:$1,0)))=0,"",IF(ISERROR(MATCH(Stock!F$1,'Stock UST'!$1:$1,0)),E30,INDEX('Stock UST'!30:30,1,MATCH(Stock!F$1,'Stock UST'!$1:$1,0))))</f>
        <v/>
      </c>
      <c r="G30" s="9" t="str">
        <f ca="1">IF(IF(ISERROR(MATCH(Stock!G$1,'Stock UST'!$1:$1,0)),F30,INDEX('Stock UST'!30:30,1,MATCH(Stock!G$1,'Stock UST'!$1:$1,0)))=0,"",IF(ISERROR(MATCH(Stock!G$1,'Stock UST'!$1:$1,0)),F30,INDEX('Stock UST'!30:30,1,MATCH(Stock!G$1,'Stock UST'!$1:$1,0))))</f>
        <v/>
      </c>
      <c r="H30" s="9" t="str">
        <f ca="1">IF(IF(ISERROR(MATCH(Stock!H$1,'Stock UST'!$1:$1,0)),G30,INDEX('Stock UST'!30:30,1,MATCH(Stock!H$1,'Stock UST'!$1:$1,0)))=0,"",IF(ISERROR(MATCH(Stock!H$1,'Stock UST'!$1:$1,0)),G30,INDEX('Stock UST'!30:30,1,MATCH(Stock!H$1,'Stock UST'!$1:$1,0))))</f>
        <v/>
      </c>
      <c r="I30" s="9" t="str">
        <f ca="1">IF(IF(ISERROR(MATCH(Stock!I$1,'Stock UST'!$1:$1,0)),H30,INDEX('Stock UST'!30:30,1,MATCH(Stock!I$1,'Stock UST'!$1:$1,0)))=0,"",IF(ISERROR(MATCH(Stock!I$1,'Stock UST'!$1:$1,0)),H30,INDEX('Stock UST'!30:30,1,MATCH(Stock!I$1,'Stock UST'!$1:$1,0))))</f>
        <v/>
      </c>
      <c r="J30" s="9" t="str">
        <f ca="1">IF(IF(ISERROR(MATCH(Stock!J$1,'Stock UST'!$1:$1,0)),I30,INDEX('Stock UST'!30:30,1,MATCH(Stock!J$1,'Stock UST'!$1:$1,0)))=0,"",IF(ISERROR(MATCH(Stock!J$1,'Stock UST'!$1:$1,0)),I30,INDEX('Stock UST'!30:30,1,MATCH(Stock!J$1,'Stock UST'!$1:$1,0))))</f>
        <v/>
      </c>
      <c r="K30" s="9" t="str">
        <f ca="1">IF(IF(ISERROR(MATCH(Stock!K$1,'Stock UST'!$1:$1,0)),J30,INDEX('Stock UST'!30:30,1,MATCH(Stock!K$1,'Stock UST'!$1:$1,0)))=0,"",IF(ISERROR(MATCH(Stock!K$1,'Stock UST'!$1:$1,0)),J30,INDEX('Stock UST'!30:30,1,MATCH(Stock!K$1,'Stock UST'!$1:$1,0))))</f>
        <v/>
      </c>
      <c r="L30" s="9" t="str">
        <f ca="1">IF(IF(ISERROR(MATCH(Stock!L$1,'Stock UST'!$1:$1,0)),K30,INDEX('Stock UST'!30:30,1,MATCH(Stock!L$1,'Stock UST'!$1:$1,0)))=0,"",IF(ISERROR(MATCH(Stock!L$1,'Stock UST'!$1:$1,0)),K30,INDEX('Stock UST'!30:30,1,MATCH(Stock!L$1,'Stock UST'!$1:$1,0))))</f>
        <v/>
      </c>
      <c r="M30" s="9" t="str">
        <f ca="1">IF(IF(ISERROR(MATCH(Stock!M$1,'Stock UST'!$1:$1,0)),L30,INDEX('Stock UST'!30:30,1,MATCH(Stock!M$1,'Stock UST'!$1:$1,0)))=0,"",IF(ISERROR(MATCH(Stock!M$1,'Stock UST'!$1:$1,0)),L30,INDEX('Stock UST'!30:30,1,MATCH(Stock!M$1,'Stock UST'!$1:$1,0))))</f>
        <v/>
      </c>
      <c r="N30" s="9" t="str">
        <f ca="1">IF(IF(ISERROR(MATCH(Stock!N$1,'Stock UST'!$1:$1,0)),M30,INDEX('Stock UST'!30:30,1,MATCH(Stock!N$1,'Stock UST'!$1:$1,0)))=0,"",IF(ISERROR(MATCH(Stock!N$1,'Stock UST'!$1:$1,0)),M30,INDEX('Stock UST'!30:30,1,MATCH(Stock!N$1,'Stock UST'!$1:$1,0))))</f>
        <v/>
      </c>
      <c r="O30" s="9" t="str">
        <f ca="1">IF(IF(ISERROR(MATCH(Stock!O$1,'Stock UST'!$1:$1,0)),N30,INDEX('Stock UST'!30:30,1,MATCH(Stock!O$1,'Stock UST'!$1:$1,0)))=0,"",IF(ISERROR(MATCH(Stock!O$1,'Stock UST'!$1:$1,0)),N30,INDEX('Stock UST'!30:30,1,MATCH(Stock!O$1,'Stock UST'!$1:$1,0))))</f>
        <v/>
      </c>
      <c r="P30" s="9" t="str">
        <f ca="1">IF(IF(ISERROR(MATCH(Stock!P$1,'Stock UST'!$1:$1,0)),O30,INDEX('Stock UST'!30:30,1,MATCH(Stock!P$1,'Stock UST'!$1:$1,0)))=0,"",IF(ISERROR(MATCH(Stock!P$1,'Stock UST'!$1:$1,0)),O30,INDEX('Stock UST'!30:30,1,MATCH(Stock!P$1,'Stock UST'!$1:$1,0))))</f>
        <v/>
      </c>
      <c r="Q30" s="9" t="str">
        <f ca="1">IF(IF(ISERROR(MATCH(Stock!Q$1,'Stock UST'!$1:$1,0)),P30,INDEX('Stock UST'!30:30,1,MATCH(Stock!Q$1,'Stock UST'!$1:$1,0)))=0,"",IF(ISERROR(MATCH(Stock!Q$1,'Stock UST'!$1:$1,0)),P30,INDEX('Stock UST'!30:30,1,MATCH(Stock!Q$1,'Stock UST'!$1:$1,0))))</f>
        <v/>
      </c>
      <c r="R30" s="9" t="str">
        <f ca="1">IF(IF(ISERROR(MATCH(Stock!R$1,'Stock UST'!$1:$1,0)),Q30,INDEX('Stock UST'!30:30,1,MATCH(Stock!R$1,'Stock UST'!$1:$1,0)))=0,"",IF(ISERROR(MATCH(Stock!R$1,'Stock UST'!$1:$1,0)),Q30,INDEX('Stock UST'!30:30,1,MATCH(Stock!R$1,'Stock UST'!$1:$1,0))))</f>
        <v/>
      </c>
      <c r="S30" s="9" t="str">
        <f ca="1">IF(IF(ISERROR(MATCH(Stock!S$1,'Stock UST'!$1:$1,0)),R30,INDEX('Stock UST'!30:30,1,MATCH(Stock!S$1,'Stock UST'!$1:$1,0)))=0,"",IF(ISERROR(MATCH(Stock!S$1,'Stock UST'!$1:$1,0)),R30,INDEX('Stock UST'!30:30,1,MATCH(Stock!S$1,'Stock UST'!$1:$1,0))))</f>
        <v/>
      </c>
      <c r="T30" s="9" t="str">
        <f ca="1">IF(IF(ISERROR(MATCH(Stock!T$1,'Stock UST'!$1:$1,0)),S30,INDEX('Stock UST'!30:30,1,MATCH(Stock!T$1,'Stock UST'!$1:$1,0)))=0,"",IF(ISERROR(MATCH(Stock!T$1,'Stock UST'!$1:$1,0)),S30,INDEX('Stock UST'!30:30,1,MATCH(Stock!T$1,'Stock UST'!$1:$1,0))))</f>
        <v/>
      </c>
      <c r="U30" s="9" t="str">
        <f ca="1">IF(IF(ISERROR(MATCH(Stock!U$1,'Stock UST'!$1:$1,0)),T30,INDEX('Stock UST'!30:30,1,MATCH(Stock!U$1,'Stock UST'!$1:$1,0)))=0,"",IF(ISERROR(MATCH(Stock!U$1,'Stock UST'!$1:$1,0)),T30,INDEX('Stock UST'!30:30,1,MATCH(Stock!U$1,'Stock UST'!$1:$1,0))))</f>
        <v/>
      </c>
      <c r="V30" s="9" t="str">
        <f ca="1">IF(IF(ISERROR(MATCH(Stock!V$1,'Stock UST'!$1:$1,0)),U30,INDEX('Stock UST'!30:30,1,MATCH(Stock!V$1,'Stock UST'!$1:$1,0)))=0,"",IF(ISERROR(MATCH(Stock!V$1,'Stock UST'!$1:$1,0)),U30,INDEX('Stock UST'!30:30,1,MATCH(Stock!V$1,'Stock UST'!$1:$1,0))))</f>
        <v/>
      </c>
      <c r="W30" s="9" t="str">
        <f ca="1">IF(IF(ISERROR(MATCH(Stock!W$1,'Stock UST'!$1:$1,0)),V30,INDEX('Stock UST'!30:30,1,MATCH(Stock!W$1,'Stock UST'!$1:$1,0)))=0,"",IF(ISERROR(MATCH(Stock!W$1,'Stock UST'!$1:$1,0)),V30,INDEX('Stock UST'!30:30,1,MATCH(Stock!W$1,'Stock UST'!$1:$1,0))))</f>
        <v/>
      </c>
      <c r="X30" s="9" t="str">
        <f ca="1">IF(IF(ISERROR(MATCH(Stock!X$1,'Stock UST'!$1:$1,0)),W30,INDEX('Stock UST'!30:30,1,MATCH(Stock!X$1,'Stock UST'!$1:$1,0)))=0,"",IF(ISERROR(MATCH(Stock!X$1,'Stock UST'!$1:$1,0)),W30,INDEX('Stock UST'!30:30,1,MATCH(Stock!X$1,'Stock UST'!$1:$1,0))))</f>
        <v/>
      </c>
      <c r="Y30" s="9" t="str">
        <f ca="1">IF(IF(ISERROR(MATCH(Stock!Y$1,'Stock UST'!$1:$1,0)),X30,INDEX('Stock UST'!30:30,1,MATCH(Stock!Y$1,'Stock UST'!$1:$1,0)))=0,"",IF(ISERROR(MATCH(Stock!Y$1,'Stock UST'!$1:$1,0)),X30,INDEX('Stock UST'!30:30,1,MATCH(Stock!Y$1,'Stock UST'!$1:$1,0))))</f>
        <v/>
      </c>
      <c r="Z30" s="9" t="str">
        <f ca="1">IF(IF(ISERROR(MATCH(Stock!Z$1,'Stock UST'!$1:$1,0)),Y30,INDEX('Stock UST'!30:30,1,MATCH(Stock!Z$1,'Stock UST'!$1:$1,0)))=0,"",IF(ISERROR(MATCH(Stock!Z$1,'Stock UST'!$1:$1,0)),Y30,INDEX('Stock UST'!30:30,1,MATCH(Stock!Z$1,'Stock UST'!$1:$1,0))))</f>
        <v/>
      </c>
      <c r="AA30" s="9" t="str">
        <f ca="1">IF(IF(ISERROR(MATCH(Stock!AA$1,'Stock UST'!$1:$1,0)),Z30,INDEX('Stock UST'!30:30,1,MATCH(Stock!AA$1,'Stock UST'!$1:$1,0)))=0,"",IF(ISERROR(MATCH(Stock!AA$1,'Stock UST'!$1:$1,0)),Z30,INDEX('Stock UST'!30:30,1,MATCH(Stock!AA$1,'Stock UST'!$1:$1,0))))</f>
        <v/>
      </c>
      <c r="AB30" s="9" t="str">
        <f ca="1">IF(IF(ISERROR(MATCH(Stock!AB$1,'Stock UST'!$1:$1,0)),AA30,INDEX('Stock UST'!30:30,1,MATCH(Stock!AB$1,'Stock UST'!$1:$1,0)))=0,"",IF(ISERROR(MATCH(Stock!AB$1,'Stock UST'!$1:$1,0)),AA30,INDEX('Stock UST'!30:30,1,MATCH(Stock!AB$1,'Stock UST'!$1:$1,0))))</f>
        <v/>
      </c>
      <c r="AC30" s="9" t="str">
        <f ca="1">IF(IF(ISERROR(MATCH(Stock!AC$1,'Stock UST'!$1:$1,0)),AB30,INDEX('Stock UST'!30:30,1,MATCH(Stock!AC$1,'Stock UST'!$1:$1,0)))=0,"",IF(ISERROR(MATCH(Stock!AC$1,'Stock UST'!$1:$1,0)),AB30,INDEX('Stock UST'!30:30,1,MATCH(Stock!AC$1,'Stock UST'!$1:$1,0))))</f>
        <v/>
      </c>
      <c r="AD30" s="9" t="str">
        <f ca="1">IF(IF(ISERROR(MATCH(Stock!AD$1,'Stock UST'!$1:$1,0)),AC30,INDEX('Stock UST'!30:30,1,MATCH(Stock!AD$1,'Stock UST'!$1:$1,0)))=0,"",IF(ISERROR(MATCH(Stock!AD$1,'Stock UST'!$1:$1,0)),AC30,INDEX('Stock UST'!30:30,1,MATCH(Stock!AD$1,'Stock UST'!$1:$1,0))))</f>
        <v/>
      </c>
      <c r="AE30" s="9" t="str">
        <f ca="1">IF(IF(ISERROR(MATCH(Stock!AE$1,'Stock UST'!$1:$1,0)),AD30,INDEX('Stock UST'!30:30,1,MATCH(Stock!AE$1,'Stock UST'!$1:$1,0)))=0,"",IF(ISERROR(MATCH(Stock!AE$1,'Stock UST'!$1:$1,0)),AD30,INDEX('Stock UST'!30:30,1,MATCH(Stock!AE$1,'Stock UST'!$1:$1,0))))</f>
        <v/>
      </c>
      <c r="AF30" s="9" t="str">
        <f ca="1">IF(IF(ISERROR(MATCH(Stock!AF$1,'Stock UST'!$1:$1,0)),AE30,INDEX('Stock UST'!30:30,1,MATCH(Stock!AF$1,'Stock UST'!$1:$1,0)))=0,"",IF(ISERROR(MATCH(Stock!AF$1,'Stock UST'!$1:$1,0)),AE30,INDEX('Stock UST'!30:30,1,MATCH(Stock!AF$1,'Stock UST'!$1:$1,0))))</f>
        <v/>
      </c>
      <c r="AG30" s="9" t="str">
        <f ca="1">IF(IF(ISERROR(MATCH(Stock!AG$1,'Stock UST'!$1:$1,0)),AF30,INDEX('Stock UST'!30:30,1,MATCH(Stock!AG$1,'Stock UST'!$1:$1,0)))=0,"",IF(ISERROR(MATCH(Stock!AG$1,'Stock UST'!$1:$1,0)),AF30,INDEX('Stock UST'!30:30,1,MATCH(Stock!AG$1,'Stock UST'!$1:$1,0))))</f>
        <v/>
      </c>
      <c r="AH30" s="9" t="str">
        <f ca="1">IF(IF(ISERROR(MATCH(Stock!AH$1,'Stock UST'!$1:$1,0)),AG30,INDEX('Stock UST'!30:30,1,MATCH(Stock!AH$1,'Stock UST'!$1:$1,0)))=0,"",IF(ISERROR(MATCH(Stock!AH$1,'Stock UST'!$1:$1,0)),AG30,INDEX('Stock UST'!30:30,1,MATCH(Stock!AH$1,'Stock UST'!$1:$1,0))))</f>
        <v/>
      </c>
      <c r="AI30" s="9" t="str">
        <f ca="1">IF(IF(ISERROR(MATCH(Stock!AI$1,'Stock UST'!$1:$1,0)),AH30,INDEX('Stock UST'!30:30,1,MATCH(Stock!AI$1,'Stock UST'!$1:$1,0)))=0,"",IF(ISERROR(MATCH(Stock!AI$1,'Stock UST'!$1:$1,0)),AH30,INDEX('Stock UST'!30:30,1,MATCH(Stock!AI$1,'Stock UST'!$1:$1,0))))</f>
        <v/>
      </c>
      <c r="AJ30" s="9" t="str">
        <f ca="1">IF(IF(ISERROR(MATCH(Stock!AJ$1,'Stock UST'!$1:$1,0)),AI30,INDEX('Stock UST'!30:30,1,MATCH(Stock!AJ$1,'Stock UST'!$1:$1,0)))=0,"",IF(ISERROR(MATCH(Stock!AJ$1,'Stock UST'!$1:$1,0)),AI30,INDEX('Stock UST'!30:30,1,MATCH(Stock!AJ$1,'Stock UST'!$1:$1,0))))</f>
        <v/>
      </c>
      <c r="AK30" s="9" t="str">
        <f ca="1">IF(IF(ISERROR(MATCH(Stock!AK$1,'Stock UST'!$1:$1,0)),AJ30,INDEX('Stock UST'!30:30,1,MATCH(Stock!AK$1,'Stock UST'!$1:$1,0)))=0,"",IF(ISERROR(MATCH(Stock!AK$1,'Stock UST'!$1:$1,0)),AJ30,INDEX('Stock UST'!30:30,1,MATCH(Stock!AK$1,'Stock UST'!$1:$1,0))))</f>
        <v/>
      </c>
      <c r="AL30" s="9" t="str">
        <f ca="1">IF(IF(ISERROR(MATCH(Stock!AL$1,'Stock UST'!$1:$1,0)),AK30,INDEX('Stock UST'!30:30,1,MATCH(Stock!AL$1,'Stock UST'!$1:$1,0)))=0,"",IF(ISERROR(MATCH(Stock!AL$1,'Stock UST'!$1:$1,0)),AK30,INDEX('Stock UST'!30:30,1,MATCH(Stock!AL$1,'Stock UST'!$1:$1,0))))</f>
        <v/>
      </c>
      <c r="AM30" s="9" t="str">
        <f ca="1">IF(IF(ISERROR(MATCH(Stock!AM$1,'Stock UST'!$1:$1,0)),AL30,INDEX('Stock UST'!30:30,1,MATCH(Stock!AM$1,'Stock UST'!$1:$1,0)))=0,"",IF(ISERROR(MATCH(Stock!AM$1,'Stock UST'!$1:$1,0)),AL30,INDEX('Stock UST'!30:30,1,MATCH(Stock!AM$1,'Stock UST'!$1:$1,0))))</f>
        <v/>
      </c>
      <c r="AN30" s="9" t="str">
        <f ca="1">IF(IF(ISERROR(MATCH(Stock!AN$1,'Stock UST'!$1:$1,0)),AM30,INDEX('Stock UST'!30:30,1,MATCH(Stock!AN$1,'Stock UST'!$1:$1,0)))=0,"",IF(ISERROR(MATCH(Stock!AN$1,'Stock UST'!$1:$1,0)),AM30,INDEX('Stock UST'!30:30,1,MATCH(Stock!AN$1,'Stock UST'!$1:$1,0))))</f>
        <v/>
      </c>
      <c r="AO30" s="9" t="str">
        <f ca="1">IF(IF(ISERROR(MATCH(Stock!AO$1,'Stock UST'!$1:$1,0)),AN30,INDEX('Stock UST'!30:30,1,MATCH(Stock!AO$1,'Stock UST'!$1:$1,0)))=0,"",IF(ISERROR(MATCH(Stock!AO$1,'Stock UST'!$1:$1,0)),AN30,INDEX('Stock UST'!30:30,1,MATCH(Stock!AO$1,'Stock UST'!$1:$1,0))))</f>
        <v/>
      </c>
      <c r="AP30" s="9" t="str">
        <f ca="1">IF(IF(ISERROR(MATCH(Stock!AP$1,'Stock UST'!$1:$1,0)),AO30,INDEX('Stock UST'!30:30,1,MATCH(Stock!AP$1,'Stock UST'!$1:$1,0)))=0,"",IF(ISERROR(MATCH(Stock!AP$1,'Stock UST'!$1:$1,0)),AO30,INDEX('Stock UST'!30:30,1,MATCH(Stock!AP$1,'Stock UST'!$1:$1,0))))</f>
        <v/>
      </c>
      <c r="AQ30" s="9" t="str">
        <f ca="1">IF(IF(ISERROR(MATCH(Stock!AQ$1,'Stock UST'!$1:$1,0)),AP30,INDEX('Stock UST'!30:30,1,MATCH(Stock!AQ$1,'Stock UST'!$1:$1,0)))=0,"",IF(ISERROR(MATCH(Stock!AQ$1,'Stock UST'!$1:$1,0)),AP30,INDEX('Stock UST'!30:30,1,MATCH(Stock!AQ$1,'Stock UST'!$1:$1,0))))</f>
        <v/>
      </c>
      <c r="AR30" s="9" t="str">
        <f ca="1">IF(IF(ISERROR(MATCH(Stock!AR$1,'Stock UST'!$1:$1,0)),AQ30,INDEX('Stock UST'!30:30,1,MATCH(Stock!AR$1,'Stock UST'!$1:$1,0)))=0,"",IF(ISERROR(MATCH(Stock!AR$1,'Stock UST'!$1:$1,0)),AQ30,INDEX('Stock UST'!30:30,1,MATCH(Stock!AR$1,'Stock UST'!$1:$1,0))))</f>
        <v/>
      </c>
      <c r="AS30" s="9" t="str">
        <f ca="1">IF(IF(ISERROR(MATCH(Stock!AS$1,'Stock UST'!$1:$1,0)),AR30,INDEX('Stock UST'!30:30,1,MATCH(Stock!AS$1,'Stock UST'!$1:$1,0)))=0,"",IF(ISERROR(MATCH(Stock!AS$1,'Stock UST'!$1:$1,0)),AR30,INDEX('Stock UST'!30:30,1,MATCH(Stock!AS$1,'Stock UST'!$1:$1,0))))</f>
        <v/>
      </c>
      <c r="AT30" s="9" t="str">
        <f ca="1">IF(IF(ISERROR(MATCH(Stock!AT$1,'Stock UST'!$1:$1,0)),AS30,INDEX('Stock UST'!30:30,1,MATCH(Stock!AT$1,'Stock UST'!$1:$1,0)))=0,"",IF(ISERROR(MATCH(Stock!AT$1,'Stock UST'!$1:$1,0)),AS30,INDEX('Stock UST'!30:30,1,MATCH(Stock!AT$1,'Stock UST'!$1:$1,0))))</f>
        <v/>
      </c>
      <c r="AU30" s="9" t="str">
        <f ca="1">IF(IF(ISERROR(MATCH(Stock!AU$1,'Stock UST'!$1:$1,0)),AT30,INDEX('Stock UST'!30:30,1,MATCH(Stock!AU$1,'Stock UST'!$1:$1,0)))=0,"",IF(ISERROR(MATCH(Stock!AU$1,'Stock UST'!$1:$1,0)),AT30,INDEX('Stock UST'!30:30,1,MATCH(Stock!AU$1,'Stock UST'!$1:$1,0))))</f>
        <v/>
      </c>
      <c r="AV30" s="9" t="str">
        <f ca="1">IF(IF(ISERROR(MATCH(Stock!AV$1,'Stock UST'!$1:$1,0)),AU30,INDEX('Stock UST'!30:30,1,MATCH(Stock!AV$1,'Stock UST'!$1:$1,0)))=0,"",IF(ISERROR(MATCH(Stock!AV$1,'Stock UST'!$1:$1,0)),AU30,INDEX('Stock UST'!30:30,1,MATCH(Stock!AV$1,'Stock UST'!$1:$1,0))))</f>
        <v/>
      </c>
      <c r="AW30" s="9" t="str">
        <f ca="1">IF(IF(ISERROR(MATCH(Stock!AW$1,'Stock UST'!$1:$1,0)),AV30,INDEX('Stock UST'!30:30,1,MATCH(Stock!AW$1,'Stock UST'!$1:$1,0)))=0,"",IF(ISERROR(MATCH(Stock!AW$1,'Stock UST'!$1:$1,0)),AV30,INDEX('Stock UST'!30:30,1,MATCH(Stock!AW$1,'Stock UST'!$1:$1,0))))</f>
        <v/>
      </c>
      <c r="AX30" s="9" t="str">
        <f ca="1">IF(IF(ISERROR(MATCH(Stock!AX$1,'Stock UST'!$1:$1,0)),AW30,INDEX('Stock UST'!30:30,1,MATCH(Stock!AX$1,'Stock UST'!$1:$1,0)))=0,"",IF(ISERROR(MATCH(Stock!AX$1,'Stock UST'!$1:$1,0)),AW30,INDEX('Stock UST'!30:30,1,MATCH(Stock!AX$1,'Stock UST'!$1:$1,0))))</f>
        <v/>
      </c>
    </row>
    <row r="31" spans="1:50" x14ac:dyDescent="0.3">
      <c r="A31" s="9" t="str">
        <f>IF('Stock UST'!E32="","",'Stock UST'!E32)</f>
        <v/>
      </c>
      <c r="B31" s="9" t="str">
        <f>IF(IF(ISERROR(MATCH(Stock!B$1,'Stock UST'!$1:$1,0)),A31,INDEX('Stock UST'!31:31,1,MATCH(Stock!B$1,'Stock UST'!$1:$1,0)))=0,"",IF(ISERROR(MATCH(Stock!B$1,'Stock UST'!$1:$1,0)),A31,INDEX('Stock UST'!31:31,1,MATCH(Stock!B$1,'Stock UST'!$1:$1,0))))</f>
        <v/>
      </c>
      <c r="C31" s="9" t="str">
        <f ca="1">IF(IF(ISERROR(MATCH(Stock!C$1,'Stock UST'!$1:$1,0)),B31,INDEX('Stock UST'!31:31,1,MATCH(Stock!C$1,'Stock UST'!$1:$1,0)))=0,"",IF(ISERROR(MATCH(Stock!C$1,'Stock UST'!$1:$1,0)),B31,INDEX('Stock UST'!31:31,1,MATCH(Stock!C$1,'Stock UST'!$1:$1,0))))</f>
        <v/>
      </c>
      <c r="D31" s="9" t="str">
        <f ca="1">IF(IF(ISERROR(MATCH(Stock!D$1,'Stock UST'!$1:$1,0)),C31,INDEX('Stock UST'!31:31,1,MATCH(Stock!D$1,'Stock UST'!$1:$1,0)))=0,"",IF(ISERROR(MATCH(Stock!D$1,'Stock UST'!$1:$1,0)),C31,INDEX('Stock UST'!31:31,1,MATCH(Stock!D$1,'Stock UST'!$1:$1,0))))</f>
        <v/>
      </c>
      <c r="E31" s="9" t="str">
        <f ca="1">IF(IF(ISERROR(MATCH(Stock!E$1,'Stock UST'!$1:$1,0)),D31,INDEX('Stock UST'!31:31,1,MATCH(Stock!E$1,'Stock UST'!$1:$1,0)))=0,"",IF(ISERROR(MATCH(Stock!E$1,'Stock UST'!$1:$1,0)),D31,INDEX('Stock UST'!31:31,1,MATCH(Stock!E$1,'Stock UST'!$1:$1,0))))</f>
        <v/>
      </c>
      <c r="F31" s="9" t="str">
        <f ca="1">IF(IF(ISERROR(MATCH(Stock!F$1,'Stock UST'!$1:$1,0)),E31,INDEX('Stock UST'!31:31,1,MATCH(Stock!F$1,'Stock UST'!$1:$1,0)))=0,"",IF(ISERROR(MATCH(Stock!F$1,'Stock UST'!$1:$1,0)),E31,INDEX('Stock UST'!31:31,1,MATCH(Stock!F$1,'Stock UST'!$1:$1,0))))</f>
        <v/>
      </c>
      <c r="G31" s="9" t="str">
        <f ca="1">IF(IF(ISERROR(MATCH(Stock!G$1,'Stock UST'!$1:$1,0)),F31,INDEX('Stock UST'!31:31,1,MATCH(Stock!G$1,'Stock UST'!$1:$1,0)))=0,"",IF(ISERROR(MATCH(Stock!G$1,'Stock UST'!$1:$1,0)),F31,INDEX('Stock UST'!31:31,1,MATCH(Stock!G$1,'Stock UST'!$1:$1,0))))</f>
        <v/>
      </c>
      <c r="H31" s="9" t="str">
        <f ca="1">IF(IF(ISERROR(MATCH(Stock!H$1,'Stock UST'!$1:$1,0)),G31,INDEX('Stock UST'!31:31,1,MATCH(Stock!H$1,'Stock UST'!$1:$1,0)))=0,"",IF(ISERROR(MATCH(Stock!H$1,'Stock UST'!$1:$1,0)),G31,INDEX('Stock UST'!31:31,1,MATCH(Stock!H$1,'Stock UST'!$1:$1,0))))</f>
        <v/>
      </c>
      <c r="I31" s="9" t="str">
        <f ca="1">IF(IF(ISERROR(MATCH(Stock!I$1,'Stock UST'!$1:$1,0)),H31,INDEX('Stock UST'!31:31,1,MATCH(Stock!I$1,'Stock UST'!$1:$1,0)))=0,"",IF(ISERROR(MATCH(Stock!I$1,'Stock UST'!$1:$1,0)),H31,INDEX('Stock UST'!31:31,1,MATCH(Stock!I$1,'Stock UST'!$1:$1,0))))</f>
        <v/>
      </c>
      <c r="J31" s="9" t="str">
        <f ca="1">IF(IF(ISERROR(MATCH(Stock!J$1,'Stock UST'!$1:$1,0)),I31,INDEX('Stock UST'!31:31,1,MATCH(Stock!J$1,'Stock UST'!$1:$1,0)))=0,"",IF(ISERROR(MATCH(Stock!J$1,'Stock UST'!$1:$1,0)),I31,INDEX('Stock UST'!31:31,1,MATCH(Stock!J$1,'Stock UST'!$1:$1,0))))</f>
        <v/>
      </c>
      <c r="K31" s="9" t="str">
        <f ca="1">IF(IF(ISERROR(MATCH(Stock!K$1,'Stock UST'!$1:$1,0)),J31,INDEX('Stock UST'!31:31,1,MATCH(Stock!K$1,'Stock UST'!$1:$1,0)))=0,"",IF(ISERROR(MATCH(Stock!K$1,'Stock UST'!$1:$1,0)),J31,INDEX('Stock UST'!31:31,1,MATCH(Stock!K$1,'Stock UST'!$1:$1,0))))</f>
        <v/>
      </c>
      <c r="L31" s="9" t="str">
        <f ca="1">IF(IF(ISERROR(MATCH(Stock!L$1,'Stock UST'!$1:$1,0)),K31,INDEX('Stock UST'!31:31,1,MATCH(Stock!L$1,'Stock UST'!$1:$1,0)))=0,"",IF(ISERROR(MATCH(Stock!L$1,'Stock UST'!$1:$1,0)),K31,INDEX('Stock UST'!31:31,1,MATCH(Stock!L$1,'Stock UST'!$1:$1,0))))</f>
        <v/>
      </c>
      <c r="M31" s="9" t="str">
        <f ca="1">IF(IF(ISERROR(MATCH(Stock!M$1,'Stock UST'!$1:$1,0)),L31,INDEX('Stock UST'!31:31,1,MATCH(Stock!M$1,'Stock UST'!$1:$1,0)))=0,"",IF(ISERROR(MATCH(Stock!M$1,'Stock UST'!$1:$1,0)),L31,INDEX('Stock UST'!31:31,1,MATCH(Stock!M$1,'Stock UST'!$1:$1,0))))</f>
        <v/>
      </c>
      <c r="N31" s="9" t="str">
        <f ca="1">IF(IF(ISERROR(MATCH(Stock!N$1,'Stock UST'!$1:$1,0)),M31,INDEX('Stock UST'!31:31,1,MATCH(Stock!N$1,'Stock UST'!$1:$1,0)))=0,"",IF(ISERROR(MATCH(Stock!N$1,'Stock UST'!$1:$1,0)),M31,INDEX('Stock UST'!31:31,1,MATCH(Stock!N$1,'Stock UST'!$1:$1,0))))</f>
        <v/>
      </c>
      <c r="O31" s="9" t="str">
        <f ca="1">IF(IF(ISERROR(MATCH(Stock!O$1,'Stock UST'!$1:$1,0)),N31,INDEX('Stock UST'!31:31,1,MATCH(Stock!O$1,'Stock UST'!$1:$1,0)))=0,"",IF(ISERROR(MATCH(Stock!O$1,'Stock UST'!$1:$1,0)),N31,INDEX('Stock UST'!31:31,1,MATCH(Stock!O$1,'Stock UST'!$1:$1,0))))</f>
        <v/>
      </c>
      <c r="P31" s="9" t="str">
        <f ca="1">IF(IF(ISERROR(MATCH(Stock!P$1,'Stock UST'!$1:$1,0)),O31,INDEX('Stock UST'!31:31,1,MATCH(Stock!P$1,'Stock UST'!$1:$1,0)))=0,"",IF(ISERROR(MATCH(Stock!P$1,'Stock UST'!$1:$1,0)),O31,INDEX('Stock UST'!31:31,1,MATCH(Stock!P$1,'Stock UST'!$1:$1,0))))</f>
        <v/>
      </c>
      <c r="Q31" s="9" t="str">
        <f ca="1">IF(IF(ISERROR(MATCH(Stock!Q$1,'Stock UST'!$1:$1,0)),P31,INDEX('Stock UST'!31:31,1,MATCH(Stock!Q$1,'Stock UST'!$1:$1,0)))=0,"",IF(ISERROR(MATCH(Stock!Q$1,'Stock UST'!$1:$1,0)),P31,INDEX('Stock UST'!31:31,1,MATCH(Stock!Q$1,'Stock UST'!$1:$1,0))))</f>
        <v/>
      </c>
      <c r="R31" s="9" t="str">
        <f ca="1">IF(IF(ISERROR(MATCH(Stock!R$1,'Stock UST'!$1:$1,0)),Q31,INDEX('Stock UST'!31:31,1,MATCH(Stock!R$1,'Stock UST'!$1:$1,0)))=0,"",IF(ISERROR(MATCH(Stock!R$1,'Stock UST'!$1:$1,0)),Q31,INDEX('Stock UST'!31:31,1,MATCH(Stock!R$1,'Stock UST'!$1:$1,0))))</f>
        <v/>
      </c>
      <c r="S31" s="9" t="str">
        <f ca="1">IF(IF(ISERROR(MATCH(Stock!S$1,'Stock UST'!$1:$1,0)),R31,INDEX('Stock UST'!31:31,1,MATCH(Stock!S$1,'Stock UST'!$1:$1,0)))=0,"",IF(ISERROR(MATCH(Stock!S$1,'Stock UST'!$1:$1,0)),R31,INDEX('Stock UST'!31:31,1,MATCH(Stock!S$1,'Stock UST'!$1:$1,0))))</f>
        <v/>
      </c>
      <c r="T31" s="9" t="str">
        <f ca="1">IF(IF(ISERROR(MATCH(Stock!T$1,'Stock UST'!$1:$1,0)),S31,INDEX('Stock UST'!31:31,1,MATCH(Stock!T$1,'Stock UST'!$1:$1,0)))=0,"",IF(ISERROR(MATCH(Stock!T$1,'Stock UST'!$1:$1,0)),S31,INDEX('Stock UST'!31:31,1,MATCH(Stock!T$1,'Stock UST'!$1:$1,0))))</f>
        <v/>
      </c>
      <c r="U31" s="9" t="str">
        <f ca="1">IF(IF(ISERROR(MATCH(Stock!U$1,'Stock UST'!$1:$1,0)),T31,INDEX('Stock UST'!31:31,1,MATCH(Stock!U$1,'Stock UST'!$1:$1,0)))=0,"",IF(ISERROR(MATCH(Stock!U$1,'Stock UST'!$1:$1,0)),T31,INDEX('Stock UST'!31:31,1,MATCH(Stock!U$1,'Stock UST'!$1:$1,0))))</f>
        <v/>
      </c>
      <c r="V31" s="9" t="str">
        <f ca="1">IF(IF(ISERROR(MATCH(Stock!V$1,'Stock UST'!$1:$1,0)),U31,INDEX('Stock UST'!31:31,1,MATCH(Stock!V$1,'Stock UST'!$1:$1,0)))=0,"",IF(ISERROR(MATCH(Stock!V$1,'Stock UST'!$1:$1,0)),U31,INDEX('Stock UST'!31:31,1,MATCH(Stock!V$1,'Stock UST'!$1:$1,0))))</f>
        <v/>
      </c>
      <c r="W31" s="9" t="str">
        <f ca="1">IF(IF(ISERROR(MATCH(Stock!W$1,'Stock UST'!$1:$1,0)),V31,INDEX('Stock UST'!31:31,1,MATCH(Stock!W$1,'Stock UST'!$1:$1,0)))=0,"",IF(ISERROR(MATCH(Stock!W$1,'Stock UST'!$1:$1,0)),V31,INDEX('Stock UST'!31:31,1,MATCH(Stock!W$1,'Stock UST'!$1:$1,0))))</f>
        <v/>
      </c>
      <c r="X31" s="9" t="str">
        <f ca="1">IF(IF(ISERROR(MATCH(Stock!X$1,'Stock UST'!$1:$1,0)),W31,INDEX('Stock UST'!31:31,1,MATCH(Stock!X$1,'Stock UST'!$1:$1,0)))=0,"",IF(ISERROR(MATCH(Stock!X$1,'Stock UST'!$1:$1,0)),W31,INDEX('Stock UST'!31:31,1,MATCH(Stock!X$1,'Stock UST'!$1:$1,0))))</f>
        <v/>
      </c>
      <c r="Y31" s="9" t="str">
        <f ca="1">IF(IF(ISERROR(MATCH(Stock!Y$1,'Stock UST'!$1:$1,0)),X31,INDEX('Stock UST'!31:31,1,MATCH(Stock!Y$1,'Stock UST'!$1:$1,0)))=0,"",IF(ISERROR(MATCH(Stock!Y$1,'Stock UST'!$1:$1,0)),X31,INDEX('Stock UST'!31:31,1,MATCH(Stock!Y$1,'Stock UST'!$1:$1,0))))</f>
        <v/>
      </c>
      <c r="Z31" s="9" t="str">
        <f ca="1">IF(IF(ISERROR(MATCH(Stock!Z$1,'Stock UST'!$1:$1,0)),Y31,INDEX('Stock UST'!31:31,1,MATCH(Stock!Z$1,'Stock UST'!$1:$1,0)))=0,"",IF(ISERROR(MATCH(Stock!Z$1,'Stock UST'!$1:$1,0)),Y31,INDEX('Stock UST'!31:31,1,MATCH(Stock!Z$1,'Stock UST'!$1:$1,0))))</f>
        <v/>
      </c>
      <c r="AA31" s="9" t="str">
        <f ca="1">IF(IF(ISERROR(MATCH(Stock!AA$1,'Stock UST'!$1:$1,0)),Z31,INDEX('Stock UST'!31:31,1,MATCH(Stock!AA$1,'Stock UST'!$1:$1,0)))=0,"",IF(ISERROR(MATCH(Stock!AA$1,'Stock UST'!$1:$1,0)),Z31,INDEX('Stock UST'!31:31,1,MATCH(Stock!AA$1,'Stock UST'!$1:$1,0))))</f>
        <v/>
      </c>
      <c r="AB31" s="9" t="str">
        <f ca="1">IF(IF(ISERROR(MATCH(Stock!AB$1,'Stock UST'!$1:$1,0)),AA31,INDEX('Stock UST'!31:31,1,MATCH(Stock!AB$1,'Stock UST'!$1:$1,0)))=0,"",IF(ISERROR(MATCH(Stock!AB$1,'Stock UST'!$1:$1,0)),AA31,INDEX('Stock UST'!31:31,1,MATCH(Stock!AB$1,'Stock UST'!$1:$1,0))))</f>
        <v/>
      </c>
      <c r="AC31" s="9" t="str">
        <f ca="1">IF(IF(ISERROR(MATCH(Stock!AC$1,'Stock UST'!$1:$1,0)),AB31,INDEX('Stock UST'!31:31,1,MATCH(Stock!AC$1,'Stock UST'!$1:$1,0)))=0,"",IF(ISERROR(MATCH(Stock!AC$1,'Stock UST'!$1:$1,0)),AB31,INDEX('Stock UST'!31:31,1,MATCH(Stock!AC$1,'Stock UST'!$1:$1,0))))</f>
        <v/>
      </c>
      <c r="AD31" s="9" t="str">
        <f ca="1">IF(IF(ISERROR(MATCH(Stock!AD$1,'Stock UST'!$1:$1,0)),AC31,INDEX('Stock UST'!31:31,1,MATCH(Stock!AD$1,'Stock UST'!$1:$1,0)))=0,"",IF(ISERROR(MATCH(Stock!AD$1,'Stock UST'!$1:$1,0)),AC31,INDEX('Stock UST'!31:31,1,MATCH(Stock!AD$1,'Stock UST'!$1:$1,0))))</f>
        <v/>
      </c>
      <c r="AE31" s="9" t="str">
        <f ca="1">IF(IF(ISERROR(MATCH(Stock!AE$1,'Stock UST'!$1:$1,0)),AD31,INDEX('Stock UST'!31:31,1,MATCH(Stock!AE$1,'Stock UST'!$1:$1,0)))=0,"",IF(ISERROR(MATCH(Stock!AE$1,'Stock UST'!$1:$1,0)),AD31,INDEX('Stock UST'!31:31,1,MATCH(Stock!AE$1,'Stock UST'!$1:$1,0))))</f>
        <v/>
      </c>
      <c r="AF31" s="9" t="str">
        <f ca="1">IF(IF(ISERROR(MATCH(Stock!AF$1,'Stock UST'!$1:$1,0)),AE31,INDEX('Stock UST'!31:31,1,MATCH(Stock!AF$1,'Stock UST'!$1:$1,0)))=0,"",IF(ISERROR(MATCH(Stock!AF$1,'Stock UST'!$1:$1,0)),AE31,INDEX('Stock UST'!31:31,1,MATCH(Stock!AF$1,'Stock UST'!$1:$1,0))))</f>
        <v/>
      </c>
      <c r="AG31" s="9" t="str">
        <f ca="1">IF(IF(ISERROR(MATCH(Stock!AG$1,'Stock UST'!$1:$1,0)),AF31,INDEX('Stock UST'!31:31,1,MATCH(Stock!AG$1,'Stock UST'!$1:$1,0)))=0,"",IF(ISERROR(MATCH(Stock!AG$1,'Stock UST'!$1:$1,0)),AF31,INDEX('Stock UST'!31:31,1,MATCH(Stock!AG$1,'Stock UST'!$1:$1,0))))</f>
        <v/>
      </c>
      <c r="AH31" s="9" t="str">
        <f ca="1">IF(IF(ISERROR(MATCH(Stock!AH$1,'Stock UST'!$1:$1,0)),AG31,INDEX('Stock UST'!31:31,1,MATCH(Stock!AH$1,'Stock UST'!$1:$1,0)))=0,"",IF(ISERROR(MATCH(Stock!AH$1,'Stock UST'!$1:$1,0)),AG31,INDEX('Stock UST'!31:31,1,MATCH(Stock!AH$1,'Stock UST'!$1:$1,0))))</f>
        <v/>
      </c>
      <c r="AI31" s="9" t="str">
        <f ca="1">IF(IF(ISERROR(MATCH(Stock!AI$1,'Stock UST'!$1:$1,0)),AH31,INDEX('Stock UST'!31:31,1,MATCH(Stock!AI$1,'Stock UST'!$1:$1,0)))=0,"",IF(ISERROR(MATCH(Stock!AI$1,'Stock UST'!$1:$1,0)),AH31,INDEX('Stock UST'!31:31,1,MATCH(Stock!AI$1,'Stock UST'!$1:$1,0))))</f>
        <v/>
      </c>
      <c r="AJ31" s="9" t="str">
        <f ca="1">IF(IF(ISERROR(MATCH(Stock!AJ$1,'Stock UST'!$1:$1,0)),AI31,INDEX('Stock UST'!31:31,1,MATCH(Stock!AJ$1,'Stock UST'!$1:$1,0)))=0,"",IF(ISERROR(MATCH(Stock!AJ$1,'Stock UST'!$1:$1,0)),AI31,INDEX('Stock UST'!31:31,1,MATCH(Stock!AJ$1,'Stock UST'!$1:$1,0))))</f>
        <v/>
      </c>
      <c r="AK31" s="9" t="str">
        <f ca="1">IF(IF(ISERROR(MATCH(Stock!AK$1,'Stock UST'!$1:$1,0)),AJ31,INDEX('Stock UST'!31:31,1,MATCH(Stock!AK$1,'Stock UST'!$1:$1,0)))=0,"",IF(ISERROR(MATCH(Stock!AK$1,'Stock UST'!$1:$1,0)),AJ31,INDEX('Stock UST'!31:31,1,MATCH(Stock!AK$1,'Stock UST'!$1:$1,0))))</f>
        <v/>
      </c>
      <c r="AL31" s="9" t="str">
        <f ca="1">IF(IF(ISERROR(MATCH(Stock!AL$1,'Stock UST'!$1:$1,0)),AK31,INDEX('Stock UST'!31:31,1,MATCH(Stock!AL$1,'Stock UST'!$1:$1,0)))=0,"",IF(ISERROR(MATCH(Stock!AL$1,'Stock UST'!$1:$1,0)),AK31,INDEX('Stock UST'!31:31,1,MATCH(Stock!AL$1,'Stock UST'!$1:$1,0))))</f>
        <v/>
      </c>
      <c r="AM31" s="9" t="str">
        <f ca="1">IF(IF(ISERROR(MATCH(Stock!AM$1,'Stock UST'!$1:$1,0)),AL31,INDEX('Stock UST'!31:31,1,MATCH(Stock!AM$1,'Stock UST'!$1:$1,0)))=0,"",IF(ISERROR(MATCH(Stock!AM$1,'Stock UST'!$1:$1,0)),AL31,INDEX('Stock UST'!31:31,1,MATCH(Stock!AM$1,'Stock UST'!$1:$1,0))))</f>
        <v/>
      </c>
      <c r="AN31" s="9" t="str">
        <f ca="1">IF(IF(ISERROR(MATCH(Stock!AN$1,'Stock UST'!$1:$1,0)),AM31,INDEX('Stock UST'!31:31,1,MATCH(Stock!AN$1,'Stock UST'!$1:$1,0)))=0,"",IF(ISERROR(MATCH(Stock!AN$1,'Stock UST'!$1:$1,0)),AM31,INDEX('Stock UST'!31:31,1,MATCH(Stock!AN$1,'Stock UST'!$1:$1,0))))</f>
        <v/>
      </c>
      <c r="AO31" s="9" t="str">
        <f ca="1">IF(IF(ISERROR(MATCH(Stock!AO$1,'Stock UST'!$1:$1,0)),AN31,INDEX('Stock UST'!31:31,1,MATCH(Stock!AO$1,'Stock UST'!$1:$1,0)))=0,"",IF(ISERROR(MATCH(Stock!AO$1,'Stock UST'!$1:$1,0)),AN31,INDEX('Stock UST'!31:31,1,MATCH(Stock!AO$1,'Stock UST'!$1:$1,0))))</f>
        <v/>
      </c>
      <c r="AP31" s="9" t="str">
        <f ca="1">IF(IF(ISERROR(MATCH(Stock!AP$1,'Stock UST'!$1:$1,0)),AO31,INDEX('Stock UST'!31:31,1,MATCH(Stock!AP$1,'Stock UST'!$1:$1,0)))=0,"",IF(ISERROR(MATCH(Stock!AP$1,'Stock UST'!$1:$1,0)),AO31,INDEX('Stock UST'!31:31,1,MATCH(Stock!AP$1,'Stock UST'!$1:$1,0))))</f>
        <v/>
      </c>
      <c r="AQ31" s="9" t="str">
        <f ca="1">IF(IF(ISERROR(MATCH(Stock!AQ$1,'Stock UST'!$1:$1,0)),AP31,INDEX('Stock UST'!31:31,1,MATCH(Stock!AQ$1,'Stock UST'!$1:$1,0)))=0,"",IF(ISERROR(MATCH(Stock!AQ$1,'Stock UST'!$1:$1,0)),AP31,INDEX('Stock UST'!31:31,1,MATCH(Stock!AQ$1,'Stock UST'!$1:$1,0))))</f>
        <v/>
      </c>
      <c r="AR31" s="9" t="str">
        <f ca="1">IF(IF(ISERROR(MATCH(Stock!AR$1,'Stock UST'!$1:$1,0)),AQ31,INDEX('Stock UST'!31:31,1,MATCH(Stock!AR$1,'Stock UST'!$1:$1,0)))=0,"",IF(ISERROR(MATCH(Stock!AR$1,'Stock UST'!$1:$1,0)),AQ31,INDEX('Stock UST'!31:31,1,MATCH(Stock!AR$1,'Stock UST'!$1:$1,0))))</f>
        <v/>
      </c>
      <c r="AS31" s="9" t="str">
        <f ca="1">IF(IF(ISERROR(MATCH(Stock!AS$1,'Stock UST'!$1:$1,0)),AR31,INDEX('Stock UST'!31:31,1,MATCH(Stock!AS$1,'Stock UST'!$1:$1,0)))=0,"",IF(ISERROR(MATCH(Stock!AS$1,'Stock UST'!$1:$1,0)),AR31,INDEX('Stock UST'!31:31,1,MATCH(Stock!AS$1,'Stock UST'!$1:$1,0))))</f>
        <v/>
      </c>
      <c r="AT31" s="9" t="str">
        <f ca="1">IF(IF(ISERROR(MATCH(Stock!AT$1,'Stock UST'!$1:$1,0)),AS31,INDEX('Stock UST'!31:31,1,MATCH(Stock!AT$1,'Stock UST'!$1:$1,0)))=0,"",IF(ISERROR(MATCH(Stock!AT$1,'Stock UST'!$1:$1,0)),AS31,INDEX('Stock UST'!31:31,1,MATCH(Stock!AT$1,'Stock UST'!$1:$1,0))))</f>
        <v/>
      </c>
      <c r="AU31" s="9" t="str">
        <f ca="1">IF(IF(ISERROR(MATCH(Stock!AU$1,'Stock UST'!$1:$1,0)),AT31,INDEX('Stock UST'!31:31,1,MATCH(Stock!AU$1,'Stock UST'!$1:$1,0)))=0,"",IF(ISERROR(MATCH(Stock!AU$1,'Stock UST'!$1:$1,0)),AT31,INDEX('Stock UST'!31:31,1,MATCH(Stock!AU$1,'Stock UST'!$1:$1,0))))</f>
        <v/>
      </c>
      <c r="AV31" s="9" t="str">
        <f ca="1">IF(IF(ISERROR(MATCH(Stock!AV$1,'Stock UST'!$1:$1,0)),AU31,INDEX('Stock UST'!31:31,1,MATCH(Stock!AV$1,'Stock UST'!$1:$1,0)))=0,"",IF(ISERROR(MATCH(Stock!AV$1,'Stock UST'!$1:$1,0)),AU31,INDEX('Stock UST'!31:31,1,MATCH(Stock!AV$1,'Stock UST'!$1:$1,0))))</f>
        <v/>
      </c>
      <c r="AW31" s="9" t="str">
        <f ca="1">IF(IF(ISERROR(MATCH(Stock!AW$1,'Stock UST'!$1:$1,0)),AV31,INDEX('Stock UST'!31:31,1,MATCH(Stock!AW$1,'Stock UST'!$1:$1,0)))=0,"",IF(ISERROR(MATCH(Stock!AW$1,'Stock UST'!$1:$1,0)),AV31,INDEX('Stock UST'!31:31,1,MATCH(Stock!AW$1,'Stock UST'!$1:$1,0))))</f>
        <v/>
      </c>
      <c r="AX31" s="9" t="str">
        <f ca="1">IF(IF(ISERROR(MATCH(Stock!AX$1,'Stock UST'!$1:$1,0)),AW31,INDEX('Stock UST'!31:31,1,MATCH(Stock!AX$1,'Stock UST'!$1:$1,0)))=0,"",IF(ISERROR(MATCH(Stock!AX$1,'Stock UST'!$1:$1,0)),AW31,INDEX('Stock UST'!31:31,1,MATCH(Stock!AX$1,'Stock UST'!$1:$1,0))))</f>
        <v/>
      </c>
    </row>
    <row r="32" spans="1:50" x14ac:dyDescent="0.3">
      <c r="A32" s="9" t="str">
        <f>IF('Stock UST'!E33="","",'Stock UST'!E33)</f>
        <v/>
      </c>
      <c r="B32" s="9" t="str">
        <f>IF(IF(ISERROR(MATCH(Stock!B$1,'Stock UST'!$1:$1,0)),A32,INDEX('Stock UST'!32:32,1,MATCH(Stock!B$1,'Stock UST'!$1:$1,0)))=0,"",IF(ISERROR(MATCH(Stock!B$1,'Stock UST'!$1:$1,0)),A32,INDEX('Stock UST'!32:32,1,MATCH(Stock!B$1,'Stock UST'!$1:$1,0))))</f>
        <v/>
      </c>
      <c r="C32" s="9" t="str">
        <f ca="1">IF(IF(ISERROR(MATCH(Stock!C$1,'Stock UST'!$1:$1,0)),B32,INDEX('Stock UST'!32:32,1,MATCH(Stock!C$1,'Stock UST'!$1:$1,0)))=0,"",IF(ISERROR(MATCH(Stock!C$1,'Stock UST'!$1:$1,0)),B32,INDEX('Stock UST'!32:32,1,MATCH(Stock!C$1,'Stock UST'!$1:$1,0))))</f>
        <v/>
      </c>
      <c r="D32" s="9" t="str">
        <f ca="1">IF(IF(ISERROR(MATCH(Stock!D$1,'Stock UST'!$1:$1,0)),C32,INDEX('Stock UST'!32:32,1,MATCH(Stock!D$1,'Stock UST'!$1:$1,0)))=0,"",IF(ISERROR(MATCH(Stock!D$1,'Stock UST'!$1:$1,0)),C32,INDEX('Stock UST'!32:32,1,MATCH(Stock!D$1,'Stock UST'!$1:$1,0))))</f>
        <v/>
      </c>
      <c r="E32" s="9" t="str">
        <f ca="1">IF(IF(ISERROR(MATCH(Stock!E$1,'Stock UST'!$1:$1,0)),D32,INDEX('Stock UST'!32:32,1,MATCH(Stock!E$1,'Stock UST'!$1:$1,0)))=0,"",IF(ISERROR(MATCH(Stock!E$1,'Stock UST'!$1:$1,0)),D32,INDEX('Stock UST'!32:32,1,MATCH(Stock!E$1,'Stock UST'!$1:$1,0))))</f>
        <v/>
      </c>
      <c r="F32" s="9" t="str">
        <f ca="1">IF(IF(ISERROR(MATCH(Stock!F$1,'Stock UST'!$1:$1,0)),E32,INDEX('Stock UST'!32:32,1,MATCH(Stock!F$1,'Stock UST'!$1:$1,0)))=0,"",IF(ISERROR(MATCH(Stock!F$1,'Stock UST'!$1:$1,0)),E32,INDEX('Stock UST'!32:32,1,MATCH(Stock!F$1,'Stock UST'!$1:$1,0))))</f>
        <v/>
      </c>
      <c r="G32" s="9" t="str">
        <f ca="1">IF(IF(ISERROR(MATCH(Stock!G$1,'Stock UST'!$1:$1,0)),F32,INDEX('Stock UST'!32:32,1,MATCH(Stock!G$1,'Stock UST'!$1:$1,0)))=0,"",IF(ISERROR(MATCH(Stock!G$1,'Stock UST'!$1:$1,0)),F32,INDEX('Stock UST'!32:32,1,MATCH(Stock!G$1,'Stock UST'!$1:$1,0))))</f>
        <v/>
      </c>
      <c r="H32" s="9" t="str">
        <f ca="1">IF(IF(ISERROR(MATCH(Stock!H$1,'Stock UST'!$1:$1,0)),G32,INDEX('Stock UST'!32:32,1,MATCH(Stock!H$1,'Stock UST'!$1:$1,0)))=0,"",IF(ISERROR(MATCH(Stock!H$1,'Stock UST'!$1:$1,0)),G32,INDEX('Stock UST'!32:32,1,MATCH(Stock!H$1,'Stock UST'!$1:$1,0))))</f>
        <v/>
      </c>
      <c r="I32" s="9" t="str">
        <f ca="1">IF(IF(ISERROR(MATCH(Stock!I$1,'Stock UST'!$1:$1,0)),H32,INDEX('Stock UST'!32:32,1,MATCH(Stock!I$1,'Stock UST'!$1:$1,0)))=0,"",IF(ISERROR(MATCH(Stock!I$1,'Stock UST'!$1:$1,0)),H32,INDEX('Stock UST'!32:32,1,MATCH(Stock!I$1,'Stock UST'!$1:$1,0))))</f>
        <v/>
      </c>
      <c r="J32" s="9" t="str">
        <f ca="1">IF(IF(ISERROR(MATCH(Stock!J$1,'Stock UST'!$1:$1,0)),I32,INDEX('Stock UST'!32:32,1,MATCH(Stock!J$1,'Stock UST'!$1:$1,0)))=0,"",IF(ISERROR(MATCH(Stock!J$1,'Stock UST'!$1:$1,0)),I32,INDEX('Stock UST'!32:32,1,MATCH(Stock!J$1,'Stock UST'!$1:$1,0))))</f>
        <v/>
      </c>
      <c r="K32" s="9" t="str">
        <f ca="1">IF(IF(ISERROR(MATCH(Stock!K$1,'Stock UST'!$1:$1,0)),J32,INDEX('Stock UST'!32:32,1,MATCH(Stock!K$1,'Stock UST'!$1:$1,0)))=0,"",IF(ISERROR(MATCH(Stock!K$1,'Stock UST'!$1:$1,0)),J32,INDEX('Stock UST'!32:32,1,MATCH(Stock!K$1,'Stock UST'!$1:$1,0))))</f>
        <v/>
      </c>
      <c r="L32" s="9" t="str">
        <f ca="1">IF(IF(ISERROR(MATCH(Stock!L$1,'Stock UST'!$1:$1,0)),K32,INDEX('Stock UST'!32:32,1,MATCH(Stock!L$1,'Stock UST'!$1:$1,0)))=0,"",IF(ISERROR(MATCH(Stock!L$1,'Stock UST'!$1:$1,0)),K32,INDEX('Stock UST'!32:32,1,MATCH(Stock!L$1,'Stock UST'!$1:$1,0))))</f>
        <v/>
      </c>
      <c r="M32" s="9" t="str">
        <f ca="1">IF(IF(ISERROR(MATCH(Stock!M$1,'Stock UST'!$1:$1,0)),L32,INDEX('Stock UST'!32:32,1,MATCH(Stock!M$1,'Stock UST'!$1:$1,0)))=0,"",IF(ISERROR(MATCH(Stock!M$1,'Stock UST'!$1:$1,0)),L32,INDEX('Stock UST'!32:32,1,MATCH(Stock!M$1,'Stock UST'!$1:$1,0))))</f>
        <v/>
      </c>
      <c r="N32" s="9" t="str">
        <f ca="1">IF(IF(ISERROR(MATCH(Stock!N$1,'Stock UST'!$1:$1,0)),M32,INDEX('Stock UST'!32:32,1,MATCH(Stock!N$1,'Stock UST'!$1:$1,0)))=0,"",IF(ISERROR(MATCH(Stock!N$1,'Stock UST'!$1:$1,0)),M32,INDEX('Stock UST'!32:32,1,MATCH(Stock!N$1,'Stock UST'!$1:$1,0))))</f>
        <v/>
      </c>
      <c r="O32" s="9" t="str">
        <f ca="1">IF(IF(ISERROR(MATCH(Stock!O$1,'Stock UST'!$1:$1,0)),N32,INDEX('Stock UST'!32:32,1,MATCH(Stock!O$1,'Stock UST'!$1:$1,0)))=0,"",IF(ISERROR(MATCH(Stock!O$1,'Stock UST'!$1:$1,0)),N32,INDEX('Stock UST'!32:32,1,MATCH(Stock!O$1,'Stock UST'!$1:$1,0))))</f>
        <v/>
      </c>
      <c r="P32" s="9" t="str">
        <f ca="1">IF(IF(ISERROR(MATCH(Stock!P$1,'Stock UST'!$1:$1,0)),O32,INDEX('Stock UST'!32:32,1,MATCH(Stock!P$1,'Stock UST'!$1:$1,0)))=0,"",IF(ISERROR(MATCH(Stock!P$1,'Stock UST'!$1:$1,0)),O32,INDEX('Stock UST'!32:32,1,MATCH(Stock!P$1,'Stock UST'!$1:$1,0))))</f>
        <v/>
      </c>
      <c r="Q32" s="9" t="str">
        <f ca="1">IF(IF(ISERROR(MATCH(Stock!Q$1,'Stock UST'!$1:$1,0)),P32,INDEX('Stock UST'!32:32,1,MATCH(Stock!Q$1,'Stock UST'!$1:$1,0)))=0,"",IF(ISERROR(MATCH(Stock!Q$1,'Stock UST'!$1:$1,0)),P32,INDEX('Stock UST'!32:32,1,MATCH(Stock!Q$1,'Stock UST'!$1:$1,0))))</f>
        <v/>
      </c>
      <c r="R32" s="9" t="str">
        <f ca="1">IF(IF(ISERROR(MATCH(Stock!R$1,'Stock UST'!$1:$1,0)),Q32,INDEX('Stock UST'!32:32,1,MATCH(Stock!R$1,'Stock UST'!$1:$1,0)))=0,"",IF(ISERROR(MATCH(Stock!R$1,'Stock UST'!$1:$1,0)),Q32,INDEX('Stock UST'!32:32,1,MATCH(Stock!R$1,'Stock UST'!$1:$1,0))))</f>
        <v/>
      </c>
      <c r="S32" s="9" t="str">
        <f ca="1">IF(IF(ISERROR(MATCH(Stock!S$1,'Stock UST'!$1:$1,0)),R32,INDEX('Stock UST'!32:32,1,MATCH(Stock!S$1,'Stock UST'!$1:$1,0)))=0,"",IF(ISERROR(MATCH(Stock!S$1,'Stock UST'!$1:$1,0)),R32,INDEX('Stock UST'!32:32,1,MATCH(Stock!S$1,'Stock UST'!$1:$1,0))))</f>
        <v/>
      </c>
      <c r="T32" s="9" t="str">
        <f ca="1">IF(IF(ISERROR(MATCH(Stock!T$1,'Stock UST'!$1:$1,0)),S32,INDEX('Stock UST'!32:32,1,MATCH(Stock!T$1,'Stock UST'!$1:$1,0)))=0,"",IF(ISERROR(MATCH(Stock!T$1,'Stock UST'!$1:$1,0)),S32,INDEX('Stock UST'!32:32,1,MATCH(Stock!T$1,'Stock UST'!$1:$1,0))))</f>
        <v/>
      </c>
      <c r="U32" s="9" t="str">
        <f ca="1">IF(IF(ISERROR(MATCH(Stock!U$1,'Stock UST'!$1:$1,0)),T32,INDEX('Stock UST'!32:32,1,MATCH(Stock!U$1,'Stock UST'!$1:$1,0)))=0,"",IF(ISERROR(MATCH(Stock!U$1,'Stock UST'!$1:$1,0)),T32,INDEX('Stock UST'!32:32,1,MATCH(Stock!U$1,'Stock UST'!$1:$1,0))))</f>
        <v/>
      </c>
      <c r="V32" s="9" t="str">
        <f ca="1">IF(IF(ISERROR(MATCH(Stock!V$1,'Stock UST'!$1:$1,0)),U32,INDEX('Stock UST'!32:32,1,MATCH(Stock!V$1,'Stock UST'!$1:$1,0)))=0,"",IF(ISERROR(MATCH(Stock!V$1,'Stock UST'!$1:$1,0)),U32,INDEX('Stock UST'!32:32,1,MATCH(Stock!V$1,'Stock UST'!$1:$1,0))))</f>
        <v/>
      </c>
      <c r="W32" s="9" t="str">
        <f ca="1">IF(IF(ISERROR(MATCH(Stock!W$1,'Stock UST'!$1:$1,0)),V32,INDEX('Stock UST'!32:32,1,MATCH(Stock!W$1,'Stock UST'!$1:$1,0)))=0,"",IF(ISERROR(MATCH(Stock!W$1,'Stock UST'!$1:$1,0)),V32,INDEX('Stock UST'!32:32,1,MATCH(Stock!W$1,'Stock UST'!$1:$1,0))))</f>
        <v/>
      </c>
      <c r="X32" s="9" t="str">
        <f ca="1">IF(IF(ISERROR(MATCH(Stock!X$1,'Stock UST'!$1:$1,0)),W32,INDEX('Stock UST'!32:32,1,MATCH(Stock!X$1,'Stock UST'!$1:$1,0)))=0,"",IF(ISERROR(MATCH(Stock!X$1,'Stock UST'!$1:$1,0)),W32,INDEX('Stock UST'!32:32,1,MATCH(Stock!X$1,'Stock UST'!$1:$1,0))))</f>
        <v/>
      </c>
      <c r="Y32" s="9" t="str">
        <f ca="1">IF(IF(ISERROR(MATCH(Stock!Y$1,'Stock UST'!$1:$1,0)),X32,INDEX('Stock UST'!32:32,1,MATCH(Stock!Y$1,'Stock UST'!$1:$1,0)))=0,"",IF(ISERROR(MATCH(Stock!Y$1,'Stock UST'!$1:$1,0)),X32,INDEX('Stock UST'!32:32,1,MATCH(Stock!Y$1,'Stock UST'!$1:$1,0))))</f>
        <v/>
      </c>
      <c r="Z32" s="9" t="str">
        <f ca="1">IF(IF(ISERROR(MATCH(Stock!Z$1,'Stock UST'!$1:$1,0)),Y32,INDEX('Stock UST'!32:32,1,MATCH(Stock!Z$1,'Stock UST'!$1:$1,0)))=0,"",IF(ISERROR(MATCH(Stock!Z$1,'Stock UST'!$1:$1,0)),Y32,INDEX('Stock UST'!32:32,1,MATCH(Stock!Z$1,'Stock UST'!$1:$1,0))))</f>
        <v/>
      </c>
      <c r="AA32" s="9" t="str">
        <f ca="1">IF(IF(ISERROR(MATCH(Stock!AA$1,'Stock UST'!$1:$1,0)),Z32,INDEX('Stock UST'!32:32,1,MATCH(Stock!AA$1,'Stock UST'!$1:$1,0)))=0,"",IF(ISERROR(MATCH(Stock!AA$1,'Stock UST'!$1:$1,0)),Z32,INDEX('Stock UST'!32:32,1,MATCH(Stock!AA$1,'Stock UST'!$1:$1,0))))</f>
        <v/>
      </c>
      <c r="AB32" s="9" t="str">
        <f ca="1">IF(IF(ISERROR(MATCH(Stock!AB$1,'Stock UST'!$1:$1,0)),AA32,INDEX('Stock UST'!32:32,1,MATCH(Stock!AB$1,'Stock UST'!$1:$1,0)))=0,"",IF(ISERROR(MATCH(Stock!AB$1,'Stock UST'!$1:$1,0)),AA32,INDEX('Stock UST'!32:32,1,MATCH(Stock!AB$1,'Stock UST'!$1:$1,0))))</f>
        <v/>
      </c>
      <c r="AC32" s="9" t="str">
        <f ca="1">IF(IF(ISERROR(MATCH(Stock!AC$1,'Stock UST'!$1:$1,0)),AB32,INDEX('Stock UST'!32:32,1,MATCH(Stock!AC$1,'Stock UST'!$1:$1,0)))=0,"",IF(ISERROR(MATCH(Stock!AC$1,'Stock UST'!$1:$1,0)),AB32,INDEX('Stock UST'!32:32,1,MATCH(Stock!AC$1,'Stock UST'!$1:$1,0))))</f>
        <v/>
      </c>
      <c r="AD32" s="9" t="str">
        <f ca="1">IF(IF(ISERROR(MATCH(Stock!AD$1,'Stock UST'!$1:$1,0)),AC32,INDEX('Stock UST'!32:32,1,MATCH(Stock!AD$1,'Stock UST'!$1:$1,0)))=0,"",IF(ISERROR(MATCH(Stock!AD$1,'Stock UST'!$1:$1,0)),AC32,INDEX('Stock UST'!32:32,1,MATCH(Stock!AD$1,'Stock UST'!$1:$1,0))))</f>
        <v/>
      </c>
      <c r="AE32" s="9" t="str">
        <f ca="1">IF(IF(ISERROR(MATCH(Stock!AE$1,'Stock UST'!$1:$1,0)),AD32,INDEX('Stock UST'!32:32,1,MATCH(Stock!AE$1,'Stock UST'!$1:$1,0)))=0,"",IF(ISERROR(MATCH(Stock!AE$1,'Stock UST'!$1:$1,0)),AD32,INDEX('Stock UST'!32:32,1,MATCH(Stock!AE$1,'Stock UST'!$1:$1,0))))</f>
        <v/>
      </c>
      <c r="AF32" s="9" t="str">
        <f ca="1">IF(IF(ISERROR(MATCH(Stock!AF$1,'Stock UST'!$1:$1,0)),AE32,INDEX('Stock UST'!32:32,1,MATCH(Stock!AF$1,'Stock UST'!$1:$1,0)))=0,"",IF(ISERROR(MATCH(Stock!AF$1,'Stock UST'!$1:$1,0)),AE32,INDEX('Stock UST'!32:32,1,MATCH(Stock!AF$1,'Stock UST'!$1:$1,0))))</f>
        <v/>
      </c>
      <c r="AG32" s="9" t="str">
        <f ca="1">IF(IF(ISERROR(MATCH(Stock!AG$1,'Stock UST'!$1:$1,0)),AF32,INDEX('Stock UST'!32:32,1,MATCH(Stock!AG$1,'Stock UST'!$1:$1,0)))=0,"",IF(ISERROR(MATCH(Stock!AG$1,'Stock UST'!$1:$1,0)),AF32,INDEX('Stock UST'!32:32,1,MATCH(Stock!AG$1,'Stock UST'!$1:$1,0))))</f>
        <v/>
      </c>
      <c r="AH32" s="9" t="str">
        <f ca="1">IF(IF(ISERROR(MATCH(Stock!AH$1,'Stock UST'!$1:$1,0)),AG32,INDEX('Stock UST'!32:32,1,MATCH(Stock!AH$1,'Stock UST'!$1:$1,0)))=0,"",IF(ISERROR(MATCH(Stock!AH$1,'Stock UST'!$1:$1,0)),AG32,INDEX('Stock UST'!32:32,1,MATCH(Stock!AH$1,'Stock UST'!$1:$1,0))))</f>
        <v/>
      </c>
      <c r="AI32" s="9" t="str">
        <f ca="1">IF(IF(ISERROR(MATCH(Stock!AI$1,'Stock UST'!$1:$1,0)),AH32,INDEX('Stock UST'!32:32,1,MATCH(Stock!AI$1,'Stock UST'!$1:$1,0)))=0,"",IF(ISERROR(MATCH(Stock!AI$1,'Stock UST'!$1:$1,0)),AH32,INDEX('Stock UST'!32:32,1,MATCH(Stock!AI$1,'Stock UST'!$1:$1,0))))</f>
        <v/>
      </c>
      <c r="AJ32" s="9" t="str">
        <f ca="1">IF(IF(ISERROR(MATCH(Stock!AJ$1,'Stock UST'!$1:$1,0)),AI32,INDEX('Stock UST'!32:32,1,MATCH(Stock!AJ$1,'Stock UST'!$1:$1,0)))=0,"",IF(ISERROR(MATCH(Stock!AJ$1,'Stock UST'!$1:$1,0)),AI32,INDEX('Stock UST'!32:32,1,MATCH(Stock!AJ$1,'Stock UST'!$1:$1,0))))</f>
        <v/>
      </c>
      <c r="AK32" s="9" t="str">
        <f ca="1">IF(IF(ISERROR(MATCH(Stock!AK$1,'Stock UST'!$1:$1,0)),AJ32,INDEX('Stock UST'!32:32,1,MATCH(Stock!AK$1,'Stock UST'!$1:$1,0)))=0,"",IF(ISERROR(MATCH(Stock!AK$1,'Stock UST'!$1:$1,0)),AJ32,INDEX('Stock UST'!32:32,1,MATCH(Stock!AK$1,'Stock UST'!$1:$1,0))))</f>
        <v/>
      </c>
      <c r="AL32" s="9" t="str">
        <f ca="1">IF(IF(ISERROR(MATCH(Stock!AL$1,'Stock UST'!$1:$1,0)),AK32,INDEX('Stock UST'!32:32,1,MATCH(Stock!AL$1,'Stock UST'!$1:$1,0)))=0,"",IF(ISERROR(MATCH(Stock!AL$1,'Stock UST'!$1:$1,0)),AK32,INDEX('Stock UST'!32:32,1,MATCH(Stock!AL$1,'Stock UST'!$1:$1,0))))</f>
        <v/>
      </c>
      <c r="AM32" s="9" t="str">
        <f ca="1">IF(IF(ISERROR(MATCH(Stock!AM$1,'Stock UST'!$1:$1,0)),AL32,INDEX('Stock UST'!32:32,1,MATCH(Stock!AM$1,'Stock UST'!$1:$1,0)))=0,"",IF(ISERROR(MATCH(Stock!AM$1,'Stock UST'!$1:$1,0)),AL32,INDEX('Stock UST'!32:32,1,MATCH(Stock!AM$1,'Stock UST'!$1:$1,0))))</f>
        <v/>
      </c>
      <c r="AN32" s="9" t="str">
        <f ca="1">IF(IF(ISERROR(MATCH(Stock!AN$1,'Stock UST'!$1:$1,0)),AM32,INDEX('Stock UST'!32:32,1,MATCH(Stock!AN$1,'Stock UST'!$1:$1,0)))=0,"",IF(ISERROR(MATCH(Stock!AN$1,'Stock UST'!$1:$1,0)),AM32,INDEX('Stock UST'!32:32,1,MATCH(Stock!AN$1,'Stock UST'!$1:$1,0))))</f>
        <v/>
      </c>
      <c r="AO32" s="9" t="str">
        <f ca="1">IF(IF(ISERROR(MATCH(Stock!AO$1,'Stock UST'!$1:$1,0)),AN32,INDEX('Stock UST'!32:32,1,MATCH(Stock!AO$1,'Stock UST'!$1:$1,0)))=0,"",IF(ISERROR(MATCH(Stock!AO$1,'Stock UST'!$1:$1,0)),AN32,INDEX('Stock UST'!32:32,1,MATCH(Stock!AO$1,'Stock UST'!$1:$1,0))))</f>
        <v/>
      </c>
      <c r="AP32" s="9" t="str">
        <f ca="1">IF(IF(ISERROR(MATCH(Stock!AP$1,'Stock UST'!$1:$1,0)),AO32,INDEX('Stock UST'!32:32,1,MATCH(Stock!AP$1,'Stock UST'!$1:$1,0)))=0,"",IF(ISERROR(MATCH(Stock!AP$1,'Stock UST'!$1:$1,0)),AO32,INDEX('Stock UST'!32:32,1,MATCH(Stock!AP$1,'Stock UST'!$1:$1,0))))</f>
        <v/>
      </c>
      <c r="AQ32" s="9" t="str">
        <f ca="1">IF(IF(ISERROR(MATCH(Stock!AQ$1,'Stock UST'!$1:$1,0)),AP32,INDEX('Stock UST'!32:32,1,MATCH(Stock!AQ$1,'Stock UST'!$1:$1,0)))=0,"",IF(ISERROR(MATCH(Stock!AQ$1,'Stock UST'!$1:$1,0)),AP32,INDEX('Stock UST'!32:32,1,MATCH(Stock!AQ$1,'Stock UST'!$1:$1,0))))</f>
        <v/>
      </c>
      <c r="AR32" s="9" t="str">
        <f ca="1">IF(IF(ISERROR(MATCH(Stock!AR$1,'Stock UST'!$1:$1,0)),AQ32,INDEX('Stock UST'!32:32,1,MATCH(Stock!AR$1,'Stock UST'!$1:$1,0)))=0,"",IF(ISERROR(MATCH(Stock!AR$1,'Stock UST'!$1:$1,0)),AQ32,INDEX('Stock UST'!32:32,1,MATCH(Stock!AR$1,'Stock UST'!$1:$1,0))))</f>
        <v/>
      </c>
      <c r="AS32" s="9" t="str">
        <f ca="1">IF(IF(ISERROR(MATCH(Stock!AS$1,'Stock UST'!$1:$1,0)),AR32,INDEX('Stock UST'!32:32,1,MATCH(Stock!AS$1,'Stock UST'!$1:$1,0)))=0,"",IF(ISERROR(MATCH(Stock!AS$1,'Stock UST'!$1:$1,0)),AR32,INDEX('Stock UST'!32:32,1,MATCH(Stock!AS$1,'Stock UST'!$1:$1,0))))</f>
        <v/>
      </c>
      <c r="AT32" s="9" t="str">
        <f ca="1">IF(IF(ISERROR(MATCH(Stock!AT$1,'Stock UST'!$1:$1,0)),AS32,INDEX('Stock UST'!32:32,1,MATCH(Stock!AT$1,'Stock UST'!$1:$1,0)))=0,"",IF(ISERROR(MATCH(Stock!AT$1,'Stock UST'!$1:$1,0)),AS32,INDEX('Stock UST'!32:32,1,MATCH(Stock!AT$1,'Stock UST'!$1:$1,0))))</f>
        <v/>
      </c>
      <c r="AU32" s="9" t="str">
        <f ca="1">IF(IF(ISERROR(MATCH(Stock!AU$1,'Stock UST'!$1:$1,0)),AT32,INDEX('Stock UST'!32:32,1,MATCH(Stock!AU$1,'Stock UST'!$1:$1,0)))=0,"",IF(ISERROR(MATCH(Stock!AU$1,'Stock UST'!$1:$1,0)),AT32,INDEX('Stock UST'!32:32,1,MATCH(Stock!AU$1,'Stock UST'!$1:$1,0))))</f>
        <v/>
      </c>
      <c r="AV32" s="9" t="str">
        <f ca="1">IF(IF(ISERROR(MATCH(Stock!AV$1,'Stock UST'!$1:$1,0)),AU32,INDEX('Stock UST'!32:32,1,MATCH(Stock!AV$1,'Stock UST'!$1:$1,0)))=0,"",IF(ISERROR(MATCH(Stock!AV$1,'Stock UST'!$1:$1,0)),AU32,INDEX('Stock UST'!32:32,1,MATCH(Stock!AV$1,'Stock UST'!$1:$1,0))))</f>
        <v/>
      </c>
      <c r="AW32" s="9" t="str">
        <f ca="1">IF(IF(ISERROR(MATCH(Stock!AW$1,'Stock UST'!$1:$1,0)),AV32,INDEX('Stock UST'!32:32,1,MATCH(Stock!AW$1,'Stock UST'!$1:$1,0)))=0,"",IF(ISERROR(MATCH(Stock!AW$1,'Stock UST'!$1:$1,0)),AV32,INDEX('Stock UST'!32:32,1,MATCH(Stock!AW$1,'Stock UST'!$1:$1,0))))</f>
        <v/>
      </c>
      <c r="AX32" s="9" t="str">
        <f ca="1">IF(IF(ISERROR(MATCH(Stock!AX$1,'Stock UST'!$1:$1,0)),AW32,INDEX('Stock UST'!32:32,1,MATCH(Stock!AX$1,'Stock UST'!$1:$1,0)))=0,"",IF(ISERROR(MATCH(Stock!AX$1,'Stock UST'!$1:$1,0)),AW32,INDEX('Stock UST'!32:32,1,MATCH(Stock!AX$1,'Stock UST'!$1:$1,0))))</f>
        <v/>
      </c>
    </row>
    <row r="33" spans="1:50" x14ac:dyDescent="0.3">
      <c r="A33" s="9" t="str">
        <f>IF('Stock UST'!E34="","",'Stock UST'!E34)</f>
        <v/>
      </c>
      <c r="B33" s="9" t="str">
        <f>IF(IF(ISERROR(MATCH(Stock!B$1,'Stock UST'!$1:$1,0)),A33,INDEX('Stock UST'!33:33,1,MATCH(Stock!B$1,'Stock UST'!$1:$1,0)))=0,"",IF(ISERROR(MATCH(Stock!B$1,'Stock UST'!$1:$1,0)),A33,INDEX('Stock UST'!33:33,1,MATCH(Stock!B$1,'Stock UST'!$1:$1,0))))</f>
        <v/>
      </c>
      <c r="C33" s="9" t="str">
        <f ca="1">IF(IF(ISERROR(MATCH(Stock!C$1,'Stock UST'!$1:$1,0)),B33,INDEX('Stock UST'!33:33,1,MATCH(Stock!C$1,'Stock UST'!$1:$1,0)))=0,"",IF(ISERROR(MATCH(Stock!C$1,'Stock UST'!$1:$1,0)),B33,INDEX('Stock UST'!33:33,1,MATCH(Stock!C$1,'Stock UST'!$1:$1,0))))</f>
        <v/>
      </c>
      <c r="D33" s="9" t="str">
        <f ca="1">IF(IF(ISERROR(MATCH(Stock!D$1,'Stock UST'!$1:$1,0)),C33,INDEX('Stock UST'!33:33,1,MATCH(Stock!D$1,'Stock UST'!$1:$1,0)))=0,"",IF(ISERROR(MATCH(Stock!D$1,'Stock UST'!$1:$1,0)),C33,INDEX('Stock UST'!33:33,1,MATCH(Stock!D$1,'Stock UST'!$1:$1,0))))</f>
        <v/>
      </c>
      <c r="E33" s="9" t="str">
        <f ca="1">IF(IF(ISERROR(MATCH(Stock!E$1,'Stock UST'!$1:$1,0)),D33,INDEX('Stock UST'!33:33,1,MATCH(Stock!E$1,'Stock UST'!$1:$1,0)))=0,"",IF(ISERROR(MATCH(Stock!E$1,'Stock UST'!$1:$1,0)),D33,INDEX('Stock UST'!33:33,1,MATCH(Stock!E$1,'Stock UST'!$1:$1,0))))</f>
        <v/>
      </c>
      <c r="F33" s="9" t="str">
        <f ca="1">IF(IF(ISERROR(MATCH(Stock!F$1,'Stock UST'!$1:$1,0)),E33,INDEX('Stock UST'!33:33,1,MATCH(Stock!F$1,'Stock UST'!$1:$1,0)))=0,"",IF(ISERROR(MATCH(Stock!F$1,'Stock UST'!$1:$1,0)),E33,INDEX('Stock UST'!33:33,1,MATCH(Stock!F$1,'Stock UST'!$1:$1,0))))</f>
        <v/>
      </c>
      <c r="G33" s="9" t="str">
        <f ca="1">IF(IF(ISERROR(MATCH(Stock!G$1,'Stock UST'!$1:$1,0)),F33,INDEX('Stock UST'!33:33,1,MATCH(Stock!G$1,'Stock UST'!$1:$1,0)))=0,"",IF(ISERROR(MATCH(Stock!G$1,'Stock UST'!$1:$1,0)),F33,INDEX('Stock UST'!33:33,1,MATCH(Stock!G$1,'Stock UST'!$1:$1,0))))</f>
        <v/>
      </c>
      <c r="H33" s="9" t="str">
        <f ca="1">IF(IF(ISERROR(MATCH(Stock!H$1,'Stock UST'!$1:$1,0)),G33,INDEX('Stock UST'!33:33,1,MATCH(Stock!H$1,'Stock UST'!$1:$1,0)))=0,"",IF(ISERROR(MATCH(Stock!H$1,'Stock UST'!$1:$1,0)),G33,INDEX('Stock UST'!33:33,1,MATCH(Stock!H$1,'Stock UST'!$1:$1,0))))</f>
        <v/>
      </c>
      <c r="I33" s="9" t="str">
        <f ca="1">IF(IF(ISERROR(MATCH(Stock!I$1,'Stock UST'!$1:$1,0)),H33,INDEX('Stock UST'!33:33,1,MATCH(Stock!I$1,'Stock UST'!$1:$1,0)))=0,"",IF(ISERROR(MATCH(Stock!I$1,'Stock UST'!$1:$1,0)),H33,INDEX('Stock UST'!33:33,1,MATCH(Stock!I$1,'Stock UST'!$1:$1,0))))</f>
        <v/>
      </c>
      <c r="J33" s="9" t="str">
        <f ca="1">IF(IF(ISERROR(MATCH(Stock!J$1,'Stock UST'!$1:$1,0)),I33,INDEX('Stock UST'!33:33,1,MATCH(Stock!J$1,'Stock UST'!$1:$1,0)))=0,"",IF(ISERROR(MATCH(Stock!J$1,'Stock UST'!$1:$1,0)),I33,INDEX('Stock UST'!33:33,1,MATCH(Stock!J$1,'Stock UST'!$1:$1,0))))</f>
        <v/>
      </c>
      <c r="K33" s="9" t="str">
        <f ca="1">IF(IF(ISERROR(MATCH(Stock!K$1,'Stock UST'!$1:$1,0)),J33,INDEX('Stock UST'!33:33,1,MATCH(Stock!K$1,'Stock UST'!$1:$1,0)))=0,"",IF(ISERROR(MATCH(Stock!K$1,'Stock UST'!$1:$1,0)),J33,INDEX('Stock UST'!33:33,1,MATCH(Stock!K$1,'Stock UST'!$1:$1,0))))</f>
        <v/>
      </c>
      <c r="L33" s="9" t="str">
        <f ca="1">IF(IF(ISERROR(MATCH(Stock!L$1,'Stock UST'!$1:$1,0)),K33,INDEX('Stock UST'!33:33,1,MATCH(Stock!L$1,'Stock UST'!$1:$1,0)))=0,"",IF(ISERROR(MATCH(Stock!L$1,'Stock UST'!$1:$1,0)),K33,INDEX('Stock UST'!33:33,1,MATCH(Stock!L$1,'Stock UST'!$1:$1,0))))</f>
        <v/>
      </c>
      <c r="M33" s="9" t="str">
        <f ca="1">IF(IF(ISERROR(MATCH(Stock!M$1,'Stock UST'!$1:$1,0)),L33,INDEX('Stock UST'!33:33,1,MATCH(Stock!M$1,'Stock UST'!$1:$1,0)))=0,"",IF(ISERROR(MATCH(Stock!M$1,'Stock UST'!$1:$1,0)),L33,INDEX('Stock UST'!33:33,1,MATCH(Stock!M$1,'Stock UST'!$1:$1,0))))</f>
        <v/>
      </c>
      <c r="N33" s="9" t="str">
        <f ca="1">IF(IF(ISERROR(MATCH(Stock!N$1,'Stock UST'!$1:$1,0)),M33,INDEX('Stock UST'!33:33,1,MATCH(Stock!N$1,'Stock UST'!$1:$1,0)))=0,"",IF(ISERROR(MATCH(Stock!N$1,'Stock UST'!$1:$1,0)),M33,INDEX('Stock UST'!33:33,1,MATCH(Stock!N$1,'Stock UST'!$1:$1,0))))</f>
        <v/>
      </c>
      <c r="O33" s="9" t="str">
        <f ca="1">IF(IF(ISERROR(MATCH(Stock!O$1,'Stock UST'!$1:$1,0)),N33,INDEX('Stock UST'!33:33,1,MATCH(Stock!O$1,'Stock UST'!$1:$1,0)))=0,"",IF(ISERROR(MATCH(Stock!O$1,'Stock UST'!$1:$1,0)),N33,INDEX('Stock UST'!33:33,1,MATCH(Stock!O$1,'Stock UST'!$1:$1,0))))</f>
        <v/>
      </c>
      <c r="P33" s="9" t="str">
        <f ca="1">IF(IF(ISERROR(MATCH(Stock!P$1,'Stock UST'!$1:$1,0)),O33,INDEX('Stock UST'!33:33,1,MATCH(Stock!P$1,'Stock UST'!$1:$1,0)))=0,"",IF(ISERROR(MATCH(Stock!P$1,'Stock UST'!$1:$1,0)),O33,INDEX('Stock UST'!33:33,1,MATCH(Stock!P$1,'Stock UST'!$1:$1,0))))</f>
        <v/>
      </c>
      <c r="Q33" s="9" t="str">
        <f ca="1">IF(IF(ISERROR(MATCH(Stock!Q$1,'Stock UST'!$1:$1,0)),P33,INDEX('Stock UST'!33:33,1,MATCH(Stock!Q$1,'Stock UST'!$1:$1,0)))=0,"",IF(ISERROR(MATCH(Stock!Q$1,'Stock UST'!$1:$1,0)),P33,INDEX('Stock UST'!33:33,1,MATCH(Stock!Q$1,'Stock UST'!$1:$1,0))))</f>
        <v/>
      </c>
      <c r="R33" s="9" t="str">
        <f ca="1">IF(IF(ISERROR(MATCH(Stock!R$1,'Stock UST'!$1:$1,0)),Q33,INDEX('Stock UST'!33:33,1,MATCH(Stock!R$1,'Stock UST'!$1:$1,0)))=0,"",IF(ISERROR(MATCH(Stock!R$1,'Stock UST'!$1:$1,0)),Q33,INDEX('Stock UST'!33:33,1,MATCH(Stock!R$1,'Stock UST'!$1:$1,0))))</f>
        <v/>
      </c>
      <c r="S33" s="9" t="str">
        <f ca="1">IF(IF(ISERROR(MATCH(Stock!S$1,'Stock UST'!$1:$1,0)),R33,INDEX('Stock UST'!33:33,1,MATCH(Stock!S$1,'Stock UST'!$1:$1,0)))=0,"",IF(ISERROR(MATCH(Stock!S$1,'Stock UST'!$1:$1,0)),R33,INDEX('Stock UST'!33:33,1,MATCH(Stock!S$1,'Stock UST'!$1:$1,0))))</f>
        <v/>
      </c>
      <c r="T33" s="9" t="str">
        <f ca="1">IF(IF(ISERROR(MATCH(Stock!T$1,'Stock UST'!$1:$1,0)),S33,INDEX('Stock UST'!33:33,1,MATCH(Stock!T$1,'Stock UST'!$1:$1,0)))=0,"",IF(ISERROR(MATCH(Stock!T$1,'Stock UST'!$1:$1,0)),S33,INDEX('Stock UST'!33:33,1,MATCH(Stock!T$1,'Stock UST'!$1:$1,0))))</f>
        <v/>
      </c>
      <c r="U33" s="9" t="str">
        <f ca="1">IF(IF(ISERROR(MATCH(Stock!U$1,'Stock UST'!$1:$1,0)),T33,INDEX('Stock UST'!33:33,1,MATCH(Stock!U$1,'Stock UST'!$1:$1,0)))=0,"",IF(ISERROR(MATCH(Stock!U$1,'Stock UST'!$1:$1,0)),T33,INDEX('Stock UST'!33:33,1,MATCH(Stock!U$1,'Stock UST'!$1:$1,0))))</f>
        <v/>
      </c>
      <c r="V33" s="9" t="str">
        <f ca="1">IF(IF(ISERROR(MATCH(Stock!V$1,'Stock UST'!$1:$1,0)),U33,INDEX('Stock UST'!33:33,1,MATCH(Stock!V$1,'Stock UST'!$1:$1,0)))=0,"",IF(ISERROR(MATCH(Stock!V$1,'Stock UST'!$1:$1,0)),U33,INDEX('Stock UST'!33:33,1,MATCH(Stock!V$1,'Stock UST'!$1:$1,0))))</f>
        <v/>
      </c>
      <c r="W33" s="9" t="str">
        <f ca="1">IF(IF(ISERROR(MATCH(Stock!W$1,'Stock UST'!$1:$1,0)),V33,INDEX('Stock UST'!33:33,1,MATCH(Stock!W$1,'Stock UST'!$1:$1,0)))=0,"",IF(ISERROR(MATCH(Stock!W$1,'Stock UST'!$1:$1,0)),V33,INDEX('Stock UST'!33:33,1,MATCH(Stock!W$1,'Stock UST'!$1:$1,0))))</f>
        <v/>
      </c>
      <c r="X33" s="9" t="str">
        <f ca="1">IF(IF(ISERROR(MATCH(Stock!X$1,'Stock UST'!$1:$1,0)),W33,INDEX('Stock UST'!33:33,1,MATCH(Stock!X$1,'Stock UST'!$1:$1,0)))=0,"",IF(ISERROR(MATCH(Stock!X$1,'Stock UST'!$1:$1,0)),W33,INDEX('Stock UST'!33:33,1,MATCH(Stock!X$1,'Stock UST'!$1:$1,0))))</f>
        <v/>
      </c>
      <c r="Y33" s="9" t="str">
        <f ca="1">IF(IF(ISERROR(MATCH(Stock!Y$1,'Stock UST'!$1:$1,0)),X33,INDEX('Stock UST'!33:33,1,MATCH(Stock!Y$1,'Stock UST'!$1:$1,0)))=0,"",IF(ISERROR(MATCH(Stock!Y$1,'Stock UST'!$1:$1,0)),X33,INDEX('Stock UST'!33:33,1,MATCH(Stock!Y$1,'Stock UST'!$1:$1,0))))</f>
        <v/>
      </c>
      <c r="Z33" s="9" t="str">
        <f ca="1">IF(IF(ISERROR(MATCH(Stock!Z$1,'Stock UST'!$1:$1,0)),Y33,INDEX('Stock UST'!33:33,1,MATCH(Stock!Z$1,'Stock UST'!$1:$1,0)))=0,"",IF(ISERROR(MATCH(Stock!Z$1,'Stock UST'!$1:$1,0)),Y33,INDEX('Stock UST'!33:33,1,MATCH(Stock!Z$1,'Stock UST'!$1:$1,0))))</f>
        <v/>
      </c>
      <c r="AA33" s="9" t="str">
        <f ca="1">IF(IF(ISERROR(MATCH(Stock!AA$1,'Stock UST'!$1:$1,0)),Z33,INDEX('Stock UST'!33:33,1,MATCH(Stock!AA$1,'Stock UST'!$1:$1,0)))=0,"",IF(ISERROR(MATCH(Stock!AA$1,'Stock UST'!$1:$1,0)),Z33,INDEX('Stock UST'!33:33,1,MATCH(Stock!AA$1,'Stock UST'!$1:$1,0))))</f>
        <v/>
      </c>
      <c r="AB33" s="9" t="str">
        <f ca="1">IF(IF(ISERROR(MATCH(Stock!AB$1,'Stock UST'!$1:$1,0)),AA33,INDEX('Stock UST'!33:33,1,MATCH(Stock!AB$1,'Stock UST'!$1:$1,0)))=0,"",IF(ISERROR(MATCH(Stock!AB$1,'Stock UST'!$1:$1,0)),AA33,INDEX('Stock UST'!33:33,1,MATCH(Stock!AB$1,'Stock UST'!$1:$1,0))))</f>
        <v/>
      </c>
      <c r="AC33" s="9" t="str">
        <f ca="1">IF(IF(ISERROR(MATCH(Stock!AC$1,'Stock UST'!$1:$1,0)),AB33,INDEX('Stock UST'!33:33,1,MATCH(Stock!AC$1,'Stock UST'!$1:$1,0)))=0,"",IF(ISERROR(MATCH(Stock!AC$1,'Stock UST'!$1:$1,0)),AB33,INDEX('Stock UST'!33:33,1,MATCH(Stock!AC$1,'Stock UST'!$1:$1,0))))</f>
        <v/>
      </c>
      <c r="AD33" s="9" t="str">
        <f ca="1">IF(IF(ISERROR(MATCH(Stock!AD$1,'Stock UST'!$1:$1,0)),AC33,INDEX('Stock UST'!33:33,1,MATCH(Stock!AD$1,'Stock UST'!$1:$1,0)))=0,"",IF(ISERROR(MATCH(Stock!AD$1,'Stock UST'!$1:$1,0)),AC33,INDEX('Stock UST'!33:33,1,MATCH(Stock!AD$1,'Stock UST'!$1:$1,0))))</f>
        <v/>
      </c>
      <c r="AE33" s="9" t="str">
        <f ca="1">IF(IF(ISERROR(MATCH(Stock!AE$1,'Stock UST'!$1:$1,0)),AD33,INDEX('Stock UST'!33:33,1,MATCH(Stock!AE$1,'Stock UST'!$1:$1,0)))=0,"",IF(ISERROR(MATCH(Stock!AE$1,'Stock UST'!$1:$1,0)),AD33,INDEX('Stock UST'!33:33,1,MATCH(Stock!AE$1,'Stock UST'!$1:$1,0))))</f>
        <v/>
      </c>
      <c r="AF33" s="9" t="str">
        <f ca="1">IF(IF(ISERROR(MATCH(Stock!AF$1,'Stock UST'!$1:$1,0)),AE33,INDEX('Stock UST'!33:33,1,MATCH(Stock!AF$1,'Stock UST'!$1:$1,0)))=0,"",IF(ISERROR(MATCH(Stock!AF$1,'Stock UST'!$1:$1,0)),AE33,INDEX('Stock UST'!33:33,1,MATCH(Stock!AF$1,'Stock UST'!$1:$1,0))))</f>
        <v/>
      </c>
      <c r="AG33" s="9" t="str">
        <f ca="1">IF(IF(ISERROR(MATCH(Stock!AG$1,'Stock UST'!$1:$1,0)),AF33,INDEX('Stock UST'!33:33,1,MATCH(Stock!AG$1,'Stock UST'!$1:$1,0)))=0,"",IF(ISERROR(MATCH(Stock!AG$1,'Stock UST'!$1:$1,0)),AF33,INDEX('Stock UST'!33:33,1,MATCH(Stock!AG$1,'Stock UST'!$1:$1,0))))</f>
        <v/>
      </c>
      <c r="AH33" s="9" t="str">
        <f ca="1">IF(IF(ISERROR(MATCH(Stock!AH$1,'Stock UST'!$1:$1,0)),AG33,INDEX('Stock UST'!33:33,1,MATCH(Stock!AH$1,'Stock UST'!$1:$1,0)))=0,"",IF(ISERROR(MATCH(Stock!AH$1,'Stock UST'!$1:$1,0)),AG33,INDEX('Stock UST'!33:33,1,MATCH(Stock!AH$1,'Stock UST'!$1:$1,0))))</f>
        <v/>
      </c>
      <c r="AI33" s="9" t="str">
        <f ca="1">IF(IF(ISERROR(MATCH(Stock!AI$1,'Stock UST'!$1:$1,0)),AH33,INDEX('Stock UST'!33:33,1,MATCH(Stock!AI$1,'Stock UST'!$1:$1,0)))=0,"",IF(ISERROR(MATCH(Stock!AI$1,'Stock UST'!$1:$1,0)),AH33,INDEX('Stock UST'!33:33,1,MATCH(Stock!AI$1,'Stock UST'!$1:$1,0))))</f>
        <v/>
      </c>
      <c r="AJ33" s="9" t="str">
        <f ca="1">IF(IF(ISERROR(MATCH(Stock!AJ$1,'Stock UST'!$1:$1,0)),AI33,INDEX('Stock UST'!33:33,1,MATCH(Stock!AJ$1,'Stock UST'!$1:$1,0)))=0,"",IF(ISERROR(MATCH(Stock!AJ$1,'Stock UST'!$1:$1,0)),AI33,INDEX('Stock UST'!33:33,1,MATCH(Stock!AJ$1,'Stock UST'!$1:$1,0))))</f>
        <v/>
      </c>
      <c r="AK33" s="9" t="str">
        <f ca="1">IF(IF(ISERROR(MATCH(Stock!AK$1,'Stock UST'!$1:$1,0)),AJ33,INDEX('Stock UST'!33:33,1,MATCH(Stock!AK$1,'Stock UST'!$1:$1,0)))=0,"",IF(ISERROR(MATCH(Stock!AK$1,'Stock UST'!$1:$1,0)),AJ33,INDEX('Stock UST'!33:33,1,MATCH(Stock!AK$1,'Stock UST'!$1:$1,0))))</f>
        <v/>
      </c>
      <c r="AL33" s="9" t="str">
        <f ca="1">IF(IF(ISERROR(MATCH(Stock!AL$1,'Stock UST'!$1:$1,0)),AK33,INDEX('Stock UST'!33:33,1,MATCH(Stock!AL$1,'Stock UST'!$1:$1,0)))=0,"",IF(ISERROR(MATCH(Stock!AL$1,'Stock UST'!$1:$1,0)),AK33,INDEX('Stock UST'!33:33,1,MATCH(Stock!AL$1,'Stock UST'!$1:$1,0))))</f>
        <v/>
      </c>
      <c r="AM33" s="9" t="str">
        <f ca="1">IF(IF(ISERROR(MATCH(Stock!AM$1,'Stock UST'!$1:$1,0)),AL33,INDEX('Stock UST'!33:33,1,MATCH(Stock!AM$1,'Stock UST'!$1:$1,0)))=0,"",IF(ISERROR(MATCH(Stock!AM$1,'Stock UST'!$1:$1,0)),AL33,INDEX('Stock UST'!33:33,1,MATCH(Stock!AM$1,'Stock UST'!$1:$1,0))))</f>
        <v/>
      </c>
      <c r="AN33" s="9" t="str">
        <f ca="1">IF(IF(ISERROR(MATCH(Stock!AN$1,'Stock UST'!$1:$1,0)),AM33,INDEX('Stock UST'!33:33,1,MATCH(Stock!AN$1,'Stock UST'!$1:$1,0)))=0,"",IF(ISERROR(MATCH(Stock!AN$1,'Stock UST'!$1:$1,0)),AM33,INDEX('Stock UST'!33:33,1,MATCH(Stock!AN$1,'Stock UST'!$1:$1,0))))</f>
        <v/>
      </c>
      <c r="AO33" s="9" t="str">
        <f ca="1">IF(IF(ISERROR(MATCH(Stock!AO$1,'Stock UST'!$1:$1,0)),AN33,INDEX('Stock UST'!33:33,1,MATCH(Stock!AO$1,'Stock UST'!$1:$1,0)))=0,"",IF(ISERROR(MATCH(Stock!AO$1,'Stock UST'!$1:$1,0)),AN33,INDEX('Stock UST'!33:33,1,MATCH(Stock!AO$1,'Stock UST'!$1:$1,0))))</f>
        <v/>
      </c>
      <c r="AP33" s="9" t="str">
        <f ca="1">IF(IF(ISERROR(MATCH(Stock!AP$1,'Stock UST'!$1:$1,0)),AO33,INDEX('Stock UST'!33:33,1,MATCH(Stock!AP$1,'Stock UST'!$1:$1,0)))=0,"",IF(ISERROR(MATCH(Stock!AP$1,'Stock UST'!$1:$1,0)),AO33,INDEX('Stock UST'!33:33,1,MATCH(Stock!AP$1,'Stock UST'!$1:$1,0))))</f>
        <v/>
      </c>
      <c r="AQ33" s="9" t="str">
        <f ca="1">IF(IF(ISERROR(MATCH(Stock!AQ$1,'Stock UST'!$1:$1,0)),AP33,INDEX('Stock UST'!33:33,1,MATCH(Stock!AQ$1,'Stock UST'!$1:$1,0)))=0,"",IF(ISERROR(MATCH(Stock!AQ$1,'Stock UST'!$1:$1,0)),AP33,INDEX('Stock UST'!33:33,1,MATCH(Stock!AQ$1,'Stock UST'!$1:$1,0))))</f>
        <v/>
      </c>
      <c r="AR33" s="9" t="str">
        <f ca="1">IF(IF(ISERROR(MATCH(Stock!AR$1,'Stock UST'!$1:$1,0)),AQ33,INDEX('Stock UST'!33:33,1,MATCH(Stock!AR$1,'Stock UST'!$1:$1,0)))=0,"",IF(ISERROR(MATCH(Stock!AR$1,'Stock UST'!$1:$1,0)),AQ33,INDEX('Stock UST'!33:33,1,MATCH(Stock!AR$1,'Stock UST'!$1:$1,0))))</f>
        <v/>
      </c>
      <c r="AS33" s="9" t="str">
        <f ca="1">IF(IF(ISERROR(MATCH(Stock!AS$1,'Stock UST'!$1:$1,0)),AR33,INDEX('Stock UST'!33:33,1,MATCH(Stock!AS$1,'Stock UST'!$1:$1,0)))=0,"",IF(ISERROR(MATCH(Stock!AS$1,'Stock UST'!$1:$1,0)),AR33,INDEX('Stock UST'!33:33,1,MATCH(Stock!AS$1,'Stock UST'!$1:$1,0))))</f>
        <v/>
      </c>
      <c r="AT33" s="9" t="str">
        <f ca="1">IF(IF(ISERROR(MATCH(Stock!AT$1,'Stock UST'!$1:$1,0)),AS33,INDEX('Stock UST'!33:33,1,MATCH(Stock!AT$1,'Stock UST'!$1:$1,0)))=0,"",IF(ISERROR(MATCH(Stock!AT$1,'Stock UST'!$1:$1,0)),AS33,INDEX('Stock UST'!33:33,1,MATCH(Stock!AT$1,'Stock UST'!$1:$1,0))))</f>
        <v/>
      </c>
      <c r="AU33" s="9" t="str">
        <f ca="1">IF(IF(ISERROR(MATCH(Stock!AU$1,'Stock UST'!$1:$1,0)),AT33,INDEX('Stock UST'!33:33,1,MATCH(Stock!AU$1,'Stock UST'!$1:$1,0)))=0,"",IF(ISERROR(MATCH(Stock!AU$1,'Stock UST'!$1:$1,0)),AT33,INDEX('Stock UST'!33:33,1,MATCH(Stock!AU$1,'Stock UST'!$1:$1,0))))</f>
        <v/>
      </c>
      <c r="AV33" s="9" t="str">
        <f ca="1">IF(IF(ISERROR(MATCH(Stock!AV$1,'Stock UST'!$1:$1,0)),AU33,INDEX('Stock UST'!33:33,1,MATCH(Stock!AV$1,'Stock UST'!$1:$1,0)))=0,"",IF(ISERROR(MATCH(Stock!AV$1,'Stock UST'!$1:$1,0)),AU33,INDEX('Stock UST'!33:33,1,MATCH(Stock!AV$1,'Stock UST'!$1:$1,0))))</f>
        <v/>
      </c>
      <c r="AW33" s="9" t="str">
        <f ca="1">IF(IF(ISERROR(MATCH(Stock!AW$1,'Stock UST'!$1:$1,0)),AV33,INDEX('Stock UST'!33:33,1,MATCH(Stock!AW$1,'Stock UST'!$1:$1,0)))=0,"",IF(ISERROR(MATCH(Stock!AW$1,'Stock UST'!$1:$1,0)),AV33,INDEX('Stock UST'!33:33,1,MATCH(Stock!AW$1,'Stock UST'!$1:$1,0))))</f>
        <v/>
      </c>
      <c r="AX33" s="9" t="str">
        <f ca="1">IF(IF(ISERROR(MATCH(Stock!AX$1,'Stock UST'!$1:$1,0)),AW33,INDEX('Stock UST'!33:33,1,MATCH(Stock!AX$1,'Stock UST'!$1:$1,0)))=0,"",IF(ISERROR(MATCH(Stock!AX$1,'Stock UST'!$1:$1,0)),AW33,INDEX('Stock UST'!33:33,1,MATCH(Stock!AX$1,'Stock UST'!$1:$1,0))))</f>
        <v/>
      </c>
    </row>
    <row r="34" spans="1:50" x14ac:dyDescent="0.3">
      <c r="A34" s="9" t="str">
        <f>IF('Stock UST'!E35="","",'Stock UST'!E35)</f>
        <v/>
      </c>
      <c r="B34" s="9" t="str">
        <f>IF(IF(ISERROR(MATCH(Stock!B$1,'Stock UST'!$1:$1,0)),A34,INDEX('Stock UST'!34:34,1,MATCH(Stock!B$1,'Stock UST'!$1:$1,0)))=0,"",IF(ISERROR(MATCH(Stock!B$1,'Stock UST'!$1:$1,0)),A34,INDEX('Stock UST'!34:34,1,MATCH(Stock!B$1,'Stock UST'!$1:$1,0))))</f>
        <v/>
      </c>
      <c r="C34" s="9" t="str">
        <f ca="1">IF(IF(ISERROR(MATCH(Stock!C$1,'Stock UST'!$1:$1,0)),B34,INDEX('Stock UST'!34:34,1,MATCH(Stock!C$1,'Stock UST'!$1:$1,0)))=0,"",IF(ISERROR(MATCH(Stock!C$1,'Stock UST'!$1:$1,0)),B34,INDEX('Stock UST'!34:34,1,MATCH(Stock!C$1,'Stock UST'!$1:$1,0))))</f>
        <v/>
      </c>
      <c r="D34" s="9" t="str">
        <f ca="1">IF(IF(ISERROR(MATCH(Stock!D$1,'Stock UST'!$1:$1,0)),C34,INDEX('Stock UST'!34:34,1,MATCH(Stock!D$1,'Stock UST'!$1:$1,0)))=0,"",IF(ISERROR(MATCH(Stock!D$1,'Stock UST'!$1:$1,0)),C34,INDEX('Stock UST'!34:34,1,MATCH(Stock!D$1,'Stock UST'!$1:$1,0))))</f>
        <v/>
      </c>
      <c r="E34" s="9" t="str">
        <f ca="1">IF(IF(ISERROR(MATCH(Stock!E$1,'Stock UST'!$1:$1,0)),D34,INDEX('Stock UST'!34:34,1,MATCH(Stock!E$1,'Stock UST'!$1:$1,0)))=0,"",IF(ISERROR(MATCH(Stock!E$1,'Stock UST'!$1:$1,0)),D34,INDEX('Stock UST'!34:34,1,MATCH(Stock!E$1,'Stock UST'!$1:$1,0))))</f>
        <v/>
      </c>
      <c r="F34" s="9" t="str">
        <f ca="1">IF(IF(ISERROR(MATCH(Stock!F$1,'Stock UST'!$1:$1,0)),E34,INDEX('Stock UST'!34:34,1,MATCH(Stock!F$1,'Stock UST'!$1:$1,0)))=0,"",IF(ISERROR(MATCH(Stock!F$1,'Stock UST'!$1:$1,0)),E34,INDEX('Stock UST'!34:34,1,MATCH(Stock!F$1,'Stock UST'!$1:$1,0))))</f>
        <v/>
      </c>
      <c r="G34" s="9" t="str">
        <f ca="1">IF(IF(ISERROR(MATCH(Stock!G$1,'Stock UST'!$1:$1,0)),F34,INDEX('Stock UST'!34:34,1,MATCH(Stock!G$1,'Stock UST'!$1:$1,0)))=0,"",IF(ISERROR(MATCH(Stock!G$1,'Stock UST'!$1:$1,0)),F34,INDEX('Stock UST'!34:34,1,MATCH(Stock!G$1,'Stock UST'!$1:$1,0))))</f>
        <v/>
      </c>
      <c r="H34" s="9" t="str">
        <f ca="1">IF(IF(ISERROR(MATCH(Stock!H$1,'Stock UST'!$1:$1,0)),G34,INDEX('Stock UST'!34:34,1,MATCH(Stock!H$1,'Stock UST'!$1:$1,0)))=0,"",IF(ISERROR(MATCH(Stock!H$1,'Stock UST'!$1:$1,0)),G34,INDEX('Stock UST'!34:34,1,MATCH(Stock!H$1,'Stock UST'!$1:$1,0))))</f>
        <v/>
      </c>
      <c r="I34" s="9" t="str">
        <f ca="1">IF(IF(ISERROR(MATCH(Stock!I$1,'Stock UST'!$1:$1,0)),H34,INDEX('Stock UST'!34:34,1,MATCH(Stock!I$1,'Stock UST'!$1:$1,0)))=0,"",IF(ISERROR(MATCH(Stock!I$1,'Stock UST'!$1:$1,0)),H34,INDEX('Stock UST'!34:34,1,MATCH(Stock!I$1,'Stock UST'!$1:$1,0))))</f>
        <v/>
      </c>
      <c r="J34" s="9" t="str">
        <f ca="1">IF(IF(ISERROR(MATCH(Stock!J$1,'Stock UST'!$1:$1,0)),I34,INDEX('Stock UST'!34:34,1,MATCH(Stock!J$1,'Stock UST'!$1:$1,0)))=0,"",IF(ISERROR(MATCH(Stock!J$1,'Stock UST'!$1:$1,0)),I34,INDEX('Stock UST'!34:34,1,MATCH(Stock!J$1,'Stock UST'!$1:$1,0))))</f>
        <v/>
      </c>
      <c r="K34" s="9" t="str">
        <f ca="1">IF(IF(ISERROR(MATCH(Stock!K$1,'Stock UST'!$1:$1,0)),J34,INDEX('Stock UST'!34:34,1,MATCH(Stock!K$1,'Stock UST'!$1:$1,0)))=0,"",IF(ISERROR(MATCH(Stock!K$1,'Stock UST'!$1:$1,0)),J34,INDEX('Stock UST'!34:34,1,MATCH(Stock!K$1,'Stock UST'!$1:$1,0))))</f>
        <v/>
      </c>
      <c r="L34" s="9" t="str">
        <f ca="1">IF(IF(ISERROR(MATCH(Stock!L$1,'Stock UST'!$1:$1,0)),K34,INDEX('Stock UST'!34:34,1,MATCH(Stock!L$1,'Stock UST'!$1:$1,0)))=0,"",IF(ISERROR(MATCH(Stock!L$1,'Stock UST'!$1:$1,0)),K34,INDEX('Stock UST'!34:34,1,MATCH(Stock!L$1,'Stock UST'!$1:$1,0))))</f>
        <v/>
      </c>
      <c r="M34" s="9" t="str">
        <f ca="1">IF(IF(ISERROR(MATCH(Stock!M$1,'Stock UST'!$1:$1,0)),L34,INDEX('Stock UST'!34:34,1,MATCH(Stock!M$1,'Stock UST'!$1:$1,0)))=0,"",IF(ISERROR(MATCH(Stock!M$1,'Stock UST'!$1:$1,0)),L34,INDEX('Stock UST'!34:34,1,MATCH(Stock!M$1,'Stock UST'!$1:$1,0))))</f>
        <v/>
      </c>
      <c r="N34" s="9" t="str">
        <f ca="1">IF(IF(ISERROR(MATCH(Stock!N$1,'Stock UST'!$1:$1,0)),M34,INDEX('Stock UST'!34:34,1,MATCH(Stock!N$1,'Stock UST'!$1:$1,0)))=0,"",IF(ISERROR(MATCH(Stock!N$1,'Stock UST'!$1:$1,0)),M34,INDEX('Stock UST'!34:34,1,MATCH(Stock!N$1,'Stock UST'!$1:$1,0))))</f>
        <v/>
      </c>
      <c r="O34" s="9" t="str">
        <f ca="1">IF(IF(ISERROR(MATCH(Stock!O$1,'Stock UST'!$1:$1,0)),N34,INDEX('Stock UST'!34:34,1,MATCH(Stock!O$1,'Stock UST'!$1:$1,0)))=0,"",IF(ISERROR(MATCH(Stock!O$1,'Stock UST'!$1:$1,0)),N34,INDEX('Stock UST'!34:34,1,MATCH(Stock!O$1,'Stock UST'!$1:$1,0))))</f>
        <v/>
      </c>
      <c r="P34" s="9" t="str">
        <f ca="1">IF(IF(ISERROR(MATCH(Stock!P$1,'Stock UST'!$1:$1,0)),O34,INDEX('Stock UST'!34:34,1,MATCH(Stock!P$1,'Stock UST'!$1:$1,0)))=0,"",IF(ISERROR(MATCH(Stock!P$1,'Stock UST'!$1:$1,0)),O34,INDEX('Stock UST'!34:34,1,MATCH(Stock!P$1,'Stock UST'!$1:$1,0))))</f>
        <v/>
      </c>
      <c r="Q34" s="9" t="str">
        <f ca="1">IF(IF(ISERROR(MATCH(Stock!Q$1,'Stock UST'!$1:$1,0)),P34,INDEX('Stock UST'!34:34,1,MATCH(Stock!Q$1,'Stock UST'!$1:$1,0)))=0,"",IF(ISERROR(MATCH(Stock!Q$1,'Stock UST'!$1:$1,0)),P34,INDEX('Stock UST'!34:34,1,MATCH(Stock!Q$1,'Stock UST'!$1:$1,0))))</f>
        <v/>
      </c>
      <c r="R34" s="9" t="str">
        <f ca="1">IF(IF(ISERROR(MATCH(Stock!R$1,'Stock UST'!$1:$1,0)),Q34,INDEX('Stock UST'!34:34,1,MATCH(Stock!R$1,'Stock UST'!$1:$1,0)))=0,"",IF(ISERROR(MATCH(Stock!R$1,'Stock UST'!$1:$1,0)),Q34,INDEX('Stock UST'!34:34,1,MATCH(Stock!R$1,'Stock UST'!$1:$1,0))))</f>
        <v/>
      </c>
      <c r="S34" s="9" t="str">
        <f ca="1">IF(IF(ISERROR(MATCH(Stock!S$1,'Stock UST'!$1:$1,0)),R34,INDEX('Stock UST'!34:34,1,MATCH(Stock!S$1,'Stock UST'!$1:$1,0)))=0,"",IF(ISERROR(MATCH(Stock!S$1,'Stock UST'!$1:$1,0)),R34,INDEX('Stock UST'!34:34,1,MATCH(Stock!S$1,'Stock UST'!$1:$1,0))))</f>
        <v/>
      </c>
      <c r="T34" s="9" t="str">
        <f ca="1">IF(IF(ISERROR(MATCH(Stock!T$1,'Stock UST'!$1:$1,0)),S34,INDEX('Stock UST'!34:34,1,MATCH(Stock!T$1,'Stock UST'!$1:$1,0)))=0,"",IF(ISERROR(MATCH(Stock!T$1,'Stock UST'!$1:$1,0)),S34,INDEX('Stock UST'!34:34,1,MATCH(Stock!T$1,'Stock UST'!$1:$1,0))))</f>
        <v/>
      </c>
      <c r="U34" s="9" t="str">
        <f ca="1">IF(IF(ISERROR(MATCH(Stock!U$1,'Stock UST'!$1:$1,0)),T34,INDEX('Stock UST'!34:34,1,MATCH(Stock!U$1,'Stock UST'!$1:$1,0)))=0,"",IF(ISERROR(MATCH(Stock!U$1,'Stock UST'!$1:$1,0)),T34,INDEX('Stock UST'!34:34,1,MATCH(Stock!U$1,'Stock UST'!$1:$1,0))))</f>
        <v/>
      </c>
      <c r="V34" s="9" t="str">
        <f ca="1">IF(IF(ISERROR(MATCH(Stock!V$1,'Stock UST'!$1:$1,0)),U34,INDEX('Stock UST'!34:34,1,MATCH(Stock!V$1,'Stock UST'!$1:$1,0)))=0,"",IF(ISERROR(MATCH(Stock!V$1,'Stock UST'!$1:$1,0)),U34,INDEX('Stock UST'!34:34,1,MATCH(Stock!V$1,'Stock UST'!$1:$1,0))))</f>
        <v/>
      </c>
      <c r="W34" s="9" t="str">
        <f ca="1">IF(IF(ISERROR(MATCH(Stock!W$1,'Stock UST'!$1:$1,0)),V34,INDEX('Stock UST'!34:34,1,MATCH(Stock!W$1,'Stock UST'!$1:$1,0)))=0,"",IF(ISERROR(MATCH(Stock!W$1,'Stock UST'!$1:$1,0)),V34,INDEX('Stock UST'!34:34,1,MATCH(Stock!W$1,'Stock UST'!$1:$1,0))))</f>
        <v/>
      </c>
      <c r="X34" s="9" t="str">
        <f ca="1">IF(IF(ISERROR(MATCH(Stock!X$1,'Stock UST'!$1:$1,0)),W34,INDEX('Stock UST'!34:34,1,MATCH(Stock!X$1,'Stock UST'!$1:$1,0)))=0,"",IF(ISERROR(MATCH(Stock!X$1,'Stock UST'!$1:$1,0)),W34,INDEX('Stock UST'!34:34,1,MATCH(Stock!X$1,'Stock UST'!$1:$1,0))))</f>
        <v/>
      </c>
      <c r="Y34" s="9" t="str">
        <f ca="1">IF(IF(ISERROR(MATCH(Stock!Y$1,'Stock UST'!$1:$1,0)),X34,INDEX('Stock UST'!34:34,1,MATCH(Stock!Y$1,'Stock UST'!$1:$1,0)))=0,"",IF(ISERROR(MATCH(Stock!Y$1,'Stock UST'!$1:$1,0)),X34,INDEX('Stock UST'!34:34,1,MATCH(Stock!Y$1,'Stock UST'!$1:$1,0))))</f>
        <v/>
      </c>
      <c r="Z34" s="9" t="str">
        <f ca="1">IF(IF(ISERROR(MATCH(Stock!Z$1,'Stock UST'!$1:$1,0)),Y34,INDEX('Stock UST'!34:34,1,MATCH(Stock!Z$1,'Stock UST'!$1:$1,0)))=0,"",IF(ISERROR(MATCH(Stock!Z$1,'Stock UST'!$1:$1,0)),Y34,INDEX('Stock UST'!34:34,1,MATCH(Stock!Z$1,'Stock UST'!$1:$1,0))))</f>
        <v/>
      </c>
      <c r="AA34" s="9" t="str">
        <f ca="1">IF(IF(ISERROR(MATCH(Stock!AA$1,'Stock UST'!$1:$1,0)),Z34,INDEX('Stock UST'!34:34,1,MATCH(Stock!AA$1,'Stock UST'!$1:$1,0)))=0,"",IF(ISERROR(MATCH(Stock!AA$1,'Stock UST'!$1:$1,0)),Z34,INDEX('Stock UST'!34:34,1,MATCH(Stock!AA$1,'Stock UST'!$1:$1,0))))</f>
        <v/>
      </c>
      <c r="AB34" s="9" t="str">
        <f ca="1">IF(IF(ISERROR(MATCH(Stock!AB$1,'Stock UST'!$1:$1,0)),AA34,INDEX('Stock UST'!34:34,1,MATCH(Stock!AB$1,'Stock UST'!$1:$1,0)))=0,"",IF(ISERROR(MATCH(Stock!AB$1,'Stock UST'!$1:$1,0)),AA34,INDEX('Stock UST'!34:34,1,MATCH(Stock!AB$1,'Stock UST'!$1:$1,0))))</f>
        <v/>
      </c>
      <c r="AC34" s="9" t="str">
        <f ca="1">IF(IF(ISERROR(MATCH(Stock!AC$1,'Stock UST'!$1:$1,0)),AB34,INDEX('Stock UST'!34:34,1,MATCH(Stock!AC$1,'Stock UST'!$1:$1,0)))=0,"",IF(ISERROR(MATCH(Stock!AC$1,'Stock UST'!$1:$1,0)),AB34,INDEX('Stock UST'!34:34,1,MATCH(Stock!AC$1,'Stock UST'!$1:$1,0))))</f>
        <v/>
      </c>
      <c r="AD34" s="9" t="str">
        <f ca="1">IF(IF(ISERROR(MATCH(Stock!AD$1,'Stock UST'!$1:$1,0)),AC34,INDEX('Stock UST'!34:34,1,MATCH(Stock!AD$1,'Stock UST'!$1:$1,0)))=0,"",IF(ISERROR(MATCH(Stock!AD$1,'Stock UST'!$1:$1,0)),AC34,INDEX('Stock UST'!34:34,1,MATCH(Stock!AD$1,'Stock UST'!$1:$1,0))))</f>
        <v/>
      </c>
      <c r="AE34" s="9" t="str">
        <f ca="1">IF(IF(ISERROR(MATCH(Stock!AE$1,'Stock UST'!$1:$1,0)),AD34,INDEX('Stock UST'!34:34,1,MATCH(Stock!AE$1,'Stock UST'!$1:$1,0)))=0,"",IF(ISERROR(MATCH(Stock!AE$1,'Stock UST'!$1:$1,0)),AD34,INDEX('Stock UST'!34:34,1,MATCH(Stock!AE$1,'Stock UST'!$1:$1,0))))</f>
        <v/>
      </c>
      <c r="AF34" s="9" t="str">
        <f ca="1">IF(IF(ISERROR(MATCH(Stock!AF$1,'Stock UST'!$1:$1,0)),AE34,INDEX('Stock UST'!34:34,1,MATCH(Stock!AF$1,'Stock UST'!$1:$1,0)))=0,"",IF(ISERROR(MATCH(Stock!AF$1,'Stock UST'!$1:$1,0)),AE34,INDEX('Stock UST'!34:34,1,MATCH(Stock!AF$1,'Stock UST'!$1:$1,0))))</f>
        <v/>
      </c>
      <c r="AG34" s="9" t="str">
        <f ca="1">IF(IF(ISERROR(MATCH(Stock!AG$1,'Stock UST'!$1:$1,0)),AF34,INDEX('Stock UST'!34:34,1,MATCH(Stock!AG$1,'Stock UST'!$1:$1,0)))=0,"",IF(ISERROR(MATCH(Stock!AG$1,'Stock UST'!$1:$1,0)),AF34,INDEX('Stock UST'!34:34,1,MATCH(Stock!AG$1,'Stock UST'!$1:$1,0))))</f>
        <v/>
      </c>
      <c r="AH34" s="9" t="str">
        <f ca="1">IF(IF(ISERROR(MATCH(Stock!AH$1,'Stock UST'!$1:$1,0)),AG34,INDEX('Stock UST'!34:34,1,MATCH(Stock!AH$1,'Stock UST'!$1:$1,0)))=0,"",IF(ISERROR(MATCH(Stock!AH$1,'Stock UST'!$1:$1,0)),AG34,INDEX('Stock UST'!34:34,1,MATCH(Stock!AH$1,'Stock UST'!$1:$1,0))))</f>
        <v/>
      </c>
      <c r="AI34" s="9" t="str">
        <f ca="1">IF(IF(ISERROR(MATCH(Stock!AI$1,'Stock UST'!$1:$1,0)),AH34,INDEX('Stock UST'!34:34,1,MATCH(Stock!AI$1,'Stock UST'!$1:$1,0)))=0,"",IF(ISERROR(MATCH(Stock!AI$1,'Stock UST'!$1:$1,0)),AH34,INDEX('Stock UST'!34:34,1,MATCH(Stock!AI$1,'Stock UST'!$1:$1,0))))</f>
        <v/>
      </c>
      <c r="AJ34" s="9" t="str">
        <f ca="1">IF(IF(ISERROR(MATCH(Stock!AJ$1,'Stock UST'!$1:$1,0)),AI34,INDEX('Stock UST'!34:34,1,MATCH(Stock!AJ$1,'Stock UST'!$1:$1,0)))=0,"",IF(ISERROR(MATCH(Stock!AJ$1,'Stock UST'!$1:$1,0)),AI34,INDEX('Stock UST'!34:34,1,MATCH(Stock!AJ$1,'Stock UST'!$1:$1,0))))</f>
        <v/>
      </c>
      <c r="AK34" s="9" t="str">
        <f ca="1">IF(IF(ISERROR(MATCH(Stock!AK$1,'Stock UST'!$1:$1,0)),AJ34,INDEX('Stock UST'!34:34,1,MATCH(Stock!AK$1,'Stock UST'!$1:$1,0)))=0,"",IF(ISERROR(MATCH(Stock!AK$1,'Stock UST'!$1:$1,0)),AJ34,INDEX('Stock UST'!34:34,1,MATCH(Stock!AK$1,'Stock UST'!$1:$1,0))))</f>
        <v/>
      </c>
      <c r="AL34" s="9" t="str">
        <f ca="1">IF(IF(ISERROR(MATCH(Stock!AL$1,'Stock UST'!$1:$1,0)),AK34,INDEX('Stock UST'!34:34,1,MATCH(Stock!AL$1,'Stock UST'!$1:$1,0)))=0,"",IF(ISERROR(MATCH(Stock!AL$1,'Stock UST'!$1:$1,0)),AK34,INDEX('Stock UST'!34:34,1,MATCH(Stock!AL$1,'Stock UST'!$1:$1,0))))</f>
        <v/>
      </c>
      <c r="AM34" s="9" t="str">
        <f ca="1">IF(IF(ISERROR(MATCH(Stock!AM$1,'Stock UST'!$1:$1,0)),AL34,INDEX('Stock UST'!34:34,1,MATCH(Stock!AM$1,'Stock UST'!$1:$1,0)))=0,"",IF(ISERROR(MATCH(Stock!AM$1,'Stock UST'!$1:$1,0)),AL34,INDEX('Stock UST'!34:34,1,MATCH(Stock!AM$1,'Stock UST'!$1:$1,0))))</f>
        <v/>
      </c>
      <c r="AN34" s="9" t="str">
        <f ca="1">IF(IF(ISERROR(MATCH(Stock!AN$1,'Stock UST'!$1:$1,0)),AM34,INDEX('Stock UST'!34:34,1,MATCH(Stock!AN$1,'Stock UST'!$1:$1,0)))=0,"",IF(ISERROR(MATCH(Stock!AN$1,'Stock UST'!$1:$1,0)),AM34,INDEX('Stock UST'!34:34,1,MATCH(Stock!AN$1,'Stock UST'!$1:$1,0))))</f>
        <v/>
      </c>
      <c r="AO34" s="9" t="str">
        <f ca="1">IF(IF(ISERROR(MATCH(Stock!AO$1,'Stock UST'!$1:$1,0)),AN34,INDEX('Stock UST'!34:34,1,MATCH(Stock!AO$1,'Stock UST'!$1:$1,0)))=0,"",IF(ISERROR(MATCH(Stock!AO$1,'Stock UST'!$1:$1,0)),AN34,INDEX('Stock UST'!34:34,1,MATCH(Stock!AO$1,'Stock UST'!$1:$1,0))))</f>
        <v/>
      </c>
      <c r="AP34" s="9" t="str">
        <f ca="1">IF(IF(ISERROR(MATCH(Stock!AP$1,'Stock UST'!$1:$1,0)),AO34,INDEX('Stock UST'!34:34,1,MATCH(Stock!AP$1,'Stock UST'!$1:$1,0)))=0,"",IF(ISERROR(MATCH(Stock!AP$1,'Stock UST'!$1:$1,0)),AO34,INDEX('Stock UST'!34:34,1,MATCH(Stock!AP$1,'Stock UST'!$1:$1,0))))</f>
        <v/>
      </c>
      <c r="AQ34" s="9" t="str">
        <f ca="1">IF(IF(ISERROR(MATCH(Stock!AQ$1,'Stock UST'!$1:$1,0)),AP34,INDEX('Stock UST'!34:34,1,MATCH(Stock!AQ$1,'Stock UST'!$1:$1,0)))=0,"",IF(ISERROR(MATCH(Stock!AQ$1,'Stock UST'!$1:$1,0)),AP34,INDEX('Stock UST'!34:34,1,MATCH(Stock!AQ$1,'Stock UST'!$1:$1,0))))</f>
        <v/>
      </c>
      <c r="AR34" s="9" t="str">
        <f ca="1">IF(IF(ISERROR(MATCH(Stock!AR$1,'Stock UST'!$1:$1,0)),AQ34,INDEX('Stock UST'!34:34,1,MATCH(Stock!AR$1,'Stock UST'!$1:$1,0)))=0,"",IF(ISERROR(MATCH(Stock!AR$1,'Stock UST'!$1:$1,0)),AQ34,INDEX('Stock UST'!34:34,1,MATCH(Stock!AR$1,'Stock UST'!$1:$1,0))))</f>
        <v/>
      </c>
      <c r="AS34" s="9" t="str">
        <f ca="1">IF(IF(ISERROR(MATCH(Stock!AS$1,'Stock UST'!$1:$1,0)),AR34,INDEX('Stock UST'!34:34,1,MATCH(Stock!AS$1,'Stock UST'!$1:$1,0)))=0,"",IF(ISERROR(MATCH(Stock!AS$1,'Stock UST'!$1:$1,0)),AR34,INDEX('Stock UST'!34:34,1,MATCH(Stock!AS$1,'Stock UST'!$1:$1,0))))</f>
        <v/>
      </c>
      <c r="AT34" s="9" t="str">
        <f ca="1">IF(IF(ISERROR(MATCH(Stock!AT$1,'Stock UST'!$1:$1,0)),AS34,INDEX('Stock UST'!34:34,1,MATCH(Stock!AT$1,'Stock UST'!$1:$1,0)))=0,"",IF(ISERROR(MATCH(Stock!AT$1,'Stock UST'!$1:$1,0)),AS34,INDEX('Stock UST'!34:34,1,MATCH(Stock!AT$1,'Stock UST'!$1:$1,0))))</f>
        <v/>
      </c>
      <c r="AU34" s="9" t="str">
        <f ca="1">IF(IF(ISERROR(MATCH(Stock!AU$1,'Stock UST'!$1:$1,0)),AT34,INDEX('Stock UST'!34:34,1,MATCH(Stock!AU$1,'Stock UST'!$1:$1,0)))=0,"",IF(ISERROR(MATCH(Stock!AU$1,'Stock UST'!$1:$1,0)),AT34,INDEX('Stock UST'!34:34,1,MATCH(Stock!AU$1,'Stock UST'!$1:$1,0))))</f>
        <v/>
      </c>
      <c r="AV34" s="9" t="str">
        <f ca="1">IF(IF(ISERROR(MATCH(Stock!AV$1,'Stock UST'!$1:$1,0)),AU34,INDEX('Stock UST'!34:34,1,MATCH(Stock!AV$1,'Stock UST'!$1:$1,0)))=0,"",IF(ISERROR(MATCH(Stock!AV$1,'Stock UST'!$1:$1,0)),AU34,INDEX('Stock UST'!34:34,1,MATCH(Stock!AV$1,'Stock UST'!$1:$1,0))))</f>
        <v/>
      </c>
      <c r="AW34" s="9" t="str">
        <f ca="1">IF(IF(ISERROR(MATCH(Stock!AW$1,'Stock UST'!$1:$1,0)),AV34,INDEX('Stock UST'!34:34,1,MATCH(Stock!AW$1,'Stock UST'!$1:$1,0)))=0,"",IF(ISERROR(MATCH(Stock!AW$1,'Stock UST'!$1:$1,0)),AV34,INDEX('Stock UST'!34:34,1,MATCH(Stock!AW$1,'Stock UST'!$1:$1,0))))</f>
        <v/>
      </c>
      <c r="AX34" s="9" t="str">
        <f ca="1">IF(IF(ISERROR(MATCH(Stock!AX$1,'Stock UST'!$1:$1,0)),AW34,INDEX('Stock UST'!34:34,1,MATCH(Stock!AX$1,'Stock UST'!$1:$1,0)))=0,"",IF(ISERROR(MATCH(Stock!AX$1,'Stock UST'!$1:$1,0)),AW34,INDEX('Stock UST'!34:34,1,MATCH(Stock!AX$1,'Stock UST'!$1:$1,0))))</f>
        <v/>
      </c>
    </row>
    <row r="35" spans="1:50" x14ac:dyDescent="0.3">
      <c r="A35" s="9" t="str">
        <f>IF('Stock UST'!E36="","",'Stock UST'!E36)</f>
        <v/>
      </c>
      <c r="B35" s="9" t="str">
        <f>IF(IF(ISERROR(MATCH(Stock!B$1,'Stock UST'!$1:$1,0)),A35,INDEX('Stock UST'!35:35,1,MATCH(Stock!B$1,'Stock UST'!$1:$1,0)))=0,"",IF(ISERROR(MATCH(Stock!B$1,'Stock UST'!$1:$1,0)),A35,INDEX('Stock UST'!35:35,1,MATCH(Stock!B$1,'Stock UST'!$1:$1,0))))</f>
        <v/>
      </c>
      <c r="C35" s="9" t="str">
        <f ca="1">IF(IF(ISERROR(MATCH(Stock!C$1,'Stock UST'!$1:$1,0)),B35,INDEX('Stock UST'!35:35,1,MATCH(Stock!C$1,'Stock UST'!$1:$1,0)))=0,"",IF(ISERROR(MATCH(Stock!C$1,'Stock UST'!$1:$1,0)),B35,INDEX('Stock UST'!35:35,1,MATCH(Stock!C$1,'Stock UST'!$1:$1,0))))</f>
        <v/>
      </c>
      <c r="D35" s="9" t="str">
        <f ca="1">IF(IF(ISERROR(MATCH(Stock!D$1,'Stock UST'!$1:$1,0)),C35,INDEX('Stock UST'!35:35,1,MATCH(Stock!D$1,'Stock UST'!$1:$1,0)))=0,"",IF(ISERROR(MATCH(Stock!D$1,'Stock UST'!$1:$1,0)),C35,INDEX('Stock UST'!35:35,1,MATCH(Stock!D$1,'Stock UST'!$1:$1,0))))</f>
        <v/>
      </c>
      <c r="E35" s="9" t="str">
        <f ca="1">IF(IF(ISERROR(MATCH(Stock!E$1,'Stock UST'!$1:$1,0)),D35,INDEX('Stock UST'!35:35,1,MATCH(Stock!E$1,'Stock UST'!$1:$1,0)))=0,"",IF(ISERROR(MATCH(Stock!E$1,'Stock UST'!$1:$1,0)),D35,INDEX('Stock UST'!35:35,1,MATCH(Stock!E$1,'Stock UST'!$1:$1,0))))</f>
        <v/>
      </c>
      <c r="F35" s="9" t="str">
        <f ca="1">IF(IF(ISERROR(MATCH(Stock!F$1,'Stock UST'!$1:$1,0)),E35,INDEX('Stock UST'!35:35,1,MATCH(Stock!F$1,'Stock UST'!$1:$1,0)))=0,"",IF(ISERROR(MATCH(Stock!F$1,'Stock UST'!$1:$1,0)),E35,INDEX('Stock UST'!35:35,1,MATCH(Stock!F$1,'Stock UST'!$1:$1,0))))</f>
        <v/>
      </c>
      <c r="G35" s="9" t="str">
        <f ca="1">IF(IF(ISERROR(MATCH(Stock!G$1,'Stock UST'!$1:$1,0)),F35,INDEX('Stock UST'!35:35,1,MATCH(Stock!G$1,'Stock UST'!$1:$1,0)))=0,"",IF(ISERROR(MATCH(Stock!G$1,'Stock UST'!$1:$1,0)),F35,INDEX('Stock UST'!35:35,1,MATCH(Stock!G$1,'Stock UST'!$1:$1,0))))</f>
        <v/>
      </c>
      <c r="H35" s="9" t="str">
        <f ca="1">IF(IF(ISERROR(MATCH(Stock!H$1,'Stock UST'!$1:$1,0)),G35,INDEX('Stock UST'!35:35,1,MATCH(Stock!H$1,'Stock UST'!$1:$1,0)))=0,"",IF(ISERROR(MATCH(Stock!H$1,'Stock UST'!$1:$1,0)),G35,INDEX('Stock UST'!35:35,1,MATCH(Stock!H$1,'Stock UST'!$1:$1,0))))</f>
        <v/>
      </c>
      <c r="I35" s="9" t="str">
        <f ca="1">IF(IF(ISERROR(MATCH(Stock!I$1,'Stock UST'!$1:$1,0)),H35,INDEX('Stock UST'!35:35,1,MATCH(Stock!I$1,'Stock UST'!$1:$1,0)))=0,"",IF(ISERROR(MATCH(Stock!I$1,'Stock UST'!$1:$1,0)),H35,INDEX('Stock UST'!35:35,1,MATCH(Stock!I$1,'Stock UST'!$1:$1,0))))</f>
        <v/>
      </c>
      <c r="J35" s="9" t="str">
        <f ca="1">IF(IF(ISERROR(MATCH(Stock!J$1,'Stock UST'!$1:$1,0)),I35,INDEX('Stock UST'!35:35,1,MATCH(Stock!J$1,'Stock UST'!$1:$1,0)))=0,"",IF(ISERROR(MATCH(Stock!J$1,'Stock UST'!$1:$1,0)),I35,INDEX('Stock UST'!35:35,1,MATCH(Stock!J$1,'Stock UST'!$1:$1,0))))</f>
        <v/>
      </c>
      <c r="K35" s="9" t="str">
        <f ca="1">IF(IF(ISERROR(MATCH(Stock!K$1,'Stock UST'!$1:$1,0)),J35,INDEX('Stock UST'!35:35,1,MATCH(Stock!K$1,'Stock UST'!$1:$1,0)))=0,"",IF(ISERROR(MATCH(Stock!K$1,'Stock UST'!$1:$1,0)),J35,INDEX('Stock UST'!35:35,1,MATCH(Stock!K$1,'Stock UST'!$1:$1,0))))</f>
        <v/>
      </c>
      <c r="L35" s="9" t="str">
        <f ca="1">IF(IF(ISERROR(MATCH(Stock!L$1,'Stock UST'!$1:$1,0)),K35,INDEX('Stock UST'!35:35,1,MATCH(Stock!L$1,'Stock UST'!$1:$1,0)))=0,"",IF(ISERROR(MATCH(Stock!L$1,'Stock UST'!$1:$1,0)),K35,INDEX('Stock UST'!35:35,1,MATCH(Stock!L$1,'Stock UST'!$1:$1,0))))</f>
        <v/>
      </c>
      <c r="M35" s="9" t="str">
        <f ca="1">IF(IF(ISERROR(MATCH(Stock!M$1,'Stock UST'!$1:$1,0)),L35,INDEX('Stock UST'!35:35,1,MATCH(Stock!M$1,'Stock UST'!$1:$1,0)))=0,"",IF(ISERROR(MATCH(Stock!M$1,'Stock UST'!$1:$1,0)),L35,INDEX('Stock UST'!35:35,1,MATCH(Stock!M$1,'Stock UST'!$1:$1,0))))</f>
        <v/>
      </c>
      <c r="N35" s="9" t="str">
        <f ca="1">IF(IF(ISERROR(MATCH(Stock!N$1,'Stock UST'!$1:$1,0)),M35,INDEX('Stock UST'!35:35,1,MATCH(Stock!N$1,'Stock UST'!$1:$1,0)))=0,"",IF(ISERROR(MATCH(Stock!N$1,'Stock UST'!$1:$1,0)),M35,INDEX('Stock UST'!35:35,1,MATCH(Stock!N$1,'Stock UST'!$1:$1,0))))</f>
        <v/>
      </c>
      <c r="O35" s="9" t="str">
        <f ca="1">IF(IF(ISERROR(MATCH(Stock!O$1,'Stock UST'!$1:$1,0)),N35,INDEX('Stock UST'!35:35,1,MATCH(Stock!O$1,'Stock UST'!$1:$1,0)))=0,"",IF(ISERROR(MATCH(Stock!O$1,'Stock UST'!$1:$1,0)),N35,INDEX('Stock UST'!35:35,1,MATCH(Stock!O$1,'Stock UST'!$1:$1,0))))</f>
        <v/>
      </c>
      <c r="P35" s="9" t="str">
        <f ca="1">IF(IF(ISERROR(MATCH(Stock!P$1,'Stock UST'!$1:$1,0)),O35,INDEX('Stock UST'!35:35,1,MATCH(Stock!P$1,'Stock UST'!$1:$1,0)))=0,"",IF(ISERROR(MATCH(Stock!P$1,'Stock UST'!$1:$1,0)),O35,INDEX('Stock UST'!35:35,1,MATCH(Stock!P$1,'Stock UST'!$1:$1,0))))</f>
        <v/>
      </c>
      <c r="Q35" s="9" t="str">
        <f ca="1">IF(IF(ISERROR(MATCH(Stock!Q$1,'Stock UST'!$1:$1,0)),P35,INDEX('Stock UST'!35:35,1,MATCH(Stock!Q$1,'Stock UST'!$1:$1,0)))=0,"",IF(ISERROR(MATCH(Stock!Q$1,'Stock UST'!$1:$1,0)),P35,INDEX('Stock UST'!35:35,1,MATCH(Stock!Q$1,'Stock UST'!$1:$1,0))))</f>
        <v/>
      </c>
      <c r="R35" s="9" t="str">
        <f ca="1">IF(IF(ISERROR(MATCH(Stock!R$1,'Stock UST'!$1:$1,0)),Q35,INDEX('Stock UST'!35:35,1,MATCH(Stock!R$1,'Stock UST'!$1:$1,0)))=0,"",IF(ISERROR(MATCH(Stock!R$1,'Stock UST'!$1:$1,0)),Q35,INDEX('Stock UST'!35:35,1,MATCH(Stock!R$1,'Stock UST'!$1:$1,0))))</f>
        <v/>
      </c>
      <c r="S35" s="9" t="str">
        <f ca="1">IF(IF(ISERROR(MATCH(Stock!S$1,'Stock UST'!$1:$1,0)),R35,INDEX('Stock UST'!35:35,1,MATCH(Stock!S$1,'Stock UST'!$1:$1,0)))=0,"",IF(ISERROR(MATCH(Stock!S$1,'Stock UST'!$1:$1,0)),R35,INDEX('Stock UST'!35:35,1,MATCH(Stock!S$1,'Stock UST'!$1:$1,0))))</f>
        <v/>
      </c>
      <c r="T35" s="9" t="str">
        <f ca="1">IF(IF(ISERROR(MATCH(Stock!T$1,'Stock UST'!$1:$1,0)),S35,INDEX('Stock UST'!35:35,1,MATCH(Stock!T$1,'Stock UST'!$1:$1,0)))=0,"",IF(ISERROR(MATCH(Stock!T$1,'Stock UST'!$1:$1,0)),S35,INDEX('Stock UST'!35:35,1,MATCH(Stock!T$1,'Stock UST'!$1:$1,0))))</f>
        <v/>
      </c>
      <c r="U35" s="9" t="str">
        <f ca="1">IF(IF(ISERROR(MATCH(Stock!U$1,'Stock UST'!$1:$1,0)),T35,INDEX('Stock UST'!35:35,1,MATCH(Stock!U$1,'Stock UST'!$1:$1,0)))=0,"",IF(ISERROR(MATCH(Stock!U$1,'Stock UST'!$1:$1,0)),T35,INDEX('Stock UST'!35:35,1,MATCH(Stock!U$1,'Stock UST'!$1:$1,0))))</f>
        <v/>
      </c>
      <c r="V35" s="9" t="str">
        <f ca="1">IF(IF(ISERROR(MATCH(Stock!V$1,'Stock UST'!$1:$1,0)),U35,INDEX('Stock UST'!35:35,1,MATCH(Stock!V$1,'Stock UST'!$1:$1,0)))=0,"",IF(ISERROR(MATCH(Stock!V$1,'Stock UST'!$1:$1,0)),U35,INDEX('Stock UST'!35:35,1,MATCH(Stock!V$1,'Stock UST'!$1:$1,0))))</f>
        <v/>
      </c>
      <c r="W35" s="9" t="str">
        <f ca="1">IF(IF(ISERROR(MATCH(Stock!W$1,'Stock UST'!$1:$1,0)),V35,INDEX('Stock UST'!35:35,1,MATCH(Stock!W$1,'Stock UST'!$1:$1,0)))=0,"",IF(ISERROR(MATCH(Stock!W$1,'Stock UST'!$1:$1,0)),V35,INDEX('Stock UST'!35:35,1,MATCH(Stock!W$1,'Stock UST'!$1:$1,0))))</f>
        <v/>
      </c>
      <c r="X35" s="9" t="str">
        <f ca="1">IF(IF(ISERROR(MATCH(Stock!X$1,'Stock UST'!$1:$1,0)),W35,INDEX('Stock UST'!35:35,1,MATCH(Stock!X$1,'Stock UST'!$1:$1,0)))=0,"",IF(ISERROR(MATCH(Stock!X$1,'Stock UST'!$1:$1,0)),W35,INDEX('Stock UST'!35:35,1,MATCH(Stock!X$1,'Stock UST'!$1:$1,0))))</f>
        <v/>
      </c>
      <c r="Y35" s="9" t="str">
        <f ca="1">IF(IF(ISERROR(MATCH(Stock!Y$1,'Stock UST'!$1:$1,0)),X35,INDEX('Stock UST'!35:35,1,MATCH(Stock!Y$1,'Stock UST'!$1:$1,0)))=0,"",IF(ISERROR(MATCH(Stock!Y$1,'Stock UST'!$1:$1,0)),X35,INDEX('Stock UST'!35:35,1,MATCH(Stock!Y$1,'Stock UST'!$1:$1,0))))</f>
        <v/>
      </c>
      <c r="Z35" s="9" t="str">
        <f ca="1">IF(IF(ISERROR(MATCH(Stock!Z$1,'Stock UST'!$1:$1,0)),Y35,INDEX('Stock UST'!35:35,1,MATCH(Stock!Z$1,'Stock UST'!$1:$1,0)))=0,"",IF(ISERROR(MATCH(Stock!Z$1,'Stock UST'!$1:$1,0)),Y35,INDEX('Stock UST'!35:35,1,MATCH(Stock!Z$1,'Stock UST'!$1:$1,0))))</f>
        <v/>
      </c>
      <c r="AA35" s="9" t="str">
        <f ca="1">IF(IF(ISERROR(MATCH(Stock!AA$1,'Stock UST'!$1:$1,0)),Z35,INDEX('Stock UST'!35:35,1,MATCH(Stock!AA$1,'Stock UST'!$1:$1,0)))=0,"",IF(ISERROR(MATCH(Stock!AA$1,'Stock UST'!$1:$1,0)),Z35,INDEX('Stock UST'!35:35,1,MATCH(Stock!AA$1,'Stock UST'!$1:$1,0))))</f>
        <v/>
      </c>
      <c r="AB35" s="9" t="str">
        <f ca="1">IF(IF(ISERROR(MATCH(Stock!AB$1,'Stock UST'!$1:$1,0)),AA35,INDEX('Stock UST'!35:35,1,MATCH(Stock!AB$1,'Stock UST'!$1:$1,0)))=0,"",IF(ISERROR(MATCH(Stock!AB$1,'Stock UST'!$1:$1,0)),AA35,INDEX('Stock UST'!35:35,1,MATCH(Stock!AB$1,'Stock UST'!$1:$1,0))))</f>
        <v/>
      </c>
      <c r="AC35" s="9" t="str">
        <f ca="1">IF(IF(ISERROR(MATCH(Stock!AC$1,'Stock UST'!$1:$1,0)),AB35,INDEX('Stock UST'!35:35,1,MATCH(Stock!AC$1,'Stock UST'!$1:$1,0)))=0,"",IF(ISERROR(MATCH(Stock!AC$1,'Stock UST'!$1:$1,0)),AB35,INDEX('Stock UST'!35:35,1,MATCH(Stock!AC$1,'Stock UST'!$1:$1,0))))</f>
        <v/>
      </c>
      <c r="AD35" s="9" t="str">
        <f ca="1">IF(IF(ISERROR(MATCH(Stock!AD$1,'Stock UST'!$1:$1,0)),AC35,INDEX('Stock UST'!35:35,1,MATCH(Stock!AD$1,'Stock UST'!$1:$1,0)))=0,"",IF(ISERROR(MATCH(Stock!AD$1,'Stock UST'!$1:$1,0)),AC35,INDEX('Stock UST'!35:35,1,MATCH(Stock!AD$1,'Stock UST'!$1:$1,0))))</f>
        <v/>
      </c>
      <c r="AE35" s="9" t="str">
        <f ca="1">IF(IF(ISERROR(MATCH(Stock!AE$1,'Stock UST'!$1:$1,0)),AD35,INDEX('Stock UST'!35:35,1,MATCH(Stock!AE$1,'Stock UST'!$1:$1,0)))=0,"",IF(ISERROR(MATCH(Stock!AE$1,'Stock UST'!$1:$1,0)),AD35,INDEX('Stock UST'!35:35,1,MATCH(Stock!AE$1,'Stock UST'!$1:$1,0))))</f>
        <v/>
      </c>
      <c r="AF35" s="9" t="str">
        <f ca="1">IF(IF(ISERROR(MATCH(Stock!AF$1,'Stock UST'!$1:$1,0)),AE35,INDEX('Stock UST'!35:35,1,MATCH(Stock!AF$1,'Stock UST'!$1:$1,0)))=0,"",IF(ISERROR(MATCH(Stock!AF$1,'Stock UST'!$1:$1,0)),AE35,INDEX('Stock UST'!35:35,1,MATCH(Stock!AF$1,'Stock UST'!$1:$1,0))))</f>
        <v/>
      </c>
      <c r="AG35" s="9" t="str">
        <f ca="1">IF(IF(ISERROR(MATCH(Stock!AG$1,'Stock UST'!$1:$1,0)),AF35,INDEX('Stock UST'!35:35,1,MATCH(Stock!AG$1,'Stock UST'!$1:$1,0)))=0,"",IF(ISERROR(MATCH(Stock!AG$1,'Stock UST'!$1:$1,0)),AF35,INDEX('Stock UST'!35:35,1,MATCH(Stock!AG$1,'Stock UST'!$1:$1,0))))</f>
        <v/>
      </c>
      <c r="AH35" s="9" t="str">
        <f ca="1">IF(IF(ISERROR(MATCH(Stock!AH$1,'Stock UST'!$1:$1,0)),AG35,INDEX('Stock UST'!35:35,1,MATCH(Stock!AH$1,'Stock UST'!$1:$1,0)))=0,"",IF(ISERROR(MATCH(Stock!AH$1,'Stock UST'!$1:$1,0)),AG35,INDEX('Stock UST'!35:35,1,MATCH(Stock!AH$1,'Stock UST'!$1:$1,0))))</f>
        <v/>
      </c>
      <c r="AI35" s="9" t="str">
        <f ca="1">IF(IF(ISERROR(MATCH(Stock!AI$1,'Stock UST'!$1:$1,0)),AH35,INDEX('Stock UST'!35:35,1,MATCH(Stock!AI$1,'Stock UST'!$1:$1,0)))=0,"",IF(ISERROR(MATCH(Stock!AI$1,'Stock UST'!$1:$1,0)),AH35,INDEX('Stock UST'!35:35,1,MATCH(Stock!AI$1,'Stock UST'!$1:$1,0))))</f>
        <v/>
      </c>
      <c r="AJ35" s="9" t="str">
        <f ca="1">IF(IF(ISERROR(MATCH(Stock!AJ$1,'Stock UST'!$1:$1,0)),AI35,INDEX('Stock UST'!35:35,1,MATCH(Stock!AJ$1,'Stock UST'!$1:$1,0)))=0,"",IF(ISERROR(MATCH(Stock!AJ$1,'Stock UST'!$1:$1,0)),AI35,INDEX('Stock UST'!35:35,1,MATCH(Stock!AJ$1,'Stock UST'!$1:$1,0))))</f>
        <v/>
      </c>
      <c r="AK35" s="9" t="str">
        <f ca="1">IF(IF(ISERROR(MATCH(Stock!AK$1,'Stock UST'!$1:$1,0)),AJ35,INDEX('Stock UST'!35:35,1,MATCH(Stock!AK$1,'Stock UST'!$1:$1,0)))=0,"",IF(ISERROR(MATCH(Stock!AK$1,'Stock UST'!$1:$1,0)),AJ35,INDEX('Stock UST'!35:35,1,MATCH(Stock!AK$1,'Stock UST'!$1:$1,0))))</f>
        <v/>
      </c>
      <c r="AL35" s="9" t="str">
        <f ca="1">IF(IF(ISERROR(MATCH(Stock!AL$1,'Stock UST'!$1:$1,0)),AK35,INDEX('Stock UST'!35:35,1,MATCH(Stock!AL$1,'Stock UST'!$1:$1,0)))=0,"",IF(ISERROR(MATCH(Stock!AL$1,'Stock UST'!$1:$1,0)),AK35,INDEX('Stock UST'!35:35,1,MATCH(Stock!AL$1,'Stock UST'!$1:$1,0))))</f>
        <v/>
      </c>
      <c r="AM35" s="9" t="str">
        <f ca="1">IF(IF(ISERROR(MATCH(Stock!AM$1,'Stock UST'!$1:$1,0)),AL35,INDEX('Stock UST'!35:35,1,MATCH(Stock!AM$1,'Stock UST'!$1:$1,0)))=0,"",IF(ISERROR(MATCH(Stock!AM$1,'Stock UST'!$1:$1,0)),AL35,INDEX('Stock UST'!35:35,1,MATCH(Stock!AM$1,'Stock UST'!$1:$1,0))))</f>
        <v/>
      </c>
      <c r="AN35" s="9" t="str">
        <f ca="1">IF(IF(ISERROR(MATCH(Stock!AN$1,'Stock UST'!$1:$1,0)),AM35,INDEX('Stock UST'!35:35,1,MATCH(Stock!AN$1,'Stock UST'!$1:$1,0)))=0,"",IF(ISERROR(MATCH(Stock!AN$1,'Stock UST'!$1:$1,0)),AM35,INDEX('Stock UST'!35:35,1,MATCH(Stock!AN$1,'Stock UST'!$1:$1,0))))</f>
        <v/>
      </c>
      <c r="AO35" s="9" t="str">
        <f ca="1">IF(IF(ISERROR(MATCH(Stock!AO$1,'Stock UST'!$1:$1,0)),AN35,INDEX('Stock UST'!35:35,1,MATCH(Stock!AO$1,'Stock UST'!$1:$1,0)))=0,"",IF(ISERROR(MATCH(Stock!AO$1,'Stock UST'!$1:$1,0)),AN35,INDEX('Stock UST'!35:35,1,MATCH(Stock!AO$1,'Stock UST'!$1:$1,0))))</f>
        <v/>
      </c>
      <c r="AP35" s="9" t="str">
        <f ca="1">IF(IF(ISERROR(MATCH(Stock!AP$1,'Stock UST'!$1:$1,0)),AO35,INDEX('Stock UST'!35:35,1,MATCH(Stock!AP$1,'Stock UST'!$1:$1,0)))=0,"",IF(ISERROR(MATCH(Stock!AP$1,'Stock UST'!$1:$1,0)),AO35,INDEX('Stock UST'!35:35,1,MATCH(Stock!AP$1,'Stock UST'!$1:$1,0))))</f>
        <v/>
      </c>
      <c r="AQ35" s="9" t="str">
        <f ca="1">IF(IF(ISERROR(MATCH(Stock!AQ$1,'Stock UST'!$1:$1,0)),AP35,INDEX('Stock UST'!35:35,1,MATCH(Stock!AQ$1,'Stock UST'!$1:$1,0)))=0,"",IF(ISERROR(MATCH(Stock!AQ$1,'Stock UST'!$1:$1,0)),AP35,INDEX('Stock UST'!35:35,1,MATCH(Stock!AQ$1,'Stock UST'!$1:$1,0))))</f>
        <v/>
      </c>
      <c r="AR35" s="9" t="str">
        <f ca="1">IF(IF(ISERROR(MATCH(Stock!AR$1,'Stock UST'!$1:$1,0)),AQ35,INDEX('Stock UST'!35:35,1,MATCH(Stock!AR$1,'Stock UST'!$1:$1,0)))=0,"",IF(ISERROR(MATCH(Stock!AR$1,'Stock UST'!$1:$1,0)),AQ35,INDEX('Stock UST'!35:35,1,MATCH(Stock!AR$1,'Stock UST'!$1:$1,0))))</f>
        <v/>
      </c>
      <c r="AS35" s="9" t="str">
        <f ca="1">IF(IF(ISERROR(MATCH(Stock!AS$1,'Stock UST'!$1:$1,0)),AR35,INDEX('Stock UST'!35:35,1,MATCH(Stock!AS$1,'Stock UST'!$1:$1,0)))=0,"",IF(ISERROR(MATCH(Stock!AS$1,'Stock UST'!$1:$1,0)),AR35,INDEX('Stock UST'!35:35,1,MATCH(Stock!AS$1,'Stock UST'!$1:$1,0))))</f>
        <v/>
      </c>
      <c r="AT35" s="9" t="str">
        <f ca="1">IF(IF(ISERROR(MATCH(Stock!AT$1,'Stock UST'!$1:$1,0)),AS35,INDEX('Stock UST'!35:35,1,MATCH(Stock!AT$1,'Stock UST'!$1:$1,0)))=0,"",IF(ISERROR(MATCH(Stock!AT$1,'Stock UST'!$1:$1,0)),AS35,INDEX('Stock UST'!35:35,1,MATCH(Stock!AT$1,'Stock UST'!$1:$1,0))))</f>
        <v/>
      </c>
      <c r="AU35" s="9" t="str">
        <f ca="1">IF(IF(ISERROR(MATCH(Stock!AU$1,'Stock UST'!$1:$1,0)),AT35,INDEX('Stock UST'!35:35,1,MATCH(Stock!AU$1,'Stock UST'!$1:$1,0)))=0,"",IF(ISERROR(MATCH(Stock!AU$1,'Stock UST'!$1:$1,0)),AT35,INDEX('Stock UST'!35:35,1,MATCH(Stock!AU$1,'Stock UST'!$1:$1,0))))</f>
        <v/>
      </c>
      <c r="AV35" s="9" t="str">
        <f ca="1">IF(IF(ISERROR(MATCH(Stock!AV$1,'Stock UST'!$1:$1,0)),AU35,INDEX('Stock UST'!35:35,1,MATCH(Stock!AV$1,'Stock UST'!$1:$1,0)))=0,"",IF(ISERROR(MATCH(Stock!AV$1,'Stock UST'!$1:$1,0)),AU35,INDEX('Stock UST'!35:35,1,MATCH(Stock!AV$1,'Stock UST'!$1:$1,0))))</f>
        <v/>
      </c>
      <c r="AW35" s="9" t="str">
        <f ca="1">IF(IF(ISERROR(MATCH(Stock!AW$1,'Stock UST'!$1:$1,0)),AV35,INDEX('Stock UST'!35:35,1,MATCH(Stock!AW$1,'Stock UST'!$1:$1,0)))=0,"",IF(ISERROR(MATCH(Stock!AW$1,'Stock UST'!$1:$1,0)),AV35,INDEX('Stock UST'!35:35,1,MATCH(Stock!AW$1,'Stock UST'!$1:$1,0))))</f>
        <v/>
      </c>
      <c r="AX35" s="9" t="str">
        <f ca="1">IF(IF(ISERROR(MATCH(Stock!AX$1,'Stock UST'!$1:$1,0)),AW35,INDEX('Stock UST'!35:35,1,MATCH(Stock!AX$1,'Stock UST'!$1:$1,0)))=0,"",IF(ISERROR(MATCH(Stock!AX$1,'Stock UST'!$1:$1,0)),AW35,INDEX('Stock UST'!35:35,1,MATCH(Stock!AX$1,'Stock UST'!$1:$1,0))))</f>
        <v/>
      </c>
    </row>
    <row r="36" spans="1:50" x14ac:dyDescent="0.3">
      <c r="A36" s="9" t="str">
        <f>IF('Stock UST'!E37="","",'Stock UST'!E37)</f>
        <v/>
      </c>
      <c r="B36" s="9" t="str">
        <f>IF(IF(ISERROR(MATCH(Stock!B$1,'Stock UST'!$1:$1,0)),A36,INDEX('Stock UST'!36:36,1,MATCH(Stock!B$1,'Stock UST'!$1:$1,0)))=0,"",IF(ISERROR(MATCH(Stock!B$1,'Stock UST'!$1:$1,0)),A36,INDEX('Stock UST'!36:36,1,MATCH(Stock!B$1,'Stock UST'!$1:$1,0))))</f>
        <v/>
      </c>
      <c r="C36" s="9" t="str">
        <f ca="1">IF(IF(ISERROR(MATCH(Stock!C$1,'Stock UST'!$1:$1,0)),B36,INDEX('Stock UST'!36:36,1,MATCH(Stock!C$1,'Stock UST'!$1:$1,0)))=0,"",IF(ISERROR(MATCH(Stock!C$1,'Stock UST'!$1:$1,0)),B36,INDEX('Stock UST'!36:36,1,MATCH(Stock!C$1,'Stock UST'!$1:$1,0))))</f>
        <v/>
      </c>
      <c r="D36" s="9" t="str">
        <f ca="1">IF(IF(ISERROR(MATCH(Stock!D$1,'Stock UST'!$1:$1,0)),C36,INDEX('Stock UST'!36:36,1,MATCH(Stock!D$1,'Stock UST'!$1:$1,0)))=0,"",IF(ISERROR(MATCH(Stock!D$1,'Stock UST'!$1:$1,0)),C36,INDEX('Stock UST'!36:36,1,MATCH(Stock!D$1,'Stock UST'!$1:$1,0))))</f>
        <v/>
      </c>
      <c r="E36" s="9" t="str">
        <f ca="1">IF(IF(ISERROR(MATCH(Stock!E$1,'Stock UST'!$1:$1,0)),D36,INDEX('Stock UST'!36:36,1,MATCH(Stock!E$1,'Stock UST'!$1:$1,0)))=0,"",IF(ISERROR(MATCH(Stock!E$1,'Stock UST'!$1:$1,0)),D36,INDEX('Stock UST'!36:36,1,MATCH(Stock!E$1,'Stock UST'!$1:$1,0))))</f>
        <v/>
      </c>
      <c r="F36" s="9" t="str">
        <f ca="1">IF(IF(ISERROR(MATCH(Stock!F$1,'Stock UST'!$1:$1,0)),E36,INDEX('Stock UST'!36:36,1,MATCH(Stock!F$1,'Stock UST'!$1:$1,0)))=0,"",IF(ISERROR(MATCH(Stock!F$1,'Stock UST'!$1:$1,0)),E36,INDEX('Stock UST'!36:36,1,MATCH(Stock!F$1,'Stock UST'!$1:$1,0))))</f>
        <v/>
      </c>
      <c r="G36" s="9" t="str">
        <f ca="1">IF(IF(ISERROR(MATCH(Stock!G$1,'Stock UST'!$1:$1,0)),F36,INDEX('Stock UST'!36:36,1,MATCH(Stock!G$1,'Stock UST'!$1:$1,0)))=0,"",IF(ISERROR(MATCH(Stock!G$1,'Stock UST'!$1:$1,0)),F36,INDEX('Stock UST'!36:36,1,MATCH(Stock!G$1,'Stock UST'!$1:$1,0))))</f>
        <v/>
      </c>
      <c r="H36" s="9" t="str">
        <f ca="1">IF(IF(ISERROR(MATCH(Stock!H$1,'Stock UST'!$1:$1,0)),G36,INDEX('Stock UST'!36:36,1,MATCH(Stock!H$1,'Stock UST'!$1:$1,0)))=0,"",IF(ISERROR(MATCH(Stock!H$1,'Stock UST'!$1:$1,0)),G36,INDEX('Stock UST'!36:36,1,MATCH(Stock!H$1,'Stock UST'!$1:$1,0))))</f>
        <v/>
      </c>
      <c r="I36" s="9" t="str">
        <f ca="1">IF(IF(ISERROR(MATCH(Stock!I$1,'Stock UST'!$1:$1,0)),H36,INDEX('Stock UST'!36:36,1,MATCH(Stock!I$1,'Stock UST'!$1:$1,0)))=0,"",IF(ISERROR(MATCH(Stock!I$1,'Stock UST'!$1:$1,0)),H36,INDEX('Stock UST'!36:36,1,MATCH(Stock!I$1,'Stock UST'!$1:$1,0))))</f>
        <v/>
      </c>
      <c r="J36" s="9" t="str">
        <f ca="1">IF(IF(ISERROR(MATCH(Stock!J$1,'Stock UST'!$1:$1,0)),I36,INDEX('Stock UST'!36:36,1,MATCH(Stock!J$1,'Stock UST'!$1:$1,0)))=0,"",IF(ISERROR(MATCH(Stock!J$1,'Stock UST'!$1:$1,0)),I36,INDEX('Stock UST'!36:36,1,MATCH(Stock!J$1,'Stock UST'!$1:$1,0))))</f>
        <v/>
      </c>
      <c r="K36" s="9" t="str">
        <f ca="1">IF(IF(ISERROR(MATCH(Stock!K$1,'Stock UST'!$1:$1,0)),J36,INDEX('Stock UST'!36:36,1,MATCH(Stock!K$1,'Stock UST'!$1:$1,0)))=0,"",IF(ISERROR(MATCH(Stock!K$1,'Stock UST'!$1:$1,0)),J36,INDEX('Stock UST'!36:36,1,MATCH(Stock!K$1,'Stock UST'!$1:$1,0))))</f>
        <v/>
      </c>
      <c r="L36" s="9" t="str">
        <f ca="1">IF(IF(ISERROR(MATCH(Stock!L$1,'Stock UST'!$1:$1,0)),K36,INDEX('Stock UST'!36:36,1,MATCH(Stock!L$1,'Stock UST'!$1:$1,0)))=0,"",IF(ISERROR(MATCH(Stock!L$1,'Stock UST'!$1:$1,0)),K36,INDEX('Stock UST'!36:36,1,MATCH(Stock!L$1,'Stock UST'!$1:$1,0))))</f>
        <v/>
      </c>
      <c r="M36" s="9" t="str">
        <f ca="1">IF(IF(ISERROR(MATCH(Stock!M$1,'Stock UST'!$1:$1,0)),L36,INDEX('Stock UST'!36:36,1,MATCH(Stock!M$1,'Stock UST'!$1:$1,0)))=0,"",IF(ISERROR(MATCH(Stock!M$1,'Stock UST'!$1:$1,0)),L36,INDEX('Stock UST'!36:36,1,MATCH(Stock!M$1,'Stock UST'!$1:$1,0))))</f>
        <v/>
      </c>
      <c r="N36" s="9" t="str">
        <f ca="1">IF(IF(ISERROR(MATCH(Stock!N$1,'Stock UST'!$1:$1,0)),M36,INDEX('Stock UST'!36:36,1,MATCH(Stock!N$1,'Stock UST'!$1:$1,0)))=0,"",IF(ISERROR(MATCH(Stock!N$1,'Stock UST'!$1:$1,0)),M36,INDEX('Stock UST'!36:36,1,MATCH(Stock!N$1,'Stock UST'!$1:$1,0))))</f>
        <v/>
      </c>
      <c r="O36" s="9" t="str">
        <f ca="1">IF(IF(ISERROR(MATCH(Stock!O$1,'Stock UST'!$1:$1,0)),N36,INDEX('Stock UST'!36:36,1,MATCH(Stock!O$1,'Stock UST'!$1:$1,0)))=0,"",IF(ISERROR(MATCH(Stock!O$1,'Stock UST'!$1:$1,0)),N36,INDEX('Stock UST'!36:36,1,MATCH(Stock!O$1,'Stock UST'!$1:$1,0))))</f>
        <v/>
      </c>
      <c r="P36" s="9" t="str">
        <f ca="1">IF(IF(ISERROR(MATCH(Stock!P$1,'Stock UST'!$1:$1,0)),O36,INDEX('Stock UST'!36:36,1,MATCH(Stock!P$1,'Stock UST'!$1:$1,0)))=0,"",IF(ISERROR(MATCH(Stock!P$1,'Stock UST'!$1:$1,0)),O36,INDEX('Stock UST'!36:36,1,MATCH(Stock!P$1,'Stock UST'!$1:$1,0))))</f>
        <v/>
      </c>
      <c r="Q36" s="9" t="str">
        <f ca="1">IF(IF(ISERROR(MATCH(Stock!Q$1,'Stock UST'!$1:$1,0)),P36,INDEX('Stock UST'!36:36,1,MATCH(Stock!Q$1,'Stock UST'!$1:$1,0)))=0,"",IF(ISERROR(MATCH(Stock!Q$1,'Stock UST'!$1:$1,0)),P36,INDEX('Stock UST'!36:36,1,MATCH(Stock!Q$1,'Stock UST'!$1:$1,0))))</f>
        <v/>
      </c>
      <c r="R36" s="9" t="str">
        <f ca="1">IF(IF(ISERROR(MATCH(Stock!R$1,'Stock UST'!$1:$1,0)),Q36,INDEX('Stock UST'!36:36,1,MATCH(Stock!R$1,'Stock UST'!$1:$1,0)))=0,"",IF(ISERROR(MATCH(Stock!R$1,'Stock UST'!$1:$1,0)),Q36,INDEX('Stock UST'!36:36,1,MATCH(Stock!R$1,'Stock UST'!$1:$1,0))))</f>
        <v/>
      </c>
      <c r="S36" s="9" t="str">
        <f ca="1">IF(IF(ISERROR(MATCH(Stock!S$1,'Stock UST'!$1:$1,0)),R36,INDEX('Stock UST'!36:36,1,MATCH(Stock!S$1,'Stock UST'!$1:$1,0)))=0,"",IF(ISERROR(MATCH(Stock!S$1,'Stock UST'!$1:$1,0)),R36,INDEX('Stock UST'!36:36,1,MATCH(Stock!S$1,'Stock UST'!$1:$1,0))))</f>
        <v/>
      </c>
      <c r="T36" s="9" t="str">
        <f ca="1">IF(IF(ISERROR(MATCH(Stock!T$1,'Stock UST'!$1:$1,0)),S36,INDEX('Stock UST'!36:36,1,MATCH(Stock!T$1,'Stock UST'!$1:$1,0)))=0,"",IF(ISERROR(MATCH(Stock!T$1,'Stock UST'!$1:$1,0)),S36,INDEX('Stock UST'!36:36,1,MATCH(Stock!T$1,'Stock UST'!$1:$1,0))))</f>
        <v/>
      </c>
      <c r="U36" s="9" t="str">
        <f ca="1">IF(IF(ISERROR(MATCH(Stock!U$1,'Stock UST'!$1:$1,0)),T36,INDEX('Stock UST'!36:36,1,MATCH(Stock!U$1,'Stock UST'!$1:$1,0)))=0,"",IF(ISERROR(MATCH(Stock!U$1,'Stock UST'!$1:$1,0)),T36,INDEX('Stock UST'!36:36,1,MATCH(Stock!U$1,'Stock UST'!$1:$1,0))))</f>
        <v/>
      </c>
      <c r="V36" s="9" t="str">
        <f ca="1">IF(IF(ISERROR(MATCH(Stock!V$1,'Stock UST'!$1:$1,0)),U36,INDEX('Stock UST'!36:36,1,MATCH(Stock!V$1,'Stock UST'!$1:$1,0)))=0,"",IF(ISERROR(MATCH(Stock!V$1,'Stock UST'!$1:$1,0)),U36,INDEX('Stock UST'!36:36,1,MATCH(Stock!V$1,'Stock UST'!$1:$1,0))))</f>
        <v/>
      </c>
      <c r="W36" s="9" t="str">
        <f ca="1">IF(IF(ISERROR(MATCH(Stock!W$1,'Stock UST'!$1:$1,0)),V36,INDEX('Stock UST'!36:36,1,MATCH(Stock!W$1,'Stock UST'!$1:$1,0)))=0,"",IF(ISERROR(MATCH(Stock!W$1,'Stock UST'!$1:$1,0)),V36,INDEX('Stock UST'!36:36,1,MATCH(Stock!W$1,'Stock UST'!$1:$1,0))))</f>
        <v/>
      </c>
      <c r="X36" s="9" t="str">
        <f ca="1">IF(IF(ISERROR(MATCH(Stock!X$1,'Stock UST'!$1:$1,0)),W36,INDEX('Stock UST'!36:36,1,MATCH(Stock!X$1,'Stock UST'!$1:$1,0)))=0,"",IF(ISERROR(MATCH(Stock!X$1,'Stock UST'!$1:$1,0)),W36,INDEX('Stock UST'!36:36,1,MATCH(Stock!X$1,'Stock UST'!$1:$1,0))))</f>
        <v/>
      </c>
      <c r="Y36" s="9" t="str">
        <f ca="1">IF(IF(ISERROR(MATCH(Stock!Y$1,'Stock UST'!$1:$1,0)),X36,INDEX('Stock UST'!36:36,1,MATCH(Stock!Y$1,'Stock UST'!$1:$1,0)))=0,"",IF(ISERROR(MATCH(Stock!Y$1,'Stock UST'!$1:$1,0)),X36,INDEX('Stock UST'!36:36,1,MATCH(Stock!Y$1,'Stock UST'!$1:$1,0))))</f>
        <v/>
      </c>
      <c r="Z36" s="9" t="str">
        <f ca="1">IF(IF(ISERROR(MATCH(Stock!Z$1,'Stock UST'!$1:$1,0)),Y36,INDEX('Stock UST'!36:36,1,MATCH(Stock!Z$1,'Stock UST'!$1:$1,0)))=0,"",IF(ISERROR(MATCH(Stock!Z$1,'Stock UST'!$1:$1,0)),Y36,INDEX('Stock UST'!36:36,1,MATCH(Stock!Z$1,'Stock UST'!$1:$1,0))))</f>
        <v/>
      </c>
      <c r="AA36" s="9" t="str">
        <f ca="1">IF(IF(ISERROR(MATCH(Stock!AA$1,'Stock UST'!$1:$1,0)),Z36,INDEX('Stock UST'!36:36,1,MATCH(Stock!AA$1,'Stock UST'!$1:$1,0)))=0,"",IF(ISERROR(MATCH(Stock!AA$1,'Stock UST'!$1:$1,0)),Z36,INDEX('Stock UST'!36:36,1,MATCH(Stock!AA$1,'Stock UST'!$1:$1,0))))</f>
        <v/>
      </c>
      <c r="AB36" s="9" t="str">
        <f ca="1">IF(IF(ISERROR(MATCH(Stock!AB$1,'Stock UST'!$1:$1,0)),AA36,INDEX('Stock UST'!36:36,1,MATCH(Stock!AB$1,'Stock UST'!$1:$1,0)))=0,"",IF(ISERROR(MATCH(Stock!AB$1,'Stock UST'!$1:$1,0)),AA36,INDEX('Stock UST'!36:36,1,MATCH(Stock!AB$1,'Stock UST'!$1:$1,0))))</f>
        <v/>
      </c>
      <c r="AC36" s="9" t="str">
        <f ca="1">IF(IF(ISERROR(MATCH(Stock!AC$1,'Stock UST'!$1:$1,0)),AB36,INDEX('Stock UST'!36:36,1,MATCH(Stock!AC$1,'Stock UST'!$1:$1,0)))=0,"",IF(ISERROR(MATCH(Stock!AC$1,'Stock UST'!$1:$1,0)),AB36,INDEX('Stock UST'!36:36,1,MATCH(Stock!AC$1,'Stock UST'!$1:$1,0))))</f>
        <v/>
      </c>
      <c r="AD36" s="9" t="str">
        <f ca="1">IF(IF(ISERROR(MATCH(Stock!AD$1,'Stock UST'!$1:$1,0)),AC36,INDEX('Stock UST'!36:36,1,MATCH(Stock!AD$1,'Stock UST'!$1:$1,0)))=0,"",IF(ISERROR(MATCH(Stock!AD$1,'Stock UST'!$1:$1,0)),AC36,INDEX('Stock UST'!36:36,1,MATCH(Stock!AD$1,'Stock UST'!$1:$1,0))))</f>
        <v/>
      </c>
      <c r="AE36" s="9" t="str">
        <f ca="1">IF(IF(ISERROR(MATCH(Stock!AE$1,'Stock UST'!$1:$1,0)),AD36,INDEX('Stock UST'!36:36,1,MATCH(Stock!AE$1,'Stock UST'!$1:$1,0)))=0,"",IF(ISERROR(MATCH(Stock!AE$1,'Stock UST'!$1:$1,0)),AD36,INDEX('Stock UST'!36:36,1,MATCH(Stock!AE$1,'Stock UST'!$1:$1,0))))</f>
        <v/>
      </c>
      <c r="AF36" s="9" t="str">
        <f ca="1">IF(IF(ISERROR(MATCH(Stock!AF$1,'Stock UST'!$1:$1,0)),AE36,INDEX('Stock UST'!36:36,1,MATCH(Stock!AF$1,'Stock UST'!$1:$1,0)))=0,"",IF(ISERROR(MATCH(Stock!AF$1,'Stock UST'!$1:$1,0)),AE36,INDEX('Stock UST'!36:36,1,MATCH(Stock!AF$1,'Stock UST'!$1:$1,0))))</f>
        <v/>
      </c>
      <c r="AG36" s="9" t="str">
        <f ca="1">IF(IF(ISERROR(MATCH(Stock!AG$1,'Stock UST'!$1:$1,0)),AF36,INDEX('Stock UST'!36:36,1,MATCH(Stock!AG$1,'Stock UST'!$1:$1,0)))=0,"",IF(ISERROR(MATCH(Stock!AG$1,'Stock UST'!$1:$1,0)),AF36,INDEX('Stock UST'!36:36,1,MATCH(Stock!AG$1,'Stock UST'!$1:$1,0))))</f>
        <v/>
      </c>
      <c r="AH36" s="9" t="str">
        <f ca="1">IF(IF(ISERROR(MATCH(Stock!AH$1,'Stock UST'!$1:$1,0)),AG36,INDEX('Stock UST'!36:36,1,MATCH(Stock!AH$1,'Stock UST'!$1:$1,0)))=0,"",IF(ISERROR(MATCH(Stock!AH$1,'Stock UST'!$1:$1,0)),AG36,INDEX('Stock UST'!36:36,1,MATCH(Stock!AH$1,'Stock UST'!$1:$1,0))))</f>
        <v/>
      </c>
      <c r="AI36" s="9" t="str">
        <f ca="1">IF(IF(ISERROR(MATCH(Stock!AI$1,'Stock UST'!$1:$1,0)),AH36,INDEX('Stock UST'!36:36,1,MATCH(Stock!AI$1,'Stock UST'!$1:$1,0)))=0,"",IF(ISERROR(MATCH(Stock!AI$1,'Stock UST'!$1:$1,0)),AH36,INDEX('Stock UST'!36:36,1,MATCH(Stock!AI$1,'Stock UST'!$1:$1,0))))</f>
        <v/>
      </c>
      <c r="AJ36" s="9" t="str">
        <f ca="1">IF(IF(ISERROR(MATCH(Stock!AJ$1,'Stock UST'!$1:$1,0)),AI36,INDEX('Stock UST'!36:36,1,MATCH(Stock!AJ$1,'Stock UST'!$1:$1,0)))=0,"",IF(ISERROR(MATCH(Stock!AJ$1,'Stock UST'!$1:$1,0)),AI36,INDEX('Stock UST'!36:36,1,MATCH(Stock!AJ$1,'Stock UST'!$1:$1,0))))</f>
        <v/>
      </c>
      <c r="AK36" s="9" t="str">
        <f ca="1">IF(IF(ISERROR(MATCH(Stock!AK$1,'Stock UST'!$1:$1,0)),AJ36,INDEX('Stock UST'!36:36,1,MATCH(Stock!AK$1,'Stock UST'!$1:$1,0)))=0,"",IF(ISERROR(MATCH(Stock!AK$1,'Stock UST'!$1:$1,0)),AJ36,INDEX('Stock UST'!36:36,1,MATCH(Stock!AK$1,'Stock UST'!$1:$1,0))))</f>
        <v/>
      </c>
      <c r="AL36" s="9" t="str">
        <f ca="1">IF(IF(ISERROR(MATCH(Stock!AL$1,'Stock UST'!$1:$1,0)),AK36,INDEX('Stock UST'!36:36,1,MATCH(Stock!AL$1,'Stock UST'!$1:$1,0)))=0,"",IF(ISERROR(MATCH(Stock!AL$1,'Stock UST'!$1:$1,0)),AK36,INDEX('Stock UST'!36:36,1,MATCH(Stock!AL$1,'Stock UST'!$1:$1,0))))</f>
        <v/>
      </c>
      <c r="AM36" s="9" t="str">
        <f ca="1">IF(IF(ISERROR(MATCH(Stock!AM$1,'Stock UST'!$1:$1,0)),AL36,INDEX('Stock UST'!36:36,1,MATCH(Stock!AM$1,'Stock UST'!$1:$1,0)))=0,"",IF(ISERROR(MATCH(Stock!AM$1,'Stock UST'!$1:$1,0)),AL36,INDEX('Stock UST'!36:36,1,MATCH(Stock!AM$1,'Stock UST'!$1:$1,0))))</f>
        <v/>
      </c>
      <c r="AN36" s="9" t="str">
        <f ca="1">IF(IF(ISERROR(MATCH(Stock!AN$1,'Stock UST'!$1:$1,0)),AM36,INDEX('Stock UST'!36:36,1,MATCH(Stock!AN$1,'Stock UST'!$1:$1,0)))=0,"",IF(ISERROR(MATCH(Stock!AN$1,'Stock UST'!$1:$1,0)),AM36,INDEX('Stock UST'!36:36,1,MATCH(Stock!AN$1,'Stock UST'!$1:$1,0))))</f>
        <v/>
      </c>
      <c r="AO36" s="9" t="str">
        <f ca="1">IF(IF(ISERROR(MATCH(Stock!AO$1,'Stock UST'!$1:$1,0)),AN36,INDEX('Stock UST'!36:36,1,MATCH(Stock!AO$1,'Stock UST'!$1:$1,0)))=0,"",IF(ISERROR(MATCH(Stock!AO$1,'Stock UST'!$1:$1,0)),AN36,INDEX('Stock UST'!36:36,1,MATCH(Stock!AO$1,'Stock UST'!$1:$1,0))))</f>
        <v/>
      </c>
      <c r="AP36" s="9" t="str">
        <f ca="1">IF(IF(ISERROR(MATCH(Stock!AP$1,'Stock UST'!$1:$1,0)),AO36,INDEX('Stock UST'!36:36,1,MATCH(Stock!AP$1,'Stock UST'!$1:$1,0)))=0,"",IF(ISERROR(MATCH(Stock!AP$1,'Stock UST'!$1:$1,0)),AO36,INDEX('Stock UST'!36:36,1,MATCH(Stock!AP$1,'Stock UST'!$1:$1,0))))</f>
        <v/>
      </c>
      <c r="AQ36" s="9" t="str">
        <f ca="1">IF(IF(ISERROR(MATCH(Stock!AQ$1,'Stock UST'!$1:$1,0)),AP36,INDEX('Stock UST'!36:36,1,MATCH(Stock!AQ$1,'Stock UST'!$1:$1,0)))=0,"",IF(ISERROR(MATCH(Stock!AQ$1,'Stock UST'!$1:$1,0)),AP36,INDEX('Stock UST'!36:36,1,MATCH(Stock!AQ$1,'Stock UST'!$1:$1,0))))</f>
        <v/>
      </c>
      <c r="AR36" s="9" t="str">
        <f ca="1">IF(IF(ISERROR(MATCH(Stock!AR$1,'Stock UST'!$1:$1,0)),AQ36,INDEX('Stock UST'!36:36,1,MATCH(Stock!AR$1,'Stock UST'!$1:$1,0)))=0,"",IF(ISERROR(MATCH(Stock!AR$1,'Stock UST'!$1:$1,0)),AQ36,INDEX('Stock UST'!36:36,1,MATCH(Stock!AR$1,'Stock UST'!$1:$1,0))))</f>
        <v/>
      </c>
      <c r="AS36" s="9" t="str">
        <f ca="1">IF(IF(ISERROR(MATCH(Stock!AS$1,'Stock UST'!$1:$1,0)),AR36,INDEX('Stock UST'!36:36,1,MATCH(Stock!AS$1,'Stock UST'!$1:$1,0)))=0,"",IF(ISERROR(MATCH(Stock!AS$1,'Stock UST'!$1:$1,0)),AR36,INDEX('Stock UST'!36:36,1,MATCH(Stock!AS$1,'Stock UST'!$1:$1,0))))</f>
        <v/>
      </c>
      <c r="AT36" s="9" t="str">
        <f ca="1">IF(IF(ISERROR(MATCH(Stock!AT$1,'Stock UST'!$1:$1,0)),AS36,INDEX('Stock UST'!36:36,1,MATCH(Stock!AT$1,'Stock UST'!$1:$1,0)))=0,"",IF(ISERROR(MATCH(Stock!AT$1,'Stock UST'!$1:$1,0)),AS36,INDEX('Stock UST'!36:36,1,MATCH(Stock!AT$1,'Stock UST'!$1:$1,0))))</f>
        <v/>
      </c>
      <c r="AU36" s="9" t="str">
        <f ca="1">IF(IF(ISERROR(MATCH(Stock!AU$1,'Stock UST'!$1:$1,0)),AT36,INDEX('Stock UST'!36:36,1,MATCH(Stock!AU$1,'Stock UST'!$1:$1,0)))=0,"",IF(ISERROR(MATCH(Stock!AU$1,'Stock UST'!$1:$1,0)),AT36,INDEX('Stock UST'!36:36,1,MATCH(Stock!AU$1,'Stock UST'!$1:$1,0))))</f>
        <v/>
      </c>
      <c r="AV36" s="9" t="str">
        <f ca="1">IF(IF(ISERROR(MATCH(Stock!AV$1,'Stock UST'!$1:$1,0)),AU36,INDEX('Stock UST'!36:36,1,MATCH(Stock!AV$1,'Stock UST'!$1:$1,0)))=0,"",IF(ISERROR(MATCH(Stock!AV$1,'Stock UST'!$1:$1,0)),AU36,INDEX('Stock UST'!36:36,1,MATCH(Stock!AV$1,'Stock UST'!$1:$1,0))))</f>
        <v/>
      </c>
      <c r="AW36" s="9" t="str">
        <f ca="1">IF(IF(ISERROR(MATCH(Stock!AW$1,'Stock UST'!$1:$1,0)),AV36,INDEX('Stock UST'!36:36,1,MATCH(Stock!AW$1,'Stock UST'!$1:$1,0)))=0,"",IF(ISERROR(MATCH(Stock!AW$1,'Stock UST'!$1:$1,0)),AV36,INDEX('Stock UST'!36:36,1,MATCH(Stock!AW$1,'Stock UST'!$1:$1,0))))</f>
        <v/>
      </c>
      <c r="AX36" s="9" t="str">
        <f ca="1">IF(IF(ISERROR(MATCH(Stock!AX$1,'Stock UST'!$1:$1,0)),AW36,INDEX('Stock UST'!36:36,1,MATCH(Stock!AX$1,'Stock UST'!$1:$1,0)))=0,"",IF(ISERROR(MATCH(Stock!AX$1,'Stock UST'!$1:$1,0)),AW36,INDEX('Stock UST'!36:36,1,MATCH(Stock!AX$1,'Stock UST'!$1:$1,0))))</f>
        <v/>
      </c>
    </row>
    <row r="37" spans="1:50" x14ac:dyDescent="0.3">
      <c r="A37" s="9" t="str">
        <f>IF('Stock UST'!E38="","",'Stock UST'!E38)</f>
        <v/>
      </c>
      <c r="B37" s="9" t="str">
        <f>IF(IF(ISERROR(MATCH(Stock!B$1,'Stock UST'!$1:$1,0)),A37,INDEX('Stock UST'!37:37,1,MATCH(Stock!B$1,'Stock UST'!$1:$1,0)))=0,"",IF(ISERROR(MATCH(Stock!B$1,'Stock UST'!$1:$1,0)),A37,INDEX('Stock UST'!37:37,1,MATCH(Stock!B$1,'Stock UST'!$1:$1,0))))</f>
        <v/>
      </c>
      <c r="C37" s="9" t="str">
        <f ca="1">IF(IF(ISERROR(MATCH(Stock!C$1,'Stock UST'!$1:$1,0)),B37,INDEX('Stock UST'!37:37,1,MATCH(Stock!C$1,'Stock UST'!$1:$1,0)))=0,"",IF(ISERROR(MATCH(Stock!C$1,'Stock UST'!$1:$1,0)),B37,INDEX('Stock UST'!37:37,1,MATCH(Stock!C$1,'Stock UST'!$1:$1,0))))</f>
        <v/>
      </c>
      <c r="D37" s="9" t="str">
        <f ca="1">IF(IF(ISERROR(MATCH(Stock!D$1,'Stock UST'!$1:$1,0)),C37,INDEX('Stock UST'!37:37,1,MATCH(Stock!D$1,'Stock UST'!$1:$1,0)))=0,"",IF(ISERROR(MATCH(Stock!D$1,'Stock UST'!$1:$1,0)),C37,INDEX('Stock UST'!37:37,1,MATCH(Stock!D$1,'Stock UST'!$1:$1,0))))</f>
        <v/>
      </c>
      <c r="E37" s="9" t="str">
        <f ca="1">IF(IF(ISERROR(MATCH(Stock!E$1,'Stock UST'!$1:$1,0)),D37,INDEX('Stock UST'!37:37,1,MATCH(Stock!E$1,'Stock UST'!$1:$1,0)))=0,"",IF(ISERROR(MATCH(Stock!E$1,'Stock UST'!$1:$1,0)),D37,INDEX('Stock UST'!37:37,1,MATCH(Stock!E$1,'Stock UST'!$1:$1,0))))</f>
        <v/>
      </c>
      <c r="F37" s="9" t="str">
        <f ca="1">IF(IF(ISERROR(MATCH(Stock!F$1,'Stock UST'!$1:$1,0)),E37,INDEX('Stock UST'!37:37,1,MATCH(Stock!F$1,'Stock UST'!$1:$1,0)))=0,"",IF(ISERROR(MATCH(Stock!F$1,'Stock UST'!$1:$1,0)),E37,INDEX('Stock UST'!37:37,1,MATCH(Stock!F$1,'Stock UST'!$1:$1,0))))</f>
        <v/>
      </c>
      <c r="G37" s="9" t="str">
        <f ca="1">IF(IF(ISERROR(MATCH(Stock!G$1,'Stock UST'!$1:$1,0)),F37,INDEX('Stock UST'!37:37,1,MATCH(Stock!G$1,'Stock UST'!$1:$1,0)))=0,"",IF(ISERROR(MATCH(Stock!G$1,'Stock UST'!$1:$1,0)),F37,INDEX('Stock UST'!37:37,1,MATCH(Stock!G$1,'Stock UST'!$1:$1,0))))</f>
        <v/>
      </c>
      <c r="H37" s="9" t="str">
        <f ca="1">IF(IF(ISERROR(MATCH(Stock!H$1,'Stock UST'!$1:$1,0)),G37,INDEX('Stock UST'!37:37,1,MATCH(Stock!H$1,'Stock UST'!$1:$1,0)))=0,"",IF(ISERROR(MATCH(Stock!H$1,'Stock UST'!$1:$1,0)),G37,INDEX('Stock UST'!37:37,1,MATCH(Stock!H$1,'Stock UST'!$1:$1,0))))</f>
        <v/>
      </c>
      <c r="I37" s="9" t="str">
        <f ca="1">IF(IF(ISERROR(MATCH(Stock!I$1,'Stock UST'!$1:$1,0)),H37,INDEX('Stock UST'!37:37,1,MATCH(Stock!I$1,'Stock UST'!$1:$1,0)))=0,"",IF(ISERROR(MATCH(Stock!I$1,'Stock UST'!$1:$1,0)),H37,INDEX('Stock UST'!37:37,1,MATCH(Stock!I$1,'Stock UST'!$1:$1,0))))</f>
        <v/>
      </c>
      <c r="J37" s="9" t="str">
        <f ca="1">IF(IF(ISERROR(MATCH(Stock!J$1,'Stock UST'!$1:$1,0)),I37,INDEX('Stock UST'!37:37,1,MATCH(Stock!J$1,'Stock UST'!$1:$1,0)))=0,"",IF(ISERROR(MATCH(Stock!J$1,'Stock UST'!$1:$1,0)),I37,INDEX('Stock UST'!37:37,1,MATCH(Stock!J$1,'Stock UST'!$1:$1,0))))</f>
        <v/>
      </c>
      <c r="K37" s="9" t="str">
        <f ca="1">IF(IF(ISERROR(MATCH(Stock!K$1,'Stock UST'!$1:$1,0)),J37,INDEX('Stock UST'!37:37,1,MATCH(Stock!K$1,'Stock UST'!$1:$1,0)))=0,"",IF(ISERROR(MATCH(Stock!K$1,'Stock UST'!$1:$1,0)),J37,INDEX('Stock UST'!37:37,1,MATCH(Stock!K$1,'Stock UST'!$1:$1,0))))</f>
        <v/>
      </c>
      <c r="L37" s="9" t="str">
        <f ca="1">IF(IF(ISERROR(MATCH(Stock!L$1,'Stock UST'!$1:$1,0)),K37,INDEX('Stock UST'!37:37,1,MATCH(Stock!L$1,'Stock UST'!$1:$1,0)))=0,"",IF(ISERROR(MATCH(Stock!L$1,'Stock UST'!$1:$1,0)),K37,INDEX('Stock UST'!37:37,1,MATCH(Stock!L$1,'Stock UST'!$1:$1,0))))</f>
        <v/>
      </c>
      <c r="M37" s="9" t="str">
        <f ca="1">IF(IF(ISERROR(MATCH(Stock!M$1,'Stock UST'!$1:$1,0)),L37,INDEX('Stock UST'!37:37,1,MATCH(Stock!M$1,'Stock UST'!$1:$1,0)))=0,"",IF(ISERROR(MATCH(Stock!M$1,'Stock UST'!$1:$1,0)),L37,INDEX('Stock UST'!37:37,1,MATCH(Stock!M$1,'Stock UST'!$1:$1,0))))</f>
        <v/>
      </c>
      <c r="N37" s="9" t="str">
        <f ca="1">IF(IF(ISERROR(MATCH(Stock!N$1,'Stock UST'!$1:$1,0)),M37,INDEX('Stock UST'!37:37,1,MATCH(Stock!N$1,'Stock UST'!$1:$1,0)))=0,"",IF(ISERROR(MATCH(Stock!N$1,'Stock UST'!$1:$1,0)),M37,INDEX('Stock UST'!37:37,1,MATCH(Stock!N$1,'Stock UST'!$1:$1,0))))</f>
        <v/>
      </c>
      <c r="O37" s="9" t="str">
        <f ca="1">IF(IF(ISERROR(MATCH(Stock!O$1,'Stock UST'!$1:$1,0)),N37,INDEX('Stock UST'!37:37,1,MATCH(Stock!O$1,'Stock UST'!$1:$1,0)))=0,"",IF(ISERROR(MATCH(Stock!O$1,'Stock UST'!$1:$1,0)),N37,INDEX('Stock UST'!37:37,1,MATCH(Stock!O$1,'Stock UST'!$1:$1,0))))</f>
        <v/>
      </c>
      <c r="P37" s="9" t="str">
        <f ca="1">IF(IF(ISERROR(MATCH(Stock!P$1,'Stock UST'!$1:$1,0)),O37,INDEX('Stock UST'!37:37,1,MATCH(Stock!P$1,'Stock UST'!$1:$1,0)))=0,"",IF(ISERROR(MATCH(Stock!P$1,'Stock UST'!$1:$1,0)),O37,INDEX('Stock UST'!37:37,1,MATCH(Stock!P$1,'Stock UST'!$1:$1,0))))</f>
        <v/>
      </c>
      <c r="Q37" s="9" t="str">
        <f ca="1">IF(IF(ISERROR(MATCH(Stock!Q$1,'Stock UST'!$1:$1,0)),P37,INDEX('Stock UST'!37:37,1,MATCH(Stock!Q$1,'Stock UST'!$1:$1,0)))=0,"",IF(ISERROR(MATCH(Stock!Q$1,'Stock UST'!$1:$1,0)),P37,INDEX('Stock UST'!37:37,1,MATCH(Stock!Q$1,'Stock UST'!$1:$1,0))))</f>
        <v/>
      </c>
      <c r="R37" s="9" t="str">
        <f ca="1">IF(IF(ISERROR(MATCH(Stock!R$1,'Stock UST'!$1:$1,0)),Q37,INDEX('Stock UST'!37:37,1,MATCH(Stock!R$1,'Stock UST'!$1:$1,0)))=0,"",IF(ISERROR(MATCH(Stock!R$1,'Stock UST'!$1:$1,0)),Q37,INDEX('Stock UST'!37:37,1,MATCH(Stock!R$1,'Stock UST'!$1:$1,0))))</f>
        <v/>
      </c>
      <c r="S37" s="9" t="str">
        <f ca="1">IF(IF(ISERROR(MATCH(Stock!S$1,'Stock UST'!$1:$1,0)),R37,INDEX('Stock UST'!37:37,1,MATCH(Stock!S$1,'Stock UST'!$1:$1,0)))=0,"",IF(ISERROR(MATCH(Stock!S$1,'Stock UST'!$1:$1,0)),R37,INDEX('Stock UST'!37:37,1,MATCH(Stock!S$1,'Stock UST'!$1:$1,0))))</f>
        <v/>
      </c>
      <c r="T37" s="9" t="str">
        <f ca="1">IF(IF(ISERROR(MATCH(Stock!T$1,'Stock UST'!$1:$1,0)),S37,INDEX('Stock UST'!37:37,1,MATCH(Stock!T$1,'Stock UST'!$1:$1,0)))=0,"",IF(ISERROR(MATCH(Stock!T$1,'Stock UST'!$1:$1,0)),S37,INDEX('Stock UST'!37:37,1,MATCH(Stock!T$1,'Stock UST'!$1:$1,0))))</f>
        <v/>
      </c>
      <c r="U37" s="9" t="str">
        <f ca="1">IF(IF(ISERROR(MATCH(Stock!U$1,'Stock UST'!$1:$1,0)),T37,INDEX('Stock UST'!37:37,1,MATCH(Stock!U$1,'Stock UST'!$1:$1,0)))=0,"",IF(ISERROR(MATCH(Stock!U$1,'Stock UST'!$1:$1,0)),T37,INDEX('Stock UST'!37:37,1,MATCH(Stock!U$1,'Stock UST'!$1:$1,0))))</f>
        <v/>
      </c>
      <c r="V37" s="9" t="str">
        <f ca="1">IF(IF(ISERROR(MATCH(Stock!V$1,'Stock UST'!$1:$1,0)),U37,INDEX('Stock UST'!37:37,1,MATCH(Stock!V$1,'Stock UST'!$1:$1,0)))=0,"",IF(ISERROR(MATCH(Stock!V$1,'Stock UST'!$1:$1,0)),U37,INDEX('Stock UST'!37:37,1,MATCH(Stock!V$1,'Stock UST'!$1:$1,0))))</f>
        <v/>
      </c>
      <c r="W37" s="9" t="str">
        <f ca="1">IF(IF(ISERROR(MATCH(Stock!W$1,'Stock UST'!$1:$1,0)),V37,INDEX('Stock UST'!37:37,1,MATCH(Stock!W$1,'Stock UST'!$1:$1,0)))=0,"",IF(ISERROR(MATCH(Stock!W$1,'Stock UST'!$1:$1,0)),V37,INDEX('Stock UST'!37:37,1,MATCH(Stock!W$1,'Stock UST'!$1:$1,0))))</f>
        <v/>
      </c>
      <c r="X37" s="9" t="str">
        <f ca="1">IF(IF(ISERROR(MATCH(Stock!X$1,'Stock UST'!$1:$1,0)),W37,INDEX('Stock UST'!37:37,1,MATCH(Stock!X$1,'Stock UST'!$1:$1,0)))=0,"",IF(ISERROR(MATCH(Stock!X$1,'Stock UST'!$1:$1,0)),W37,INDEX('Stock UST'!37:37,1,MATCH(Stock!X$1,'Stock UST'!$1:$1,0))))</f>
        <v/>
      </c>
      <c r="Y37" s="9" t="str">
        <f ca="1">IF(IF(ISERROR(MATCH(Stock!Y$1,'Stock UST'!$1:$1,0)),X37,INDEX('Stock UST'!37:37,1,MATCH(Stock!Y$1,'Stock UST'!$1:$1,0)))=0,"",IF(ISERROR(MATCH(Stock!Y$1,'Stock UST'!$1:$1,0)),X37,INDEX('Stock UST'!37:37,1,MATCH(Stock!Y$1,'Stock UST'!$1:$1,0))))</f>
        <v/>
      </c>
      <c r="Z37" s="9" t="str">
        <f ca="1">IF(IF(ISERROR(MATCH(Stock!Z$1,'Stock UST'!$1:$1,0)),Y37,INDEX('Stock UST'!37:37,1,MATCH(Stock!Z$1,'Stock UST'!$1:$1,0)))=0,"",IF(ISERROR(MATCH(Stock!Z$1,'Stock UST'!$1:$1,0)),Y37,INDEX('Stock UST'!37:37,1,MATCH(Stock!Z$1,'Stock UST'!$1:$1,0))))</f>
        <v/>
      </c>
      <c r="AA37" s="9" t="str">
        <f ca="1">IF(IF(ISERROR(MATCH(Stock!AA$1,'Stock UST'!$1:$1,0)),Z37,INDEX('Stock UST'!37:37,1,MATCH(Stock!AA$1,'Stock UST'!$1:$1,0)))=0,"",IF(ISERROR(MATCH(Stock!AA$1,'Stock UST'!$1:$1,0)),Z37,INDEX('Stock UST'!37:37,1,MATCH(Stock!AA$1,'Stock UST'!$1:$1,0))))</f>
        <v/>
      </c>
      <c r="AB37" s="9" t="str">
        <f ca="1">IF(IF(ISERROR(MATCH(Stock!AB$1,'Stock UST'!$1:$1,0)),AA37,INDEX('Stock UST'!37:37,1,MATCH(Stock!AB$1,'Stock UST'!$1:$1,0)))=0,"",IF(ISERROR(MATCH(Stock!AB$1,'Stock UST'!$1:$1,0)),AA37,INDEX('Stock UST'!37:37,1,MATCH(Stock!AB$1,'Stock UST'!$1:$1,0))))</f>
        <v/>
      </c>
      <c r="AC37" s="9" t="str">
        <f ca="1">IF(IF(ISERROR(MATCH(Stock!AC$1,'Stock UST'!$1:$1,0)),AB37,INDEX('Stock UST'!37:37,1,MATCH(Stock!AC$1,'Stock UST'!$1:$1,0)))=0,"",IF(ISERROR(MATCH(Stock!AC$1,'Stock UST'!$1:$1,0)),AB37,INDEX('Stock UST'!37:37,1,MATCH(Stock!AC$1,'Stock UST'!$1:$1,0))))</f>
        <v/>
      </c>
      <c r="AD37" s="9" t="str">
        <f ca="1">IF(IF(ISERROR(MATCH(Stock!AD$1,'Stock UST'!$1:$1,0)),AC37,INDEX('Stock UST'!37:37,1,MATCH(Stock!AD$1,'Stock UST'!$1:$1,0)))=0,"",IF(ISERROR(MATCH(Stock!AD$1,'Stock UST'!$1:$1,0)),AC37,INDEX('Stock UST'!37:37,1,MATCH(Stock!AD$1,'Stock UST'!$1:$1,0))))</f>
        <v/>
      </c>
      <c r="AE37" s="9" t="str">
        <f ca="1">IF(IF(ISERROR(MATCH(Stock!AE$1,'Stock UST'!$1:$1,0)),AD37,INDEX('Stock UST'!37:37,1,MATCH(Stock!AE$1,'Stock UST'!$1:$1,0)))=0,"",IF(ISERROR(MATCH(Stock!AE$1,'Stock UST'!$1:$1,0)),AD37,INDEX('Stock UST'!37:37,1,MATCH(Stock!AE$1,'Stock UST'!$1:$1,0))))</f>
        <v/>
      </c>
      <c r="AF37" s="9" t="str">
        <f ca="1">IF(IF(ISERROR(MATCH(Stock!AF$1,'Stock UST'!$1:$1,0)),AE37,INDEX('Stock UST'!37:37,1,MATCH(Stock!AF$1,'Stock UST'!$1:$1,0)))=0,"",IF(ISERROR(MATCH(Stock!AF$1,'Stock UST'!$1:$1,0)),AE37,INDEX('Stock UST'!37:37,1,MATCH(Stock!AF$1,'Stock UST'!$1:$1,0))))</f>
        <v/>
      </c>
      <c r="AG37" s="9" t="str">
        <f ca="1">IF(IF(ISERROR(MATCH(Stock!AG$1,'Stock UST'!$1:$1,0)),AF37,INDEX('Stock UST'!37:37,1,MATCH(Stock!AG$1,'Stock UST'!$1:$1,0)))=0,"",IF(ISERROR(MATCH(Stock!AG$1,'Stock UST'!$1:$1,0)),AF37,INDEX('Stock UST'!37:37,1,MATCH(Stock!AG$1,'Stock UST'!$1:$1,0))))</f>
        <v/>
      </c>
      <c r="AH37" s="9" t="str">
        <f ca="1">IF(IF(ISERROR(MATCH(Stock!AH$1,'Stock UST'!$1:$1,0)),AG37,INDEX('Stock UST'!37:37,1,MATCH(Stock!AH$1,'Stock UST'!$1:$1,0)))=0,"",IF(ISERROR(MATCH(Stock!AH$1,'Stock UST'!$1:$1,0)),AG37,INDEX('Stock UST'!37:37,1,MATCH(Stock!AH$1,'Stock UST'!$1:$1,0))))</f>
        <v/>
      </c>
      <c r="AI37" s="9" t="str">
        <f ca="1">IF(IF(ISERROR(MATCH(Stock!AI$1,'Stock UST'!$1:$1,0)),AH37,INDEX('Stock UST'!37:37,1,MATCH(Stock!AI$1,'Stock UST'!$1:$1,0)))=0,"",IF(ISERROR(MATCH(Stock!AI$1,'Stock UST'!$1:$1,0)),AH37,INDEX('Stock UST'!37:37,1,MATCH(Stock!AI$1,'Stock UST'!$1:$1,0))))</f>
        <v/>
      </c>
      <c r="AJ37" s="9" t="str">
        <f ca="1">IF(IF(ISERROR(MATCH(Stock!AJ$1,'Stock UST'!$1:$1,0)),AI37,INDEX('Stock UST'!37:37,1,MATCH(Stock!AJ$1,'Stock UST'!$1:$1,0)))=0,"",IF(ISERROR(MATCH(Stock!AJ$1,'Stock UST'!$1:$1,0)),AI37,INDEX('Stock UST'!37:37,1,MATCH(Stock!AJ$1,'Stock UST'!$1:$1,0))))</f>
        <v/>
      </c>
      <c r="AK37" s="9" t="str">
        <f ca="1">IF(IF(ISERROR(MATCH(Stock!AK$1,'Stock UST'!$1:$1,0)),AJ37,INDEX('Stock UST'!37:37,1,MATCH(Stock!AK$1,'Stock UST'!$1:$1,0)))=0,"",IF(ISERROR(MATCH(Stock!AK$1,'Stock UST'!$1:$1,0)),AJ37,INDEX('Stock UST'!37:37,1,MATCH(Stock!AK$1,'Stock UST'!$1:$1,0))))</f>
        <v/>
      </c>
      <c r="AL37" s="9" t="str">
        <f ca="1">IF(IF(ISERROR(MATCH(Stock!AL$1,'Stock UST'!$1:$1,0)),AK37,INDEX('Stock UST'!37:37,1,MATCH(Stock!AL$1,'Stock UST'!$1:$1,0)))=0,"",IF(ISERROR(MATCH(Stock!AL$1,'Stock UST'!$1:$1,0)),AK37,INDEX('Stock UST'!37:37,1,MATCH(Stock!AL$1,'Stock UST'!$1:$1,0))))</f>
        <v/>
      </c>
      <c r="AM37" s="9" t="str">
        <f ca="1">IF(IF(ISERROR(MATCH(Stock!AM$1,'Stock UST'!$1:$1,0)),AL37,INDEX('Stock UST'!37:37,1,MATCH(Stock!AM$1,'Stock UST'!$1:$1,0)))=0,"",IF(ISERROR(MATCH(Stock!AM$1,'Stock UST'!$1:$1,0)),AL37,INDEX('Stock UST'!37:37,1,MATCH(Stock!AM$1,'Stock UST'!$1:$1,0))))</f>
        <v/>
      </c>
      <c r="AN37" s="9" t="str">
        <f ca="1">IF(IF(ISERROR(MATCH(Stock!AN$1,'Stock UST'!$1:$1,0)),AM37,INDEX('Stock UST'!37:37,1,MATCH(Stock!AN$1,'Stock UST'!$1:$1,0)))=0,"",IF(ISERROR(MATCH(Stock!AN$1,'Stock UST'!$1:$1,0)),AM37,INDEX('Stock UST'!37:37,1,MATCH(Stock!AN$1,'Stock UST'!$1:$1,0))))</f>
        <v/>
      </c>
      <c r="AO37" s="9" t="str">
        <f ca="1">IF(IF(ISERROR(MATCH(Stock!AO$1,'Stock UST'!$1:$1,0)),AN37,INDEX('Stock UST'!37:37,1,MATCH(Stock!AO$1,'Stock UST'!$1:$1,0)))=0,"",IF(ISERROR(MATCH(Stock!AO$1,'Stock UST'!$1:$1,0)),AN37,INDEX('Stock UST'!37:37,1,MATCH(Stock!AO$1,'Stock UST'!$1:$1,0))))</f>
        <v/>
      </c>
      <c r="AP37" s="9" t="str">
        <f ca="1">IF(IF(ISERROR(MATCH(Stock!AP$1,'Stock UST'!$1:$1,0)),AO37,INDEX('Stock UST'!37:37,1,MATCH(Stock!AP$1,'Stock UST'!$1:$1,0)))=0,"",IF(ISERROR(MATCH(Stock!AP$1,'Stock UST'!$1:$1,0)),AO37,INDEX('Stock UST'!37:37,1,MATCH(Stock!AP$1,'Stock UST'!$1:$1,0))))</f>
        <v/>
      </c>
      <c r="AQ37" s="9" t="str">
        <f ca="1">IF(IF(ISERROR(MATCH(Stock!AQ$1,'Stock UST'!$1:$1,0)),AP37,INDEX('Stock UST'!37:37,1,MATCH(Stock!AQ$1,'Stock UST'!$1:$1,0)))=0,"",IF(ISERROR(MATCH(Stock!AQ$1,'Stock UST'!$1:$1,0)),AP37,INDEX('Stock UST'!37:37,1,MATCH(Stock!AQ$1,'Stock UST'!$1:$1,0))))</f>
        <v/>
      </c>
      <c r="AR37" s="9" t="str">
        <f ca="1">IF(IF(ISERROR(MATCH(Stock!AR$1,'Stock UST'!$1:$1,0)),AQ37,INDEX('Stock UST'!37:37,1,MATCH(Stock!AR$1,'Stock UST'!$1:$1,0)))=0,"",IF(ISERROR(MATCH(Stock!AR$1,'Stock UST'!$1:$1,0)),AQ37,INDEX('Stock UST'!37:37,1,MATCH(Stock!AR$1,'Stock UST'!$1:$1,0))))</f>
        <v/>
      </c>
      <c r="AS37" s="9" t="str">
        <f ca="1">IF(IF(ISERROR(MATCH(Stock!AS$1,'Stock UST'!$1:$1,0)),AR37,INDEX('Stock UST'!37:37,1,MATCH(Stock!AS$1,'Stock UST'!$1:$1,0)))=0,"",IF(ISERROR(MATCH(Stock!AS$1,'Stock UST'!$1:$1,0)),AR37,INDEX('Stock UST'!37:37,1,MATCH(Stock!AS$1,'Stock UST'!$1:$1,0))))</f>
        <v/>
      </c>
      <c r="AT37" s="9" t="str">
        <f ca="1">IF(IF(ISERROR(MATCH(Stock!AT$1,'Stock UST'!$1:$1,0)),AS37,INDEX('Stock UST'!37:37,1,MATCH(Stock!AT$1,'Stock UST'!$1:$1,0)))=0,"",IF(ISERROR(MATCH(Stock!AT$1,'Stock UST'!$1:$1,0)),AS37,INDEX('Stock UST'!37:37,1,MATCH(Stock!AT$1,'Stock UST'!$1:$1,0))))</f>
        <v/>
      </c>
      <c r="AU37" s="9" t="str">
        <f ca="1">IF(IF(ISERROR(MATCH(Stock!AU$1,'Stock UST'!$1:$1,0)),AT37,INDEX('Stock UST'!37:37,1,MATCH(Stock!AU$1,'Stock UST'!$1:$1,0)))=0,"",IF(ISERROR(MATCH(Stock!AU$1,'Stock UST'!$1:$1,0)),AT37,INDEX('Stock UST'!37:37,1,MATCH(Stock!AU$1,'Stock UST'!$1:$1,0))))</f>
        <v/>
      </c>
      <c r="AV37" s="9" t="str">
        <f ca="1">IF(IF(ISERROR(MATCH(Stock!AV$1,'Stock UST'!$1:$1,0)),AU37,INDEX('Stock UST'!37:37,1,MATCH(Stock!AV$1,'Stock UST'!$1:$1,0)))=0,"",IF(ISERROR(MATCH(Stock!AV$1,'Stock UST'!$1:$1,0)),AU37,INDEX('Stock UST'!37:37,1,MATCH(Stock!AV$1,'Stock UST'!$1:$1,0))))</f>
        <v/>
      </c>
      <c r="AW37" s="9" t="str">
        <f ca="1">IF(IF(ISERROR(MATCH(Stock!AW$1,'Stock UST'!$1:$1,0)),AV37,INDEX('Stock UST'!37:37,1,MATCH(Stock!AW$1,'Stock UST'!$1:$1,0)))=0,"",IF(ISERROR(MATCH(Stock!AW$1,'Stock UST'!$1:$1,0)),AV37,INDEX('Stock UST'!37:37,1,MATCH(Stock!AW$1,'Stock UST'!$1:$1,0))))</f>
        <v/>
      </c>
      <c r="AX37" s="9" t="str">
        <f ca="1">IF(IF(ISERROR(MATCH(Stock!AX$1,'Stock UST'!$1:$1,0)),AW37,INDEX('Stock UST'!37:37,1,MATCH(Stock!AX$1,'Stock UST'!$1:$1,0)))=0,"",IF(ISERROR(MATCH(Stock!AX$1,'Stock UST'!$1:$1,0)),AW37,INDEX('Stock UST'!37:37,1,MATCH(Stock!AX$1,'Stock UST'!$1:$1,0))))</f>
        <v/>
      </c>
    </row>
    <row r="38" spans="1:50" x14ac:dyDescent="0.3">
      <c r="A38" s="9" t="str">
        <f>IF('Stock UST'!E39="","",'Stock UST'!E39)</f>
        <v/>
      </c>
      <c r="B38" s="9" t="str">
        <f>IF(IF(ISERROR(MATCH(Stock!B$1,'Stock UST'!$1:$1,0)),A38,INDEX('Stock UST'!38:38,1,MATCH(Stock!B$1,'Stock UST'!$1:$1,0)))=0,"",IF(ISERROR(MATCH(Stock!B$1,'Stock UST'!$1:$1,0)),A38,INDEX('Stock UST'!38:38,1,MATCH(Stock!B$1,'Stock UST'!$1:$1,0))))</f>
        <v/>
      </c>
      <c r="C38" s="9" t="str">
        <f ca="1">IF(IF(ISERROR(MATCH(Stock!C$1,'Stock UST'!$1:$1,0)),B38,INDEX('Stock UST'!38:38,1,MATCH(Stock!C$1,'Stock UST'!$1:$1,0)))=0,"",IF(ISERROR(MATCH(Stock!C$1,'Stock UST'!$1:$1,0)),B38,INDEX('Stock UST'!38:38,1,MATCH(Stock!C$1,'Stock UST'!$1:$1,0))))</f>
        <v/>
      </c>
      <c r="D38" s="9" t="str">
        <f ca="1">IF(IF(ISERROR(MATCH(Stock!D$1,'Stock UST'!$1:$1,0)),C38,INDEX('Stock UST'!38:38,1,MATCH(Stock!D$1,'Stock UST'!$1:$1,0)))=0,"",IF(ISERROR(MATCH(Stock!D$1,'Stock UST'!$1:$1,0)),C38,INDEX('Stock UST'!38:38,1,MATCH(Stock!D$1,'Stock UST'!$1:$1,0))))</f>
        <v/>
      </c>
      <c r="E38" s="9" t="str">
        <f ca="1">IF(IF(ISERROR(MATCH(Stock!E$1,'Stock UST'!$1:$1,0)),D38,INDEX('Stock UST'!38:38,1,MATCH(Stock!E$1,'Stock UST'!$1:$1,0)))=0,"",IF(ISERROR(MATCH(Stock!E$1,'Stock UST'!$1:$1,0)),D38,INDEX('Stock UST'!38:38,1,MATCH(Stock!E$1,'Stock UST'!$1:$1,0))))</f>
        <v/>
      </c>
      <c r="F38" s="9" t="str">
        <f ca="1">IF(IF(ISERROR(MATCH(Stock!F$1,'Stock UST'!$1:$1,0)),E38,INDEX('Stock UST'!38:38,1,MATCH(Stock!F$1,'Stock UST'!$1:$1,0)))=0,"",IF(ISERROR(MATCH(Stock!F$1,'Stock UST'!$1:$1,0)),E38,INDEX('Stock UST'!38:38,1,MATCH(Stock!F$1,'Stock UST'!$1:$1,0))))</f>
        <v/>
      </c>
      <c r="G38" s="9" t="str">
        <f ca="1">IF(IF(ISERROR(MATCH(Stock!G$1,'Stock UST'!$1:$1,0)),F38,INDEX('Stock UST'!38:38,1,MATCH(Stock!G$1,'Stock UST'!$1:$1,0)))=0,"",IF(ISERROR(MATCH(Stock!G$1,'Stock UST'!$1:$1,0)),F38,INDEX('Stock UST'!38:38,1,MATCH(Stock!G$1,'Stock UST'!$1:$1,0))))</f>
        <v/>
      </c>
      <c r="H38" s="9" t="str">
        <f ca="1">IF(IF(ISERROR(MATCH(Stock!H$1,'Stock UST'!$1:$1,0)),G38,INDEX('Stock UST'!38:38,1,MATCH(Stock!H$1,'Stock UST'!$1:$1,0)))=0,"",IF(ISERROR(MATCH(Stock!H$1,'Stock UST'!$1:$1,0)),G38,INDEX('Stock UST'!38:38,1,MATCH(Stock!H$1,'Stock UST'!$1:$1,0))))</f>
        <v/>
      </c>
      <c r="I38" s="9" t="str">
        <f ca="1">IF(IF(ISERROR(MATCH(Stock!I$1,'Stock UST'!$1:$1,0)),H38,INDEX('Stock UST'!38:38,1,MATCH(Stock!I$1,'Stock UST'!$1:$1,0)))=0,"",IF(ISERROR(MATCH(Stock!I$1,'Stock UST'!$1:$1,0)),H38,INDEX('Stock UST'!38:38,1,MATCH(Stock!I$1,'Stock UST'!$1:$1,0))))</f>
        <v/>
      </c>
      <c r="J38" s="9" t="str">
        <f ca="1">IF(IF(ISERROR(MATCH(Stock!J$1,'Stock UST'!$1:$1,0)),I38,INDEX('Stock UST'!38:38,1,MATCH(Stock!J$1,'Stock UST'!$1:$1,0)))=0,"",IF(ISERROR(MATCH(Stock!J$1,'Stock UST'!$1:$1,0)),I38,INDEX('Stock UST'!38:38,1,MATCH(Stock!J$1,'Stock UST'!$1:$1,0))))</f>
        <v/>
      </c>
      <c r="K38" s="9" t="str">
        <f ca="1">IF(IF(ISERROR(MATCH(Stock!K$1,'Stock UST'!$1:$1,0)),J38,INDEX('Stock UST'!38:38,1,MATCH(Stock!K$1,'Stock UST'!$1:$1,0)))=0,"",IF(ISERROR(MATCH(Stock!K$1,'Stock UST'!$1:$1,0)),J38,INDEX('Stock UST'!38:38,1,MATCH(Stock!K$1,'Stock UST'!$1:$1,0))))</f>
        <v/>
      </c>
      <c r="L38" s="9" t="str">
        <f ca="1">IF(IF(ISERROR(MATCH(Stock!L$1,'Stock UST'!$1:$1,0)),K38,INDEX('Stock UST'!38:38,1,MATCH(Stock!L$1,'Stock UST'!$1:$1,0)))=0,"",IF(ISERROR(MATCH(Stock!L$1,'Stock UST'!$1:$1,0)),K38,INDEX('Stock UST'!38:38,1,MATCH(Stock!L$1,'Stock UST'!$1:$1,0))))</f>
        <v/>
      </c>
      <c r="M38" s="9" t="str">
        <f ca="1">IF(IF(ISERROR(MATCH(Stock!M$1,'Stock UST'!$1:$1,0)),L38,INDEX('Stock UST'!38:38,1,MATCH(Stock!M$1,'Stock UST'!$1:$1,0)))=0,"",IF(ISERROR(MATCH(Stock!M$1,'Stock UST'!$1:$1,0)),L38,INDEX('Stock UST'!38:38,1,MATCH(Stock!M$1,'Stock UST'!$1:$1,0))))</f>
        <v/>
      </c>
      <c r="N38" s="9" t="str">
        <f ca="1">IF(IF(ISERROR(MATCH(Stock!N$1,'Stock UST'!$1:$1,0)),M38,INDEX('Stock UST'!38:38,1,MATCH(Stock!N$1,'Stock UST'!$1:$1,0)))=0,"",IF(ISERROR(MATCH(Stock!N$1,'Stock UST'!$1:$1,0)),M38,INDEX('Stock UST'!38:38,1,MATCH(Stock!N$1,'Stock UST'!$1:$1,0))))</f>
        <v/>
      </c>
      <c r="O38" s="9" t="str">
        <f ca="1">IF(IF(ISERROR(MATCH(Stock!O$1,'Stock UST'!$1:$1,0)),N38,INDEX('Stock UST'!38:38,1,MATCH(Stock!O$1,'Stock UST'!$1:$1,0)))=0,"",IF(ISERROR(MATCH(Stock!O$1,'Stock UST'!$1:$1,0)),N38,INDEX('Stock UST'!38:38,1,MATCH(Stock!O$1,'Stock UST'!$1:$1,0))))</f>
        <v/>
      </c>
      <c r="P38" s="9" t="str">
        <f ca="1">IF(IF(ISERROR(MATCH(Stock!P$1,'Stock UST'!$1:$1,0)),O38,INDEX('Stock UST'!38:38,1,MATCH(Stock!P$1,'Stock UST'!$1:$1,0)))=0,"",IF(ISERROR(MATCH(Stock!P$1,'Stock UST'!$1:$1,0)),O38,INDEX('Stock UST'!38:38,1,MATCH(Stock!P$1,'Stock UST'!$1:$1,0))))</f>
        <v/>
      </c>
      <c r="Q38" s="9" t="str">
        <f ca="1">IF(IF(ISERROR(MATCH(Stock!Q$1,'Stock UST'!$1:$1,0)),P38,INDEX('Stock UST'!38:38,1,MATCH(Stock!Q$1,'Stock UST'!$1:$1,0)))=0,"",IF(ISERROR(MATCH(Stock!Q$1,'Stock UST'!$1:$1,0)),P38,INDEX('Stock UST'!38:38,1,MATCH(Stock!Q$1,'Stock UST'!$1:$1,0))))</f>
        <v/>
      </c>
      <c r="R38" s="9" t="str">
        <f ca="1">IF(IF(ISERROR(MATCH(Stock!R$1,'Stock UST'!$1:$1,0)),Q38,INDEX('Stock UST'!38:38,1,MATCH(Stock!R$1,'Stock UST'!$1:$1,0)))=0,"",IF(ISERROR(MATCH(Stock!R$1,'Stock UST'!$1:$1,0)),Q38,INDEX('Stock UST'!38:38,1,MATCH(Stock!R$1,'Stock UST'!$1:$1,0))))</f>
        <v/>
      </c>
      <c r="S38" s="9" t="str">
        <f ca="1">IF(IF(ISERROR(MATCH(Stock!S$1,'Stock UST'!$1:$1,0)),R38,INDEX('Stock UST'!38:38,1,MATCH(Stock!S$1,'Stock UST'!$1:$1,0)))=0,"",IF(ISERROR(MATCH(Stock!S$1,'Stock UST'!$1:$1,0)),R38,INDEX('Stock UST'!38:38,1,MATCH(Stock!S$1,'Stock UST'!$1:$1,0))))</f>
        <v/>
      </c>
      <c r="T38" s="9" t="str">
        <f ca="1">IF(IF(ISERROR(MATCH(Stock!T$1,'Stock UST'!$1:$1,0)),S38,INDEX('Stock UST'!38:38,1,MATCH(Stock!T$1,'Stock UST'!$1:$1,0)))=0,"",IF(ISERROR(MATCH(Stock!T$1,'Stock UST'!$1:$1,0)),S38,INDEX('Stock UST'!38:38,1,MATCH(Stock!T$1,'Stock UST'!$1:$1,0))))</f>
        <v/>
      </c>
      <c r="U38" s="9" t="str">
        <f ca="1">IF(IF(ISERROR(MATCH(Stock!U$1,'Stock UST'!$1:$1,0)),T38,INDEX('Stock UST'!38:38,1,MATCH(Stock!U$1,'Stock UST'!$1:$1,0)))=0,"",IF(ISERROR(MATCH(Stock!U$1,'Stock UST'!$1:$1,0)),T38,INDEX('Stock UST'!38:38,1,MATCH(Stock!U$1,'Stock UST'!$1:$1,0))))</f>
        <v/>
      </c>
      <c r="V38" s="9" t="str">
        <f ca="1">IF(IF(ISERROR(MATCH(Stock!V$1,'Stock UST'!$1:$1,0)),U38,INDEX('Stock UST'!38:38,1,MATCH(Stock!V$1,'Stock UST'!$1:$1,0)))=0,"",IF(ISERROR(MATCH(Stock!V$1,'Stock UST'!$1:$1,0)),U38,INDEX('Stock UST'!38:38,1,MATCH(Stock!V$1,'Stock UST'!$1:$1,0))))</f>
        <v/>
      </c>
      <c r="W38" s="9" t="str">
        <f ca="1">IF(IF(ISERROR(MATCH(Stock!W$1,'Stock UST'!$1:$1,0)),V38,INDEX('Stock UST'!38:38,1,MATCH(Stock!W$1,'Stock UST'!$1:$1,0)))=0,"",IF(ISERROR(MATCH(Stock!W$1,'Stock UST'!$1:$1,0)),V38,INDEX('Stock UST'!38:38,1,MATCH(Stock!W$1,'Stock UST'!$1:$1,0))))</f>
        <v/>
      </c>
      <c r="X38" s="9" t="str">
        <f ca="1">IF(IF(ISERROR(MATCH(Stock!X$1,'Stock UST'!$1:$1,0)),W38,INDEX('Stock UST'!38:38,1,MATCH(Stock!X$1,'Stock UST'!$1:$1,0)))=0,"",IF(ISERROR(MATCH(Stock!X$1,'Stock UST'!$1:$1,0)),W38,INDEX('Stock UST'!38:38,1,MATCH(Stock!X$1,'Stock UST'!$1:$1,0))))</f>
        <v/>
      </c>
      <c r="Y38" s="9" t="str">
        <f ca="1">IF(IF(ISERROR(MATCH(Stock!Y$1,'Stock UST'!$1:$1,0)),X38,INDEX('Stock UST'!38:38,1,MATCH(Stock!Y$1,'Stock UST'!$1:$1,0)))=0,"",IF(ISERROR(MATCH(Stock!Y$1,'Stock UST'!$1:$1,0)),X38,INDEX('Stock UST'!38:38,1,MATCH(Stock!Y$1,'Stock UST'!$1:$1,0))))</f>
        <v/>
      </c>
      <c r="Z38" s="9" t="str">
        <f ca="1">IF(IF(ISERROR(MATCH(Stock!Z$1,'Stock UST'!$1:$1,0)),Y38,INDEX('Stock UST'!38:38,1,MATCH(Stock!Z$1,'Stock UST'!$1:$1,0)))=0,"",IF(ISERROR(MATCH(Stock!Z$1,'Stock UST'!$1:$1,0)),Y38,INDEX('Stock UST'!38:38,1,MATCH(Stock!Z$1,'Stock UST'!$1:$1,0))))</f>
        <v/>
      </c>
      <c r="AA38" s="9" t="str">
        <f ca="1">IF(IF(ISERROR(MATCH(Stock!AA$1,'Stock UST'!$1:$1,0)),Z38,INDEX('Stock UST'!38:38,1,MATCH(Stock!AA$1,'Stock UST'!$1:$1,0)))=0,"",IF(ISERROR(MATCH(Stock!AA$1,'Stock UST'!$1:$1,0)),Z38,INDEX('Stock UST'!38:38,1,MATCH(Stock!AA$1,'Stock UST'!$1:$1,0))))</f>
        <v/>
      </c>
      <c r="AB38" s="9" t="str">
        <f ca="1">IF(IF(ISERROR(MATCH(Stock!AB$1,'Stock UST'!$1:$1,0)),AA38,INDEX('Stock UST'!38:38,1,MATCH(Stock!AB$1,'Stock UST'!$1:$1,0)))=0,"",IF(ISERROR(MATCH(Stock!AB$1,'Stock UST'!$1:$1,0)),AA38,INDEX('Stock UST'!38:38,1,MATCH(Stock!AB$1,'Stock UST'!$1:$1,0))))</f>
        <v/>
      </c>
      <c r="AC38" s="9" t="str">
        <f ca="1">IF(IF(ISERROR(MATCH(Stock!AC$1,'Stock UST'!$1:$1,0)),AB38,INDEX('Stock UST'!38:38,1,MATCH(Stock!AC$1,'Stock UST'!$1:$1,0)))=0,"",IF(ISERROR(MATCH(Stock!AC$1,'Stock UST'!$1:$1,0)),AB38,INDEX('Stock UST'!38:38,1,MATCH(Stock!AC$1,'Stock UST'!$1:$1,0))))</f>
        <v/>
      </c>
      <c r="AD38" s="9" t="str">
        <f ca="1">IF(IF(ISERROR(MATCH(Stock!AD$1,'Stock UST'!$1:$1,0)),AC38,INDEX('Stock UST'!38:38,1,MATCH(Stock!AD$1,'Stock UST'!$1:$1,0)))=0,"",IF(ISERROR(MATCH(Stock!AD$1,'Stock UST'!$1:$1,0)),AC38,INDEX('Stock UST'!38:38,1,MATCH(Stock!AD$1,'Stock UST'!$1:$1,0))))</f>
        <v/>
      </c>
      <c r="AE38" s="9" t="str">
        <f ca="1">IF(IF(ISERROR(MATCH(Stock!AE$1,'Stock UST'!$1:$1,0)),AD38,INDEX('Stock UST'!38:38,1,MATCH(Stock!AE$1,'Stock UST'!$1:$1,0)))=0,"",IF(ISERROR(MATCH(Stock!AE$1,'Stock UST'!$1:$1,0)),AD38,INDEX('Stock UST'!38:38,1,MATCH(Stock!AE$1,'Stock UST'!$1:$1,0))))</f>
        <v/>
      </c>
      <c r="AF38" s="9" t="str">
        <f ca="1">IF(IF(ISERROR(MATCH(Stock!AF$1,'Stock UST'!$1:$1,0)),AE38,INDEX('Stock UST'!38:38,1,MATCH(Stock!AF$1,'Stock UST'!$1:$1,0)))=0,"",IF(ISERROR(MATCH(Stock!AF$1,'Stock UST'!$1:$1,0)),AE38,INDEX('Stock UST'!38:38,1,MATCH(Stock!AF$1,'Stock UST'!$1:$1,0))))</f>
        <v/>
      </c>
      <c r="AG38" s="9" t="str">
        <f ca="1">IF(IF(ISERROR(MATCH(Stock!AG$1,'Stock UST'!$1:$1,0)),AF38,INDEX('Stock UST'!38:38,1,MATCH(Stock!AG$1,'Stock UST'!$1:$1,0)))=0,"",IF(ISERROR(MATCH(Stock!AG$1,'Stock UST'!$1:$1,0)),AF38,INDEX('Stock UST'!38:38,1,MATCH(Stock!AG$1,'Stock UST'!$1:$1,0))))</f>
        <v/>
      </c>
      <c r="AH38" s="9" t="str">
        <f ca="1">IF(IF(ISERROR(MATCH(Stock!AH$1,'Stock UST'!$1:$1,0)),AG38,INDEX('Stock UST'!38:38,1,MATCH(Stock!AH$1,'Stock UST'!$1:$1,0)))=0,"",IF(ISERROR(MATCH(Stock!AH$1,'Stock UST'!$1:$1,0)),AG38,INDEX('Stock UST'!38:38,1,MATCH(Stock!AH$1,'Stock UST'!$1:$1,0))))</f>
        <v/>
      </c>
      <c r="AI38" s="9" t="str">
        <f ca="1">IF(IF(ISERROR(MATCH(Stock!AI$1,'Stock UST'!$1:$1,0)),AH38,INDEX('Stock UST'!38:38,1,MATCH(Stock!AI$1,'Stock UST'!$1:$1,0)))=0,"",IF(ISERROR(MATCH(Stock!AI$1,'Stock UST'!$1:$1,0)),AH38,INDEX('Stock UST'!38:38,1,MATCH(Stock!AI$1,'Stock UST'!$1:$1,0))))</f>
        <v/>
      </c>
      <c r="AJ38" s="9" t="str">
        <f ca="1">IF(IF(ISERROR(MATCH(Stock!AJ$1,'Stock UST'!$1:$1,0)),AI38,INDEX('Stock UST'!38:38,1,MATCH(Stock!AJ$1,'Stock UST'!$1:$1,0)))=0,"",IF(ISERROR(MATCH(Stock!AJ$1,'Stock UST'!$1:$1,0)),AI38,INDEX('Stock UST'!38:38,1,MATCH(Stock!AJ$1,'Stock UST'!$1:$1,0))))</f>
        <v/>
      </c>
      <c r="AK38" s="9" t="str">
        <f ca="1">IF(IF(ISERROR(MATCH(Stock!AK$1,'Stock UST'!$1:$1,0)),AJ38,INDEX('Stock UST'!38:38,1,MATCH(Stock!AK$1,'Stock UST'!$1:$1,0)))=0,"",IF(ISERROR(MATCH(Stock!AK$1,'Stock UST'!$1:$1,0)),AJ38,INDEX('Stock UST'!38:38,1,MATCH(Stock!AK$1,'Stock UST'!$1:$1,0))))</f>
        <v/>
      </c>
      <c r="AL38" s="9" t="str">
        <f ca="1">IF(IF(ISERROR(MATCH(Stock!AL$1,'Stock UST'!$1:$1,0)),AK38,INDEX('Stock UST'!38:38,1,MATCH(Stock!AL$1,'Stock UST'!$1:$1,0)))=0,"",IF(ISERROR(MATCH(Stock!AL$1,'Stock UST'!$1:$1,0)),AK38,INDEX('Stock UST'!38:38,1,MATCH(Stock!AL$1,'Stock UST'!$1:$1,0))))</f>
        <v/>
      </c>
      <c r="AM38" s="9" t="str">
        <f ca="1">IF(IF(ISERROR(MATCH(Stock!AM$1,'Stock UST'!$1:$1,0)),AL38,INDEX('Stock UST'!38:38,1,MATCH(Stock!AM$1,'Stock UST'!$1:$1,0)))=0,"",IF(ISERROR(MATCH(Stock!AM$1,'Stock UST'!$1:$1,0)),AL38,INDEX('Stock UST'!38:38,1,MATCH(Stock!AM$1,'Stock UST'!$1:$1,0))))</f>
        <v/>
      </c>
      <c r="AN38" s="9" t="str">
        <f ca="1">IF(IF(ISERROR(MATCH(Stock!AN$1,'Stock UST'!$1:$1,0)),AM38,INDEX('Stock UST'!38:38,1,MATCH(Stock!AN$1,'Stock UST'!$1:$1,0)))=0,"",IF(ISERROR(MATCH(Stock!AN$1,'Stock UST'!$1:$1,0)),AM38,INDEX('Stock UST'!38:38,1,MATCH(Stock!AN$1,'Stock UST'!$1:$1,0))))</f>
        <v/>
      </c>
      <c r="AO38" s="9" t="str">
        <f ca="1">IF(IF(ISERROR(MATCH(Stock!AO$1,'Stock UST'!$1:$1,0)),AN38,INDEX('Stock UST'!38:38,1,MATCH(Stock!AO$1,'Stock UST'!$1:$1,0)))=0,"",IF(ISERROR(MATCH(Stock!AO$1,'Stock UST'!$1:$1,0)),AN38,INDEX('Stock UST'!38:38,1,MATCH(Stock!AO$1,'Stock UST'!$1:$1,0))))</f>
        <v/>
      </c>
      <c r="AP38" s="9" t="str">
        <f ca="1">IF(IF(ISERROR(MATCH(Stock!AP$1,'Stock UST'!$1:$1,0)),AO38,INDEX('Stock UST'!38:38,1,MATCH(Stock!AP$1,'Stock UST'!$1:$1,0)))=0,"",IF(ISERROR(MATCH(Stock!AP$1,'Stock UST'!$1:$1,0)),AO38,INDEX('Stock UST'!38:38,1,MATCH(Stock!AP$1,'Stock UST'!$1:$1,0))))</f>
        <v/>
      </c>
      <c r="AQ38" s="9" t="str">
        <f ca="1">IF(IF(ISERROR(MATCH(Stock!AQ$1,'Stock UST'!$1:$1,0)),AP38,INDEX('Stock UST'!38:38,1,MATCH(Stock!AQ$1,'Stock UST'!$1:$1,0)))=0,"",IF(ISERROR(MATCH(Stock!AQ$1,'Stock UST'!$1:$1,0)),AP38,INDEX('Stock UST'!38:38,1,MATCH(Stock!AQ$1,'Stock UST'!$1:$1,0))))</f>
        <v/>
      </c>
      <c r="AR38" s="9" t="str">
        <f ca="1">IF(IF(ISERROR(MATCH(Stock!AR$1,'Stock UST'!$1:$1,0)),AQ38,INDEX('Stock UST'!38:38,1,MATCH(Stock!AR$1,'Stock UST'!$1:$1,0)))=0,"",IF(ISERROR(MATCH(Stock!AR$1,'Stock UST'!$1:$1,0)),AQ38,INDEX('Stock UST'!38:38,1,MATCH(Stock!AR$1,'Stock UST'!$1:$1,0))))</f>
        <v/>
      </c>
      <c r="AS38" s="9" t="str">
        <f ca="1">IF(IF(ISERROR(MATCH(Stock!AS$1,'Stock UST'!$1:$1,0)),AR38,INDEX('Stock UST'!38:38,1,MATCH(Stock!AS$1,'Stock UST'!$1:$1,0)))=0,"",IF(ISERROR(MATCH(Stock!AS$1,'Stock UST'!$1:$1,0)),AR38,INDEX('Stock UST'!38:38,1,MATCH(Stock!AS$1,'Stock UST'!$1:$1,0))))</f>
        <v/>
      </c>
      <c r="AT38" s="9" t="str">
        <f ca="1">IF(IF(ISERROR(MATCH(Stock!AT$1,'Stock UST'!$1:$1,0)),AS38,INDEX('Stock UST'!38:38,1,MATCH(Stock!AT$1,'Stock UST'!$1:$1,0)))=0,"",IF(ISERROR(MATCH(Stock!AT$1,'Stock UST'!$1:$1,0)),AS38,INDEX('Stock UST'!38:38,1,MATCH(Stock!AT$1,'Stock UST'!$1:$1,0))))</f>
        <v/>
      </c>
      <c r="AU38" s="9" t="str">
        <f ca="1">IF(IF(ISERROR(MATCH(Stock!AU$1,'Stock UST'!$1:$1,0)),AT38,INDEX('Stock UST'!38:38,1,MATCH(Stock!AU$1,'Stock UST'!$1:$1,0)))=0,"",IF(ISERROR(MATCH(Stock!AU$1,'Stock UST'!$1:$1,0)),AT38,INDEX('Stock UST'!38:38,1,MATCH(Stock!AU$1,'Stock UST'!$1:$1,0))))</f>
        <v/>
      </c>
      <c r="AV38" s="9" t="str">
        <f ca="1">IF(IF(ISERROR(MATCH(Stock!AV$1,'Stock UST'!$1:$1,0)),AU38,INDEX('Stock UST'!38:38,1,MATCH(Stock!AV$1,'Stock UST'!$1:$1,0)))=0,"",IF(ISERROR(MATCH(Stock!AV$1,'Stock UST'!$1:$1,0)),AU38,INDEX('Stock UST'!38:38,1,MATCH(Stock!AV$1,'Stock UST'!$1:$1,0))))</f>
        <v/>
      </c>
      <c r="AW38" s="9" t="str">
        <f ca="1">IF(IF(ISERROR(MATCH(Stock!AW$1,'Stock UST'!$1:$1,0)),AV38,INDEX('Stock UST'!38:38,1,MATCH(Stock!AW$1,'Stock UST'!$1:$1,0)))=0,"",IF(ISERROR(MATCH(Stock!AW$1,'Stock UST'!$1:$1,0)),AV38,INDEX('Stock UST'!38:38,1,MATCH(Stock!AW$1,'Stock UST'!$1:$1,0))))</f>
        <v/>
      </c>
      <c r="AX38" s="9" t="str">
        <f ca="1">IF(IF(ISERROR(MATCH(Stock!AX$1,'Stock UST'!$1:$1,0)),AW38,INDEX('Stock UST'!38:38,1,MATCH(Stock!AX$1,'Stock UST'!$1:$1,0)))=0,"",IF(ISERROR(MATCH(Stock!AX$1,'Stock UST'!$1:$1,0)),AW38,INDEX('Stock UST'!38:38,1,MATCH(Stock!AX$1,'Stock UST'!$1:$1,0))))</f>
        <v/>
      </c>
    </row>
    <row r="39" spans="1:50" x14ac:dyDescent="0.3">
      <c r="A39" s="9" t="str">
        <f>IF('Stock UST'!E40="","",'Stock UST'!E40)</f>
        <v/>
      </c>
      <c r="B39" s="9" t="str">
        <f>IF(IF(ISERROR(MATCH(Stock!B$1,'Stock UST'!$1:$1,0)),A39,INDEX('Stock UST'!39:39,1,MATCH(Stock!B$1,'Stock UST'!$1:$1,0)))=0,"",IF(ISERROR(MATCH(Stock!B$1,'Stock UST'!$1:$1,0)),A39,INDEX('Stock UST'!39:39,1,MATCH(Stock!B$1,'Stock UST'!$1:$1,0))))</f>
        <v/>
      </c>
      <c r="C39" s="9" t="str">
        <f ca="1">IF(IF(ISERROR(MATCH(Stock!C$1,'Stock UST'!$1:$1,0)),B39,INDEX('Stock UST'!39:39,1,MATCH(Stock!C$1,'Stock UST'!$1:$1,0)))=0,"",IF(ISERROR(MATCH(Stock!C$1,'Stock UST'!$1:$1,0)),B39,INDEX('Stock UST'!39:39,1,MATCH(Stock!C$1,'Stock UST'!$1:$1,0))))</f>
        <v/>
      </c>
      <c r="D39" s="9" t="str">
        <f ca="1">IF(IF(ISERROR(MATCH(Stock!D$1,'Stock UST'!$1:$1,0)),C39,INDEX('Stock UST'!39:39,1,MATCH(Stock!D$1,'Stock UST'!$1:$1,0)))=0,"",IF(ISERROR(MATCH(Stock!D$1,'Stock UST'!$1:$1,0)),C39,INDEX('Stock UST'!39:39,1,MATCH(Stock!D$1,'Stock UST'!$1:$1,0))))</f>
        <v/>
      </c>
      <c r="E39" s="9" t="str">
        <f ca="1">IF(IF(ISERROR(MATCH(Stock!E$1,'Stock UST'!$1:$1,0)),D39,INDEX('Stock UST'!39:39,1,MATCH(Stock!E$1,'Stock UST'!$1:$1,0)))=0,"",IF(ISERROR(MATCH(Stock!E$1,'Stock UST'!$1:$1,0)),D39,INDEX('Stock UST'!39:39,1,MATCH(Stock!E$1,'Stock UST'!$1:$1,0))))</f>
        <v/>
      </c>
      <c r="F39" s="9" t="str">
        <f ca="1">IF(IF(ISERROR(MATCH(Stock!F$1,'Stock UST'!$1:$1,0)),E39,INDEX('Stock UST'!39:39,1,MATCH(Stock!F$1,'Stock UST'!$1:$1,0)))=0,"",IF(ISERROR(MATCH(Stock!F$1,'Stock UST'!$1:$1,0)),E39,INDEX('Stock UST'!39:39,1,MATCH(Stock!F$1,'Stock UST'!$1:$1,0))))</f>
        <v/>
      </c>
      <c r="G39" s="9" t="str">
        <f ca="1">IF(IF(ISERROR(MATCH(Stock!G$1,'Stock UST'!$1:$1,0)),F39,INDEX('Stock UST'!39:39,1,MATCH(Stock!G$1,'Stock UST'!$1:$1,0)))=0,"",IF(ISERROR(MATCH(Stock!G$1,'Stock UST'!$1:$1,0)),F39,INDEX('Stock UST'!39:39,1,MATCH(Stock!G$1,'Stock UST'!$1:$1,0))))</f>
        <v/>
      </c>
      <c r="H39" s="9" t="str">
        <f ca="1">IF(IF(ISERROR(MATCH(Stock!H$1,'Stock UST'!$1:$1,0)),G39,INDEX('Stock UST'!39:39,1,MATCH(Stock!H$1,'Stock UST'!$1:$1,0)))=0,"",IF(ISERROR(MATCH(Stock!H$1,'Stock UST'!$1:$1,0)),G39,INDEX('Stock UST'!39:39,1,MATCH(Stock!H$1,'Stock UST'!$1:$1,0))))</f>
        <v/>
      </c>
      <c r="I39" s="9" t="str">
        <f ca="1">IF(IF(ISERROR(MATCH(Stock!I$1,'Stock UST'!$1:$1,0)),H39,INDEX('Stock UST'!39:39,1,MATCH(Stock!I$1,'Stock UST'!$1:$1,0)))=0,"",IF(ISERROR(MATCH(Stock!I$1,'Stock UST'!$1:$1,0)),H39,INDEX('Stock UST'!39:39,1,MATCH(Stock!I$1,'Stock UST'!$1:$1,0))))</f>
        <v/>
      </c>
      <c r="J39" s="9" t="str">
        <f ca="1">IF(IF(ISERROR(MATCH(Stock!J$1,'Stock UST'!$1:$1,0)),I39,INDEX('Stock UST'!39:39,1,MATCH(Stock!J$1,'Stock UST'!$1:$1,0)))=0,"",IF(ISERROR(MATCH(Stock!J$1,'Stock UST'!$1:$1,0)),I39,INDEX('Stock UST'!39:39,1,MATCH(Stock!J$1,'Stock UST'!$1:$1,0))))</f>
        <v/>
      </c>
      <c r="K39" s="9" t="str">
        <f ca="1">IF(IF(ISERROR(MATCH(Stock!K$1,'Stock UST'!$1:$1,0)),J39,INDEX('Stock UST'!39:39,1,MATCH(Stock!K$1,'Stock UST'!$1:$1,0)))=0,"",IF(ISERROR(MATCH(Stock!K$1,'Stock UST'!$1:$1,0)),J39,INDEX('Stock UST'!39:39,1,MATCH(Stock!K$1,'Stock UST'!$1:$1,0))))</f>
        <v/>
      </c>
      <c r="L39" s="9" t="str">
        <f ca="1">IF(IF(ISERROR(MATCH(Stock!L$1,'Stock UST'!$1:$1,0)),K39,INDEX('Stock UST'!39:39,1,MATCH(Stock!L$1,'Stock UST'!$1:$1,0)))=0,"",IF(ISERROR(MATCH(Stock!L$1,'Stock UST'!$1:$1,0)),K39,INDEX('Stock UST'!39:39,1,MATCH(Stock!L$1,'Stock UST'!$1:$1,0))))</f>
        <v/>
      </c>
      <c r="M39" s="9" t="str">
        <f ca="1">IF(IF(ISERROR(MATCH(Stock!M$1,'Stock UST'!$1:$1,0)),L39,INDEX('Stock UST'!39:39,1,MATCH(Stock!M$1,'Stock UST'!$1:$1,0)))=0,"",IF(ISERROR(MATCH(Stock!M$1,'Stock UST'!$1:$1,0)),L39,INDEX('Stock UST'!39:39,1,MATCH(Stock!M$1,'Stock UST'!$1:$1,0))))</f>
        <v/>
      </c>
      <c r="N39" s="9" t="str">
        <f ca="1">IF(IF(ISERROR(MATCH(Stock!N$1,'Stock UST'!$1:$1,0)),M39,INDEX('Stock UST'!39:39,1,MATCH(Stock!N$1,'Stock UST'!$1:$1,0)))=0,"",IF(ISERROR(MATCH(Stock!N$1,'Stock UST'!$1:$1,0)),M39,INDEX('Stock UST'!39:39,1,MATCH(Stock!N$1,'Stock UST'!$1:$1,0))))</f>
        <v/>
      </c>
      <c r="O39" s="9" t="str">
        <f ca="1">IF(IF(ISERROR(MATCH(Stock!O$1,'Stock UST'!$1:$1,0)),N39,INDEX('Stock UST'!39:39,1,MATCH(Stock!O$1,'Stock UST'!$1:$1,0)))=0,"",IF(ISERROR(MATCH(Stock!O$1,'Stock UST'!$1:$1,0)),N39,INDEX('Stock UST'!39:39,1,MATCH(Stock!O$1,'Stock UST'!$1:$1,0))))</f>
        <v/>
      </c>
      <c r="P39" s="9" t="str">
        <f ca="1">IF(IF(ISERROR(MATCH(Stock!P$1,'Stock UST'!$1:$1,0)),O39,INDEX('Stock UST'!39:39,1,MATCH(Stock!P$1,'Stock UST'!$1:$1,0)))=0,"",IF(ISERROR(MATCH(Stock!P$1,'Stock UST'!$1:$1,0)),O39,INDEX('Stock UST'!39:39,1,MATCH(Stock!P$1,'Stock UST'!$1:$1,0))))</f>
        <v/>
      </c>
      <c r="Q39" s="9" t="str">
        <f ca="1">IF(IF(ISERROR(MATCH(Stock!Q$1,'Stock UST'!$1:$1,0)),P39,INDEX('Stock UST'!39:39,1,MATCH(Stock!Q$1,'Stock UST'!$1:$1,0)))=0,"",IF(ISERROR(MATCH(Stock!Q$1,'Stock UST'!$1:$1,0)),P39,INDEX('Stock UST'!39:39,1,MATCH(Stock!Q$1,'Stock UST'!$1:$1,0))))</f>
        <v/>
      </c>
      <c r="R39" s="9" t="str">
        <f ca="1">IF(IF(ISERROR(MATCH(Stock!R$1,'Stock UST'!$1:$1,0)),Q39,INDEX('Stock UST'!39:39,1,MATCH(Stock!R$1,'Stock UST'!$1:$1,0)))=0,"",IF(ISERROR(MATCH(Stock!R$1,'Stock UST'!$1:$1,0)),Q39,INDEX('Stock UST'!39:39,1,MATCH(Stock!R$1,'Stock UST'!$1:$1,0))))</f>
        <v/>
      </c>
      <c r="S39" s="9" t="str">
        <f ca="1">IF(IF(ISERROR(MATCH(Stock!S$1,'Stock UST'!$1:$1,0)),R39,INDEX('Stock UST'!39:39,1,MATCH(Stock!S$1,'Stock UST'!$1:$1,0)))=0,"",IF(ISERROR(MATCH(Stock!S$1,'Stock UST'!$1:$1,0)),R39,INDEX('Stock UST'!39:39,1,MATCH(Stock!S$1,'Stock UST'!$1:$1,0))))</f>
        <v/>
      </c>
      <c r="T39" s="9" t="str">
        <f ca="1">IF(IF(ISERROR(MATCH(Stock!T$1,'Stock UST'!$1:$1,0)),S39,INDEX('Stock UST'!39:39,1,MATCH(Stock!T$1,'Stock UST'!$1:$1,0)))=0,"",IF(ISERROR(MATCH(Stock!T$1,'Stock UST'!$1:$1,0)),S39,INDEX('Stock UST'!39:39,1,MATCH(Stock!T$1,'Stock UST'!$1:$1,0))))</f>
        <v/>
      </c>
      <c r="U39" s="9" t="str">
        <f ca="1">IF(IF(ISERROR(MATCH(Stock!U$1,'Stock UST'!$1:$1,0)),T39,INDEX('Stock UST'!39:39,1,MATCH(Stock!U$1,'Stock UST'!$1:$1,0)))=0,"",IF(ISERROR(MATCH(Stock!U$1,'Stock UST'!$1:$1,0)),T39,INDEX('Stock UST'!39:39,1,MATCH(Stock!U$1,'Stock UST'!$1:$1,0))))</f>
        <v/>
      </c>
      <c r="V39" s="9" t="str">
        <f ca="1">IF(IF(ISERROR(MATCH(Stock!V$1,'Stock UST'!$1:$1,0)),U39,INDEX('Stock UST'!39:39,1,MATCH(Stock!V$1,'Stock UST'!$1:$1,0)))=0,"",IF(ISERROR(MATCH(Stock!V$1,'Stock UST'!$1:$1,0)),U39,INDEX('Stock UST'!39:39,1,MATCH(Stock!V$1,'Stock UST'!$1:$1,0))))</f>
        <v/>
      </c>
      <c r="W39" s="9" t="str">
        <f ca="1">IF(IF(ISERROR(MATCH(Stock!W$1,'Stock UST'!$1:$1,0)),V39,INDEX('Stock UST'!39:39,1,MATCH(Stock!W$1,'Stock UST'!$1:$1,0)))=0,"",IF(ISERROR(MATCH(Stock!W$1,'Stock UST'!$1:$1,0)),V39,INDEX('Stock UST'!39:39,1,MATCH(Stock!W$1,'Stock UST'!$1:$1,0))))</f>
        <v/>
      </c>
      <c r="X39" s="9" t="str">
        <f ca="1">IF(IF(ISERROR(MATCH(Stock!X$1,'Stock UST'!$1:$1,0)),W39,INDEX('Stock UST'!39:39,1,MATCH(Stock!X$1,'Stock UST'!$1:$1,0)))=0,"",IF(ISERROR(MATCH(Stock!X$1,'Stock UST'!$1:$1,0)),W39,INDEX('Stock UST'!39:39,1,MATCH(Stock!X$1,'Stock UST'!$1:$1,0))))</f>
        <v/>
      </c>
      <c r="Y39" s="9" t="str">
        <f ca="1">IF(IF(ISERROR(MATCH(Stock!Y$1,'Stock UST'!$1:$1,0)),X39,INDEX('Stock UST'!39:39,1,MATCH(Stock!Y$1,'Stock UST'!$1:$1,0)))=0,"",IF(ISERROR(MATCH(Stock!Y$1,'Stock UST'!$1:$1,0)),X39,INDEX('Stock UST'!39:39,1,MATCH(Stock!Y$1,'Stock UST'!$1:$1,0))))</f>
        <v/>
      </c>
      <c r="Z39" s="9" t="str">
        <f ca="1">IF(IF(ISERROR(MATCH(Stock!Z$1,'Stock UST'!$1:$1,0)),Y39,INDEX('Stock UST'!39:39,1,MATCH(Stock!Z$1,'Stock UST'!$1:$1,0)))=0,"",IF(ISERROR(MATCH(Stock!Z$1,'Stock UST'!$1:$1,0)),Y39,INDEX('Stock UST'!39:39,1,MATCH(Stock!Z$1,'Stock UST'!$1:$1,0))))</f>
        <v/>
      </c>
      <c r="AA39" s="9" t="str">
        <f ca="1">IF(IF(ISERROR(MATCH(Stock!AA$1,'Stock UST'!$1:$1,0)),Z39,INDEX('Stock UST'!39:39,1,MATCH(Stock!AA$1,'Stock UST'!$1:$1,0)))=0,"",IF(ISERROR(MATCH(Stock!AA$1,'Stock UST'!$1:$1,0)),Z39,INDEX('Stock UST'!39:39,1,MATCH(Stock!AA$1,'Stock UST'!$1:$1,0))))</f>
        <v/>
      </c>
      <c r="AB39" s="9" t="str">
        <f ca="1">IF(IF(ISERROR(MATCH(Stock!AB$1,'Stock UST'!$1:$1,0)),AA39,INDEX('Stock UST'!39:39,1,MATCH(Stock!AB$1,'Stock UST'!$1:$1,0)))=0,"",IF(ISERROR(MATCH(Stock!AB$1,'Stock UST'!$1:$1,0)),AA39,INDEX('Stock UST'!39:39,1,MATCH(Stock!AB$1,'Stock UST'!$1:$1,0))))</f>
        <v/>
      </c>
      <c r="AC39" s="9" t="str">
        <f ca="1">IF(IF(ISERROR(MATCH(Stock!AC$1,'Stock UST'!$1:$1,0)),AB39,INDEX('Stock UST'!39:39,1,MATCH(Stock!AC$1,'Stock UST'!$1:$1,0)))=0,"",IF(ISERROR(MATCH(Stock!AC$1,'Stock UST'!$1:$1,0)),AB39,INDEX('Stock UST'!39:39,1,MATCH(Stock!AC$1,'Stock UST'!$1:$1,0))))</f>
        <v/>
      </c>
      <c r="AD39" s="9" t="str">
        <f ca="1">IF(IF(ISERROR(MATCH(Stock!AD$1,'Stock UST'!$1:$1,0)),AC39,INDEX('Stock UST'!39:39,1,MATCH(Stock!AD$1,'Stock UST'!$1:$1,0)))=0,"",IF(ISERROR(MATCH(Stock!AD$1,'Stock UST'!$1:$1,0)),AC39,INDEX('Stock UST'!39:39,1,MATCH(Stock!AD$1,'Stock UST'!$1:$1,0))))</f>
        <v/>
      </c>
      <c r="AE39" s="9" t="str">
        <f ca="1">IF(IF(ISERROR(MATCH(Stock!AE$1,'Stock UST'!$1:$1,0)),AD39,INDEX('Stock UST'!39:39,1,MATCH(Stock!AE$1,'Stock UST'!$1:$1,0)))=0,"",IF(ISERROR(MATCH(Stock!AE$1,'Stock UST'!$1:$1,0)),AD39,INDEX('Stock UST'!39:39,1,MATCH(Stock!AE$1,'Stock UST'!$1:$1,0))))</f>
        <v/>
      </c>
      <c r="AF39" s="9" t="str">
        <f ca="1">IF(IF(ISERROR(MATCH(Stock!AF$1,'Stock UST'!$1:$1,0)),AE39,INDEX('Stock UST'!39:39,1,MATCH(Stock!AF$1,'Stock UST'!$1:$1,0)))=0,"",IF(ISERROR(MATCH(Stock!AF$1,'Stock UST'!$1:$1,0)),AE39,INDEX('Stock UST'!39:39,1,MATCH(Stock!AF$1,'Stock UST'!$1:$1,0))))</f>
        <v/>
      </c>
      <c r="AG39" s="9" t="str">
        <f ca="1">IF(IF(ISERROR(MATCH(Stock!AG$1,'Stock UST'!$1:$1,0)),AF39,INDEX('Stock UST'!39:39,1,MATCH(Stock!AG$1,'Stock UST'!$1:$1,0)))=0,"",IF(ISERROR(MATCH(Stock!AG$1,'Stock UST'!$1:$1,0)),AF39,INDEX('Stock UST'!39:39,1,MATCH(Stock!AG$1,'Stock UST'!$1:$1,0))))</f>
        <v/>
      </c>
      <c r="AH39" s="9" t="str">
        <f ca="1">IF(IF(ISERROR(MATCH(Stock!AH$1,'Stock UST'!$1:$1,0)),AG39,INDEX('Stock UST'!39:39,1,MATCH(Stock!AH$1,'Stock UST'!$1:$1,0)))=0,"",IF(ISERROR(MATCH(Stock!AH$1,'Stock UST'!$1:$1,0)),AG39,INDEX('Stock UST'!39:39,1,MATCH(Stock!AH$1,'Stock UST'!$1:$1,0))))</f>
        <v/>
      </c>
      <c r="AI39" s="9" t="str">
        <f ca="1">IF(IF(ISERROR(MATCH(Stock!AI$1,'Stock UST'!$1:$1,0)),AH39,INDEX('Stock UST'!39:39,1,MATCH(Stock!AI$1,'Stock UST'!$1:$1,0)))=0,"",IF(ISERROR(MATCH(Stock!AI$1,'Stock UST'!$1:$1,0)),AH39,INDEX('Stock UST'!39:39,1,MATCH(Stock!AI$1,'Stock UST'!$1:$1,0))))</f>
        <v/>
      </c>
      <c r="AJ39" s="9" t="str">
        <f ca="1">IF(IF(ISERROR(MATCH(Stock!AJ$1,'Stock UST'!$1:$1,0)),AI39,INDEX('Stock UST'!39:39,1,MATCH(Stock!AJ$1,'Stock UST'!$1:$1,0)))=0,"",IF(ISERROR(MATCH(Stock!AJ$1,'Stock UST'!$1:$1,0)),AI39,INDEX('Stock UST'!39:39,1,MATCH(Stock!AJ$1,'Stock UST'!$1:$1,0))))</f>
        <v/>
      </c>
      <c r="AK39" s="9" t="str">
        <f ca="1">IF(IF(ISERROR(MATCH(Stock!AK$1,'Stock UST'!$1:$1,0)),AJ39,INDEX('Stock UST'!39:39,1,MATCH(Stock!AK$1,'Stock UST'!$1:$1,0)))=0,"",IF(ISERROR(MATCH(Stock!AK$1,'Stock UST'!$1:$1,0)),AJ39,INDEX('Stock UST'!39:39,1,MATCH(Stock!AK$1,'Stock UST'!$1:$1,0))))</f>
        <v/>
      </c>
      <c r="AL39" s="9" t="str">
        <f ca="1">IF(IF(ISERROR(MATCH(Stock!AL$1,'Stock UST'!$1:$1,0)),AK39,INDEX('Stock UST'!39:39,1,MATCH(Stock!AL$1,'Stock UST'!$1:$1,0)))=0,"",IF(ISERROR(MATCH(Stock!AL$1,'Stock UST'!$1:$1,0)),AK39,INDEX('Stock UST'!39:39,1,MATCH(Stock!AL$1,'Stock UST'!$1:$1,0))))</f>
        <v/>
      </c>
      <c r="AM39" s="9" t="str">
        <f ca="1">IF(IF(ISERROR(MATCH(Stock!AM$1,'Stock UST'!$1:$1,0)),AL39,INDEX('Stock UST'!39:39,1,MATCH(Stock!AM$1,'Stock UST'!$1:$1,0)))=0,"",IF(ISERROR(MATCH(Stock!AM$1,'Stock UST'!$1:$1,0)),AL39,INDEX('Stock UST'!39:39,1,MATCH(Stock!AM$1,'Stock UST'!$1:$1,0))))</f>
        <v/>
      </c>
      <c r="AN39" s="9" t="str">
        <f ca="1">IF(IF(ISERROR(MATCH(Stock!AN$1,'Stock UST'!$1:$1,0)),AM39,INDEX('Stock UST'!39:39,1,MATCH(Stock!AN$1,'Stock UST'!$1:$1,0)))=0,"",IF(ISERROR(MATCH(Stock!AN$1,'Stock UST'!$1:$1,0)),AM39,INDEX('Stock UST'!39:39,1,MATCH(Stock!AN$1,'Stock UST'!$1:$1,0))))</f>
        <v/>
      </c>
      <c r="AO39" s="9" t="str">
        <f ca="1">IF(IF(ISERROR(MATCH(Stock!AO$1,'Stock UST'!$1:$1,0)),AN39,INDEX('Stock UST'!39:39,1,MATCH(Stock!AO$1,'Stock UST'!$1:$1,0)))=0,"",IF(ISERROR(MATCH(Stock!AO$1,'Stock UST'!$1:$1,0)),AN39,INDEX('Stock UST'!39:39,1,MATCH(Stock!AO$1,'Stock UST'!$1:$1,0))))</f>
        <v/>
      </c>
      <c r="AP39" s="9" t="str">
        <f ca="1">IF(IF(ISERROR(MATCH(Stock!AP$1,'Stock UST'!$1:$1,0)),AO39,INDEX('Stock UST'!39:39,1,MATCH(Stock!AP$1,'Stock UST'!$1:$1,0)))=0,"",IF(ISERROR(MATCH(Stock!AP$1,'Stock UST'!$1:$1,0)),AO39,INDEX('Stock UST'!39:39,1,MATCH(Stock!AP$1,'Stock UST'!$1:$1,0))))</f>
        <v/>
      </c>
      <c r="AQ39" s="9" t="str">
        <f ca="1">IF(IF(ISERROR(MATCH(Stock!AQ$1,'Stock UST'!$1:$1,0)),AP39,INDEX('Stock UST'!39:39,1,MATCH(Stock!AQ$1,'Stock UST'!$1:$1,0)))=0,"",IF(ISERROR(MATCH(Stock!AQ$1,'Stock UST'!$1:$1,0)),AP39,INDEX('Stock UST'!39:39,1,MATCH(Stock!AQ$1,'Stock UST'!$1:$1,0))))</f>
        <v/>
      </c>
      <c r="AR39" s="9" t="str">
        <f ca="1">IF(IF(ISERROR(MATCH(Stock!AR$1,'Stock UST'!$1:$1,0)),AQ39,INDEX('Stock UST'!39:39,1,MATCH(Stock!AR$1,'Stock UST'!$1:$1,0)))=0,"",IF(ISERROR(MATCH(Stock!AR$1,'Stock UST'!$1:$1,0)),AQ39,INDEX('Stock UST'!39:39,1,MATCH(Stock!AR$1,'Stock UST'!$1:$1,0))))</f>
        <v/>
      </c>
      <c r="AS39" s="9" t="str">
        <f ca="1">IF(IF(ISERROR(MATCH(Stock!AS$1,'Stock UST'!$1:$1,0)),AR39,INDEX('Stock UST'!39:39,1,MATCH(Stock!AS$1,'Stock UST'!$1:$1,0)))=0,"",IF(ISERROR(MATCH(Stock!AS$1,'Stock UST'!$1:$1,0)),AR39,INDEX('Stock UST'!39:39,1,MATCH(Stock!AS$1,'Stock UST'!$1:$1,0))))</f>
        <v/>
      </c>
      <c r="AT39" s="9" t="str">
        <f ca="1">IF(IF(ISERROR(MATCH(Stock!AT$1,'Stock UST'!$1:$1,0)),AS39,INDEX('Stock UST'!39:39,1,MATCH(Stock!AT$1,'Stock UST'!$1:$1,0)))=0,"",IF(ISERROR(MATCH(Stock!AT$1,'Stock UST'!$1:$1,0)),AS39,INDEX('Stock UST'!39:39,1,MATCH(Stock!AT$1,'Stock UST'!$1:$1,0))))</f>
        <v/>
      </c>
      <c r="AU39" s="9" t="str">
        <f ca="1">IF(IF(ISERROR(MATCH(Stock!AU$1,'Stock UST'!$1:$1,0)),AT39,INDEX('Stock UST'!39:39,1,MATCH(Stock!AU$1,'Stock UST'!$1:$1,0)))=0,"",IF(ISERROR(MATCH(Stock!AU$1,'Stock UST'!$1:$1,0)),AT39,INDEX('Stock UST'!39:39,1,MATCH(Stock!AU$1,'Stock UST'!$1:$1,0))))</f>
        <v/>
      </c>
      <c r="AV39" s="9" t="str">
        <f ca="1">IF(IF(ISERROR(MATCH(Stock!AV$1,'Stock UST'!$1:$1,0)),AU39,INDEX('Stock UST'!39:39,1,MATCH(Stock!AV$1,'Stock UST'!$1:$1,0)))=0,"",IF(ISERROR(MATCH(Stock!AV$1,'Stock UST'!$1:$1,0)),AU39,INDEX('Stock UST'!39:39,1,MATCH(Stock!AV$1,'Stock UST'!$1:$1,0))))</f>
        <v/>
      </c>
      <c r="AW39" s="9" t="str">
        <f ca="1">IF(IF(ISERROR(MATCH(Stock!AW$1,'Stock UST'!$1:$1,0)),AV39,INDEX('Stock UST'!39:39,1,MATCH(Stock!AW$1,'Stock UST'!$1:$1,0)))=0,"",IF(ISERROR(MATCH(Stock!AW$1,'Stock UST'!$1:$1,0)),AV39,INDEX('Stock UST'!39:39,1,MATCH(Stock!AW$1,'Stock UST'!$1:$1,0))))</f>
        <v/>
      </c>
      <c r="AX39" s="9" t="str">
        <f ca="1">IF(IF(ISERROR(MATCH(Stock!AX$1,'Stock UST'!$1:$1,0)),AW39,INDEX('Stock UST'!39:39,1,MATCH(Stock!AX$1,'Stock UST'!$1:$1,0)))=0,"",IF(ISERROR(MATCH(Stock!AX$1,'Stock UST'!$1:$1,0)),AW39,INDEX('Stock UST'!39:39,1,MATCH(Stock!AX$1,'Stock UST'!$1:$1,0))))</f>
        <v/>
      </c>
    </row>
    <row r="40" spans="1:50" x14ac:dyDescent="0.3">
      <c r="A40" s="9" t="str">
        <f>IF('Stock UST'!E41="","",'Stock UST'!E41)</f>
        <v/>
      </c>
      <c r="B40" s="9" t="str">
        <f>IF(IF(ISERROR(MATCH(Stock!B$1,'Stock UST'!$1:$1,0)),A40,INDEX('Stock UST'!40:40,1,MATCH(Stock!B$1,'Stock UST'!$1:$1,0)))=0,"",IF(ISERROR(MATCH(Stock!B$1,'Stock UST'!$1:$1,0)),A40,INDEX('Stock UST'!40:40,1,MATCH(Stock!B$1,'Stock UST'!$1:$1,0))))</f>
        <v/>
      </c>
      <c r="C40" s="9" t="str">
        <f ca="1">IF(IF(ISERROR(MATCH(Stock!C$1,'Stock UST'!$1:$1,0)),B40,INDEX('Stock UST'!40:40,1,MATCH(Stock!C$1,'Stock UST'!$1:$1,0)))=0,"",IF(ISERROR(MATCH(Stock!C$1,'Stock UST'!$1:$1,0)),B40,INDEX('Stock UST'!40:40,1,MATCH(Stock!C$1,'Stock UST'!$1:$1,0))))</f>
        <v/>
      </c>
      <c r="D40" s="9" t="str">
        <f ca="1">IF(IF(ISERROR(MATCH(Stock!D$1,'Stock UST'!$1:$1,0)),C40,INDEX('Stock UST'!40:40,1,MATCH(Stock!D$1,'Stock UST'!$1:$1,0)))=0,"",IF(ISERROR(MATCH(Stock!D$1,'Stock UST'!$1:$1,0)),C40,INDEX('Stock UST'!40:40,1,MATCH(Stock!D$1,'Stock UST'!$1:$1,0))))</f>
        <v/>
      </c>
      <c r="E40" s="9" t="str">
        <f ca="1">IF(IF(ISERROR(MATCH(Stock!E$1,'Stock UST'!$1:$1,0)),D40,INDEX('Stock UST'!40:40,1,MATCH(Stock!E$1,'Stock UST'!$1:$1,0)))=0,"",IF(ISERROR(MATCH(Stock!E$1,'Stock UST'!$1:$1,0)),D40,INDEX('Stock UST'!40:40,1,MATCH(Stock!E$1,'Stock UST'!$1:$1,0))))</f>
        <v/>
      </c>
      <c r="F40" s="9" t="str">
        <f ca="1">IF(IF(ISERROR(MATCH(Stock!F$1,'Stock UST'!$1:$1,0)),E40,INDEX('Stock UST'!40:40,1,MATCH(Stock!F$1,'Stock UST'!$1:$1,0)))=0,"",IF(ISERROR(MATCH(Stock!F$1,'Stock UST'!$1:$1,0)),E40,INDEX('Stock UST'!40:40,1,MATCH(Stock!F$1,'Stock UST'!$1:$1,0))))</f>
        <v/>
      </c>
      <c r="G40" s="9" t="str">
        <f ca="1">IF(IF(ISERROR(MATCH(Stock!G$1,'Stock UST'!$1:$1,0)),F40,INDEX('Stock UST'!40:40,1,MATCH(Stock!G$1,'Stock UST'!$1:$1,0)))=0,"",IF(ISERROR(MATCH(Stock!G$1,'Stock UST'!$1:$1,0)),F40,INDEX('Stock UST'!40:40,1,MATCH(Stock!G$1,'Stock UST'!$1:$1,0))))</f>
        <v/>
      </c>
      <c r="H40" s="9" t="str">
        <f ca="1">IF(IF(ISERROR(MATCH(Stock!H$1,'Stock UST'!$1:$1,0)),G40,INDEX('Stock UST'!40:40,1,MATCH(Stock!H$1,'Stock UST'!$1:$1,0)))=0,"",IF(ISERROR(MATCH(Stock!H$1,'Stock UST'!$1:$1,0)),G40,INDEX('Stock UST'!40:40,1,MATCH(Stock!H$1,'Stock UST'!$1:$1,0))))</f>
        <v/>
      </c>
      <c r="I40" s="9" t="str">
        <f ca="1">IF(IF(ISERROR(MATCH(Stock!I$1,'Stock UST'!$1:$1,0)),H40,INDEX('Stock UST'!40:40,1,MATCH(Stock!I$1,'Stock UST'!$1:$1,0)))=0,"",IF(ISERROR(MATCH(Stock!I$1,'Stock UST'!$1:$1,0)),H40,INDEX('Stock UST'!40:40,1,MATCH(Stock!I$1,'Stock UST'!$1:$1,0))))</f>
        <v/>
      </c>
      <c r="J40" s="9" t="str">
        <f ca="1">IF(IF(ISERROR(MATCH(Stock!J$1,'Stock UST'!$1:$1,0)),I40,INDEX('Stock UST'!40:40,1,MATCH(Stock!J$1,'Stock UST'!$1:$1,0)))=0,"",IF(ISERROR(MATCH(Stock!J$1,'Stock UST'!$1:$1,0)),I40,INDEX('Stock UST'!40:40,1,MATCH(Stock!J$1,'Stock UST'!$1:$1,0))))</f>
        <v/>
      </c>
      <c r="K40" s="9" t="str">
        <f ca="1">IF(IF(ISERROR(MATCH(Stock!K$1,'Stock UST'!$1:$1,0)),J40,INDEX('Stock UST'!40:40,1,MATCH(Stock!K$1,'Stock UST'!$1:$1,0)))=0,"",IF(ISERROR(MATCH(Stock!K$1,'Stock UST'!$1:$1,0)),J40,INDEX('Stock UST'!40:40,1,MATCH(Stock!K$1,'Stock UST'!$1:$1,0))))</f>
        <v/>
      </c>
      <c r="L40" s="9" t="str">
        <f ca="1">IF(IF(ISERROR(MATCH(Stock!L$1,'Stock UST'!$1:$1,0)),K40,INDEX('Stock UST'!40:40,1,MATCH(Stock!L$1,'Stock UST'!$1:$1,0)))=0,"",IF(ISERROR(MATCH(Stock!L$1,'Stock UST'!$1:$1,0)),K40,INDEX('Stock UST'!40:40,1,MATCH(Stock!L$1,'Stock UST'!$1:$1,0))))</f>
        <v/>
      </c>
      <c r="M40" s="9" t="str">
        <f ca="1">IF(IF(ISERROR(MATCH(Stock!M$1,'Stock UST'!$1:$1,0)),L40,INDEX('Stock UST'!40:40,1,MATCH(Stock!M$1,'Stock UST'!$1:$1,0)))=0,"",IF(ISERROR(MATCH(Stock!M$1,'Stock UST'!$1:$1,0)),L40,INDEX('Stock UST'!40:40,1,MATCH(Stock!M$1,'Stock UST'!$1:$1,0))))</f>
        <v/>
      </c>
      <c r="N40" s="9" t="str">
        <f ca="1">IF(IF(ISERROR(MATCH(Stock!N$1,'Stock UST'!$1:$1,0)),M40,INDEX('Stock UST'!40:40,1,MATCH(Stock!N$1,'Stock UST'!$1:$1,0)))=0,"",IF(ISERROR(MATCH(Stock!N$1,'Stock UST'!$1:$1,0)),M40,INDEX('Stock UST'!40:40,1,MATCH(Stock!N$1,'Stock UST'!$1:$1,0))))</f>
        <v/>
      </c>
      <c r="O40" s="9" t="str">
        <f ca="1">IF(IF(ISERROR(MATCH(Stock!O$1,'Stock UST'!$1:$1,0)),N40,INDEX('Stock UST'!40:40,1,MATCH(Stock!O$1,'Stock UST'!$1:$1,0)))=0,"",IF(ISERROR(MATCH(Stock!O$1,'Stock UST'!$1:$1,0)),N40,INDEX('Stock UST'!40:40,1,MATCH(Stock!O$1,'Stock UST'!$1:$1,0))))</f>
        <v/>
      </c>
      <c r="P40" s="9" t="str">
        <f ca="1">IF(IF(ISERROR(MATCH(Stock!P$1,'Stock UST'!$1:$1,0)),O40,INDEX('Stock UST'!40:40,1,MATCH(Stock!P$1,'Stock UST'!$1:$1,0)))=0,"",IF(ISERROR(MATCH(Stock!P$1,'Stock UST'!$1:$1,0)),O40,INDEX('Stock UST'!40:40,1,MATCH(Stock!P$1,'Stock UST'!$1:$1,0))))</f>
        <v/>
      </c>
      <c r="Q40" s="9" t="str">
        <f ca="1">IF(IF(ISERROR(MATCH(Stock!Q$1,'Stock UST'!$1:$1,0)),P40,INDEX('Stock UST'!40:40,1,MATCH(Stock!Q$1,'Stock UST'!$1:$1,0)))=0,"",IF(ISERROR(MATCH(Stock!Q$1,'Stock UST'!$1:$1,0)),P40,INDEX('Stock UST'!40:40,1,MATCH(Stock!Q$1,'Stock UST'!$1:$1,0))))</f>
        <v/>
      </c>
      <c r="R40" s="9" t="str">
        <f ca="1">IF(IF(ISERROR(MATCH(Stock!R$1,'Stock UST'!$1:$1,0)),Q40,INDEX('Stock UST'!40:40,1,MATCH(Stock!R$1,'Stock UST'!$1:$1,0)))=0,"",IF(ISERROR(MATCH(Stock!R$1,'Stock UST'!$1:$1,0)),Q40,INDEX('Stock UST'!40:40,1,MATCH(Stock!R$1,'Stock UST'!$1:$1,0))))</f>
        <v/>
      </c>
      <c r="S40" s="9" t="str">
        <f ca="1">IF(IF(ISERROR(MATCH(Stock!S$1,'Stock UST'!$1:$1,0)),R40,INDEX('Stock UST'!40:40,1,MATCH(Stock!S$1,'Stock UST'!$1:$1,0)))=0,"",IF(ISERROR(MATCH(Stock!S$1,'Stock UST'!$1:$1,0)),R40,INDEX('Stock UST'!40:40,1,MATCH(Stock!S$1,'Stock UST'!$1:$1,0))))</f>
        <v/>
      </c>
      <c r="T40" s="9" t="str">
        <f ca="1">IF(IF(ISERROR(MATCH(Stock!T$1,'Stock UST'!$1:$1,0)),S40,INDEX('Stock UST'!40:40,1,MATCH(Stock!T$1,'Stock UST'!$1:$1,0)))=0,"",IF(ISERROR(MATCH(Stock!T$1,'Stock UST'!$1:$1,0)),S40,INDEX('Stock UST'!40:40,1,MATCH(Stock!T$1,'Stock UST'!$1:$1,0))))</f>
        <v/>
      </c>
      <c r="U40" s="9" t="str">
        <f ca="1">IF(IF(ISERROR(MATCH(Stock!U$1,'Stock UST'!$1:$1,0)),T40,INDEX('Stock UST'!40:40,1,MATCH(Stock!U$1,'Stock UST'!$1:$1,0)))=0,"",IF(ISERROR(MATCH(Stock!U$1,'Stock UST'!$1:$1,0)),T40,INDEX('Stock UST'!40:40,1,MATCH(Stock!U$1,'Stock UST'!$1:$1,0))))</f>
        <v/>
      </c>
      <c r="V40" s="9" t="str">
        <f ca="1">IF(IF(ISERROR(MATCH(Stock!V$1,'Stock UST'!$1:$1,0)),U40,INDEX('Stock UST'!40:40,1,MATCH(Stock!V$1,'Stock UST'!$1:$1,0)))=0,"",IF(ISERROR(MATCH(Stock!V$1,'Stock UST'!$1:$1,0)),U40,INDEX('Stock UST'!40:40,1,MATCH(Stock!V$1,'Stock UST'!$1:$1,0))))</f>
        <v/>
      </c>
      <c r="W40" s="9" t="str">
        <f ca="1">IF(IF(ISERROR(MATCH(Stock!W$1,'Stock UST'!$1:$1,0)),V40,INDEX('Stock UST'!40:40,1,MATCH(Stock!W$1,'Stock UST'!$1:$1,0)))=0,"",IF(ISERROR(MATCH(Stock!W$1,'Stock UST'!$1:$1,0)),V40,INDEX('Stock UST'!40:40,1,MATCH(Stock!W$1,'Stock UST'!$1:$1,0))))</f>
        <v/>
      </c>
      <c r="X40" s="9" t="str">
        <f ca="1">IF(IF(ISERROR(MATCH(Stock!X$1,'Stock UST'!$1:$1,0)),W40,INDEX('Stock UST'!40:40,1,MATCH(Stock!X$1,'Stock UST'!$1:$1,0)))=0,"",IF(ISERROR(MATCH(Stock!X$1,'Stock UST'!$1:$1,0)),W40,INDEX('Stock UST'!40:40,1,MATCH(Stock!X$1,'Stock UST'!$1:$1,0))))</f>
        <v/>
      </c>
      <c r="Y40" s="9" t="str">
        <f ca="1">IF(IF(ISERROR(MATCH(Stock!Y$1,'Stock UST'!$1:$1,0)),X40,INDEX('Stock UST'!40:40,1,MATCH(Stock!Y$1,'Stock UST'!$1:$1,0)))=0,"",IF(ISERROR(MATCH(Stock!Y$1,'Stock UST'!$1:$1,0)),X40,INDEX('Stock UST'!40:40,1,MATCH(Stock!Y$1,'Stock UST'!$1:$1,0))))</f>
        <v/>
      </c>
      <c r="Z40" s="9" t="str">
        <f ca="1">IF(IF(ISERROR(MATCH(Stock!Z$1,'Stock UST'!$1:$1,0)),Y40,INDEX('Stock UST'!40:40,1,MATCH(Stock!Z$1,'Stock UST'!$1:$1,0)))=0,"",IF(ISERROR(MATCH(Stock!Z$1,'Stock UST'!$1:$1,0)),Y40,INDEX('Stock UST'!40:40,1,MATCH(Stock!Z$1,'Stock UST'!$1:$1,0))))</f>
        <v/>
      </c>
      <c r="AA40" s="9" t="str">
        <f ca="1">IF(IF(ISERROR(MATCH(Stock!AA$1,'Stock UST'!$1:$1,0)),Z40,INDEX('Stock UST'!40:40,1,MATCH(Stock!AA$1,'Stock UST'!$1:$1,0)))=0,"",IF(ISERROR(MATCH(Stock!AA$1,'Stock UST'!$1:$1,0)),Z40,INDEX('Stock UST'!40:40,1,MATCH(Stock!AA$1,'Stock UST'!$1:$1,0))))</f>
        <v/>
      </c>
      <c r="AB40" s="9" t="str">
        <f ca="1">IF(IF(ISERROR(MATCH(Stock!AB$1,'Stock UST'!$1:$1,0)),AA40,INDEX('Stock UST'!40:40,1,MATCH(Stock!AB$1,'Stock UST'!$1:$1,0)))=0,"",IF(ISERROR(MATCH(Stock!AB$1,'Stock UST'!$1:$1,0)),AA40,INDEX('Stock UST'!40:40,1,MATCH(Stock!AB$1,'Stock UST'!$1:$1,0))))</f>
        <v/>
      </c>
      <c r="AC40" s="9" t="str">
        <f ca="1">IF(IF(ISERROR(MATCH(Stock!AC$1,'Stock UST'!$1:$1,0)),AB40,INDEX('Stock UST'!40:40,1,MATCH(Stock!AC$1,'Stock UST'!$1:$1,0)))=0,"",IF(ISERROR(MATCH(Stock!AC$1,'Stock UST'!$1:$1,0)),AB40,INDEX('Stock UST'!40:40,1,MATCH(Stock!AC$1,'Stock UST'!$1:$1,0))))</f>
        <v/>
      </c>
      <c r="AD40" s="9" t="str">
        <f ca="1">IF(IF(ISERROR(MATCH(Stock!AD$1,'Stock UST'!$1:$1,0)),AC40,INDEX('Stock UST'!40:40,1,MATCH(Stock!AD$1,'Stock UST'!$1:$1,0)))=0,"",IF(ISERROR(MATCH(Stock!AD$1,'Stock UST'!$1:$1,0)),AC40,INDEX('Stock UST'!40:40,1,MATCH(Stock!AD$1,'Stock UST'!$1:$1,0))))</f>
        <v/>
      </c>
      <c r="AE40" s="9" t="str">
        <f ca="1">IF(IF(ISERROR(MATCH(Stock!AE$1,'Stock UST'!$1:$1,0)),AD40,INDEX('Stock UST'!40:40,1,MATCH(Stock!AE$1,'Stock UST'!$1:$1,0)))=0,"",IF(ISERROR(MATCH(Stock!AE$1,'Stock UST'!$1:$1,0)),AD40,INDEX('Stock UST'!40:40,1,MATCH(Stock!AE$1,'Stock UST'!$1:$1,0))))</f>
        <v/>
      </c>
      <c r="AF40" s="9" t="str">
        <f ca="1">IF(IF(ISERROR(MATCH(Stock!AF$1,'Stock UST'!$1:$1,0)),AE40,INDEX('Stock UST'!40:40,1,MATCH(Stock!AF$1,'Stock UST'!$1:$1,0)))=0,"",IF(ISERROR(MATCH(Stock!AF$1,'Stock UST'!$1:$1,0)),AE40,INDEX('Stock UST'!40:40,1,MATCH(Stock!AF$1,'Stock UST'!$1:$1,0))))</f>
        <v/>
      </c>
      <c r="AG40" s="9" t="str">
        <f ca="1">IF(IF(ISERROR(MATCH(Stock!AG$1,'Stock UST'!$1:$1,0)),AF40,INDEX('Stock UST'!40:40,1,MATCH(Stock!AG$1,'Stock UST'!$1:$1,0)))=0,"",IF(ISERROR(MATCH(Stock!AG$1,'Stock UST'!$1:$1,0)),AF40,INDEX('Stock UST'!40:40,1,MATCH(Stock!AG$1,'Stock UST'!$1:$1,0))))</f>
        <v/>
      </c>
      <c r="AH40" s="9" t="str">
        <f ca="1">IF(IF(ISERROR(MATCH(Stock!AH$1,'Stock UST'!$1:$1,0)),AG40,INDEX('Stock UST'!40:40,1,MATCH(Stock!AH$1,'Stock UST'!$1:$1,0)))=0,"",IF(ISERROR(MATCH(Stock!AH$1,'Stock UST'!$1:$1,0)),AG40,INDEX('Stock UST'!40:40,1,MATCH(Stock!AH$1,'Stock UST'!$1:$1,0))))</f>
        <v/>
      </c>
      <c r="AI40" s="9" t="str">
        <f ca="1">IF(IF(ISERROR(MATCH(Stock!AI$1,'Stock UST'!$1:$1,0)),AH40,INDEX('Stock UST'!40:40,1,MATCH(Stock!AI$1,'Stock UST'!$1:$1,0)))=0,"",IF(ISERROR(MATCH(Stock!AI$1,'Stock UST'!$1:$1,0)),AH40,INDEX('Stock UST'!40:40,1,MATCH(Stock!AI$1,'Stock UST'!$1:$1,0))))</f>
        <v/>
      </c>
      <c r="AJ40" s="9" t="str">
        <f ca="1">IF(IF(ISERROR(MATCH(Stock!AJ$1,'Stock UST'!$1:$1,0)),AI40,INDEX('Stock UST'!40:40,1,MATCH(Stock!AJ$1,'Stock UST'!$1:$1,0)))=0,"",IF(ISERROR(MATCH(Stock!AJ$1,'Stock UST'!$1:$1,0)),AI40,INDEX('Stock UST'!40:40,1,MATCH(Stock!AJ$1,'Stock UST'!$1:$1,0))))</f>
        <v/>
      </c>
      <c r="AK40" s="9" t="str">
        <f ca="1">IF(IF(ISERROR(MATCH(Stock!AK$1,'Stock UST'!$1:$1,0)),AJ40,INDEX('Stock UST'!40:40,1,MATCH(Stock!AK$1,'Stock UST'!$1:$1,0)))=0,"",IF(ISERROR(MATCH(Stock!AK$1,'Stock UST'!$1:$1,0)),AJ40,INDEX('Stock UST'!40:40,1,MATCH(Stock!AK$1,'Stock UST'!$1:$1,0))))</f>
        <v/>
      </c>
      <c r="AL40" s="9" t="str">
        <f ca="1">IF(IF(ISERROR(MATCH(Stock!AL$1,'Stock UST'!$1:$1,0)),AK40,INDEX('Stock UST'!40:40,1,MATCH(Stock!AL$1,'Stock UST'!$1:$1,0)))=0,"",IF(ISERROR(MATCH(Stock!AL$1,'Stock UST'!$1:$1,0)),AK40,INDEX('Stock UST'!40:40,1,MATCH(Stock!AL$1,'Stock UST'!$1:$1,0))))</f>
        <v/>
      </c>
      <c r="AM40" s="9" t="str">
        <f ca="1">IF(IF(ISERROR(MATCH(Stock!AM$1,'Stock UST'!$1:$1,0)),AL40,INDEX('Stock UST'!40:40,1,MATCH(Stock!AM$1,'Stock UST'!$1:$1,0)))=0,"",IF(ISERROR(MATCH(Stock!AM$1,'Stock UST'!$1:$1,0)),AL40,INDEX('Stock UST'!40:40,1,MATCH(Stock!AM$1,'Stock UST'!$1:$1,0))))</f>
        <v/>
      </c>
      <c r="AN40" s="9" t="str">
        <f ca="1">IF(IF(ISERROR(MATCH(Stock!AN$1,'Stock UST'!$1:$1,0)),AM40,INDEX('Stock UST'!40:40,1,MATCH(Stock!AN$1,'Stock UST'!$1:$1,0)))=0,"",IF(ISERROR(MATCH(Stock!AN$1,'Stock UST'!$1:$1,0)),AM40,INDEX('Stock UST'!40:40,1,MATCH(Stock!AN$1,'Stock UST'!$1:$1,0))))</f>
        <v/>
      </c>
      <c r="AO40" s="9" t="str">
        <f ca="1">IF(IF(ISERROR(MATCH(Stock!AO$1,'Stock UST'!$1:$1,0)),AN40,INDEX('Stock UST'!40:40,1,MATCH(Stock!AO$1,'Stock UST'!$1:$1,0)))=0,"",IF(ISERROR(MATCH(Stock!AO$1,'Stock UST'!$1:$1,0)),AN40,INDEX('Stock UST'!40:40,1,MATCH(Stock!AO$1,'Stock UST'!$1:$1,0))))</f>
        <v/>
      </c>
      <c r="AP40" s="9" t="str">
        <f ca="1">IF(IF(ISERROR(MATCH(Stock!AP$1,'Stock UST'!$1:$1,0)),AO40,INDEX('Stock UST'!40:40,1,MATCH(Stock!AP$1,'Stock UST'!$1:$1,0)))=0,"",IF(ISERROR(MATCH(Stock!AP$1,'Stock UST'!$1:$1,0)),AO40,INDEX('Stock UST'!40:40,1,MATCH(Stock!AP$1,'Stock UST'!$1:$1,0))))</f>
        <v/>
      </c>
      <c r="AQ40" s="9" t="str">
        <f ca="1">IF(IF(ISERROR(MATCH(Stock!AQ$1,'Stock UST'!$1:$1,0)),AP40,INDEX('Stock UST'!40:40,1,MATCH(Stock!AQ$1,'Stock UST'!$1:$1,0)))=0,"",IF(ISERROR(MATCH(Stock!AQ$1,'Stock UST'!$1:$1,0)),AP40,INDEX('Stock UST'!40:40,1,MATCH(Stock!AQ$1,'Stock UST'!$1:$1,0))))</f>
        <v/>
      </c>
      <c r="AR40" s="9" t="str">
        <f ca="1">IF(IF(ISERROR(MATCH(Stock!AR$1,'Stock UST'!$1:$1,0)),AQ40,INDEX('Stock UST'!40:40,1,MATCH(Stock!AR$1,'Stock UST'!$1:$1,0)))=0,"",IF(ISERROR(MATCH(Stock!AR$1,'Stock UST'!$1:$1,0)),AQ40,INDEX('Stock UST'!40:40,1,MATCH(Stock!AR$1,'Stock UST'!$1:$1,0))))</f>
        <v/>
      </c>
      <c r="AS40" s="9" t="str">
        <f ca="1">IF(IF(ISERROR(MATCH(Stock!AS$1,'Stock UST'!$1:$1,0)),AR40,INDEX('Stock UST'!40:40,1,MATCH(Stock!AS$1,'Stock UST'!$1:$1,0)))=0,"",IF(ISERROR(MATCH(Stock!AS$1,'Stock UST'!$1:$1,0)),AR40,INDEX('Stock UST'!40:40,1,MATCH(Stock!AS$1,'Stock UST'!$1:$1,0))))</f>
        <v/>
      </c>
      <c r="AT40" s="9" t="str">
        <f ca="1">IF(IF(ISERROR(MATCH(Stock!AT$1,'Stock UST'!$1:$1,0)),AS40,INDEX('Stock UST'!40:40,1,MATCH(Stock!AT$1,'Stock UST'!$1:$1,0)))=0,"",IF(ISERROR(MATCH(Stock!AT$1,'Stock UST'!$1:$1,0)),AS40,INDEX('Stock UST'!40:40,1,MATCH(Stock!AT$1,'Stock UST'!$1:$1,0))))</f>
        <v/>
      </c>
      <c r="AU40" s="9" t="str">
        <f ca="1">IF(IF(ISERROR(MATCH(Stock!AU$1,'Stock UST'!$1:$1,0)),AT40,INDEX('Stock UST'!40:40,1,MATCH(Stock!AU$1,'Stock UST'!$1:$1,0)))=0,"",IF(ISERROR(MATCH(Stock!AU$1,'Stock UST'!$1:$1,0)),AT40,INDEX('Stock UST'!40:40,1,MATCH(Stock!AU$1,'Stock UST'!$1:$1,0))))</f>
        <v/>
      </c>
      <c r="AV40" s="9" t="str">
        <f ca="1">IF(IF(ISERROR(MATCH(Stock!AV$1,'Stock UST'!$1:$1,0)),AU40,INDEX('Stock UST'!40:40,1,MATCH(Stock!AV$1,'Stock UST'!$1:$1,0)))=0,"",IF(ISERROR(MATCH(Stock!AV$1,'Stock UST'!$1:$1,0)),AU40,INDEX('Stock UST'!40:40,1,MATCH(Stock!AV$1,'Stock UST'!$1:$1,0))))</f>
        <v/>
      </c>
      <c r="AW40" s="9" t="str">
        <f ca="1">IF(IF(ISERROR(MATCH(Stock!AW$1,'Stock UST'!$1:$1,0)),AV40,INDEX('Stock UST'!40:40,1,MATCH(Stock!AW$1,'Stock UST'!$1:$1,0)))=0,"",IF(ISERROR(MATCH(Stock!AW$1,'Stock UST'!$1:$1,0)),AV40,INDEX('Stock UST'!40:40,1,MATCH(Stock!AW$1,'Stock UST'!$1:$1,0))))</f>
        <v/>
      </c>
      <c r="AX40" s="9" t="str">
        <f ca="1">IF(IF(ISERROR(MATCH(Stock!AX$1,'Stock UST'!$1:$1,0)),AW40,INDEX('Stock UST'!40:40,1,MATCH(Stock!AX$1,'Stock UST'!$1:$1,0)))=0,"",IF(ISERROR(MATCH(Stock!AX$1,'Stock UST'!$1:$1,0)),AW40,INDEX('Stock UST'!40:40,1,MATCH(Stock!AX$1,'Stock UST'!$1:$1,0))))</f>
        <v/>
      </c>
    </row>
    <row r="41" spans="1:50" x14ac:dyDescent="0.3">
      <c r="A41" s="9" t="e">
        <f>IF('Stock UST'!#REF!="","",'Stock UST'!#REF!)</f>
        <v>#REF!</v>
      </c>
      <c r="B41" s="9" t="str">
        <f>IF(IF(ISERROR(MATCH(Stock!B$1,'Stock UST'!$1:$1,0)),A41,INDEX('Stock UST'!41:41,1,MATCH(Stock!B$1,'Stock UST'!$1:$1,0)))=0,"",IF(ISERROR(MATCH(Stock!B$1,'Stock UST'!$1:$1,0)),A41,INDEX('Stock UST'!41:41,1,MATCH(Stock!B$1,'Stock UST'!$1:$1,0))))</f>
        <v/>
      </c>
      <c r="C41" s="9" t="str">
        <f ca="1">IF(IF(ISERROR(MATCH(Stock!C$1,'Stock UST'!$1:$1,0)),B41,INDEX('Stock UST'!41:41,1,MATCH(Stock!C$1,'Stock UST'!$1:$1,0)))=0,"",IF(ISERROR(MATCH(Stock!C$1,'Stock UST'!$1:$1,0)),B41,INDEX('Stock UST'!41:41,1,MATCH(Stock!C$1,'Stock UST'!$1:$1,0))))</f>
        <v/>
      </c>
      <c r="D41" s="9" t="str">
        <f ca="1">IF(IF(ISERROR(MATCH(Stock!D$1,'Stock UST'!$1:$1,0)),C41,INDEX('Stock UST'!41:41,1,MATCH(Stock!D$1,'Stock UST'!$1:$1,0)))=0,"",IF(ISERROR(MATCH(Stock!D$1,'Stock UST'!$1:$1,0)),C41,INDEX('Stock UST'!41:41,1,MATCH(Stock!D$1,'Stock UST'!$1:$1,0))))</f>
        <v/>
      </c>
      <c r="E41" s="9" t="str">
        <f ca="1">IF(IF(ISERROR(MATCH(Stock!E$1,'Stock UST'!$1:$1,0)),D41,INDEX('Stock UST'!41:41,1,MATCH(Stock!E$1,'Stock UST'!$1:$1,0)))=0,"",IF(ISERROR(MATCH(Stock!E$1,'Stock UST'!$1:$1,0)),D41,INDEX('Stock UST'!41:41,1,MATCH(Stock!E$1,'Stock UST'!$1:$1,0))))</f>
        <v/>
      </c>
      <c r="F41" s="9" t="str">
        <f ca="1">IF(IF(ISERROR(MATCH(Stock!F$1,'Stock UST'!$1:$1,0)),E41,INDEX('Stock UST'!41:41,1,MATCH(Stock!F$1,'Stock UST'!$1:$1,0)))=0,"",IF(ISERROR(MATCH(Stock!F$1,'Stock UST'!$1:$1,0)),E41,INDEX('Stock UST'!41:41,1,MATCH(Stock!F$1,'Stock UST'!$1:$1,0))))</f>
        <v/>
      </c>
      <c r="G41" s="9" t="str">
        <f ca="1">IF(IF(ISERROR(MATCH(Stock!G$1,'Stock UST'!$1:$1,0)),F41,INDEX('Stock UST'!41:41,1,MATCH(Stock!G$1,'Stock UST'!$1:$1,0)))=0,"",IF(ISERROR(MATCH(Stock!G$1,'Stock UST'!$1:$1,0)),F41,INDEX('Stock UST'!41:41,1,MATCH(Stock!G$1,'Stock UST'!$1:$1,0))))</f>
        <v/>
      </c>
      <c r="H41" s="9" t="str">
        <f ca="1">IF(IF(ISERROR(MATCH(Stock!H$1,'Stock UST'!$1:$1,0)),G41,INDEX('Stock UST'!41:41,1,MATCH(Stock!H$1,'Stock UST'!$1:$1,0)))=0,"",IF(ISERROR(MATCH(Stock!H$1,'Stock UST'!$1:$1,0)),G41,INDEX('Stock UST'!41:41,1,MATCH(Stock!H$1,'Stock UST'!$1:$1,0))))</f>
        <v/>
      </c>
      <c r="I41" s="9" t="str">
        <f ca="1">IF(IF(ISERROR(MATCH(Stock!I$1,'Stock UST'!$1:$1,0)),H41,INDEX('Stock UST'!41:41,1,MATCH(Stock!I$1,'Stock UST'!$1:$1,0)))=0,"",IF(ISERROR(MATCH(Stock!I$1,'Stock UST'!$1:$1,0)),H41,INDEX('Stock UST'!41:41,1,MATCH(Stock!I$1,'Stock UST'!$1:$1,0))))</f>
        <v/>
      </c>
      <c r="J41" s="9" t="str">
        <f ca="1">IF(IF(ISERROR(MATCH(Stock!J$1,'Stock UST'!$1:$1,0)),I41,INDEX('Stock UST'!41:41,1,MATCH(Stock!J$1,'Stock UST'!$1:$1,0)))=0,"",IF(ISERROR(MATCH(Stock!J$1,'Stock UST'!$1:$1,0)),I41,INDEX('Stock UST'!41:41,1,MATCH(Stock!J$1,'Stock UST'!$1:$1,0))))</f>
        <v/>
      </c>
      <c r="K41" s="9" t="str">
        <f ca="1">IF(IF(ISERROR(MATCH(Stock!K$1,'Stock UST'!$1:$1,0)),J41,INDEX('Stock UST'!41:41,1,MATCH(Stock!K$1,'Stock UST'!$1:$1,0)))=0,"",IF(ISERROR(MATCH(Stock!K$1,'Stock UST'!$1:$1,0)),J41,INDEX('Stock UST'!41:41,1,MATCH(Stock!K$1,'Stock UST'!$1:$1,0))))</f>
        <v/>
      </c>
      <c r="L41" s="9" t="str">
        <f ca="1">IF(IF(ISERROR(MATCH(Stock!L$1,'Stock UST'!$1:$1,0)),K41,INDEX('Stock UST'!41:41,1,MATCH(Stock!L$1,'Stock UST'!$1:$1,0)))=0,"",IF(ISERROR(MATCH(Stock!L$1,'Stock UST'!$1:$1,0)),K41,INDEX('Stock UST'!41:41,1,MATCH(Stock!L$1,'Stock UST'!$1:$1,0))))</f>
        <v/>
      </c>
      <c r="M41" s="9" t="str">
        <f ca="1">IF(IF(ISERROR(MATCH(Stock!M$1,'Stock UST'!$1:$1,0)),L41,INDEX('Stock UST'!41:41,1,MATCH(Stock!M$1,'Stock UST'!$1:$1,0)))=0,"",IF(ISERROR(MATCH(Stock!M$1,'Stock UST'!$1:$1,0)),L41,INDEX('Stock UST'!41:41,1,MATCH(Stock!M$1,'Stock UST'!$1:$1,0))))</f>
        <v/>
      </c>
      <c r="N41" s="9" t="str">
        <f ca="1">IF(IF(ISERROR(MATCH(Stock!N$1,'Stock UST'!$1:$1,0)),M41,INDEX('Stock UST'!41:41,1,MATCH(Stock!N$1,'Stock UST'!$1:$1,0)))=0,"",IF(ISERROR(MATCH(Stock!N$1,'Stock UST'!$1:$1,0)),M41,INDEX('Stock UST'!41:41,1,MATCH(Stock!N$1,'Stock UST'!$1:$1,0))))</f>
        <v/>
      </c>
      <c r="O41" s="9" t="str">
        <f ca="1">IF(IF(ISERROR(MATCH(Stock!O$1,'Stock UST'!$1:$1,0)),N41,INDEX('Stock UST'!41:41,1,MATCH(Stock!O$1,'Stock UST'!$1:$1,0)))=0,"",IF(ISERROR(MATCH(Stock!O$1,'Stock UST'!$1:$1,0)),N41,INDEX('Stock UST'!41:41,1,MATCH(Stock!O$1,'Stock UST'!$1:$1,0))))</f>
        <v/>
      </c>
      <c r="P41" s="9" t="str">
        <f ca="1">IF(IF(ISERROR(MATCH(Stock!P$1,'Stock UST'!$1:$1,0)),O41,INDEX('Stock UST'!41:41,1,MATCH(Stock!P$1,'Stock UST'!$1:$1,0)))=0,"",IF(ISERROR(MATCH(Stock!P$1,'Stock UST'!$1:$1,0)),O41,INDEX('Stock UST'!41:41,1,MATCH(Stock!P$1,'Stock UST'!$1:$1,0))))</f>
        <v/>
      </c>
      <c r="Q41" s="9" t="str">
        <f ca="1">IF(IF(ISERROR(MATCH(Stock!Q$1,'Stock UST'!$1:$1,0)),P41,INDEX('Stock UST'!41:41,1,MATCH(Stock!Q$1,'Stock UST'!$1:$1,0)))=0,"",IF(ISERROR(MATCH(Stock!Q$1,'Stock UST'!$1:$1,0)),P41,INDEX('Stock UST'!41:41,1,MATCH(Stock!Q$1,'Stock UST'!$1:$1,0))))</f>
        <v/>
      </c>
      <c r="R41" s="9" t="str">
        <f ca="1">IF(IF(ISERROR(MATCH(Stock!R$1,'Stock UST'!$1:$1,0)),Q41,INDEX('Stock UST'!41:41,1,MATCH(Stock!R$1,'Stock UST'!$1:$1,0)))=0,"",IF(ISERROR(MATCH(Stock!R$1,'Stock UST'!$1:$1,0)),Q41,INDEX('Stock UST'!41:41,1,MATCH(Stock!R$1,'Stock UST'!$1:$1,0))))</f>
        <v/>
      </c>
      <c r="S41" s="9" t="str">
        <f ca="1">IF(IF(ISERROR(MATCH(Stock!S$1,'Stock UST'!$1:$1,0)),R41,INDEX('Stock UST'!41:41,1,MATCH(Stock!S$1,'Stock UST'!$1:$1,0)))=0,"",IF(ISERROR(MATCH(Stock!S$1,'Stock UST'!$1:$1,0)),R41,INDEX('Stock UST'!41:41,1,MATCH(Stock!S$1,'Stock UST'!$1:$1,0))))</f>
        <v/>
      </c>
      <c r="T41" s="9" t="str">
        <f ca="1">IF(IF(ISERROR(MATCH(Stock!T$1,'Stock UST'!$1:$1,0)),S41,INDEX('Stock UST'!41:41,1,MATCH(Stock!T$1,'Stock UST'!$1:$1,0)))=0,"",IF(ISERROR(MATCH(Stock!T$1,'Stock UST'!$1:$1,0)),S41,INDEX('Stock UST'!41:41,1,MATCH(Stock!T$1,'Stock UST'!$1:$1,0))))</f>
        <v/>
      </c>
      <c r="U41" s="9" t="str">
        <f ca="1">IF(IF(ISERROR(MATCH(Stock!U$1,'Stock UST'!$1:$1,0)),T41,INDEX('Stock UST'!41:41,1,MATCH(Stock!U$1,'Stock UST'!$1:$1,0)))=0,"",IF(ISERROR(MATCH(Stock!U$1,'Stock UST'!$1:$1,0)),T41,INDEX('Stock UST'!41:41,1,MATCH(Stock!U$1,'Stock UST'!$1:$1,0))))</f>
        <v/>
      </c>
      <c r="V41" s="9" t="str">
        <f ca="1">IF(IF(ISERROR(MATCH(Stock!V$1,'Stock UST'!$1:$1,0)),U41,INDEX('Stock UST'!41:41,1,MATCH(Stock!V$1,'Stock UST'!$1:$1,0)))=0,"",IF(ISERROR(MATCH(Stock!V$1,'Stock UST'!$1:$1,0)),U41,INDEX('Stock UST'!41:41,1,MATCH(Stock!V$1,'Stock UST'!$1:$1,0))))</f>
        <v/>
      </c>
      <c r="W41" s="9" t="str">
        <f ca="1">IF(IF(ISERROR(MATCH(Stock!W$1,'Stock UST'!$1:$1,0)),V41,INDEX('Stock UST'!41:41,1,MATCH(Stock!W$1,'Stock UST'!$1:$1,0)))=0,"",IF(ISERROR(MATCH(Stock!W$1,'Stock UST'!$1:$1,0)),V41,INDEX('Stock UST'!41:41,1,MATCH(Stock!W$1,'Stock UST'!$1:$1,0))))</f>
        <v/>
      </c>
      <c r="X41" s="9" t="str">
        <f ca="1">IF(IF(ISERROR(MATCH(Stock!X$1,'Stock UST'!$1:$1,0)),W41,INDEX('Stock UST'!41:41,1,MATCH(Stock!X$1,'Stock UST'!$1:$1,0)))=0,"",IF(ISERROR(MATCH(Stock!X$1,'Stock UST'!$1:$1,0)),W41,INDEX('Stock UST'!41:41,1,MATCH(Stock!X$1,'Stock UST'!$1:$1,0))))</f>
        <v/>
      </c>
      <c r="Y41" s="9" t="str">
        <f ca="1">IF(IF(ISERROR(MATCH(Stock!Y$1,'Stock UST'!$1:$1,0)),X41,INDEX('Stock UST'!41:41,1,MATCH(Stock!Y$1,'Stock UST'!$1:$1,0)))=0,"",IF(ISERROR(MATCH(Stock!Y$1,'Stock UST'!$1:$1,0)),X41,INDEX('Stock UST'!41:41,1,MATCH(Stock!Y$1,'Stock UST'!$1:$1,0))))</f>
        <v/>
      </c>
      <c r="Z41" s="9" t="str">
        <f ca="1">IF(IF(ISERROR(MATCH(Stock!Z$1,'Stock UST'!$1:$1,0)),Y41,INDEX('Stock UST'!41:41,1,MATCH(Stock!Z$1,'Stock UST'!$1:$1,0)))=0,"",IF(ISERROR(MATCH(Stock!Z$1,'Stock UST'!$1:$1,0)),Y41,INDEX('Stock UST'!41:41,1,MATCH(Stock!Z$1,'Stock UST'!$1:$1,0))))</f>
        <v/>
      </c>
      <c r="AA41" s="9" t="str">
        <f ca="1">IF(IF(ISERROR(MATCH(Stock!AA$1,'Stock UST'!$1:$1,0)),Z41,INDEX('Stock UST'!41:41,1,MATCH(Stock!AA$1,'Stock UST'!$1:$1,0)))=0,"",IF(ISERROR(MATCH(Stock!AA$1,'Stock UST'!$1:$1,0)),Z41,INDEX('Stock UST'!41:41,1,MATCH(Stock!AA$1,'Stock UST'!$1:$1,0))))</f>
        <v/>
      </c>
      <c r="AB41" s="9" t="str">
        <f ca="1">IF(IF(ISERROR(MATCH(Stock!AB$1,'Stock UST'!$1:$1,0)),AA41,INDEX('Stock UST'!41:41,1,MATCH(Stock!AB$1,'Stock UST'!$1:$1,0)))=0,"",IF(ISERROR(MATCH(Stock!AB$1,'Stock UST'!$1:$1,0)),AA41,INDEX('Stock UST'!41:41,1,MATCH(Stock!AB$1,'Stock UST'!$1:$1,0))))</f>
        <v/>
      </c>
      <c r="AC41" s="9" t="str">
        <f ca="1">IF(IF(ISERROR(MATCH(Stock!AC$1,'Stock UST'!$1:$1,0)),AB41,INDEX('Stock UST'!41:41,1,MATCH(Stock!AC$1,'Stock UST'!$1:$1,0)))=0,"",IF(ISERROR(MATCH(Stock!AC$1,'Stock UST'!$1:$1,0)),AB41,INDEX('Stock UST'!41:41,1,MATCH(Stock!AC$1,'Stock UST'!$1:$1,0))))</f>
        <v/>
      </c>
      <c r="AD41" s="9" t="str">
        <f ca="1">IF(IF(ISERROR(MATCH(Stock!AD$1,'Stock UST'!$1:$1,0)),AC41,INDEX('Stock UST'!41:41,1,MATCH(Stock!AD$1,'Stock UST'!$1:$1,0)))=0,"",IF(ISERROR(MATCH(Stock!AD$1,'Stock UST'!$1:$1,0)),AC41,INDEX('Stock UST'!41:41,1,MATCH(Stock!AD$1,'Stock UST'!$1:$1,0))))</f>
        <v/>
      </c>
      <c r="AE41" s="9" t="str">
        <f ca="1">IF(IF(ISERROR(MATCH(Stock!AE$1,'Stock UST'!$1:$1,0)),AD41,INDEX('Stock UST'!41:41,1,MATCH(Stock!AE$1,'Stock UST'!$1:$1,0)))=0,"",IF(ISERROR(MATCH(Stock!AE$1,'Stock UST'!$1:$1,0)),AD41,INDEX('Stock UST'!41:41,1,MATCH(Stock!AE$1,'Stock UST'!$1:$1,0))))</f>
        <v/>
      </c>
      <c r="AF41" s="9" t="str">
        <f ca="1">IF(IF(ISERROR(MATCH(Stock!AF$1,'Stock UST'!$1:$1,0)),AE41,INDEX('Stock UST'!41:41,1,MATCH(Stock!AF$1,'Stock UST'!$1:$1,0)))=0,"",IF(ISERROR(MATCH(Stock!AF$1,'Stock UST'!$1:$1,0)),AE41,INDEX('Stock UST'!41:41,1,MATCH(Stock!AF$1,'Stock UST'!$1:$1,0))))</f>
        <v/>
      </c>
      <c r="AG41" s="9" t="str">
        <f ca="1">IF(IF(ISERROR(MATCH(Stock!AG$1,'Stock UST'!$1:$1,0)),AF41,INDEX('Stock UST'!41:41,1,MATCH(Stock!AG$1,'Stock UST'!$1:$1,0)))=0,"",IF(ISERROR(MATCH(Stock!AG$1,'Stock UST'!$1:$1,0)),AF41,INDEX('Stock UST'!41:41,1,MATCH(Stock!AG$1,'Stock UST'!$1:$1,0))))</f>
        <v/>
      </c>
      <c r="AH41" s="9" t="str">
        <f ca="1">IF(IF(ISERROR(MATCH(Stock!AH$1,'Stock UST'!$1:$1,0)),AG41,INDEX('Stock UST'!41:41,1,MATCH(Stock!AH$1,'Stock UST'!$1:$1,0)))=0,"",IF(ISERROR(MATCH(Stock!AH$1,'Stock UST'!$1:$1,0)),AG41,INDEX('Stock UST'!41:41,1,MATCH(Stock!AH$1,'Stock UST'!$1:$1,0))))</f>
        <v/>
      </c>
      <c r="AI41" s="9" t="str">
        <f ca="1">IF(IF(ISERROR(MATCH(Stock!AI$1,'Stock UST'!$1:$1,0)),AH41,INDEX('Stock UST'!41:41,1,MATCH(Stock!AI$1,'Stock UST'!$1:$1,0)))=0,"",IF(ISERROR(MATCH(Stock!AI$1,'Stock UST'!$1:$1,0)),AH41,INDEX('Stock UST'!41:41,1,MATCH(Stock!AI$1,'Stock UST'!$1:$1,0))))</f>
        <v/>
      </c>
      <c r="AJ41" s="9" t="str">
        <f ca="1">IF(IF(ISERROR(MATCH(Stock!AJ$1,'Stock UST'!$1:$1,0)),AI41,INDEX('Stock UST'!41:41,1,MATCH(Stock!AJ$1,'Stock UST'!$1:$1,0)))=0,"",IF(ISERROR(MATCH(Stock!AJ$1,'Stock UST'!$1:$1,0)),AI41,INDEX('Stock UST'!41:41,1,MATCH(Stock!AJ$1,'Stock UST'!$1:$1,0))))</f>
        <v/>
      </c>
      <c r="AK41" s="9" t="str">
        <f ca="1">IF(IF(ISERROR(MATCH(Stock!AK$1,'Stock UST'!$1:$1,0)),AJ41,INDEX('Stock UST'!41:41,1,MATCH(Stock!AK$1,'Stock UST'!$1:$1,0)))=0,"",IF(ISERROR(MATCH(Stock!AK$1,'Stock UST'!$1:$1,0)),AJ41,INDEX('Stock UST'!41:41,1,MATCH(Stock!AK$1,'Stock UST'!$1:$1,0))))</f>
        <v/>
      </c>
      <c r="AL41" s="9" t="str">
        <f ca="1">IF(IF(ISERROR(MATCH(Stock!AL$1,'Stock UST'!$1:$1,0)),AK41,INDEX('Stock UST'!41:41,1,MATCH(Stock!AL$1,'Stock UST'!$1:$1,0)))=0,"",IF(ISERROR(MATCH(Stock!AL$1,'Stock UST'!$1:$1,0)),AK41,INDEX('Stock UST'!41:41,1,MATCH(Stock!AL$1,'Stock UST'!$1:$1,0))))</f>
        <v/>
      </c>
      <c r="AM41" s="9" t="str">
        <f ca="1">IF(IF(ISERROR(MATCH(Stock!AM$1,'Stock UST'!$1:$1,0)),AL41,INDEX('Stock UST'!41:41,1,MATCH(Stock!AM$1,'Stock UST'!$1:$1,0)))=0,"",IF(ISERROR(MATCH(Stock!AM$1,'Stock UST'!$1:$1,0)),AL41,INDEX('Stock UST'!41:41,1,MATCH(Stock!AM$1,'Stock UST'!$1:$1,0))))</f>
        <v/>
      </c>
      <c r="AN41" s="9" t="str">
        <f ca="1">IF(IF(ISERROR(MATCH(Stock!AN$1,'Stock UST'!$1:$1,0)),AM41,INDEX('Stock UST'!41:41,1,MATCH(Stock!AN$1,'Stock UST'!$1:$1,0)))=0,"",IF(ISERROR(MATCH(Stock!AN$1,'Stock UST'!$1:$1,0)),AM41,INDEX('Stock UST'!41:41,1,MATCH(Stock!AN$1,'Stock UST'!$1:$1,0))))</f>
        <v/>
      </c>
      <c r="AO41" s="9" t="str">
        <f ca="1">IF(IF(ISERROR(MATCH(Stock!AO$1,'Stock UST'!$1:$1,0)),AN41,INDEX('Stock UST'!41:41,1,MATCH(Stock!AO$1,'Stock UST'!$1:$1,0)))=0,"",IF(ISERROR(MATCH(Stock!AO$1,'Stock UST'!$1:$1,0)),AN41,INDEX('Stock UST'!41:41,1,MATCH(Stock!AO$1,'Stock UST'!$1:$1,0))))</f>
        <v/>
      </c>
      <c r="AP41" s="9" t="str">
        <f ca="1">IF(IF(ISERROR(MATCH(Stock!AP$1,'Stock UST'!$1:$1,0)),AO41,INDEX('Stock UST'!41:41,1,MATCH(Stock!AP$1,'Stock UST'!$1:$1,0)))=0,"",IF(ISERROR(MATCH(Stock!AP$1,'Stock UST'!$1:$1,0)),AO41,INDEX('Stock UST'!41:41,1,MATCH(Stock!AP$1,'Stock UST'!$1:$1,0))))</f>
        <v/>
      </c>
      <c r="AQ41" s="9" t="str">
        <f ca="1">IF(IF(ISERROR(MATCH(Stock!AQ$1,'Stock UST'!$1:$1,0)),AP41,INDEX('Stock UST'!41:41,1,MATCH(Stock!AQ$1,'Stock UST'!$1:$1,0)))=0,"",IF(ISERROR(MATCH(Stock!AQ$1,'Stock UST'!$1:$1,0)),AP41,INDEX('Stock UST'!41:41,1,MATCH(Stock!AQ$1,'Stock UST'!$1:$1,0))))</f>
        <v/>
      </c>
      <c r="AR41" s="9" t="str">
        <f ca="1">IF(IF(ISERROR(MATCH(Stock!AR$1,'Stock UST'!$1:$1,0)),AQ41,INDEX('Stock UST'!41:41,1,MATCH(Stock!AR$1,'Stock UST'!$1:$1,0)))=0,"",IF(ISERROR(MATCH(Stock!AR$1,'Stock UST'!$1:$1,0)),AQ41,INDEX('Stock UST'!41:41,1,MATCH(Stock!AR$1,'Stock UST'!$1:$1,0))))</f>
        <v/>
      </c>
      <c r="AS41" s="9" t="str">
        <f ca="1">IF(IF(ISERROR(MATCH(Stock!AS$1,'Stock UST'!$1:$1,0)),AR41,INDEX('Stock UST'!41:41,1,MATCH(Stock!AS$1,'Stock UST'!$1:$1,0)))=0,"",IF(ISERROR(MATCH(Stock!AS$1,'Stock UST'!$1:$1,0)),AR41,INDEX('Stock UST'!41:41,1,MATCH(Stock!AS$1,'Stock UST'!$1:$1,0))))</f>
        <v/>
      </c>
      <c r="AT41" s="9" t="str">
        <f ca="1">IF(IF(ISERROR(MATCH(Stock!AT$1,'Stock UST'!$1:$1,0)),AS41,INDEX('Stock UST'!41:41,1,MATCH(Stock!AT$1,'Stock UST'!$1:$1,0)))=0,"",IF(ISERROR(MATCH(Stock!AT$1,'Stock UST'!$1:$1,0)),AS41,INDEX('Stock UST'!41:41,1,MATCH(Stock!AT$1,'Stock UST'!$1:$1,0))))</f>
        <v/>
      </c>
      <c r="AU41" s="9" t="str">
        <f ca="1">IF(IF(ISERROR(MATCH(Stock!AU$1,'Stock UST'!$1:$1,0)),AT41,INDEX('Stock UST'!41:41,1,MATCH(Stock!AU$1,'Stock UST'!$1:$1,0)))=0,"",IF(ISERROR(MATCH(Stock!AU$1,'Stock UST'!$1:$1,0)),AT41,INDEX('Stock UST'!41:41,1,MATCH(Stock!AU$1,'Stock UST'!$1:$1,0))))</f>
        <v/>
      </c>
      <c r="AV41" s="9" t="str">
        <f ca="1">IF(IF(ISERROR(MATCH(Stock!AV$1,'Stock UST'!$1:$1,0)),AU41,INDEX('Stock UST'!41:41,1,MATCH(Stock!AV$1,'Stock UST'!$1:$1,0)))=0,"",IF(ISERROR(MATCH(Stock!AV$1,'Stock UST'!$1:$1,0)),AU41,INDEX('Stock UST'!41:41,1,MATCH(Stock!AV$1,'Stock UST'!$1:$1,0))))</f>
        <v/>
      </c>
      <c r="AW41" s="9" t="str">
        <f ca="1">IF(IF(ISERROR(MATCH(Stock!AW$1,'Stock UST'!$1:$1,0)),AV41,INDEX('Stock UST'!41:41,1,MATCH(Stock!AW$1,'Stock UST'!$1:$1,0)))=0,"",IF(ISERROR(MATCH(Stock!AW$1,'Stock UST'!$1:$1,0)),AV41,INDEX('Stock UST'!41:41,1,MATCH(Stock!AW$1,'Stock UST'!$1:$1,0))))</f>
        <v/>
      </c>
      <c r="AX41" s="9" t="str">
        <f ca="1">IF(IF(ISERROR(MATCH(Stock!AX$1,'Stock UST'!$1:$1,0)),AW41,INDEX('Stock UST'!41:41,1,MATCH(Stock!AX$1,'Stock UST'!$1:$1,0)))=0,"",IF(ISERROR(MATCH(Stock!AX$1,'Stock UST'!$1:$1,0)),AW41,INDEX('Stock UST'!41:41,1,MATCH(Stock!AX$1,'Stock UST'!$1:$1,0))))</f>
        <v/>
      </c>
    </row>
    <row r="42" spans="1:50" x14ac:dyDescent="0.3">
      <c r="A42" s="9" t="str">
        <f>IF('Stock UST'!E42="","",'Stock UST'!E42)</f>
        <v/>
      </c>
      <c r="B42" s="9" t="str">
        <f>IF(IF(ISERROR(MATCH(Stock!B$1,'Stock UST'!$1:$1,0)),A42,INDEX('Stock UST'!42:42,1,MATCH(Stock!B$1,'Stock UST'!$1:$1,0)))=0,"",IF(ISERROR(MATCH(Stock!B$1,'Stock UST'!$1:$1,0)),A42,INDEX('Stock UST'!42:42,1,MATCH(Stock!B$1,'Stock UST'!$1:$1,0))))</f>
        <v/>
      </c>
      <c r="C42" s="9" t="str">
        <f ca="1">IF(IF(ISERROR(MATCH(Stock!C$1,'Stock UST'!$1:$1,0)),B42,INDEX('Stock UST'!42:42,1,MATCH(Stock!C$1,'Stock UST'!$1:$1,0)))=0,"",IF(ISERROR(MATCH(Stock!C$1,'Stock UST'!$1:$1,0)),B42,INDEX('Stock UST'!42:42,1,MATCH(Stock!C$1,'Stock UST'!$1:$1,0))))</f>
        <v/>
      </c>
      <c r="D42" s="9" t="str">
        <f ca="1">IF(IF(ISERROR(MATCH(Stock!D$1,'Stock UST'!$1:$1,0)),C42,INDEX('Stock UST'!42:42,1,MATCH(Stock!D$1,'Stock UST'!$1:$1,0)))=0,"",IF(ISERROR(MATCH(Stock!D$1,'Stock UST'!$1:$1,0)),C42,INDEX('Stock UST'!42:42,1,MATCH(Stock!D$1,'Stock UST'!$1:$1,0))))</f>
        <v/>
      </c>
      <c r="E42" s="9" t="str">
        <f ca="1">IF(IF(ISERROR(MATCH(Stock!E$1,'Stock UST'!$1:$1,0)),D42,INDEX('Stock UST'!42:42,1,MATCH(Stock!E$1,'Stock UST'!$1:$1,0)))=0,"",IF(ISERROR(MATCH(Stock!E$1,'Stock UST'!$1:$1,0)),D42,INDEX('Stock UST'!42:42,1,MATCH(Stock!E$1,'Stock UST'!$1:$1,0))))</f>
        <v/>
      </c>
      <c r="F42" s="9" t="str">
        <f ca="1">IF(IF(ISERROR(MATCH(Stock!F$1,'Stock UST'!$1:$1,0)),E42,INDEX('Stock UST'!42:42,1,MATCH(Stock!F$1,'Stock UST'!$1:$1,0)))=0,"",IF(ISERROR(MATCH(Stock!F$1,'Stock UST'!$1:$1,0)),E42,INDEX('Stock UST'!42:42,1,MATCH(Stock!F$1,'Stock UST'!$1:$1,0))))</f>
        <v/>
      </c>
      <c r="G42" s="9" t="str">
        <f ca="1">IF(IF(ISERROR(MATCH(Stock!G$1,'Stock UST'!$1:$1,0)),F42,INDEX('Stock UST'!42:42,1,MATCH(Stock!G$1,'Stock UST'!$1:$1,0)))=0,"",IF(ISERROR(MATCH(Stock!G$1,'Stock UST'!$1:$1,0)),F42,INDEX('Stock UST'!42:42,1,MATCH(Stock!G$1,'Stock UST'!$1:$1,0))))</f>
        <v/>
      </c>
      <c r="H42" s="9" t="str">
        <f ca="1">IF(IF(ISERROR(MATCH(Stock!H$1,'Stock UST'!$1:$1,0)),G42,INDEX('Stock UST'!42:42,1,MATCH(Stock!H$1,'Stock UST'!$1:$1,0)))=0,"",IF(ISERROR(MATCH(Stock!H$1,'Stock UST'!$1:$1,0)),G42,INDEX('Stock UST'!42:42,1,MATCH(Stock!H$1,'Stock UST'!$1:$1,0))))</f>
        <v/>
      </c>
      <c r="I42" s="9" t="str">
        <f ca="1">IF(IF(ISERROR(MATCH(Stock!I$1,'Stock UST'!$1:$1,0)),H42,INDEX('Stock UST'!42:42,1,MATCH(Stock!I$1,'Stock UST'!$1:$1,0)))=0,"",IF(ISERROR(MATCH(Stock!I$1,'Stock UST'!$1:$1,0)),H42,INDEX('Stock UST'!42:42,1,MATCH(Stock!I$1,'Stock UST'!$1:$1,0))))</f>
        <v/>
      </c>
      <c r="J42" s="9" t="str">
        <f ca="1">IF(IF(ISERROR(MATCH(Stock!J$1,'Stock UST'!$1:$1,0)),I42,INDEX('Stock UST'!42:42,1,MATCH(Stock!J$1,'Stock UST'!$1:$1,0)))=0,"",IF(ISERROR(MATCH(Stock!J$1,'Stock UST'!$1:$1,0)),I42,INDEX('Stock UST'!42:42,1,MATCH(Stock!J$1,'Stock UST'!$1:$1,0))))</f>
        <v/>
      </c>
      <c r="K42" s="9" t="str">
        <f ca="1">IF(IF(ISERROR(MATCH(Stock!K$1,'Stock UST'!$1:$1,0)),J42,INDEX('Stock UST'!42:42,1,MATCH(Stock!K$1,'Stock UST'!$1:$1,0)))=0,"",IF(ISERROR(MATCH(Stock!K$1,'Stock UST'!$1:$1,0)),J42,INDEX('Stock UST'!42:42,1,MATCH(Stock!K$1,'Stock UST'!$1:$1,0))))</f>
        <v/>
      </c>
      <c r="L42" s="9" t="str">
        <f ca="1">IF(IF(ISERROR(MATCH(Stock!L$1,'Stock UST'!$1:$1,0)),K42,INDEX('Stock UST'!42:42,1,MATCH(Stock!L$1,'Stock UST'!$1:$1,0)))=0,"",IF(ISERROR(MATCH(Stock!L$1,'Stock UST'!$1:$1,0)),K42,INDEX('Stock UST'!42:42,1,MATCH(Stock!L$1,'Stock UST'!$1:$1,0))))</f>
        <v/>
      </c>
      <c r="M42" s="9" t="str">
        <f ca="1">IF(IF(ISERROR(MATCH(Stock!M$1,'Stock UST'!$1:$1,0)),L42,INDEX('Stock UST'!42:42,1,MATCH(Stock!M$1,'Stock UST'!$1:$1,0)))=0,"",IF(ISERROR(MATCH(Stock!M$1,'Stock UST'!$1:$1,0)),L42,INDEX('Stock UST'!42:42,1,MATCH(Stock!M$1,'Stock UST'!$1:$1,0))))</f>
        <v/>
      </c>
      <c r="N42" s="9" t="str">
        <f ca="1">IF(IF(ISERROR(MATCH(Stock!N$1,'Stock UST'!$1:$1,0)),M42,INDEX('Stock UST'!42:42,1,MATCH(Stock!N$1,'Stock UST'!$1:$1,0)))=0,"",IF(ISERROR(MATCH(Stock!N$1,'Stock UST'!$1:$1,0)),M42,INDEX('Stock UST'!42:42,1,MATCH(Stock!N$1,'Stock UST'!$1:$1,0))))</f>
        <v/>
      </c>
      <c r="O42" s="9" t="str">
        <f ca="1">IF(IF(ISERROR(MATCH(Stock!O$1,'Stock UST'!$1:$1,0)),N42,INDEX('Stock UST'!42:42,1,MATCH(Stock!O$1,'Stock UST'!$1:$1,0)))=0,"",IF(ISERROR(MATCH(Stock!O$1,'Stock UST'!$1:$1,0)),N42,INDEX('Stock UST'!42:42,1,MATCH(Stock!O$1,'Stock UST'!$1:$1,0))))</f>
        <v/>
      </c>
      <c r="P42" s="9" t="str">
        <f ca="1">IF(IF(ISERROR(MATCH(Stock!P$1,'Stock UST'!$1:$1,0)),O42,INDEX('Stock UST'!42:42,1,MATCH(Stock!P$1,'Stock UST'!$1:$1,0)))=0,"",IF(ISERROR(MATCH(Stock!P$1,'Stock UST'!$1:$1,0)),O42,INDEX('Stock UST'!42:42,1,MATCH(Stock!P$1,'Stock UST'!$1:$1,0))))</f>
        <v/>
      </c>
      <c r="Q42" s="9" t="str">
        <f ca="1">IF(IF(ISERROR(MATCH(Stock!Q$1,'Stock UST'!$1:$1,0)),P42,INDEX('Stock UST'!42:42,1,MATCH(Stock!Q$1,'Stock UST'!$1:$1,0)))=0,"",IF(ISERROR(MATCH(Stock!Q$1,'Stock UST'!$1:$1,0)),P42,INDEX('Stock UST'!42:42,1,MATCH(Stock!Q$1,'Stock UST'!$1:$1,0))))</f>
        <v/>
      </c>
      <c r="R42" s="9" t="str">
        <f ca="1">IF(IF(ISERROR(MATCH(Stock!R$1,'Stock UST'!$1:$1,0)),Q42,INDEX('Stock UST'!42:42,1,MATCH(Stock!R$1,'Stock UST'!$1:$1,0)))=0,"",IF(ISERROR(MATCH(Stock!R$1,'Stock UST'!$1:$1,0)),Q42,INDEX('Stock UST'!42:42,1,MATCH(Stock!R$1,'Stock UST'!$1:$1,0))))</f>
        <v/>
      </c>
      <c r="S42" s="9" t="str">
        <f ca="1">IF(IF(ISERROR(MATCH(Stock!S$1,'Stock UST'!$1:$1,0)),R42,INDEX('Stock UST'!42:42,1,MATCH(Stock!S$1,'Stock UST'!$1:$1,0)))=0,"",IF(ISERROR(MATCH(Stock!S$1,'Stock UST'!$1:$1,0)),R42,INDEX('Stock UST'!42:42,1,MATCH(Stock!S$1,'Stock UST'!$1:$1,0))))</f>
        <v/>
      </c>
      <c r="T42" s="9" t="str">
        <f ca="1">IF(IF(ISERROR(MATCH(Stock!T$1,'Stock UST'!$1:$1,0)),S42,INDEX('Stock UST'!42:42,1,MATCH(Stock!T$1,'Stock UST'!$1:$1,0)))=0,"",IF(ISERROR(MATCH(Stock!T$1,'Stock UST'!$1:$1,0)),S42,INDEX('Stock UST'!42:42,1,MATCH(Stock!T$1,'Stock UST'!$1:$1,0))))</f>
        <v/>
      </c>
      <c r="U42" s="9" t="str">
        <f ca="1">IF(IF(ISERROR(MATCH(Stock!U$1,'Stock UST'!$1:$1,0)),T42,INDEX('Stock UST'!42:42,1,MATCH(Stock!U$1,'Stock UST'!$1:$1,0)))=0,"",IF(ISERROR(MATCH(Stock!U$1,'Stock UST'!$1:$1,0)),T42,INDEX('Stock UST'!42:42,1,MATCH(Stock!U$1,'Stock UST'!$1:$1,0))))</f>
        <v/>
      </c>
      <c r="V42" s="9" t="str">
        <f ca="1">IF(IF(ISERROR(MATCH(Stock!V$1,'Stock UST'!$1:$1,0)),U42,INDEX('Stock UST'!42:42,1,MATCH(Stock!V$1,'Stock UST'!$1:$1,0)))=0,"",IF(ISERROR(MATCH(Stock!V$1,'Stock UST'!$1:$1,0)),U42,INDEX('Stock UST'!42:42,1,MATCH(Stock!V$1,'Stock UST'!$1:$1,0))))</f>
        <v/>
      </c>
      <c r="W42" s="9" t="str">
        <f ca="1">IF(IF(ISERROR(MATCH(Stock!W$1,'Stock UST'!$1:$1,0)),V42,INDEX('Stock UST'!42:42,1,MATCH(Stock!W$1,'Stock UST'!$1:$1,0)))=0,"",IF(ISERROR(MATCH(Stock!W$1,'Stock UST'!$1:$1,0)),V42,INDEX('Stock UST'!42:42,1,MATCH(Stock!W$1,'Stock UST'!$1:$1,0))))</f>
        <v/>
      </c>
      <c r="X42" s="9" t="str">
        <f ca="1">IF(IF(ISERROR(MATCH(Stock!X$1,'Stock UST'!$1:$1,0)),W42,INDEX('Stock UST'!42:42,1,MATCH(Stock!X$1,'Stock UST'!$1:$1,0)))=0,"",IF(ISERROR(MATCH(Stock!X$1,'Stock UST'!$1:$1,0)),W42,INDEX('Stock UST'!42:42,1,MATCH(Stock!X$1,'Stock UST'!$1:$1,0))))</f>
        <v/>
      </c>
      <c r="Y42" s="9" t="str">
        <f ca="1">IF(IF(ISERROR(MATCH(Stock!Y$1,'Stock UST'!$1:$1,0)),X42,INDEX('Stock UST'!42:42,1,MATCH(Stock!Y$1,'Stock UST'!$1:$1,0)))=0,"",IF(ISERROR(MATCH(Stock!Y$1,'Stock UST'!$1:$1,0)),X42,INDEX('Stock UST'!42:42,1,MATCH(Stock!Y$1,'Stock UST'!$1:$1,0))))</f>
        <v/>
      </c>
      <c r="Z42" s="9" t="str">
        <f ca="1">IF(IF(ISERROR(MATCH(Stock!Z$1,'Stock UST'!$1:$1,0)),Y42,INDEX('Stock UST'!42:42,1,MATCH(Stock!Z$1,'Stock UST'!$1:$1,0)))=0,"",IF(ISERROR(MATCH(Stock!Z$1,'Stock UST'!$1:$1,0)),Y42,INDEX('Stock UST'!42:42,1,MATCH(Stock!Z$1,'Stock UST'!$1:$1,0))))</f>
        <v/>
      </c>
      <c r="AA42" s="9" t="str">
        <f ca="1">IF(IF(ISERROR(MATCH(Stock!AA$1,'Stock UST'!$1:$1,0)),Z42,INDEX('Stock UST'!42:42,1,MATCH(Stock!AA$1,'Stock UST'!$1:$1,0)))=0,"",IF(ISERROR(MATCH(Stock!AA$1,'Stock UST'!$1:$1,0)),Z42,INDEX('Stock UST'!42:42,1,MATCH(Stock!AA$1,'Stock UST'!$1:$1,0))))</f>
        <v/>
      </c>
      <c r="AB42" s="9" t="str">
        <f ca="1">IF(IF(ISERROR(MATCH(Stock!AB$1,'Stock UST'!$1:$1,0)),AA42,INDEX('Stock UST'!42:42,1,MATCH(Stock!AB$1,'Stock UST'!$1:$1,0)))=0,"",IF(ISERROR(MATCH(Stock!AB$1,'Stock UST'!$1:$1,0)),AA42,INDEX('Stock UST'!42:42,1,MATCH(Stock!AB$1,'Stock UST'!$1:$1,0))))</f>
        <v/>
      </c>
      <c r="AC42" s="9" t="str">
        <f ca="1">IF(IF(ISERROR(MATCH(Stock!AC$1,'Stock UST'!$1:$1,0)),AB42,INDEX('Stock UST'!42:42,1,MATCH(Stock!AC$1,'Stock UST'!$1:$1,0)))=0,"",IF(ISERROR(MATCH(Stock!AC$1,'Stock UST'!$1:$1,0)),AB42,INDEX('Stock UST'!42:42,1,MATCH(Stock!AC$1,'Stock UST'!$1:$1,0))))</f>
        <v/>
      </c>
      <c r="AD42" s="9" t="str">
        <f ca="1">IF(IF(ISERROR(MATCH(Stock!AD$1,'Stock UST'!$1:$1,0)),AC42,INDEX('Stock UST'!42:42,1,MATCH(Stock!AD$1,'Stock UST'!$1:$1,0)))=0,"",IF(ISERROR(MATCH(Stock!AD$1,'Stock UST'!$1:$1,0)),AC42,INDEX('Stock UST'!42:42,1,MATCH(Stock!AD$1,'Stock UST'!$1:$1,0))))</f>
        <v/>
      </c>
      <c r="AE42" s="9" t="str">
        <f ca="1">IF(IF(ISERROR(MATCH(Stock!AE$1,'Stock UST'!$1:$1,0)),AD42,INDEX('Stock UST'!42:42,1,MATCH(Stock!AE$1,'Stock UST'!$1:$1,0)))=0,"",IF(ISERROR(MATCH(Stock!AE$1,'Stock UST'!$1:$1,0)),AD42,INDEX('Stock UST'!42:42,1,MATCH(Stock!AE$1,'Stock UST'!$1:$1,0))))</f>
        <v/>
      </c>
      <c r="AF42" s="9" t="str">
        <f ca="1">IF(IF(ISERROR(MATCH(Stock!AF$1,'Stock UST'!$1:$1,0)),AE42,INDEX('Stock UST'!42:42,1,MATCH(Stock!AF$1,'Stock UST'!$1:$1,0)))=0,"",IF(ISERROR(MATCH(Stock!AF$1,'Stock UST'!$1:$1,0)),AE42,INDEX('Stock UST'!42:42,1,MATCH(Stock!AF$1,'Stock UST'!$1:$1,0))))</f>
        <v/>
      </c>
      <c r="AG42" s="9" t="str">
        <f ca="1">IF(IF(ISERROR(MATCH(Stock!AG$1,'Stock UST'!$1:$1,0)),AF42,INDEX('Stock UST'!42:42,1,MATCH(Stock!AG$1,'Stock UST'!$1:$1,0)))=0,"",IF(ISERROR(MATCH(Stock!AG$1,'Stock UST'!$1:$1,0)),AF42,INDEX('Stock UST'!42:42,1,MATCH(Stock!AG$1,'Stock UST'!$1:$1,0))))</f>
        <v/>
      </c>
      <c r="AH42" s="9" t="str">
        <f ca="1">IF(IF(ISERROR(MATCH(Stock!AH$1,'Stock UST'!$1:$1,0)),AG42,INDEX('Stock UST'!42:42,1,MATCH(Stock!AH$1,'Stock UST'!$1:$1,0)))=0,"",IF(ISERROR(MATCH(Stock!AH$1,'Stock UST'!$1:$1,0)),AG42,INDEX('Stock UST'!42:42,1,MATCH(Stock!AH$1,'Stock UST'!$1:$1,0))))</f>
        <v/>
      </c>
      <c r="AI42" s="9" t="str">
        <f ca="1">IF(IF(ISERROR(MATCH(Stock!AI$1,'Stock UST'!$1:$1,0)),AH42,INDEX('Stock UST'!42:42,1,MATCH(Stock!AI$1,'Stock UST'!$1:$1,0)))=0,"",IF(ISERROR(MATCH(Stock!AI$1,'Stock UST'!$1:$1,0)),AH42,INDEX('Stock UST'!42:42,1,MATCH(Stock!AI$1,'Stock UST'!$1:$1,0))))</f>
        <v/>
      </c>
      <c r="AJ42" s="9" t="str">
        <f ca="1">IF(IF(ISERROR(MATCH(Stock!AJ$1,'Stock UST'!$1:$1,0)),AI42,INDEX('Stock UST'!42:42,1,MATCH(Stock!AJ$1,'Stock UST'!$1:$1,0)))=0,"",IF(ISERROR(MATCH(Stock!AJ$1,'Stock UST'!$1:$1,0)),AI42,INDEX('Stock UST'!42:42,1,MATCH(Stock!AJ$1,'Stock UST'!$1:$1,0))))</f>
        <v/>
      </c>
      <c r="AK42" s="9" t="str">
        <f ca="1">IF(IF(ISERROR(MATCH(Stock!AK$1,'Stock UST'!$1:$1,0)),AJ42,INDEX('Stock UST'!42:42,1,MATCH(Stock!AK$1,'Stock UST'!$1:$1,0)))=0,"",IF(ISERROR(MATCH(Stock!AK$1,'Stock UST'!$1:$1,0)),AJ42,INDEX('Stock UST'!42:42,1,MATCH(Stock!AK$1,'Stock UST'!$1:$1,0))))</f>
        <v/>
      </c>
      <c r="AL42" s="9" t="str">
        <f ca="1">IF(IF(ISERROR(MATCH(Stock!AL$1,'Stock UST'!$1:$1,0)),AK42,INDEX('Stock UST'!42:42,1,MATCH(Stock!AL$1,'Stock UST'!$1:$1,0)))=0,"",IF(ISERROR(MATCH(Stock!AL$1,'Stock UST'!$1:$1,0)),AK42,INDEX('Stock UST'!42:42,1,MATCH(Stock!AL$1,'Stock UST'!$1:$1,0))))</f>
        <v/>
      </c>
      <c r="AM42" s="9" t="str">
        <f ca="1">IF(IF(ISERROR(MATCH(Stock!AM$1,'Stock UST'!$1:$1,0)),AL42,INDEX('Stock UST'!42:42,1,MATCH(Stock!AM$1,'Stock UST'!$1:$1,0)))=0,"",IF(ISERROR(MATCH(Stock!AM$1,'Stock UST'!$1:$1,0)),AL42,INDEX('Stock UST'!42:42,1,MATCH(Stock!AM$1,'Stock UST'!$1:$1,0))))</f>
        <v/>
      </c>
      <c r="AN42" s="9" t="str">
        <f ca="1">IF(IF(ISERROR(MATCH(Stock!AN$1,'Stock UST'!$1:$1,0)),AM42,INDEX('Stock UST'!42:42,1,MATCH(Stock!AN$1,'Stock UST'!$1:$1,0)))=0,"",IF(ISERROR(MATCH(Stock!AN$1,'Stock UST'!$1:$1,0)),AM42,INDEX('Stock UST'!42:42,1,MATCH(Stock!AN$1,'Stock UST'!$1:$1,0))))</f>
        <v/>
      </c>
      <c r="AO42" s="9" t="str">
        <f ca="1">IF(IF(ISERROR(MATCH(Stock!AO$1,'Stock UST'!$1:$1,0)),AN42,INDEX('Stock UST'!42:42,1,MATCH(Stock!AO$1,'Stock UST'!$1:$1,0)))=0,"",IF(ISERROR(MATCH(Stock!AO$1,'Stock UST'!$1:$1,0)),AN42,INDEX('Stock UST'!42:42,1,MATCH(Stock!AO$1,'Stock UST'!$1:$1,0))))</f>
        <v/>
      </c>
      <c r="AP42" s="9" t="str">
        <f ca="1">IF(IF(ISERROR(MATCH(Stock!AP$1,'Stock UST'!$1:$1,0)),AO42,INDEX('Stock UST'!42:42,1,MATCH(Stock!AP$1,'Stock UST'!$1:$1,0)))=0,"",IF(ISERROR(MATCH(Stock!AP$1,'Stock UST'!$1:$1,0)),AO42,INDEX('Stock UST'!42:42,1,MATCH(Stock!AP$1,'Stock UST'!$1:$1,0))))</f>
        <v/>
      </c>
      <c r="AQ42" s="9" t="str">
        <f ca="1">IF(IF(ISERROR(MATCH(Stock!AQ$1,'Stock UST'!$1:$1,0)),AP42,INDEX('Stock UST'!42:42,1,MATCH(Stock!AQ$1,'Stock UST'!$1:$1,0)))=0,"",IF(ISERROR(MATCH(Stock!AQ$1,'Stock UST'!$1:$1,0)),AP42,INDEX('Stock UST'!42:42,1,MATCH(Stock!AQ$1,'Stock UST'!$1:$1,0))))</f>
        <v/>
      </c>
      <c r="AR42" s="9" t="str">
        <f ca="1">IF(IF(ISERROR(MATCH(Stock!AR$1,'Stock UST'!$1:$1,0)),AQ42,INDEX('Stock UST'!42:42,1,MATCH(Stock!AR$1,'Stock UST'!$1:$1,0)))=0,"",IF(ISERROR(MATCH(Stock!AR$1,'Stock UST'!$1:$1,0)),AQ42,INDEX('Stock UST'!42:42,1,MATCH(Stock!AR$1,'Stock UST'!$1:$1,0))))</f>
        <v/>
      </c>
      <c r="AS42" s="9" t="str">
        <f ca="1">IF(IF(ISERROR(MATCH(Stock!AS$1,'Stock UST'!$1:$1,0)),AR42,INDEX('Stock UST'!42:42,1,MATCH(Stock!AS$1,'Stock UST'!$1:$1,0)))=0,"",IF(ISERROR(MATCH(Stock!AS$1,'Stock UST'!$1:$1,0)),AR42,INDEX('Stock UST'!42:42,1,MATCH(Stock!AS$1,'Stock UST'!$1:$1,0))))</f>
        <v/>
      </c>
      <c r="AT42" s="9" t="str">
        <f ca="1">IF(IF(ISERROR(MATCH(Stock!AT$1,'Stock UST'!$1:$1,0)),AS42,INDEX('Stock UST'!42:42,1,MATCH(Stock!AT$1,'Stock UST'!$1:$1,0)))=0,"",IF(ISERROR(MATCH(Stock!AT$1,'Stock UST'!$1:$1,0)),AS42,INDEX('Stock UST'!42:42,1,MATCH(Stock!AT$1,'Stock UST'!$1:$1,0))))</f>
        <v/>
      </c>
      <c r="AU42" s="9" t="str">
        <f ca="1">IF(IF(ISERROR(MATCH(Stock!AU$1,'Stock UST'!$1:$1,0)),AT42,INDEX('Stock UST'!42:42,1,MATCH(Stock!AU$1,'Stock UST'!$1:$1,0)))=0,"",IF(ISERROR(MATCH(Stock!AU$1,'Stock UST'!$1:$1,0)),AT42,INDEX('Stock UST'!42:42,1,MATCH(Stock!AU$1,'Stock UST'!$1:$1,0))))</f>
        <v/>
      </c>
      <c r="AV42" s="9" t="str">
        <f ca="1">IF(IF(ISERROR(MATCH(Stock!AV$1,'Stock UST'!$1:$1,0)),AU42,INDEX('Stock UST'!42:42,1,MATCH(Stock!AV$1,'Stock UST'!$1:$1,0)))=0,"",IF(ISERROR(MATCH(Stock!AV$1,'Stock UST'!$1:$1,0)),AU42,INDEX('Stock UST'!42:42,1,MATCH(Stock!AV$1,'Stock UST'!$1:$1,0))))</f>
        <v/>
      </c>
      <c r="AW42" s="9" t="str">
        <f ca="1">IF(IF(ISERROR(MATCH(Stock!AW$1,'Stock UST'!$1:$1,0)),AV42,INDEX('Stock UST'!42:42,1,MATCH(Stock!AW$1,'Stock UST'!$1:$1,0)))=0,"",IF(ISERROR(MATCH(Stock!AW$1,'Stock UST'!$1:$1,0)),AV42,INDEX('Stock UST'!42:42,1,MATCH(Stock!AW$1,'Stock UST'!$1:$1,0))))</f>
        <v/>
      </c>
      <c r="AX42" s="9" t="str">
        <f ca="1">IF(IF(ISERROR(MATCH(Stock!AX$1,'Stock UST'!$1:$1,0)),AW42,INDEX('Stock UST'!42:42,1,MATCH(Stock!AX$1,'Stock UST'!$1:$1,0)))=0,"",IF(ISERROR(MATCH(Stock!AX$1,'Stock UST'!$1:$1,0)),AW42,INDEX('Stock UST'!42:42,1,MATCH(Stock!AX$1,'Stock UST'!$1:$1,0))))</f>
        <v/>
      </c>
    </row>
    <row r="43" spans="1:50" x14ac:dyDescent="0.3">
      <c r="A43" s="9" t="str">
        <f>IF('Stock UST'!E43="","",'Stock UST'!E43)</f>
        <v/>
      </c>
      <c r="B43" s="9" t="str">
        <f>IF(IF(ISERROR(MATCH(Stock!B$1,'Stock UST'!$1:$1,0)),A43,INDEX('Stock UST'!43:43,1,MATCH(Stock!B$1,'Stock UST'!$1:$1,0)))=0,"",IF(ISERROR(MATCH(Stock!B$1,'Stock UST'!$1:$1,0)),A43,INDEX('Stock UST'!43:43,1,MATCH(Stock!B$1,'Stock UST'!$1:$1,0))))</f>
        <v/>
      </c>
      <c r="C43" s="9" t="str">
        <f ca="1">IF(IF(ISERROR(MATCH(Stock!C$1,'Stock UST'!$1:$1,0)),B43,INDEX('Stock UST'!43:43,1,MATCH(Stock!C$1,'Stock UST'!$1:$1,0)))=0,"",IF(ISERROR(MATCH(Stock!C$1,'Stock UST'!$1:$1,0)),B43,INDEX('Stock UST'!43:43,1,MATCH(Stock!C$1,'Stock UST'!$1:$1,0))))</f>
        <v/>
      </c>
      <c r="D43" s="9" t="str">
        <f ca="1">IF(IF(ISERROR(MATCH(Stock!D$1,'Stock UST'!$1:$1,0)),C43,INDEX('Stock UST'!43:43,1,MATCH(Stock!D$1,'Stock UST'!$1:$1,0)))=0,"",IF(ISERROR(MATCH(Stock!D$1,'Stock UST'!$1:$1,0)),C43,INDEX('Stock UST'!43:43,1,MATCH(Stock!D$1,'Stock UST'!$1:$1,0))))</f>
        <v/>
      </c>
      <c r="E43" s="9" t="str">
        <f ca="1">IF(IF(ISERROR(MATCH(Stock!E$1,'Stock UST'!$1:$1,0)),D43,INDEX('Stock UST'!43:43,1,MATCH(Stock!E$1,'Stock UST'!$1:$1,0)))=0,"",IF(ISERROR(MATCH(Stock!E$1,'Stock UST'!$1:$1,0)),D43,INDEX('Stock UST'!43:43,1,MATCH(Stock!E$1,'Stock UST'!$1:$1,0))))</f>
        <v/>
      </c>
      <c r="F43" s="9" t="str">
        <f ca="1">IF(IF(ISERROR(MATCH(Stock!F$1,'Stock UST'!$1:$1,0)),E43,INDEX('Stock UST'!43:43,1,MATCH(Stock!F$1,'Stock UST'!$1:$1,0)))=0,"",IF(ISERROR(MATCH(Stock!F$1,'Stock UST'!$1:$1,0)),E43,INDEX('Stock UST'!43:43,1,MATCH(Stock!F$1,'Stock UST'!$1:$1,0))))</f>
        <v/>
      </c>
      <c r="G43" s="9" t="str">
        <f ca="1">IF(IF(ISERROR(MATCH(Stock!G$1,'Stock UST'!$1:$1,0)),F43,INDEX('Stock UST'!43:43,1,MATCH(Stock!G$1,'Stock UST'!$1:$1,0)))=0,"",IF(ISERROR(MATCH(Stock!G$1,'Stock UST'!$1:$1,0)),F43,INDEX('Stock UST'!43:43,1,MATCH(Stock!G$1,'Stock UST'!$1:$1,0))))</f>
        <v/>
      </c>
      <c r="H43" s="9" t="str">
        <f ca="1">IF(IF(ISERROR(MATCH(Stock!H$1,'Stock UST'!$1:$1,0)),G43,INDEX('Stock UST'!43:43,1,MATCH(Stock!H$1,'Stock UST'!$1:$1,0)))=0,"",IF(ISERROR(MATCH(Stock!H$1,'Stock UST'!$1:$1,0)),G43,INDEX('Stock UST'!43:43,1,MATCH(Stock!H$1,'Stock UST'!$1:$1,0))))</f>
        <v/>
      </c>
      <c r="I43" s="9" t="str">
        <f ca="1">IF(IF(ISERROR(MATCH(Stock!I$1,'Stock UST'!$1:$1,0)),H43,INDEX('Stock UST'!43:43,1,MATCH(Stock!I$1,'Stock UST'!$1:$1,0)))=0,"",IF(ISERROR(MATCH(Stock!I$1,'Stock UST'!$1:$1,0)),H43,INDEX('Stock UST'!43:43,1,MATCH(Stock!I$1,'Stock UST'!$1:$1,0))))</f>
        <v/>
      </c>
      <c r="J43" s="9" t="str">
        <f ca="1">IF(IF(ISERROR(MATCH(Stock!J$1,'Stock UST'!$1:$1,0)),I43,INDEX('Stock UST'!43:43,1,MATCH(Stock!J$1,'Stock UST'!$1:$1,0)))=0,"",IF(ISERROR(MATCH(Stock!J$1,'Stock UST'!$1:$1,0)),I43,INDEX('Stock UST'!43:43,1,MATCH(Stock!J$1,'Stock UST'!$1:$1,0))))</f>
        <v/>
      </c>
      <c r="K43" s="9" t="str">
        <f ca="1">IF(IF(ISERROR(MATCH(Stock!K$1,'Stock UST'!$1:$1,0)),J43,INDEX('Stock UST'!43:43,1,MATCH(Stock!K$1,'Stock UST'!$1:$1,0)))=0,"",IF(ISERROR(MATCH(Stock!K$1,'Stock UST'!$1:$1,0)),J43,INDEX('Stock UST'!43:43,1,MATCH(Stock!K$1,'Stock UST'!$1:$1,0))))</f>
        <v/>
      </c>
      <c r="L43" s="9" t="str">
        <f ca="1">IF(IF(ISERROR(MATCH(Stock!L$1,'Stock UST'!$1:$1,0)),K43,INDEX('Stock UST'!43:43,1,MATCH(Stock!L$1,'Stock UST'!$1:$1,0)))=0,"",IF(ISERROR(MATCH(Stock!L$1,'Stock UST'!$1:$1,0)),K43,INDEX('Stock UST'!43:43,1,MATCH(Stock!L$1,'Stock UST'!$1:$1,0))))</f>
        <v/>
      </c>
      <c r="M43" s="9" t="str">
        <f ca="1">IF(IF(ISERROR(MATCH(Stock!M$1,'Stock UST'!$1:$1,0)),L43,INDEX('Stock UST'!43:43,1,MATCH(Stock!M$1,'Stock UST'!$1:$1,0)))=0,"",IF(ISERROR(MATCH(Stock!M$1,'Stock UST'!$1:$1,0)),L43,INDEX('Stock UST'!43:43,1,MATCH(Stock!M$1,'Stock UST'!$1:$1,0))))</f>
        <v/>
      </c>
      <c r="N43" s="9" t="str">
        <f ca="1">IF(IF(ISERROR(MATCH(Stock!N$1,'Stock UST'!$1:$1,0)),M43,INDEX('Stock UST'!43:43,1,MATCH(Stock!N$1,'Stock UST'!$1:$1,0)))=0,"",IF(ISERROR(MATCH(Stock!N$1,'Stock UST'!$1:$1,0)),M43,INDEX('Stock UST'!43:43,1,MATCH(Stock!N$1,'Stock UST'!$1:$1,0))))</f>
        <v/>
      </c>
      <c r="O43" s="9" t="str">
        <f ca="1">IF(IF(ISERROR(MATCH(Stock!O$1,'Stock UST'!$1:$1,0)),N43,INDEX('Stock UST'!43:43,1,MATCH(Stock!O$1,'Stock UST'!$1:$1,0)))=0,"",IF(ISERROR(MATCH(Stock!O$1,'Stock UST'!$1:$1,0)),N43,INDEX('Stock UST'!43:43,1,MATCH(Stock!O$1,'Stock UST'!$1:$1,0))))</f>
        <v/>
      </c>
      <c r="P43" s="9" t="str">
        <f ca="1">IF(IF(ISERROR(MATCH(Stock!P$1,'Stock UST'!$1:$1,0)),O43,INDEX('Stock UST'!43:43,1,MATCH(Stock!P$1,'Stock UST'!$1:$1,0)))=0,"",IF(ISERROR(MATCH(Stock!P$1,'Stock UST'!$1:$1,0)),O43,INDEX('Stock UST'!43:43,1,MATCH(Stock!P$1,'Stock UST'!$1:$1,0))))</f>
        <v/>
      </c>
      <c r="Q43" s="9" t="str">
        <f ca="1">IF(IF(ISERROR(MATCH(Stock!Q$1,'Stock UST'!$1:$1,0)),P43,INDEX('Stock UST'!43:43,1,MATCH(Stock!Q$1,'Stock UST'!$1:$1,0)))=0,"",IF(ISERROR(MATCH(Stock!Q$1,'Stock UST'!$1:$1,0)),P43,INDEX('Stock UST'!43:43,1,MATCH(Stock!Q$1,'Stock UST'!$1:$1,0))))</f>
        <v/>
      </c>
      <c r="R43" s="9" t="str">
        <f ca="1">IF(IF(ISERROR(MATCH(Stock!R$1,'Stock UST'!$1:$1,0)),Q43,INDEX('Stock UST'!43:43,1,MATCH(Stock!R$1,'Stock UST'!$1:$1,0)))=0,"",IF(ISERROR(MATCH(Stock!R$1,'Stock UST'!$1:$1,0)),Q43,INDEX('Stock UST'!43:43,1,MATCH(Stock!R$1,'Stock UST'!$1:$1,0))))</f>
        <v/>
      </c>
      <c r="S43" s="9" t="str">
        <f ca="1">IF(IF(ISERROR(MATCH(Stock!S$1,'Stock UST'!$1:$1,0)),R43,INDEX('Stock UST'!43:43,1,MATCH(Stock!S$1,'Stock UST'!$1:$1,0)))=0,"",IF(ISERROR(MATCH(Stock!S$1,'Stock UST'!$1:$1,0)),R43,INDEX('Stock UST'!43:43,1,MATCH(Stock!S$1,'Stock UST'!$1:$1,0))))</f>
        <v/>
      </c>
      <c r="T43" s="9" t="str">
        <f ca="1">IF(IF(ISERROR(MATCH(Stock!T$1,'Stock UST'!$1:$1,0)),S43,INDEX('Stock UST'!43:43,1,MATCH(Stock!T$1,'Stock UST'!$1:$1,0)))=0,"",IF(ISERROR(MATCH(Stock!T$1,'Stock UST'!$1:$1,0)),S43,INDEX('Stock UST'!43:43,1,MATCH(Stock!T$1,'Stock UST'!$1:$1,0))))</f>
        <v/>
      </c>
      <c r="U43" s="9" t="str">
        <f ca="1">IF(IF(ISERROR(MATCH(Stock!U$1,'Stock UST'!$1:$1,0)),T43,INDEX('Stock UST'!43:43,1,MATCH(Stock!U$1,'Stock UST'!$1:$1,0)))=0,"",IF(ISERROR(MATCH(Stock!U$1,'Stock UST'!$1:$1,0)),T43,INDEX('Stock UST'!43:43,1,MATCH(Stock!U$1,'Stock UST'!$1:$1,0))))</f>
        <v/>
      </c>
      <c r="V43" s="9" t="str">
        <f ca="1">IF(IF(ISERROR(MATCH(Stock!V$1,'Stock UST'!$1:$1,0)),U43,INDEX('Stock UST'!43:43,1,MATCH(Stock!V$1,'Stock UST'!$1:$1,0)))=0,"",IF(ISERROR(MATCH(Stock!V$1,'Stock UST'!$1:$1,0)),U43,INDEX('Stock UST'!43:43,1,MATCH(Stock!V$1,'Stock UST'!$1:$1,0))))</f>
        <v/>
      </c>
      <c r="W43" s="9" t="str">
        <f ca="1">IF(IF(ISERROR(MATCH(Stock!W$1,'Stock UST'!$1:$1,0)),V43,INDEX('Stock UST'!43:43,1,MATCH(Stock!W$1,'Stock UST'!$1:$1,0)))=0,"",IF(ISERROR(MATCH(Stock!W$1,'Stock UST'!$1:$1,0)),V43,INDEX('Stock UST'!43:43,1,MATCH(Stock!W$1,'Stock UST'!$1:$1,0))))</f>
        <v/>
      </c>
      <c r="X43" s="9" t="str">
        <f ca="1">IF(IF(ISERROR(MATCH(Stock!X$1,'Stock UST'!$1:$1,0)),W43,INDEX('Stock UST'!43:43,1,MATCH(Stock!X$1,'Stock UST'!$1:$1,0)))=0,"",IF(ISERROR(MATCH(Stock!X$1,'Stock UST'!$1:$1,0)),W43,INDEX('Stock UST'!43:43,1,MATCH(Stock!X$1,'Stock UST'!$1:$1,0))))</f>
        <v/>
      </c>
      <c r="Y43" s="9" t="str">
        <f ca="1">IF(IF(ISERROR(MATCH(Stock!Y$1,'Stock UST'!$1:$1,0)),X43,INDEX('Stock UST'!43:43,1,MATCH(Stock!Y$1,'Stock UST'!$1:$1,0)))=0,"",IF(ISERROR(MATCH(Stock!Y$1,'Stock UST'!$1:$1,0)),X43,INDEX('Stock UST'!43:43,1,MATCH(Stock!Y$1,'Stock UST'!$1:$1,0))))</f>
        <v/>
      </c>
      <c r="Z43" s="9" t="str">
        <f ca="1">IF(IF(ISERROR(MATCH(Stock!Z$1,'Stock UST'!$1:$1,0)),Y43,INDEX('Stock UST'!43:43,1,MATCH(Stock!Z$1,'Stock UST'!$1:$1,0)))=0,"",IF(ISERROR(MATCH(Stock!Z$1,'Stock UST'!$1:$1,0)),Y43,INDEX('Stock UST'!43:43,1,MATCH(Stock!Z$1,'Stock UST'!$1:$1,0))))</f>
        <v/>
      </c>
      <c r="AA43" s="9" t="str">
        <f ca="1">IF(IF(ISERROR(MATCH(Stock!AA$1,'Stock UST'!$1:$1,0)),Z43,INDEX('Stock UST'!43:43,1,MATCH(Stock!AA$1,'Stock UST'!$1:$1,0)))=0,"",IF(ISERROR(MATCH(Stock!AA$1,'Stock UST'!$1:$1,0)),Z43,INDEX('Stock UST'!43:43,1,MATCH(Stock!AA$1,'Stock UST'!$1:$1,0))))</f>
        <v/>
      </c>
      <c r="AB43" s="9" t="str">
        <f ca="1">IF(IF(ISERROR(MATCH(Stock!AB$1,'Stock UST'!$1:$1,0)),AA43,INDEX('Stock UST'!43:43,1,MATCH(Stock!AB$1,'Stock UST'!$1:$1,0)))=0,"",IF(ISERROR(MATCH(Stock!AB$1,'Stock UST'!$1:$1,0)),AA43,INDEX('Stock UST'!43:43,1,MATCH(Stock!AB$1,'Stock UST'!$1:$1,0))))</f>
        <v/>
      </c>
      <c r="AC43" s="9" t="str">
        <f ca="1">IF(IF(ISERROR(MATCH(Stock!AC$1,'Stock UST'!$1:$1,0)),AB43,INDEX('Stock UST'!43:43,1,MATCH(Stock!AC$1,'Stock UST'!$1:$1,0)))=0,"",IF(ISERROR(MATCH(Stock!AC$1,'Stock UST'!$1:$1,0)),AB43,INDEX('Stock UST'!43:43,1,MATCH(Stock!AC$1,'Stock UST'!$1:$1,0))))</f>
        <v/>
      </c>
      <c r="AD43" s="9" t="str">
        <f ca="1">IF(IF(ISERROR(MATCH(Stock!AD$1,'Stock UST'!$1:$1,0)),AC43,INDEX('Stock UST'!43:43,1,MATCH(Stock!AD$1,'Stock UST'!$1:$1,0)))=0,"",IF(ISERROR(MATCH(Stock!AD$1,'Stock UST'!$1:$1,0)),AC43,INDEX('Stock UST'!43:43,1,MATCH(Stock!AD$1,'Stock UST'!$1:$1,0))))</f>
        <v/>
      </c>
      <c r="AE43" s="9" t="str">
        <f ca="1">IF(IF(ISERROR(MATCH(Stock!AE$1,'Stock UST'!$1:$1,0)),AD43,INDEX('Stock UST'!43:43,1,MATCH(Stock!AE$1,'Stock UST'!$1:$1,0)))=0,"",IF(ISERROR(MATCH(Stock!AE$1,'Stock UST'!$1:$1,0)),AD43,INDEX('Stock UST'!43:43,1,MATCH(Stock!AE$1,'Stock UST'!$1:$1,0))))</f>
        <v/>
      </c>
      <c r="AF43" s="9" t="str">
        <f ca="1">IF(IF(ISERROR(MATCH(Stock!AF$1,'Stock UST'!$1:$1,0)),AE43,INDEX('Stock UST'!43:43,1,MATCH(Stock!AF$1,'Stock UST'!$1:$1,0)))=0,"",IF(ISERROR(MATCH(Stock!AF$1,'Stock UST'!$1:$1,0)),AE43,INDEX('Stock UST'!43:43,1,MATCH(Stock!AF$1,'Stock UST'!$1:$1,0))))</f>
        <v/>
      </c>
      <c r="AG43" s="9" t="str">
        <f ca="1">IF(IF(ISERROR(MATCH(Stock!AG$1,'Stock UST'!$1:$1,0)),AF43,INDEX('Stock UST'!43:43,1,MATCH(Stock!AG$1,'Stock UST'!$1:$1,0)))=0,"",IF(ISERROR(MATCH(Stock!AG$1,'Stock UST'!$1:$1,0)),AF43,INDEX('Stock UST'!43:43,1,MATCH(Stock!AG$1,'Stock UST'!$1:$1,0))))</f>
        <v/>
      </c>
      <c r="AH43" s="9" t="str">
        <f ca="1">IF(IF(ISERROR(MATCH(Stock!AH$1,'Stock UST'!$1:$1,0)),AG43,INDEX('Stock UST'!43:43,1,MATCH(Stock!AH$1,'Stock UST'!$1:$1,0)))=0,"",IF(ISERROR(MATCH(Stock!AH$1,'Stock UST'!$1:$1,0)),AG43,INDEX('Stock UST'!43:43,1,MATCH(Stock!AH$1,'Stock UST'!$1:$1,0))))</f>
        <v/>
      </c>
      <c r="AI43" s="9" t="str">
        <f ca="1">IF(IF(ISERROR(MATCH(Stock!AI$1,'Stock UST'!$1:$1,0)),AH43,INDEX('Stock UST'!43:43,1,MATCH(Stock!AI$1,'Stock UST'!$1:$1,0)))=0,"",IF(ISERROR(MATCH(Stock!AI$1,'Stock UST'!$1:$1,0)),AH43,INDEX('Stock UST'!43:43,1,MATCH(Stock!AI$1,'Stock UST'!$1:$1,0))))</f>
        <v/>
      </c>
      <c r="AJ43" s="9" t="str">
        <f ca="1">IF(IF(ISERROR(MATCH(Stock!AJ$1,'Stock UST'!$1:$1,0)),AI43,INDEX('Stock UST'!43:43,1,MATCH(Stock!AJ$1,'Stock UST'!$1:$1,0)))=0,"",IF(ISERROR(MATCH(Stock!AJ$1,'Stock UST'!$1:$1,0)),AI43,INDEX('Stock UST'!43:43,1,MATCH(Stock!AJ$1,'Stock UST'!$1:$1,0))))</f>
        <v/>
      </c>
      <c r="AK43" s="9" t="str">
        <f ca="1">IF(IF(ISERROR(MATCH(Stock!AK$1,'Stock UST'!$1:$1,0)),AJ43,INDEX('Stock UST'!43:43,1,MATCH(Stock!AK$1,'Stock UST'!$1:$1,0)))=0,"",IF(ISERROR(MATCH(Stock!AK$1,'Stock UST'!$1:$1,0)),AJ43,INDEX('Stock UST'!43:43,1,MATCH(Stock!AK$1,'Stock UST'!$1:$1,0))))</f>
        <v/>
      </c>
      <c r="AL43" s="9" t="str">
        <f ca="1">IF(IF(ISERROR(MATCH(Stock!AL$1,'Stock UST'!$1:$1,0)),AK43,INDEX('Stock UST'!43:43,1,MATCH(Stock!AL$1,'Stock UST'!$1:$1,0)))=0,"",IF(ISERROR(MATCH(Stock!AL$1,'Stock UST'!$1:$1,0)),AK43,INDEX('Stock UST'!43:43,1,MATCH(Stock!AL$1,'Stock UST'!$1:$1,0))))</f>
        <v/>
      </c>
      <c r="AM43" s="9" t="str">
        <f ca="1">IF(IF(ISERROR(MATCH(Stock!AM$1,'Stock UST'!$1:$1,0)),AL43,INDEX('Stock UST'!43:43,1,MATCH(Stock!AM$1,'Stock UST'!$1:$1,0)))=0,"",IF(ISERROR(MATCH(Stock!AM$1,'Stock UST'!$1:$1,0)),AL43,INDEX('Stock UST'!43:43,1,MATCH(Stock!AM$1,'Stock UST'!$1:$1,0))))</f>
        <v/>
      </c>
      <c r="AN43" s="9" t="str">
        <f ca="1">IF(IF(ISERROR(MATCH(Stock!AN$1,'Stock UST'!$1:$1,0)),AM43,INDEX('Stock UST'!43:43,1,MATCH(Stock!AN$1,'Stock UST'!$1:$1,0)))=0,"",IF(ISERROR(MATCH(Stock!AN$1,'Stock UST'!$1:$1,0)),AM43,INDEX('Stock UST'!43:43,1,MATCH(Stock!AN$1,'Stock UST'!$1:$1,0))))</f>
        <v/>
      </c>
      <c r="AO43" s="9" t="str">
        <f ca="1">IF(IF(ISERROR(MATCH(Stock!AO$1,'Stock UST'!$1:$1,0)),AN43,INDEX('Stock UST'!43:43,1,MATCH(Stock!AO$1,'Stock UST'!$1:$1,0)))=0,"",IF(ISERROR(MATCH(Stock!AO$1,'Stock UST'!$1:$1,0)),AN43,INDEX('Stock UST'!43:43,1,MATCH(Stock!AO$1,'Stock UST'!$1:$1,0))))</f>
        <v/>
      </c>
      <c r="AP43" s="9" t="str">
        <f ca="1">IF(IF(ISERROR(MATCH(Stock!AP$1,'Stock UST'!$1:$1,0)),AO43,INDEX('Stock UST'!43:43,1,MATCH(Stock!AP$1,'Stock UST'!$1:$1,0)))=0,"",IF(ISERROR(MATCH(Stock!AP$1,'Stock UST'!$1:$1,0)),AO43,INDEX('Stock UST'!43:43,1,MATCH(Stock!AP$1,'Stock UST'!$1:$1,0))))</f>
        <v/>
      </c>
      <c r="AQ43" s="9" t="str">
        <f ca="1">IF(IF(ISERROR(MATCH(Stock!AQ$1,'Stock UST'!$1:$1,0)),AP43,INDEX('Stock UST'!43:43,1,MATCH(Stock!AQ$1,'Stock UST'!$1:$1,0)))=0,"",IF(ISERROR(MATCH(Stock!AQ$1,'Stock UST'!$1:$1,0)),AP43,INDEX('Stock UST'!43:43,1,MATCH(Stock!AQ$1,'Stock UST'!$1:$1,0))))</f>
        <v/>
      </c>
      <c r="AR43" s="9" t="str">
        <f ca="1">IF(IF(ISERROR(MATCH(Stock!AR$1,'Stock UST'!$1:$1,0)),AQ43,INDEX('Stock UST'!43:43,1,MATCH(Stock!AR$1,'Stock UST'!$1:$1,0)))=0,"",IF(ISERROR(MATCH(Stock!AR$1,'Stock UST'!$1:$1,0)),AQ43,INDEX('Stock UST'!43:43,1,MATCH(Stock!AR$1,'Stock UST'!$1:$1,0))))</f>
        <v/>
      </c>
      <c r="AS43" s="9" t="str">
        <f ca="1">IF(IF(ISERROR(MATCH(Stock!AS$1,'Stock UST'!$1:$1,0)),AR43,INDEX('Stock UST'!43:43,1,MATCH(Stock!AS$1,'Stock UST'!$1:$1,0)))=0,"",IF(ISERROR(MATCH(Stock!AS$1,'Stock UST'!$1:$1,0)),AR43,INDEX('Stock UST'!43:43,1,MATCH(Stock!AS$1,'Stock UST'!$1:$1,0))))</f>
        <v/>
      </c>
      <c r="AT43" s="9" t="str">
        <f ca="1">IF(IF(ISERROR(MATCH(Stock!AT$1,'Stock UST'!$1:$1,0)),AS43,INDEX('Stock UST'!43:43,1,MATCH(Stock!AT$1,'Stock UST'!$1:$1,0)))=0,"",IF(ISERROR(MATCH(Stock!AT$1,'Stock UST'!$1:$1,0)),AS43,INDEX('Stock UST'!43:43,1,MATCH(Stock!AT$1,'Stock UST'!$1:$1,0))))</f>
        <v/>
      </c>
      <c r="AU43" s="9" t="str">
        <f ca="1">IF(IF(ISERROR(MATCH(Stock!AU$1,'Stock UST'!$1:$1,0)),AT43,INDEX('Stock UST'!43:43,1,MATCH(Stock!AU$1,'Stock UST'!$1:$1,0)))=0,"",IF(ISERROR(MATCH(Stock!AU$1,'Stock UST'!$1:$1,0)),AT43,INDEX('Stock UST'!43:43,1,MATCH(Stock!AU$1,'Stock UST'!$1:$1,0))))</f>
        <v/>
      </c>
      <c r="AV43" s="9" t="str">
        <f ca="1">IF(IF(ISERROR(MATCH(Stock!AV$1,'Stock UST'!$1:$1,0)),AU43,INDEX('Stock UST'!43:43,1,MATCH(Stock!AV$1,'Stock UST'!$1:$1,0)))=0,"",IF(ISERROR(MATCH(Stock!AV$1,'Stock UST'!$1:$1,0)),AU43,INDEX('Stock UST'!43:43,1,MATCH(Stock!AV$1,'Stock UST'!$1:$1,0))))</f>
        <v/>
      </c>
      <c r="AW43" s="9" t="str">
        <f ca="1">IF(IF(ISERROR(MATCH(Stock!AW$1,'Stock UST'!$1:$1,0)),AV43,INDEX('Stock UST'!43:43,1,MATCH(Stock!AW$1,'Stock UST'!$1:$1,0)))=0,"",IF(ISERROR(MATCH(Stock!AW$1,'Stock UST'!$1:$1,0)),AV43,INDEX('Stock UST'!43:43,1,MATCH(Stock!AW$1,'Stock UST'!$1:$1,0))))</f>
        <v/>
      </c>
      <c r="AX43" s="9" t="str">
        <f ca="1">IF(IF(ISERROR(MATCH(Stock!AX$1,'Stock UST'!$1:$1,0)),AW43,INDEX('Stock UST'!43:43,1,MATCH(Stock!AX$1,'Stock UST'!$1:$1,0)))=0,"",IF(ISERROR(MATCH(Stock!AX$1,'Stock UST'!$1:$1,0)),AW43,INDEX('Stock UST'!43:43,1,MATCH(Stock!AX$1,'Stock UST'!$1:$1,0))))</f>
        <v/>
      </c>
    </row>
    <row r="44" spans="1:50" x14ac:dyDescent="0.3">
      <c r="A44" s="9" t="str">
        <f>IF('Stock UST'!E44="","",'Stock UST'!E44)</f>
        <v/>
      </c>
      <c r="B44" s="9" t="str">
        <f>IF(IF(ISERROR(MATCH(Stock!B$1,'Stock UST'!$1:$1,0)),A44,INDEX('Stock UST'!44:44,1,MATCH(Stock!B$1,'Stock UST'!$1:$1,0)))=0,"",IF(ISERROR(MATCH(Stock!B$1,'Stock UST'!$1:$1,0)),A44,INDEX('Stock UST'!44:44,1,MATCH(Stock!B$1,'Stock UST'!$1:$1,0))))</f>
        <v/>
      </c>
      <c r="C44" s="9" t="str">
        <f ca="1">IF(IF(ISERROR(MATCH(Stock!C$1,'Stock UST'!$1:$1,0)),B44,INDEX('Stock UST'!44:44,1,MATCH(Stock!C$1,'Stock UST'!$1:$1,0)))=0,"",IF(ISERROR(MATCH(Stock!C$1,'Stock UST'!$1:$1,0)),B44,INDEX('Stock UST'!44:44,1,MATCH(Stock!C$1,'Stock UST'!$1:$1,0))))</f>
        <v/>
      </c>
      <c r="D44" s="9" t="str">
        <f ca="1">IF(IF(ISERROR(MATCH(Stock!D$1,'Stock UST'!$1:$1,0)),C44,INDEX('Stock UST'!44:44,1,MATCH(Stock!D$1,'Stock UST'!$1:$1,0)))=0,"",IF(ISERROR(MATCH(Stock!D$1,'Stock UST'!$1:$1,0)),C44,INDEX('Stock UST'!44:44,1,MATCH(Stock!D$1,'Stock UST'!$1:$1,0))))</f>
        <v/>
      </c>
      <c r="E44" s="9" t="str">
        <f ca="1">IF(IF(ISERROR(MATCH(Stock!E$1,'Stock UST'!$1:$1,0)),D44,INDEX('Stock UST'!44:44,1,MATCH(Stock!E$1,'Stock UST'!$1:$1,0)))=0,"",IF(ISERROR(MATCH(Stock!E$1,'Stock UST'!$1:$1,0)),D44,INDEX('Stock UST'!44:44,1,MATCH(Stock!E$1,'Stock UST'!$1:$1,0))))</f>
        <v/>
      </c>
      <c r="F44" s="9" t="str">
        <f ca="1">IF(IF(ISERROR(MATCH(Stock!F$1,'Stock UST'!$1:$1,0)),E44,INDEX('Stock UST'!44:44,1,MATCH(Stock!F$1,'Stock UST'!$1:$1,0)))=0,"",IF(ISERROR(MATCH(Stock!F$1,'Stock UST'!$1:$1,0)),E44,INDEX('Stock UST'!44:44,1,MATCH(Stock!F$1,'Stock UST'!$1:$1,0))))</f>
        <v/>
      </c>
      <c r="G44" s="9" t="str">
        <f ca="1">IF(IF(ISERROR(MATCH(Stock!G$1,'Stock UST'!$1:$1,0)),F44,INDEX('Stock UST'!44:44,1,MATCH(Stock!G$1,'Stock UST'!$1:$1,0)))=0,"",IF(ISERROR(MATCH(Stock!G$1,'Stock UST'!$1:$1,0)),F44,INDEX('Stock UST'!44:44,1,MATCH(Stock!G$1,'Stock UST'!$1:$1,0))))</f>
        <v/>
      </c>
      <c r="H44" s="9" t="str">
        <f ca="1">IF(IF(ISERROR(MATCH(Stock!H$1,'Stock UST'!$1:$1,0)),G44,INDEX('Stock UST'!44:44,1,MATCH(Stock!H$1,'Stock UST'!$1:$1,0)))=0,"",IF(ISERROR(MATCH(Stock!H$1,'Stock UST'!$1:$1,0)),G44,INDEX('Stock UST'!44:44,1,MATCH(Stock!H$1,'Stock UST'!$1:$1,0))))</f>
        <v/>
      </c>
      <c r="I44" s="9" t="str">
        <f ca="1">IF(IF(ISERROR(MATCH(Stock!I$1,'Stock UST'!$1:$1,0)),H44,INDEX('Stock UST'!44:44,1,MATCH(Stock!I$1,'Stock UST'!$1:$1,0)))=0,"",IF(ISERROR(MATCH(Stock!I$1,'Stock UST'!$1:$1,0)),H44,INDEX('Stock UST'!44:44,1,MATCH(Stock!I$1,'Stock UST'!$1:$1,0))))</f>
        <v/>
      </c>
      <c r="J44" s="9" t="str">
        <f ca="1">IF(IF(ISERROR(MATCH(Stock!J$1,'Stock UST'!$1:$1,0)),I44,INDEX('Stock UST'!44:44,1,MATCH(Stock!J$1,'Stock UST'!$1:$1,0)))=0,"",IF(ISERROR(MATCH(Stock!J$1,'Stock UST'!$1:$1,0)),I44,INDEX('Stock UST'!44:44,1,MATCH(Stock!J$1,'Stock UST'!$1:$1,0))))</f>
        <v/>
      </c>
      <c r="K44" s="9" t="str">
        <f ca="1">IF(IF(ISERROR(MATCH(Stock!K$1,'Stock UST'!$1:$1,0)),J44,INDEX('Stock UST'!44:44,1,MATCH(Stock!K$1,'Stock UST'!$1:$1,0)))=0,"",IF(ISERROR(MATCH(Stock!K$1,'Stock UST'!$1:$1,0)),J44,INDEX('Stock UST'!44:44,1,MATCH(Stock!K$1,'Stock UST'!$1:$1,0))))</f>
        <v/>
      </c>
      <c r="L44" s="9" t="str">
        <f ca="1">IF(IF(ISERROR(MATCH(Stock!L$1,'Stock UST'!$1:$1,0)),K44,INDEX('Stock UST'!44:44,1,MATCH(Stock!L$1,'Stock UST'!$1:$1,0)))=0,"",IF(ISERROR(MATCH(Stock!L$1,'Stock UST'!$1:$1,0)),K44,INDEX('Stock UST'!44:44,1,MATCH(Stock!L$1,'Stock UST'!$1:$1,0))))</f>
        <v/>
      </c>
      <c r="M44" s="9" t="str">
        <f ca="1">IF(IF(ISERROR(MATCH(Stock!M$1,'Stock UST'!$1:$1,0)),L44,INDEX('Stock UST'!44:44,1,MATCH(Stock!M$1,'Stock UST'!$1:$1,0)))=0,"",IF(ISERROR(MATCH(Stock!M$1,'Stock UST'!$1:$1,0)),L44,INDEX('Stock UST'!44:44,1,MATCH(Stock!M$1,'Stock UST'!$1:$1,0))))</f>
        <v/>
      </c>
      <c r="N44" s="9" t="str">
        <f ca="1">IF(IF(ISERROR(MATCH(Stock!N$1,'Stock UST'!$1:$1,0)),M44,INDEX('Stock UST'!44:44,1,MATCH(Stock!N$1,'Stock UST'!$1:$1,0)))=0,"",IF(ISERROR(MATCH(Stock!N$1,'Stock UST'!$1:$1,0)),M44,INDEX('Stock UST'!44:44,1,MATCH(Stock!N$1,'Stock UST'!$1:$1,0))))</f>
        <v/>
      </c>
      <c r="O44" s="9" t="str">
        <f ca="1">IF(IF(ISERROR(MATCH(Stock!O$1,'Stock UST'!$1:$1,0)),N44,INDEX('Stock UST'!44:44,1,MATCH(Stock!O$1,'Stock UST'!$1:$1,0)))=0,"",IF(ISERROR(MATCH(Stock!O$1,'Stock UST'!$1:$1,0)),N44,INDEX('Stock UST'!44:44,1,MATCH(Stock!O$1,'Stock UST'!$1:$1,0))))</f>
        <v/>
      </c>
      <c r="P44" s="9" t="str">
        <f ca="1">IF(IF(ISERROR(MATCH(Stock!P$1,'Stock UST'!$1:$1,0)),O44,INDEX('Stock UST'!44:44,1,MATCH(Stock!P$1,'Stock UST'!$1:$1,0)))=0,"",IF(ISERROR(MATCH(Stock!P$1,'Stock UST'!$1:$1,0)),O44,INDEX('Stock UST'!44:44,1,MATCH(Stock!P$1,'Stock UST'!$1:$1,0))))</f>
        <v/>
      </c>
      <c r="Q44" s="9" t="str">
        <f ca="1">IF(IF(ISERROR(MATCH(Stock!Q$1,'Stock UST'!$1:$1,0)),P44,INDEX('Stock UST'!44:44,1,MATCH(Stock!Q$1,'Stock UST'!$1:$1,0)))=0,"",IF(ISERROR(MATCH(Stock!Q$1,'Stock UST'!$1:$1,0)),P44,INDEX('Stock UST'!44:44,1,MATCH(Stock!Q$1,'Stock UST'!$1:$1,0))))</f>
        <v/>
      </c>
      <c r="R44" s="9" t="str">
        <f ca="1">IF(IF(ISERROR(MATCH(Stock!R$1,'Stock UST'!$1:$1,0)),Q44,INDEX('Stock UST'!44:44,1,MATCH(Stock!R$1,'Stock UST'!$1:$1,0)))=0,"",IF(ISERROR(MATCH(Stock!R$1,'Stock UST'!$1:$1,0)),Q44,INDEX('Stock UST'!44:44,1,MATCH(Stock!R$1,'Stock UST'!$1:$1,0))))</f>
        <v/>
      </c>
      <c r="S44" s="9" t="str">
        <f ca="1">IF(IF(ISERROR(MATCH(Stock!S$1,'Stock UST'!$1:$1,0)),R44,INDEX('Stock UST'!44:44,1,MATCH(Stock!S$1,'Stock UST'!$1:$1,0)))=0,"",IF(ISERROR(MATCH(Stock!S$1,'Stock UST'!$1:$1,0)),R44,INDEX('Stock UST'!44:44,1,MATCH(Stock!S$1,'Stock UST'!$1:$1,0))))</f>
        <v/>
      </c>
      <c r="T44" s="9" t="str">
        <f ca="1">IF(IF(ISERROR(MATCH(Stock!T$1,'Stock UST'!$1:$1,0)),S44,INDEX('Stock UST'!44:44,1,MATCH(Stock!T$1,'Stock UST'!$1:$1,0)))=0,"",IF(ISERROR(MATCH(Stock!T$1,'Stock UST'!$1:$1,0)),S44,INDEX('Stock UST'!44:44,1,MATCH(Stock!T$1,'Stock UST'!$1:$1,0))))</f>
        <v/>
      </c>
      <c r="U44" s="9" t="str">
        <f ca="1">IF(IF(ISERROR(MATCH(Stock!U$1,'Stock UST'!$1:$1,0)),T44,INDEX('Stock UST'!44:44,1,MATCH(Stock!U$1,'Stock UST'!$1:$1,0)))=0,"",IF(ISERROR(MATCH(Stock!U$1,'Stock UST'!$1:$1,0)),T44,INDEX('Stock UST'!44:44,1,MATCH(Stock!U$1,'Stock UST'!$1:$1,0))))</f>
        <v/>
      </c>
      <c r="V44" s="9" t="str">
        <f ca="1">IF(IF(ISERROR(MATCH(Stock!V$1,'Stock UST'!$1:$1,0)),U44,INDEX('Stock UST'!44:44,1,MATCH(Stock!V$1,'Stock UST'!$1:$1,0)))=0,"",IF(ISERROR(MATCH(Stock!V$1,'Stock UST'!$1:$1,0)),U44,INDEX('Stock UST'!44:44,1,MATCH(Stock!V$1,'Stock UST'!$1:$1,0))))</f>
        <v/>
      </c>
      <c r="W44" s="9" t="str">
        <f ca="1">IF(IF(ISERROR(MATCH(Stock!W$1,'Stock UST'!$1:$1,0)),V44,INDEX('Stock UST'!44:44,1,MATCH(Stock!W$1,'Stock UST'!$1:$1,0)))=0,"",IF(ISERROR(MATCH(Stock!W$1,'Stock UST'!$1:$1,0)),V44,INDEX('Stock UST'!44:44,1,MATCH(Stock!W$1,'Stock UST'!$1:$1,0))))</f>
        <v/>
      </c>
      <c r="X44" s="9" t="str">
        <f ca="1">IF(IF(ISERROR(MATCH(Stock!X$1,'Stock UST'!$1:$1,0)),W44,INDEX('Stock UST'!44:44,1,MATCH(Stock!X$1,'Stock UST'!$1:$1,0)))=0,"",IF(ISERROR(MATCH(Stock!X$1,'Stock UST'!$1:$1,0)),W44,INDEX('Stock UST'!44:44,1,MATCH(Stock!X$1,'Stock UST'!$1:$1,0))))</f>
        <v/>
      </c>
      <c r="Y44" s="9" t="str">
        <f ca="1">IF(IF(ISERROR(MATCH(Stock!Y$1,'Stock UST'!$1:$1,0)),X44,INDEX('Stock UST'!44:44,1,MATCH(Stock!Y$1,'Stock UST'!$1:$1,0)))=0,"",IF(ISERROR(MATCH(Stock!Y$1,'Stock UST'!$1:$1,0)),X44,INDEX('Stock UST'!44:44,1,MATCH(Stock!Y$1,'Stock UST'!$1:$1,0))))</f>
        <v/>
      </c>
      <c r="Z44" s="9" t="str">
        <f ca="1">IF(IF(ISERROR(MATCH(Stock!Z$1,'Stock UST'!$1:$1,0)),Y44,INDEX('Stock UST'!44:44,1,MATCH(Stock!Z$1,'Stock UST'!$1:$1,0)))=0,"",IF(ISERROR(MATCH(Stock!Z$1,'Stock UST'!$1:$1,0)),Y44,INDEX('Stock UST'!44:44,1,MATCH(Stock!Z$1,'Stock UST'!$1:$1,0))))</f>
        <v/>
      </c>
      <c r="AA44" s="9" t="str">
        <f ca="1">IF(IF(ISERROR(MATCH(Stock!AA$1,'Stock UST'!$1:$1,0)),Z44,INDEX('Stock UST'!44:44,1,MATCH(Stock!AA$1,'Stock UST'!$1:$1,0)))=0,"",IF(ISERROR(MATCH(Stock!AA$1,'Stock UST'!$1:$1,0)),Z44,INDEX('Stock UST'!44:44,1,MATCH(Stock!AA$1,'Stock UST'!$1:$1,0))))</f>
        <v/>
      </c>
      <c r="AB44" s="9" t="str">
        <f ca="1">IF(IF(ISERROR(MATCH(Stock!AB$1,'Stock UST'!$1:$1,0)),AA44,INDEX('Stock UST'!44:44,1,MATCH(Stock!AB$1,'Stock UST'!$1:$1,0)))=0,"",IF(ISERROR(MATCH(Stock!AB$1,'Stock UST'!$1:$1,0)),AA44,INDEX('Stock UST'!44:44,1,MATCH(Stock!AB$1,'Stock UST'!$1:$1,0))))</f>
        <v/>
      </c>
      <c r="AC44" s="9" t="str">
        <f ca="1">IF(IF(ISERROR(MATCH(Stock!AC$1,'Stock UST'!$1:$1,0)),AB44,INDEX('Stock UST'!44:44,1,MATCH(Stock!AC$1,'Stock UST'!$1:$1,0)))=0,"",IF(ISERROR(MATCH(Stock!AC$1,'Stock UST'!$1:$1,0)),AB44,INDEX('Stock UST'!44:44,1,MATCH(Stock!AC$1,'Stock UST'!$1:$1,0))))</f>
        <v/>
      </c>
      <c r="AD44" s="9" t="str">
        <f ca="1">IF(IF(ISERROR(MATCH(Stock!AD$1,'Stock UST'!$1:$1,0)),AC44,INDEX('Stock UST'!44:44,1,MATCH(Stock!AD$1,'Stock UST'!$1:$1,0)))=0,"",IF(ISERROR(MATCH(Stock!AD$1,'Stock UST'!$1:$1,0)),AC44,INDEX('Stock UST'!44:44,1,MATCH(Stock!AD$1,'Stock UST'!$1:$1,0))))</f>
        <v/>
      </c>
      <c r="AE44" s="9" t="str">
        <f ca="1">IF(IF(ISERROR(MATCH(Stock!AE$1,'Stock UST'!$1:$1,0)),AD44,INDEX('Stock UST'!44:44,1,MATCH(Stock!AE$1,'Stock UST'!$1:$1,0)))=0,"",IF(ISERROR(MATCH(Stock!AE$1,'Stock UST'!$1:$1,0)),AD44,INDEX('Stock UST'!44:44,1,MATCH(Stock!AE$1,'Stock UST'!$1:$1,0))))</f>
        <v/>
      </c>
      <c r="AF44" s="9" t="str">
        <f ca="1">IF(IF(ISERROR(MATCH(Stock!AF$1,'Stock UST'!$1:$1,0)),AE44,INDEX('Stock UST'!44:44,1,MATCH(Stock!AF$1,'Stock UST'!$1:$1,0)))=0,"",IF(ISERROR(MATCH(Stock!AF$1,'Stock UST'!$1:$1,0)),AE44,INDEX('Stock UST'!44:44,1,MATCH(Stock!AF$1,'Stock UST'!$1:$1,0))))</f>
        <v/>
      </c>
      <c r="AG44" s="9" t="str">
        <f ca="1">IF(IF(ISERROR(MATCH(Stock!AG$1,'Stock UST'!$1:$1,0)),AF44,INDEX('Stock UST'!44:44,1,MATCH(Stock!AG$1,'Stock UST'!$1:$1,0)))=0,"",IF(ISERROR(MATCH(Stock!AG$1,'Stock UST'!$1:$1,0)),AF44,INDEX('Stock UST'!44:44,1,MATCH(Stock!AG$1,'Stock UST'!$1:$1,0))))</f>
        <v/>
      </c>
      <c r="AH44" s="9" t="str">
        <f ca="1">IF(IF(ISERROR(MATCH(Stock!AH$1,'Stock UST'!$1:$1,0)),AG44,INDEX('Stock UST'!44:44,1,MATCH(Stock!AH$1,'Stock UST'!$1:$1,0)))=0,"",IF(ISERROR(MATCH(Stock!AH$1,'Stock UST'!$1:$1,0)),AG44,INDEX('Stock UST'!44:44,1,MATCH(Stock!AH$1,'Stock UST'!$1:$1,0))))</f>
        <v/>
      </c>
      <c r="AI44" s="9" t="str">
        <f ca="1">IF(IF(ISERROR(MATCH(Stock!AI$1,'Stock UST'!$1:$1,0)),AH44,INDEX('Stock UST'!44:44,1,MATCH(Stock!AI$1,'Stock UST'!$1:$1,0)))=0,"",IF(ISERROR(MATCH(Stock!AI$1,'Stock UST'!$1:$1,0)),AH44,INDEX('Stock UST'!44:44,1,MATCH(Stock!AI$1,'Stock UST'!$1:$1,0))))</f>
        <v/>
      </c>
      <c r="AJ44" s="9" t="str">
        <f ca="1">IF(IF(ISERROR(MATCH(Stock!AJ$1,'Stock UST'!$1:$1,0)),AI44,INDEX('Stock UST'!44:44,1,MATCH(Stock!AJ$1,'Stock UST'!$1:$1,0)))=0,"",IF(ISERROR(MATCH(Stock!AJ$1,'Stock UST'!$1:$1,0)),AI44,INDEX('Stock UST'!44:44,1,MATCH(Stock!AJ$1,'Stock UST'!$1:$1,0))))</f>
        <v/>
      </c>
      <c r="AK44" s="9" t="str">
        <f ca="1">IF(IF(ISERROR(MATCH(Stock!AK$1,'Stock UST'!$1:$1,0)),AJ44,INDEX('Stock UST'!44:44,1,MATCH(Stock!AK$1,'Stock UST'!$1:$1,0)))=0,"",IF(ISERROR(MATCH(Stock!AK$1,'Stock UST'!$1:$1,0)),AJ44,INDEX('Stock UST'!44:44,1,MATCH(Stock!AK$1,'Stock UST'!$1:$1,0))))</f>
        <v/>
      </c>
      <c r="AL44" s="9" t="str">
        <f ca="1">IF(IF(ISERROR(MATCH(Stock!AL$1,'Stock UST'!$1:$1,0)),AK44,INDEX('Stock UST'!44:44,1,MATCH(Stock!AL$1,'Stock UST'!$1:$1,0)))=0,"",IF(ISERROR(MATCH(Stock!AL$1,'Stock UST'!$1:$1,0)),AK44,INDEX('Stock UST'!44:44,1,MATCH(Stock!AL$1,'Stock UST'!$1:$1,0))))</f>
        <v/>
      </c>
      <c r="AM44" s="9" t="str">
        <f ca="1">IF(IF(ISERROR(MATCH(Stock!AM$1,'Stock UST'!$1:$1,0)),AL44,INDEX('Stock UST'!44:44,1,MATCH(Stock!AM$1,'Stock UST'!$1:$1,0)))=0,"",IF(ISERROR(MATCH(Stock!AM$1,'Stock UST'!$1:$1,0)),AL44,INDEX('Stock UST'!44:44,1,MATCH(Stock!AM$1,'Stock UST'!$1:$1,0))))</f>
        <v/>
      </c>
      <c r="AN44" s="9" t="str">
        <f ca="1">IF(IF(ISERROR(MATCH(Stock!AN$1,'Stock UST'!$1:$1,0)),AM44,INDEX('Stock UST'!44:44,1,MATCH(Stock!AN$1,'Stock UST'!$1:$1,0)))=0,"",IF(ISERROR(MATCH(Stock!AN$1,'Stock UST'!$1:$1,0)),AM44,INDEX('Stock UST'!44:44,1,MATCH(Stock!AN$1,'Stock UST'!$1:$1,0))))</f>
        <v/>
      </c>
      <c r="AO44" s="9" t="str">
        <f ca="1">IF(IF(ISERROR(MATCH(Stock!AO$1,'Stock UST'!$1:$1,0)),AN44,INDEX('Stock UST'!44:44,1,MATCH(Stock!AO$1,'Stock UST'!$1:$1,0)))=0,"",IF(ISERROR(MATCH(Stock!AO$1,'Stock UST'!$1:$1,0)),AN44,INDEX('Stock UST'!44:44,1,MATCH(Stock!AO$1,'Stock UST'!$1:$1,0))))</f>
        <v/>
      </c>
      <c r="AP44" s="9" t="str">
        <f ca="1">IF(IF(ISERROR(MATCH(Stock!AP$1,'Stock UST'!$1:$1,0)),AO44,INDEX('Stock UST'!44:44,1,MATCH(Stock!AP$1,'Stock UST'!$1:$1,0)))=0,"",IF(ISERROR(MATCH(Stock!AP$1,'Stock UST'!$1:$1,0)),AO44,INDEX('Stock UST'!44:44,1,MATCH(Stock!AP$1,'Stock UST'!$1:$1,0))))</f>
        <v/>
      </c>
      <c r="AQ44" s="9" t="str">
        <f ca="1">IF(IF(ISERROR(MATCH(Stock!AQ$1,'Stock UST'!$1:$1,0)),AP44,INDEX('Stock UST'!44:44,1,MATCH(Stock!AQ$1,'Stock UST'!$1:$1,0)))=0,"",IF(ISERROR(MATCH(Stock!AQ$1,'Stock UST'!$1:$1,0)),AP44,INDEX('Stock UST'!44:44,1,MATCH(Stock!AQ$1,'Stock UST'!$1:$1,0))))</f>
        <v/>
      </c>
      <c r="AR44" s="9" t="str">
        <f ca="1">IF(IF(ISERROR(MATCH(Stock!AR$1,'Stock UST'!$1:$1,0)),AQ44,INDEX('Stock UST'!44:44,1,MATCH(Stock!AR$1,'Stock UST'!$1:$1,0)))=0,"",IF(ISERROR(MATCH(Stock!AR$1,'Stock UST'!$1:$1,0)),AQ44,INDEX('Stock UST'!44:44,1,MATCH(Stock!AR$1,'Stock UST'!$1:$1,0))))</f>
        <v/>
      </c>
      <c r="AS44" s="9" t="str">
        <f ca="1">IF(IF(ISERROR(MATCH(Stock!AS$1,'Stock UST'!$1:$1,0)),AR44,INDEX('Stock UST'!44:44,1,MATCH(Stock!AS$1,'Stock UST'!$1:$1,0)))=0,"",IF(ISERROR(MATCH(Stock!AS$1,'Stock UST'!$1:$1,0)),AR44,INDEX('Stock UST'!44:44,1,MATCH(Stock!AS$1,'Stock UST'!$1:$1,0))))</f>
        <v/>
      </c>
      <c r="AT44" s="9" t="str">
        <f ca="1">IF(IF(ISERROR(MATCH(Stock!AT$1,'Stock UST'!$1:$1,0)),AS44,INDEX('Stock UST'!44:44,1,MATCH(Stock!AT$1,'Stock UST'!$1:$1,0)))=0,"",IF(ISERROR(MATCH(Stock!AT$1,'Stock UST'!$1:$1,0)),AS44,INDEX('Stock UST'!44:44,1,MATCH(Stock!AT$1,'Stock UST'!$1:$1,0))))</f>
        <v/>
      </c>
      <c r="AU44" s="9" t="str">
        <f ca="1">IF(IF(ISERROR(MATCH(Stock!AU$1,'Stock UST'!$1:$1,0)),AT44,INDEX('Stock UST'!44:44,1,MATCH(Stock!AU$1,'Stock UST'!$1:$1,0)))=0,"",IF(ISERROR(MATCH(Stock!AU$1,'Stock UST'!$1:$1,0)),AT44,INDEX('Stock UST'!44:44,1,MATCH(Stock!AU$1,'Stock UST'!$1:$1,0))))</f>
        <v/>
      </c>
      <c r="AV44" s="9" t="str">
        <f ca="1">IF(IF(ISERROR(MATCH(Stock!AV$1,'Stock UST'!$1:$1,0)),AU44,INDEX('Stock UST'!44:44,1,MATCH(Stock!AV$1,'Stock UST'!$1:$1,0)))=0,"",IF(ISERROR(MATCH(Stock!AV$1,'Stock UST'!$1:$1,0)),AU44,INDEX('Stock UST'!44:44,1,MATCH(Stock!AV$1,'Stock UST'!$1:$1,0))))</f>
        <v/>
      </c>
      <c r="AW44" s="9" t="str">
        <f ca="1">IF(IF(ISERROR(MATCH(Stock!AW$1,'Stock UST'!$1:$1,0)),AV44,INDEX('Stock UST'!44:44,1,MATCH(Stock!AW$1,'Stock UST'!$1:$1,0)))=0,"",IF(ISERROR(MATCH(Stock!AW$1,'Stock UST'!$1:$1,0)),AV44,INDEX('Stock UST'!44:44,1,MATCH(Stock!AW$1,'Stock UST'!$1:$1,0))))</f>
        <v/>
      </c>
      <c r="AX44" s="9" t="str">
        <f ca="1">IF(IF(ISERROR(MATCH(Stock!AX$1,'Stock UST'!$1:$1,0)),AW44,INDEX('Stock UST'!44:44,1,MATCH(Stock!AX$1,'Stock UST'!$1:$1,0)))=0,"",IF(ISERROR(MATCH(Stock!AX$1,'Stock UST'!$1:$1,0)),AW44,INDEX('Stock UST'!44:44,1,MATCH(Stock!AX$1,'Stock UST'!$1:$1,0))))</f>
        <v/>
      </c>
    </row>
    <row r="45" spans="1:50" x14ac:dyDescent="0.3">
      <c r="A45" s="9" t="str">
        <f>IF('Stock UST'!E45="","",'Stock UST'!E45)</f>
        <v/>
      </c>
      <c r="B45" s="9" t="str">
        <f>IF(IF(ISERROR(MATCH(Stock!B$1,'Stock UST'!$1:$1,0)),A45,INDEX('Stock UST'!45:45,1,MATCH(Stock!B$1,'Stock UST'!$1:$1,0)))=0,"",IF(ISERROR(MATCH(Stock!B$1,'Stock UST'!$1:$1,0)),A45,INDEX('Stock UST'!45:45,1,MATCH(Stock!B$1,'Stock UST'!$1:$1,0))))</f>
        <v/>
      </c>
      <c r="C45" s="9" t="str">
        <f ca="1">IF(IF(ISERROR(MATCH(Stock!C$1,'Stock UST'!$1:$1,0)),B45,INDEX('Stock UST'!45:45,1,MATCH(Stock!C$1,'Stock UST'!$1:$1,0)))=0,"",IF(ISERROR(MATCH(Stock!C$1,'Stock UST'!$1:$1,0)),B45,INDEX('Stock UST'!45:45,1,MATCH(Stock!C$1,'Stock UST'!$1:$1,0))))</f>
        <v/>
      </c>
      <c r="D45" s="9" t="str">
        <f ca="1">IF(IF(ISERROR(MATCH(Stock!D$1,'Stock UST'!$1:$1,0)),C45,INDEX('Stock UST'!45:45,1,MATCH(Stock!D$1,'Stock UST'!$1:$1,0)))=0,"",IF(ISERROR(MATCH(Stock!D$1,'Stock UST'!$1:$1,0)),C45,INDEX('Stock UST'!45:45,1,MATCH(Stock!D$1,'Stock UST'!$1:$1,0))))</f>
        <v/>
      </c>
      <c r="E45" s="9" t="str">
        <f ca="1">IF(IF(ISERROR(MATCH(Stock!E$1,'Stock UST'!$1:$1,0)),D45,INDEX('Stock UST'!45:45,1,MATCH(Stock!E$1,'Stock UST'!$1:$1,0)))=0,"",IF(ISERROR(MATCH(Stock!E$1,'Stock UST'!$1:$1,0)),D45,INDEX('Stock UST'!45:45,1,MATCH(Stock!E$1,'Stock UST'!$1:$1,0))))</f>
        <v/>
      </c>
      <c r="F45" s="9" t="str">
        <f ca="1">IF(IF(ISERROR(MATCH(Stock!F$1,'Stock UST'!$1:$1,0)),E45,INDEX('Stock UST'!45:45,1,MATCH(Stock!F$1,'Stock UST'!$1:$1,0)))=0,"",IF(ISERROR(MATCH(Stock!F$1,'Stock UST'!$1:$1,0)),E45,INDEX('Stock UST'!45:45,1,MATCH(Stock!F$1,'Stock UST'!$1:$1,0))))</f>
        <v/>
      </c>
      <c r="G45" s="9" t="str">
        <f ca="1">IF(IF(ISERROR(MATCH(Stock!G$1,'Stock UST'!$1:$1,0)),F45,INDEX('Stock UST'!45:45,1,MATCH(Stock!G$1,'Stock UST'!$1:$1,0)))=0,"",IF(ISERROR(MATCH(Stock!G$1,'Stock UST'!$1:$1,0)),F45,INDEX('Stock UST'!45:45,1,MATCH(Stock!G$1,'Stock UST'!$1:$1,0))))</f>
        <v/>
      </c>
      <c r="H45" s="9" t="str">
        <f ca="1">IF(IF(ISERROR(MATCH(Stock!H$1,'Stock UST'!$1:$1,0)),G45,INDEX('Stock UST'!45:45,1,MATCH(Stock!H$1,'Stock UST'!$1:$1,0)))=0,"",IF(ISERROR(MATCH(Stock!H$1,'Stock UST'!$1:$1,0)),G45,INDEX('Stock UST'!45:45,1,MATCH(Stock!H$1,'Stock UST'!$1:$1,0))))</f>
        <v/>
      </c>
      <c r="I45" s="9" t="str">
        <f ca="1">IF(IF(ISERROR(MATCH(Stock!I$1,'Stock UST'!$1:$1,0)),H45,INDEX('Stock UST'!45:45,1,MATCH(Stock!I$1,'Stock UST'!$1:$1,0)))=0,"",IF(ISERROR(MATCH(Stock!I$1,'Stock UST'!$1:$1,0)),H45,INDEX('Stock UST'!45:45,1,MATCH(Stock!I$1,'Stock UST'!$1:$1,0))))</f>
        <v/>
      </c>
      <c r="J45" s="9" t="str">
        <f ca="1">IF(IF(ISERROR(MATCH(Stock!J$1,'Stock UST'!$1:$1,0)),I45,INDEX('Stock UST'!45:45,1,MATCH(Stock!J$1,'Stock UST'!$1:$1,0)))=0,"",IF(ISERROR(MATCH(Stock!J$1,'Stock UST'!$1:$1,0)),I45,INDEX('Stock UST'!45:45,1,MATCH(Stock!J$1,'Stock UST'!$1:$1,0))))</f>
        <v/>
      </c>
      <c r="K45" s="9" t="str">
        <f ca="1">IF(IF(ISERROR(MATCH(Stock!K$1,'Stock UST'!$1:$1,0)),J45,INDEX('Stock UST'!45:45,1,MATCH(Stock!K$1,'Stock UST'!$1:$1,0)))=0,"",IF(ISERROR(MATCH(Stock!K$1,'Stock UST'!$1:$1,0)),J45,INDEX('Stock UST'!45:45,1,MATCH(Stock!K$1,'Stock UST'!$1:$1,0))))</f>
        <v/>
      </c>
      <c r="L45" s="9" t="str">
        <f ca="1">IF(IF(ISERROR(MATCH(Stock!L$1,'Stock UST'!$1:$1,0)),K45,INDEX('Stock UST'!45:45,1,MATCH(Stock!L$1,'Stock UST'!$1:$1,0)))=0,"",IF(ISERROR(MATCH(Stock!L$1,'Stock UST'!$1:$1,0)),K45,INDEX('Stock UST'!45:45,1,MATCH(Stock!L$1,'Stock UST'!$1:$1,0))))</f>
        <v/>
      </c>
      <c r="M45" s="9" t="str">
        <f ca="1">IF(IF(ISERROR(MATCH(Stock!M$1,'Stock UST'!$1:$1,0)),L45,INDEX('Stock UST'!45:45,1,MATCH(Stock!M$1,'Stock UST'!$1:$1,0)))=0,"",IF(ISERROR(MATCH(Stock!M$1,'Stock UST'!$1:$1,0)),L45,INDEX('Stock UST'!45:45,1,MATCH(Stock!M$1,'Stock UST'!$1:$1,0))))</f>
        <v/>
      </c>
      <c r="N45" s="9" t="str">
        <f ca="1">IF(IF(ISERROR(MATCH(Stock!N$1,'Stock UST'!$1:$1,0)),M45,INDEX('Stock UST'!45:45,1,MATCH(Stock!N$1,'Stock UST'!$1:$1,0)))=0,"",IF(ISERROR(MATCH(Stock!N$1,'Stock UST'!$1:$1,0)),M45,INDEX('Stock UST'!45:45,1,MATCH(Stock!N$1,'Stock UST'!$1:$1,0))))</f>
        <v/>
      </c>
      <c r="O45" s="9" t="str">
        <f ca="1">IF(IF(ISERROR(MATCH(Stock!O$1,'Stock UST'!$1:$1,0)),N45,INDEX('Stock UST'!45:45,1,MATCH(Stock!O$1,'Stock UST'!$1:$1,0)))=0,"",IF(ISERROR(MATCH(Stock!O$1,'Stock UST'!$1:$1,0)),N45,INDEX('Stock UST'!45:45,1,MATCH(Stock!O$1,'Stock UST'!$1:$1,0))))</f>
        <v/>
      </c>
      <c r="P45" s="9" t="str">
        <f ca="1">IF(IF(ISERROR(MATCH(Stock!P$1,'Stock UST'!$1:$1,0)),O45,INDEX('Stock UST'!45:45,1,MATCH(Stock!P$1,'Stock UST'!$1:$1,0)))=0,"",IF(ISERROR(MATCH(Stock!P$1,'Stock UST'!$1:$1,0)),O45,INDEX('Stock UST'!45:45,1,MATCH(Stock!P$1,'Stock UST'!$1:$1,0))))</f>
        <v/>
      </c>
      <c r="Q45" s="9" t="str">
        <f ca="1">IF(IF(ISERROR(MATCH(Stock!Q$1,'Stock UST'!$1:$1,0)),P45,INDEX('Stock UST'!45:45,1,MATCH(Stock!Q$1,'Stock UST'!$1:$1,0)))=0,"",IF(ISERROR(MATCH(Stock!Q$1,'Stock UST'!$1:$1,0)),P45,INDEX('Stock UST'!45:45,1,MATCH(Stock!Q$1,'Stock UST'!$1:$1,0))))</f>
        <v/>
      </c>
      <c r="R45" s="9" t="str">
        <f ca="1">IF(IF(ISERROR(MATCH(Stock!R$1,'Stock UST'!$1:$1,0)),Q45,INDEX('Stock UST'!45:45,1,MATCH(Stock!R$1,'Stock UST'!$1:$1,0)))=0,"",IF(ISERROR(MATCH(Stock!R$1,'Stock UST'!$1:$1,0)),Q45,INDEX('Stock UST'!45:45,1,MATCH(Stock!R$1,'Stock UST'!$1:$1,0))))</f>
        <v/>
      </c>
      <c r="S45" s="9" t="str">
        <f ca="1">IF(IF(ISERROR(MATCH(Stock!S$1,'Stock UST'!$1:$1,0)),R45,INDEX('Stock UST'!45:45,1,MATCH(Stock!S$1,'Stock UST'!$1:$1,0)))=0,"",IF(ISERROR(MATCH(Stock!S$1,'Stock UST'!$1:$1,0)),R45,INDEX('Stock UST'!45:45,1,MATCH(Stock!S$1,'Stock UST'!$1:$1,0))))</f>
        <v/>
      </c>
      <c r="T45" s="9" t="str">
        <f ca="1">IF(IF(ISERROR(MATCH(Stock!T$1,'Stock UST'!$1:$1,0)),S45,INDEX('Stock UST'!45:45,1,MATCH(Stock!T$1,'Stock UST'!$1:$1,0)))=0,"",IF(ISERROR(MATCH(Stock!T$1,'Stock UST'!$1:$1,0)),S45,INDEX('Stock UST'!45:45,1,MATCH(Stock!T$1,'Stock UST'!$1:$1,0))))</f>
        <v/>
      </c>
      <c r="U45" s="9" t="str">
        <f ca="1">IF(IF(ISERROR(MATCH(Stock!U$1,'Stock UST'!$1:$1,0)),T45,INDEX('Stock UST'!45:45,1,MATCH(Stock!U$1,'Stock UST'!$1:$1,0)))=0,"",IF(ISERROR(MATCH(Stock!U$1,'Stock UST'!$1:$1,0)),T45,INDEX('Stock UST'!45:45,1,MATCH(Stock!U$1,'Stock UST'!$1:$1,0))))</f>
        <v/>
      </c>
      <c r="V45" s="9" t="str">
        <f ca="1">IF(IF(ISERROR(MATCH(Stock!V$1,'Stock UST'!$1:$1,0)),U45,INDEX('Stock UST'!45:45,1,MATCH(Stock!V$1,'Stock UST'!$1:$1,0)))=0,"",IF(ISERROR(MATCH(Stock!V$1,'Stock UST'!$1:$1,0)),U45,INDEX('Stock UST'!45:45,1,MATCH(Stock!V$1,'Stock UST'!$1:$1,0))))</f>
        <v/>
      </c>
      <c r="W45" s="9" t="str">
        <f ca="1">IF(IF(ISERROR(MATCH(Stock!W$1,'Stock UST'!$1:$1,0)),V45,INDEX('Stock UST'!45:45,1,MATCH(Stock!W$1,'Stock UST'!$1:$1,0)))=0,"",IF(ISERROR(MATCH(Stock!W$1,'Stock UST'!$1:$1,0)),V45,INDEX('Stock UST'!45:45,1,MATCH(Stock!W$1,'Stock UST'!$1:$1,0))))</f>
        <v/>
      </c>
      <c r="X45" s="9" t="str">
        <f ca="1">IF(IF(ISERROR(MATCH(Stock!X$1,'Stock UST'!$1:$1,0)),W45,INDEX('Stock UST'!45:45,1,MATCH(Stock!X$1,'Stock UST'!$1:$1,0)))=0,"",IF(ISERROR(MATCH(Stock!X$1,'Stock UST'!$1:$1,0)),W45,INDEX('Stock UST'!45:45,1,MATCH(Stock!X$1,'Stock UST'!$1:$1,0))))</f>
        <v/>
      </c>
      <c r="Y45" s="9" t="str">
        <f ca="1">IF(IF(ISERROR(MATCH(Stock!Y$1,'Stock UST'!$1:$1,0)),X45,INDEX('Stock UST'!45:45,1,MATCH(Stock!Y$1,'Stock UST'!$1:$1,0)))=0,"",IF(ISERROR(MATCH(Stock!Y$1,'Stock UST'!$1:$1,0)),X45,INDEX('Stock UST'!45:45,1,MATCH(Stock!Y$1,'Stock UST'!$1:$1,0))))</f>
        <v/>
      </c>
      <c r="Z45" s="9" t="str">
        <f ca="1">IF(IF(ISERROR(MATCH(Stock!Z$1,'Stock UST'!$1:$1,0)),Y45,INDEX('Stock UST'!45:45,1,MATCH(Stock!Z$1,'Stock UST'!$1:$1,0)))=0,"",IF(ISERROR(MATCH(Stock!Z$1,'Stock UST'!$1:$1,0)),Y45,INDEX('Stock UST'!45:45,1,MATCH(Stock!Z$1,'Stock UST'!$1:$1,0))))</f>
        <v/>
      </c>
      <c r="AA45" s="9" t="str">
        <f ca="1">IF(IF(ISERROR(MATCH(Stock!AA$1,'Stock UST'!$1:$1,0)),Z45,INDEX('Stock UST'!45:45,1,MATCH(Stock!AA$1,'Stock UST'!$1:$1,0)))=0,"",IF(ISERROR(MATCH(Stock!AA$1,'Stock UST'!$1:$1,0)),Z45,INDEX('Stock UST'!45:45,1,MATCH(Stock!AA$1,'Stock UST'!$1:$1,0))))</f>
        <v/>
      </c>
      <c r="AB45" s="9" t="str">
        <f ca="1">IF(IF(ISERROR(MATCH(Stock!AB$1,'Stock UST'!$1:$1,0)),AA45,INDEX('Stock UST'!45:45,1,MATCH(Stock!AB$1,'Stock UST'!$1:$1,0)))=0,"",IF(ISERROR(MATCH(Stock!AB$1,'Stock UST'!$1:$1,0)),AA45,INDEX('Stock UST'!45:45,1,MATCH(Stock!AB$1,'Stock UST'!$1:$1,0))))</f>
        <v/>
      </c>
      <c r="AC45" s="9" t="str">
        <f ca="1">IF(IF(ISERROR(MATCH(Stock!AC$1,'Stock UST'!$1:$1,0)),AB45,INDEX('Stock UST'!45:45,1,MATCH(Stock!AC$1,'Stock UST'!$1:$1,0)))=0,"",IF(ISERROR(MATCH(Stock!AC$1,'Stock UST'!$1:$1,0)),AB45,INDEX('Stock UST'!45:45,1,MATCH(Stock!AC$1,'Stock UST'!$1:$1,0))))</f>
        <v/>
      </c>
      <c r="AD45" s="9" t="str">
        <f ca="1">IF(IF(ISERROR(MATCH(Stock!AD$1,'Stock UST'!$1:$1,0)),AC45,INDEX('Stock UST'!45:45,1,MATCH(Stock!AD$1,'Stock UST'!$1:$1,0)))=0,"",IF(ISERROR(MATCH(Stock!AD$1,'Stock UST'!$1:$1,0)),AC45,INDEX('Stock UST'!45:45,1,MATCH(Stock!AD$1,'Stock UST'!$1:$1,0))))</f>
        <v/>
      </c>
      <c r="AE45" s="9" t="str">
        <f ca="1">IF(IF(ISERROR(MATCH(Stock!AE$1,'Stock UST'!$1:$1,0)),AD45,INDEX('Stock UST'!45:45,1,MATCH(Stock!AE$1,'Stock UST'!$1:$1,0)))=0,"",IF(ISERROR(MATCH(Stock!AE$1,'Stock UST'!$1:$1,0)),AD45,INDEX('Stock UST'!45:45,1,MATCH(Stock!AE$1,'Stock UST'!$1:$1,0))))</f>
        <v/>
      </c>
      <c r="AF45" s="9" t="str">
        <f ca="1">IF(IF(ISERROR(MATCH(Stock!AF$1,'Stock UST'!$1:$1,0)),AE45,INDEX('Stock UST'!45:45,1,MATCH(Stock!AF$1,'Stock UST'!$1:$1,0)))=0,"",IF(ISERROR(MATCH(Stock!AF$1,'Stock UST'!$1:$1,0)),AE45,INDEX('Stock UST'!45:45,1,MATCH(Stock!AF$1,'Stock UST'!$1:$1,0))))</f>
        <v/>
      </c>
      <c r="AG45" s="9" t="str">
        <f ca="1">IF(IF(ISERROR(MATCH(Stock!AG$1,'Stock UST'!$1:$1,0)),AF45,INDEX('Stock UST'!45:45,1,MATCH(Stock!AG$1,'Stock UST'!$1:$1,0)))=0,"",IF(ISERROR(MATCH(Stock!AG$1,'Stock UST'!$1:$1,0)),AF45,INDEX('Stock UST'!45:45,1,MATCH(Stock!AG$1,'Stock UST'!$1:$1,0))))</f>
        <v/>
      </c>
      <c r="AH45" s="9" t="str">
        <f ca="1">IF(IF(ISERROR(MATCH(Stock!AH$1,'Stock UST'!$1:$1,0)),AG45,INDEX('Stock UST'!45:45,1,MATCH(Stock!AH$1,'Stock UST'!$1:$1,0)))=0,"",IF(ISERROR(MATCH(Stock!AH$1,'Stock UST'!$1:$1,0)),AG45,INDEX('Stock UST'!45:45,1,MATCH(Stock!AH$1,'Stock UST'!$1:$1,0))))</f>
        <v/>
      </c>
      <c r="AI45" s="9" t="str">
        <f ca="1">IF(IF(ISERROR(MATCH(Stock!AI$1,'Stock UST'!$1:$1,0)),AH45,INDEX('Stock UST'!45:45,1,MATCH(Stock!AI$1,'Stock UST'!$1:$1,0)))=0,"",IF(ISERROR(MATCH(Stock!AI$1,'Stock UST'!$1:$1,0)),AH45,INDEX('Stock UST'!45:45,1,MATCH(Stock!AI$1,'Stock UST'!$1:$1,0))))</f>
        <v/>
      </c>
      <c r="AJ45" s="9" t="str">
        <f ca="1">IF(IF(ISERROR(MATCH(Stock!AJ$1,'Stock UST'!$1:$1,0)),AI45,INDEX('Stock UST'!45:45,1,MATCH(Stock!AJ$1,'Stock UST'!$1:$1,0)))=0,"",IF(ISERROR(MATCH(Stock!AJ$1,'Stock UST'!$1:$1,0)),AI45,INDEX('Stock UST'!45:45,1,MATCH(Stock!AJ$1,'Stock UST'!$1:$1,0))))</f>
        <v/>
      </c>
      <c r="AK45" s="9" t="str">
        <f ca="1">IF(IF(ISERROR(MATCH(Stock!AK$1,'Stock UST'!$1:$1,0)),AJ45,INDEX('Stock UST'!45:45,1,MATCH(Stock!AK$1,'Stock UST'!$1:$1,0)))=0,"",IF(ISERROR(MATCH(Stock!AK$1,'Stock UST'!$1:$1,0)),AJ45,INDEX('Stock UST'!45:45,1,MATCH(Stock!AK$1,'Stock UST'!$1:$1,0))))</f>
        <v/>
      </c>
      <c r="AL45" s="9" t="str">
        <f ca="1">IF(IF(ISERROR(MATCH(Stock!AL$1,'Stock UST'!$1:$1,0)),AK45,INDEX('Stock UST'!45:45,1,MATCH(Stock!AL$1,'Stock UST'!$1:$1,0)))=0,"",IF(ISERROR(MATCH(Stock!AL$1,'Stock UST'!$1:$1,0)),AK45,INDEX('Stock UST'!45:45,1,MATCH(Stock!AL$1,'Stock UST'!$1:$1,0))))</f>
        <v/>
      </c>
      <c r="AM45" s="9" t="str">
        <f ca="1">IF(IF(ISERROR(MATCH(Stock!AM$1,'Stock UST'!$1:$1,0)),AL45,INDEX('Stock UST'!45:45,1,MATCH(Stock!AM$1,'Stock UST'!$1:$1,0)))=0,"",IF(ISERROR(MATCH(Stock!AM$1,'Stock UST'!$1:$1,0)),AL45,INDEX('Stock UST'!45:45,1,MATCH(Stock!AM$1,'Stock UST'!$1:$1,0))))</f>
        <v/>
      </c>
      <c r="AN45" s="9" t="str">
        <f ca="1">IF(IF(ISERROR(MATCH(Stock!AN$1,'Stock UST'!$1:$1,0)),AM45,INDEX('Stock UST'!45:45,1,MATCH(Stock!AN$1,'Stock UST'!$1:$1,0)))=0,"",IF(ISERROR(MATCH(Stock!AN$1,'Stock UST'!$1:$1,0)),AM45,INDEX('Stock UST'!45:45,1,MATCH(Stock!AN$1,'Stock UST'!$1:$1,0))))</f>
        <v/>
      </c>
      <c r="AO45" s="9" t="str">
        <f ca="1">IF(IF(ISERROR(MATCH(Stock!AO$1,'Stock UST'!$1:$1,0)),AN45,INDEX('Stock UST'!45:45,1,MATCH(Stock!AO$1,'Stock UST'!$1:$1,0)))=0,"",IF(ISERROR(MATCH(Stock!AO$1,'Stock UST'!$1:$1,0)),AN45,INDEX('Stock UST'!45:45,1,MATCH(Stock!AO$1,'Stock UST'!$1:$1,0))))</f>
        <v/>
      </c>
      <c r="AP45" s="9" t="str">
        <f ca="1">IF(IF(ISERROR(MATCH(Stock!AP$1,'Stock UST'!$1:$1,0)),AO45,INDEX('Stock UST'!45:45,1,MATCH(Stock!AP$1,'Stock UST'!$1:$1,0)))=0,"",IF(ISERROR(MATCH(Stock!AP$1,'Stock UST'!$1:$1,0)),AO45,INDEX('Stock UST'!45:45,1,MATCH(Stock!AP$1,'Stock UST'!$1:$1,0))))</f>
        <v/>
      </c>
      <c r="AQ45" s="9" t="str">
        <f ca="1">IF(IF(ISERROR(MATCH(Stock!AQ$1,'Stock UST'!$1:$1,0)),AP45,INDEX('Stock UST'!45:45,1,MATCH(Stock!AQ$1,'Stock UST'!$1:$1,0)))=0,"",IF(ISERROR(MATCH(Stock!AQ$1,'Stock UST'!$1:$1,0)),AP45,INDEX('Stock UST'!45:45,1,MATCH(Stock!AQ$1,'Stock UST'!$1:$1,0))))</f>
        <v/>
      </c>
      <c r="AR45" s="9" t="str">
        <f ca="1">IF(IF(ISERROR(MATCH(Stock!AR$1,'Stock UST'!$1:$1,0)),AQ45,INDEX('Stock UST'!45:45,1,MATCH(Stock!AR$1,'Stock UST'!$1:$1,0)))=0,"",IF(ISERROR(MATCH(Stock!AR$1,'Stock UST'!$1:$1,0)),AQ45,INDEX('Stock UST'!45:45,1,MATCH(Stock!AR$1,'Stock UST'!$1:$1,0))))</f>
        <v/>
      </c>
      <c r="AS45" s="9" t="str">
        <f ca="1">IF(IF(ISERROR(MATCH(Stock!AS$1,'Stock UST'!$1:$1,0)),AR45,INDEX('Stock UST'!45:45,1,MATCH(Stock!AS$1,'Stock UST'!$1:$1,0)))=0,"",IF(ISERROR(MATCH(Stock!AS$1,'Stock UST'!$1:$1,0)),AR45,INDEX('Stock UST'!45:45,1,MATCH(Stock!AS$1,'Stock UST'!$1:$1,0))))</f>
        <v/>
      </c>
      <c r="AT45" s="9" t="str">
        <f ca="1">IF(IF(ISERROR(MATCH(Stock!AT$1,'Stock UST'!$1:$1,0)),AS45,INDEX('Stock UST'!45:45,1,MATCH(Stock!AT$1,'Stock UST'!$1:$1,0)))=0,"",IF(ISERROR(MATCH(Stock!AT$1,'Stock UST'!$1:$1,0)),AS45,INDEX('Stock UST'!45:45,1,MATCH(Stock!AT$1,'Stock UST'!$1:$1,0))))</f>
        <v/>
      </c>
      <c r="AU45" s="9" t="str">
        <f ca="1">IF(IF(ISERROR(MATCH(Stock!AU$1,'Stock UST'!$1:$1,0)),AT45,INDEX('Stock UST'!45:45,1,MATCH(Stock!AU$1,'Stock UST'!$1:$1,0)))=0,"",IF(ISERROR(MATCH(Stock!AU$1,'Stock UST'!$1:$1,0)),AT45,INDEX('Stock UST'!45:45,1,MATCH(Stock!AU$1,'Stock UST'!$1:$1,0))))</f>
        <v/>
      </c>
      <c r="AV45" s="9" t="str">
        <f ca="1">IF(IF(ISERROR(MATCH(Stock!AV$1,'Stock UST'!$1:$1,0)),AU45,INDEX('Stock UST'!45:45,1,MATCH(Stock!AV$1,'Stock UST'!$1:$1,0)))=0,"",IF(ISERROR(MATCH(Stock!AV$1,'Stock UST'!$1:$1,0)),AU45,INDEX('Stock UST'!45:45,1,MATCH(Stock!AV$1,'Stock UST'!$1:$1,0))))</f>
        <v/>
      </c>
      <c r="AW45" s="9" t="str">
        <f ca="1">IF(IF(ISERROR(MATCH(Stock!AW$1,'Stock UST'!$1:$1,0)),AV45,INDEX('Stock UST'!45:45,1,MATCH(Stock!AW$1,'Stock UST'!$1:$1,0)))=0,"",IF(ISERROR(MATCH(Stock!AW$1,'Stock UST'!$1:$1,0)),AV45,INDEX('Stock UST'!45:45,1,MATCH(Stock!AW$1,'Stock UST'!$1:$1,0))))</f>
        <v/>
      </c>
      <c r="AX45" s="9" t="str">
        <f ca="1">IF(IF(ISERROR(MATCH(Stock!AX$1,'Stock UST'!$1:$1,0)),AW45,INDEX('Stock UST'!45:45,1,MATCH(Stock!AX$1,'Stock UST'!$1:$1,0)))=0,"",IF(ISERROR(MATCH(Stock!AX$1,'Stock UST'!$1:$1,0)),AW45,INDEX('Stock UST'!45:45,1,MATCH(Stock!AX$1,'Stock UST'!$1:$1,0))))</f>
        <v/>
      </c>
    </row>
    <row r="46" spans="1:50" x14ac:dyDescent="0.3">
      <c r="A46" s="9" t="str">
        <f>IF('Stock UST'!E46="","",'Stock UST'!E46)</f>
        <v/>
      </c>
      <c r="B46" s="9" t="str">
        <f>IF(IF(ISERROR(MATCH(Stock!B$1,'Stock UST'!$1:$1,0)),A46,INDEX('Stock UST'!46:46,1,MATCH(Stock!B$1,'Stock UST'!$1:$1,0)))=0,"",IF(ISERROR(MATCH(Stock!B$1,'Stock UST'!$1:$1,0)),A46,INDEX('Stock UST'!46:46,1,MATCH(Stock!B$1,'Stock UST'!$1:$1,0))))</f>
        <v/>
      </c>
      <c r="C46" s="9" t="str">
        <f ca="1">IF(IF(ISERROR(MATCH(Stock!C$1,'Stock UST'!$1:$1,0)),B46,INDEX('Stock UST'!46:46,1,MATCH(Stock!C$1,'Stock UST'!$1:$1,0)))=0,"",IF(ISERROR(MATCH(Stock!C$1,'Stock UST'!$1:$1,0)),B46,INDEX('Stock UST'!46:46,1,MATCH(Stock!C$1,'Stock UST'!$1:$1,0))))</f>
        <v/>
      </c>
      <c r="D46" s="9" t="str">
        <f ca="1">IF(IF(ISERROR(MATCH(Stock!D$1,'Stock UST'!$1:$1,0)),C46,INDEX('Stock UST'!46:46,1,MATCH(Stock!D$1,'Stock UST'!$1:$1,0)))=0,"",IF(ISERROR(MATCH(Stock!D$1,'Stock UST'!$1:$1,0)),C46,INDEX('Stock UST'!46:46,1,MATCH(Stock!D$1,'Stock UST'!$1:$1,0))))</f>
        <v/>
      </c>
      <c r="E46" s="9" t="str">
        <f ca="1">IF(IF(ISERROR(MATCH(Stock!E$1,'Stock UST'!$1:$1,0)),D46,INDEX('Stock UST'!46:46,1,MATCH(Stock!E$1,'Stock UST'!$1:$1,0)))=0,"",IF(ISERROR(MATCH(Stock!E$1,'Stock UST'!$1:$1,0)),D46,INDEX('Stock UST'!46:46,1,MATCH(Stock!E$1,'Stock UST'!$1:$1,0))))</f>
        <v/>
      </c>
      <c r="F46" s="9" t="str">
        <f ca="1">IF(IF(ISERROR(MATCH(Stock!F$1,'Stock UST'!$1:$1,0)),E46,INDEX('Stock UST'!46:46,1,MATCH(Stock!F$1,'Stock UST'!$1:$1,0)))=0,"",IF(ISERROR(MATCH(Stock!F$1,'Stock UST'!$1:$1,0)),E46,INDEX('Stock UST'!46:46,1,MATCH(Stock!F$1,'Stock UST'!$1:$1,0))))</f>
        <v/>
      </c>
      <c r="G46" s="9" t="str">
        <f ca="1">IF(IF(ISERROR(MATCH(Stock!G$1,'Stock UST'!$1:$1,0)),F46,INDEX('Stock UST'!46:46,1,MATCH(Stock!G$1,'Stock UST'!$1:$1,0)))=0,"",IF(ISERROR(MATCH(Stock!G$1,'Stock UST'!$1:$1,0)),F46,INDEX('Stock UST'!46:46,1,MATCH(Stock!G$1,'Stock UST'!$1:$1,0))))</f>
        <v/>
      </c>
      <c r="H46" s="9" t="str">
        <f ca="1">IF(IF(ISERROR(MATCH(Stock!H$1,'Stock UST'!$1:$1,0)),G46,INDEX('Stock UST'!46:46,1,MATCH(Stock!H$1,'Stock UST'!$1:$1,0)))=0,"",IF(ISERROR(MATCH(Stock!H$1,'Stock UST'!$1:$1,0)),G46,INDEX('Stock UST'!46:46,1,MATCH(Stock!H$1,'Stock UST'!$1:$1,0))))</f>
        <v/>
      </c>
      <c r="I46" s="9" t="str">
        <f ca="1">IF(IF(ISERROR(MATCH(Stock!I$1,'Stock UST'!$1:$1,0)),H46,INDEX('Stock UST'!46:46,1,MATCH(Stock!I$1,'Stock UST'!$1:$1,0)))=0,"",IF(ISERROR(MATCH(Stock!I$1,'Stock UST'!$1:$1,0)),H46,INDEX('Stock UST'!46:46,1,MATCH(Stock!I$1,'Stock UST'!$1:$1,0))))</f>
        <v/>
      </c>
      <c r="J46" s="9" t="str">
        <f ca="1">IF(IF(ISERROR(MATCH(Stock!J$1,'Stock UST'!$1:$1,0)),I46,INDEX('Stock UST'!46:46,1,MATCH(Stock!J$1,'Stock UST'!$1:$1,0)))=0,"",IF(ISERROR(MATCH(Stock!J$1,'Stock UST'!$1:$1,0)),I46,INDEX('Stock UST'!46:46,1,MATCH(Stock!J$1,'Stock UST'!$1:$1,0))))</f>
        <v/>
      </c>
      <c r="K46" s="9" t="str">
        <f ca="1">IF(IF(ISERROR(MATCH(Stock!K$1,'Stock UST'!$1:$1,0)),J46,INDEX('Stock UST'!46:46,1,MATCH(Stock!K$1,'Stock UST'!$1:$1,0)))=0,"",IF(ISERROR(MATCH(Stock!K$1,'Stock UST'!$1:$1,0)),J46,INDEX('Stock UST'!46:46,1,MATCH(Stock!K$1,'Stock UST'!$1:$1,0))))</f>
        <v/>
      </c>
      <c r="L46" s="9" t="str">
        <f ca="1">IF(IF(ISERROR(MATCH(Stock!L$1,'Stock UST'!$1:$1,0)),K46,INDEX('Stock UST'!46:46,1,MATCH(Stock!L$1,'Stock UST'!$1:$1,0)))=0,"",IF(ISERROR(MATCH(Stock!L$1,'Stock UST'!$1:$1,0)),K46,INDEX('Stock UST'!46:46,1,MATCH(Stock!L$1,'Stock UST'!$1:$1,0))))</f>
        <v/>
      </c>
      <c r="M46" s="9" t="str">
        <f ca="1">IF(IF(ISERROR(MATCH(Stock!M$1,'Stock UST'!$1:$1,0)),L46,INDEX('Stock UST'!46:46,1,MATCH(Stock!M$1,'Stock UST'!$1:$1,0)))=0,"",IF(ISERROR(MATCH(Stock!M$1,'Stock UST'!$1:$1,0)),L46,INDEX('Stock UST'!46:46,1,MATCH(Stock!M$1,'Stock UST'!$1:$1,0))))</f>
        <v/>
      </c>
      <c r="N46" s="9" t="str">
        <f ca="1">IF(IF(ISERROR(MATCH(Stock!N$1,'Stock UST'!$1:$1,0)),M46,INDEX('Stock UST'!46:46,1,MATCH(Stock!N$1,'Stock UST'!$1:$1,0)))=0,"",IF(ISERROR(MATCH(Stock!N$1,'Stock UST'!$1:$1,0)),M46,INDEX('Stock UST'!46:46,1,MATCH(Stock!N$1,'Stock UST'!$1:$1,0))))</f>
        <v/>
      </c>
      <c r="O46" s="9" t="str">
        <f ca="1">IF(IF(ISERROR(MATCH(Stock!O$1,'Stock UST'!$1:$1,0)),N46,INDEX('Stock UST'!46:46,1,MATCH(Stock!O$1,'Stock UST'!$1:$1,0)))=0,"",IF(ISERROR(MATCH(Stock!O$1,'Stock UST'!$1:$1,0)),N46,INDEX('Stock UST'!46:46,1,MATCH(Stock!O$1,'Stock UST'!$1:$1,0))))</f>
        <v/>
      </c>
      <c r="P46" s="9" t="str">
        <f ca="1">IF(IF(ISERROR(MATCH(Stock!P$1,'Stock UST'!$1:$1,0)),O46,INDEX('Stock UST'!46:46,1,MATCH(Stock!P$1,'Stock UST'!$1:$1,0)))=0,"",IF(ISERROR(MATCH(Stock!P$1,'Stock UST'!$1:$1,0)),O46,INDEX('Stock UST'!46:46,1,MATCH(Stock!P$1,'Stock UST'!$1:$1,0))))</f>
        <v/>
      </c>
      <c r="Q46" s="9" t="str">
        <f ca="1">IF(IF(ISERROR(MATCH(Stock!Q$1,'Stock UST'!$1:$1,0)),P46,INDEX('Stock UST'!46:46,1,MATCH(Stock!Q$1,'Stock UST'!$1:$1,0)))=0,"",IF(ISERROR(MATCH(Stock!Q$1,'Stock UST'!$1:$1,0)),P46,INDEX('Stock UST'!46:46,1,MATCH(Stock!Q$1,'Stock UST'!$1:$1,0))))</f>
        <v/>
      </c>
      <c r="R46" s="9" t="str">
        <f ca="1">IF(IF(ISERROR(MATCH(Stock!R$1,'Stock UST'!$1:$1,0)),Q46,INDEX('Stock UST'!46:46,1,MATCH(Stock!R$1,'Stock UST'!$1:$1,0)))=0,"",IF(ISERROR(MATCH(Stock!R$1,'Stock UST'!$1:$1,0)),Q46,INDEX('Stock UST'!46:46,1,MATCH(Stock!R$1,'Stock UST'!$1:$1,0))))</f>
        <v/>
      </c>
      <c r="S46" s="9" t="str">
        <f ca="1">IF(IF(ISERROR(MATCH(Stock!S$1,'Stock UST'!$1:$1,0)),R46,INDEX('Stock UST'!46:46,1,MATCH(Stock!S$1,'Stock UST'!$1:$1,0)))=0,"",IF(ISERROR(MATCH(Stock!S$1,'Stock UST'!$1:$1,0)),R46,INDEX('Stock UST'!46:46,1,MATCH(Stock!S$1,'Stock UST'!$1:$1,0))))</f>
        <v/>
      </c>
      <c r="T46" s="9" t="str">
        <f ca="1">IF(IF(ISERROR(MATCH(Stock!T$1,'Stock UST'!$1:$1,0)),S46,INDEX('Stock UST'!46:46,1,MATCH(Stock!T$1,'Stock UST'!$1:$1,0)))=0,"",IF(ISERROR(MATCH(Stock!T$1,'Stock UST'!$1:$1,0)),S46,INDEX('Stock UST'!46:46,1,MATCH(Stock!T$1,'Stock UST'!$1:$1,0))))</f>
        <v/>
      </c>
      <c r="U46" s="9" t="str">
        <f ca="1">IF(IF(ISERROR(MATCH(Stock!U$1,'Stock UST'!$1:$1,0)),T46,INDEX('Stock UST'!46:46,1,MATCH(Stock!U$1,'Stock UST'!$1:$1,0)))=0,"",IF(ISERROR(MATCH(Stock!U$1,'Stock UST'!$1:$1,0)),T46,INDEX('Stock UST'!46:46,1,MATCH(Stock!U$1,'Stock UST'!$1:$1,0))))</f>
        <v/>
      </c>
      <c r="V46" s="9" t="str">
        <f ca="1">IF(IF(ISERROR(MATCH(Stock!V$1,'Stock UST'!$1:$1,0)),U46,INDEX('Stock UST'!46:46,1,MATCH(Stock!V$1,'Stock UST'!$1:$1,0)))=0,"",IF(ISERROR(MATCH(Stock!V$1,'Stock UST'!$1:$1,0)),U46,INDEX('Stock UST'!46:46,1,MATCH(Stock!V$1,'Stock UST'!$1:$1,0))))</f>
        <v/>
      </c>
      <c r="W46" s="9" t="str">
        <f ca="1">IF(IF(ISERROR(MATCH(Stock!W$1,'Stock UST'!$1:$1,0)),V46,INDEX('Stock UST'!46:46,1,MATCH(Stock!W$1,'Stock UST'!$1:$1,0)))=0,"",IF(ISERROR(MATCH(Stock!W$1,'Stock UST'!$1:$1,0)),V46,INDEX('Stock UST'!46:46,1,MATCH(Stock!W$1,'Stock UST'!$1:$1,0))))</f>
        <v/>
      </c>
      <c r="X46" s="9" t="str">
        <f ca="1">IF(IF(ISERROR(MATCH(Stock!X$1,'Stock UST'!$1:$1,0)),W46,INDEX('Stock UST'!46:46,1,MATCH(Stock!X$1,'Stock UST'!$1:$1,0)))=0,"",IF(ISERROR(MATCH(Stock!X$1,'Stock UST'!$1:$1,0)),W46,INDEX('Stock UST'!46:46,1,MATCH(Stock!X$1,'Stock UST'!$1:$1,0))))</f>
        <v/>
      </c>
      <c r="Y46" s="9" t="str">
        <f ca="1">IF(IF(ISERROR(MATCH(Stock!Y$1,'Stock UST'!$1:$1,0)),X46,INDEX('Stock UST'!46:46,1,MATCH(Stock!Y$1,'Stock UST'!$1:$1,0)))=0,"",IF(ISERROR(MATCH(Stock!Y$1,'Stock UST'!$1:$1,0)),X46,INDEX('Stock UST'!46:46,1,MATCH(Stock!Y$1,'Stock UST'!$1:$1,0))))</f>
        <v/>
      </c>
      <c r="Z46" s="9" t="str">
        <f ca="1">IF(IF(ISERROR(MATCH(Stock!Z$1,'Stock UST'!$1:$1,0)),Y46,INDEX('Stock UST'!46:46,1,MATCH(Stock!Z$1,'Stock UST'!$1:$1,0)))=0,"",IF(ISERROR(MATCH(Stock!Z$1,'Stock UST'!$1:$1,0)),Y46,INDEX('Stock UST'!46:46,1,MATCH(Stock!Z$1,'Stock UST'!$1:$1,0))))</f>
        <v/>
      </c>
      <c r="AA46" s="9" t="str">
        <f ca="1">IF(IF(ISERROR(MATCH(Stock!AA$1,'Stock UST'!$1:$1,0)),Z46,INDEX('Stock UST'!46:46,1,MATCH(Stock!AA$1,'Stock UST'!$1:$1,0)))=0,"",IF(ISERROR(MATCH(Stock!AA$1,'Stock UST'!$1:$1,0)),Z46,INDEX('Stock UST'!46:46,1,MATCH(Stock!AA$1,'Stock UST'!$1:$1,0))))</f>
        <v/>
      </c>
      <c r="AB46" s="9" t="str">
        <f ca="1">IF(IF(ISERROR(MATCH(Stock!AB$1,'Stock UST'!$1:$1,0)),AA46,INDEX('Stock UST'!46:46,1,MATCH(Stock!AB$1,'Stock UST'!$1:$1,0)))=0,"",IF(ISERROR(MATCH(Stock!AB$1,'Stock UST'!$1:$1,0)),AA46,INDEX('Stock UST'!46:46,1,MATCH(Stock!AB$1,'Stock UST'!$1:$1,0))))</f>
        <v/>
      </c>
      <c r="AC46" s="9" t="str">
        <f ca="1">IF(IF(ISERROR(MATCH(Stock!AC$1,'Stock UST'!$1:$1,0)),AB46,INDEX('Stock UST'!46:46,1,MATCH(Stock!AC$1,'Stock UST'!$1:$1,0)))=0,"",IF(ISERROR(MATCH(Stock!AC$1,'Stock UST'!$1:$1,0)),AB46,INDEX('Stock UST'!46:46,1,MATCH(Stock!AC$1,'Stock UST'!$1:$1,0))))</f>
        <v/>
      </c>
      <c r="AD46" s="9" t="str">
        <f ca="1">IF(IF(ISERROR(MATCH(Stock!AD$1,'Stock UST'!$1:$1,0)),AC46,INDEX('Stock UST'!46:46,1,MATCH(Stock!AD$1,'Stock UST'!$1:$1,0)))=0,"",IF(ISERROR(MATCH(Stock!AD$1,'Stock UST'!$1:$1,0)),AC46,INDEX('Stock UST'!46:46,1,MATCH(Stock!AD$1,'Stock UST'!$1:$1,0))))</f>
        <v/>
      </c>
      <c r="AE46" s="9" t="str">
        <f ca="1">IF(IF(ISERROR(MATCH(Stock!AE$1,'Stock UST'!$1:$1,0)),AD46,INDEX('Stock UST'!46:46,1,MATCH(Stock!AE$1,'Stock UST'!$1:$1,0)))=0,"",IF(ISERROR(MATCH(Stock!AE$1,'Stock UST'!$1:$1,0)),AD46,INDEX('Stock UST'!46:46,1,MATCH(Stock!AE$1,'Stock UST'!$1:$1,0))))</f>
        <v/>
      </c>
      <c r="AF46" s="9" t="str">
        <f ca="1">IF(IF(ISERROR(MATCH(Stock!AF$1,'Stock UST'!$1:$1,0)),AE46,INDEX('Stock UST'!46:46,1,MATCH(Stock!AF$1,'Stock UST'!$1:$1,0)))=0,"",IF(ISERROR(MATCH(Stock!AF$1,'Stock UST'!$1:$1,0)),AE46,INDEX('Stock UST'!46:46,1,MATCH(Stock!AF$1,'Stock UST'!$1:$1,0))))</f>
        <v/>
      </c>
      <c r="AG46" s="9" t="str">
        <f ca="1">IF(IF(ISERROR(MATCH(Stock!AG$1,'Stock UST'!$1:$1,0)),AF46,INDEX('Stock UST'!46:46,1,MATCH(Stock!AG$1,'Stock UST'!$1:$1,0)))=0,"",IF(ISERROR(MATCH(Stock!AG$1,'Stock UST'!$1:$1,0)),AF46,INDEX('Stock UST'!46:46,1,MATCH(Stock!AG$1,'Stock UST'!$1:$1,0))))</f>
        <v/>
      </c>
      <c r="AH46" s="9" t="str">
        <f ca="1">IF(IF(ISERROR(MATCH(Stock!AH$1,'Stock UST'!$1:$1,0)),AG46,INDEX('Stock UST'!46:46,1,MATCH(Stock!AH$1,'Stock UST'!$1:$1,0)))=0,"",IF(ISERROR(MATCH(Stock!AH$1,'Stock UST'!$1:$1,0)),AG46,INDEX('Stock UST'!46:46,1,MATCH(Stock!AH$1,'Stock UST'!$1:$1,0))))</f>
        <v/>
      </c>
      <c r="AI46" s="9" t="str">
        <f ca="1">IF(IF(ISERROR(MATCH(Stock!AI$1,'Stock UST'!$1:$1,0)),AH46,INDEX('Stock UST'!46:46,1,MATCH(Stock!AI$1,'Stock UST'!$1:$1,0)))=0,"",IF(ISERROR(MATCH(Stock!AI$1,'Stock UST'!$1:$1,0)),AH46,INDEX('Stock UST'!46:46,1,MATCH(Stock!AI$1,'Stock UST'!$1:$1,0))))</f>
        <v/>
      </c>
      <c r="AJ46" s="9" t="str">
        <f ca="1">IF(IF(ISERROR(MATCH(Stock!AJ$1,'Stock UST'!$1:$1,0)),AI46,INDEX('Stock UST'!46:46,1,MATCH(Stock!AJ$1,'Stock UST'!$1:$1,0)))=0,"",IF(ISERROR(MATCH(Stock!AJ$1,'Stock UST'!$1:$1,0)),AI46,INDEX('Stock UST'!46:46,1,MATCH(Stock!AJ$1,'Stock UST'!$1:$1,0))))</f>
        <v/>
      </c>
      <c r="AK46" s="9" t="str">
        <f ca="1">IF(IF(ISERROR(MATCH(Stock!AK$1,'Stock UST'!$1:$1,0)),AJ46,INDEX('Stock UST'!46:46,1,MATCH(Stock!AK$1,'Stock UST'!$1:$1,0)))=0,"",IF(ISERROR(MATCH(Stock!AK$1,'Stock UST'!$1:$1,0)),AJ46,INDEX('Stock UST'!46:46,1,MATCH(Stock!AK$1,'Stock UST'!$1:$1,0))))</f>
        <v/>
      </c>
      <c r="AL46" s="9" t="str">
        <f ca="1">IF(IF(ISERROR(MATCH(Stock!AL$1,'Stock UST'!$1:$1,0)),AK46,INDEX('Stock UST'!46:46,1,MATCH(Stock!AL$1,'Stock UST'!$1:$1,0)))=0,"",IF(ISERROR(MATCH(Stock!AL$1,'Stock UST'!$1:$1,0)),AK46,INDEX('Stock UST'!46:46,1,MATCH(Stock!AL$1,'Stock UST'!$1:$1,0))))</f>
        <v/>
      </c>
      <c r="AM46" s="9" t="str">
        <f ca="1">IF(IF(ISERROR(MATCH(Stock!AM$1,'Stock UST'!$1:$1,0)),AL46,INDEX('Stock UST'!46:46,1,MATCH(Stock!AM$1,'Stock UST'!$1:$1,0)))=0,"",IF(ISERROR(MATCH(Stock!AM$1,'Stock UST'!$1:$1,0)),AL46,INDEX('Stock UST'!46:46,1,MATCH(Stock!AM$1,'Stock UST'!$1:$1,0))))</f>
        <v/>
      </c>
      <c r="AN46" s="9" t="str">
        <f ca="1">IF(IF(ISERROR(MATCH(Stock!AN$1,'Stock UST'!$1:$1,0)),AM46,INDEX('Stock UST'!46:46,1,MATCH(Stock!AN$1,'Stock UST'!$1:$1,0)))=0,"",IF(ISERROR(MATCH(Stock!AN$1,'Stock UST'!$1:$1,0)),AM46,INDEX('Stock UST'!46:46,1,MATCH(Stock!AN$1,'Stock UST'!$1:$1,0))))</f>
        <v/>
      </c>
      <c r="AO46" s="9" t="str">
        <f ca="1">IF(IF(ISERROR(MATCH(Stock!AO$1,'Stock UST'!$1:$1,0)),AN46,INDEX('Stock UST'!46:46,1,MATCH(Stock!AO$1,'Stock UST'!$1:$1,0)))=0,"",IF(ISERROR(MATCH(Stock!AO$1,'Stock UST'!$1:$1,0)),AN46,INDEX('Stock UST'!46:46,1,MATCH(Stock!AO$1,'Stock UST'!$1:$1,0))))</f>
        <v/>
      </c>
      <c r="AP46" s="9" t="str">
        <f ca="1">IF(IF(ISERROR(MATCH(Stock!AP$1,'Stock UST'!$1:$1,0)),AO46,INDEX('Stock UST'!46:46,1,MATCH(Stock!AP$1,'Stock UST'!$1:$1,0)))=0,"",IF(ISERROR(MATCH(Stock!AP$1,'Stock UST'!$1:$1,0)),AO46,INDEX('Stock UST'!46:46,1,MATCH(Stock!AP$1,'Stock UST'!$1:$1,0))))</f>
        <v/>
      </c>
      <c r="AQ46" s="9" t="str">
        <f ca="1">IF(IF(ISERROR(MATCH(Stock!AQ$1,'Stock UST'!$1:$1,0)),AP46,INDEX('Stock UST'!46:46,1,MATCH(Stock!AQ$1,'Stock UST'!$1:$1,0)))=0,"",IF(ISERROR(MATCH(Stock!AQ$1,'Stock UST'!$1:$1,0)),AP46,INDEX('Stock UST'!46:46,1,MATCH(Stock!AQ$1,'Stock UST'!$1:$1,0))))</f>
        <v/>
      </c>
      <c r="AR46" s="9" t="str">
        <f ca="1">IF(IF(ISERROR(MATCH(Stock!AR$1,'Stock UST'!$1:$1,0)),AQ46,INDEX('Stock UST'!46:46,1,MATCH(Stock!AR$1,'Stock UST'!$1:$1,0)))=0,"",IF(ISERROR(MATCH(Stock!AR$1,'Stock UST'!$1:$1,0)),AQ46,INDEX('Stock UST'!46:46,1,MATCH(Stock!AR$1,'Stock UST'!$1:$1,0))))</f>
        <v/>
      </c>
      <c r="AS46" s="9" t="str">
        <f ca="1">IF(IF(ISERROR(MATCH(Stock!AS$1,'Stock UST'!$1:$1,0)),AR46,INDEX('Stock UST'!46:46,1,MATCH(Stock!AS$1,'Stock UST'!$1:$1,0)))=0,"",IF(ISERROR(MATCH(Stock!AS$1,'Stock UST'!$1:$1,0)),AR46,INDEX('Stock UST'!46:46,1,MATCH(Stock!AS$1,'Stock UST'!$1:$1,0))))</f>
        <v/>
      </c>
      <c r="AT46" s="9" t="str">
        <f ca="1">IF(IF(ISERROR(MATCH(Stock!AT$1,'Stock UST'!$1:$1,0)),AS46,INDEX('Stock UST'!46:46,1,MATCH(Stock!AT$1,'Stock UST'!$1:$1,0)))=0,"",IF(ISERROR(MATCH(Stock!AT$1,'Stock UST'!$1:$1,0)),AS46,INDEX('Stock UST'!46:46,1,MATCH(Stock!AT$1,'Stock UST'!$1:$1,0))))</f>
        <v/>
      </c>
      <c r="AU46" s="9" t="str">
        <f ca="1">IF(IF(ISERROR(MATCH(Stock!AU$1,'Stock UST'!$1:$1,0)),AT46,INDEX('Stock UST'!46:46,1,MATCH(Stock!AU$1,'Stock UST'!$1:$1,0)))=0,"",IF(ISERROR(MATCH(Stock!AU$1,'Stock UST'!$1:$1,0)),AT46,INDEX('Stock UST'!46:46,1,MATCH(Stock!AU$1,'Stock UST'!$1:$1,0))))</f>
        <v/>
      </c>
      <c r="AV46" s="9" t="str">
        <f ca="1">IF(IF(ISERROR(MATCH(Stock!AV$1,'Stock UST'!$1:$1,0)),AU46,INDEX('Stock UST'!46:46,1,MATCH(Stock!AV$1,'Stock UST'!$1:$1,0)))=0,"",IF(ISERROR(MATCH(Stock!AV$1,'Stock UST'!$1:$1,0)),AU46,INDEX('Stock UST'!46:46,1,MATCH(Stock!AV$1,'Stock UST'!$1:$1,0))))</f>
        <v/>
      </c>
      <c r="AW46" s="9" t="str">
        <f ca="1">IF(IF(ISERROR(MATCH(Stock!AW$1,'Stock UST'!$1:$1,0)),AV46,INDEX('Stock UST'!46:46,1,MATCH(Stock!AW$1,'Stock UST'!$1:$1,0)))=0,"",IF(ISERROR(MATCH(Stock!AW$1,'Stock UST'!$1:$1,0)),AV46,INDEX('Stock UST'!46:46,1,MATCH(Stock!AW$1,'Stock UST'!$1:$1,0))))</f>
        <v/>
      </c>
      <c r="AX46" s="9" t="str">
        <f ca="1">IF(IF(ISERROR(MATCH(Stock!AX$1,'Stock UST'!$1:$1,0)),AW46,INDEX('Stock UST'!46:46,1,MATCH(Stock!AX$1,'Stock UST'!$1:$1,0)))=0,"",IF(ISERROR(MATCH(Stock!AX$1,'Stock UST'!$1:$1,0)),AW46,INDEX('Stock UST'!46:46,1,MATCH(Stock!AX$1,'Stock UST'!$1:$1,0))))</f>
        <v/>
      </c>
    </row>
    <row r="47" spans="1:50" x14ac:dyDescent="0.3">
      <c r="A47" s="9" t="str">
        <f>IF('Stock UST'!E47="","",'Stock UST'!E47)</f>
        <v/>
      </c>
      <c r="B47" s="9" t="str">
        <f>IF(IF(ISERROR(MATCH(Stock!B$1,'Stock UST'!$1:$1,0)),A47,INDEX('Stock UST'!47:47,1,MATCH(Stock!B$1,'Stock UST'!$1:$1,0)))=0,"",IF(ISERROR(MATCH(Stock!B$1,'Stock UST'!$1:$1,0)),A47,INDEX('Stock UST'!47:47,1,MATCH(Stock!B$1,'Stock UST'!$1:$1,0))))</f>
        <v/>
      </c>
      <c r="C47" s="9" t="str">
        <f ca="1">IF(IF(ISERROR(MATCH(Stock!C$1,'Stock UST'!$1:$1,0)),B47,INDEX('Stock UST'!47:47,1,MATCH(Stock!C$1,'Stock UST'!$1:$1,0)))=0,"",IF(ISERROR(MATCH(Stock!C$1,'Stock UST'!$1:$1,0)),B47,INDEX('Stock UST'!47:47,1,MATCH(Stock!C$1,'Stock UST'!$1:$1,0))))</f>
        <v/>
      </c>
      <c r="D47" s="9" t="str">
        <f ca="1">IF(IF(ISERROR(MATCH(Stock!D$1,'Stock UST'!$1:$1,0)),C47,INDEX('Stock UST'!47:47,1,MATCH(Stock!D$1,'Stock UST'!$1:$1,0)))=0,"",IF(ISERROR(MATCH(Stock!D$1,'Stock UST'!$1:$1,0)),C47,INDEX('Stock UST'!47:47,1,MATCH(Stock!D$1,'Stock UST'!$1:$1,0))))</f>
        <v/>
      </c>
      <c r="E47" s="9" t="str">
        <f ca="1">IF(IF(ISERROR(MATCH(Stock!E$1,'Stock UST'!$1:$1,0)),D47,INDEX('Stock UST'!47:47,1,MATCH(Stock!E$1,'Stock UST'!$1:$1,0)))=0,"",IF(ISERROR(MATCH(Stock!E$1,'Stock UST'!$1:$1,0)),D47,INDEX('Stock UST'!47:47,1,MATCH(Stock!E$1,'Stock UST'!$1:$1,0))))</f>
        <v/>
      </c>
      <c r="F47" s="9" t="str">
        <f ca="1">IF(IF(ISERROR(MATCH(Stock!F$1,'Stock UST'!$1:$1,0)),E47,INDEX('Stock UST'!47:47,1,MATCH(Stock!F$1,'Stock UST'!$1:$1,0)))=0,"",IF(ISERROR(MATCH(Stock!F$1,'Stock UST'!$1:$1,0)),E47,INDEX('Stock UST'!47:47,1,MATCH(Stock!F$1,'Stock UST'!$1:$1,0))))</f>
        <v/>
      </c>
      <c r="G47" s="9" t="str">
        <f ca="1">IF(IF(ISERROR(MATCH(Stock!G$1,'Stock UST'!$1:$1,0)),F47,INDEX('Stock UST'!47:47,1,MATCH(Stock!G$1,'Stock UST'!$1:$1,0)))=0,"",IF(ISERROR(MATCH(Stock!G$1,'Stock UST'!$1:$1,0)),F47,INDEX('Stock UST'!47:47,1,MATCH(Stock!G$1,'Stock UST'!$1:$1,0))))</f>
        <v/>
      </c>
      <c r="H47" s="9" t="str">
        <f ca="1">IF(IF(ISERROR(MATCH(Stock!H$1,'Stock UST'!$1:$1,0)),G47,INDEX('Stock UST'!47:47,1,MATCH(Stock!H$1,'Stock UST'!$1:$1,0)))=0,"",IF(ISERROR(MATCH(Stock!H$1,'Stock UST'!$1:$1,0)),G47,INDEX('Stock UST'!47:47,1,MATCH(Stock!H$1,'Stock UST'!$1:$1,0))))</f>
        <v/>
      </c>
      <c r="I47" s="9" t="str">
        <f ca="1">IF(IF(ISERROR(MATCH(Stock!I$1,'Stock UST'!$1:$1,0)),H47,INDEX('Stock UST'!47:47,1,MATCH(Stock!I$1,'Stock UST'!$1:$1,0)))=0,"",IF(ISERROR(MATCH(Stock!I$1,'Stock UST'!$1:$1,0)),H47,INDEX('Stock UST'!47:47,1,MATCH(Stock!I$1,'Stock UST'!$1:$1,0))))</f>
        <v/>
      </c>
      <c r="J47" s="9" t="str">
        <f ca="1">IF(IF(ISERROR(MATCH(Stock!J$1,'Stock UST'!$1:$1,0)),I47,INDEX('Stock UST'!47:47,1,MATCH(Stock!J$1,'Stock UST'!$1:$1,0)))=0,"",IF(ISERROR(MATCH(Stock!J$1,'Stock UST'!$1:$1,0)),I47,INDEX('Stock UST'!47:47,1,MATCH(Stock!J$1,'Stock UST'!$1:$1,0))))</f>
        <v/>
      </c>
      <c r="K47" s="9" t="str">
        <f ca="1">IF(IF(ISERROR(MATCH(Stock!K$1,'Stock UST'!$1:$1,0)),J47,INDEX('Stock UST'!47:47,1,MATCH(Stock!K$1,'Stock UST'!$1:$1,0)))=0,"",IF(ISERROR(MATCH(Stock!K$1,'Stock UST'!$1:$1,0)),J47,INDEX('Stock UST'!47:47,1,MATCH(Stock!K$1,'Stock UST'!$1:$1,0))))</f>
        <v/>
      </c>
      <c r="L47" s="9" t="str">
        <f ca="1">IF(IF(ISERROR(MATCH(Stock!L$1,'Stock UST'!$1:$1,0)),K47,INDEX('Stock UST'!47:47,1,MATCH(Stock!L$1,'Stock UST'!$1:$1,0)))=0,"",IF(ISERROR(MATCH(Stock!L$1,'Stock UST'!$1:$1,0)),K47,INDEX('Stock UST'!47:47,1,MATCH(Stock!L$1,'Stock UST'!$1:$1,0))))</f>
        <v/>
      </c>
      <c r="M47" s="9" t="str">
        <f ca="1">IF(IF(ISERROR(MATCH(Stock!M$1,'Stock UST'!$1:$1,0)),L47,INDEX('Stock UST'!47:47,1,MATCH(Stock!M$1,'Stock UST'!$1:$1,0)))=0,"",IF(ISERROR(MATCH(Stock!M$1,'Stock UST'!$1:$1,0)),L47,INDEX('Stock UST'!47:47,1,MATCH(Stock!M$1,'Stock UST'!$1:$1,0))))</f>
        <v/>
      </c>
      <c r="N47" s="9" t="str">
        <f ca="1">IF(IF(ISERROR(MATCH(Stock!N$1,'Stock UST'!$1:$1,0)),M47,INDEX('Stock UST'!47:47,1,MATCH(Stock!N$1,'Stock UST'!$1:$1,0)))=0,"",IF(ISERROR(MATCH(Stock!N$1,'Stock UST'!$1:$1,0)),M47,INDEX('Stock UST'!47:47,1,MATCH(Stock!N$1,'Stock UST'!$1:$1,0))))</f>
        <v/>
      </c>
      <c r="O47" s="9" t="str">
        <f ca="1">IF(IF(ISERROR(MATCH(Stock!O$1,'Stock UST'!$1:$1,0)),N47,INDEX('Stock UST'!47:47,1,MATCH(Stock!O$1,'Stock UST'!$1:$1,0)))=0,"",IF(ISERROR(MATCH(Stock!O$1,'Stock UST'!$1:$1,0)),N47,INDEX('Stock UST'!47:47,1,MATCH(Stock!O$1,'Stock UST'!$1:$1,0))))</f>
        <v/>
      </c>
      <c r="P47" s="9" t="str">
        <f ca="1">IF(IF(ISERROR(MATCH(Stock!P$1,'Stock UST'!$1:$1,0)),O47,INDEX('Stock UST'!47:47,1,MATCH(Stock!P$1,'Stock UST'!$1:$1,0)))=0,"",IF(ISERROR(MATCH(Stock!P$1,'Stock UST'!$1:$1,0)),O47,INDEX('Stock UST'!47:47,1,MATCH(Stock!P$1,'Stock UST'!$1:$1,0))))</f>
        <v/>
      </c>
      <c r="Q47" s="9" t="str">
        <f ca="1">IF(IF(ISERROR(MATCH(Stock!Q$1,'Stock UST'!$1:$1,0)),P47,INDEX('Stock UST'!47:47,1,MATCH(Stock!Q$1,'Stock UST'!$1:$1,0)))=0,"",IF(ISERROR(MATCH(Stock!Q$1,'Stock UST'!$1:$1,0)),P47,INDEX('Stock UST'!47:47,1,MATCH(Stock!Q$1,'Stock UST'!$1:$1,0))))</f>
        <v/>
      </c>
      <c r="R47" s="9" t="str">
        <f ca="1">IF(IF(ISERROR(MATCH(Stock!R$1,'Stock UST'!$1:$1,0)),Q47,INDEX('Stock UST'!47:47,1,MATCH(Stock!R$1,'Stock UST'!$1:$1,0)))=0,"",IF(ISERROR(MATCH(Stock!R$1,'Stock UST'!$1:$1,0)),Q47,INDEX('Stock UST'!47:47,1,MATCH(Stock!R$1,'Stock UST'!$1:$1,0))))</f>
        <v/>
      </c>
      <c r="S47" s="9" t="str">
        <f ca="1">IF(IF(ISERROR(MATCH(Stock!S$1,'Stock UST'!$1:$1,0)),R47,INDEX('Stock UST'!47:47,1,MATCH(Stock!S$1,'Stock UST'!$1:$1,0)))=0,"",IF(ISERROR(MATCH(Stock!S$1,'Stock UST'!$1:$1,0)),R47,INDEX('Stock UST'!47:47,1,MATCH(Stock!S$1,'Stock UST'!$1:$1,0))))</f>
        <v/>
      </c>
      <c r="T47" s="9" t="str">
        <f ca="1">IF(IF(ISERROR(MATCH(Stock!T$1,'Stock UST'!$1:$1,0)),S47,INDEX('Stock UST'!47:47,1,MATCH(Stock!T$1,'Stock UST'!$1:$1,0)))=0,"",IF(ISERROR(MATCH(Stock!T$1,'Stock UST'!$1:$1,0)),S47,INDEX('Stock UST'!47:47,1,MATCH(Stock!T$1,'Stock UST'!$1:$1,0))))</f>
        <v/>
      </c>
      <c r="U47" s="9" t="str">
        <f ca="1">IF(IF(ISERROR(MATCH(Stock!U$1,'Stock UST'!$1:$1,0)),T47,INDEX('Stock UST'!47:47,1,MATCH(Stock!U$1,'Stock UST'!$1:$1,0)))=0,"",IF(ISERROR(MATCH(Stock!U$1,'Stock UST'!$1:$1,0)),T47,INDEX('Stock UST'!47:47,1,MATCH(Stock!U$1,'Stock UST'!$1:$1,0))))</f>
        <v/>
      </c>
      <c r="V47" s="9" t="str">
        <f ca="1">IF(IF(ISERROR(MATCH(Stock!V$1,'Stock UST'!$1:$1,0)),U47,INDEX('Stock UST'!47:47,1,MATCH(Stock!V$1,'Stock UST'!$1:$1,0)))=0,"",IF(ISERROR(MATCH(Stock!V$1,'Stock UST'!$1:$1,0)),U47,INDEX('Stock UST'!47:47,1,MATCH(Stock!V$1,'Stock UST'!$1:$1,0))))</f>
        <v/>
      </c>
      <c r="W47" s="9" t="str">
        <f ca="1">IF(IF(ISERROR(MATCH(Stock!W$1,'Stock UST'!$1:$1,0)),V47,INDEX('Stock UST'!47:47,1,MATCH(Stock!W$1,'Stock UST'!$1:$1,0)))=0,"",IF(ISERROR(MATCH(Stock!W$1,'Stock UST'!$1:$1,0)),V47,INDEX('Stock UST'!47:47,1,MATCH(Stock!W$1,'Stock UST'!$1:$1,0))))</f>
        <v/>
      </c>
      <c r="X47" s="9" t="str">
        <f ca="1">IF(IF(ISERROR(MATCH(Stock!X$1,'Stock UST'!$1:$1,0)),W47,INDEX('Stock UST'!47:47,1,MATCH(Stock!X$1,'Stock UST'!$1:$1,0)))=0,"",IF(ISERROR(MATCH(Stock!X$1,'Stock UST'!$1:$1,0)),W47,INDEX('Stock UST'!47:47,1,MATCH(Stock!X$1,'Stock UST'!$1:$1,0))))</f>
        <v/>
      </c>
      <c r="Y47" s="9" t="str">
        <f ca="1">IF(IF(ISERROR(MATCH(Stock!Y$1,'Stock UST'!$1:$1,0)),X47,INDEX('Stock UST'!47:47,1,MATCH(Stock!Y$1,'Stock UST'!$1:$1,0)))=0,"",IF(ISERROR(MATCH(Stock!Y$1,'Stock UST'!$1:$1,0)),X47,INDEX('Stock UST'!47:47,1,MATCH(Stock!Y$1,'Stock UST'!$1:$1,0))))</f>
        <v/>
      </c>
      <c r="Z47" s="9" t="str">
        <f ca="1">IF(IF(ISERROR(MATCH(Stock!Z$1,'Stock UST'!$1:$1,0)),Y47,INDEX('Stock UST'!47:47,1,MATCH(Stock!Z$1,'Stock UST'!$1:$1,0)))=0,"",IF(ISERROR(MATCH(Stock!Z$1,'Stock UST'!$1:$1,0)),Y47,INDEX('Stock UST'!47:47,1,MATCH(Stock!Z$1,'Stock UST'!$1:$1,0))))</f>
        <v/>
      </c>
      <c r="AA47" s="9" t="str">
        <f ca="1">IF(IF(ISERROR(MATCH(Stock!AA$1,'Stock UST'!$1:$1,0)),Z47,INDEX('Stock UST'!47:47,1,MATCH(Stock!AA$1,'Stock UST'!$1:$1,0)))=0,"",IF(ISERROR(MATCH(Stock!AA$1,'Stock UST'!$1:$1,0)),Z47,INDEX('Stock UST'!47:47,1,MATCH(Stock!AA$1,'Stock UST'!$1:$1,0))))</f>
        <v/>
      </c>
      <c r="AB47" s="9" t="str">
        <f ca="1">IF(IF(ISERROR(MATCH(Stock!AB$1,'Stock UST'!$1:$1,0)),AA47,INDEX('Stock UST'!47:47,1,MATCH(Stock!AB$1,'Stock UST'!$1:$1,0)))=0,"",IF(ISERROR(MATCH(Stock!AB$1,'Stock UST'!$1:$1,0)),AA47,INDEX('Stock UST'!47:47,1,MATCH(Stock!AB$1,'Stock UST'!$1:$1,0))))</f>
        <v/>
      </c>
      <c r="AC47" s="9" t="str">
        <f ca="1">IF(IF(ISERROR(MATCH(Stock!AC$1,'Stock UST'!$1:$1,0)),AB47,INDEX('Stock UST'!47:47,1,MATCH(Stock!AC$1,'Stock UST'!$1:$1,0)))=0,"",IF(ISERROR(MATCH(Stock!AC$1,'Stock UST'!$1:$1,0)),AB47,INDEX('Stock UST'!47:47,1,MATCH(Stock!AC$1,'Stock UST'!$1:$1,0))))</f>
        <v/>
      </c>
      <c r="AD47" s="9" t="str">
        <f ca="1">IF(IF(ISERROR(MATCH(Stock!AD$1,'Stock UST'!$1:$1,0)),AC47,INDEX('Stock UST'!47:47,1,MATCH(Stock!AD$1,'Stock UST'!$1:$1,0)))=0,"",IF(ISERROR(MATCH(Stock!AD$1,'Stock UST'!$1:$1,0)),AC47,INDEX('Stock UST'!47:47,1,MATCH(Stock!AD$1,'Stock UST'!$1:$1,0))))</f>
        <v/>
      </c>
      <c r="AE47" s="9" t="str">
        <f ca="1">IF(IF(ISERROR(MATCH(Stock!AE$1,'Stock UST'!$1:$1,0)),AD47,INDEX('Stock UST'!47:47,1,MATCH(Stock!AE$1,'Stock UST'!$1:$1,0)))=0,"",IF(ISERROR(MATCH(Stock!AE$1,'Stock UST'!$1:$1,0)),AD47,INDEX('Stock UST'!47:47,1,MATCH(Stock!AE$1,'Stock UST'!$1:$1,0))))</f>
        <v/>
      </c>
      <c r="AF47" s="9" t="str">
        <f ca="1">IF(IF(ISERROR(MATCH(Stock!AF$1,'Stock UST'!$1:$1,0)),AE47,INDEX('Stock UST'!47:47,1,MATCH(Stock!AF$1,'Stock UST'!$1:$1,0)))=0,"",IF(ISERROR(MATCH(Stock!AF$1,'Stock UST'!$1:$1,0)),AE47,INDEX('Stock UST'!47:47,1,MATCH(Stock!AF$1,'Stock UST'!$1:$1,0))))</f>
        <v/>
      </c>
      <c r="AG47" s="9" t="str">
        <f ca="1">IF(IF(ISERROR(MATCH(Stock!AG$1,'Stock UST'!$1:$1,0)),AF47,INDEX('Stock UST'!47:47,1,MATCH(Stock!AG$1,'Stock UST'!$1:$1,0)))=0,"",IF(ISERROR(MATCH(Stock!AG$1,'Stock UST'!$1:$1,0)),AF47,INDEX('Stock UST'!47:47,1,MATCH(Stock!AG$1,'Stock UST'!$1:$1,0))))</f>
        <v/>
      </c>
      <c r="AH47" s="9" t="str">
        <f ca="1">IF(IF(ISERROR(MATCH(Stock!AH$1,'Stock UST'!$1:$1,0)),AG47,INDEX('Stock UST'!47:47,1,MATCH(Stock!AH$1,'Stock UST'!$1:$1,0)))=0,"",IF(ISERROR(MATCH(Stock!AH$1,'Stock UST'!$1:$1,0)),AG47,INDEX('Stock UST'!47:47,1,MATCH(Stock!AH$1,'Stock UST'!$1:$1,0))))</f>
        <v/>
      </c>
      <c r="AI47" s="9" t="str">
        <f ca="1">IF(IF(ISERROR(MATCH(Stock!AI$1,'Stock UST'!$1:$1,0)),AH47,INDEX('Stock UST'!47:47,1,MATCH(Stock!AI$1,'Stock UST'!$1:$1,0)))=0,"",IF(ISERROR(MATCH(Stock!AI$1,'Stock UST'!$1:$1,0)),AH47,INDEX('Stock UST'!47:47,1,MATCH(Stock!AI$1,'Stock UST'!$1:$1,0))))</f>
        <v/>
      </c>
      <c r="AJ47" s="9" t="str">
        <f ca="1">IF(IF(ISERROR(MATCH(Stock!AJ$1,'Stock UST'!$1:$1,0)),AI47,INDEX('Stock UST'!47:47,1,MATCH(Stock!AJ$1,'Stock UST'!$1:$1,0)))=0,"",IF(ISERROR(MATCH(Stock!AJ$1,'Stock UST'!$1:$1,0)),AI47,INDEX('Stock UST'!47:47,1,MATCH(Stock!AJ$1,'Stock UST'!$1:$1,0))))</f>
        <v/>
      </c>
      <c r="AK47" s="9" t="str">
        <f ca="1">IF(IF(ISERROR(MATCH(Stock!AK$1,'Stock UST'!$1:$1,0)),AJ47,INDEX('Stock UST'!47:47,1,MATCH(Stock!AK$1,'Stock UST'!$1:$1,0)))=0,"",IF(ISERROR(MATCH(Stock!AK$1,'Stock UST'!$1:$1,0)),AJ47,INDEX('Stock UST'!47:47,1,MATCH(Stock!AK$1,'Stock UST'!$1:$1,0))))</f>
        <v/>
      </c>
      <c r="AL47" s="9" t="str">
        <f ca="1">IF(IF(ISERROR(MATCH(Stock!AL$1,'Stock UST'!$1:$1,0)),AK47,INDEX('Stock UST'!47:47,1,MATCH(Stock!AL$1,'Stock UST'!$1:$1,0)))=0,"",IF(ISERROR(MATCH(Stock!AL$1,'Stock UST'!$1:$1,0)),AK47,INDEX('Stock UST'!47:47,1,MATCH(Stock!AL$1,'Stock UST'!$1:$1,0))))</f>
        <v/>
      </c>
      <c r="AM47" s="9" t="str">
        <f ca="1">IF(IF(ISERROR(MATCH(Stock!AM$1,'Stock UST'!$1:$1,0)),AL47,INDEX('Stock UST'!47:47,1,MATCH(Stock!AM$1,'Stock UST'!$1:$1,0)))=0,"",IF(ISERROR(MATCH(Stock!AM$1,'Stock UST'!$1:$1,0)),AL47,INDEX('Stock UST'!47:47,1,MATCH(Stock!AM$1,'Stock UST'!$1:$1,0))))</f>
        <v/>
      </c>
      <c r="AN47" s="9" t="str">
        <f ca="1">IF(IF(ISERROR(MATCH(Stock!AN$1,'Stock UST'!$1:$1,0)),AM47,INDEX('Stock UST'!47:47,1,MATCH(Stock!AN$1,'Stock UST'!$1:$1,0)))=0,"",IF(ISERROR(MATCH(Stock!AN$1,'Stock UST'!$1:$1,0)),AM47,INDEX('Stock UST'!47:47,1,MATCH(Stock!AN$1,'Stock UST'!$1:$1,0))))</f>
        <v/>
      </c>
      <c r="AO47" s="9" t="str">
        <f ca="1">IF(IF(ISERROR(MATCH(Stock!AO$1,'Stock UST'!$1:$1,0)),AN47,INDEX('Stock UST'!47:47,1,MATCH(Stock!AO$1,'Stock UST'!$1:$1,0)))=0,"",IF(ISERROR(MATCH(Stock!AO$1,'Stock UST'!$1:$1,0)),AN47,INDEX('Stock UST'!47:47,1,MATCH(Stock!AO$1,'Stock UST'!$1:$1,0))))</f>
        <v/>
      </c>
      <c r="AP47" s="9" t="str">
        <f ca="1">IF(IF(ISERROR(MATCH(Stock!AP$1,'Stock UST'!$1:$1,0)),AO47,INDEX('Stock UST'!47:47,1,MATCH(Stock!AP$1,'Stock UST'!$1:$1,0)))=0,"",IF(ISERROR(MATCH(Stock!AP$1,'Stock UST'!$1:$1,0)),AO47,INDEX('Stock UST'!47:47,1,MATCH(Stock!AP$1,'Stock UST'!$1:$1,0))))</f>
        <v/>
      </c>
      <c r="AQ47" s="9" t="str">
        <f ca="1">IF(IF(ISERROR(MATCH(Stock!AQ$1,'Stock UST'!$1:$1,0)),AP47,INDEX('Stock UST'!47:47,1,MATCH(Stock!AQ$1,'Stock UST'!$1:$1,0)))=0,"",IF(ISERROR(MATCH(Stock!AQ$1,'Stock UST'!$1:$1,0)),AP47,INDEX('Stock UST'!47:47,1,MATCH(Stock!AQ$1,'Stock UST'!$1:$1,0))))</f>
        <v/>
      </c>
      <c r="AR47" s="9" t="str">
        <f ca="1">IF(IF(ISERROR(MATCH(Stock!AR$1,'Stock UST'!$1:$1,0)),AQ47,INDEX('Stock UST'!47:47,1,MATCH(Stock!AR$1,'Stock UST'!$1:$1,0)))=0,"",IF(ISERROR(MATCH(Stock!AR$1,'Stock UST'!$1:$1,0)),AQ47,INDEX('Stock UST'!47:47,1,MATCH(Stock!AR$1,'Stock UST'!$1:$1,0))))</f>
        <v/>
      </c>
      <c r="AS47" s="9" t="str">
        <f ca="1">IF(IF(ISERROR(MATCH(Stock!AS$1,'Stock UST'!$1:$1,0)),AR47,INDEX('Stock UST'!47:47,1,MATCH(Stock!AS$1,'Stock UST'!$1:$1,0)))=0,"",IF(ISERROR(MATCH(Stock!AS$1,'Stock UST'!$1:$1,0)),AR47,INDEX('Stock UST'!47:47,1,MATCH(Stock!AS$1,'Stock UST'!$1:$1,0))))</f>
        <v/>
      </c>
      <c r="AT47" s="9" t="str">
        <f ca="1">IF(IF(ISERROR(MATCH(Stock!AT$1,'Stock UST'!$1:$1,0)),AS47,INDEX('Stock UST'!47:47,1,MATCH(Stock!AT$1,'Stock UST'!$1:$1,0)))=0,"",IF(ISERROR(MATCH(Stock!AT$1,'Stock UST'!$1:$1,0)),AS47,INDEX('Stock UST'!47:47,1,MATCH(Stock!AT$1,'Stock UST'!$1:$1,0))))</f>
        <v/>
      </c>
      <c r="AU47" s="9" t="str">
        <f ca="1">IF(IF(ISERROR(MATCH(Stock!AU$1,'Stock UST'!$1:$1,0)),AT47,INDEX('Stock UST'!47:47,1,MATCH(Stock!AU$1,'Stock UST'!$1:$1,0)))=0,"",IF(ISERROR(MATCH(Stock!AU$1,'Stock UST'!$1:$1,0)),AT47,INDEX('Stock UST'!47:47,1,MATCH(Stock!AU$1,'Stock UST'!$1:$1,0))))</f>
        <v/>
      </c>
      <c r="AV47" s="9" t="str">
        <f ca="1">IF(IF(ISERROR(MATCH(Stock!AV$1,'Stock UST'!$1:$1,0)),AU47,INDEX('Stock UST'!47:47,1,MATCH(Stock!AV$1,'Stock UST'!$1:$1,0)))=0,"",IF(ISERROR(MATCH(Stock!AV$1,'Stock UST'!$1:$1,0)),AU47,INDEX('Stock UST'!47:47,1,MATCH(Stock!AV$1,'Stock UST'!$1:$1,0))))</f>
        <v/>
      </c>
      <c r="AW47" s="9" t="str">
        <f ca="1">IF(IF(ISERROR(MATCH(Stock!AW$1,'Stock UST'!$1:$1,0)),AV47,INDEX('Stock UST'!47:47,1,MATCH(Stock!AW$1,'Stock UST'!$1:$1,0)))=0,"",IF(ISERROR(MATCH(Stock!AW$1,'Stock UST'!$1:$1,0)),AV47,INDEX('Stock UST'!47:47,1,MATCH(Stock!AW$1,'Stock UST'!$1:$1,0))))</f>
        <v/>
      </c>
      <c r="AX47" s="9" t="str">
        <f ca="1">IF(IF(ISERROR(MATCH(Stock!AX$1,'Stock UST'!$1:$1,0)),AW47,INDEX('Stock UST'!47:47,1,MATCH(Stock!AX$1,'Stock UST'!$1:$1,0)))=0,"",IF(ISERROR(MATCH(Stock!AX$1,'Stock UST'!$1:$1,0)),AW47,INDEX('Stock UST'!47:47,1,MATCH(Stock!AX$1,'Stock UST'!$1:$1,0))))</f>
        <v/>
      </c>
    </row>
    <row r="48" spans="1:50" x14ac:dyDescent="0.3">
      <c r="A48" s="9" t="str">
        <f>IF('Stock UST'!E48="","",'Stock UST'!E48)</f>
        <v/>
      </c>
      <c r="B48" s="9" t="str">
        <f>IF(IF(ISERROR(MATCH(Stock!B$1,'Stock UST'!$1:$1,0)),A48,INDEX('Stock UST'!48:48,1,MATCH(Stock!B$1,'Stock UST'!$1:$1,0)))=0,"",IF(ISERROR(MATCH(Stock!B$1,'Stock UST'!$1:$1,0)),A48,INDEX('Stock UST'!48:48,1,MATCH(Stock!B$1,'Stock UST'!$1:$1,0))))</f>
        <v/>
      </c>
      <c r="C48" s="9" t="str">
        <f ca="1">IF(IF(ISERROR(MATCH(Stock!C$1,'Stock UST'!$1:$1,0)),B48,INDEX('Stock UST'!48:48,1,MATCH(Stock!C$1,'Stock UST'!$1:$1,0)))=0,"",IF(ISERROR(MATCH(Stock!C$1,'Stock UST'!$1:$1,0)),B48,INDEX('Stock UST'!48:48,1,MATCH(Stock!C$1,'Stock UST'!$1:$1,0))))</f>
        <v/>
      </c>
      <c r="D48" s="9" t="str">
        <f ca="1">IF(IF(ISERROR(MATCH(Stock!D$1,'Stock UST'!$1:$1,0)),C48,INDEX('Stock UST'!48:48,1,MATCH(Stock!D$1,'Stock UST'!$1:$1,0)))=0,"",IF(ISERROR(MATCH(Stock!D$1,'Stock UST'!$1:$1,0)),C48,INDEX('Stock UST'!48:48,1,MATCH(Stock!D$1,'Stock UST'!$1:$1,0))))</f>
        <v/>
      </c>
      <c r="E48" s="9" t="str">
        <f ca="1">IF(IF(ISERROR(MATCH(Stock!E$1,'Stock UST'!$1:$1,0)),D48,INDEX('Stock UST'!48:48,1,MATCH(Stock!E$1,'Stock UST'!$1:$1,0)))=0,"",IF(ISERROR(MATCH(Stock!E$1,'Stock UST'!$1:$1,0)),D48,INDEX('Stock UST'!48:48,1,MATCH(Stock!E$1,'Stock UST'!$1:$1,0))))</f>
        <v/>
      </c>
      <c r="F48" s="9" t="str">
        <f ca="1">IF(IF(ISERROR(MATCH(Stock!F$1,'Stock UST'!$1:$1,0)),E48,INDEX('Stock UST'!48:48,1,MATCH(Stock!F$1,'Stock UST'!$1:$1,0)))=0,"",IF(ISERROR(MATCH(Stock!F$1,'Stock UST'!$1:$1,0)),E48,INDEX('Stock UST'!48:48,1,MATCH(Stock!F$1,'Stock UST'!$1:$1,0))))</f>
        <v/>
      </c>
      <c r="G48" s="9" t="str">
        <f ca="1">IF(IF(ISERROR(MATCH(Stock!G$1,'Stock UST'!$1:$1,0)),F48,INDEX('Stock UST'!48:48,1,MATCH(Stock!G$1,'Stock UST'!$1:$1,0)))=0,"",IF(ISERROR(MATCH(Stock!G$1,'Stock UST'!$1:$1,0)),F48,INDEX('Stock UST'!48:48,1,MATCH(Stock!G$1,'Stock UST'!$1:$1,0))))</f>
        <v/>
      </c>
      <c r="H48" s="9" t="str">
        <f ca="1">IF(IF(ISERROR(MATCH(Stock!H$1,'Stock UST'!$1:$1,0)),G48,INDEX('Stock UST'!48:48,1,MATCH(Stock!H$1,'Stock UST'!$1:$1,0)))=0,"",IF(ISERROR(MATCH(Stock!H$1,'Stock UST'!$1:$1,0)),G48,INDEX('Stock UST'!48:48,1,MATCH(Stock!H$1,'Stock UST'!$1:$1,0))))</f>
        <v/>
      </c>
      <c r="I48" s="9" t="str">
        <f ca="1">IF(IF(ISERROR(MATCH(Stock!I$1,'Stock UST'!$1:$1,0)),H48,INDEX('Stock UST'!48:48,1,MATCH(Stock!I$1,'Stock UST'!$1:$1,0)))=0,"",IF(ISERROR(MATCH(Stock!I$1,'Stock UST'!$1:$1,0)),H48,INDEX('Stock UST'!48:48,1,MATCH(Stock!I$1,'Stock UST'!$1:$1,0))))</f>
        <v/>
      </c>
      <c r="J48" s="9" t="str">
        <f ca="1">IF(IF(ISERROR(MATCH(Stock!J$1,'Stock UST'!$1:$1,0)),I48,INDEX('Stock UST'!48:48,1,MATCH(Stock!J$1,'Stock UST'!$1:$1,0)))=0,"",IF(ISERROR(MATCH(Stock!J$1,'Stock UST'!$1:$1,0)),I48,INDEX('Stock UST'!48:48,1,MATCH(Stock!J$1,'Stock UST'!$1:$1,0))))</f>
        <v/>
      </c>
      <c r="K48" s="9" t="str">
        <f ca="1">IF(IF(ISERROR(MATCH(Stock!K$1,'Stock UST'!$1:$1,0)),J48,INDEX('Stock UST'!48:48,1,MATCH(Stock!K$1,'Stock UST'!$1:$1,0)))=0,"",IF(ISERROR(MATCH(Stock!K$1,'Stock UST'!$1:$1,0)),J48,INDEX('Stock UST'!48:48,1,MATCH(Stock!K$1,'Stock UST'!$1:$1,0))))</f>
        <v/>
      </c>
      <c r="L48" s="9" t="str">
        <f ca="1">IF(IF(ISERROR(MATCH(Stock!L$1,'Stock UST'!$1:$1,0)),K48,INDEX('Stock UST'!48:48,1,MATCH(Stock!L$1,'Stock UST'!$1:$1,0)))=0,"",IF(ISERROR(MATCH(Stock!L$1,'Stock UST'!$1:$1,0)),K48,INDEX('Stock UST'!48:48,1,MATCH(Stock!L$1,'Stock UST'!$1:$1,0))))</f>
        <v/>
      </c>
      <c r="M48" s="9" t="str">
        <f ca="1">IF(IF(ISERROR(MATCH(Stock!M$1,'Stock UST'!$1:$1,0)),L48,INDEX('Stock UST'!48:48,1,MATCH(Stock!M$1,'Stock UST'!$1:$1,0)))=0,"",IF(ISERROR(MATCH(Stock!M$1,'Stock UST'!$1:$1,0)),L48,INDEX('Stock UST'!48:48,1,MATCH(Stock!M$1,'Stock UST'!$1:$1,0))))</f>
        <v/>
      </c>
      <c r="N48" s="9" t="str">
        <f ca="1">IF(IF(ISERROR(MATCH(Stock!N$1,'Stock UST'!$1:$1,0)),M48,INDEX('Stock UST'!48:48,1,MATCH(Stock!N$1,'Stock UST'!$1:$1,0)))=0,"",IF(ISERROR(MATCH(Stock!N$1,'Stock UST'!$1:$1,0)),M48,INDEX('Stock UST'!48:48,1,MATCH(Stock!N$1,'Stock UST'!$1:$1,0))))</f>
        <v/>
      </c>
      <c r="O48" s="9" t="str">
        <f ca="1">IF(IF(ISERROR(MATCH(Stock!O$1,'Stock UST'!$1:$1,0)),N48,INDEX('Stock UST'!48:48,1,MATCH(Stock!O$1,'Stock UST'!$1:$1,0)))=0,"",IF(ISERROR(MATCH(Stock!O$1,'Stock UST'!$1:$1,0)),N48,INDEX('Stock UST'!48:48,1,MATCH(Stock!O$1,'Stock UST'!$1:$1,0))))</f>
        <v/>
      </c>
      <c r="P48" s="9" t="str">
        <f ca="1">IF(IF(ISERROR(MATCH(Stock!P$1,'Stock UST'!$1:$1,0)),O48,INDEX('Stock UST'!48:48,1,MATCH(Stock!P$1,'Stock UST'!$1:$1,0)))=0,"",IF(ISERROR(MATCH(Stock!P$1,'Stock UST'!$1:$1,0)),O48,INDEX('Stock UST'!48:48,1,MATCH(Stock!P$1,'Stock UST'!$1:$1,0))))</f>
        <v/>
      </c>
      <c r="Q48" s="9" t="str">
        <f ca="1">IF(IF(ISERROR(MATCH(Stock!Q$1,'Stock UST'!$1:$1,0)),P48,INDEX('Stock UST'!48:48,1,MATCH(Stock!Q$1,'Stock UST'!$1:$1,0)))=0,"",IF(ISERROR(MATCH(Stock!Q$1,'Stock UST'!$1:$1,0)),P48,INDEX('Stock UST'!48:48,1,MATCH(Stock!Q$1,'Stock UST'!$1:$1,0))))</f>
        <v/>
      </c>
      <c r="R48" s="9" t="str">
        <f ca="1">IF(IF(ISERROR(MATCH(Stock!R$1,'Stock UST'!$1:$1,0)),Q48,INDEX('Stock UST'!48:48,1,MATCH(Stock!R$1,'Stock UST'!$1:$1,0)))=0,"",IF(ISERROR(MATCH(Stock!R$1,'Stock UST'!$1:$1,0)),Q48,INDEX('Stock UST'!48:48,1,MATCH(Stock!R$1,'Stock UST'!$1:$1,0))))</f>
        <v/>
      </c>
      <c r="S48" s="9" t="str">
        <f ca="1">IF(IF(ISERROR(MATCH(Stock!S$1,'Stock UST'!$1:$1,0)),R48,INDEX('Stock UST'!48:48,1,MATCH(Stock!S$1,'Stock UST'!$1:$1,0)))=0,"",IF(ISERROR(MATCH(Stock!S$1,'Stock UST'!$1:$1,0)),R48,INDEX('Stock UST'!48:48,1,MATCH(Stock!S$1,'Stock UST'!$1:$1,0))))</f>
        <v/>
      </c>
      <c r="T48" s="9" t="str">
        <f ca="1">IF(IF(ISERROR(MATCH(Stock!T$1,'Stock UST'!$1:$1,0)),S48,INDEX('Stock UST'!48:48,1,MATCH(Stock!T$1,'Stock UST'!$1:$1,0)))=0,"",IF(ISERROR(MATCH(Stock!T$1,'Stock UST'!$1:$1,0)),S48,INDEX('Stock UST'!48:48,1,MATCH(Stock!T$1,'Stock UST'!$1:$1,0))))</f>
        <v/>
      </c>
      <c r="U48" s="9" t="str">
        <f ca="1">IF(IF(ISERROR(MATCH(Stock!U$1,'Stock UST'!$1:$1,0)),T48,INDEX('Stock UST'!48:48,1,MATCH(Stock!U$1,'Stock UST'!$1:$1,0)))=0,"",IF(ISERROR(MATCH(Stock!U$1,'Stock UST'!$1:$1,0)),T48,INDEX('Stock UST'!48:48,1,MATCH(Stock!U$1,'Stock UST'!$1:$1,0))))</f>
        <v/>
      </c>
      <c r="V48" s="9" t="str">
        <f ca="1">IF(IF(ISERROR(MATCH(Stock!V$1,'Stock UST'!$1:$1,0)),U48,INDEX('Stock UST'!48:48,1,MATCH(Stock!V$1,'Stock UST'!$1:$1,0)))=0,"",IF(ISERROR(MATCH(Stock!V$1,'Stock UST'!$1:$1,0)),U48,INDEX('Stock UST'!48:48,1,MATCH(Stock!V$1,'Stock UST'!$1:$1,0))))</f>
        <v/>
      </c>
      <c r="W48" s="9" t="str">
        <f ca="1">IF(IF(ISERROR(MATCH(Stock!W$1,'Stock UST'!$1:$1,0)),V48,INDEX('Stock UST'!48:48,1,MATCH(Stock!W$1,'Stock UST'!$1:$1,0)))=0,"",IF(ISERROR(MATCH(Stock!W$1,'Stock UST'!$1:$1,0)),V48,INDEX('Stock UST'!48:48,1,MATCH(Stock!W$1,'Stock UST'!$1:$1,0))))</f>
        <v/>
      </c>
      <c r="X48" s="9" t="str">
        <f ca="1">IF(IF(ISERROR(MATCH(Stock!X$1,'Stock UST'!$1:$1,0)),W48,INDEX('Stock UST'!48:48,1,MATCH(Stock!X$1,'Stock UST'!$1:$1,0)))=0,"",IF(ISERROR(MATCH(Stock!X$1,'Stock UST'!$1:$1,0)),W48,INDEX('Stock UST'!48:48,1,MATCH(Stock!X$1,'Stock UST'!$1:$1,0))))</f>
        <v/>
      </c>
      <c r="Y48" s="9" t="str">
        <f ca="1">IF(IF(ISERROR(MATCH(Stock!Y$1,'Stock UST'!$1:$1,0)),X48,INDEX('Stock UST'!48:48,1,MATCH(Stock!Y$1,'Stock UST'!$1:$1,0)))=0,"",IF(ISERROR(MATCH(Stock!Y$1,'Stock UST'!$1:$1,0)),X48,INDEX('Stock UST'!48:48,1,MATCH(Stock!Y$1,'Stock UST'!$1:$1,0))))</f>
        <v/>
      </c>
      <c r="Z48" s="9" t="str">
        <f ca="1">IF(IF(ISERROR(MATCH(Stock!Z$1,'Stock UST'!$1:$1,0)),Y48,INDEX('Stock UST'!48:48,1,MATCH(Stock!Z$1,'Stock UST'!$1:$1,0)))=0,"",IF(ISERROR(MATCH(Stock!Z$1,'Stock UST'!$1:$1,0)),Y48,INDEX('Stock UST'!48:48,1,MATCH(Stock!Z$1,'Stock UST'!$1:$1,0))))</f>
        <v/>
      </c>
      <c r="AA48" s="9" t="str">
        <f ca="1">IF(IF(ISERROR(MATCH(Stock!AA$1,'Stock UST'!$1:$1,0)),Z48,INDEX('Stock UST'!48:48,1,MATCH(Stock!AA$1,'Stock UST'!$1:$1,0)))=0,"",IF(ISERROR(MATCH(Stock!AA$1,'Stock UST'!$1:$1,0)),Z48,INDEX('Stock UST'!48:48,1,MATCH(Stock!AA$1,'Stock UST'!$1:$1,0))))</f>
        <v/>
      </c>
      <c r="AB48" s="9" t="str">
        <f ca="1">IF(IF(ISERROR(MATCH(Stock!AB$1,'Stock UST'!$1:$1,0)),AA48,INDEX('Stock UST'!48:48,1,MATCH(Stock!AB$1,'Stock UST'!$1:$1,0)))=0,"",IF(ISERROR(MATCH(Stock!AB$1,'Stock UST'!$1:$1,0)),AA48,INDEX('Stock UST'!48:48,1,MATCH(Stock!AB$1,'Stock UST'!$1:$1,0))))</f>
        <v/>
      </c>
      <c r="AC48" s="9" t="str">
        <f ca="1">IF(IF(ISERROR(MATCH(Stock!AC$1,'Stock UST'!$1:$1,0)),AB48,INDEX('Stock UST'!48:48,1,MATCH(Stock!AC$1,'Stock UST'!$1:$1,0)))=0,"",IF(ISERROR(MATCH(Stock!AC$1,'Stock UST'!$1:$1,0)),AB48,INDEX('Stock UST'!48:48,1,MATCH(Stock!AC$1,'Stock UST'!$1:$1,0))))</f>
        <v/>
      </c>
      <c r="AD48" s="9" t="str">
        <f ca="1">IF(IF(ISERROR(MATCH(Stock!AD$1,'Stock UST'!$1:$1,0)),AC48,INDEX('Stock UST'!48:48,1,MATCH(Stock!AD$1,'Stock UST'!$1:$1,0)))=0,"",IF(ISERROR(MATCH(Stock!AD$1,'Stock UST'!$1:$1,0)),AC48,INDEX('Stock UST'!48:48,1,MATCH(Stock!AD$1,'Stock UST'!$1:$1,0))))</f>
        <v/>
      </c>
      <c r="AE48" s="9" t="str">
        <f ca="1">IF(IF(ISERROR(MATCH(Stock!AE$1,'Stock UST'!$1:$1,0)),AD48,INDEX('Stock UST'!48:48,1,MATCH(Stock!AE$1,'Stock UST'!$1:$1,0)))=0,"",IF(ISERROR(MATCH(Stock!AE$1,'Stock UST'!$1:$1,0)),AD48,INDEX('Stock UST'!48:48,1,MATCH(Stock!AE$1,'Stock UST'!$1:$1,0))))</f>
        <v/>
      </c>
      <c r="AF48" s="9" t="str">
        <f ca="1">IF(IF(ISERROR(MATCH(Stock!AF$1,'Stock UST'!$1:$1,0)),AE48,INDEX('Stock UST'!48:48,1,MATCH(Stock!AF$1,'Stock UST'!$1:$1,0)))=0,"",IF(ISERROR(MATCH(Stock!AF$1,'Stock UST'!$1:$1,0)),AE48,INDEX('Stock UST'!48:48,1,MATCH(Stock!AF$1,'Stock UST'!$1:$1,0))))</f>
        <v/>
      </c>
      <c r="AG48" s="9" t="str">
        <f ca="1">IF(IF(ISERROR(MATCH(Stock!AG$1,'Stock UST'!$1:$1,0)),AF48,INDEX('Stock UST'!48:48,1,MATCH(Stock!AG$1,'Stock UST'!$1:$1,0)))=0,"",IF(ISERROR(MATCH(Stock!AG$1,'Stock UST'!$1:$1,0)),AF48,INDEX('Stock UST'!48:48,1,MATCH(Stock!AG$1,'Stock UST'!$1:$1,0))))</f>
        <v/>
      </c>
      <c r="AH48" s="9" t="str">
        <f ca="1">IF(IF(ISERROR(MATCH(Stock!AH$1,'Stock UST'!$1:$1,0)),AG48,INDEX('Stock UST'!48:48,1,MATCH(Stock!AH$1,'Stock UST'!$1:$1,0)))=0,"",IF(ISERROR(MATCH(Stock!AH$1,'Stock UST'!$1:$1,0)),AG48,INDEX('Stock UST'!48:48,1,MATCH(Stock!AH$1,'Stock UST'!$1:$1,0))))</f>
        <v/>
      </c>
      <c r="AI48" s="9" t="str">
        <f ca="1">IF(IF(ISERROR(MATCH(Stock!AI$1,'Stock UST'!$1:$1,0)),AH48,INDEX('Stock UST'!48:48,1,MATCH(Stock!AI$1,'Stock UST'!$1:$1,0)))=0,"",IF(ISERROR(MATCH(Stock!AI$1,'Stock UST'!$1:$1,0)),AH48,INDEX('Stock UST'!48:48,1,MATCH(Stock!AI$1,'Stock UST'!$1:$1,0))))</f>
        <v/>
      </c>
      <c r="AJ48" s="9" t="str">
        <f ca="1">IF(IF(ISERROR(MATCH(Stock!AJ$1,'Stock UST'!$1:$1,0)),AI48,INDEX('Stock UST'!48:48,1,MATCH(Stock!AJ$1,'Stock UST'!$1:$1,0)))=0,"",IF(ISERROR(MATCH(Stock!AJ$1,'Stock UST'!$1:$1,0)),AI48,INDEX('Stock UST'!48:48,1,MATCH(Stock!AJ$1,'Stock UST'!$1:$1,0))))</f>
        <v/>
      </c>
      <c r="AK48" s="9" t="str">
        <f ca="1">IF(IF(ISERROR(MATCH(Stock!AK$1,'Stock UST'!$1:$1,0)),AJ48,INDEX('Stock UST'!48:48,1,MATCH(Stock!AK$1,'Stock UST'!$1:$1,0)))=0,"",IF(ISERROR(MATCH(Stock!AK$1,'Stock UST'!$1:$1,0)),AJ48,INDEX('Stock UST'!48:48,1,MATCH(Stock!AK$1,'Stock UST'!$1:$1,0))))</f>
        <v/>
      </c>
      <c r="AL48" s="9" t="str">
        <f ca="1">IF(IF(ISERROR(MATCH(Stock!AL$1,'Stock UST'!$1:$1,0)),AK48,INDEX('Stock UST'!48:48,1,MATCH(Stock!AL$1,'Stock UST'!$1:$1,0)))=0,"",IF(ISERROR(MATCH(Stock!AL$1,'Stock UST'!$1:$1,0)),AK48,INDEX('Stock UST'!48:48,1,MATCH(Stock!AL$1,'Stock UST'!$1:$1,0))))</f>
        <v/>
      </c>
      <c r="AM48" s="9" t="str">
        <f ca="1">IF(IF(ISERROR(MATCH(Stock!AM$1,'Stock UST'!$1:$1,0)),AL48,INDEX('Stock UST'!48:48,1,MATCH(Stock!AM$1,'Stock UST'!$1:$1,0)))=0,"",IF(ISERROR(MATCH(Stock!AM$1,'Stock UST'!$1:$1,0)),AL48,INDEX('Stock UST'!48:48,1,MATCH(Stock!AM$1,'Stock UST'!$1:$1,0))))</f>
        <v/>
      </c>
      <c r="AN48" s="9" t="str">
        <f ca="1">IF(IF(ISERROR(MATCH(Stock!AN$1,'Stock UST'!$1:$1,0)),AM48,INDEX('Stock UST'!48:48,1,MATCH(Stock!AN$1,'Stock UST'!$1:$1,0)))=0,"",IF(ISERROR(MATCH(Stock!AN$1,'Stock UST'!$1:$1,0)),AM48,INDEX('Stock UST'!48:48,1,MATCH(Stock!AN$1,'Stock UST'!$1:$1,0))))</f>
        <v/>
      </c>
      <c r="AO48" s="9" t="str">
        <f ca="1">IF(IF(ISERROR(MATCH(Stock!AO$1,'Stock UST'!$1:$1,0)),AN48,INDEX('Stock UST'!48:48,1,MATCH(Stock!AO$1,'Stock UST'!$1:$1,0)))=0,"",IF(ISERROR(MATCH(Stock!AO$1,'Stock UST'!$1:$1,0)),AN48,INDEX('Stock UST'!48:48,1,MATCH(Stock!AO$1,'Stock UST'!$1:$1,0))))</f>
        <v/>
      </c>
      <c r="AP48" s="9" t="str">
        <f ca="1">IF(IF(ISERROR(MATCH(Stock!AP$1,'Stock UST'!$1:$1,0)),AO48,INDEX('Stock UST'!48:48,1,MATCH(Stock!AP$1,'Stock UST'!$1:$1,0)))=0,"",IF(ISERROR(MATCH(Stock!AP$1,'Stock UST'!$1:$1,0)),AO48,INDEX('Stock UST'!48:48,1,MATCH(Stock!AP$1,'Stock UST'!$1:$1,0))))</f>
        <v/>
      </c>
      <c r="AQ48" s="9" t="str">
        <f ca="1">IF(IF(ISERROR(MATCH(Stock!AQ$1,'Stock UST'!$1:$1,0)),AP48,INDEX('Stock UST'!48:48,1,MATCH(Stock!AQ$1,'Stock UST'!$1:$1,0)))=0,"",IF(ISERROR(MATCH(Stock!AQ$1,'Stock UST'!$1:$1,0)),AP48,INDEX('Stock UST'!48:48,1,MATCH(Stock!AQ$1,'Stock UST'!$1:$1,0))))</f>
        <v/>
      </c>
      <c r="AR48" s="9" t="str">
        <f ca="1">IF(IF(ISERROR(MATCH(Stock!AR$1,'Stock UST'!$1:$1,0)),AQ48,INDEX('Stock UST'!48:48,1,MATCH(Stock!AR$1,'Stock UST'!$1:$1,0)))=0,"",IF(ISERROR(MATCH(Stock!AR$1,'Stock UST'!$1:$1,0)),AQ48,INDEX('Stock UST'!48:48,1,MATCH(Stock!AR$1,'Stock UST'!$1:$1,0))))</f>
        <v/>
      </c>
      <c r="AS48" s="9" t="str">
        <f ca="1">IF(IF(ISERROR(MATCH(Stock!AS$1,'Stock UST'!$1:$1,0)),AR48,INDEX('Stock UST'!48:48,1,MATCH(Stock!AS$1,'Stock UST'!$1:$1,0)))=0,"",IF(ISERROR(MATCH(Stock!AS$1,'Stock UST'!$1:$1,0)),AR48,INDEX('Stock UST'!48:48,1,MATCH(Stock!AS$1,'Stock UST'!$1:$1,0))))</f>
        <v/>
      </c>
      <c r="AT48" s="9" t="str">
        <f ca="1">IF(IF(ISERROR(MATCH(Stock!AT$1,'Stock UST'!$1:$1,0)),AS48,INDEX('Stock UST'!48:48,1,MATCH(Stock!AT$1,'Stock UST'!$1:$1,0)))=0,"",IF(ISERROR(MATCH(Stock!AT$1,'Stock UST'!$1:$1,0)),AS48,INDEX('Stock UST'!48:48,1,MATCH(Stock!AT$1,'Stock UST'!$1:$1,0))))</f>
        <v/>
      </c>
      <c r="AU48" s="9" t="str">
        <f ca="1">IF(IF(ISERROR(MATCH(Stock!AU$1,'Stock UST'!$1:$1,0)),AT48,INDEX('Stock UST'!48:48,1,MATCH(Stock!AU$1,'Stock UST'!$1:$1,0)))=0,"",IF(ISERROR(MATCH(Stock!AU$1,'Stock UST'!$1:$1,0)),AT48,INDEX('Stock UST'!48:48,1,MATCH(Stock!AU$1,'Stock UST'!$1:$1,0))))</f>
        <v/>
      </c>
      <c r="AV48" s="9" t="str">
        <f ca="1">IF(IF(ISERROR(MATCH(Stock!AV$1,'Stock UST'!$1:$1,0)),AU48,INDEX('Stock UST'!48:48,1,MATCH(Stock!AV$1,'Stock UST'!$1:$1,0)))=0,"",IF(ISERROR(MATCH(Stock!AV$1,'Stock UST'!$1:$1,0)),AU48,INDEX('Stock UST'!48:48,1,MATCH(Stock!AV$1,'Stock UST'!$1:$1,0))))</f>
        <v/>
      </c>
      <c r="AW48" s="9" t="str">
        <f ca="1">IF(IF(ISERROR(MATCH(Stock!AW$1,'Stock UST'!$1:$1,0)),AV48,INDEX('Stock UST'!48:48,1,MATCH(Stock!AW$1,'Stock UST'!$1:$1,0)))=0,"",IF(ISERROR(MATCH(Stock!AW$1,'Stock UST'!$1:$1,0)),AV48,INDEX('Stock UST'!48:48,1,MATCH(Stock!AW$1,'Stock UST'!$1:$1,0))))</f>
        <v/>
      </c>
      <c r="AX48" s="9" t="str">
        <f ca="1">IF(IF(ISERROR(MATCH(Stock!AX$1,'Stock UST'!$1:$1,0)),AW48,INDEX('Stock UST'!48:48,1,MATCH(Stock!AX$1,'Stock UST'!$1:$1,0)))=0,"",IF(ISERROR(MATCH(Stock!AX$1,'Stock UST'!$1:$1,0)),AW48,INDEX('Stock UST'!48:48,1,MATCH(Stock!AX$1,'Stock UST'!$1:$1,0))))</f>
        <v/>
      </c>
    </row>
    <row r="49" spans="1:50" x14ac:dyDescent="0.3">
      <c r="A49" s="9" t="str">
        <f>IF('Stock UST'!E49="","",'Stock UST'!E49)</f>
        <v/>
      </c>
      <c r="B49" s="9" t="str">
        <f>IF(IF(ISERROR(MATCH(Stock!B$1,'Stock UST'!$1:$1,0)),A49,INDEX('Stock UST'!49:49,1,MATCH(Stock!B$1,'Stock UST'!$1:$1,0)))=0,"",IF(ISERROR(MATCH(Stock!B$1,'Stock UST'!$1:$1,0)),A49,INDEX('Stock UST'!49:49,1,MATCH(Stock!B$1,'Stock UST'!$1:$1,0))))</f>
        <v/>
      </c>
      <c r="C49" s="9" t="str">
        <f ca="1">IF(IF(ISERROR(MATCH(Stock!C$1,'Stock UST'!$1:$1,0)),B49,INDEX('Stock UST'!49:49,1,MATCH(Stock!C$1,'Stock UST'!$1:$1,0)))=0,"",IF(ISERROR(MATCH(Stock!C$1,'Stock UST'!$1:$1,0)),B49,INDEX('Stock UST'!49:49,1,MATCH(Stock!C$1,'Stock UST'!$1:$1,0))))</f>
        <v/>
      </c>
      <c r="D49" s="9" t="str">
        <f ca="1">IF(IF(ISERROR(MATCH(Stock!D$1,'Stock UST'!$1:$1,0)),C49,INDEX('Stock UST'!49:49,1,MATCH(Stock!D$1,'Stock UST'!$1:$1,0)))=0,"",IF(ISERROR(MATCH(Stock!D$1,'Stock UST'!$1:$1,0)),C49,INDEX('Stock UST'!49:49,1,MATCH(Stock!D$1,'Stock UST'!$1:$1,0))))</f>
        <v/>
      </c>
      <c r="E49" s="9" t="str">
        <f ca="1">IF(IF(ISERROR(MATCH(Stock!E$1,'Stock UST'!$1:$1,0)),D49,INDEX('Stock UST'!49:49,1,MATCH(Stock!E$1,'Stock UST'!$1:$1,0)))=0,"",IF(ISERROR(MATCH(Stock!E$1,'Stock UST'!$1:$1,0)),D49,INDEX('Stock UST'!49:49,1,MATCH(Stock!E$1,'Stock UST'!$1:$1,0))))</f>
        <v/>
      </c>
      <c r="F49" s="9" t="str">
        <f ca="1">IF(IF(ISERROR(MATCH(Stock!F$1,'Stock UST'!$1:$1,0)),E49,INDEX('Stock UST'!49:49,1,MATCH(Stock!F$1,'Stock UST'!$1:$1,0)))=0,"",IF(ISERROR(MATCH(Stock!F$1,'Stock UST'!$1:$1,0)),E49,INDEX('Stock UST'!49:49,1,MATCH(Stock!F$1,'Stock UST'!$1:$1,0))))</f>
        <v/>
      </c>
      <c r="G49" s="9" t="str">
        <f ca="1">IF(IF(ISERROR(MATCH(Stock!G$1,'Stock UST'!$1:$1,0)),F49,INDEX('Stock UST'!49:49,1,MATCH(Stock!G$1,'Stock UST'!$1:$1,0)))=0,"",IF(ISERROR(MATCH(Stock!G$1,'Stock UST'!$1:$1,0)),F49,INDEX('Stock UST'!49:49,1,MATCH(Stock!G$1,'Stock UST'!$1:$1,0))))</f>
        <v/>
      </c>
      <c r="H49" s="9" t="str">
        <f ca="1">IF(IF(ISERROR(MATCH(Stock!H$1,'Stock UST'!$1:$1,0)),G49,INDEX('Stock UST'!49:49,1,MATCH(Stock!H$1,'Stock UST'!$1:$1,0)))=0,"",IF(ISERROR(MATCH(Stock!H$1,'Stock UST'!$1:$1,0)),G49,INDEX('Stock UST'!49:49,1,MATCH(Stock!H$1,'Stock UST'!$1:$1,0))))</f>
        <v/>
      </c>
      <c r="I49" s="9" t="str">
        <f ca="1">IF(IF(ISERROR(MATCH(Stock!I$1,'Stock UST'!$1:$1,0)),H49,INDEX('Stock UST'!49:49,1,MATCH(Stock!I$1,'Stock UST'!$1:$1,0)))=0,"",IF(ISERROR(MATCH(Stock!I$1,'Stock UST'!$1:$1,0)),H49,INDEX('Stock UST'!49:49,1,MATCH(Stock!I$1,'Stock UST'!$1:$1,0))))</f>
        <v/>
      </c>
      <c r="J49" s="9" t="str">
        <f ca="1">IF(IF(ISERROR(MATCH(Stock!J$1,'Stock UST'!$1:$1,0)),I49,INDEX('Stock UST'!49:49,1,MATCH(Stock!J$1,'Stock UST'!$1:$1,0)))=0,"",IF(ISERROR(MATCH(Stock!J$1,'Stock UST'!$1:$1,0)),I49,INDEX('Stock UST'!49:49,1,MATCH(Stock!J$1,'Stock UST'!$1:$1,0))))</f>
        <v/>
      </c>
      <c r="K49" s="9" t="str">
        <f ca="1">IF(IF(ISERROR(MATCH(Stock!K$1,'Stock UST'!$1:$1,0)),J49,INDEX('Stock UST'!49:49,1,MATCH(Stock!K$1,'Stock UST'!$1:$1,0)))=0,"",IF(ISERROR(MATCH(Stock!K$1,'Stock UST'!$1:$1,0)),J49,INDEX('Stock UST'!49:49,1,MATCH(Stock!K$1,'Stock UST'!$1:$1,0))))</f>
        <v/>
      </c>
      <c r="L49" s="9" t="str">
        <f ca="1">IF(IF(ISERROR(MATCH(Stock!L$1,'Stock UST'!$1:$1,0)),K49,INDEX('Stock UST'!49:49,1,MATCH(Stock!L$1,'Stock UST'!$1:$1,0)))=0,"",IF(ISERROR(MATCH(Stock!L$1,'Stock UST'!$1:$1,0)),K49,INDEX('Stock UST'!49:49,1,MATCH(Stock!L$1,'Stock UST'!$1:$1,0))))</f>
        <v/>
      </c>
      <c r="M49" s="9" t="str">
        <f ca="1">IF(IF(ISERROR(MATCH(Stock!M$1,'Stock UST'!$1:$1,0)),L49,INDEX('Stock UST'!49:49,1,MATCH(Stock!M$1,'Stock UST'!$1:$1,0)))=0,"",IF(ISERROR(MATCH(Stock!M$1,'Stock UST'!$1:$1,0)),L49,INDEX('Stock UST'!49:49,1,MATCH(Stock!M$1,'Stock UST'!$1:$1,0))))</f>
        <v/>
      </c>
      <c r="N49" s="9" t="str">
        <f ca="1">IF(IF(ISERROR(MATCH(Stock!N$1,'Stock UST'!$1:$1,0)),M49,INDEX('Stock UST'!49:49,1,MATCH(Stock!N$1,'Stock UST'!$1:$1,0)))=0,"",IF(ISERROR(MATCH(Stock!N$1,'Stock UST'!$1:$1,0)),M49,INDEX('Stock UST'!49:49,1,MATCH(Stock!N$1,'Stock UST'!$1:$1,0))))</f>
        <v/>
      </c>
      <c r="O49" s="9" t="str">
        <f ca="1">IF(IF(ISERROR(MATCH(Stock!O$1,'Stock UST'!$1:$1,0)),N49,INDEX('Stock UST'!49:49,1,MATCH(Stock!O$1,'Stock UST'!$1:$1,0)))=0,"",IF(ISERROR(MATCH(Stock!O$1,'Stock UST'!$1:$1,0)),N49,INDEX('Stock UST'!49:49,1,MATCH(Stock!O$1,'Stock UST'!$1:$1,0))))</f>
        <v/>
      </c>
      <c r="P49" s="9" t="str">
        <f ca="1">IF(IF(ISERROR(MATCH(Stock!P$1,'Stock UST'!$1:$1,0)),O49,INDEX('Stock UST'!49:49,1,MATCH(Stock!P$1,'Stock UST'!$1:$1,0)))=0,"",IF(ISERROR(MATCH(Stock!P$1,'Stock UST'!$1:$1,0)),O49,INDEX('Stock UST'!49:49,1,MATCH(Stock!P$1,'Stock UST'!$1:$1,0))))</f>
        <v/>
      </c>
      <c r="Q49" s="9" t="str">
        <f ca="1">IF(IF(ISERROR(MATCH(Stock!Q$1,'Stock UST'!$1:$1,0)),P49,INDEX('Stock UST'!49:49,1,MATCH(Stock!Q$1,'Stock UST'!$1:$1,0)))=0,"",IF(ISERROR(MATCH(Stock!Q$1,'Stock UST'!$1:$1,0)),P49,INDEX('Stock UST'!49:49,1,MATCH(Stock!Q$1,'Stock UST'!$1:$1,0))))</f>
        <v/>
      </c>
      <c r="R49" s="9" t="str">
        <f ca="1">IF(IF(ISERROR(MATCH(Stock!R$1,'Stock UST'!$1:$1,0)),Q49,INDEX('Stock UST'!49:49,1,MATCH(Stock!R$1,'Stock UST'!$1:$1,0)))=0,"",IF(ISERROR(MATCH(Stock!R$1,'Stock UST'!$1:$1,0)),Q49,INDEX('Stock UST'!49:49,1,MATCH(Stock!R$1,'Stock UST'!$1:$1,0))))</f>
        <v/>
      </c>
      <c r="S49" s="9" t="str">
        <f ca="1">IF(IF(ISERROR(MATCH(Stock!S$1,'Stock UST'!$1:$1,0)),R49,INDEX('Stock UST'!49:49,1,MATCH(Stock!S$1,'Stock UST'!$1:$1,0)))=0,"",IF(ISERROR(MATCH(Stock!S$1,'Stock UST'!$1:$1,0)),R49,INDEX('Stock UST'!49:49,1,MATCH(Stock!S$1,'Stock UST'!$1:$1,0))))</f>
        <v/>
      </c>
      <c r="T49" s="9" t="str">
        <f ca="1">IF(IF(ISERROR(MATCH(Stock!T$1,'Stock UST'!$1:$1,0)),S49,INDEX('Stock UST'!49:49,1,MATCH(Stock!T$1,'Stock UST'!$1:$1,0)))=0,"",IF(ISERROR(MATCH(Stock!T$1,'Stock UST'!$1:$1,0)),S49,INDEX('Stock UST'!49:49,1,MATCH(Stock!T$1,'Stock UST'!$1:$1,0))))</f>
        <v/>
      </c>
      <c r="U49" s="9" t="str">
        <f ca="1">IF(IF(ISERROR(MATCH(Stock!U$1,'Stock UST'!$1:$1,0)),T49,INDEX('Stock UST'!49:49,1,MATCH(Stock!U$1,'Stock UST'!$1:$1,0)))=0,"",IF(ISERROR(MATCH(Stock!U$1,'Stock UST'!$1:$1,0)),T49,INDEX('Stock UST'!49:49,1,MATCH(Stock!U$1,'Stock UST'!$1:$1,0))))</f>
        <v/>
      </c>
      <c r="V49" s="9" t="str">
        <f ca="1">IF(IF(ISERROR(MATCH(Stock!V$1,'Stock UST'!$1:$1,0)),U49,INDEX('Stock UST'!49:49,1,MATCH(Stock!V$1,'Stock UST'!$1:$1,0)))=0,"",IF(ISERROR(MATCH(Stock!V$1,'Stock UST'!$1:$1,0)),U49,INDEX('Stock UST'!49:49,1,MATCH(Stock!V$1,'Stock UST'!$1:$1,0))))</f>
        <v/>
      </c>
      <c r="W49" s="9" t="str">
        <f ca="1">IF(IF(ISERROR(MATCH(Stock!W$1,'Stock UST'!$1:$1,0)),V49,INDEX('Stock UST'!49:49,1,MATCH(Stock!W$1,'Stock UST'!$1:$1,0)))=0,"",IF(ISERROR(MATCH(Stock!W$1,'Stock UST'!$1:$1,0)),V49,INDEX('Stock UST'!49:49,1,MATCH(Stock!W$1,'Stock UST'!$1:$1,0))))</f>
        <v/>
      </c>
      <c r="X49" s="9" t="str">
        <f ca="1">IF(IF(ISERROR(MATCH(Stock!X$1,'Stock UST'!$1:$1,0)),W49,INDEX('Stock UST'!49:49,1,MATCH(Stock!X$1,'Stock UST'!$1:$1,0)))=0,"",IF(ISERROR(MATCH(Stock!X$1,'Stock UST'!$1:$1,0)),W49,INDEX('Stock UST'!49:49,1,MATCH(Stock!X$1,'Stock UST'!$1:$1,0))))</f>
        <v/>
      </c>
      <c r="Y49" s="9" t="str">
        <f ca="1">IF(IF(ISERROR(MATCH(Stock!Y$1,'Stock UST'!$1:$1,0)),X49,INDEX('Stock UST'!49:49,1,MATCH(Stock!Y$1,'Stock UST'!$1:$1,0)))=0,"",IF(ISERROR(MATCH(Stock!Y$1,'Stock UST'!$1:$1,0)),X49,INDEX('Stock UST'!49:49,1,MATCH(Stock!Y$1,'Stock UST'!$1:$1,0))))</f>
        <v/>
      </c>
      <c r="Z49" s="9" t="str">
        <f ca="1">IF(IF(ISERROR(MATCH(Stock!Z$1,'Stock UST'!$1:$1,0)),Y49,INDEX('Stock UST'!49:49,1,MATCH(Stock!Z$1,'Stock UST'!$1:$1,0)))=0,"",IF(ISERROR(MATCH(Stock!Z$1,'Stock UST'!$1:$1,0)),Y49,INDEX('Stock UST'!49:49,1,MATCH(Stock!Z$1,'Stock UST'!$1:$1,0))))</f>
        <v/>
      </c>
      <c r="AA49" s="9" t="str">
        <f ca="1">IF(IF(ISERROR(MATCH(Stock!AA$1,'Stock UST'!$1:$1,0)),Z49,INDEX('Stock UST'!49:49,1,MATCH(Stock!AA$1,'Stock UST'!$1:$1,0)))=0,"",IF(ISERROR(MATCH(Stock!AA$1,'Stock UST'!$1:$1,0)),Z49,INDEX('Stock UST'!49:49,1,MATCH(Stock!AA$1,'Stock UST'!$1:$1,0))))</f>
        <v/>
      </c>
      <c r="AB49" s="9" t="str">
        <f ca="1">IF(IF(ISERROR(MATCH(Stock!AB$1,'Stock UST'!$1:$1,0)),AA49,INDEX('Stock UST'!49:49,1,MATCH(Stock!AB$1,'Stock UST'!$1:$1,0)))=0,"",IF(ISERROR(MATCH(Stock!AB$1,'Stock UST'!$1:$1,0)),AA49,INDEX('Stock UST'!49:49,1,MATCH(Stock!AB$1,'Stock UST'!$1:$1,0))))</f>
        <v/>
      </c>
      <c r="AC49" s="9" t="str">
        <f ca="1">IF(IF(ISERROR(MATCH(Stock!AC$1,'Stock UST'!$1:$1,0)),AB49,INDEX('Stock UST'!49:49,1,MATCH(Stock!AC$1,'Stock UST'!$1:$1,0)))=0,"",IF(ISERROR(MATCH(Stock!AC$1,'Stock UST'!$1:$1,0)),AB49,INDEX('Stock UST'!49:49,1,MATCH(Stock!AC$1,'Stock UST'!$1:$1,0))))</f>
        <v/>
      </c>
      <c r="AD49" s="9" t="str">
        <f ca="1">IF(IF(ISERROR(MATCH(Stock!AD$1,'Stock UST'!$1:$1,0)),AC49,INDEX('Stock UST'!49:49,1,MATCH(Stock!AD$1,'Stock UST'!$1:$1,0)))=0,"",IF(ISERROR(MATCH(Stock!AD$1,'Stock UST'!$1:$1,0)),AC49,INDEX('Stock UST'!49:49,1,MATCH(Stock!AD$1,'Stock UST'!$1:$1,0))))</f>
        <v/>
      </c>
      <c r="AE49" s="9" t="str">
        <f ca="1">IF(IF(ISERROR(MATCH(Stock!AE$1,'Stock UST'!$1:$1,0)),AD49,INDEX('Stock UST'!49:49,1,MATCH(Stock!AE$1,'Stock UST'!$1:$1,0)))=0,"",IF(ISERROR(MATCH(Stock!AE$1,'Stock UST'!$1:$1,0)),AD49,INDEX('Stock UST'!49:49,1,MATCH(Stock!AE$1,'Stock UST'!$1:$1,0))))</f>
        <v/>
      </c>
      <c r="AF49" s="9" t="str">
        <f ca="1">IF(IF(ISERROR(MATCH(Stock!AF$1,'Stock UST'!$1:$1,0)),AE49,INDEX('Stock UST'!49:49,1,MATCH(Stock!AF$1,'Stock UST'!$1:$1,0)))=0,"",IF(ISERROR(MATCH(Stock!AF$1,'Stock UST'!$1:$1,0)),AE49,INDEX('Stock UST'!49:49,1,MATCH(Stock!AF$1,'Stock UST'!$1:$1,0))))</f>
        <v/>
      </c>
      <c r="AG49" s="9" t="str">
        <f ca="1">IF(IF(ISERROR(MATCH(Stock!AG$1,'Stock UST'!$1:$1,0)),AF49,INDEX('Stock UST'!49:49,1,MATCH(Stock!AG$1,'Stock UST'!$1:$1,0)))=0,"",IF(ISERROR(MATCH(Stock!AG$1,'Stock UST'!$1:$1,0)),AF49,INDEX('Stock UST'!49:49,1,MATCH(Stock!AG$1,'Stock UST'!$1:$1,0))))</f>
        <v/>
      </c>
      <c r="AH49" s="9" t="str">
        <f ca="1">IF(IF(ISERROR(MATCH(Stock!AH$1,'Stock UST'!$1:$1,0)),AG49,INDEX('Stock UST'!49:49,1,MATCH(Stock!AH$1,'Stock UST'!$1:$1,0)))=0,"",IF(ISERROR(MATCH(Stock!AH$1,'Stock UST'!$1:$1,0)),AG49,INDEX('Stock UST'!49:49,1,MATCH(Stock!AH$1,'Stock UST'!$1:$1,0))))</f>
        <v/>
      </c>
      <c r="AI49" s="9" t="str">
        <f ca="1">IF(IF(ISERROR(MATCH(Stock!AI$1,'Stock UST'!$1:$1,0)),AH49,INDEX('Stock UST'!49:49,1,MATCH(Stock!AI$1,'Stock UST'!$1:$1,0)))=0,"",IF(ISERROR(MATCH(Stock!AI$1,'Stock UST'!$1:$1,0)),AH49,INDEX('Stock UST'!49:49,1,MATCH(Stock!AI$1,'Stock UST'!$1:$1,0))))</f>
        <v/>
      </c>
      <c r="AJ49" s="9" t="str">
        <f ca="1">IF(IF(ISERROR(MATCH(Stock!AJ$1,'Stock UST'!$1:$1,0)),AI49,INDEX('Stock UST'!49:49,1,MATCH(Stock!AJ$1,'Stock UST'!$1:$1,0)))=0,"",IF(ISERROR(MATCH(Stock!AJ$1,'Stock UST'!$1:$1,0)),AI49,INDEX('Stock UST'!49:49,1,MATCH(Stock!AJ$1,'Stock UST'!$1:$1,0))))</f>
        <v/>
      </c>
      <c r="AK49" s="9" t="str">
        <f ca="1">IF(IF(ISERROR(MATCH(Stock!AK$1,'Stock UST'!$1:$1,0)),AJ49,INDEX('Stock UST'!49:49,1,MATCH(Stock!AK$1,'Stock UST'!$1:$1,0)))=0,"",IF(ISERROR(MATCH(Stock!AK$1,'Stock UST'!$1:$1,0)),AJ49,INDEX('Stock UST'!49:49,1,MATCH(Stock!AK$1,'Stock UST'!$1:$1,0))))</f>
        <v/>
      </c>
      <c r="AL49" s="9" t="str">
        <f ca="1">IF(IF(ISERROR(MATCH(Stock!AL$1,'Stock UST'!$1:$1,0)),AK49,INDEX('Stock UST'!49:49,1,MATCH(Stock!AL$1,'Stock UST'!$1:$1,0)))=0,"",IF(ISERROR(MATCH(Stock!AL$1,'Stock UST'!$1:$1,0)),AK49,INDEX('Stock UST'!49:49,1,MATCH(Stock!AL$1,'Stock UST'!$1:$1,0))))</f>
        <v/>
      </c>
      <c r="AM49" s="9" t="str">
        <f ca="1">IF(IF(ISERROR(MATCH(Stock!AM$1,'Stock UST'!$1:$1,0)),AL49,INDEX('Stock UST'!49:49,1,MATCH(Stock!AM$1,'Stock UST'!$1:$1,0)))=0,"",IF(ISERROR(MATCH(Stock!AM$1,'Stock UST'!$1:$1,0)),AL49,INDEX('Stock UST'!49:49,1,MATCH(Stock!AM$1,'Stock UST'!$1:$1,0))))</f>
        <v/>
      </c>
      <c r="AN49" s="9" t="str">
        <f ca="1">IF(IF(ISERROR(MATCH(Stock!AN$1,'Stock UST'!$1:$1,0)),AM49,INDEX('Stock UST'!49:49,1,MATCH(Stock!AN$1,'Stock UST'!$1:$1,0)))=0,"",IF(ISERROR(MATCH(Stock!AN$1,'Stock UST'!$1:$1,0)),AM49,INDEX('Stock UST'!49:49,1,MATCH(Stock!AN$1,'Stock UST'!$1:$1,0))))</f>
        <v/>
      </c>
      <c r="AO49" s="9" t="str">
        <f ca="1">IF(IF(ISERROR(MATCH(Stock!AO$1,'Stock UST'!$1:$1,0)),AN49,INDEX('Stock UST'!49:49,1,MATCH(Stock!AO$1,'Stock UST'!$1:$1,0)))=0,"",IF(ISERROR(MATCH(Stock!AO$1,'Stock UST'!$1:$1,0)),AN49,INDEX('Stock UST'!49:49,1,MATCH(Stock!AO$1,'Stock UST'!$1:$1,0))))</f>
        <v/>
      </c>
      <c r="AP49" s="9" t="str">
        <f ca="1">IF(IF(ISERROR(MATCH(Stock!AP$1,'Stock UST'!$1:$1,0)),AO49,INDEX('Stock UST'!49:49,1,MATCH(Stock!AP$1,'Stock UST'!$1:$1,0)))=0,"",IF(ISERROR(MATCH(Stock!AP$1,'Stock UST'!$1:$1,0)),AO49,INDEX('Stock UST'!49:49,1,MATCH(Stock!AP$1,'Stock UST'!$1:$1,0))))</f>
        <v/>
      </c>
      <c r="AQ49" s="9" t="str">
        <f ca="1">IF(IF(ISERROR(MATCH(Stock!AQ$1,'Stock UST'!$1:$1,0)),AP49,INDEX('Stock UST'!49:49,1,MATCH(Stock!AQ$1,'Stock UST'!$1:$1,0)))=0,"",IF(ISERROR(MATCH(Stock!AQ$1,'Stock UST'!$1:$1,0)),AP49,INDEX('Stock UST'!49:49,1,MATCH(Stock!AQ$1,'Stock UST'!$1:$1,0))))</f>
        <v/>
      </c>
      <c r="AR49" s="9" t="str">
        <f ca="1">IF(IF(ISERROR(MATCH(Stock!AR$1,'Stock UST'!$1:$1,0)),AQ49,INDEX('Stock UST'!49:49,1,MATCH(Stock!AR$1,'Stock UST'!$1:$1,0)))=0,"",IF(ISERROR(MATCH(Stock!AR$1,'Stock UST'!$1:$1,0)),AQ49,INDEX('Stock UST'!49:49,1,MATCH(Stock!AR$1,'Stock UST'!$1:$1,0))))</f>
        <v/>
      </c>
      <c r="AS49" s="9" t="str">
        <f ca="1">IF(IF(ISERROR(MATCH(Stock!AS$1,'Stock UST'!$1:$1,0)),AR49,INDEX('Stock UST'!49:49,1,MATCH(Stock!AS$1,'Stock UST'!$1:$1,0)))=0,"",IF(ISERROR(MATCH(Stock!AS$1,'Stock UST'!$1:$1,0)),AR49,INDEX('Stock UST'!49:49,1,MATCH(Stock!AS$1,'Stock UST'!$1:$1,0))))</f>
        <v/>
      </c>
      <c r="AT49" s="9" t="str">
        <f ca="1">IF(IF(ISERROR(MATCH(Stock!AT$1,'Stock UST'!$1:$1,0)),AS49,INDEX('Stock UST'!49:49,1,MATCH(Stock!AT$1,'Stock UST'!$1:$1,0)))=0,"",IF(ISERROR(MATCH(Stock!AT$1,'Stock UST'!$1:$1,0)),AS49,INDEX('Stock UST'!49:49,1,MATCH(Stock!AT$1,'Stock UST'!$1:$1,0))))</f>
        <v/>
      </c>
      <c r="AU49" s="9" t="str">
        <f ca="1">IF(IF(ISERROR(MATCH(Stock!AU$1,'Stock UST'!$1:$1,0)),AT49,INDEX('Stock UST'!49:49,1,MATCH(Stock!AU$1,'Stock UST'!$1:$1,0)))=0,"",IF(ISERROR(MATCH(Stock!AU$1,'Stock UST'!$1:$1,0)),AT49,INDEX('Stock UST'!49:49,1,MATCH(Stock!AU$1,'Stock UST'!$1:$1,0))))</f>
        <v/>
      </c>
      <c r="AV49" s="9" t="str">
        <f ca="1">IF(IF(ISERROR(MATCH(Stock!AV$1,'Stock UST'!$1:$1,0)),AU49,INDEX('Stock UST'!49:49,1,MATCH(Stock!AV$1,'Stock UST'!$1:$1,0)))=0,"",IF(ISERROR(MATCH(Stock!AV$1,'Stock UST'!$1:$1,0)),AU49,INDEX('Stock UST'!49:49,1,MATCH(Stock!AV$1,'Stock UST'!$1:$1,0))))</f>
        <v/>
      </c>
      <c r="AW49" s="9" t="str">
        <f ca="1">IF(IF(ISERROR(MATCH(Stock!AW$1,'Stock UST'!$1:$1,0)),AV49,INDEX('Stock UST'!49:49,1,MATCH(Stock!AW$1,'Stock UST'!$1:$1,0)))=0,"",IF(ISERROR(MATCH(Stock!AW$1,'Stock UST'!$1:$1,0)),AV49,INDEX('Stock UST'!49:49,1,MATCH(Stock!AW$1,'Stock UST'!$1:$1,0))))</f>
        <v/>
      </c>
      <c r="AX49" s="9" t="str">
        <f ca="1">IF(IF(ISERROR(MATCH(Stock!AX$1,'Stock UST'!$1:$1,0)),AW49,INDEX('Stock UST'!49:49,1,MATCH(Stock!AX$1,'Stock UST'!$1:$1,0)))=0,"",IF(ISERROR(MATCH(Stock!AX$1,'Stock UST'!$1:$1,0)),AW49,INDEX('Stock UST'!49:49,1,MATCH(Stock!AX$1,'Stock UST'!$1:$1,0))))</f>
        <v/>
      </c>
    </row>
    <row r="50" spans="1:50" x14ac:dyDescent="0.3">
      <c r="A50" s="9" t="str">
        <f>IF('Stock UST'!E50="","",'Stock UST'!E50)</f>
        <v/>
      </c>
      <c r="B50" s="9" t="str">
        <f>IF(IF(ISERROR(MATCH(Stock!B$1,'Stock UST'!$1:$1,0)),A50,INDEX('Stock UST'!50:50,1,MATCH(Stock!B$1,'Stock UST'!$1:$1,0)))=0,"",IF(ISERROR(MATCH(Stock!B$1,'Stock UST'!$1:$1,0)),A50,INDEX('Stock UST'!50:50,1,MATCH(Stock!B$1,'Stock UST'!$1:$1,0))))</f>
        <v/>
      </c>
      <c r="C50" s="9" t="str">
        <f ca="1">IF(IF(ISERROR(MATCH(Stock!C$1,'Stock UST'!$1:$1,0)),B50,INDEX('Stock UST'!50:50,1,MATCH(Stock!C$1,'Stock UST'!$1:$1,0)))=0,"",IF(ISERROR(MATCH(Stock!C$1,'Stock UST'!$1:$1,0)),B50,INDEX('Stock UST'!50:50,1,MATCH(Stock!C$1,'Stock UST'!$1:$1,0))))</f>
        <v/>
      </c>
      <c r="D50" s="9" t="str">
        <f ca="1">IF(IF(ISERROR(MATCH(Stock!D$1,'Stock UST'!$1:$1,0)),C50,INDEX('Stock UST'!50:50,1,MATCH(Stock!D$1,'Stock UST'!$1:$1,0)))=0,"",IF(ISERROR(MATCH(Stock!D$1,'Stock UST'!$1:$1,0)),C50,INDEX('Stock UST'!50:50,1,MATCH(Stock!D$1,'Stock UST'!$1:$1,0))))</f>
        <v/>
      </c>
      <c r="E50" s="9" t="str">
        <f ca="1">IF(IF(ISERROR(MATCH(Stock!E$1,'Stock UST'!$1:$1,0)),D50,INDEX('Stock UST'!50:50,1,MATCH(Stock!E$1,'Stock UST'!$1:$1,0)))=0,"",IF(ISERROR(MATCH(Stock!E$1,'Stock UST'!$1:$1,0)),D50,INDEX('Stock UST'!50:50,1,MATCH(Stock!E$1,'Stock UST'!$1:$1,0))))</f>
        <v/>
      </c>
      <c r="F50" s="9" t="str">
        <f ca="1">IF(IF(ISERROR(MATCH(Stock!F$1,'Stock UST'!$1:$1,0)),E50,INDEX('Stock UST'!50:50,1,MATCH(Stock!F$1,'Stock UST'!$1:$1,0)))=0,"",IF(ISERROR(MATCH(Stock!F$1,'Stock UST'!$1:$1,0)),E50,INDEX('Stock UST'!50:50,1,MATCH(Stock!F$1,'Stock UST'!$1:$1,0))))</f>
        <v/>
      </c>
      <c r="G50" s="9" t="str">
        <f ca="1">IF(IF(ISERROR(MATCH(Stock!G$1,'Stock UST'!$1:$1,0)),F50,INDEX('Stock UST'!50:50,1,MATCH(Stock!G$1,'Stock UST'!$1:$1,0)))=0,"",IF(ISERROR(MATCH(Stock!G$1,'Stock UST'!$1:$1,0)),F50,INDEX('Stock UST'!50:50,1,MATCH(Stock!G$1,'Stock UST'!$1:$1,0))))</f>
        <v/>
      </c>
      <c r="H50" s="9" t="str">
        <f ca="1">IF(IF(ISERROR(MATCH(Stock!H$1,'Stock UST'!$1:$1,0)),G50,INDEX('Stock UST'!50:50,1,MATCH(Stock!H$1,'Stock UST'!$1:$1,0)))=0,"",IF(ISERROR(MATCH(Stock!H$1,'Stock UST'!$1:$1,0)),G50,INDEX('Stock UST'!50:50,1,MATCH(Stock!H$1,'Stock UST'!$1:$1,0))))</f>
        <v/>
      </c>
      <c r="I50" s="9" t="str">
        <f ca="1">IF(IF(ISERROR(MATCH(Stock!I$1,'Stock UST'!$1:$1,0)),H50,INDEX('Stock UST'!50:50,1,MATCH(Stock!I$1,'Stock UST'!$1:$1,0)))=0,"",IF(ISERROR(MATCH(Stock!I$1,'Stock UST'!$1:$1,0)),H50,INDEX('Stock UST'!50:50,1,MATCH(Stock!I$1,'Stock UST'!$1:$1,0))))</f>
        <v/>
      </c>
      <c r="J50" s="9" t="str">
        <f ca="1">IF(IF(ISERROR(MATCH(Stock!J$1,'Stock UST'!$1:$1,0)),I50,INDEX('Stock UST'!50:50,1,MATCH(Stock!J$1,'Stock UST'!$1:$1,0)))=0,"",IF(ISERROR(MATCH(Stock!J$1,'Stock UST'!$1:$1,0)),I50,INDEX('Stock UST'!50:50,1,MATCH(Stock!J$1,'Stock UST'!$1:$1,0))))</f>
        <v/>
      </c>
      <c r="K50" s="9" t="str">
        <f ca="1">IF(IF(ISERROR(MATCH(Stock!K$1,'Stock UST'!$1:$1,0)),J50,INDEX('Stock UST'!50:50,1,MATCH(Stock!K$1,'Stock UST'!$1:$1,0)))=0,"",IF(ISERROR(MATCH(Stock!K$1,'Stock UST'!$1:$1,0)),J50,INDEX('Stock UST'!50:50,1,MATCH(Stock!K$1,'Stock UST'!$1:$1,0))))</f>
        <v/>
      </c>
      <c r="L50" s="9" t="str">
        <f ca="1">IF(IF(ISERROR(MATCH(Stock!L$1,'Stock UST'!$1:$1,0)),K50,INDEX('Stock UST'!50:50,1,MATCH(Stock!L$1,'Stock UST'!$1:$1,0)))=0,"",IF(ISERROR(MATCH(Stock!L$1,'Stock UST'!$1:$1,0)),K50,INDEX('Stock UST'!50:50,1,MATCH(Stock!L$1,'Stock UST'!$1:$1,0))))</f>
        <v/>
      </c>
      <c r="M50" s="9" t="str">
        <f ca="1">IF(IF(ISERROR(MATCH(Stock!M$1,'Stock UST'!$1:$1,0)),L50,INDEX('Stock UST'!50:50,1,MATCH(Stock!M$1,'Stock UST'!$1:$1,0)))=0,"",IF(ISERROR(MATCH(Stock!M$1,'Stock UST'!$1:$1,0)),L50,INDEX('Stock UST'!50:50,1,MATCH(Stock!M$1,'Stock UST'!$1:$1,0))))</f>
        <v/>
      </c>
      <c r="N50" s="9" t="str">
        <f ca="1">IF(IF(ISERROR(MATCH(Stock!N$1,'Stock UST'!$1:$1,0)),M50,INDEX('Stock UST'!50:50,1,MATCH(Stock!N$1,'Stock UST'!$1:$1,0)))=0,"",IF(ISERROR(MATCH(Stock!N$1,'Stock UST'!$1:$1,0)),M50,INDEX('Stock UST'!50:50,1,MATCH(Stock!N$1,'Stock UST'!$1:$1,0))))</f>
        <v/>
      </c>
      <c r="O50" s="9" t="str">
        <f ca="1">IF(IF(ISERROR(MATCH(Stock!O$1,'Stock UST'!$1:$1,0)),N50,INDEX('Stock UST'!50:50,1,MATCH(Stock!O$1,'Stock UST'!$1:$1,0)))=0,"",IF(ISERROR(MATCH(Stock!O$1,'Stock UST'!$1:$1,0)),N50,INDEX('Stock UST'!50:50,1,MATCH(Stock!O$1,'Stock UST'!$1:$1,0))))</f>
        <v/>
      </c>
      <c r="P50" s="9" t="str">
        <f ca="1">IF(IF(ISERROR(MATCH(Stock!P$1,'Stock UST'!$1:$1,0)),O50,INDEX('Stock UST'!50:50,1,MATCH(Stock!P$1,'Stock UST'!$1:$1,0)))=0,"",IF(ISERROR(MATCH(Stock!P$1,'Stock UST'!$1:$1,0)),O50,INDEX('Stock UST'!50:50,1,MATCH(Stock!P$1,'Stock UST'!$1:$1,0))))</f>
        <v/>
      </c>
      <c r="Q50" s="9" t="str">
        <f ca="1">IF(IF(ISERROR(MATCH(Stock!Q$1,'Stock UST'!$1:$1,0)),P50,INDEX('Stock UST'!50:50,1,MATCH(Stock!Q$1,'Stock UST'!$1:$1,0)))=0,"",IF(ISERROR(MATCH(Stock!Q$1,'Stock UST'!$1:$1,0)),P50,INDEX('Stock UST'!50:50,1,MATCH(Stock!Q$1,'Stock UST'!$1:$1,0))))</f>
        <v/>
      </c>
      <c r="R50" s="9" t="str">
        <f ca="1">IF(IF(ISERROR(MATCH(Stock!R$1,'Stock UST'!$1:$1,0)),Q50,INDEX('Stock UST'!50:50,1,MATCH(Stock!R$1,'Stock UST'!$1:$1,0)))=0,"",IF(ISERROR(MATCH(Stock!R$1,'Stock UST'!$1:$1,0)),Q50,INDEX('Stock UST'!50:50,1,MATCH(Stock!R$1,'Stock UST'!$1:$1,0))))</f>
        <v/>
      </c>
      <c r="S50" s="9" t="str">
        <f ca="1">IF(IF(ISERROR(MATCH(Stock!S$1,'Stock UST'!$1:$1,0)),R50,INDEX('Stock UST'!50:50,1,MATCH(Stock!S$1,'Stock UST'!$1:$1,0)))=0,"",IF(ISERROR(MATCH(Stock!S$1,'Stock UST'!$1:$1,0)),R50,INDEX('Stock UST'!50:50,1,MATCH(Stock!S$1,'Stock UST'!$1:$1,0))))</f>
        <v/>
      </c>
      <c r="T50" s="9" t="str">
        <f ca="1">IF(IF(ISERROR(MATCH(Stock!T$1,'Stock UST'!$1:$1,0)),S50,INDEX('Stock UST'!50:50,1,MATCH(Stock!T$1,'Stock UST'!$1:$1,0)))=0,"",IF(ISERROR(MATCH(Stock!T$1,'Stock UST'!$1:$1,0)),S50,INDEX('Stock UST'!50:50,1,MATCH(Stock!T$1,'Stock UST'!$1:$1,0))))</f>
        <v/>
      </c>
      <c r="U50" s="9" t="str">
        <f ca="1">IF(IF(ISERROR(MATCH(Stock!U$1,'Stock UST'!$1:$1,0)),T50,INDEX('Stock UST'!50:50,1,MATCH(Stock!U$1,'Stock UST'!$1:$1,0)))=0,"",IF(ISERROR(MATCH(Stock!U$1,'Stock UST'!$1:$1,0)),T50,INDEX('Stock UST'!50:50,1,MATCH(Stock!U$1,'Stock UST'!$1:$1,0))))</f>
        <v/>
      </c>
      <c r="V50" s="9" t="str">
        <f ca="1">IF(IF(ISERROR(MATCH(Stock!V$1,'Stock UST'!$1:$1,0)),U50,INDEX('Stock UST'!50:50,1,MATCH(Stock!V$1,'Stock UST'!$1:$1,0)))=0,"",IF(ISERROR(MATCH(Stock!V$1,'Stock UST'!$1:$1,0)),U50,INDEX('Stock UST'!50:50,1,MATCH(Stock!V$1,'Stock UST'!$1:$1,0))))</f>
        <v/>
      </c>
      <c r="W50" s="9" t="str">
        <f ca="1">IF(IF(ISERROR(MATCH(Stock!W$1,'Stock UST'!$1:$1,0)),V50,INDEX('Stock UST'!50:50,1,MATCH(Stock!W$1,'Stock UST'!$1:$1,0)))=0,"",IF(ISERROR(MATCH(Stock!W$1,'Stock UST'!$1:$1,0)),V50,INDEX('Stock UST'!50:50,1,MATCH(Stock!W$1,'Stock UST'!$1:$1,0))))</f>
        <v/>
      </c>
      <c r="X50" s="9" t="str">
        <f ca="1">IF(IF(ISERROR(MATCH(Stock!X$1,'Stock UST'!$1:$1,0)),W50,INDEX('Stock UST'!50:50,1,MATCH(Stock!X$1,'Stock UST'!$1:$1,0)))=0,"",IF(ISERROR(MATCH(Stock!X$1,'Stock UST'!$1:$1,0)),W50,INDEX('Stock UST'!50:50,1,MATCH(Stock!X$1,'Stock UST'!$1:$1,0))))</f>
        <v/>
      </c>
      <c r="Y50" s="9" t="str">
        <f ca="1">IF(IF(ISERROR(MATCH(Stock!Y$1,'Stock UST'!$1:$1,0)),X50,INDEX('Stock UST'!50:50,1,MATCH(Stock!Y$1,'Stock UST'!$1:$1,0)))=0,"",IF(ISERROR(MATCH(Stock!Y$1,'Stock UST'!$1:$1,0)),X50,INDEX('Stock UST'!50:50,1,MATCH(Stock!Y$1,'Stock UST'!$1:$1,0))))</f>
        <v/>
      </c>
      <c r="Z50" s="9" t="str">
        <f ca="1">IF(IF(ISERROR(MATCH(Stock!Z$1,'Stock UST'!$1:$1,0)),Y50,INDEX('Stock UST'!50:50,1,MATCH(Stock!Z$1,'Stock UST'!$1:$1,0)))=0,"",IF(ISERROR(MATCH(Stock!Z$1,'Stock UST'!$1:$1,0)),Y50,INDEX('Stock UST'!50:50,1,MATCH(Stock!Z$1,'Stock UST'!$1:$1,0))))</f>
        <v/>
      </c>
      <c r="AA50" s="9" t="str">
        <f ca="1">IF(IF(ISERROR(MATCH(Stock!AA$1,'Stock UST'!$1:$1,0)),Z50,INDEX('Stock UST'!50:50,1,MATCH(Stock!AA$1,'Stock UST'!$1:$1,0)))=0,"",IF(ISERROR(MATCH(Stock!AA$1,'Stock UST'!$1:$1,0)),Z50,INDEX('Stock UST'!50:50,1,MATCH(Stock!AA$1,'Stock UST'!$1:$1,0))))</f>
        <v/>
      </c>
      <c r="AB50" s="9" t="str">
        <f ca="1">IF(IF(ISERROR(MATCH(Stock!AB$1,'Stock UST'!$1:$1,0)),AA50,INDEX('Stock UST'!50:50,1,MATCH(Stock!AB$1,'Stock UST'!$1:$1,0)))=0,"",IF(ISERROR(MATCH(Stock!AB$1,'Stock UST'!$1:$1,0)),AA50,INDEX('Stock UST'!50:50,1,MATCH(Stock!AB$1,'Stock UST'!$1:$1,0))))</f>
        <v/>
      </c>
      <c r="AC50" s="9" t="str">
        <f ca="1">IF(IF(ISERROR(MATCH(Stock!AC$1,'Stock UST'!$1:$1,0)),AB50,INDEX('Stock UST'!50:50,1,MATCH(Stock!AC$1,'Stock UST'!$1:$1,0)))=0,"",IF(ISERROR(MATCH(Stock!AC$1,'Stock UST'!$1:$1,0)),AB50,INDEX('Stock UST'!50:50,1,MATCH(Stock!AC$1,'Stock UST'!$1:$1,0))))</f>
        <v/>
      </c>
      <c r="AD50" s="9" t="str">
        <f ca="1">IF(IF(ISERROR(MATCH(Stock!AD$1,'Stock UST'!$1:$1,0)),AC50,INDEX('Stock UST'!50:50,1,MATCH(Stock!AD$1,'Stock UST'!$1:$1,0)))=0,"",IF(ISERROR(MATCH(Stock!AD$1,'Stock UST'!$1:$1,0)),AC50,INDEX('Stock UST'!50:50,1,MATCH(Stock!AD$1,'Stock UST'!$1:$1,0))))</f>
        <v/>
      </c>
      <c r="AE50" s="9" t="str">
        <f ca="1">IF(IF(ISERROR(MATCH(Stock!AE$1,'Stock UST'!$1:$1,0)),AD50,INDEX('Stock UST'!50:50,1,MATCH(Stock!AE$1,'Stock UST'!$1:$1,0)))=0,"",IF(ISERROR(MATCH(Stock!AE$1,'Stock UST'!$1:$1,0)),AD50,INDEX('Stock UST'!50:50,1,MATCH(Stock!AE$1,'Stock UST'!$1:$1,0))))</f>
        <v/>
      </c>
      <c r="AF50" s="9" t="str">
        <f ca="1">IF(IF(ISERROR(MATCH(Stock!AF$1,'Stock UST'!$1:$1,0)),AE50,INDEX('Stock UST'!50:50,1,MATCH(Stock!AF$1,'Stock UST'!$1:$1,0)))=0,"",IF(ISERROR(MATCH(Stock!AF$1,'Stock UST'!$1:$1,0)),AE50,INDEX('Stock UST'!50:50,1,MATCH(Stock!AF$1,'Stock UST'!$1:$1,0))))</f>
        <v/>
      </c>
      <c r="AG50" s="9" t="str">
        <f ca="1">IF(IF(ISERROR(MATCH(Stock!AG$1,'Stock UST'!$1:$1,0)),AF50,INDEX('Stock UST'!50:50,1,MATCH(Stock!AG$1,'Stock UST'!$1:$1,0)))=0,"",IF(ISERROR(MATCH(Stock!AG$1,'Stock UST'!$1:$1,0)),AF50,INDEX('Stock UST'!50:50,1,MATCH(Stock!AG$1,'Stock UST'!$1:$1,0))))</f>
        <v/>
      </c>
      <c r="AH50" s="9" t="str">
        <f ca="1">IF(IF(ISERROR(MATCH(Stock!AH$1,'Stock UST'!$1:$1,0)),AG50,INDEX('Stock UST'!50:50,1,MATCH(Stock!AH$1,'Stock UST'!$1:$1,0)))=0,"",IF(ISERROR(MATCH(Stock!AH$1,'Stock UST'!$1:$1,0)),AG50,INDEX('Stock UST'!50:50,1,MATCH(Stock!AH$1,'Stock UST'!$1:$1,0))))</f>
        <v/>
      </c>
      <c r="AI50" s="9" t="str">
        <f ca="1">IF(IF(ISERROR(MATCH(Stock!AI$1,'Stock UST'!$1:$1,0)),AH50,INDEX('Stock UST'!50:50,1,MATCH(Stock!AI$1,'Stock UST'!$1:$1,0)))=0,"",IF(ISERROR(MATCH(Stock!AI$1,'Stock UST'!$1:$1,0)),AH50,INDEX('Stock UST'!50:50,1,MATCH(Stock!AI$1,'Stock UST'!$1:$1,0))))</f>
        <v/>
      </c>
      <c r="AJ50" s="9" t="str">
        <f ca="1">IF(IF(ISERROR(MATCH(Stock!AJ$1,'Stock UST'!$1:$1,0)),AI50,INDEX('Stock UST'!50:50,1,MATCH(Stock!AJ$1,'Stock UST'!$1:$1,0)))=0,"",IF(ISERROR(MATCH(Stock!AJ$1,'Stock UST'!$1:$1,0)),AI50,INDEX('Stock UST'!50:50,1,MATCH(Stock!AJ$1,'Stock UST'!$1:$1,0))))</f>
        <v/>
      </c>
      <c r="AK50" s="9" t="str">
        <f ca="1">IF(IF(ISERROR(MATCH(Stock!AK$1,'Stock UST'!$1:$1,0)),AJ50,INDEX('Stock UST'!50:50,1,MATCH(Stock!AK$1,'Stock UST'!$1:$1,0)))=0,"",IF(ISERROR(MATCH(Stock!AK$1,'Stock UST'!$1:$1,0)),AJ50,INDEX('Stock UST'!50:50,1,MATCH(Stock!AK$1,'Stock UST'!$1:$1,0))))</f>
        <v/>
      </c>
      <c r="AL50" s="9" t="str">
        <f ca="1">IF(IF(ISERROR(MATCH(Stock!AL$1,'Stock UST'!$1:$1,0)),AK50,INDEX('Stock UST'!50:50,1,MATCH(Stock!AL$1,'Stock UST'!$1:$1,0)))=0,"",IF(ISERROR(MATCH(Stock!AL$1,'Stock UST'!$1:$1,0)),AK50,INDEX('Stock UST'!50:50,1,MATCH(Stock!AL$1,'Stock UST'!$1:$1,0))))</f>
        <v/>
      </c>
      <c r="AM50" s="9" t="str">
        <f ca="1">IF(IF(ISERROR(MATCH(Stock!AM$1,'Stock UST'!$1:$1,0)),AL50,INDEX('Stock UST'!50:50,1,MATCH(Stock!AM$1,'Stock UST'!$1:$1,0)))=0,"",IF(ISERROR(MATCH(Stock!AM$1,'Stock UST'!$1:$1,0)),AL50,INDEX('Stock UST'!50:50,1,MATCH(Stock!AM$1,'Stock UST'!$1:$1,0))))</f>
        <v/>
      </c>
      <c r="AN50" s="9" t="str">
        <f ca="1">IF(IF(ISERROR(MATCH(Stock!AN$1,'Stock UST'!$1:$1,0)),AM50,INDEX('Stock UST'!50:50,1,MATCH(Stock!AN$1,'Stock UST'!$1:$1,0)))=0,"",IF(ISERROR(MATCH(Stock!AN$1,'Stock UST'!$1:$1,0)),AM50,INDEX('Stock UST'!50:50,1,MATCH(Stock!AN$1,'Stock UST'!$1:$1,0))))</f>
        <v/>
      </c>
      <c r="AO50" s="9" t="str">
        <f ca="1">IF(IF(ISERROR(MATCH(Stock!AO$1,'Stock UST'!$1:$1,0)),AN50,INDEX('Stock UST'!50:50,1,MATCH(Stock!AO$1,'Stock UST'!$1:$1,0)))=0,"",IF(ISERROR(MATCH(Stock!AO$1,'Stock UST'!$1:$1,0)),AN50,INDEX('Stock UST'!50:50,1,MATCH(Stock!AO$1,'Stock UST'!$1:$1,0))))</f>
        <v/>
      </c>
      <c r="AP50" s="9" t="str">
        <f ca="1">IF(IF(ISERROR(MATCH(Stock!AP$1,'Stock UST'!$1:$1,0)),AO50,INDEX('Stock UST'!50:50,1,MATCH(Stock!AP$1,'Stock UST'!$1:$1,0)))=0,"",IF(ISERROR(MATCH(Stock!AP$1,'Stock UST'!$1:$1,0)),AO50,INDEX('Stock UST'!50:50,1,MATCH(Stock!AP$1,'Stock UST'!$1:$1,0))))</f>
        <v/>
      </c>
      <c r="AQ50" s="9" t="str">
        <f ca="1">IF(IF(ISERROR(MATCH(Stock!AQ$1,'Stock UST'!$1:$1,0)),AP50,INDEX('Stock UST'!50:50,1,MATCH(Stock!AQ$1,'Stock UST'!$1:$1,0)))=0,"",IF(ISERROR(MATCH(Stock!AQ$1,'Stock UST'!$1:$1,0)),AP50,INDEX('Stock UST'!50:50,1,MATCH(Stock!AQ$1,'Stock UST'!$1:$1,0))))</f>
        <v/>
      </c>
      <c r="AR50" s="9" t="str">
        <f ca="1">IF(IF(ISERROR(MATCH(Stock!AR$1,'Stock UST'!$1:$1,0)),AQ50,INDEX('Stock UST'!50:50,1,MATCH(Stock!AR$1,'Stock UST'!$1:$1,0)))=0,"",IF(ISERROR(MATCH(Stock!AR$1,'Stock UST'!$1:$1,0)),AQ50,INDEX('Stock UST'!50:50,1,MATCH(Stock!AR$1,'Stock UST'!$1:$1,0))))</f>
        <v/>
      </c>
      <c r="AS50" s="9" t="str">
        <f ca="1">IF(IF(ISERROR(MATCH(Stock!AS$1,'Stock UST'!$1:$1,0)),AR50,INDEX('Stock UST'!50:50,1,MATCH(Stock!AS$1,'Stock UST'!$1:$1,0)))=0,"",IF(ISERROR(MATCH(Stock!AS$1,'Stock UST'!$1:$1,0)),AR50,INDEX('Stock UST'!50:50,1,MATCH(Stock!AS$1,'Stock UST'!$1:$1,0))))</f>
        <v/>
      </c>
      <c r="AT50" s="9" t="str">
        <f ca="1">IF(IF(ISERROR(MATCH(Stock!AT$1,'Stock UST'!$1:$1,0)),AS50,INDEX('Stock UST'!50:50,1,MATCH(Stock!AT$1,'Stock UST'!$1:$1,0)))=0,"",IF(ISERROR(MATCH(Stock!AT$1,'Stock UST'!$1:$1,0)),AS50,INDEX('Stock UST'!50:50,1,MATCH(Stock!AT$1,'Stock UST'!$1:$1,0))))</f>
        <v/>
      </c>
      <c r="AU50" s="9" t="str">
        <f ca="1">IF(IF(ISERROR(MATCH(Stock!AU$1,'Stock UST'!$1:$1,0)),AT50,INDEX('Stock UST'!50:50,1,MATCH(Stock!AU$1,'Stock UST'!$1:$1,0)))=0,"",IF(ISERROR(MATCH(Stock!AU$1,'Stock UST'!$1:$1,0)),AT50,INDEX('Stock UST'!50:50,1,MATCH(Stock!AU$1,'Stock UST'!$1:$1,0))))</f>
        <v/>
      </c>
      <c r="AV50" s="9" t="str">
        <f ca="1">IF(IF(ISERROR(MATCH(Stock!AV$1,'Stock UST'!$1:$1,0)),AU50,INDEX('Stock UST'!50:50,1,MATCH(Stock!AV$1,'Stock UST'!$1:$1,0)))=0,"",IF(ISERROR(MATCH(Stock!AV$1,'Stock UST'!$1:$1,0)),AU50,INDEX('Stock UST'!50:50,1,MATCH(Stock!AV$1,'Stock UST'!$1:$1,0))))</f>
        <v/>
      </c>
      <c r="AW50" s="9" t="str">
        <f ca="1">IF(IF(ISERROR(MATCH(Stock!AW$1,'Stock UST'!$1:$1,0)),AV50,INDEX('Stock UST'!50:50,1,MATCH(Stock!AW$1,'Stock UST'!$1:$1,0)))=0,"",IF(ISERROR(MATCH(Stock!AW$1,'Stock UST'!$1:$1,0)),AV50,INDEX('Stock UST'!50:50,1,MATCH(Stock!AW$1,'Stock UST'!$1:$1,0))))</f>
        <v/>
      </c>
      <c r="AX50" s="9" t="str">
        <f ca="1">IF(IF(ISERROR(MATCH(Stock!AX$1,'Stock UST'!$1:$1,0)),AW50,INDEX('Stock UST'!50:50,1,MATCH(Stock!AX$1,'Stock UST'!$1:$1,0)))=0,"",IF(ISERROR(MATCH(Stock!AX$1,'Stock UST'!$1:$1,0)),AW50,INDEX('Stock UST'!50:50,1,MATCH(Stock!AX$1,'Stock UST'!$1:$1,0))))</f>
        <v/>
      </c>
    </row>
    <row r="51" spans="1:50" x14ac:dyDescent="0.3">
      <c r="A51" s="9" t="str">
        <f>IF('Stock UST'!E51="","",'Stock UST'!E51)</f>
        <v/>
      </c>
      <c r="B51" s="9" t="str">
        <f>IF(IF(ISERROR(MATCH(Stock!B$1,'Stock UST'!$1:$1,0)),A51,INDEX('Stock UST'!51:51,1,MATCH(Stock!B$1,'Stock UST'!$1:$1,0)))=0,"",IF(ISERROR(MATCH(Stock!B$1,'Stock UST'!$1:$1,0)),A51,INDEX('Stock UST'!51:51,1,MATCH(Stock!B$1,'Stock UST'!$1:$1,0))))</f>
        <v/>
      </c>
      <c r="C51" s="9" t="str">
        <f ca="1">IF(IF(ISERROR(MATCH(Stock!C$1,'Stock UST'!$1:$1,0)),B51,INDEX('Stock UST'!51:51,1,MATCH(Stock!C$1,'Stock UST'!$1:$1,0)))=0,"",IF(ISERROR(MATCH(Stock!C$1,'Stock UST'!$1:$1,0)),B51,INDEX('Stock UST'!51:51,1,MATCH(Stock!C$1,'Stock UST'!$1:$1,0))))</f>
        <v/>
      </c>
      <c r="D51" s="9" t="str">
        <f ca="1">IF(IF(ISERROR(MATCH(Stock!D$1,'Stock UST'!$1:$1,0)),C51,INDEX('Stock UST'!51:51,1,MATCH(Stock!D$1,'Stock UST'!$1:$1,0)))=0,"",IF(ISERROR(MATCH(Stock!D$1,'Stock UST'!$1:$1,0)),C51,INDEX('Stock UST'!51:51,1,MATCH(Stock!D$1,'Stock UST'!$1:$1,0))))</f>
        <v/>
      </c>
      <c r="E51" s="9" t="str">
        <f ca="1">IF(IF(ISERROR(MATCH(Stock!E$1,'Stock UST'!$1:$1,0)),D51,INDEX('Stock UST'!51:51,1,MATCH(Stock!E$1,'Stock UST'!$1:$1,0)))=0,"",IF(ISERROR(MATCH(Stock!E$1,'Stock UST'!$1:$1,0)),D51,INDEX('Stock UST'!51:51,1,MATCH(Stock!E$1,'Stock UST'!$1:$1,0))))</f>
        <v/>
      </c>
      <c r="F51" s="9" t="str">
        <f ca="1">IF(IF(ISERROR(MATCH(Stock!F$1,'Stock UST'!$1:$1,0)),E51,INDEX('Stock UST'!51:51,1,MATCH(Stock!F$1,'Stock UST'!$1:$1,0)))=0,"",IF(ISERROR(MATCH(Stock!F$1,'Stock UST'!$1:$1,0)),E51,INDEX('Stock UST'!51:51,1,MATCH(Stock!F$1,'Stock UST'!$1:$1,0))))</f>
        <v/>
      </c>
      <c r="G51" s="9" t="str">
        <f ca="1">IF(IF(ISERROR(MATCH(Stock!G$1,'Stock UST'!$1:$1,0)),F51,INDEX('Stock UST'!51:51,1,MATCH(Stock!G$1,'Stock UST'!$1:$1,0)))=0,"",IF(ISERROR(MATCH(Stock!G$1,'Stock UST'!$1:$1,0)),F51,INDEX('Stock UST'!51:51,1,MATCH(Stock!G$1,'Stock UST'!$1:$1,0))))</f>
        <v/>
      </c>
      <c r="H51" s="9" t="str">
        <f ca="1">IF(IF(ISERROR(MATCH(Stock!H$1,'Stock UST'!$1:$1,0)),G51,INDEX('Stock UST'!51:51,1,MATCH(Stock!H$1,'Stock UST'!$1:$1,0)))=0,"",IF(ISERROR(MATCH(Stock!H$1,'Stock UST'!$1:$1,0)),G51,INDEX('Stock UST'!51:51,1,MATCH(Stock!H$1,'Stock UST'!$1:$1,0))))</f>
        <v/>
      </c>
      <c r="I51" s="9" t="str">
        <f ca="1">IF(IF(ISERROR(MATCH(Stock!I$1,'Stock UST'!$1:$1,0)),H51,INDEX('Stock UST'!51:51,1,MATCH(Stock!I$1,'Stock UST'!$1:$1,0)))=0,"",IF(ISERROR(MATCH(Stock!I$1,'Stock UST'!$1:$1,0)),H51,INDEX('Stock UST'!51:51,1,MATCH(Stock!I$1,'Stock UST'!$1:$1,0))))</f>
        <v/>
      </c>
      <c r="J51" s="9" t="str">
        <f ca="1">IF(IF(ISERROR(MATCH(Stock!J$1,'Stock UST'!$1:$1,0)),I51,INDEX('Stock UST'!51:51,1,MATCH(Stock!J$1,'Stock UST'!$1:$1,0)))=0,"",IF(ISERROR(MATCH(Stock!J$1,'Stock UST'!$1:$1,0)),I51,INDEX('Stock UST'!51:51,1,MATCH(Stock!J$1,'Stock UST'!$1:$1,0))))</f>
        <v/>
      </c>
      <c r="K51" s="9" t="str">
        <f ca="1">IF(IF(ISERROR(MATCH(Stock!K$1,'Stock UST'!$1:$1,0)),J51,INDEX('Stock UST'!51:51,1,MATCH(Stock!K$1,'Stock UST'!$1:$1,0)))=0,"",IF(ISERROR(MATCH(Stock!K$1,'Stock UST'!$1:$1,0)),J51,INDEX('Stock UST'!51:51,1,MATCH(Stock!K$1,'Stock UST'!$1:$1,0))))</f>
        <v/>
      </c>
      <c r="L51" s="9" t="str">
        <f ca="1">IF(IF(ISERROR(MATCH(Stock!L$1,'Stock UST'!$1:$1,0)),K51,INDEX('Stock UST'!51:51,1,MATCH(Stock!L$1,'Stock UST'!$1:$1,0)))=0,"",IF(ISERROR(MATCH(Stock!L$1,'Stock UST'!$1:$1,0)),K51,INDEX('Stock UST'!51:51,1,MATCH(Stock!L$1,'Stock UST'!$1:$1,0))))</f>
        <v/>
      </c>
      <c r="M51" s="9" t="str">
        <f ca="1">IF(IF(ISERROR(MATCH(Stock!M$1,'Stock UST'!$1:$1,0)),L51,INDEX('Stock UST'!51:51,1,MATCH(Stock!M$1,'Stock UST'!$1:$1,0)))=0,"",IF(ISERROR(MATCH(Stock!M$1,'Stock UST'!$1:$1,0)),L51,INDEX('Stock UST'!51:51,1,MATCH(Stock!M$1,'Stock UST'!$1:$1,0))))</f>
        <v/>
      </c>
      <c r="N51" s="9" t="str">
        <f ca="1">IF(IF(ISERROR(MATCH(Stock!N$1,'Stock UST'!$1:$1,0)),M51,INDEX('Stock UST'!51:51,1,MATCH(Stock!N$1,'Stock UST'!$1:$1,0)))=0,"",IF(ISERROR(MATCH(Stock!N$1,'Stock UST'!$1:$1,0)),M51,INDEX('Stock UST'!51:51,1,MATCH(Stock!N$1,'Stock UST'!$1:$1,0))))</f>
        <v/>
      </c>
      <c r="O51" s="9" t="str">
        <f ca="1">IF(IF(ISERROR(MATCH(Stock!O$1,'Stock UST'!$1:$1,0)),N51,INDEX('Stock UST'!51:51,1,MATCH(Stock!O$1,'Stock UST'!$1:$1,0)))=0,"",IF(ISERROR(MATCH(Stock!O$1,'Stock UST'!$1:$1,0)),N51,INDEX('Stock UST'!51:51,1,MATCH(Stock!O$1,'Stock UST'!$1:$1,0))))</f>
        <v/>
      </c>
      <c r="P51" s="9" t="str">
        <f ca="1">IF(IF(ISERROR(MATCH(Stock!P$1,'Stock UST'!$1:$1,0)),O51,INDEX('Stock UST'!51:51,1,MATCH(Stock!P$1,'Stock UST'!$1:$1,0)))=0,"",IF(ISERROR(MATCH(Stock!P$1,'Stock UST'!$1:$1,0)),O51,INDEX('Stock UST'!51:51,1,MATCH(Stock!P$1,'Stock UST'!$1:$1,0))))</f>
        <v/>
      </c>
      <c r="Q51" s="9" t="str">
        <f ca="1">IF(IF(ISERROR(MATCH(Stock!Q$1,'Stock UST'!$1:$1,0)),P51,INDEX('Stock UST'!51:51,1,MATCH(Stock!Q$1,'Stock UST'!$1:$1,0)))=0,"",IF(ISERROR(MATCH(Stock!Q$1,'Stock UST'!$1:$1,0)),P51,INDEX('Stock UST'!51:51,1,MATCH(Stock!Q$1,'Stock UST'!$1:$1,0))))</f>
        <v/>
      </c>
      <c r="R51" s="9" t="str">
        <f ca="1">IF(IF(ISERROR(MATCH(Stock!R$1,'Stock UST'!$1:$1,0)),Q51,INDEX('Stock UST'!51:51,1,MATCH(Stock!R$1,'Stock UST'!$1:$1,0)))=0,"",IF(ISERROR(MATCH(Stock!R$1,'Stock UST'!$1:$1,0)),Q51,INDEX('Stock UST'!51:51,1,MATCH(Stock!R$1,'Stock UST'!$1:$1,0))))</f>
        <v/>
      </c>
      <c r="S51" s="9" t="str">
        <f ca="1">IF(IF(ISERROR(MATCH(Stock!S$1,'Stock UST'!$1:$1,0)),R51,INDEX('Stock UST'!51:51,1,MATCH(Stock!S$1,'Stock UST'!$1:$1,0)))=0,"",IF(ISERROR(MATCH(Stock!S$1,'Stock UST'!$1:$1,0)),R51,INDEX('Stock UST'!51:51,1,MATCH(Stock!S$1,'Stock UST'!$1:$1,0))))</f>
        <v/>
      </c>
      <c r="T51" s="9" t="str">
        <f ca="1">IF(IF(ISERROR(MATCH(Stock!T$1,'Stock UST'!$1:$1,0)),S51,INDEX('Stock UST'!51:51,1,MATCH(Stock!T$1,'Stock UST'!$1:$1,0)))=0,"",IF(ISERROR(MATCH(Stock!T$1,'Stock UST'!$1:$1,0)),S51,INDEX('Stock UST'!51:51,1,MATCH(Stock!T$1,'Stock UST'!$1:$1,0))))</f>
        <v/>
      </c>
      <c r="U51" s="9" t="str">
        <f ca="1">IF(IF(ISERROR(MATCH(Stock!U$1,'Stock UST'!$1:$1,0)),T51,INDEX('Stock UST'!51:51,1,MATCH(Stock!U$1,'Stock UST'!$1:$1,0)))=0,"",IF(ISERROR(MATCH(Stock!U$1,'Stock UST'!$1:$1,0)),T51,INDEX('Stock UST'!51:51,1,MATCH(Stock!U$1,'Stock UST'!$1:$1,0))))</f>
        <v/>
      </c>
      <c r="V51" s="9" t="str">
        <f ca="1">IF(IF(ISERROR(MATCH(Stock!V$1,'Stock UST'!$1:$1,0)),U51,INDEX('Stock UST'!51:51,1,MATCH(Stock!V$1,'Stock UST'!$1:$1,0)))=0,"",IF(ISERROR(MATCH(Stock!V$1,'Stock UST'!$1:$1,0)),U51,INDEX('Stock UST'!51:51,1,MATCH(Stock!V$1,'Stock UST'!$1:$1,0))))</f>
        <v/>
      </c>
      <c r="W51" s="9" t="str">
        <f ca="1">IF(IF(ISERROR(MATCH(Stock!W$1,'Stock UST'!$1:$1,0)),V51,INDEX('Stock UST'!51:51,1,MATCH(Stock!W$1,'Stock UST'!$1:$1,0)))=0,"",IF(ISERROR(MATCH(Stock!W$1,'Stock UST'!$1:$1,0)),V51,INDEX('Stock UST'!51:51,1,MATCH(Stock!W$1,'Stock UST'!$1:$1,0))))</f>
        <v/>
      </c>
      <c r="X51" s="9" t="str">
        <f ca="1">IF(IF(ISERROR(MATCH(Stock!X$1,'Stock UST'!$1:$1,0)),W51,INDEX('Stock UST'!51:51,1,MATCH(Stock!X$1,'Stock UST'!$1:$1,0)))=0,"",IF(ISERROR(MATCH(Stock!X$1,'Stock UST'!$1:$1,0)),W51,INDEX('Stock UST'!51:51,1,MATCH(Stock!X$1,'Stock UST'!$1:$1,0))))</f>
        <v/>
      </c>
      <c r="Y51" s="9" t="str">
        <f ca="1">IF(IF(ISERROR(MATCH(Stock!Y$1,'Stock UST'!$1:$1,0)),X51,INDEX('Stock UST'!51:51,1,MATCH(Stock!Y$1,'Stock UST'!$1:$1,0)))=0,"",IF(ISERROR(MATCH(Stock!Y$1,'Stock UST'!$1:$1,0)),X51,INDEX('Stock UST'!51:51,1,MATCH(Stock!Y$1,'Stock UST'!$1:$1,0))))</f>
        <v/>
      </c>
      <c r="Z51" s="9" t="str">
        <f ca="1">IF(IF(ISERROR(MATCH(Stock!Z$1,'Stock UST'!$1:$1,0)),Y51,INDEX('Stock UST'!51:51,1,MATCH(Stock!Z$1,'Stock UST'!$1:$1,0)))=0,"",IF(ISERROR(MATCH(Stock!Z$1,'Stock UST'!$1:$1,0)),Y51,INDEX('Stock UST'!51:51,1,MATCH(Stock!Z$1,'Stock UST'!$1:$1,0))))</f>
        <v/>
      </c>
      <c r="AA51" s="9" t="str">
        <f ca="1">IF(IF(ISERROR(MATCH(Stock!AA$1,'Stock UST'!$1:$1,0)),Z51,INDEX('Stock UST'!51:51,1,MATCH(Stock!AA$1,'Stock UST'!$1:$1,0)))=0,"",IF(ISERROR(MATCH(Stock!AA$1,'Stock UST'!$1:$1,0)),Z51,INDEX('Stock UST'!51:51,1,MATCH(Stock!AA$1,'Stock UST'!$1:$1,0))))</f>
        <v/>
      </c>
      <c r="AB51" s="9" t="str">
        <f ca="1">IF(IF(ISERROR(MATCH(Stock!AB$1,'Stock UST'!$1:$1,0)),AA51,INDEX('Stock UST'!51:51,1,MATCH(Stock!AB$1,'Stock UST'!$1:$1,0)))=0,"",IF(ISERROR(MATCH(Stock!AB$1,'Stock UST'!$1:$1,0)),AA51,INDEX('Stock UST'!51:51,1,MATCH(Stock!AB$1,'Stock UST'!$1:$1,0))))</f>
        <v/>
      </c>
      <c r="AC51" s="9" t="str">
        <f ca="1">IF(IF(ISERROR(MATCH(Stock!AC$1,'Stock UST'!$1:$1,0)),AB51,INDEX('Stock UST'!51:51,1,MATCH(Stock!AC$1,'Stock UST'!$1:$1,0)))=0,"",IF(ISERROR(MATCH(Stock!AC$1,'Stock UST'!$1:$1,0)),AB51,INDEX('Stock UST'!51:51,1,MATCH(Stock!AC$1,'Stock UST'!$1:$1,0))))</f>
        <v/>
      </c>
      <c r="AD51" s="9" t="str">
        <f ca="1">IF(IF(ISERROR(MATCH(Stock!AD$1,'Stock UST'!$1:$1,0)),AC51,INDEX('Stock UST'!51:51,1,MATCH(Stock!AD$1,'Stock UST'!$1:$1,0)))=0,"",IF(ISERROR(MATCH(Stock!AD$1,'Stock UST'!$1:$1,0)),AC51,INDEX('Stock UST'!51:51,1,MATCH(Stock!AD$1,'Stock UST'!$1:$1,0))))</f>
        <v/>
      </c>
      <c r="AE51" s="9" t="str">
        <f ca="1">IF(IF(ISERROR(MATCH(Stock!AE$1,'Stock UST'!$1:$1,0)),AD51,INDEX('Stock UST'!51:51,1,MATCH(Stock!AE$1,'Stock UST'!$1:$1,0)))=0,"",IF(ISERROR(MATCH(Stock!AE$1,'Stock UST'!$1:$1,0)),AD51,INDEX('Stock UST'!51:51,1,MATCH(Stock!AE$1,'Stock UST'!$1:$1,0))))</f>
        <v/>
      </c>
      <c r="AF51" s="9" t="str">
        <f ca="1">IF(IF(ISERROR(MATCH(Stock!AF$1,'Stock UST'!$1:$1,0)),AE51,INDEX('Stock UST'!51:51,1,MATCH(Stock!AF$1,'Stock UST'!$1:$1,0)))=0,"",IF(ISERROR(MATCH(Stock!AF$1,'Stock UST'!$1:$1,0)),AE51,INDEX('Stock UST'!51:51,1,MATCH(Stock!AF$1,'Stock UST'!$1:$1,0))))</f>
        <v/>
      </c>
      <c r="AG51" s="9" t="str">
        <f ca="1">IF(IF(ISERROR(MATCH(Stock!AG$1,'Stock UST'!$1:$1,0)),AF51,INDEX('Stock UST'!51:51,1,MATCH(Stock!AG$1,'Stock UST'!$1:$1,0)))=0,"",IF(ISERROR(MATCH(Stock!AG$1,'Stock UST'!$1:$1,0)),AF51,INDEX('Stock UST'!51:51,1,MATCH(Stock!AG$1,'Stock UST'!$1:$1,0))))</f>
        <v/>
      </c>
      <c r="AH51" s="9" t="str">
        <f ca="1">IF(IF(ISERROR(MATCH(Stock!AH$1,'Stock UST'!$1:$1,0)),AG51,INDEX('Stock UST'!51:51,1,MATCH(Stock!AH$1,'Stock UST'!$1:$1,0)))=0,"",IF(ISERROR(MATCH(Stock!AH$1,'Stock UST'!$1:$1,0)),AG51,INDEX('Stock UST'!51:51,1,MATCH(Stock!AH$1,'Stock UST'!$1:$1,0))))</f>
        <v/>
      </c>
      <c r="AI51" s="9" t="str">
        <f ca="1">IF(IF(ISERROR(MATCH(Stock!AI$1,'Stock UST'!$1:$1,0)),AH51,INDEX('Stock UST'!51:51,1,MATCH(Stock!AI$1,'Stock UST'!$1:$1,0)))=0,"",IF(ISERROR(MATCH(Stock!AI$1,'Stock UST'!$1:$1,0)),AH51,INDEX('Stock UST'!51:51,1,MATCH(Stock!AI$1,'Stock UST'!$1:$1,0))))</f>
        <v/>
      </c>
      <c r="AJ51" s="9" t="str">
        <f ca="1">IF(IF(ISERROR(MATCH(Stock!AJ$1,'Stock UST'!$1:$1,0)),AI51,INDEX('Stock UST'!51:51,1,MATCH(Stock!AJ$1,'Stock UST'!$1:$1,0)))=0,"",IF(ISERROR(MATCH(Stock!AJ$1,'Stock UST'!$1:$1,0)),AI51,INDEX('Stock UST'!51:51,1,MATCH(Stock!AJ$1,'Stock UST'!$1:$1,0))))</f>
        <v/>
      </c>
      <c r="AK51" s="9" t="str">
        <f ca="1">IF(IF(ISERROR(MATCH(Stock!AK$1,'Stock UST'!$1:$1,0)),AJ51,INDEX('Stock UST'!51:51,1,MATCH(Stock!AK$1,'Stock UST'!$1:$1,0)))=0,"",IF(ISERROR(MATCH(Stock!AK$1,'Stock UST'!$1:$1,0)),AJ51,INDEX('Stock UST'!51:51,1,MATCH(Stock!AK$1,'Stock UST'!$1:$1,0))))</f>
        <v/>
      </c>
      <c r="AL51" s="9" t="str">
        <f ca="1">IF(IF(ISERROR(MATCH(Stock!AL$1,'Stock UST'!$1:$1,0)),AK51,INDEX('Stock UST'!51:51,1,MATCH(Stock!AL$1,'Stock UST'!$1:$1,0)))=0,"",IF(ISERROR(MATCH(Stock!AL$1,'Stock UST'!$1:$1,0)),AK51,INDEX('Stock UST'!51:51,1,MATCH(Stock!AL$1,'Stock UST'!$1:$1,0))))</f>
        <v/>
      </c>
      <c r="AM51" s="9" t="str">
        <f ca="1">IF(IF(ISERROR(MATCH(Stock!AM$1,'Stock UST'!$1:$1,0)),AL51,INDEX('Stock UST'!51:51,1,MATCH(Stock!AM$1,'Stock UST'!$1:$1,0)))=0,"",IF(ISERROR(MATCH(Stock!AM$1,'Stock UST'!$1:$1,0)),AL51,INDEX('Stock UST'!51:51,1,MATCH(Stock!AM$1,'Stock UST'!$1:$1,0))))</f>
        <v/>
      </c>
      <c r="AN51" s="9" t="str">
        <f ca="1">IF(IF(ISERROR(MATCH(Stock!AN$1,'Stock UST'!$1:$1,0)),AM51,INDEX('Stock UST'!51:51,1,MATCH(Stock!AN$1,'Stock UST'!$1:$1,0)))=0,"",IF(ISERROR(MATCH(Stock!AN$1,'Stock UST'!$1:$1,0)),AM51,INDEX('Stock UST'!51:51,1,MATCH(Stock!AN$1,'Stock UST'!$1:$1,0))))</f>
        <v/>
      </c>
      <c r="AO51" s="9" t="str">
        <f ca="1">IF(IF(ISERROR(MATCH(Stock!AO$1,'Stock UST'!$1:$1,0)),AN51,INDEX('Stock UST'!51:51,1,MATCH(Stock!AO$1,'Stock UST'!$1:$1,0)))=0,"",IF(ISERROR(MATCH(Stock!AO$1,'Stock UST'!$1:$1,0)),AN51,INDEX('Stock UST'!51:51,1,MATCH(Stock!AO$1,'Stock UST'!$1:$1,0))))</f>
        <v/>
      </c>
      <c r="AP51" s="9" t="str">
        <f ca="1">IF(IF(ISERROR(MATCH(Stock!AP$1,'Stock UST'!$1:$1,0)),AO51,INDEX('Stock UST'!51:51,1,MATCH(Stock!AP$1,'Stock UST'!$1:$1,0)))=0,"",IF(ISERROR(MATCH(Stock!AP$1,'Stock UST'!$1:$1,0)),AO51,INDEX('Stock UST'!51:51,1,MATCH(Stock!AP$1,'Stock UST'!$1:$1,0))))</f>
        <v/>
      </c>
      <c r="AQ51" s="9" t="str">
        <f ca="1">IF(IF(ISERROR(MATCH(Stock!AQ$1,'Stock UST'!$1:$1,0)),AP51,INDEX('Stock UST'!51:51,1,MATCH(Stock!AQ$1,'Stock UST'!$1:$1,0)))=0,"",IF(ISERROR(MATCH(Stock!AQ$1,'Stock UST'!$1:$1,0)),AP51,INDEX('Stock UST'!51:51,1,MATCH(Stock!AQ$1,'Stock UST'!$1:$1,0))))</f>
        <v/>
      </c>
      <c r="AR51" s="9" t="str">
        <f ca="1">IF(IF(ISERROR(MATCH(Stock!AR$1,'Stock UST'!$1:$1,0)),AQ51,INDEX('Stock UST'!51:51,1,MATCH(Stock!AR$1,'Stock UST'!$1:$1,0)))=0,"",IF(ISERROR(MATCH(Stock!AR$1,'Stock UST'!$1:$1,0)),AQ51,INDEX('Stock UST'!51:51,1,MATCH(Stock!AR$1,'Stock UST'!$1:$1,0))))</f>
        <v/>
      </c>
      <c r="AS51" s="9" t="str">
        <f ca="1">IF(IF(ISERROR(MATCH(Stock!AS$1,'Stock UST'!$1:$1,0)),AR51,INDEX('Stock UST'!51:51,1,MATCH(Stock!AS$1,'Stock UST'!$1:$1,0)))=0,"",IF(ISERROR(MATCH(Stock!AS$1,'Stock UST'!$1:$1,0)),AR51,INDEX('Stock UST'!51:51,1,MATCH(Stock!AS$1,'Stock UST'!$1:$1,0))))</f>
        <v/>
      </c>
      <c r="AT51" s="9" t="str">
        <f ca="1">IF(IF(ISERROR(MATCH(Stock!AT$1,'Stock UST'!$1:$1,0)),AS51,INDEX('Stock UST'!51:51,1,MATCH(Stock!AT$1,'Stock UST'!$1:$1,0)))=0,"",IF(ISERROR(MATCH(Stock!AT$1,'Stock UST'!$1:$1,0)),AS51,INDEX('Stock UST'!51:51,1,MATCH(Stock!AT$1,'Stock UST'!$1:$1,0))))</f>
        <v/>
      </c>
      <c r="AU51" s="9" t="str">
        <f ca="1">IF(IF(ISERROR(MATCH(Stock!AU$1,'Stock UST'!$1:$1,0)),AT51,INDEX('Stock UST'!51:51,1,MATCH(Stock!AU$1,'Stock UST'!$1:$1,0)))=0,"",IF(ISERROR(MATCH(Stock!AU$1,'Stock UST'!$1:$1,0)),AT51,INDEX('Stock UST'!51:51,1,MATCH(Stock!AU$1,'Stock UST'!$1:$1,0))))</f>
        <v/>
      </c>
      <c r="AV51" s="9" t="str">
        <f ca="1">IF(IF(ISERROR(MATCH(Stock!AV$1,'Stock UST'!$1:$1,0)),AU51,INDEX('Stock UST'!51:51,1,MATCH(Stock!AV$1,'Stock UST'!$1:$1,0)))=0,"",IF(ISERROR(MATCH(Stock!AV$1,'Stock UST'!$1:$1,0)),AU51,INDEX('Stock UST'!51:51,1,MATCH(Stock!AV$1,'Stock UST'!$1:$1,0))))</f>
        <v/>
      </c>
      <c r="AW51" s="9" t="str">
        <f ca="1">IF(IF(ISERROR(MATCH(Stock!AW$1,'Stock UST'!$1:$1,0)),AV51,INDEX('Stock UST'!51:51,1,MATCH(Stock!AW$1,'Stock UST'!$1:$1,0)))=0,"",IF(ISERROR(MATCH(Stock!AW$1,'Stock UST'!$1:$1,0)),AV51,INDEX('Stock UST'!51:51,1,MATCH(Stock!AW$1,'Stock UST'!$1:$1,0))))</f>
        <v/>
      </c>
      <c r="AX51" s="9" t="str">
        <f ca="1">IF(IF(ISERROR(MATCH(Stock!AX$1,'Stock UST'!$1:$1,0)),AW51,INDEX('Stock UST'!51:51,1,MATCH(Stock!AX$1,'Stock UST'!$1:$1,0)))=0,"",IF(ISERROR(MATCH(Stock!AX$1,'Stock UST'!$1:$1,0)),AW51,INDEX('Stock UST'!51:51,1,MATCH(Stock!AX$1,'Stock UST'!$1:$1,0))))</f>
        <v/>
      </c>
    </row>
    <row r="52" spans="1:50" x14ac:dyDescent="0.3">
      <c r="A52" s="9" t="str">
        <f>IF('Stock UST'!E52="","",'Stock UST'!E52)</f>
        <v/>
      </c>
      <c r="B52" s="9" t="str">
        <f>IF(IF(ISERROR(MATCH(Stock!B$1,'Stock UST'!$1:$1,0)),A52,INDEX('Stock UST'!52:52,1,MATCH(Stock!B$1,'Stock UST'!$1:$1,0)))=0,"",IF(ISERROR(MATCH(Stock!B$1,'Stock UST'!$1:$1,0)),A52,INDEX('Stock UST'!52:52,1,MATCH(Stock!B$1,'Stock UST'!$1:$1,0))))</f>
        <v/>
      </c>
      <c r="C52" s="9" t="str">
        <f ca="1">IF(IF(ISERROR(MATCH(Stock!C$1,'Stock UST'!$1:$1,0)),B52,INDEX('Stock UST'!52:52,1,MATCH(Stock!C$1,'Stock UST'!$1:$1,0)))=0,"",IF(ISERROR(MATCH(Stock!C$1,'Stock UST'!$1:$1,0)),B52,INDEX('Stock UST'!52:52,1,MATCH(Stock!C$1,'Stock UST'!$1:$1,0))))</f>
        <v/>
      </c>
      <c r="D52" s="9" t="str">
        <f ca="1">IF(IF(ISERROR(MATCH(Stock!D$1,'Stock UST'!$1:$1,0)),C52,INDEX('Stock UST'!52:52,1,MATCH(Stock!D$1,'Stock UST'!$1:$1,0)))=0,"",IF(ISERROR(MATCH(Stock!D$1,'Stock UST'!$1:$1,0)),C52,INDEX('Stock UST'!52:52,1,MATCH(Stock!D$1,'Stock UST'!$1:$1,0))))</f>
        <v/>
      </c>
      <c r="E52" s="9" t="str">
        <f ca="1">IF(IF(ISERROR(MATCH(Stock!E$1,'Stock UST'!$1:$1,0)),D52,INDEX('Stock UST'!52:52,1,MATCH(Stock!E$1,'Stock UST'!$1:$1,0)))=0,"",IF(ISERROR(MATCH(Stock!E$1,'Stock UST'!$1:$1,0)),D52,INDEX('Stock UST'!52:52,1,MATCH(Stock!E$1,'Stock UST'!$1:$1,0))))</f>
        <v/>
      </c>
      <c r="F52" s="9" t="str">
        <f ca="1">IF(IF(ISERROR(MATCH(Stock!F$1,'Stock UST'!$1:$1,0)),E52,INDEX('Stock UST'!52:52,1,MATCH(Stock!F$1,'Stock UST'!$1:$1,0)))=0,"",IF(ISERROR(MATCH(Stock!F$1,'Stock UST'!$1:$1,0)),E52,INDEX('Stock UST'!52:52,1,MATCH(Stock!F$1,'Stock UST'!$1:$1,0))))</f>
        <v/>
      </c>
      <c r="G52" s="9" t="str">
        <f ca="1">IF(IF(ISERROR(MATCH(Stock!G$1,'Stock UST'!$1:$1,0)),F52,INDEX('Stock UST'!52:52,1,MATCH(Stock!G$1,'Stock UST'!$1:$1,0)))=0,"",IF(ISERROR(MATCH(Stock!G$1,'Stock UST'!$1:$1,0)),F52,INDEX('Stock UST'!52:52,1,MATCH(Stock!G$1,'Stock UST'!$1:$1,0))))</f>
        <v/>
      </c>
      <c r="H52" s="9" t="str">
        <f ca="1">IF(IF(ISERROR(MATCH(Stock!H$1,'Stock UST'!$1:$1,0)),G52,INDEX('Stock UST'!52:52,1,MATCH(Stock!H$1,'Stock UST'!$1:$1,0)))=0,"",IF(ISERROR(MATCH(Stock!H$1,'Stock UST'!$1:$1,0)),G52,INDEX('Stock UST'!52:52,1,MATCH(Stock!H$1,'Stock UST'!$1:$1,0))))</f>
        <v/>
      </c>
      <c r="I52" s="9" t="str">
        <f ca="1">IF(IF(ISERROR(MATCH(Stock!I$1,'Stock UST'!$1:$1,0)),H52,INDEX('Stock UST'!52:52,1,MATCH(Stock!I$1,'Stock UST'!$1:$1,0)))=0,"",IF(ISERROR(MATCH(Stock!I$1,'Stock UST'!$1:$1,0)),H52,INDEX('Stock UST'!52:52,1,MATCH(Stock!I$1,'Stock UST'!$1:$1,0))))</f>
        <v/>
      </c>
      <c r="J52" s="9" t="str">
        <f ca="1">IF(IF(ISERROR(MATCH(Stock!J$1,'Stock UST'!$1:$1,0)),I52,INDEX('Stock UST'!52:52,1,MATCH(Stock!J$1,'Stock UST'!$1:$1,0)))=0,"",IF(ISERROR(MATCH(Stock!J$1,'Stock UST'!$1:$1,0)),I52,INDEX('Stock UST'!52:52,1,MATCH(Stock!J$1,'Stock UST'!$1:$1,0))))</f>
        <v/>
      </c>
      <c r="K52" s="9" t="str">
        <f ca="1">IF(IF(ISERROR(MATCH(Stock!K$1,'Stock UST'!$1:$1,0)),J52,INDEX('Stock UST'!52:52,1,MATCH(Stock!K$1,'Stock UST'!$1:$1,0)))=0,"",IF(ISERROR(MATCH(Stock!K$1,'Stock UST'!$1:$1,0)),J52,INDEX('Stock UST'!52:52,1,MATCH(Stock!K$1,'Stock UST'!$1:$1,0))))</f>
        <v/>
      </c>
      <c r="L52" s="9" t="str">
        <f ca="1">IF(IF(ISERROR(MATCH(Stock!L$1,'Stock UST'!$1:$1,0)),K52,INDEX('Stock UST'!52:52,1,MATCH(Stock!L$1,'Stock UST'!$1:$1,0)))=0,"",IF(ISERROR(MATCH(Stock!L$1,'Stock UST'!$1:$1,0)),K52,INDEX('Stock UST'!52:52,1,MATCH(Stock!L$1,'Stock UST'!$1:$1,0))))</f>
        <v/>
      </c>
      <c r="M52" s="9" t="str">
        <f ca="1">IF(IF(ISERROR(MATCH(Stock!M$1,'Stock UST'!$1:$1,0)),L52,INDEX('Stock UST'!52:52,1,MATCH(Stock!M$1,'Stock UST'!$1:$1,0)))=0,"",IF(ISERROR(MATCH(Stock!M$1,'Stock UST'!$1:$1,0)),L52,INDEX('Stock UST'!52:52,1,MATCH(Stock!M$1,'Stock UST'!$1:$1,0))))</f>
        <v/>
      </c>
      <c r="N52" s="9" t="str">
        <f ca="1">IF(IF(ISERROR(MATCH(Stock!N$1,'Stock UST'!$1:$1,0)),M52,INDEX('Stock UST'!52:52,1,MATCH(Stock!N$1,'Stock UST'!$1:$1,0)))=0,"",IF(ISERROR(MATCH(Stock!N$1,'Stock UST'!$1:$1,0)),M52,INDEX('Stock UST'!52:52,1,MATCH(Stock!N$1,'Stock UST'!$1:$1,0))))</f>
        <v/>
      </c>
      <c r="O52" s="9" t="str">
        <f ca="1">IF(IF(ISERROR(MATCH(Stock!O$1,'Stock UST'!$1:$1,0)),N52,INDEX('Stock UST'!52:52,1,MATCH(Stock!O$1,'Stock UST'!$1:$1,0)))=0,"",IF(ISERROR(MATCH(Stock!O$1,'Stock UST'!$1:$1,0)),N52,INDEX('Stock UST'!52:52,1,MATCH(Stock!O$1,'Stock UST'!$1:$1,0))))</f>
        <v/>
      </c>
      <c r="P52" s="9" t="str">
        <f ca="1">IF(IF(ISERROR(MATCH(Stock!P$1,'Stock UST'!$1:$1,0)),O52,INDEX('Stock UST'!52:52,1,MATCH(Stock!P$1,'Stock UST'!$1:$1,0)))=0,"",IF(ISERROR(MATCH(Stock!P$1,'Stock UST'!$1:$1,0)),O52,INDEX('Stock UST'!52:52,1,MATCH(Stock!P$1,'Stock UST'!$1:$1,0))))</f>
        <v/>
      </c>
      <c r="Q52" s="9" t="str">
        <f ca="1">IF(IF(ISERROR(MATCH(Stock!Q$1,'Stock UST'!$1:$1,0)),P52,INDEX('Stock UST'!52:52,1,MATCH(Stock!Q$1,'Stock UST'!$1:$1,0)))=0,"",IF(ISERROR(MATCH(Stock!Q$1,'Stock UST'!$1:$1,0)),P52,INDEX('Stock UST'!52:52,1,MATCH(Stock!Q$1,'Stock UST'!$1:$1,0))))</f>
        <v/>
      </c>
      <c r="R52" s="9" t="str">
        <f ca="1">IF(IF(ISERROR(MATCH(Stock!R$1,'Stock UST'!$1:$1,0)),Q52,INDEX('Stock UST'!52:52,1,MATCH(Stock!R$1,'Stock UST'!$1:$1,0)))=0,"",IF(ISERROR(MATCH(Stock!R$1,'Stock UST'!$1:$1,0)),Q52,INDEX('Stock UST'!52:52,1,MATCH(Stock!R$1,'Stock UST'!$1:$1,0))))</f>
        <v/>
      </c>
      <c r="S52" s="9" t="str">
        <f ca="1">IF(IF(ISERROR(MATCH(Stock!S$1,'Stock UST'!$1:$1,0)),R52,INDEX('Stock UST'!52:52,1,MATCH(Stock!S$1,'Stock UST'!$1:$1,0)))=0,"",IF(ISERROR(MATCH(Stock!S$1,'Stock UST'!$1:$1,0)),R52,INDEX('Stock UST'!52:52,1,MATCH(Stock!S$1,'Stock UST'!$1:$1,0))))</f>
        <v/>
      </c>
      <c r="T52" s="9" t="str">
        <f ca="1">IF(IF(ISERROR(MATCH(Stock!T$1,'Stock UST'!$1:$1,0)),S52,INDEX('Stock UST'!52:52,1,MATCH(Stock!T$1,'Stock UST'!$1:$1,0)))=0,"",IF(ISERROR(MATCH(Stock!T$1,'Stock UST'!$1:$1,0)),S52,INDEX('Stock UST'!52:52,1,MATCH(Stock!T$1,'Stock UST'!$1:$1,0))))</f>
        <v/>
      </c>
      <c r="U52" s="9" t="str">
        <f ca="1">IF(IF(ISERROR(MATCH(Stock!U$1,'Stock UST'!$1:$1,0)),T52,INDEX('Stock UST'!52:52,1,MATCH(Stock!U$1,'Stock UST'!$1:$1,0)))=0,"",IF(ISERROR(MATCH(Stock!U$1,'Stock UST'!$1:$1,0)),T52,INDEX('Stock UST'!52:52,1,MATCH(Stock!U$1,'Stock UST'!$1:$1,0))))</f>
        <v/>
      </c>
      <c r="V52" s="9" t="str">
        <f ca="1">IF(IF(ISERROR(MATCH(Stock!V$1,'Stock UST'!$1:$1,0)),U52,INDEX('Stock UST'!52:52,1,MATCH(Stock!V$1,'Stock UST'!$1:$1,0)))=0,"",IF(ISERROR(MATCH(Stock!V$1,'Stock UST'!$1:$1,0)),U52,INDEX('Stock UST'!52:52,1,MATCH(Stock!V$1,'Stock UST'!$1:$1,0))))</f>
        <v/>
      </c>
      <c r="W52" s="9" t="str">
        <f ca="1">IF(IF(ISERROR(MATCH(Stock!W$1,'Stock UST'!$1:$1,0)),V52,INDEX('Stock UST'!52:52,1,MATCH(Stock!W$1,'Stock UST'!$1:$1,0)))=0,"",IF(ISERROR(MATCH(Stock!W$1,'Stock UST'!$1:$1,0)),V52,INDEX('Stock UST'!52:52,1,MATCH(Stock!W$1,'Stock UST'!$1:$1,0))))</f>
        <v/>
      </c>
      <c r="X52" s="9" t="str">
        <f ca="1">IF(IF(ISERROR(MATCH(Stock!X$1,'Stock UST'!$1:$1,0)),W52,INDEX('Stock UST'!52:52,1,MATCH(Stock!X$1,'Stock UST'!$1:$1,0)))=0,"",IF(ISERROR(MATCH(Stock!X$1,'Stock UST'!$1:$1,0)),W52,INDEX('Stock UST'!52:52,1,MATCH(Stock!X$1,'Stock UST'!$1:$1,0))))</f>
        <v/>
      </c>
      <c r="Y52" s="9" t="str">
        <f ca="1">IF(IF(ISERROR(MATCH(Stock!Y$1,'Stock UST'!$1:$1,0)),X52,INDEX('Stock UST'!52:52,1,MATCH(Stock!Y$1,'Stock UST'!$1:$1,0)))=0,"",IF(ISERROR(MATCH(Stock!Y$1,'Stock UST'!$1:$1,0)),X52,INDEX('Stock UST'!52:52,1,MATCH(Stock!Y$1,'Stock UST'!$1:$1,0))))</f>
        <v/>
      </c>
      <c r="Z52" s="9" t="str">
        <f ca="1">IF(IF(ISERROR(MATCH(Stock!Z$1,'Stock UST'!$1:$1,0)),Y52,INDEX('Stock UST'!52:52,1,MATCH(Stock!Z$1,'Stock UST'!$1:$1,0)))=0,"",IF(ISERROR(MATCH(Stock!Z$1,'Stock UST'!$1:$1,0)),Y52,INDEX('Stock UST'!52:52,1,MATCH(Stock!Z$1,'Stock UST'!$1:$1,0))))</f>
        <v/>
      </c>
      <c r="AA52" s="9" t="str">
        <f ca="1">IF(IF(ISERROR(MATCH(Stock!AA$1,'Stock UST'!$1:$1,0)),Z52,INDEX('Stock UST'!52:52,1,MATCH(Stock!AA$1,'Stock UST'!$1:$1,0)))=0,"",IF(ISERROR(MATCH(Stock!AA$1,'Stock UST'!$1:$1,0)),Z52,INDEX('Stock UST'!52:52,1,MATCH(Stock!AA$1,'Stock UST'!$1:$1,0))))</f>
        <v/>
      </c>
      <c r="AB52" s="9" t="str">
        <f ca="1">IF(IF(ISERROR(MATCH(Stock!AB$1,'Stock UST'!$1:$1,0)),AA52,INDEX('Stock UST'!52:52,1,MATCH(Stock!AB$1,'Stock UST'!$1:$1,0)))=0,"",IF(ISERROR(MATCH(Stock!AB$1,'Stock UST'!$1:$1,0)),AA52,INDEX('Stock UST'!52:52,1,MATCH(Stock!AB$1,'Stock UST'!$1:$1,0))))</f>
        <v/>
      </c>
      <c r="AC52" s="9" t="str">
        <f ca="1">IF(IF(ISERROR(MATCH(Stock!AC$1,'Stock UST'!$1:$1,0)),AB52,INDEX('Stock UST'!52:52,1,MATCH(Stock!AC$1,'Stock UST'!$1:$1,0)))=0,"",IF(ISERROR(MATCH(Stock!AC$1,'Stock UST'!$1:$1,0)),AB52,INDEX('Stock UST'!52:52,1,MATCH(Stock!AC$1,'Stock UST'!$1:$1,0))))</f>
        <v/>
      </c>
      <c r="AD52" s="9" t="str">
        <f ca="1">IF(IF(ISERROR(MATCH(Stock!AD$1,'Stock UST'!$1:$1,0)),AC52,INDEX('Stock UST'!52:52,1,MATCH(Stock!AD$1,'Stock UST'!$1:$1,0)))=0,"",IF(ISERROR(MATCH(Stock!AD$1,'Stock UST'!$1:$1,0)),AC52,INDEX('Stock UST'!52:52,1,MATCH(Stock!AD$1,'Stock UST'!$1:$1,0))))</f>
        <v/>
      </c>
      <c r="AE52" s="9" t="str">
        <f ca="1">IF(IF(ISERROR(MATCH(Stock!AE$1,'Stock UST'!$1:$1,0)),AD52,INDEX('Stock UST'!52:52,1,MATCH(Stock!AE$1,'Stock UST'!$1:$1,0)))=0,"",IF(ISERROR(MATCH(Stock!AE$1,'Stock UST'!$1:$1,0)),AD52,INDEX('Stock UST'!52:52,1,MATCH(Stock!AE$1,'Stock UST'!$1:$1,0))))</f>
        <v/>
      </c>
      <c r="AF52" s="9" t="str">
        <f ca="1">IF(IF(ISERROR(MATCH(Stock!AF$1,'Stock UST'!$1:$1,0)),AE52,INDEX('Stock UST'!52:52,1,MATCH(Stock!AF$1,'Stock UST'!$1:$1,0)))=0,"",IF(ISERROR(MATCH(Stock!AF$1,'Stock UST'!$1:$1,0)),AE52,INDEX('Stock UST'!52:52,1,MATCH(Stock!AF$1,'Stock UST'!$1:$1,0))))</f>
        <v/>
      </c>
      <c r="AG52" s="9" t="str">
        <f ca="1">IF(IF(ISERROR(MATCH(Stock!AG$1,'Stock UST'!$1:$1,0)),AF52,INDEX('Stock UST'!52:52,1,MATCH(Stock!AG$1,'Stock UST'!$1:$1,0)))=0,"",IF(ISERROR(MATCH(Stock!AG$1,'Stock UST'!$1:$1,0)),AF52,INDEX('Stock UST'!52:52,1,MATCH(Stock!AG$1,'Stock UST'!$1:$1,0))))</f>
        <v/>
      </c>
      <c r="AH52" s="9" t="str">
        <f ca="1">IF(IF(ISERROR(MATCH(Stock!AH$1,'Stock UST'!$1:$1,0)),AG52,INDEX('Stock UST'!52:52,1,MATCH(Stock!AH$1,'Stock UST'!$1:$1,0)))=0,"",IF(ISERROR(MATCH(Stock!AH$1,'Stock UST'!$1:$1,0)),AG52,INDEX('Stock UST'!52:52,1,MATCH(Stock!AH$1,'Stock UST'!$1:$1,0))))</f>
        <v/>
      </c>
      <c r="AI52" s="9" t="str">
        <f ca="1">IF(IF(ISERROR(MATCH(Stock!AI$1,'Stock UST'!$1:$1,0)),AH52,INDEX('Stock UST'!52:52,1,MATCH(Stock!AI$1,'Stock UST'!$1:$1,0)))=0,"",IF(ISERROR(MATCH(Stock!AI$1,'Stock UST'!$1:$1,0)),AH52,INDEX('Stock UST'!52:52,1,MATCH(Stock!AI$1,'Stock UST'!$1:$1,0))))</f>
        <v/>
      </c>
      <c r="AJ52" s="9" t="str">
        <f ca="1">IF(IF(ISERROR(MATCH(Stock!AJ$1,'Stock UST'!$1:$1,0)),AI52,INDEX('Stock UST'!52:52,1,MATCH(Stock!AJ$1,'Stock UST'!$1:$1,0)))=0,"",IF(ISERROR(MATCH(Stock!AJ$1,'Stock UST'!$1:$1,0)),AI52,INDEX('Stock UST'!52:52,1,MATCH(Stock!AJ$1,'Stock UST'!$1:$1,0))))</f>
        <v/>
      </c>
      <c r="AK52" s="9" t="str">
        <f ca="1">IF(IF(ISERROR(MATCH(Stock!AK$1,'Stock UST'!$1:$1,0)),AJ52,INDEX('Stock UST'!52:52,1,MATCH(Stock!AK$1,'Stock UST'!$1:$1,0)))=0,"",IF(ISERROR(MATCH(Stock!AK$1,'Stock UST'!$1:$1,0)),AJ52,INDEX('Stock UST'!52:52,1,MATCH(Stock!AK$1,'Stock UST'!$1:$1,0))))</f>
        <v/>
      </c>
      <c r="AL52" s="9" t="str">
        <f ca="1">IF(IF(ISERROR(MATCH(Stock!AL$1,'Stock UST'!$1:$1,0)),AK52,INDEX('Stock UST'!52:52,1,MATCH(Stock!AL$1,'Stock UST'!$1:$1,0)))=0,"",IF(ISERROR(MATCH(Stock!AL$1,'Stock UST'!$1:$1,0)),AK52,INDEX('Stock UST'!52:52,1,MATCH(Stock!AL$1,'Stock UST'!$1:$1,0))))</f>
        <v/>
      </c>
      <c r="AM52" s="9" t="str">
        <f ca="1">IF(IF(ISERROR(MATCH(Stock!AM$1,'Stock UST'!$1:$1,0)),AL52,INDEX('Stock UST'!52:52,1,MATCH(Stock!AM$1,'Stock UST'!$1:$1,0)))=0,"",IF(ISERROR(MATCH(Stock!AM$1,'Stock UST'!$1:$1,0)),AL52,INDEX('Stock UST'!52:52,1,MATCH(Stock!AM$1,'Stock UST'!$1:$1,0))))</f>
        <v/>
      </c>
      <c r="AN52" s="9" t="str">
        <f ca="1">IF(IF(ISERROR(MATCH(Stock!AN$1,'Stock UST'!$1:$1,0)),AM52,INDEX('Stock UST'!52:52,1,MATCH(Stock!AN$1,'Stock UST'!$1:$1,0)))=0,"",IF(ISERROR(MATCH(Stock!AN$1,'Stock UST'!$1:$1,0)),AM52,INDEX('Stock UST'!52:52,1,MATCH(Stock!AN$1,'Stock UST'!$1:$1,0))))</f>
        <v/>
      </c>
      <c r="AO52" s="9" t="str">
        <f ca="1">IF(IF(ISERROR(MATCH(Stock!AO$1,'Stock UST'!$1:$1,0)),AN52,INDEX('Stock UST'!52:52,1,MATCH(Stock!AO$1,'Stock UST'!$1:$1,0)))=0,"",IF(ISERROR(MATCH(Stock!AO$1,'Stock UST'!$1:$1,0)),AN52,INDEX('Stock UST'!52:52,1,MATCH(Stock!AO$1,'Stock UST'!$1:$1,0))))</f>
        <v/>
      </c>
      <c r="AP52" s="9" t="str">
        <f ca="1">IF(IF(ISERROR(MATCH(Stock!AP$1,'Stock UST'!$1:$1,0)),AO52,INDEX('Stock UST'!52:52,1,MATCH(Stock!AP$1,'Stock UST'!$1:$1,0)))=0,"",IF(ISERROR(MATCH(Stock!AP$1,'Stock UST'!$1:$1,0)),AO52,INDEX('Stock UST'!52:52,1,MATCH(Stock!AP$1,'Stock UST'!$1:$1,0))))</f>
        <v/>
      </c>
      <c r="AQ52" s="9" t="str">
        <f ca="1">IF(IF(ISERROR(MATCH(Stock!AQ$1,'Stock UST'!$1:$1,0)),AP52,INDEX('Stock UST'!52:52,1,MATCH(Stock!AQ$1,'Stock UST'!$1:$1,0)))=0,"",IF(ISERROR(MATCH(Stock!AQ$1,'Stock UST'!$1:$1,0)),AP52,INDEX('Stock UST'!52:52,1,MATCH(Stock!AQ$1,'Stock UST'!$1:$1,0))))</f>
        <v/>
      </c>
      <c r="AR52" s="9" t="str">
        <f ca="1">IF(IF(ISERROR(MATCH(Stock!AR$1,'Stock UST'!$1:$1,0)),AQ52,INDEX('Stock UST'!52:52,1,MATCH(Stock!AR$1,'Stock UST'!$1:$1,0)))=0,"",IF(ISERROR(MATCH(Stock!AR$1,'Stock UST'!$1:$1,0)),AQ52,INDEX('Stock UST'!52:52,1,MATCH(Stock!AR$1,'Stock UST'!$1:$1,0))))</f>
        <v/>
      </c>
      <c r="AS52" s="9" t="str">
        <f ca="1">IF(IF(ISERROR(MATCH(Stock!AS$1,'Stock UST'!$1:$1,0)),AR52,INDEX('Stock UST'!52:52,1,MATCH(Stock!AS$1,'Stock UST'!$1:$1,0)))=0,"",IF(ISERROR(MATCH(Stock!AS$1,'Stock UST'!$1:$1,0)),AR52,INDEX('Stock UST'!52:52,1,MATCH(Stock!AS$1,'Stock UST'!$1:$1,0))))</f>
        <v/>
      </c>
      <c r="AT52" s="9" t="str">
        <f ca="1">IF(IF(ISERROR(MATCH(Stock!AT$1,'Stock UST'!$1:$1,0)),AS52,INDEX('Stock UST'!52:52,1,MATCH(Stock!AT$1,'Stock UST'!$1:$1,0)))=0,"",IF(ISERROR(MATCH(Stock!AT$1,'Stock UST'!$1:$1,0)),AS52,INDEX('Stock UST'!52:52,1,MATCH(Stock!AT$1,'Stock UST'!$1:$1,0))))</f>
        <v/>
      </c>
      <c r="AU52" s="9" t="str">
        <f ca="1">IF(IF(ISERROR(MATCH(Stock!AU$1,'Stock UST'!$1:$1,0)),AT52,INDEX('Stock UST'!52:52,1,MATCH(Stock!AU$1,'Stock UST'!$1:$1,0)))=0,"",IF(ISERROR(MATCH(Stock!AU$1,'Stock UST'!$1:$1,0)),AT52,INDEX('Stock UST'!52:52,1,MATCH(Stock!AU$1,'Stock UST'!$1:$1,0))))</f>
        <v/>
      </c>
      <c r="AV52" s="9" t="str">
        <f ca="1">IF(IF(ISERROR(MATCH(Stock!AV$1,'Stock UST'!$1:$1,0)),AU52,INDEX('Stock UST'!52:52,1,MATCH(Stock!AV$1,'Stock UST'!$1:$1,0)))=0,"",IF(ISERROR(MATCH(Stock!AV$1,'Stock UST'!$1:$1,0)),AU52,INDEX('Stock UST'!52:52,1,MATCH(Stock!AV$1,'Stock UST'!$1:$1,0))))</f>
        <v/>
      </c>
      <c r="AW52" s="9" t="str">
        <f ca="1">IF(IF(ISERROR(MATCH(Stock!AW$1,'Stock UST'!$1:$1,0)),AV52,INDEX('Stock UST'!52:52,1,MATCH(Stock!AW$1,'Stock UST'!$1:$1,0)))=0,"",IF(ISERROR(MATCH(Stock!AW$1,'Stock UST'!$1:$1,0)),AV52,INDEX('Stock UST'!52:52,1,MATCH(Stock!AW$1,'Stock UST'!$1:$1,0))))</f>
        <v/>
      </c>
      <c r="AX52" s="9" t="str">
        <f ca="1">IF(IF(ISERROR(MATCH(Stock!AX$1,'Stock UST'!$1:$1,0)),AW52,INDEX('Stock UST'!52:52,1,MATCH(Stock!AX$1,'Stock UST'!$1:$1,0)))=0,"",IF(ISERROR(MATCH(Stock!AX$1,'Stock UST'!$1:$1,0)),AW52,INDEX('Stock UST'!52:52,1,MATCH(Stock!AX$1,'Stock UST'!$1:$1,0))))</f>
        <v/>
      </c>
    </row>
    <row r="53" spans="1:50" x14ac:dyDescent="0.3">
      <c r="A53" s="9" t="str">
        <f>IF('Stock UST'!E53="","",'Stock UST'!E53)</f>
        <v/>
      </c>
      <c r="B53" s="9" t="str">
        <f>IF(IF(ISERROR(MATCH(Stock!B$1,'Stock UST'!$1:$1,0)),A53,INDEX('Stock UST'!53:53,1,MATCH(Stock!B$1,'Stock UST'!$1:$1,0)))=0,"",IF(ISERROR(MATCH(Stock!B$1,'Stock UST'!$1:$1,0)),A53,INDEX('Stock UST'!53:53,1,MATCH(Stock!B$1,'Stock UST'!$1:$1,0))))</f>
        <v/>
      </c>
      <c r="C53" s="9" t="str">
        <f ca="1">IF(IF(ISERROR(MATCH(Stock!C$1,'Stock UST'!$1:$1,0)),B53,INDEX('Stock UST'!53:53,1,MATCH(Stock!C$1,'Stock UST'!$1:$1,0)))=0,"",IF(ISERROR(MATCH(Stock!C$1,'Stock UST'!$1:$1,0)),B53,INDEX('Stock UST'!53:53,1,MATCH(Stock!C$1,'Stock UST'!$1:$1,0))))</f>
        <v/>
      </c>
      <c r="D53" s="9" t="str">
        <f ca="1">IF(IF(ISERROR(MATCH(Stock!D$1,'Stock UST'!$1:$1,0)),C53,INDEX('Stock UST'!53:53,1,MATCH(Stock!D$1,'Stock UST'!$1:$1,0)))=0,"",IF(ISERROR(MATCH(Stock!D$1,'Stock UST'!$1:$1,0)),C53,INDEX('Stock UST'!53:53,1,MATCH(Stock!D$1,'Stock UST'!$1:$1,0))))</f>
        <v/>
      </c>
      <c r="E53" s="9" t="str">
        <f ca="1">IF(IF(ISERROR(MATCH(Stock!E$1,'Stock UST'!$1:$1,0)),D53,INDEX('Stock UST'!53:53,1,MATCH(Stock!E$1,'Stock UST'!$1:$1,0)))=0,"",IF(ISERROR(MATCH(Stock!E$1,'Stock UST'!$1:$1,0)),D53,INDEX('Stock UST'!53:53,1,MATCH(Stock!E$1,'Stock UST'!$1:$1,0))))</f>
        <v/>
      </c>
      <c r="F53" s="9" t="str">
        <f ca="1">IF(IF(ISERROR(MATCH(Stock!F$1,'Stock UST'!$1:$1,0)),E53,INDEX('Stock UST'!53:53,1,MATCH(Stock!F$1,'Stock UST'!$1:$1,0)))=0,"",IF(ISERROR(MATCH(Stock!F$1,'Stock UST'!$1:$1,0)),E53,INDEX('Stock UST'!53:53,1,MATCH(Stock!F$1,'Stock UST'!$1:$1,0))))</f>
        <v/>
      </c>
      <c r="G53" s="9" t="str">
        <f ca="1">IF(IF(ISERROR(MATCH(Stock!G$1,'Stock UST'!$1:$1,0)),F53,INDEX('Stock UST'!53:53,1,MATCH(Stock!G$1,'Stock UST'!$1:$1,0)))=0,"",IF(ISERROR(MATCH(Stock!G$1,'Stock UST'!$1:$1,0)),F53,INDEX('Stock UST'!53:53,1,MATCH(Stock!G$1,'Stock UST'!$1:$1,0))))</f>
        <v/>
      </c>
      <c r="H53" s="9" t="str">
        <f ca="1">IF(IF(ISERROR(MATCH(Stock!H$1,'Stock UST'!$1:$1,0)),G53,INDEX('Stock UST'!53:53,1,MATCH(Stock!H$1,'Stock UST'!$1:$1,0)))=0,"",IF(ISERROR(MATCH(Stock!H$1,'Stock UST'!$1:$1,0)),G53,INDEX('Stock UST'!53:53,1,MATCH(Stock!H$1,'Stock UST'!$1:$1,0))))</f>
        <v/>
      </c>
      <c r="I53" s="9" t="str">
        <f ca="1">IF(IF(ISERROR(MATCH(Stock!I$1,'Stock UST'!$1:$1,0)),H53,INDEX('Stock UST'!53:53,1,MATCH(Stock!I$1,'Stock UST'!$1:$1,0)))=0,"",IF(ISERROR(MATCH(Stock!I$1,'Stock UST'!$1:$1,0)),H53,INDEX('Stock UST'!53:53,1,MATCH(Stock!I$1,'Stock UST'!$1:$1,0))))</f>
        <v/>
      </c>
      <c r="J53" s="9" t="str">
        <f ca="1">IF(IF(ISERROR(MATCH(Stock!J$1,'Stock UST'!$1:$1,0)),I53,INDEX('Stock UST'!53:53,1,MATCH(Stock!J$1,'Stock UST'!$1:$1,0)))=0,"",IF(ISERROR(MATCH(Stock!J$1,'Stock UST'!$1:$1,0)),I53,INDEX('Stock UST'!53:53,1,MATCH(Stock!J$1,'Stock UST'!$1:$1,0))))</f>
        <v/>
      </c>
      <c r="K53" s="9" t="str">
        <f ca="1">IF(IF(ISERROR(MATCH(Stock!K$1,'Stock UST'!$1:$1,0)),J53,INDEX('Stock UST'!53:53,1,MATCH(Stock!K$1,'Stock UST'!$1:$1,0)))=0,"",IF(ISERROR(MATCH(Stock!K$1,'Stock UST'!$1:$1,0)),J53,INDEX('Stock UST'!53:53,1,MATCH(Stock!K$1,'Stock UST'!$1:$1,0))))</f>
        <v/>
      </c>
      <c r="L53" s="9" t="str">
        <f ca="1">IF(IF(ISERROR(MATCH(Stock!L$1,'Stock UST'!$1:$1,0)),K53,INDEX('Stock UST'!53:53,1,MATCH(Stock!L$1,'Stock UST'!$1:$1,0)))=0,"",IF(ISERROR(MATCH(Stock!L$1,'Stock UST'!$1:$1,0)),K53,INDEX('Stock UST'!53:53,1,MATCH(Stock!L$1,'Stock UST'!$1:$1,0))))</f>
        <v/>
      </c>
      <c r="M53" s="9" t="str">
        <f ca="1">IF(IF(ISERROR(MATCH(Stock!M$1,'Stock UST'!$1:$1,0)),L53,INDEX('Stock UST'!53:53,1,MATCH(Stock!M$1,'Stock UST'!$1:$1,0)))=0,"",IF(ISERROR(MATCH(Stock!M$1,'Stock UST'!$1:$1,0)),L53,INDEX('Stock UST'!53:53,1,MATCH(Stock!M$1,'Stock UST'!$1:$1,0))))</f>
        <v/>
      </c>
      <c r="N53" s="9" t="str">
        <f ca="1">IF(IF(ISERROR(MATCH(Stock!N$1,'Stock UST'!$1:$1,0)),M53,INDEX('Stock UST'!53:53,1,MATCH(Stock!N$1,'Stock UST'!$1:$1,0)))=0,"",IF(ISERROR(MATCH(Stock!N$1,'Stock UST'!$1:$1,0)),M53,INDEX('Stock UST'!53:53,1,MATCH(Stock!N$1,'Stock UST'!$1:$1,0))))</f>
        <v/>
      </c>
      <c r="O53" s="9" t="str">
        <f ca="1">IF(IF(ISERROR(MATCH(Stock!O$1,'Stock UST'!$1:$1,0)),N53,INDEX('Stock UST'!53:53,1,MATCH(Stock!O$1,'Stock UST'!$1:$1,0)))=0,"",IF(ISERROR(MATCH(Stock!O$1,'Stock UST'!$1:$1,0)),N53,INDEX('Stock UST'!53:53,1,MATCH(Stock!O$1,'Stock UST'!$1:$1,0))))</f>
        <v/>
      </c>
      <c r="P53" s="9" t="str">
        <f ca="1">IF(IF(ISERROR(MATCH(Stock!P$1,'Stock UST'!$1:$1,0)),O53,INDEX('Stock UST'!53:53,1,MATCH(Stock!P$1,'Stock UST'!$1:$1,0)))=0,"",IF(ISERROR(MATCH(Stock!P$1,'Stock UST'!$1:$1,0)),O53,INDEX('Stock UST'!53:53,1,MATCH(Stock!P$1,'Stock UST'!$1:$1,0))))</f>
        <v/>
      </c>
      <c r="Q53" s="9" t="str">
        <f ca="1">IF(IF(ISERROR(MATCH(Stock!Q$1,'Stock UST'!$1:$1,0)),P53,INDEX('Stock UST'!53:53,1,MATCH(Stock!Q$1,'Stock UST'!$1:$1,0)))=0,"",IF(ISERROR(MATCH(Stock!Q$1,'Stock UST'!$1:$1,0)),P53,INDEX('Stock UST'!53:53,1,MATCH(Stock!Q$1,'Stock UST'!$1:$1,0))))</f>
        <v/>
      </c>
      <c r="R53" s="9" t="str">
        <f ca="1">IF(IF(ISERROR(MATCH(Stock!R$1,'Stock UST'!$1:$1,0)),Q53,INDEX('Stock UST'!53:53,1,MATCH(Stock!R$1,'Stock UST'!$1:$1,0)))=0,"",IF(ISERROR(MATCH(Stock!R$1,'Stock UST'!$1:$1,0)),Q53,INDEX('Stock UST'!53:53,1,MATCH(Stock!R$1,'Stock UST'!$1:$1,0))))</f>
        <v/>
      </c>
      <c r="S53" s="9" t="str">
        <f ca="1">IF(IF(ISERROR(MATCH(Stock!S$1,'Stock UST'!$1:$1,0)),R53,INDEX('Stock UST'!53:53,1,MATCH(Stock!S$1,'Stock UST'!$1:$1,0)))=0,"",IF(ISERROR(MATCH(Stock!S$1,'Stock UST'!$1:$1,0)),R53,INDEX('Stock UST'!53:53,1,MATCH(Stock!S$1,'Stock UST'!$1:$1,0))))</f>
        <v/>
      </c>
      <c r="T53" s="9" t="str">
        <f ca="1">IF(IF(ISERROR(MATCH(Stock!T$1,'Stock UST'!$1:$1,0)),S53,INDEX('Stock UST'!53:53,1,MATCH(Stock!T$1,'Stock UST'!$1:$1,0)))=0,"",IF(ISERROR(MATCH(Stock!T$1,'Stock UST'!$1:$1,0)),S53,INDEX('Stock UST'!53:53,1,MATCH(Stock!T$1,'Stock UST'!$1:$1,0))))</f>
        <v/>
      </c>
      <c r="U53" s="9" t="str">
        <f ca="1">IF(IF(ISERROR(MATCH(Stock!U$1,'Stock UST'!$1:$1,0)),T53,INDEX('Stock UST'!53:53,1,MATCH(Stock!U$1,'Stock UST'!$1:$1,0)))=0,"",IF(ISERROR(MATCH(Stock!U$1,'Stock UST'!$1:$1,0)),T53,INDEX('Stock UST'!53:53,1,MATCH(Stock!U$1,'Stock UST'!$1:$1,0))))</f>
        <v/>
      </c>
      <c r="V53" s="9" t="str">
        <f ca="1">IF(IF(ISERROR(MATCH(Stock!V$1,'Stock UST'!$1:$1,0)),U53,INDEX('Stock UST'!53:53,1,MATCH(Stock!V$1,'Stock UST'!$1:$1,0)))=0,"",IF(ISERROR(MATCH(Stock!V$1,'Stock UST'!$1:$1,0)),U53,INDEX('Stock UST'!53:53,1,MATCH(Stock!V$1,'Stock UST'!$1:$1,0))))</f>
        <v/>
      </c>
      <c r="W53" s="9" t="str">
        <f ca="1">IF(IF(ISERROR(MATCH(Stock!W$1,'Stock UST'!$1:$1,0)),V53,INDEX('Stock UST'!53:53,1,MATCH(Stock!W$1,'Stock UST'!$1:$1,0)))=0,"",IF(ISERROR(MATCH(Stock!W$1,'Stock UST'!$1:$1,0)),V53,INDEX('Stock UST'!53:53,1,MATCH(Stock!W$1,'Stock UST'!$1:$1,0))))</f>
        <v/>
      </c>
      <c r="X53" s="9" t="str">
        <f ca="1">IF(IF(ISERROR(MATCH(Stock!X$1,'Stock UST'!$1:$1,0)),W53,INDEX('Stock UST'!53:53,1,MATCH(Stock!X$1,'Stock UST'!$1:$1,0)))=0,"",IF(ISERROR(MATCH(Stock!X$1,'Stock UST'!$1:$1,0)),W53,INDEX('Stock UST'!53:53,1,MATCH(Stock!X$1,'Stock UST'!$1:$1,0))))</f>
        <v/>
      </c>
      <c r="Y53" s="9" t="str">
        <f ca="1">IF(IF(ISERROR(MATCH(Stock!Y$1,'Stock UST'!$1:$1,0)),X53,INDEX('Stock UST'!53:53,1,MATCH(Stock!Y$1,'Stock UST'!$1:$1,0)))=0,"",IF(ISERROR(MATCH(Stock!Y$1,'Stock UST'!$1:$1,0)),X53,INDEX('Stock UST'!53:53,1,MATCH(Stock!Y$1,'Stock UST'!$1:$1,0))))</f>
        <v/>
      </c>
      <c r="Z53" s="9" t="str">
        <f ca="1">IF(IF(ISERROR(MATCH(Stock!Z$1,'Stock UST'!$1:$1,0)),Y53,INDEX('Stock UST'!53:53,1,MATCH(Stock!Z$1,'Stock UST'!$1:$1,0)))=0,"",IF(ISERROR(MATCH(Stock!Z$1,'Stock UST'!$1:$1,0)),Y53,INDEX('Stock UST'!53:53,1,MATCH(Stock!Z$1,'Stock UST'!$1:$1,0))))</f>
        <v/>
      </c>
      <c r="AA53" s="9" t="str">
        <f ca="1">IF(IF(ISERROR(MATCH(Stock!AA$1,'Stock UST'!$1:$1,0)),Z53,INDEX('Stock UST'!53:53,1,MATCH(Stock!AA$1,'Stock UST'!$1:$1,0)))=0,"",IF(ISERROR(MATCH(Stock!AA$1,'Stock UST'!$1:$1,0)),Z53,INDEX('Stock UST'!53:53,1,MATCH(Stock!AA$1,'Stock UST'!$1:$1,0))))</f>
        <v/>
      </c>
      <c r="AB53" s="9" t="str">
        <f ca="1">IF(IF(ISERROR(MATCH(Stock!AB$1,'Stock UST'!$1:$1,0)),AA53,INDEX('Stock UST'!53:53,1,MATCH(Stock!AB$1,'Stock UST'!$1:$1,0)))=0,"",IF(ISERROR(MATCH(Stock!AB$1,'Stock UST'!$1:$1,0)),AA53,INDEX('Stock UST'!53:53,1,MATCH(Stock!AB$1,'Stock UST'!$1:$1,0))))</f>
        <v/>
      </c>
      <c r="AC53" s="9" t="str">
        <f ca="1">IF(IF(ISERROR(MATCH(Stock!AC$1,'Stock UST'!$1:$1,0)),AB53,INDEX('Stock UST'!53:53,1,MATCH(Stock!AC$1,'Stock UST'!$1:$1,0)))=0,"",IF(ISERROR(MATCH(Stock!AC$1,'Stock UST'!$1:$1,0)),AB53,INDEX('Stock UST'!53:53,1,MATCH(Stock!AC$1,'Stock UST'!$1:$1,0))))</f>
        <v/>
      </c>
      <c r="AD53" s="9" t="str">
        <f ca="1">IF(IF(ISERROR(MATCH(Stock!AD$1,'Stock UST'!$1:$1,0)),AC53,INDEX('Stock UST'!53:53,1,MATCH(Stock!AD$1,'Stock UST'!$1:$1,0)))=0,"",IF(ISERROR(MATCH(Stock!AD$1,'Stock UST'!$1:$1,0)),AC53,INDEX('Stock UST'!53:53,1,MATCH(Stock!AD$1,'Stock UST'!$1:$1,0))))</f>
        <v/>
      </c>
      <c r="AE53" s="9" t="str">
        <f ca="1">IF(IF(ISERROR(MATCH(Stock!AE$1,'Stock UST'!$1:$1,0)),AD53,INDEX('Stock UST'!53:53,1,MATCH(Stock!AE$1,'Stock UST'!$1:$1,0)))=0,"",IF(ISERROR(MATCH(Stock!AE$1,'Stock UST'!$1:$1,0)),AD53,INDEX('Stock UST'!53:53,1,MATCH(Stock!AE$1,'Stock UST'!$1:$1,0))))</f>
        <v/>
      </c>
      <c r="AF53" s="9" t="str">
        <f ca="1">IF(IF(ISERROR(MATCH(Stock!AF$1,'Stock UST'!$1:$1,0)),AE53,INDEX('Stock UST'!53:53,1,MATCH(Stock!AF$1,'Stock UST'!$1:$1,0)))=0,"",IF(ISERROR(MATCH(Stock!AF$1,'Stock UST'!$1:$1,0)),AE53,INDEX('Stock UST'!53:53,1,MATCH(Stock!AF$1,'Stock UST'!$1:$1,0))))</f>
        <v/>
      </c>
      <c r="AG53" s="9" t="str">
        <f ca="1">IF(IF(ISERROR(MATCH(Stock!AG$1,'Stock UST'!$1:$1,0)),AF53,INDEX('Stock UST'!53:53,1,MATCH(Stock!AG$1,'Stock UST'!$1:$1,0)))=0,"",IF(ISERROR(MATCH(Stock!AG$1,'Stock UST'!$1:$1,0)),AF53,INDEX('Stock UST'!53:53,1,MATCH(Stock!AG$1,'Stock UST'!$1:$1,0))))</f>
        <v/>
      </c>
      <c r="AH53" s="9" t="str">
        <f ca="1">IF(IF(ISERROR(MATCH(Stock!AH$1,'Stock UST'!$1:$1,0)),AG53,INDEX('Stock UST'!53:53,1,MATCH(Stock!AH$1,'Stock UST'!$1:$1,0)))=0,"",IF(ISERROR(MATCH(Stock!AH$1,'Stock UST'!$1:$1,0)),AG53,INDEX('Stock UST'!53:53,1,MATCH(Stock!AH$1,'Stock UST'!$1:$1,0))))</f>
        <v/>
      </c>
      <c r="AI53" s="9" t="str">
        <f ca="1">IF(IF(ISERROR(MATCH(Stock!AI$1,'Stock UST'!$1:$1,0)),AH53,INDEX('Stock UST'!53:53,1,MATCH(Stock!AI$1,'Stock UST'!$1:$1,0)))=0,"",IF(ISERROR(MATCH(Stock!AI$1,'Stock UST'!$1:$1,0)),AH53,INDEX('Stock UST'!53:53,1,MATCH(Stock!AI$1,'Stock UST'!$1:$1,0))))</f>
        <v/>
      </c>
      <c r="AJ53" s="9" t="str">
        <f ca="1">IF(IF(ISERROR(MATCH(Stock!AJ$1,'Stock UST'!$1:$1,0)),AI53,INDEX('Stock UST'!53:53,1,MATCH(Stock!AJ$1,'Stock UST'!$1:$1,0)))=0,"",IF(ISERROR(MATCH(Stock!AJ$1,'Stock UST'!$1:$1,0)),AI53,INDEX('Stock UST'!53:53,1,MATCH(Stock!AJ$1,'Stock UST'!$1:$1,0))))</f>
        <v/>
      </c>
      <c r="AK53" s="9" t="str">
        <f ca="1">IF(IF(ISERROR(MATCH(Stock!AK$1,'Stock UST'!$1:$1,0)),AJ53,INDEX('Stock UST'!53:53,1,MATCH(Stock!AK$1,'Stock UST'!$1:$1,0)))=0,"",IF(ISERROR(MATCH(Stock!AK$1,'Stock UST'!$1:$1,0)),AJ53,INDEX('Stock UST'!53:53,1,MATCH(Stock!AK$1,'Stock UST'!$1:$1,0))))</f>
        <v/>
      </c>
      <c r="AL53" s="9" t="str">
        <f ca="1">IF(IF(ISERROR(MATCH(Stock!AL$1,'Stock UST'!$1:$1,0)),AK53,INDEX('Stock UST'!53:53,1,MATCH(Stock!AL$1,'Stock UST'!$1:$1,0)))=0,"",IF(ISERROR(MATCH(Stock!AL$1,'Stock UST'!$1:$1,0)),AK53,INDEX('Stock UST'!53:53,1,MATCH(Stock!AL$1,'Stock UST'!$1:$1,0))))</f>
        <v/>
      </c>
      <c r="AM53" s="9" t="str">
        <f ca="1">IF(IF(ISERROR(MATCH(Stock!AM$1,'Stock UST'!$1:$1,0)),AL53,INDEX('Stock UST'!53:53,1,MATCH(Stock!AM$1,'Stock UST'!$1:$1,0)))=0,"",IF(ISERROR(MATCH(Stock!AM$1,'Stock UST'!$1:$1,0)),AL53,INDEX('Stock UST'!53:53,1,MATCH(Stock!AM$1,'Stock UST'!$1:$1,0))))</f>
        <v/>
      </c>
      <c r="AN53" s="9" t="str">
        <f ca="1">IF(IF(ISERROR(MATCH(Stock!AN$1,'Stock UST'!$1:$1,0)),AM53,INDEX('Stock UST'!53:53,1,MATCH(Stock!AN$1,'Stock UST'!$1:$1,0)))=0,"",IF(ISERROR(MATCH(Stock!AN$1,'Stock UST'!$1:$1,0)),AM53,INDEX('Stock UST'!53:53,1,MATCH(Stock!AN$1,'Stock UST'!$1:$1,0))))</f>
        <v/>
      </c>
      <c r="AO53" s="9" t="str">
        <f ca="1">IF(IF(ISERROR(MATCH(Stock!AO$1,'Stock UST'!$1:$1,0)),AN53,INDEX('Stock UST'!53:53,1,MATCH(Stock!AO$1,'Stock UST'!$1:$1,0)))=0,"",IF(ISERROR(MATCH(Stock!AO$1,'Stock UST'!$1:$1,0)),AN53,INDEX('Stock UST'!53:53,1,MATCH(Stock!AO$1,'Stock UST'!$1:$1,0))))</f>
        <v/>
      </c>
      <c r="AP53" s="9" t="str">
        <f ca="1">IF(IF(ISERROR(MATCH(Stock!AP$1,'Stock UST'!$1:$1,0)),AO53,INDEX('Stock UST'!53:53,1,MATCH(Stock!AP$1,'Stock UST'!$1:$1,0)))=0,"",IF(ISERROR(MATCH(Stock!AP$1,'Stock UST'!$1:$1,0)),AO53,INDEX('Stock UST'!53:53,1,MATCH(Stock!AP$1,'Stock UST'!$1:$1,0))))</f>
        <v/>
      </c>
      <c r="AQ53" s="9" t="str">
        <f ca="1">IF(IF(ISERROR(MATCH(Stock!AQ$1,'Stock UST'!$1:$1,0)),AP53,INDEX('Stock UST'!53:53,1,MATCH(Stock!AQ$1,'Stock UST'!$1:$1,0)))=0,"",IF(ISERROR(MATCH(Stock!AQ$1,'Stock UST'!$1:$1,0)),AP53,INDEX('Stock UST'!53:53,1,MATCH(Stock!AQ$1,'Stock UST'!$1:$1,0))))</f>
        <v/>
      </c>
      <c r="AR53" s="9" t="str">
        <f ca="1">IF(IF(ISERROR(MATCH(Stock!AR$1,'Stock UST'!$1:$1,0)),AQ53,INDEX('Stock UST'!53:53,1,MATCH(Stock!AR$1,'Stock UST'!$1:$1,0)))=0,"",IF(ISERROR(MATCH(Stock!AR$1,'Stock UST'!$1:$1,0)),AQ53,INDEX('Stock UST'!53:53,1,MATCH(Stock!AR$1,'Stock UST'!$1:$1,0))))</f>
        <v/>
      </c>
      <c r="AS53" s="9" t="str">
        <f ca="1">IF(IF(ISERROR(MATCH(Stock!AS$1,'Stock UST'!$1:$1,0)),AR53,INDEX('Stock UST'!53:53,1,MATCH(Stock!AS$1,'Stock UST'!$1:$1,0)))=0,"",IF(ISERROR(MATCH(Stock!AS$1,'Stock UST'!$1:$1,0)),AR53,INDEX('Stock UST'!53:53,1,MATCH(Stock!AS$1,'Stock UST'!$1:$1,0))))</f>
        <v/>
      </c>
      <c r="AT53" s="9" t="str">
        <f ca="1">IF(IF(ISERROR(MATCH(Stock!AT$1,'Stock UST'!$1:$1,0)),AS53,INDEX('Stock UST'!53:53,1,MATCH(Stock!AT$1,'Stock UST'!$1:$1,0)))=0,"",IF(ISERROR(MATCH(Stock!AT$1,'Stock UST'!$1:$1,0)),AS53,INDEX('Stock UST'!53:53,1,MATCH(Stock!AT$1,'Stock UST'!$1:$1,0))))</f>
        <v/>
      </c>
      <c r="AU53" s="9" t="str">
        <f ca="1">IF(IF(ISERROR(MATCH(Stock!AU$1,'Stock UST'!$1:$1,0)),AT53,INDEX('Stock UST'!53:53,1,MATCH(Stock!AU$1,'Stock UST'!$1:$1,0)))=0,"",IF(ISERROR(MATCH(Stock!AU$1,'Stock UST'!$1:$1,0)),AT53,INDEX('Stock UST'!53:53,1,MATCH(Stock!AU$1,'Stock UST'!$1:$1,0))))</f>
        <v/>
      </c>
      <c r="AV53" s="9" t="str">
        <f ca="1">IF(IF(ISERROR(MATCH(Stock!AV$1,'Stock UST'!$1:$1,0)),AU53,INDEX('Stock UST'!53:53,1,MATCH(Stock!AV$1,'Stock UST'!$1:$1,0)))=0,"",IF(ISERROR(MATCH(Stock!AV$1,'Stock UST'!$1:$1,0)),AU53,INDEX('Stock UST'!53:53,1,MATCH(Stock!AV$1,'Stock UST'!$1:$1,0))))</f>
        <v/>
      </c>
      <c r="AW53" s="9" t="str">
        <f ca="1">IF(IF(ISERROR(MATCH(Stock!AW$1,'Stock UST'!$1:$1,0)),AV53,INDEX('Stock UST'!53:53,1,MATCH(Stock!AW$1,'Stock UST'!$1:$1,0)))=0,"",IF(ISERROR(MATCH(Stock!AW$1,'Stock UST'!$1:$1,0)),AV53,INDEX('Stock UST'!53:53,1,MATCH(Stock!AW$1,'Stock UST'!$1:$1,0))))</f>
        <v/>
      </c>
      <c r="AX53" s="9" t="str">
        <f ca="1">IF(IF(ISERROR(MATCH(Stock!AX$1,'Stock UST'!$1:$1,0)),AW53,INDEX('Stock UST'!53:53,1,MATCH(Stock!AX$1,'Stock UST'!$1:$1,0)))=0,"",IF(ISERROR(MATCH(Stock!AX$1,'Stock UST'!$1:$1,0)),AW53,INDEX('Stock UST'!53:53,1,MATCH(Stock!AX$1,'Stock UST'!$1:$1,0))))</f>
        <v/>
      </c>
    </row>
    <row r="54" spans="1:50" x14ac:dyDescent="0.3">
      <c r="A54" s="9" t="str">
        <f>IF('Stock UST'!E54="","",'Stock UST'!E54)</f>
        <v/>
      </c>
      <c r="B54" s="9" t="str">
        <f>IF(IF(ISERROR(MATCH(Stock!B$1,'Stock UST'!$1:$1,0)),A54,INDEX('Stock UST'!54:54,1,MATCH(Stock!B$1,'Stock UST'!$1:$1,0)))=0,"",IF(ISERROR(MATCH(Stock!B$1,'Stock UST'!$1:$1,0)),A54,INDEX('Stock UST'!54:54,1,MATCH(Stock!B$1,'Stock UST'!$1:$1,0))))</f>
        <v/>
      </c>
      <c r="C54" s="9" t="str">
        <f ca="1">IF(IF(ISERROR(MATCH(Stock!C$1,'Stock UST'!$1:$1,0)),B54,INDEX('Stock UST'!54:54,1,MATCH(Stock!C$1,'Stock UST'!$1:$1,0)))=0,"",IF(ISERROR(MATCH(Stock!C$1,'Stock UST'!$1:$1,0)),B54,INDEX('Stock UST'!54:54,1,MATCH(Stock!C$1,'Stock UST'!$1:$1,0))))</f>
        <v/>
      </c>
      <c r="D54" s="9" t="str">
        <f ca="1">IF(IF(ISERROR(MATCH(Stock!D$1,'Stock UST'!$1:$1,0)),C54,INDEX('Stock UST'!54:54,1,MATCH(Stock!D$1,'Stock UST'!$1:$1,0)))=0,"",IF(ISERROR(MATCH(Stock!D$1,'Stock UST'!$1:$1,0)),C54,INDEX('Stock UST'!54:54,1,MATCH(Stock!D$1,'Stock UST'!$1:$1,0))))</f>
        <v/>
      </c>
      <c r="E54" s="9" t="str">
        <f ca="1">IF(IF(ISERROR(MATCH(Stock!E$1,'Stock UST'!$1:$1,0)),D54,INDEX('Stock UST'!54:54,1,MATCH(Stock!E$1,'Stock UST'!$1:$1,0)))=0,"",IF(ISERROR(MATCH(Stock!E$1,'Stock UST'!$1:$1,0)),D54,INDEX('Stock UST'!54:54,1,MATCH(Stock!E$1,'Stock UST'!$1:$1,0))))</f>
        <v/>
      </c>
      <c r="F54" s="9" t="str">
        <f ca="1">IF(IF(ISERROR(MATCH(Stock!F$1,'Stock UST'!$1:$1,0)),E54,INDEX('Stock UST'!54:54,1,MATCH(Stock!F$1,'Stock UST'!$1:$1,0)))=0,"",IF(ISERROR(MATCH(Stock!F$1,'Stock UST'!$1:$1,0)),E54,INDEX('Stock UST'!54:54,1,MATCH(Stock!F$1,'Stock UST'!$1:$1,0))))</f>
        <v/>
      </c>
      <c r="G54" s="9" t="str">
        <f ca="1">IF(IF(ISERROR(MATCH(Stock!G$1,'Stock UST'!$1:$1,0)),F54,INDEX('Stock UST'!54:54,1,MATCH(Stock!G$1,'Stock UST'!$1:$1,0)))=0,"",IF(ISERROR(MATCH(Stock!G$1,'Stock UST'!$1:$1,0)),F54,INDEX('Stock UST'!54:54,1,MATCH(Stock!G$1,'Stock UST'!$1:$1,0))))</f>
        <v/>
      </c>
      <c r="H54" s="9" t="str">
        <f ca="1">IF(IF(ISERROR(MATCH(Stock!H$1,'Stock UST'!$1:$1,0)),G54,INDEX('Stock UST'!54:54,1,MATCH(Stock!H$1,'Stock UST'!$1:$1,0)))=0,"",IF(ISERROR(MATCH(Stock!H$1,'Stock UST'!$1:$1,0)),G54,INDEX('Stock UST'!54:54,1,MATCH(Stock!H$1,'Stock UST'!$1:$1,0))))</f>
        <v/>
      </c>
      <c r="I54" s="9" t="str">
        <f ca="1">IF(IF(ISERROR(MATCH(Stock!I$1,'Stock UST'!$1:$1,0)),H54,INDEX('Stock UST'!54:54,1,MATCH(Stock!I$1,'Stock UST'!$1:$1,0)))=0,"",IF(ISERROR(MATCH(Stock!I$1,'Stock UST'!$1:$1,0)),H54,INDEX('Stock UST'!54:54,1,MATCH(Stock!I$1,'Stock UST'!$1:$1,0))))</f>
        <v/>
      </c>
      <c r="J54" s="9" t="str">
        <f ca="1">IF(IF(ISERROR(MATCH(Stock!J$1,'Stock UST'!$1:$1,0)),I54,INDEX('Stock UST'!54:54,1,MATCH(Stock!J$1,'Stock UST'!$1:$1,0)))=0,"",IF(ISERROR(MATCH(Stock!J$1,'Stock UST'!$1:$1,0)),I54,INDEX('Stock UST'!54:54,1,MATCH(Stock!J$1,'Stock UST'!$1:$1,0))))</f>
        <v/>
      </c>
      <c r="K54" s="9" t="str">
        <f ca="1">IF(IF(ISERROR(MATCH(Stock!K$1,'Stock UST'!$1:$1,0)),J54,INDEX('Stock UST'!54:54,1,MATCH(Stock!K$1,'Stock UST'!$1:$1,0)))=0,"",IF(ISERROR(MATCH(Stock!K$1,'Stock UST'!$1:$1,0)),J54,INDEX('Stock UST'!54:54,1,MATCH(Stock!K$1,'Stock UST'!$1:$1,0))))</f>
        <v/>
      </c>
      <c r="L54" s="9" t="str">
        <f ca="1">IF(IF(ISERROR(MATCH(Stock!L$1,'Stock UST'!$1:$1,0)),K54,INDEX('Stock UST'!54:54,1,MATCH(Stock!L$1,'Stock UST'!$1:$1,0)))=0,"",IF(ISERROR(MATCH(Stock!L$1,'Stock UST'!$1:$1,0)),K54,INDEX('Stock UST'!54:54,1,MATCH(Stock!L$1,'Stock UST'!$1:$1,0))))</f>
        <v/>
      </c>
      <c r="M54" s="9" t="str">
        <f ca="1">IF(IF(ISERROR(MATCH(Stock!M$1,'Stock UST'!$1:$1,0)),L54,INDEX('Stock UST'!54:54,1,MATCH(Stock!M$1,'Stock UST'!$1:$1,0)))=0,"",IF(ISERROR(MATCH(Stock!M$1,'Stock UST'!$1:$1,0)),L54,INDEX('Stock UST'!54:54,1,MATCH(Stock!M$1,'Stock UST'!$1:$1,0))))</f>
        <v/>
      </c>
      <c r="N54" s="9" t="str">
        <f ca="1">IF(IF(ISERROR(MATCH(Stock!N$1,'Stock UST'!$1:$1,0)),M54,INDEX('Stock UST'!54:54,1,MATCH(Stock!N$1,'Stock UST'!$1:$1,0)))=0,"",IF(ISERROR(MATCH(Stock!N$1,'Stock UST'!$1:$1,0)),M54,INDEX('Stock UST'!54:54,1,MATCH(Stock!N$1,'Stock UST'!$1:$1,0))))</f>
        <v/>
      </c>
      <c r="O54" s="9" t="str">
        <f ca="1">IF(IF(ISERROR(MATCH(Stock!O$1,'Stock UST'!$1:$1,0)),N54,INDEX('Stock UST'!54:54,1,MATCH(Stock!O$1,'Stock UST'!$1:$1,0)))=0,"",IF(ISERROR(MATCH(Stock!O$1,'Stock UST'!$1:$1,0)),N54,INDEX('Stock UST'!54:54,1,MATCH(Stock!O$1,'Stock UST'!$1:$1,0))))</f>
        <v/>
      </c>
      <c r="P54" s="9" t="str">
        <f ca="1">IF(IF(ISERROR(MATCH(Stock!P$1,'Stock UST'!$1:$1,0)),O54,INDEX('Stock UST'!54:54,1,MATCH(Stock!P$1,'Stock UST'!$1:$1,0)))=0,"",IF(ISERROR(MATCH(Stock!P$1,'Stock UST'!$1:$1,0)),O54,INDEX('Stock UST'!54:54,1,MATCH(Stock!P$1,'Stock UST'!$1:$1,0))))</f>
        <v/>
      </c>
      <c r="Q54" s="9" t="str">
        <f ca="1">IF(IF(ISERROR(MATCH(Stock!Q$1,'Stock UST'!$1:$1,0)),P54,INDEX('Stock UST'!54:54,1,MATCH(Stock!Q$1,'Stock UST'!$1:$1,0)))=0,"",IF(ISERROR(MATCH(Stock!Q$1,'Stock UST'!$1:$1,0)),P54,INDEX('Stock UST'!54:54,1,MATCH(Stock!Q$1,'Stock UST'!$1:$1,0))))</f>
        <v/>
      </c>
      <c r="R54" s="9" t="str">
        <f ca="1">IF(IF(ISERROR(MATCH(Stock!R$1,'Stock UST'!$1:$1,0)),Q54,INDEX('Stock UST'!54:54,1,MATCH(Stock!R$1,'Stock UST'!$1:$1,0)))=0,"",IF(ISERROR(MATCH(Stock!R$1,'Stock UST'!$1:$1,0)),Q54,INDEX('Stock UST'!54:54,1,MATCH(Stock!R$1,'Stock UST'!$1:$1,0))))</f>
        <v/>
      </c>
      <c r="S54" s="9" t="str">
        <f ca="1">IF(IF(ISERROR(MATCH(Stock!S$1,'Stock UST'!$1:$1,0)),R54,INDEX('Stock UST'!54:54,1,MATCH(Stock!S$1,'Stock UST'!$1:$1,0)))=0,"",IF(ISERROR(MATCH(Stock!S$1,'Stock UST'!$1:$1,0)),R54,INDEX('Stock UST'!54:54,1,MATCH(Stock!S$1,'Stock UST'!$1:$1,0))))</f>
        <v/>
      </c>
      <c r="T54" s="9" t="str">
        <f ca="1">IF(IF(ISERROR(MATCH(Stock!T$1,'Stock UST'!$1:$1,0)),S54,INDEX('Stock UST'!54:54,1,MATCH(Stock!T$1,'Stock UST'!$1:$1,0)))=0,"",IF(ISERROR(MATCH(Stock!T$1,'Stock UST'!$1:$1,0)),S54,INDEX('Stock UST'!54:54,1,MATCH(Stock!T$1,'Stock UST'!$1:$1,0))))</f>
        <v/>
      </c>
      <c r="U54" s="9" t="str">
        <f ca="1">IF(IF(ISERROR(MATCH(Stock!U$1,'Stock UST'!$1:$1,0)),T54,INDEX('Stock UST'!54:54,1,MATCH(Stock!U$1,'Stock UST'!$1:$1,0)))=0,"",IF(ISERROR(MATCH(Stock!U$1,'Stock UST'!$1:$1,0)),T54,INDEX('Stock UST'!54:54,1,MATCH(Stock!U$1,'Stock UST'!$1:$1,0))))</f>
        <v/>
      </c>
      <c r="V54" s="9" t="str">
        <f ca="1">IF(IF(ISERROR(MATCH(Stock!V$1,'Stock UST'!$1:$1,0)),U54,INDEX('Stock UST'!54:54,1,MATCH(Stock!V$1,'Stock UST'!$1:$1,0)))=0,"",IF(ISERROR(MATCH(Stock!V$1,'Stock UST'!$1:$1,0)),U54,INDEX('Stock UST'!54:54,1,MATCH(Stock!V$1,'Stock UST'!$1:$1,0))))</f>
        <v/>
      </c>
      <c r="W54" s="9" t="str">
        <f ca="1">IF(IF(ISERROR(MATCH(Stock!W$1,'Stock UST'!$1:$1,0)),V54,INDEX('Stock UST'!54:54,1,MATCH(Stock!W$1,'Stock UST'!$1:$1,0)))=0,"",IF(ISERROR(MATCH(Stock!W$1,'Stock UST'!$1:$1,0)),V54,INDEX('Stock UST'!54:54,1,MATCH(Stock!W$1,'Stock UST'!$1:$1,0))))</f>
        <v/>
      </c>
      <c r="X54" s="9" t="str">
        <f ca="1">IF(IF(ISERROR(MATCH(Stock!X$1,'Stock UST'!$1:$1,0)),W54,INDEX('Stock UST'!54:54,1,MATCH(Stock!X$1,'Stock UST'!$1:$1,0)))=0,"",IF(ISERROR(MATCH(Stock!X$1,'Stock UST'!$1:$1,0)),W54,INDEX('Stock UST'!54:54,1,MATCH(Stock!X$1,'Stock UST'!$1:$1,0))))</f>
        <v/>
      </c>
      <c r="Y54" s="9" t="str">
        <f ca="1">IF(IF(ISERROR(MATCH(Stock!Y$1,'Stock UST'!$1:$1,0)),X54,INDEX('Stock UST'!54:54,1,MATCH(Stock!Y$1,'Stock UST'!$1:$1,0)))=0,"",IF(ISERROR(MATCH(Stock!Y$1,'Stock UST'!$1:$1,0)),X54,INDEX('Stock UST'!54:54,1,MATCH(Stock!Y$1,'Stock UST'!$1:$1,0))))</f>
        <v/>
      </c>
      <c r="Z54" s="9" t="str">
        <f ca="1">IF(IF(ISERROR(MATCH(Stock!Z$1,'Stock UST'!$1:$1,0)),Y54,INDEX('Stock UST'!54:54,1,MATCH(Stock!Z$1,'Stock UST'!$1:$1,0)))=0,"",IF(ISERROR(MATCH(Stock!Z$1,'Stock UST'!$1:$1,0)),Y54,INDEX('Stock UST'!54:54,1,MATCH(Stock!Z$1,'Stock UST'!$1:$1,0))))</f>
        <v/>
      </c>
      <c r="AA54" s="9" t="str">
        <f ca="1">IF(IF(ISERROR(MATCH(Stock!AA$1,'Stock UST'!$1:$1,0)),Z54,INDEX('Stock UST'!54:54,1,MATCH(Stock!AA$1,'Stock UST'!$1:$1,0)))=0,"",IF(ISERROR(MATCH(Stock!AA$1,'Stock UST'!$1:$1,0)),Z54,INDEX('Stock UST'!54:54,1,MATCH(Stock!AA$1,'Stock UST'!$1:$1,0))))</f>
        <v/>
      </c>
      <c r="AB54" s="9" t="str">
        <f ca="1">IF(IF(ISERROR(MATCH(Stock!AB$1,'Stock UST'!$1:$1,0)),AA54,INDEX('Stock UST'!54:54,1,MATCH(Stock!AB$1,'Stock UST'!$1:$1,0)))=0,"",IF(ISERROR(MATCH(Stock!AB$1,'Stock UST'!$1:$1,0)),AA54,INDEX('Stock UST'!54:54,1,MATCH(Stock!AB$1,'Stock UST'!$1:$1,0))))</f>
        <v/>
      </c>
      <c r="AC54" s="9" t="str">
        <f ca="1">IF(IF(ISERROR(MATCH(Stock!AC$1,'Stock UST'!$1:$1,0)),AB54,INDEX('Stock UST'!54:54,1,MATCH(Stock!AC$1,'Stock UST'!$1:$1,0)))=0,"",IF(ISERROR(MATCH(Stock!AC$1,'Stock UST'!$1:$1,0)),AB54,INDEX('Stock UST'!54:54,1,MATCH(Stock!AC$1,'Stock UST'!$1:$1,0))))</f>
        <v/>
      </c>
      <c r="AD54" s="9" t="str">
        <f ca="1">IF(IF(ISERROR(MATCH(Stock!AD$1,'Stock UST'!$1:$1,0)),AC54,INDEX('Stock UST'!54:54,1,MATCH(Stock!AD$1,'Stock UST'!$1:$1,0)))=0,"",IF(ISERROR(MATCH(Stock!AD$1,'Stock UST'!$1:$1,0)),AC54,INDEX('Stock UST'!54:54,1,MATCH(Stock!AD$1,'Stock UST'!$1:$1,0))))</f>
        <v/>
      </c>
      <c r="AE54" s="9" t="str">
        <f ca="1">IF(IF(ISERROR(MATCH(Stock!AE$1,'Stock UST'!$1:$1,0)),AD54,INDEX('Stock UST'!54:54,1,MATCH(Stock!AE$1,'Stock UST'!$1:$1,0)))=0,"",IF(ISERROR(MATCH(Stock!AE$1,'Stock UST'!$1:$1,0)),AD54,INDEX('Stock UST'!54:54,1,MATCH(Stock!AE$1,'Stock UST'!$1:$1,0))))</f>
        <v/>
      </c>
      <c r="AF54" s="9" t="str">
        <f ca="1">IF(IF(ISERROR(MATCH(Stock!AF$1,'Stock UST'!$1:$1,0)),AE54,INDEX('Stock UST'!54:54,1,MATCH(Stock!AF$1,'Stock UST'!$1:$1,0)))=0,"",IF(ISERROR(MATCH(Stock!AF$1,'Stock UST'!$1:$1,0)),AE54,INDEX('Stock UST'!54:54,1,MATCH(Stock!AF$1,'Stock UST'!$1:$1,0))))</f>
        <v/>
      </c>
      <c r="AG54" s="9" t="str">
        <f ca="1">IF(IF(ISERROR(MATCH(Stock!AG$1,'Stock UST'!$1:$1,0)),AF54,INDEX('Stock UST'!54:54,1,MATCH(Stock!AG$1,'Stock UST'!$1:$1,0)))=0,"",IF(ISERROR(MATCH(Stock!AG$1,'Stock UST'!$1:$1,0)),AF54,INDEX('Stock UST'!54:54,1,MATCH(Stock!AG$1,'Stock UST'!$1:$1,0))))</f>
        <v/>
      </c>
      <c r="AH54" s="9" t="str">
        <f ca="1">IF(IF(ISERROR(MATCH(Stock!AH$1,'Stock UST'!$1:$1,0)),AG54,INDEX('Stock UST'!54:54,1,MATCH(Stock!AH$1,'Stock UST'!$1:$1,0)))=0,"",IF(ISERROR(MATCH(Stock!AH$1,'Stock UST'!$1:$1,0)),AG54,INDEX('Stock UST'!54:54,1,MATCH(Stock!AH$1,'Stock UST'!$1:$1,0))))</f>
        <v/>
      </c>
      <c r="AI54" s="9" t="str">
        <f ca="1">IF(IF(ISERROR(MATCH(Stock!AI$1,'Stock UST'!$1:$1,0)),AH54,INDEX('Stock UST'!54:54,1,MATCH(Stock!AI$1,'Stock UST'!$1:$1,0)))=0,"",IF(ISERROR(MATCH(Stock!AI$1,'Stock UST'!$1:$1,0)),AH54,INDEX('Stock UST'!54:54,1,MATCH(Stock!AI$1,'Stock UST'!$1:$1,0))))</f>
        <v/>
      </c>
      <c r="AJ54" s="9" t="str">
        <f ca="1">IF(IF(ISERROR(MATCH(Stock!AJ$1,'Stock UST'!$1:$1,0)),AI54,INDEX('Stock UST'!54:54,1,MATCH(Stock!AJ$1,'Stock UST'!$1:$1,0)))=0,"",IF(ISERROR(MATCH(Stock!AJ$1,'Stock UST'!$1:$1,0)),AI54,INDEX('Stock UST'!54:54,1,MATCH(Stock!AJ$1,'Stock UST'!$1:$1,0))))</f>
        <v/>
      </c>
      <c r="AK54" s="9" t="str">
        <f ca="1">IF(IF(ISERROR(MATCH(Stock!AK$1,'Stock UST'!$1:$1,0)),AJ54,INDEX('Stock UST'!54:54,1,MATCH(Stock!AK$1,'Stock UST'!$1:$1,0)))=0,"",IF(ISERROR(MATCH(Stock!AK$1,'Stock UST'!$1:$1,0)),AJ54,INDEX('Stock UST'!54:54,1,MATCH(Stock!AK$1,'Stock UST'!$1:$1,0))))</f>
        <v/>
      </c>
      <c r="AL54" s="9" t="str">
        <f ca="1">IF(IF(ISERROR(MATCH(Stock!AL$1,'Stock UST'!$1:$1,0)),AK54,INDEX('Stock UST'!54:54,1,MATCH(Stock!AL$1,'Stock UST'!$1:$1,0)))=0,"",IF(ISERROR(MATCH(Stock!AL$1,'Stock UST'!$1:$1,0)),AK54,INDEX('Stock UST'!54:54,1,MATCH(Stock!AL$1,'Stock UST'!$1:$1,0))))</f>
        <v/>
      </c>
      <c r="AM54" s="9" t="str">
        <f ca="1">IF(IF(ISERROR(MATCH(Stock!AM$1,'Stock UST'!$1:$1,0)),AL54,INDEX('Stock UST'!54:54,1,MATCH(Stock!AM$1,'Stock UST'!$1:$1,0)))=0,"",IF(ISERROR(MATCH(Stock!AM$1,'Stock UST'!$1:$1,0)),AL54,INDEX('Stock UST'!54:54,1,MATCH(Stock!AM$1,'Stock UST'!$1:$1,0))))</f>
        <v/>
      </c>
      <c r="AN54" s="9" t="str">
        <f ca="1">IF(IF(ISERROR(MATCH(Stock!AN$1,'Stock UST'!$1:$1,0)),AM54,INDEX('Stock UST'!54:54,1,MATCH(Stock!AN$1,'Stock UST'!$1:$1,0)))=0,"",IF(ISERROR(MATCH(Stock!AN$1,'Stock UST'!$1:$1,0)),AM54,INDEX('Stock UST'!54:54,1,MATCH(Stock!AN$1,'Stock UST'!$1:$1,0))))</f>
        <v/>
      </c>
      <c r="AO54" s="9" t="str">
        <f ca="1">IF(IF(ISERROR(MATCH(Stock!AO$1,'Stock UST'!$1:$1,0)),AN54,INDEX('Stock UST'!54:54,1,MATCH(Stock!AO$1,'Stock UST'!$1:$1,0)))=0,"",IF(ISERROR(MATCH(Stock!AO$1,'Stock UST'!$1:$1,0)),AN54,INDEX('Stock UST'!54:54,1,MATCH(Stock!AO$1,'Stock UST'!$1:$1,0))))</f>
        <v/>
      </c>
      <c r="AP54" s="9" t="str">
        <f ca="1">IF(IF(ISERROR(MATCH(Stock!AP$1,'Stock UST'!$1:$1,0)),AO54,INDEX('Stock UST'!54:54,1,MATCH(Stock!AP$1,'Stock UST'!$1:$1,0)))=0,"",IF(ISERROR(MATCH(Stock!AP$1,'Stock UST'!$1:$1,0)),AO54,INDEX('Stock UST'!54:54,1,MATCH(Stock!AP$1,'Stock UST'!$1:$1,0))))</f>
        <v/>
      </c>
      <c r="AQ54" s="9" t="str">
        <f ca="1">IF(IF(ISERROR(MATCH(Stock!AQ$1,'Stock UST'!$1:$1,0)),AP54,INDEX('Stock UST'!54:54,1,MATCH(Stock!AQ$1,'Stock UST'!$1:$1,0)))=0,"",IF(ISERROR(MATCH(Stock!AQ$1,'Stock UST'!$1:$1,0)),AP54,INDEX('Stock UST'!54:54,1,MATCH(Stock!AQ$1,'Stock UST'!$1:$1,0))))</f>
        <v/>
      </c>
      <c r="AR54" s="9" t="str">
        <f ca="1">IF(IF(ISERROR(MATCH(Stock!AR$1,'Stock UST'!$1:$1,0)),AQ54,INDEX('Stock UST'!54:54,1,MATCH(Stock!AR$1,'Stock UST'!$1:$1,0)))=0,"",IF(ISERROR(MATCH(Stock!AR$1,'Stock UST'!$1:$1,0)),AQ54,INDEX('Stock UST'!54:54,1,MATCH(Stock!AR$1,'Stock UST'!$1:$1,0))))</f>
        <v/>
      </c>
      <c r="AS54" s="9" t="str">
        <f ca="1">IF(IF(ISERROR(MATCH(Stock!AS$1,'Stock UST'!$1:$1,0)),AR54,INDEX('Stock UST'!54:54,1,MATCH(Stock!AS$1,'Stock UST'!$1:$1,0)))=0,"",IF(ISERROR(MATCH(Stock!AS$1,'Stock UST'!$1:$1,0)),AR54,INDEX('Stock UST'!54:54,1,MATCH(Stock!AS$1,'Stock UST'!$1:$1,0))))</f>
        <v/>
      </c>
      <c r="AT54" s="9" t="str">
        <f ca="1">IF(IF(ISERROR(MATCH(Stock!AT$1,'Stock UST'!$1:$1,0)),AS54,INDEX('Stock UST'!54:54,1,MATCH(Stock!AT$1,'Stock UST'!$1:$1,0)))=0,"",IF(ISERROR(MATCH(Stock!AT$1,'Stock UST'!$1:$1,0)),AS54,INDEX('Stock UST'!54:54,1,MATCH(Stock!AT$1,'Stock UST'!$1:$1,0))))</f>
        <v/>
      </c>
      <c r="AU54" s="9" t="str">
        <f ca="1">IF(IF(ISERROR(MATCH(Stock!AU$1,'Stock UST'!$1:$1,0)),AT54,INDEX('Stock UST'!54:54,1,MATCH(Stock!AU$1,'Stock UST'!$1:$1,0)))=0,"",IF(ISERROR(MATCH(Stock!AU$1,'Stock UST'!$1:$1,0)),AT54,INDEX('Stock UST'!54:54,1,MATCH(Stock!AU$1,'Stock UST'!$1:$1,0))))</f>
        <v/>
      </c>
      <c r="AV54" s="9" t="str">
        <f ca="1">IF(IF(ISERROR(MATCH(Stock!AV$1,'Stock UST'!$1:$1,0)),AU54,INDEX('Stock UST'!54:54,1,MATCH(Stock!AV$1,'Stock UST'!$1:$1,0)))=0,"",IF(ISERROR(MATCH(Stock!AV$1,'Stock UST'!$1:$1,0)),AU54,INDEX('Stock UST'!54:54,1,MATCH(Stock!AV$1,'Stock UST'!$1:$1,0))))</f>
        <v/>
      </c>
      <c r="AW54" s="9" t="str">
        <f ca="1">IF(IF(ISERROR(MATCH(Stock!AW$1,'Stock UST'!$1:$1,0)),AV54,INDEX('Stock UST'!54:54,1,MATCH(Stock!AW$1,'Stock UST'!$1:$1,0)))=0,"",IF(ISERROR(MATCH(Stock!AW$1,'Stock UST'!$1:$1,0)),AV54,INDEX('Stock UST'!54:54,1,MATCH(Stock!AW$1,'Stock UST'!$1:$1,0))))</f>
        <v/>
      </c>
      <c r="AX54" s="9" t="str">
        <f ca="1">IF(IF(ISERROR(MATCH(Stock!AX$1,'Stock UST'!$1:$1,0)),AW54,INDEX('Stock UST'!54:54,1,MATCH(Stock!AX$1,'Stock UST'!$1:$1,0)))=0,"",IF(ISERROR(MATCH(Stock!AX$1,'Stock UST'!$1:$1,0)),AW54,INDEX('Stock UST'!54:54,1,MATCH(Stock!AX$1,'Stock UST'!$1:$1,0))))</f>
        <v/>
      </c>
    </row>
    <row r="55" spans="1:50" x14ac:dyDescent="0.3">
      <c r="A55" s="9" t="str">
        <f>IF('Stock UST'!E55="","",'Stock UST'!E55)</f>
        <v/>
      </c>
      <c r="B55" s="9" t="str">
        <f>IF(IF(ISERROR(MATCH(Stock!B$1,'Stock UST'!$1:$1,0)),A55,INDEX('Stock UST'!55:55,1,MATCH(Stock!B$1,'Stock UST'!$1:$1,0)))=0,"",IF(ISERROR(MATCH(Stock!B$1,'Stock UST'!$1:$1,0)),A55,INDEX('Stock UST'!55:55,1,MATCH(Stock!B$1,'Stock UST'!$1:$1,0))))</f>
        <v/>
      </c>
      <c r="C55" s="9" t="str">
        <f ca="1">IF(IF(ISERROR(MATCH(Stock!C$1,'Stock UST'!$1:$1,0)),B55,INDEX('Stock UST'!55:55,1,MATCH(Stock!C$1,'Stock UST'!$1:$1,0)))=0,"",IF(ISERROR(MATCH(Stock!C$1,'Stock UST'!$1:$1,0)),B55,INDEX('Stock UST'!55:55,1,MATCH(Stock!C$1,'Stock UST'!$1:$1,0))))</f>
        <v/>
      </c>
      <c r="D55" s="9" t="str">
        <f ca="1">IF(IF(ISERROR(MATCH(Stock!D$1,'Stock UST'!$1:$1,0)),C55,INDEX('Stock UST'!55:55,1,MATCH(Stock!D$1,'Stock UST'!$1:$1,0)))=0,"",IF(ISERROR(MATCH(Stock!D$1,'Stock UST'!$1:$1,0)),C55,INDEX('Stock UST'!55:55,1,MATCH(Stock!D$1,'Stock UST'!$1:$1,0))))</f>
        <v/>
      </c>
      <c r="E55" s="9" t="str">
        <f ca="1">IF(IF(ISERROR(MATCH(Stock!E$1,'Stock UST'!$1:$1,0)),D55,INDEX('Stock UST'!55:55,1,MATCH(Stock!E$1,'Stock UST'!$1:$1,0)))=0,"",IF(ISERROR(MATCH(Stock!E$1,'Stock UST'!$1:$1,0)),D55,INDEX('Stock UST'!55:55,1,MATCH(Stock!E$1,'Stock UST'!$1:$1,0))))</f>
        <v/>
      </c>
      <c r="F55" s="9" t="str">
        <f ca="1">IF(IF(ISERROR(MATCH(Stock!F$1,'Stock UST'!$1:$1,0)),E55,INDEX('Stock UST'!55:55,1,MATCH(Stock!F$1,'Stock UST'!$1:$1,0)))=0,"",IF(ISERROR(MATCH(Stock!F$1,'Stock UST'!$1:$1,0)),E55,INDEX('Stock UST'!55:55,1,MATCH(Stock!F$1,'Stock UST'!$1:$1,0))))</f>
        <v/>
      </c>
      <c r="G55" s="9" t="str">
        <f ca="1">IF(IF(ISERROR(MATCH(Stock!G$1,'Stock UST'!$1:$1,0)),F55,INDEX('Stock UST'!55:55,1,MATCH(Stock!G$1,'Stock UST'!$1:$1,0)))=0,"",IF(ISERROR(MATCH(Stock!G$1,'Stock UST'!$1:$1,0)),F55,INDEX('Stock UST'!55:55,1,MATCH(Stock!G$1,'Stock UST'!$1:$1,0))))</f>
        <v/>
      </c>
      <c r="H55" s="9" t="str">
        <f ca="1">IF(IF(ISERROR(MATCH(Stock!H$1,'Stock UST'!$1:$1,0)),G55,INDEX('Stock UST'!55:55,1,MATCH(Stock!H$1,'Stock UST'!$1:$1,0)))=0,"",IF(ISERROR(MATCH(Stock!H$1,'Stock UST'!$1:$1,0)),G55,INDEX('Stock UST'!55:55,1,MATCH(Stock!H$1,'Stock UST'!$1:$1,0))))</f>
        <v/>
      </c>
      <c r="I55" s="9" t="str">
        <f ca="1">IF(IF(ISERROR(MATCH(Stock!I$1,'Stock UST'!$1:$1,0)),H55,INDEX('Stock UST'!55:55,1,MATCH(Stock!I$1,'Stock UST'!$1:$1,0)))=0,"",IF(ISERROR(MATCH(Stock!I$1,'Stock UST'!$1:$1,0)),H55,INDEX('Stock UST'!55:55,1,MATCH(Stock!I$1,'Stock UST'!$1:$1,0))))</f>
        <v/>
      </c>
      <c r="J55" s="9" t="str">
        <f ca="1">IF(IF(ISERROR(MATCH(Stock!J$1,'Stock UST'!$1:$1,0)),I55,INDEX('Stock UST'!55:55,1,MATCH(Stock!J$1,'Stock UST'!$1:$1,0)))=0,"",IF(ISERROR(MATCH(Stock!J$1,'Stock UST'!$1:$1,0)),I55,INDEX('Stock UST'!55:55,1,MATCH(Stock!J$1,'Stock UST'!$1:$1,0))))</f>
        <v/>
      </c>
      <c r="K55" s="9" t="str">
        <f ca="1">IF(IF(ISERROR(MATCH(Stock!K$1,'Stock UST'!$1:$1,0)),J55,INDEX('Stock UST'!55:55,1,MATCH(Stock!K$1,'Stock UST'!$1:$1,0)))=0,"",IF(ISERROR(MATCH(Stock!K$1,'Stock UST'!$1:$1,0)),J55,INDEX('Stock UST'!55:55,1,MATCH(Stock!K$1,'Stock UST'!$1:$1,0))))</f>
        <v/>
      </c>
      <c r="L55" s="9" t="str">
        <f ca="1">IF(IF(ISERROR(MATCH(Stock!L$1,'Stock UST'!$1:$1,0)),K55,INDEX('Stock UST'!55:55,1,MATCH(Stock!L$1,'Stock UST'!$1:$1,0)))=0,"",IF(ISERROR(MATCH(Stock!L$1,'Stock UST'!$1:$1,0)),K55,INDEX('Stock UST'!55:55,1,MATCH(Stock!L$1,'Stock UST'!$1:$1,0))))</f>
        <v/>
      </c>
      <c r="M55" s="9" t="str">
        <f ca="1">IF(IF(ISERROR(MATCH(Stock!M$1,'Stock UST'!$1:$1,0)),L55,INDEX('Stock UST'!55:55,1,MATCH(Stock!M$1,'Stock UST'!$1:$1,0)))=0,"",IF(ISERROR(MATCH(Stock!M$1,'Stock UST'!$1:$1,0)),L55,INDEX('Stock UST'!55:55,1,MATCH(Stock!M$1,'Stock UST'!$1:$1,0))))</f>
        <v/>
      </c>
      <c r="N55" s="9" t="str">
        <f ca="1">IF(IF(ISERROR(MATCH(Stock!N$1,'Stock UST'!$1:$1,0)),M55,INDEX('Stock UST'!55:55,1,MATCH(Stock!N$1,'Stock UST'!$1:$1,0)))=0,"",IF(ISERROR(MATCH(Stock!N$1,'Stock UST'!$1:$1,0)),M55,INDEX('Stock UST'!55:55,1,MATCH(Stock!N$1,'Stock UST'!$1:$1,0))))</f>
        <v/>
      </c>
      <c r="O55" s="9" t="str">
        <f ca="1">IF(IF(ISERROR(MATCH(Stock!O$1,'Stock UST'!$1:$1,0)),N55,INDEX('Stock UST'!55:55,1,MATCH(Stock!O$1,'Stock UST'!$1:$1,0)))=0,"",IF(ISERROR(MATCH(Stock!O$1,'Stock UST'!$1:$1,0)),N55,INDEX('Stock UST'!55:55,1,MATCH(Stock!O$1,'Stock UST'!$1:$1,0))))</f>
        <v/>
      </c>
      <c r="P55" s="9" t="str">
        <f ca="1">IF(IF(ISERROR(MATCH(Stock!P$1,'Stock UST'!$1:$1,0)),O55,INDEX('Stock UST'!55:55,1,MATCH(Stock!P$1,'Stock UST'!$1:$1,0)))=0,"",IF(ISERROR(MATCH(Stock!P$1,'Stock UST'!$1:$1,0)),O55,INDEX('Stock UST'!55:55,1,MATCH(Stock!P$1,'Stock UST'!$1:$1,0))))</f>
        <v/>
      </c>
      <c r="Q55" s="9" t="str">
        <f ca="1">IF(IF(ISERROR(MATCH(Stock!Q$1,'Stock UST'!$1:$1,0)),P55,INDEX('Stock UST'!55:55,1,MATCH(Stock!Q$1,'Stock UST'!$1:$1,0)))=0,"",IF(ISERROR(MATCH(Stock!Q$1,'Stock UST'!$1:$1,0)),P55,INDEX('Stock UST'!55:55,1,MATCH(Stock!Q$1,'Stock UST'!$1:$1,0))))</f>
        <v/>
      </c>
      <c r="R55" s="9" t="str">
        <f ca="1">IF(IF(ISERROR(MATCH(Stock!R$1,'Stock UST'!$1:$1,0)),Q55,INDEX('Stock UST'!55:55,1,MATCH(Stock!R$1,'Stock UST'!$1:$1,0)))=0,"",IF(ISERROR(MATCH(Stock!R$1,'Stock UST'!$1:$1,0)),Q55,INDEX('Stock UST'!55:55,1,MATCH(Stock!R$1,'Stock UST'!$1:$1,0))))</f>
        <v/>
      </c>
      <c r="S55" s="9" t="str">
        <f ca="1">IF(IF(ISERROR(MATCH(Stock!S$1,'Stock UST'!$1:$1,0)),R55,INDEX('Stock UST'!55:55,1,MATCH(Stock!S$1,'Stock UST'!$1:$1,0)))=0,"",IF(ISERROR(MATCH(Stock!S$1,'Stock UST'!$1:$1,0)),R55,INDEX('Stock UST'!55:55,1,MATCH(Stock!S$1,'Stock UST'!$1:$1,0))))</f>
        <v/>
      </c>
      <c r="T55" s="9" t="str">
        <f ca="1">IF(IF(ISERROR(MATCH(Stock!T$1,'Stock UST'!$1:$1,0)),S55,INDEX('Stock UST'!55:55,1,MATCH(Stock!T$1,'Stock UST'!$1:$1,0)))=0,"",IF(ISERROR(MATCH(Stock!T$1,'Stock UST'!$1:$1,0)),S55,INDEX('Stock UST'!55:55,1,MATCH(Stock!T$1,'Stock UST'!$1:$1,0))))</f>
        <v/>
      </c>
      <c r="U55" s="9" t="str">
        <f ca="1">IF(IF(ISERROR(MATCH(Stock!U$1,'Stock UST'!$1:$1,0)),T55,INDEX('Stock UST'!55:55,1,MATCH(Stock!U$1,'Stock UST'!$1:$1,0)))=0,"",IF(ISERROR(MATCH(Stock!U$1,'Stock UST'!$1:$1,0)),T55,INDEX('Stock UST'!55:55,1,MATCH(Stock!U$1,'Stock UST'!$1:$1,0))))</f>
        <v/>
      </c>
      <c r="V55" s="9" t="str">
        <f ca="1">IF(IF(ISERROR(MATCH(Stock!V$1,'Stock UST'!$1:$1,0)),U55,INDEX('Stock UST'!55:55,1,MATCH(Stock!V$1,'Stock UST'!$1:$1,0)))=0,"",IF(ISERROR(MATCH(Stock!V$1,'Stock UST'!$1:$1,0)),U55,INDEX('Stock UST'!55:55,1,MATCH(Stock!V$1,'Stock UST'!$1:$1,0))))</f>
        <v/>
      </c>
      <c r="W55" s="9" t="str">
        <f ca="1">IF(IF(ISERROR(MATCH(Stock!W$1,'Stock UST'!$1:$1,0)),V55,INDEX('Stock UST'!55:55,1,MATCH(Stock!W$1,'Stock UST'!$1:$1,0)))=0,"",IF(ISERROR(MATCH(Stock!W$1,'Stock UST'!$1:$1,0)),V55,INDEX('Stock UST'!55:55,1,MATCH(Stock!W$1,'Stock UST'!$1:$1,0))))</f>
        <v/>
      </c>
      <c r="X55" s="9" t="str">
        <f ca="1">IF(IF(ISERROR(MATCH(Stock!X$1,'Stock UST'!$1:$1,0)),W55,INDEX('Stock UST'!55:55,1,MATCH(Stock!X$1,'Stock UST'!$1:$1,0)))=0,"",IF(ISERROR(MATCH(Stock!X$1,'Stock UST'!$1:$1,0)),W55,INDEX('Stock UST'!55:55,1,MATCH(Stock!X$1,'Stock UST'!$1:$1,0))))</f>
        <v/>
      </c>
      <c r="Y55" s="9" t="str">
        <f ca="1">IF(IF(ISERROR(MATCH(Stock!Y$1,'Stock UST'!$1:$1,0)),X55,INDEX('Stock UST'!55:55,1,MATCH(Stock!Y$1,'Stock UST'!$1:$1,0)))=0,"",IF(ISERROR(MATCH(Stock!Y$1,'Stock UST'!$1:$1,0)),X55,INDEX('Stock UST'!55:55,1,MATCH(Stock!Y$1,'Stock UST'!$1:$1,0))))</f>
        <v/>
      </c>
      <c r="Z55" s="9" t="str">
        <f ca="1">IF(IF(ISERROR(MATCH(Stock!Z$1,'Stock UST'!$1:$1,0)),Y55,INDEX('Stock UST'!55:55,1,MATCH(Stock!Z$1,'Stock UST'!$1:$1,0)))=0,"",IF(ISERROR(MATCH(Stock!Z$1,'Stock UST'!$1:$1,0)),Y55,INDEX('Stock UST'!55:55,1,MATCH(Stock!Z$1,'Stock UST'!$1:$1,0))))</f>
        <v/>
      </c>
      <c r="AA55" s="9" t="str">
        <f ca="1">IF(IF(ISERROR(MATCH(Stock!AA$1,'Stock UST'!$1:$1,0)),Z55,INDEX('Stock UST'!55:55,1,MATCH(Stock!AA$1,'Stock UST'!$1:$1,0)))=0,"",IF(ISERROR(MATCH(Stock!AA$1,'Stock UST'!$1:$1,0)),Z55,INDEX('Stock UST'!55:55,1,MATCH(Stock!AA$1,'Stock UST'!$1:$1,0))))</f>
        <v/>
      </c>
      <c r="AB55" s="9" t="str">
        <f ca="1">IF(IF(ISERROR(MATCH(Stock!AB$1,'Stock UST'!$1:$1,0)),AA55,INDEX('Stock UST'!55:55,1,MATCH(Stock!AB$1,'Stock UST'!$1:$1,0)))=0,"",IF(ISERROR(MATCH(Stock!AB$1,'Stock UST'!$1:$1,0)),AA55,INDEX('Stock UST'!55:55,1,MATCH(Stock!AB$1,'Stock UST'!$1:$1,0))))</f>
        <v/>
      </c>
      <c r="AC55" s="9" t="str">
        <f ca="1">IF(IF(ISERROR(MATCH(Stock!AC$1,'Stock UST'!$1:$1,0)),AB55,INDEX('Stock UST'!55:55,1,MATCH(Stock!AC$1,'Stock UST'!$1:$1,0)))=0,"",IF(ISERROR(MATCH(Stock!AC$1,'Stock UST'!$1:$1,0)),AB55,INDEX('Stock UST'!55:55,1,MATCH(Stock!AC$1,'Stock UST'!$1:$1,0))))</f>
        <v/>
      </c>
      <c r="AD55" s="9" t="str">
        <f ca="1">IF(IF(ISERROR(MATCH(Stock!AD$1,'Stock UST'!$1:$1,0)),AC55,INDEX('Stock UST'!55:55,1,MATCH(Stock!AD$1,'Stock UST'!$1:$1,0)))=0,"",IF(ISERROR(MATCH(Stock!AD$1,'Stock UST'!$1:$1,0)),AC55,INDEX('Stock UST'!55:55,1,MATCH(Stock!AD$1,'Stock UST'!$1:$1,0))))</f>
        <v/>
      </c>
      <c r="AE55" s="9" t="str">
        <f ca="1">IF(IF(ISERROR(MATCH(Stock!AE$1,'Stock UST'!$1:$1,0)),AD55,INDEX('Stock UST'!55:55,1,MATCH(Stock!AE$1,'Stock UST'!$1:$1,0)))=0,"",IF(ISERROR(MATCH(Stock!AE$1,'Stock UST'!$1:$1,0)),AD55,INDEX('Stock UST'!55:55,1,MATCH(Stock!AE$1,'Stock UST'!$1:$1,0))))</f>
        <v/>
      </c>
      <c r="AF55" s="9" t="str">
        <f ca="1">IF(IF(ISERROR(MATCH(Stock!AF$1,'Stock UST'!$1:$1,0)),AE55,INDEX('Stock UST'!55:55,1,MATCH(Stock!AF$1,'Stock UST'!$1:$1,0)))=0,"",IF(ISERROR(MATCH(Stock!AF$1,'Stock UST'!$1:$1,0)),AE55,INDEX('Stock UST'!55:55,1,MATCH(Stock!AF$1,'Stock UST'!$1:$1,0))))</f>
        <v/>
      </c>
      <c r="AG55" s="9" t="str">
        <f ca="1">IF(IF(ISERROR(MATCH(Stock!AG$1,'Stock UST'!$1:$1,0)),AF55,INDEX('Stock UST'!55:55,1,MATCH(Stock!AG$1,'Stock UST'!$1:$1,0)))=0,"",IF(ISERROR(MATCH(Stock!AG$1,'Stock UST'!$1:$1,0)),AF55,INDEX('Stock UST'!55:55,1,MATCH(Stock!AG$1,'Stock UST'!$1:$1,0))))</f>
        <v/>
      </c>
      <c r="AH55" s="9" t="str">
        <f ca="1">IF(IF(ISERROR(MATCH(Stock!AH$1,'Stock UST'!$1:$1,0)),AG55,INDEX('Stock UST'!55:55,1,MATCH(Stock!AH$1,'Stock UST'!$1:$1,0)))=0,"",IF(ISERROR(MATCH(Stock!AH$1,'Stock UST'!$1:$1,0)),AG55,INDEX('Stock UST'!55:55,1,MATCH(Stock!AH$1,'Stock UST'!$1:$1,0))))</f>
        <v/>
      </c>
      <c r="AI55" s="9" t="str">
        <f ca="1">IF(IF(ISERROR(MATCH(Stock!AI$1,'Stock UST'!$1:$1,0)),AH55,INDEX('Stock UST'!55:55,1,MATCH(Stock!AI$1,'Stock UST'!$1:$1,0)))=0,"",IF(ISERROR(MATCH(Stock!AI$1,'Stock UST'!$1:$1,0)),AH55,INDEX('Stock UST'!55:55,1,MATCH(Stock!AI$1,'Stock UST'!$1:$1,0))))</f>
        <v/>
      </c>
      <c r="AJ55" s="9" t="str">
        <f ca="1">IF(IF(ISERROR(MATCH(Stock!AJ$1,'Stock UST'!$1:$1,0)),AI55,INDEX('Stock UST'!55:55,1,MATCH(Stock!AJ$1,'Stock UST'!$1:$1,0)))=0,"",IF(ISERROR(MATCH(Stock!AJ$1,'Stock UST'!$1:$1,0)),AI55,INDEX('Stock UST'!55:55,1,MATCH(Stock!AJ$1,'Stock UST'!$1:$1,0))))</f>
        <v/>
      </c>
      <c r="AK55" s="9" t="str">
        <f ca="1">IF(IF(ISERROR(MATCH(Stock!AK$1,'Stock UST'!$1:$1,0)),AJ55,INDEX('Stock UST'!55:55,1,MATCH(Stock!AK$1,'Stock UST'!$1:$1,0)))=0,"",IF(ISERROR(MATCH(Stock!AK$1,'Stock UST'!$1:$1,0)),AJ55,INDEX('Stock UST'!55:55,1,MATCH(Stock!AK$1,'Stock UST'!$1:$1,0))))</f>
        <v/>
      </c>
      <c r="AL55" s="9" t="str">
        <f ca="1">IF(IF(ISERROR(MATCH(Stock!AL$1,'Stock UST'!$1:$1,0)),AK55,INDEX('Stock UST'!55:55,1,MATCH(Stock!AL$1,'Stock UST'!$1:$1,0)))=0,"",IF(ISERROR(MATCH(Stock!AL$1,'Stock UST'!$1:$1,0)),AK55,INDEX('Stock UST'!55:55,1,MATCH(Stock!AL$1,'Stock UST'!$1:$1,0))))</f>
        <v/>
      </c>
      <c r="AM55" s="9" t="str">
        <f ca="1">IF(IF(ISERROR(MATCH(Stock!AM$1,'Stock UST'!$1:$1,0)),AL55,INDEX('Stock UST'!55:55,1,MATCH(Stock!AM$1,'Stock UST'!$1:$1,0)))=0,"",IF(ISERROR(MATCH(Stock!AM$1,'Stock UST'!$1:$1,0)),AL55,INDEX('Stock UST'!55:55,1,MATCH(Stock!AM$1,'Stock UST'!$1:$1,0))))</f>
        <v/>
      </c>
      <c r="AN55" s="9" t="str">
        <f ca="1">IF(IF(ISERROR(MATCH(Stock!AN$1,'Stock UST'!$1:$1,0)),AM55,INDEX('Stock UST'!55:55,1,MATCH(Stock!AN$1,'Stock UST'!$1:$1,0)))=0,"",IF(ISERROR(MATCH(Stock!AN$1,'Stock UST'!$1:$1,0)),AM55,INDEX('Stock UST'!55:55,1,MATCH(Stock!AN$1,'Stock UST'!$1:$1,0))))</f>
        <v/>
      </c>
      <c r="AO55" s="9" t="str">
        <f ca="1">IF(IF(ISERROR(MATCH(Stock!AO$1,'Stock UST'!$1:$1,0)),AN55,INDEX('Stock UST'!55:55,1,MATCH(Stock!AO$1,'Stock UST'!$1:$1,0)))=0,"",IF(ISERROR(MATCH(Stock!AO$1,'Stock UST'!$1:$1,0)),AN55,INDEX('Stock UST'!55:55,1,MATCH(Stock!AO$1,'Stock UST'!$1:$1,0))))</f>
        <v/>
      </c>
      <c r="AP55" s="9" t="str">
        <f ca="1">IF(IF(ISERROR(MATCH(Stock!AP$1,'Stock UST'!$1:$1,0)),AO55,INDEX('Stock UST'!55:55,1,MATCH(Stock!AP$1,'Stock UST'!$1:$1,0)))=0,"",IF(ISERROR(MATCH(Stock!AP$1,'Stock UST'!$1:$1,0)),AO55,INDEX('Stock UST'!55:55,1,MATCH(Stock!AP$1,'Stock UST'!$1:$1,0))))</f>
        <v/>
      </c>
      <c r="AQ55" s="9" t="str">
        <f ca="1">IF(IF(ISERROR(MATCH(Stock!AQ$1,'Stock UST'!$1:$1,0)),AP55,INDEX('Stock UST'!55:55,1,MATCH(Stock!AQ$1,'Stock UST'!$1:$1,0)))=0,"",IF(ISERROR(MATCH(Stock!AQ$1,'Stock UST'!$1:$1,0)),AP55,INDEX('Stock UST'!55:55,1,MATCH(Stock!AQ$1,'Stock UST'!$1:$1,0))))</f>
        <v/>
      </c>
      <c r="AR55" s="9" t="str">
        <f ca="1">IF(IF(ISERROR(MATCH(Stock!AR$1,'Stock UST'!$1:$1,0)),AQ55,INDEX('Stock UST'!55:55,1,MATCH(Stock!AR$1,'Stock UST'!$1:$1,0)))=0,"",IF(ISERROR(MATCH(Stock!AR$1,'Stock UST'!$1:$1,0)),AQ55,INDEX('Stock UST'!55:55,1,MATCH(Stock!AR$1,'Stock UST'!$1:$1,0))))</f>
        <v/>
      </c>
      <c r="AS55" s="9" t="str">
        <f ca="1">IF(IF(ISERROR(MATCH(Stock!AS$1,'Stock UST'!$1:$1,0)),AR55,INDEX('Stock UST'!55:55,1,MATCH(Stock!AS$1,'Stock UST'!$1:$1,0)))=0,"",IF(ISERROR(MATCH(Stock!AS$1,'Stock UST'!$1:$1,0)),AR55,INDEX('Stock UST'!55:55,1,MATCH(Stock!AS$1,'Stock UST'!$1:$1,0))))</f>
        <v/>
      </c>
      <c r="AT55" s="9" t="str">
        <f ca="1">IF(IF(ISERROR(MATCH(Stock!AT$1,'Stock UST'!$1:$1,0)),AS55,INDEX('Stock UST'!55:55,1,MATCH(Stock!AT$1,'Stock UST'!$1:$1,0)))=0,"",IF(ISERROR(MATCH(Stock!AT$1,'Stock UST'!$1:$1,0)),AS55,INDEX('Stock UST'!55:55,1,MATCH(Stock!AT$1,'Stock UST'!$1:$1,0))))</f>
        <v/>
      </c>
      <c r="AU55" s="9" t="str">
        <f ca="1">IF(IF(ISERROR(MATCH(Stock!AU$1,'Stock UST'!$1:$1,0)),AT55,INDEX('Stock UST'!55:55,1,MATCH(Stock!AU$1,'Stock UST'!$1:$1,0)))=0,"",IF(ISERROR(MATCH(Stock!AU$1,'Stock UST'!$1:$1,0)),AT55,INDEX('Stock UST'!55:55,1,MATCH(Stock!AU$1,'Stock UST'!$1:$1,0))))</f>
        <v/>
      </c>
      <c r="AV55" s="9" t="str">
        <f ca="1">IF(IF(ISERROR(MATCH(Stock!AV$1,'Stock UST'!$1:$1,0)),AU55,INDEX('Stock UST'!55:55,1,MATCH(Stock!AV$1,'Stock UST'!$1:$1,0)))=0,"",IF(ISERROR(MATCH(Stock!AV$1,'Stock UST'!$1:$1,0)),AU55,INDEX('Stock UST'!55:55,1,MATCH(Stock!AV$1,'Stock UST'!$1:$1,0))))</f>
        <v/>
      </c>
      <c r="AW55" s="9" t="str">
        <f ca="1">IF(IF(ISERROR(MATCH(Stock!AW$1,'Stock UST'!$1:$1,0)),AV55,INDEX('Stock UST'!55:55,1,MATCH(Stock!AW$1,'Stock UST'!$1:$1,0)))=0,"",IF(ISERROR(MATCH(Stock!AW$1,'Stock UST'!$1:$1,0)),AV55,INDEX('Stock UST'!55:55,1,MATCH(Stock!AW$1,'Stock UST'!$1:$1,0))))</f>
        <v/>
      </c>
      <c r="AX55" s="9" t="str">
        <f ca="1">IF(IF(ISERROR(MATCH(Stock!AX$1,'Stock UST'!$1:$1,0)),AW55,INDEX('Stock UST'!55:55,1,MATCH(Stock!AX$1,'Stock UST'!$1:$1,0)))=0,"",IF(ISERROR(MATCH(Stock!AX$1,'Stock UST'!$1:$1,0)),AW55,INDEX('Stock UST'!55:55,1,MATCH(Stock!AX$1,'Stock UST'!$1:$1,0))))</f>
        <v/>
      </c>
    </row>
    <row r="56" spans="1:50" x14ac:dyDescent="0.3">
      <c r="A56" s="9" t="str">
        <f>IF('Stock UST'!E56="","",'Stock UST'!E56)</f>
        <v/>
      </c>
      <c r="B56" s="9" t="str">
        <f>IF(IF(ISERROR(MATCH(Stock!B$1,'Stock UST'!$1:$1,0)),A56,INDEX('Stock UST'!56:56,1,MATCH(Stock!B$1,'Stock UST'!$1:$1,0)))=0,"",IF(ISERROR(MATCH(Stock!B$1,'Stock UST'!$1:$1,0)),A56,INDEX('Stock UST'!56:56,1,MATCH(Stock!B$1,'Stock UST'!$1:$1,0))))</f>
        <v/>
      </c>
      <c r="C56" s="9" t="str">
        <f ca="1">IF(IF(ISERROR(MATCH(Stock!C$1,'Stock UST'!$1:$1,0)),B56,INDEX('Stock UST'!56:56,1,MATCH(Stock!C$1,'Stock UST'!$1:$1,0)))=0,"",IF(ISERROR(MATCH(Stock!C$1,'Stock UST'!$1:$1,0)),B56,INDEX('Stock UST'!56:56,1,MATCH(Stock!C$1,'Stock UST'!$1:$1,0))))</f>
        <v/>
      </c>
      <c r="D56" s="9" t="str">
        <f ca="1">IF(IF(ISERROR(MATCH(Stock!D$1,'Stock UST'!$1:$1,0)),C56,INDEX('Stock UST'!56:56,1,MATCH(Stock!D$1,'Stock UST'!$1:$1,0)))=0,"",IF(ISERROR(MATCH(Stock!D$1,'Stock UST'!$1:$1,0)),C56,INDEX('Stock UST'!56:56,1,MATCH(Stock!D$1,'Stock UST'!$1:$1,0))))</f>
        <v/>
      </c>
      <c r="E56" s="9" t="str">
        <f ca="1">IF(IF(ISERROR(MATCH(Stock!E$1,'Stock UST'!$1:$1,0)),D56,INDEX('Stock UST'!56:56,1,MATCH(Stock!E$1,'Stock UST'!$1:$1,0)))=0,"",IF(ISERROR(MATCH(Stock!E$1,'Stock UST'!$1:$1,0)),D56,INDEX('Stock UST'!56:56,1,MATCH(Stock!E$1,'Stock UST'!$1:$1,0))))</f>
        <v/>
      </c>
      <c r="F56" s="9" t="str">
        <f ca="1">IF(IF(ISERROR(MATCH(Stock!F$1,'Stock UST'!$1:$1,0)),E56,INDEX('Stock UST'!56:56,1,MATCH(Stock!F$1,'Stock UST'!$1:$1,0)))=0,"",IF(ISERROR(MATCH(Stock!F$1,'Stock UST'!$1:$1,0)),E56,INDEX('Stock UST'!56:56,1,MATCH(Stock!F$1,'Stock UST'!$1:$1,0))))</f>
        <v/>
      </c>
      <c r="G56" s="9" t="str">
        <f ca="1">IF(IF(ISERROR(MATCH(Stock!G$1,'Stock UST'!$1:$1,0)),F56,INDEX('Stock UST'!56:56,1,MATCH(Stock!G$1,'Stock UST'!$1:$1,0)))=0,"",IF(ISERROR(MATCH(Stock!G$1,'Stock UST'!$1:$1,0)),F56,INDEX('Stock UST'!56:56,1,MATCH(Stock!G$1,'Stock UST'!$1:$1,0))))</f>
        <v/>
      </c>
      <c r="H56" s="9" t="str">
        <f ca="1">IF(IF(ISERROR(MATCH(Stock!H$1,'Stock UST'!$1:$1,0)),G56,INDEX('Stock UST'!56:56,1,MATCH(Stock!H$1,'Stock UST'!$1:$1,0)))=0,"",IF(ISERROR(MATCH(Stock!H$1,'Stock UST'!$1:$1,0)),G56,INDEX('Stock UST'!56:56,1,MATCH(Stock!H$1,'Stock UST'!$1:$1,0))))</f>
        <v/>
      </c>
      <c r="I56" s="9" t="str">
        <f ca="1">IF(IF(ISERROR(MATCH(Stock!I$1,'Stock UST'!$1:$1,0)),H56,INDEX('Stock UST'!56:56,1,MATCH(Stock!I$1,'Stock UST'!$1:$1,0)))=0,"",IF(ISERROR(MATCH(Stock!I$1,'Stock UST'!$1:$1,0)),H56,INDEX('Stock UST'!56:56,1,MATCH(Stock!I$1,'Stock UST'!$1:$1,0))))</f>
        <v/>
      </c>
      <c r="J56" s="9" t="str">
        <f ca="1">IF(IF(ISERROR(MATCH(Stock!J$1,'Stock UST'!$1:$1,0)),I56,INDEX('Stock UST'!56:56,1,MATCH(Stock!J$1,'Stock UST'!$1:$1,0)))=0,"",IF(ISERROR(MATCH(Stock!J$1,'Stock UST'!$1:$1,0)),I56,INDEX('Stock UST'!56:56,1,MATCH(Stock!J$1,'Stock UST'!$1:$1,0))))</f>
        <v/>
      </c>
      <c r="K56" s="9" t="str">
        <f ca="1">IF(IF(ISERROR(MATCH(Stock!K$1,'Stock UST'!$1:$1,0)),J56,INDEX('Stock UST'!56:56,1,MATCH(Stock!K$1,'Stock UST'!$1:$1,0)))=0,"",IF(ISERROR(MATCH(Stock!K$1,'Stock UST'!$1:$1,0)),J56,INDEX('Stock UST'!56:56,1,MATCH(Stock!K$1,'Stock UST'!$1:$1,0))))</f>
        <v/>
      </c>
      <c r="L56" s="9" t="str">
        <f ca="1">IF(IF(ISERROR(MATCH(Stock!L$1,'Stock UST'!$1:$1,0)),K56,INDEX('Stock UST'!56:56,1,MATCH(Stock!L$1,'Stock UST'!$1:$1,0)))=0,"",IF(ISERROR(MATCH(Stock!L$1,'Stock UST'!$1:$1,0)),K56,INDEX('Stock UST'!56:56,1,MATCH(Stock!L$1,'Stock UST'!$1:$1,0))))</f>
        <v/>
      </c>
      <c r="M56" s="9" t="str">
        <f ca="1">IF(IF(ISERROR(MATCH(Stock!M$1,'Stock UST'!$1:$1,0)),L56,INDEX('Stock UST'!56:56,1,MATCH(Stock!M$1,'Stock UST'!$1:$1,0)))=0,"",IF(ISERROR(MATCH(Stock!M$1,'Stock UST'!$1:$1,0)),L56,INDEX('Stock UST'!56:56,1,MATCH(Stock!M$1,'Stock UST'!$1:$1,0))))</f>
        <v/>
      </c>
      <c r="N56" s="9" t="str">
        <f ca="1">IF(IF(ISERROR(MATCH(Stock!N$1,'Stock UST'!$1:$1,0)),M56,INDEX('Stock UST'!56:56,1,MATCH(Stock!N$1,'Stock UST'!$1:$1,0)))=0,"",IF(ISERROR(MATCH(Stock!N$1,'Stock UST'!$1:$1,0)),M56,INDEX('Stock UST'!56:56,1,MATCH(Stock!N$1,'Stock UST'!$1:$1,0))))</f>
        <v/>
      </c>
      <c r="O56" s="9" t="str">
        <f ca="1">IF(IF(ISERROR(MATCH(Stock!O$1,'Stock UST'!$1:$1,0)),N56,INDEX('Stock UST'!56:56,1,MATCH(Stock!O$1,'Stock UST'!$1:$1,0)))=0,"",IF(ISERROR(MATCH(Stock!O$1,'Stock UST'!$1:$1,0)),N56,INDEX('Stock UST'!56:56,1,MATCH(Stock!O$1,'Stock UST'!$1:$1,0))))</f>
        <v/>
      </c>
      <c r="P56" s="9" t="str">
        <f ca="1">IF(IF(ISERROR(MATCH(Stock!P$1,'Stock UST'!$1:$1,0)),O56,INDEX('Stock UST'!56:56,1,MATCH(Stock!P$1,'Stock UST'!$1:$1,0)))=0,"",IF(ISERROR(MATCH(Stock!P$1,'Stock UST'!$1:$1,0)),O56,INDEX('Stock UST'!56:56,1,MATCH(Stock!P$1,'Stock UST'!$1:$1,0))))</f>
        <v/>
      </c>
      <c r="Q56" s="9" t="str">
        <f ca="1">IF(IF(ISERROR(MATCH(Stock!Q$1,'Stock UST'!$1:$1,0)),P56,INDEX('Stock UST'!56:56,1,MATCH(Stock!Q$1,'Stock UST'!$1:$1,0)))=0,"",IF(ISERROR(MATCH(Stock!Q$1,'Stock UST'!$1:$1,0)),P56,INDEX('Stock UST'!56:56,1,MATCH(Stock!Q$1,'Stock UST'!$1:$1,0))))</f>
        <v/>
      </c>
      <c r="R56" s="9" t="str">
        <f ca="1">IF(IF(ISERROR(MATCH(Stock!R$1,'Stock UST'!$1:$1,0)),Q56,INDEX('Stock UST'!56:56,1,MATCH(Stock!R$1,'Stock UST'!$1:$1,0)))=0,"",IF(ISERROR(MATCH(Stock!R$1,'Stock UST'!$1:$1,0)),Q56,INDEX('Stock UST'!56:56,1,MATCH(Stock!R$1,'Stock UST'!$1:$1,0))))</f>
        <v/>
      </c>
      <c r="S56" s="9" t="str">
        <f ca="1">IF(IF(ISERROR(MATCH(Stock!S$1,'Stock UST'!$1:$1,0)),R56,INDEX('Stock UST'!56:56,1,MATCH(Stock!S$1,'Stock UST'!$1:$1,0)))=0,"",IF(ISERROR(MATCH(Stock!S$1,'Stock UST'!$1:$1,0)),R56,INDEX('Stock UST'!56:56,1,MATCH(Stock!S$1,'Stock UST'!$1:$1,0))))</f>
        <v/>
      </c>
      <c r="T56" s="9" t="str">
        <f ca="1">IF(IF(ISERROR(MATCH(Stock!T$1,'Stock UST'!$1:$1,0)),S56,INDEX('Stock UST'!56:56,1,MATCH(Stock!T$1,'Stock UST'!$1:$1,0)))=0,"",IF(ISERROR(MATCH(Stock!T$1,'Stock UST'!$1:$1,0)),S56,INDEX('Stock UST'!56:56,1,MATCH(Stock!T$1,'Stock UST'!$1:$1,0))))</f>
        <v/>
      </c>
      <c r="U56" s="9" t="str">
        <f ca="1">IF(IF(ISERROR(MATCH(Stock!U$1,'Stock UST'!$1:$1,0)),T56,INDEX('Stock UST'!56:56,1,MATCH(Stock!U$1,'Stock UST'!$1:$1,0)))=0,"",IF(ISERROR(MATCH(Stock!U$1,'Stock UST'!$1:$1,0)),T56,INDEX('Stock UST'!56:56,1,MATCH(Stock!U$1,'Stock UST'!$1:$1,0))))</f>
        <v/>
      </c>
      <c r="V56" s="9" t="str">
        <f ca="1">IF(IF(ISERROR(MATCH(Stock!V$1,'Stock UST'!$1:$1,0)),U56,INDEX('Stock UST'!56:56,1,MATCH(Stock!V$1,'Stock UST'!$1:$1,0)))=0,"",IF(ISERROR(MATCH(Stock!V$1,'Stock UST'!$1:$1,0)),U56,INDEX('Stock UST'!56:56,1,MATCH(Stock!V$1,'Stock UST'!$1:$1,0))))</f>
        <v/>
      </c>
      <c r="W56" s="9" t="str">
        <f ca="1">IF(IF(ISERROR(MATCH(Stock!W$1,'Stock UST'!$1:$1,0)),V56,INDEX('Stock UST'!56:56,1,MATCH(Stock!W$1,'Stock UST'!$1:$1,0)))=0,"",IF(ISERROR(MATCH(Stock!W$1,'Stock UST'!$1:$1,0)),V56,INDEX('Stock UST'!56:56,1,MATCH(Stock!W$1,'Stock UST'!$1:$1,0))))</f>
        <v/>
      </c>
      <c r="X56" s="9" t="str">
        <f ca="1">IF(IF(ISERROR(MATCH(Stock!X$1,'Stock UST'!$1:$1,0)),W56,INDEX('Stock UST'!56:56,1,MATCH(Stock!X$1,'Stock UST'!$1:$1,0)))=0,"",IF(ISERROR(MATCH(Stock!X$1,'Stock UST'!$1:$1,0)),W56,INDEX('Stock UST'!56:56,1,MATCH(Stock!X$1,'Stock UST'!$1:$1,0))))</f>
        <v/>
      </c>
      <c r="Y56" s="9" t="str">
        <f ca="1">IF(IF(ISERROR(MATCH(Stock!Y$1,'Stock UST'!$1:$1,0)),X56,INDEX('Stock UST'!56:56,1,MATCH(Stock!Y$1,'Stock UST'!$1:$1,0)))=0,"",IF(ISERROR(MATCH(Stock!Y$1,'Stock UST'!$1:$1,0)),X56,INDEX('Stock UST'!56:56,1,MATCH(Stock!Y$1,'Stock UST'!$1:$1,0))))</f>
        <v/>
      </c>
      <c r="Z56" s="9" t="str">
        <f ca="1">IF(IF(ISERROR(MATCH(Stock!Z$1,'Stock UST'!$1:$1,0)),Y56,INDEX('Stock UST'!56:56,1,MATCH(Stock!Z$1,'Stock UST'!$1:$1,0)))=0,"",IF(ISERROR(MATCH(Stock!Z$1,'Stock UST'!$1:$1,0)),Y56,INDEX('Stock UST'!56:56,1,MATCH(Stock!Z$1,'Stock UST'!$1:$1,0))))</f>
        <v/>
      </c>
      <c r="AA56" s="9" t="str">
        <f ca="1">IF(IF(ISERROR(MATCH(Stock!AA$1,'Stock UST'!$1:$1,0)),Z56,INDEX('Stock UST'!56:56,1,MATCH(Stock!AA$1,'Stock UST'!$1:$1,0)))=0,"",IF(ISERROR(MATCH(Stock!AA$1,'Stock UST'!$1:$1,0)),Z56,INDEX('Stock UST'!56:56,1,MATCH(Stock!AA$1,'Stock UST'!$1:$1,0))))</f>
        <v/>
      </c>
      <c r="AB56" s="9" t="str">
        <f ca="1">IF(IF(ISERROR(MATCH(Stock!AB$1,'Stock UST'!$1:$1,0)),AA56,INDEX('Stock UST'!56:56,1,MATCH(Stock!AB$1,'Stock UST'!$1:$1,0)))=0,"",IF(ISERROR(MATCH(Stock!AB$1,'Stock UST'!$1:$1,0)),AA56,INDEX('Stock UST'!56:56,1,MATCH(Stock!AB$1,'Stock UST'!$1:$1,0))))</f>
        <v/>
      </c>
      <c r="AC56" s="9" t="str">
        <f ca="1">IF(IF(ISERROR(MATCH(Stock!AC$1,'Stock UST'!$1:$1,0)),AB56,INDEX('Stock UST'!56:56,1,MATCH(Stock!AC$1,'Stock UST'!$1:$1,0)))=0,"",IF(ISERROR(MATCH(Stock!AC$1,'Stock UST'!$1:$1,0)),AB56,INDEX('Stock UST'!56:56,1,MATCH(Stock!AC$1,'Stock UST'!$1:$1,0))))</f>
        <v/>
      </c>
      <c r="AD56" s="9" t="str">
        <f ca="1">IF(IF(ISERROR(MATCH(Stock!AD$1,'Stock UST'!$1:$1,0)),AC56,INDEX('Stock UST'!56:56,1,MATCH(Stock!AD$1,'Stock UST'!$1:$1,0)))=0,"",IF(ISERROR(MATCH(Stock!AD$1,'Stock UST'!$1:$1,0)),AC56,INDEX('Stock UST'!56:56,1,MATCH(Stock!AD$1,'Stock UST'!$1:$1,0))))</f>
        <v/>
      </c>
      <c r="AE56" s="9" t="str">
        <f ca="1">IF(IF(ISERROR(MATCH(Stock!AE$1,'Stock UST'!$1:$1,0)),AD56,INDEX('Stock UST'!56:56,1,MATCH(Stock!AE$1,'Stock UST'!$1:$1,0)))=0,"",IF(ISERROR(MATCH(Stock!AE$1,'Stock UST'!$1:$1,0)),AD56,INDEX('Stock UST'!56:56,1,MATCH(Stock!AE$1,'Stock UST'!$1:$1,0))))</f>
        <v/>
      </c>
      <c r="AF56" s="9" t="str">
        <f ca="1">IF(IF(ISERROR(MATCH(Stock!AF$1,'Stock UST'!$1:$1,0)),AE56,INDEX('Stock UST'!56:56,1,MATCH(Stock!AF$1,'Stock UST'!$1:$1,0)))=0,"",IF(ISERROR(MATCH(Stock!AF$1,'Stock UST'!$1:$1,0)),AE56,INDEX('Stock UST'!56:56,1,MATCH(Stock!AF$1,'Stock UST'!$1:$1,0))))</f>
        <v/>
      </c>
      <c r="AG56" s="9" t="str">
        <f ca="1">IF(IF(ISERROR(MATCH(Stock!AG$1,'Stock UST'!$1:$1,0)),AF56,INDEX('Stock UST'!56:56,1,MATCH(Stock!AG$1,'Stock UST'!$1:$1,0)))=0,"",IF(ISERROR(MATCH(Stock!AG$1,'Stock UST'!$1:$1,0)),AF56,INDEX('Stock UST'!56:56,1,MATCH(Stock!AG$1,'Stock UST'!$1:$1,0))))</f>
        <v/>
      </c>
      <c r="AH56" s="9" t="str">
        <f ca="1">IF(IF(ISERROR(MATCH(Stock!AH$1,'Stock UST'!$1:$1,0)),AG56,INDEX('Stock UST'!56:56,1,MATCH(Stock!AH$1,'Stock UST'!$1:$1,0)))=0,"",IF(ISERROR(MATCH(Stock!AH$1,'Stock UST'!$1:$1,0)),AG56,INDEX('Stock UST'!56:56,1,MATCH(Stock!AH$1,'Stock UST'!$1:$1,0))))</f>
        <v/>
      </c>
      <c r="AI56" s="9" t="str">
        <f ca="1">IF(IF(ISERROR(MATCH(Stock!AI$1,'Stock UST'!$1:$1,0)),AH56,INDEX('Stock UST'!56:56,1,MATCH(Stock!AI$1,'Stock UST'!$1:$1,0)))=0,"",IF(ISERROR(MATCH(Stock!AI$1,'Stock UST'!$1:$1,0)),AH56,INDEX('Stock UST'!56:56,1,MATCH(Stock!AI$1,'Stock UST'!$1:$1,0))))</f>
        <v/>
      </c>
      <c r="AJ56" s="9" t="str">
        <f ca="1">IF(IF(ISERROR(MATCH(Stock!AJ$1,'Stock UST'!$1:$1,0)),AI56,INDEX('Stock UST'!56:56,1,MATCH(Stock!AJ$1,'Stock UST'!$1:$1,0)))=0,"",IF(ISERROR(MATCH(Stock!AJ$1,'Stock UST'!$1:$1,0)),AI56,INDEX('Stock UST'!56:56,1,MATCH(Stock!AJ$1,'Stock UST'!$1:$1,0))))</f>
        <v/>
      </c>
      <c r="AK56" s="9" t="str">
        <f ca="1">IF(IF(ISERROR(MATCH(Stock!AK$1,'Stock UST'!$1:$1,0)),AJ56,INDEX('Stock UST'!56:56,1,MATCH(Stock!AK$1,'Stock UST'!$1:$1,0)))=0,"",IF(ISERROR(MATCH(Stock!AK$1,'Stock UST'!$1:$1,0)),AJ56,INDEX('Stock UST'!56:56,1,MATCH(Stock!AK$1,'Stock UST'!$1:$1,0))))</f>
        <v/>
      </c>
      <c r="AL56" s="9" t="str">
        <f ca="1">IF(IF(ISERROR(MATCH(Stock!AL$1,'Stock UST'!$1:$1,0)),AK56,INDEX('Stock UST'!56:56,1,MATCH(Stock!AL$1,'Stock UST'!$1:$1,0)))=0,"",IF(ISERROR(MATCH(Stock!AL$1,'Stock UST'!$1:$1,0)),AK56,INDEX('Stock UST'!56:56,1,MATCH(Stock!AL$1,'Stock UST'!$1:$1,0))))</f>
        <v/>
      </c>
      <c r="AM56" s="9" t="str">
        <f ca="1">IF(IF(ISERROR(MATCH(Stock!AM$1,'Stock UST'!$1:$1,0)),AL56,INDEX('Stock UST'!56:56,1,MATCH(Stock!AM$1,'Stock UST'!$1:$1,0)))=0,"",IF(ISERROR(MATCH(Stock!AM$1,'Stock UST'!$1:$1,0)),AL56,INDEX('Stock UST'!56:56,1,MATCH(Stock!AM$1,'Stock UST'!$1:$1,0))))</f>
        <v/>
      </c>
      <c r="AN56" s="9" t="str">
        <f ca="1">IF(IF(ISERROR(MATCH(Stock!AN$1,'Stock UST'!$1:$1,0)),AM56,INDEX('Stock UST'!56:56,1,MATCH(Stock!AN$1,'Stock UST'!$1:$1,0)))=0,"",IF(ISERROR(MATCH(Stock!AN$1,'Stock UST'!$1:$1,0)),AM56,INDEX('Stock UST'!56:56,1,MATCH(Stock!AN$1,'Stock UST'!$1:$1,0))))</f>
        <v/>
      </c>
      <c r="AO56" s="9" t="str">
        <f ca="1">IF(IF(ISERROR(MATCH(Stock!AO$1,'Stock UST'!$1:$1,0)),AN56,INDEX('Stock UST'!56:56,1,MATCH(Stock!AO$1,'Stock UST'!$1:$1,0)))=0,"",IF(ISERROR(MATCH(Stock!AO$1,'Stock UST'!$1:$1,0)),AN56,INDEX('Stock UST'!56:56,1,MATCH(Stock!AO$1,'Stock UST'!$1:$1,0))))</f>
        <v/>
      </c>
      <c r="AP56" s="9" t="str">
        <f ca="1">IF(IF(ISERROR(MATCH(Stock!AP$1,'Stock UST'!$1:$1,0)),AO56,INDEX('Stock UST'!56:56,1,MATCH(Stock!AP$1,'Stock UST'!$1:$1,0)))=0,"",IF(ISERROR(MATCH(Stock!AP$1,'Stock UST'!$1:$1,0)),AO56,INDEX('Stock UST'!56:56,1,MATCH(Stock!AP$1,'Stock UST'!$1:$1,0))))</f>
        <v/>
      </c>
      <c r="AQ56" s="9" t="str">
        <f ca="1">IF(IF(ISERROR(MATCH(Stock!AQ$1,'Stock UST'!$1:$1,0)),AP56,INDEX('Stock UST'!56:56,1,MATCH(Stock!AQ$1,'Stock UST'!$1:$1,0)))=0,"",IF(ISERROR(MATCH(Stock!AQ$1,'Stock UST'!$1:$1,0)),AP56,INDEX('Stock UST'!56:56,1,MATCH(Stock!AQ$1,'Stock UST'!$1:$1,0))))</f>
        <v/>
      </c>
      <c r="AR56" s="9" t="str">
        <f ca="1">IF(IF(ISERROR(MATCH(Stock!AR$1,'Stock UST'!$1:$1,0)),AQ56,INDEX('Stock UST'!56:56,1,MATCH(Stock!AR$1,'Stock UST'!$1:$1,0)))=0,"",IF(ISERROR(MATCH(Stock!AR$1,'Stock UST'!$1:$1,0)),AQ56,INDEX('Stock UST'!56:56,1,MATCH(Stock!AR$1,'Stock UST'!$1:$1,0))))</f>
        <v/>
      </c>
      <c r="AS56" s="9" t="str">
        <f ca="1">IF(IF(ISERROR(MATCH(Stock!AS$1,'Stock UST'!$1:$1,0)),AR56,INDEX('Stock UST'!56:56,1,MATCH(Stock!AS$1,'Stock UST'!$1:$1,0)))=0,"",IF(ISERROR(MATCH(Stock!AS$1,'Stock UST'!$1:$1,0)),AR56,INDEX('Stock UST'!56:56,1,MATCH(Stock!AS$1,'Stock UST'!$1:$1,0))))</f>
        <v/>
      </c>
      <c r="AT56" s="9" t="str">
        <f ca="1">IF(IF(ISERROR(MATCH(Stock!AT$1,'Stock UST'!$1:$1,0)),AS56,INDEX('Stock UST'!56:56,1,MATCH(Stock!AT$1,'Stock UST'!$1:$1,0)))=0,"",IF(ISERROR(MATCH(Stock!AT$1,'Stock UST'!$1:$1,0)),AS56,INDEX('Stock UST'!56:56,1,MATCH(Stock!AT$1,'Stock UST'!$1:$1,0))))</f>
        <v/>
      </c>
      <c r="AU56" s="9" t="str">
        <f ca="1">IF(IF(ISERROR(MATCH(Stock!AU$1,'Stock UST'!$1:$1,0)),AT56,INDEX('Stock UST'!56:56,1,MATCH(Stock!AU$1,'Stock UST'!$1:$1,0)))=0,"",IF(ISERROR(MATCH(Stock!AU$1,'Stock UST'!$1:$1,0)),AT56,INDEX('Stock UST'!56:56,1,MATCH(Stock!AU$1,'Stock UST'!$1:$1,0))))</f>
        <v/>
      </c>
      <c r="AV56" s="9" t="str">
        <f ca="1">IF(IF(ISERROR(MATCH(Stock!AV$1,'Stock UST'!$1:$1,0)),AU56,INDEX('Stock UST'!56:56,1,MATCH(Stock!AV$1,'Stock UST'!$1:$1,0)))=0,"",IF(ISERROR(MATCH(Stock!AV$1,'Stock UST'!$1:$1,0)),AU56,INDEX('Stock UST'!56:56,1,MATCH(Stock!AV$1,'Stock UST'!$1:$1,0))))</f>
        <v/>
      </c>
      <c r="AW56" s="9" t="str">
        <f ca="1">IF(IF(ISERROR(MATCH(Stock!AW$1,'Stock UST'!$1:$1,0)),AV56,INDEX('Stock UST'!56:56,1,MATCH(Stock!AW$1,'Stock UST'!$1:$1,0)))=0,"",IF(ISERROR(MATCH(Stock!AW$1,'Stock UST'!$1:$1,0)),AV56,INDEX('Stock UST'!56:56,1,MATCH(Stock!AW$1,'Stock UST'!$1:$1,0))))</f>
        <v/>
      </c>
      <c r="AX56" s="9" t="str">
        <f ca="1">IF(IF(ISERROR(MATCH(Stock!AX$1,'Stock UST'!$1:$1,0)),AW56,INDEX('Stock UST'!56:56,1,MATCH(Stock!AX$1,'Stock UST'!$1:$1,0)))=0,"",IF(ISERROR(MATCH(Stock!AX$1,'Stock UST'!$1:$1,0)),AW56,INDEX('Stock UST'!56:56,1,MATCH(Stock!AX$1,'Stock UST'!$1:$1,0))))</f>
        <v/>
      </c>
    </row>
    <row r="57" spans="1:50" x14ac:dyDescent="0.3">
      <c r="A57" s="9" t="str">
        <f>IF('Stock UST'!E57="","",'Stock UST'!E57)</f>
        <v/>
      </c>
      <c r="B57" s="9" t="str">
        <f>IF(IF(ISERROR(MATCH(Stock!B$1,'Stock UST'!$1:$1,0)),A57,INDEX('Stock UST'!57:57,1,MATCH(Stock!B$1,'Stock UST'!$1:$1,0)))=0,"",IF(ISERROR(MATCH(Stock!B$1,'Stock UST'!$1:$1,0)),A57,INDEX('Stock UST'!57:57,1,MATCH(Stock!B$1,'Stock UST'!$1:$1,0))))</f>
        <v/>
      </c>
      <c r="C57" s="9" t="str">
        <f ca="1">IF(IF(ISERROR(MATCH(Stock!C$1,'Stock UST'!$1:$1,0)),B57,INDEX('Stock UST'!57:57,1,MATCH(Stock!C$1,'Stock UST'!$1:$1,0)))=0,"",IF(ISERROR(MATCH(Stock!C$1,'Stock UST'!$1:$1,0)),B57,INDEX('Stock UST'!57:57,1,MATCH(Stock!C$1,'Stock UST'!$1:$1,0))))</f>
        <v/>
      </c>
      <c r="D57" s="9" t="str">
        <f ca="1">IF(IF(ISERROR(MATCH(Stock!D$1,'Stock UST'!$1:$1,0)),C57,INDEX('Stock UST'!57:57,1,MATCH(Stock!D$1,'Stock UST'!$1:$1,0)))=0,"",IF(ISERROR(MATCH(Stock!D$1,'Stock UST'!$1:$1,0)),C57,INDEX('Stock UST'!57:57,1,MATCH(Stock!D$1,'Stock UST'!$1:$1,0))))</f>
        <v/>
      </c>
      <c r="E57" s="9" t="str">
        <f ca="1">IF(IF(ISERROR(MATCH(Stock!E$1,'Stock UST'!$1:$1,0)),D57,INDEX('Stock UST'!57:57,1,MATCH(Stock!E$1,'Stock UST'!$1:$1,0)))=0,"",IF(ISERROR(MATCH(Stock!E$1,'Stock UST'!$1:$1,0)),D57,INDEX('Stock UST'!57:57,1,MATCH(Stock!E$1,'Stock UST'!$1:$1,0))))</f>
        <v/>
      </c>
      <c r="F57" s="9" t="str">
        <f ca="1">IF(IF(ISERROR(MATCH(Stock!F$1,'Stock UST'!$1:$1,0)),E57,INDEX('Stock UST'!57:57,1,MATCH(Stock!F$1,'Stock UST'!$1:$1,0)))=0,"",IF(ISERROR(MATCH(Stock!F$1,'Stock UST'!$1:$1,0)),E57,INDEX('Stock UST'!57:57,1,MATCH(Stock!F$1,'Stock UST'!$1:$1,0))))</f>
        <v/>
      </c>
      <c r="G57" s="9" t="str">
        <f ca="1">IF(IF(ISERROR(MATCH(Stock!G$1,'Stock UST'!$1:$1,0)),F57,INDEX('Stock UST'!57:57,1,MATCH(Stock!G$1,'Stock UST'!$1:$1,0)))=0,"",IF(ISERROR(MATCH(Stock!G$1,'Stock UST'!$1:$1,0)),F57,INDEX('Stock UST'!57:57,1,MATCH(Stock!G$1,'Stock UST'!$1:$1,0))))</f>
        <v/>
      </c>
      <c r="H57" s="9" t="str">
        <f ca="1">IF(IF(ISERROR(MATCH(Stock!H$1,'Stock UST'!$1:$1,0)),G57,INDEX('Stock UST'!57:57,1,MATCH(Stock!H$1,'Stock UST'!$1:$1,0)))=0,"",IF(ISERROR(MATCH(Stock!H$1,'Stock UST'!$1:$1,0)),G57,INDEX('Stock UST'!57:57,1,MATCH(Stock!H$1,'Stock UST'!$1:$1,0))))</f>
        <v/>
      </c>
      <c r="I57" s="9" t="str">
        <f ca="1">IF(IF(ISERROR(MATCH(Stock!I$1,'Stock UST'!$1:$1,0)),H57,INDEX('Stock UST'!57:57,1,MATCH(Stock!I$1,'Stock UST'!$1:$1,0)))=0,"",IF(ISERROR(MATCH(Stock!I$1,'Stock UST'!$1:$1,0)),H57,INDEX('Stock UST'!57:57,1,MATCH(Stock!I$1,'Stock UST'!$1:$1,0))))</f>
        <v/>
      </c>
      <c r="J57" s="9" t="str">
        <f ca="1">IF(IF(ISERROR(MATCH(Stock!J$1,'Stock UST'!$1:$1,0)),I57,INDEX('Stock UST'!57:57,1,MATCH(Stock!J$1,'Stock UST'!$1:$1,0)))=0,"",IF(ISERROR(MATCH(Stock!J$1,'Stock UST'!$1:$1,0)),I57,INDEX('Stock UST'!57:57,1,MATCH(Stock!J$1,'Stock UST'!$1:$1,0))))</f>
        <v/>
      </c>
      <c r="K57" s="9" t="str">
        <f ca="1">IF(IF(ISERROR(MATCH(Stock!K$1,'Stock UST'!$1:$1,0)),J57,INDEX('Stock UST'!57:57,1,MATCH(Stock!K$1,'Stock UST'!$1:$1,0)))=0,"",IF(ISERROR(MATCH(Stock!K$1,'Stock UST'!$1:$1,0)),J57,INDEX('Stock UST'!57:57,1,MATCH(Stock!K$1,'Stock UST'!$1:$1,0))))</f>
        <v/>
      </c>
      <c r="L57" s="9" t="str">
        <f ca="1">IF(IF(ISERROR(MATCH(Stock!L$1,'Stock UST'!$1:$1,0)),K57,INDEX('Stock UST'!57:57,1,MATCH(Stock!L$1,'Stock UST'!$1:$1,0)))=0,"",IF(ISERROR(MATCH(Stock!L$1,'Stock UST'!$1:$1,0)),K57,INDEX('Stock UST'!57:57,1,MATCH(Stock!L$1,'Stock UST'!$1:$1,0))))</f>
        <v/>
      </c>
      <c r="M57" s="9" t="str">
        <f ca="1">IF(IF(ISERROR(MATCH(Stock!M$1,'Stock UST'!$1:$1,0)),L57,INDEX('Stock UST'!57:57,1,MATCH(Stock!M$1,'Stock UST'!$1:$1,0)))=0,"",IF(ISERROR(MATCH(Stock!M$1,'Stock UST'!$1:$1,0)),L57,INDEX('Stock UST'!57:57,1,MATCH(Stock!M$1,'Stock UST'!$1:$1,0))))</f>
        <v/>
      </c>
      <c r="N57" s="9" t="str">
        <f ca="1">IF(IF(ISERROR(MATCH(Stock!N$1,'Stock UST'!$1:$1,0)),M57,INDEX('Stock UST'!57:57,1,MATCH(Stock!N$1,'Stock UST'!$1:$1,0)))=0,"",IF(ISERROR(MATCH(Stock!N$1,'Stock UST'!$1:$1,0)),M57,INDEX('Stock UST'!57:57,1,MATCH(Stock!N$1,'Stock UST'!$1:$1,0))))</f>
        <v/>
      </c>
      <c r="O57" s="9" t="str">
        <f ca="1">IF(IF(ISERROR(MATCH(Stock!O$1,'Stock UST'!$1:$1,0)),N57,INDEX('Stock UST'!57:57,1,MATCH(Stock!O$1,'Stock UST'!$1:$1,0)))=0,"",IF(ISERROR(MATCH(Stock!O$1,'Stock UST'!$1:$1,0)),N57,INDEX('Stock UST'!57:57,1,MATCH(Stock!O$1,'Stock UST'!$1:$1,0))))</f>
        <v/>
      </c>
      <c r="P57" s="9" t="str">
        <f ca="1">IF(IF(ISERROR(MATCH(Stock!P$1,'Stock UST'!$1:$1,0)),O57,INDEX('Stock UST'!57:57,1,MATCH(Stock!P$1,'Stock UST'!$1:$1,0)))=0,"",IF(ISERROR(MATCH(Stock!P$1,'Stock UST'!$1:$1,0)),O57,INDEX('Stock UST'!57:57,1,MATCH(Stock!P$1,'Stock UST'!$1:$1,0))))</f>
        <v/>
      </c>
      <c r="Q57" s="9" t="str">
        <f ca="1">IF(IF(ISERROR(MATCH(Stock!Q$1,'Stock UST'!$1:$1,0)),P57,INDEX('Stock UST'!57:57,1,MATCH(Stock!Q$1,'Stock UST'!$1:$1,0)))=0,"",IF(ISERROR(MATCH(Stock!Q$1,'Stock UST'!$1:$1,0)),P57,INDEX('Stock UST'!57:57,1,MATCH(Stock!Q$1,'Stock UST'!$1:$1,0))))</f>
        <v/>
      </c>
      <c r="R57" s="9" t="str">
        <f ca="1">IF(IF(ISERROR(MATCH(Stock!R$1,'Stock UST'!$1:$1,0)),Q57,INDEX('Stock UST'!57:57,1,MATCH(Stock!R$1,'Stock UST'!$1:$1,0)))=0,"",IF(ISERROR(MATCH(Stock!R$1,'Stock UST'!$1:$1,0)),Q57,INDEX('Stock UST'!57:57,1,MATCH(Stock!R$1,'Stock UST'!$1:$1,0))))</f>
        <v/>
      </c>
      <c r="S57" s="9" t="str">
        <f ca="1">IF(IF(ISERROR(MATCH(Stock!S$1,'Stock UST'!$1:$1,0)),R57,INDEX('Stock UST'!57:57,1,MATCH(Stock!S$1,'Stock UST'!$1:$1,0)))=0,"",IF(ISERROR(MATCH(Stock!S$1,'Stock UST'!$1:$1,0)),R57,INDEX('Stock UST'!57:57,1,MATCH(Stock!S$1,'Stock UST'!$1:$1,0))))</f>
        <v/>
      </c>
      <c r="T57" s="9" t="str">
        <f ca="1">IF(IF(ISERROR(MATCH(Stock!T$1,'Stock UST'!$1:$1,0)),S57,INDEX('Stock UST'!57:57,1,MATCH(Stock!T$1,'Stock UST'!$1:$1,0)))=0,"",IF(ISERROR(MATCH(Stock!T$1,'Stock UST'!$1:$1,0)),S57,INDEX('Stock UST'!57:57,1,MATCH(Stock!T$1,'Stock UST'!$1:$1,0))))</f>
        <v/>
      </c>
      <c r="U57" s="9" t="str">
        <f ca="1">IF(IF(ISERROR(MATCH(Stock!U$1,'Stock UST'!$1:$1,0)),T57,INDEX('Stock UST'!57:57,1,MATCH(Stock!U$1,'Stock UST'!$1:$1,0)))=0,"",IF(ISERROR(MATCH(Stock!U$1,'Stock UST'!$1:$1,0)),T57,INDEX('Stock UST'!57:57,1,MATCH(Stock!U$1,'Stock UST'!$1:$1,0))))</f>
        <v/>
      </c>
      <c r="V57" s="9" t="str">
        <f ca="1">IF(IF(ISERROR(MATCH(Stock!V$1,'Stock UST'!$1:$1,0)),U57,INDEX('Stock UST'!57:57,1,MATCH(Stock!V$1,'Stock UST'!$1:$1,0)))=0,"",IF(ISERROR(MATCH(Stock!V$1,'Stock UST'!$1:$1,0)),U57,INDEX('Stock UST'!57:57,1,MATCH(Stock!V$1,'Stock UST'!$1:$1,0))))</f>
        <v/>
      </c>
      <c r="W57" s="9" t="str">
        <f ca="1">IF(IF(ISERROR(MATCH(Stock!W$1,'Stock UST'!$1:$1,0)),V57,INDEX('Stock UST'!57:57,1,MATCH(Stock!W$1,'Stock UST'!$1:$1,0)))=0,"",IF(ISERROR(MATCH(Stock!W$1,'Stock UST'!$1:$1,0)),V57,INDEX('Stock UST'!57:57,1,MATCH(Stock!W$1,'Stock UST'!$1:$1,0))))</f>
        <v/>
      </c>
      <c r="X57" s="9" t="str">
        <f ca="1">IF(IF(ISERROR(MATCH(Stock!X$1,'Stock UST'!$1:$1,0)),W57,INDEX('Stock UST'!57:57,1,MATCH(Stock!X$1,'Stock UST'!$1:$1,0)))=0,"",IF(ISERROR(MATCH(Stock!X$1,'Stock UST'!$1:$1,0)),W57,INDEX('Stock UST'!57:57,1,MATCH(Stock!X$1,'Stock UST'!$1:$1,0))))</f>
        <v/>
      </c>
      <c r="Y57" s="9" t="str">
        <f ca="1">IF(IF(ISERROR(MATCH(Stock!Y$1,'Stock UST'!$1:$1,0)),X57,INDEX('Stock UST'!57:57,1,MATCH(Stock!Y$1,'Stock UST'!$1:$1,0)))=0,"",IF(ISERROR(MATCH(Stock!Y$1,'Stock UST'!$1:$1,0)),X57,INDEX('Stock UST'!57:57,1,MATCH(Stock!Y$1,'Stock UST'!$1:$1,0))))</f>
        <v/>
      </c>
      <c r="Z57" s="9" t="str">
        <f ca="1">IF(IF(ISERROR(MATCH(Stock!Z$1,'Stock UST'!$1:$1,0)),Y57,INDEX('Stock UST'!57:57,1,MATCH(Stock!Z$1,'Stock UST'!$1:$1,0)))=0,"",IF(ISERROR(MATCH(Stock!Z$1,'Stock UST'!$1:$1,0)),Y57,INDEX('Stock UST'!57:57,1,MATCH(Stock!Z$1,'Stock UST'!$1:$1,0))))</f>
        <v/>
      </c>
      <c r="AA57" s="9" t="str">
        <f ca="1">IF(IF(ISERROR(MATCH(Stock!AA$1,'Stock UST'!$1:$1,0)),Z57,INDEX('Stock UST'!57:57,1,MATCH(Stock!AA$1,'Stock UST'!$1:$1,0)))=0,"",IF(ISERROR(MATCH(Stock!AA$1,'Stock UST'!$1:$1,0)),Z57,INDEX('Stock UST'!57:57,1,MATCH(Stock!AA$1,'Stock UST'!$1:$1,0))))</f>
        <v/>
      </c>
      <c r="AB57" s="9" t="str">
        <f ca="1">IF(IF(ISERROR(MATCH(Stock!AB$1,'Stock UST'!$1:$1,0)),AA57,INDEX('Stock UST'!57:57,1,MATCH(Stock!AB$1,'Stock UST'!$1:$1,0)))=0,"",IF(ISERROR(MATCH(Stock!AB$1,'Stock UST'!$1:$1,0)),AA57,INDEX('Stock UST'!57:57,1,MATCH(Stock!AB$1,'Stock UST'!$1:$1,0))))</f>
        <v/>
      </c>
      <c r="AC57" s="9" t="str">
        <f ca="1">IF(IF(ISERROR(MATCH(Stock!AC$1,'Stock UST'!$1:$1,0)),AB57,INDEX('Stock UST'!57:57,1,MATCH(Stock!AC$1,'Stock UST'!$1:$1,0)))=0,"",IF(ISERROR(MATCH(Stock!AC$1,'Stock UST'!$1:$1,0)),AB57,INDEX('Stock UST'!57:57,1,MATCH(Stock!AC$1,'Stock UST'!$1:$1,0))))</f>
        <v/>
      </c>
      <c r="AD57" s="9" t="str">
        <f ca="1">IF(IF(ISERROR(MATCH(Stock!AD$1,'Stock UST'!$1:$1,0)),AC57,INDEX('Stock UST'!57:57,1,MATCH(Stock!AD$1,'Stock UST'!$1:$1,0)))=0,"",IF(ISERROR(MATCH(Stock!AD$1,'Stock UST'!$1:$1,0)),AC57,INDEX('Stock UST'!57:57,1,MATCH(Stock!AD$1,'Stock UST'!$1:$1,0))))</f>
        <v/>
      </c>
      <c r="AE57" s="9" t="str">
        <f ca="1">IF(IF(ISERROR(MATCH(Stock!AE$1,'Stock UST'!$1:$1,0)),AD57,INDEX('Stock UST'!57:57,1,MATCH(Stock!AE$1,'Stock UST'!$1:$1,0)))=0,"",IF(ISERROR(MATCH(Stock!AE$1,'Stock UST'!$1:$1,0)),AD57,INDEX('Stock UST'!57:57,1,MATCH(Stock!AE$1,'Stock UST'!$1:$1,0))))</f>
        <v/>
      </c>
      <c r="AF57" s="9" t="str">
        <f ca="1">IF(IF(ISERROR(MATCH(Stock!AF$1,'Stock UST'!$1:$1,0)),AE57,INDEX('Stock UST'!57:57,1,MATCH(Stock!AF$1,'Stock UST'!$1:$1,0)))=0,"",IF(ISERROR(MATCH(Stock!AF$1,'Stock UST'!$1:$1,0)),AE57,INDEX('Stock UST'!57:57,1,MATCH(Stock!AF$1,'Stock UST'!$1:$1,0))))</f>
        <v/>
      </c>
      <c r="AG57" s="9" t="str">
        <f ca="1">IF(IF(ISERROR(MATCH(Stock!AG$1,'Stock UST'!$1:$1,0)),AF57,INDEX('Stock UST'!57:57,1,MATCH(Stock!AG$1,'Stock UST'!$1:$1,0)))=0,"",IF(ISERROR(MATCH(Stock!AG$1,'Stock UST'!$1:$1,0)),AF57,INDEX('Stock UST'!57:57,1,MATCH(Stock!AG$1,'Stock UST'!$1:$1,0))))</f>
        <v/>
      </c>
      <c r="AH57" s="9" t="str">
        <f ca="1">IF(IF(ISERROR(MATCH(Stock!AH$1,'Stock UST'!$1:$1,0)),AG57,INDEX('Stock UST'!57:57,1,MATCH(Stock!AH$1,'Stock UST'!$1:$1,0)))=0,"",IF(ISERROR(MATCH(Stock!AH$1,'Stock UST'!$1:$1,0)),AG57,INDEX('Stock UST'!57:57,1,MATCH(Stock!AH$1,'Stock UST'!$1:$1,0))))</f>
        <v/>
      </c>
      <c r="AI57" s="9" t="str">
        <f ca="1">IF(IF(ISERROR(MATCH(Stock!AI$1,'Stock UST'!$1:$1,0)),AH57,INDEX('Stock UST'!57:57,1,MATCH(Stock!AI$1,'Stock UST'!$1:$1,0)))=0,"",IF(ISERROR(MATCH(Stock!AI$1,'Stock UST'!$1:$1,0)),AH57,INDEX('Stock UST'!57:57,1,MATCH(Stock!AI$1,'Stock UST'!$1:$1,0))))</f>
        <v/>
      </c>
      <c r="AJ57" s="9" t="str">
        <f ca="1">IF(IF(ISERROR(MATCH(Stock!AJ$1,'Stock UST'!$1:$1,0)),AI57,INDEX('Stock UST'!57:57,1,MATCH(Stock!AJ$1,'Stock UST'!$1:$1,0)))=0,"",IF(ISERROR(MATCH(Stock!AJ$1,'Stock UST'!$1:$1,0)),AI57,INDEX('Stock UST'!57:57,1,MATCH(Stock!AJ$1,'Stock UST'!$1:$1,0))))</f>
        <v/>
      </c>
      <c r="AK57" s="9" t="str">
        <f ca="1">IF(IF(ISERROR(MATCH(Stock!AK$1,'Stock UST'!$1:$1,0)),AJ57,INDEX('Stock UST'!57:57,1,MATCH(Stock!AK$1,'Stock UST'!$1:$1,0)))=0,"",IF(ISERROR(MATCH(Stock!AK$1,'Stock UST'!$1:$1,0)),AJ57,INDEX('Stock UST'!57:57,1,MATCH(Stock!AK$1,'Stock UST'!$1:$1,0))))</f>
        <v/>
      </c>
      <c r="AL57" s="9" t="str">
        <f ca="1">IF(IF(ISERROR(MATCH(Stock!AL$1,'Stock UST'!$1:$1,0)),AK57,INDEX('Stock UST'!57:57,1,MATCH(Stock!AL$1,'Stock UST'!$1:$1,0)))=0,"",IF(ISERROR(MATCH(Stock!AL$1,'Stock UST'!$1:$1,0)),AK57,INDEX('Stock UST'!57:57,1,MATCH(Stock!AL$1,'Stock UST'!$1:$1,0))))</f>
        <v/>
      </c>
      <c r="AM57" s="9" t="str">
        <f ca="1">IF(IF(ISERROR(MATCH(Stock!AM$1,'Stock UST'!$1:$1,0)),AL57,INDEX('Stock UST'!57:57,1,MATCH(Stock!AM$1,'Stock UST'!$1:$1,0)))=0,"",IF(ISERROR(MATCH(Stock!AM$1,'Stock UST'!$1:$1,0)),AL57,INDEX('Stock UST'!57:57,1,MATCH(Stock!AM$1,'Stock UST'!$1:$1,0))))</f>
        <v/>
      </c>
      <c r="AN57" s="9" t="str">
        <f ca="1">IF(IF(ISERROR(MATCH(Stock!AN$1,'Stock UST'!$1:$1,0)),AM57,INDEX('Stock UST'!57:57,1,MATCH(Stock!AN$1,'Stock UST'!$1:$1,0)))=0,"",IF(ISERROR(MATCH(Stock!AN$1,'Stock UST'!$1:$1,0)),AM57,INDEX('Stock UST'!57:57,1,MATCH(Stock!AN$1,'Stock UST'!$1:$1,0))))</f>
        <v/>
      </c>
      <c r="AO57" s="9" t="str">
        <f ca="1">IF(IF(ISERROR(MATCH(Stock!AO$1,'Stock UST'!$1:$1,0)),AN57,INDEX('Stock UST'!57:57,1,MATCH(Stock!AO$1,'Stock UST'!$1:$1,0)))=0,"",IF(ISERROR(MATCH(Stock!AO$1,'Stock UST'!$1:$1,0)),AN57,INDEX('Stock UST'!57:57,1,MATCH(Stock!AO$1,'Stock UST'!$1:$1,0))))</f>
        <v/>
      </c>
      <c r="AP57" s="9" t="str">
        <f ca="1">IF(IF(ISERROR(MATCH(Stock!AP$1,'Stock UST'!$1:$1,0)),AO57,INDEX('Stock UST'!57:57,1,MATCH(Stock!AP$1,'Stock UST'!$1:$1,0)))=0,"",IF(ISERROR(MATCH(Stock!AP$1,'Stock UST'!$1:$1,0)),AO57,INDEX('Stock UST'!57:57,1,MATCH(Stock!AP$1,'Stock UST'!$1:$1,0))))</f>
        <v/>
      </c>
      <c r="AQ57" s="9" t="str">
        <f ca="1">IF(IF(ISERROR(MATCH(Stock!AQ$1,'Stock UST'!$1:$1,0)),AP57,INDEX('Stock UST'!57:57,1,MATCH(Stock!AQ$1,'Stock UST'!$1:$1,0)))=0,"",IF(ISERROR(MATCH(Stock!AQ$1,'Stock UST'!$1:$1,0)),AP57,INDEX('Stock UST'!57:57,1,MATCH(Stock!AQ$1,'Stock UST'!$1:$1,0))))</f>
        <v/>
      </c>
      <c r="AR57" s="9" t="str">
        <f ca="1">IF(IF(ISERROR(MATCH(Stock!AR$1,'Stock UST'!$1:$1,0)),AQ57,INDEX('Stock UST'!57:57,1,MATCH(Stock!AR$1,'Stock UST'!$1:$1,0)))=0,"",IF(ISERROR(MATCH(Stock!AR$1,'Stock UST'!$1:$1,0)),AQ57,INDEX('Stock UST'!57:57,1,MATCH(Stock!AR$1,'Stock UST'!$1:$1,0))))</f>
        <v/>
      </c>
      <c r="AS57" s="9" t="str">
        <f ca="1">IF(IF(ISERROR(MATCH(Stock!AS$1,'Stock UST'!$1:$1,0)),AR57,INDEX('Stock UST'!57:57,1,MATCH(Stock!AS$1,'Stock UST'!$1:$1,0)))=0,"",IF(ISERROR(MATCH(Stock!AS$1,'Stock UST'!$1:$1,0)),AR57,INDEX('Stock UST'!57:57,1,MATCH(Stock!AS$1,'Stock UST'!$1:$1,0))))</f>
        <v/>
      </c>
      <c r="AT57" s="9" t="str">
        <f ca="1">IF(IF(ISERROR(MATCH(Stock!AT$1,'Stock UST'!$1:$1,0)),AS57,INDEX('Stock UST'!57:57,1,MATCH(Stock!AT$1,'Stock UST'!$1:$1,0)))=0,"",IF(ISERROR(MATCH(Stock!AT$1,'Stock UST'!$1:$1,0)),AS57,INDEX('Stock UST'!57:57,1,MATCH(Stock!AT$1,'Stock UST'!$1:$1,0))))</f>
        <v/>
      </c>
      <c r="AU57" s="9" t="str">
        <f ca="1">IF(IF(ISERROR(MATCH(Stock!AU$1,'Stock UST'!$1:$1,0)),AT57,INDEX('Stock UST'!57:57,1,MATCH(Stock!AU$1,'Stock UST'!$1:$1,0)))=0,"",IF(ISERROR(MATCH(Stock!AU$1,'Stock UST'!$1:$1,0)),AT57,INDEX('Stock UST'!57:57,1,MATCH(Stock!AU$1,'Stock UST'!$1:$1,0))))</f>
        <v/>
      </c>
      <c r="AV57" s="9" t="str">
        <f ca="1">IF(IF(ISERROR(MATCH(Stock!AV$1,'Stock UST'!$1:$1,0)),AU57,INDEX('Stock UST'!57:57,1,MATCH(Stock!AV$1,'Stock UST'!$1:$1,0)))=0,"",IF(ISERROR(MATCH(Stock!AV$1,'Stock UST'!$1:$1,0)),AU57,INDEX('Stock UST'!57:57,1,MATCH(Stock!AV$1,'Stock UST'!$1:$1,0))))</f>
        <v/>
      </c>
      <c r="AW57" s="9" t="str">
        <f ca="1">IF(IF(ISERROR(MATCH(Stock!AW$1,'Stock UST'!$1:$1,0)),AV57,INDEX('Stock UST'!57:57,1,MATCH(Stock!AW$1,'Stock UST'!$1:$1,0)))=0,"",IF(ISERROR(MATCH(Stock!AW$1,'Stock UST'!$1:$1,0)),AV57,INDEX('Stock UST'!57:57,1,MATCH(Stock!AW$1,'Stock UST'!$1:$1,0))))</f>
        <v/>
      </c>
      <c r="AX57" s="9" t="str">
        <f ca="1">IF(IF(ISERROR(MATCH(Stock!AX$1,'Stock UST'!$1:$1,0)),AW57,INDEX('Stock UST'!57:57,1,MATCH(Stock!AX$1,'Stock UST'!$1:$1,0)))=0,"",IF(ISERROR(MATCH(Stock!AX$1,'Stock UST'!$1:$1,0)),AW57,INDEX('Stock UST'!57:57,1,MATCH(Stock!AX$1,'Stock UST'!$1:$1,0))))</f>
        <v/>
      </c>
    </row>
    <row r="58" spans="1:50" x14ac:dyDescent="0.3">
      <c r="A58" s="9" t="str">
        <f>IF('Stock UST'!E58="","",'Stock UST'!E58)</f>
        <v/>
      </c>
      <c r="B58" s="9" t="str">
        <f>IF(IF(ISERROR(MATCH(Stock!B$1,'Stock UST'!$1:$1,0)),A58,INDEX('Stock UST'!58:58,1,MATCH(Stock!B$1,'Stock UST'!$1:$1,0)))=0,"",IF(ISERROR(MATCH(Stock!B$1,'Stock UST'!$1:$1,0)),A58,INDEX('Stock UST'!58:58,1,MATCH(Stock!B$1,'Stock UST'!$1:$1,0))))</f>
        <v/>
      </c>
      <c r="C58" s="9" t="str">
        <f ca="1">IF(IF(ISERROR(MATCH(Stock!C$1,'Stock UST'!$1:$1,0)),B58,INDEX('Stock UST'!58:58,1,MATCH(Stock!C$1,'Stock UST'!$1:$1,0)))=0,"",IF(ISERROR(MATCH(Stock!C$1,'Stock UST'!$1:$1,0)),B58,INDEX('Stock UST'!58:58,1,MATCH(Stock!C$1,'Stock UST'!$1:$1,0))))</f>
        <v/>
      </c>
      <c r="D58" s="9" t="str">
        <f ca="1">IF(IF(ISERROR(MATCH(Stock!D$1,'Stock UST'!$1:$1,0)),C58,INDEX('Stock UST'!58:58,1,MATCH(Stock!D$1,'Stock UST'!$1:$1,0)))=0,"",IF(ISERROR(MATCH(Stock!D$1,'Stock UST'!$1:$1,0)),C58,INDEX('Stock UST'!58:58,1,MATCH(Stock!D$1,'Stock UST'!$1:$1,0))))</f>
        <v/>
      </c>
      <c r="E58" s="9" t="str">
        <f ca="1">IF(IF(ISERROR(MATCH(Stock!E$1,'Stock UST'!$1:$1,0)),D58,INDEX('Stock UST'!58:58,1,MATCH(Stock!E$1,'Stock UST'!$1:$1,0)))=0,"",IF(ISERROR(MATCH(Stock!E$1,'Stock UST'!$1:$1,0)),D58,INDEX('Stock UST'!58:58,1,MATCH(Stock!E$1,'Stock UST'!$1:$1,0))))</f>
        <v/>
      </c>
      <c r="F58" s="9" t="str">
        <f ca="1">IF(IF(ISERROR(MATCH(Stock!F$1,'Stock UST'!$1:$1,0)),E58,INDEX('Stock UST'!58:58,1,MATCH(Stock!F$1,'Stock UST'!$1:$1,0)))=0,"",IF(ISERROR(MATCH(Stock!F$1,'Stock UST'!$1:$1,0)),E58,INDEX('Stock UST'!58:58,1,MATCH(Stock!F$1,'Stock UST'!$1:$1,0))))</f>
        <v/>
      </c>
      <c r="G58" s="9" t="str">
        <f ca="1">IF(IF(ISERROR(MATCH(Stock!G$1,'Stock UST'!$1:$1,0)),F58,INDEX('Stock UST'!58:58,1,MATCH(Stock!G$1,'Stock UST'!$1:$1,0)))=0,"",IF(ISERROR(MATCH(Stock!G$1,'Stock UST'!$1:$1,0)),F58,INDEX('Stock UST'!58:58,1,MATCH(Stock!G$1,'Stock UST'!$1:$1,0))))</f>
        <v/>
      </c>
      <c r="H58" s="9" t="str">
        <f ca="1">IF(IF(ISERROR(MATCH(Stock!H$1,'Stock UST'!$1:$1,0)),G58,INDEX('Stock UST'!58:58,1,MATCH(Stock!H$1,'Stock UST'!$1:$1,0)))=0,"",IF(ISERROR(MATCH(Stock!H$1,'Stock UST'!$1:$1,0)),G58,INDEX('Stock UST'!58:58,1,MATCH(Stock!H$1,'Stock UST'!$1:$1,0))))</f>
        <v/>
      </c>
      <c r="I58" s="9" t="str">
        <f ca="1">IF(IF(ISERROR(MATCH(Stock!I$1,'Stock UST'!$1:$1,0)),H58,INDEX('Stock UST'!58:58,1,MATCH(Stock!I$1,'Stock UST'!$1:$1,0)))=0,"",IF(ISERROR(MATCH(Stock!I$1,'Stock UST'!$1:$1,0)),H58,INDEX('Stock UST'!58:58,1,MATCH(Stock!I$1,'Stock UST'!$1:$1,0))))</f>
        <v/>
      </c>
      <c r="J58" s="9" t="str">
        <f ca="1">IF(IF(ISERROR(MATCH(Stock!J$1,'Stock UST'!$1:$1,0)),I58,INDEX('Stock UST'!58:58,1,MATCH(Stock!J$1,'Stock UST'!$1:$1,0)))=0,"",IF(ISERROR(MATCH(Stock!J$1,'Stock UST'!$1:$1,0)),I58,INDEX('Stock UST'!58:58,1,MATCH(Stock!J$1,'Stock UST'!$1:$1,0))))</f>
        <v/>
      </c>
      <c r="K58" s="9" t="str">
        <f ca="1">IF(IF(ISERROR(MATCH(Stock!K$1,'Stock UST'!$1:$1,0)),J58,INDEX('Stock UST'!58:58,1,MATCH(Stock!K$1,'Stock UST'!$1:$1,0)))=0,"",IF(ISERROR(MATCH(Stock!K$1,'Stock UST'!$1:$1,0)),J58,INDEX('Stock UST'!58:58,1,MATCH(Stock!K$1,'Stock UST'!$1:$1,0))))</f>
        <v/>
      </c>
      <c r="L58" s="9" t="str">
        <f ca="1">IF(IF(ISERROR(MATCH(Stock!L$1,'Stock UST'!$1:$1,0)),K58,INDEX('Stock UST'!58:58,1,MATCH(Stock!L$1,'Stock UST'!$1:$1,0)))=0,"",IF(ISERROR(MATCH(Stock!L$1,'Stock UST'!$1:$1,0)),K58,INDEX('Stock UST'!58:58,1,MATCH(Stock!L$1,'Stock UST'!$1:$1,0))))</f>
        <v/>
      </c>
      <c r="M58" s="9" t="str">
        <f ca="1">IF(IF(ISERROR(MATCH(Stock!M$1,'Stock UST'!$1:$1,0)),L58,INDEX('Stock UST'!58:58,1,MATCH(Stock!M$1,'Stock UST'!$1:$1,0)))=0,"",IF(ISERROR(MATCH(Stock!M$1,'Stock UST'!$1:$1,0)),L58,INDEX('Stock UST'!58:58,1,MATCH(Stock!M$1,'Stock UST'!$1:$1,0))))</f>
        <v/>
      </c>
      <c r="N58" s="9" t="str">
        <f ca="1">IF(IF(ISERROR(MATCH(Stock!N$1,'Stock UST'!$1:$1,0)),M58,INDEX('Stock UST'!58:58,1,MATCH(Stock!N$1,'Stock UST'!$1:$1,0)))=0,"",IF(ISERROR(MATCH(Stock!N$1,'Stock UST'!$1:$1,0)),M58,INDEX('Stock UST'!58:58,1,MATCH(Stock!N$1,'Stock UST'!$1:$1,0))))</f>
        <v/>
      </c>
      <c r="O58" s="9" t="str">
        <f ca="1">IF(IF(ISERROR(MATCH(Stock!O$1,'Stock UST'!$1:$1,0)),N58,INDEX('Stock UST'!58:58,1,MATCH(Stock!O$1,'Stock UST'!$1:$1,0)))=0,"",IF(ISERROR(MATCH(Stock!O$1,'Stock UST'!$1:$1,0)),N58,INDEX('Stock UST'!58:58,1,MATCH(Stock!O$1,'Stock UST'!$1:$1,0))))</f>
        <v/>
      </c>
      <c r="P58" s="9" t="str">
        <f ca="1">IF(IF(ISERROR(MATCH(Stock!P$1,'Stock UST'!$1:$1,0)),O58,INDEX('Stock UST'!58:58,1,MATCH(Stock!P$1,'Stock UST'!$1:$1,0)))=0,"",IF(ISERROR(MATCH(Stock!P$1,'Stock UST'!$1:$1,0)),O58,INDEX('Stock UST'!58:58,1,MATCH(Stock!P$1,'Stock UST'!$1:$1,0))))</f>
        <v/>
      </c>
      <c r="Q58" s="9" t="str">
        <f ca="1">IF(IF(ISERROR(MATCH(Stock!Q$1,'Stock UST'!$1:$1,0)),P58,INDEX('Stock UST'!58:58,1,MATCH(Stock!Q$1,'Stock UST'!$1:$1,0)))=0,"",IF(ISERROR(MATCH(Stock!Q$1,'Stock UST'!$1:$1,0)),P58,INDEX('Stock UST'!58:58,1,MATCH(Stock!Q$1,'Stock UST'!$1:$1,0))))</f>
        <v/>
      </c>
      <c r="R58" s="9" t="str">
        <f ca="1">IF(IF(ISERROR(MATCH(Stock!R$1,'Stock UST'!$1:$1,0)),Q58,INDEX('Stock UST'!58:58,1,MATCH(Stock!R$1,'Stock UST'!$1:$1,0)))=0,"",IF(ISERROR(MATCH(Stock!R$1,'Stock UST'!$1:$1,0)),Q58,INDEX('Stock UST'!58:58,1,MATCH(Stock!R$1,'Stock UST'!$1:$1,0))))</f>
        <v/>
      </c>
      <c r="S58" s="9" t="str">
        <f ca="1">IF(IF(ISERROR(MATCH(Stock!S$1,'Stock UST'!$1:$1,0)),R58,INDEX('Stock UST'!58:58,1,MATCH(Stock!S$1,'Stock UST'!$1:$1,0)))=0,"",IF(ISERROR(MATCH(Stock!S$1,'Stock UST'!$1:$1,0)),R58,INDEX('Stock UST'!58:58,1,MATCH(Stock!S$1,'Stock UST'!$1:$1,0))))</f>
        <v/>
      </c>
      <c r="T58" s="9" t="str">
        <f ca="1">IF(IF(ISERROR(MATCH(Stock!T$1,'Stock UST'!$1:$1,0)),S58,INDEX('Stock UST'!58:58,1,MATCH(Stock!T$1,'Stock UST'!$1:$1,0)))=0,"",IF(ISERROR(MATCH(Stock!T$1,'Stock UST'!$1:$1,0)),S58,INDEX('Stock UST'!58:58,1,MATCH(Stock!T$1,'Stock UST'!$1:$1,0))))</f>
        <v/>
      </c>
      <c r="U58" s="9" t="str">
        <f ca="1">IF(IF(ISERROR(MATCH(Stock!U$1,'Stock UST'!$1:$1,0)),T58,INDEX('Stock UST'!58:58,1,MATCH(Stock!U$1,'Stock UST'!$1:$1,0)))=0,"",IF(ISERROR(MATCH(Stock!U$1,'Stock UST'!$1:$1,0)),T58,INDEX('Stock UST'!58:58,1,MATCH(Stock!U$1,'Stock UST'!$1:$1,0))))</f>
        <v/>
      </c>
      <c r="V58" s="9" t="str">
        <f ca="1">IF(IF(ISERROR(MATCH(Stock!V$1,'Stock UST'!$1:$1,0)),U58,INDEX('Stock UST'!58:58,1,MATCH(Stock!V$1,'Stock UST'!$1:$1,0)))=0,"",IF(ISERROR(MATCH(Stock!V$1,'Stock UST'!$1:$1,0)),U58,INDEX('Stock UST'!58:58,1,MATCH(Stock!V$1,'Stock UST'!$1:$1,0))))</f>
        <v/>
      </c>
      <c r="W58" s="9" t="str">
        <f ca="1">IF(IF(ISERROR(MATCH(Stock!W$1,'Stock UST'!$1:$1,0)),V58,INDEX('Stock UST'!58:58,1,MATCH(Stock!W$1,'Stock UST'!$1:$1,0)))=0,"",IF(ISERROR(MATCH(Stock!W$1,'Stock UST'!$1:$1,0)),V58,INDEX('Stock UST'!58:58,1,MATCH(Stock!W$1,'Stock UST'!$1:$1,0))))</f>
        <v/>
      </c>
      <c r="X58" s="9" t="str">
        <f ca="1">IF(IF(ISERROR(MATCH(Stock!X$1,'Stock UST'!$1:$1,0)),W58,INDEX('Stock UST'!58:58,1,MATCH(Stock!X$1,'Stock UST'!$1:$1,0)))=0,"",IF(ISERROR(MATCH(Stock!X$1,'Stock UST'!$1:$1,0)),W58,INDEX('Stock UST'!58:58,1,MATCH(Stock!X$1,'Stock UST'!$1:$1,0))))</f>
        <v/>
      </c>
      <c r="Y58" s="9" t="str">
        <f ca="1">IF(IF(ISERROR(MATCH(Stock!Y$1,'Stock UST'!$1:$1,0)),X58,INDEX('Stock UST'!58:58,1,MATCH(Stock!Y$1,'Stock UST'!$1:$1,0)))=0,"",IF(ISERROR(MATCH(Stock!Y$1,'Stock UST'!$1:$1,0)),X58,INDEX('Stock UST'!58:58,1,MATCH(Stock!Y$1,'Stock UST'!$1:$1,0))))</f>
        <v/>
      </c>
      <c r="Z58" s="9" t="str">
        <f ca="1">IF(IF(ISERROR(MATCH(Stock!Z$1,'Stock UST'!$1:$1,0)),Y58,INDEX('Stock UST'!58:58,1,MATCH(Stock!Z$1,'Stock UST'!$1:$1,0)))=0,"",IF(ISERROR(MATCH(Stock!Z$1,'Stock UST'!$1:$1,0)),Y58,INDEX('Stock UST'!58:58,1,MATCH(Stock!Z$1,'Stock UST'!$1:$1,0))))</f>
        <v/>
      </c>
      <c r="AA58" s="9" t="str">
        <f ca="1">IF(IF(ISERROR(MATCH(Stock!AA$1,'Stock UST'!$1:$1,0)),Z58,INDEX('Stock UST'!58:58,1,MATCH(Stock!AA$1,'Stock UST'!$1:$1,0)))=0,"",IF(ISERROR(MATCH(Stock!AA$1,'Stock UST'!$1:$1,0)),Z58,INDEX('Stock UST'!58:58,1,MATCH(Stock!AA$1,'Stock UST'!$1:$1,0))))</f>
        <v/>
      </c>
      <c r="AB58" s="9" t="str">
        <f ca="1">IF(IF(ISERROR(MATCH(Stock!AB$1,'Stock UST'!$1:$1,0)),AA58,INDEX('Stock UST'!58:58,1,MATCH(Stock!AB$1,'Stock UST'!$1:$1,0)))=0,"",IF(ISERROR(MATCH(Stock!AB$1,'Stock UST'!$1:$1,0)),AA58,INDEX('Stock UST'!58:58,1,MATCH(Stock!AB$1,'Stock UST'!$1:$1,0))))</f>
        <v/>
      </c>
      <c r="AC58" s="9" t="str">
        <f ca="1">IF(IF(ISERROR(MATCH(Stock!AC$1,'Stock UST'!$1:$1,0)),AB58,INDEX('Stock UST'!58:58,1,MATCH(Stock!AC$1,'Stock UST'!$1:$1,0)))=0,"",IF(ISERROR(MATCH(Stock!AC$1,'Stock UST'!$1:$1,0)),AB58,INDEX('Stock UST'!58:58,1,MATCH(Stock!AC$1,'Stock UST'!$1:$1,0))))</f>
        <v/>
      </c>
      <c r="AD58" s="9" t="str">
        <f ca="1">IF(IF(ISERROR(MATCH(Stock!AD$1,'Stock UST'!$1:$1,0)),AC58,INDEX('Stock UST'!58:58,1,MATCH(Stock!AD$1,'Stock UST'!$1:$1,0)))=0,"",IF(ISERROR(MATCH(Stock!AD$1,'Stock UST'!$1:$1,0)),AC58,INDEX('Stock UST'!58:58,1,MATCH(Stock!AD$1,'Stock UST'!$1:$1,0))))</f>
        <v/>
      </c>
      <c r="AE58" s="9" t="str">
        <f ca="1">IF(IF(ISERROR(MATCH(Stock!AE$1,'Stock UST'!$1:$1,0)),AD58,INDEX('Stock UST'!58:58,1,MATCH(Stock!AE$1,'Stock UST'!$1:$1,0)))=0,"",IF(ISERROR(MATCH(Stock!AE$1,'Stock UST'!$1:$1,0)),AD58,INDEX('Stock UST'!58:58,1,MATCH(Stock!AE$1,'Stock UST'!$1:$1,0))))</f>
        <v/>
      </c>
      <c r="AF58" s="9" t="str">
        <f ca="1">IF(IF(ISERROR(MATCH(Stock!AF$1,'Stock UST'!$1:$1,0)),AE58,INDEX('Stock UST'!58:58,1,MATCH(Stock!AF$1,'Stock UST'!$1:$1,0)))=0,"",IF(ISERROR(MATCH(Stock!AF$1,'Stock UST'!$1:$1,0)),AE58,INDEX('Stock UST'!58:58,1,MATCH(Stock!AF$1,'Stock UST'!$1:$1,0))))</f>
        <v/>
      </c>
      <c r="AG58" s="9" t="str">
        <f ca="1">IF(IF(ISERROR(MATCH(Stock!AG$1,'Stock UST'!$1:$1,0)),AF58,INDEX('Stock UST'!58:58,1,MATCH(Stock!AG$1,'Stock UST'!$1:$1,0)))=0,"",IF(ISERROR(MATCH(Stock!AG$1,'Stock UST'!$1:$1,0)),AF58,INDEX('Stock UST'!58:58,1,MATCH(Stock!AG$1,'Stock UST'!$1:$1,0))))</f>
        <v/>
      </c>
      <c r="AH58" s="9" t="str">
        <f ca="1">IF(IF(ISERROR(MATCH(Stock!AH$1,'Stock UST'!$1:$1,0)),AG58,INDEX('Stock UST'!58:58,1,MATCH(Stock!AH$1,'Stock UST'!$1:$1,0)))=0,"",IF(ISERROR(MATCH(Stock!AH$1,'Stock UST'!$1:$1,0)),AG58,INDEX('Stock UST'!58:58,1,MATCH(Stock!AH$1,'Stock UST'!$1:$1,0))))</f>
        <v/>
      </c>
      <c r="AI58" s="9" t="str">
        <f ca="1">IF(IF(ISERROR(MATCH(Stock!AI$1,'Stock UST'!$1:$1,0)),AH58,INDEX('Stock UST'!58:58,1,MATCH(Stock!AI$1,'Stock UST'!$1:$1,0)))=0,"",IF(ISERROR(MATCH(Stock!AI$1,'Stock UST'!$1:$1,0)),AH58,INDEX('Stock UST'!58:58,1,MATCH(Stock!AI$1,'Stock UST'!$1:$1,0))))</f>
        <v/>
      </c>
      <c r="AJ58" s="9" t="str">
        <f ca="1">IF(IF(ISERROR(MATCH(Stock!AJ$1,'Stock UST'!$1:$1,0)),AI58,INDEX('Stock UST'!58:58,1,MATCH(Stock!AJ$1,'Stock UST'!$1:$1,0)))=0,"",IF(ISERROR(MATCH(Stock!AJ$1,'Stock UST'!$1:$1,0)),AI58,INDEX('Stock UST'!58:58,1,MATCH(Stock!AJ$1,'Stock UST'!$1:$1,0))))</f>
        <v/>
      </c>
      <c r="AK58" s="9" t="str">
        <f ca="1">IF(IF(ISERROR(MATCH(Stock!AK$1,'Stock UST'!$1:$1,0)),AJ58,INDEX('Stock UST'!58:58,1,MATCH(Stock!AK$1,'Stock UST'!$1:$1,0)))=0,"",IF(ISERROR(MATCH(Stock!AK$1,'Stock UST'!$1:$1,0)),AJ58,INDEX('Stock UST'!58:58,1,MATCH(Stock!AK$1,'Stock UST'!$1:$1,0))))</f>
        <v/>
      </c>
      <c r="AL58" s="9" t="str">
        <f ca="1">IF(IF(ISERROR(MATCH(Stock!AL$1,'Stock UST'!$1:$1,0)),AK58,INDEX('Stock UST'!58:58,1,MATCH(Stock!AL$1,'Stock UST'!$1:$1,0)))=0,"",IF(ISERROR(MATCH(Stock!AL$1,'Stock UST'!$1:$1,0)),AK58,INDEX('Stock UST'!58:58,1,MATCH(Stock!AL$1,'Stock UST'!$1:$1,0))))</f>
        <v/>
      </c>
      <c r="AM58" s="9" t="str">
        <f ca="1">IF(IF(ISERROR(MATCH(Stock!AM$1,'Stock UST'!$1:$1,0)),AL58,INDEX('Stock UST'!58:58,1,MATCH(Stock!AM$1,'Stock UST'!$1:$1,0)))=0,"",IF(ISERROR(MATCH(Stock!AM$1,'Stock UST'!$1:$1,0)),AL58,INDEX('Stock UST'!58:58,1,MATCH(Stock!AM$1,'Stock UST'!$1:$1,0))))</f>
        <v/>
      </c>
      <c r="AN58" s="9" t="str">
        <f ca="1">IF(IF(ISERROR(MATCH(Stock!AN$1,'Stock UST'!$1:$1,0)),AM58,INDEX('Stock UST'!58:58,1,MATCH(Stock!AN$1,'Stock UST'!$1:$1,0)))=0,"",IF(ISERROR(MATCH(Stock!AN$1,'Stock UST'!$1:$1,0)),AM58,INDEX('Stock UST'!58:58,1,MATCH(Stock!AN$1,'Stock UST'!$1:$1,0))))</f>
        <v/>
      </c>
      <c r="AO58" s="9" t="str">
        <f ca="1">IF(IF(ISERROR(MATCH(Stock!AO$1,'Stock UST'!$1:$1,0)),AN58,INDEX('Stock UST'!58:58,1,MATCH(Stock!AO$1,'Stock UST'!$1:$1,0)))=0,"",IF(ISERROR(MATCH(Stock!AO$1,'Stock UST'!$1:$1,0)),AN58,INDEX('Stock UST'!58:58,1,MATCH(Stock!AO$1,'Stock UST'!$1:$1,0))))</f>
        <v/>
      </c>
      <c r="AP58" s="9" t="str">
        <f ca="1">IF(IF(ISERROR(MATCH(Stock!AP$1,'Stock UST'!$1:$1,0)),AO58,INDEX('Stock UST'!58:58,1,MATCH(Stock!AP$1,'Stock UST'!$1:$1,0)))=0,"",IF(ISERROR(MATCH(Stock!AP$1,'Stock UST'!$1:$1,0)),AO58,INDEX('Stock UST'!58:58,1,MATCH(Stock!AP$1,'Stock UST'!$1:$1,0))))</f>
        <v/>
      </c>
      <c r="AQ58" s="9" t="str">
        <f ca="1">IF(IF(ISERROR(MATCH(Stock!AQ$1,'Stock UST'!$1:$1,0)),AP58,INDEX('Stock UST'!58:58,1,MATCH(Stock!AQ$1,'Stock UST'!$1:$1,0)))=0,"",IF(ISERROR(MATCH(Stock!AQ$1,'Stock UST'!$1:$1,0)),AP58,INDEX('Stock UST'!58:58,1,MATCH(Stock!AQ$1,'Stock UST'!$1:$1,0))))</f>
        <v/>
      </c>
      <c r="AR58" s="9" t="str">
        <f ca="1">IF(IF(ISERROR(MATCH(Stock!AR$1,'Stock UST'!$1:$1,0)),AQ58,INDEX('Stock UST'!58:58,1,MATCH(Stock!AR$1,'Stock UST'!$1:$1,0)))=0,"",IF(ISERROR(MATCH(Stock!AR$1,'Stock UST'!$1:$1,0)),AQ58,INDEX('Stock UST'!58:58,1,MATCH(Stock!AR$1,'Stock UST'!$1:$1,0))))</f>
        <v/>
      </c>
      <c r="AS58" s="9" t="str">
        <f ca="1">IF(IF(ISERROR(MATCH(Stock!AS$1,'Stock UST'!$1:$1,0)),AR58,INDEX('Stock UST'!58:58,1,MATCH(Stock!AS$1,'Stock UST'!$1:$1,0)))=0,"",IF(ISERROR(MATCH(Stock!AS$1,'Stock UST'!$1:$1,0)),AR58,INDEX('Stock UST'!58:58,1,MATCH(Stock!AS$1,'Stock UST'!$1:$1,0))))</f>
        <v/>
      </c>
      <c r="AT58" s="9" t="str">
        <f ca="1">IF(IF(ISERROR(MATCH(Stock!AT$1,'Stock UST'!$1:$1,0)),AS58,INDEX('Stock UST'!58:58,1,MATCH(Stock!AT$1,'Stock UST'!$1:$1,0)))=0,"",IF(ISERROR(MATCH(Stock!AT$1,'Stock UST'!$1:$1,0)),AS58,INDEX('Stock UST'!58:58,1,MATCH(Stock!AT$1,'Stock UST'!$1:$1,0))))</f>
        <v/>
      </c>
      <c r="AU58" s="9" t="str">
        <f ca="1">IF(IF(ISERROR(MATCH(Stock!AU$1,'Stock UST'!$1:$1,0)),AT58,INDEX('Stock UST'!58:58,1,MATCH(Stock!AU$1,'Stock UST'!$1:$1,0)))=0,"",IF(ISERROR(MATCH(Stock!AU$1,'Stock UST'!$1:$1,0)),AT58,INDEX('Stock UST'!58:58,1,MATCH(Stock!AU$1,'Stock UST'!$1:$1,0))))</f>
        <v/>
      </c>
      <c r="AV58" s="9" t="str">
        <f ca="1">IF(IF(ISERROR(MATCH(Stock!AV$1,'Stock UST'!$1:$1,0)),AU58,INDEX('Stock UST'!58:58,1,MATCH(Stock!AV$1,'Stock UST'!$1:$1,0)))=0,"",IF(ISERROR(MATCH(Stock!AV$1,'Stock UST'!$1:$1,0)),AU58,INDEX('Stock UST'!58:58,1,MATCH(Stock!AV$1,'Stock UST'!$1:$1,0))))</f>
        <v/>
      </c>
      <c r="AW58" s="9" t="str">
        <f ca="1">IF(IF(ISERROR(MATCH(Stock!AW$1,'Stock UST'!$1:$1,0)),AV58,INDEX('Stock UST'!58:58,1,MATCH(Stock!AW$1,'Stock UST'!$1:$1,0)))=0,"",IF(ISERROR(MATCH(Stock!AW$1,'Stock UST'!$1:$1,0)),AV58,INDEX('Stock UST'!58:58,1,MATCH(Stock!AW$1,'Stock UST'!$1:$1,0))))</f>
        <v/>
      </c>
      <c r="AX58" s="9" t="str">
        <f ca="1">IF(IF(ISERROR(MATCH(Stock!AX$1,'Stock UST'!$1:$1,0)),AW58,INDEX('Stock UST'!58:58,1,MATCH(Stock!AX$1,'Stock UST'!$1:$1,0)))=0,"",IF(ISERROR(MATCH(Stock!AX$1,'Stock UST'!$1:$1,0)),AW58,INDEX('Stock UST'!58:58,1,MATCH(Stock!AX$1,'Stock UST'!$1:$1,0))))</f>
        <v/>
      </c>
    </row>
    <row r="59" spans="1:50" x14ac:dyDescent="0.3">
      <c r="A59" s="9" t="str">
        <f>IF('Stock UST'!E59="","",'Stock UST'!E59)</f>
        <v/>
      </c>
      <c r="B59" s="9" t="str">
        <f>IF(IF(ISERROR(MATCH(Stock!B$1,'Stock UST'!$1:$1,0)),A59,INDEX('Stock UST'!59:59,1,MATCH(Stock!B$1,'Stock UST'!$1:$1,0)))=0,"",IF(ISERROR(MATCH(Stock!B$1,'Stock UST'!$1:$1,0)),A59,INDEX('Stock UST'!59:59,1,MATCH(Stock!B$1,'Stock UST'!$1:$1,0))))</f>
        <v/>
      </c>
      <c r="C59" s="9" t="str">
        <f ca="1">IF(IF(ISERROR(MATCH(Stock!C$1,'Stock UST'!$1:$1,0)),B59,INDEX('Stock UST'!59:59,1,MATCH(Stock!C$1,'Stock UST'!$1:$1,0)))=0,"",IF(ISERROR(MATCH(Stock!C$1,'Stock UST'!$1:$1,0)),B59,INDEX('Stock UST'!59:59,1,MATCH(Stock!C$1,'Stock UST'!$1:$1,0))))</f>
        <v/>
      </c>
      <c r="D59" s="9" t="str">
        <f ca="1">IF(IF(ISERROR(MATCH(Stock!D$1,'Stock UST'!$1:$1,0)),C59,INDEX('Stock UST'!59:59,1,MATCH(Stock!D$1,'Stock UST'!$1:$1,0)))=0,"",IF(ISERROR(MATCH(Stock!D$1,'Stock UST'!$1:$1,0)),C59,INDEX('Stock UST'!59:59,1,MATCH(Stock!D$1,'Stock UST'!$1:$1,0))))</f>
        <v/>
      </c>
      <c r="E59" s="9" t="str">
        <f ca="1">IF(IF(ISERROR(MATCH(Stock!E$1,'Stock UST'!$1:$1,0)),D59,INDEX('Stock UST'!59:59,1,MATCH(Stock!E$1,'Stock UST'!$1:$1,0)))=0,"",IF(ISERROR(MATCH(Stock!E$1,'Stock UST'!$1:$1,0)),D59,INDEX('Stock UST'!59:59,1,MATCH(Stock!E$1,'Stock UST'!$1:$1,0))))</f>
        <v/>
      </c>
      <c r="F59" s="9" t="str">
        <f ca="1">IF(IF(ISERROR(MATCH(Stock!F$1,'Stock UST'!$1:$1,0)),E59,INDEX('Stock UST'!59:59,1,MATCH(Stock!F$1,'Stock UST'!$1:$1,0)))=0,"",IF(ISERROR(MATCH(Stock!F$1,'Stock UST'!$1:$1,0)),E59,INDEX('Stock UST'!59:59,1,MATCH(Stock!F$1,'Stock UST'!$1:$1,0))))</f>
        <v/>
      </c>
      <c r="G59" s="9" t="str">
        <f ca="1">IF(IF(ISERROR(MATCH(Stock!G$1,'Stock UST'!$1:$1,0)),F59,INDEX('Stock UST'!59:59,1,MATCH(Stock!G$1,'Stock UST'!$1:$1,0)))=0,"",IF(ISERROR(MATCH(Stock!G$1,'Stock UST'!$1:$1,0)),F59,INDEX('Stock UST'!59:59,1,MATCH(Stock!G$1,'Stock UST'!$1:$1,0))))</f>
        <v/>
      </c>
      <c r="H59" s="9" t="str">
        <f ca="1">IF(IF(ISERROR(MATCH(Stock!H$1,'Stock UST'!$1:$1,0)),G59,INDEX('Stock UST'!59:59,1,MATCH(Stock!H$1,'Stock UST'!$1:$1,0)))=0,"",IF(ISERROR(MATCH(Stock!H$1,'Stock UST'!$1:$1,0)),G59,INDEX('Stock UST'!59:59,1,MATCH(Stock!H$1,'Stock UST'!$1:$1,0))))</f>
        <v/>
      </c>
      <c r="I59" s="9" t="str">
        <f ca="1">IF(IF(ISERROR(MATCH(Stock!I$1,'Stock UST'!$1:$1,0)),H59,INDEX('Stock UST'!59:59,1,MATCH(Stock!I$1,'Stock UST'!$1:$1,0)))=0,"",IF(ISERROR(MATCH(Stock!I$1,'Stock UST'!$1:$1,0)),H59,INDEX('Stock UST'!59:59,1,MATCH(Stock!I$1,'Stock UST'!$1:$1,0))))</f>
        <v/>
      </c>
      <c r="J59" s="9" t="str">
        <f ca="1">IF(IF(ISERROR(MATCH(Stock!J$1,'Stock UST'!$1:$1,0)),I59,INDEX('Stock UST'!59:59,1,MATCH(Stock!J$1,'Stock UST'!$1:$1,0)))=0,"",IF(ISERROR(MATCH(Stock!J$1,'Stock UST'!$1:$1,0)),I59,INDEX('Stock UST'!59:59,1,MATCH(Stock!J$1,'Stock UST'!$1:$1,0))))</f>
        <v/>
      </c>
      <c r="K59" s="9" t="str">
        <f ca="1">IF(IF(ISERROR(MATCH(Stock!K$1,'Stock UST'!$1:$1,0)),J59,INDEX('Stock UST'!59:59,1,MATCH(Stock!K$1,'Stock UST'!$1:$1,0)))=0,"",IF(ISERROR(MATCH(Stock!K$1,'Stock UST'!$1:$1,0)),J59,INDEX('Stock UST'!59:59,1,MATCH(Stock!K$1,'Stock UST'!$1:$1,0))))</f>
        <v/>
      </c>
      <c r="L59" s="9" t="str">
        <f ca="1">IF(IF(ISERROR(MATCH(Stock!L$1,'Stock UST'!$1:$1,0)),K59,INDEX('Stock UST'!59:59,1,MATCH(Stock!L$1,'Stock UST'!$1:$1,0)))=0,"",IF(ISERROR(MATCH(Stock!L$1,'Stock UST'!$1:$1,0)),K59,INDEX('Stock UST'!59:59,1,MATCH(Stock!L$1,'Stock UST'!$1:$1,0))))</f>
        <v/>
      </c>
      <c r="M59" s="9" t="str">
        <f ca="1">IF(IF(ISERROR(MATCH(Stock!M$1,'Stock UST'!$1:$1,0)),L59,INDEX('Stock UST'!59:59,1,MATCH(Stock!M$1,'Stock UST'!$1:$1,0)))=0,"",IF(ISERROR(MATCH(Stock!M$1,'Stock UST'!$1:$1,0)),L59,INDEX('Stock UST'!59:59,1,MATCH(Stock!M$1,'Stock UST'!$1:$1,0))))</f>
        <v/>
      </c>
      <c r="N59" s="9" t="str">
        <f ca="1">IF(IF(ISERROR(MATCH(Stock!N$1,'Stock UST'!$1:$1,0)),M59,INDEX('Stock UST'!59:59,1,MATCH(Stock!N$1,'Stock UST'!$1:$1,0)))=0,"",IF(ISERROR(MATCH(Stock!N$1,'Stock UST'!$1:$1,0)),M59,INDEX('Stock UST'!59:59,1,MATCH(Stock!N$1,'Stock UST'!$1:$1,0))))</f>
        <v/>
      </c>
      <c r="O59" s="9" t="str">
        <f ca="1">IF(IF(ISERROR(MATCH(Stock!O$1,'Stock UST'!$1:$1,0)),N59,INDEX('Stock UST'!59:59,1,MATCH(Stock!O$1,'Stock UST'!$1:$1,0)))=0,"",IF(ISERROR(MATCH(Stock!O$1,'Stock UST'!$1:$1,0)),N59,INDEX('Stock UST'!59:59,1,MATCH(Stock!O$1,'Stock UST'!$1:$1,0))))</f>
        <v/>
      </c>
      <c r="P59" s="9" t="str">
        <f ca="1">IF(IF(ISERROR(MATCH(Stock!P$1,'Stock UST'!$1:$1,0)),O59,INDEX('Stock UST'!59:59,1,MATCH(Stock!P$1,'Stock UST'!$1:$1,0)))=0,"",IF(ISERROR(MATCH(Stock!P$1,'Stock UST'!$1:$1,0)),O59,INDEX('Stock UST'!59:59,1,MATCH(Stock!P$1,'Stock UST'!$1:$1,0))))</f>
        <v/>
      </c>
      <c r="Q59" s="9" t="str">
        <f ca="1">IF(IF(ISERROR(MATCH(Stock!Q$1,'Stock UST'!$1:$1,0)),P59,INDEX('Stock UST'!59:59,1,MATCH(Stock!Q$1,'Stock UST'!$1:$1,0)))=0,"",IF(ISERROR(MATCH(Stock!Q$1,'Stock UST'!$1:$1,0)),P59,INDEX('Stock UST'!59:59,1,MATCH(Stock!Q$1,'Stock UST'!$1:$1,0))))</f>
        <v/>
      </c>
      <c r="R59" s="9" t="str">
        <f ca="1">IF(IF(ISERROR(MATCH(Stock!R$1,'Stock UST'!$1:$1,0)),Q59,INDEX('Stock UST'!59:59,1,MATCH(Stock!R$1,'Stock UST'!$1:$1,0)))=0,"",IF(ISERROR(MATCH(Stock!R$1,'Stock UST'!$1:$1,0)),Q59,INDEX('Stock UST'!59:59,1,MATCH(Stock!R$1,'Stock UST'!$1:$1,0))))</f>
        <v/>
      </c>
      <c r="S59" s="9" t="str">
        <f ca="1">IF(IF(ISERROR(MATCH(Stock!S$1,'Stock UST'!$1:$1,0)),R59,INDEX('Stock UST'!59:59,1,MATCH(Stock!S$1,'Stock UST'!$1:$1,0)))=0,"",IF(ISERROR(MATCH(Stock!S$1,'Stock UST'!$1:$1,0)),R59,INDEX('Stock UST'!59:59,1,MATCH(Stock!S$1,'Stock UST'!$1:$1,0))))</f>
        <v/>
      </c>
      <c r="T59" s="9" t="str">
        <f ca="1">IF(IF(ISERROR(MATCH(Stock!T$1,'Stock UST'!$1:$1,0)),S59,INDEX('Stock UST'!59:59,1,MATCH(Stock!T$1,'Stock UST'!$1:$1,0)))=0,"",IF(ISERROR(MATCH(Stock!T$1,'Stock UST'!$1:$1,0)),S59,INDEX('Stock UST'!59:59,1,MATCH(Stock!T$1,'Stock UST'!$1:$1,0))))</f>
        <v/>
      </c>
      <c r="U59" s="9" t="str">
        <f ca="1">IF(IF(ISERROR(MATCH(Stock!U$1,'Stock UST'!$1:$1,0)),T59,INDEX('Stock UST'!59:59,1,MATCH(Stock!U$1,'Stock UST'!$1:$1,0)))=0,"",IF(ISERROR(MATCH(Stock!U$1,'Stock UST'!$1:$1,0)),T59,INDEX('Stock UST'!59:59,1,MATCH(Stock!U$1,'Stock UST'!$1:$1,0))))</f>
        <v/>
      </c>
      <c r="V59" s="9" t="str">
        <f ca="1">IF(IF(ISERROR(MATCH(Stock!V$1,'Stock UST'!$1:$1,0)),U59,INDEX('Stock UST'!59:59,1,MATCH(Stock!V$1,'Stock UST'!$1:$1,0)))=0,"",IF(ISERROR(MATCH(Stock!V$1,'Stock UST'!$1:$1,0)),U59,INDEX('Stock UST'!59:59,1,MATCH(Stock!V$1,'Stock UST'!$1:$1,0))))</f>
        <v/>
      </c>
      <c r="W59" s="9" t="str">
        <f ca="1">IF(IF(ISERROR(MATCH(Stock!W$1,'Stock UST'!$1:$1,0)),V59,INDEX('Stock UST'!59:59,1,MATCH(Stock!W$1,'Stock UST'!$1:$1,0)))=0,"",IF(ISERROR(MATCH(Stock!W$1,'Stock UST'!$1:$1,0)),V59,INDEX('Stock UST'!59:59,1,MATCH(Stock!W$1,'Stock UST'!$1:$1,0))))</f>
        <v/>
      </c>
      <c r="X59" s="9" t="str">
        <f ca="1">IF(IF(ISERROR(MATCH(Stock!X$1,'Stock UST'!$1:$1,0)),W59,INDEX('Stock UST'!59:59,1,MATCH(Stock!X$1,'Stock UST'!$1:$1,0)))=0,"",IF(ISERROR(MATCH(Stock!X$1,'Stock UST'!$1:$1,0)),W59,INDEX('Stock UST'!59:59,1,MATCH(Stock!X$1,'Stock UST'!$1:$1,0))))</f>
        <v/>
      </c>
      <c r="Y59" s="9" t="str">
        <f ca="1">IF(IF(ISERROR(MATCH(Stock!Y$1,'Stock UST'!$1:$1,0)),X59,INDEX('Stock UST'!59:59,1,MATCH(Stock!Y$1,'Stock UST'!$1:$1,0)))=0,"",IF(ISERROR(MATCH(Stock!Y$1,'Stock UST'!$1:$1,0)),X59,INDEX('Stock UST'!59:59,1,MATCH(Stock!Y$1,'Stock UST'!$1:$1,0))))</f>
        <v/>
      </c>
      <c r="Z59" s="9" t="str">
        <f ca="1">IF(IF(ISERROR(MATCH(Stock!Z$1,'Stock UST'!$1:$1,0)),Y59,INDEX('Stock UST'!59:59,1,MATCH(Stock!Z$1,'Stock UST'!$1:$1,0)))=0,"",IF(ISERROR(MATCH(Stock!Z$1,'Stock UST'!$1:$1,0)),Y59,INDEX('Stock UST'!59:59,1,MATCH(Stock!Z$1,'Stock UST'!$1:$1,0))))</f>
        <v/>
      </c>
      <c r="AA59" s="9" t="str">
        <f ca="1">IF(IF(ISERROR(MATCH(Stock!AA$1,'Stock UST'!$1:$1,0)),Z59,INDEX('Stock UST'!59:59,1,MATCH(Stock!AA$1,'Stock UST'!$1:$1,0)))=0,"",IF(ISERROR(MATCH(Stock!AA$1,'Stock UST'!$1:$1,0)),Z59,INDEX('Stock UST'!59:59,1,MATCH(Stock!AA$1,'Stock UST'!$1:$1,0))))</f>
        <v/>
      </c>
      <c r="AB59" s="9" t="str">
        <f ca="1">IF(IF(ISERROR(MATCH(Stock!AB$1,'Stock UST'!$1:$1,0)),AA59,INDEX('Stock UST'!59:59,1,MATCH(Stock!AB$1,'Stock UST'!$1:$1,0)))=0,"",IF(ISERROR(MATCH(Stock!AB$1,'Stock UST'!$1:$1,0)),AA59,INDEX('Stock UST'!59:59,1,MATCH(Stock!AB$1,'Stock UST'!$1:$1,0))))</f>
        <v/>
      </c>
      <c r="AC59" s="9" t="str">
        <f ca="1">IF(IF(ISERROR(MATCH(Stock!AC$1,'Stock UST'!$1:$1,0)),AB59,INDEX('Stock UST'!59:59,1,MATCH(Stock!AC$1,'Stock UST'!$1:$1,0)))=0,"",IF(ISERROR(MATCH(Stock!AC$1,'Stock UST'!$1:$1,0)),AB59,INDEX('Stock UST'!59:59,1,MATCH(Stock!AC$1,'Stock UST'!$1:$1,0))))</f>
        <v/>
      </c>
      <c r="AD59" s="9" t="str">
        <f ca="1">IF(IF(ISERROR(MATCH(Stock!AD$1,'Stock UST'!$1:$1,0)),AC59,INDEX('Stock UST'!59:59,1,MATCH(Stock!AD$1,'Stock UST'!$1:$1,0)))=0,"",IF(ISERROR(MATCH(Stock!AD$1,'Stock UST'!$1:$1,0)),AC59,INDEX('Stock UST'!59:59,1,MATCH(Stock!AD$1,'Stock UST'!$1:$1,0))))</f>
        <v/>
      </c>
      <c r="AE59" s="9" t="str">
        <f ca="1">IF(IF(ISERROR(MATCH(Stock!AE$1,'Stock UST'!$1:$1,0)),AD59,INDEX('Stock UST'!59:59,1,MATCH(Stock!AE$1,'Stock UST'!$1:$1,0)))=0,"",IF(ISERROR(MATCH(Stock!AE$1,'Stock UST'!$1:$1,0)),AD59,INDEX('Stock UST'!59:59,1,MATCH(Stock!AE$1,'Stock UST'!$1:$1,0))))</f>
        <v/>
      </c>
      <c r="AF59" s="9" t="str">
        <f ca="1">IF(IF(ISERROR(MATCH(Stock!AF$1,'Stock UST'!$1:$1,0)),AE59,INDEX('Stock UST'!59:59,1,MATCH(Stock!AF$1,'Stock UST'!$1:$1,0)))=0,"",IF(ISERROR(MATCH(Stock!AF$1,'Stock UST'!$1:$1,0)),AE59,INDEX('Stock UST'!59:59,1,MATCH(Stock!AF$1,'Stock UST'!$1:$1,0))))</f>
        <v/>
      </c>
      <c r="AG59" s="9" t="str">
        <f ca="1">IF(IF(ISERROR(MATCH(Stock!AG$1,'Stock UST'!$1:$1,0)),AF59,INDEX('Stock UST'!59:59,1,MATCH(Stock!AG$1,'Stock UST'!$1:$1,0)))=0,"",IF(ISERROR(MATCH(Stock!AG$1,'Stock UST'!$1:$1,0)),AF59,INDEX('Stock UST'!59:59,1,MATCH(Stock!AG$1,'Stock UST'!$1:$1,0))))</f>
        <v/>
      </c>
      <c r="AH59" s="9" t="str">
        <f ca="1">IF(IF(ISERROR(MATCH(Stock!AH$1,'Stock UST'!$1:$1,0)),AG59,INDEX('Stock UST'!59:59,1,MATCH(Stock!AH$1,'Stock UST'!$1:$1,0)))=0,"",IF(ISERROR(MATCH(Stock!AH$1,'Stock UST'!$1:$1,0)),AG59,INDEX('Stock UST'!59:59,1,MATCH(Stock!AH$1,'Stock UST'!$1:$1,0))))</f>
        <v/>
      </c>
      <c r="AI59" s="9" t="str">
        <f ca="1">IF(IF(ISERROR(MATCH(Stock!AI$1,'Stock UST'!$1:$1,0)),AH59,INDEX('Stock UST'!59:59,1,MATCH(Stock!AI$1,'Stock UST'!$1:$1,0)))=0,"",IF(ISERROR(MATCH(Stock!AI$1,'Stock UST'!$1:$1,0)),AH59,INDEX('Stock UST'!59:59,1,MATCH(Stock!AI$1,'Stock UST'!$1:$1,0))))</f>
        <v/>
      </c>
      <c r="AJ59" s="9" t="str">
        <f ca="1">IF(IF(ISERROR(MATCH(Stock!AJ$1,'Stock UST'!$1:$1,0)),AI59,INDEX('Stock UST'!59:59,1,MATCH(Stock!AJ$1,'Stock UST'!$1:$1,0)))=0,"",IF(ISERROR(MATCH(Stock!AJ$1,'Stock UST'!$1:$1,0)),AI59,INDEX('Stock UST'!59:59,1,MATCH(Stock!AJ$1,'Stock UST'!$1:$1,0))))</f>
        <v/>
      </c>
      <c r="AK59" s="9" t="str">
        <f ca="1">IF(IF(ISERROR(MATCH(Stock!AK$1,'Stock UST'!$1:$1,0)),AJ59,INDEX('Stock UST'!59:59,1,MATCH(Stock!AK$1,'Stock UST'!$1:$1,0)))=0,"",IF(ISERROR(MATCH(Stock!AK$1,'Stock UST'!$1:$1,0)),AJ59,INDEX('Stock UST'!59:59,1,MATCH(Stock!AK$1,'Stock UST'!$1:$1,0))))</f>
        <v/>
      </c>
      <c r="AL59" s="9" t="str">
        <f ca="1">IF(IF(ISERROR(MATCH(Stock!AL$1,'Stock UST'!$1:$1,0)),AK59,INDEX('Stock UST'!59:59,1,MATCH(Stock!AL$1,'Stock UST'!$1:$1,0)))=0,"",IF(ISERROR(MATCH(Stock!AL$1,'Stock UST'!$1:$1,0)),AK59,INDEX('Stock UST'!59:59,1,MATCH(Stock!AL$1,'Stock UST'!$1:$1,0))))</f>
        <v/>
      </c>
      <c r="AM59" s="9" t="str">
        <f ca="1">IF(IF(ISERROR(MATCH(Stock!AM$1,'Stock UST'!$1:$1,0)),AL59,INDEX('Stock UST'!59:59,1,MATCH(Stock!AM$1,'Stock UST'!$1:$1,0)))=0,"",IF(ISERROR(MATCH(Stock!AM$1,'Stock UST'!$1:$1,0)),AL59,INDEX('Stock UST'!59:59,1,MATCH(Stock!AM$1,'Stock UST'!$1:$1,0))))</f>
        <v/>
      </c>
      <c r="AN59" s="9" t="str">
        <f ca="1">IF(IF(ISERROR(MATCH(Stock!AN$1,'Stock UST'!$1:$1,0)),AM59,INDEX('Stock UST'!59:59,1,MATCH(Stock!AN$1,'Stock UST'!$1:$1,0)))=0,"",IF(ISERROR(MATCH(Stock!AN$1,'Stock UST'!$1:$1,0)),AM59,INDEX('Stock UST'!59:59,1,MATCH(Stock!AN$1,'Stock UST'!$1:$1,0))))</f>
        <v/>
      </c>
      <c r="AO59" s="9" t="str">
        <f ca="1">IF(IF(ISERROR(MATCH(Stock!AO$1,'Stock UST'!$1:$1,0)),AN59,INDEX('Stock UST'!59:59,1,MATCH(Stock!AO$1,'Stock UST'!$1:$1,0)))=0,"",IF(ISERROR(MATCH(Stock!AO$1,'Stock UST'!$1:$1,0)),AN59,INDEX('Stock UST'!59:59,1,MATCH(Stock!AO$1,'Stock UST'!$1:$1,0))))</f>
        <v/>
      </c>
      <c r="AP59" s="9" t="str">
        <f ca="1">IF(IF(ISERROR(MATCH(Stock!AP$1,'Stock UST'!$1:$1,0)),AO59,INDEX('Stock UST'!59:59,1,MATCH(Stock!AP$1,'Stock UST'!$1:$1,0)))=0,"",IF(ISERROR(MATCH(Stock!AP$1,'Stock UST'!$1:$1,0)),AO59,INDEX('Stock UST'!59:59,1,MATCH(Stock!AP$1,'Stock UST'!$1:$1,0))))</f>
        <v/>
      </c>
      <c r="AQ59" s="9" t="str">
        <f ca="1">IF(IF(ISERROR(MATCH(Stock!AQ$1,'Stock UST'!$1:$1,0)),AP59,INDEX('Stock UST'!59:59,1,MATCH(Stock!AQ$1,'Stock UST'!$1:$1,0)))=0,"",IF(ISERROR(MATCH(Stock!AQ$1,'Stock UST'!$1:$1,0)),AP59,INDEX('Stock UST'!59:59,1,MATCH(Stock!AQ$1,'Stock UST'!$1:$1,0))))</f>
        <v/>
      </c>
      <c r="AR59" s="9" t="str">
        <f ca="1">IF(IF(ISERROR(MATCH(Stock!AR$1,'Stock UST'!$1:$1,0)),AQ59,INDEX('Stock UST'!59:59,1,MATCH(Stock!AR$1,'Stock UST'!$1:$1,0)))=0,"",IF(ISERROR(MATCH(Stock!AR$1,'Stock UST'!$1:$1,0)),AQ59,INDEX('Stock UST'!59:59,1,MATCH(Stock!AR$1,'Stock UST'!$1:$1,0))))</f>
        <v/>
      </c>
      <c r="AS59" s="9" t="str">
        <f ca="1">IF(IF(ISERROR(MATCH(Stock!AS$1,'Stock UST'!$1:$1,0)),AR59,INDEX('Stock UST'!59:59,1,MATCH(Stock!AS$1,'Stock UST'!$1:$1,0)))=0,"",IF(ISERROR(MATCH(Stock!AS$1,'Stock UST'!$1:$1,0)),AR59,INDEX('Stock UST'!59:59,1,MATCH(Stock!AS$1,'Stock UST'!$1:$1,0))))</f>
        <v/>
      </c>
      <c r="AT59" s="9" t="str">
        <f ca="1">IF(IF(ISERROR(MATCH(Stock!AT$1,'Stock UST'!$1:$1,0)),AS59,INDEX('Stock UST'!59:59,1,MATCH(Stock!AT$1,'Stock UST'!$1:$1,0)))=0,"",IF(ISERROR(MATCH(Stock!AT$1,'Stock UST'!$1:$1,0)),AS59,INDEX('Stock UST'!59:59,1,MATCH(Stock!AT$1,'Stock UST'!$1:$1,0))))</f>
        <v/>
      </c>
      <c r="AU59" s="9" t="str">
        <f ca="1">IF(IF(ISERROR(MATCH(Stock!AU$1,'Stock UST'!$1:$1,0)),AT59,INDEX('Stock UST'!59:59,1,MATCH(Stock!AU$1,'Stock UST'!$1:$1,0)))=0,"",IF(ISERROR(MATCH(Stock!AU$1,'Stock UST'!$1:$1,0)),AT59,INDEX('Stock UST'!59:59,1,MATCH(Stock!AU$1,'Stock UST'!$1:$1,0))))</f>
        <v/>
      </c>
      <c r="AV59" s="9" t="str">
        <f ca="1">IF(IF(ISERROR(MATCH(Stock!AV$1,'Stock UST'!$1:$1,0)),AU59,INDEX('Stock UST'!59:59,1,MATCH(Stock!AV$1,'Stock UST'!$1:$1,0)))=0,"",IF(ISERROR(MATCH(Stock!AV$1,'Stock UST'!$1:$1,0)),AU59,INDEX('Stock UST'!59:59,1,MATCH(Stock!AV$1,'Stock UST'!$1:$1,0))))</f>
        <v/>
      </c>
      <c r="AW59" s="9" t="str">
        <f ca="1">IF(IF(ISERROR(MATCH(Stock!AW$1,'Stock UST'!$1:$1,0)),AV59,INDEX('Stock UST'!59:59,1,MATCH(Stock!AW$1,'Stock UST'!$1:$1,0)))=0,"",IF(ISERROR(MATCH(Stock!AW$1,'Stock UST'!$1:$1,0)),AV59,INDEX('Stock UST'!59:59,1,MATCH(Stock!AW$1,'Stock UST'!$1:$1,0))))</f>
        <v/>
      </c>
      <c r="AX59" s="9" t="str">
        <f ca="1">IF(IF(ISERROR(MATCH(Stock!AX$1,'Stock UST'!$1:$1,0)),AW59,INDEX('Stock UST'!59:59,1,MATCH(Stock!AX$1,'Stock UST'!$1:$1,0)))=0,"",IF(ISERROR(MATCH(Stock!AX$1,'Stock UST'!$1:$1,0)),AW59,INDEX('Stock UST'!59:59,1,MATCH(Stock!AX$1,'Stock UST'!$1:$1,0))))</f>
        <v/>
      </c>
    </row>
    <row r="60" spans="1:50" x14ac:dyDescent="0.3">
      <c r="A60" s="9" t="str">
        <f>IF('Stock UST'!E60="","",'Stock UST'!E60)</f>
        <v/>
      </c>
      <c r="B60" s="9" t="str">
        <f>IF(IF(ISERROR(MATCH(Stock!B$1,'Stock UST'!$1:$1,0)),A60,INDEX('Stock UST'!60:60,1,MATCH(Stock!B$1,'Stock UST'!$1:$1,0)))=0,"",IF(ISERROR(MATCH(Stock!B$1,'Stock UST'!$1:$1,0)),A60,INDEX('Stock UST'!60:60,1,MATCH(Stock!B$1,'Stock UST'!$1:$1,0))))</f>
        <v/>
      </c>
      <c r="C60" s="9" t="str">
        <f ca="1">IF(IF(ISERROR(MATCH(Stock!C$1,'Stock UST'!$1:$1,0)),B60,INDEX('Stock UST'!60:60,1,MATCH(Stock!C$1,'Stock UST'!$1:$1,0)))=0,"",IF(ISERROR(MATCH(Stock!C$1,'Stock UST'!$1:$1,0)),B60,INDEX('Stock UST'!60:60,1,MATCH(Stock!C$1,'Stock UST'!$1:$1,0))))</f>
        <v/>
      </c>
      <c r="D60" s="9" t="str">
        <f ca="1">IF(IF(ISERROR(MATCH(Stock!D$1,'Stock UST'!$1:$1,0)),C60,INDEX('Stock UST'!60:60,1,MATCH(Stock!D$1,'Stock UST'!$1:$1,0)))=0,"",IF(ISERROR(MATCH(Stock!D$1,'Stock UST'!$1:$1,0)),C60,INDEX('Stock UST'!60:60,1,MATCH(Stock!D$1,'Stock UST'!$1:$1,0))))</f>
        <v/>
      </c>
      <c r="E60" s="9" t="str">
        <f ca="1">IF(IF(ISERROR(MATCH(Stock!E$1,'Stock UST'!$1:$1,0)),D60,INDEX('Stock UST'!60:60,1,MATCH(Stock!E$1,'Stock UST'!$1:$1,0)))=0,"",IF(ISERROR(MATCH(Stock!E$1,'Stock UST'!$1:$1,0)),D60,INDEX('Stock UST'!60:60,1,MATCH(Stock!E$1,'Stock UST'!$1:$1,0))))</f>
        <v/>
      </c>
      <c r="F60" s="9" t="str">
        <f ca="1">IF(IF(ISERROR(MATCH(Stock!F$1,'Stock UST'!$1:$1,0)),E60,INDEX('Stock UST'!60:60,1,MATCH(Stock!F$1,'Stock UST'!$1:$1,0)))=0,"",IF(ISERROR(MATCH(Stock!F$1,'Stock UST'!$1:$1,0)),E60,INDEX('Stock UST'!60:60,1,MATCH(Stock!F$1,'Stock UST'!$1:$1,0))))</f>
        <v/>
      </c>
      <c r="G60" s="9" t="str">
        <f ca="1">IF(IF(ISERROR(MATCH(Stock!G$1,'Stock UST'!$1:$1,0)),F60,INDEX('Stock UST'!60:60,1,MATCH(Stock!G$1,'Stock UST'!$1:$1,0)))=0,"",IF(ISERROR(MATCH(Stock!G$1,'Stock UST'!$1:$1,0)),F60,INDEX('Stock UST'!60:60,1,MATCH(Stock!G$1,'Stock UST'!$1:$1,0))))</f>
        <v/>
      </c>
      <c r="H60" s="9" t="str">
        <f ca="1">IF(IF(ISERROR(MATCH(Stock!H$1,'Stock UST'!$1:$1,0)),G60,INDEX('Stock UST'!60:60,1,MATCH(Stock!H$1,'Stock UST'!$1:$1,0)))=0,"",IF(ISERROR(MATCH(Stock!H$1,'Stock UST'!$1:$1,0)),G60,INDEX('Stock UST'!60:60,1,MATCH(Stock!H$1,'Stock UST'!$1:$1,0))))</f>
        <v/>
      </c>
      <c r="I60" s="9" t="str">
        <f ca="1">IF(IF(ISERROR(MATCH(Stock!I$1,'Stock UST'!$1:$1,0)),H60,INDEX('Stock UST'!60:60,1,MATCH(Stock!I$1,'Stock UST'!$1:$1,0)))=0,"",IF(ISERROR(MATCH(Stock!I$1,'Stock UST'!$1:$1,0)),H60,INDEX('Stock UST'!60:60,1,MATCH(Stock!I$1,'Stock UST'!$1:$1,0))))</f>
        <v/>
      </c>
      <c r="J60" s="9" t="str">
        <f ca="1">IF(IF(ISERROR(MATCH(Stock!J$1,'Stock UST'!$1:$1,0)),I60,INDEX('Stock UST'!60:60,1,MATCH(Stock!J$1,'Stock UST'!$1:$1,0)))=0,"",IF(ISERROR(MATCH(Stock!J$1,'Stock UST'!$1:$1,0)),I60,INDEX('Stock UST'!60:60,1,MATCH(Stock!J$1,'Stock UST'!$1:$1,0))))</f>
        <v/>
      </c>
      <c r="K60" s="9" t="str">
        <f ca="1">IF(IF(ISERROR(MATCH(Stock!K$1,'Stock UST'!$1:$1,0)),J60,INDEX('Stock UST'!60:60,1,MATCH(Stock!K$1,'Stock UST'!$1:$1,0)))=0,"",IF(ISERROR(MATCH(Stock!K$1,'Stock UST'!$1:$1,0)),J60,INDEX('Stock UST'!60:60,1,MATCH(Stock!K$1,'Stock UST'!$1:$1,0))))</f>
        <v/>
      </c>
      <c r="L60" s="9" t="str">
        <f ca="1">IF(IF(ISERROR(MATCH(Stock!L$1,'Stock UST'!$1:$1,0)),K60,INDEX('Stock UST'!60:60,1,MATCH(Stock!L$1,'Stock UST'!$1:$1,0)))=0,"",IF(ISERROR(MATCH(Stock!L$1,'Stock UST'!$1:$1,0)),K60,INDEX('Stock UST'!60:60,1,MATCH(Stock!L$1,'Stock UST'!$1:$1,0))))</f>
        <v/>
      </c>
      <c r="M60" s="9" t="str">
        <f ca="1">IF(IF(ISERROR(MATCH(Stock!M$1,'Stock UST'!$1:$1,0)),L60,INDEX('Stock UST'!60:60,1,MATCH(Stock!M$1,'Stock UST'!$1:$1,0)))=0,"",IF(ISERROR(MATCH(Stock!M$1,'Stock UST'!$1:$1,0)),L60,INDEX('Stock UST'!60:60,1,MATCH(Stock!M$1,'Stock UST'!$1:$1,0))))</f>
        <v/>
      </c>
      <c r="N60" s="9" t="str">
        <f ca="1">IF(IF(ISERROR(MATCH(Stock!N$1,'Stock UST'!$1:$1,0)),M60,INDEX('Stock UST'!60:60,1,MATCH(Stock!N$1,'Stock UST'!$1:$1,0)))=0,"",IF(ISERROR(MATCH(Stock!N$1,'Stock UST'!$1:$1,0)),M60,INDEX('Stock UST'!60:60,1,MATCH(Stock!N$1,'Stock UST'!$1:$1,0))))</f>
        <v/>
      </c>
      <c r="O60" s="9" t="str">
        <f ca="1">IF(IF(ISERROR(MATCH(Stock!O$1,'Stock UST'!$1:$1,0)),N60,INDEX('Stock UST'!60:60,1,MATCH(Stock!O$1,'Stock UST'!$1:$1,0)))=0,"",IF(ISERROR(MATCH(Stock!O$1,'Stock UST'!$1:$1,0)),N60,INDEX('Stock UST'!60:60,1,MATCH(Stock!O$1,'Stock UST'!$1:$1,0))))</f>
        <v/>
      </c>
      <c r="P60" s="9" t="str">
        <f ca="1">IF(IF(ISERROR(MATCH(Stock!P$1,'Stock UST'!$1:$1,0)),O60,INDEX('Stock UST'!60:60,1,MATCH(Stock!P$1,'Stock UST'!$1:$1,0)))=0,"",IF(ISERROR(MATCH(Stock!P$1,'Stock UST'!$1:$1,0)),O60,INDEX('Stock UST'!60:60,1,MATCH(Stock!P$1,'Stock UST'!$1:$1,0))))</f>
        <v/>
      </c>
      <c r="Q60" s="9" t="str">
        <f ca="1">IF(IF(ISERROR(MATCH(Stock!Q$1,'Stock UST'!$1:$1,0)),P60,INDEX('Stock UST'!60:60,1,MATCH(Stock!Q$1,'Stock UST'!$1:$1,0)))=0,"",IF(ISERROR(MATCH(Stock!Q$1,'Stock UST'!$1:$1,0)),P60,INDEX('Stock UST'!60:60,1,MATCH(Stock!Q$1,'Stock UST'!$1:$1,0))))</f>
        <v/>
      </c>
      <c r="R60" s="9" t="str">
        <f ca="1">IF(IF(ISERROR(MATCH(Stock!R$1,'Stock UST'!$1:$1,0)),Q60,INDEX('Stock UST'!60:60,1,MATCH(Stock!R$1,'Stock UST'!$1:$1,0)))=0,"",IF(ISERROR(MATCH(Stock!R$1,'Stock UST'!$1:$1,0)),Q60,INDEX('Stock UST'!60:60,1,MATCH(Stock!R$1,'Stock UST'!$1:$1,0))))</f>
        <v/>
      </c>
      <c r="S60" s="9" t="str">
        <f ca="1">IF(IF(ISERROR(MATCH(Stock!S$1,'Stock UST'!$1:$1,0)),R60,INDEX('Stock UST'!60:60,1,MATCH(Stock!S$1,'Stock UST'!$1:$1,0)))=0,"",IF(ISERROR(MATCH(Stock!S$1,'Stock UST'!$1:$1,0)),R60,INDEX('Stock UST'!60:60,1,MATCH(Stock!S$1,'Stock UST'!$1:$1,0))))</f>
        <v/>
      </c>
      <c r="T60" s="9" t="str">
        <f ca="1">IF(IF(ISERROR(MATCH(Stock!T$1,'Stock UST'!$1:$1,0)),S60,INDEX('Stock UST'!60:60,1,MATCH(Stock!T$1,'Stock UST'!$1:$1,0)))=0,"",IF(ISERROR(MATCH(Stock!T$1,'Stock UST'!$1:$1,0)),S60,INDEX('Stock UST'!60:60,1,MATCH(Stock!T$1,'Stock UST'!$1:$1,0))))</f>
        <v/>
      </c>
      <c r="U60" s="9" t="str">
        <f ca="1">IF(IF(ISERROR(MATCH(Stock!U$1,'Stock UST'!$1:$1,0)),T60,INDEX('Stock UST'!60:60,1,MATCH(Stock!U$1,'Stock UST'!$1:$1,0)))=0,"",IF(ISERROR(MATCH(Stock!U$1,'Stock UST'!$1:$1,0)),T60,INDEX('Stock UST'!60:60,1,MATCH(Stock!U$1,'Stock UST'!$1:$1,0))))</f>
        <v/>
      </c>
      <c r="V60" s="9" t="str">
        <f ca="1">IF(IF(ISERROR(MATCH(Stock!V$1,'Stock UST'!$1:$1,0)),U60,INDEX('Stock UST'!60:60,1,MATCH(Stock!V$1,'Stock UST'!$1:$1,0)))=0,"",IF(ISERROR(MATCH(Stock!V$1,'Stock UST'!$1:$1,0)),U60,INDEX('Stock UST'!60:60,1,MATCH(Stock!V$1,'Stock UST'!$1:$1,0))))</f>
        <v/>
      </c>
      <c r="W60" s="9" t="str">
        <f ca="1">IF(IF(ISERROR(MATCH(Stock!W$1,'Stock UST'!$1:$1,0)),V60,INDEX('Stock UST'!60:60,1,MATCH(Stock!W$1,'Stock UST'!$1:$1,0)))=0,"",IF(ISERROR(MATCH(Stock!W$1,'Stock UST'!$1:$1,0)),V60,INDEX('Stock UST'!60:60,1,MATCH(Stock!W$1,'Stock UST'!$1:$1,0))))</f>
        <v/>
      </c>
      <c r="X60" s="9" t="str">
        <f ca="1">IF(IF(ISERROR(MATCH(Stock!X$1,'Stock UST'!$1:$1,0)),W60,INDEX('Stock UST'!60:60,1,MATCH(Stock!X$1,'Stock UST'!$1:$1,0)))=0,"",IF(ISERROR(MATCH(Stock!X$1,'Stock UST'!$1:$1,0)),W60,INDEX('Stock UST'!60:60,1,MATCH(Stock!X$1,'Stock UST'!$1:$1,0))))</f>
        <v/>
      </c>
      <c r="Y60" s="9" t="str">
        <f ca="1">IF(IF(ISERROR(MATCH(Stock!Y$1,'Stock UST'!$1:$1,0)),X60,INDEX('Stock UST'!60:60,1,MATCH(Stock!Y$1,'Stock UST'!$1:$1,0)))=0,"",IF(ISERROR(MATCH(Stock!Y$1,'Stock UST'!$1:$1,0)),X60,INDEX('Stock UST'!60:60,1,MATCH(Stock!Y$1,'Stock UST'!$1:$1,0))))</f>
        <v/>
      </c>
      <c r="Z60" s="9" t="str">
        <f ca="1">IF(IF(ISERROR(MATCH(Stock!Z$1,'Stock UST'!$1:$1,0)),Y60,INDEX('Stock UST'!60:60,1,MATCH(Stock!Z$1,'Stock UST'!$1:$1,0)))=0,"",IF(ISERROR(MATCH(Stock!Z$1,'Stock UST'!$1:$1,0)),Y60,INDEX('Stock UST'!60:60,1,MATCH(Stock!Z$1,'Stock UST'!$1:$1,0))))</f>
        <v/>
      </c>
      <c r="AA60" s="9" t="str">
        <f ca="1">IF(IF(ISERROR(MATCH(Stock!AA$1,'Stock UST'!$1:$1,0)),Z60,INDEX('Stock UST'!60:60,1,MATCH(Stock!AA$1,'Stock UST'!$1:$1,0)))=0,"",IF(ISERROR(MATCH(Stock!AA$1,'Stock UST'!$1:$1,0)),Z60,INDEX('Stock UST'!60:60,1,MATCH(Stock!AA$1,'Stock UST'!$1:$1,0))))</f>
        <v/>
      </c>
      <c r="AB60" s="9" t="str">
        <f ca="1">IF(IF(ISERROR(MATCH(Stock!AB$1,'Stock UST'!$1:$1,0)),AA60,INDEX('Stock UST'!60:60,1,MATCH(Stock!AB$1,'Stock UST'!$1:$1,0)))=0,"",IF(ISERROR(MATCH(Stock!AB$1,'Stock UST'!$1:$1,0)),AA60,INDEX('Stock UST'!60:60,1,MATCH(Stock!AB$1,'Stock UST'!$1:$1,0))))</f>
        <v/>
      </c>
      <c r="AC60" s="9" t="str">
        <f ca="1">IF(IF(ISERROR(MATCH(Stock!AC$1,'Stock UST'!$1:$1,0)),AB60,INDEX('Stock UST'!60:60,1,MATCH(Stock!AC$1,'Stock UST'!$1:$1,0)))=0,"",IF(ISERROR(MATCH(Stock!AC$1,'Stock UST'!$1:$1,0)),AB60,INDEX('Stock UST'!60:60,1,MATCH(Stock!AC$1,'Stock UST'!$1:$1,0))))</f>
        <v/>
      </c>
      <c r="AD60" s="9" t="str">
        <f ca="1">IF(IF(ISERROR(MATCH(Stock!AD$1,'Stock UST'!$1:$1,0)),AC60,INDEX('Stock UST'!60:60,1,MATCH(Stock!AD$1,'Stock UST'!$1:$1,0)))=0,"",IF(ISERROR(MATCH(Stock!AD$1,'Stock UST'!$1:$1,0)),AC60,INDEX('Stock UST'!60:60,1,MATCH(Stock!AD$1,'Stock UST'!$1:$1,0))))</f>
        <v/>
      </c>
      <c r="AE60" s="9" t="str">
        <f ca="1">IF(IF(ISERROR(MATCH(Stock!AE$1,'Stock UST'!$1:$1,0)),AD60,INDEX('Stock UST'!60:60,1,MATCH(Stock!AE$1,'Stock UST'!$1:$1,0)))=0,"",IF(ISERROR(MATCH(Stock!AE$1,'Stock UST'!$1:$1,0)),AD60,INDEX('Stock UST'!60:60,1,MATCH(Stock!AE$1,'Stock UST'!$1:$1,0))))</f>
        <v/>
      </c>
      <c r="AF60" s="9" t="str">
        <f ca="1">IF(IF(ISERROR(MATCH(Stock!AF$1,'Stock UST'!$1:$1,0)),AE60,INDEX('Stock UST'!60:60,1,MATCH(Stock!AF$1,'Stock UST'!$1:$1,0)))=0,"",IF(ISERROR(MATCH(Stock!AF$1,'Stock UST'!$1:$1,0)),AE60,INDEX('Stock UST'!60:60,1,MATCH(Stock!AF$1,'Stock UST'!$1:$1,0))))</f>
        <v/>
      </c>
      <c r="AG60" s="9" t="str">
        <f ca="1">IF(IF(ISERROR(MATCH(Stock!AG$1,'Stock UST'!$1:$1,0)),AF60,INDEX('Stock UST'!60:60,1,MATCH(Stock!AG$1,'Stock UST'!$1:$1,0)))=0,"",IF(ISERROR(MATCH(Stock!AG$1,'Stock UST'!$1:$1,0)),AF60,INDEX('Stock UST'!60:60,1,MATCH(Stock!AG$1,'Stock UST'!$1:$1,0))))</f>
        <v/>
      </c>
      <c r="AH60" s="9" t="str">
        <f ca="1">IF(IF(ISERROR(MATCH(Stock!AH$1,'Stock UST'!$1:$1,0)),AG60,INDEX('Stock UST'!60:60,1,MATCH(Stock!AH$1,'Stock UST'!$1:$1,0)))=0,"",IF(ISERROR(MATCH(Stock!AH$1,'Stock UST'!$1:$1,0)),AG60,INDEX('Stock UST'!60:60,1,MATCH(Stock!AH$1,'Stock UST'!$1:$1,0))))</f>
        <v/>
      </c>
      <c r="AI60" s="9" t="str">
        <f ca="1">IF(IF(ISERROR(MATCH(Stock!AI$1,'Stock UST'!$1:$1,0)),AH60,INDEX('Stock UST'!60:60,1,MATCH(Stock!AI$1,'Stock UST'!$1:$1,0)))=0,"",IF(ISERROR(MATCH(Stock!AI$1,'Stock UST'!$1:$1,0)),AH60,INDEX('Stock UST'!60:60,1,MATCH(Stock!AI$1,'Stock UST'!$1:$1,0))))</f>
        <v/>
      </c>
      <c r="AJ60" s="9" t="str">
        <f ca="1">IF(IF(ISERROR(MATCH(Stock!AJ$1,'Stock UST'!$1:$1,0)),AI60,INDEX('Stock UST'!60:60,1,MATCH(Stock!AJ$1,'Stock UST'!$1:$1,0)))=0,"",IF(ISERROR(MATCH(Stock!AJ$1,'Stock UST'!$1:$1,0)),AI60,INDEX('Stock UST'!60:60,1,MATCH(Stock!AJ$1,'Stock UST'!$1:$1,0))))</f>
        <v/>
      </c>
      <c r="AK60" s="9" t="str">
        <f ca="1">IF(IF(ISERROR(MATCH(Stock!AK$1,'Stock UST'!$1:$1,0)),AJ60,INDEX('Stock UST'!60:60,1,MATCH(Stock!AK$1,'Stock UST'!$1:$1,0)))=0,"",IF(ISERROR(MATCH(Stock!AK$1,'Stock UST'!$1:$1,0)),AJ60,INDEX('Stock UST'!60:60,1,MATCH(Stock!AK$1,'Stock UST'!$1:$1,0))))</f>
        <v/>
      </c>
      <c r="AL60" s="9" t="str">
        <f ca="1">IF(IF(ISERROR(MATCH(Stock!AL$1,'Stock UST'!$1:$1,0)),AK60,INDEX('Stock UST'!60:60,1,MATCH(Stock!AL$1,'Stock UST'!$1:$1,0)))=0,"",IF(ISERROR(MATCH(Stock!AL$1,'Stock UST'!$1:$1,0)),AK60,INDEX('Stock UST'!60:60,1,MATCH(Stock!AL$1,'Stock UST'!$1:$1,0))))</f>
        <v/>
      </c>
      <c r="AM60" s="9" t="str">
        <f ca="1">IF(IF(ISERROR(MATCH(Stock!AM$1,'Stock UST'!$1:$1,0)),AL60,INDEX('Stock UST'!60:60,1,MATCH(Stock!AM$1,'Stock UST'!$1:$1,0)))=0,"",IF(ISERROR(MATCH(Stock!AM$1,'Stock UST'!$1:$1,0)),AL60,INDEX('Stock UST'!60:60,1,MATCH(Stock!AM$1,'Stock UST'!$1:$1,0))))</f>
        <v/>
      </c>
      <c r="AN60" s="9" t="str">
        <f ca="1">IF(IF(ISERROR(MATCH(Stock!AN$1,'Stock UST'!$1:$1,0)),AM60,INDEX('Stock UST'!60:60,1,MATCH(Stock!AN$1,'Stock UST'!$1:$1,0)))=0,"",IF(ISERROR(MATCH(Stock!AN$1,'Stock UST'!$1:$1,0)),AM60,INDEX('Stock UST'!60:60,1,MATCH(Stock!AN$1,'Stock UST'!$1:$1,0))))</f>
        <v/>
      </c>
      <c r="AO60" s="9" t="str">
        <f ca="1">IF(IF(ISERROR(MATCH(Stock!AO$1,'Stock UST'!$1:$1,0)),AN60,INDEX('Stock UST'!60:60,1,MATCH(Stock!AO$1,'Stock UST'!$1:$1,0)))=0,"",IF(ISERROR(MATCH(Stock!AO$1,'Stock UST'!$1:$1,0)),AN60,INDEX('Stock UST'!60:60,1,MATCH(Stock!AO$1,'Stock UST'!$1:$1,0))))</f>
        <v/>
      </c>
      <c r="AP60" s="9" t="str">
        <f ca="1">IF(IF(ISERROR(MATCH(Stock!AP$1,'Stock UST'!$1:$1,0)),AO60,INDEX('Stock UST'!60:60,1,MATCH(Stock!AP$1,'Stock UST'!$1:$1,0)))=0,"",IF(ISERROR(MATCH(Stock!AP$1,'Stock UST'!$1:$1,0)),AO60,INDEX('Stock UST'!60:60,1,MATCH(Stock!AP$1,'Stock UST'!$1:$1,0))))</f>
        <v/>
      </c>
      <c r="AQ60" s="9" t="str">
        <f ca="1">IF(IF(ISERROR(MATCH(Stock!AQ$1,'Stock UST'!$1:$1,0)),AP60,INDEX('Stock UST'!60:60,1,MATCH(Stock!AQ$1,'Stock UST'!$1:$1,0)))=0,"",IF(ISERROR(MATCH(Stock!AQ$1,'Stock UST'!$1:$1,0)),AP60,INDEX('Stock UST'!60:60,1,MATCH(Stock!AQ$1,'Stock UST'!$1:$1,0))))</f>
        <v/>
      </c>
      <c r="AR60" s="9" t="str">
        <f ca="1">IF(IF(ISERROR(MATCH(Stock!AR$1,'Stock UST'!$1:$1,0)),AQ60,INDEX('Stock UST'!60:60,1,MATCH(Stock!AR$1,'Stock UST'!$1:$1,0)))=0,"",IF(ISERROR(MATCH(Stock!AR$1,'Stock UST'!$1:$1,0)),AQ60,INDEX('Stock UST'!60:60,1,MATCH(Stock!AR$1,'Stock UST'!$1:$1,0))))</f>
        <v/>
      </c>
      <c r="AS60" s="9" t="str">
        <f ca="1">IF(IF(ISERROR(MATCH(Stock!AS$1,'Stock UST'!$1:$1,0)),AR60,INDEX('Stock UST'!60:60,1,MATCH(Stock!AS$1,'Stock UST'!$1:$1,0)))=0,"",IF(ISERROR(MATCH(Stock!AS$1,'Stock UST'!$1:$1,0)),AR60,INDEX('Stock UST'!60:60,1,MATCH(Stock!AS$1,'Stock UST'!$1:$1,0))))</f>
        <v/>
      </c>
      <c r="AT60" s="9" t="str">
        <f ca="1">IF(IF(ISERROR(MATCH(Stock!AT$1,'Stock UST'!$1:$1,0)),AS60,INDEX('Stock UST'!60:60,1,MATCH(Stock!AT$1,'Stock UST'!$1:$1,0)))=0,"",IF(ISERROR(MATCH(Stock!AT$1,'Stock UST'!$1:$1,0)),AS60,INDEX('Stock UST'!60:60,1,MATCH(Stock!AT$1,'Stock UST'!$1:$1,0))))</f>
        <v/>
      </c>
      <c r="AU60" s="9" t="str">
        <f ca="1">IF(IF(ISERROR(MATCH(Stock!AU$1,'Stock UST'!$1:$1,0)),AT60,INDEX('Stock UST'!60:60,1,MATCH(Stock!AU$1,'Stock UST'!$1:$1,0)))=0,"",IF(ISERROR(MATCH(Stock!AU$1,'Stock UST'!$1:$1,0)),AT60,INDEX('Stock UST'!60:60,1,MATCH(Stock!AU$1,'Stock UST'!$1:$1,0))))</f>
        <v/>
      </c>
      <c r="AV60" s="9" t="str">
        <f ca="1">IF(IF(ISERROR(MATCH(Stock!AV$1,'Stock UST'!$1:$1,0)),AU60,INDEX('Stock UST'!60:60,1,MATCH(Stock!AV$1,'Stock UST'!$1:$1,0)))=0,"",IF(ISERROR(MATCH(Stock!AV$1,'Stock UST'!$1:$1,0)),AU60,INDEX('Stock UST'!60:60,1,MATCH(Stock!AV$1,'Stock UST'!$1:$1,0))))</f>
        <v/>
      </c>
      <c r="AW60" s="9" t="str">
        <f ca="1">IF(IF(ISERROR(MATCH(Stock!AW$1,'Stock UST'!$1:$1,0)),AV60,INDEX('Stock UST'!60:60,1,MATCH(Stock!AW$1,'Stock UST'!$1:$1,0)))=0,"",IF(ISERROR(MATCH(Stock!AW$1,'Stock UST'!$1:$1,0)),AV60,INDEX('Stock UST'!60:60,1,MATCH(Stock!AW$1,'Stock UST'!$1:$1,0))))</f>
        <v/>
      </c>
      <c r="AX60" s="9" t="str">
        <f ca="1">IF(IF(ISERROR(MATCH(Stock!AX$1,'Stock UST'!$1:$1,0)),AW60,INDEX('Stock UST'!60:60,1,MATCH(Stock!AX$1,'Stock UST'!$1:$1,0)))=0,"",IF(ISERROR(MATCH(Stock!AX$1,'Stock UST'!$1:$1,0)),AW60,INDEX('Stock UST'!60:60,1,MATCH(Stock!AX$1,'Stock UST'!$1:$1,0))))</f>
        <v/>
      </c>
    </row>
    <row r="61" spans="1:50" x14ac:dyDescent="0.3">
      <c r="A61" s="9" t="str">
        <f>IF('Stock UST'!E61="","",'Stock UST'!E61)</f>
        <v/>
      </c>
      <c r="B61" s="9" t="str">
        <f>IF(IF(ISERROR(MATCH(Stock!B$1,'Stock UST'!$1:$1,0)),A61,INDEX('Stock UST'!61:61,1,MATCH(Stock!B$1,'Stock UST'!$1:$1,0)))=0,"",IF(ISERROR(MATCH(Stock!B$1,'Stock UST'!$1:$1,0)),A61,INDEX('Stock UST'!61:61,1,MATCH(Stock!B$1,'Stock UST'!$1:$1,0))))</f>
        <v/>
      </c>
      <c r="C61" s="9" t="str">
        <f ca="1">IF(IF(ISERROR(MATCH(Stock!C$1,'Stock UST'!$1:$1,0)),B61,INDEX('Stock UST'!61:61,1,MATCH(Stock!C$1,'Stock UST'!$1:$1,0)))=0,"",IF(ISERROR(MATCH(Stock!C$1,'Stock UST'!$1:$1,0)),B61,INDEX('Stock UST'!61:61,1,MATCH(Stock!C$1,'Stock UST'!$1:$1,0))))</f>
        <v/>
      </c>
      <c r="D61" s="9" t="str">
        <f ca="1">IF(IF(ISERROR(MATCH(Stock!D$1,'Stock UST'!$1:$1,0)),C61,INDEX('Stock UST'!61:61,1,MATCH(Stock!D$1,'Stock UST'!$1:$1,0)))=0,"",IF(ISERROR(MATCH(Stock!D$1,'Stock UST'!$1:$1,0)),C61,INDEX('Stock UST'!61:61,1,MATCH(Stock!D$1,'Stock UST'!$1:$1,0))))</f>
        <v/>
      </c>
      <c r="E61" s="9" t="str">
        <f ca="1">IF(IF(ISERROR(MATCH(Stock!E$1,'Stock UST'!$1:$1,0)),D61,INDEX('Stock UST'!61:61,1,MATCH(Stock!E$1,'Stock UST'!$1:$1,0)))=0,"",IF(ISERROR(MATCH(Stock!E$1,'Stock UST'!$1:$1,0)),D61,INDEX('Stock UST'!61:61,1,MATCH(Stock!E$1,'Stock UST'!$1:$1,0))))</f>
        <v/>
      </c>
      <c r="F61" s="9" t="str">
        <f ca="1">IF(IF(ISERROR(MATCH(Stock!F$1,'Stock UST'!$1:$1,0)),E61,INDEX('Stock UST'!61:61,1,MATCH(Stock!F$1,'Stock UST'!$1:$1,0)))=0,"",IF(ISERROR(MATCH(Stock!F$1,'Stock UST'!$1:$1,0)),E61,INDEX('Stock UST'!61:61,1,MATCH(Stock!F$1,'Stock UST'!$1:$1,0))))</f>
        <v/>
      </c>
      <c r="G61" s="9" t="str">
        <f ca="1">IF(IF(ISERROR(MATCH(Stock!G$1,'Stock UST'!$1:$1,0)),F61,INDEX('Stock UST'!61:61,1,MATCH(Stock!G$1,'Stock UST'!$1:$1,0)))=0,"",IF(ISERROR(MATCH(Stock!G$1,'Stock UST'!$1:$1,0)),F61,INDEX('Stock UST'!61:61,1,MATCH(Stock!G$1,'Stock UST'!$1:$1,0))))</f>
        <v/>
      </c>
      <c r="H61" s="9" t="str">
        <f ca="1">IF(IF(ISERROR(MATCH(Stock!H$1,'Stock UST'!$1:$1,0)),G61,INDEX('Stock UST'!61:61,1,MATCH(Stock!H$1,'Stock UST'!$1:$1,0)))=0,"",IF(ISERROR(MATCH(Stock!H$1,'Stock UST'!$1:$1,0)),G61,INDEX('Stock UST'!61:61,1,MATCH(Stock!H$1,'Stock UST'!$1:$1,0))))</f>
        <v/>
      </c>
      <c r="I61" s="9" t="str">
        <f ca="1">IF(IF(ISERROR(MATCH(Stock!I$1,'Stock UST'!$1:$1,0)),H61,INDEX('Stock UST'!61:61,1,MATCH(Stock!I$1,'Stock UST'!$1:$1,0)))=0,"",IF(ISERROR(MATCH(Stock!I$1,'Stock UST'!$1:$1,0)),H61,INDEX('Stock UST'!61:61,1,MATCH(Stock!I$1,'Stock UST'!$1:$1,0))))</f>
        <v/>
      </c>
      <c r="J61" s="9" t="str">
        <f ca="1">IF(IF(ISERROR(MATCH(Stock!J$1,'Stock UST'!$1:$1,0)),I61,INDEX('Stock UST'!61:61,1,MATCH(Stock!J$1,'Stock UST'!$1:$1,0)))=0,"",IF(ISERROR(MATCH(Stock!J$1,'Stock UST'!$1:$1,0)),I61,INDEX('Stock UST'!61:61,1,MATCH(Stock!J$1,'Stock UST'!$1:$1,0))))</f>
        <v/>
      </c>
      <c r="K61" s="9" t="str">
        <f ca="1">IF(IF(ISERROR(MATCH(Stock!K$1,'Stock UST'!$1:$1,0)),J61,INDEX('Stock UST'!61:61,1,MATCH(Stock!K$1,'Stock UST'!$1:$1,0)))=0,"",IF(ISERROR(MATCH(Stock!K$1,'Stock UST'!$1:$1,0)),J61,INDEX('Stock UST'!61:61,1,MATCH(Stock!K$1,'Stock UST'!$1:$1,0))))</f>
        <v/>
      </c>
      <c r="L61" s="9" t="str">
        <f ca="1">IF(IF(ISERROR(MATCH(Stock!L$1,'Stock UST'!$1:$1,0)),K61,INDEX('Stock UST'!61:61,1,MATCH(Stock!L$1,'Stock UST'!$1:$1,0)))=0,"",IF(ISERROR(MATCH(Stock!L$1,'Stock UST'!$1:$1,0)),K61,INDEX('Stock UST'!61:61,1,MATCH(Stock!L$1,'Stock UST'!$1:$1,0))))</f>
        <v/>
      </c>
      <c r="M61" s="9" t="str">
        <f ca="1">IF(IF(ISERROR(MATCH(Stock!M$1,'Stock UST'!$1:$1,0)),L61,INDEX('Stock UST'!61:61,1,MATCH(Stock!M$1,'Stock UST'!$1:$1,0)))=0,"",IF(ISERROR(MATCH(Stock!M$1,'Stock UST'!$1:$1,0)),L61,INDEX('Stock UST'!61:61,1,MATCH(Stock!M$1,'Stock UST'!$1:$1,0))))</f>
        <v/>
      </c>
      <c r="N61" s="9" t="str">
        <f ca="1">IF(IF(ISERROR(MATCH(Stock!N$1,'Stock UST'!$1:$1,0)),M61,INDEX('Stock UST'!61:61,1,MATCH(Stock!N$1,'Stock UST'!$1:$1,0)))=0,"",IF(ISERROR(MATCH(Stock!N$1,'Stock UST'!$1:$1,0)),M61,INDEX('Stock UST'!61:61,1,MATCH(Stock!N$1,'Stock UST'!$1:$1,0))))</f>
        <v/>
      </c>
      <c r="O61" s="9" t="str">
        <f ca="1">IF(IF(ISERROR(MATCH(Stock!O$1,'Stock UST'!$1:$1,0)),N61,INDEX('Stock UST'!61:61,1,MATCH(Stock!O$1,'Stock UST'!$1:$1,0)))=0,"",IF(ISERROR(MATCH(Stock!O$1,'Stock UST'!$1:$1,0)),N61,INDEX('Stock UST'!61:61,1,MATCH(Stock!O$1,'Stock UST'!$1:$1,0))))</f>
        <v/>
      </c>
      <c r="P61" s="9" t="str">
        <f ca="1">IF(IF(ISERROR(MATCH(Stock!P$1,'Stock UST'!$1:$1,0)),O61,INDEX('Stock UST'!61:61,1,MATCH(Stock!P$1,'Stock UST'!$1:$1,0)))=0,"",IF(ISERROR(MATCH(Stock!P$1,'Stock UST'!$1:$1,0)),O61,INDEX('Stock UST'!61:61,1,MATCH(Stock!P$1,'Stock UST'!$1:$1,0))))</f>
        <v/>
      </c>
      <c r="Q61" s="9" t="str">
        <f ca="1">IF(IF(ISERROR(MATCH(Stock!Q$1,'Stock UST'!$1:$1,0)),P61,INDEX('Stock UST'!61:61,1,MATCH(Stock!Q$1,'Stock UST'!$1:$1,0)))=0,"",IF(ISERROR(MATCH(Stock!Q$1,'Stock UST'!$1:$1,0)),P61,INDEX('Stock UST'!61:61,1,MATCH(Stock!Q$1,'Stock UST'!$1:$1,0))))</f>
        <v/>
      </c>
      <c r="R61" s="9" t="str">
        <f ca="1">IF(IF(ISERROR(MATCH(Stock!R$1,'Stock UST'!$1:$1,0)),Q61,INDEX('Stock UST'!61:61,1,MATCH(Stock!R$1,'Stock UST'!$1:$1,0)))=0,"",IF(ISERROR(MATCH(Stock!R$1,'Stock UST'!$1:$1,0)),Q61,INDEX('Stock UST'!61:61,1,MATCH(Stock!R$1,'Stock UST'!$1:$1,0))))</f>
        <v/>
      </c>
      <c r="S61" s="9" t="str">
        <f ca="1">IF(IF(ISERROR(MATCH(Stock!S$1,'Stock UST'!$1:$1,0)),R61,INDEX('Stock UST'!61:61,1,MATCH(Stock!S$1,'Stock UST'!$1:$1,0)))=0,"",IF(ISERROR(MATCH(Stock!S$1,'Stock UST'!$1:$1,0)),R61,INDEX('Stock UST'!61:61,1,MATCH(Stock!S$1,'Stock UST'!$1:$1,0))))</f>
        <v/>
      </c>
      <c r="T61" s="9" t="str">
        <f ca="1">IF(IF(ISERROR(MATCH(Stock!T$1,'Stock UST'!$1:$1,0)),S61,INDEX('Stock UST'!61:61,1,MATCH(Stock!T$1,'Stock UST'!$1:$1,0)))=0,"",IF(ISERROR(MATCH(Stock!T$1,'Stock UST'!$1:$1,0)),S61,INDEX('Stock UST'!61:61,1,MATCH(Stock!T$1,'Stock UST'!$1:$1,0))))</f>
        <v/>
      </c>
      <c r="U61" s="9" t="str">
        <f ca="1">IF(IF(ISERROR(MATCH(Stock!U$1,'Stock UST'!$1:$1,0)),T61,INDEX('Stock UST'!61:61,1,MATCH(Stock!U$1,'Stock UST'!$1:$1,0)))=0,"",IF(ISERROR(MATCH(Stock!U$1,'Stock UST'!$1:$1,0)),T61,INDEX('Stock UST'!61:61,1,MATCH(Stock!U$1,'Stock UST'!$1:$1,0))))</f>
        <v/>
      </c>
      <c r="V61" s="9" t="str">
        <f ca="1">IF(IF(ISERROR(MATCH(Stock!V$1,'Stock UST'!$1:$1,0)),U61,INDEX('Stock UST'!61:61,1,MATCH(Stock!V$1,'Stock UST'!$1:$1,0)))=0,"",IF(ISERROR(MATCH(Stock!V$1,'Stock UST'!$1:$1,0)),U61,INDEX('Stock UST'!61:61,1,MATCH(Stock!V$1,'Stock UST'!$1:$1,0))))</f>
        <v/>
      </c>
      <c r="W61" s="9" t="str">
        <f ca="1">IF(IF(ISERROR(MATCH(Stock!W$1,'Stock UST'!$1:$1,0)),V61,INDEX('Stock UST'!61:61,1,MATCH(Stock!W$1,'Stock UST'!$1:$1,0)))=0,"",IF(ISERROR(MATCH(Stock!W$1,'Stock UST'!$1:$1,0)),V61,INDEX('Stock UST'!61:61,1,MATCH(Stock!W$1,'Stock UST'!$1:$1,0))))</f>
        <v/>
      </c>
      <c r="X61" s="9" t="str">
        <f ca="1">IF(IF(ISERROR(MATCH(Stock!X$1,'Stock UST'!$1:$1,0)),W61,INDEX('Stock UST'!61:61,1,MATCH(Stock!X$1,'Stock UST'!$1:$1,0)))=0,"",IF(ISERROR(MATCH(Stock!X$1,'Stock UST'!$1:$1,0)),W61,INDEX('Stock UST'!61:61,1,MATCH(Stock!X$1,'Stock UST'!$1:$1,0))))</f>
        <v/>
      </c>
      <c r="Y61" s="9" t="str">
        <f ca="1">IF(IF(ISERROR(MATCH(Stock!Y$1,'Stock UST'!$1:$1,0)),X61,INDEX('Stock UST'!61:61,1,MATCH(Stock!Y$1,'Stock UST'!$1:$1,0)))=0,"",IF(ISERROR(MATCH(Stock!Y$1,'Stock UST'!$1:$1,0)),X61,INDEX('Stock UST'!61:61,1,MATCH(Stock!Y$1,'Stock UST'!$1:$1,0))))</f>
        <v/>
      </c>
      <c r="Z61" s="9" t="str">
        <f ca="1">IF(IF(ISERROR(MATCH(Stock!Z$1,'Stock UST'!$1:$1,0)),Y61,INDEX('Stock UST'!61:61,1,MATCH(Stock!Z$1,'Stock UST'!$1:$1,0)))=0,"",IF(ISERROR(MATCH(Stock!Z$1,'Stock UST'!$1:$1,0)),Y61,INDEX('Stock UST'!61:61,1,MATCH(Stock!Z$1,'Stock UST'!$1:$1,0))))</f>
        <v/>
      </c>
      <c r="AA61" s="9" t="str">
        <f ca="1">IF(IF(ISERROR(MATCH(Stock!AA$1,'Stock UST'!$1:$1,0)),Z61,INDEX('Stock UST'!61:61,1,MATCH(Stock!AA$1,'Stock UST'!$1:$1,0)))=0,"",IF(ISERROR(MATCH(Stock!AA$1,'Stock UST'!$1:$1,0)),Z61,INDEX('Stock UST'!61:61,1,MATCH(Stock!AA$1,'Stock UST'!$1:$1,0))))</f>
        <v/>
      </c>
      <c r="AB61" s="9" t="str">
        <f ca="1">IF(IF(ISERROR(MATCH(Stock!AB$1,'Stock UST'!$1:$1,0)),AA61,INDEX('Stock UST'!61:61,1,MATCH(Stock!AB$1,'Stock UST'!$1:$1,0)))=0,"",IF(ISERROR(MATCH(Stock!AB$1,'Stock UST'!$1:$1,0)),AA61,INDEX('Stock UST'!61:61,1,MATCH(Stock!AB$1,'Stock UST'!$1:$1,0))))</f>
        <v/>
      </c>
      <c r="AC61" s="9" t="str">
        <f ca="1">IF(IF(ISERROR(MATCH(Stock!AC$1,'Stock UST'!$1:$1,0)),AB61,INDEX('Stock UST'!61:61,1,MATCH(Stock!AC$1,'Stock UST'!$1:$1,0)))=0,"",IF(ISERROR(MATCH(Stock!AC$1,'Stock UST'!$1:$1,0)),AB61,INDEX('Stock UST'!61:61,1,MATCH(Stock!AC$1,'Stock UST'!$1:$1,0))))</f>
        <v/>
      </c>
      <c r="AD61" s="9" t="str">
        <f ca="1">IF(IF(ISERROR(MATCH(Stock!AD$1,'Stock UST'!$1:$1,0)),AC61,INDEX('Stock UST'!61:61,1,MATCH(Stock!AD$1,'Stock UST'!$1:$1,0)))=0,"",IF(ISERROR(MATCH(Stock!AD$1,'Stock UST'!$1:$1,0)),AC61,INDEX('Stock UST'!61:61,1,MATCH(Stock!AD$1,'Stock UST'!$1:$1,0))))</f>
        <v/>
      </c>
      <c r="AE61" s="9" t="str">
        <f ca="1">IF(IF(ISERROR(MATCH(Stock!AE$1,'Stock UST'!$1:$1,0)),AD61,INDEX('Stock UST'!61:61,1,MATCH(Stock!AE$1,'Stock UST'!$1:$1,0)))=0,"",IF(ISERROR(MATCH(Stock!AE$1,'Stock UST'!$1:$1,0)),AD61,INDEX('Stock UST'!61:61,1,MATCH(Stock!AE$1,'Stock UST'!$1:$1,0))))</f>
        <v/>
      </c>
      <c r="AF61" s="9" t="str">
        <f ca="1">IF(IF(ISERROR(MATCH(Stock!AF$1,'Stock UST'!$1:$1,0)),AE61,INDEX('Stock UST'!61:61,1,MATCH(Stock!AF$1,'Stock UST'!$1:$1,0)))=0,"",IF(ISERROR(MATCH(Stock!AF$1,'Stock UST'!$1:$1,0)),AE61,INDEX('Stock UST'!61:61,1,MATCH(Stock!AF$1,'Stock UST'!$1:$1,0))))</f>
        <v/>
      </c>
      <c r="AG61" s="9" t="str">
        <f ca="1">IF(IF(ISERROR(MATCH(Stock!AG$1,'Stock UST'!$1:$1,0)),AF61,INDEX('Stock UST'!61:61,1,MATCH(Stock!AG$1,'Stock UST'!$1:$1,0)))=0,"",IF(ISERROR(MATCH(Stock!AG$1,'Stock UST'!$1:$1,0)),AF61,INDEX('Stock UST'!61:61,1,MATCH(Stock!AG$1,'Stock UST'!$1:$1,0))))</f>
        <v/>
      </c>
      <c r="AH61" s="9" t="str">
        <f ca="1">IF(IF(ISERROR(MATCH(Stock!AH$1,'Stock UST'!$1:$1,0)),AG61,INDEX('Stock UST'!61:61,1,MATCH(Stock!AH$1,'Stock UST'!$1:$1,0)))=0,"",IF(ISERROR(MATCH(Stock!AH$1,'Stock UST'!$1:$1,0)),AG61,INDEX('Stock UST'!61:61,1,MATCH(Stock!AH$1,'Stock UST'!$1:$1,0))))</f>
        <v/>
      </c>
      <c r="AI61" s="9" t="str">
        <f ca="1">IF(IF(ISERROR(MATCH(Stock!AI$1,'Stock UST'!$1:$1,0)),AH61,INDEX('Stock UST'!61:61,1,MATCH(Stock!AI$1,'Stock UST'!$1:$1,0)))=0,"",IF(ISERROR(MATCH(Stock!AI$1,'Stock UST'!$1:$1,0)),AH61,INDEX('Stock UST'!61:61,1,MATCH(Stock!AI$1,'Stock UST'!$1:$1,0))))</f>
        <v/>
      </c>
      <c r="AJ61" s="9" t="str">
        <f ca="1">IF(IF(ISERROR(MATCH(Stock!AJ$1,'Stock UST'!$1:$1,0)),AI61,INDEX('Stock UST'!61:61,1,MATCH(Stock!AJ$1,'Stock UST'!$1:$1,0)))=0,"",IF(ISERROR(MATCH(Stock!AJ$1,'Stock UST'!$1:$1,0)),AI61,INDEX('Stock UST'!61:61,1,MATCH(Stock!AJ$1,'Stock UST'!$1:$1,0))))</f>
        <v/>
      </c>
      <c r="AK61" s="9" t="str">
        <f ca="1">IF(IF(ISERROR(MATCH(Stock!AK$1,'Stock UST'!$1:$1,0)),AJ61,INDEX('Stock UST'!61:61,1,MATCH(Stock!AK$1,'Stock UST'!$1:$1,0)))=0,"",IF(ISERROR(MATCH(Stock!AK$1,'Stock UST'!$1:$1,0)),AJ61,INDEX('Stock UST'!61:61,1,MATCH(Stock!AK$1,'Stock UST'!$1:$1,0))))</f>
        <v/>
      </c>
      <c r="AL61" s="9" t="str">
        <f ca="1">IF(IF(ISERROR(MATCH(Stock!AL$1,'Stock UST'!$1:$1,0)),AK61,INDEX('Stock UST'!61:61,1,MATCH(Stock!AL$1,'Stock UST'!$1:$1,0)))=0,"",IF(ISERROR(MATCH(Stock!AL$1,'Stock UST'!$1:$1,0)),AK61,INDEX('Stock UST'!61:61,1,MATCH(Stock!AL$1,'Stock UST'!$1:$1,0))))</f>
        <v/>
      </c>
      <c r="AM61" s="9" t="str">
        <f ca="1">IF(IF(ISERROR(MATCH(Stock!AM$1,'Stock UST'!$1:$1,0)),AL61,INDEX('Stock UST'!61:61,1,MATCH(Stock!AM$1,'Stock UST'!$1:$1,0)))=0,"",IF(ISERROR(MATCH(Stock!AM$1,'Stock UST'!$1:$1,0)),AL61,INDEX('Stock UST'!61:61,1,MATCH(Stock!AM$1,'Stock UST'!$1:$1,0))))</f>
        <v/>
      </c>
      <c r="AN61" s="9" t="str">
        <f ca="1">IF(IF(ISERROR(MATCH(Stock!AN$1,'Stock UST'!$1:$1,0)),AM61,INDEX('Stock UST'!61:61,1,MATCH(Stock!AN$1,'Stock UST'!$1:$1,0)))=0,"",IF(ISERROR(MATCH(Stock!AN$1,'Stock UST'!$1:$1,0)),AM61,INDEX('Stock UST'!61:61,1,MATCH(Stock!AN$1,'Stock UST'!$1:$1,0))))</f>
        <v/>
      </c>
      <c r="AO61" s="9" t="str">
        <f ca="1">IF(IF(ISERROR(MATCH(Stock!AO$1,'Stock UST'!$1:$1,0)),AN61,INDEX('Stock UST'!61:61,1,MATCH(Stock!AO$1,'Stock UST'!$1:$1,0)))=0,"",IF(ISERROR(MATCH(Stock!AO$1,'Stock UST'!$1:$1,0)),AN61,INDEX('Stock UST'!61:61,1,MATCH(Stock!AO$1,'Stock UST'!$1:$1,0))))</f>
        <v/>
      </c>
      <c r="AP61" s="9" t="str">
        <f ca="1">IF(IF(ISERROR(MATCH(Stock!AP$1,'Stock UST'!$1:$1,0)),AO61,INDEX('Stock UST'!61:61,1,MATCH(Stock!AP$1,'Stock UST'!$1:$1,0)))=0,"",IF(ISERROR(MATCH(Stock!AP$1,'Stock UST'!$1:$1,0)),AO61,INDEX('Stock UST'!61:61,1,MATCH(Stock!AP$1,'Stock UST'!$1:$1,0))))</f>
        <v/>
      </c>
      <c r="AQ61" s="9" t="str">
        <f ca="1">IF(IF(ISERROR(MATCH(Stock!AQ$1,'Stock UST'!$1:$1,0)),AP61,INDEX('Stock UST'!61:61,1,MATCH(Stock!AQ$1,'Stock UST'!$1:$1,0)))=0,"",IF(ISERROR(MATCH(Stock!AQ$1,'Stock UST'!$1:$1,0)),AP61,INDEX('Stock UST'!61:61,1,MATCH(Stock!AQ$1,'Stock UST'!$1:$1,0))))</f>
        <v/>
      </c>
      <c r="AR61" s="9" t="str">
        <f ca="1">IF(IF(ISERROR(MATCH(Stock!AR$1,'Stock UST'!$1:$1,0)),AQ61,INDEX('Stock UST'!61:61,1,MATCH(Stock!AR$1,'Stock UST'!$1:$1,0)))=0,"",IF(ISERROR(MATCH(Stock!AR$1,'Stock UST'!$1:$1,0)),AQ61,INDEX('Stock UST'!61:61,1,MATCH(Stock!AR$1,'Stock UST'!$1:$1,0))))</f>
        <v/>
      </c>
      <c r="AS61" s="9" t="str">
        <f ca="1">IF(IF(ISERROR(MATCH(Stock!AS$1,'Stock UST'!$1:$1,0)),AR61,INDEX('Stock UST'!61:61,1,MATCH(Stock!AS$1,'Stock UST'!$1:$1,0)))=0,"",IF(ISERROR(MATCH(Stock!AS$1,'Stock UST'!$1:$1,0)),AR61,INDEX('Stock UST'!61:61,1,MATCH(Stock!AS$1,'Stock UST'!$1:$1,0))))</f>
        <v/>
      </c>
      <c r="AT61" s="9" t="str">
        <f ca="1">IF(IF(ISERROR(MATCH(Stock!AT$1,'Stock UST'!$1:$1,0)),AS61,INDEX('Stock UST'!61:61,1,MATCH(Stock!AT$1,'Stock UST'!$1:$1,0)))=0,"",IF(ISERROR(MATCH(Stock!AT$1,'Stock UST'!$1:$1,0)),AS61,INDEX('Stock UST'!61:61,1,MATCH(Stock!AT$1,'Stock UST'!$1:$1,0))))</f>
        <v/>
      </c>
      <c r="AU61" s="9" t="str">
        <f ca="1">IF(IF(ISERROR(MATCH(Stock!AU$1,'Stock UST'!$1:$1,0)),AT61,INDEX('Stock UST'!61:61,1,MATCH(Stock!AU$1,'Stock UST'!$1:$1,0)))=0,"",IF(ISERROR(MATCH(Stock!AU$1,'Stock UST'!$1:$1,0)),AT61,INDEX('Stock UST'!61:61,1,MATCH(Stock!AU$1,'Stock UST'!$1:$1,0))))</f>
        <v/>
      </c>
      <c r="AV61" s="9" t="str">
        <f ca="1">IF(IF(ISERROR(MATCH(Stock!AV$1,'Stock UST'!$1:$1,0)),AU61,INDEX('Stock UST'!61:61,1,MATCH(Stock!AV$1,'Stock UST'!$1:$1,0)))=0,"",IF(ISERROR(MATCH(Stock!AV$1,'Stock UST'!$1:$1,0)),AU61,INDEX('Stock UST'!61:61,1,MATCH(Stock!AV$1,'Stock UST'!$1:$1,0))))</f>
        <v/>
      </c>
      <c r="AW61" s="9" t="str">
        <f ca="1">IF(IF(ISERROR(MATCH(Stock!AW$1,'Stock UST'!$1:$1,0)),AV61,INDEX('Stock UST'!61:61,1,MATCH(Stock!AW$1,'Stock UST'!$1:$1,0)))=0,"",IF(ISERROR(MATCH(Stock!AW$1,'Stock UST'!$1:$1,0)),AV61,INDEX('Stock UST'!61:61,1,MATCH(Stock!AW$1,'Stock UST'!$1:$1,0))))</f>
        <v/>
      </c>
      <c r="AX61" s="9" t="str">
        <f ca="1">IF(IF(ISERROR(MATCH(Stock!AX$1,'Stock UST'!$1:$1,0)),AW61,INDEX('Stock UST'!61:61,1,MATCH(Stock!AX$1,'Stock UST'!$1:$1,0)))=0,"",IF(ISERROR(MATCH(Stock!AX$1,'Stock UST'!$1:$1,0)),AW61,INDEX('Stock UST'!61:61,1,MATCH(Stock!AX$1,'Stock UST'!$1:$1,0))))</f>
        <v/>
      </c>
    </row>
    <row r="62" spans="1:50" x14ac:dyDescent="0.3">
      <c r="A62" s="9" t="str">
        <f>IF('Stock UST'!E62="","",'Stock UST'!E62)</f>
        <v/>
      </c>
      <c r="B62" s="9" t="str">
        <f>IF(IF(ISERROR(MATCH(Stock!B$1,'Stock UST'!$1:$1,0)),A62,INDEX('Stock UST'!62:62,1,MATCH(Stock!B$1,'Stock UST'!$1:$1,0)))=0,"",IF(ISERROR(MATCH(Stock!B$1,'Stock UST'!$1:$1,0)),A62,INDEX('Stock UST'!62:62,1,MATCH(Stock!B$1,'Stock UST'!$1:$1,0))))</f>
        <v/>
      </c>
      <c r="C62" s="9" t="str">
        <f ca="1">IF(IF(ISERROR(MATCH(Stock!C$1,'Stock UST'!$1:$1,0)),B62,INDEX('Stock UST'!62:62,1,MATCH(Stock!C$1,'Stock UST'!$1:$1,0)))=0,"",IF(ISERROR(MATCH(Stock!C$1,'Stock UST'!$1:$1,0)),B62,INDEX('Stock UST'!62:62,1,MATCH(Stock!C$1,'Stock UST'!$1:$1,0))))</f>
        <v/>
      </c>
      <c r="D62" s="9" t="str">
        <f ca="1">IF(IF(ISERROR(MATCH(Stock!D$1,'Stock UST'!$1:$1,0)),C62,INDEX('Stock UST'!62:62,1,MATCH(Stock!D$1,'Stock UST'!$1:$1,0)))=0,"",IF(ISERROR(MATCH(Stock!D$1,'Stock UST'!$1:$1,0)),C62,INDEX('Stock UST'!62:62,1,MATCH(Stock!D$1,'Stock UST'!$1:$1,0))))</f>
        <v/>
      </c>
      <c r="E62" s="9" t="str">
        <f ca="1">IF(IF(ISERROR(MATCH(Stock!E$1,'Stock UST'!$1:$1,0)),D62,INDEX('Stock UST'!62:62,1,MATCH(Stock!E$1,'Stock UST'!$1:$1,0)))=0,"",IF(ISERROR(MATCH(Stock!E$1,'Stock UST'!$1:$1,0)),D62,INDEX('Stock UST'!62:62,1,MATCH(Stock!E$1,'Stock UST'!$1:$1,0))))</f>
        <v/>
      </c>
      <c r="F62" s="9" t="str">
        <f ca="1">IF(IF(ISERROR(MATCH(Stock!F$1,'Stock UST'!$1:$1,0)),E62,INDEX('Stock UST'!62:62,1,MATCH(Stock!F$1,'Stock UST'!$1:$1,0)))=0,"",IF(ISERROR(MATCH(Stock!F$1,'Stock UST'!$1:$1,0)),E62,INDEX('Stock UST'!62:62,1,MATCH(Stock!F$1,'Stock UST'!$1:$1,0))))</f>
        <v/>
      </c>
      <c r="G62" s="9" t="str">
        <f ca="1">IF(IF(ISERROR(MATCH(Stock!G$1,'Stock UST'!$1:$1,0)),F62,INDEX('Stock UST'!62:62,1,MATCH(Stock!G$1,'Stock UST'!$1:$1,0)))=0,"",IF(ISERROR(MATCH(Stock!G$1,'Stock UST'!$1:$1,0)),F62,INDEX('Stock UST'!62:62,1,MATCH(Stock!G$1,'Stock UST'!$1:$1,0))))</f>
        <v/>
      </c>
      <c r="H62" s="9" t="str">
        <f ca="1">IF(IF(ISERROR(MATCH(Stock!H$1,'Stock UST'!$1:$1,0)),G62,INDEX('Stock UST'!62:62,1,MATCH(Stock!H$1,'Stock UST'!$1:$1,0)))=0,"",IF(ISERROR(MATCH(Stock!H$1,'Stock UST'!$1:$1,0)),G62,INDEX('Stock UST'!62:62,1,MATCH(Stock!H$1,'Stock UST'!$1:$1,0))))</f>
        <v/>
      </c>
      <c r="I62" s="9" t="str">
        <f ca="1">IF(IF(ISERROR(MATCH(Stock!I$1,'Stock UST'!$1:$1,0)),H62,INDEX('Stock UST'!62:62,1,MATCH(Stock!I$1,'Stock UST'!$1:$1,0)))=0,"",IF(ISERROR(MATCH(Stock!I$1,'Stock UST'!$1:$1,0)),H62,INDEX('Stock UST'!62:62,1,MATCH(Stock!I$1,'Stock UST'!$1:$1,0))))</f>
        <v/>
      </c>
      <c r="J62" s="9" t="str">
        <f ca="1">IF(IF(ISERROR(MATCH(Stock!J$1,'Stock UST'!$1:$1,0)),I62,INDEX('Stock UST'!62:62,1,MATCH(Stock!J$1,'Stock UST'!$1:$1,0)))=0,"",IF(ISERROR(MATCH(Stock!J$1,'Stock UST'!$1:$1,0)),I62,INDEX('Stock UST'!62:62,1,MATCH(Stock!J$1,'Stock UST'!$1:$1,0))))</f>
        <v/>
      </c>
      <c r="K62" s="9" t="str">
        <f ca="1">IF(IF(ISERROR(MATCH(Stock!K$1,'Stock UST'!$1:$1,0)),J62,INDEX('Stock UST'!62:62,1,MATCH(Stock!K$1,'Stock UST'!$1:$1,0)))=0,"",IF(ISERROR(MATCH(Stock!K$1,'Stock UST'!$1:$1,0)),J62,INDEX('Stock UST'!62:62,1,MATCH(Stock!K$1,'Stock UST'!$1:$1,0))))</f>
        <v/>
      </c>
      <c r="L62" s="9" t="str">
        <f ca="1">IF(IF(ISERROR(MATCH(Stock!L$1,'Stock UST'!$1:$1,0)),K62,INDEX('Stock UST'!62:62,1,MATCH(Stock!L$1,'Stock UST'!$1:$1,0)))=0,"",IF(ISERROR(MATCH(Stock!L$1,'Stock UST'!$1:$1,0)),K62,INDEX('Stock UST'!62:62,1,MATCH(Stock!L$1,'Stock UST'!$1:$1,0))))</f>
        <v/>
      </c>
      <c r="M62" s="9" t="str">
        <f ca="1">IF(IF(ISERROR(MATCH(Stock!M$1,'Stock UST'!$1:$1,0)),L62,INDEX('Stock UST'!62:62,1,MATCH(Stock!M$1,'Stock UST'!$1:$1,0)))=0,"",IF(ISERROR(MATCH(Stock!M$1,'Stock UST'!$1:$1,0)),L62,INDEX('Stock UST'!62:62,1,MATCH(Stock!M$1,'Stock UST'!$1:$1,0))))</f>
        <v/>
      </c>
      <c r="N62" s="9" t="str">
        <f ca="1">IF(IF(ISERROR(MATCH(Stock!N$1,'Stock UST'!$1:$1,0)),M62,INDEX('Stock UST'!62:62,1,MATCH(Stock!N$1,'Stock UST'!$1:$1,0)))=0,"",IF(ISERROR(MATCH(Stock!N$1,'Stock UST'!$1:$1,0)),M62,INDEX('Stock UST'!62:62,1,MATCH(Stock!N$1,'Stock UST'!$1:$1,0))))</f>
        <v/>
      </c>
      <c r="O62" s="9" t="str">
        <f ca="1">IF(IF(ISERROR(MATCH(Stock!O$1,'Stock UST'!$1:$1,0)),N62,INDEX('Stock UST'!62:62,1,MATCH(Stock!O$1,'Stock UST'!$1:$1,0)))=0,"",IF(ISERROR(MATCH(Stock!O$1,'Stock UST'!$1:$1,0)),N62,INDEX('Stock UST'!62:62,1,MATCH(Stock!O$1,'Stock UST'!$1:$1,0))))</f>
        <v/>
      </c>
      <c r="P62" s="9" t="str">
        <f ca="1">IF(IF(ISERROR(MATCH(Stock!P$1,'Stock UST'!$1:$1,0)),O62,INDEX('Stock UST'!62:62,1,MATCH(Stock!P$1,'Stock UST'!$1:$1,0)))=0,"",IF(ISERROR(MATCH(Stock!P$1,'Stock UST'!$1:$1,0)),O62,INDEX('Stock UST'!62:62,1,MATCH(Stock!P$1,'Stock UST'!$1:$1,0))))</f>
        <v/>
      </c>
      <c r="Q62" s="9" t="str">
        <f ca="1">IF(IF(ISERROR(MATCH(Stock!Q$1,'Stock UST'!$1:$1,0)),P62,INDEX('Stock UST'!62:62,1,MATCH(Stock!Q$1,'Stock UST'!$1:$1,0)))=0,"",IF(ISERROR(MATCH(Stock!Q$1,'Stock UST'!$1:$1,0)),P62,INDEX('Stock UST'!62:62,1,MATCH(Stock!Q$1,'Stock UST'!$1:$1,0))))</f>
        <v/>
      </c>
      <c r="R62" s="9" t="str">
        <f ca="1">IF(IF(ISERROR(MATCH(Stock!R$1,'Stock UST'!$1:$1,0)),Q62,INDEX('Stock UST'!62:62,1,MATCH(Stock!R$1,'Stock UST'!$1:$1,0)))=0,"",IF(ISERROR(MATCH(Stock!R$1,'Stock UST'!$1:$1,0)),Q62,INDEX('Stock UST'!62:62,1,MATCH(Stock!R$1,'Stock UST'!$1:$1,0))))</f>
        <v/>
      </c>
      <c r="S62" s="9" t="str">
        <f ca="1">IF(IF(ISERROR(MATCH(Stock!S$1,'Stock UST'!$1:$1,0)),R62,INDEX('Stock UST'!62:62,1,MATCH(Stock!S$1,'Stock UST'!$1:$1,0)))=0,"",IF(ISERROR(MATCH(Stock!S$1,'Stock UST'!$1:$1,0)),R62,INDEX('Stock UST'!62:62,1,MATCH(Stock!S$1,'Stock UST'!$1:$1,0))))</f>
        <v/>
      </c>
      <c r="T62" s="9" t="str">
        <f ca="1">IF(IF(ISERROR(MATCH(Stock!T$1,'Stock UST'!$1:$1,0)),S62,INDEX('Stock UST'!62:62,1,MATCH(Stock!T$1,'Stock UST'!$1:$1,0)))=0,"",IF(ISERROR(MATCH(Stock!T$1,'Stock UST'!$1:$1,0)),S62,INDEX('Stock UST'!62:62,1,MATCH(Stock!T$1,'Stock UST'!$1:$1,0))))</f>
        <v/>
      </c>
      <c r="U62" s="9" t="str">
        <f ca="1">IF(IF(ISERROR(MATCH(Stock!U$1,'Stock UST'!$1:$1,0)),T62,INDEX('Stock UST'!62:62,1,MATCH(Stock!U$1,'Stock UST'!$1:$1,0)))=0,"",IF(ISERROR(MATCH(Stock!U$1,'Stock UST'!$1:$1,0)),T62,INDEX('Stock UST'!62:62,1,MATCH(Stock!U$1,'Stock UST'!$1:$1,0))))</f>
        <v/>
      </c>
      <c r="V62" s="9" t="str">
        <f ca="1">IF(IF(ISERROR(MATCH(Stock!V$1,'Stock UST'!$1:$1,0)),U62,INDEX('Stock UST'!62:62,1,MATCH(Stock!V$1,'Stock UST'!$1:$1,0)))=0,"",IF(ISERROR(MATCH(Stock!V$1,'Stock UST'!$1:$1,0)),U62,INDEX('Stock UST'!62:62,1,MATCH(Stock!V$1,'Stock UST'!$1:$1,0))))</f>
        <v/>
      </c>
      <c r="W62" s="9" t="str">
        <f ca="1">IF(IF(ISERROR(MATCH(Stock!W$1,'Stock UST'!$1:$1,0)),V62,INDEX('Stock UST'!62:62,1,MATCH(Stock!W$1,'Stock UST'!$1:$1,0)))=0,"",IF(ISERROR(MATCH(Stock!W$1,'Stock UST'!$1:$1,0)),V62,INDEX('Stock UST'!62:62,1,MATCH(Stock!W$1,'Stock UST'!$1:$1,0))))</f>
        <v/>
      </c>
      <c r="X62" s="9" t="str">
        <f ca="1">IF(IF(ISERROR(MATCH(Stock!X$1,'Stock UST'!$1:$1,0)),W62,INDEX('Stock UST'!62:62,1,MATCH(Stock!X$1,'Stock UST'!$1:$1,0)))=0,"",IF(ISERROR(MATCH(Stock!X$1,'Stock UST'!$1:$1,0)),W62,INDEX('Stock UST'!62:62,1,MATCH(Stock!X$1,'Stock UST'!$1:$1,0))))</f>
        <v/>
      </c>
      <c r="Y62" s="9" t="str">
        <f ca="1">IF(IF(ISERROR(MATCH(Stock!Y$1,'Stock UST'!$1:$1,0)),X62,INDEX('Stock UST'!62:62,1,MATCH(Stock!Y$1,'Stock UST'!$1:$1,0)))=0,"",IF(ISERROR(MATCH(Stock!Y$1,'Stock UST'!$1:$1,0)),X62,INDEX('Stock UST'!62:62,1,MATCH(Stock!Y$1,'Stock UST'!$1:$1,0))))</f>
        <v/>
      </c>
      <c r="Z62" s="9" t="str">
        <f ca="1">IF(IF(ISERROR(MATCH(Stock!Z$1,'Stock UST'!$1:$1,0)),Y62,INDEX('Stock UST'!62:62,1,MATCH(Stock!Z$1,'Stock UST'!$1:$1,0)))=0,"",IF(ISERROR(MATCH(Stock!Z$1,'Stock UST'!$1:$1,0)),Y62,INDEX('Stock UST'!62:62,1,MATCH(Stock!Z$1,'Stock UST'!$1:$1,0))))</f>
        <v/>
      </c>
      <c r="AA62" s="9" t="str">
        <f ca="1">IF(IF(ISERROR(MATCH(Stock!AA$1,'Stock UST'!$1:$1,0)),Z62,INDEX('Stock UST'!62:62,1,MATCH(Stock!AA$1,'Stock UST'!$1:$1,0)))=0,"",IF(ISERROR(MATCH(Stock!AA$1,'Stock UST'!$1:$1,0)),Z62,INDEX('Stock UST'!62:62,1,MATCH(Stock!AA$1,'Stock UST'!$1:$1,0))))</f>
        <v/>
      </c>
      <c r="AB62" s="9" t="str">
        <f ca="1">IF(IF(ISERROR(MATCH(Stock!AB$1,'Stock UST'!$1:$1,0)),AA62,INDEX('Stock UST'!62:62,1,MATCH(Stock!AB$1,'Stock UST'!$1:$1,0)))=0,"",IF(ISERROR(MATCH(Stock!AB$1,'Stock UST'!$1:$1,0)),AA62,INDEX('Stock UST'!62:62,1,MATCH(Stock!AB$1,'Stock UST'!$1:$1,0))))</f>
        <v/>
      </c>
      <c r="AC62" s="9" t="str">
        <f ca="1">IF(IF(ISERROR(MATCH(Stock!AC$1,'Stock UST'!$1:$1,0)),AB62,INDEX('Stock UST'!62:62,1,MATCH(Stock!AC$1,'Stock UST'!$1:$1,0)))=0,"",IF(ISERROR(MATCH(Stock!AC$1,'Stock UST'!$1:$1,0)),AB62,INDEX('Stock UST'!62:62,1,MATCH(Stock!AC$1,'Stock UST'!$1:$1,0))))</f>
        <v/>
      </c>
      <c r="AD62" s="9" t="str">
        <f ca="1">IF(IF(ISERROR(MATCH(Stock!AD$1,'Stock UST'!$1:$1,0)),AC62,INDEX('Stock UST'!62:62,1,MATCH(Stock!AD$1,'Stock UST'!$1:$1,0)))=0,"",IF(ISERROR(MATCH(Stock!AD$1,'Stock UST'!$1:$1,0)),AC62,INDEX('Stock UST'!62:62,1,MATCH(Stock!AD$1,'Stock UST'!$1:$1,0))))</f>
        <v/>
      </c>
      <c r="AE62" s="9" t="str">
        <f ca="1">IF(IF(ISERROR(MATCH(Stock!AE$1,'Stock UST'!$1:$1,0)),AD62,INDEX('Stock UST'!62:62,1,MATCH(Stock!AE$1,'Stock UST'!$1:$1,0)))=0,"",IF(ISERROR(MATCH(Stock!AE$1,'Stock UST'!$1:$1,0)),AD62,INDEX('Stock UST'!62:62,1,MATCH(Stock!AE$1,'Stock UST'!$1:$1,0))))</f>
        <v/>
      </c>
      <c r="AF62" s="9" t="str">
        <f ca="1">IF(IF(ISERROR(MATCH(Stock!AF$1,'Stock UST'!$1:$1,0)),AE62,INDEX('Stock UST'!62:62,1,MATCH(Stock!AF$1,'Stock UST'!$1:$1,0)))=0,"",IF(ISERROR(MATCH(Stock!AF$1,'Stock UST'!$1:$1,0)),AE62,INDEX('Stock UST'!62:62,1,MATCH(Stock!AF$1,'Stock UST'!$1:$1,0))))</f>
        <v/>
      </c>
      <c r="AG62" s="9" t="str">
        <f ca="1">IF(IF(ISERROR(MATCH(Stock!AG$1,'Stock UST'!$1:$1,0)),AF62,INDEX('Stock UST'!62:62,1,MATCH(Stock!AG$1,'Stock UST'!$1:$1,0)))=0,"",IF(ISERROR(MATCH(Stock!AG$1,'Stock UST'!$1:$1,0)),AF62,INDEX('Stock UST'!62:62,1,MATCH(Stock!AG$1,'Stock UST'!$1:$1,0))))</f>
        <v/>
      </c>
      <c r="AH62" s="9" t="str">
        <f ca="1">IF(IF(ISERROR(MATCH(Stock!AH$1,'Stock UST'!$1:$1,0)),AG62,INDEX('Stock UST'!62:62,1,MATCH(Stock!AH$1,'Stock UST'!$1:$1,0)))=0,"",IF(ISERROR(MATCH(Stock!AH$1,'Stock UST'!$1:$1,0)),AG62,INDEX('Stock UST'!62:62,1,MATCH(Stock!AH$1,'Stock UST'!$1:$1,0))))</f>
        <v/>
      </c>
      <c r="AI62" s="9" t="str">
        <f ca="1">IF(IF(ISERROR(MATCH(Stock!AI$1,'Stock UST'!$1:$1,0)),AH62,INDEX('Stock UST'!62:62,1,MATCH(Stock!AI$1,'Stock UST'!$1:$1,0)))=0,"",IF(ISERROR(MATCH(Stock!AI$1,'Stock UST'!$1:$1,0)),AH62,INDEX('Stock UST'!62:62,1,MATCH(Stock!AI$1,'Stock UST'!$1:$1,0))))</f>
        <v/>
      </c>
      <c r="AJ62" s="9" t="str">
        <f ca="1">IF(IF(ISERROR(MATCH(Stock!AJ$1,'Stock UST'!$1:$1,0)),AI62,INDEX('Stock UST'!62:62,1,MATCH(Stock!AJ$1,'Stock UST'!$1:$1,0)))=0,"",IF(ISERROR(MATCH(Stock!AJ$1,'Stock UST'!$1:$1,0)),AI62,INDEX('Stock UST'!62:62,1,MATCH(Stock!AJ$1,'Stock UST'!$1:$1,0))))</f>
        <v/>
      </c>
      <c r="AK62" s="9" t="str">
        <f ca="1">IF(IF(ISERROR(MATCH(Stock!AK$1,'Stock UST'!$1:$1,0)),AJ62,INDEX('Stock UST'!62:62,1,MATCH(Stock!AK$1,'Stock UST'!$1:$1,0)))=0,"",IF(ISERROR(MATCH(Stock!AK$1,'Stock UST'!$1:$1,0)),AJ62,INDEX('Stock UST'!62:62,1,MATCH(Stock!AK$1,'Stock UST'!$1:$1,0))))</f>
        <v/>
      </c>
      <c r="AL62" s="9" t="str">
        <f ca="1">IF(IF(ISERROR(MATCH(Stock!AL$1,'Stock UST'!$1:$1,0)),AK62,INDEX('Stock UST'!62:62,1,MATCH(Stock!AL$1,'Stock UST'!$1:$1,0)))=0,"",IF(ISERROR(MATCH(Stock!AL$1,'Stock UST'!$1:$1,0)),AK62,INDEX('Stock UST'!62:62,1,MATCH(Stock!AL$1,'Stock UST'!$1:$1,0))))</f>
        <v/>
      </c>
      <c r="AM62" s="9" t="str">
        <f ca="1">IF(IF(ISERROR(MATCH(Stock!AM$1,'Stock UST'!$1:$1,0)),AL62,INDEX('Stock UST'!62:62,1,MATCH(Stock!AM$1,'Stock UST'!$1:$1,0)))=0,"",IF(ISERROR(MATCH(Stock!AM$1,'Stock UST'!$1:$1,0)),AL62,INDEX('Stock UST'!62:62,1,MATCH(Stock!AM$1,'Stock UST'!$1:$1,0))))</f>
        <v/>
      </c>
      <c r="AN62" s="9" t="str">
        <f ca="1">IF(IF(ISERROR(MATCH(Stock!AN$1,'Stock UST'!$1:$1,0)),AM62,INDEX('Stock UST'!62:62,1,MATCH(Stock!AN$1,'Stock UST'!$1:$1,0)))=0,"",IF(ISERROR(MATCH(Stock!AN$1,'Stock UST'!$1:$1,0)),AM62,INDEX('Stock UST'!62:62,1,MATCH(Stock!AN$1,'Stock UST'!$1:$1,0))))</f>
        <v/>
      </c>
      <c r="AO62" s="9" t="str">
        <f ca="1">IF(IF(ISERROR(MATCH(Stock!AO$1,'Stock UST'!$1:$1,0)),AN62,INDEX('Stock UST'!62:62,1,MATCH(Stock!AO$1,'Stock UST'!$1:$1,0)))=0,"",IF(ISERROR(MATCH(Stock!AO$1,'Stock UST'!$1:$1,0)),AN62,INDEX('Stock UST'!62:62,1,MATCH(Stock!AO$1,'Stock UST'!$1:$1,0))))</f>
        <v/>
      </c>
      <c r="AP62" s="9" t="str">
        <f ca="1">IF(IF(ISERROR(MATCH(Stock!AP$1,'Stock UST'!$1:$1,0)),AO62,INDEX('Stock UST'!62:62,1,MATCH(Stock!AP$1,'Stock UST'!$1:$1,0)))=0,"",IF(ISERROR(MATCH(Stock!AP$1,'Stock UST'!$1:$1,0)),AO62,INDEX('Stock UST'!62:62,1,MATCH(Stock!AP$1,'Stock UST'!$1:$1,0))))</f>
        <v/>
      </c>
      <c r="AQ62" s="9" t="str">
        <f ca="1">IF(IF(ISERROR(MATCH(Stock!AQ$1,'Stock UST'!$1:$1,0)),AP62,INDEX('Stock UST'!62:62,1,MATCH(Stock!AQ$1,'Stock UST'!$1:$1,0)))=0,"",IF(ISERROR(MATCH(Stock!AQ$1,'Stock UST'!$1:$1,0)),AP62,INDEX('Stock UST'!62:62,1,MATCH(Stock!AQ$1,'Stock UST'!$1:$1,0))))</f>
        <v/>
      </c>
      <c r="AR62" s="9" t="str">
        <f ca="1">IF(IF(ISERROR(MATCH(Stock!AR$1,'Stock UST'!$1:$1,0)),AQ62,INDEX('Stock UST'!62:62,1,MATCH(Stock!AR$1,'Stock UST'!$1:$1,0)))=0,"",IF(ISERROR(MATCH(Stock!AR$1,'Stock UST'!$1:$1,0)),AQ62,INDEX('Stock UST'!62:62,1,MATCH(Stock!AR$1,'Stock UST'!$1:$1,0))))</f>
        <v/>
      </c>
      <c r="AS62" s="9" t="str">
        <f ca="1">IF(IF(ISERROR(MATCH(Stock!AS$1,'Stock UST'!$1:$1,0)),AR62,INDEX('Stock UST'!62:62,1,MATCH(Stock!AS$1,'Stock UST'!$1:$1,0)))=0,"",IF(ISERROR(MATCH(Stock!AS$1,'Stock UST'!$1:$1,0)),AR62,INDEX('Stock UST'!62:62,1,MATCH(Stock!AS$1,'Stock UST'!$1:$1,0))))</f>
        <v/>
      </c>
      <c r="AT62" s="9" t="str">
        <f ca="1">IF(IF(ISERROR(MATCH(Stock!AT$1,'Stock UST'!$1:$1,0)),AS62,INDEX('Stock UST'!62:62,1,MATCH(Stock!AT$1,'Stock UST'!$1:$1,0)))=0,"",IF(ISERROR(MATCH(Stock!AT$1,'Stock UST'!$1:$1,0)),AS62,INDEX('Stock UST'!62:62,1,MATCH(Stock!AT$1,'Stock UST'!$1:$1,0))))</f>
        <v/>
      </c>
      <c r="AU62" s="9" t="str">
        <f ca="1">IF(IF(ISERROR(MATCH(Stock!AU$1,'Stock UST'!$1:$1,0)),AT62,INDEX('Stock UST'!62:62,1,MATCH(Stock!AU$1,'Stock UST'!$1:$1,0)))=0,"",IF(ISERROR(MATCH(Stock!AU$1,'Stock UST'!$1:$1,0)),AT62,INDEX('Stock UST'!62:62,1,MATCH(Stock!AU$1,'Stock UST'!$1:$1,0))))</f>
        <v/>
      </c>
      <c r="AV62" s="9" t="str">
        <f ca="1">IF(IF(ISERROR(MATCH(Stock!AV$1,'Stock UST'!$1:$1,0)),AU62,INDEX('Stock UST'!62:62,1,MATCH(Stock!AV$1,'Stock UST'!$1:$1,0)))=0,"",IF(ISERROR(MATCH(Stock!AV$1,'Stock UST'!$1:$1,0)),AU62,INDEX('Stock UST'!62:62,1,MATCH(Stock!AV$1,'Stock UST'!$1:$1,0))))</f>
        <v/>
      </c>
      <c r="AW62" s="9" t="str">
        <f ca="1">IF(IF(ISERROR(MATCH(Stock!AW$1,'Stock UST'!$1:$1,0)),AV62,INDEX('Stock UST'!62:62,1,MATCH(Stock!AW$1,'Stock UST'!$1:$1,0)))=0,"",IF(ISERROR(MATCH(Stock!AW$1,'Stock UST'!$1:$1,0)),AV62,INDEX('Stock UST'!62:62,1,MATCH(Stock!AW$1,'Stock UST'!$1:$1,0))))</f>
        <v/>
      </c>
      <c r="AX62" s="9" t="str">
        <f ca="1">IF(IF(ISERROR(MATCH(Stock!AX$1,'Stock UST'!$1:$1,0)),AW62,INDEX('Stock UST'!62:62,1,MATCH(Stock!AX$1,'Stock UST'!$1:$1,0)))=0,"",IF(ISERROR(MATCH(Stock!AX$1,'Stock UST'!$1:$1,0)),AW62,INDEX('Stock UST'!62:62,1,MATCH(Stock!AX$1,'Stock UST'!$1:$1,0))))</f>
        <v/>
      </c>
    </row>
    <row r="63" spans="1:50" x14ac:dyDescent="0.3">
      <c r="A63" s="9" t="str">
        <f>IF('Stock UST'!E63="","",'Stock UST'!E63)</f>
        <v/>
      </c>
      <c r="B63" s="9" t="str">
        <f>IF(IF(ISERROR(MATCH(Stock!B$1,'Stock UST'!$1:$1,0)),A63,INDEX('Stock UST'!63:63,1,MATCH(Stock!B$1,'Stock UST'!$1:$1,0)))=0,"",IF(ISERROR(MATCH(Stock!B$1,'Stock UST'!$1:$1,0)),A63,INDEX('Stock UST'!63:63,1,MATCH(Stock!B$1,'Stock UST'!$1:$1,0))))</f>
        <v/>
      </c>
      <c r="C63" s="9" t="str">
        <f ca="1">IF(IF(ISERROR(MATCH(Stock!C$1,'Stock UST'!$1:$1,0)),B63,INDEX('Stock UST'!63:63,1,MATCH(Stock!C$1,'Stock UST'!$1:$1,0)))=0,"",IF(ISERROR(MATCH(Stock!C$1,'Stock UST'!$1:$1,0)),B63,INDEX('Stock UST'!63:63,1,MATCH(Stock!C$1,'Stock UST'!$1:$1,0))))</f>
        <v/>
      </c>
      <c r="D63" s="9" t="str">
        <f ca="1">IF(IF(ISERROR(MATCH(Stock!D$1,'Stock UST'!$1:$1,0)),C63,INDEX('Stock UST'!63:63,1,MATCH(Stock!D$1,'Stock UST'!$1:$1,0)))=0,"",IF(ISERROR(MATCH(Stock!D$1,'Stock UST'!$1:$1,0)),C63,INDEX('Stock UST'!63:63,1,MATCH(Stock!D$1,'Stock UST'!$1:$1,0))))</f>
        <v/>
      </c>
      <c r="E63" s="9" t="str">
        <f ca="1">IF(IF(ISERROR(MATCH(Stock!E$1,'Stock UST'!$1:$1,0)),D63,INDEX('Stock UST'!63:63,1,MATCH(Stock!E$1,'Stock UST'!$1:$1,0)))=0,"",IF(ISERROR(MATCH(Stock!E$1,'Stock UST'!$1:$1,0)),D63,INDEX('Stock UST'!63:63,1,MATCH(Stock!E$1,'Stock UST'!$1:$1,0))))</f>
        <v/>
      </c>
      <c r="F63" s="9" t="str">
        <f ca="1">IF(IF(ISERROR(MATCH(Stock!F$1,'Stock UST'!$1:$1,0)),E63,INDEX('Stock UST'!63:63,1,MATCH(Stock!F$1,'Stock UST'!$1:$1,0)))=0,"",IF(ISERROR(MATCH(Stock!F$1,'Stock UST'!$1:$1,0)),E63,INDEX('Stock UST'!63:63,1,MATCH(Stock!F$1,'Stock UST'!$1:$1,0))))</f>
        <v/>
      </c>
      <c r="G63" s="9" t="str">
        <f ca="1">IF(IF(ISERROR(MATCH(Stock!G$1,'Stock UST'!$1:$1,0)),F63,INDEX('Stock UST'!63:63,1,MATCH(Stock!G$1,'Stock UST'!$1:$1,0)))=0,"",IF(ISERROR(MATCH(Stock!G$1,'Stock UST'!$1:$1,0)),F63,INDEX('Stock UST'!63:63,1,MATCH(Stock!G$1,'Stock UST'!$1:$1,0))))</f>
        <v/>
      </c>
      <c r="H63" s="9" t="str">
        <f ca="1">IF(IF(ISERROR(MATCH(Stock!H$1,'Stock UST'!$1:$1,0)),G63,INDEX('Stock UST'!63:63,1,MATCH(Stock!H$1,'Stock UST'!$1:$1,0)))=0,"",IF(ISERROR(MATCH(Stock!H$1,'Stock UST'!$1:$1,0)),G63,INDEX('Stock UST'!63:63,1,MATCH(Stock!H$1,'Stock UST'!$1:$1,0))))</f>
        <v/>
      </c>
      <c r="I63" s="9" t="str">
        <f ca="1">IF(IF(ISERROR(MATCH(Stock!I$1,'Stock UST'!$1:$1,0)),H63,INDEX('Stock UST'!63:63,1,MATCH(Stock!I$1,'Stock UST'!$1:$1,0)))=0,"",IF(ISERROR(MATCH(Stock!I$1,'Stock UST'!$1:$1,0)),H63,INDEX('Stock UST'!63:63,1,MATCH(Stock!I$1,'Stock UST'!$1:$1,0))))</f>
        <v/>
      </c>
      <c r="J63" s="9" t="str">
        <f ca="1">IF(IF(ISERROR(MATCH(Stock!J$1,'Stock UST'!$1:$1,0)),I63,INDEX('Stock UST'!63:63,1,MATCH(Stock!J$1,'Stock UST'!$1:$1,0)))=0,"",IF(ISERROR(MATCH(Stock!J$1,'Stock UST'!$1:$1,0)),I63,INDEX('Stock UST'!63:63,1,MATCH(Stock!J$1,'Stock UST'!$1:$1,0))))</f>
        <v/>
      </c>
      <c r="K63" s="9" t="str">
        <f ca="1">IF(IF(ISERROR(MATCH(Stock!K$1,'Stock UST'!$1:$1,0)),J63,INDEX('Stock UST'!63:63,1,MATCH(Stock!K$1,'Stock UST'!$1:$1,0)))=0,"",IF(ISERROR(MATCH(Stock!K$1,'Stock UST'!$1:$1,0)),J63,INDEX('Stock UST'!63:63,1,MATCH(Stock!K$1,'Stock UST'!$1:$1,0))))</f>
        <v/>
      </c>
      <c r="L63" s="9" t="str">
        <f ca="1">IF(IF(ISERROR(MATCH(Stock!L$1,'Stock UST'!$1:$1,0)),K63,INDEX('Stock UST'!63:63,1,MATCH(Stock!L$1,'Stock UST'!$1:$1,0)))=0,"",IF(ISERROR(MATCH(Stock!L$1,'Stock UST'!$1:$1,0)),K63,INDEX('Stock UST'!63:63,1,MATCH(Stock!L$1,'Stock UST'!$1:$1,0))))</f>
        <v/>
      </c>
      <c r="M63" s="9" t="str">
        <f ca="1">IF(IF(ISERROR(MATCH(Stock!M$1,'Stock UST'!$1:$1,0)),L63,INDEX('Stock UST'!63:63,1,MATCH(Stock!M$1,'Stock UST'!$1:$1,0)))=0,"",IF(ISERROR(MATCH(Stock!M$1,'Stock UST'!$1:$1,0)),L63,INDEX('Stock UST'!63:63,1,MATCH(Stock!M$1,'Stock UST'!$1:$1,0))))</f>
        <v/>
      </c>
      <c r="N63" s="9" t="str">
        <f ca="1">IF(IF(ISERROR(MATCH(Stock!N$1,'Stock UST'!$1:$1,0)),M63,INDEX('Stock UST'!63:63,1,MATCH(Stock!N$1,'Stock UST'!$1:$1,0)))=0,"",IF(ISERROR(MATCH(Stock!N$1,'Stock UST'!$1:$1,0)),M63,INDEX('Stock UST'!63:63,1,MATCH(Stock!N$1,'Stock UST'!$1:$1,0))))</f>
        <v/>
      </c>
      <c r="O63" s="9" t="str">
        <f ca="1">IF(IF(ISERROR(MATCH(Stock!O$1,'Stock UST'!$1:$1,0)),N63,INDEX('Stock UST'!63:63,1,MATCH(Stock!O$1,'Stock UST'!$1:$1,0)))=0,"",IF(ISERROR(MATCH(Stock!O$1,'Stock UST'!$1:$1,0)),N63,INDEX('Stock UST'!63:63,1,MATCH(Stock!O$1,'Stock UST'!$1:$1,0))))</f>
        <v/>
      </c>
      <c r="P63" s="9" t="str">
        <f ca="1">IF(IF(ISERROR(MATCH(Stock!P$1,'Stock UST'!$1:$1,0)),O63,INDEX('Stock UST'!63:63,1,MATCH(Stock!P$1,'Stock UST'!$1:$1,0)))=0,"",IF(ISERROR(MATCH(Stock!P$1,'Stock UST'!$1:$1,0)),O63,INDEX('Stock UST'!63:63,1,MATCH(Stock!P$1,'Stock UST'!$1:$1,0))))</f>
        <v/>
      </c>
      <c r="Q63" s="9" t="str">
        <f ca="1">IF(IF(ISERROR(MATCH(Stock!Q$1,'Stock UST'!$1:$1,0)),P63,INDEX('Stock UST'!63:63,1,MATCH(Stock!Q$1,'Stock UST'!$1:$1,0)))=0,"",IF(ISERROR(MATCH(Stock!Q$1,'Stock UST'!$1:$1,0)),P63,INDEX('Stock UST'!63:63,1,MATCH(Stock!Q$1,'Stock UST'!$1:$1,0))))</f>
        <v/>
      </c>
      <c r="R63" s="9" t="str">
        <f ca="1">IF(IF(ISERROR(MATCH(Stock!R$1,'Stock UST'!$1:$1,0)),Q63,INDEX('Stock UST'!63:63,1,MATCH(Stock!R$1,'Stock UST'!$1:$1,0)))=0,"",IF(ISERROR(MATCH(Stock!R$1,'Stock UST'!$1:$1,0)),Q63,INDEX('Stock UST'!63:63,1,MATCH(Stock!R$1,'Stock UST'!$1:$1,0))))</f>
        <v/>
      </c>
      <c r="S63" s="9" t="str">
        <f ca="1">IF(IF(ISERROR(MATCH(Stock!S$1,'Stock UST'!$1:$1,0)),R63,INDEX('Stock UST'!63:63,1,MATCH(Stock!S$1,'Stock UST'!$1:$1,0)))=0,"",IF(ISERROR(MATCH(Stock!S$1,'Stock UST'!$1:$1,0)),R63,INDEX('Stock UST'!63:63,1,MATCH(Stock!S$1,'Stock UST'!$1:$1,0))))</f>
        <v/>
      </c>
      <c r="T63" s="9" t="str">
        <f ca="1">IF(IF(ISERROR(MATCH(Stock!T$1,'Stock UST'!$1:$1,0)),S63,INDEX('Stock UST'!63:63,1,MATCH(Stock!T$1,'Stock UST'!$1:$1,0)))=0,"",IF(ISERROR(MATCH(Stock!T$1,'Stock UST'!$1:$1,0)),S63,INDEX('Stock UST'!63:63,1,MATCH(Stock!T$1,'Stock UST'!$1:$1,0))))</f>
        <v/>
      </c>
      <c r="U63" s="9" t="str">
        <f ca="1">IF(IF(ISERROR(MATCH(Stock!U$1,'Stock UST'!$1:$1,0)),T63,INDEX('Stock UST'!63:63,1,MATCH(Stock!U$1,'Stock UST'!$1:$1,0)))=0,"",IF(ISERROR(MATCH(Stock!U$1,'Stock UST'!$1:$1,0)),T63,INDEX('Stock UST'!63:63,1,MATCH(Stock!U$1,'Stock UST'!$1:$1,0))))</f>
        <v/>
      </c>
      <c r="V63" s="9" t="str">
        <f ca="1">IF(IF(ISERROR(MATCH(Stock!V$1,'Stock UST'!$1:$1,0)),U63,INDEX('Stock UST'!63:63,1,MATCH(Stock!V$1,'Stock UST'!$1:$1,0)))=0,"",IF(ISERROR(MATCH(Stock!V$1,'Stock UST'!$1:$1,0)),U63,INDEX('Stock UST'!63:63,1,MATCH(Stock!V$1,'Stock UST'!$1:$1,0))))</f>
        <v/>
      </c>
      <c r="W63" s="9" t="str">
        <f ca="1">IF(IF(ISERROR(MATCH(Stock!W$1,'Stock UST'!$1:$1,0)),V63,INDEX('Stock UST'!63:63,1,MATCH(Stock!W$1,'Stock UST'!$1:$1,0)))=0,"",IF(ISERROR(MATCH(Stock!W$1,'Stock UST'!$1:$1,0)),V63,INDEX('Stock UST'!63:63,1,MATCH(Stock!W$1,'Stock UST'!$1:$1,0))))</f>
        <v/>
      </c>
      <c r="X63" s="9" t="str">
        <f ca="1">IF(IF(ISERROR(MATCH(Stock!X$1,'Stock UST'!$1:$1,0)),W63,INDEX('Stock UST'!63:63,1,MATCH(Stock!X$1,'Stock UST'!$1:$1,0)))=0,"",IF(ISERROR(MATCH(Stock!X$1,'Stock UST'!$1:$1,0)),W63,INDEX('Stock UST'!63:63,1,MATCH(Stock!X$1,'Stock UST'!$1:$1,0))))</f>
        <v/>
      </c>
      <c r="Y63" s="9" t="str">
        <f ca="1">IF(IF(ISERROR(MATCH(Stock!Y$1,'Stock UST'!$1:$1,0)),X63,INDEX('Stock UST'!63:63,1,MATCH(Stock!Y$1,'Stock UST'!$1:$1,0)))=0,"",IF(ISERROR(MATCH(Stock!Y$1,'Stock UST'!$1:$1,0)),X63,INDEX('Stock UST'!63:63,1,MATCH(Stock!Y$1,'Stock UST'!$1:$1,0))))</f>
        <v/>
      </c>
      <c r="Z63" s="9" t="str">
        <f ca="1">IF(IF(ISERROR(MATCH(Stock!Z$1,'Stock UST'!$1:$1,0)),Y63,INDEX('Stock UST'!63:63,1,MATCH(Stock!Z$1,'Stock UST'!$1:$1,0)))=0,"",IF(ISERROR(MATCH(Stock!Z$1,'Stock UST'!$1:$1,0)),Y63,INDEX('Stock UST'!63:63,1,MATCH(Stock!Z$1,'Stock UST'!$1:$1,0))))</f>
        <v/>
      </c>
      <c r="AA63" s="9" t="str">
        <f ca="1">IF(IF(ISERROR(MATCH(Stock!AA$1,'Stock UST'!$1:$1,0)),Z63,INDEX('Stock UST'!63:63,1,MATCH(Stock!AA$1,'Stock UST'!$1:$1,0)))=0,"",IF(ISERROR(MATCH(Stock!AA$1,'Stock UST'!$1:$1,0)),Z63,INDEX('Stock UST'!63:63,1,MATCH(Stock!AA$1,'Stock UST'!$1:$1,0))))</f>
        <v/>
      </c>
      <c r="AB63" s="9" t="str">
        <f ca="1">IF(IF(ISERROR(MATCH(Stock!AB$1,'Stock UST'!$1:$1,0)),AA63,INDEX('Stock UST'!63:63,1,MATCH(Stock!AB$1,'Stock UST'!$1:$1,0)))=0,"",IF(ISERROR(MATCH(Stock!AB$1,'Stock UST'!$1:$1,0)),AA63,INDEX('Stock UST'!63:63,1,MATCH(Stock!AB$1,'Stock UST'!$1:$1,0))))</f>
        <v/>
      </c>
      <c r="AC63" s="9" t="str">
        <f ca="1">IF(IF(ISERROR(MATCH(Stock!AC$1,'Stock UST'!$1:$1,0)),AB63,INDEX('Stock UST'!63:63,1,MATCH(Stock!AC$1,'Stock UST'!$1:$1,0)))=0,"",IF(ISERROR(MATCH(Stock!AC$1,'Stock UST'!$1:$1,0)),AB63,INDEX('Stock UST'!63:63,1,MATCH(Stock!AC$1,'Stock UST'!$1:$1,0))))</f>
        <v/>
      </c>
      <c r="AD63" s="9" t="str">
        <f ca="1">IF(IF(ISERROR(MATCH(Stock!AD$1,'Stock UST'!$1:$1,0)),AC63,INDEX('Stock UST'!63:63,1,MATCH(Stock!AD$1,'Stock UST'!$1:$1,0)))=0,"",IF(ISERROR(MATCH(Stock!AD$1,'Stock UST'!$1:$1,0)),AC63,INDEX('Stock UST'!63:63,1,MATCH(Stock!AD$1,'Stock UST'!$1:$1,0))))</f>
        <v/>
      </c>
      <c r="AE63" s="9" t="str">
        <f ca="1">IF(IF(ISERROR(MATCH(Stock!AE$1,'Stock UST'!$1:$1,0)),AD63,INDEX('Stock UST'!63:63,1,MATCH(Stock!AE$1,'Stock UST'!$1:$1,0)))=0,"",IF(ISERROR(MATCH(Stock!AE$1,'Stock UST'!$1:$1,0)),AD63,INDEX('Stock UST'!63:63,1,MATCH(Stock!AE$1,'Stock UST'!$1:$1,0))))</f>
        <v/>
      </c>
      <c r="AF63" s="9" t="str">
        <f ca="1">IF(IF(ISERROR(MATCH(Stock!AF$1,'Stock UST'!$1:$1,0)),AE63,INDEX('Stock UST'!63:63,1,MATCH(Stock!AF$1,'Stock UST'!$1:$1,0)))=0,"",IF(ISERROR(MATCH(Stock!AF$1,'Stock UST'!$1:$1,0)),AE63,INDEX('Stock UST'!63:63,1,MATCH(Stock!AF$1,'Stock UST'!$1:$1,0))))</f>
        <v/>
      </c>
      <c r="AG63" s="9" t="str">
        <f ca="1">IF(IF(ISERROR(MATCH(Stock!AG$1,'Stock UST'!$1:$1,0)),AF63,INDEX('Stock UST'!63:63,1,MATCH(Stock!AG$1,'Stock UST'!$1:$1,0)))=0,"",IF(ISERROR(MATCH(Stock!AG$1,'Stock UST'!$1:$1,0)),AF63,INDEX('Stock UST'!63:63,1,MATCH(Stock!AG$1,'Stock UST'!$1:$1,0))))</f>
        <v/>
      </c>
      <c r="AH63" s="9" t="str">
        <f ca="1">IF(IF(ISERROR(MATCH(Stock!AH$1,'Stock UST'!$1:$1,0)),AG63,INDEX('Stock UST'!63:63,1,MATCH(Stock!AH$1,'Stock UST'!$1:$1,0)))=0,"",IF(ISERROR(MATCH(Stock!AH$1,'Stock UST'!$1:$1,0)),AG63,INDEX('Stock UST'!63:63,1,MATCH(Stock!AH$1,'Stock UST'!$1:$1,0))))</f>
        <v/>
      </c>
      <c r="AI63" s="9" t="str">
        <f ca="1">IF(IF(ISERROR(MATCH(Stock!AI$1,'Stock UST'!$1:$1,0)),AH63,INDEX('Stock UST'!63:63,1,MATCH(Stock!AI$1,'Stock UST'!$1:$1,0)))=0,"",IF(ISERROR(MATCH(Stock!AI$1,'Stock UST'!$1:$1,0)),AH63,INDEX('Stock UST'!63:63,1,MATCH(Stock!AI$1,'Stock UST'!$1:$1,0))))</f>
        <v/>
      </c>
      <c r="AJ63" s="9" t="str">
        <f ca="1">IF(IF(ISERROR(MATCH(Stock!AJ$1,'Stock UST'!$1:$1,0)),AI63,INDEX('Stock UST'!63:63,1,MATCH(Stock!AJ$1,'Stock UST'!$1:$1,0)))=0,"",IF(ISERROR(MATCH(Stock!AJ$1,'Stock UST'!$1:$1,0)),AI63,INDEX('Stock UST'!63:63,1,MATCH(Stock!AJ$1,'Stock UST'!$1:$1,0))))</f>
        <v/>
      </c>
      <c r="AK63" s="9" t="str">
        <f ca="1">IF(IF(ISERROR(MATCH(Stock!AK$1,'Stock UST'!$1:$1,0)),AJ63,INDEX('Stock UST'!63:63,1,MATCH(Stock!AK$1,'Stock UST'!$1:$1,0)))=0,"",IF(ISERROR(MATCH(Stock!AK$1,'Stock UST'!$1:$1,0)),AJ63,INDEX('Stock UST'!63:63,1,MATCH(Stock!AK$1,'Stock UST'!$1:$1,0))))</f>
        <v/>
      </c>
      <c r="AL63" s="9" t="str">
        <f ca="1">IF(IF(ISERROR(MATCH(Stock!AL$1,'Stock UST'!$1:$1,0)),AK63,INDEX('Stock UST'!63:63,1,MATCH(Stock!AL$1,'Stock UST'!$1:$1,0)))=0,"",IF(ISERROR(MATCH(Stock!AL$1,'Stock UST'!$1:$1,0)),AK63,INDEX('Stock UST'!63:63,1,MATCH(Stock!AL$1,'Stock UST'!$1:$1,0))))</f>
        <v/>
      </c>
      <c r="AM63" s="9" t="str">
        <f ca="1">IF(IF(ISERROR(MATCH(Stock!AM$1,'Stock UST'!$1:$1,0)),AL63,INDEX('Stock UST'!63:63,1,MATCH(Stock!AM$1,'Stock UST'!$1:$1,0)))=0,"",IF(ISERROR(MATCH(Stock!AM$1,'Stock UST'!$1:$1,0)),AL63,INDEX('Stock UST'!63:63,1,MATCH(Stock!AM$1,'Stock UST'!$1:$1,0))))</f>
        <v/>
      </c>
      <c r="AN63" s="9" t="str">
        <f ca="1">IF(IF(ISERROR(MATCH(Stock!AN$1,'Stock UST'!$1:$1,0)),AM63,INDEX('Stock UST'!63:63,1,MATCH(Stock!AN$1,'Stock UST'!$1:$1,0)))=0,"",IF(ISERROR(MATCH(Stock!AN$1,'Stock UST'!$1:$1,0)),AM63,INDEX('Stock UST'!63:63,1,MATCH(Stock!AN$1,'Stock UST'!$1:$1,0))))</f>
        <v/>
      </c>
      <c r="AO63" s="9" t="str">
        <f ca="1">IF(IF(ISERROR(MATCH(Stock!AO$1,'Stock UST'!$1:$1,0)),AN63,INDEX('Stock UST'!63:63,1,MATCH(Stock!AO$1,'Stock UST'!$1:$1,0)))=0,"",IF(ISERROR(MATCH(Stock!AO$1,'Stock UST'!$1:$1,0)),AN63,INDEX('Stock UST'!63:63,1,MATCH(Stock!AO$1,'Stock UST'!$1:$1,0))))</f>
        <v/>
      </c>
      <c r="AP63" s="9" t="str">
        <f ca="1">IF(IF(ISERROR(MATCH(Stock!AP$1,'Stock UST'!$1:$1,0)),AO63,INDEX('Stock UST'!63:63,1,MATCH(Stock!AP$1,'Stock UST'!$1:$1,0)))=0,"",IF(ISERROR(MATCH(Stock!AP$1,'Stock UST'!$1:$1,0)),AO63,INDEX('Stock UST'!63:63,1,MATCH(Stock!AP$1,'Stock UST'!$1:$1,0))))</f>
        <v/>
      </c>
      <c r="AQ63" s="9" t="str">
        <f ca="1">IF(IF(ISERROR(MATCH(Stock!AQ$1,'Stock UST'!$1:$1,0)),AP63,INDEX('Stock UST'!63:63,1,MATCH(Stock!AQ$1,'Stock UST'!$1:$1,0)))=0,"",IF(ISERROR(MATCH(Stock!AQ$1,'Stock UST'!$1:$1,0)),AP63,INDEX('Stock UST'!63:63,1,MATCH(Stock!AQ$1,'Stock UST'!$1:$1,0))))</f>
        <v/>
      </c>
      <c r="AR63" s="9" t="str">
        <f ca="1">IF(IF(ISERROR(MATCH(Stock!AR$1,'Stock UST'!$1:$1,0)),AQ63,INDEX('Stock UST'!63:63,1,MATCH(Stock!AR$1,'Stock UST'!$1:$1,0)))=0,"",IF(ISERROR(MATCH(Stock!AR$1,'Stock UST'!$1:$1,0)),AQ63,INDEX('Stock UST'!63:63,1,MATCH(Stock!AR$1,'Stock UST'!$1:$1,0))))</f>
        <v/>
      </c>
      <c r="AS63" s="9" t="str">
        <f ca="1">IF(IF(ISERROR(MATCH(Stock!AS$1,'Stock UST'!$1:$1,0)),AR63,INDEX('Stock UST'!63:63,1,MATCH(Stock!AS$1,'Stock UST'!$1:$1,0)))=0,"",IF(ISERROR(MATCH(Stock!AS$1,'Stock UST'!$1:$1,0)),AR63,INDEX('Stock UST'!63:63,1,MATCH(Stock!AS$1,'Stock UST'!$1:$1,0))))</f>
        <v/>
      </c>
      <c r="AT63" s="9" t="str">
        <f ca="1">IF(IF(ISERROR(MATCH(Stock!AT$1,'Stock UST'!$1:$1,0)),AS63,INDEX('Stock UST'!63:63,1,MATCH(Stock!AT$1,'Stock UST'!$1:$1,0)))=0,"",IF(ISERROR(MATCH(Stock!AT$1,'Stock UST'!$1:$1,0)),AS63,INDEX('Stock UST'!63:63,1,MATCH(Stock!AT$1,'Stock UST'!$1:$1,0))))</f>
        <v/>
      </c>
      <c r="AU63" s="9" t="str">
        <f ca="1">IF(IF(ISERROR(MATCH(Stock!AU$1,'Stock UST'!$1:$1,0)),AT63,INDEX('Stock UST'!63:63,1,MATCH(Stock!AU$1,'Stock UST'!$1:$1,0)))=0,"",IF(ISERROR(MATCH(Stock!AU$1,'Stock UST'!$1:$1,0)),AT63,INDEX('Stock UST'!63:63,1,MATCH(Stock!AU$1,'Stock UST'!$1:$1,0))))</f>
        <v/>
      </c>
      <c r="AV63" s="9" t="str">
        <f ca="1">IF(IF(ISERROR(MATCH(Stock!AV$1,'Stock UST'!$1:$1,0)),AU63,INDEX('Stock UST'!63:63,1,MATCH(Stock!AV$1,'Stock UST'!$1:$1,0)))=0,"",IF(ISERROR(MATCH(Stock!AV$1,'Stock UST'!$1:$1,0)),AU63,INDEX('Stock UST'!63:63,1,MATCH(Stock!AV$1,'Stock UST'!$1:$1,0))))</f>
        <v/>
      </c>
      <c r="AW63" s="9" t="str">
        <f ca="1">IF(IF(ISERROR(MATCH(Stock!AW$1,'Stock UST'!$1:$1,0)),AV63,INDEX('Stock UST'!63:63,1,MATCH(Stock!AW$1,'Stock UST'!$1:$1,0)))=0,"",IF(ISERROR(MATCH(Stock!AW$1,'Stock UST'!$1:$1,0)),AV63,INDEX('Stock UST'!63:63,1,MATCH(Stock!AW$1,'Stock UST'!$1:$1,0))))</f>
        <v/>
      </c>
      <c r="AX63" s="9" t="str">
        <f ca="1">IF(IF(ISERROR(MATCH(Stock!AX$1,'Stock UST'!$1:$1,0)),AW63,INDEX('Stock UST'!63:63,1,MATCH(Stock!AX$1,'Stock UST'!$1:$1,0)))=0,"",IF(ISERROR(MATCH(Stock!AX$1,'Stock UST'!$1:$1,0)),AW63,INDEX('Stock UST'!63:63,1,MATCH(Stock!AX$1,'Stock UST'!$1:$1,0))))</f>
        <v/>
      </c>
    </row>
    <row r="64" spans="1:50" x14ac:dyDescent="0.3">
      <c r="A64" s="9" t="str">
        <f>IF('Stock UST'!E64="","",'Stock UST'!E64)</f>
        <v/>
      </c>
      <c r="B64" s="9" t="str">
        <f>IF(IF(ISERROR(MATCH(Stock!B$1,'Stock UST'!$1:$1,0)),A64,INDEX('Stock UST'!64:64,1,MATCH(Stock!B$1,'Stock UST'!$1:$1,0)))=0,"",IF(ISERROR(MATCH(Stock!B$1,'Stock UST'!$1:$1,0)),A64,INDEX('Stock UST'!64:64,1,MATCH(Stock!B$1,'Stock UST'!$1:$1,0))))</f>
        <v/>
      </c>
      <c r="C64" s="9" t="str">
        <f ca="1">IF(IF(ISERROR(MATCH(Stock!C$1,'Stock UST'!$1:$1,0)),B64,INDEX('Stock UST'!64:64,1,MATCH(Stock!C$1,'Stock UST'!$1:$1,0)))=0,"",IF(ISERROR(MATCH(Stock!C$1,'Stock UST'!$1:$1,0)),B64,INDEX('Stock UST'!64:64,1,MATCH(Stock!C$1,'Stock UST'!$1:$1,0))))</f>
        <v/>
      </c>
      <c r="D64" s="9" t="str">
        <f ca="1">IF(IF(ISERROR(MATCH(Stock!D$1,'Stock UST'!$1:$1,0)),C64,INDEX('Stock UST'!64:64,1,MATCH(Stock!D$1,'Stock UST'!$1:$1,0)))=0,"",IF(ISERROR(MATCH(Stock!D$1,'Stock UST'!$1:$1,0)),C64,INDEX('Stock UST'!64:64,1,MATCH(Stock!D$1,'Stock UST'!$1:$1,0))))</f>
        <v/>
      </c>
      <c r="E64" s="9" t="str">
        <f ca="1">IF(IF(ISERROR(MATCH(Stock!E$1,'Stock UST'!$1:$1,0)),D64,INDEX('Stock UST'!64:64,1,MATCH(Stock!E$1,'Stock UST'!$1:$1,0)))=0,"",IF(ISERROR(MATCH(Stock!E$1,'Stock UST'!$1:$1,0)),D64,INDEX('Stock UST'!64:64,1,MATCH(Stock!E$1,'Stock UST'!$1:$1,0))))</f>
        <v/>
      </c>
      <c r="F64" s="9" t="str">
        <f ca="1">IF(IF(ISERROR(MATCH(Stock!F$1,'Stock UST'!$1:$1,0)),E64,INDEX('Stock UST'!64:64,1,MATCH(Stock!F$1,'Stock UST'!$1:$1,0)))=0,"",IF(ISERROR(MATCH(Stock!F$1,'Stock UST'!$1:$1,0)),E64,INDEX('Stock UST'!64:64,1,MATCH(Stock!F$1,'Stock UST'!$1:$1,0))))</f>
        <v/>
      </c>
      <c r="G64" s="9" t="str">
        <f ca="1">IF(IF(ISERROR(MATCH(Stock!G$1,'Stock UST'!$1:$1,0)),F64,INDEX('Stock UST'!64:64,1,MATCH(Stock!G$1,'Stock UST'!$1:$1,0)))=0,"",IF(ISERROR(MATCH(Stock!G$1,'Stock UST'!$1:$1,0)),F64,INDEX('Stock UST'!64:64,1,MATCH(Stock!G$1,'Stock UST'!$1:$1,0))))</f>
        <v/>
      </c>
      <c r="H64" s="9" t="str">
        <f ca="1">IF(IF(ISERROR(MATCH(Stock!H$1,'Stock UST'!$1:$1,0)),G64,INDEX('Stock UST'!64:64,1,MATCH(Stock!H$1,'Stock UST'!$1:$1,0)))=0,"",IF(ISERROR(MATCH(Stock!H$1,'Stock UST'!$1:$1,0)),G64,INDEX('Stock UST'!64:64,1,MATCH(Stock!H$1,'Stock UST'!$1:$1,0))))</f>
        <v/>
      </c>
      <c r="I64" s="9" t="str">
        <f ca="1">IF(IF(ISERROR(MATCH(Stock!I$1,'Stock UST'!$1:$1,0)),H64,INDEX('Stock UST'!64:64,1,MATCH(Stock!I$1,'Stock UST'!$1:$1,0)))=0,"",IF(ISERROR(MATCH(Stock!I$1,'Stock UST'!$1:$1,0)),H64,INDEX('Stock UST'!64:64,1,MATCH(Stock!I$1,'Stock UST'!$1:$1,0))))</f>
        <v/>
      </c>
      <c r="J64" s="9" t="str">
        <f ca="1">IF(IF(ISERROR(MATCH(Stock!J$1,'Stock UST'!$1:$1,0)),I64,INDEX('Stock UST'!64:64,1,MATCH(Stock!J$1,'Stock UST'!$1:$1,0)))=0,"",IF(ISERROR(MATCH(Stock!J$1,'Stock UST'!$1:$1,0)),I64,INDEX('Stock UST'!64:64,1,MATCH(Stock!J$1,'Stock UST'!$1:$1,0))))</f>
        <v/>
      </c>
      <c r="K64" s="9" t="str">
        <f ca="1">IF(IF(ISERROR(MATCH(Stock!K$1,'Stock UST'!$1:$1,0)),J64,INDEX('Stock UST'!64:64,1,MATCH(Stock!K$1,'Stock UST'!$1:$1,0)))=0,"",IF(ISERROR(MATCH(Stock!K$1,'Stock UST'!$1:$1,0)),J64,INDEX('Stock UST'!64:64,1,MATCH(Stock!K$1,'Stock UST'!$1:$1,0))))</f>
        <v/>
      </c>
      <c r="L64" s="9" t="str">
        <f ca="1">IF(IF(ISERROR(MATCH(Stock!L$1,'Stock UST'!$1:$1,0)),K64,INDEX('Stock UST'!64:64,1,MATCH(Stock!L$1,'Stock UST'!$1:$1,0)))=0,"",IF(ISERROR(MATCH(Stock!L$1,'Stock UST'!$1:$1,0)),K64,INDEX('Stock UST'!64:64,1,MATCH(Stock!L$1,'Stock UST'!$1:$1,0))))</f>
        <v/>
      </c>
      <c r="M64" s="9" t="str">
        <f ca="1">IF(IF(ISERROR(MATCH(Stock!M$1,'Stock UST'!$1:$1,0)),L64,INDEX('Stock UST'!64:64,1,MATCH(Stock!M$1,'Stock UST'!$1:$1,0)))=0,"",IF(ISERROR(MATCH(Stock!M$1,'Stock UST'!$1:$1,0)),L64,INDEX('Stock UST'!64:64,1,MATCH(Stock!M$1,'Stock UST'!$1:$1,0))))</f>
        <v/>
      </c>
      <c r="N64" s="9" t="str">
        <f ca="1">IF(IF(ISERROR(MATCH(Stock!N$1,'Stock UST'!$1:$1,0)),M64,INDEX('Stock UST'!64:64,1,MATCH(Stock!N$1,'Stock UST'!$1:$1,0)))=0,"",IF(ISERROR(MATCH(Stock!N$1,'Stock UST'!$1:$1,0)),M64,INDEX('Stock UST'!64:64,1,MATCH(Stock!N$1,'Stock UST'!$1:$1,0))))</f>
        <v/>
      </c>
      <c r="O64" s="9" t="str">
        <f ca="1">IF(IF(ISERROR(MATCH(Stock!O$1,'Stock UST'!$1:$1,0)),N64,INDEX('Stock UST'!64:64,1,MATCH(Stock!O$1,'Stock UST'!$1:$1,0)))=0,"",IF(ISERROR(MATCH(Stock!O$1,'Stock UST'!$1:$1,0)),N64,INDEX('Stock UST'!64:64,1,MATCH(Stock!O$1,'Stock UST'!$1:$1,0))))</f>
        <v/>
      </c>
      <c r="P64" s="9" t="str">
        <f ca="1">IF(IF(ISERROR(MATCH(Stock!P$1,'Stock UST'!$1:$1,0)),O64,INDEX('Stock UST'!64:64,1,MATCH(Stock!P$1,'Stock UST'!$1:$1,0)))=0,"",IF(ISERROR(MATCH(Stock!P$1,'Stock UST'!$1:$1,0)),O64,INDEX('Stock UST'!64:64,1,MATCH(Stock!P$1,'Stock UST'!$1:$1,0))))</f>
        <v/>
      </c>
      <c r="Q64" s="9" t="str">
        <f ca="1">IF(IF(ISERROR(MATCH(Stock!Q$1,'Stock UST'!$1:$1,0)),P64,INDEX('Stock UST'!64:64,1,MATCH(Stock!Q$1,'Stock UST'!$1:$1,0)))=0,"",IF(ISERROR(MATCH(Stock!Q$1,'Stock UST'!$1:$1,0)),P64,INDEX('Stock UST'!64:64,1,MATCH(Stock!Q$1,'Stock UST'!$1:$1,0))))</f>
        <v/>
      </c>
      <c r="R64" s="9" t="str">
        <f ca="1">IF(IF(ISERROR(MATCH(Stock!R$1,'Stock UST'!$1:$1,0)),Q64,INDEX('Stock UST'!64:64,1,MATCH(Stock!R$1,'Stock UST'!$1:$1,0)))=0,"",IF(ISERROR(MATCH(Stock!R$1,'Stock UST'!$1:$1,0)),Q64,INDEX('Stock UST'!64:64,1,MATCH(Stock!R$1,'Stock UST'!$1:$1,0))))</f>
        <v/>
      </c>
      <c r="S64" s="9" t="str">
        <f ca="1">IF(IF(ISERROR(MATCH(Stock!S$1,'Stock UST'!$1:$1,0)),R64,INDEX('Stock UST'!64:64,1,MATCH(Stock!S$1,'Stock UST'!$1:$1,0)))=0,"",IF(ISERROR(MATCH(Stock!S$1,'Stock UST'!$1:$1,0)),R64,INDEX('Stock UST'!64:64,1,MATCH(Stock!S$1,'Stock UST'!$1:$1,0))))</f>
        <v/>
      </c>
      <c r="T64" s="9" t="str">
        <f ca="1">IF(IF(ISERROR(MATCH(Stock!T$1,'Stock UST'!$1:$1,0)),S64,INDEX('Stock UST'!64:64,1,MATCH(Stock!T$1,'Stock UST'!$1:$1,0)))=0,"",IF(ISERROR(MATCH(Stock!T$1,'Stock UST'!$1:$1,0)),S64,INDEX('Stock UST'!64:64,1,MATCH(Stock!T$1,'Stock UST'!$1:$1,0))))</f>
        <v/>
      </c>
      <c r="U64" s="9" t="str">
        <f ca="1">IF(IF(ISERROR(MATCH(Stock!U$1,'Stock UST'!$1:$1,0)),T64,INDEX('Stock UST'!64:64,1,MATCH(Stock!U$1,'Stock UST'!$1:$1,0)))=0,"",IF(ISERROR(MATCH(Stock!U$1,'Stock UST'!$1:$1,0)),T64,INDEX('Stock UST'!64:64,1,MATCH(Stock!U$1,'Stock UST'!$1:$1,0))))</f>
        <v/>
      </c>
      <c r="V64" s="9" t="str">
        <f ca="1">IF(IF(ISERROR(MATCH(Stock!V$1,'Stock UST'!$1:$1,0)),U64,INDEX('Stock UST'!64:64,1,MATCH(Stock!V$1,'Stock UST'!$1:$1,0)))=0,"",IF(ISERROR(MATCH(Stock!V$1,'Stock UST'!$1:$1,0)),U64,INDEX('Stock UST'!64:64,1,MATCH(Stock!V$1,'Stock UST'!$1:$1,0))))</f>
        <v/>
      </c>
      <c r="W64" s="9" t="str">
        <f ca="1">IF(IF(ISERROR(MATCH(Stock!W$1,'Stock UST'!$1:$1,0)),V64,INDEX('Stock UST'!64:64,1,MATCH(Stock!W$1,'Stock UST'!$1:$1,0)))=0,"",IF(ISERROR(MATCH(Stock!W$1,'Stock UST'!$1:$1,0)),V64,INDEX('Stock UST'!64:64,1,MATCH(Stock!W$1,'Stock UST'!$1:$1,0))))</f>
        <v/>
      </c>
      <c r="X64" s="9" t="str">
        <f ca="1">IF(IF(ISERROR(MATCH(Stock!X$1,'Stock UST'!$1:$1,0)),W64,INDEX('Stock UST'!64:64,1,MATCH(Stock!X$1,'Stock UST'!$1:$1,0)))=0,"",IF(ISERROR(MATCH(Stock!X$1,'Stock UST'!$1:$1,0)),W64,INDEX('Stock UST'!64:64,1,MATCH(Stock!X$1,'Stock UST'!$1:$1,0))))</f>
        <v/>
      </c>
      <c r="Y64" s="9" t="str">
        <f ca="1">IF(IF(ISERROR(MATCH(Stock!Y$1,'Stock UST'!$1:$1,0)),X64,INDEX('Stock UST'!64:64,1,MATCH(Stock!Y$1,'Stock UST'!$1:$1,0)))=0,"",IF(ISERROR(MATCH(Stock!Y$1,'Stock UST'!$1:$1,0)),X64,INDEX('Stock UST'!64:64,1,MATCH(Stock!Y$1,'Stock UST'!$1:$1,0))))</f>
        <v/>
      </c>
      <c r="Z64" s="9" t="str">
        <f ca="1">IF(IF(ISERROR(MATCH(Stock!Z$1,'Stock UST'!$1:$1,0)),Y64,INDEX('Stock UST'!64:64,1,MATCH(Stock!Z$1,'Stock UST'!$1:$1,0)))=0,"",IF(ISERROR(MATCH(Stock!Z$1,'Stock UST'!$1:$1,0)),Y64,INDEX('Stock UST'!64:64,1,MATCH(Stock!Z$1,'Stock UST'!$1:$1,0))))</f>
        <v/>
      </c>
      <c r="AA64" s="9" t="str">
        <f ca="1">IF(IF(ISERROR(MATCH(Stock!AA$1,'Stock UST'!$1:$1,0)),Z64,INDEX('Stock UST'!64:64,1,MATCH(Stock!AA$1,'Stock UST'!$1:$1,0)))=0,"",IF(ISERROR(MATCH(Stock!AA$1,'Stock UST'!$1:$1,0)),Z64,INDEX('Stock UST'!64:64,1,MATCH(Stock!AA$1,'Stock UST'!$1:$1,0))))</f>
        <v/>
      </c>
      <c r="AB64" s="9" t="str">
        <f ca="1">IF(IF(ISERROR(MATCH(Stock!AB$1,'Stock UST'!$1:$1,0)),AA64,INDEX('Stock UST'!64:64,1,MATCH(Stock!AB$1,'Stock UST'!$1:$1,0)))=0,"",IF(ISERROR(MATCH(Stock!AB$1,'Stock UST'!$1:$1,0)),AA64,INDEX('Stock UST'!64:64,1,MATCH(Stock!AB$1,'Stock UST'!$1:$1,0))))</f>
        <v/>
      </c>
      <c r="AC64" s="9" t="str">
        <f ca="1">IF(IF(ISERROR(MATCH(Stock!AC$1,'Stock UST'!$1:$1,0)),AB64,INDEX('Stock UST'!64:64,1,MATCH(Stock!AC$1,'Stock UST'!$1:$1,0)))=0,"",IF(ISERROR(MATCH(Stock!AC$1,'Stock UST'!$1:$1,0)),AB64,INDEX('Stock UST'!64:64,1,MATCH(Stock!AC$1,'Stock UST'!$1:$1,0))))</f>
        <v/>
      </c>
      <c r="AD64" s="9" t="str">
        <f ca="1">IF(IF(ISERROR(MATCH(Stock!AD$1,'Stock UST'!$1:$1,0)),AC64,INDEX('Stock UST'!64:64,1,MATCH(Stock!AD$1,'Stock UST'!$1:$1,0)))=0,"",IF(ISERROR(MATCH(Stock!AD$1,'Stock UST'!$1:$1,0)),AC64,INDEX('Stock UST'!64:64,1,MATCH(Stock!AD$1,'Stock UST'!$1:$1,0))))</f>
        <v/>
      </c>
      <c r="AE64" s="9" t="str">
        <f ca="1">IF(IF(ISERROR(MATCH(Stock!AE$1,'Stock UST'!$1:$1,0)),AD64,INDEX('Stock UST'!64:64,1,MATCH(Stock!AE$1,'Stock UST'!$1:$1,0)))=0,"",IF(ISERROR(MATCH(Stock!AE$1,'Stock UST'!$1:$1,0)),AD64,INDEX('Stock UST'!64:64,1,MATCH(Stock!AE$1,'Stock UST'!$1:$1,0))))</f>
        <v/>
      </c>
      <c r="AF64" s="9" t="str">
        <f ca="1">IF(IF(ISERROR(MATCH(Stock!AF$1,'Stock UST'!$1:$1,0)),AE64,INDEX('Stock UST'!64:64,1,MATCH(Stock!AF$1,'Stock UST'!$1:$1,0)))=0,"",IF(ISERROR(MATCH(Stock!AF$1,'Stock UST'!$1:$1,0)),AE64,INDEX('Stock UST'!64:64,1,MATCH(Stock!AF$1,'Stock UST'!$1:$1,0))))</f>
        <v/>
      </c>
      <c r="AG64" s="9" t="str">
        <f ca="1">IF(IF(ISERROR(MATCH(Stock!AG$1,'Stock UST'!$1:$1,0)),AF64,INDEX('Stock UST'!64:64,1,MATCH(Stock!AG$1,'Stock UST'!$1:$1,0)))=0,"",IF(ISERROR(MATCH(Stock!AG$1,'Stock UST'!$1:$1,0)),AF64,INDEX('Stock UST'!64:64,1,MATCH(Stock!AG$1,'Stock UST'!$1:$1,0))))</f>
        <v/>
      </c>
      <c r="AH64" s="9" t="str">
        <f ca="1">IF(IF(ISERROR(MATCH(Stock!AH$1,'Stock UST'!$1:$1,0)),AG64,INDEX('Stock UST'!64:64,1,MATCH(Stock!AH$1,'Stock UST'!$1:$1,0)))=0,"",IF(ISERROR(MATCH(Stock!AH$1,'Stock UST'!$1:$1,0)),AG64,INDEX('Stock UST'!64:64,1,MATCH(Stock!AH$1,'Stock UST'!$1:$1,0))))</f>
        <v/>
      </c>
      <c r="AI64" s="9" t="str">
        <f ca="1">IF(IF(ISERROR(MATCH(Stock!AI$1,'Stock UST'!$1:$1,0)),AH64,INDEX('Stock UST'!64:64,1,MATCH(Stock!AI$1,'Stock UST'!$1:$1,0)))=0,"",IF(ISERROR(MATCH(Stock!AI$1,'Stock UST'!$1:$1,0)),AH64,INDEX('Stock UST'!64:64,1,MATCH(Stock!AI$1,'Stock UST'!$1:$1,0))))</f>
        <v/>
      </c>
      <c r="AJ64" s="9" t="str">
        <f ca="1">IF(IF(ISERROR(MATCH(Stock!AJ$1,'Stock UST'!$1:$1,0)),AI64,INDEX('Stock UST'!64:64,1,MATCH(Stock!AJ$1,'Stock UST'!$1:$1,0)))=0,"",IF(ISERROR(MATCH(Stock!AJ$1,'Stock UST'!$1:$1,0)),AI64,INDEX('Stock UST'!64:64,1,MATCH(Stock!AJ$1,'Stock UST'!$1:$1,0))))</f>
        <v/>
      </c>
      <c r="AK64" s="9" t="str">
        <f ca="1">IF(IF(ISERROR(MATCH(Stock!AK$1,'Stock UST'!$1:$1,0)),AJ64,INDEX('Stock UST'!64:64,1,MATCH(Stock!AK$1,'Stock UST'!$1:$1,0)))=0,"",IF(ISERROR(MATCH(Stock!AK$1,'Stock UST'!$1:$1,0)),AJ64,INDEX('Stock UST'!64:64,1,MATCH(Stock!AK$1,'Stock UST'!$1:$1,0))))</f>
        <v/>
      </c>
      <c r="AL64" s="9" t="str">
        <f ca="1">IF(IF(ISERROR(MATCH(Stock!AL$1,'Stock UST'!$1:$1,0)),AK64,INDEX('Stock UST'!64:64,1,MATCH(Stock!AL$1,'Stock UST'!$1:$1,0)))=0,"",IF(ISERROR(MATCH(Stock!AL$1,'Stock UST'!$1:$1,0)),AK64,INDEX('Stock UST'!64:64,1,MATCH(Stock!AL$1,'Stock UST'!$1:$1,0))))</f>
        <v/>
      </c>
      <c r="AM64" s="9" t="str">
        <f ca="1">IF(IF(ISERROR(MATCH(Stock!AM$1,'Stock UST'!$1:$1,0)),AL64,INDEX('Stock UST'!64:64,1,MATCH(Stock!AM$1,'Stock UST'!$1:$1,0)))=0,"",IF(ISERROR(MATCH(Stock!AM$1,'Stock UST'!$1:$1,0)),AL64,INDEX('Stock UST'!64:64,1,MATCH(Stock!AM$1,'Stock UST'!$1:$1,0))))</f>
        <v/>
      </c>
      <c r="AN64" s="9" t="str">
        <f ca="1">IF(IF(ISERROR(MATCH(Stock!AN$1,'Stock UST'!$1:$1,0)),AM64,INDEX('Stock UST'!64:64,1,MATCH(Stock!AN$1,'Stock UST'!$1:$1,0)))=0,"",IF(ISERROR(MATCH(Stock!AN$1,'Stock UST'!$1:$1,0)),AM64,INDEX('Stock UST'!64:64,1,MATCH(Stock!AN$1,'Stock UST'!$1:$1,0))))</f>
        <v/>
      </c>
      <c r="AO64" s="9" t="str">
        <f ca="1">IF(IF(ISERROR(MATCH(Stock!AO$1,'Stock UST'!$1:$1,0)),AN64,INDEX('Stock UST'!64:64,1,MATCH(Stock!AO$1,'Stock UST'!$1:$1,0)))=0,"",IF(ISERROR(MATCH(Stock!AO$1,'Stock UST'!$1:$1,0)),AN64,INDEX('Stock UST'!64:64,1,MATCH(Stock!AO$1,'Stock UST'!$1:$1,0))))</f>
        <v/>
      </c>
      <c r="AP64" s="9" t="str">
        <f ca="1">IF(IF(ISERROR(MATCH(Stock!AP$1,'Stock UST'!$1:$1,0)),AO64,INDEX('Stock UST'!64:64,1,MATCH(Stock!AP$1,'Stock UST'!$1:$1,0)))=0,"",IF(ISERROR(MATCH(Stock!AP$1,'Stock UST'!$1:$1,0)),AO64,INDEX('Stock UST'!64:64,1,MATCH(Stock!AP$1,'Stock UST'!$1:$1,0))))</f>
        <v/>
      </c>
      <c r="AQ64" s="9" t="str">
        <f ca="1">IF(IF(ISERROR(MATCH(Stock!AQ$1,'Stock UST'!$1:$1,0)),AP64,INDEX('Stock UST'!64:64,1,MATCH(Stock!AQ$1,'Stock UST'!$1:$1,0)))=0,"",IF(ISERROR(MATCH(Stock!AQ$1,'Stock UST'!$1:$1,0)),AP64,INDEX('Stock UST'!64:64,1,MATCH(Stock!AQ$1,'Stock UST'!$1:$1,0))))</f>
        <v/>
      </c>
      <c r="AR64" s="9" t="str">
        <f ca="1">IF(IF(ISERROR(MATCH(Stock!AR$1,'Stock UST'!$1:$1,0)),AQ64,INDEX('Stock UST'!64:64,1,MATCH(Stock!AR$1,'Stock UST'!$1:$1,0)))=0,"",IF(ISERROR(MATCH(Stock!AR$1,'Stock UST'!$1:$1,0)),AQ64,INDEX('Stock UST'!64:64,1,MATCH(Stock!AR$1,'Stock UST'!$1:$1,0))))</f>
        <v/>
      </c>
      <c r="AS64" s="9" t="str">
        <f ca="1">IF(IF(ISERROR(MATCH(Stock!AS$1,'Stock UST'!$1:$1,0)),AR64,INDEX('Stock UST'!64:64,1,MATCH(Stock!AS$1,'Stock UST'!$1:$1,0)))=0,"",IF(ISERROR(MATCH(Stock!AS$1,'Stock UST'!$1:$1,0)),AR64,INDEX('Stock UST'!64:64,1,MATCH(Stock!AS$1,'Stock UST'!$1:$1,0))))</f>
        <v/>
      </c>
      <c r="AT64" s="9" t="str">
        <f ca="1">IF(IF(ISERROR(MATCH(Stock!AT$1,'Stock UST'!$1:$1,0)),AS64,INDEX('Stock UST'!64:64,1,MATCH(Stock!AT$1,'Stock UST'!$1:$1,0)))=0,"",IF(ISERROR(MATCH(Stock!AT$1,'Stock UST'!$1:$1,0)),AS64,INDEX('Stock UST'!64:64,1,MATCH(Stock!AT$1,'Stock UST'!$1:$1,0))))</f>
        <v/>
      </c>
      <c r="AU64" s="9" t="str">
        <f ca="1">IF(IF(ISERROR(MATCH(Stock!AU$1,'Stock UST'!$1:$1,0)),AT64,INDEX('Stock UST'!64:64,1,MATCH(Stock!AU$1,'Stock UST'!$1:$1,0)))=0,"",IF(ISERROR(MATCH(Stock!AU$1,'Stock UST'!$1:$1,0)),AT64,INDEX('Stock UST'!64:64,1,MATCH(Stock!AU$1,'Stock UST'!$1:$1,0))))</f>
        <v/>
      </c>
      <c r="AV64" s="9" t="str">
        <f ca="1">IF(IF(ISERROR(MATCH(Stock!AV$1,'Stock UST'!$1:$1,0)),AU64,INDEX('Stock UST'!64:64,1,MATCH(Stock!AV$1,'Stock UST'!$1:$1,0)))=0,"",IF(ISERROR(MATCH(Stock!AV$1,'Stock UST'!$1:$1,0)),AU64,INDEX('Stock UST'!64:64,1,MATCH(Stock!AV$1,'Stock UST'!$1:$1,0))))</f>
        <v/>
      </c>
      <c r="AW64" s="9" t="str">
        <f ca="1">IF(IF(ISERROR(MATCH(Stock!AW$1,'Stock UST'!$1:$1,0)),AV64,INDEX('Stock UST'!64:64,1,MATCH(Stock!AW$1,'Stock UST'!$1:$1,0)))=0,"",IF(ISERROR(MATCH(Stock!AW$1,'Stock UST'!$1:$1,0)),AV64,INDEX('Stock UST'!64:64,1,MATCH(Stock!AW$1,'Stock UST'!$1:$1,0))))</f>
        <v/>
      </c>
      <c r="AX64" s="9" t="str">
        <f ca="1">IF(IF(ISERROR(MATCH(Stock!AX$1,'Stock UST'!$1:$1,0)),AW64,INDEX('Stock UST'!64:64,1,MATCH(Stock!AX$1,'Stock UST'!$1:$1,0)))=0,"",IF(ISERROR(MATCH(Stock!AX$1,'Stock UST'!$1:$1,0)),AW64,INDEX('Stock UST'!64:64,1,MATCH(Stock!AX$1,'Stock UST'!$1:$1,0))))</f>
        <v/>
      </c>
    </row>
    <row r="65" spans="1:50" x14ac:dyDescent="0.3">
      <c r="A65" s="9" t="str">
        <f>IF('Stock UST'!E65="","",'Stock UST'!E65)</f>
        <v/>
      </c>
      <c r="B65" s="9" t="str">
        <f>IF(IF(ISERROR(MATCH(Stock!B$1,'Stock UST'!$1:$1,0)),A65,INDEX('Stock UST'!65:65,1,MATCH(Stock!B$1,'Stock UST'!$1:$1,0)))=0,"",IF(ISERROR(MATCH(Stock!B$1,'Stock UST'!$1:$1,0)),A65,INDEX('Stock UST'!65:65,1,MATCH(Stock!B$1,'Stock UST'!$1:$1,0))))</f>
        <v/>
      </c>
      <c r="C65" s="9" t="str">
        <f ca="1">IF(IF(ISERROR(MATCH(Stock!C$1,'Stock UST'!$1:$1,0)),B65,INDEX('Stock UST'!65:65,1,MATCH(Stock!C$1,'Stock UST'!$1:$1,0)))=0,"",IF(ISERROR(MATCH(Stock!C$1,'Stock UST'!$1:$1,0)),B65,INDEX('Stock UST'!65:65,1,MATCH(Stock!C$1,'Stock UST'!$1:$1,0))))</f>
        <v/>
      </c>
      <c r="D65" s="9" t="str">
        <f ca="1">IF(IF(ISERROR(MATCH(Stock!D$1,'Stock UST'!$1:$1,0)),C65,INDEX('Stock UST'!65:65,1,MATCH(Stock!D$1,'Stock UST'!$1:$1,0)))=0,"",IF(ISERROR(MATCH(Stock!D$1,'Stock UST'!$1:$1,0)),C65,INDEX('Stock UST'!65:65,1,MATCH(Stock!D$1,'Stock UST'!$1:$1,0))))</f>
        <v/>
      </c>
      <c r="E65" s="9" t="str">
        <f ca="1">IF(IF(ISERROR(MATCH(Stock!E$1,'Stock UST'!$1:$1,0)),D65,INDEX('Stock UST'!65:65,1,MATCH(Stock!E$1,'Stock UST'!$1:$1,0)))=0,"",IF(ISERROR(MATCH(Stock!E$1,'Stock UST'!$1:$1,0)),D65,INDEX('Stock UST'!65:65,1,MATCH(Stock!E$1,'Stock UST'!$1:$1,0))))</f>
        <v/>
      </c>
      <c r="F65" s="9" t="str">
        <f ca="1">IF(IF(ISERROR(MATCH(Stock!F$1,'Stock UST'!$1:$1,0)),E65,INDEX('Stock UST'!65:65,1,MATCH(Stock!F$1,'Stock UST'!$1:$1,0)))=0,"",IF(ISERROR(MATCH(Stock!F$1,'Stock UST'!$1:$1,0)),E65,INDEX('Stock UST'!65:65,1,MATCH(Stock!F$1,'Stock UST'!$1:$1,0))))</f>
        <v/>
      </c>
      <c r="G65" s="9" t="str">
        <f ca="1">IF(IF(ISERROR(MATCH(Stock!G$1,'Stock UST'!$1:$1,0)),F65,INDEX('Stock UST'!65:65,1,MATCH(Stock!G$1,'Stock UST'!$1:$1,0)))=0,"",IF(ISERROR(MATCH(Stock!G$1,'Stock UST'!$1:$1,0)),F65,INDEX('Stock UST'!65:65,1,MATCH(Stock!G$1,'Stock UST'!$1:$1,0))))</f>
        <v/>
      </c>
      <c r="H65" s="9" t="str">
        <f ca="1">IF(IF(ISERROR(MATCH(Stock!H$1,'Stock UST'!$1:$1,0)),G65,INDEX('Stock UST'!65:65,1,MATCH(Stock!H$1,'Stock UST'!$1:$1,0)))=0,"",IF(ISERROR(MATCH(Stock!H$1,'Stock UST'!$1:$1,0)),G65,INDEX('Stock UST'!65:65,1,MATCH(Stock!H$1,'Stock UST'!$1:$1,0))))</f>
        <v/>
      </c>
      <c r="I65" s="9" t="str">
        <f ca="1">IF(IF(ISERROR(MATCH(Stock!I$1,'Stock UST'!$1:$1,0)),H65,INDEX('Stock UST'!65:65,1,MATCH(Stock!I$1,'Stock UST'!$1:$1,0)))=0,"",IF(ISERROR(MATCH(Stock!I$1,'Stock UST'!$1:$1,0)),H65,INDEX('Stock UST'!65:65,1,MATCH(Stock!I$1,'Stock UST'!$1:$1,0))))</f>
        <v/>
      </c>
      <c r="J65" s="9" t="str">
        <f ca="1">IF(IF(ISERROR(MATCH(Stock!J$1,'Stock UST'!$1:$1,0)),I65,INDEX('Stock UST'!65:65,1,MATCH(Stock!J$1,'Stock UST'!$1:$1,0)))=0,"",IF(ISERROR(MATCH(Stock!J$1,'Stock UST'!$1:$1,0)),I65,INDEX('Stock UST'!65:65,1,MATCH(Stock!J$1,'Stock UST'!$1:$1,0))))</f>
        <v/>
      </c>
      <c r="K65" s="9" t="str">
        <f ca="1">IF(IF(ISERROR(MATCH(Stock!K$1,'Stock UST'!$1:$1,0)),J65,INDEX('Stock UST'!65:65,1,MATCH(Stock!K$1,'Stock UST'!$1:$1,0)))=0,"",IF(ISERROR(MATCH(Stock!K$1,'Stock UST'!$1:$1,0)),J65,INDEX('Stock UST'!65:65,1,MATCH(Stock!K$1,'Stock UST'!$1:$1,0))))</f>
        <v/>
      </c>
      <c r="L65" s="9" t="str">
        <f ca="1">IF(IF(ISERROR(MATCH(Stock!L$1,'Stock UST'!$1:$1,0)),K65,INDEX('Stock UST'!65:65,1,MATCH(Stock!L$1,'Stock UST'!$1:$1,0)))=0,"",IF(ISERROR(MATCH(Stock!L$1,'Stock UST'!$1:$1,0)),K65,INDEX('Stock UST'!65:65,1,MATCH(Stock!L$1,'Stock UST'!$1:$1,0))))</f>
        <v/>
      </c>
      <c r="M65" s="9" t="str">
        <f ca="1">IF(IF(ISERROR(MATCH(Stock!M$1,'Stock UST'!$1:$1,0)),L65,INDEX('Stock UST'!65:65,1,MATCH(Stock!M$1,'Stock UST'!$1:$1,0)))=0,"",IF(ISERROR(MATCH(Stock!M$1,'Stock UST'!$1:$1,0)),L65,INDEX('Stock UST'!65:65,1,MATCH(Stock!M$1,'Stock UST'!$1:$1,0))))</f>
        <v/>
      </c>
      <c r="N65" s="9" t="str">
        <f ca="1">IF(IF(ISERROR(MATCH(Stock!N$1,'Stock UST'!$1:$1,0)),M65,INDEX('Stock UST'!65:65,1,MATCH(Stock!N$1,'Stock UST'!$1:$1,0)))=0,"",IF(ISERROR(MATCH(Stock!N$1,'Stock UST'!$1:$1,0)),M65,INDEX('Stock UST'!65:65,1,MATCH(Stock!N$1,'Stock UST'!$1:$1,0))))</f>
        <v/>
      </c>
      <c r="O65" s="9" t="str">
        <f ca="1">IF(IF(ISERROR(MATCH(Stock!O$1,'Stock UST'!$1:$1,0)),N65,INDEX('Stock UST'!65:65,1,MATCH(Stock!O$1,'Stock UST'!$1:$1,0)))=0,"",IF(ISERROR(MATCH(Stock!O$1,'Stock UST'!$1:$1,0)),N65,INDEX('Stock UST'!65:65,1,MATCH(Stock!O$1,'Stock UST'!$1:$1,0))))</f>
        <v/>
      </c>
      <c r="P65" s="9" t="str">
        <f ca="1">IF(IF(ISERROR(MATCH(Stock!P$1,'Stock UST'!$1:$1,0)),O65,INDEX('Stock UST'!65:65,1,MATCH(Stock!P$1,'Stock UST'!$1:$1,0)))=0,"",IF(ISERROR(MATCH(Stock!P$1,'Stock UST'!$1:$1,0)),O65,INDEX('Stock UST'!65:65,1,MATCH(Stock!P$1,'Stock UST'!$1:$1,0))))</f>
        <v/>
      </c>
      <c r="Q65" s="9" t="str">
        <f ca="1">IF(IF(ISERROR(MATCH(Stock!Q$1,'Stock UST'!$1:$1,0)),P65,INDEX('Stock UST'!65:65,1,MATCH(Stock!Q$1,'Stock UST'!$1:$1,0)))=0,"",IF(ISERROR(MATCH(Stock!Q$1,'Stock UST'!$1:$1,0)),P65,INDEX('Stock UST'!65:65,1,MATCH(Stock!Q$1,'Stock UST'!$1:$1,0))))</f>
        <v/>
      </c>
      <c r="R65" s="9" t="str">
        <f ca="1">IF(IF(ISERROR(MATCH(Stock!R$1,'Stock UST'!$1:$1,0)),Q65,INDEX('Stock UST'!65:65,1,MATCH(Stock!R$1,'Stock UST'!$1:$1,0)))=0,"",IF(ISERROR(MATCH(Stock!R$1,'Stock UST'!$1:$1,0)),Q65,INDEX('Stock UST'!65:65,1,MATCH(Stock!R$1,'Stock UST'!$1:$1,0))))</f>
        <v/>
      </c>
      <c r="S65" s="9" t="str">
        <f ca="1">IF(IF(ISERROR(MATCH(Stock!S$1,'Stock UST'!$1:$1,0)),R65,INDEX('Stock UST'!65:65,1,MATCH(Stock!S$1,'Stock UST'!$1:$1,0)))=0,"",IF(ISERROR(MATCH(Stock!S$1,'Stock UST'!$1:$1,0)),R65,INDEX('Stock UST'!65:65,1,MATCH(Stock!S$1,'Stock UST'!$1:$1,0))))</f>
        <v/>
      </c>
      <c r="T65" s="9" t="str">
        <f ca="1">IF(IF(ISERROR(MATCH(Stock!T$1,'Stock UST'!$1:$1,0)),S65,INDEX('Stock UST'!65:65,1,MATCH(Stock!T$1,'Stock UST'!$1:$1,0)))=0,"",IF(ISERROR(MATCH(Stock!T$1,'Stock UST'!$1:$1,0)),S65,INDEX('Stock UST'!65:65,1,MATCH(Stock!T$1,'Stock UST'!$1:$1,0))))</f>
        <v/>
      </c>
      <c r="U65" s="9" t="str">
        <f ca="1">IF(IF(ISERROR(MATCH(Stock!U$1,'Stock UST'!$1:$1,0)),T65,INDEX('Stock UST'!65:65,1,MATCH(Stock!U$1,'Stock UST'!$1:$1,0)))=0,"",IF(ISERROR(MATCH(Stock!U$1,'Stock UST'!$1:$1,0)),T65,INDEX('Stock UST'!65:65,1,MATCH(Stock!U$1,'Stock UST'!$1:$1,0))))</f>
        <v/>
      </c>
      <c r="V65" s="9" t="str">
        <f ca="1">IF(IF(ISERROR(MATCH(Stock!V$1,'Stock UST'!$1:$1,0)),U65,INDEX('Stock UST'!65:65,1,MATCH(Stock!V$1,'Stock UST'!$1:$1,0)))=0,"",IF(ISERROR(MATCH(Stock!V$1,'Stock UST'!$1:$1,0)),U65,INDEX('Stock UST'!65:65,1,MATCH(Stock!V$1,'Stock UST'!$1:$1,0))))</f>
        <v/>
      </c>
      <c r="W65" s="9" t="str">
        <f ca="1">IF(IF(ISERROR(MATCH(Stock!W$1,'Stock UST'!$1:$1,0)),V65,INDEX('Stock UST'!65:65,1,MATCH(Stock!W$1,'Stock UST'!$1:$1,0)))=0,"",IF(ISERROR(MATCH(Stock!W$1,'Stock UST'!$1:$1,0)),V65,INDEX('Stock UST'!65:65,1,MATCH(Stock!W$1,'Stock UST'!$1:$1,0))))</f>
        <v/>
      </c>
      <c r="X65" s="9" t="str">
        <f ca="1">IF(IF(ISERROR(MATCH(Stock!X$1,'Stock UST'!$1:$1,0)),W65,INDEX('Stock UST'!65:65,1,MATCH(Stock!X$1,'Stock UST'!$1:$1,0)))=0,"",IF(ISERROR(MATCH(Stock!X$1,'Stock UST'!$1:$1,0)),W65,INDEX('Stock UST'!65:65,1,MATCH(Stock!X$1,'Stock UST'!$1:$1,0))))</f>
        <v/>
      </c>
      <c r="Y65" s="9" t="str">
        <f ca="1">IF(IF(ISERROR(MATCH(Stock!Y$1,'Stock UST'!$1:$1,0)),X65,INDEX('Stock UST'!65:65,1,MATCH(Stock!Y$1,'Stock UST'!$1:$1,0)))=0,"",IF(ISERROR(MATCH(Stock!Y$1,'Stock UST'!$1:$1,0)),X65,INDEX('Stock UST'!65:65,1,MATCH(Stock!Y$1,'Stock UST'!$1:$1,0))))</f>
        <v/>
      </c>
      <c r="Z65" s="9" t="str">
        <f ca="1">IF(IF(ISERROR(MATCH(Stock!Z$1,'Stock UST'!$1:$1,0)),Y65,INDEX('Stock UST'!65:65,1,MATCH(Stock!Z$1,'Stock UST'!$1:$1,0)))=0,"",IF(ISERROR(MATCH(Stock!Z$1,'Stock UST'!$1:$1,0)),Y65,INDEX('Stock UST'!65:65,1,MATCH(Stock!Z$1,'Stock UST'!$1:$1,0))))</f>
        <v/>
      </c>
      <c r="AA65" s="9" t="str">
        <f ca="1">IF(IF(ISERROR(MATCH(Stock!AA$1,'Stock UST'!$1:$1,0)),Z65,INDEX('Stock UST'!65:65,1,MATCH(Stock!AA$1,'Stock UST'!$1:$1,0)))=0,"",IF(ISERROR(MATCH(Stock!AA$1,'Stock UST'!$1:$1,0)),Z65,INDEX('Stock UST'!65:65,1,MATCH(Stock!AA$1,'Stock UST'!$1:$1,0))))</f>
        <v/>
      </c>
      <c r="AB65" s="9" t="str">
        <f ca="1">IF(IF(ISERROR(MATCH(Stock!AB$1,'Stock UST'!$1:$1,0)),AA65,INDEX('Stock UST'!65:65,1,MATCH(Stock!AB$1,'Stock UST'!$1:$1,0)))=0,"",IF(ISERROR(MATCH(Stock!AB$1,'Stock UST'!$1:$1,0)),AA65,INDEX('Stock UST'!65:65,1,MATCH(Stock!AB$1,'Stock UST'!$1:$1,0))))</f>
        <v/>
      </c>
      <c r="AC65" s="9" t="str">
        <f ca="1">IF(IF(ISERROR(MATCH(Stock!AC$1,'Stock UST'!$1:$1,0)),AB65,INDEX('Stock UST'!65:65,1,MATCH(Stock!AC$1,'Stock UST'!$1:$1,0)))=0,"",IF(ISERROR(MATCH(Stock!AC$1,'Stock UST'!$1:$1,0)),AB65,INDEX('Stock UST'!65:65,1,MATCH(Stock!AC$1,'Stock UST'!$1:$1,0))))</f>
        <v/>
      </c>
      <c r="AD65" s="9" t="str">
        <f ca="1">IF(IF(ISERROR(MATCH(Stock!AD$1,'Stock UST'!$1:$1,0)),AC65,INDEX('Stock UST'!65:65,1,MATCH(Stock!AD$1,'Stock UST'!$1:$1,0)))=0,"",IF(ISERROR(MATCH(Stock!AD$1,'Stock UST'!$1:$1,0)),AC65,INDEX('Stock UST'!65:65,1,MATCH(Stock!AD$1,'Stock UST'!$1:$1,0))))</f>
        <v/>
      </c>
      <c r="AE65" s="9" t="str">
        <f ca="1">IF(IF(ISERROR(MATCH(Stock!AE$1,'Stock UST'!$1:$1,0)),AD65,INDEX('Stock UST'!65:65,1,MATCH(Stock!AE$1,'Stock UST'!$1:$1,0)))=0,"",IF(ISERROR(MATCH(Stock!AE$1,'Stock UST'!$1:$1,0)),AD65,INDEX('Stock UST'!65:65,1,MATCH(Stock!AE$1,'Stock UST'!$1:$1,0))))</f>
        <v/>
      </c>
      <c r="AF65" s="9" t="str">
        <f ca="1">IF(IF(ISERROR(MATCH(Stock!AF$1,'Stock UST'!$1:$1,0)),AE65,INDEX('Stock UST'!65:65,1,MATCH(Stock!AF$1,'Stock UST'!$1:$1,0)))=0,"",IF(ISERROR(MATCH(Stock!AF$1,'Stock UST'!$1:$1,0)),AE65,INDEX('Stock UST'!65:65,1,MATCH(Stock!AF$1,'Stock UST'!$1:$1,0))))</f>
        <v/>
      </c>
      <c r="AG65" s="9" t="str">
        <f ca="1">IF(IF(ISERROR(MATCH(Stock!AG$1,'Stock UST'!$1:$1,0)),AF65,INDEX('Stock UST'!65:65,1,MATCH(Stock!AG$1,'Stock UST'!$1:$1,0)))=0,"",IF(ISERROR(MATCH(Stock!AG$1,'Stock UST'!$1:$1,0)),AF65,INDEX('Stock UST'!65:65,1,MATCH(Stock!AG$1,'Stock UST'!$1:$1,0))))</f>
        <v/>
      </c>
      <c r="AH65" s="9" t="str">
        <f ca="1">IF(IF(ISERROR(MATCH(Stock!AH$1,'Stock UST'!$1:$1,0)),AG65,INDEX('Stock UST'!65:65,1,MATCH(Stock!AH$1,'Stock UST'!$1:$1,0)))=0,"",IF(ISERROR(MATCH(Stock!AH$1,'Stock UST'!$1:$1,0)),AG65,INDEX('Stock UST'!65:65,1,MATCH(Stock!AH$1,'Stock UST'!$1:$1,0))))</f>
        <v/>
      </c>
      <c r="AI65" s="9" t="str">
        <f ca="1">IF(IF(ISERROR(MATCH(Stock!AI$1,'Stock UST'!$1:$1,0)),AH65,INDEX('Stock UST'!65:65,1,MATCH(Stock!AI$1,'Stock UST'!$1:$1,0)))=0,"",IF(ISERROR(MATCH(Stock!AI$1,'Stock UST'!$1:$1,0)),AH65,INDEX('Stock UST'!65:65,1,MATCH(Stock!AI$1,'Stock UST'!$1:$1,0))))</f>
        <v/>
      </c>
      <c r="AJ65" s="9" t="str">
        <f ca="1">IF(IF(ISERROR(MATCH(Stock!AJ$1,'Stock UST'!$1:$1,0)),AI65,INDEX('Stock UST'!65:65,1,MATCH(Stock!AJ$1,'Stock UST'!$1:$1,0)))=0,"",IF(ISERROR(MATCH(Stock!AJ$1,'Stock UST'!$1:$1,0)),AI65,INDEX('Stock UST'!65:65,1,MATCH(Stock!AJ$1,'Stock UST'!$1:$1,0))))</f>
        <v/>
      </c>
      <c r="AK65" s="9" t="str">
        <f ca="1">IF(IF(ISERROR(MATCH(Stock!AK$1,'Stock UST'!$1:$1,0)),AJ65,INDEX('Stock UST'!65:65,1,MATCH(Stock!AK$1,'Stock UST'!$1:$1,0)))=0,"",IF(ISERROR(MATCH(Stock!AK$1,'Stock UST'!$1:$1,0)),AJ65,INDEX('Stock UST'!65:65,1,MATCH(Stock!AK$1,'Stock UST'!$1:$1,0))))</f>
        <v/>
      </c>
      <c r="AL65" s="9" t="str">
        <f ca="1">IF(IF(ISERROR(MATCH(Stock!AL$1,'Stock UST'!$1:$1,0)),AK65,INDEX('Stock UST'!65:65,1,MATCH(Stock!AL$1,'Stock UST'!$1:$1,0)))=0,"",IF(ISERROR(MATCH(Stock!AL$1,'Stock UST'!$1:$1,0)),AK65,INDEX('Stock UST'!65:65,1,MATCH(Stock!AL$1,'Stock UST'!$1:$1,0))))</f>
        <v/>
      </c>
      <c r="AM65" s="9" t="str">
        <f ca="1">IF(IF(ISERROR(MATCH(Stock!AM$1,'Stock UST'!$1:$1,0)),AL65,INDEX('Stock UST'!65:65,1,MATCH(Stock!AM$1,'Stock UST'!$1:$1,0)))=0,"",IF(ISERROR(MATCH(Stock!AM$1,'Stock UST'!$1:$1,0)),AL65,INDEX('Stock UST'!65:65,1,MATCH(Stock!AM$1,'Stock UST'!$1:$1,0))))</f>
        <v/>
      </c>
      <c r="AN65" s="9" t="str">
        <f ca="1">IF(IF(ISERROR(MATCH(Stock!AN$1,'Stock UST'!$1:$1,0)),AM65,INDEX('Stock UST'!65:65,1,MATCH(Stock!AN$1,'Stock UST'!$1:$1,0)))=0,"",IF(ISERROR(MATCH(Stock!AN$1,'Stock UST'!$1:$1,0)),AM65,INDEX('Stock UST'!65:65,1,MATCH(Stock!AN$1,'Stock UST'!$1:$1,0))))</f>
        <v/>
      </c>
      <c r="AO65" s="9" t="str">
        <f ca="1">IF(IF(ISERROR(MATCH(Stock!AO$1,'Stock UST'!$1:$1,0)),AN65,INDEX('Stock UST'!65:65,1,MATCH(Stock!AO$1,'Stock UST'!$1:$1,0)))=0,"",IF(ISERROR(MATCH(Stock!AO$1,'Stock UST'!$1:$1,0)),AN65,INDEX('Stock UST'!65:65,1,MATCH(Stock!AO$1,'Stock UST'!$1:$1,0))))</f>
        <v/>
      </c>
      <c r="AP65" s="9" t="str">
        <f ca="1">IF(IF(ISERROR(MATCH(Stock!AP$1,'Stock UST'!$1:$1,0)),AO65,INDEX('Stock UST'!65:65,1,MATCH(Stock!AP$1,'Stock UST'!$1:$1,0)))=0,"",IF(ISERROR(MATCH(Stock!AP$1,'Stock UST'!$1:$1,0)),AO65,INDEX('Stock UST'!65:65,1,MATCH(Stock!AP$1,'Stock UST'!$1:$1,0))))</f>
        <v/>
      </c>
      <c r="AQ65" s="9" t="str">
        <f ca="1">IF(IF(ISERROR(MATCH(Stock!AQ$1,'Stock UST'!$1:$1,0)),AP65,INDEX('Stock UST'!65:65,1,MATCH(Stock!AQ$1,'Stock UST'!$1:$1,0)))=0,"",IF(ISERROR(MATCH(Stock!AQ$1,'Stock UST'!$1:$1,0)),AP65,INDEX('Stock UST'!65:65,1,MATCH(Stock!AQ$1,'Stock UST'!$1:$1,0))))</f>
        <v/>
      </c>
      <c r="AR65" s="9" t="str">
        <f ca="1">IF(IF(ISERROR(MATCH(Stock!AR$1,'Stock UST'!$1:$1,0)),AQ65,INDEX('Stock UST'!65:65,1,MATCH(Stock!AR$1,'Stock UST'!$1:$1,0)))=0,"",IF(ISERROR(MATCH(Stock!AR$1,'Stock UST'!$1:$1,0)),AQ65,INDEX('Stock UST'!65:65,1,MATCH(Stock!AR$1,'Stock UST'!$1:$1,0))))</f>
        <v/>
      </c>
      <c r="AS65" s="9" t="str">
        <f ca="1">IF(IF(ISERROR(MATCH(Stock!AS$1,'Stock UST'!$1:$1,0)),AR65,INDEX('Stock UST'!65:65,1,MATCH(Stock!AS$1,'Stock UST'!$1:$1,0)))=0,"",IF(ISERROR(MATCH(Stock!AS$1,'Stock UST'!$1:$1,0)),AR65,INDEX('Stock UST'!65:65,1,MATCH(Stock!AS$1,'Stock UST'!$1:$1,0))))</f>
        <v/>
      </c>
      <c r="AT65" s="9" t="str">
        <f ca="1">IF(IF(ISERROR(MATCH(Stock!AT$1,'Stock UST'!$1:$1,0)),AS65,INDEX('Stock UST'!65:65,1,MATCH(Stock!AT$1,'Stock UST'!$1:$1,0)))=0,"",IF(ISERROR(MATCH(Stock!AT$1,'Stock UST'!$1:$1,0)),AS65,INDEX('Stock UST'!65:65,1,MATCH(Stock!AT$1,'Stock UST'!$1:$1,0))))</f>
        <v/>
      </c>
      <c r="AU65" s="9" t="str">
        <f ca="1">IF(IF(ISERROR(MATCH(Stock!AU$1,'Stock UST'!$1:$1,0)),AT65,INDEX('Stock UST'!65:65,1,MATCH(Stock!AU$1,'Stock UST'!$1:$1,0)))=0,"",IF(ISERROR(MATCH(Stock!AU$1,'Stock UST'!$1:$1,0)),AT65,INDEX('Stock UST'!65:65,1,MATCH(Stock!AU$1,'Stock UST'!$1:$1,0))))</f>
        <v/>
      </c>
      <c r="AV65" s="9" t="str">
        <f ca="1">IF(IF(ISERROR(MATCH(Stock!AV$1,'Stock UST'!$1:$1,0)),AU65,INDEX('Stock UST'!65:65,1,MATCH(Stock!AV$1,'Stock UST'!$1:$1,0)))=0,"",IF(ISERROR(MATCH(Stock!AV$1,'Stock UST'!$1:$1,0)),AU65,INDEX('Stock UST'!65:65,1,MATCH(Stock!AV$1,'Stock UST'!$1:$1,0))))</f>
        <v/>
      </c>
      <c r="AW65" s="9" t="str">
        <f ca="1">IF(IF(ISERROR(MATCH(Stock!AW$1,'Stock UST'!$1:$1,0)),AV65,INDEX('Stock UST'!65:65,1,MATCH(Stock!AW$1,'Stock UST'!$1:$1,0)))=0,"",IF(ISERROR(MATCH(Stock!AW$1,'Stock UST'!$1:$1,0)),AV65,INDEX('Stock UST'!65:65,1,MATCH(Stock!AW$1,'Stock UST'!$1:$1,0))))</f>
        <v/>
      </c>
      <c r="AX65" s="9" t="str">
        <f ca="1">IF(IF(ISERROR(MATCH(Stock!AX$1,'Stock UST'!$1:$1,0)),AW65,INDEX('Stock UST'!65:65,1,MATCH(Stock!AX$1,'Stock UST'!$1:$1,0)))=0,"",IF(ISERROR(MATCH(Stock!AX$1,'Stock UST'!$1:$1,0)),AW65,INDEX('Stock UST'!65:65,1,MATCH(Stock!AX$1,'Stock UST'!$1:$1,0))))</f>
        <v/>
      </c>
    </row>
    <row r="66" spans="1:50" x14ac:dyDescent="0.3">
      <c r="A66" s="9" t="str">
        <f>IF('Stock UST'!E66="","",'Stock UST'!E66)</f>
        <v/>
      </c>
      <c r="B66" s="9" t="str">
        <f>IF(IF(ISERROR(MATCH(Stock!B$1,'Stock UST'!$1:$1,0)),A66,INDEX('Stock UST'!66:66,1,MATCH(Stock!B$1,'Stock UST'!$1:$1,0)))=0,"",IF(ISERROR(MATCH(Stock!B$1,'Stock UST'!$1:$1,0)),A66,INDEX('Stock UST'!66:66,1,MATCH(Stock!B$1,'Stock UST'!$1:$1,0))))</f>
        <v/>
      </c>
      <c r="C66" s="9" t="str">
        <f ca="1">IF(IF(ISERROR(MATCH(Stock!C$1,'Stock UST'!$1:$1,0)),B66,INDEX('Stock UST'!66:66,1,MATCH(Stock!C$1,'Stock UST'!$1:$1,0)))=0,"",IF(ISERROR(MATCH(Stock!C$1,'Stock UST'!$1:$1,0)),B66,INDEX('Stock UST'!66:66,1,MATCH(Stock!C$1,'Stock UST'!$1:$1,0))))</f>
        <v/>
      </c>
      <c r="D66" s="9" t="str">
        <f ca="1">IF(IF(ISERROR(MATCH(Stock!D$1,'Stock UST'!$1:$1,0)),C66,INDEX('Stock UST'!66:66,1,MATCH(Stock!D$1,'Stock UST'!$1:$1,0)))=0,"",IF(ISERROR(MATCH(Stock!D$1,'Stock UST'!$1:$1,0)),C66,INDEX('Stock UST'!66:66,1,MATCH(Stock!D$1,'Stock UST'!$1:$1,0))))</f>
        <v/>
      </c>
      <c r="E66" s="9" t="str">
        <f ca="1">IF(IF(ISERROR(MATCH(Stock!E$1,'Stock UST'!$1:$1,0)),D66,INDEX('Stock UST'!66:66,1,MATCH(Stock!E$1,'Stock UST'!$1:$1,0)))=0,"",IF(ISERROR(MATCH(Stock!E$1,'Stock UST'!$1:$1,0)),D66,INDEX('Stock UST'!66:66,1,MATCH(Stock!E$1,'Stock UST'!$1:$1,0))))</f>
        <v/>
      </c>
      <c r="F66" s="9" t="str">
        <f ca="1">IF(IF(ISERROR(MATCH(Stock!F$1,'Stock UST'!$1:$1,0)),E66,INDEX('Stock UST'!66:66,1,MATCH(Stock!F$1,'Stock UST'!$1:$1,0)))=0,"",IF(ISERROR(MATCH(Stock!F$1,'Stock UST'!$1:$1,0)),E66,INDEX('Stock UST'!66:66,1,MATCH(Stock!F$1,'Stock UST'!$1:$1,0))))</f>
        <v/>
      </c>
      <c r="G66" s="9" t="str">
        <f ca="1">IF(IF(ISERROR(MATCH(Stock!G$1,'Stock UST'!$1:$1,0)),F66,INDEX('Stock UST'!66:66,1,MATCH(Stock!G$1,'Stock UST'!$1:$1,0)))=0,"",IF(ISERROR(MATCH(Stock!G$1,'Stock UST'!$1:$1,0)),F66,INDEX('Stock UST'!66:66,1,MATCH(Stock!G$1,'Stock UST'!$1:$1,0))))</f>
        <v/>
      </c>
      <c r="H66" s="9" t="str">
        <f ca="1">IF(IF(ISERROR(MATCH(Stock!H$1,'Stock UST'!$1:$1,0)),G66,INDEX('Stock UST'!66:66,1,MATCH(Stock!H$1,'Stock UST'!$1:$1,0)))=0,"",IF(ISERROR(MATCH(Stock!H$1,'Stock UST'!$1:$1,0)),G66,INDEX('Stock UST'!66:66,1,MATCH(Stock!H$1,'Stock UST'!$1:$1,0))))</f>
        <v/>
      </c>
      <c r="I66" s="9" t="str">
        <f ca="1">IF(IF(ISERROR(MATCH(Stock!I$1,'Stock UST'!$1:$1,0)),H66,INDEX('Stock UST'!66:66,1,MATCH(Stock!I$1,'Stock UST'!$1:$1,0)))=0,"",IF(ISERROR(MATCH(Stock!I$1,'Stock UST'!$1:$1,0)),H66,INDEX('Stock UST'!66:66,1,MATCH(Stock!I$1,'Stock UST'!$1:$1,0))))</f>
        <v/>
      </c>
      <c r="J66" s="9" t="str">
        <f ca="1">IF(IF(ISERROR(MATCH(Stock!J$1,'Stock UST'!$1:$1,0)),I66,INDEX('Stock UST'!66:66,1,MATCH(Stock!J$1,'Stock UST'!$1:$1,0)))=0,"",IF(ISERROR(MATCH(Stock!J$1,'Stock UST'!$1:$1,0)),I66,INDEX('Stock UST'!66:66,1,MATCH(Stock!J$1,'Stock UST'!$1:$1,0))))</f>
        <v/>
      </c>
      <c r="K66" s="9" t="str">
        <f ca="1">IF(IF(ISERROR(MATCH(Stock!K$1,'Stock UST'!$1:$1,0)),J66,INDEX('Stock UST'!66:66,1,MATCH(Stock!K$1,'Stock UST'!$1:$1,0)))=0,"",IF(ISERROR(MATCH(Stock!K$1,'Stock UST'!$1:$1,0)),J66,INDEX('Stock UST'!66:66,1,MATCH(Stock!K$1,'Stock UST'!$1:$1,0))))</f>
        <v/>
      </c>
      <c r="L66" s="9" t="str">
        <f ca="1">IF(IF(ISERROR(MATCH(Stock!L$1,'Stock UST'!$1:$1,0)),K66,INDEX('Stock UST'!66:66,1,MATCH(Stock!L$1,'Stock UST'!$1:$1,0)))=0,"",IF(ISERROR(MATCH(Stock!L$1,'Stock UST'!$1:$1,0)),K66,INDEX('Stock UST'!66:66,1,MATCH(Stock!L$1,'Stock UST'!$1:$1,0))))</f>
        <v/>
      </c>
      <c r="M66" s="9" t="str">
        <f ca="1">IF(IF(ISERROR(MATCH(Stock!M$1,'Stock UST'!$1:$1,0)),L66,INDEX('Stock UST'!66:66,1,MATCH(Stock!M$1,'Stock UST'!$1:$1,0)))=0,"",IF(ISERROR(MATCH(Stock!M$1,'Stock UST'!$1:$1,0)),L66,INDEX('Stock UST'!66:66,1,MATCH(Stock!M$1,'Stock UST'!$1:$1,0))))</f>
        <v/>
      </c>
      <c r="N66" s="9" t="str">
        <f ca="1">IF(IF(ISERROR(MATCH(Stock!N$1,'Stock UST'!$1:$1,0)),M66,INDEX('Stock UST'!66:66,1,MATCH(Stock!N$1,'Stock UST'!$1:$1,0)))=0,"",IF(ISERROR(MATCH(Stock!N$1,'Stock UST'!$1:$1,0)),M66,INDEX('Stock UST'!66:66,1,MATCH(Stock!N$1,'Stock UST'!$1:$1,0))))</f>
        <v/>
      </c>
      <c r="O66" s="9" t="str">
        <f ca="1">IF(IF(ISERROR(MATCH(Stock!O$1,'Stock UST'!$1:$1,0)),N66,INDEX('Stock UST'!66:66,1,MATCH(Stock!O$1,'Stock UST'!$1:$1,0)))=0,"",IF(ISERROR(MATCH(Stock!O$1,'Stock UST'!$1:$1,0)),N66,INDEX('Stock UST'!66:66,1,MATCH(Stock!O$1,'Stock UST'!$1:$1,0))))</f>
        <v/>
      </c>
      <c r="P66" s="9" t="str">
        <f ca="1">IF(IF(ISERROR(MATCH(Stock!P$1,'Stock UST'!$1:$1,0)),O66,INDEX('Stock UST'!66:66,1,MATCH(Stock!P$1,'Stock UST'!$1:$1,0)))=0,"",IF(ISERROR(MATCH(Stock!P$1,'Stock UST'!$1:$1,0)),O66,INDEX('Stock UST'!66:66,1,MATCH(Stock!P$1,'Stock UST'!$1:$1,0))))</f>
        <v/>
      </c>
      <c r="Q66" s="9" t="str">
        <f ca="1">IF(IF(ISERROR(MATCH(Stock!Q$1,'Stock UST'!$1:$1,0)),P66,INDEX('Stock UST'!66:66,1,MATCH(Stock!Q$1,'Stock UST'!$1:$1,0)))=0,"",IF(ISERROR(MATCH(Stock!Q$1,'Stock UST'!$1:$1,0)),P66,INDEX('Stock UST'!66:66,1,MATCH(Stock!Q$1,'Stock UST'!$1:$1,0))))</f>
        <v/>
      </c>
      <c r="R66" s="9" t="str">
        <f ca="1">IF(IF(ISERROR(MATCH(Stock!R$1,'Stock UST'!$1:$1,0)),Q66,INDEX('Stock UST'!66:66,1,MATCH(Stock!R$1,'Stock UST'!$1:$1,0)))=0,"",IF(ISERROR(MATCH(Stock!R$1,'Stock UST'!$1:$1,0)),Q66,INDEX('Stock UST'!66:66,1,MATCH(Stock!R$1,'Stock UST'!$1:$1,0))))</f>
        <v/>
      </c>
      <c r="S66" s="9" t="str">
        <f ca="1">IF(IF(ISERROR(MATCH(Stock!S$1,'Stock UST'!$1:$1,0)),R66,INDEX('Stock UST'!66:66,1,MATCH(Stock!S$1,'Stock UST'!$1:$1,0)))=0,"",IF(ISERROR(MATCH(Stock!S$1,'Stock UST'!$1:$1,0)),R66,INDEX('Stock UST'!66:66,1,MATCH(Stock!S$1,'Stock UST'!$1:$1,0))))</f>
        <v/>
      </c>
      <c r="T66" s="9" t="str">
        <f ca="1">IF(IF(ISERROR(MATCH(Stock!T$1,'Stock UST'!$1:$1,0)),S66,INDEX('Stock UST'!66:66,1,MATCH(Stock!T$1,'Stock UST'!$1:$1,0)))=0,"",IF(ISERROR(MATCH(Stock!T$1,'Stock UST'!$1:$1,0)),S66,INDEX('Stock UST'!66:66,1,MATCH(Stock!T$1,'Stock UST'!$1:$1,0))))</f>
        <v/>
      </c>
      <c r="U66" s="9" t="str">
        <f ca="1">IF(IF(ISERROR(MATCH(Stock!U$1,'Stock UST'!$1:$1,0)),T66,INDEX('Stock UST'!66:66,1,MATCH(Stock!U$1,'Stock UST'!$1:$1,0)))=0,"",IF(ISERROR(MATCH(Stock!U$1,'Stock UST'!$1:$1,0)),T66,INDEX('Stock UST'!66:66,1,MATCH(Stock!U$1,'Stock UST'!$1:$1,0))))</f>
        <v/>
      </c>
      <c r="V66" s="9" t="str">
        <f ca="1">IF(IF(ISERROR(MATCH(Stock!V$1,'Stock UST'!$1:$1,0)),U66,INDEX('Stock UST'!66:66,1,MATCH(Stock!V$1,'Stock UST'!$1:$1,0)))=0,"",IF(ISERROR(MATCH(Stock!V$1,'Stock UST'!$1:$1,0)),U66,INDEX('Stock UST'!66:66,1,MATCH(Stock!V$1,'Stock UST'!$1:$1,0))))</f>
        <v/>
      </c>
      <c r="W66" s="9" t="str">
        <f ca="1">IF(IF(ISERROR(MATCH(Stock!W$1,'Stock UST'!$1:$1,0)),V66,INDEX('Stock UST'!66:66,1,MATCH(Stock!W$1,'Stock UST'!$1:$1,0)))=0,"",IF(ISERROR(MATCH(Stock!W$1,'Stock UST'!$1:$1,0)),V66,INDEX('Stock UST'!66:66,1,MATCH(Stock!W$1,'Stock UST'!$1:$1,0))))</f>
        <v/>
      </c>
      <c r="X66" s="9" t="str">
        <f ca="1">IF(IF(ISERROR(MATCH(Stock!X$1,'Stock UST'!$1:$1,0)),W66,INDEX('Stock UST'!66:66,1,MATCH(Stock!X$1,'Stock UST'!$1:$1,0)))=0,"",IF(ISERROR(MATCH(Stock!X$1,'Stock UST'!$1:$1,0)),W66,INDEX('Stock UST'!66:66,1,MATCH(Stock!X$1,'Stock UST'!$1:$1,0))))</f>
        <v/>
      </c>
      <c r="Y66" s="9" t="str">
        <f ca="1">IF(IF(ISERROR(MATCH(Stock!Y$1,'Stock UST'!$1:$1,0)),X66,INDEX('Stock UST'!66:66,1,MATCH(Stock!Y$1,'Stock UST'!$1:$1,0)))=0,"",IF(ISERROR(MATCH(Stock!Y$1,'Stock UST'!$1:$1,0)),X66,INDEX('Stock UST'!66:66,1,MATCH(Stock!Y$1,'Stock UST'!$1:$1,0))))</f>
        <v/>
      </c>
      <c r="Z66" s="9" t="str">
        <f ca="1">IF(IF(ISERROR(MATCH(Stock!Z$1,'Stock UST'!$1:$1,0)),Y66,INDEX('Stock UST'!66:66,1,MATCH(Stock!Z$1,'Stock UST'!$1:$1,0)))=0,"",IF(ISERROR(MATCH(Stock!Z$1,'Stock UST'!$1:$1,0)),Y66,INDEX('Stock UST'!66:66,1,MATCH(Stock!Z$1,'Stock UST'!$1:$1,0))))</f>
        <v/>
      </c>
      <c r="AA66" s="9" t="str">
        <f ca="1">IF(IF(ISERROR(MATCH(Stock!AA$1,'Stock UST'!$1:$1,0)),Z66,INDEX('Stock UST'!66:66,1,MATCH(Stock!AA$1,'Stock UST'!$1:$1,0)))=0,"",IF(ISERROR(MATCH(Stock!AA$1,'Stock UST'!$1:$1,0)),Z66,INDEX('Stock UST'!66:66,1,MATCH(Stock!AA$1,'Stock UST'!$1:$1,0))))</f>
        <v/>
      </c>
      <c r="AB66" s="9" t="str">
        <f ca="1">IF(IF(ISERROR(MATCH(Stock!AB$1,'Stock UST'!$1:$1,0)),AA66,INDEX('Stock UST'!66:66,1,MATCH(Stock!AB$1,'Stock UST'!$1:$1,0)))=0,"",IF(ISERROR(MATCH(Stock!AB$1,'Stock UST'!$1:$1,0)),AA66,INDEX('Stock UST'!66:66,1,MATCH(Stock!AB$1,'Stock UST'!$1:$1,0))))</f>
        <v/>
      </c>
      <c r="AC66" s="9" t="str">
        <f ca="1">IF(IF(ISERROR(MATCH(Stock!AC$1,'Stock UST'!$1:$1,0)),AB66,INDEX('Stock UST'!66:66,1,MATCH(Stock!AC$1,'Stock UST'!$1:$1,0)))=0,"",IF(ISERROR(MATCH(Stock!AC$1,'Stock UST'!$1:$1,0)),AB66,INDEX('Stock UST'!66:66,1,MATCH(Stock!AC$1,'Stock UST'!$1:$1,0))))</f>
        <v/>
      </c>
      <c r="AD66" s="9" t="str">
        <f ca="1">IF(IF(ISERROR(MATCH(Stock!AD$1,'Stock UST'!$1:$1,0)),AC66,INDEX('Stock UST'!66:66,1,MATCH(Stock!AD$1,'Stock UST'!$1:$1,0)))=0,"",IF(ISERROR(MATCH(Stock!AD$1,'Stock UST'!$1:$1,0)),AC66,INDEX('Stock UST'!66:66,1,MATCH(Stock!AD$1,'Stock UST'!$1:$1,0))))</f>
        <v/>
      </c>
      <c r="AE66" s="9" t="str">
        <f ca="1">IF(IF(ISERROR(MATCH(Stock!AE$1,'Stock UST'!$1:$1,0)),AD66,INDEX('Stock UST'!66:66,1,MATCH(Stock!AE$1,'Stock UST'!$1:$1,0)))=0,"",IF(ISERROR(MATCH(Stock!AE$1,'Stock UST'!$1:$1,0)),AD66,INDEX('Stock UST'!66:66,1,MATCH(Stock!AE$1,'Stock UST'!$1:$1,0))))</f>
        <v/>
      </c>
      <c r="AF66" s="9" t="str">
        <f ca="1">IF(IF(ISERROR(MATCH(Stock!AF$1,'Stock UST'!$1:$1,0)),AE66,INDEX('Stock UST'!66:66,1,MATCH(Stock!AF$1,'Stock UST'!$1:$1,0)))=0,"",IF(ISERROR(MATCH(Stock!AF$1,'Stock UST'!$1:$1,0)),AE66,INDEX('Stock UST'!66:66,1,MATCH(Stock!AF$1,'Stock UST'!$1:$1,0))))</f>
        <v/>
      </c>
      <c r="AG66" s="9" t="str">
        <f ca="1">IF(IF(ISERROR(MATCH(Stock!AG$1,'Stock UST'!$1:$1,0)),AF66,INDEX('Stock UST'!66:66,1,MATCH(Stock!AG$1,'Stock UST'!$1:$1,0)))=0,"",IF(ISERROR(MATCH(Stock!AG$1,'Stock UST'!$1:$1,0)),AF66,INDEX('Stock UST'!66:66,1,MATCH(Stock!AG$1,'Stock UST'!$1:$1,0))))</f>
        <v/>
      </c>
      <c r="AH66" s="9" t="str">
        <f ca="1">IF(IF(ISERROR(MATCH(Stock!AH$1,'Stock UST'!$1:$1,0)),AG66,INDEX('Stock UST'!66:66,1,MATCH(Stock!AH$1,'Stock UST'!$1:$1,0)))=0,"",IF(ISERROR(MATCH(Stock!AH$1,'Stock UST'!$1:$1,0)),AG66,INDEX('Stock UST'!66:66,1,MATCH(Stock!AH$1,'Stock UST'!$1:$1,0))))</f>
        <v/>
      </c>
      <c r="AI66" s="9" t="str">
        <f ca="1">IF(IF(ISERROR(MATCH(Stock!AI$1,'Stock UST'!$1:$1,0)),AH66,INDEX('Stock UST'!66:66,1,MATCH(Stock!AI$1,'Stock UST'!$1:$1,0)))=0,"",IF(ISERROR(MATCH(Stock!AI$1,'Stock UST'!$1:$1,0)),AH66,INDEX('Stock UST'!66:66,1,MATCH(Stock!AI$1,'Stock UST'!$1:$1,0))))</f>
        <v/>
      </c>
      <c r="AJ66" s="9" t="str">
        <f ca="1">IF(IF(ISERROR(MATCH(Stock!AJ$1,'Stock UST'!$1:$1,0)),AI66,INDEX('Stock UST'!66:66,1,MATCH(Stock!AJ$1,'Stock UST'!$1:$1,0)))=0,"",IF(ISERROR(MATCH(Stock!AJ$1,'Stock UST'!$1:$1,0)),AI66,INDEX('Stock UST'!66:66,1,MATCH(Stock!AJ$1,'Stock UST'!$1:$1,0))))</f>
        <v/>
      </c>
      <c r="AK66" s="9" t="str">
        <f ca="1">IF(IF(ISERROR(MATCH(Stock!AK$1,'Stock UST'!$1:$1,0)),AJ66,INDEX('Stock UST'!66:66,1,MATCH(Stock!AK$1,'Stock UST'!$1:$1,0)))=0,"",IF(ISERROR(MATCH(Stock!AK$1,'Stock UST'!$1:$1,0)),AJ66,INDEX('Stock UST'!66:66,1,MATCH(Stock!AK$1,'Stock UST'!$1:$1,0))))</f>
        <v/>
      </c>
      <c r="AL66" s="9" t="str">
        <f ca="1">IF(IF(ISERROR(MATCH(Stock!AL$1,'Stock UST'!$1:$1,0)),AK66,INDEX('Stock UST'!66:66,1,MATCH(Stock!AL$1,'Stock UST'!$1:$1,0)))=0,"",IF(ISERROR(MATCH(Stock!AL$1,'Stock UST'!$1:$1,0)),AK66,INDEX('Stock UST'!66:66,1,MATCH(Stock!AL$1,'Stock UST'!$1:$1,0))))</f>
        <v/>
      </c>
      <c r="AM66" s="9" t="str">
        <f ca="1">IF(IF(ISERROR(MATCH(Stock!AM$1,'Stock UST'!$1:$1,0)),AL66,INDEX('Stock UST'!66:66,1,MATCH(Stock!AM$1,'Stock UST'!$1:$1,0)))=0,"",IF(ISERROR(MATCH(Stock!AM$1,'Stock UST'!$1:$1,0)),AL66,INDEX('Stock UST'!66:66,1,MATCH(Stock!AM$1,'Stock UST'!$1:$1,0))))</f>
        <v/>
      </c>
      <c r="AN66" s="9" t="str">
        <f ca="1">IF(IF(ISERROR(MATCH(Stock!AN$1,'Stock UST'!$1:$1,0)),AM66,INDEX('Stock UST'!66:66,1,MATCH(Stock!AN$1,'Stock UST'!$1:$1,0)))=0,"",IF(ISERROR(MATCH(Stock!AN$1,'Stock UST'!$1:$1,0)),AM66,INDEX('Stock UST'!66:66,1,MATCH(Stock!AN$1,'Stock UST'!$1:$1,0))))</f>
        <v/>
      </c>
      <c r="AO66" s="9" t="str">
        <f ca="1">IF(IF(ISERROR(MATCH(Stock!AO$1,'Stock UST'!$1:$1,0)),AN66,INDEX('Stock UST'!66:66,1,MATCH(Stock!AO$1,'Stock UST'!$1:$1,0)))=0,"",IF(ISERROR(MATCH(Stock!AO$1,'Stock UST'!$1:$1,0)),AN66,INDEX('Stock UST'!66:66,1,MATCH(Stock!AO$1,'Stock UST'!$1:$1,0))))</f>
        <v/>
      </c>
      <c r="AP66" s="9" t="str">
        <f ca="1">IF(IF(ISERROR(MATCH(Stock!AP$1,'Stock UST'!$1:$1,0)),AO66,INDEX('Stock UST'!66:66,1,MATCH(Stock!AP$1,'Stock UST'!$1:$1,0)))=0,"",IF(ISERROR(MATCH(Stock!AP$1,'Stock UST'!$1:$1,0)),AO66,INDEX('Stock UST'!66:66,1,MATCH(Stock!AP$1,'Stock UST'!$1:$1,0))))</f>
        <v/>
      </c>
      <c r="AQ66" s="9" t="str">
        <f ca="1">IF(IF(ISERROR(MATCH(Stock!AQ$1,'Stock UST'!$1:$1,0)),AP66,INDEX('Stock UST'!66:66,1,MATCH(Stock!AQ$1,'Stock UST'!$1:$1,0)))=0,"",IF(ISERROR(MATCH(Stock!AQ$1,'Stock UST'!$1:$1,0)),AP66,INDEX('Stock UST'!66:66,1,MATCH(Stock!AQ$1,'Stock UST'!$1:$1,0))))</f>
        <v/>
      </c>
      <c r="AR66" s="9" t="str">
        <f ca="1">IF(IF(ISERROR(MATCH(Stock!AR$1,'Stock UST'!$1:$1,0)),AQ66,INDEX('Stock UST'!66:66,1,MATCH(Stock!AR$1,'Stock UST'!$1:$1,0)))=0,"",IF(ISERROR(MATCH(Stock!AR$1,'Stock UST'!$1:$1,0)),AQ66,INDEX('Stock UST'!66:66,1,MATCH(Stock!AR$1,'Stock UST'!$1:$1,0))))</f>
        <v/>
      </c>
      <c r="AS66" s="9" t="str">
        <f ca="1">IF(IF(ISERROR(MATCH(Stock!AS$1,'Stock UST'!$1:$1,0)),AR66,INDEX('Stock UST'!66:66,1,MATCH(Stock!AS$1,'Stock UST'!$1:$1,0)))=0,"",IF(ISERROR(MATCH(Stock!AS$1,'Stock UST'!$1:$1,0)),AR66,INDEX('Stock UST'!66:66,1,MATCH(Stock!AS$1,'Stock UST'!$1:$1,0))))</f>
        <v/>
      </c>
      <c r="AT66" s="9" t="str">
        <f ca="1">IF(IF(ISERROR(MATCH(Stock!AT$1,'Stock UST'!$1:$1,0)),AS66,INDEX('Stock UST'!66:66,1,MATCH(Stock!AT$1,'Stock UST'!$1:$1,0)))=0,"",IF(ISERROR(MATCH(Stock!AT$1,'Stock UST'!$1:$1,0)),AS66,INDEX('Stock UST'!66:66,1,MATCH(Stock!AT$1,'Stock UST'!$1:$1,0))))</f>
        <v/>
      </c>
      <c r="AU66" s="9" t="str">
        <f ca="1">IF(IF(ISERROR(MATCH(Stock!AU$1,'Stock UST'!$1:$1,0)),AT66,INDEX('Stock UST'!66:66,1,MATCH(Stock!AU$1,'Stock UST'!$1:$1,0)))=0,"",IF(ISERROR(MATCH(Stock!AU$1,'Stock UST'!$1:$1,0)),AT66,INDEX('Stock UST'!66:66,1,MATCH(Stock!AU$1,'Stock UST'!$1:$1,0))))</f>
        <v/>
      </c>
      <c r="AV66" s="9" t="str">
        <f ca="1">IF(IF(ISERROR(MATCH(Stock!AV$1,'Stock UST'!$1:$1,0)),AU66,INDEX('Stock UST'!66:66,1,MATCH(Stock!AV$1,'Stock UST'!$1:$1,0)))=0,"",IF(ISERROR(MATCH(Stock!AV$1,'Stock UST'!$1:$1,0)),AU66,INDEX('Stock UST'!66:66,1,MATCH(Stock!AV$1,'Stock UST'!$1:$1,0))))</f>
        <v/>
      </c>
      <c r="AW66" s="9" t="str">
        <f ca="1">IF(IF(ISERROR(MATCH(Stock!AW$1,'Stock UST'!$1:$1,0)),AV66,INDEX('Stock UST'!66:66,1,MATCH(Stock!AW$1,'Stock UST'!$1:$1,0)))=0,"",IF(ISERROR(MATCH(Stock!AW$1,'Stock UST'!$1:$1,0)),AV66,INDEX('Stock UST'!66:66,1,MATCH(Stock!AW$1,'Stock UST'!$1:$1,0))))</f>
        <v/>
      </c>
      <c r="AX66" s="9" t="str">
        <f ca="1">IF(IF(ISERROR(MATCH(Stock!AX$1,'Stock UST'!$1:$1,0)),AW66,INDEX('Stock UST'!66:66,1,MATCH(Stock!AX$1,'Stock UST'!$1:$1,0)))=0,"",IF(ISERROR(MATCH(Stock!AX$1,'Stock UST'!$1:$1,0)),AW66,INDEX('Stock UST'!66:66,1,MATCH(Stock!AX$1,'Stock UST'!$1:$1,0))))</f>
        <v/>
      </c>
    </row>
    <row r="67" spans="1:50" x14ac:dyDescent="0.3">
      <c r="A67" s="9" t="str">
        <f>IF('Stock UST'!E67="","",'Stock UST'!E67)</f>
        <v/>
      </c>
      <c r="B67" s="9" t="str">
        <f>IF(IF(ISERROR(MATCH(Stock!B$1,'Stock UST'!$1:$1,0)),A67,INDEX('Stock UST'!67:67,1,MATCH(Stock!B$1,'Stock UST'!$1:$1,0)))=0,"",IF(ISERROR(MATCH(Stock!B$1,'Stock UST'!$1:$1,0)),A67,INDEX('Stock UST'!67:67,1,MATCH(Stock!B$1,'Stock UST'!$1:$1,0))))</f>
        <v/>
      </c>
      <c r="C67" s="9" t="str">
        <f ca="1">IF(IF(ISERROR(MATCH(Stock!C$1,'Stock UST'!$1:$1,0)),B67,INDEX('Stock UST'!67:67,1,MATCH(Stock!C$1,'Stock UST'!$1:$1,0)))=0,"",IF(ISERROR(MATCH(Stock!C$1,'Stock UST'!$1:$1,0)),B67,INDEX('Stock UST'!67:67,1,MATCH(Stock!C$1,'Stock UST'!$1:$1,0))))</f>
        <v/>
      </c>
      <c r="D67" s="9" t="str">
        <f ca="1">IF(IF(ISERROR(MATCH(Stock!D$1,'Stock UST'!$1:$1,0)),C67,INDEX('Stock UST'!67:67,1,MATCH(Stock!D$1,'Stock UST'!$1:$1,0)))=0,"",IF(ISERROR(MATCH(Stock!D$1,'Stock UST'!$1:$1,0)),C67,INDEX('Stock UST'!67:67,1,MATCH(Stock!D$1,'Stock UST'!$1:$1,0))))</f>
        <v/>
      </c>
      <c r="E67" s="9" t="str">
        <f ca="1">IF(IF(ISERROR(MATCH(Stock!E$1,'Stock UST'!$1:$1,0)),D67,INDEX('Stock UST'!67:67,1,MATCH(Stock!E$1,'Stock UST'!$1:$1,0)))=0,"",IF(ISERROR(MATCH(Stock!E$1,'Stock UST'!$1:$1,0)),D67,INDEX('Stock UST'!67:67,1,MATCH(Stock!E$1,'Stock UST'!$1:$1,0))))</f>
        <v/>
      </c>
      <c r="F67" s="9" t="str">
        <f ca="1">IF(IF(ISERROR(MATCH(Stock!F$1,'Stock UST'!$1:$1,0)),E67,INDEX('Stock UST'!67:67,1,MATCH(Stock!F$1,'Stock UST'!$1:$1,0)))=0,"",IF(ISERROR(MATCH(Stock!F$1,'Stock UST'!$1:$1,0)),E67,INDEX('Stock UST'!67:67,1,MATCH(Stock!F$1,'Stock UST'!$1:$1,0))))</f>
        <v/>
      </c>
      <c r="G67" s="9" t="str">
        <f ca="1">IF(IF(ISERROR(MATCH(Stock!G$1,'Stock UST'!$1:$1,0)),F67,INDEX('Stock UST'!67:67,1,MATCH(Stock!G$1,'Stock UST'!$1:$1,0)))=0,"",IF(ISERROR(MATCH(Stock!G$1,'Stock UST'!$1:$1,0)),F67,INDEX('Stock UST'!67:67,1,MATCH(Stock!G$1,'Stock UST'!$1:$1,0))))</f>
        <v/>
      </c>
      <c r="H67" s="9" t="str">
        <f ca="1">IF(IF(ISERROR(MATCH(Stock!H$1,'Stock UST'!$1:$1,0)),G67,INDEX('Stock UST'!67:67,1,MATCH(Stock!H$1,'Stock UST'!$1:$1,0)))=0,"",IF(ISERROR(MATCH(Stock!H$1,'Stock UST'!$1:$1,0)),G67,INDEX('Stock UST'!67:67,1,MATCH(Stock!H$1,'Stock UST'!$1:$1,0))))</f>
        <v/>
      </c>
      <c r="I67" s="9" t="str">
        <f ca="1">IF(IF(ISERROR(MATCH(Stock!I$1,'Stock UST'!$1:$1,0)),H67,INDEX('Stock UST'!67:67,1,MATCH(Stock!I$1,'Stock UST'!$1:$1,0)))=0,"",IF(ISERROR(MATCH(Stock!I$1,'Stock UST'!$1:$1,0)),H67,INDEX('Stock UST'!67:67,1,MATCH(Stock!I$1,'Stock UST'!$1:$1,0))))</f>
        <v/>
      </c>
      <c r="J67" s="9" t="str">
        <f ca="1">IF(IF(ISERROR(MATCH(Stock!J$1,'Stock UST'!$1:$1,0)),I67,INDEX('Stock UST'!67:67,1,MATCH(Stock!J$1,'Stock UST'!$1:$1,0)))=0,"",IF(ISERROR(MATCH(Stock!J$1,'Stock UST'!$1:$1,0)),I67,INDEX('Stock UST'!67:67,1,MATCH(Stock!J$1,'Stock UST'!$1:$1,0))))</f>
        <v/>
      </c>
      <c r="K67" s="9" t="str">
        <f ca="1">IF(IF(ISERROR(MATCH(Stock!K$1,'Stock UST'!$1:$1,0)),J67,INDEX('Stock UST'!67:67,1,MATCH(Stock!K$1,'Stock UST'!$1:$1,0)))=0,"",IF(ISERROR(MATCH(Stock!K$1,'Stock UST'!$1:$1,0)),J67,INDEX('Stock UST'!67:67,1,MATCH(Stock!K$1,'Stock UST'!$1:$1,0))))</f>
        <v/>
      </c>
      <c r="L67" s="9" t="str">
        <f ca="1">IF(IF(ISERROR(MATCH(Stock!L$1,'Stock UST'!$1:$1,0)),K67,INDEX('Stock UST'!67:67,1,MATCH(Stock!L$1,'Stock UST'!$1:$1,0)))=0,"",IF(ISERROR(MATCH(Stock!L$1,'Stock UST'!$1:$1,0)),K67,INDEX('Stock UST'!67:67,1,MATCH(Stock!L$1,'Stock UST'!$1:$1,0))))</f>
        <v/>
      </c>
      <c r="M67" s="9" t="str">
        <f ca="1">IF(IF(ISERROR(MATCH(Stock!M$1,'Stock UST'!$1:$1,0)),L67,INDEX('Stock UST'!67:67,1,MATCH(Stock!M$1,'Stock UST'!$1:$1,0)))=0,"",IF(ISERROR(MATCH(Stock!M$1,'Stock UST'!$1:$1,0)),L67,INDEX('Stock UST'!67:67,1,MATCH(Stock!M$1,'Stock UST'!$1:$1,0))))</f>
        <v/>
      </c>
      <c r="N67" s="9" t="str">
        <f ca="1">IF(IF(ISERROR(MATCH(Stock!N$1,'Stock UST'!$1:$1,0)),M67,INDEX('Stock UST'!67:67,1,MATCH(Stock!N$1,'Stock UST'!$1:$1,0)))=0,"",IF(ISERROR(MATCH(Stock!N$1,'Stock UST'!$1:$1,0)),M67,INDEX('Stock UST'!67:67,1,MATCH(Stock!N$1,'Stock UST'!$1:$1,0))))</f>
        <v/>
      </c>
      <c r="O67" s="9" t="str">
        <f ca="1">IF(IF(ISERROR(MATCH(Stock!O$1,'Stock UST'!$1:$1,0)),N67,INDEX('Stock UST'!67:67,1,MATCH(Stock!O$1,'Stock UST'!$1:$1,0)))=0,"",IF(ISERROR(MATCH(Stock!O$1,'Stock UST'!$1:$1,0)),N67,INDEX('Stock UST'!67:67,1,MATCH(Stock!O$1,'Stock UST'!$1:$1,0))))</f>
        <v/>
      </c>
      <c r="P67" s="9" t="str">
        <f ca="1">IF(IF(ISERROR(MATCH(Stock!P$1,'Stock UST'!$1:$1,0)),O67,INDEX('Stock UST'!67:67,1,MATCH(Stock!P$1,'Stock UST'!$1:$1,0)))=0,"",IF(ISERROR(MATCH(Stock!P$1,'Stock UST'!$1:$1,0)),O67,INDEX('Stock UST'!67:67,1,MATCH(Stock!P$1,'Stock UST'!$1:$1,0))))</f>
        <v/>
      </c>
      <c r="Q67" s="9" t="str">
        <f ca="1">IF(IF(ISERROR(MATCH(Stock!Q$1,'Stock UST'!$1:$1,0)),P67,INDEX('Stock UST'!67:67,1,MATCH(Stock!Q$1,'Stock UST'!$1:$1,0)))=0,"",IF(ISERROR(MATCH(Stock!Q$1,'Stock UST'!$1:$1,0)),P67,INDEX('Stock UST'!67:67,1,MATCH(Stock!Q$1,'Stock UST'!$1:$1,0))))</f>
        <v/>
      </c>
      <c r="R67" s="9" t="str">
        <f ca="1">IF(IF(ISERROR(MATCH(Stock!R$1,'Stock UST'!$1:$1,0)),Q67,INDEX('Stock UST'!67:67,1,MATCH(Stock!R$1,'Stock UST'!$1:$1,0)))=0,"",IF(ISERROR(MATCH(Stock!R$1,'Stock UST'!$1:$1,0)),Q67,INDEX('Stock UST'!67:67,1,MATCH(Stock!R$1,'Stock UST'!$1:$1,0))))</f>
        <v/>
      </c>
      <c r="S67" s="9" t="str">
        <f ca="1">IF(IF(ISERROR(MATCH(Stock!S$1,'Stock UST'!$1:$1,0)),R67,INDEX('Stock UST'!67:67,1,MATCH(Stock!S$1,'Stock UST'!$1:$1,0)))=0,"",IF(ISERROR(MATCH(Stock!S$1,'Stock UST'!$1:$1,0)),R67,INDEX('Stock UST'!67:67,1,MATCH(Stock!S$1,'Stock UST'!$1:$1,0))))</f>
        <v/>
      </c>
      <c r="T67" s="9" t="str">
        <f ca="1">IF(IF(ISERROR(MATCH(Stock!T$1,'Stock UST'!$1:$1,0)),S67,INDEX('Stock UST'!67:67,1,MATCH(Stock!T$1,'Stock UST'!$1:$1,0)))=0,"",IF(ISERROR(MATCH(Stock!T$1,'Stock UST'!$1:$1,0)),S67,INDEX('Stock UST'!67:67,1,MATCH(Stock!T$1,'Stock UST'!$1:$1,0))))</f>
        <v/>
      </c>
      <c r="U67" s="9" t="str">
        <f ca="1">IF(IF(ISERROR(MATCH(Stock!U$1,'Stock UST'!$1:$1,0)),T67,INDEX('Stock UST'!67:67,1,MATCH(Stock!U$1,'Stock UST'!$1:$1,0)))=0,"",IF(ISERROR(MATCH(Stock!U$1,'Stock UST'!$1:$1,0)),T67,INDEX('Stock UST'!67:67,1,MATCH(Stock!U$1,'Stock UST'!$1:$1,0))))</f>
        <v/>
      </c>
      <c r="V67" s="9" t="str">
        <f ca="1">IF(IF(ISERROR(MATCH(Stock!V$1,'Stock UST'!$1:$1,0)),U67,INDEX('Stock UST'!67:67,1,MATCH(Stock!V$1,'Stock UST'!$1:$1,0)))=0,"",IF(ISERROR(MATCH(Stock!V$1,'Stock UST'!$1:$1,0)),U67,INDEX('Stock UST'!67:67,1,MATCH(Stock!V$1,'Stock UST'!$1:$1,0))))</f>
        <v/>
      </c>
      <c r="W67" s="9" t="str">
        <f ca="1">IF(IF(ISERROR(MATCH(Stock!W$1,'Stock UST'!$1:$1,0)),V67,INDEX('Stock UST'!67:67,1,MATCH(Stock!W$1,'Stock UST'!$1:$1,0)))=0,"",IF(ISERROR(MATCH(Stock!W$1,'Stock UST'!$1:$1,0)),V67,INDEX('Stock UST'!67:67,1,MATCH(Stock!W$1,'Stock UST'!$1:$1,0))))</f>
        <v/>
      </c>
      <c r="X67" s="9" t="str">
        <f ca="1">IF(IF(ISERROR(MATCH(Stock!X$1,'Stock UST'!$1:$1,0)),W67,INDEX('Stock UST'!67:67,1,MATCH(Stock!X$1,'Stock UST'!$1:$1,0)))=0,"",IF(ISERROR(MATCH(Stock!X$1,'Stock UST'!$1:$1,0)),W67,INDEX('Stock UST'!67:67,1,MATCH(Stock!X$1,'Stock UST'!$1:$1,0))))</f>
        <v/>
      </c>
      <c r="Y67" s="9" t="str">
        <f ca="1">IF(IF(ISERROR(MATCH(Stock!Y$1,'Stock UST'!$1:$1,0)),X67,INDEX('Stock UST'!67:67,1,MATCH(Stock!Y$1,'Stock UST'!$1:$1,0)))=0,"",IF(ISERROR(MATCH(Stock!Y$1,'Stock UST'!$1:$1,0)),X67,INDEX('Stock UST'!67:67,1,MATCH(Stock!Y$1,'Stock UST'!$1:$1,0))))</f>
        <v/>
      </c>
      <c r="Z67" s="9" t="str">
        <f ca="1">IF(IF(ISERROR(MATCH(Stock!Z$1,'Stock UST'!$1:$1,0)),Y67,INDEX('Stock UST'!67:67,1,MATCH(Stock!Z$1,'Stock UST'!$1:$1,0)))=0,"",IF(ISERROR(MATCH(Stock!Z$1,'Stock UST'!$1:$1,0)),Y67,INDEX('Stock UST'!67:67,1,MATCH(Stock!Z$1,'Stock UST'!$1:$1,0))))</f>
        <v/>
      </c>
      <c r="AA67" s="9" t="str">
        <f ca="1">IF(IF(ISERROR(MATCH(Stock!AA$1,'Stock UST'!$1:$1,0)),Z67,INDEX('Stock UST'!67:67,1,MATCH(Stock!AA$1,'Stock UST'!$1:$1,0)))=0,"",IF(ISERROR(MATCH(Stock!AA$1,'Stock UST'!$1:$1,0)),Z67,INDEX('Stock UST'!67:67,1,MATCH(Stock!AA$1,'Stock UST'!$1:$1,0))))</f>
        <v/>
      </c>
      <c r="AB67" s="9" t="str">
        <f ca="1">IF(IF(ISERROR(MATCH(Stock!AB$1,'Stock UST'!$1:$1,0)),AA67,INDEX('Stock UST'!67:67,1,MATCH(Stock!AB$1,'Stock UST'!$1:$1,0)))=0,"",IF(ISERROR(MATCH(Stock!AB$1,'Stock UST'!$1:$1,0)),AA67,INDEX('Stock UST'!67:67,1,MATCH(Stock!AB$1,'Stock UST'!$1:$1,0))))</f>
        <v/>
      </c>
      <c r="AC67" s="9" t="str">
        <f ca="1">IF(IF(ISERROR(MATCH(Stock!AC$1,'Stock UST'!$1:$1,0)),AB67,INDEX('Stock UST'!67:67,1,MATCH(Stock!AC$1,'Stock UST'!$1:$1,0)))=0,"",IF(ISERROR(MATCH(Stock!AC$1,'Stock UST'!$1:$1,0)),AB67,INDEX('Stock UST'!67:67,1,MATCH(Stock!AC$1,'Stock UST'!$1:$1,0))))</f>
        <v/>
      </c>
      <c r="AD67" s="9" t="str">
        <f ca="1">IF(IF(ISERROR(MATCH(Stock!AD$1,'Stock UST'!$1:$1,0)),AC67,INDEX('Stock UST'!67:67,1,MATCH(Stock!AD$1,'Stock UST'!$1:$1,0)))=0,"",IF(ISERROR(MATCH(Stock!AD$1,'Stock UST'!$1:$1,0)),AC67,INDEX('Stock UST'!67:67,1,MATCH(Stock!AD$1,'Stock UST'!$1:$1,0))))</f>
        <v/>
      </c>
      <c r="AE67" s="9" t="str">
        <f ca="1">IF(IF(ISERROR(MATCH(Stock!AE$1,'Stock UST'!$1:$1,0)),AD67,INDEX('Stock UST'!67:67,1,MATCH(Stock!AE$1,'Stock UST'!$1:$1,0)))=0,"",IF(ISERROR(MATCH(Stock!AE$1,'Stock UST'!$1:$1,0)),AD67,INDEX('Stock UST'!67:67,1,MATCH(Stock!AE$1,'Stock UST'!$1:$1,0))))</f>
        <v/>
      </c>
      <c r="AF67" s="9" t="str">
        <f ca="1">IF(IF(ISERROR(MATCH(Stock!AF$1,'Stock UST'!$1:$1,0)),AE67,INDEX('Stock UST'!67:67,1,MATCH(Stock!AF$1,'Stock UST'!$1:$1,0)))=0,"",IF(ISERROR(MATCH(Stock!AF$1,'Stock UST'!$1:$1,0)),AE67,INDEX('Stock UST'!67:67,1,MATCH(Stock!AF$1,'Stock UST'!$1:$1,0))))</f>
        <v/>
      </c>
      <c r="AG67" s="9" t="str">
        <f ca="1">IF(IF(ISERROR(MATCH(Stock!AG$1,'Stock UST'!$1:$1,0)),AF67,INDEX('Stock UST'!67:67,1,MATCH(Stock!AG$1,'Stock UST'!$1:$1,0)))=0,"",IF(ISERROR(MATCH(Stock!AG$1,'Stock UST'!$1:$1,0)),AF67,INDEX('Stock UST'!67:67,1,MATCH(Stock!AG$1,'Stock UST'!$1:$1,0))))</f>
        <v/>
      </c>
      <c r="AH67" s="9" t="str">
        <f ca="1">IF(IF(ISERROR(MATCH(Stock!AH$1,'Stock UST'!$1:$1,0)),AG67,INDEX('Stock UST'!67:67,1,MATCH(Stock!AH$1,'Stock UST'!$1:$1,0)))=0,"",IF(ISERROR(MATCH(Stock!AH$1,'Stock UST'!$1:$1,0)),AG67,INDEX('Stock UST'!67:67,1,MATCH(Stock!AH$1,'Stock UST'!$1:$1,0))))</f>
        <v/>
      </c>
      <c r="AI67" s="9" t="str">
        <f ca="1">IF(IF(ISERROR(MATCH(Stock!AI$1,'Stock UST'!$1:$1,0)),AH67,INDEX('Stock UST'!67:67,1,MATCH(Stock!AI$1,'Stock UST'!$1:$1,0)))=0,"",IF(ISERROR(MATCH(Stock!AI$1,'Stock UST'!$1:$1,0)),AH67,INDEX('Stock UST'!67:67,1,MATCH(Stock!AI$1,'Stock UST'!$1:$1,0))))</f>
        <v/>
      </c>
      <c r="AJ67" s="9" t="str">
        <f ca="1">IF(IF(ISERROR(MATCH(Stock!AJ$1,'Stock UST'!$1:$1,0)),AI67,INDEX('Stock UST'!67:67,1,MATCH(Stock!AJ$1,'Stock UST'!$1:$1,0)))=0,"",IF(ISERROR(MATCH(Stock!AJ$1,'Stock UST'!$1:$1,0)),AI67,INDEX('Stock UST'!67:67,1,MATCH(Stock!AJ$1,'Stock UST'!$1:$1,0))))</f>
        <v/>
      </c>
      <c r="AK67" s="9" t="str">
        <f ca="1">IF(IF(ISERROR(MATCH(Stock!AK$1,'Stock UST'!$1:$1,0)),AJ67,INDEX('Stock UST'!67:67,1,MATCH(Stock!AK$1,'Stock UST'!$1:$1,0)))=0,"",IF(ISERROR(MATCH(Stock!AK$1,'Stock UST'!$1:$1,0)),AJ67,INDEX('Stock UST'!67:67,1,MATCH(Stock!AK$1,'Stock UST'!$1:$1,0))))</f>
        <v/>
      </c>
      <c r="AL67" s="9" t="str">
        <f ca="1">IF(IF(ISERROR(MATCH(Stock!AL$1,'Stock UST'!$1:$1,0)),AK67,INDEX('Stock UST'!67:67,1,MATCH(Stock!AL$1,'Stock UST'!$1:$1,0)))=0,"",IF(ISERROR(MATCH(Stock!AL$1,'Stock UST'!$1:$1,0)),AK67,INDEX('Stock UST'!67:67,1,MATCH(Stock!AL$1,'Stock UST'!$1:$1,0))))</f>
        <v/>
      </c>
      <c r="AM67" s="9" t="str">
        <f ca="1">IF(IF(ISERROR(MATCH(Stock!AM$1,'Stock UST'!$1:$1,0)),AL67,INDEX('Stock UST'!67:67,1,MATCH(Stock!AM$1,'Stock UST'!$1:$1,0)))=0,"",IF(ISERROR(MATCH(Stock!AM$1,'Stock UST'!$1:$1,0)),AL67,INDEX('Stock UST'!67:67,1,MATCH(Stock!AM$1,'Stock UST'!$1:$1,0))))</f>
        <v/>
      </c>
      <c r="AN67" s="9" t="str">
        <f ca="1">IF(IF(ISERROR(MATCH(Stock!AN$1,'Stock UST'!$1:$1,0)),AM67,INDEX('Stock UST'!67:67,1,MATCH(Stock!AN$1,'Stock UST'!$1:$1,0)))=0,"",IF(ISERROR(MATCH(Stock!AN$1,'Stock UST'!$1:$1,0)),AM67,INDEX('Stock UST'!67:67,1,MATCH(Stock!AN$1,'Stock UST'!$1:$1,0))))</f>
        <v/>
      </c>
      <c r="AO67" s="9" t="str">
        <f ca="1">IF(IF(ISERROR(MATCH(Stock!AO$1,'Stock UST'!$1:$1,0)),AN67,INDEX('Stock UST'!67:67,1,MATCH(Stock!AO$1,'Stock UST'!$1:$1,0)))=0,"",IF(ISERROR(MATCH(Stock!AO$1,'Stock UST'!$1:$1,0)),AN67,INDEX('Stock UST'!67:67,1,MATCH(Stock!AO$1,'Stock UST'!$1:$1,0))))</f>
        <v/>
      </c>
      <c r="AP67" s="9" t="str">
        <f ca="1">IF(IF(ISERROR(MATCH(Stock!AP$1,'Stock UST'!$1:$1,0)),AO67,INDEX('Stock UST'!67:67,1,MATCH(Stock!AP$1,'Stock UST'!$1:$1,0)))=0,"",IF(ISERROR(MATCH(Stock!AP$1,'Stock UST'!$1:$1,0)),AO67,INDEX('Stock UST'!67:67,1,MATCH(Stock!AP$1,'Stock UST'!$1:$1,0))))</f>
        <v/>
      </c>
      <c r="AQ67" s="9" t="str">
        <f ca="1">IF(IF(ISERROR(MATCH(Stock!AQ$1,'Stock UST'!$1:$1,0)),AP67,INDEX('Stock UST'!67:67,1,MATCH(Stock!AQ$1,'Stock UST'!$1:$1,0)))=0,"",IF(ISERROR(MATCH(Stock!AQ$1,'Stock UST'!$1:$1,0)),AP67,INDEX('Stock UST'!67:67,1,MATCH(Stock!AQ$1,'Stock UST'!$1:$1,0))))</f>
        <v/>
      </c>
      <c r="AR67" s="9" t="str">
        <f ca="1">IF(IF(ISERROR(MATCH(Stock!AR$1,'Stock UST'!$1:$1,0)),AQ67,INDEX('Stock UST'!67:67,1,MATCH(Stock!AR$1,'Stock UST'!$1:$1,0)))=0,"",IF(ISERROR(MATCH(Stock!AR$1,'Stock UST'!$1:$1,0)),AQ67,INDEX('Stock UST'!67:67,1,MATCH(Stock!AR$1,'Stock UST'!$1:$1,0))))</f>
        <v/>
      </c>
      <c r="AS67" s="9" t="str">
        <f ca="1">IF(IF(ISERROR(MATCH(Stock!AS$1,'Stock UST'!$1:$1,0)),AR67,INDEX('Stock UST'!67:67,1,MATCH(Stock!AS$1,'Stock UST'!$1:$1,0)))=0,"",IF(ISERROR(MATCH(Stock!AS$1,'Stock UST'!$1:$1,0)),AR67,INDEX('Stock UST'!67:67,1,MATCH(Stock!AS$1,'Stock UST'!$1:$1,0))))</f>
        <v/>
      </c>
      <c r="AT67" s="9" t="str">
        <f ca="1">IF(IF(ISERROR(MATCH(Stock!AT$1,'Stock UST'!$1:$1,0)),AS67,INDEX('Stock UST'!67:67,1,MATCH(Stock!AT$1,'Stock UST'!$1:$1,0)))=0,"",IF(ISERROR(MATCH(Stock!AT$1,'Stock UST'!$1:$1,0)),AS67,INDEX('Stock UST'!67:67,1,MATCH(Stock!AT$1,'Stock UST'!$1:$1,0))))</f>
        <v/>
      </c>
      <c r="AU67" s="9" t="str">
        <f ca="1">IF(IF(ISERROR(MATCH(Stock!AU$1,'Stock UST'!$1:$1,0)),AT67,INDEX('Stock UST'!67:67,1,MATCH(Stock!AU$1,'Stock UST'!$1:$1,0)))=0,"",IF(ISERROR(MATCH(Stock!AU$1,'Stock UST'!$1:$1,0)),AT67,INDEX('Stock UST'!67:67,1,MATCH(Stock!AU$1,'Stock UST'!$1:$1,0))))</f>
        <v/>
      </c>
      <c r="AV67" s="9" t="str">
        <f ca="1">IF(IF(ISERROR(MATCH(Stock!AV$1,'Stock UST'!$1:$1,0)),AU67,INDEX('Stock UST'!67:67,1,MATCH(Stock!AV$1,'Stock UST'!$1:$1,0)))=0,"",IF(ISERROR(MATCH(Stock!AV$1,'Stock UST'!$1:$1,0)),AU67,INDEX('Stock UST'!67:67,1,MATCH(Stock!AV$1,'Stock UST'!$1:$1,0))))</f>
        <v/>
      </c>
      <c r="AW67" s="9" t="str">
        <f ca="1">IF(IF(ISERROR(MATCH(Stock!AW$1,'Stock UST'!$1:$1,0)),AV67,INDEX('Stock UST'!67:67,1,MATCH(Stock!AW$1,'Stock UST'!$1:$1,0)))=0,"",IF(ISERROR(MATCH(Stock!AW$1,'Stock UST'!$1:$1,0)),AV67,INDEX('Stock UST'!67:67,1,MATCH(Stock!AW$1,'Stock UST'!$1:$1,0))))</f>
        <v/>
      </c>
      <c r="AX67" s="9" t="str">
        <f ca="1">IF(IF(ISERROR(MATCH(Stock!AX$1,'Stock UST'!$1:$1,0)),AW67,INDEX('Stock UST'!67:67,1,MATCH(Stock!AX$1,'Stock UST'!$1:$1,0)))=0,"",IF(ISERROR(MATCH(Stock!AX$1,'Stock UST'!$1:$1,0)),AW67,INDEX('Stock UST'!67:67,1,MATCH(Stock!AX$1,'Stock UST'!$1:$1,0))))</f>
        <v/>
      </c>
    </row>
    <row r="68" spans="1:50" x14ac:dyDescent="0.3">
      <c r="A68" s="9" t="str">
        <f>IF('Stock UST'!E68="","",'Stock UST'!E68)</f>
        <v/>
      </c>
      <c r="B68" s="9" t="str">
        <f>IF(IF(ISERROR(MATCH(Stock!B$1,'Stock UST'!$1:$1,0)),A68,INDEX('Stock UST'!68:68,1,MATCH(Stock!B$1,'Stock UST'!$1:$1,0)))=0,"",IF(ISERROR(MATCH(Stock!B$1,'Stock UST'!$1:$1,0)),A68,INDEX('Stock UST'!68:68,1,MATCH(Stock!B$1,'Stock UST'!$1:$1,0))))</f>
        <v/>
      </c>
      <c r="C68" s="9" t="str">
        <f ca="1">IF(IF(ISERROR(MATCH(Stock!C$1,'Stock UST'!$1:$1,0)),B68,INDEX('Stock UST'!68:68,1,MATCH(Stock!C$1,'Stock UST'!$1:$1,0)))=0,"",IF(ISERROR(MATCH(Stock!C$1,'Stock UST'!$1:$1,0)),B68,INDEX('Stock UST'!68:68,1,MATCH(Stock!C$1,'Stock UST'!$1:$1,0))))</f>
        <v/>
      </c>
      <c r="D68" s="9" t="str">
        <f ca="1">IF(IF(ISERROR(MATCH(Stock!D$1,'Stock UST'!$1:$1,0)),C68,INDEX('Stock UST'!68:68,1,MATCH(Stock!D$1,'Stock UST'!$1:$1,0)))=0,"",IF(ISERROR(MATCH(Stock!D$1,'Stock UST'!$1:$1,0)),C68,INDEX('Stock UST'!68:68,1,MATCH(Stock!D$1,'Stock UST'!$1:$1,0))))</f>
        <v/>
      </c>
      <c r="E68" s="9" t="str">
        <f ca="1">IF(IF(ISERROR(MATCH(Stock!E$1,'Stock UST'!$1:$1,0)),D68,INDEX('Stock UST'!68:68,1,MATCH(Stock!E$1,'Stock UST'!$1:$1,0)))=0,"",IF(ISERROR(MATCH(Stock!E$1,'Stock UST'!$1:$1,0)),D68,INDEX('Stock UST'!68:68,1,MATCH(Stock!E$1,'Stock UST'!$1:$1,0))))</f>
        <v/>
      </c>
      <c r="F68" s="9" t="str">
        <f ca="1">IF(IF(ISERROR(MATCH(Stock!F$1,'Stock UST'!$1:$1,0)),E68,INDEX('Stock UST'!68:68,1,MATCH(Stock!F$1,'Stock UST'!$1:$1,0)))=0,"",IF(ISERROR(MATCH(Stock!F$1,'Stock UST'!$1:$1,0)),E68,INDEX('Stock UST'!68:68,1,MATCH(Stock!F$1,'Stock UST'!$1:$1,0))))</f>
        <v/>
      </c>
      <c r="G68" s="9" t="str">
        <f ca="1">IF(IF(ISERROR(MATCH(Stock!G$1,'Stock UST'!$1:$1,0)),F68,INDEX('Stock UST'!68:68,1,MATCH(Stock!G$1,'Stock UST'!$1:$1,0)))=0,"",IF(ISERROR(MATCH(Stock!G$1,'Stock UST'!$1:$1,0)),F68,INDEX('Stock UST'!68:68,1,MATCH(Stock!G$1,'Stock UST'!$1:$1,0))))</f>
        <v/>
      </c>
      <c r="H68" s="9" t="str">
        <f ca="1">IF(IF(ISERROR(MATCH(Stock!H$1,'Stock UST'!$1:$1,0)),G68,INDEX('Stock UST'!68:68,1,MATCH(Stock!H$1,'Stock UST'!$1:$1,0)))=0,"",IF(ISERROR(MATCH(Stock!H$1,'Stock UST'!$1:$1,0)),G68,INDEX('Stock UST'!68:68,1,MATCH(Stock!H$1,'Stock UST'!$1:$1,0))))</f>
        <v/>
      </c>
      <c r="I68" s="9" t="str">
        <f ca="1">IF(IF(ISERROR(MATCH(Stock!I$1,'Stock UST'!$1:$1,0)),H68,INDEX('Stock UST'!68:68,1,MATCH(Stock!I$1,'Stock UST'!$1:$1,0)))=0,"",IF(ISERROR(MATCH(Stock!I$1,'Stock UST'!$1:$1,0)),H68,INDEX('Stock UST'!68:68,1,MATCH(Stock!I$1,'Stock UST'!$1:$1,0))))</f>
        <v/>
      </c>
      <c r="J68" s="9" t="str">
        <f ca="1">IF(IF(ISERROR(MATCH(Stock!J$1,'Stock UST'!$1:$1,0)),I68,INDEX('Stock UST'!68:68,1,MATCH(Stock!J$1,'Stock UST'!$1:$1,0)))=0,"",IF(ISERROR(MATCH(Stock!J$1,'Stock UST'!$1:$1,0)),I68,INDEX('Stock UST'!68:68,1,MATCH(Stock!J$1,'Stock UST'!$1:$1,0))))</f>
        <v/>
      </c>
      <c r="K68" s="9" t="str">
        <f ca="1">IF(IF(ISERROR(MATCH(Stock!K$1,'Stock UST'!$1:$1,0)),J68,INDEX('Stock UST'!68:68,1,MATCH(Stock!K$1,'Stock UST'!$1:$1,0)))=0,"",IF(ISERROR(MATCH(Stock!K$1,'Stock UST'!$1:$1,0)),J68,INDEX('Stock UST'!68:68,1,MATCH(Stock!K$1,'Stock UST'!$1:$1,0))))</f>
        <v/>
      </c>
      <c r="L68" s="9" t="str">
        <f ca="1">IF(IF(ISERROR(MATCH(Stock!L$1,'Stock UST'!$1:$1,0)),K68,INDEX('Stock UST'!68:68,1,MATCH(Stock!L$1,'Stock UST'!$1:$1,0)))=0,"",IF(ISERROR(MATCH(Stock!L$1,'Stock UST'!$1:$1,0)),K68,INDEX('Stock UST'!68:68,1,MATCH(Stock!L$1,'Stock UST'!$1:$1,0))))</f>
        <v/>
      </c>
      <c r="M68" s="9" t="str">
        <f ca="1">IF(IF(ISERROR(MATCH(Stock!M$1,'Stock UST'!$1:$1,0)),L68,INDEX('Stock UST'!68:68,1,MATCH(Stock!M$1,'Stock UST'!$1:$1,0)))=0,"",IF(ISERROR(MATCH(Stock!M$1,'Stock UST'!$1:$1,0)),L68,INDEX('Stock UST'!68:68,1,MATCH(Stock!M$1,'Stock UST'!$1:$1,0))))</f>
        <v/>
      </c>
      <c r="N68" s="9" t="str">
        <f ca="1">IF(IF(ISERROR(MATCH(Stock!N$1,'Stock UST'!$1:$1,0)),M68,INDEX('Stock UST'!68:68,1,MATCH(Stock!N$1,'Stock UST'!$1:$1,0)))=0,"",IF(ISERROR(MATCH(Stock!N$1,'Stock UST'!$1:$1,0)),M68,INDEX('Stock UST'!68:68,1,MATCH(Stock!N$1,'Stock UST'!$1:$1,0))))</f>
        <v/>
      </c>
      <c r="O68" s="9" t="str">
        <f ca="1">IF(IF(ISERROR(MATCH(Stock!O$1,'Stock UST'!$1:$1,0)),N68,INDEX('Stock UST'!68:68,1,MATCH(Stock!O$1,'Stock UST'!$1:$1,0)))=0,"",IF(ISERROR(MATCH(Stock!O$1,'Stock UST'!$1:$1,0)),N68,INDEX('Stock UST'!68:68,1,MATCH(Stock!O$1,'Stock UST'!$1:$1,0))))</f>
        <v/>
      </c>
      <c r="P68" s="9" t="str">
        <f ca="1">IF(IF(ISERROR(MATCH(Stock!P$1,'Stock UST'!$1:$1,0)),O68,INDEX('Stock UST'!68:68,1,MATCH(Stock!P$1,'Stock UST'!$1:$1,0)))=0,"",IF(ISERROR(MATCH(Stock!P$1,'Stock UST'!$1:$1,0)),O68,INDEX('Stock UST'!68:68,1,MATCH(Stock!P$1,'Stock UST'!$1:$1,0))))</f>
        <v/>
      </c>
      <c r="Q68" s="9" t="str">
        <f ca="1">IF(IF(ISERROR(MATCH(Stock!Q$1,'Stock UST'!$1:$1,0)),P68,INDEX('Stock UST'!68:68,1,MATCH(Stock!Q$1,'Stock UST'!$1:$1,0)))=0,"",IF(ISERROR(MATCH(Stock!Q$1,'Stock UST'!$1:$1,0)),P68,INDEX('Stock UST'!68:68,1,MATCH(Stock!Q$1,'Stock UST'!$1:$1,0))))</f>
        <v/>
      </c>
      <c r="R68" s="9" t="str">
        <f ca="1">IF(IF(ISERROR(MATCH(Stock!R$1,'Stock UST'!$1:$1,0)),Q68,INDEX('Stock UST'!68:68,1,MATCH(Stock!R$1,'Stock UST'!$1:$1,0)))=0,"",IF(ISERROR(MATCH(Stock!R$1,'Stock UST'!$1:$1,0)),Q68,INDEX('Stock UST'!68:68,1,MATCH(Stock!R$1,'Stock UST'!$1:$1,0))))</f>
        <v/>
      </c>
      <c r="S68" s="9" t="str">
        <f ca="1">IF(IF(ISERROR(MATCH(Stock!S$1,'Stock UST'!$1:$1,0)),R68,INDEX('Stock UST'!68:68,1,MATCH(Stock!S$1,'Stock UST'!$1:$1,0)))=0,"",IF(ISERROR(MATCH(Stock!S$1,'Stock UST'!$1:$1,0)),R68,INDEX('Stock UST'!68:68,1,MATCH(Stock!S$1,'Stock UST'!$1:$1,0))))</f>
        <v/>
      </c>
      <c r="T68" s="9" t="str">
        <f ca="1">IF(IF(ISERROR(MATCH(Stock!T$1,'Stock UST'!$1:$1,0)),S68,INDEX('Stock UST'!68:68,1,MATCH(Stock!T$1,'Stock UST'!$1:$1,0)))=0,"",IF(ISERROR(MATCH(Stock!T$1,'Stock UST'!$1:$1,0)),S68,INDEX('Stock UST'!68:68,1,MATCH(Stock!T$1,'Stock UST'!$1:$1,0))))</f>
        <v/>
      </c>
      <c r="U68" s="9" t="str">
        <f ca="1">IF(IF(ISERROR(MATCH(Stock!U$1,'Stock UST'!$1:$1,0)),T68,INDEX('Stock UST'!68:68,1,MATCH(Stock!U$1,'Stock UST'!$1:$1,0)))=0,"",IF(ISERROR(MATCH(Stock!U$1,'Stock UST'!$1:$1,0)),T68,INDEX('Stock UST'!68:68,1,MATCH(Stock!U$1,'Stock UST'!$1:$1,0))))</f>
        <v/>
      </c>
      <c r="V68" s="9" t="str">
        <f ca="1">IF(IF(ISERROR(MATCH(Stock!V$1,'Stock UST'!$1:$1,0)),U68,INDEX('Stock UST'!68:68,1,MATCH(Stock!V$1,'Stock UST'!$1:$1,0)))=0,"",IF(ISERROR(MATCH(Stock!V$1,'Stock UST'!$1:$1,0)),U68,INDEX('Stock UST'!68:68,1,MATCH(Stock!V$1,'Stock UST'!$1:$1,0))))</f>
        <v/>
      </c>
      <c r="W68" s="9" t="str">
        <f ca="1">IF(IF(ISERROR(MATCH(Stock!W$1,'Stock UST'!$1:$1,0)),V68,INDEX('Stock UST'!68:68,1,MATCH(Stock!W$1,'Stock UST'!$1:$1,0)))=0,"",IF(ISERROR(MATCH(Stock!W$1,'Stock UST'!$1:$1,0)),V68,INDEX('Stock UST'!68:68,1,MATCH(Stock!W$1,'Stock UST'!$1:$1,0))))</f>
        <v/>
      </c>
      <c r="X68" s="9" t="str">
        <f ca="1">IF(IF(ISERROR(MATCH(Stock!X$1,'Stock UST'!$1:$1,0)),W68,INDEX('Stock UST'!68:68,1,MATCH(Stock!X$1,'Stock UST'!$1:$1,0)))=0,"",IF(ISERROR(MATCH(Stock!X$1,'Stock UST'!$1:$1,0)),W68,INDEX('Stock UST'!68:68,1,MATCH(Stock!X$1,'Stock UST'!$1:$1,0))))</f>
        <v/>
      </c>
      <c r="Y68" s="9" t="str">
        <f ca="1">IF(IF(ISERROR(MATCH(Stock!Y$1,'Stock UST'!$1:$1,0)),X68,INDEX('Stock UST'!68:68,1,MATCH(Stock!Y$1,'Stock UST'!$1:$1,0)))=0,"",IF(ISERROR(MATCH(Stock!Y$1,'Stock UST'!$1:$1,0)),X68,INDEX('Stock UST'!68:68,1,MATCH(Stock!Y$1,'Stock UST'!$1:$1,0))))</f>
        <v/>
      </c>
      <c r="Z68" s="9" t="str">
        <f ca="1">IF(IF(ISERROR(MATCH(Stock!Z$1,'Stock UST'!$1:$1,0)),Y68,INDEX('Stock UST'!68:68,1,MATCH(Stock!Z$1,'Stock UST'!$1:$1,0)))=0,"",IF(ISERROR(MATCH(Stock!Z$1,'Stock UST'!$1:$1,0)),Y68,INDEX('Stock UST'!68:68,1,MATCH(Stock!Z$1,'Stock UST'!$1:$1,0))))</f>
        <v/>
      </c>
      <c r="AA68" s="9" t="str">
        <f ca="1">IF(IF(ISERROR(MATCH(Stock!AA$1,'Stock UST'!$1:$1,0)),Z68,INDEX('Stock UST'!68:68,1,MATCH(Stock!AA$1,'Stock UST'!$1:$1,0)))=0,"",IF(ISERROR(MATCH(Stock!AA$1,'Stock UST'!$1:$1,0)),Z68,INDEX('Stock UST'!68:68,1,MATCH(Stock!AA$1,'Stock UST'!$1:$1,0))))</f>
        <v/>
      </c>
      <c r="AB68" s="9" t="str">
        <f ca="1">IF(IF(ISERROR(MATCH(Stock!AB$1,'Stock UST'!$1:$1,0)),AA68,INDEX('Stock UST'!68:68,1,MATCH(Stock!AB$1,'Stock UST'!$1:$1,0)))=0,"",IF(ISERROR(MATCH(Stock!AB$1,'Stock UST'!$1:$1,0)),AA68,INDEX('Stock UST'!68:68,1,MATCH(Stock!AB$1,'Stock UST'!$1:$1,0))))</f>
        <v/>
      </c>
      <c r="AC68" s="9" t="str">
        <f ca="1">IF(IF(ISERROR(MATCH(Stock!AC$1,'Stock UST'!$1:$1,0)),AB68,INDEX('Stock UST'!68:68,1,MATCH(Stock!AC$1,'Stock UST'!$1:$1,0)))=0,"",IF(ISERROR(MATCH(Stock!AC$1,'Stock UST'!$1:$1,0)),AB68,INDEX('Stock UST'!68:68,1,MATCH(Stock!AC$1,'Stock UST'!$1:$1,0))))</f>
        <v/>
      </c>
      <c r="AD68" s="9" t="str">
        <f ca="1">IF(IF(ISERROR(MATCH(Stock!AD$1,'Stock UST'!$1:$1,0)),AC68,INDEX('Stock UST'!68:68,1,MATCH(Stock!AD$1,'Stock UST'!$1:$1,0)))=0,"",IF(ISERROR(MATCH(Stock!AD$1,'Stock UST'!$1:$1,0)),AC68,INDEX('Stock UST'!68:68,1,MATCH(Stock!AD$1,'Stock UST'!$1:$1,0))))</f>
        <v/>
      </c>
      <c r="AE68" s="9" t="str">
        <f ca="1">IF(IF(ISERROR(MATCH(Stock!AE$1,'Stock UST'!$1:$1,0)),AD68,INDEX('Stock UST'!68:68,1,MATCH(Stock!AE$1,'Stock UST'!$1:$1,0)))=0,"",IF(ISERROR(MATCH(Stock!AE$1,'Stock UST'!$1:$1,0)),AD68,INDEX('Stock UST'!68:68,1,MATCH(Stock!AE$1,'Stock UST'!$1:$1,0))))</f>
        <v/>
      </c>
      <c r="AF68" s="9" t="str">
        <f ca="1">IF(IF(ISERROR(MATCH(Stock!AF$1,'Stock UST'!$1:$1,0)),AE68,INDEX('Stock UST'!68:68,1,MATCH(Stock!AF$1,'Stock UST'!$1:$1,0)))=0,"",IF(ISERROR(MATCH(Stock!AF$1,'Stock UST'!$1:$1,0)),AE68,INDEX('Stock UST'!68:68,1,MATCH(Stock!AF$1,'Stock UST'!$1:$1,0))))</f>
        <v/>
      </c>
      <c r="AG68" s="9" t="str">
        <f ca="1">IF(IF(ISERROR(MATCH(Stock!AG$1,'Stock UST'!$1:$1,0)),AF68,INDEX('Stock UST'!68:68,1,MATCH(Stock!AG$1,'Stock UST'!$1:$1,0)))=0,"",IF(ISERROR(MATCH(Stock!AG$1,'Stock UST'!$1:$1,0)),AF68,INDEX('Stock UST'!68:68,1,MATCH(Stock!AG$1,'Stock UST'!$1:$1,0))))</f>
        <v/>
      </c>
      <c r="AH68" s="9" t="str">
        <f ca="1">IF(IF(ISERROR(MATCH(Stock!AH$1,'Stock UST'!$1:$1,0)),AG68,INDEX('Stock UST'!68:68,1,MATCH(Stock!AH$1,'Stock UST'!$1:$1,0)))=0,"",IF(ISERROR(MATCH(Stock!AH$1,'Stock UST'!$1:$1,0)),AG68,INDEX('Stock UST'!68:68,1,MATCH(Stock!AH$1,'Stock UST'!$1:$1,0))))</f>
        <v/>
      </c>
      <c r="AI68" s="9" t="str">
        <f ca="1">IF(IF(ISERROR(MATCH(Stock!AI$1,'Stock UST'!$1:$1,0)),AH68,INDEX('Stock UST'!68:68,1,MATCH(Stock!AI$1,'Stock UST'!$1:$1,0)))=0,"",IF(ISERROR(MATCH(Stock!AI$1,'Stock UST'!$1:$1,0)),AH68,INDEX('Stock UST'!68:68,1,MATCH(Stock!AI$1,'Stock UST'!$1:$1,0))))</f>
        <v/>
      </c>
      <c r="AJ68" s="9" t="str">
        <f ca="1">IF(IF(ISERROR(MATCH(Stock!AJ$1,'Stock UST'!$1:$1,0)),AI68,INDEX('Stock UST'!68:68,1,MATCH(Stock!AJ$1,'Stock UST'!$1:$1,0)))=0,"",IF(ISERROR(MATCH(Stock!AJ$1,'Stock UST'!$1:$1,0)),AI68,INDEX('Stock UST'!68:68,1,MATCH(Stock!AJ$1,'Stock UST'!$1:$1,0))))</f>
        <v/>
      </c>
      <c r="AK68" s="9" t="str">
        <f ca="1">IF(IF(ISERROR(MATCH(Stock!AK$1,'Stock UST'!$1:$1,0)),AJ68,INDEX('Stock UST'!68:68,1,MATCH(Stock!AK$1,'Stock UST'!$1:$1,0)))=0,"",IF(ISERROR(MATCH(Stock!AK$1,'Stock UST'!$1:$1,0)),AJ68,INDEX('Stock UST'!68:68,1,MATCH(Stock!AK$1,'Stock UST'!$1:$1,0))))</f>
        <v/>
      </c>
      <c r="AL68" s="9" t="str">
        <f ca="1">IF(IF(ISERROR(MATCH(Stock!AL$1,'Stock UST'!$1:$1,0)),AK68,INDEX('Stock UST'!68:68,1,MATCH(Stock!AL$1,'Stock UST'!$1:$1,0)))=0,"",IF(ISERROR(MATCH(Stock!AL$1,'Stock UST'!$1:$1,0)),AK68,INDEX('Stock UST'!68:68,1,MATCH(Stock!AL$1,'Stock UST'!$1:$1,0))))</f>
        <v/>
      </c>
      <c r="AM68" s="9" t="str">
        <f ca="1">IF(IF(ISERROR(MATCH(Stock!AM$1,'Stock UST'!$1:$1,0)),AL68,INDEX('Stock UST'!68:68,1,MATCH(Stock!AM$1,'Stock UST'!$1:$1,0)))=0,"",IF(ISERROR(MATCH(Stock!AM$1,'Stock UST'!$1:$1,0)),AL68,INDEX('Stock UST'!68:68,1,MATCH(Stock!AM$1,'Stock UST'!$1:$1,0))))</f>
        <v/>
      </c>
      <c r="AN68" s="9" t="str">
        <f ca="1">IF(IF(ISERROR(MATCH(Stock!AN$1,'Stock UST'!$1:$1,0)),AM68,INDEX('Stock UST'!68:68,1,MATCH(Stock!AN$1,'Stock UST'!$1:$1,0)))=0,"",IF(ISERROR(MATCH(Stock!AN$1,'Stock UST'!$1:$1,0)),AM68,INDEX('Stock UST'!68:68,1,MATCH(Stock!AN$1,'Stock UST'!$1:$1,0))))</f>
        <v/>
      </c>
      <c r="AO68" s="9" t="str">
        <f ca="1">IF(IF(ISERROR(MATCH(Stock!AO$1,'Stock UST'!$1:$1,0)),AN68,INDEX('Stock UST'!68:68,1,MATCH(Stock!AO$1,'Stock UST'!$1:$1,0)))=0,"",IF(ISERROR(MATCH(Stock!AO$1,'Stock UST'!$1:$1,0)),AN68,INDEX('Stock UST'!68:68,1,MATCH(Stock!AO$1,'Stock UST'!$1:$1,0))))</f>
        <v/>
      </c>
      <c r="AP68" s="9" t="str">
        <f ca="1">IF(IF(ISERROR(MATCH(Stock!AP$1,'Stock UST'!$1:$1,0)),AO68,INDEX('Stock UST'!68:68,1,MATCH(Stock!AP$1,'Stock UST'!$1:$1,0)))=0,"",IF(ISERROR(MATCH(Stock!AP$1,'Stock UST'!$1:$1,0)),AO68,INDEX('Stock UST'!68:68,1,MATCH(Stock!AP$1,'Stock UST'!$1:$1,0))))</f>
        <v/>
      </c>
      <c r="AQ68" s="9" t="str">
        <f ca="1">IF(IF(ISERROR(MATCH(Stock!AQ$1,'Stock UST'!$1:$1,0)),AP68,INDEX('Stock UST'!68:68,1,MATCH(Stock!AQ$1,'Stock UST'!$1:$1,0)))=0,"",IF(ISERROR(MATCH(Stock!AQ$1,'Stock UST'!$1:$1,0)),AP68,INDEX('Stock UST'!68:68,1,MATCH(Stock!AQ$1,'Stock UST'!$1:$1,0))))</f>
        <v/>
      </c>
      <c r="AR68" s="9" t="str">
        <f ca="1">IF(IF(ISERROR(MATCH(Stock!AR$1,'Stock UST'!$1:$1,0)),AQ68,INDEX('Stock UST'!68:68,1,MATCH(Stock!AR$1,'Stock UST'!$1:$1,0)))=0,"",IF(ISERROR(MATCH(Stock!AR$1,'Stock UST'!$1:$1,0)),AQ68,INDEX('Stock UST'!68:68,1,MATCH(Stock!AR$1,'Stock UST'!$1:$1,0))))</f>
        <v/>
      </c>
      <c r="AS68" s="9" t="str">
        <f ca="1">IF(IF(ISERROR(MATCH(Stock!AS$1,'Stock UST'!$1:$1,0)),AR68,INDEX('Stock UST'!68:68,1,MATCH(Stock!AS$1,'Stock UST'!$1:$1,0)))=0,"",IF(ISERROR(MATCH(Stock!AS$1,'Stock UST'!$1:$1,0)),AR68,INDEX('Stock UST'!68:68,1,MATCH(Stock!AS$1,'Stock UST'!$1:$1,0))))</f>
        <v/>
      </c>
      <c r="AT68" s="9" t="str">
        <f ca="1">IF(IF(ISERROR(MATCH(Stock!AT$1,'Stock UST'!$1:$1,0)),AS68,INDEX('Stock UST'!68:68,1,MATCH(Stock!AT$1,'Stock UST'!$1:$1,0)))=0,"",IF(ISERROR(MATCH(Stock!AT$1,'Stock UST'!$1:$1,0)),AS68,INDEX('Stock UST'!68:68,1,MATCH(Stock!AT$1,'Stock UST'!$1:$1,0))))</f>
        <v/>
      </c>
      <c r="AU68" s="9" t="str">
        <f ca="1">IF(IF(ISERROR(MATCH(Stock!AU$1,'Stock UST'!$1:$1,0)),AT68,INDEX('Stock UST'!68:68,1,MATCH(Stock!AU$1,'Stock UST'!$1:$1,0)))=0,"",IF(ISERROR(MATCH(Stock!AU$1,'Stock UST'!$1:$1,0)),AT68,INDEX('Stock UST'!68:68,1,MATCH(Stock!AU$1,'Stock UST'!$1:$1,0))))</f>
        <v/>
      </c>
      <c r="AV68" s="9" t="str">
        <f ca="1">IF(IF(ISERROR(MATCH(Stock!AV$1,'Stock UST'!$1:$1,0)),AU68,INDEX('Stock UST'!68:68,1,MATCH(Stock!AV$1,'Stock UST'!$1:$1,0)))=0,"",IF(ISERROR(MATCH(Stock!AV$1,'Stock UST'!$1:$1,0)),AU68,INDEX('Stock UST'!68:68,1,MATCH(Stock!AV$1,'Stock UST'!$1:$1,0))))</f>
        <v/>
      </c>
      <c r="AW68" s="9" t="str">
        <f ca="1">IF(IF(ISERROR(MATCH(Stock!AW$1,'Stock UST'!$1:$1,0)),AV68,INDEX('Stock UST'!68:68,1,MATCH(Stock!AW$1,'Stock UST'!$1:$1,0)))=0,"",IF(ISERROR(MATCH(Stock!AW$1,'Stock UST'!$1:$1,0)),AV68,INDEX('Stock UST'!68:68,1,MATCH(Stock!AW$1,'Stock UST'!$1:$1,0))))</f>
        <v/>
      </c>
      <c r="AX68" s="9" t="str">
        <f ca="1">IF(IF(ISERROR(MATCH(Stock!AX$1,'Stock UST'!$1:$1,0)),AW68,INDEX('Stock UST'!68:68,1,MATCH(Stock!AX$1,'Stock UST'!$1:$1,0)))=0,"",IF(ISERROR(MATCH(Stock!AX$1,'Stock UST'!$1:$1,0)),AW68,INDEX('Stock UST'!68:68,1,MATCH(Stock!AX$1,'Stock UST'!$1:$1,0))))</f>
        <v/>
      </c>
    </row>
    <row r="69" spans="1:50" x14ac:dyDescent="0.3">
      <c r="A69" s="9" t="str">
        <f>IF('Stock UST'!E69="","",'Stock UST'!E69)</f>
        <v/>
      </c>
      <c r="B69" s="9" t="str">
        <f>IF(IF(ISERROR(MATCH(Stock!B$1,'Stock UST'!$1:$1,0)),A69,INDEX('Stock UST'!69:69,1,MATCH(Stock!B$1,'Stock UST'!$1:$1,0)))=0,"",IF(ISERROR(MATCH(Stock!B$1,'Stock UST'!$1:$1,0)),A69,INDEX('Stock UST'!69:69,1,MATCH(Stock!B$1,'Stock UST'!$1:$1,0))))</f>
        <v/>
      </c>
      <c r="C69" s="9" t="str">
        <f ca="1">IF(IF(ISERROR(MATCH(Stock!C$1,'Stock UST'!$1:$1,0)),B69,INDEX('Stock UST'!69:69,1,MATCH(Stock!C$1,'Stock UST'!$1:$1,0)))=0,"",IF(ISERROR(MATCH(Stock!C$1,'Stock UST'!$1:$1,0)),B69,INDEX('Stock UST'!69:69,1,MATCH(Stock!C$1,'Stock UST'!$1:$1,0))))</f>
        <v/>
      </c>
      <c r="D69" s="9" t="str">
        <f ca="1">IF(IF(ISERROR(MATCH(Stock!D$1,'Stock UST'!$1:$1,0)),C69,INDEX('Stock UST'!69:69,1,MATCH(Stock!D$1,'Stock UST'!$1:$1,0)))=0,"",IF(ISERROR(MATCH(Stock!D$1,'Stock UST'!$1:$1,0)),C69,INDEX('Stock UST'!69:69,1,MATCH(Stock!D$1,'Stock UST'!$1:$1,0))))</f>
        <v/>
      </c>
      <c r="E69" s="9" t="str">
        <f ca="1">IF(IF(ISERROR(MATCH(Stock!E$1,'Stock UST'!$1:$1,0)),D69,INDEX('Stock UST'!69:69,1,MATCH(Stock!E$1,'Stock UST'!$1:$1,0)))=0,"",IF(ISERROR(MATCH(Stock!E$1,'Stock UST'!$1:$1,0)),D69,INDEX('Stock UST'!69:69,1,MATCH(Stock!E$1,'Stock UST'!$1:$1,0))))</f>
        <v/>
      </c>
      <c r="F69" s="9" t="str">
        <f ca="1">IF(IF(ISERROR(MATCH(Stock!F$1,'Stock UST'!$1:$1,0)),E69,INDEX('Stock UST'!69:69,1,MATCH(Stock!F$1,'Stock UST'!$1:$1,0)))=0,"",IF(ISERROR(MATCH(Stock!F$1,'Stock UST'!$1:$1,0)),E69,INDEX('Stock UST'!69:69,1,MATCH(Stock!F$1,'Stock UST'!$1:$1,0))))</f>
        <v/>
      </c>
      <c r="G69" s="9" t="str">
        <f ca="1">IF(IF(ISERROR(MATCH(Stock!G$1,'Stock UST'!$1:$1,0)),F69,INDEX('Stock UST'!69:69,1,MATCH(Stock!G$1,'Stock UST'!$1:$1,0)))=0,"",IF(ISERROR(MATCH(Stock!G$1,'Stock UST'!$1:$1,0)),F69,INDEX('Stock UST'!69:69,1,MATCH(Stock!G$1,'Stock UST'!$1:$1,0))))</f>
        <v/>
      </c>
      <c r="H69" s="9" t="str">
        <f ca="1">IF(IF(ISERROR(MATCH(Stock!H$1,'Stock UST'!$1:$1,0)),G69,INDEX('Stock UST'!69:69,1,MATCH(Stock!H$1,'Stock UST'!$1:$1,0)))=0,"",IF(ISERROR(MATCH(Stock!H$1,'Stock UST'!$1:$1,0)),G69,INDEX('Stock UST'!69:69,1,MATCH(Stock!H$1,'Stock UST'!$1:$1,0))))</f>
        <v/>
      </c>
      <c r="I69" s="9" t="str">
        <f ca="1">IF(IF(ISERROR(MATCH(Stock!I$1,'Stock UST'!$1:$1,0)),H69,INDEX('Stock UST'!69:69,1,MATCH(Stock!I$1,'Stock UST'!$1:$1,0)))=0,"",IF(ISERROR(MATCH(Stock!I$1,'Stock UST'!$1:$1,0)),H69,INDEX('Stock UST'!69:69,1,MATCH(Stock!I$1,'Stock UST'!$1:$1,0))))</f>
        <v/>
      </c>
      <c r="J69" s="9" t="str">
        <f ca="1">IF(IF(ISERROR(MATCH(Stock!J$1,'Stock UST'!$1:$1,0)),I69,INDEX('Stock UST'!69:69,1,MATCH(Stock!J$1,'Stock UST'!$1:$1,0)))=0,"",IF(ISERROR(MATCH(Stock!J$1,'Stock UST'!$1:$1,0)),I69,INDEX('Stock UST'!69:69,1,MATCH(Stock!J$1,'Stock UST'!$1:$1,0))))</f>
        <v/>
      </c>
      <c r="K69" s="9" t="str">
        <f ca="1">IF(IF(ISERROR(MATCH(Stock!K$1,'Stock UST'!$1:$1,0)),J69,INDEX('Stock UST'!69:69,1,MATCH(Stock!K$1,'Stock UST'!$1:$1,0)))=0,"",IF(ISERROR(MATCH(Stock!K$1,'Stock UST'!$1:$1,0)),J69,INDEX('Stock UST'!69:69,1,MATCH(Stock!K$1,'Stock UST'!$1:$1,0))))</f>
        <v/>
      </c>
      <c r="L69" s="9" t="str">
        <f ca="1">IF(IF(ISERROR(MATCH(Stock!L$1,'Stock UST'!$1:$1,0)),K69,INDEX('Stock UST'!69:69,1,MATCH(Stock!L$1,'Stock UST'!$1:$1,0)))=0,"",IF(ISERROR(MATCH(Stock!L$1,'Stock UST'!$1:$1,0)),K69,INDEX('Stock UST'!69:69,1,MATCH(Stock!L$1,'Stock UST'!$1:$1,0))))</f>
        <v/>
      </c>
      <c r="M69" s="9" t="str">
        <f ca="1">IF(IF(ISERROR(MATCH(Stock!M$1,'Stock UST'!$1:$1,0)),L69,INDEX('Stock UST'!69:69,1,MATCH(Stock!M$1,'Stock UST'!$1:$1,0)))=0,"",IF(ISERROR(MATCH(Stock!M$1,'Stock UST'!$1:$1,0)),L69,INDEX('Stock UST'!69:69,1,MATCH(Stock!M$1,'Stock UST'!$1:$1,0))))</f>
        <v/>
      </c>
      <c r="N69" s="9" t="str">
        <f ca="1">IF(IF(ISERROR(MATCH(Stock!N$1,'Stock UST'!$1:$1,0)),M69,INDEX('Stock UST'!69:69,1,MATCH(Stock!N$1,'Stock UST'!$1:$1,0)))=0,"",IF(ISERROR(MATCH(Stock!N$1,'Stock UST'!$1:$1,0)),M69,INDEX('Stock UST'!69:69,1,MATCH(Stock!N$1,'Stock UST'!$1:$1,0))))</f>
        <v/>
      </c>
      <c r="O69" s="9" t="str">
        <f ca="1">IF(IF(ISERROR(MATCH(Stock!O$1,'Stock UST'!$1:$1,0)),N69,INDEX('Stock UST'!69:69,1,MATCH(Stock!O$1,'Stock UST'!$1:$1,0)))=0,"",IF(ISERROR(MATCH(Stock!O$1,'Stock UST'!$1:$1,0)),N69,INDEX('Stock UST'!69:69,1,MATCH(Stock!O$1,'Stock UST'!$1:$1,0))))</f>
        <v/>
      </c>
      <c r="P69" s="9" t="str">
        <f ca="1">IF(IF(ISERROR(MATCH(Stock!P$1,'Stock UST'!$1:$1,0)),O69,INDEX('Stock UST'!69:69,1,MATCH(Stock!P$1,'Stock UST'!$1:$1,0)))=0,"",IF(ISERROR(MATCH(Stock!P$1,'Stock UST'!$1:$1,0)),O69,INDEX('Stock UST'!69:69,1,MATCH(Stock!P$1,'Stock UST'!$1:$1,0))))</f>
        <v/>
      </c>
      <c r="Q69" s="9" t="str">
        <f ca="1">IF(IF(ISERROR(MATCH(Stock!Q$1,'Stock UST'!$1:$1,0)),P69,INDEX('Stock UST'!69:69,1,MATCH(Stock!Q$1,'Stock UST'!$1:$1,0)))=0,"",IF(ISERROR(MATCH(Stock!Q$1,'Stock UST'!$1:$1,0)),P69,INDEX('Stock UST'!69:69,1,MATCH(Stock!Q$1,'Stock UST'!$1:$1,0))))</f>
        <v/>
      </c>
      <c r="R69" s="9" t="str">
        <f ca="1">IF(IF(ISERROR(MATCH(Stock!R$1,'Stock UST'!$1:$1,0)),Q69,INDEX('Stock UST'!69:69,1,MATCH(Stock!R$1,'Stock UST'!$1:$1,0)))=0,"",IF(ISERROR(MATCH(Stock!R$1,'Stock UST'!$1:$1,0)),Q69,INDEX('Stock UST'!69:69,1,MATCH(Stock!R$1,'Stock UST'!$1:$1,0))))</f>
        <v/>
      </c>
      <c r="S69" s="9" t="str">
        <f ca="1">IF(IF(ISERROR(MATCH(Stock!S$1,'Stock UST'!$1:$1,0)),R69,INDEX('Stock UST'!69:69,1,MATCH(Stock!S$1,'Stock UST'!$1:$1,0)))=0,"",IF(ISERROR(MATCH(Stock!S$1,'Stock UST'!$1:$1,0)),R69,INDEX('Stock UST'!69:69,1,MATCH(Stock!S$1,'Stock UST'!$1:$1,0))))</f>
        <v/>
      </c>
      <c r="T69" s="9" t="str">
        <f ca="1">IF(IF(ISERROR(MATCH(Stock!T$1,'Stock UST'!$1:$1,0)),S69,INDEX('Stock UST'!69:69,1,MATCH(Stock!T$1,'Stock UST'!$1:$1,0)))=0,"",IF(ISERROR(MATCH(Stock!T$1,'Stock UST'!$1:$1,0)),S69,INDEX('Stock UST'!69:69,1,MATCH(Stock!T$1,'Stock UST'!$1:$1,0))))</f>
        <v/>
      </c>
      <c r="U69" s="9" t="str">
        <f ca="1">IF(IF(ISERROR(MATCH(Stock!U$1,'Stock UST'!$1:$1,0)),T69,INDEX('Stock UST'!69:69,1,MATCH(Stock!U$1,'Stock UST'!$1:$1,0)))=0,"",IF(ISERROR(MATCH(Stock!U$1,'Stock UST'!$1:$1,0)),T69,INDEX('Stock UST'!69:69,1,MATCH(Stock!U$1,'Stock UST'!$1:$1,0))))</f>
        <v/>
      </c>
      <c r="V69" s="9" t="str">
        <f ca="1">IF(IF(ISERROR(MATCH(Stock!V$1,'Stock UST'!$1:$1,0)),U69,INDEX('Stock UST'!69:69,1,MATCH(Stock!V$1,'Stock UST'!$1:$1,0)))=0,"",IF(ISERROR(MATCH(Stock!V$1,'Stock UST'!$1:$1,0)),U69,INDEX('Stock UST'!69:69,1,MATCH(Stock!V$1,'Stock UST'!$1:$1,0))))</f>
        <v/>
      </c>
      <c r="W69" s="9" t="str">
        <f ca="1">IF(IF(ISERROR(MATCH(Stock!W$1,'Stock UST'!$1:$1,0)),V69,INDEX('Stock UST'!69:69,1,MATCH(Stock!W$1,'Stock UST'!$1:$1,0)))=0,"",IF(ISERROR(MATCH(Stock!W$1,'Stock UST'!$1:$1,0)),V69,INDEX('Stock UST'!69:69,1,MATCH(Stock!W$1,'Stock UST'!$1:$1,0))))</f>
        <v/>
      </c>
      <c r="X69" s="9" t="str">
        <f ca="1">IF(IF(ISERROR(MATCH(Stock!X$1,'Stock UST'!$1:$1,0)),W69,INDEX('Stock UST'!69:69,1,MATCH(Stock!X$1,'Stock UST'!$1:$1,0)))=0,"",IF(ISERROR(MATCH(Stock!X$1,'Stock UST'!$1:$1,0)),W69,INDEX('Stock UST'!69:69,1,MATCH(Stock!X$1,'Stock UST'!$1:$1,0))))</f>
        <v/>
      </c>
      <c r="Y69" s="9" t="str">
        <f ca="1">IF(IF(ISERROR(MATCH(Stock!Y$1,'Stock UST'!$1:$1,0)),X69,INDEX('Stock UST'!69:69,1,MATCH(Stock!Y$1,'Stock UST'!$1:$1,0)))=0,"",IF(ISERROR(MATCH(Stock!Y$1,'Stock UST'!$1:$1,0)),X69,INDEX('Stock UST'!69:69,1,MATCH(Stock!Y$1,'Stock UST'!$1:$1,0))))</f>
        <v/>
      </c>
      <c r="Z69" s="9" t="str">
        <f ca="1">IF(IF(ISERROR(MATCH(Stock!Z$1,'Stock UST'!$1:$1,0)),Y69,INDEX('Stock UST'!69:69,1,MATCH(Stock!Z$1,'Stock UST'!$1:$1,0)))=0,"",IF(ISERROR(MATCH(Stock!Z$1,'Stock UST'!$1:$1,0)),Y69,INDEX('Stock UST'!69:69,1,MATCH(Stock!Z$1,'Stock UST'!$1:$1,0))))</f>
        <v/>
      </c>
      <c r="AA69" s="9" t="str">
        <f ca="1">IF(IF(ISERROR(MATCH(Stock!AA$1,'Stock UST'!$1:$1,0)),Z69,INDEX('Stock UST'!69:69,1,MATCH(Stock!AA$1,'Stock UST'!$1:$1,0)))=0,"",IF(ISERROR(MATCH(Stock!AA$1,'Stock UST'!$1:$1,0)),Z69,INDEX('Stock UST'!69:69,1,MATCH(Stock!AA$1,'Stock UST'!$1:$1,0))))</f>
        <v/>
      </c>
      <c r="AB69" s="9" t="str">
        <f ca="1">IF(IF(ISERROR(MATCH(Stock!AB$1,'Stock UST'!$1:$1,0)),AA69,INDEX('Stock UST'!69:69,1,MATCH(Stock!AB$1,'Stock UST'!$1:$1,0)))=0,"",IF(ISERROR(MATCH(Stock!AB$1,'Stock UST'!$1:$1,0)),AA69,INDEX('Stock UST'!69:69,1,MATCH(Stock!AB$1,'Stock UST'!$1:$1,0))))</f>
        <v/>
      </c>
      <c r="AC69" s="9" t="str">
        <f ca="1">IF(IF(ISERROR(MATCH(Stock!AC$1,'Stock UST'!$1:$1,0)),AB69,INDEX('Stock UST'!69:69,1,MATCH(Stock!AC$1,'Stock UST'!$1:$1,0)))=0,"",IF(ISERROR(MATCH(Stock!AC$1,'Stock UST'!$1:$1,0)),AB69,INDEX('Stock UST'!69:69,1,MATCH(Stock!AC$1,'Stock UST'!$1:$1,0))))</f>
        <v/>
      </c>
      <c r="AD69" s="9" t="str">
        <f ca="1">IF(IF(ISERROR(MATCH(Stock!AD$1,'Stock UST'!$1:$1,0)),AC69,INDEX('Stock UST'!69:69,1,MATCH(Stock!AD$1,'Stock UST'!$1:$1,0)))=0,"",IF(ISERROR(MATCH(Stock!AD$1,'Stock UST'!$1:$1,0)),AC69,INDEX('Stock UST'!69:69,1,MATCH(Stock!AD$1,'Stock UST'!$1:$1,0))))</f>
        <v/>
      </c>
      <c r="AE69" s="9" t="str">
        <f ca="1">IF(IF(ISERROR(MATCH(Stock!AE$1,'Stock UST'!$1:$1,0)),AD69,INDEX('Stock UST'!69:69,1,MATCH(Stock!AE$1,'Stock UST'!$1:$1,0)))=0,"",IF(ISERROR(MATCH(Stock!AE$1,'Stock UST'!$1:$1,0)),AD69,INDEX('Stock UST'!69:69,1,MATCH(Stock!AE$1,'Stock UST'!$1:$1,0))))</f>
        <v/>
      </c>
      <c r="AF69" s="9" t="str">
        <f ca="1">IF(IF(ISERROR(MATCH(Stock!AF$1,'Stock UST'!$1:$1,0)),AE69,INDEX('Stock UST'!69:69,1,MATCH(Stock!AF$1,'Stock UST'!$1:$1,0)))=0,"",IF(ISERROR(MATCH(Stock!AF$1,'Stock UST'!$1:$1,0)),AE69,INDEX('Stock UST'!69:69,1,MATCH(Stock!AF$1,'Stock UST'!$1:$1,0))))</f>
        <v/>
      </c>
      <c r="AG69" s="9" t="str">
        <f ca="1">IF(IF(ISERROR(MATCH(Stock!AG$1,'Stock UST'!$1:$1,0)),AF69,INDEX('Stock UST'!69:69,1,MATCH(Stock!AG$1,'Stock UST'!$1:$1,0)))=0,"",IF(ISERROR(MATCH(Stock!AG$1,'Stock UST'!$1:$1,0)),AF69,INDEX('Stock UST'!69:69,1,MATCH(Stock!AG$1,'Stock UST'!$1:$1,0))))</f>
        <v/>
      </c>
      <c r="AH69" s="9" t="str">
        <f ca="1">IF(IF(ISERROR(MATCH(Stock!AH$1,'Stock UST'!$1:$1,0)),AG69,INDEX('Stock UST'!69:69,1,MATCH(Stock!AH$1,'Stock UST'!$1:$1,0)))=0,"",IF(ISERROR(MATCH(Stock!AH$1,'Stock UST'!$1:$1,0)),AG69,INDEX('Stock UST'!69:69,1,MATCH(Stock!AH$1,'Stock UST'!$1:$1,0))))</f>
        <v/>
      </c>
      <c r="AI69" s="9" t="str">
        <f ca="1">IF(IF(ISERROR(MATCH(Stock!AI$1,'Stock UST'!$1:$1,0)),AH69,INDEX('Stock UST'!69:69,1,MATCH(Stock!AI$1,'Stock UST'!$1:$1,0)))=0,"",IF(ISERROR(MATCH(Stock!AI$1,'Stock UST'!$1:$1,0)),AH69,INDEX('Stock UST'!69:69,1,MATCH(Stock!AI$1,'Stock UST'!$1:$1,0))))</f>
        <v/>
      </c>
      <c r="AJ69" s="9" t="str">
        <f ca="1">IF(IF(ISERROR(MATCH(Stock!AJ$1,'Stock UST'!$1:$1,0)),AI69,INDEX('Stock UST'!69:69,1,MATCH(Stock!AJ$1,'Stock UST'!$1:$1,0)))=0,"",IF(ISERROR(MATCH(Stock!AJ$1,'Stock UST'!$1:$1,0)),AI69,INDEX('Stock UST'!69:69,1,MATCH(Stock!AJ$1,'Stock UST'!$1:$1,0))))</f>
        <v/>
      </c>
      <c r="AK69" s="9" t="str">
        <f ca="1">IF(IF(ISERROR(MATCH(Stock!AK$1,'Stock UST'!$1:$1,0)),AJ69,INDEX('Stock UST'!69:69,1,MATCH(Stock!AK$1,'Stock UST'!$1:$1,0)))=0,"",IF(ISERROR(MATCH(Stock!AK$1,'Stock UST'!$1:$1,0)),AJ69,INDEX('Stock UST'!69:69,1,MATCH(Stock!AK$1,'Stock UST'!$1:$1,0))))</f>
        <v/>
      </c>
      <c r="AL69" s="9" t="str">
        <f ca="1">IF(IF(ISERROR(MATCH(Stock!AL$1,'Stock UST'!$1:$1,0)),AK69,INDEX('Stock UST'!69:69,1,MATCH(Stock!AL$1,'Stock UST'!$1:$1,0)))=0,"",IF(ISERROR(MATCH(Stock!AL$1,'Stock UST'!$1:$1,0)),AK69,INDEX('Stock UST'!69:69,1,MATCH(Stock!AL$1,'Stock UST'!$1:$1,0))))</f>
        <v/>
      </c>
      <c r="AM69" s="9" t="str">
        <f ca="1">IF(IF(ISERROR(MATCH(Stock!AM$1,'Stock UST'!$1:$1,0)),AL69,INDEX('Stock UST'!69:69,1,MATCH(Stock!AM$1,'Stock UST'!$1:$1,0)))=0,"",IF(ISERROR(MATCH(Stock!AM$1,'Stock UST'!$1:$1,0)),AL69,INDEX('Stock UST'!69:69,1,MATCH(Stock!AM$1,'Stock UST'!$1:$1,0))))</f>
        <v/>
      </c>
      <c r="AN69" s="9" t="str">
        <f ca="1">IF(IF(ISERROR(MATCH(Stock!AN$1,'Stock UST'!$1:$1,0)),AM69,INDEX('Stock UST'!69:69,1,MATCH(Stock!AN$1,'Stock UST'!$1:$1,0)))=0,"",IF(ISERROR(MATCH(Stock!AN$1,'Stock UST'!$1:$1,0)),AM69,INDEX('Stock UST'!69:69,1,MATCH(Stock!AN$1,'Stock UST'!$1:$1,0))))</f>
        <v/>
      </c>
      <c r="AO69" s="9" t="str">
        <f ca="1">IF(IF(ISERROR(MATCH(Stock!AO$1,'Stock UST'!$1:$1,0)),AN69,INDEX('Stock UST'!69:69,1,MATCH(Stock!AO$1,'Stock UST'!$1:$1,0)))=0,"",IF(ISERROR(MATCH(Stock!AO$1,'Stock UST'!$1:$1,0)),AN69,INDEX('Stock UST'!69:69,1,MATCH(Stock!AO$1,'Stock UST'!$1:$1,0))))</f>
        <v/>
      </c>
      <c r="AP69" s="9" t="str">
        <f ca="1">IF(IF(ISERROR(MATCH(Stock!AP$1,'Stock UST'!$1:$1,0)),AO69,INDEX('Stock UST'!69:69,1,MATCH(Stock!AP$1,'Stock UST'!$1:$1,0)))=0,"",IF(ISERROR(MATCH(Stock!AP$1,'Stock UST'!$1:$1,0)),AO69,INDEX('Stock UST'!69:69,1,MATCH(Stock!AP$1,'Stock UST'!$1:$1,0))))</f>
        <v/>
      </c>
      <c r="AQ69" s="9" t="str">
        <f ca="1">IF(IF(ISERROR(MATCH(Stock!AQ$1,'Stock UST'!$1:$1,0)),AP69,INDEX('Stock UST'!69:69,1,MATCH(Stock!AQ$1,'Stock UST'!$1:$1,0)))=0,"",IF(ISERROR(MATCH(Stock!AQ$1,'Stock UST'!$1:$1,0)),AP69,INDEX('Stock UST'!69:69,1,MATCH(Stock!AQ$1,'Stock UST'!$1:$1,0))))</f>
        <v/>
      </c>
      <c r="AR69" s="9" t="str">
        <f ca="1">IF(IF(ISERROR(MATCH(Stock!AR$1,'Stock UST'!$1:$1,0)),AQ69,INDEX('Stock UST'!69:69,1,MATCH(Stock!AR$1,'Stock UST'!$1:$1,0)))=0,"",IF(ISERROR(MATCH(Stock!AR$1,'Stock UST'!$1:$1,0)),AQ69,INDEX('Stock UST'!69:69,1,MATCH(Stock!AR$1,'Stock UST'!$1:$1,0))))</f>
        <v/>
      </c>
      <c r="AS69" s="9" t="str">
        <f ca="1">IF(IF(ISERROR(MATCH(Stock!AS$1,'Stock UST'!$1:$1,0)),AR69,INDEX('Stock UST'!69:69,1,MATCH(Stock!AS$1,'Stock UST'!$1:$1,0)))=0,"",IF(ISERROR(MATCH(Stock!AS$1,'Stock UST'!$1:$1,0)),AR69,INDEX('Stock UST'!69:69,1,MATCH(Stock!AS$1,'Stock UST'!$1:$1,0))))</f>
        <v/>
      </c>
      <c r="AT69" s="9" t="str">
        <f ca="1">IF(IF(ISERROR(MATCH(Stock!AT$1,'Stock UST'!$1:$1,0)),AS69,INDEX('Stock UST'!69:69,1,MATCH(Stock!AT$1,'Stock UST'!$1:$1,0)))=0,"",IF(ISERROR(MATCH(Stock!AT$1,'Stock UST'!$1:$1,0)),AS69,INDEX('Stock UST'!69:69,1,MATCH(Stock!AT$1,'Stock UST'!$1:$1,0))))</f>
        <v/>
      </c>
      <c r="AU69" s="9" t="str">
        <f ca="1">IF(IF(ISERROR(MATCH(Stock!AU$1,'Stock UST'!$1:$1,0)),AT69,INDEX('Stock UST'!69:69,1,MATCH(Stock!AU$1,'Stock UST'!$1:$1,0)))=0,"",IF(ISERROR(MATCH(Stock!AU$1,'Stock UST'!$1:$1,0)),AT69,INDEX('Stock UST'!69:69,1,MATCH(Stock!AU$1,'Stock UST'!$1:$1,0))))</f>
        <v/>
      </c>
      <c r="AV69" s="9" t="str">
        <f ca="1">IF(IF(ISERROR(MATCH(Stock!AV$1,'Stock UST'!$1:$1,0)),AU69,INDEX('Stock UST'!69:69,1,MATCH(Stock!AV$1,'Stock UST'!$1:$1,0)))=0,"",IF(ISERROR(MATCH(Stock!AV$1,'Stock UST'!$1:$1,0)),AU69,INDEX('Stock UST'!69:69,1,MATCH(Stock!AV$1,'Stock UST'!$1:$1,0))))</f>
        <v/>
      </c>
      <c r="AW69" s="9" t="str">
        <f ca="1">IF(IF(ISERROR(MATCH(Stock!AW$1,'Stock UST'!$1:$1,0)),AV69,INDEX('Stock UST'!69:69,1,MATCH(Stock!AW$1,'Stock UST'!$1:$1,0)))=0,"",IF(ISERROR(MATCH(Stock!AW$1,'Stock UST'!$1:$1,0)),AV69,INDEX('Stock UST'!69:69,1,MATCH(Stock!AW$1,'Stock UST'!$1:$1,0))))</f>
        <v/>
      </c>
      <c r="AX69" s="9" t="str">
        <f ca="1">IF(IF(ISERROR(MATCH(Stock!AX$1,'Stock UST'!$1:$1,0)),AW69,INDEX('Stock UST'!69:69,1,MATCH(Stock!AX$1,'Stock UST'!$1:$1,0)))=0,"",IF(ISERROR(MATCH(Stock!AX$1,'Stock UST'!$1:$1,0)),AW69,INDEX('Stock UST'!69:69,1,MATCH(Stock!AX$1,'Stock UST'!$1:$1,0))))</f>
        <v/>
      </c>
    </row>
    <row r="70" spans="1:50" x14ac:dyDescent="0.3">
      <c r="A70" s="9" t="str">
        <f>IF('Stock UST'!E70="","",'Stock UST'!E70)</f>
        <v/>
      </c>
      <c r="B70" s="9" t="str">
        <f>IF(IF(ISERROR(MATCH(Stock!B$1,'Stock UST'!$1:$1,0)),A70,INDEX('Stock UST'!70:70,1,MATCH(Stock!B$1,'Stock UST'!$1:$1,0)))=0,"",IF(ISERROR(MATCH(Stock!B$1,'Stock UST'!$1:$1,0)),A70,INDEX('Stock UST'!70:70,1,MATCH(Stock!B$1,'Stock UST'!$1:$1,0))))</f>
        <v/>
      </c>
      <c r="C70" s="9" t="str">
        <f ca="1">IF(IF(ISERROR(MATCH(Stock!C$1,'Stock UST'!$1:$1,0)),B70,INDEX('Stock UST'!70:70,1,MATCH(Stock!C$1,'Stock UST'!$1:$1,0)))=0,"",IF(ISERROR(MATCH(Stock!C$1,'Stock UST'!$1:$1,0)),B70,INDEX('Stock UST'!70:70,1,MATCH(Stock!C$1,'Stock UST'!$1:$1,0))))</f>
        <v/>
      </c>
      <c r="D70" s="9" t="str">
        <f ca="1">IF(IF(ISERROR(MATCH(Stock!D$1,'Stock UST'!$1:$1,0)),C70,INDEX('Stock UST'!70:70,1,MATCH(Stock!D$1,'Stock UST'!$1:$1,0)))=0,"",IF(ISERROR(MATCH(Stock!D$1,'Stock UST'!$1:$1,0)),C70,INDEX('Stock UST'!70:70,1,MATCH(Stock!D$1,'Stock UST'!$1:$1,0))))</f>
        <v/>
      </c>
      <c r="E70" s="9" t="str">
        <f ca="1">IF(IF(ISERROR(MATCH(Stock!E$1,'Stock UST'!$1:$1,0)),D70,INDEX('Stock UST'!70:70,1,MATCH(Stock!E$1,'Stock UST'!$1:$1,0)))=0,"",IF(ISERROR(MATCH(Stock!E$1,'Stock UST'!$1:$1,0)),D70,INDEX('Stock UST'!70:70,1,MATCH(Stock!E$1,'Stock UST'!$1:$1,0))))</f>
        <v/>
      </c>
      <c r="F70" s="9" t="str">
        <f ca="1">IF(IF(ISERROR(MATCH(Stock!F$1,'Stock UST'!$1:$1,0)),E70,INDEX('Stock UST'!70:70,1,MATCH(Stock!F$1,'Stock UST'!$1:$1,0)))=0,"",IF(ISERROR(MATCH(Stock!F$1,'Stock UST'!$1:$1,0)),E70,INDEX('Stock UST'!70:70,1,MATCH(Stock!F$1,'Stock UST'!$1:$1,0))))</f>
        <v/>
      </c>
      <c r="G70" s="9" t="str">
        <f ca="1">IF(IF(ISERROR(MATCH(Stock!G$1,'Stock UST'!$1:$1,0)),F70,INDEX('Stock UST'!70:70,1,MATCH(Stock!G$1,'Stock UST'!$1:$1,0)))=0,"",IF(ISERROR(MATCH(Stock!G$1,'Stock UST'!$1:$1,0)),F70,INDEX('Stock UST'!70:70,1,MATCH(Stock!G$1,'Stock UST'!$1:$1,0))))</f>
        <v/>
      </c>
      <c r="H70" s="9" t="str">
        <f ca="1">IF(IF(ISERROR(MATCH(Stock!H$1,'Stock UST'!$1:$1,0)),G70,INDEX('Stock UST'!70:70,1,MATCH(Stock!H$1,'Stock UST'!$1:$1,0)))=0,"",IF(ISERROR(MATCH(Stock!H$1,'Stock UST'!$1:$1,0)),G70,INDEX('Stock UST'!70:70,1,MATCH(Stock!H$1,'Stock UST'!$1:$1,0))))</f>
        <v/>
      </c>
      <c r="I70" s="9" t="str">
        <f ca="1">IF(IF(ISERROR(MATCH(Stock!I$1,'Stock UST'!$1:$1,0)),H70,INDEX('Stock UST'!70:70,1,MATCH(Stock!I$1,'Stock UST'!$1:$1,0)))=0,"",IF(ISERROR(MATCH(Stock!I$1,'Stock UST'!$1:$1,0)),H70,INDEX('Stock UST'!70:70,1,MATCH(Stock!I$1,'Stock UST'!$1:$1,0))))</f>
        <v/>
      </c>
      <c r="J70" s="9" t="str">
        <f ca="1">IF(IF(ISERROR(MATCH(Stock!J$1,'Stock UST'!$1:$1,0)),I70,INDEX('Stock UST'!70:70,1,MATCH(Stock!J$1,'Stock UST'!$1:$1,0)))=0,"",IF(ISERROR(MATCH(Stock!J$1,'Stock UST'!$1:$1,0)),I70,INDEX('Stock UST'!70:70,1,MATCH(Stock!J$1,'Stock UST'!$1:$1,0))))</f>
        <v/>
      </c>
      <c r="K70" s="9" t="str">
        <f ca="1">IF(IF(ISERROR(MATCH(Stock!K$1,'Stock UST'!$1:$1,0)),J70,INDEX('Stock UST'!70:70,1,MATCH(Stock!K$1,'Stock UST'!$1:$1,0)))=0,"",IF(ISERROR(MATCH(Stock!K$1,'Stock UST'!$1:$1,0)),J70,INDEX('Stock UST'!70:70,1,MATCH(Stock!K$1,'Stock UST'!$1:$1,0))))</f>
        <v/>
      </c>
      <c r="L70" s="9" t="str">
        <f ca="1">IF(IF(ISERROR(MATCH(Stock!L$1,'Stock UST'!$1:$1,0)),K70,INDEX('Stock UST'!70:70,1,MATCH(Stock!L$1,'Stock UST'!$1:$1,0)))=0,"",IF(ISERROR(MATCH(Stock!L$1,'Stock UST'!$1:$1,0)),K70,INDEX('Stock UST'!70:70,1,MATCH(Stock!L$1,'Stock UST'!$1:$1,0))))</f>
        <v/>
      </c>
      <c r="M70" s="9" t="str">
        <f ca="1">IF(IF(ISERROR(MATCH(Stock!M$1,'Stock UST'!$1:$1,0)),L70,INDEX('Stock UST'!70:70,1,MATCH(Stock!M$1,'Stock UST'!$1:$1,0)))=0,"",IF(ISERROR(MATCH(Stock!M$1,'Stock UST'!$1:$1,0)),L70,INDEX('Stock UST'!70:70,1,MATCH(Stock!M$1,'Stock UST'!$1:$1,0))))</f>
        <v/>
      </c>
      <c r="N70" s="9" t="str">
        <f ca="1">IF(IF(ISERROR(MATCH(Stock!N$1,'Stock UST'!$1:$1,0)),M70,INDEX('Stock UST'!70:70,1,MATCH(Stock!N$1,'Stock UST'!$1:$1,0)))=0,"",IF(ISERROR(MATCH(Stock!N$1,'Stock UST'!$1:$1,0)),M70,INDEX('Stock UST'!70:70,1,MATCH(Stock!N$1,'Stock UST'!$1:$1,0))))</f>
        <v/>
      </c>
      <c r="O70" s="9" t="str">
        <f ca="1">IF(IF(ISERROR(MATCH(Stock!O$1,'Stock UST'!$1:$1,0)),N70,INDEX('Stock UST'!70:70,1,MATCH(Stock!O$1,'Stock UST'!$1:$1,0)))=0,"",IF(ISERROR(MATCH(Stock!O$1,'Stock UST'!$1:$1,0)),N70,INDEX('Stock UST'!70:70,1,MATCH(Stock!O$1,'Stock UST'!$1:$1,0))))</f>
        <v/>
      </c>
      <c r="P70" s="9" t="str">
        <f ca="1">IF(IF(ISERROR(MATCH(Stock!P$1,'Stock UST'!$1:$1,0)),O70,INDEX('Stock UST'!70:70,1,MATCH(Stock!P$1,'Stock UST'!$1:$1,0)))=0,"",IF(ISERROR(MATCH(Stock!P$1,'Stock UST'!$1:$1,0)),O70,INDEX('Stock UST'!70:70,1,MATCH(Stock!P$1,'Stock UST'!$1:$1,0))))</f>
        <v/>
      </c>
      <c r="Q70" s="9" t="str">
        <f ca="1">IF(IF(ISERROR(MATCH(Stock!Q$1,'Stock UST'!$1:$1,0)),P70,INDEX('Stock UST'!70:70,1,MATCH(Stock!Q$1,'Stock UST'!$1:$1,0)))=0,"",IF(ISERROR(MATCH(Stock!Q$1,'Stock UST'!$1:$1,0)),P70,INDEX('Stock UST'!70:70,1,MATCH(Stock!Q$1,'Stock UST'!$1:$1,0))))</f>
        <v/>
      </c>
      <c r="R70" s="9" t="str">
        <f ca="1">IF(IF(ISERROR(MATCH(Stock!R$1,'Stock UST'!$1:$1,0)),Q70,INDEX('Stock UST'!70:70,1,MATCH(Stock!R$1,'Stock UST'!$1:$1,0)))=0,"",IF(ISERROR(MATCH(Stock!R$1,'Stock UST'!$1:$1,0)),Q70,INDEX('Stock UST'!70:70,1,MATCH(Stock!R$1,'Stock UST'!$1:$1,0))))</f>
        <v/>
      </c>
      <c r="S70" s="9" t="str">
        <f ca="1">IF(IF(ISERROR(MATCH(Stock!S$1,'Stock UST'!$1:$1,0)),R70,INDEX('Stock UST'!70:70,1,MATCH(Stock!S$1,'Stock UST'!$1:$1,0)))=0,"",IF(ISERROR(MATCH(Stock!S$1,'Stock UST'!$1:$1,0)),R70,INDEX('Stock UST'!70:70,1,MATCH(Stock!S$1,'Stock UST'!$1:$1,0))))</f>
        <v/>
      </c>
      <c r="T70" s="9" t="str">
        <f ca="1">IF(IF(ISERROR(MATCH(Stock!T$1,'Stock UST'!$1:$1,0)),S70,INDEX('Stock UST'!70:70,1,MATCH(Stock!T$1,'Stock UST'!$1:$1,0)))=0,"",IF(ISERROR(MATCH(Stock!T$1,'Stock UST'!$1:$1,0)),S70,INDEX('Stock UST'!70:70,1,MATCH(Stock!T$1,'Stock UST'!$1:$1,0))))</f>
        <v/>
      </c>
      <c r="U70" s="9" t="str">
        <f ca="1">IF(IF(ISERROR(MATCH(Stock!U$1,'Stock UST'!$1:$1,0)),T70,INDEX('Stock UST'!70:70,1,MATCH(Stock!U$1,'Stock UST'!$1:$1,0)))=0,"",IF(ISERROR(MATCH(Stock!U$1,'Stock UST'!$1:$1,0)),T70,INDEX('Stock UST'!70:70,1,MATCH(Stock!U$1,'Stock UST'!$1:$1,0))))</f>
        <v/>
      </c>
      <c r="V70" s="9" t="str">
        <f ca="1">IF(IF(ISERROR(MATCH(Stock!V$1,'Stock UST'!$1:$1,0)),U70,INDEX('Stock UST'!70:70,1,MATCH(Stock!V$1,'Stock UST'!$1:$1,0)))=0,"",IF(ISERROR(MATCH(Stock!V$1,'Stock UST'!$1:$1,0)),U70,INDEX('Stock UST'!70:70,1,MATCH(Stock!V$1,'Stock UST'!$1:$1,0))))</f>
        <v/>
      </c>
      <c r="W70" s="9" t="str">
        <f ca="1">IF(IF(ISERROR(MATCH(Stock!W$1,'Stock UST'!$1:$1,0)),V70,INDEX('Stock UST'!70:70,1,MATCH(Stock!W$1,'Stock UST'!$1:$1,0)))=0,"",IF(ISERROR(MATCH(Stock!W$1,'Stock UST'!$1:$1,0)),V70,INDEX('Stock UST'!70:70,1,MATCH(Stock!W$1,'Stock UST'!$1:$1,0))))</f>
        <v/>
      </c>
      <c r="X70" s="9" t="str">
        <f ca="1">IF(IF(ISERROR(MATCH(Stock!X$1,'Stock UST'!$1:$1,0)),W70,INDEX('Stock UST'!70:70,1,MATCH(Stock!X$1,'Stock UST'!$1:$1,0)))=0,"",IF(ISERROR(MATCH(Stock!X$1,'Stock UST'!$1:$1,0)),W70,INDEX('Stock UST'!70:70,1,MATCH(Stock!X$1,'Stock UST'!$1:$1,0))))</f>
        <v/>
      </c>
      <c r="Y70" s="9" t="str">
        <f ca="1">IF(IF(ISERROR(MATCH(Stock!Y$1,'Stock UST'!$1:$1,0)),X70,INDEX('Stock UST'!70:70,1,MATCH(Stock!Y$1,'Stock UST'!$1:$1,0)))=0,"",IF(ISERROR(MATCH(Stock!Y$1,'Stock UST'!$1:$1,0)),X70,INDEX('Stock UST'!70:70,1,MATCH(Stock!Y$1,'Stock UST'!$1:$1,0))))</f>
        <v/>
      </c>
      <c r="Z70" s="9" t="str">
        <f ca="1">IF(IF(ISERROR(MATCH(Stock!Z$1,'Stock UST'!$1:$1,0)),Y70,INDEX('Stock UST'!70:70,1,MATCH(Stock!Z$1,'Stock UST'!$1:$1,0)))=0,"",IF(ISERROR(MATCH(Stock!Z$1,'Stock UST'!$1:$1,0)),Y70,INDEX('Stock UST'!70:70,1,MATCH(Stock!Z$1,'Stock UST'!$1:$1,0))))</f>
        <v/>
      </c>
      <c r="AA70" s="9" t="str">
        <f ca="1">IF(IF(ISERROR(MATCH(Stock!AA$1,'Stock UST'!$1:$1,0)),Z70,INDEX('Stock UST'!70:70,1,MATCH(Stock!AA$1,'Stock UST'!$1:$1,0)))=0,"",IF(ISERROR(MATCH(Stock!AA$1,'Stock UST'!$1:$1,0)),Z70,INDEX('Stock UST'!70:70,1,MATCH(Stock!AA$1,'Stock UST'!$1:$1,0))))</f>
        <v/>
      </c>
      <c r="AB70" s="9" t="str">
        <f ca="1">IF(IF(ISERROR(MATCH(Stock!AB$1,'Stock UST'!$1:$1,0)),AA70,INDEX('Stock UST'!70:70,1,MATCH(Stock!AB$1,'Stock UST'!$1:$1,0)))=0,"",IF(ISERROR(MATCH(Stock!AB$1,'Stock UST'!$1:$1,0)),AA70,INDEX('Stock UST'!70:70,1,MATCH(Stock!AB$1,'Stock UST'!$1:$1,0))))</f>
        <v/>
      </c>
      <c r="AC70" s="9" t="str">
        <f ca="1">IF(IF(ISERROR(MATCH(Stock!AC$1,'Stock UST'!$1:$1,0)),AB70,INDEX('Stock UST'!70:70,1,MATCH(Stock!AC$1,'Stock UST'!$1:$1,0)))=0,"",IF(ISERROR(MATCH(Stock!AC$1,'Stock UST'!$1:$1,0)),AB70,INDEX('Stock UST'!70:70,1,MATCH(Stock!AC$1,'Stock UST'!$1:$1,0))))</f>
        <v/>
      </c>
      <c r="AD70" s="9" t="str">
        <f ca="1">IF(IF(ISERROR(MATCH(Stock!AD$1,'Stock UST'!$1:$1,0)),AC70,INDEX('Stock UST'!70:70,1,MATCH(Stock!AD$1,'Stock UST'!$1:$1,0)))=0,"",IF(ISERROR(MATCH(Stock!AD$1,'Stock UST'!$1:$1,0)),AC70,INDEX('Stock UST'!70:70,1,MATCH(Stock!AD$1,'Stock UST'!$1:$1,0))))</f>
        <v/>
      </c>
      <c r="AE70" s="9" t="str">
        <f ca="1">IF(IF(ISERROR(MATCH(Stock!AE$1,'Stock UST'!$1:$1,0)),AD70,INDEX('Stock UST'!70:70,1,MATCH(Stock!AE$1,'Stock UST'!$1:$1,0)))=0,"",IF(ISERROR(MATCH(Stock!AE$1,'Stock UST'!$1:$1,0)),AD70,INDEX('Stock UST'!70:70,1,MATCH(Stock!AE$1,'Stock UST'!$1:$1,0))))</f>
        <v/>
      </c>
      <c r="AF70" s="9" t="str">
        <f ca="1">IF(IF(ISERROR(MATCH(Stock!AF$1,'Stock UST'!$1:$1,0)),AE70,INDEX('Stock UST'!70:70,1,MATCH(Stock!AF$1,'Stock UST'!$1:$1,0)))=0,"",IF(ISERROR(MATCH(Stock!AF$1,'Stock UST'!$1:$1,0)),AE70,INDEX('Stock UST'!70:70,1,MATCH(Stock!AF$1,'Stock UST'!$1:$1,0))))</f>
        <v/>
      </c>
      <c r="AG70" s="9" t="str">
        <f ca="1">IF(IF(ISERROR(MATCH(Stock!AG$1,'Stock UST'!$1:$1,0)),AF70,INDEX('Stock UST'!70:70,1,MATCH(Stock!AG$1,'Stock UST'!$1:$1,0)))=0,"",IF(ISERROR(MATCH(Stock!AG$1,'Stock UST'!$1:$1,0)),AF70,INDEX('Stock UST'!70:70,1,MATCH(Stock!AG$1,'Stock UST'!$1:$1,0))))</f>
        <v/>
      </c>
      <c r="AH70" s="9" t="str">
        <f ca="1">IF(IF(ISERROR(MATCH(Stock!AH$1,'Stock UST'!$1:$1,0)),AG70,INDEX('Stock UST'!70:70,1,MATCH(Stock!AH$1,'Stock UST'!$1:$1,0)))=0,"",IF(ISERROR(MATCH(Stock!AH$1,'Stock UST'!$1:$1,0)),AG70,INDEX('Stock UST'!70:70,1,MATCH(Stock!AH$1,'Stock UST'!$1:$1,0))))</f>
        <v/>
      </c>
      <c r="AI70" s="9" t="str">
        <f ca="1">IF(IF(ISERROR(MATCH(Stock!AI$1,'Stock UST'!$1:$1,0)),AH70,INDEX('Stock UST'!70:70,1,MATCH(Stock!AI$1,'Stock UST'!$1:$1,0)))=0,"",IF(ISERROR(MATCH(Stock!AI$1,'Stock UST'!$1:$1,0)),AH70,INDEX('Stock UST'!70:70,1,MATCH(Stock!AI$1,'Stock UST'!$1:$1,0))))</f>
        <v/>
      </c>
      <c r="AJ70" s="9" t="str">
        <f ca="1">IF(IF(ISERROR(MATCH(Stock!AJ$1,'Stock UST'!$1:$1,0)),AI70,INDEX('Stock UST'!70:70,1,MATCH(Stock!AJ$1,'Stock UST'!$1:$1,0)))=0,"",IF(ISERROR(MATCH(Stock!AJ$1,'Stock UST'!$1:$1,0)),AI70,INDEX('Stock UST'!70:70,1,MATCH(Stock!AJ$1,'Stock UST'!$1:$1,0))))</f>
        <v/>
      </c>
      <c r="AK70" s="9" t="str">
        <f ca="1">IF(IF(ISERROR(MATCH(Stock!AK$1,'Stock UST'!$1:$1,0)),AJ70,INDEX('Stock UST'!70:70,1,MATCH(Stock!AK$1,'Stock UST'!$1:$1,0)))=0,"",IF(ISERROR(MATCH(Stock!AK$1,'Stock UST'!$1:$1,0)),AJ70,INDEX('Stock UST'!70:70,1,MATCH(Stock!AK$1,'Stock UST'!$1:$1,0))))</f>
        <v/>
      </c>
      <c r="AL70" s="9" t="str">
        <f ca="1">IF(IF(ISERROR(MATCH(Stock!AL$1,'Stock UST'!$1:$1,0)),AK70,INDEX('Stock UST'!70:70,1,MATCH(Stock!AL$1,'Stock UST'!$1:$1,0)))=0,"",IF(ISERROR(MATCH(Stock!AL$1,'Stock UST'!$1:$1,0)),AK70,INDEX('Stock UST'!70:70,1,MATCH(Stock!AL$1,'Stock UST'!$1:$1,0))))</f>
        <v/>
      </c>
      <c r="AM70" s="9" t="str">
        <f ca="1">IF(IF(ISERROR(MATCH(Stock!AM$1,'Stock UST'!$1:$1,0)),AL70,INDEX('Stock UST'!70:70,1,MATCH(Stock!AM$1,'Stock UST'!$1:$1,0)))=0,"",IF(ISERROR(MATCH(Stock!AM$1,'Stock UST'!$1:$1,0)),AL70,INDEX('Stock UST'!70:70,1,MATCH(Stock!AM$1,'Stock UST'!$1:$1,0))))</f>
        <v/>
      </c>
      <c r="AN70" s="9" t="str">
        <f ca="1">IF(IF(ISERROR(MATCH(Stock!AN$1,'Stock UST'!$1:$1,0)),AM70,INDEX('Stock UST'!70:70,1,MATCH(Stock!AN$1,'Stock UST'!$1:$1,0)))=0,"",IF(ISERROR(MATCH(Stock!AN$1,'Stock UST'!$1:$1,0)),AM70,INDEX('Stock UST'!70:70,1,MATCH(Stock!AN$1,'Stock UST'!$1:$1,0))))</f>
        <v/>
      </c>
      <c r="AO70" s="9" t="str">
        <f ca="1">IF(IF(ISERROR(MATCH(Stock!AO$1,'Stock UST'!$1:$1,0)),AN70,INDEX('Stock UST'!70:70,1,MATCH(Stock!AO$1,'Stock UST'!$1:$1,0)))=0,"",IF(ISERROR(MATCH(Stock!AO$1,'Stock UST'!$1:$1,0)),AN70,INDEX('Stock UST'!70:70,1,MATCH(Stock!AO$1,'Stock UST'!$1:$1,0))))</f>
        <v/>
      </c>
      <c r="AP70" s="9" t="str">
        <f ca="1">IF(IF(ISERROR(MATCH(Stock!AP$1,'Stock UST'!$1:$1,0)),AO70,INDEX('Stock UST'!70:70,1,MATCH(Stock!AP$1,'Stock UST'!$1:$1,0)))=0,"",IF(ISERROR(MATCH(Stock!AP$1,'Stock UST'!$1:$1,0)),AO70,INDEX('Stock UST'!70:70,1,MATCH(Stock!AP$1,'Stock UST'!$1:$1,0))))</f>
        <v/>
      </c>
      <c r="AQ70" s="9" t="str">
        <f ca="1">IF(IF(ISERROR(MATCH(Stock!AQ$1,'Stock UST'!$1:$1,0)),AP70,INDEX('Stock UST'!70:70,1,MATCH(Stock!AQ$1,'Stock UST'!$1:$1,0)))=0,"",IF(ISERROR(MATCH(Stock!AQ$1,'Stock UST'!$1:$1,0)),AP70,INDEX('Stock UST'!70:70,1,MATCH(Stock!AQ$1,'Stock UST'!$1:$1,0))))</f>
        <v/>
      </c>
      <c r="AR70" s="9" t="str">
        <f ca="1">IF(IF(ISERROR(MATCH(Stock!AR$1,'Stock UST'!$1:$1,0)),AQ70,INDEX('Stock UST'!70:70,1,MATCH(Stock!AR$1,'Stock UST'!$1:$1,0)))=0,"",IF(ISERROR(MATCH(Stock!AR$1,'Stock UST'!$1:$1,0)),AQ70,INDEX('Stock UST'!70:70,1,MATCH(Stock!AR$1,'Stock UST'!$1:$1,0))))</f>
        <v/>
      </c>
      <c r="AS70" s="9" t="str">
        <f ca="1">IF(IF(ISERROR(MATCH(Stock!AS$1,'Stock UST'!$1:$1,0)),AR70,INDEX('Stock UST'!70:70,1,MATCH(Stock!AS$1,'Stock UST'!$1:$1,0)))=0,"",IF(ISERROR(MATCH(Stock!AS$1,'Stock UST'!$1:$1,0)),AR70,INDEX('Stock UST'!70:70,1,MATCH(Stock!AS$1,'Stock UST'!$1:$1,0))))</f>
        <v/>
      </c>
      <c r="AT70" s="9" t="str">
        <f ca="1">IF(IF(ISERROR(MATCH(Stock!AT$1,'Stock UST'!$1:$1,0)),AS70,INDEX('Stock UST'!70:70,1,MATCH(Stock!AT$1,'Stock UST'!$1:$1,0)))=0,"",IF(ISERROR(MATCH(Stock!AT$1,'Stock UST'!$1:$1,0)),AS70,INDEX('Stock UST'!70:70,1,MATCH(Stock!AT$1,'Stock UST'!$1:$1,0))))</f>
        <v/>
      </c>
      <c r="AU70" s="9" t="str">
        <f ca="1">IF(IF(ISERROR(MATCH(Stock!AU$1,'Stock UST'!$1:$1,0)),AT70,INDEX('Stock UST'!70:70,1,MATCH(Stock!AU$1,'Stock UST'!$1:$1,0)))=0,"",IF(ISERROR(MATCH(Stock!AU$1,'Stock UST'!$1:$1,0)),AT70,INDEX('Stock UST'!70:70,1,MATCH(Stock!AU$1,'Stock UST'!$1:$1,0))))</f>
        <v/>
      </c>
      <c r="AV70" s="9" t="str">
        <f ca="1">IF(IF(ISERROR(MATCH(Stock!AV$1,'Stock UST'!$1:$1,0)),AU70,INDEX('Stock UST'!70:70,1,MATCH(Stock!AV$1,'Stock UST'!$1:$1,0)))=0,"",IF(ISERROR(MATCH(Stock!AV$1,'Stock UST'!$1:$1,0)),AU70,INDEX('Stock UST'!70:70,1,MATCH(Stock!AV$1,'Stock UST'!$1:$1,0))))</f>
        <v/>
      </c>
      <c r="AW70" s="9" t="str">
        <f ca="1">IF(IF(ISERROR(MATCH(Stock!AW$1,'Stock UST'!$1:$1,0)),AV70,INDEX('Stock UST'!70:70,1,MATCH(Stock!AW$1,'Stock UST'!$1:$1,0)))=0,"",IF(ISERROR(MATCH(Stock!AW$1,'Stock UST'!$1:$1,0)),AV70,INDEX('Stock UST'!70:70,1,MATCH(Stock!AW$1,'Stock UST'!$1:$1,0))))</f>
        <v/>
      </c>
      <c r="AX70" s="9" t="str">
        <f ca="1">IF(IF(ISERROR(MATCH(Stock!AX$1,'Stock UST'!$1:$1,0)),AW70,INDEX('Stock UST'!70:70,1,MATCH(Stock!AX$1,'Stock UST'!$1:$1,0)))=0,"",IF(ISERROR(MATCH(Stock!AX$1,'Stock UST'!$1:$1,0)),AW70,INDEX('Stock UST'!70:70,1,MATCH(Stock!AX$1,'Stock UST'!$1:$1,0))))</f>
        <v/>
      </c>
    </row>
    <row r="71" spans="1:50" x14ac:dyDescent="0.3">
      <c r="A71" s="9" t="str">
        <f>IF('Stock UST'!E71="","",'Stock UST'!E71)</f>
        <v/>
      </c>
      <c r="B71" s="9" t="str">
        <f>IF(IF(ISERROR(MATCH(Stock!B$1,'Stock UST'!$1:$1,0)),A71,INDEX('Stock UST'!71:71,1,MATCH(Stock!B$1,'Stock UST'!$1:$1,0)))=0,"",IF(ISERROR(MATCH(Stock!B$1,'Stock UST'!$1:$1,0)),A71,INDEX('Stock UST'!71:71,1,MATCH(Stock!B$1,'Stock UST'!$1:$1,0))))</f>
        <v/>
      </c>
      <c r="C71" s="9" t="str">
        <f ca="1">IF(IF(ISERROR(MATCH(Stock!C$1,'Stock UST'!$1:$1,0)),B71,INDEX('Stock UST'!71:71,1,MATCH(Stock!C$1,'Stock UST'!$1:$1,0)))=0,"",IF(ISERROR(MATCH(Stock!C$1,'Stock UST'!$1:$1,0)),B71,INDEX('Stock UST'!71:71,1,MATCH(Stock!C$1,'Stock UST'!$1:$1,0))))</f>
        <v/>
      </c>
      <c r="D71" s="9" t="str">
        <f ca="1">IF(IF(ISERROR(MATCH(Stock!D$1,'Stock UST'!$1:$1,0)),C71,INDEX('Stock UST'!71:71,1,MATCH(Stock!D$1,'Stock UST'!$1:$1,0)))=0,"",IF(ISERROR(MATCH(Stock!D$1,'Stock UST'!$1:$1,0)),C71,INDEX('Stock UST'!71:71,1,MATCH(Stock!D$1,'Stock UST'!$1:$1,0))))</f>
        <v/>
      </c>
      <c r="E71" s="9" t="str">
        <f ca="1">IF(IF(ISERROR(MATCH(Stock!E$1,'Stock UST'!$1:$1,0)),D71,INDEX('Stock UST'!71:71,1,MATCH(Stock!E$1,'Stock UST'!$1:$1,0)))=0,"",IF(ISERROR(MATCH(Stock!E$1,'Stock UST'!$1:$1,0)),D71,INDEX('Stock UST'!71:71,1,MATCH(Stock!E$1,'Stock UST'!$1:$1,0))))</f>
        <v/>
      </c>
      <c r="F71" s="9" t="str">
        <f ca="1">IF(IF(ISERROR(MATCH(Stock!F$1,'Stock UST'!$1:$1,0)),E71,INDEX('Stock UST'!71:71,1,MATCH(Stock!F$1,'Stock UST'!$1:$1,0)))=0,"",IF(ISERROR(MATCH(Stock!F$1,'Stock UST'!$1:$1,0)),E71,INDEX('Stock UST'!71:71,1,MATCH(Stock!F$1,'Stock UST'!$1:$1,0))))</f>
        <v/>
      </c>
      <c r="G71" s="9" t="str">
        <f ca="1">IF(IF(ISERROR(MATCH(Stock!G$1,'Stock UST'!$1:$1,0)),F71,INDEX('Stock UST'!71:71,1,MATCH(Stock!G$1,'Stock UST'!$1:$1,0)))=0,"",IF(ISERROR(MATCH(Stock!G$1,'Stock UST'!$1:$1,0)),F71,INDEX('Stock UST'!71:71,1,MATCH(Stock!G$1,'Stock UST'!$1:$1,0))))</f>
        <v/>
      </c>
      <c r="H71" s="9" t="str">
        <f ca="1">IF(IF(ISERROR(MATCH(Stock!H$1,'Stock UST'!$1:$1,0)),G71,INDEX('Stock UST'!71:71,1,MATCH(Stock!H$1,'Stock UST'!$1:$1,0)))=0,"",IF(ISERROR(MATCH(Stock!H$1,'Stock UST'!$1:$1,0)),G71,INDEX('Stock UST'!71:71,1,MATCH(Stock!H$1,'Stock UST'!$1:$1,0))))</f>
        <v/>
      </c>
      <c r="I71" s="9" t="str">
        <f ca="1">IF(IF(ISERROR(MATCH(Stock!I$1,'Stock UST'!$1:$1,0)),H71,INDEX('Stock UST'!71:71,1,MATCH(Stock!I$1,'Stock UST'!$1:$1,0)))=0,"",IF(ISERROR(MATCH(Stock!I$1,'Stock UST'!$1:$1,0)),H71,INDEX('Stock UST'!71:71,1,MATCH(Stock!I$1,'Stock UST'!$1:$1,0))))</f>
        <v/>
      </c>
      <c r="J71" s="9" t="str">
        <f ca="1">IF(IF(ISERROR(MATCH(Stock!J$1,'Stock UST'!$1:$1,0)),I71,INDEX('Stock UST'!71:71,1,MATCH(Stock!J$1,'Stock UST'!$1:$1,0)))=0,"",IF(ISERROR(MATCH(Stock!J$1,'Stock UST'!$1:$1,0)),I71,INDEX('Stock UST'!71:71,1,MATCH(Stock!J$1,'Stock UST'!$1:$1,0))))</f>
        <v/>
      </c>
      <c r="K71" s="9" t="str">
        <f ca="1">IF(IF(ISERROR(MATCH(Stock!K$1,'Stock UST'!$1:$1,0)),J71,INDEX('Stock UST'!71:71,1,MATCH(Stock!K$1,'Stock UST'!$1:$1,0)))=0,"",IF(ISERROR(MATCH(Stock!K$1,'Stock UST'!$1:$1,0)),J71,INDEX('Stock UST'!71:71,1,MATCH(Stock!K$1,'Stock UST'!$1:$1,0))))</f>
        <v/>
      </c>
      <c r="L71" s="9" t="str">
        <f ca="1">IF(IF(ISERROR(MATCH(Stock!L$1,'Stock UST'!$1:$1,0)),K71,INDEX('Stock UST'!71:71,1,MATCH(Stock!L$1,'Stock UST'!$1:$1,0)))=0,"",IF(ISERROR(MATCH(Stock!L$1,'Stock UST'!$1:$1,0)),K71,INDEX('Stock UST'!71:71,1,MATCH(Stock!L$1,'Stock UST'!$1:$1,0))))</f>
        <v/>
      </c>
      <c r="M71" s="9" t="str">
        <f ca="1">IF(IF(ISERROR(MATCH(Stock!M$1,'Stock UST'!$1:$1,0)),L71,INDEX('Stock UST'!71:71,1,MATCH(Stock!M$1,'Stock UST'!$1:$1,0)))=0,"",IF(ISERROR(MATCH(Stock!M$1,'Stock UST'!$1:$1,0)),L71,INDEX('Stock UST'!71:71,1,MATCH(Stock!M$1,'Stock UST'!$1:$1,0))))</f>
        <v/>
      </c>
      <c r="N71" s="9" t="str">
        <f ca="1">IF(IF(ISERROR(MATCH(Stock!N$1,'Stock UST'!$1:$1,0)),M71,INDEX('Stock UST'!71:71,1,MATCH(Stock!N$1,'Stock UST'!$1:$1,0)))=0,"",IF(ISERROR(MATCH(Stock!N$1,'Stock UST'!$1:$1,0)),M71,INDEX('Stock UST'!71:71,1,MATCH(Stock!N$1,'Stock UST'!$1:$1,0))))</f>
        <v/>
      </c>
      <c r="O71" s="9" t="str">
        <f ca="1">IF(IF(ISERROR(MATCH(Stock!O$1,'Stock UST'!$1:$1,0)),N71,INDEX('Stock UST'!71:71,1,MATCH(Stock!O$1,'Stock UST'!$1:$1,0)))=0,"",IF(ISERROR(MATCH(Stock!O$1,'Stock UST'!$1:$1,0)),N71,INDEX('Stock UST'!71:71,1,MATCH(Stock!O$1,'Stock UST'!$1:$1,0))))</f>
        <v/>
      </c>
      <c r="P71" s="9" t="str">
        <f ca="1">IF(IF(ISERROR(MATCH(Stock!P$1,'Stock UST'!$1:$1,0)),O71,INDEX('Stock UST'!71:71,1,MATCH(Stock!P$1,'Stock UST'!$1:$1,0)))=0,"",IF(ISERROR(MATCH(Stock!P$1,'Stock UST'!$1:$1,0)),O71,INDEX('Stock UST'!71:71,1,MATCH(Stock!P$1,'Stock UST'!$1:$1,0))))</f>
        <v/>
      </c>
      <c r="Q71" s="9" t="str">
        <f ca="1">IF(IF(ISERROR(MATCH(Stock!Q$1,'Stock UST'!$1:$1,0)),P71,INDEX('Stock UST'!71:71,1,MATCH(Stock!Q$1,'Stock UST'!$1:$1,0)))=0,"",IF(ISERROR(MATCH(Stock!Q$1,'Stock UST'!$1:$1,0)),P71,INDEX('Stock UST'!71:71,1,MATCH(Stock!Q$1,'Stock UST'!$1:$1,0))))</f>
        <v/>
      </c>
      <c r="R71" s="9" t="str">
        <f ca="1">IF(IF(ISERROR(MATCH(Stock!R$1,'Stock UST'!$1:$1,0)),Q71,INDEX('Stock UST'!71:71,1,MATCH(Stock!R$1,'Stock UST'!$1:$1,0)))=0,"",IF(ISERROR(MATCH(Stock!R$1,'Stock UST'!$1:$1,0)),Q71,INDEX('Stock UST'!71:71,1,MATCH(Stock!R$1,'Stock UST'!$1:$1,0))))</f>
        <v/>
      </c>
      <c r="S71" s="9" t="str">
        <f ca="1">IF(IF(ISERROR(MATCH(Stock!S$1,'Stock UST'!$1:$1,0)),R71,INDEX('Stock UST'!71:71,1,MATCH(Stock!S$1,'Stock UST'!$1:$1,0)))=0,"",IF(ISERROR(MATCH(Stock!S$1,'Stock UST'!$1:$1,0)),R71,INDEX('Stock UST'!71:71,1,MATCH(Stock!S$1,'Stock UST'!$1:$1,0))))</f>
        <v/>
      </c>
      <c r="T71" s="9" t="str">
        <f ca="1">IF(IF(ISERROR(MATCH(Stock!T$1,'Stock UST'!$1:$1,0)),S71,INDEX('Stock UST'!71:71,1,MATCH(Stock!T$1,'Stock UST'!$1:$1,0)))=0,"",IF(ISERROR(MATCH(Stock!T$1,'Stock UST'!$1:$1,0)),S71,INDEX('Stock UST'!71:71,1,MATCH(Stock!T$1,'Stock UST'!$1:$1,0))))</f>
        <v/>
      </c>
      <c r="U71" s="9" t="str">
        <f ca="1">IF(IF(ISERROR(MATCH(Stock!U$1,'Stock UST'!$1:$1,0)),T71,INDEX('Stock UST'!71:71,1,MATCH(Stock!U$1,'Stock UST'!$1:$1,0)))=0,"",IF(ISERROR(MATCH(Stock!U$1,'Stock UST'!$1:$1,0)),T71,INDEX('Stock UST'!71:71,1,MATCH(Stock!U$1,'Stock UST'!$1:$1,0))))</f>
        <v/>
      </c>
      <c r="V71" s="9" t="str">
        <f ca="1">IF(IF(ISERROR(MATCH(Stock!V$1,'Stock UST'!$1:$1,0)),U71,INDEX('Stock UST'!71:71,1,MATCH(Stock!V$1,'Stock UST'!$1:$1,0)))=0,"",IF(ISERROR(MATCH(Stock!V$1,'Stock UST'!$1:$1,0)),U71,INDEX('Stock UST'!71:71,1,MATCH(Stock!V$1,'Stock UST'!$1:$1,0))))</f>
        <v/>
      </c>
      <c r="W71" s="9" t="str">
        <f ca="1">IF(IF(ISERROR(MATCH(Stock!W$1,'Stock UST'!$1:$1,0)),V71,INDEX('Stock UST'!71:71,1,MATCH(Stock!W$1,'Stock UST'!$1:$1,0)))=0,"",IF(ISERROR(MATCH(Stock!W$1,'Stock UST'!$1:$1,0)),V71,INDEX('Stock UST'!71:71,1,MATCH(Stock!W$1,'Stock UST'!$1:$1,0))))</f>
        <v/>
      </c>
      <c r="X71" s="9" t="str">
        <f ca="1">IF(IF(ISERROR(MATCH(Stock!X$1,'Stock UST'!$1:$1,0)),W71,INDEX('Stock UST'!71:71,1,MATCH(Stock!X$1,'Stock UST'!$1:$1,0)))=0,"",IF(ISERROR(MATCH(Stock!X$1,'Stock UST'!$1:$1,0)),W71,INDEX('Stock UST'!71:71,1,MATCH(Stock!X$1,'Stock UST'!$1:$1,0))))</f>
        <v/>
      </c>
      <c r="Y71" s="9" t="str">
        <f ca="1">IF(IF(ISERROR(MATCH(Stock!Y$1,'Stock UST'!$1:$1,0)),X71,INDEX('Stock UST'!71:71,1,MATCH(Stock!Y$1,'Stock UST'!$1:$1,0)))=0,"",IF(ISERROR(MATCH(Stock!Y$1,'Stock UST'!$1:$1,0)),X71,INDEX('Stock UST'!71:71,1,MATCH(Stock!Y$1,'Stock UST'!$1:$1,0))))</f>
        <v/>
      </c>
      <c r="Z71" s="9" t="str">
        <f ca="1">IF(IF(ISERROR(MATCH(Stock!Z$1,'Stock UST'!$1:$1,0)),Y71,INDEX('Stock UST'!71:71,1,MATCH(Stock!Z$1,'Stock UST'!$1:$1,0)))=0,"",IF(ISERROR(MATCH(Stock!Z$1,'Stock UST'!$1:$1,0)),Y71,INDEX('Stock UST'!71:71,1,MATCH(Stock!Z$1,'Stock UST'!$1:$1,0))))</f>
        <v/>
      </c>
      <c r="AA71" s="9" t="str">
        <f ca="1">IF(IF(ISERROR(MATCH(Stock!AA$1,'Stock UST'!$1:$1,0)),Z71,INDEX('Stock UST'!71:71,1,MATCH(Stock!AA$1,'Stock UST'!$1:$1,0)))=0,"",IF(ISERROR(MATCH(Stock!AA$1,'Stock UST'!$1:$1,0)),Z71,INDEX('Stock UST'!71:71,1,MATCH(Stock!AA$1,'Stock UST'!$1:$1,0))))</f>
        <v/>
      </c>
      <c r="AB71" s="9" t="str">
        <f ca="1">IF(IF(ISERROR(MATCH(Stock!AB$1,'Stock UST'!$1:$1,0)),AA71,INDEX('Stock UST'!71:71,1,MATCH(Stock!AB$1,'Stock UST'!$1:$1,0)))=0,"",IF(ISERROR(MATCH(Stock!AB$1,'Stock UST'!$1:$1,0)),AA71,INDEX('Stock UST'!71:71,1,MATCH(Stock!AB$1,'Stock UST'!$1:$1,0))))</f>
        <v/>
      </c>
      <c r="AC71" s="9" t="str">
        <f ca="1">IF(IF(ISERROR(MATCH(Stock!AC$1,'Stock UST'!$1:$1,0)),AB71,INDEX('Stock UST'!71:71,1,MATCH(Stock!AC$1,'Stock UST'!$1:$1,0)))=0,"",IF(ISERROR(MATCH(Stock!AC$1,'Stock UST'!$1:$1,0)),AB71,INDEX('Stock UST'!71:71,1,MATCH(Stock!AC$1,'Stock UST'!$1:$1,0))))</f>
        <v/>
      </c>
      <c r="AD71" s="9" t="str">
        <f ca="1">IF(IF(ISERROR(MATCH(Stock!AD$1,'Stock UST'!$1:$1,0)),AC71,INDEX('Stock UST'!71:71,1,MATCH(Stock!AD$1,'Stock UST'!$1:$1,0)))=0,"",IF(ISERROR(MATCH(Stock!AD$1,'Stock UST'!$1:$1,0)),AC71,INDEX('Stock UST'!71:71,1,MATCH(Stock!AD$1,'Stock UST'!$1:$1,0))))</f>
        <v/>
      </c>
      <c r="AE71" s="9" t="str">
        <f ca="1">IF(IF(ISERROR(MATCH(Stock!AE$1,'Stock UST'!$1:$1,0)),AD71,INDEX('Stock UST'!71:71,1,MATCH(Stock!AE$1,'Stock UST'!$1:$1,0)))=0,"",IF(ISERROR(MATCH(Stock!AE$1,'Stock UST'!$1:$1,0)),AD71,INDEX('Stock UST'!71:71,1,MATCH(Stock!AE$1,'Stock UST'!$1:$1,0))))</f>
        <v/>
      </c>
      <c r="AF71" s="9" t="str">
        <f ca="1">IF(IF(ISERROR(MATCH(Stock!AF$1,'Stock UST'!$1:$1,0)),AE71,INDEX('Stock UST'!71:71,1,MATCH(Stock!AF$1,'Stock UST'!$1:$1,0)))=0,"",IF(ISERROR(MATCH(Stock!AF$1,'Stock UST'!$1:$1,0)),AE71,INDEX('Stock UST'!71:71,1,MATCH(Stock!AF$1,'Stock UST'!$1:$1,0))))</f>
        <v/>
      </c>
      <c r="AG71" s="9" t="str">
        <f ca="1">IF(IF(ISERROR(MATCH(Stock!AG$1,'Stock UST'!$1:$1,0)),AF71,INDEX('Stock UST'!71:71,1,MATCH(Stock!AG$1,'Stock UST'!$1:$1,0)))=0,"",IF(ISERROR(MATCH(Stock!AG$1,'Stock UST'!$1:$1,0)),AF71,INDEX('Stock UST'!71:71,1,MATCH(Stock!AG$1,'Stock UST'!$1:$1,0))))</f>
        <v/>
      </c>
      <c r="AH71" s="9" t="str">
        <f ca="1">IF(IF(ISERROR(MATCH(Stock!AH$1,'Stock UST'!$1:$1,0)),AG71,INDEX('Stock UST'!71:71,1,MATCH(Stock!AH$1,'Stock UST'!$1:$1,0)))=0,"",IF(ISERROR(MATCH(Stock!AH$1,'Stock UST'!$1:$1,0)),AG71,INDEX('Stock UST'!71:71,1,MATCH(Stock!AH$1,'Stock UST'!$1:$1,0))))</f>
        <v/>
      </c>
      <c r="AI71" s="9" t="str">
        <f ca="1">IF(IF(ISERROR(MATCH(Stock!AI$1,'Stock UST'!$1:$1,0)),AH71,INDEX('Stock UST'!71:71,1,MATCH(Stock!AI$1,'Stock UST'!$1:$1,0)))=0,"",IF(ISERROR(MATCH(Stock!AI$1,'Stock UST'!$1:$1,0)),AH71,INDEX('Stock UST'!71:71,1,MATCH(Stock!AI$1,'Stock UST'!$1:$1,0))))</f>
        <v/>
      </c>
      <c r="AJ71" s="9" t="str">
        <f ca="1">IF(IF(ISERROR(MATCH(Stock!AJ$1,'Stock UST'!$1:$1,0)),AI71,INDEX('Stock UST'!71:71,1,MATCH(Stock!AJ$1,'Stock UST'!$1:$1,0)))=0,"",IF(ISERROR(MATCH(Stock!AJ$1,'Stock UST'!$1:$1,0)),AI71,INDEX('Stock UST'!71:71,1,MATCH(Stock!AJ$1,'Stock UST'!$1:$1,0))))</f>
        <v/>
      </c>
      <c r="AK71" s="9" t="str">
        <f ca="1">IF(IF(ISERROR(MATCH(Stock!AK$1,'Stock UST'!$1:$1,0)),AJ71,INDEX('Stock UST'!71:71,1,MATCH(Stock!AK$1,'Stock UST'!$1:$1,0)))=0,"",IF(ISERROR(MATCH(Stock!AK$1,'Stock UST'!$1:$1,0)),AJ71,INDEX('Stock UST'!71:71,1,MATCH(Stock!AK$1,'Stock UST'!$1:$1,0))))</f>
        <v/>
      </c>
      <c r="AL71" s="9" t="str">
        <f ca="1">IF(IF(ISERROR(MATCH(Stock!AL$1,'Stock UST'!$1:$1,0)),AK71,INDEX('Stock UST'!71:71,1,MATCH(Stock!AL$1,'Stock UST'!$1:$1,0)))=0,"",IF(ISERROR(MATCH(Stock!AL$1,'Stock UST'!$1:$1,0)),AK71,INDEX('Stock UST'!71:71,1,MATCH(Stock!AL$1,'Stock UST'!$1:$1,0))))</f>
        <v/>
      </c>
      <c r="AM71" s="9" t="str">
        <f ca="1">IF(IF(ISERROR(MATCH(Stock!AM$1,'Stock UST'!$1:$1,0)),AL71,INDEX('Stock UST'!71:71,1,MATCH(Stock!AM$1,'Stock UST'!$1:$1,0)))=0,"",IF(ISERROR(MATCH(Stock!AM$1,'Stock UST'!$1:$1,0)),AL71,INDEX('Stock UST'!71:71,1,MATCH(Stock!AM$1,'Stock UST'!$1:$1,0))))</f>
        <v/>
      </c>
      <c r="AN71" s="9" t="str">
        <f ca="1">IF(IF(ISERROR(MATCH(Stock!AN$1,'Stock UST'!$1:$1,0)),AM71,INDEX('Stock UST'!71:71,1,MATCH(Stock!AN$1,'Stock UST'!$1:$1,0)))=0,"",IF(ISERROR(MATCH(Stock!AN$1,'Stock UST'!$1:$1,0)),AM71,INDEX('Stock UST'!71:71,1,MATCH(Stock!AN$1,'Stock UST'!$1:$1,0))))</f>
        <v/>
      </c>
      <c r="AO71" s="9" t="str">
        <f ca="1">IF(IF(ISERROR(MATCH(Stock!AO$1,'Stock UST'!$1:$1,0)),AN71,INDEX('Stock UST'!71:71,1,MATCH(Stock!AO$1,'Stock UST'!$1:$1,0)))=0,"",IF(ISERROR(MATCH(Stock!AO$1,'Stock UST'!$1:$1,0)),AN71,INDEX('Stock UST'!71:71,1,MATCH(Stock!AO$1,'Stock UST'!$1:$1,0))))</f>
        <v/>
      </c>
      <c r="AP71" s="9" t="str">
        <f ca="1">IF(IF(ISERROR(MATCH(Stock!AP$1,'Stock UST'!$1:$1,0)),AO71,INDEX('Stock UST'!71:71,1,MATCH(Stock!AP$1,'Stock UST'!$1:$1,0)))=0,"",IF(ISERROR(MATCH(Stock!AP$1,'Stock UST'!$1:$1,0)),AO71,INDEX('Stock UST'!71:71,1,MATCH(Stock!AP$1,'Stock UST'!$1:$1,0))))</f>
        <v/>
      </c>
      <c r="AQ71" s="9" t="str">
        <f ca="1">IF(IF(ISERROR(MATCH(Stock!AQ$1,'Stock UST'!$1:$1,0)),AP71,INDEX('Stock UST'!71:71,1,MATCH(Stock!AQ$1,'Stock UST'!$1:$1,0)))=0,"",IF(ISERROR(MATCH(Stock!AQ$1,'Stock UST'!$1:$1,0)),AP71,INDEX('Stock UST'!71:71,1,MATCH(Stock!AQ$1,'Stock UST'!$1:$1,0))))</f>
        <v/>
      </c>
      <c r="AR71" s="9" t="str">
        <f ca="1">IF(IF(ISERROR(MATCH(Stock!AR$1,'Stock UST'!$1:$1,0)),AQ71,INDEX('Stock UST'!71:71,1,MATCH(Stock!AR$1,'Stock UST'!$1:$1,0)))=0,"",IF(ISERROR(MATCH(Stock!AR$1,'Stock UST'!$1:$1,0)),AQ71,INDEX('Stock UST'!71:71,1,MATCH(Stock!AR$1,'Stock UST'!$1:$1,0))))</f>
        <v/>
      </c>
      <c r="AS71" s="9" t="str">
        <f ca="1">IF(IF(ISERROR(MATCH(Stock!AS$1,'Stock UST'!$1:$1,0)),AR71,INDEX('Stock UST'!71:71,1,MATCH(Stock!AS$1,'Stock UST'!$1:$1,0)))=0,"",IF(ISERROR(MATCH(Stock!AS$1,'Stock UST'!$1:$1,0)),AR71,INDEX('Stock UST'!71:71,1,MATCH(Stock!AS$1,'Stock UST'!$1:$1,0))))</f>
        <v/>
      </c>
      <c r="AT71" s="9" t="str">
        <f ca="1">IF(IF(ISERROR(MATCH(Stock!AT$1,'Stock UST'!$1:$1,0)),AS71,INDEX('Stock UST'!71:71,1,MATCH(Stock!AT$1,'Stock UST'!$1:$1,0)))=0,"",IF(ISERROR(MATCH(Stock!AT$1,'Stock UST'!$1:$1,0)),AS71,INDEX('Stock UST'!71:71,1,MATCH(Stock!AT$1,'Stock UST'!$1:$1,0))))</f>
        <v/>
      </c>
      <c r="AU71" s="9" t="str">
        <f ca="1">IF(IF(ISERROR(MATCH(Stock!AU$1,'Stock UST'!$1:$1,0)),AT71,INDEX('Stock UST'!71:71,1,MATCH(Stock!AU$1,'Stock UST'!$1:$1,0)))=0,"",IF(ISERROR(MATCH(Stock!AU$1,'Stock UST'!$1:$1,0)),AT71,INDEX('Stock UST'!71:71,1,MATCH(Stock!AU$1,'Stock UST'!$1:$1,0))))</f>
        <v/>
      </c>
      <c r="AV71" s="9" t="str">
        <f ca="1">IF(IF(ISERROR(MATCH(Stock!AV$1,'Stock UST'!$1:$1,0)),AU71,INDEX('Stock UST'!71:71,1,MATCH(Stock!AV$1,'Stock UST'!$1:$1,0)))=0,"",IF(ISERROR(MATCH(Stock!AV$1,'Stock UST'!$1:$1,0)),AU71,INDEX('Stock UST'!71:71,1,MATCH(Stock!AV$1,'Stock UST'!$1:$1,0))))</f>
        <v/>
      </c>
      <c r="AW71" s="9" t="str">
        <f ca="1">IF(IF(ISERROR(MATCH(Stock!AW$1,'Stock UST'!$1:$1,0)),AV71,INDEX('Stock UST'!71:71,1,MATCH(Stock!AW$1,'Stock UST'!$1:$1,0)))=0,"",IF(ISERROR(MATCH(Stock!AW$1,'Stock UST'!$1:$1,0)),AV71,INDEX('Stock UST'!71:71,1,MATCH(Stock!AW$1,'Stock UST'!$1:$1,0))))</f>
        <v/>
      </c>
      <c r="AX71" s="9" t="str">
        <f ca="1">IF(IF(ISERROR(MATCH(Stock!AX$1,'Stock UST'!$1:$1,0)),AW71,INDEX('Stock UST'!71:71,1,MATCH(Stock!AX$1,'Stock UST'!$1:$1,0)))=0,"",IF(ISERROR(MATCH(Stock!AX$1,'Stock UST'!$1:$1,0)),AW71,INDEX('Stock UST'!71:71,1,MATCH(Stock!AX$1,'Stock UST'!$1:$1,0))))</f>
        <v/>
      </c>
    </row>
    <row r="72" spans="1:50" x14ac:dyDescent="0.3">
      <c r="A72" s="9" t="str">
        <f>IF('Stock UST'!E72="","",'Stock UST'!E72)</f>
        <v/>
      </c>
      <c r="B72" s="9" t="str">
        <f>IF(IF(ISERROR(MATCH(Stock!B$1,'Stock UST'!$1:$1,0)),A72,INDEX('Stock UST'!72:72,1,MATCH(Stock!B$1,'Stock UST'!$1:$1,0)))=0,"",IF(ISERROR(MATCH(Stock!B$1,'Stock UST'!$1:$1,0)),A72,INDEX('Stock UST'!72:72,1,MATCH(Stock!B$1,'Stock UST'!$1:$1,0))))</f>
        <v/>
      </c>
      <c r="C72" s="9" t="str">
        <f ca="1">IF(IF(ISERROR(MATCH(Stock!C$1,'Stock UST'!$1:$1,0)),B72,INDEX('Stock UST'!72:72,1,MATCH(Stock!C$1,'Stock UST'!$1:$1,0)))=0,"",IF(ISERROR(MATCH(Stock!C$1,'Stock UST'!$1:$1,0)),B72,INDEX('Stock UST'!72:72,1,MATCH(Stock!C$1,'Stock UST'!$1:$1,0))))</f>
        <v/>
      </c>
      <c r="D72" s="9" t="str">
        <f ca="1">IF(IF(ISERROR(MATCH(Stock!D$1,'Stock UST'!$1:$1,0)),C72,INDEX('Stock UST'!72:72,1,MATCH(Stock!D$1,'Stock UST'!$1:$1,0)))=0,"",IF(ISERROR(MATCH(Stock!D$1,'Stock UST'!$1:$1,0)),C72,INDEX('Stock UST'!72:72,1,MATCH(Stock!D$1,'Stock UST'!$1:$1,0))))</f>
        <v/>
      </c>
      <c r="E72" s="9" t="str">
        <f ca="1">IF(IF(ISERROR(MATCH(Stock!E$1,'Stock UST'!$1:$1,0)),D72,INDEX('Stock UST'!72:72,1,MATCH(Stock!E$1,'Stock UST'!$1:$1,0)))=0,"",IF(ISERROR(MATCH(Stock!E$1,'Stock UST'!$1:$1,0)),D72,INDEX('Stock UST'!72:72,1,MATCH(Stock!E$1,'Stock UST'!$1:$1,0))))</f>
        <v/>
      </c>
      <c r="F72" s="9" t="str">
        <f ca="1">IF(IF(ISERROR(MATCH(Stock!F$1,'Stock UST'!$1:$1,0)),E72,INDEX('Stock UST'!72:72,1,MATCH(Stock!F$1,'Stock UST'!$1:$1,0)))=0,"",IF(ISERROR(MATCH(Stock!F$1,'Stock UST'!$1:$1,0)),E72,INDEX('Stock UST'!72:72,1,MATCH(Stock!F$1,'Stock UST'!$1:$1,0))))</f>
        <v/>
      </c>
      <c r="G72" s="9" t="str">
        <f ca="1">IF(IF(ISERROR(MATCH(Stock!G$1,'Stock UST'!$1:$1,0)),F72,INDEX('Stock UST'!72:72,1,MATCH(Stock!G$1,'Stock UST'!$1:$1,0)))=0,"",IF(ISERROR(MATCH(Stock!G$1,'Stock UST'!$1:$1,0)),F72,INDEX('Stock UST'!72:72,1,MATCH(Stock!G$1,'Stock UST'!$1:$1,0))))</f>
        <v/>
      </c>
      <c r="H72" s="9" t="str">
        <f ca="1">IF(IF(ISERROR(MATCH(Stock!H$1,'Stock UST'!$1:$1,0)),G72,INDEX('Stock UST'!72:72,1,MATCH(Stock!H$1,'Stock UST'!$1:$1,0)))=0,"",IF(ISERROR(MATCH(Stock!H$1,'Stock UST'!$1:$1,0)),G72,INDEX('Stock UST'!72:72,1,MATCH(Stock!H$1,'Stock UST'!$1:$1,0))))</f>
        <v/>
      </c>
      <c r="I72" s="9" t="str">
        <f ca="1">IF(IF(ISERROR(MATCH(Stock!I$1,'Stock UST'!$1:$1,0)),H72,INDEX('Stock UST'!72:72,1,MATCH(Stock!I$1,'Stock UST'!$1:$1,0)))=0,"",IF(ISERROR(MATCH(Stock!I$1,'Stock UST'!$1:$1,0)),H72,INDEX('Stock UST'!72:72,1,MATCH(Stock!I$1,'Stock UST'!$1:$1,0))))</f>
        <v/>
      </c>
      <c r="J72" s="9" t="str">
        <f ca="1">IF(IF(ISERROR(MATCH(Stock!J$1,'Stock UST'!$1:$1,0)),I72,INDEX('Stock UST'!72:72,1,MATCH(Stock!J$1,'Stock UST'!$1:$1,0)))=0,"",IF(ISERROR(MATCH(Stock!J$1,'Stock UST'!$1:$1,0)),I72,INDEX('Stock UST'!72:72,1,MATCH(Stock!J$1,'Stock UST'!$1:$1,0))))</f>
        <v/>
      </c>
      <c r="K72" s="9" t="str">
        <f ca="1">IF(IF(ISERROR(MATCH(Stock!K$1,'Stock UST'!$1:$1,0)),J72,INDEX('Stock UST'!72:72,1,MATCH(Stock!K$1,'Stock UST'!$1:$1,0)))=0,"",IF(ISERROR(MATCH(Stock!K$1,'Stock UST'!$1:$1,0)),J72,INDEX('Stock UST'!72:72,1,MATCH(Stock!K$1,'Stock UST'!$1:$1,0))))</f>
        <v/>
      </c>
      <c r="L72" s="9" t="str">
        <f ca="1">IF(IF(ISERROR(MATCH(Stock!L$1,'Stock UST'!$1:$1,0)),K72,INDEX('Stock UST'!72:72,1,MATCH(Stock!L$1,'Stock UST'!$1:$1,0)))=0,"",IF(ISERROR(MATCH(Stock!L$1,'Stock UST'!$1:$1,0)),K72,INDEX('Stock UST'!72:72,1,MATCH(Stock!L$1,'Stock UST'!$1:$1,0))))</f>
        <v/>
      </c>
      <c r="M72" s="9" t="str">
        <f ca="1">IF(IF(ISERROR(MATCH(Stock!M$1,'Stock UST'!$1:$1,0)),L72,INDEX('Stock UST'!72:72,1,MATCH(Stock!M$1,'Stock UST'!$1:$1,0)))=0,"",IF(ISERROR(MATCH(Stock!M$1,'Stock UST'!$1:$1,0)),L72,INDEX('Stock UST'!72:72,1,MATCH(Stock!M$1,'Stock UST'!$1:$1,0))))</f>
        <v/>
      </c>
      <c r="N72" s="9" t="str">
        <f ca="1">IF(IF(ISERROR(MATCH(Stock!N$1,'Stock UST'!$1:$1,0)),M72,INDEX('Stock UST'!72:72,1,MATCH(Stock!N$1,'Stock UST'!$1:$1,0)))=0,"",IF(ISERROR(MATCH(Stock!N$1,'Stock UST'!$1:$1,0)),M72,INDEX('Stock UST'!72:72,1,MATCH(Stock!N$1,'Stock UST'!$1:$1,0))))</f>
        <v/>
      </c>
      <c r="O72" s="9" t="str">
        <f ca="1">IF(IF(ISERROR(MATCH(Stock!O$1,'Stock UST'!$1:$1,0)),N72,INDEX('Stock UST'!72:72,1,MATCH(Stock!O$1,'Stock UST'!$1:$1,0)))=0,"",IF(ISERROR(MATCH(Stock!O$1,'Stock UST'!$1:$1,0)),N72,INDEX('Stock UST'!72:72,1,MATCH(Stock!O$1,'Stock UST'!$1:$1,0))))</f>
        <v/>
      </c>
      <c r="P72" s="9" t="str">
        <f ca="1">IF(IF(ISERROR(MATCH(Stock!P$1,'Stock UST'!$1:$1,0)),O72,INDEX('Stock UST'!72:72,1,MATCH(Stock!P$1,'Stock UST'!$1:$1,0)))=0,"",IF(ISERROR(MATCH(Stock!P$1,'Stock UST'!$1:$1,0)),O72,INDEX('Stock UST'!72:72,1,MATCH(Stock!P$1,'Stock UST'!$1:$1,0))))</f>
        <v/>
      </c>
      <c r="Q72" s="9" t="str">
        <f ca="1">IF(IF(ISERROR(MATCH(Stock!Q$1,'Stock UST'!$1:$1,0)),P72,INDEX('Stock UST'!72:72,1,MATCH(Stock!Q$1,'Stock UST'!$1:$1,0)))=0,"",IF(ISERROR(MATCH(Stock!Q$1,'Stock UST'!$1:$1,0)),P72,INDEX('Stock UST'!72:72,1,MATCH(Stock!Q$1,'Stock UST'!$1:$1,0))))</f>
        <v/>
      </c>
      <c r="R72" s="9" t="str">
        <f ca="1">IF(IF(ISERROR(MATCH(Stock!R$1,'Stock UST'!$1:$1,0)),Q72,INDEX('Stock UST'!72:72,1,MATCH(Stock!R$1,'Stock UST'!$1:$1,0)))=0,"",IF(ISERROR(MATCH(Stock!R$1,'Stock UST'!$1:$1,0)),Q72,INDEX('Stock UST'!72:72,1,MATCH(Stock!R$1,'Stock UST'!$1:$1,0))))</f>
        <v/>
      </c>
      <c r="S72" s="9" t="str">
        <f ca="1">IF(IF(ISERROR(MATCH(Stock!S$1,'Stock UST'!$1:$1,0)),R72,INDEX('Stock UST'!72:72,1,MATCH(Stock!S$1,'Stock UST'!$1:$1,0)))=0,"",IF(ISERROR(MATCH(Stock!S$1,'Stock UST'!$1:$1,0)),R72,INDEX('Stock UST'!72:72,1,MATCH(Stock!S$1,'Stock UST'!$1:$1,0))))</f>
        <v/>
      </c>
      <c r="T72" s="9" t="str">
        <f ca="1">IF(IF(ISERROR(MATCH(Stock!T$1,'Stock UST'!$1:$1,0)),S72,INDEX('Stock UST'!72:72,1,MATCH(Stock!T$1,'Stock UST'!$1:$1,0)))=0,"",IF(ISERROR(MATCH(Stock!T$1,'Stock UST'!$1:$1,0)),S72,INDEX('Stock UST'!72:72,1,MATCH(Stock!T$1,'Stock UST'!$1:$1,0))))</f>
        <v/>
      </c>
      <c r="U72" s="9" t="str">
        <f ca="1">IF(IF(ISERROR(MATCH(Stock!U$1,'Stock UST'!$1:$1,0)),T72,INDEX('Stock UST'!72:72,1,MATCH(Stock!U$1,'Stock UST'!$1:$1,0)))=0,"",IF(ISERROR(MATCH(Stock!U$1,'Stock UST'!$1:$1,0)),T72,INDEX('Stock UST'!72:72,1,MATCH(Stock!U$1,'Stock UST'!$1:$1,0))))</f>
        <v/>
      </c>
      <c r="V72" s="9" t="str">
        <f ca="1">IF(IF(ISERROR(MATCH(Stock!V$1,'Stock UST'!$1:$1,0)),U72,INDEX('Stock UST'!72:72,1,MATCH(Stock!V$1,'Stock UST'!$1:$1,0)))=0,"",IF(ISERROR(MATCH(Stock!V$1,'Stock UST'!$1:$1,0)),U72,INDEX('Stock UST'!72:72,1,MATCH(Stock!V$1,'Stock UST'!$1:$1,0))))</f>
        <v/>
      </c>
      <c r="W72" s="9" t="str">
        <f ca="1">IF(IF(ISERROR(MATCH(Stock!W$1,'Stock UST'!$1:$1,0)),V72,INDEX('Stock UST'!72:72,1,MATCH(Stock!W$1,'Stock UST'!$1:$1,0)))=0,"",IF(ISERROR(MATCH(Stock!W$1,'Stock UST'!$1:$1,0)),V72,INDEX('Stock UST'!72:72,1,MATCH(Stock!W$1,'Stock UST'!$1:$1,0))))</f>
        <v/>
      </c>
      <c r="X72" s="9" t="str">
        <f ca="1">IF(IF(ISERROR(MATCH(Stock!X$1,'Stock UST'!$1:$1,0)),W72,INDEX('Stock UST'!72:72,1,MATCH(Stock!X$1,'Stock UST'!$1:$1,0)))=0,"",IF(ISERROR(MATCH(Stock!X$1,'Stock UST'!$1:$1,0)),W72,INDEX('Stock UST'!72:72,1,MATCH(Stock!X$1,'Stock UST'!$1:$1,0))))</f>
        <v/>
      </c>
      <c r="Y72" s="9" t="str">
        <f ca="1">IF(IF(ISERROR(MATCH(Stock!Y$1,'Stock UST'!$1:$1,0)),X72,INDEX('Stock UST'!72:72,1,MATCH(Stock!Y$1,'Stock UST'!$1:$1,0)))=0,"",IF(ISERROR(MATCH(Stock!Y$1,'Stock UST'!$1:$1,0)),X72,INDEX('Stock UST'!72:72,1,MATCH(Stock!Y$1,'Stock UST'!$1:$1,0))))</f>
        <v/>
      </c>
      <c r="Z72" s="9" t="str">
        <f ca="1">IF(IF(ISERROR(MATCH(Stock!Z$1,'Stock UST'!$1:$1,0)),Y72,INDEX('Stock UST'!72:72,1,MATCH(Stock!Z$1,'Stock UST'!$1:$1,0)))=0,"",IF(ISERROR(MATCH(Stock!Z$1,'Stock UST'!$1:$1,0)),Y72,INDEX('Stock UST'!72:72,1,MATCH(Stock!Z$1,'Stock UST'!$1:$1,0))))</f>
        <v/>
      </c>
      <c r="AA72" s="9" t="str">
        <f ca="1">IF(IF(ISERROR(MATCH(Stock!AA$1,'Stock UST'!$1:$1,0)),Z72,INDEX('Stock UST'!72:72,1,MATCH(Stock!AA$1,'Stock UST'!$1:$1,0)))=0,"",IF(ISERROR(MATCH(Stock!AA$1,'Stock UST'!$1:$1,0)),Z72,INDEX('Stock UST'!72:72,1,MATCH(Stock!AA$1,'Stock UST'!$1:$1,0))))</f>
        <v/>
      </c>
      <c r="AB72" s="9" t="str">
        <f ca="1">IF(IF(ISERROR(MATCH(Stock!AB$1,'Stock UST'!$1:$1,0)),AA72,INDEX('Stock UST'!72:72,1,MATCH(Stock!AB$1,'Stock UST'!$1:$1,0)))=0,"",IF(ISERROR(MATCH(Stock!AB$1,'Stock UST'!$1:$1,0)),AA72,INDEX('Stock UST'!72:72,1,MATCH(Stock!AB$1,'Stock UST'!$1:$1,0))))</f>
        <v/>
      </c>
      <c r="AC72" s="9" t="str">
        <f ca="1">IF(IF(ISERROR(MATCH(Stock!AC$1,'Stock UST'!$1:$1,0)),AB72,INDEX('Stock UST'!72:72,1,MATCH(Stock!AC$1,'Stock UST'!$1:$1,0)))=0,"",IF(ISERROR(MATCH(Stock!AC$1,'Stock UST'!$1:$1,0)),AB72,INDEX('Stock UST'!72:72,1,MATCH(Stock!AC$1,'Stock UST'!$1:$1,0))))</f>
        <v/>
      </c>
      <c r="AD72" s="9" t="str">
        <f ca="1">IF(IF(ISERROR(MATCH(Stock!AD$1,'Stock UST'!$1:$1,0)),AC72,INDEX('Stock UST'!72:72,1,MATCH(Stock!AD$1,'Stock UST'!$1:$1,0)))=0,"",IF(ISERROR(MATCH(Stock!AD$1,'Stock UST'!$1:$1,0)),AC72,INDEX('Stock UST'!72:72,1,MATCH(Stock!AD$1,'Stock UST'!$1:$1,0))))</f>
        <v/>
      </c>
      <c r="AE72" s="9" t="str">
        <f ca="1">IF(IF(ISERROR(MATCH(Stock!AE$1,'Stock UST'!$1:$1,0)),AD72,INDEX('Stock UST'!72:72,1,MATCH(Stock!AE$1,'Stock UST'!$1:$1,0)))=0,"",IF(ISERROR(MATCH(Stock!AE$1,'Stock UST'!$1:$1,0)),AD72,INDEX('Stock UST'!72:72,1,MATCH(Stock!AE$1,'Stock UST'!$1:$1,0))))</f>
        <v/>
      </c>
      <c r="AF72" s="9" t="str">
        <f ca="1">IF(IF(ISERROR(MATCH(Stock!AF$1,'Stock UST'!$1:$1,0)),AE72,INDEX('Stock UST'!72:72,1,MATCH(Stock!AF$1,'Stock UST'!$1:$1,0)))=0,"",IF(ISERROR(MATCH(Stock!AF$1,'Stock UST'!$1:$1,0)),AE72,INDEX('Stock UST'!72:72,1,MATCH(Stock!AF$1,'Stock UST'!$1:$1,0))))</f>
        <v/>
      </c>
      <c r="AG72" s="9" t="str">
        <f ca="1">IF(IF(ISERROR(MATCH(Stock!AG$1,'Stock UST'!$1:$1,0)),AF72,INDEX('Stock UST'!72:72,1,MATCH(Stock!AG$1,'Stock UST'!$1:$1,0)))=0,"",IF(ISERROR(MATCH(Stock!AG$1,'Stock UST'!$1:$1,0)),AF72,INDEX('Stock UST'!72:72,1,MATCH(Stock!AG$1,'Stock UST'!$1:$1,0))))</f>
        <v/>
      </c>
      <c r="AH72" s="9" t="str">
        <f ca="1">IF(IF(ISERROR(MATCH(Stock!AH$1,'Stock UST'!$1:$1,0)),AG72,INDEX('Stock UST'!72:72,1,MATCH(Stock!AH$1,'Stock UST'!$1:$1,0)))=0,"",IF(ISERROR(MATCH(Stock!AH$1,'Stock UST'!$1:$1,0)),AG72,INDEX('Stock UST'!72:72,1,MATCH(Stock!AH$1,'Stock UST'!$1:$1,0))))</f>
        <v/>
      </c>
      <c r="AI72" s="9" t="str">
        <f ca="1">IF(IF(ISERROR(MATCH(Stock!AI$1,'Stock UST'!$1:$1,0)),AH72,INDEX('Stock UST'!72:72,1,MATCH(Stock!AI$1,'Stock UST'!$1:$1,0)))=0,"",IF(ISERROR(MATCH(Stock!AI$1,'Stock UST'!$1:$1,0)),AH72,INDEX('Stock UST'!72:72,1,MATCH(Stock!AI$1,'Stock UST'!$1:$1,0))))</f>
        <v/>
      </c>
      <c r="AJ72" s="9" t="str">
        <f ca="1">IF(IF(ISERROR(MATCH(Stock!AJ$1,'Stock UST'!$1:$1,0)),AI72,INDEX('Stock UST'!72:72,1,MATCH(Stock!AJ$1,'Stock UST'!$1:$1,0)))=0,"",IF(ISERROR(MATCH(Stock!AJ$1,'Stock UST'!$1:$1,0)),AI72,INDEX('Stock UST'!72:72,1,MATCH(Stock!AJ$1,'Stock UST'!$1:$1,0))))</f>
        <v/>
      </c>
      <c r="AK72" s="9" t="str">
        <f ca="1">IF(IF(ISERROR(MATCH(Stock!AK$1,'Stock UST'!$1:$1,0)),AJ72,INDEX('Stock UST'!72:72,1,MATCH(Stock!AK$1,'Stock UST'!$1:$1,0)))=0,"",IF(ISERROR(MATCH(Stock!AK$1,'Stock UST'!$1:$1,0)),AJ72,INDEX('Stock UST'!72:72,1,MATCH(Stock!AK$1,'Stock UST'!$1:$1,0))))</f>
        <v/>
      </c>
      <c r="AL72" s="9" t="str">
        <f ca="1">IF(IF(ISERROR(MATCH(Stock!AL$1,'Stock UST'!$1:$1,0)),AK72,INDEX('Stock UST'!72:72,1,MATCH(Stock!AL$1,'Stock UST'!$1:$1,0)))=0,"",IF(ISERROR(MATCH(Stock!AL$1,'Stock UST'!$1:$1,0)),AK72,INDEX('Stock UST'!72:72,1,MATCH(Stock!AL$1,'Stock UST'!$1:$1,0))))</f>
        <v/>
      </c>
      <c r="AM72" s="9" t="str">
        <f ca="1">IF(IF(ISERROR(MATCH(Stock!AM$1,'Stock UST'!$1:$1,0)),AL72,INDEX('Stock UST'!72:72,1,MATCH(Stock!AM$1,'Stock UST'!$1:$1,0)))=0,"",IF(ISERROR(MATCH(Stock!AM$1,'Stock UST'!$1:$1,0)),AL72,INDEX('Stock UST'!72:72,1,MATCH(Stock!AM$1,'Stock UST'!$1:$1,0))))</f>
        <v/>
      </c>
      <c r="AN72" s="9" t="str">
        <f ca="1">IF(IF(ISERROR(MATCH(Stock!AN$1,'Stock UST'!$1:$1,0)),AM72,INDEX('Stock UST'!72:72,1,MATCH(Stock!AN$1,'Stock UST'!$1:$1,0)))=0,"",IF(ISERROR(MATCH(Stock!AN$1,'Stock UST'!$1:$1,0)),AM72,INDEX('Stock UST'!72:72,1,MATCH(Stock!AN$1,'Stock UST'!$1:$1,0))))</f>
        <v/>
      </c>
      <c r="AO72" s="9" t="str">
        <f ca="1">IF(IF(ISERROR(MATCH(Stock!AO$1,'Stock UST'!$1:$1,0)),AN72,INDEX('Stock UST'!72:72,1,MATCH(Stock!AO$1,'Stock UST'!$1:$1,0)))=0,"",IF(ISERROR(MATCH(Stock!AO$1,'Stock UST'!$1:$1,0)),AN72,INDEX('Stock UST'!72:72,1,MATCH(Stock!AO$1,'Stock UST'!$1:$1,0))))</f>
        <v/>
      </c>
      <c r="AP72" s="9" t="str">
        <f ca="1">IF(IF(ISERROR(MATCH(Stock!AP$1,'Stock UST'!$1:$1,0)),AO72,INDEX('Stock UST'!72:72,1,MATCH(Stock!AP$1,'Stock UST'!$1:$1,0)))=0,"",IF(ISERROR(MATCH(Stock!AP$1,'Stock UST'!$1:$1,0)),AO72,INDEX('Stock UST'!72:72,1,MATCH(Stock!AP$1,'Stock UST'!$1:$1,0))))</f>
        <v/>
      </c>
      <c r="AQ72" s="9" t="str">
        <f ca="1">IF(IF(ISERROR(MATCH(Stock!AQ$1,'Stock UST'!$1:$1,0)),AP72,INDEX('Stock UST'!72:72,1,MATCH(Stock!AQ$1,'Stock UST'!$1:$1,0)))=0,"",IF(ISERROR(MATCH(Stock!AQ$1,'Stock UST'!$1:$1,0)),AP72,INDEX('Stock UST'!72:72,1,MATCH(Stock!AQ$1,'Stock UST'!$1:$1,0))))</f>
        <v/>
      </c>
      <c r="AR72" s="9" t="str">
        <f ca="1">IF(IF(ISERROR(MATCH(Stock!AR$1,'Stock UST'!$1:$1,0)),AQ72,INDEX('Stock UST'!72:72,1,MATCH(Stock!AR$1,'Stock UST'!$1:$1,0)))=0,"",IF(ISERROR(MATCH(Stock!AR$1,'Stock UST'!$1:$1,0)),AQ72,INDEX('Stock UST'!72:72,1,MATCH(Stock!AR$1,'Stock UST'!$1:$1,0))))</f>
        <v/>
      </c>
      <c r="AS72" s="9" t="str">
        <f ca="1">IF(IF(ISERROR(MATCH(Stock!AS$1,'Stock UST'!$1:$1,0)),AR72,INDEX('Stock UST'!72:72,1,MATCH(Stock!AS$1,'Stock UST'!$1:$1,0)))=0,"",IF(ISERROR(MATCH(Stock!AS$1,'Stock UST'!$1:$1,0)),AR72,INDEX('Stock UST'!72:72,1,MATCH(Stock!AS$1,'Stock UST'!$1:$1,0))))</f>
        <v/>
      </c>
      <c r="AT72" s="9" t="str">
        <f ca="1">IF(IF(ISERROR(MATCH(Stock!AT$1,'Stock UST'!$1:$1,0)),AS72,INDEX('Stock UST'!72:72,1,MATCH(Stock!AT$1,'Stock UST'!$1:$1,0)))=0,"",IF(ISERROR(MATCH(Stock!AT$1,'Stock UST'!$1:$1,0)),AS72,INDEX('Stock UST'!72:72,1,MATCH(Stock!AT$1,'Stock UST'!$1:$1,0))))</f>
        <v/>
      </c>
      <c r="AU72" s="9" t="str">
        <f ca="1">IF(IF(ISERROR(MATCH(Stock!AU$1,'Stock UST'!$1:$1,0)),AT72,INDEX('Stock UST'!72:72,1,MATCH(Stock!AU$1,'Stock UST'!$1:$1,0)))=0,"",IF(ISERROR(MATCH(Stock!AU$1,'Stock UST'!$1:$1,0)),AT72,INDEX('Stock UST'!72:72,1,MATCH(Stock!AU$1,'Stock UST'!$1:$1,0))))</f>
        <v/>
      </c>
      <c r="AV72" s="9" t="str">
        <f ca="1">IF(IF(ISERROR(MATCH(Stock!AV$1,'Stock UST'!$1:$1,0)),AU72,INDEX('Stock UST'!72:72,1,MATCH(Stock!AV$1,'Stock UST'!$1:$1,0)))=0,"",IF(ISERROR(MATCH(Stock!AV$1,'Stock UST'!$1:$1,0)),AU72,INDEX('Stock UST'!72:72,1,MATCH(Stock!AV$1,'Stock UST'!$1:$1,0))))</f>
        <v/>
      </c>
      <c r="AW72" s="9" t="str">
        <f ca="1">IF(IF(ISERROR(MATCH(Stock!AW$1,'Stock UST'!$1:$1,0)),AV72,INDEX('Stock UST'!72:72,1,MATCH(Stock!AW$1,'Stock UST'!$1:$1,0)))=0,"",IF(ISERROR(MATCH(Stock!AW$1,'Stock UST'!$1:$1,0)),AV72,INDEX('Stock UST'!72:72,1,MATCH(Stock!AW$1,'Stock UST'!$1:$1,0))))</f>
        <v/>
      </c>
      <c r="AX72" s="9" t="str">
        <f ca="1">IF(IF(ISERROR(MATCH(Stock!AX$1,'Stock UST'!$1:$1,0)),AW72,INDEX('Stock UST'!72:72,1,MATCH(Stock!AX$1,'Stock UST'!$1:$1,0)))=0,"",IF(ISERROR(MATCH(Stock!AX$1,'Stock UST'!$1:$1,0)),AW72,INDEX('Stock UST'!72:72,1,MATCH(Stock!AX$1,'Stock UST'!$1:$1,0))))</f>
        <v/>
      </c>
    </row>
    <row r="73" spans="1:50" x14ac:dyDescent="0.3">
      <c r="A73" s="9" t="str">
        <f>IF('Stock UST'!E73="","",'Stock UST'!E73)</f>
        <v/>
      </c>
      <c r="B73" s="9" t="str">
        <f>IF(IF(ISERROR(MATCH(Stock!B$1,'Stock UST'!$1:$1,0)),A73,INDEX('Stock UST'!73:73,1,MATCH(Stock!B$1,'Stock UST'!$1:$1,0)))=0,"",IF(ISERROR(MATCH(Stock!B$1,'Stock UST'!$1:$1,0)),A73,INDEX('Stock UST'!73:73,1,MATCH(Stock!B$1,'Stock UST'!$1:$1,0))))</f>
        <v/>
      </c>
      <c r="C73" s="9" t="str">
        <f ca="1">IF(IF(ISERROR(MATCH(Stock!C$1,'Stock UST'!$1:$1,0)),B73,INDEX('Stock UST'!73:73,1,MATCH(Stock!C$1,'Stock UST'!$1:$1,0)))=0,"",IF(ISERROR(MATCH(Stock!C$1,'Stock UST'!$1:$1,0)),B73,INDEX('Stock UST'!73:73,1,MATCH(Stock!C$1,'Stock UST'!$1:$1,0))))</f>
        <v/>
      </c>
      <c r="D73" s="9" t="str">
        <f ca="1">IF(IF(ISERROR(MATCH(Stock!D$1,'Stock UST'!$1:$1,0)),C73,INDEX('Stock UST'!73:73,1,MATCH(Stock!D$1,'Stock UST'!$1:$1,0)))=0,"",IF(ISERROR(MATCH(Stock!D$1,'Stock UST'!$1:$1,0)),C73,INDEX('Stock UST'!73:73,1,MATCH(Stock!D$1,'Stock UST'!$1:$1,0))))</f>
        <v/>
      </c>
      <c r="E73" s="9" t="str">
        <f ca="1">IF(IF(ISERROR(MATCH(Stock!E$1,'Stock UST'!$1:$1,0)),D73,INDEX('Stock UST'!73:73,1,MATCH(Stock!E$1,'Stock UST'!$1:$1,0)))=0,"",IF(ISERROR(MATCH(Stock!E$1,'Stock UST'!$1:$1,0)),D73,INDEX('Stock UST'!73:73,1,MATCH(Stock!E$1,'Stock UST'!$1:$1,0))))</f>
        <v/>
      </c>
      <c r="F73" s="9" t="str">
        <f ca="1">IF(IF(ISERROR(MATCH(Stock!F$1,'Stock UST'!$1:$1,0)),E73,INDEX('Stock UST'!73:73,1,MATCH(Stock!F$1,'Stock UST'!$1:$1,0)))=0,"",IF(ISERROR(MATCH(Stock!F$1,'Stock UST'!$1:$1,0)),E73,INDEX('Stock UST'!73:73,1,MATCH(Stock!F$1,'Stock UST'!$1:$1,0))))</f>
        <v/>
      </c>
      <c r="G73" s="9" t="str">
        <f ca="1">IF(IF(ISERROR(MATCH(Stock!G$1,'Stock UST'!$1:$1,0)),F73,INDEX('Stock UST'!73:73,1,MATCH(Stock!G$1,'Stock UST'!$1:$1,0)))=0,"",IF(ISERROR(MATCH(Stock!G$1,'Stock UST'!$1:$1,0)),F73,INDEX('Stock UST'!73:73,1,MATCH(Stock!G$1,'Stock UST'!$1:$1,0))))</f>
        <v/>
      </c>
      <c r="H73" s="9" t="str">
        <f ca="1">IF(IF(ISERROR(MATCH(Stock!H$1,'Stock UST'!$1:$1,0)),G73,INDEX('Stock UST'!73:73,1,MATCH(Stock!H$1,'Stock UST'!$1:$1,0)))=0,"",IF(ISERROR(MATCH(Stock!H$1,'Stock UST'!$1:$1,0)),G73,INDEX('Stock UST'!73:73,1,MATCH(Stock!H$1,'Stock UST'!$1:$1,0))))</f>
        <v/>
      </c>
      <c r="I73" s="9" t="str">
        <f ca="1">IF(IF(ISERROR(MATCH(Stock!I$1,'Stock UST'!$1:$1,0)),H73,INDEX('Stock UST'!73:73,1,MATCH(Stock!I$1,'Stock UST'!$1:$1,0)))=0,"",IF(ISERROR(MATCH(Stock!I$1,'Stock UST'!$1:$1,0)),H73,INDEX('Stock UST'!73:73,1,MATCH(Stock!I$1,'Stock UST'!$1:$1,0))))</f>
        <v/>
      </c>
      <c r="J73" s="9" t="str">
        <f ca="1">IF(IF(ISERROR(MATCH(Stock!J$1,'Stock UST'!$1:$1,0)),I73,INDEX('Stock UST'!73:73,1,MATCH(Stock!J$1,'Stock UST'!$1:$1,0)))=0,"",IF(ISERROR(MATCH(Stock!J$1,'Stock UST'!$1:$1,0)),I73,INDEX('Stock UST'!73:73,1,MATCH(Stock!J$1,'Stock UST'!$1:$1,0))))</f>
        <v/>
      </c>
      <c r="K73" s="9" t="str">
        <f ca="1">IF(IF(ISERROR(MATCH(Stock!K$1,'Stock UST'!$1:$1,0)),J73,INDEX('Stock UST'!73:73,1,MATCH(Stock!K$1,'Stock UST'!$1:$1,0)))=0,"",IF(ISERROR(MATCH(Stock!K$1,'Stock UST'!$1:$1,0)),J73,INDEX('Stock UST'!73:73,1,MATCH(Stock!K$1,'Stock UST'!$1:$1,0))))</f>
        <v/>
      </c>
      <c r="L73" s="9" t="str">
        <f ca="1">IF(IF(ISERROR(MATCH(Stock!L$1,'Stock UST'!$1:$1,0)),K73,INDEX('Stock UST'!73:73,1,MATCH(Stock!L$1,'Stock UST'!$1:$1,0)))=0,"",IF(ISERROR(MATCH(Stock!L$1,'Stock UST'!$1:$1,0)),K73,INDEX('Stock UST'!73:73,1,MATCH(Stock!L$1,'Stock UST'!$1:$1,0))))</f>
        <v/>
      </c>
      <c r="M73" s="9" t="str">
        <f ca="1">IF(IF(ISERROR(MATCH(Stock!M$1,'Stock UST'!$1:$1,0)),L73,INDEX('Stock UST'!73:73,1,MATCH(Stock!M$1,'Stock UST'!$1:$1,0)))=0,"",IF(ISERROR(MATCH(Stock!M$1,'Stock UST'!$1:$1,0)),L73,INDEX('Stock UST'!73:73,1,MATCH(Stock!M$1,'Stock UST'!$1:$1,0))))</f>
        <v/>
      </c>
      <c r="N73" s="9" t="str">
        <f ca="1">IF(IF(ISERROR(MATCH(Stock!N$1,'Stock UST'!$1:$1,0)),M73,INDEX('Stock UST'!73:73,1,MATCH(Stock!N$1,'Stock UST'!$1:$1,0)))=0,"",IF(ISERROR(MATCH(Stock!N$1,'Stock UST'!$1:$1,0)),M73,INDEX('Stock UST'!73:73,1,MATCH(Stock!N$1,'Stock UST'!$1:$1,0))))</f>
        <v/>
      </c>
      <c r="O73" s="9" t="str">
        <f ca="1">IF(IF(ISERROR(MATCH(Stock!O$1,'Stock UST'!$1:$1,0)),N73,INDEX('Stock UST'!73:73,1,MATCH(Stock!O$1,'Stock UST'!$1:$1,0)))=0,"",IF(ISERROR(MATCH(Stock!O$1,'Stock UST'!$1:$1,0)),N73,INDEX('Stock UST'!73:73,1,MATCH(Stock!O$1,'Stock UST'!$1:$1,0))))</f>
        <v/>
      </c>
      <c r="P73" s="9" t="str">
        <f ca="1">IF(IF(ISERROR(MATCH(Stock!P$1,'Stock UST'!$1:$1,0)),O73,INDEX('Stock UST'!73:73,1,MATCH(Stock!P$1,'Stock UST'!$1:$1,0)))=0,"",IF(ISERROR(MATCH(Stock!P$1,'Stock UST'!$1:$1,0)),O73,INDEX('Stock UST'!73:73,1,MATCH(Stock!P$1,'Stock UST'!$1:$1,0))))</f>
        <v/>
      </c>
      <c r="Q73" s="9" t="str">
        <f ca="1">IF(IF(ISERROR(MATCH(Stock!Q$1,'Stock UST'!$1:$1,0)),P73,INDEX('Stock UST'!73:73,1,MATCH(Stock!Q$1,'Stock UST'!$1:$1,0)))=0,"",IF(ISERROR(MATCH(Stock!Q$1,'Stock UST'!$1:$1,0)),P73,INDEX('Stock UST'!73:73,1,MATCH(Stock!Q$1,'Stock UST'!$1:$1,0))))</f>
        <v/>
      </c>
      <c r="R73" s="9" t="str">
        <f ca="1">IF(IF(ISERROR(MATCH(Stock!R$1,'Stock UST'!$1:$1,0)),Q73,INDEX('Stock UST'!73:73,1,MATCH(Stock!R$1,'Stock UST'!$1:$1,0)))=0,"",IF(ISERROR(MATCH(Stock!R$1,'Stock UST'!$1:$1,0)),Q73,INDEX('Stock UST'!73:73,1,MATCH(Stock!R$1,'Stock UST'!$1:$1,0))))</f>
        <v/>
      </c>
      <c r="S73" s="9" t="str">
        <f ca="1">IF(IF(ISERROR(MATCH(Stock!S$1,'Stock UST'!$1:$1,0)),R73,INDEX('Stock UST'!73:73,1,MATCH(Stock!S$1,'Stock UST'!$1:$1,0)))=0,"",IF(ISERROR(MATCH(Stock!S$1,'Stock UST'!$1:$1,0)),R73,INDEX('Stock UST'!73:73,1,MATCH(Stock!S$1,'Stock UST'!$1:$1,0))))</f>
        <v/>
      </c>
      <c r="T73" s="9" t="str">
        <f ca="1">IF(IF(ISERROR(MATCH(Stock!T$1,'Stock UST'!$1:$1,0)),S73,INDEX('Stock UST'!73:73,1,MATCH(Stock!T$1,'Stock UST'!$1:$1,0)))=0,"",IF(ISERROR(MATCH(Stock!T$1,'Stock UST'!$1:$1,0)),S73,INDEX('Stock UST'!73:73,1,MATCH(Stock!T$1,'Stock UST'!$1:$1,0))))</f>
        <v/>
      </c>
      <c r="U73" s="9" t="str">
        <f ca="1">IF(IF(ISERROR(MATCH(Stock!U$1,'Stock UST'!$1:$1,0)),T73,INDEX('Stock UST'!73:73,1,MATCH(Stock!U$1,'Stock UST'!$1:$1,0)))=0,"",IF(ISERROR(MATCH(Stock!U$1,'Stock UST'!$1:$1,0)),T73,INDEX('Stock UST'!73:73,1,MATCH(Stock!U$1,'Stock UST'!$1:$1,0))))</f>
        <v/>
      </c>
      <c r="V73" s="9" t="str">
        <f ca="1">IF(IF(ISERROR(MATCH(Stock!V$1,'Stock UST'!$1:$1,0)),U73,INDEX('Stock UST'!73:73,1,MATCH(Stock!V$1,'Stock UST'!$1:$1,0)))=0,"",IF(ISERROR(MATCH(Stock!V$1,'Stock UST'!$1:$1,0)),U73,INDEX('Stock UST'!73:73,1,MATCH(Stock!V$1,'Stock UST'!$1:$1,0))))</f>
        <v/>
      </c>
      <c r="W73" s="9" t="str">
        <f ca="1">IF(IF(ISERROR(MATCH(Stock!W$1,'Stock UST'!$1:$1,0)),V73,INDEX('Stock UST'!73:73,1,MATCH(Stock!W$1,'Stock UST'!$1:$1,0)))=0,"",IF(ISERROR(MATCH(Stock!W$1,'Stock UST'!$1:$1,0)),V73,INDEX('Stock UST'!73:73,1,MATCH(Stock!W$1,'Stock UST'!$1:$1,0))))</f>
        <v/>
      </c>
      <c r="X73" s="9" t="str">
        <f ca="1">IF(IF(ISERROR(MATCH(Stock!X$1,'Stock UST'!$1:$1,0)),W73,INDEX('Stock UST'!73:73,1,MATCH(Stock!X$1,'Stock UST'!$1:$1,0)))=0,"",IF(ISERROR(MATCH(Stock!X$1,'Stock UST'!$1:$1,0)),W73,INDEX('Stock UST'!73:73,1,MATCH(Stock!X$1,'Stock UST'!$1:$1,0))))</f>
        <v/>
      </c>
      <c r="Y73" s="9" t="str">
        <f ca="1">IF(IF(ISERROR(MATCH(Stock!Y$1,'Stock UST'!$1:$1,0)),X73,INDEX('Stock UST'!73:73,1,MATCH(Stock!Y$1,'Stock UST'!$1:$1,0)))=0,"",IF(ISERROR(MATCH(Stock!Y$1,'Stock UST'!$1:$1,0)),X73,INDEX('Stock UST'!73:73,1,MATCH(Stock!Y$1,'Stock UST'!$1:$1,0))))</f>
        <v/>
      </c>
      <c r="Z73" s="9" t="str">
        <f ca="1">IF(IF(ISERROR(MATCH(Stock!Z$1,'Stock UST'!$1:$1,0)),Y73,INDEX('Stock UST'!73:73,1,MATCH(Stock!Z$1,'Stock UST'!$1:$1,0)))=0,"",IF(ISERROR(MATCH(Stock!Z$1,'Stock UST'!$1:$1,0)),Y73,INDEX('Stock UST'!73:73,1,MATCH(Stock!Z$1,'Stock UST'!$1:$1,0))))</f>
        <v/>
      </c>
      <c r="AA73" s="9" t="str">
        <f ca="1">IF(IF(ISERROR(MATCH(Stock!AA$1,'Stock UST'!$1:$1,0)),Z73,INDEX('Stock UST'!73:73,1,MATCH(Stock!AA$1,'Stock UST'!$1:$1,0)))=0,"",IF(ISERROR(MATCH(Stock!AA$1,'Stock UST'!$1:$1,0)),Z73,INDEX('Stock UST'!73:73,1,MATCH(Stock!AA$1,'Stock UST'!$1:$1,0))))</f>
        <v/>
      </c>
      <c r="AB73" s="9" t="str">
        <f ca="1">IF(IF(ISERROR(MATCH(Stock!AB$1,'Stock UST'!$1:$1,0)),AA73,INDEX('Stock UST'!73:73,1,MATCH(Stock!AB$1,'Stock UST'!$1:$1,0)))=0,"",IF(ISERROR(MATCH(Stock!AB$1,'Stock UST'!$1:$1,0)),AA73,INDEX('Stock UST'!73:73,1,MATCH(Stock!AB$1,'Stock UST'!$1:$1,0))))</f>
        <v/>
      </c>
      <c r="AC73" s="9" t="str">
        <f ca="1">IF(IF(ISERROR(MATCH(Stock!AC$1,'Stock UST'!$1:$1,0)),AB73,INDEX('Stock UST'!73:73,1,MATCH(Stock!AC$1,'Stock UST'!$1:$1,0)))=0,"",IF(ISERROR(MATCH(Stock!AC$1,'Stock UST'!$1:$1,0)),AB73,INDEX('Stock UST'!73:73,1,MATCH(Stock!AC$1,'Stock UST'!$1:$1,0))))</f>
        <v/>
      </c>
      <c r="AD73" s="9" t="str">
        <f ca="1">IF(IF(ISERROR(MATCH(Stock!AD$1,'Stock UST'!$1:$1,0)),AC73,INDEX('Stock UST'!73:73,1,MATCH(Stock!AD$1,'Stock UST'!$1:$1,0)))=0,"",IF(ISERROR(MATCH(Stock!AD$1,'Stock UST'!$1:$1,0)),AC73,INDEX('Stock UST'!73:73,1,MATCH(Stock!AD$1,'Stock UST'!$1:$1,0))))</f>
        <v/>
      </c>
      <c r="AE73" s="9" t="str">
        <f ca="1">IF(IF(ISERROR(MATCH(Stock!AE$1,'Stock UST'!$1:$1,0)),AD73,INDEX('Stock UST'!73:73,1,MATCH(Stock!AE$1,'Stock UST'!$1:$1,0)))=0,"",IF(ISERROR(MATCH(Stock!AE$1,'Stock UST'!$1:$1,0)),AD73,INDEX('Stock UST'!73:73,1,MATCH(Stock!AE$1,'Stock UST'!$1:$1,0))))</f>
        <v/>
      </c>
      <c r="AF73" s="9" t="str">
        <f ca="1">IF(IF(ISERROR(MATCH(Stock!AF$1,'Stock UST'!$1:$1,0)),AE73,INDEX('Stock UST'!73:73,1,MATCH(Stock!AF$1,'Stock UST'!$1:$1,0)))=0,"",IF(ISERROR(MATCH(Stock!AF$1,'Stock UST'!$1:$1,0)),AE73,INDEX('Stock UST'!73:73,1,MATCH(Stock!AF$1,'Stock UST'!$1:$1,0))))</f>
        <v/>
      </c>
      <c r="AG73" s="9" t="str">
        <f ca="1">IF(IF(ISERROR(MATCH(Stock!AG$1,'Stock UST'!$1:$1,0)),AF73,INDEX('Stock UST'!73:73,1,MATCH(Stock!AG$1,'Stock UST'!$1:$1,0)))=0,"",IF(ISERROR(MATCH(Stock!AG$1,'Stock UST'!$1:$1,0)),AF73,INDEX('Stock UST'!73:73,1,MATCH(Stock!AG$1,'Stock UST'!$1:$1,0))))</f>
        <v/>
      </c>
      <c r="AH73" s="9" t="str">
        <f ca="1">IF(IF(ISERROR(MATCH(Stock!AH$1,'Stock UST'!$1:$1,0)),AG73,INDEX('Stock UST'!73:73,1,MATCH(Stock!AH$1,'Stock UST'!$1:$1,0)))=0,"",IF(ISERROR(MATCH(Stock!AH$1,'Stock UST'!$1:$1,0)),AG73,INDEX('Stock UST'!73:73,1,MATCH(Stock!AH$1,'Stock UST'!$1:$1,0))))</f>
        <v/>
      </c>
      <c r="AI73" s="9" t="str">
        <f ca="1">IF(IF(ISERROR(MATCH(Stock!AI$1,'Stock UST'!$1:$1,0)),AH73,INDEX('Stock UST'!73:73,1,MATCH(Stock!AI$1,'Stock UST'!$1:$1,0)))=0,"",IF(ISERROR(MATCH(Stock!AI$1,'Stock UST'!$1:$1,0)),AH73,INDEX('Stock UST'!73:73,1,MATCH(Stock!AI$1,'Stock UST'!$1:$1,0))))</f>
        <v/>
      </c>
      <c r="AJ73" s="9" t="str">
        <f ca="1">IF(IF(ISERROR(MATCH(Stock!AJ$1,'Stock UST'!$1:$1,0)),AI73,INDEX('Stock UST'!73:73,1,MATCH(Stock!AJ$1,'Stock UST'!$1:$1,0)))=0,"",IF(ISERROR(MATCH(Stock!AJ$1,'Stock UST'!$1:$1,0)),AI73,INDEX('Stock UST'!73:73,1,MATCH(Stock!AJ$1,'Stock UST'!$1:$1,0))))</f>
        <v/>
      </c>
      <c r="AK73" s="9" t="str">
        <f ca="1">IF(IF(ISERROR(MATCH(Stock!AK$1,'Stock UST'!$1:$1,0)),AJ73,INDEX('Stock UST'!73:73,1,MATCH(Stock!AK$1,'Stock UST'!$1:$1,0)))=0,"",IF(ISERROR(MATCH(Stock!AK$1,'Stock UST'!$1:$1,0)),AJ73,INDEX('Stock UST'!73:73,1,MATCH(Stock!AK$1,'Stock UST'!$1:$1,0))))</f>
        <v/>
      </c>
      <c r="AL73" s="9" t="str">
        <f ca="1">IF(IF(ISERROR(MATCH(Stock!AL$1,'Stock UST'!$1:$1,0)),AK73,INDEX('Stock UST'!73:73,1,MATCH(Stock!AL$1,'Stock UST'!$1:$1,0)))=0,"",IF(ISERROR(MATCH(Stock!AL$1,'Stock UST'!$1:$1,0)),AK73,INDEX('Stock UST'!73:73,1,MATCH(Stock!AL$1,'Stock UST'!$1:$1,0))))</f>
        <v/>
      </c>
      <c r="AM73" s="9" t="str">
        <f ca="1">IF(IF(ISERROR(MATCH(Stock!AM$1,'Stock UST'!$1:$1,0)),AL73,INDEX('Stock UST'!73:73,1,MATCH(Stock!AM$1,'Stock UST'!$1:$1,0)))=0,"",IF(ISERROR(MATCH(Stock!AM$1,'Stock UST'!$1:$1,0)),AL73,INDEX('Stock UST'!73:73,1,MATCH(Stock!AM$1,'Stock UST'!$1:$1,0))))</f>
        <v/>
      </c>
      <c r="AN73" s="9" t="str">
        <f ca="1">IF(IF(ISERROR(MATCH(Stock!AN$1,'Stock UST'!$1:$1,0)),AM73,INDEX('Stock UST'!73:73,1,MATCH(Stock!AN$1,'Stock UST'!$1:$1,0)))=0,"",IF(ISERROR(MATCH(Stock!AN$1,'Stock UST'!$1:$1,0)),AM73,INDEX('Stock UST'!73:73,1,MATCH(Stock!AN$1,'Stock UST'!$1:$1,0))))</f>
        <v/>
      </c>
      <c r="AO73" s="9" t="str">
        <f ca="1">IF(IF(ISERROR(MATCH(Stock!AO$1,'Stock UST'!$1:$1,0)),AN73,INDEX('Stock UST'!73:73,1,MATCH(Stock!AO$1,'Stock UST'!$1:$1,0)))=0,"",IF(ISERROR(MATCH(Stock!AO$1,'Stock UST'!$1:$1,0)),AN73,INDEX('Stock UST'!73:73,1,MATCH(Stock!AO$1,'Stock UST'!$1:$1,0))))</f>
        <v/>
      </c>
      <c r="AP73" s="9" t="str">
        <f ca="1">IF(IF(ISERROR(MATCH(Stock!AP$1,'Stock UST'!$1:$1,0)),AO73,INDEX('Stock UST'!73:73,1,MATCH(Stock!AP$1,'Stock UST'!$1:$1,0)))=0,"",IF(ISERROR(MATCH(Stock!AP$1,'Stock UST'!$1:$1,0)),AO73,INDEX('Stock UST'!73:73,1,MATCH(Stock!AP$1,'Stock UST'!$1:$1,0))))</f>
        <v/>
      </c>
      <c r="AQ73" s="9" t="str">
        <f ca="1">IF(IF(ISERROR(MATCH(Stock!AQ$1,'Stock UST'!$1:$1,0)),AP73,INDEX('Stock UST'!73:73,1,MATCH(Stock!AQ$1,'Stock UST'!$1:$1,0)))=0,"",IF(ISERROR(MATCH(Stock!AQ$1,'Stock UST'!$1:$1,0)),AP73,INDEX('Stock UST'!73:73,1,MATCH(Stock!AQ$1,'Stock UST'!$1:$1,0))))</f>
        <v/>
      </c>
      <c r="AR73" s="9" t="str">
        <f ca="1">IF(IF(ISERROR(MATCH(Stock!AR$1,'Stock UST'!$1:$1,0)),AQ73,INDEX('Stock UST'!73:73,1,MATCH(Stock!AR$1,'Stock UST'!$1:$1,0)))=0,"",IF(ISERROR(MATCH(Stock!AR$1,'Stock UST'!$1:$1,0)),AQ73,INDEX('Stock UST'!73:73,1,MATCH(Stock!AR$1,'Stock UST'!$1:$1,0))))</f>
        <v/>
      </c>
      <c r="AS73" s="9" t="str">
        <f ca="1">IF(IF(ISERROR(MATCH(Stock!AS$1,'Stock UST'!$1:$1,0)),AR73,INDEX('Stock UST'!73:73,1,MATCH(Stock!AS$1,'Stock UST'!$1:$1,0)))=0,"",IF(ISERROR(MATCH(Stock!AS$1,'Stock UST'!$1:$1,0)),AR73,INDEX('Stock UST'!73:73,1,MATCH(Stock!AS$1,'Stock UST'!$1:$1,0))))</f>
        <v/>
      </c>
      <c r="AT73" s="9" t="str">
        <f ca="1">IF(IF(ISERROR(MATCH(Stock!AT$1,'Stock UST'!$1:$1,0)),AS73,INDEX('Stock UST'!73:73,1,MATCH(Stock!AT$1,'Stock UST'!$1:$1,0)))=0,"",IF(ISERROR(MATCH(Stock!AT$1,'Stock UST'!$1:$1,0)),AS73,INDEX('Stock UST'!73:73,1,MATCH(Stock!AT$1,'Stock UST'!$1:$1,0))))</f>
        <v/>
      </c>
      <c r="AU73" s="9" t="str">
        <f ca="1">IF(IF(ISERROR(MATCH(Stock!AU$1,'Stock UST'!$1:$1,0)),AT73,INDEX('Stock UST'!73:73,1,MATCH(Stock!AU$1,'Stock UST'!$1:$1,0)))=0,"",IF(ISERROR(MATCH(Stock!AU$1,'Stock UST'!$1:$1,0)),AT73,INDEX('Stock UST'!73:73,1,MATCH(Stock!AU$1,'Stock UST'!$1:$1,0))))</f>
        <v/>
      </c>
      <c r="AV73" s="9" t="str">
        <f ca="1">IF(IF(ISERROR(MATCH(Stock!AV$1,'Stock UST'!$1:$1,0)),AU73,INDEX('Stock UST'!73:73,1,MATCH(Stock!AV$1,'Stock UST'!$1:$1,0)))=0,"",IF(ISERROR(MATCH(Stock!AV$1,'Stock UST'!$1:$1,0)),AU73,INDEX('Stock UST'!73:73,1,MATCH(Stock!AV$1,'Stock UST'!$1:$1,0))))</f>
        <v/>
      </c>
      <c r="AW73" s="9" t="str">
        <f ca="1">IF(IF(ISERROR(MATCH(Stock!AW$1,'Stock UST'!$1:$1,0)),AV73,INDEX('Stock UST'!73:73,1,MATCH(Stock!AW$1,'Stock UST'!$1:$1,0)))=0,"",IF(ISERROR(MATCH(Stock!AW$1,'Stock UST'!$1:$1,0)),AV73,INDEX('Stock UST'!73:73,1,MATCH(Stock!AW$1,'Stock UST'!$1:$1,0))))</f>
        <v/>
      </c>
      <c r="AX73" s="9" t="str">
        <f ca="1">IF(IF(ISERROR(MATCH(Stock!AX$1,'Stock UST'!$1:$1,0)),AW73,INDEX('Stock UST'!73:73,1,MATCH(Stock!AX$1,'Stock UST'!$1:$1,0)))=0,"",IF(ISERROR(MATCH(Stock!AX$1,'Stock UST'!$1:$1,0)),AW73,INDEX('Stock UST'!73:73,1,MATCH(Stock!AX$1,'Stock UST'!$1:$1,0))))</f>
        <v/>
      </c>
    </row>
    <row r="74" spans="1:50" x14ac:dyDescent="0.3">
      <c r="A74" s="9" t="str">
        <f>IF('Stock UST'!E74="","",'Stock UST'!E74)</f>
        <v/>
      </c>
      <c r="B74" s="9" t="str">
        <f>IF(IF(ISERROR(MATCH(Stock!B$1,'Stock UST'!$1:$1,0)),A74,INDEX('Stock UST'!74:74,1,MATCH(Stock!B$1,'Stock UST'!$1:$1,0)))=0,"",IF(ISERROR(MATCH(Stock!B$1,'Stock UST'!$1:$1,0)),A74,INDEX('Stock UST'!74:74,1,MATCH(Stock!B$1,'Stock UST'!$1:$1,0))))</f>
        <v/>
      </c>
      <c r="C74" s="9" t="str">
        <f ca="1">IF(IF(ISERROR(MATCH(Stock!C$1,'Stock UST'!$1:$1,0)),B74,INDEX('Stock UST'!74:74,1,MATCH(Stock!C$1,'Stock UST'!$1:$1,0)))=0,"",IF(ISERROR(MATCH(Stock!C$1,'Stock UST'!$1:$1,0)),B74,INDEX('Stock UST'!74:74,1,MATCH(Stock!C$1,'Stock UST'!$1:$1,0))))</f>
        <v/>
      </c>
      <c r="D74" s="9" t="str">
        <f ca="1">IF(IF(ISERROR(MATCH(Stock!D$1,'Stock UST'!$1:$1,0)),C74,INDEX('Stock UST'!74:74,1,MATCH(Stock!D$1,'Stock UST'!$1:$1,0)))=0,"",IF(ISERROR(MATCH(Stock!D$1,'Stock UST'!$1:$1,0)),C74,INDEX('Stock UST'!74:74,1,MATCH(Stock!D$1,'Stock UST'!$1:$1,0))))</f>
        <v/>
      </c>
      <c r="E74" s="9" t="str">
        <f ca="1">IF(IF(ISERROR(MATCH(Stock!E$1,'Stock UST'!$1:$1,0)),D74,INDEX('Stock UST'!74:74,1,MATCH(Stock!E$1,'Stock UST'!$1:$1,0)))=0,"",IF(ISERROR(MATCH(Stock!E$1,'Stock UST'!$1:$1,0)),D74,INDEX('Stock UST'!74:74,1,MATCH(Stock!E$1,'Stock UST'!$1:$1,0))))</f>
        <v/>
      </c>
      <c r="F74" s="9" t="str">
        <f ca="1">IF(IF(ISERROR(MATCH(Stock!F$1,'Stock UST'!$1:$1,0)),E74,INDEX('Stock UST'!74:74,1,MATCH(Stock!F$1,'Stock UST'!$1:$1,0)))=0,"",IF(ISERROR(MATCH(Stock!F$1,'Stock UST'!$1:$1,0)),E74,INDEX('Stock UST'!74:74,1,MATCH(Stock!F$1,'Stock UST'!$1:$1,0))))</f>
        <v/>
      </c>
      <c r="G74" s="9" t="str">
        <f ca="1">IF(IF(ISERROR(MATCH(Stock!G$1,'Stock UST'!$1:$1,0)),F74,INDEX('Stock UST'!74:74,1,MATCH(Stock!G$1,'Stock UST'!$1:$1,0)))=0,"",IF(ISERROR(MATCH(Stock!G$1,'Stock UST'!$1:$1,0)),F74,INDEX('Stock UST'!74:74,1,MATCH(Stock!G$1,'Stock UST'!$1:$1,0))))</f>
        <v/>
      </c>
      <c r="H74" s="9" t="str">
        <f ca="1">IF(IF(ISERROR(MATCH(Stock!H$1,'Stock UST'!$1:$1,0)),G74,INDEX('Stock UST'!74:74,1,MATCH(Stock!H$1,'Stock UST'!$1:$1,0)))=0,"",IF(ISERROR(MATCH(Stock!H$1,'Stock UST'!$1:$1,0)),G74,INDEX('Stock UST'!74:74,1,MATCH(Stock!H$1,'Stock UST'!$1:$1,0))))</f>
        <v/>
      </c>
      <c r="I74" s="9" t="str">
        <f ca="1">IF(IF(ISERROR(MATCH(Stock!I$1,'Stock UST'!$1:$1,0)),H74,INDEX('Stock UST'!74:74,1,MATCH(Stock!I$1,'Stock UST'!$1:$1,0)))=0,"",IF(ISERROR(MATCH(Stock!I$1,'Stock UST'!$1:$1,0)),H74,INDEX('Stock UST'!74:74,1,MATCH(Stock!I$1,'Stock UST'!$1:$1,0))))</f>
        <v/>
      </c>
      <c r="J74" s="9" t="str">
        <f ca="1">IF(IF(ISERROR(MATCH(Stock!J$1,'Stock UST'!$1:$1,0)),I74,INDEX('Stock UST'!74:74,1,MATCH(Stock!J$1,'Stock UST'!$1:$1,0)))=0,"",IF(ISERROR(MATCH(Stock!J$1,'Stock UST'!$1:$1,0)),I74,INDEX('Stock UST'!74:74,1,MATCH(Stock!J$1,'Stock UST'!$1:$1,0))))</f>
        <v/>
      </c>
      <c r="K74" s="9" t="str">
        <f ca="1">IF(IF(ISERROR(MATCH(Stock!K$1,'Stock UST'!$1:$1,0)),J74,INDEX('Stock UST'!74:74,1,MATCH(Stock!K$1,'Stock UST'!$1:$1,0)))=0,"",IF(ISERROR(MATCH(Stock!K$1,'Stock UST'!$1:$1,0)),J74,INDEX('Stock UST'!74:74,1,MATCH(Stock!K$1,'Stock UST'!$1:$1,0))))</f>
        <v/>
      </c>
      <c r="L74" s="9" t="str">
        <f ca="1">IF(IF(ISERROR(MATCH(Stock!L$1,'Stock UST'!$1:$1,0)),K74,INDEX('Stock UST'!74:74,1,MATCH(Stock!L$1,'Stock UST'!$1:$1,0)))=0,"",IF(ISERROR(MATCH(Stock!L$1,'Stock UST'!$1:$1,0)),K74,INDEX('Stock UST'!74:74,1,MATCH(Stock!L$1,'Stock UST'!$1:$1,0))))</f>
        <v/>
      </c>
      <c r="M74" s="9" t="str">
        <f ca="1">IF(IF(ISERROR(MATCH(Stock!M$1,'Stock UST'!$1:$1,0)),L74,INDEX('Stock UST'!74:74,1,MATCH(Stock!M$1,'Stock UST'!$1:$1,0)))=0,"",IF(ISERROR(MATCH(Stock!M$1,'Stock UST'!$1:$1,0)),L74,INDEX('Stock UST'!74:74,1,MATCH(Stock!M$1,'Stock UST'!$1:$1,0))))</f>
        <v/>
      </c>
      <c r="N74" s="9" t="str">
        <f ca="1">IF(IF(ISERROR(MATCH(Stock!N$1,'Stock UST'!$1:$1,0)),M74,INDEX('Stock UST'!74:74,1,MATCH(Stock!N$1,'Stock UST'!$1:$1,0)))=0,"",IF(ISERROR(MATCH(Stock!N$1,'Stock UST'!$1:$1,0)),M74,INDEX('Stock UST'!74:74,1,MATCH(Stock!N$1,'Stock UST'!$1:$1,0))))</f>
        <v/>
      </c>
      <c r="O74" s="9" t="str">
        <f ca="1">IF(IF(ISERROR(MATCH(Stock!O$1,'Stock UST'!$1:$1,0)),N74,INDEX('Stock UST'!74:74,1,MATCH(Stock!O$1,'Stock UST'!$1:$1,0)))=0,"",IF(ISERROR(MATCH(Stock!O$1,'Stock UST'!$1:$1,0)),N74,INDEX('Stock UST'!74:74,1,MATCH(Stock!O$1,'Stock UST'!$1:$1,0))))</f>
        <v/>
      </c>
      <c r="P74" s="9" t="str">
        <f ca="1">IF(IF(ISERROR(MATCH(Stock!P$1,'Stock UST'!$1:$1,0)),O74,INDEX('Stock UST'!74:74,1,MATCH(Stock!P$1,'Stock UST'!$1:$1,0)))=0,"",IF(ISERROR(MATCH(Stock!P$1,'Stock UST'!$1:$1,0)),O74,INDEX('Stock UST'!74:74,1,MATCH(Stock!P$1,'Stock UST'!$1:$1,0))))</f>
        <v/>
      </c>
      <c r="Q74" s="9" t="str">
        <f ca="1">IF(IF(ISERROR(MATCH(Stock!Q$1,'Stock UST'!$1:$1,0)),P74,INDEX('Stock UST'!74:74,1,MATCH(Stock!Q$1,'Stock UST'!$1:$1,0)))=0,"",IF(ISERROR(MATCH(Stock!Q$1,'Stock UST'!$1:$1,0)),P74,INDEX('Stock UST'!74:74,1,MATCH(Stock!Q$1,'Stock UST'!$1:$1,0))))</f>
        <v/>
      </c>
      <c r="R74" s="9" t="str">
        <f ca="1">IF(IF(ISERROR(MATCH(Stock!R$1,'Stock UST'!$1:$1,0)),Q74,INDEX('Stock UST'!74:74,1,MATCH(Stock!R$1,'Stock UST'!$1:$1,0)))=0,"",IF(ISERROR(MATCH(Stock!R$1,'Stock UST'!$1:$1,0)),Q74,INDEX('Stock UST'!74:74,1,MATCH(Stock!R$1,'Stock UST'!$1:$1,0))))</f>
        <v/>
      </c>
      <c r="S74" s="9" t="str">
        <f ca="1">IF(IF(ISERROR(MATCH(Stock!S$1,'Stock UST'!$1:$1,0)),R74,INDEX('Stock UST'!74:74,1,MATCH(Stock!S$1,'Stock UST'!$1:$1,0)))=0,"",IF(ISERROR(MATCH(Stock!S$1,'Stock UST'!$1:$1,0)),R74,INDEX('Stock UST'!74:74,1,MATCH(Stock!S$1,'Stock UST'!$1:$1,0))))</f>
        <v/>
      </c>
      <c r="T74" s="9" t="str">
        <f ca="1">IF(IF(ISERROR(MATCH(Stock!T$1,'Stock UST'!$1:$1,0)),S74,INDEX('Stock UST'!74:74,1,MATCH(Stock!T$1,'Stock UST'!$1:$1,0)))=0,"",IF(ISERROR(MATCH(Stock!T$1,'Stock UST'!$1:$1,0)),S74,INDEX('Stock UST'!74:74,1,MATCH(Stock!T$1,'Stock UST'!$1:$1,0))))</f>
        <v/>
      </c>
      <c r="U74" s="9" t="str">
        <f ca="1">IF(IF(ISERROR(MATCH(Stock!U$1,'Stock UST'!$1:$1,0)),T74,INDEX('Stock UST'!74:74,1,MATCH(Stock!U$1,'Stock UST'!$1:$1,0)))=0,"",IF(ISERROR(MATCH(Stock!U$1,'Stock UST'!$1:$1,0)),T74,INDEX('Stock UST'!74:74,1,MATCH(Stock!U$1,'Stock UST'!$1:$1,0))))</f>
        <v/>
      </c>
      <c r="V74" s="9" t="str">
        <f ca="1">IF(IF(ISERROR(MATCH(Stock!V$1,'Stock UST'!$1:$1,0)),U74,INDEX('Stock UST'!74:74,1,MATCH(Stock!V$1,'Stock UST'!$1:$1,0)))=0,"",IF(ISERROR(MATCH(Stock!V$1,'Stock UST'!$1:$1,0)),U74,INDEX('Stock UST'!74:74,1,MATCH(Stock!V$1,'Stock UST'!$1:$1,0))))</f>
        <v/>
      </c>
      <c r="W74" s="9" t="str">
        <f ca="1">IF(IF(ISERROR(MATCH(Stock!W$1,'Stock UST'!$1:$1,0)),V74,INDEX('Stock UST'!74:74,1,MATCH(Stock!W$1,'Stock UST'!$1:$1,0)))=0,"",IF(ISERROR(MATCH(Stock!W$1,'Stock UST'!$1:$1,0)),V74,INDEX('Stock UST'!74:74,1,MATCH(Stock!W$1,'Stock UST'!$1:$1,0))))</f>
        <v/>
      </c>
      <c r="X74" s="9" t="str">
        <f ca="1">IF(IF(ISERROR(MATCH(Stock!X$1,'Stock UST'!$1:$1,0)),W74,INDEX('Stock UST'!74:74,1,MATCH(Stock!X$1,'Stock UST'!$1:$1,0)))=0,"",IF(ISERROR(MATCH(Stock!X$1,'Stock UST'!$1:$1,0)),W74,INDEX('Stock UST'!74:74,1,MATCH(Stock!X$1,'Stock UST'!$1:$1,0))))</f>
        <v/>
      </c>
      <c r="Y74" s="9" t="str">
        <f ca="1">IF(IF(ISERROR(MATCH(Stock!Y$1,'Stock UST'!$1:$1,0)),X74,INDEX('Stock UST'!74:74,1,MATCH(Stock!Y$1,'Stock UST'!$1:$1,0)))=0,"",IF(ISERROR(MATCH(Stock!Y$1,'Stock UST'!$1:$1,0)),X74,INDEX('Stock UST'!74:74,1,MATCH(Stock!Y$1,'Stock UST'!$1:$1,0))))</f>
        <v/>
      </c>
      <c r="Z74" s="9" t="str">
        <f ca="1">IF(IF(ISERROR(MATCH(Stock!Z$1,'Stock UST'!$1:$1,0)),Y74,INDEX('Stock UST'!74:74,1,MATCH(Stock!Z$1,'Stock UST'!$1:$1,0)))=0,"",IF(ISERROR(MATCH(Stock!Z$1,'Stock UST'!$1:$1,0)),Y74,INDEX('Stock UST'!74:74,1,MATCH(Stock!Z$1,'Stock UST'!$1:$1,0))))</f>
        <v/>
      </c>
      <c r="AA74" s="9" t="str">
        <f ca="1">IF(IF(ISERROR(MATCH(Stock!AA$1,'Stock UST'!$1:$1,0)),Z74,INDEX('Stock UST'!74:74,1,MATCH(Stock!AA$1,'Stock UST'!$1:$1,0)))=0,"",IF(ISERROR(MATCH(Stock!AA$1,'Stock UST'!$1:$1,0)),Z74,INDEX('Stock UST'!74:74,1,MATCH(Stock!AA$1,'Stock UST'!$1:$1,0))))</f>
        <v/>
      </c>
      <c r="AB74" s="9" t="str">
        <f ca="1">IF(IF(ISERROR(MATCH(Stock!AB$1,'Stock UST'!$1:$1,0)),AA74,INDEX('Stock UST'!74:74,1,MATCH(Stock!AB$1,'Stock UST'!$1:$1,0)))=0,"",IF(ISERROR(MATCH(Stock!AB$1,'Stock UST'!$1:$1,0)),AA74,INDEX('Stock UST'!74:74,1,MATCH(Stock!AB$1,'Stock UST'!$1:$1,0))))</f>
        <v/>
      </c>
      <c r="AC74" s="9" t="str">
        <f ca="1">IF(IF(ISERROR(MATCH(Stock!AC$1,'Stock UST'!$1:$1,0)),AB74,INDEX('Stock UST'!74:74,1,MATCH(Stock!AC$1,'Stock UST'!$1:$1,0)))=0,"",IF(ISERROR(MATCH(Stock!AC$1,'Stock UST'!$1:$1,0)),AB74,INDEX('Stock UST'!74:74,1,MATCH(Stock!AC$1,'Stock UST'!$1:$1,0))))</f>
        <v/>
      </c>
      <c r="AD74" s="9" t="str">
        <f ca="1">IF(IF(ISERROR(MATCH(Stock!AD$1,'Stock UST'!$1:$1,0)),AC74,INDEX('Stock UST'!74:74,1,MATCH(Stock!AD$1,'Stock UST'!$1:$1,0)))=0,"",IF(ISERROR(MATCH(Stock!AD$1,'Stock UST'!$1:$1,0)),AC74,INDEX('Stock UST'!74:74,1,MATCH(Stock!AD$1,'Stock UST'!$1:$1,0))))</f>
        <v/>
      </c>
      <c r="AE74" s="9" t="str">
        <f ca="1">IF(IF(ISERROR(MATCH(Stock!AE$1,'Stock UST'!$1:$1,0)),AD74,INDEX('Stock UST'!74:74,1,MATCH(Stock!AE$1,'Stock UST'!$1:$1,0)))=0,"",IF(ISERROR(MATCH(Stock!AE$1,'Stock UST'!$1:$1,0)),AD74,INDEX('Stock UST'!74:74,1,MATCH(Stock!AE$1,'Stock UST'!$1:$1,0))))</f>
        <v/>
      </c>
      <c r="AF74" s="9" t="str">
        <f ca="1">IF(IF(ISERROR(MATCH(Stock!AF$1,'Stock UST'!$1:$1,0)),AE74,INDEX('Stock UST'!74:74,1,MATCH(Stock!AF$1,'Stock UST'!$1:$1,0)))=0,"",IF(ISERROR(MATCH(Stock!AF$1,'Stock UST'!$1:$1,0)),AE74,INDEX('Stock UST'!74:74,1,MATCH(Stock!AF$1,'Stock UST'!$1:$1,0))))</f>
        <v/>
      </c>
      <c r="AG74" s="9" t="str">
        <f ca="1">IF(IF(ISERROR(MATCH(Stock!AG$1,'Stock UST'!$1:$1,0)),AF74,INDEX('Stock UST'!74:74,1,MATCH(Stock!AG$1,'Stock UST'!$1:$1,0)))=0,"",IF(ISERROR(MATCH(Stock!AG$1,'Stock UST'!$1:$1,0)),AF74,INDEX('Stock UST'!74:74,1,MATCH(Stock!AG$1,'Stock UST'!$1:$1,0))))</f>
        <v/>
      </c>
      <c r="AH74" s="9" t="str">
        <f ca="1">IF(IF(ISERROR(MATCH(Stock!AH$1,'Stock UST'!$1:$1,0)),AG74,INDEX('Stock UST'!74:74,1,MATCH(Stock!AH$1,'Stock UST'!$1:$1,0)))=0,"",IF(ISERROR(MATCH(Stock!AH$1,'Stock UST'!$1:$1,0)),AG74,INDEX('Stock UST'!74:74,1,MATCH(Stock!AH$1,'Stock UST'!$1:$1,0))))</f>
        <v/>
      </c>
      <c r="AI74" s="9" t="str">
        <f ca="1">IF(IF(ISERROR(MATCH(Stock!AI$1,'Stock UST'!$1:$1,0)),AH74,INDEX('Stock UST'!74:74,1,MATCH(Stock!AI$1,'Stock UST'!$1:$1,0)))=0,"",IF(ISERROR(MATCH(Stock!AI$1,'Stock UST'!$1:$1,0)),AH74,INDEX('Stock UST'!74:74,1,MATCH(Stock!AI$1,'Stock UST'!$1:$1,0))))</f>
        <v/>
      </c>
      <c r="AJ74" s="9" t="str">
        <f ca="1">IF(IF(ISERROR(MATCH(Stock!AJ$1,'Stock UST'!$1:$1,0)),AI74,INDEX('Stock UST'!74:74,1,MATCH(Stock!AJ$1,'Stock UST'!$1:$1,0)))=0,"",IF(ISERROR(MATCH(Stock!AJ$1,'Stock UST'!$1:$1,0)),AI74,INDEX('Stock UST'!74:74,1,MATCH(Stock!AJ$1,'Stock UST'!$1:$1,0))))</f>
        <v/>
      </c>
      <c r="AK74" s="9" t="str">
        <f ca="1">IF(IF(ISERROR(MATCH(Stock!AK$1,'Stock UST'!$1:$1,0)),AJ74,INDEX('Stock UST'!74:74,1,MATCH(Stock!AK$1,'Stock UST'!$1:$1,0)))=0,"",IF(ISERROR(MATCH(Stock!AK$1,'Stock UST'!$1:$1,0)),AJ74,INDEX('Stock UST'!74:74,1,MATCH(Stock!AK$1,'Stock UST'!$1:$1,0))))</f>
        <v/>
      </c>
      <c r="AL74" s="9" t="str">
        <f ca="1">IF(IF(ISERROR(MATCH(Stock!AL$1,'Stock UST'!$1:$1,0)),AK74,INDEX('Stock UST'!74:74,1,MATCH(Stock!AL$1,'Stock UST'!$1:$1,0)))=0,"",IF(ISERROR(MATCH(Stock!AL$1,'Stock UST'!$1:$1,0)),AK74,INDEX('Stock UST'!74:74,1,MATCH(Stock!AL$1,'Stock UST'!$1:$1,0))))</f>
        <v/>
      </c>
      <c r="AM74" s="9" t="str">
        <f ca="1">IF(IF(ISERROR(MATCH(Stock!AM$1,'Stock UST'!$1:$1,0)),AL74,INDEX('Stock UST'!74:74,1,MATCH(Stock!AM$1,'Stock UST'!$1:$1,0)))=0,"",IF(ISERROR(MATCH(Stock!AM$1,'Stock UST'!$1:$1,0)),AL74,INDEX('Stock UST'!74:74,1,MATCH(Stock!AM$1,'Stock UST'!$1:$1,0))))</f>
        <v/>
      </c>
      <c r="AN74" s="9" t="str">
        <f ca="1">IF(IF(ISERROR(MATCH(Stock!AN$1,'Stock UST'!$1:$1,0)),AM74,INDEX('Stock UST'!74:74,1,MATCH(Stock!AN$1,'Stock UST'!$1:$1,0)))=0,"",IF(ISERROR(MATCH(Stock!AN$1,'Stock UST'!$1:$1,0)),AM74,INDEX('Stock UST'!74:74,1,MATCH(Stock!AN$1,'Stock UST'!$1:$1,0))))</f>
        <v/>
      </c>
      <c r="AO74" s="9" t="str">
        <f ca="1">IF(IF(ISERROR(MATCH(Stock!AO$1,'Stock UST'!$1:$1,0)),AN74,INDEX('Stock UST'!74:74,1,MATCH(Stock!AO$1,'Stock UST'!$1:$1,0)))=0,"",IF(ISERROR(MATCH(Stock!AO$1,'Stock UST'!$1:$1,0)),AN74,INDEX('Stock UST'!74:74,1,MATCH(Stock!AO$1,'Stock UST'!$1:$1,0))))</f>
        <v/>
      </c>
      <c r="AP74" s="9" t="str">
        <f ca="1">IF(IF(ISERROR(MATCH(Stock!AP$1,'Stock UST'!$1:$1,0)),AO74,INDEX('Stock UST'!74:74,1,MATCH(Stock!AP$1,'Stock UST'!$1:$1,0)))=0,"",IF(ISERROR(MATCH(Stock!AP$1,'Stock UST'!$1:$1,0)),AO74,INDEX('Stock UST'!74:74,1,MATCH(Stock!AP$1,'Stock UST'!$1:$1,0))))</f>
        <v/>
      </c>
      <c r="AQ74" s="9" t="str">
        <f ca="1">IF(IF(ISERROR(MATCH(Stock!AQ$1,'Stock UST'!$1:$1,0)),AP74,INDEX('Stock UST'!74:74,1,MATCH(Stock!AQ$1,'Stock UST'!$1:$1,0)))=0,"",IF(ISERROR(MATCH(Stock!AQ$1,'Stock UST'!$1:$1,0)),AP74,INDEX('Stock UST'!74:74,1,MATCH(Stock!AQ$1,'Stock UST'!$1:$1,0))))</f>
        <v/>
      </c>
      <c r="AR74" s="9" t="str">
        <f ca="1">IF(IF(ISERROR(MATCH(Stock!AR$1,'Stock UST'!$1:$1,0)),AQ74,INDEX('Stock UST'!74:74,1,MATCH(Stock!AR$1,'Stock UST'!$1:$1,0)))=0,"",IF(ISERROR(MATCH(Stock!AR$1,'Stock UST'!$1:$1,0)),AQ74,INDEX('Stock UST'!74:74,1,MATCH(Stock!AR$1,'Stock UST'!$1:$1,0))))</f>
        <v/>
      </c>
      <c r="AS74" s="9" t="str">
        <f ca="1">IF(IF(ISERROR(MATCH(Stock!AS$1,'Stock UST'!$1:$1,0)),AR74,INDEX('Stock UST'!74:74,1,MATCH(Stock!AS$1,'Stock UST'!$1:$1,0)))=0,"",IF(ISERROR(MATCH(Stock!AS$1,'Stock UST'!$1:$1,0)),AR74,INDEX('Stock UST'!74:74,1,MATCH(Stock!AS$1,'Stock UST'!$1:$1,0))))</f>
        <v/>
      </c>
      <c r="AT74" s="9" t="str">
        <f ca="1">IF(IF(ISERROR(MATCH(Stock!AT$1,'Stock UST'!$1:$1,0)),AS74,INDEX('Stock UST'!74:74,1,MATCH(Stock!AT$1,'Stock UST'!$1:$1,0)))=0,"",IF(ISERROR(MATCH(Stock!AT$1,'Stock UST'!$1:$1,0)),AS74,INDEX('Stock UST'!74:74,1,MATCH(Stock!AT$1,'Stock UST'!$1:$1,0))))</f>
        <v/>
      </c>
      <c r="AU74" s="9" t="str">
        <f ca="1">IF(IF(ISERROR(MATCH(Stock!AU$1,'Stock UST'!$1:$1,0)),AT74,INDEX('Stock UST'!74:74,1,MATCH(Stock!AU$1,'Stock UST'!$1:$1,0)))=0,"",IF(ISERROR(MATCH(Stock!AU$1,'Stock UST'!$1:$1,0)),AT74,INDEX('Stock UST'!74:74,1,MATCH(Stock!AU$1,'Stock UST'!$1:$1,0))))</f>
        <v/>
      </c>
      <c r="AV74" s="9" t="str">
        <f ca="1">IF(IF(ISERROR(MATCH(Stock!AV$1,'Stock UST'!$1:$1,0)),AU74,INDEX('Stock UST'!74:74,1,MATCH(Stock!AV$1,'Stock UST'!$1:$1,0)))=0,"",IF(ISERROR(MATCH(Stock!AV$1,'Stock UST'!$1:$1,0)),AU74,INDEX('Stock UST'!74:74,1,MATCH(Stock!AV$1,'Stock UST'!$1:$1,0))))</f>
        <v/>
      </c>
      <c r="AW74" s="9" t="str">
        <f ca="1">IF(IF(ISERROR(MATCH(Stock!AW$1,'Stock UST'!$1:$1,0)),AV74,INDEX('Stock UST'!74:74,1,MATCH(Stock!AW$1,'Stock UST'!$1:$1,0)))=0,"",IF(ISERROR(MATCH(Stock!AW$1,'Stock UST'!$1:$1,0)),AV74,INDEX('Stock UST'!74:74,1,MATCH(Stock!AW$1,'Stock UST'!$1:$1,0))))</f>
        <v/>
      </c>
      <c r="AX74" s="9" t="str">
        <f ca="1">IF(IF(ISERROR(MATCH(Stock!AX$1,'Stock UST'!$1:$1,0)),AW74,INDEX('Stock UST'!74:74,1,MATCH(Stock!AX$1,'Stock UST'!$1:$1,0)))=0,"",IF(ISERROR(MATCH(Stock!AX$1,'Stock UST'!$1:$1,0)),AW74,INDEX('Stock UST'!74:74,1,MATCH(Stock!AX$1,'Stock UST'!$1:$1,0))))</f>
        <v/>
      </c>
    </row>
    <row r="75" spans="1:50" x14ac:dyDescent="0.3">
      <c r="A75" s="9" t="str">
        <f>IF('Stock UST'!E75="","",'Stock UST'!E75)</f>
        <v/>
      </c>
      <c r="B75" s="9" t="str">
        <f>IF(IF(ISERROR(MATCH(Stock!B$1,'Stock UST'!$1:$1,0)),A75,INDEX('Stock UST'!75:75,1,MATCH(Stock!B$1,'Stock UST'!$1:$1,0)))=0,"",IF(ISERROR(MATCH(Stock!B$1,'Stock UST'!$1:$1,0)),A75,INDEX('Stock UST'!75:75,1,MATCH(Stock!B$1,'Stock UST'!$1:$1,0))))</f>
        <v/>
      </c>
      <c r="C75" s="9" t="str">
        <f ca="1">IF(IF(ISERROR(MATCH(Stock!C$1,'Stock UST'!$1:$1,0)),B75,INDEX('Stock UST'!75:75,1,MATCH(Stock!C$1,'Stock UST'!$1:$1,0)))=0,"",IF(ISERROR(MATCH(Stock!C$1,'Stock UST'!$1:$1,0)),B75,INDEX('Stock UST'!75:75,1,MATCH(Stock!C$1,'Stock UST'!$1:$1,0))))</f>
        <v/>
      </c>
      <c r="D75" s="9" t="str">
        <f ca="1">IF(IF(ISERROR(MATCH(Stock!D$1,'Stock UST'!$1:$1,0)),C75,INDEX('Stock UST'!75:75,1,MATCH(Stock!D$1,'Stock UST'!$1:$1,0)))=0,"",IF(ISERROR(MATCH(Stock!D$1,'Stock UST'!$1:$1,0)),C75,INDEX('Stock UST'!75:75,1,MATCH(Stock!D$1,'Stock UST'!$1:$1,0))))</f>
        <v/>
      </c>
      <c r="E75" s="9" t="str">
        <f ca="1">IF(IF(ISERROR(MATCH(Stock!E$1,'Stock UST'!$1:$1,0)),D75,INDEX('Stock UST'!75:75,1,MATCH(Stock!E$1,'Stock UST'!$1:$1,0)))=0,"",IF(ISERROR(MATCH(Stock!E$1,'Stock UST'!$1:$1,0)),D75,INDEX('Stock UST'!75:75,1,MATCH(Stock!E$1,'Stock UST'!$1:$1,0))))</f>
        <v/>
      </c>
      <c r="F75" s="9" t="str">
        <f ca="1">IF(IF(ISERROR(MATCH(Stock!F$1,'Stock UST'!$1:$1,0)),E75,INDEX('Stock UST'!75:75,1,MATCH(Stock!F$1,'Stock UST'!$1:$1,0)))=0,"",IF(ISERROR(MATCH(Stock!F$1,'Stock UST'!$1:$1,0)),E75,INDEX('Stock UST'!75:75,1,MATCH(Stock!F$1,'Stock UST'!$1:$1,0))))</f>
        <v/>
      </c>
      <c r="G75" s="9" t="str">
        <f ca="1">IF(IF(ISERROR(MATCH(Stock!G$1,'Stock UST'!$1:$1,0)),F75,INDEX('Stock UST'!75:75,1,MATCH(Stock!G$1,'Stock UST'!$1:$1,0)))=0,"",IF(ISERROR(MATCH(Stock!G$1,'Stock UST'!$1:$1,0)),F75,INDEX('Stock UST'!75:75,1,MATCH(Stock!G$1,'Stock UST'!$1:$1,0))))</f>
        <v/>
      </c>
      <c r="H75" s="9" t="str">
        <f ca="1">IF(IF(ISERROR(MATCH(Stock!H$1,'Stock UST'!$1:$1,0)),G75,INDEX('Stock UST'!75:75,1,MATCH(Stock!H$1,'Stock UST'!$1:$1,0)))=0,"",IF(ISERROR(MATCH(Stock!H$1,'Stock UST'!$1:$1,0)),G75,INDEX('Stock UST'!75:75,1,MATCH(Stock!H$1,'Stock UST'!$1:$1,0))))</f>
        <v/>
      </c>
      <c r="I75" s="9" t="str">
        <f ca="1">IF(IF(ISERROR(MATCH(Stock!I$1,'Stock UST'!$1:$1,0)),H75,INDEX('Stock UST'!75:75,1,MATCH(Stock!I$1,'Stock UST'!$1:$1,0)))=0,"",IF(ISERROR(MATCH(Stock!I$1,'Stock UST'!$1:$1,0)),H75,INDEX('Stock UST'!75:75,1,MATCH(Stock!I$1,'Stock UST'!$1:$1,0))))</f>
        <v/>
      </c>
      <c r="J75" s="9" t="str">
        <f ca="1">IF(IF(ISERROR(MATCH(Stock!J$1,'Stock UST'!$1:$1,0)),I75,INDEX('Stock UST'!75:75,1,MATCH(Stock!J$1,'Stock UST'!$1:$1,0)))=0,"",IF(ISERROR(MATCH(Stock!J$1,'Stock UST'!$1:$1,0)),I75,INDEX('Stock UST'!75:75,1,MATCH(Stock!J$1,'Stock UST'!$1:$1,0))))</f>
        <v/>
      </c>
      <c r="K75" s="9" t="str">
        <f ca="1">IF(IF(ISERROR(MATCH(Stock!K$1,'Stock UST'!$1:$1,0)),J75,INDEX('Stock UST'!75:75,1,MATCH(Stock!K$1,'Stock UST'!$1:$1,0)))=0,"",IF(ISERROR(MATCH(Stock!K$1,'Stock UST'!$1:$1,0)),J75,INDEX('Stock UST'!75:75,1,MATCH(Stock!K$1,'Stock UST'!$1:$1,0))))</f>
        <v/>
      </c>
      <c r="L75" s="9" t="str">
        <f ca="1">IF(IF(ISERROR(MATCH(Stock!L$1,'Stock UST'!$1:$1,0)),K75,INDEX('Stock UST'!75:75,1,MATCH(Stock!L$1,'Stock UST'!$1:$1,0)))=0,"",IF(ISERROR(MATCH(Stock!L$1,'Stock UST'!$1:$1,0)),K75,INDEX('Stock UST'!75:75,1,MATCH(Stock!L$1,'Stock UST'!$1:$1,0))))</f>
        <v/>
      </c>
      <c r="M75" s="9" t="str">
        <f ca="1">IF(IF(ISERROR(MATCH(Stock!M$1,'Stock UST'!$1:$1,0)),L75,INDEX('Stock UST'!75:75,1,MATCH(Stock!M$1,'Stock UST'!$1:$1,0)))=0,"",IF(ISERROR(MATCH(Stock!M$1,'Stock UST'!$1:$1,0)),L75,INDEX('Stock UST'!75:75,1,MATCH(Stock!M$1,'Stock UST'!$1:$1,0))))</f>
        <v/>
      </c>
      <c r="N75" s="9" t="str">
        <f ca="1">IF(IF(ISERROR(MATCH(Stock!N$1,'Stock UST'!$1:$1,0)),M75,INDEX('Stock UST'!75:75,1,MATCH(Stock!N$1,'Stock UST'!$1:$1,0)))=0,"",IF(ISERROR(MATCH(Stock!N$1,'Stock UST'!$1:$1,0)),M75,INDEX('Stock UST'!75:75,1,MATCH(Stock!N$1,'Stock UST'!$1:$1,0))))</f>
        <v/>
      </c>
      <c r="O75" s="9" t="str">
        <f ca="1">IF(IF(ISERROR(MATCH(Stock!O$1,'Stock UST'!$1:$1,0)),N75,INDEX('Stock UST'!75:75,1,MATCH(Stock!O$1,'Stock UST'!$1:$1,0)))=0,"",IF(ISERROR(MATCH(Stock!O$1,'Stock UST'!$1:$1,0)),N75,INDEX('Stock UST'!75:75,1,MATCH(Stock!O$1,'Stock UST'!$1:$1,0))))</f>
        <v/>
      </c>
      <c r="P75" s="9" t="str">
        <f ca="1">IF(IF(ISERROR(MATCH(Stock!P$1,'Stock UST'!$1:$1,0)),O75,INDEX('Stock UST'!75:75,1,MATCH(Stock!P$1,'Stock UST'!$1:$1,0)))=0,"",IF(ISERROR(MATCH(Stock!P$1,'Stock UST'!$1:$1,0)),O75,INDEX('Stock UST'!75:75,1,MATCH(Stock!P$1,'Stock UST'!$1:$1,0))))</f>
        <v/>
      </c>
      <c r="Q75" s="9" t="str">
        <f ca="1">IF(IF(ISERROR(MATCH(Stock!Q$1,'Stock UST'!$1:$1,0)),P75,INDEX('Stock UST'!75:75,1,MATCH(Stock!Q$1,'Stock UST'!$1:$1,0)))=0,"",IF(ISERROR(MATCH(Stock!Q$1,'Stock UST'!$1:$1,0)),P75,INDEX('Stock UST'!75:75,1,MATCH(Stock!Q$1,'Stock UST'!$1:$1,0))))</f>
        <v/>
      </c>
      <c r="R75" s="9" t="str">
        <f ca="1">IF(IF(ISERROR(MATCH(Stock!R$1,'Stock UST'!$1:$1,0)),Q75,INDEX('Stock UST'!75:75,1,MATCH(Stock!R$1,'Stock UST'!$1:$1,0)))=0,"",IF(ISERROR(MATCH(Stock!R$1,'Stock UST'!$1:$1,0)),Q75,INDEX('Stock UST'!75:75,1,MATCH(Stock!R$1,'Stock UST'!$1:$1,0))))</f>
        <v/>
      </c>
      <c r="S75" s="9" t="str">
        <f ca="1">IF(IF(ISERROR(MATCH(Stock!S$1,'Stock UST'!$1:$1,0)),R75,INDEX('Stock UST'!75:75,1,MATCH(Stock!S$1,'Stock UST'!$1:$1,0)))=0,"",IF(ISERROR(MATCH(Stock!S$1,'Stock UST'!$1:$1,0)),R75,INDEX('Stock UST'!75:75,1,MATCH(Stock!S$1,'Stock UST'!$1:$1,0))))</f>
        <v/>
      </c>
      <c r="T75" s="9" t="str">
        <f ca="1">IF(IF(ISERROR(MATCH(Stock!T$1,'Stock UST'!$1:$1,0)),S75,INDEX('Stock UST'!75:75,1,MATCH(Stock!T$1,'Stock UST'!$1:$1,0)))=0,"",IF(ISERROR(MATCH(Stock!T$1,'Stock UST'!$1:$1,0)),S75,INDEX('Stock UST'!75:75,1,MATCH(Stock!T$1,'Stock UST'!$1:$1,0))))</f>
        <v/>
      </c>
      <c r="U75" s="9" t="str">
        <f ca="1">IF(IF(ISERROR(MATCH(Stock!U$1,'Stock UST'!$1:$1,0)),T75,INDEX('Stock UST'!75:75,1,MATCH(Stock!U$1,'Stock UST'!$1:$1,0)))=0,"",IF(ISERROR(MATCH(Stock!U$1,'Stock UST'!$1:$1,0)),T75,INDEX('Stock UST'!75:75,1,MATCH(Stock!U$1,'Stock UST'!$1:$1,0))))</f>
        <v/>
      </c>
      <c r="V75" s="9" t="str">
        <f ca="1">IF(IF(ISERROR(MATCH(Stock!V$1,'Stock UST'!$1:$1,0)),U75,INDEX('Stock UST'!75:75,1,MATCH(Stock!V$1,'Stock UST'!$1:$1,0)))=0,"",IF(ISERROR(MATCH(Stock!V$1,'Stock UST'!$1:$1,0)),U75,INDEX('Stock UST'!75:75,1,MATCH(Stock!V$1,'Stock UST'!$1:$1,0))))</f>
        <v/>
      </c>
      <c r="W75" s="9" t="str">
        <f ca="1">IF(IF(ISERROR(MATCH(Stock!W$1,'Stock UST'!$1:$1,0)),V75,INDEX('Stock UST'!75:75,1,MATCH(Stock!W$1,'Stock UST'!$1:$1,0)))=0,"",IF(ISERROR(MATCH(Stock!W$1,'Stock UST'!$1:$1,0)),V75,INDEX('Stock UST'!75:75,1,MATCH(Stock!W$1,'Stock UST'!$1:$1,0))))</f>
        <v/>
      </c>
      <c r="X75" s="9" t="str">
        <f ca="1">IF(IF(ISERROR(MATCH(Stock!X$1,'Stock UST'!$1:$1,0)),W75,INDEX('Stock UST'!75:75,1,MATCH(Stock!X$1,'Stock UST'!$1:$1,0)))=0,"",IF(ISERROR(MATCH(Stock!X$1,'Stock UST'!$1:$1,0)),W75,INDEX('Stock UST'!75:75,1,MATCH(Stock!X$1,'Stock UST'!$1:$1,0))))</f>
        <v/>
      </c>
      <c r="Y75" s="9" t="str">
        <f ca="1">IF(IF(ISERROR(MATCH(Stock!Y$1,'Stock UST'!$1:$1,0)),X75,INDEX('Stock UST'!75:75,1,MATCH(Stock!Y$1,'Stock UST'!$1:$1,0)))=0,"",IF(ISERROR(MATCH(Stock!Y$1,'Stock UST'!$1:$1,0)),X75,INDEX('Stock UST'!75:75,1,MATCH(Stock!Y$1,'Stock UST'!$1:$1,0))))</f>
        <v/>
      </c>
      <c r="Z75" s="9" t="str">
        <f ca="1">IF(IF(ISERROR(MATCH(Stock!Z$1,'Stock UST'!$1:$1,0)),Y75,INDEX('Stock UST'!75:75,1,MATCH(Stock!Z$1,'Stock UST'!$1:$1,0)))=0,"",IF(ISERROR(MATCH(Stock!Z$1,'Stock UST'!$1:$1,0)),Y75,INDEX('Stock UST'!75:75,1,MATCH(Stock!Z$1,'Stock UST'!$1:$1,0))))</f>
        <v/>
      </c>
      <c r="AA75" s="9" t="str">
        <f ca="1">IF(IF(ISERROR(MATCH(Stock!AA$1,'Stock UST'!$1:$1,0)),Z75,INDEX('Stock UST'!75:75,1,MATCH(Stock!AA$1,'Stock UST'!$1:$1,0)))=0,"",IF(ISERROR(MATCH(Stock!AA$1,'Stock UST'!$1:$1,0)),Z75,INDEX('Stock UST'!75:75,1,MATCH(Stock!AA$1,'Stock UST'!$1:$1,0))))</f>
        <v/>
      </c>
      <c r="AB75" s="9" t="str">
        <f ca="1">IF(IF(ISERROR(MATCH(Stock!AB$1,'Stock UST'!$1:$1,0)),AA75,INDEX('Stock UST'!75:75,1,MATCH(Stock!AB$1,'Stock UST'!$1:$1,0)))=0,"",IF(ISERROR(MATCH(Stock!AB$1,'Stock UST'!$1:$1,0)),AA75,INDEX('Stock UST'!75:75,1,MATCH(Stock!AB$1,'Stock UST'!$1:$1,0))))</f>
        <v/>
      </c>
      <c r="AC75" s="9" t="str">
        <f ca="1">IF(IF(ISERROR(MATCH(Stock!AC$1,'Stock UST'!$1:$1,0)),AB75,INDEX('Stock UST'!75:75,1,MATCH(Stock!AC$1,'Stock UST'!$1:$1,0)))=0,"",IF(ISERROR(MATCH(Stock!AC$1,'Stock UST'!$1:$1,0)),AB75,INDEX('Stock UST'!75:75,1,MATCH(Stock!AC$1,'Stock UST'!$1:$1,0))))</f>
        <v/>
      </c>
      <c r="AD75" s="9" t="str">
        <f ca="1">IF(IF(ISERROR(MATCH(Stock!AD$1,'Stock UST'!$1:$1,0)),AC75,INDEX('Stock UST'!75:75,1,MATCH(Stock!AD$1,'Stock UST'!$1:$1,0)))=0,"",IF(ISERROR(MATCH(Stock!AD$1,'Stock UST'!$1:$1,0)),AC75,INDEX('Stock UST'!75:75,1,MATCH(Stock!AD$1,'Stock UST'!$1:$1,0))))</f>
        <v/>
      </c>
      <c r="AE75" s="9" t="str">
        <f ca="1">IF(IF(ISERROR(MATCH(Stock!AE$1,'Stock UST'!$1:$1,0)),AD75,INDEX('Stock UST'!75:75,1,MATCH(Stock!AE$1,'Stock UST'!$1:$1,0)))=0,"",IF(ISERROR(MATCH(Stock!AE$1,'Stock UST'!$1:$1,0)),AD75,INDEX('Stock UST'!75:75,1,MATCH(Stock!AE$1,'Stock UST'!$1:$1,0))))</f>
        <v/>
      </c>
      <c r="AF75" s="9" t="str">
        <f ca="1">IF(IF(ISERROR(MATCH(Stock!AF$1,'Stock UST'!$1:$1,0)),AE75,INDEX('Stock UST'!75:75,1,MATCH(Stock!AF$1,'Stock UST'!$1:$1,0)))=0,"",IF(ISERROR(MATCH(Stock!AF$1,'Stock UST'!$1:$1,0)),AE75,INDEX('Stock UST'!75:75,1,MATCH(Stock!AF$1,'Stock UST'!$1:$1,0))))</f>
        <v/>
      </c>
      <c r="AG75" s="9" t="str">
        <f ca="1">IF(IF(ISERROR(MATCH(Stock!AG$1,'Stock UST'!$1:$1,0)),AF75,INDEX('Stock UST'!75:75,1,MATCH(Stock!AG$1,'Stock UST'!$1:$1,0)))=0,"",IF(ISERROR(MATCH(Stock!AG$1,'Stock UST'!$1:$1,0)),AF75,INDEX('Stock UST'!75:75,1,MATCH(Stock!AG$1,'Stock UST'!$1:$1,0))))</f>
        <v/>
      </c>
      <c r="AH75" s="9" t="str">
        <f ca="1">IF(IF(ISERROR(MATCH(Stock!AH$1,'Stock UST'!$1:$1,0)),AG75,INDEX('Stock UST'!75:75,1,MATCH(Stock!AH$1,'Stock UST'!$1:$1,0)))=0,"",IF(ISERROR(MATCH(Stock!AH$1,'Stock UST'!$1:$1,0)),AG75,INDEX('Stock UST'!75:75,1,MATCH(Stock!AH$1,'Stock UST'!$1:$1,0))))</f>
        <v/>
      </c>
      <c r="AI75" s="9" t="str">
        <f ca="1">IF(IF(ISERROR(MATCH(Stock!AI$1,'Stock UST'!$1:$1,0)),AH75,INDEX('Stock UST'!75:75,1,MATCH(Stock!AI$1,'Stock UST'!$1:$1,0)))=0,"",IF(ISERROR(MATCH(Stock!AI$1,'Stock UST'!$1:$1,0)),AH75,INDEX('Stock UST'!75:75,1,MATCH(Stock!AI$1,'Stock UST'!$1:$1,0))))</f>
        <v/>
      </c>
      <c r="AJ75" s="9" t="str">
        <f ca="1">IF(IF(ISERROR(MATCH(Stock!AJ$1,'Stock UST'!$1:$1,0)),AI75,INDEX('Stock UST'!75:75,1,MATCH(Stock!AJ$1,'Stock UST'!$1:$1,0)))=0,"",IF(ISERROR(MATCH(Stock!AJ$1,'Stock UST'!$1:$1,0)),AI75,INDEX('Stock UST'!75:75,1,MATCH(Stock!AJ$1,'Stock UST'!$1:$1,0))))</f>
        <v/>
      </c>
      <c r="AK75" s="9" t="str">
        <f ca="1">IF(IF(ISERROR(MATCH(Stock!AK$1,'Stock UST'!$1:$1,0)),AJ75,INDEX('Stock UST'!75:75,1,MATCH(Stock!AK$1,'Stock UST'!$1:$1,0)))=0,"",IF(ISERROR(MATCH(Stock!AK$1,'Stock UST'!$1:$1,0)),AJ75,INDEX('Stock UST'!75:75,1,MATCH(Stock!AK$1,'Stock UST'!$1:$1,0))))</f>
        <v/>
      </c>
      <c r="AL75" s="9" t="str">
        <f ca="1">IF(IF(ISERROR(MATCH(Stock!AL$1,'Stock UST'!$1:$1,0)),AK75,INDEX('Stock UST'!75:75,1,MATCH(Stock!AL$1,'Stock UST'!$1:$1,0)))=0,"",IF(ISERROR(MATCH(Stock!AL$1,'Stock UST'!$1:$1,0)),AK75,INDEX('Stock UST'!75:75,1,MATCH(Stock!AL$1,'Stock UST'!$1:$1,0))))</f>
        <v/>
      </c>
      <c r="AM75" s="9" t="str">
        <f ca="1">IF(IF(ISERROR(MATCH(Stock!AM$1,'Stock UST'!$1:$1,0)),AL75,INDEX('Stock UST'!75:75,1,MATCH(Stock!AM$1,'Stock UST'!$1:$1,0)))=0,"",IF(ISERROR(MATCH(Stock!AM$1,'Stock UST'!$1:$1,0)),AL75,INDEX('Stock UST'!75:75,1,MATCH(Stock!AM$1,'Stock UST'!$1:$1,0))))</f>
        <v/>
      </c>
      <c r="AN75" s="9" t="str">
        <f ca="1">IF(IF(ISERROR(MATCH(Stock!AN$1,'Stock UST'!$1:$1,0)),AM75,INDEX('Stock UST'!75:75,1,MATCH(Stock!AN$1,'Stock UST'!$1:$1,0)))=0,"",IF(ISERROR(MATCH(Stock!AN$1,'Stock UST'!$1:$1,0)),AM75,INDEX('Stock UST'!75:75,1,MATCH(Stock!AN$1,'Stock UST'!$1:$1,0))))</f>
        <v/>
      </c>
      <c r="AO75" s="9" t="str">
        <f ca="1">IF(IF(ISERROR(MATCH(Stock!AO$1,'Stock UST'!$1:$1,0)),AN75,INDEX('Stock UST'!75:75,1,MATCH(Stock!AO$1,'Stock UST'!$1:$1,0)))=0,"",IF(ISERROR(MATCH(Stock!AO$1,'Stock UST'!$1:$1,0)),AN75,INDEX('Stock UST'!75:75,1,MATCH(Stock!AO$1,'Stock UST'!$1:$1,0))))</f>
        <v/>
      </c>
      <c r="AP75" s="9" t="str">
        <f ca="1">IF(IF(ISERROR(MATCH(Stock!AP$1,'Stock UST'!$1:$1,0)),AO75,INDEX('Stock UST'!75:75,1,MATCH(Stock!AP$1,'Stock UST'!$1:$1,0)))=0,"",IF(ISERROR(MATCH(Stock!AP$1,'Stock UST'!$1:$1,0)),AO75,INDEX('Stock UST'!75:75,1,MATCH(Stock!AP$1,'Stock UST'!$1:$1,0))))</f>
        <v/>
      </c>
      <c r="AQ75" s="9" t="str">
        <f ca="1">IF(IF(ISERROR(MATCH(Stock!AQ$1,'Stock UST'!$1:$1,0)),AP75,INDEX('Stock UST'!75:75,1,MATCH(Stock!AQ$1,'Stock UST'!$1:$1,0)))=0,"",IF(ISERROR(MATCH(Stock!AQ$1,'Stock UST'!$1:$1,0)),AP75,INDEX('Stock UST'!75:75,1,MATCH(Stock!AQ$1,'Stock UST'!$1:$1,0))))</f>
        <v/>
      </c>
      <c r="AR75" s="9" t="str">
        <f ca="1">IF(IF(ISERROR(MATCH(Stock!AR$1,'Stock UST'!$1:$1,0)),AQ75,INDEX('Stock UST'!75:75,1,MATCH(Stock!AR$1,'Stock UST'!$1:$1,0)))=0,"",IF(ISERROR(MATCH(Stock!AR$1,'Stock UST'!$1:$1,0)),AQ75,INDEX('Stock UST'!75:75,1,MATCH(Stock!AR$1,'Stock UST'!$1:$1,0))))</f>
        <v/>
      </c>
      <c r="AS75" s="9" t="str">
        <f ca="1">IF(IF(ISERROR(MATCH(Stock!AS$1,'Stock UST'!$1:$1,0)),AR75,INDEX('Stock UST'!75:75,1,MATCH(Stock!AS$1,'Stock UST'!$1:$1,0)))=0,"",IF(ISERROR(MATCH(Stock!AS$1,'Stock UST'!$1:$1,0)),AR75,INDEX('Stock UST'!75:75,1,MATCH(Stock!AS$1,'Stock UST'!$1:$1,0))))</f>
        <v/>
      </c>
      <c r="AT75" s="9" t="str">
        <f ca="1">IF(IF(ISERROR(MATCH(Stock!AT$1,'Stock UST'!$1:$1,0)),AS75,INDEX('Stock UST'!75:75,1,MATCH(Stock!AT$1,'Stock UST'!$1:$1,0)))=0,"",IF(ISERROR(MATCH(Stock!AT$1,'Stock UST'!$1:$1,0)),AS75,INDEX('Stock UST'!75:75,1,MATCH(Stock!AT$1,'Stock UST'!$1:$1,0))))</f>
        <v/>
      </c>
      <c r="AU75" s="9" t="str">
        <f ca="1">IF(IF(ISERROR(MATCH(Stock!AU$1,'Stock UST'!$1:$1,0)),AT75,INDEX('Stock UST'!75:75,1,MATCH(Stock!AU$1,'Stock UST'!$1:$1,0)))=0,"",IF(ISERROR(MATCH(Stock!AU$1,'Stock UST'!$1:$1,0)),AT75,INDEX('Stock UST'!75:75,1,MATCH(Stock!AU$1,'Stock UST'!$1:$1,0))))</f>
        <v/>
      </c>
      <c r="AV75" s="9" t="str">
        <f ca="1">IF(IF(ISERROR(MATCH(Stock!AV$1,'Stock UST'!$1:$1,0)),AU75,INDEX('Stock UST'!75:75,1,MATCH(Stock!AV$1,'Stock UST'!$1:$1,0)))=0,"",IF(ISERROR(MATCH(Stock!AV$1,'Stock UST'!$1:$1,0)),AU75,INDEX('Stock UST'!75:75,1,MATCH(Stock!AV$1,'Stock UST'!$1:$1,0))))</f>
        <v/>
      </c>
      <c r="AW75" s="9" t="str">
        <f ca="1">IF(IF(ISERROR(MATCH(Stock!AW$1,'Stock UST'!$1:$1,0)),AV75,INDEX('Stock UST'!75:75,1,MATCH(Stock!AW$1,'Stock UST'!$1:$1,0)))=0,"",IF(ISERROR(MATCH(Stock!AW$1,'Stock UST'!$1:$1,0)),AV75,INDEX('Stock UST'!75:75,1,MATCH(Stock!AW$1,'Stock UST'!$1:$1,0))))</f>
        <v/>
      </c>
      <c r="AX75" s="9" t="str">
        <f ca="1">IF(IF(ISERROR(MATCH(Stock!AX$1,'Stock UST'!$1:$1,0)),AW75,INDEX('Stock UST'!75:75,1,MATCH(Stock!AX$1,'Stock UST'!$1:$1,0)))=0,"",IF(ISERROR(MATCH(Stock!AX$1,'Stock UST'!$1:$1,0)),AW75,INDEX('Stock UST'!75:75,1,MATCH(Stock!AX$1,'Stock UST'!$1:$1,0))))</f>
        <v/>
      </c>
    </row>
    <row r="76" spans="1:50" x14ac:dyDescent="0.3">
      <c r="A76" s="9" t="str">
        <f>IF('Stock UST'!E76="","",'Stock UST'!E76)</f>
        <v/>
      </c>
      <c r="B76" s="9" t="str">
        <f>IF(IF(ISERROR(MATCH(Stock!B$1,'Stock UST'!$1:$1,0)),A76,INDEX('Stock UST'!76:76,1,MATCH(Stock!B$1,'Stock UST'!$1:$1,0)))=0,"",IF(ISERROR(MATCH(Stock!B$1,'Stock UST'!$1:$1,0)),A76,INDEX('Stock UST'!76:76,1,MATCH(Stock!B$1,'Stock UST'!$1:$1,0))))</f>
        <v/>
      </c>
      <c r="C76" s="9" t="str">
        <f ca="1">IF(IF(ISERROR(MATCH(Stock!C$1,'Stock UST'!$1:$1,0)),B76,INDEX('Stock UST'!76:76,1,MATCH(Stock!C$1,'Stock UST'!$1:$1,0)))=0,"",IF(ISERROR(MATCH(Stock!C$1,'Stock UST'!$1:$1,0)),B76,INDEX('Stock UST'!76:76,1,MATCH(Stock!C$1,'Stock UST'!$1:$1,0))))</f>
        <v/>
      </c>
      <c r="D76" s="9" t="str">
        <f ca="1">IF(IF(ISERROR(MATCH(Stock!D$1,'Stock UST'!$1:$1,0)),C76,INDEX('Stock UST'!76:76,1,MATCH(Stock!D$1,'Stock UST'!$1:$1,0)))=0,"",IF(ISERROR(MATCH(Stock!D$1,'Stock UST'!$1:$1,0)),C76,INDEX('Stock UST'!76:76,1,MATCH(Stock!D$1,'Stock UST'!$1:$1,0))))</f>
        <v/>
      </c>
      <c r="E76" s="9" t="str">
        <f ca="1">IF(IF(ISERROR(MATCH(Stock!E$1,'Stock UST'!$1:$1,0)),D76,INDEX('Stock UST'!76:76,1,MATCH(Stock!E$1,'Stock UST'!$1:$1,0)))=0,"",IF(ISERROR(MATCH(Stock!E$1,'Stock UST'!$1:$1,0)),D76,INDEX('Stock UST'!76:76,1,MATCH(Stock!E$1,'Stock UST'!$1:$1,0))))</f>
        <v/>
      </c>
      <c r="F76" s="9" t="str">
        <f ca="1">IF(IF(ISERROR(MATCH(Stock!F$1,'Stock UST'!$1:$1,0)),E76,INDEX('Stock UST'!76:76,1,MATCH(Stock!F$1,'Stock UST'!$1:$1,0)))=0,"",IF(ISERROR(MATCH(Stock!F$1,'Stock UST'!$1:$1,0)),E76,INDEX('Stock UST'!76:76,1,MATCH(Stock!F$1,'Stock UST'!$1:$1,0))))</f>
        <v/>
      </c>
      <c r="G76" s="9" t="str">
        <f ca="1">IF(IF(ISERROR(MATCH(Stock!G$1,'Stock UST'!$1:$1,0)),F76,INDEX('Stock UST'!76:76,1,MATCH(Stock!G$1,'Stock UST'!$1:$1,0)))=0,"",IF(ISERROR(MATCH(Stock!G$1,'Stock UST'!$1:$1,0)),F76,INDEX('Stock UST'!76:76,1,MATCH(Stock!G$1,'Stock UST'!$1:$1,0))))</f>
        <v/>
      </c>
      <c r="H76" s="9" t="str">
        <f ca="1">IF(IF(ISERROR(MATCH(Stock!H$1,'Stock UST'!$1:$1,0)),G76,INDEX('Stock UST'!76:76,1,MATCH(Stock!H$1,'Stock UST'!$1:$1,0)))=0,"",IF(ISERROR(MATCH(Stock!H$1,'Stock UST'!$1:$1,0)),G76,INDEX('Stock UST'!76:76,1,MATCH(Stock!H$1,'Stock UST'!$1:$1,0))))</f>
        <v/>
      </c>
      <c r="I76" s="9" t="str">
        <f ca="1">IF(IF(ISERROR(MATCH(Stock!I$1,'Stock UST'!$1:$1,0)),H76,INDEX('Stock UST'!76:76,1,MATCH(Stock!I$1,'Stock UST'!$1:$1,0)))=0,"",IF(ISERROR(MATCH(Stock!I$1,'Stock UST'!$1:$1,0)),H76,INDEX('Stock UST'!76:76,1,MATCH(Stock!I$1,'Stock UST'!$1:$1,0))))</f>
        <v/>
      </c>
      <c r="J76" s="9" t="str">
        <f ca="1">IF(IF(ISERROR(MATCH(Stock!J$1,'Stock UST'!$1:$1,0)),I76,INDEX('Stock UST'!76:76,1,MATCH(Stock!J$1,'Stock UST'!$1:$1,0)))=0,"",IF(ISERROR(MATCH(Stock!J$1,'Stock UST'!$1:$1,0)),I76,INDEX('Stock UST'!76:76,1,MATCH(Stock!J$1,'Stock UST'!$1:$1,0))))</f>
        <v/>
      </c>
      <c r="K76" s="9" t="str">
        <f ca="1">IF(IF(ISERROR(MATCH(Stock!K$1,'Stock UST'!$1:$1,0)),J76,INDEX('Stock UST'!76:76,1,MATCH(Stock!K$1,'Stock UST'!$1:$1,0)))=0,"",IF(ISERROR(MATCH(Stock!K$1,'Stock UST'!$1:$1,0)),J76,INDEX('Stock UST'!76:76,1,MATCH(Stock!K$1,'Stock UST'!$1:$1,0))))</f>
        <v/>
      </c>
      <c r="L76" s="9" t="str">
        <f ca="1">IF(IF(ISERROR(MATCH(Stock!L$1,'Stock UST'!$1:$1,0)),K76,INDEX('Stock UST'!76:76,1,MATCH(Stock!L$1,'Stock UST'!$1:$1,0)))=0,"",IF(ISERROR(MATCH(Stock!L$1,'Stock UST'!$1:$1,0)),K76,INDEX('Stock UST'!76:76,1,MATCH(Stock!L$1,'Stock UST'!$1:$1,0))))</f>
        <v/>
      </c>
      <c r="M76" s="9" t="str">
        <f ca="1">IF(IF(ISERROR(MATCH(Stock!M$1,'Stock UST'!$1:$1,0)),L76,INDEX('Stock UST'!76:76,1,MATCH(Stock!M$1,'Stock UST'!$1:$1,0)))=0,"",IF(ISERROR(MATCH(Stock!M$1,'Stock UST'!$1:$1,0)),L76,INDEX('Stock UST'!76:76,1,MATCH(Stock!M$1,'Stock UST'!$1:$1,0))))</f>
        <v/>
      </c>
      <c r="N76" s="9" t="str">
        <f ca="1">IF(IF(ISERROR(MATCH(Stock!N$1,'Stock UST'!$1:$1,0)),M76,INDEX('Stock UST'!76:76,1,MATCH(Stock!N$1,'Stock UST'!$1:$1,0)))=0,"",IF(ISERROR(MATCH(Stock!N$1,'Stock UST'!$1:$1,0)),M76,INDEX('Stock UST'!76:76,1,MATCH(Stock!N$1,'Stock UST'!$1:$1,0))))</f>
        <v/>
      </c>
      <c r="O76" s="9" t="str">
        <f ca="1">IF(IF(ISERROR(MATCH(Stock!O$1,'Stock UST'!$1:$1,0)),N76,INDEX('Stock UST'!76:76,1,MATCH(Stock!O$1,'Stock UST'!$1:$1,0)))=0,"",IF(ISERROR(MATCH(Stock!O$1,'Stock UST'!$1:$1,0)),N76,INDEX('Stock UST'!76:76,1,MATCH(Stock!O$1,'Stock UST'!$1:$1,0))))</f>
        <v/>
      </c>
      <c r="P76" s="9" t="str">
        <f ca="1">IF(IF(ISERROR(MATCH(Stock!P$1,'Stock UST'!$1:$1,0)),O76,INDEX('Stock UST'!76:76,1,MATCH(Stock!P$1,'Stock UST'!$1:$1,0)))=0,"",IF(ISERROR(MATCH(Stock!P$1,'Stock UST'!$1:$1,0)),O76,INDEX('Stock UST'!76:76,1,MATCH(Stock!P$1,'Stock UST'!$1:$1,0))))</f>
        <v/>
      </c>
      <c r="Q76" s="9" t="str">
        <f ca="1">IF(IF(ISERROR(MATCH(Stock!Q$1,'Stock UST'!$1:$1,0)),P76,INDEX('Stock UST'!76:76,1,MATCH(Stock!Q$1,'Stock UST'!$1:$1,0)))=0,"",IF(ISERROR(MATCH(Stock!Q$1,'Stock UST'!$1:$1,0)),P76,INDEX('Stock UST'!76:76,1,MATCH(Stock!Q$1,'Stock UST'!$1:$1,0))))</f>
        <v/>
      </c>
      <c r="R76" s="9" t="str">
        <f ca="1">IF(IF(ISERROR(MATCH(Stock!R$1,'Stock UST'!$1:$1,0)),Q76,INDEX('Stock UST'!76:76,1,MATCH(Stock!R$1,'Stock UST'!$1:$1,0)))=0,"",IF(ISERROR(MATCH(Stock!R$1,'Stock UST'!$1:$1,0)),Q76,INDEX('Stock UST'!76:76,1,MATCH(Stock!R$1,'Stock UST'!$1:$1,0))))</f>
        <v/>
      </c>
      <c r="S76" s="9" t="str">
        <f ca="1">IF(IF(ISERROR(MATCH(Stock!S$1,'Stock UST'!$1:$1,0)),R76,INDEX('Stock UST'!76:76,1,MATCH(Stock!S$1,'Stock UST'!$1:$1,0)))=0,"",IF(ISERROR(MATCH(Stock!S$1,'Stock UST'!$1:$1,0)),R76,INDEX('Stock UST'!76:76,1,MATCH(Stock!S$1,'Stock UST'!$1:$1,0))))</f>
        <v/>
      </c>
      <c r="T76" s="9" t="str">
        <f ca="1">IF(IF(ISERROR(MATCH(Stock!T$1,'Stock UST'!$1:$1,0)),S76,INDEX('Stock UST'!76:76,1,MATCH(Stock!T$1,'Stock UST'!$1:$1,0)))=0,"",IF(ISERROR(MATCH(Stock!T$1,'Stock UST'!$1:$1,0)),S76,INDEX('Stock UST'!76:76,1,MATCH(Stock!T$1,'Stock UST'!$1:$1,0))))</f>
        <v/>
      </c>
      <c r="U76" s="9" t="str">
        <f ca="1">IF(IF(ISERROR(MATCH(Stock!U$1,'Stock UST'!$1:$1,0)),T76,INDEX('Stock UST'!76:76,1,MATCH(Stock!U$1,'Stock UST'!$1:$1,0)))=0,"",IF(ISERROR(MATCH(Stock!U$1,'Stock UST'!$1:$1,0)),T76,INDEX('Stock UST'!76:76,1,MATCH(Stock!U$1,'Stock UST'!$1:$1,0))))</f>
        <v/>
      </c>
      <c r="V76" s="9" t="str">
        <f ca="1">IF(IF(ISERROR(MATCH(Stock!V$1,'Stock UST'!$1:$1,0)),U76,INDEX('Stock UST'!76:76,1,MATCH(Stock!V$1,'Stock UST'!$1:$1,0)))=0,"",IF(ISERROR(MATCH(Stock!V$1,'Stock UST'!$1:$1,0)),U76,INDEX('Stock UST'!76:76,1,MATCH(Stock!V$1,'Stock UST'!$1:$1,0))))</f>
        <v/>
      </c>
      <c r="W76" s="9" t="str">
        <f ca="1">IF(IF(ISERROR(MATCH(Stock!W$1,'Stock UST'!$1:$1,0)),V76,INDEX('Stock UST'!76:76,1,MATCH(Stock!W$1,'Stock UST'!$1:$1,0)))=0,"",IF(ISERROR(MATCH(Stock!W$1,'Stock UST'!$1:$1,0)),V76,INDEX('Stock UST'!76:76,1,MATCH(Stock!W$1,'Stock UST'!$1:$1,0))))</f>
        <v/>
      </c>
      <c r="X76" s="9" t="str">
        <f ca="1">IF(IF(ISERROR(MATCH(Stock!X$1,'Stock UST'!$1:$1,0)),W76,INDEX('Stock UST'!76:76,1,MATCH(Stock!X$1,'Stock UST'!$1:$1,0)))=0,"",IF(ISERROR(MATCH(Stock!X$1,'Stock UST'!$1:$1,0)),W76,INDEX('Stock UST'!76:76,1,MATCH(Stock!X$1,'Stock UST'!$1:$1,0))))</f>
        <v/>
      </c>
      <c r="Y76" s="9" t="str">
        <f ca="1">IF(IF(ISERROR(MATCH(Stock!Y$1,'Stock UST'!$1:$1,0)),X76,INDEX('Stock UST'!76:76,1,MATCH(Stock!Y$1,'Stock UST'!$1:$1,0)))=0,"",IF(ISERROR(MATCH(Stock!Y$1,'Stock UST'!$1:$1,0)),X76,INDEX('Stock UST'!76:76,1,MATCH(Stock!Y$1,'Stock UST'!$1:$1,0))))</f>
        <v/>
      </c>
      <c r="Z76" s="9" t="str">
        <f ca="1">IF(IF(ISERROR(MATCH(Stock!Z$1,'Stock UST'!$1:$1,0)),Y76,INDEX('Stock UST'!76:76,1,MATCH(Stock!Z$1,'Stock UST'!$1:$1,0)))=0,"",IF(ISERROR(MATCH(Stock!Z$1,'Stock UST'!$1:$1,0)),Y76,INDEX('Stock UST'!76:76,1,MATCH(Stock!Z$1,'Stock UST'!$1:$1,0))))</f>
        <v/>
      </c>
      <c r="AA76" s="9" t="str">
        <f ca="1">IF(IF(ISERROR(MATCH(Stock!AA$1,'Stock UST'!$1:$1,0)),Z76,INDEX('Stock UST'!76:76,1,MATCH(Stock!AA$1,'Stock UST'!$1:$1,0)))=0,"",IF(ISERROR(MATCH(Stock!AA$1,'Stock UST'!$1:$1,0)),Z76,INDEX('Stock UST'!76:76,1,MATCH(Stock!AA$1,'Stock UST'!$1:$1,0))))</f>
        <v/>
      </c>
      <c r="AB76" s="9" t="str">
        <f ca="1">IF(IF(ISERROR(MATCH(Stock!AB$1,'Stock UST'!$1:$1,0)),AA76,INDEX('Stock UST'!76:76,1,MATCH(Stock!AB$1,'Stock UST'!$1:$1,0)))=0,"",IF(ISERROR(MATCH(Stock!AB$1,'Stock UST'!$1:$1,0)),AA76,INDEX('Stock UST'!76:76,1,MATCH(Stock!AB$1,'Stock UST'!$1:$1,0))))</f>
        <v/>
      </c>
      <c r="AC76" s="9" t="str">
        <f ca="1">IF(IF(ISERROR(MATCH(Stock!AC$1,'Stock UST'!$1:$1,0)),AB76,INDEX('Stock UST'!76:76,1,MATCH(Stock!AC$1,'Stock UST'!$1:$1,0)))=0,"",IF(ISERROR(MATCH(Stock!AC$1,'Stock UST'!$1:$1,0)),AB76,INDEX('Stock UST'!76:76,1,MATCH(Stock!AC$1,'Stock UST'!$1:$1,0))))</f>
        <v/>
      </c>
      <c r="AD76" s="9" t="str">
        <f ca="1">IF(IF(ISERROR(MATCH(Stock!AD$1,'Stock UST'!$1:$1,0)),AC76,INDEX('Stock UST'!76:76,1,MATCH(Stock!AD$1,'Stock UST'!$1:$1,0)))=0,"",IF(ISERROR(MATCH(Stock!AD$1,'Stock UST'!$1:$1,0)),AC76,INDEX('Stock UST'!76:76,1,MATCH(Stock!AD$1,'Stock UST'!$1:$1,0))))</f>
        <v/>
      </c>
      <c r="AE76" s="9" t="str">
        <f ca="1">IF(IF(ISERROR(MATCH(Stock!AE$1,'Stock UST'!$1:$1,0)),AD76,INDEX('Stock UST'!76:76,1,MATCH(Stock!AE$1,'Stock UST'!$1:$1,0)))=0,"",IF(ISERROR(MATCH(Stock!AE$1,'Stock UST'!$1:$1,0)),AD76,INDEX('Stock UST'!76:76,1,MATCH(Stock!AE$1,'Stock UST'!$1:$1,0))))</f>
        <v/>
      </c>
      <c r="AF76" s="9" t="str">
        <f ca="1">IF(IF(ISERROR(MATCH(Stock!AF$1,'Stock UST'!$1:$1,0)),AE76,INDEX('Stock UST'!76:76,1,MATCH(Stock!AF$1,'Stock UST'!$1:$1,0)))=0,"",IF(ISERROR(MATCH(Stock!AF$1,'Stock UST'!$1:$1,0)),AE76,INDEX('Stock UST'!76:76,1,MATCH(Stock!AF$1,'Stock UST'!$1:$1,0))))</f>
        <v/>
      </c>
      <c r="AG76" s="9" t="str">
        <f ca="1">IF(IF(ISERROR(MATCH(Stock!AG$1,'Stock UST'!$1:$1,0)),AF76,INDEX('Stock UST'!76:76,1,MATCH(Stock!AG$1,'Stock UST'!$1:$1,0)))=0,"",IF(ISERROR(MATCH(Stock!AG$1,'Stock UST'!$1:$1,0)),AF76,INDEX('Stock UST'!76:76,1,MATCH(Stock!AG$1,'Stock UST'!$1:$1,0))))</f>
        <v/>
      </c>
      <c r="AH76" s="9" t="str">
        <f ca="1">IF(IF(ISERROR(MATCH(Stock!AH$1,'Stock UST'!$1:$1,0)),AG76,INDEX('Stock UST'!76:76,1,MATCH(Stock!AH$1,'Stock UST'!$1:$1,0)))=0,"",IF(ISERROR(MATCH(Stock!AH$1,'Stock UST'!$1:$1,0)),AG76,INDEX('Stock UST'!76:76,1,MATCH(Stock!AH$1,'Stock UST'!$1:$1,0))))</f>
        <v/>
      </c>
      <c r="AI76" s="9" t="str">
        <f ca="1">IF(IF(ISERROR(MATCH(Stock!AI$1,'Stock UST'!$1:$1,0)),AH76,INDEX('Stock UST'!76:76,1,MATCH(Stock!AI$1,'Stock UST'!$1:$1,0)))=0,"",IF(ISERROR(MATCH(Stock!AI$1,'Stock UST'!$1:$1,0)),AH76,INDEX('Stock UST'!76:76,1,MATCH(Stock!AI$1,'Stock UST'!$1:$1,0))))</f>
        <v/>
      </c>
      <c r="AJ76" s="9" t="str">
        <f ca="1">IF(IF(ISERROR(MATCH(Stock!AJ$1,'Stock UST'!$1:$1,0)),AI76,INDEX('Stock UST'!76:76,1,MATCH(Stock!AJ$1,'Stock UST'!$1:$1,0)))=0,"",IF(ISERROR(MATCH(Stock!AJ$1,'Stock UST'!$1:$1,0)),AI76,INDEX('Stock UST'!76:76,1,MATCH(Stock!AJ$1,'Stock UST'!$1:$1,0))))</f>
        <v/>
      </c>
      <c r="AK76" s="9" t="str">
        <f ca="1">IF(IF(ISERROR(MATCH(Stock!AK$1,'Stock UST'!$1:$1,0)),AJ76,INDEX('Stock UST'!76:76,1,MATCH(Stock!AK$1,'Stock UST'!$1:$1,0)))=0,"",IF(ISERROR(MATCH(Stock!AK$1,'Stock UST'!$1:$1,0)),AJ76,INDEX('Stock UST'!76:76,1,MATCH(Stock!AK$1,'Stock UST'!$1:$1,0))))</f>
        <v/>
      </c>
      <c r="AL76" s="9" t="str">
        <f ca="1">IF(IF(ISERROR(MATCH(Stock!AL$1,'Stock UST'!$1:$1,0)),AK76,INDEX('Stock UST'!76:76,1,MATCH(Stock!AL$1,'Stock UST'!$1:$1,0)))=0,"",IF(ISERROR(MATCH(Stock!AL$1,'Stock UST'!$1:$1,0)),AK76,INDEX('Stock UST'!76:76,1,MATCH(Stock!AL$1,'Stock UST'!$1:$1,0))))</f>
        <v/>
      </c>
      <c r="AM76" s="9" t="str">
        <f ca="1">IF(IF(ISERROR(MATCH(Stock!AM$1,'Stock UST'!$1:$1,0)),AL76,INDEX('Stock UST'!76:76,1,MATCH(Stock!AM$1,'Stock UST'!$1:$1,0)))=0,"",IF(ISERROR(MATCH(Stock!AM$1,'Stock UST'!$1:$1,0)),AL76,INDEX('Stock UST'!76:76,1,MATCH(Stock!AM$1,'Stock UST'!$1:$1,0))))</f>
        <v/>
      </c>
      <c r="AN76" s="9" t="str">
        <f ca="1">IF(IF(ISERROR(MATCH(Stock!AN$1,'Stock UST'!$1:$1,0)),AM76,INDEX('Stock UST'!76:76,1,MATCH(Stock!AN$1,'Stock UST'!$1:$1,0)))=0,"",IF(ISERROR(MATCH(Stock!AN$1,'Stock UST'!$1:$1,0)),AM76,INDEX('Stock UST'!76:76,1,MATCH(Stock!AN$1,'Stock UST'!$1:$1,0))))</f>
        <v/>
      </c>
      <c r="AO76" s="9" t="str">
        <f ca="1">IF(IF(ISERROR(MATCH(Stock!AO$1,'Stock UST'!$1:$1,0)),AN76,INDEX('Stock UST'!76:76,1,MATCH(Stock!AO$1,'Stock UST'!$1:$1,0)))=0,"",IF(ISERROR(MATCH(Stock!AO$1,'Stock UST'!$1:$1,0)),AN76,INDEX('Stock UST'!76:76,1,MATCH(Stock!AO$1,'Stock UST'!$1:$1,0))))</f>
        <v/>
      </c>
      <c r="AP76" s="9" t="str">
        <f ca="1">IF(IF(ISERROR(MATCH(Stock!AP$1,'Stock UST'!$1:$1,0)),AO76,INDEX('Stock UST'!76:76,1,MATCH(Stock!AP$1,'Stock UST'!$1:$1,0)))=0,"",IF(ISERROR(MATCH(Stock!AP$1,'Stock UST'!$1:$1,0)),AO76,INDEX('Stock UST'!76:76,1,MATCH(Stock!AP$1,'Stock UST'!$1:$1,0))))</f>
        <v/>
      </c>
      <c r="AQ76" s="9" t="str">
        <f ca="1">IF(IF(ISERROR(MATCH(Stock!AQ$1,'Stock UST'!$1:$1,0)),AP76,INDEX('Stock UST'!76:76,1,MATCH(Stock!AQ$1,'Stock UST'!$1:$1,0)))=0,"",IF(ISERROR(MATCH(Stock!AQ$1,'Stock UST'!$1:$1,0)),AP76,INDEX('Stock UST'!76:76,1,MATCH(Stock!AQ$1,'Stock UST'!$1:$1,0))))</f>
        <v/>
      </c>
      <c r="AR76" s="9" t="str">
        <f ca="1">IF(IF(ISERROR(MATCH(Stock!AR$1,'Stock UST'!$1:$1,0)),AQ76,INDEX('Stock UST'!76:76,1,MATCH(Stock!AR$1,'Stock UST'!$1:$1,0)))=0,"",IF(ISERROR(MATCH(Stock!AR$1,'Stock UST'!$1:$1,0)),AQ76,INDEX('Stock UST'!76:76,1,MATCH(Stock!AR$1,'Stock UST'!$1:$1,0))))</f>
        <v/>
      </c>
      <c r="AS76" s="9" t="str">
        <f ca="1">IF(IF(ISERROR(MATCH(Stock!AS$1,'Stock UST'!$1:$1,0)),AR76,INDEX('Stock UST'!76:76,1,MATCH(Stock!AS$1,'Stock UST'!$1:$1,0)))=0,"",IF(ISERROR(MATCH(Stock!AS$1,'Stock UST'!$1:$1,0)),AR76,INDEX('Stock UST'!76:76,1,MATCH(Stock!AS$1,'Stock UST'!$1:$1,0))))</f>
        <v/>
      </c>
      <c r="AT76" s="9" t="str">
        <f ca="1">IF(IF(ISERROR(MATCH(Stock!AT$1,'Stock UST'!$1:$1,0)),AS76,INDEX('Stock UST'!76:76,1,MATCH(Stock!AT$1,'Stock UST'!$1:$1,0)))=0,"",IF(ISERROR(MATCH(Stock!AT$1,'Stock UST'!$1:$1,0)),AS76,INDEX('Stock UST'!76:76,1,MATCH(Stock!AT$1,'Stock UST'!$1:$1,0))))</f>
        <v/>
      </c>
      <c r="AU76" s="9" t="str">
        <f ca="1">IF(IF(ISERROR(MATCH(Stock!AU$1,'Stock UST'!$1:$1,0)),AT76,INDEX('Stock UST'!76:76,1,MATCH(Stock!AU$1,'Stock UST'!$1:$1,0)))=0,"",IF(ISERROR(MATCH(Stock!AU$1,'Stock UST'!$1:$1,0)),AT76,INDEX('Stock UST'!76:76,1,MATCH(Stock!AU$1,'Stock UST'!$1:$1,0))))</f>
        <v/>
      </c>
      <c r="AV76" s="9" t="str">
        <f ca="1">IF(IF(ISERROR(MATCH(Stock!AV$1,'Stock UST'!$1:$1,0)),AU76,INDEX('Stock UST'!76:76,1,MATCH(Stock!AV$1,'Stock UST'!$1:$1,0)))=0,"",IF(ISERROR(MATCH(Stock!AV$1,'Stock UST'!$1:$1,0)),AU76,INDEX('Stock UST'!76:76,1,MATCH(Stock!AV$1,'Stock UST'!$1:$1,0))))</f>
        <v/>
      </c>
      <c r="AW76" s="9" t="str">
        <f ca="1">IF(IF(ISERROR(MATCH(Stock!AW$1,'Stock UST'!$1:$1,0)),AV76,INDEX('Stock UST'!76:76,1,MATCH(Stock!AW$1,'Stock UST'!$1:$1,0)))=0,"",IF(ISERROR(MATCH(Stock!AW$1,'Stock UST'!$1:$1,0)),AV76,INDEX('Stock UST'!76:76,1,MATCH(Stock!AW$1,'Stock UST'!$1:$1,0))))</f>
        <v/>
      </c>
      <c r="AX76" s="9" t="str">
        <f ca="1">IF(IF(ISERROR(MATCH(Stock!AX$1,'Stock UST'!$1:$1,0)),AW76,INDEX('Stock UST'!76:76,1,MATCH(Stock!AX$1,'Stock UST'!$1:$1,0)))=0,"",IF(ISERROR(MATCH(Stock!AX$1,'Stock UST'!$1:$1,0)),AW76,INDEX('Stock UST'!76:76,1,MATCH(Stock!AX$1,'Stock UST'!$1:$1,0))))</f>
        <v/>
      </c>
    </row>
    <row r="77" spans="1:50" x14ac:dyDescent="0.3">
      <c r="A77" s="9" t="str">
        <f>IF('Stock UST'!E77="","",'Stock UST'!E77)</f>
        <v/>
      </c>
      <c r="B77" s="9" t="str">
        <f>IF(IF(ISERROR(MATCH(Stock!B$1,'Stock UST'!$1:$1,0)),A77,INDEX('Stock UST'!77:77,1,MATCH(Stock!B$1,'Stock UST'!$1:$1,0)))=0,"",IF(ISERROR(MATCH(Stock!B$1,'Stock UST'!$1:$1,0)),A77,INDEX('Stock UST'!77:77,1,MATCH(Stock!B$1,'Stock UST'!$1:$1,0))))</f>
        <v/>
      </c>
      <c r="C77" s="9" t="str">
        <f ca="1">IF(IF(ISERROR(MATCH(Stock!C$1,'Stock UST'!$1:$1,0)),B77,INDEX('Stock UST'!77:77,1,MATCH(Stock!C$1,'Stock UST'!$1:$1,0)))=0,"",IF(ISERROR(MATCH(Stock!C$1,'Stock UST'!$1:$1,0)),B77,INDEX('Stock UST'!77:77,1,MATCH(Stock!C$1,'Stock UST'!$1:$1,0))))</f>
        <v/>
      </c>
      <c r="D77" s="9" t="str">
        <f ca="1">IF(IF(ISERROR(MATCH(Stock!D$1,'Stock UST'!$1:$1,0)),C77,INDEX('Stock UST'!77:77,1,MATCH(Stock!D$1,'Stock UST'!$1:$1,0)))=0,"",IF(ISERROR(MATCH(Stock!D$1,'Stock UST'!$1:$1,0)),C77,INDEX('Stock UST'!77:77,1,MATCH(Stock!D$1,'Stock UST'!$1:$1,0))))</f>
        <v/>
      </c>
      <c r="E77" s="9" t="str">
        <f ca="1">IF(IF(ISERROR(MATCH(Stock!E$1,'Stock UST'!$1:$1,0)),D77,INDEX('Stock UST'!77:77,1,MATCH(Stock!E$1,'Stock UST'!$1:$1,0)))=0,"",IF(ISERROR(MATCH(Stock!E$1,'Stock UST'!$1:$1,0)),D77,INDEX('Stock UST'!77:77,1,MATCH(Stock!E$1,'Stock UST'!$1:$1,0))))</f>
        <v/>
      </c>
      <c r="F77" s="9" t="str">
        <f ca="1">IF(IF(ISERROR(MATCH(Stock!F$1,'Stock UST'!$1:$1,0)),E77,INDEX('Stock UST'!77:77,1,MATCH(Stock!F$1,'Stock UST'!$1:$1,0)))=0,"",IF(ISERROR(MATCH(Stock!F$1,'Stock UST'!$1:$1,0)),E77,INDEX('Stock UST'!77:77,1,MATCH(Stock!F$1,'Stock UST'!$1:$1,0))))</f>
        <v/>
      </c>
      <c r="G77" s="9" t="str">
        <f ca="1">IF(IF(ISERROR(MATCH(Stock!G$1,'Stock UST'!$1:$1,0)),F77,INDEX('Stock UST'!77:77,1,MATCH(Stock!G$1,'Stock UST'!$1:$1,0)))=0,"",IF(ISERROR(MATCH(Stock!G$1,'Stock UST'!$1:$1,0)),F77,INDEX('Stock UST'!77:77,1,MATCH(Stock!G$1,'Stock UST'!$1:$1,0))))</f>
        <v/>
      </c>
      <c r="H77" s="9" t="str">
        <f ca="1">IF(IF(ISERROR(MATCH(Stock!H$1,'Stock UST'!$1:$1,0)),G77,INDEX('Stock UST'!77:77,1,MATCH(Stock!H$1,'Stock UST'!$1:$1,0)))=0,"",IF(ISERROR(MATCH(Stock!H$1,'Stock UST'!$1:$1,0)),G77,INDEX('Stock UST'!77:77,1,MATCH(Stock!H$1,'Stock UST'!$1:$1,0))))</f>
        <v/>
      </c>
      <c r="I77" s="9" t="str">
        <f ca="1">IF(IF(ISERROR(MATCH(Stock!I$1,'Stock UST'!$1:$1,0)),H77,INDEX('Stock UST'!77:77,1,MATCH(Stock!I$1,'Stock UST'!$1:$1,0)))=0,"",IF(ISERROR(MATCH(Stock!I$1,'Stock UST'!$1:$1,0)),H77,INDEX('Stock UST'!77:77,1,MATCH(Stock!I$1,'Stock UST'!$1:$1,0))))</f>
        <v/>
      </c>
      <c r="J77" s="9" t="str">
        <f ca="1">IF(IF(ISERROR(MATCH(Stock!J$1,'Stock UST'!$1:$1,0)),I77,INDEX('Stock UST'!77:77,1,MATCH(Stock!J$1,'Stock UST'!$1:$1,0)))=0,"",IF(ISERROR(MATCH(Stock!J$1,'Stock UST'!$1:$1,0)),I77,INDEX('Stock UST'!77:77,1,MATCH(Stock!J$1,'Stock UST'!$1:$1,0))))</f>
        <v/>
      </c>
      <c r="K77" s="9" t="str">
        <f ca="1">IF(IF(ISERROR(MATCH(Stock!K$1,'Stock UST'!$1:$1,0)),J77,INDEX('Stock UST'!77:77,1,MATCH(Stock!K$1,'Stock UST'!$1:$1,0)))=0,"",IF(ISERROR(MATCH(Stock!K$1,'Stock UST'!$1:$1,0)),J77,INDEX('Stock UST'!77:77,1,MATCH(Stock!K$1,'Stock UST'!$1:$1,0))))</f>
        <v/>
      </c>
      <c r="L77" s="9" t="str">
        <f ca="1">IF(IF(ISERROR(MATCH(Stock!L$1,'Stock UST'!$1:$1,0)),K77,INDEX('Stock UST'!77:77,1,MATCH(Stock!L$1,'Stock UST'!$1:$1,0)))=0,"",IF(ISERROR(MATCH(Stock!L$1,'Stock UST'!$1:$1,0)),K77,INDEX('Stock UST'!77:77,1,MATCH(Stock!L$1,'Stock UST'!$1:$1,0))))</f>
        <v/>
      </c>
      <c r="M77" s="9" t="str">
        <f ca="1">IF(IF(ISERROR(MATCH(Stock!M$1,'Stock UST'!$1:$1,0)),L77,INDEX('Stock UST'!77:77,1,MATCH(Stock!M$1,'Stock UST'!$1:$1,0)))=0,"",IF(ISERROR(MATCH(Stock!M$1,'Stock UST'!$1:$1,0)),L77,INDEX('Stock UST'!77:77,1,MATCH(Stock!M$1,'Stock UST'!$1:$1,0))))</f>
        <v/>
      </c>
      <c r="N77" s="9" t="str">
        <f ca="1">IF(IF(ISERROR(MATCH(Stock!N$1,'Stock UST'!$1:$1,0)),M77,INDEX('Stock UST'!77:77,1,MATCH(Stock!N$1,'Stock UST'!$1:$1,0)))=0,"",IF(ISERROR(MATCH(Stock!N$1,'Stock UST'!$1:$1,0)),M77,INDEX('Stock UST'!77:77,1,MATCH(Stock!N$1,'Stock UST'!$1:$1,0))))</f>
        <v/>
      </c>
      <c r="O77" s="9" t="str">
        <f ca="1">IF(IF(ISERROR(MATCH(Stock!O$1,'Stock UST'!$1:$1,0)),N77,INDEX('Stock UST'!77:77,1,MATCH(Stock!O$1,'Stock UST'!$1:$1,0)))=0,"",IF(ISERROR(MATCH(Stock!O$1,'Stock UST'!$1:$1,0)),N77,INDEX('Stock UST'!77:77,1,MATCH(Stock!O$1,'Stock UST'!$1:$1,0))))</f>
        <v/>
      </c>
      <c r="P77" s="9" t="str">
        <f ca="1">IF(IF(ISERROR(MATCH(Stock!P$1,'Stock UST'!$1:$1,0)),O77,INDEX('Stock UST'!77:77,1,MATCH(Stock!P$1,'Stock UST'!$1:$1,0)))=0,"",IF(ISERROR(MATCH(Stock!P$1,'Stock UST'!$1:$1,0)),O77,INDEX('Stock UST'!77:77,1,MATCH(Stock!P$1,'Stock UST'!$1:$1,0))))</f>
        <v/>
      </c>
      <c r="Q77" s="9" t="str">
        <f ca="1">IF(IF(ISERROR(MATCH(Stock!Q$1,'Stock UST'!$1:$1,0)),P77,INDEX('Stock UST'!77:77,1,MATCH(Stock!Q$1,'Stock UST'!$1:$1,0)))=0,"",IF(ISERROR(MATCH(Stock!Q$1,'Stock UST'!$1:$1,0)),P77,INDEX('Stock UST'!77:77,1,MATCH(Stock!Q$1,'Stock UST'!$1:$1,0))))</f>
        <v/>
      </c>
      <c r="R77" s="9" t="str">
        <f ca="1">IF(IF(ISERROR(MATCH(Stock!R$1,'Stock UST'!$1:$1,0)),Q77,INDEX('Stock UST'!77:77,1,MATCH(Stock!R$1,'Stock UST'!$1:$1,0)))=0,"",IF(ISERROR(MATCH(Stock!R$1,'Stock UST'!$1:$1,0)),Q77,INDEX('Stock UST'!77:77,1,MATCH(Stock!R$1,'Stock UST'!$1:$1,0))))</f>
        <v/>
      </c>
      <c r="S77" s="9" t="str">
        <f ca="1">IF(IF(ISERROR(MATCH(Stock!S$1,'Stock UST'!$1:$1,0)),R77,INDEX('Stock UST'!77:77,1,MATCH(Stock!S$1,'Stock UST'!$1:$1,0)))=0,"",IF(ISERROR(MATCH(Stock!S$1,'Stock UST'!$1:$1,0)),R77,INDEX('Stock UST'!77:77,1,MATCH(Stock!S$1,'Stock UST'!$1:$1,0))))</f>
        <v/>
      </c>
      <c r="T77" s="9" t="str">
        <f ca="1">IF(IF(ISERROR(MATCH(Stock!T$1,'Stock UST'!$1:$1,0)),S77,INDEX('Stock UST'!77:77,1,MATCH(Stock!T$1,'Stock UST'!$1:$1,0)))=0,"",IF(ISERROR(MATCH(Stock!T$1,'Stock UST'!$1:$1,0)),S77,INDEX('Stock UST'!77:77,1,MATCH(Stock!T$1,'Stock UST'!$1:$1,0))))</f>
        <v/>
      </c>
      <c r="U77" s="9" t="str">
        <f ca="1">IF(IF(ISERROR(MATCH(Stock!U$1,'Stock UST'!$1:$1,0)),T77,INDEX('Stock UST'!77:77,1,MATCH(Stock!U$1,'Stock UST'!$1:$1,0)))=0,"",IF(ISERROR(MATCH(Stock!U$1,'Stock UST'!$1:$1,0)),T77,INDEX('Stock UST'!77:77,1,MATCH(Stock!U$1,'Stock UST'!$1:$1,0))))</f>
        <v/>
      </c>
      <c r="V77" s="9" t="str">
        <f ca="1">IF(IF(ISERROR(MATCH(Stock!V$1,'Stock UST'!$1:$1,0)),U77,INDEX('Stock UST'!77:77,1,MATCH(Stock!V$1,'Stock UST'!$1:$1,0)))=0,"",IF(ISERROR(MATCH(Stock!V$1,'Stock UST'!$1:$1,0)),U77,INDEX('Stock UST'!77:77,1,MATCH(Stock!V$1,'Stock UST'!$1:$1,0))))</f>
        <v/>
      </c>
      <c r="W77" s="9" t="str">
        <f ca="1">IF(IF(ISERROR(MATCH(Stock!W$1,'Stock UST'!$1:$1,0)),V77,INDEX('Stock UST'!77:77,1,MATCH(Stock!W$1,'Stock UST'!$1:$1,0)))=0,"",IF(ISERROR(MATCH(Stock!W$1,'Stock UST'!$1:$1,0)),V77,INDEX('Stock UST'!77:77,1,MATCH(Stock!W$1,'Stock UST'!$1:$1,0))))</f>
        <v/>
      </c>
      <c r="X77" s="9" t="str">
        <f ca="1">IF(IF(ISERROR(MATCH(Stock!X$1,'Stock UST'!$1:$1,0)),W77,INDEX('Stock UST'!77:77,1,MATCH(Stock!X$1,'Stock UST'!$1:$1,0)))=0,"",IF(ISERROR(MATCH(Stock!X$1,'Stock UST'!$1:$1,0)),W77,INDEX('Stock UST'!77:77,1,MATCH(Stock!X$1,'Stock UST'!$1:$1,0))))</f>
        <v/>
      </c>
      <c r="Y77" s="9" t="str">
        <f ca="1">IF(IF(ISERROR(MATCH(Stock!Y$1,'Stock UST'!$1:$1,0)),X77,INDEX('Stock UST'!77:77,1,MATCH(Stock!Y$1,'Stock UST'!$1:$1,0)))=0,"",IF(ISERROR(MATCH(Stock!Y$1,'Stock UST'!$1:$1,0)),X77,INDEX('Stock UST'!77:77,1,MATCH(Stock!Y$1,'Stock UST'!$1:$1,0))))</f>
        <v/>
      </c>
      <c r="Z77" s="9" t="str">
        <f ca="1">IF(IF(ISERROR(MATCH(Stock!Z$1,'Stock UST'!$1:$1,0)),Y77,INDEX('Stock UST'!77:77,1,MATCH(Stock!Z$1,'Stock UST'!$1:$1,0)))=0,"",IF(ISERROR(MATCH(Stock!Z$1,'Stock UST'!$1:$1,0)),Y77,INDEX('Stock UST'!77:77,1,MATCH(Stock!Z$1,'Stock UST'!$1:$1,0))))</f>
        <v/>
      </c>
      <c r="AA77" s="9" t="str">
        <f ca="1">IF(IF(ISERROR(MATCH(Stock!AA$1,'Stock UST'!$1:$1,0)),Z77,INDEX('Stock UST'!77:77,1,MATCH(Stock!AA$1,'Stock UST'!$1:$1,0)))=0,"",IF(ISERROR(MATCH(Stock!AA$1,'Stock UST'!$1:$1,0)),Z77,INDEX('Stock UST'!77:77,1,MATCH(Stock!AA$1,'Stock UST'!$1:$1,0))))</f>
        <v/>
      </c>
      <c r="AB77" s="9" t="str">
        <f ca="1">IF(IF(ISERROR(MATCH(Stock!AB$1,'Stock UST'!$1:$1,0)),AA77,INDEX('Stock UST'!77:77,1,MATCH(Stock!AB$1,'Stock UST'!$1:$1,0)))=0,"",IF(ISERROR(MATCH(Stock!AB$1,'Stock UST'!$1:$1,0)),AA77,INDEX('Stock UST'!77:77,1,MATCH(Stock!AB$1,'Stock UST'!$1:$1,0))))</f>
        <v/>
      </c>
      <c r="AC77" s="9" t="str">
        <f ca="1">IF(IF(ISERROR(MATCH(Stock!AC$1,'Stock UST'!$1:$1,0)),AB77,INDEX('Stock UST'!77:77,1,MATCH(Stock!AC$1,'Stock UST'!$1:$1,0)))=0,"",IF(ISERROR(MATCH(Stock!AC$1,'Stock UST'!$1:$1,0)),AB77,INDEX('Stock UST'!77:77,1,MATCH(Stock!AC$1,'Stock UST'!$1:$1,0))))</f>
        <v/>
      </c>
      <c r="AD77" s="9" t="str">
        <f ca="1">IF(IF(ISERROR(MATCH(Stock!AD$1,'Stock UST'!$1:$1,0)),AC77,INDEX('Stock UST'!77:77,1,MATCH(Stock!AD$1,'Stock UST'!$1:$1,0)))=0,"",IF(ISERROR(MATCH(Stock!AD$1,'Stock UST'!$1:$1,0)),AC77,INDEX('Stock UST'!77:77,1,MATCH(Stock!AD$1,'Stock UST'!$1:$1,0))))</f>
        <v/>
      </c>
      <c r="AE77" s="9" t="str">
        <f ca="1">IF(IF(ISERROR(MATCH(Stock!AE$1,'Stock UST'!$1:$1,0)),AD77,INDEX('Stock UST'!77:77,1,MATCH(Stock!AE$1,'Stock UST'!$1:$1,0)))=0,"",IF(ISERROR(MATCH(Stock!AE$1,'Stock UST'!$1:$1,0)),AD77,INDEX('Stock UST'!77:77,1,MATCH(Stock!AE$1,'Stock UST'!$1:$1,0))))</f>
        <v/>
      </c>
      <c r="AF77" s="9" t="str">
        <f ca="1">IF(IF(ISERROR(MATCH(Stock!AF$1,'Stock UST'!$1:$1,0)),AE77,INDEX('Stock UST'!77:77,1,MATCH(Stock!AF$1,'Stock UST'!$1:$1,0)))=0,"",IF(ISERROR(MATCH(Stock!AF$1,'Stock UST'!$1:$1,0)),AE77,INDEX('Stock UST'!77:77,1,MATCH(Stock!AF$1,'Stock UST'!$1:$1,0))))</f>
        <v/>
      </c>
      <c r="AG77" s="9" t="str">
        <f ca="1">IF(IF(ISERROR(MATCH(Stock!AG$1,'Stock UST'!$1:$1,0)),AF77,INDEX('Stock UST'!77:77,1,MATCH(Stock!AG$1,'Stock UST'!$1:$1,0)))=0,"",IF(ISERROR(MATCH(Stock!AG$1,'Stock UST'!$1:$1,0)),AF77,INDEX('Stock UST'!77:77,1,MATCH(Stock!AG$1,'Stock UST'!$1:$1,0))))</f>
        <v/>
      </c>
      <c r="AH77" s="9" t="str">
        <f ca="1">IF(IF(ISERROR(MATCH(Stock!AH$1,'Stock UST'!$1:$1,0)),AG77,INDEX('Stock UST'!77:77,1,MATCH(Stock!AH$1,'Stock UST'!$1:$1,0)))=0,"",IF(ISERROR(MATCH(Stock!AH$1,'Stock UST'!$1:$1,0)),AG77,INDEX('Stock UST'!77:77,1,MATCH(Stock!AH$1,'Stock UST'!$1:$1,0))))</f>
        <v/>
      </c>
      <c r="AI77" s="9" t="str">
        <f ca="1">IF(IF(ISERROR(MATCH(Stock!AI$1,'Stock UST'!$1:$1,0)),AH77,INDEX('Stock UST'!77:77,1,MATCH(Stock!AI$1,'Stock UST'!$1:$1,0)))=0,"",IF(ISERROR(MATCH(Stock!AI$1,'Stock UST'!$1:$1,0)),AH77,INDEX('Stock UST'!77:77,1,MATCH(Stock!AI$1,'Stock UST'!$1:$1,0))))</f>
        <v/>
      </c>
      <c r="AJ77" s="9" t="str">
        <f ca="1">IF(IF(ISERROR(MATCH(Stock!AJ$1,'Stock UST'!$1:$1,0)),AI77,INDEX('Stock UST'!77:77,1,MATCH(Stock!AJ$1,'Stock UST'!$1:$1,0)))=0,"",IF(ISERROR(MATCH(Stock!AJ$1,'Stock UST'!$1:$1,0)),AI77,INDEX('Stock UST'!77:77,1,MATCH(Stock!AJ$1,'Stock UST'!$1:$1,0))))</f>
        <v/>
      </c>
      <c r="AK77" s="9" t="str">
        <f ca="1">IF(IF(ISERROR(MATCH(Stock!AK$1,'Stock UST'!$1:$1,0)),AJ77,INDEX('Stock UST'!77:77,1,MATCH(Stock!AK$1,'Stock UST'!$1:$1,0)))=0,"",IF(ISERROR(MATCH(Stock!AK$1,'Stock UST'!$1:$1,0)),AJ77,INDEX('Stock UST'!77:77,1,MATCH(Stock!AK$1,'Stock UST'!$1:$1,0))))</f>
        <v/>
      </c>
      <c r="AL77" s="9" t="str">
        <f ca="1">IF(IF(ISERROR(MATCH(Stock!AL$1,'Stock UST'!$1:$1,0)),AK77,INDEX('Stock UST'!77:77,1,MATCH(Stock!AL$1,'Stock UST'!$1:$1,0)))=0,"",IF(ISERROR(MATCH(Stock!AL$1,'Stock UST'!$1:$1,0)),AK77,INDEX('Stock UST'!77:77,1,MATCH(Stock!AL$1,'Stock UST'!$1:$1,0))))</f>
        <v/>
      </c>
      <c r="AM77" s="9" t="str">
        <f ca="1">IF(IF(ISERROR(MATCH(Stock!AM$1,'Stock UST'!$1:$1,0)),AL77,INDEX('Stock UST'!77:77,1,MATCH(Stock!AM$1,'Stock UST'!$1:$1,0)))=0,"",IF(ISERROR(MATCH(Stock!AM$1,'Stock UST'!$1:$1,0)),AL77,INDEX('Stock UST'!77:77,1,MATCH(Stock!AM$1,'Stock UST'!$1:$1,0))))</f>
        <v/>
      </c>
      <c r="AN77" s="9" t="str">
        <f ca="1">IF(IF(ISERROR(MATCH(Stock!AN$1,'Stock UST'!$1:$1,0)),AM77,INDEX('Stock UST'!77:77,1,MATCH(Stock!AN$1,'Stock UST'!$1:$1,0)))=0,"",IF(ISERROR(MATCH(Stock!AN$1,'Stock UST'!$1:$1,0)),AM77,INDEX('Stock UST'!77:77,1,MATCH(Stock!AN$1,'Stock UST'!$1:$1,0))))</f>
        <v/>
      </c>
      <c r="AO77" s="9" t="str">
        <f ca="1">IF(IF(ISERROR(MATCH(Stock!AO$1,'Stock UST'!$1:$1,0)),AN77,INDEX('Stock UST'!77:77,1,MATCH(Stock!AO$1,'Stock UST'!$1:$1,0)))=0,"",IF(ISERROR(MATCH(Stock!AO$1,'Stock UST'!$1:$1,0)),AN77,INDEX('Stock UST'!77:77,1,MATCH(Stock!AO$1,'Stock UST'!$1:$1,0))))</f>
        <v/>
      </c>
      <c r="AP77" s="9" t="str">
        <f ca="1">IF(IF(ISERROR(MATCH(Stock!AP$1,'Stock UST'!$1:$1,0)),AO77,INDEX('Stock UST'!77:77,1,MATCH(Stock!AP$1,'Stock UST'!$1:$1,0)))=0,"",IF(ISERROR(MATCH(Stock!AP$1,'Stock UST'!$1:$1,0)),AO77,INDEX('Stock UST'!77:77,1,MATCH(Stock!AP$1,'Stock UST'!$1:$1,0))))</f>
        <v/>
      </c>
      <c r="AQ77" s="9" t="str">
        <f ca="1">IF(IF(ISERROR(MATCH(Stock!AQ$1,'Stock UST'!$1:$1,0)),AP77,INDEX('Stock UST'!77:77,1,MATCH(Stock!AQ$1,'Stock UST'!$1:$1,0)))=0,"",IF(ISERROR(MATCH(Stock!AQ$1,'Stock UST'!$1:$1,0)),AP77,INDEX('Stock UST'!77:77,1,MATCH(Stock!AQ$1,'Stock UST'!$1:$1,0))))</f>
        <v/>
      </c>
      <c r="AR77" s="9" t="str">
        <f ca="1">IF(IF(ISERROR(MATCH(Stock!AR$1,'Stock UST'!$1:$1,0)),AQ77,INDEX('Stock UST'!77:77,1,MATCH(Stock!AR$1,'Stock UST'!$1:$1,0)))=0,"",IF(ISERROR(MATCH(Stock!AR$1,'Stock UST'!$1:$1,0)),AQ77,INDEX('Stock UST'!77:77,1,MATCH(Stock!AR$1,'Stock UST'!$1:$1,0))))</f>
        <v/>
      </c>
      <c r="AS77" s="9" t="str">
        <f ca="1">IF(IF(ISERROR(MATCH(Stock!AS$1,'Stock UST'!$1:$1,0)),AR77,INDEX('Stock UST'!77:77,1,MATCH(Stock!AS$1,'Stock UST'!$1:$1,0)))=0,"",IF(ISERROR(MATCH(Stock!AS$1,'Stock UST'!$1:$1,0)),AR77,INDEX('Stock UST'!77:77,1,MATCH(Stock!AS$1,'Stock UST'!$1:$1,0))))</f>
        <v/>
      </c>
      <c r="AT77" s="9" t="str">
        <f ca="1">IF(IF(ISERROR(MATCH(Stock!AT$1,'Stock UST'!$1:$1,0)),AS77,INDEX('Stock UST'!77:77,1,MATCH(Stock!AT$1,'Stock UST'!$1:$1,0)))=0,"",IF(ISERROR(MATCH(Stock!AT$1,'Stock UST'!$1:$1,0)),AS77,INDEX('Stock UST'!77:77,1,MATCH(Stock!AT$1,'Stock UST'!$1:$1,0))))</f>
        <v/>
      </c>
      <c r="AU77" s="9" t="str">
        <f ca="1">IF(IF(ISERROR(MATCH(Stock!AU$1,'Stock UST'!$1:$1,0)),AT77,INDEX('Stock UST'!77:77,1,MATCH(Stock!AU$1,'Stock UST'!$1:$1,0)))=0,"",IF(ISERROR(MATCH(Stock!AU$1,'Stock UST'!$1:$1,0)),AT77,INDEX('Stock UST'!77:77,1,MATCH(Stock!AU$1,'Stock UST'!$1:$1,0))))</f>
        <v/>
      </c>
      <c r="AV77" s="9" t="str">
        <f ca="1">IF(IF(ISERROR(MATCH(Stock!AV$1,'Stock UST'!$1:$1,0)),AU77,INDEX('Stock UST'!77:77,1,MATCH(Stock!AV$1,'Stock UST'!$1:$1,0)))=0,"",IF(ISERROR(MATCH(Stock!AV$1,'Stock UST'!$1:$1,0)),AU77,INDEX('Stock UST'!77:77,1,MATCH(Stock!AV$1,'Stock UST'!$1:$1,0))))</f>
        <v/>
      </c>
      <c r="AW77" s="9" t="str">
        <f ca="1">IF(IF(ISERROR(MATCH(Stock!AW$1,'Stock UST'!$1:$1,0)),AV77,INDEX('Stock UST'!77:77,1,MATCH(Stock!AW$1,'Stock UST'!$1:$1,0)))=0,"",IF(ISERROR(MATCH(Stock!AW$1,'Stock UST'!$1:$1,0)),AV77,INDEX('Stock UST'!77:77,1,MATCH(Stock!AW$1,'Stock UST'!$1:$1,0))))</f>
        <v/>
      </c>
      <c r="AX77" s="9" t="str">
        <f ca="1">IF(IF(ISERROR(MATCH(Stock!AX$1,'Stock UST'!$1:$1,0)),AW77,INDEX('Stock UST'!77:77,1,MATCH(Stock!AX$1,'Stock UST'!$1:$1,0)))=0,"",IF(ISERROR(MATCH(Stock!AX$1,'Stock UST'!$1:$1,0)),AW77,INDEX('Stock UST'!77:77,1,MATCH(Stock!AX$1,'Stock UST'!$1:$1,0))))</f>
        <v/>
      </c>
    </row>
    <row r="78" spans="1:50" x14ac:dyDescent="0.3">
      <c r="A78" s="9" t="str">
        <f>IF('Stock UST'!E78="","",'Stock UST'!E78)</f>
        <v/>
      </c>
      <c r="B78" s="9" t="str">
        <f>IF(IF(ISERROR(MATCH(Stock!B$1,'Stock UST'!$1:$1,0)),A78,INDEX('Stock UST'!78:78,1,MATCH(Stock!B$1,'Stock UST'!$1:$1,0)))=0,"",IF(ISERROR(MATCH(Stock!B$1,'Stock UST'!$1:$1,0)),A78,INDEX('Stock UST'!78:78,1,MATCH(Stock!B$1,'Stock UST'!$1:$1,0))))</f>
        <v/>
      </c>
      <c r="C78" s="9" t="str">
        <f ca="1">IF(IF(ISERROR(MATCH(Stock!C$1,'Stock UST'!$1:$1,0)),B78,INDEX('Stock UST'!78:78,1,MATCH(Stock!C$1,'Stock UST'!$1:$1,0)))=0,"",IF(ISERROR(MATCH(Stock!C$1,'Stock UST'!$1:$1,0)),B78,INDEX('Stock UST'!78:78,1,MATCH(Stock!C$1,'Stock UST'!$1:$1,0))))</f>
        <v/>
      </c>
      <c r="D78" s="9" t="str">
        <f ca="1">IF(IF(ISERROR(MATCH(Stock!D$1,'Stock UST'!$1:$1,0)),C78,INDEX('Stock UST'!78:78,1,MATCH(Stock!D$1,'Stock UST'!$1:$1,0)))=0,"",IF(ISERROR(MATCH(Stock!D$1,'Stock UST'!$1:$1,0)),C78,INDEX('Stock UST'!78:78,1,MATCH(Stock!D$1,'Stock UST'!$1:$1,0))))</f>
        <v/>
      </c>
      <c r="E78" s="9" t="str">
        <f ca="1">IF(IF(ISERROR(MATCH(Stock!E$1,'Stock UST'!$1:$1,0)),D78,INDEX('Stock UST'!78:78,1,MATCH(Stock!E$1,'Stock UST'!$1:$1,0)))=0,"",IF(ISERROR(MATCH(Stock!E$1,'Stock UST'!$1:$1,0)),D78,INDEX('Stock UST'!78:78,1,MATCH(Stock!E$1,'Stock UST'!$1:$1,0))))</f>
        <v/>
      </c>
      <c r="F78" s="9" t="str">
        <f ca="1">IF(IF(ISERROR(MATCH(Stock!F$1,'Stock UST'!$1:$1,0)),E78,INDEX('Stock UST'!78:78,1,MATCH(Stock!F$1,'Stock UST'!$1:$1,0)))=0,"",IF(ISERROR(MATCH(Stock!F$1,'Stock UST'!$1:$1,0)),E78,INDEX('Stock UST'!78:78,1,MATCH(Stock!F$1,'Stock UST'!$1:$1,0))))</f>
        <v/>
      </c>
      <c r="G78" s="9" t="str">
        <f ca="1">IF(IF(ISERROR(MATCH(Stock!G$1,'Stock UST'!$1:$1,0)),F78,INDEX('Stock UST'!78:78,1,MATCH(Stock!G$1,'Stock UST'!$1:$1,0)))=0,"",IF(ISERROR(MATCH(Stock!G$1,'Stock UST'!$1:$1,0)),F78,INDEX('Stock UST'!78:78,1,MATCH(Stock!G$1,'Stock UST'!$1:$1,0))))</f>
        <v/>
      </c>
      <c r="H78" s="9" t="str">
        <f ca="1">IF(IF(ISERROR(MATCH(Stock!H$1,'Stock UST'!$1:$1,0)),G78,INDEX('Stock UST'!78:78,1,MATCH(Stock!H$1,'Stock UST'!$1:$1,0)))=0,"",IF(ISERROR(MATCH(Stock!H$1,'Stock UST'!$1:$1,0)),G78,INDEX('Stock UST'!78:78,1,MATCH(Stock!H$1,'Stock UST'!$1:$1,0))))</f>
        <v/>
      </c>
      <c r="I78" s="9" t="str">
        <f ca="1">IF(IF(ISERROR(MATCH(Stock!I$1,'Stock UST'!$1:$1,0)),H78,INDEX('Stock UST'!78:78,1,MATCH(Stock!I$1,'Stock UST'!$1:$1,0)))=0,"",IF(ISERROR(MATCH(Stock!I$1,'Stock UST'!$1:$1,0)),H78,INDEX('Stock UST'!78:78,1,MATCH(Stock!I$1,'Stock UST'!$1:$1,0))))</f>
        <v/>
      </c>
      <c r="J78" s="9" t="str">
        <f ca="1">IF(IF(ISERROR(MATCH(Stock!J$1,'Stock UST'!$1:$1,0)),I78,INDEX('Stock UST'!78:78,1,MATCH(Stock!J$1,'Stock UST'!$1:$1,0)))=0,"",IF(ISERROR(MATCH(Stock!J$1,'Stock UST'!$1:$1,0)),I78,INDEX('Stock UST'!78:78,1,MATCH(Stock!J$1,'Stock UST'!$1:$1,0))))</f>
        <v/>
      </c>
      <c r="K78" s="9" t="str">
        <f ca="1">IF(IF(ISERROR(MATCH(Stock!K$1,'Stock UST'!$1:$1,0)),J78,INDEX('Stock UST'!78:78,1,MATCH(Stock!K$1,'Stock UST'!$1:$1,0)))=0,"",IF(ISERROR(MATCH(Stock!K$1,'Stock UST'!$1:$1,0)),J78,INDEX('Stock UST'!78:78,1,MATCH(Stock!K$1,'Stock UST'!$1:$1,0))))</f>
        <v/>
      </c>
      <c r="L78" s="9" t="str">
        <f ca="1">IF(IF(ISERROR(MATCH(Stock!L$1,'Stock UST'!$1:$1,0)),K78,INDEX('Stock UST'!78:78,1,MATCH(Stock!L$1,'Stock UST'!$1:$1,0)))=0,"",IF(ISERROR(MATCH(Stock!L$1,'Stock UST'!$1:$1,0)),K78,INDEX('Stock UST'!78:78,1,MATCH(Stock!L$1,'Stock UST'!$1:$1,0))))</f>
        <v/>
      </c>
      <c r="M78" s="9" t="str">
        <f ca="1">IF(IF(ISERROR(MATCH(Stock!M$1,'Stock UST'!$1:$1,0)),L78,INDEX('Stock UST'!78:78,1,MATCH(Stock!M$1,'Stock UST'!$1:$1,0)))=0,"",IF(ISERROR(MATCH(Stock!M$1,'Stock UST'!$1:$1,0)),L78,INDEX('Stock UST'!78:78,1,MATCH(Stock!M$1,'Stock UST'!$1:$1,0))))</f>
        <v/>
      </c>
      <c r="N78" s="9" t="str">
        <f ca="1">IF(IF(ISERROR(MATCH(Stock!N$1,'Stock UST'!$1:$1,0)),M78,INDEX('Stock UST'!78:78,1,MATCH(Stock!N$1,'Stock UST'!$1:$1,0)))=0,"",IF(ISERROR(MATCH(Stock!N$1,'Stock UST'!$1:$1,0)),M78,INDEX('Stock UST'!78:78,1,MATCH(Stock!N$1,'Stock UST'!$1:$1,0))))</f>
        <v/>
      </c>
      <c r="O78" s="9" t="str">
        <f ca="1">IF(IF(ISERROR(MATCH(Stock!O$1,'Stock UST'!$1:$1,0)),N78,INDEX('Stock UST'!78:78,1,MATCH(Stock!O$1,'Stock UST'!$1:$1,0)))=0,"",IF(ISERROR(MATCH(Stock!O$1,'Stock UST'!$1:$1,0)),N78,INDEX('Stock UST'!78:78,1,MATCH(Stock!O$1,'Stock UST'!$1:$1,0))))</f>
        <v/>
      </c>
      <c r="P78" s="9" t="str">
        <f ca="1">IF(IF(ISERROR(MATCH(Stock!P$1,'Stock UST'!$1:$1,0)),O78,INDEX('Stock UST'!78:78,1,MATCH(Stock!P$1,'Stock UST'!$1:$1,0)))=0,"",IF(ISERROR(MATCH(Stock!P$1,'Stock UST'!$1:$1,0)),O78,INDEX('Stock UST'!78:78,1,MATCH(Stock!P$1,'Stock UST'!$1:$1,0))))</f>
        <v/>
      </c>
      <c r="Q78" s="9" t="str">
        <f ca="1">IF(IF(ISERROR(MATCH(Stock!Q$1,'Stock UST'!$1:$1,0)),P78,INDEX('Stock UST'!78:78,1,MATCH(Stock!Q$1,'Stock UST'!$1:$1,0)))=0,"",IF(ISERROR(MATCH(Stock!Q$1,'Stock UST'!$1:$1,0)),P78,INDEX('Stock UST'!78:78,1,MATCH(Stock!Q$1,'Stock UST'!$1:$1,0))))</f>
        <v/>
      </c>
      <c r="R78" s="9" t="str">
        <f ca="1">IF(IF(ISERROR(MATCH(Stock!R$1,'Stock UST'!$1:$1,0)),Q78,INDEX('Stock UST'!78:78,1,MATCH(Stock!R$1,'Stock UST'!$1:$1,0)))=0,"",IF(ISERROR(MATCH(Stock!R$1,'Stock UST'!$1:$1,0)),Q78,INDEX('Stock UST'!78:78,1,MATCH(Stock!R$1,'Stock UST'!$1:$1,0))))</f>
        <v/>
      </c>
      <c r="S78" s="9" t="str">
        <f ca="1">IF(IF(ISERROR(MATCH(Stock!S$1,'Stock UST'!$1:$1,0)),R78,INDEX('Stock UST'!78:78,1,MATCH(Stock!S$1,'Stock UST'!$1:$1,0)))=0,"",IF(ISERROR(MATCH(Stock!S$1,'Stock UST'!$1:$1,0)),R78,INDEX('Stock UST'!78:78,1,MATCH(Stock!S$1,'Stock UST'!$1:$1,0))))</f>
        <v/>
      </c>
      <c r="T78" s="9" t="str">
        <f ca="1">IF(IF(ISERROR(MATCH(Stock!T$1,'Stock UST'!$1:$1,0)),S78,INDEX('Stock UST'!78:78,1,MATCH(Stock!T$1,'Stock UST'!$1:$1,0)))=0,"",IF(ISERROR(MATCH(Stock!T$1,'Stock UST'!$1:$1,0)),S78,INDEX('Stock UST'!78:78,1,MATCH(Stock!T$1,'Stock UST'!$1:$1,0))))</f>
        <v/>
      </c>
      <c r="U78" s="9" t="str">
        <f ca="1">IF(IF(ISERROR(MATCH(Stock!U$1,'Stock UST'!$1:$1,0)),T78,INDEX('Stock UST'!78:78,1,MATCH(Stock!U$1,'Stock UST'!$1:$1,0)))=0,"",IF(ISERROR(MATCH(Stock!U$1,'Stock UST'!$1:$1,0)),T78,INDEX('Stock UST'!78:78,1,MATCH(Stock!U$1,'Stock UST'!$1:$1,0))))</f>
        <v/>
      </c>
      <c r="V78" s="9" t="str">
        <f ca="1">IF(IF(ISERROR(MATCH(Stock!V$1,'Stock UST'!$1:$1,0)),U78,INDEX('Stock UST'!78:78,1,MATCH(Stock!V$1,'Stock UST'!$1:$1,0)))=0,"",IF(ISERROR(MATCH(Stock!V$1,'Stock UST'!$1:$1,0)),U78,INDEX('Stock UST'!78:78,1,MATCH(Stock!V$1,'Stock UST'!$1:$1,0))))</f>
        <v/>
      </c>
      <c r="W78" s="9" t="str">
        <f ca="1">IF(IF(ISERROR(MATCH(Stock!W$1,'Stock UST'!$1:$1,0)),V78,INDEX('Stock UST'!78:78,1,MATCH(Stock!W$1,'Stock UST'!$1:$1,0)))=0,"",IF(ISERROR(MATCH(Stock!W$1,'Stock UST'!$1:$1,0)),V78,INDEX('Stock UST'!78:78,1,MATCH(Stock!W$1,'Stock UST'!$1:$1,0))))</f>
        <v/>
      </c>
      <c r="X78" s="9" t="str">
        <f ca="1">IF(IF(ISERROR(MATCH(Stock!X$1,'Stock UST'!$1:$1,0)),W78,INDEX('Stock UST'!78:78,1,MATCH(Stock!X$1,'Stock UST'!$1:$1,0)))=0,"",IF(ISERROR(MATCH(Stock!X$1,'Stock UST'!$1:$1,0)),W78,INDEX('Stock UST'!78:78,1,MATCH(Stock!X$1,'Stock UST'!$1:$1,0))))</f>
        <v/>
      </c>
      <c r="Y78" s="9" t="str">
        <f ca="1">IF(IF(ISERROR(MATCH(Stock!Y$1,'Stock UST'!$1:$1,0)),X78,INDEX('Stock UST'!78:78,1,MATCH(Stock!Y$1,'Stock UST'!$1:$1,0)))=0,"",IF(ISERROR(MATCH(Stock!Y$1,'Stock UST'!$1:$1,0)),X78,INDEX('Stock UST'!78:78,1,MATCH(Stock!Y$1,'Stock UST'!$1:$1,0))))</f>
        <v/>
      </c>
      <c r="Z78" s="9" t="str">
        <f ca="1">IF(IF(ISERROR(MATCH(Stock!Z$1,'Stock UST'!$1:$1,0)),Y78,INDEX('Stock UST'!78:78,1,MATCH(Stock!Z$1,'Stock UST'!$1:$1,0)))=0,"",IF(ISERROR(MATCH(Stock!Z$1,'Stock UST'!$1:$1,0)),Y78,INDEX('Stock UST'!78:78,1,MATCH(Stock!Z$1,'Stock UST'!$1:$1,0))))</f>
        <v/>
      </c>
      <c r="AA78" s="9" t="str">
        <f ca="1">IF(IF(ISERROR(MATCH(Stock!AA$1,'Stock UST'!$1:$1,0)),Z78,INDEX('Stock UST'!78:78,1,MATCH(Stock!AA$1,'Stock UST'!$1:$1,0)))=0,"",IF(ISERROR(MATCH(Stock!AA$1,'Stock UST'!$1:$1,0)),Z78,INDEX('Stock UST'!78:78,1,MATCH(Stock!AA$1,'Stock UST'!$1:$1,0))))</f>
        <v/>
      </c>
      <c r="AB78" s="9" t="str">
        <f ca="1">IF(IF(ISERROR(MATCH(Stock!AB$1,'Stock UST'!$1:$1,0)),AA78,INDEX('Stock UST'!78:78,1,MATCH(Stock!AB$1,'Stock UST'!$1:$1,0)))=0,"",IF(ISERROR(MATCH(Stock!AB$1,'Stock UST'!$1:$1,0)),AA78,INDEX('Stock UST'!78:78,1,MATCH(Stock!AB$1,'Stock UST'!$1:$1,0))))</f>
        <v/>
      </c>
      <c r="AC78" s="9" t="str">
        <f ca="1">IF(IF(ISERROR(MATCH(Stock!AC$1,'Stock UST'!$1:$1,0)),AB78,INDEX('Stock UST'!78:78,1,MATCH(Stock!AC$1,'Stock UST'!$1:$1,0)))=0,"",IF(ISERROR(MATCH(Stock!AC$1,'Stock UST'!$1:$1,0)),AB78,INDEX('Stock UST'!78:78,1,MATCH(Stock!AC$1,'Stock UST'!$1:$1,0))))</f>
        <v/>
      </c>
      <c r="AD78" s="9" t="str">
        <f ca="1">IF(IF(ISERROR(MATCH(Stock!AD$1,'Stock UST'!$1:$1,0)),AC78,INDEX('Stock UST'!78:78,1,MATCH(Stock!AD$1,'Stock UST'!$1:$1,0)))=0,"",IF(ISERROR(MATCH(Stock!AD$1,'Stock UST'!$1:$1,0)),AC78,INDEX('Stock UST'!78:78,1,MATCH(Stock!AD$1,'Stock UST'!$1:$1,0))))</f>
        <v/>
      </c>
      <c r="AE78" s="9" t="str">
        <f ca="1">IF(IF(ISERROR(MATCH(Stock!AE$1,'Stock UST'!$1:$1,0)),AD78,INDEX('Stock UST'!78:78,1,MATCH(Stock!AE$1,'Stock UST'!$1:$1,0)))=0,"",IF(ISERROR(MATCH(Stock!AE$1,'Stock UST'!$1:$1,0)),AD78,INDEX('Stock UST'!78:78,1,MATCH(Stock!AE$1,'Stock UST'!$1:$1,0))))</f>
        <v/>
      </c>
      <c r="AF78" s="9" t="str">
        <f ca="1">IF(IF(ISERROR(MATCH(Stock!AF$1,'Stock UST'!$1:$1,0)),AE78,INDEX('Stock UST'!78:78,1,MATCH(Stock!AF$1,'Stock UST'!$1:$1,0)))=0,"",IF(ISERROR(MATCH(Stock!AF$1,'Stock UST'!$1:$1,0)),AE78,INDEX('Stock UST'!78:78,1,MATCH(Stock!AF$1,'Stock UST'!$1:$1,0))))</f>
        <v/>
      </c>
      <c r="AG78" s="9" t="str">
        <f ca="1">IF(IF(ISERROR(MATCH(Stock!AG$1,'Stock UST'!$1:$1,0)),AF78,INDEX('Stock UST'!78:78,1,MATCH(Stock!AG$1,'Stock UST'!$1:$1,0)))=0,"",IF(ISERROR(MATCH(Stock!AG$1,'Stock UST'!$1:$1,0)),AF78,INDEX('Stock UST'!78:78,1,MATCH(Stock!AG$1,'Stock UST'!$1:$1,0))))</f>
        <v/>
      </c>
      <c r="AH78" s="9" t="str">
        <f ca="1">IF(IF(ISERROR(MATCH(Stock!AH$1,'Stock UST'!$1:$1,0)),AG78,INDEX('Stock UST'!78:78,1,MATCH(Stock!AH$1,'Stock UST'!$1:$1,0)))=0,"",IF(ISERROR(MATCH(Stock!AH$1,'Stock UST'!$1:$1,0)),AG78,INDEX('Stock UST'!78:78,1,MATCH(Stock!AH$1,'Stock UST'!$1:$1,0))))</f>
        <v/>
      </c>
      <c r="AI78" s="9" t="str">
        <f ca="1">IF(IF(ISERROR(MATCH(Stock!AI$1,'Stock UST'!$1:$1,0)),AH78,INDEX('Stock UST'!78:78,1,MATCH(Stock!AI$1,'Stock UST'!$1:$1,0)))=0,"",IF(ISERROR(MATCH(Stock!AI$1,'Stock UST'!$1:$1,0)),AH78,INDEX('Stock UST'!78:78,1,MATCH(Stock!AI$1,'Stock UST'!$1:$1,0))))</f>
        <v/>
      </c>
      <c r="AJ78" s="9" t="str">
        <f ca="1">IF(IF(ISERROR(MATCH(Stock!AJ$1,'Stock UST'!$1:$1,0)),AI78,INDEX('Stock UST'!78:78,1,MATCH(Stock!AJ$1,'Stock UST'!$1:$1,0)))=0,"",IF(ISERROR(MATCH(Stock!AJ$1,'Stock UST'!$1:$1,0)),AI78,INDEX('Stock UST'!78:78,1,MATCH(Stock!AJ$1,'Stock UST'!$1:$1,0))))</f>
        <v/>
      </c>
      <c r="AK78" s="9" t="str">
        <f ca="1">IF(IF(ISERROR(MATCH(Stock!AK$1,'Stock UST'!$1:$1,0)),AJ78,INDEX('Stock UST'!78:78,1,MATCH(Stock!AK$1,'Stock UST'!$1:$1,0)))=0,"",IF(ISERROR(MATCH(Stock!AK$1,'Stock UST'!$1:$1,0)),AJ78,INDEX('Stock UST'!78:78,1,MATCH(Stock!AK$1,'Stock UST'!$1:$1,0))))</f>
        <v/>
      </c>
      <c r="AL78" s="9" t="str">
        <f ca="1">IF(IF(ISERROR(MATCH(Stock!AL$1,'Stock UST'!$1:$1,0)),AK78,INDEX('Stock UST'!78:78,1,MATCH(Stock!AL$1,'Stock UST'!$1:$1,0)))=0,"",IF(ISERROR(MATCH(Stock!AL$1,'Stock UST'!$1:$1,0)),AK78,INDEX('Stock UST'!78:78,1,MATCH(Stock!AL$1,'Stock UST'!$1:$1,0))))</f>
        <v/>
      </c>
      <c r="AM78" s="9" t="str">
        <f ca="1">IF(IF(ISERROR(MATCH(Stock!AM$1,'Stock UST'!$1:$1,0)),AL78,INDEX('Stock UST'!78:78,1,MATCH(Stock!AM$1,'Stock UST'!$1:$1,0)))=0,"",IF(ISERROR(MATCH(Stock!AM$1,'Stock UST'!$1:$1,0)),AL78,INDEX('Stock UST'!78:78,1,MATCH(Stock!AM$1,'Stock UST'!$1:$1,0))))</f>
        <v/>
      </c>
      <c r="AN78" s="9" t="str">
        <f ca="1">IF(IF(ISERROR(MATCH(Stock!AN$1,'Stock UST'!$1:$1,0)),AM78,INDEX('Stock UST'!78:78,1,MATCH(Stock!AN$1,'Stock UST'!$1:$1,0)))=0,"",IF(ISERROR(MATCH(Stock!AN$1,'Stock UST'!$1:$1,0)),AM78,INDEX('Stock UST'!78:78,1,MATCH(Stock!AN$1,'Stock UST'!$1:$1,0))))</f>
        <v/>
      </c>
      <c r="AO78" s="9" t="str">
        <f ca="1">IF(IF(ISERROR(MATCH(Stock!AO$1,'Stock UST'!$1:$1,0)),AN78,INDEX('Stock UST'!78:78,1,MATCH(Stock!AO$1,'Stock UST'!$1:$1,0)))=0,"",IF(ISERROR(MATCH(Stock!AO$1,'Stock UST'!$1:$1,0)),AN78,INDEX('Stock UST'!78:78,1,MATCH(Stock!AO$1,'Stock UST'!$1:$1,0))))</f>
        <v/>
      </c>
      <c r="AP78" s="9" t="str">
        <f ca="1">IF(IF(ISERROR(MATCH(Stock!AP$1,'Stock UST'!$1:$1,0)),AO78,INDEX('Stock UST'!78:78,1,MATCH(Stock!AP$1,'Stock UST'!$1:$1,0)))=0,"",IF(ISERROR(MATCH(Stock!AP$1,'Stock UST'!$1:$1,0)),AO78,INDEX('Stock UST'!78:78,1,MATCH(Stock!AP$1,'Stock UST'!$1:$1,0))))</f>
        <v/>
      </c>
      <c r="AQ78" s="9" t="str">
        <f ca="1">IF(IF(ISERROR(MATCH(Stock!AQ$1,'Stock UST'!$1:$1,0)),AP78,INDEX('Stock UST'!78:78,1,MATCH(Stock!AQ$1,'Stock UST'!$1:$1,0)))=0,"",IF(ISERROR(MATCH(Stock!AQ$1,'Stock UST'!$1:$1,0)),AP78,INDEX('Stock UST'!78:78,1,MATCH(Stock!AQ$1,'Stock UST'!$1:$1,0))))</f>
        <v/>
      </c>
      <c r="AR78" s="9" t="str">
        <f ca="1">IF(IF(ISERROR(MATCH(Stock!AR$1,'Stock UST'!$1:$1,0)),AQ78,INDEX('Stock UST'!78:78,1,MATCH(Stock!AR$1,'Stock UST'!$1:$1,0)))=0,"",IF(ISERROR(MATCH(Stock!AR$1,'Stock UST'!$1:$1,0)),AQ78,INDEX('Stock UST'!78:78,1,MATCH(Stock!AR$1,'Stock UST'!$1:$1,0))))</f>
        <v/>
      </c>
      <c r="AS78" s="9" t="str">
        <f ca="1">IF(IF(ISERROR(MATCH(Stock!AS$1,'Stock UST'!$1:$1,0)),AR78,INDEX('Stock UST'!78:78,1,MATCH(Stock!AS$1,'Stock UST'!$1:$1,0)))=0,"",IF(ISERROR(MATCH(Stock!AS$1,'Stock UST'!$1:$1,0)),AR78,INDEX('Stock UST'!78:78,1,MATCH(Stock!AS$1,'Stock UST'!$1:$1,0))))</f>
        <v/>
      </c>
      <c r="AT78" s="9" t="str">
        <f ca="1">IF(IF(ISERROR(MATCH(Stock!AT$1,'Stock UST'!$1:$1,0)),AS78,INDEX('Stock UST'!78:78,1,MATCH(Stock!AT$1,'Stock UST'!$1:$1,0)))=0,"",IF(ISERROR(MATCH(Stock!AT$1,'Stock UST'!$1:$1,0)),AS78,INDEX('Stock UST'!78:78,1,MATCH(Stock!AT$1,'Stock UST'!$1:$1,0))))</f>
        <v/>
      </c>
      <c r="AU78" s="9" t="str">
        <f ca="1">IF(IF(ISERROR(MATCH(Stock!AU$1,'Stock UST'!$1:$1,0)),AT78,INDEX('Stock UST'!78:78,1,MATCH(Stock!AU$1,'Stock UST'!$1:$1,0)))=0,"",IF(ISERROR(MATCH(Stock!AU$1,'Stock UST'!$1:$1,0)),AT78,INDEX('Stock UST'!78:78,1,MATCH(Stock!AU$1,'Stock UST'!$1:$1,0))))</f>
        <v/>
      </c>
      <c r="AV78" s="9" t="str">
        <f ca="1">IF(IF(ISERROR(MATCH(Stock!AV$1,'Stock UST'!$1:$1,0)),AU78,INDEX('Stock UST'!78:78,1,MATCH(Stock!AV$1,'Stock UST'!$1:$1,0)))=0,"",IF(ISERROR(MATCH(Stock!AV$1,'Stock UST'!$1:$1,0)),AU78,INDEX('Stock UST'!78:78,1,MATCH(Stock!AV$1,'Stock UST'!$1:$1,0))))</f>
        <v/>
      </c>
      <c r="AW78" s="9" t="str">
        <f ca="1">IF(IF(ISERROR(MATCH(Stock!AW$1,'Stock UST'!$1:$1,0)),AV78,INDEX('Stock UST'!78:78,1,MATCH(Stock!AW$1,'Stock UST'!$1:$1,0)))=0,"",IF(ISERROR(MATCH(Stock!AW$1,'Stock UST'!$1:$1,0)),AV78,INDEX('Stock UST'!78:78,1,MATCH(Stock!AW$1,'Stock UST'!$1:$1,0))))</f>
        <v/>
      </c>
      <c r="AX78" s="9" t="str">
        <f ca="1">IF(IF(ISERROR(MATCH(Stock!AX$1,'Stock UST'!$1:$1,0)),AW78,INDEX('Stock UST'!78:78,1,MATCH(Stock!AX$1,'Stock UST'!$1:$1,0)))=0,"",IF(ISERROR(MATCH(Stock!AX$1,'Stock UST'!$1:$1,0)),AW78,INDEX('Stock UST'!78:78,1,MATCH(Stock!AX$1,'Stock UST'!$1:$1,0))))</f>
        <v/>
      </c>
    </row>
    <row r="79" spans="1:50" x14ac:dyDescent="0.3">
      <c r="A79" s="9" t="str">
        <f>IF('Stock UST'!E79="","",'Stock UST'!E79)</f>
        <v/>
      </c>
      <c r="B79" s="9" t="str">
        <f>IF(IF(ISERROR(MATCH(Stock!B$1,'Stock UST'!$1:$1,0)),A79,INDEX('Stock UST'!79:79,1,MATCH(Stock!B$1,'Stock UST'!$1:$1,0)))=0,"",IF(ISERROR(MATCH(Stock!B$1,'Stock UST'!$1:$1,0)),A79,INDEX('Stock UST'!79:79,1,MATCH(Stock!B$1,'Stock UST'!$1:$1,0))))</f>
        <v/>
      </c>
      <c r="C79" s="9" t="str">
        <f ca="1">IF(IF(ISERROR(MATCH(Stock!C$1,'Stock UST'!$1:$1,0)),B79,INDEX('Stock UST'!79:79,1,MATCH(Stock!C$1,'Stock UST'!$1:$1,0)))=0,"",IF(ISERROR(MATCH(Stock!C$1,'Stock UST'!$1:$1,0)),B79,INDEX('Stock UST'!79:79,1,MATCH(Stock!C$1,'Stock UST'!$1:$1,0))))</f>
        <v/>
      </c>
      <c r="D79" s="9" t="str">
        <f ca="1">IF(IF(ISERROR(MATCH(Stock!D$1,'Stock UST'!$1:$1,0)),C79,INDEX('Stock UST'!79:79,1,MATCH(Stock!D$1,'Stock UST'!$1:$1,0)))=0,"",IF(ISERROR(MATCH(Stock!D$1,'Stock UST'!$1:$1,0)),C79,INDEX('Stock UST'!79:79,1,MATCH(Stock!D$1,'Stock UST'!$1:$1,0))))</f>
        <v/>
      </c>
      <c r="E79" s="9" t="str">
        <f ca="1">IF(IF(ISERROR(MATCH(Stock!E$1,'Stock UST'!$1:$1,0)),D79,INDEX('Stock UST'!79:79,1,MATCH(Stock!E$1,'Stock UST'!$1:$1,0)))=0,"",IF(ISERROR(MATCH(Stock!E$1,'Stock UST'!$1:$1,0)),D79,INDEX('Stock UST'!79:79,1,MATCH(Stock!E$1,'Stock UST'!$1:$1,0))))</f>
        <v/>
      </c>
      <c r="F79" s="9" t="str">
        <f ca="1">IF(IF(ISERROR(MATCH(Stock!F$1,'Stock UST'!$1:$1,0)),E79,INDEX('Stock UST'!79:79,1,MATCH(Stock!F$1,'Stock UST'!$1:$1,0)))=0,"",IF(ISERROR(MATCH(Stock!F$1,'Stock UST'!$1:$1,0)),E79,INDEX('Stock UST'!79:79,1,MATCH(Stock!F$1,'Stock UST'!$1:$1,0))))</f>
        <v/>
      </c>
      <c r="G79" s="9" t="str">
        <f ca="1">IF(IF(ISERROR(MATCH(Stock!G$1,'Stock UST'!$1:$1,0)),F79,INDEX('Stock UST'!79:79,1,MATCH(Stock!G$1,'Stock UST'!$1:$1,0)))=0,"",IF(ISERROR(MATCH(Stock!G$1,'Stock UST'!$1:$1,0)),F79,INDEX('Stock UST'!79:79,1,MATCH(Stock!G$1,'Stock UST'!$1:$1,0))))</f>
        <v/>
      </c>
      <c r="H79" s="9" t="str">
        <f ca="1">IF(IF(ISERROR(MATCH(Stock!H$1,'Stock UST'!$1:$1,0)),G79,INDEX('Stock UST'!79:79,1,MATCH(Stock!H$1,'Stock UST'!$1:$1,0)))=0,"",IF(ISERROR(MATCH(Stock!H$1,'Stock UST'!$1:$1,0)),G79,INDEX('Stock UST'!79:79,1,MATCH(Stock!H$1,'Stock UST'!$1:$1,0))))</f>
        <v/>
      </c>
      <c r="I79" s="9" t="str">
        <f ca="1">IF(IF(ISERROR(MATCH(Stock!I$1,'Stock UST'!$1:$1,0)),H79,INDEX('Stock UST'!79:79,1,MATCH(Stock!I$1,'Stock UST'!$1:$1,0)))=0,"",IF(ISERROR(MATCH(Stock!I$1,'Stock UST'!$1:$1,0)),H79,INDEX('Stock UST'!79:79,1,MATCH(Stock!I$1,'Stock UST'!$1:$1,0))))</f>
        <v/>
      </c>
      <c r="J79" s="9" t="str">
        <f ca="1">IF(IF(ISERROR(MATCH(Stock!J$1,'Stock UST'!$1:$1,0)),I79,INDEX('Stock UST'!79:79,1,MATCH(Stock!J$1,'Stock UST'!$1:$1,0)))=0,"",IF(ISERROR(MATCH(Stock!J$1,'Stock UST'!$1:$1,0)),I79,INDEX('Stock UST'!79:79,1,MATCH(Stock!J$1,'Stock UST'!$1:$1,0))))</f>
        <v/>
      </c>
      <c r="K79" s="9" t="str">
        <f ca="1">IF(IF(ISERROR(MATCH(Stock!K$1,'Stock UST'!$1:$1,0)),J79,INDEX('Stock UST'!79:79,1,MATCH(Stock!K$1,'Stock UST'!$1:$1,0)))=0,"",IF(ISERROR(MATCH(Stock!K$1,'Stock UST'!$1:$1,0)),J79,INDEX('Stock UST'!79:79,1,MATCH(Stock!K$1,'Stock UST'!$1:$1,0))))</f>
        <v/>
      </c>
      <c r="L79" s="9" t="str">
        <f ca="1">IF(IF(ISERROR(MATCH(Stock!L$1,'Stock UST'!$1:$1,0)),K79,INDEX('Stock UST'!79:79,1,MATCH(Stock!L$1,'Stock UST'!$1:$1,0)))=0,"",IF(ISERROR(MATCH(Stock!L$1,'Stock UST'!$1:$1,0)),K79,INDEX('Stock UST'!79:79,1,MATCH(Stock!L$1,'Stock UST'!$1:$1,0))))</f>
        <v/>
      </c>
      <c r="M79" s="9" t="str">
        <f ca="1">IF(IF(ISERROR(MATCH(Stock!M$1,'Stock UST'!$1:$1,0)),L79,INDEX('Stock UST'!79:79,1,MATCH(Stock!M$1,'Stock UST'!$1:$1,0)))=0,"",IF(ISERROR(MATCH(Stock!M$1,'Stock UST'!$1:$1,0)),L79,INDEX('Stock UST'!79:79,1,MATCH(Stock!M$1,'Stock UST'!$1:$1,0))))</f>
        <v/>
      </c>
      <c r="N79" s="9" t="str">
        <f ca="1">IF(IF(ISERROR(MATCH(Stock!N$1,'Stock UST'!$1:$1,0)),M79,INDEX('Stock UST'!79:79,1,MATCH(Stock!N$1,'Stock UST'!$1:$1,0)))=0,"",IF(ISERROR(MATCH(Stock!N$1,'Stock UST'!$1:$1,0)),M79,INDEX('Stock UST'!79:79,1,MATCH(Stock!N$1,'Stock UST'!$1:$1,0))))</f>
        <v/>
      </c>
      <c r="O79" s="9" t="str">
        <f ca="1">IF(IF(ISERROR(MATCH(Stock!O$1,'Stock UST'!$1:$1,0)),N79,INDEX('Stock UST'!79:79,1,MATCH(Stock!O$1,'Stock UST'!$1:$1,0)))=0,"",IF(ISERROR(MATCH(Stock!O$1,'Stock UST'!$1:$1,0)),N79,INDEX('Stock UST'!79:79,1,MATCH(Stock!O$1,'Stock UST'!$1:$1,0))))</f>
        <v/>
      </c>
      <c r="P79" s="9" t="str">
        <f ca="1">IF(IF(ISERROR(MATCH(Stock!P$1,'Stock UST'!$1:$1,0)),O79,INDEX('Stock UST'!79:79,1,MATCH(Stock!P$1,'Stock UST'!$1:$1,0)))=0,"",IF(ISERROR(MATCH(Stock!P$1,'Stock UST'!$1:$1,0)),O79,INDEX('Stock UST'!79:79,1,MATCH(Stock!P$1,'Stock UST'!$1:$1,0))))</f>
        <v/>
      </c>
      <c r="Q79" s="9" t="str">
        <f ca="1">IF(IF(ISERROR(MATCH(Stock!Q$1,'Stock UST'!$1:$1,0)),P79,INDEX('Stock UST'!79:79,1,MATCH(Stock!Q$1,'Stock UST'!$1:$1,0)))=0,"",IF(ISERROR(MATCH(Stock!Q$1,'Stock UST'!$1:$1,0)),P79,INDEX('Stock UST'!79:79,1,MATCH(Stock!Q$1,'Stock UST'!$1:$1,0))))</f>
        <v/>
      </c>
      <c r="R79" s="9" t="str">
        <f ca="1">IF(IF(ISERROR(MATCH(Stock!R$1,'Stock UST'!$1:$1,0)),Q79,INDEX('Stock UST'!79:79,1,MATCH(Stock!R$1,'Stock UST'!$1:$1,0)))=0,"",IF(ISERROR(MATCH(Stock!R$1,'Stock UST'!$1:$1,0)),Q79,INDEX('Stock UST'!79:79,1,MATCH(Stock!R$1,'Stock UST'!$1:$1,0))))</f>
        <v/>
      </c>
      <c r="S79" s="9" t="str">
        <f ca="1">IF(IF(ISERROR(MATCH(Stock!S$1,'Stock UST'!$1:$1,0)),R79,INDEX('Stock UST'!79:79,1,MATCH(Stock!S$1,'Stock UST'!$1:$1,0)))=0,"",IF(ISERROR(MATCH(Stock!S$1,'Stock UST'!$1:$1,0)),R79,INDEX('Stock UST'!79:79,1,MATCH(Stock!S$1,'Stock UST'!$1:$1,0))))</f>
        <v/>
      </c>
      <c r="T79" s="9" t="str">
        <f ca="1">IF(IF(ISERROR(MATCH(Stock!T$1,'Stock UST'!$1:$1,0)),S79,INDEX('Stock UST'!79:79,1,MATCH(Stock!T$1,'Stock UST'!$1:$1,0)))=0,"",IF(ISERROR(MATCH(Stock!T$1,'Stock UST'!$1:$1,0)),S79,INDEX('Stock UST'!79:79,1,MATCH(Stock!T$1,'Stock UST'!$1:$1,0))))</f>
        <v/>
      </c>
      <c r="U79" s="9" t="str">
        <f ca="1">IF(IF(ISERROR(MATCH(Stock!U$1,'Stock UST'!$1:$1,0)),T79,INDEX('Stock UST'!79:79,1,MATCH(Stock!U$1,'Stock UST'!$1:$1,0)))=0,"",IF(ISERROR(MATCH(Stock!U$1,'Stock UST'!$1:$1,0)),T79,INDEX('Stock UST'!79:79,1,MATCH(Stock!U$1,'Stock UST'!$1:$1,0))))</f>
        <v/>
      </c>
      <c r="V79" s="9" t="str">
        <f ca="1">IF(IF(ISERROR(MATCH(Stock!V$1,'Stock UST'!$1:$1,0)),U79,INDEX('Stock UST'!79:79,1,MATCH(Stock!V$1,'Stock UST'!$1:$1,0)))=0,"",IF(ISERROR(MATCH(Stock!V$1,'Stock UST'!$1:$1,0)),U79,INDEX('Stock UST'!79:79,1,MATCH(Stock!V$1,'Stock UST'!$1:$1,0))))</f>
        <v/>
      </c>
      <c r="W79" s="9" t="str">
        <f ca="1">IF(IF(ISERROR(MATCH(Stock!W$1,'Stock UST'!$1:$1,0)),V79,INDEX('Stock UST'!79:79,1,MATCH(Stock!W$1,'Stock UST'!$1:$1,0)))=0,"",IF(ISERROR(MATCH(Stock!W$1,'Stock UST'!$1:$1,0)),V79,INDEX('Stock UST'!79:79,1,MATCH(Stock!W$1,'Stock UST'!$1:$1,0))))</f>
        <v/>
      </c>
      <c r="X79" s="9" t="str">
        <f ca="1">IF(IF(ISERROR(MATCH(Stock!X$1,'Stock UST'!$1:$1,0)),W79,INDEX('Stock UST'!79:79,1,MATCH(Stock!X$1,'Stock UST'!$1:$1,0)))=0,"",IF(ISERROR(MATCH(Stock!X$1,'Stock UST'!$1:$1,0)),W79,INDEX('Stock UST'!79:79,1,MATCH(Stock!X$1,'Stock UST'!$1:$1,0))))</f>
        <v/>
      </c>
      <c r="Y79" s="9" t="str">
        <f ca="1">IF(IF(ISERROR(MATCH(Stock!Y$1,'Stock UST'!$1:$1,0)),X79,INDEX('Stock UST'!79:79,1,MATCH(Stock!Y$1,'Stock UST'!$1:$1,0)))=0,"",IF(ISERROR(MATCH(Stock!Y$1,'Stock UST'!$1:$1,0)),X79,INDEX('Stock UST'!79:79,1,MATCH(Stock!Y$1,'Stock UST'!$1:$1,0))))</f>
        <v/>
      </c>
      <c r="Z79" s="9" t="str">
        <f ca="1">IF(IF(ISERROR(MATCH(Stock!Z$1,'Stock UST'!$1:$1,0)),Y79,INDEX('Stock UST'!79:79,1,MATCH(Stock!Z$1,'Stock UST'!$1:$1,0)))=0,"",IF(ISERROR(MATCH(Stock!Z$1,'Stock UST'!$1:$1,0)),Y79,INDEX('Stock UST'!79:79,1,MATCH(Stock!Z$1,'Stock UST'!$1:$1,0))))</f>
        <v/>
      </c>
      <c r="AA79" s="9" t="str">
        <f ca="1">IF(IF(ISERROR(MATCH(Stock!AA$1,'Stock UST'!$1:$1,0)),Z79,INDEX('Stock UST'!79:79,1,MATCH(Stock!AA$1,'Stock UST'!$1:$1,0)))=0,"",IF(ISERROR(MATCH(Stock!AA$1,'Stock UST'!$1:$1,0)),Z79,INDEX('Stock UST'!79:79,1,MATCH(Stock!AA$1,'Stock UST'!$1:$1,0))))</f>
        <v/>
      </c>
      <c r="AB79" s="9" t="str">
        <f ca="1">IF(IF(ISERROR(MATCH(Stock!AB$1,'Stock UST'!$1:$1,0)),AA79,INDEX('Stock UST'!79:79,1,MATCH(Stock!AB$1,'Stock UST'!$1:$1,0)))=0,"",IF(ISERROR(MATCH(Stock!AB$1,'Stock UST'!$1:$1,0)),AA79,INDEX('Stock UST'!79:79,1,MATCH(Stock!AB$1,'Stock UST'!$1:$1,0))))</f>
        <v/>
      </c>
      <c r="AC79" s="9" t="str">
        <f ca="1">IF(IF(ISERROR(MATCH(Stock!AC$1,'Stock UST'!$1:$1,0)),AB79,INDEX('Stock UST'!79:79,1,MATCH(Stock!AC$1,'Stock UST'!$1:$1,0)))=0,"",IF(ISERROR(MATCH(Stock!AC$1,'Stock UST'!$1:$1,0)),AB79,INDEX('Stock UST'!79:79,1,MATCH(Stock!AC$1,'Stock UST'!$1:$1,0))))</f>
        <v/>
      </c>
      <c r="AD79" s="9" t="str">
        <f ca="1">IF(IF(ISERROR(MATCH(Stock!AD$1,'Stock UST'!$1:$1,0)),AC79,INDEX('Stock UST'!79:79,1,MATCH(Stock!AD$1,'Stock UST'!$1:$1,0)))=0,"",IF(ISERROR(MATCH(Stock!AD$1,'Stock UST'!$1:$1,0)),AC79,INDEX('Stock UST'!79:79,1,MATCH(Stock!AD$1,'Stock UST'!$1:$1,0))))</f>
        <v/>
      </c>
      <c r="AE79" s="9" t="str">
        <f ca="1">IF(IF(ISERROR(MATCH(Stock!AE$1,'Stock UST'!$1:$1,0)),AD79,INDEX('Stock UST'!79:79,1,MATCH(Stock!AE$1,'Stock UST'!$1:$1,0)))=0,"",IF(ISERROR(MATCH(Stock!AE$1,'Stock UST'!$1:$1,0)),AD79,INDEX('Stock UST'!79:79,1,MATCH(Stock!AE$1,'Stock UST'!$1:$1,0))))</f>
        <v/>
      </c>
      <c r="AF79" s="9" t="str">
        <f ca="1">IF(IF(ISERROR(MATCH(Stock!AF$1,'Stock UST'!$1:$1,0)),AE79,INDEX('Stock UST'!79:79,1,MATCH(Stock!AF$1,'Stock UST'!$1:$1,0)))=0,"",IF(ISERROR(MATCH(Stock!AF$1,'Stock UST'!$1:$1,0)),AE79,INDEX('Stock UST'!79:79,1,MATCH(Stock!AF$1,'Stock UST'!$1:$1,0))))</f>
        <v/>
      </c>
      <c r="AG79" s="9" t="str">
        <f ca="1">IF(IF(ISERROR(MATCH(Stock!AG$1,'Stock UST'!$1:$1,0)),AF79,INDEX('Stock UST'!79:79,1,MATCH(Stock!AG$1,'Stock UST'!$1:$1,0)))=0,"",IF(ISERROR(MATCH(Stock!AG$1,'Stock UST'!$1:$1,0)),AF79,INDEX('Stock UST'!79:79,1,MATCH(Stock!AG$1,'Stock UST'!$1:$1,0))))</f>
        <v/>
      </c>
      <c r="AH79" s="9" t="str">
        <f ca="1">IF(IF(ISERROR(MATCH(Stock!AH$1,'Stock UST'!$1:$1,0)),AG79,INDEX('Stock UST'!79:79,1,MATCH(Stock!AH$1,'Stock UST'!$1:$1,0)))=0,"",IF(ISERROR(MATCH(Stock!AH$1,'Stock UST'!$1:$1,0)),AG79,INDEX('Stock UST'!79:79,1,MATCH(Stock!AH$1,'Stock UST'!$1:$1,0))))</f>
        <v/>
      </c>
      <c r="AI79" s="9" t="str">
        <f ca="1">IF(IF(ISERROR(MATCH(Stock!AI$1,'Stock UST'!$1:$1,0)),AH79,INDEX('Stock UST'!79:79,1,MATCH(Stock!AI$1,'Stock UST'!$1:$1,0)))=0,"",IF(ISERROR(MATCH(Stock!AI$1,'Stock UST'!$1:$1,0)),AH79,INDEX('Stock UST'!79:79,1,MATCH(Stock!AI$1,'Stock UST'!$1:$1,0))))</f>
        <v/>
      </c>
      <c r="AJ79" s="9" t="str">
        <f ca="1">IF(IF(ISERROR(MATCH(Stock!AJ$1,'Stock UST'!$1:$1,0)),AI79,INDEX('Stock UST'!79:79,1,MATCH(Stock!AJ$1,'Stock UST'!$1:$1,0)))=0,"",IF(ISERROR(MATCH(Stock!AJ$1,'Stock UST'!$1:$1,0)),AI79,INDEX('Stock UST'!79:79,1,MATCH(Stock!AJ$1,'Stock UST'!$1:$1,0))))</f>
        <v/>
      </c>
      <c r="AK79" s="9" t="str">
        <f ca="1">IF(IF(ISERROR(MATCH(Stock!AK$1,'Stock UST'!$1:$1,0)),AJ79,INDEX('Stock UST'!79:79,1,MATCH(Stock!AK$1,'Stock UST'!$1:$1,0)))=0,"",IF(ISERROR(MATCH(Stock!AK$1,'Stock UST'!$1:$1,0)),AJ79,INDEX('Stock UST'!79:79,1,MATCH(Stock!AK$1,'Stock UST'!$1:$1,0))))</f>
        <v/>
      </c>
      <c r="AL79" s="9" t="str">
        <f ca="1">IF(IF(ISERROR(MATCH(Stock!AL$1,'Stock UST'!$1:$1,0)),AK79,INDEX('Stock UST'!79:79,1,MATCH(Stock!AL$1,'Stock UST'!$1:$1,0)))=0,"",IF(ISERROR(MATCH(Stock!AL$1,'Stock UST'!$1:$1,0)),AK79,INDEX('Stock UST'!79:79,1,MATCH(Stock!AL$1,'Stock UST'!$1:$1,0))))</f>
        <v/>
      </c>
      <c r="AM79" s="9" t="str">
        <f ca="1">IF(IF(ISERROR(MATCH(Stock!AM$1,'Stock UST'!$1:$1,0)),AL79,INDEX('Stock UST'!79:79,1,MATCH(Stock!AM$1,'Stock UST'!$1:$1,0)))=0,"",IF(ISERROR(MATCH(Stock!AM$1,'Stock UST'!$1:$1,0)),AL79,INDEX('Stock UST'!79:79,1,MATCH(Stock!AM$1,'Stock UST'!$1:$1,0))))</f>
        <v/>
      </c>
      <c r="AN79" s="9" t="str">
        <f ca="1">IF(IF(ISERROR(MATCH(Stock!AN$1,'Stock UST'!$1:$1,0)),AM79,INDEX('Stock UST'!79:79,1,MATCH(Stock!AN$1,'Stock UST'!$1:$1,0)))=0,"",IF(ISERROR(MATCH(Stock!AN$1,'Stock UST'!$1:$1,0)),AM79,INDEX('Stock UST'!79:79,1,MATCH(Stock!AN$1,'Stock UST'!$1:$1,0))))</f>
        <v/>
      </c>
      <c r="AO79" s="9" t="str">
        <f ca="1">IF(IF(ISERROR(MATCH(Stock!AO$1,'Stock UST'!$1:$1,0)),AN79,INDEX('Stock UST'!79:79,1,MATCH(Stock!AO$1,'Stock UST'!$1:$1,0)))=0,"",IF(ISERROR(MATCH(Stock!AO$1,'Stock UST'!$1:$1,0)),AN79,INDEX('Stock UST'!79:79,1,MATCH(Stock!AO$1,'Stock UST'!$1:$1,0))))</f>
        <v/>
      </c>
      <c r="AP79" s="9" t="str">
        <f ca="1">IF(IF(ISERROR(MATCH(Stock!AP$1,'Stock UST'!$1:$1,0)),AO79,INDEX('Stock UST'!79:79,1,MATCH(Stock!AP$1,'Stock UST'!$1:$1,0)))=0,"",IF(ISERROR(MATCH(Stock!AP$1,'Stock UST'!$1:$1,0)),AO79,INDEX('Stock UST'!79:79,1,MATCH(Stock!AP$1,'Stock UST'!$1:$1,0))))</f>
        <v/>
      </c>
      <c r="AQ79" s="9" t="str">
        <f ca="1">IF(IF(ISERROR(MATCH(Stock!AQ$1,'Stock UST'!$1:$1,0)),AP79,INDEX('Stock UST'!79:79,1,MATCH(Stock!AQ$1,'Stock UST'!$1:$1,0)))=0,"",IF(ISERROR(MATCH(Stock!AQ$1,'Stock UST'!$1:$1,0)),AP79,INDEX('Stock UST'!79:79,1,MATCH(Stock!AQ$1,'Stock UST'!$1:$1,0))))</f>
        <v/>
      </c>
      <c r="AR79" s="9" t="str">
        <f ca="1">IF(IF(ISERROR(MATCH(Stock!AR$1,'Stock UST'!$1:$1,0)),AQ79,INDEX('Stock UST'!79:79,1,MATCH(Stock!AR$1,'Stock UST'!$1:$1,0)))=0,"",IF(ISERROR(MATCH(Stock!AR$1,'Stock UST'!$1:$1,0)),AQ79,INDEX('Stock UST'!79:79,1,MATCH(Stock!AR$1,'Stock UST'!$1:$1,0))))</f>
        <v/>
      </c>
      <c r="AS79" s="9" t="str">
        <f ca="1">IF(IF(ISERROR(MATCH(Stock!AS$1,'Stock UST'!$1:$1,0)),AR79,INDEX('Stock UST'!79:79,1,MATCH(Stock!AS$1,'Stock UST'!$1:$1,0)))=0,"",IF(ISERROR(MATCH(Stock!AS$1,'Stock UST'!$1:$1,0)),AR79,INDEX('Stock UST'!79:79,1,MATCH(Stock!AS$1,'Stock UST'!$1:$1,0))))</f>
        <v/>
      </c>
      <c r="AT79" s="9" t="str">
        <f ca="1">IF(IF(ISERROR(MATCH(Stock!AT$1,'Stock UST'!$1:$1,0)),AS79,INDEX('Stock UST'!79:79,1,MATCH(Stock!AT$1,'Stock UST'!$1:$1,0)))=0,"",IF(ISERROR(MATCH(Stock!AT$1,'Stock UST'!$1:$1,0)),AS79,INDEX('Stock UST'!79:79,1,MATCH(Stock!AT$1,'Stock UST'!$1:$1,0))))</f>
        <v/>
      </c>
      <c r="AU79" s="9" t="str">
        <f ca="1">IF(IF(ISERROR(MATCH(Stock!AU$1,'Stock UST'!$1:$1,0)),AT79,INDEX('Stock UST'!79:79,1,MATCH(Stock!AU$1,'Stock UST'!$1:$1,0)))=0,"",IF(ISERROR(MATCH(Stock!AU$1,'Stock UST'!$1:$1,0)),AT79,INDEX('Stock UST'!79:79,1,MATCH(Stock!AU$1,'Stock UST'!$1:$1,0))))</f>
        <v/>
      </c>
      <c r="AV79" s="9" t="str">
        <f ca="1">IF(IF(ISERROR(MATCH(Stock!AV$1,'Stock UST'!$1:$1,0)),AU79,INDEX('Stock UST'!79:79,1,MATCH(Stock!AV$1,'Stock UST'!$1:$1,0)))=0,"",IF(ISERROR(MATCH(Stock!AV$1,'Stock UST'!$1:$1,0)),AU79,INDEX('Stock UST'!79:79,1,MATCH(Stock!AV$1,'Stock UST'!$1:$1,0))))</f>
        <v/>
      </c>
      <c r="AW79" s="9" t="str">
        <f ca="1">IF(IF(ISERROR(MATCH(Stock!AW$1,'Stock UST'!$1:$1,0)),AV79,INDEX('Stock UST'!79:79,1,MATCH(Stock!AW$1,'Stock UST'!$1:$1,0)))=0,"",IF(ISERROR(MATCH(Stock!AW$1,'Stock UST'!$1:$1,0)),AV79,INDEX('Stock UST'!79:79,1,MATCH(Stock!AW$1,'Stock UST'!$1:$1,0))))</f>
        <v/>
      </c>
      <c r="AX79" s="9" t="str">
        <f ca="1">IF(IF(ISERROR(MATCH(Stock!AX$1,'Stock UST'!$1:$1,0)),AW79,INDEX('Stock UST'!79:79,1,MATCH(Stock!AX$1,'Stock UST'!$1:$1,0)))=0,"",IF(ISERROR(MATCH(Stock!AX$1,'Stock UST'!$1:$1,0)),AW79,INDEX('Stock UST'!79:79,1,MATCH(Stock!AX$1,'Stock UST'!$1:$1,0))))</f>
        <v/>
      </c>
    </row>
    <row r="80" spans="1:50" x14ac:dyDescent="0.3">
      <c r="A80" s="9" t="str">
        <f>IF('Stock UST'!E80="","",'Stock UST'!E80)</f>
        <v/>
      </c>
      <c r="B80" s="9" t="str">
        <f>IF(IF(ISERROR(MATCH(Stock!B$1,'Stock UST'!$1:$1,0)),A80,INDEX('Stock UST'!80:80,1,MATCH(Stock!B$1,'Stock UST'!$1:$1,0)))=0,"",IF(ISERROR(MATCH(Stock!B$1,'Stock UST'!$1:$1,0)),A80,INDEX('Stock UST'!80:80,1,MATCH(Stock!B$1,'Stock UST'!$1:$1,0))))</f>
        <v/>
      </c>
      <c r="C80" s="9" t="str">
        <f ca="1">IF(IF(ISERROR(MATCH(Stock!C$1,'Stock UST'!$1:$1,0)),B80,INDEX('Stock UST'!80:80,1,MATCH(Stock!C$1,'Stock UST'!$1:$1,0)))=0,"",IF(ISERROR(MATCH(Stock!C$1,'Stock UST'!$1:$1,0)),B80,INDEX('Stock UST'!80:80,1,MATCH(Stock!C$1,'Stock UST'!$1:$1,0))))</f>
        <v/>
      </c>
      <c r="D80" s="9" t="str">
        <f ca="1">IF(IF(ISERROR(MATCH(Stock!D$1,'Stock UST'!$1:$1,0)),C80,INDEX('Stock UST'!80:80,1,MATCH(Stock!D$1,'Stock UST'!$1:$1,0)))=0,"",IF(ISERROR(MATCH(Stock!D$1,'Stock UST'!$1:$1,0)),C80,INDEX('Stock UST'!80:80,1,MATCH(Stock!D$1,'Stock UST'!$1:$1,0))))</f>
        <v/>
      </c>
      <c r="E80" s="9" t="str">
        <f ca="1">IF(IF(ISERROR(MATCH(Stock!E$1,'Stock UST'!$1:$1,0)),D80,INDEX('Stock UST'!80:80,1,MATCH(Stock!E$1,'Stock UST'!$1:$1,0)))=0,"",IF(ISERROR(MATCH(Stock!E$1,'Stock UST'!$1:$1,0)),D80,INDEX('Stock UST'!80:80,1,MATCH(Stock!E$1,'Stock UST'!$1:$1,0))))</f>
        <v/>
      </c>
      <c r="F80" s="9" t="str">
        <f ca="1">IF(IF(ISERROR(MATCH(Stock!F$1,'Stock UST'!$1:$1,0)),E80,INDEX('Stock UST'!80:80,1,MATCH(Stock!F$1,'Stock UST'!$1:$1,0)))=0,"",IF(ISERROR(MATCH(Stock!F$1,'Stock UST'!$1:$1,0)),E80,INDEX('Stock UST'!80:80,1,MATCH(Stock!F$1,'Stock UST'!$1:$1,0))))</f>
        <v/>
      </c>
      <c r="G80" s="9" t="str">
        <f ca="1">IF(IF(ISERROR(MATCH(Stock!G$1,'Stock UST'!$1:$1,0)),F80,INDEX('Stock UST'!80:80,1,MATCH(Stock!G$1,'Stock UST'!$1:$1,0)))=0,"",IF(ISERROR(MATCH(Stock!G$1,'Stock UST'!$1:$1,0)),F80,INDEX('Stock UST'!80:80,1,MATCH(Stock!G$1,'Stock UST'!$1:$1,0))))</f>
        <v/>
      </c>
      <c r="H80" s="9" t="str">
        <f ca="1">IF(IF(ISERROR(MATCH(Stock!H$1,'Stock UST'!$1:$1,0)),G80,INDEX('Stock UST'!80:80,1,MATCH(Stock!H$1,'Stock UST'!$1:$1,0)))=0,"",IF(ISERROR(MATCH(Stock!H$1,'Stock UST'!$1:$1,0)),G80,INDEX('Stock UST'!80:80,1,MATCH(Stock!H$1,'Stock UST'!$1:$1,0))))</f>
        <v/>
      </c>
      <c r="I80" s="9" t="str">
        <f ca="1">IF(IF(ISERROR(MATCH(Stock!I$1,'Stock UST'!$1:$1,0)),H80,INDEX('Stock UST'!80:80,1,MATCH(Stock!I$1,'Stock UST'!$1:$1,0)))=0,"",IF(ISERROR(MATCH(Stock!I$1,'Stock UST'!$1:$1,0)),H80,INDEX('Stock UST'!80:80,1,MATCH(Stock!I$1,'Stock UST'!$1:$1,0))))</f>
        <v/>
      </c>
      <c r="J80" s="9" t="str">
        <f ca="1">IF(IF(ISERROR(MATCH(Stock!J$1,'Stock UST'!$1:$1,0)),I80,INDEX('Stock UST'!80:80,1,MATCH(Stock!J$1,'Stock UST'!$1:$1,0)))=0,"",IF(ISERROR(MATCH(Stock!J$1,'Stock UST'!$1:$1,0)),I80,INDEX('Stock UST'!80:80,1,MATCH(Stock!J$1,'Stock UST'!$1:$1,0))))</f>
        <v/>
      </c>
      <c r="K80" s="9" t="str">
        <f ca="1">IF(IF(ISERROR(MATCH(Stock!K$1,'Stock UST'!$1:$1,0)),J80,INDEX('Stock UST'!80:80,1,MATCH(Stock!K$1,'Stock UST'!$1:$1,0)))=0,"",IF(ISERROR(MATCH(Stock!K$1,'Stock UST'!$1:$1,0)),J80,INDEX('Stock UST'!80:80,1,MATCH(Stock!K$1,'Stock UST'!$1:$1,0))))</f>
        <v/>
      </c>
      <c r="L80" s="9" t="str">
        <f ca="1">IF(IF(ISERROR(MATCH(Stock!L$1,'Stock UST'!$1:$1,0)),K80,INDEX('Stock UST'!80:80,1,MATCH(Stock!L$1,'Stock UST'!$1:$1,0)))=0,"",IF(ISERROR(MATCH(Stock!L$1,'Stock UST'!$1:$1,0)),K80,INDEX('Stock UST'!80:80,1,MATCH(Stock!L$1,'Stock UST'!$1:$1,0))))</f>
        <v/>
      </c>
      <c r="M80" s="9" t="str">
        <f ca="1">IF(IF(ISERROR(MATCH(Stock!M$1,'Stock UST'!$1:$1,0)),L80,INDEX('Stock UST'!80:80,1,MATCH(Stock!M$1,'Stock UST'!$1:$1,0)))=0,"",IF(ISERROR(MATCH(Stock!M$1,'Stock UST'!$1:$1,0)),L80,INDEX('Stock UST'!80:80,1,MATCH(Stock!M$1,'Stock UST'!$1:$1,0))))</f>
        <v/>
      </c>
      <c r="N80" s="9" t="str">
        <f ca="1">IF(IF(ISERROR(MATCH(Stock!N$1,'Stock UST'!$1:$1,0)),M80,INDEX('Stock UST'!80:80,1,MATCH(Stock!N$1,'Stock UST'!$1:$1,0)))=0,"",IF(ISERROR(MATCH(Stock!N$1,'Stock UST'!$1:$1,0)),M80,INDEX('Stock UST'!80:80,1,MATCH(Stock!N$1,'Stock UST'!$1:$1,0))))</f>
        <v/>
      </c>
      <c r="O80" s="9" t="str">
        <f ca="1">IF(IF(ISERROR(MATCH(Stock!O$1,'Stock UST'!$1:$1,0)),N80,INDEX('Stock UST'!80:80,1,MATCH(Stock!O$1,'Stock UST'!$1:$1,0)))=0,"",IF(ISERROR(MATCH(Stock!O$1,'Stock UST'!$1:$1,0)),N80,INDEX('Stock UST'!80:80,1,MATCH(Stock!O$1,'Stock UST'!$1:$1,0))))</f>
        <v/>
      </c>
      <c r="P80" s="9" t="str">
        <f ca="1">IF(IF(ISERROR(MATCH(Stock!P$1,'Stock UST'!$1:$1,0)),O80,INDEX('Stock UST'!80:80,1,MATCH(Stock!P$1,'Stock UST'!$1:$1,0)))=0,"",IF(ISERROR(MATCH(Stock!P$1,'Stock UST'!$1:$1,0)),O80,INDEX('Stock UST'!80:80,1,MATCH(Stock!P$1,'Stock UST'!$1:$1,0))))</f>
        <v/>
      </c>
      <c r="Q80" s="9" t="str">
        <f ca="1">IF(IF(ISERROR(MATCH(Stock!Q$1,'Stock UST'!$1:$1,0)),P80,INDEX('Stock UST'!80:80,1,MATCH(Stock!Q$1,'Stock UST'!$1:$1,0)))=0,"",IF(ISERROR(MATCH(Stock!Q$1,'Stock UST'!$1:$1,0)),P80,INDEX('Stock UST'!80:80,1,MATCH(Stock!Q$1,'Stock UST'!$1:$1,0))))</f>
        <v/>
      </c>
      <c r="R80" s="9" t="str">
        <f ca="1">IF(IF(ISERROR(MATCH(Stock!R$1,'Stock UST'!$1:$1,0)),Q80,INDEX('Stock UST'!80:80,1,MATCH(Stock!R$1,'Stock UST'!$1:$1,0)))=0,"",IF(ISERROR(MATCH(Stock!R$1,'Stock UST'!$1:$1,0)),Q80,INDEX('Stock UST'!80:80,1,MATCH(Stock!R$1,'Stock UST'!$1:$1,0))))</f>
        <v/>
      </c>
      <c r="S80" s="9" t="str">
        <f ca="1">IF(IF(ISERROR(MATCH(Stock!S$1,'Stock UST'!$1:$1,0)),R80,INDEX('Stock UST'!80:80,1,MATCH(Stock!S$1,'Stock UST'!$1:$1,0)))=0,"",IF(ISERROR(MATCH(Stock!S$1,'Stock UST'!$1:$1,0)),R80,INDEX('Stock UST'!80:80,1,MATCH(Stock!S$1,'Stock UST'!$1:$1,0))))</f>
        <v/>
      </c>
      <c r="T80" s="9" t="str">
        <f ca="1">IF(IF(ISERROR(MATCH(Stock!T$1,'Stock UST'!$1:$1,0)),S80,INDEX('Stock UST'!80:80,1,MATCH(Stock!T$1,'Stock UST'!$1:$1,0)))=0,"",IF(ISERROR(MATCH(Stock!T$1,'Stock UST'!$1:$1,0)),S80,INDEX('Stock UST'!80:80,1,MATCH(Stock!T$1,'Stock UST'!$1:$1,0))))</f>
        <v/>
      </c>
      <c r="U80" s="9" t="str">
        <f ca="1">IF(IF(ISERROR(MATCH(Stock!U$1,'Stock UST'!$1:$1,0)),T80,INDEX('Stock UST'!80:80,1,MATCH(Stock!U$1,'Stock UST'!$1:$1,0)))=0,"",IF(ISERROR(MATCH(Stock!U$1,'Stock UST'!$1:$1,0)),T80,INDEX('Stock UST'!80:80,1,MATCH(Stock!U$1,'Stock UST'!$1:$1,0))))</f>
        <v/>
      </c>
      <c r="V80" s="9" t="str">
        <f ca="1">IF(IF(ISERROR(MATCH(Stock!V$1,'Stock UST'!$1:$1,0)),U80,INDEX('Stock UST'!80:80,1,MATCH(Stock!V$1,'Stock UST'!$1:$1,0)))=0,"",IF(ISERROR(MATCH(Stock!V$1,'Stock UST'!$1:$1,0)),U80,INDEX('Stock UST'!80:80,1,MATCH(Stock!V$1,'Stock UST'!$1:$1,0))))</f>
        <v/>
      </c>
      <c r="W80" s="9" t="str">
        <f ca="1">IF(IF(ISERROR(MATCH(Stock!W$1,'Stock UST'!$1:$1,0)),V80,INDEX('Stock UST'!80:80,1,MATCH(Stock!W$1,'Stock UST'!$1:$1,0)))=0,"",IF(ISERROR(MATCH(Stock!W$1,'Stock UST'!$1:$1,0)),V80,INDEX('Stock UST'!80:80,1,MATCH(Stock!W$1,'Stock UST'!$1:$1,0))))</f>
        <v/>
      </c>
      <c r="X80" s="9" t="str">
        <f ca="1">IF(IF(ISERROR(MATCH(Stock!X$1,'Stock UST'!$1:$1,0)),W80,INDEX('Stock UST'!80:80,1,MATCH(Stock!X$1,'Stock UST'!$1:$1,0)))=0,"",IF(ISERROR(MATCH(Stock!X$1,'Stock UST'!$1:$1,0)),W80,INDEX('Stock UST'!80:80,1,MATCH(Stock!X$1,'Stock UST'!$1:$1,0))))</f>
        <v/>
      </c>
      <c r="Y80" s="9" t="str">
        <f ca="1">IF(IF(ISERROR(MATCH(Stock!Y$1,'Stock UST'!$1:$1,0)),X80,INDEX('Stock UST'!80:80,1,MATCH(Stock!Y$1,'Stock UST'!$1:$1,0)))=0,"",IF(ISERROR(MATCH(Stock!Y$1,'Stock UST'!$1:$1,0)),X80,INDEX('Stock UST'!80:80,1,MATCH(Stock!Y$1,'Stock UST'!$1:$1,0))))</f>
        <v/>
      </c>
      <c r="Z80" s="9" t="str">
        <f ca="1">IF(IF(ISERROR(MATCH(Stock!Z$1,'Stock UST'!$1:$1,0)),Y80,INDEX('Stock UST'!80:80,1,MATCH(Stock!Z$1,'Stock UST'!$1:$1,0)))=0,"",IF(ISERROR(MATCH(Stock!Z$1,'Stock UST'!$1:$1,0)),Y80,INDEX('Stock UST'!80:80,1,MATCH(Stock!Z$1,'Stock UST'!$1:$1,0))))</f>
        <v/>
      </c>
      <c r="AA80" s="9" t="str">
        <f ca="1">IF(IF(ISERROR(MATCH(Stock!AA$1,'Stock UST'!$1:$1,0)),Z80,INDEX('Stock UST'!80:80,1,MATCH(Stock!AA$1,'Stock UST'!$1:$1,0)))=0,"",IF(ISERROR(MATCH(Stock!AA$1,'Stock UST'!$1:$1,0)),Z80,INDEX('Stock UST'!80:80,1,MATCH(Stock!AA$1,'Stock UST'!$1:$1,0))))</f>
        <v/>
      </c>
      <c r="AB80" s="9" t="str">
        <f ca="1">IF(IF(ISERROR(MATCH(Stock!AB$1,'Stock UST'!$1:$1,0)),AA80,INDEX('Stock UST'!80:80,1,MATCH(Stock!AB$1,'Stock UST'!$1:$1,0)))=0,"",IF(ISERROR(MATCH(Stock!AB$1,'Stock UST'!$1:$1,0)),AA80,INDEX('Stock UST'!80:80,1,MATCH(Stock!AB$1,'Stock UST'!$1:$1,0))))</f>
        <v/>
      </c>
      <c r="AC80" s="9" t="str">
        <f ca="1">IF(IF(ISERROR(MATCH(Stock!AC$1,'Stock UST'!$1:$1,0)),AB80,INDEX('Stock UST'!80:80,1,MATCH(Stock!AC$1,'Stock UST'!$1:$1,0)))=0,"",IF(ISERROR(MATCH(Stock!AC$1,'Stock UST'!$1:$1,0)),AB80,INDEX('Stock UST'!80:80,1,MATCH(Stock!AC$1,'Stock UST'!$1:$1,0))))</f>
        <v/>
      </c>
      <c r="AD80" s="9" t="str">
        <f ca="1">IF(IF(ISERROR(MATCH(Stock!AD$1,'Stock UST'!$1:$1,0)),AC80,INDEX('Stock UST'!80:80,1,MATCH(Stock!AD$1,'Stock UST'!$1:$1,0)))=0,"",IF(ISERROR(MATCH(Stock!AD$1,'Stock UST'!$1:$1,0)),AC80,INDEX('Stock UST'!80:80,1,MATCH(Stock!AD$1,'Stock UST'!$1:$1,0))))</f>
        <v/>
      </c>
      <c r="AE80" s="9" t="str">
        <f ca="1">IF(IF(ISERROR(MATCH(Stock!AE$1,'Stock UST'!$1:$1,0)),AD80,INDEX('Stock UST'!80:80,1,MATCH(Stock!AE$1,'Stock UST'!$1:$1,0)))=0,"",IF(ISERROR(MATCH(Stock!AE$1,'Stock UST'!$1:$1,0)),AD80,INDEX('Stock UST'!80:80,1,MATCH(Stock!AE$1,'Stock UST'!$1:$1,0))))</f>
        <v/>
      </c>
      <c r="AF80" s="9" t="str">
        <f ca="1">IF(IF(ISERROR(MATCH(Stock!AF$1,'Stock UST'!$1:$1,0)),AE80,INDEX('Stock UST'!80:80,1,MATCH(Stock!AF$1,'Stock UST'!$1:$1,0)))=0,"",IF(ISERROR(MATCH(Stock!AF$1,'Stock UST'!$1:$1,0)),AE80,INDEX('Stock UST'!80:80,1,MATCH(Stock!AF$1,'Stock UST'!$1:$1,0))))</f>
        <v/>
      </c>
      <c r="AG80" s="9" t="str">
        <f ca="1">IF(IF(ISERROR(MATCH(Stock!AG$1,'Stock UST'!$1:$1,0)),AF80,INDEX('Stock UST'!80:80,1,MATCH(Stock!AG$1,'Stock UST'!$1:$1,0)))=0,"",IF(ISERROR(MATCH(Stock!AG$1,'Stock UST'!$1:$1,0)),AF80,INDEX('Stock UST'!80:80,1,MATCH(Stock!AG$1,'Stock UST'!$1:$1,0))))</f>
        <v/>
      </c>
      <c r="AH80" s="9" t="str">
        <f ca="1">IF(IF(ISERROR(MATCH(Stock!AH$1,'Stock UST'!$1:$1,0)),AG80,INDEX('Stock UST'!80:80,1,MATCH(Stock!AH$1,'Stock UST'!$1:$1,0)))=0,"",IF(ISERROR(MATCH(Stock!AH$1,'Stock UST'!$1:$1,0)),AG80,INDEX('Stock UST'!80:80,1,MATCH(Stock!AH$1,'Stock UST'!$1:$1,0))))</f>
        <v/>
      </c>
      <c r="AI80" s="9" t="str">
        <f ca="1">IF(IF(ISERROR(MATCH(Stock!AI$1,'Stock UST'!$1:$1,0)),AH80,INDEX('Stock UST'!80:80,1,MATCH(Stock!AI$1,'Stock UST'!$1:$1,0)))=0,"",IF(ISERROR(MATCH(Stock!AI$1,'Stock UST'!$1:$1,0)),AH80,INDEX('Stock UST'!80:80,1,MATCH(Stock!AI$1,'Stock UST'!$1:$1,0))))</f>
        <v/>
      </c>
      <c r="AJ80" s="9" t="str">
        <f ca="1">IF(IF(ISERROR(MATCH(Stock!AJ$1,'Stock UST'!$1:$1,0)),AI80,INDEX('Stock UST'!80:80,1,MATCH(Stock!AJ$1,'Stock UST'!$1:$1,0)))=0,"",IF(ISERROR(MATCH(Stock!AJ$1,'Stock UST'!$1:$1,0)),AI80,INDEX('Stock UST'!80:80,1,MATCH(Stock!AJ$1,'Stock UST'!$1:$1,0))))</f>
        <v/>
      </c>
      <c r="AK80" s="9" t="str">
        <f ca="1">IF(IF(ISERROR(MATCH(Stock!AK$1,'Stock UST'!$1:$1,0)),AJ80,INDEX('Stock UST'!80:80,1,MATCH(Stock!AK$1,'Stock UST'!$1:$1,0)))=0,"",IF(ISERROR(MATCH(Stock!AK$1,'Stock UST'!$1:$1,0)),AJ80,INDEX('Stock UST'!80:80,1,MATCH(Stock!AK$1,'Stock UST'!$1:$1,0))))</f>
        <v/>
      </c>
      <c r="AL80" s="9" t="str">
        <f ca="1">IF(IF(ISERROR(MATCH(Stock!AL$1,'Stock UST'!$1:$1,0)),AK80,INDEX('Stock UST'!80:80,1,MATCH(Stock!AL$1,'Stock UST'!$1:$1,0)))=0,"",IF(ISERROR(MATCH(Stock!AL$1,'Stock UST'!$1:$1,0)),AK80,INDEX('Stock UST'!80:80,1,MATCH(Stock!AL$1,'Stock UST'!$1:$1,0))))</f>
        <v/>
      </c>
      <c r="AM80" s="9" t="str">
        <f ca="1">IF(IF(ISERROR(MATCH(Stock!AM$1,'Stock UST'!$1:$1,0)),AL80,INDEX('Stock UST'!80:80,1,MATCH(Stock!AM$1,'Stock UST'!$1:$1,0)))=0,"",IF(ISERROR(MATCH(Stock!AM$1,'Stock UST'!$1:$1,0)),AL80,INDEX('Stock UST'!80:80,1,MATCH(Stock!AM$1,'Stock UST'!$1:$1,0))))</f>
        <v/>
      </c>
      <c r="AN80" s="9" t="str">
        <f ca="1">IF(IF(ISERROR(MATCH(Stock!AN$1,'Stock UST'!$1:$1,0)),AM80,INDEX('Stock UST'!80:80,1,MATCH(Stock!AN$1,'Stock UST'!$1:$1,0)))=0,"",IF(ISERROR(MATCH(Stock!AN$1,'Stock UST'!$1:$1,0)),AM80,INDEX('Stock UST'!80:80,1,MATCH(Stock!AN$1,'Stock UST'!$1:$1,0))))</f>
        <v/>
      </c>
      <c r="AO80" s="9" t="str">
        <f ca="1">IF(IF(ISERROR(MATCH(Stock!AO$1,'Stock UST'!$1:$1,0)),AN80,INDEX('Stock UST'!80:80,1,MATCH(Stock!AO$1,'Stock UST'!$1:$1,0)))=0,"",IF(ISERROR(MATCH(Stock!AO$1,'Stock UST'!$1:$1,0)),AN80,INDEX('Stock UST'!80:80,1,MATCH(Stock!AO$1,'Stock UST'!$1:$1,0))))</f>
        <v/>
      </c>
      <c r="AP80" s="9" t="str">
        <f ca="1">IF(IF(ISERROR(MATCH(Stock!AP$1,'Stock UST'!$1:$1,0)),AO80,INDEX('Stock UST'!80:80,1,MATCH(Stock!AP$1,'Stock UST'!$1:$1,0)))=0,"",IF(ISERROR(MATCH(Stock!AP$1,'Stock UST'!$1:$1,0)),AO80,INDEX('Stock UST'!80:80,1,MATCH(Stock!AP$1,'Stock UST'!$1:$1,0))))</f>
        <v/>
      </c>
      <c r="AQ80" s="9" t="str">
        <f ca="1">IF(IF(ISERROR(MATCH(Stock!AQ$1,'Stock UST'!$1:$1,0)),AP80,INDEX('Stock UST'!80:80,1,MATCH(Stock!AQ$1,'Stock UST'!$1:$1,0)))=0,"",IF(ISERROR(MATCH(Stock!AQ$1,'Stock UST'!$1:$1,0)),AP80,INDEX('Stock UST'!80:80,1,MATCH(Stock!AQ$1,'Stock UST'!$1:$1,0))))</f>
        <v/>
      </c>
      <c r="AR80" s="9" t="str">
        <f ca="1">IF(IF(ISERROR(MATCH(Stock!AR$1,'Stock UST'!$1:$1,0)),AQ80,INDEX('Stock UST'!80:80,1,MATCH(Stock!AR$1,'Stock UST'!$1:$1,0)))=0,"",IF(ISERROR(MATCH(Stock!AR$1,'Stock UST'!$1:$1,0)),AQ80,INDEX('Stock UST'!80:80,1,MATCH(Stock!AR$1,'Stock UST'!$1:$1,0))))</f>
        <v/>
      </c>
      <c r="AS80" s="9" t="str">
        <f ca="1">IF(IF(ISERROR(MATCH(Stock!AS$1,'Stock UST'!$1:$1,0)),AR80,INDEX('Stock UST'!80:80,1,MATCH(Stock!AS$1,'Stock UST'!$1:$1,0)))=0,"",IF(ISERROR(MATCH(Stock!AS$1,'Stock UST'!$1:$1,0)),AR80,INDEX('Stock UST'!80:80,1,MATCH(Stock!AS$1,'Stock UST'!$1:$1,0))))</f>
        <v/>
      </c>
      <c r="AT80" s="9" t="str">
        <f ca="1">IF(IF(ISERROR(MATCH(Stock!AT$1,'Stock UST'!$1:$1,0)),AS80,INDEX('Stock UST'!80:80,1,MATCH(Stock!AT$1,'Stock UST'!$1:$1,0)))=0,"",IF(ISERROR(MATCH(Stock!AT$1,'Stock UST'!$1:$1,0)),AS80,INDEX('Stock UST'!80:80,1,MATCH(Stock!AT$1,'Stock UST'!$1:$1,0))))</f>
        <v/>
      </c>
      <c r="AU80" s="9" t="str">
        <f ca="1">IF(IF(ISERROR(MATCH(Stock!AU$1,'Stock UST'!$1:$1,0)),AT80,INDEX('Stock UST'!80:80,1,MATCH(Stock!AU$1,'Stock UST'!$1:$1,0)))=0,"",IF(ISERROR(MATCH(Stock!AU$1,'Stock UST'!$1:$1,0)),AT80,INDEX('Stock UST'!80:80,1,MATCH(Stock!AU$1,'Stock UST'!$1:$1,0))))</f>
        <v/>
      </c>
      <c r="AV80" s="9" t="str">
        <f ca="1">IF(IF(ISERROR(MATCH(Stock!AV$1,'Stock UST'!$1:$1,0)),AU80,INDEX('Stock UST'!80:80,1,MATCH(Stock!AV$1,'Stock UST'!$1:$1,0)))=0,"",IF(ISERROR(MATCH(Stock!AV$1,'Stock UST'!$1:$1,0)),AU80,INDEX('Stock UST'!80:80,1,MATCH(Stock!AV$1,'Stock UST'!$1:$1,0))))</f>
        <v/>
      </c>
      <c r="AW80" s="9" t="str">
        <f ca="1">IF(IF(ISERROR(MATCH(Stock!AW$1,'Stock UST'!$1:$1,0)),AV80,INDEX('Stock UST'!80:80,1,MATCH(Stock!AW$1,'Stock UST'!$1:$1,0)))=0,"",IF(ISERROR(MATCH(Stock!AW$1,'Stock UST'!$1:$1,0)),AV80,INDEX('Stock UST'!80:80,1,MATCH(Stock!AW$1,'Stock UST'!$1:$1,0))))</f>
        <v/>
      </c>
      <c r="AX80" s="9" t="str">
        <f ca="1">IF(IF(ISERROR(MATCH(Stock!AX$1,'Stock UST'!$1:$1,0)),AW80,INDEX('Stock UST'!80:80,1,MATCH(Stock!AX$1,'Stock UST'!$1:$1,0)))=0,"",IF(ISERROR(MATCH(Stock!AX$1,'Stock UST'!$1:$1,0)),AW80,INDEX('Stock UST'!80:80,1,MATCH(Stock!AX$1,'Stock UST'!$1:$1,0))))</f>
        <v/>
      </c>
    </row>
    <row r="81" spans="1:50" x14ac:dyDescent="0.3">
      <c r="A81" s="9" t="str">
        <f>IF('Stock UST'!E81="","",'Stock UST'!E81)</f>
        <v/>
      </c>
      <c r="B81" s="9" t="str">
        <f>IF(IF(ISERROR(MATCH(Stock!B$1,'Stock UST'!$1:$1,0)),A81,INDEX('Stock UST'!81:81,1,MATCH(Stock!B$1,'Stock UST'!$1:$1,0)))=0,"",IF(ISERROR(MATCH(Stock!B$1,'Stock UST'!$1:$1,0)),A81,INDEX('Stock UST'!81:81,1,MATCH(Stock!B$1,'Stock UST'!$1:$1,0))))</f>
        <v/>
      </c>
      <c r="C81" s="9" t="str">
        <f ca="1">IF(IF(ISERROR(MATCH(Stock!C$1,'Stock UST'!$1:$1,0)),B81,INDEX('Stock UST'!81:81,1,MATCH(Stock!C$1,'Stock UST'!$1:$1,0)))=0,"",IF(ISERROR(MATCH(Stock!C$1,'Stock UST'!$1:$1,0)),B81,INDEX('Stock UST'!81:81,1,MATCH(Stock!C$1,'Stock UST'!$1:$1,0))))</f>
        <v/>
      </c>
      <c r="D81" s="9" t="str">
        <f ca="1">IF(IF(ISERROR(MATCH(Stock!D$1,'Stock UST'!$1:$1,0)),C81,INDEX('Stock UST'!81:81,1,MATCH(Stock!D$1,'Stock UST'!$1:$1,0)))=0,"",IF(ISERROR(MATCH(Stock!D$1,'Stock UST'!$1:$1,0)),C81,INDEX('Stock UST'!81:81,1,MATCH(Stock!D$1,'Stock UST'!$1:$1,0))))</f>
        <v/>
      </c>
      <c r="E81" s="9" t="str">
        <f ca="1">IF(IF(ISERROR(MATCH(Stock!E$1,'Stock UST'!$1:$1,0)),D81,INDEX('Stock UST'!81:81,1,MATCH(Stock!E$1,'Stock UST'!$1:$1,0)))=0,"",IF(ISERROR(MATCH(Stock!E$1,'Stock UST'!$1:$1,0)),D81,INDEX('Stock UST'!81:81,1,MATCH(Stock!E$1,'Stock UST'!$1:$1,0))))</f>
        <v/>
      </c>
      <c r="F81" s="9" t="str">
        <f ca="1">IF(IF(ISERROR(MATCH(Stock!F$1,'Stock UST'!$1:$1,0)),E81,INDEX('Stock UST'!81:81,1,MATCH(Stock!F$1,'Stock UST'!$1:$1,0)))=0,"",IF(ISERROR(MATCH(Stock!F$1,'Stock UST'!$1:$1,0)),E81,INDEX('Stock UST'!81:81,1,MATCH(Stock!F$1,'Stock UST'!$1:$1,0))))</f>
        <v/>
      </c>
      <c r="G81" s="9" t="str">
        <f ca="1">IF(IF(ISERROR(MATCH(Stock!G$1,'Stock UST'!$1:$1,0)),F81,INDEX('Stock UST'!81:81,1,MATCH(Stock!G$1,'Stock UST'!$1:$1,0)))=0,"",IF(ISERROR(MATCH(Stock!G$1,'Stock UST'!$1:$1,0)),F81,INDEX('Stock UST'!81:81,1,MATCH(Stock!G$1,'Stock UST'!$1:$1,0))))</f>
        <v/>
      </c>
      <c r="H81" s="9" t="str">
        <f ca="1">IF(IF(ISERROR(MATCH(Stock!H$1,'Stock UST'!$1:$1,0)),G81,INDEX('Stock UST'!81:81,1,MATCH(Stock!H$1,'Stock UST'!$1:$1,0)))=0,"",IF(ISERROR(MATCH(Stock!H$1,'Stock UST'!$1:$1,0)),G81,INDEX('Stock UST'!81:81,1,MATCH(Stock!H$1,'Stock UST'!$1:$1,0))))</f>
        <v/>
      </c>
      <c r="I81" s="9" t="str">
        <f ca="1">IF(IF(ISERROR(MATCH(Stock!I$1,'Stock UST'!$1:$1,0)),H81,INDEX('Stock UST'!81:81,1,MATCH(Stock!I$1,'Stock UST'!$1:$1,0)))=0,"",IF(ISERROR(MATCH(Stock!I$1,'Stock UST'!$1:$1,0)),H81,INDEX('Stock UST'!81:81,1,MATCH(Stock!I$1,'Stock UST'!$1:$1,0))))</f>
        <v/>
      </c>
      <c r="J81" s="9" t="str">
        <f ca="1">IF(IF(ISERROR(MATCH(Stock!J$1,'Stock UST'!$1:$1,0)),I81,INDEX('Stock UST'!81:81,1,MATCH(Stock!J$1,'Stock UST'!$1:$1,0)))=0,"",IF(ISERROR(MATCH(Stock!J$1,'Stock UST'!$1:$1,0)),I81,INDEX('Stock UST'!81:81,1,MATCH(Stock!J$1,'Stock UST'!$1:$1,0))))</f>
        <v/>
      </c>
      <c r="K81" s="9" t="str">
        <f ca="1">IF(IF(ISERROR(MATCH(Stock!K$1,'Stock UST'!$1:$1,0)),J81,INDEX('Stock UST'!81:81,1,MATCH(Stock!K$1,'Stock UST'!$1:$1,0)))=0,"",IF(ISERROR(MATCH(Stock!K$1,'Stock UST'!$1:$1,0)),J81,INDEX('Stock UST'!81:81,1,MATCH(Stock!K$1,'Stock UST'!$1:$1,0))))</f>
        <v/>
      </c>
      <c r="L81" s="9" t="str">
        <f ca="1">IF(IF(ISERROR(MATCH(Stock!L$1,'Stock UST'!$1:$1,0)),K81,INDEX('Stock UST'!81:81,1,MATCH(Stock!L$1,'Stock UST'!$1:$1,0)))=0,"",IF(ISERROR(MATCH(Stock!L$1,'Stock UST'!$1:$1,0)),K81,INDEX('Stock UST'!81:81,1,MATCH(Stock!L$1,'Stock UST'!$1:$1,0))))</f>
        <v/>
      </c>
      <c r="M81" s="9" t="str">
        <f ca="1">IF(IF(ISERROR(MATCH(Stock!M$1,'Stock UST'!$1:$1,0)),L81,INDEX('Stock UST'!81:81,1,MATCH(Stock!M$1,'Stock UST'!$1:$1,0)))=0,"",IF(ISERROR(MATCH(Stock!M$1,'Stock UST'!$1:$1,0)),L81,INDEX('Stock UST'!81:81,1,MATCH(Stock!M$1,'Stock UST'!$1:$1,0))))</f>
        <v/>
      </c>
      <c r="N81" s="9" t="str">
        <f ca="1">IF(IF(ISERROR(MATCH(Stock!N$1,'Stock UST'!$1:$1,0)),M81,INDEX('Stock UST'!81:81,1,MATCH(Stock!N$1,'Stock UST'!$1:$1,0)))=0,"",IF(ISERROR(MATCH(Stock!N$1,'Stock UST'!$1:$1,0)),M81,INDEX('Stock UST'!81:81,1,MATCH(Stock!N$1,'Stock UST'!$1:$1,0))))</f>
        <v/>
      </c>
      <c r="O81" s="9" t="str">
        <f ca="1">IF(IF(ISERROR(MATCH(Stock!O$1,'Stock UST'!$1:$1,0)),N81,INDEX('Stock UST'!81:81,1,MATCH(Stock!O$1,'Stock UST'!$1:$1,0)))=0,"",IF(ISERROR(MATCH(Stock!O$1,'Stock UST'!$1:$1,0)),N81,INDEX('Stock UST'!81:81,1,MATCH(Stock!O$1,'Stock UST'!$1:$1,0))))</f>
        <v/>
      </c>
      <c r="P81" s="9" t="str">
        <f ca="1">IF(IF(ISERROR(MATCH(Stock!P$1,'Stock UST'!$1:$1,0)),O81,INDEX('Stock UST'!81:81,1,MATCH(Stock!P$1,'Stock UST'!$1:$1,0)))=0,"",IF(ISERROR(MATCH(Stock!P$1,'Stock UST'!$1:$1,0)),O81,INDEX('Stock UST'!81:81,1,MATCH(Stock!P$1,'Stock UST'!$1:$1,0))))</f>
        <v/>
      </c>
      <c r="Q81" s="9" t="str">
        <f ca="1">IF(IF(ISERROR(MATCH(Stock!Q$1,'Stock UST'!$1:$1,0)),P81,INDEX('Stock UST'!81:81,1,MATCH(Stock!Q$1,'Stock UST'!$1:$1,0)))=0,"",IF(ISERROR(MATCH(Stock!Q$1,'Stock UST'!$1:$1,0)),P81,INDEX('Stock UST'!81:81,1,MATCH(Stock!Q$1,'Stock UST'!$1:$1,0))))</f>
        <v/>
      </c>
      <c r="R81" s="9" t="str">
        <f ca="1">IF(IF(ISERROR(MATCH(Stock!R$1,'Stock UST'!$1:$1,0)),Q81,INDEX('Stock UST'!81:81,1,MATCH(Stock!R$1,'Stock UST'!$1:$1,0)))=0,"",IF(ISERROR(MATCH(Stock!R$1,'Stock UST'!$1:$1,0)),Q81,INDEX('Stock UST'!81:81,1,MATCH(Stock!R$1,'Stock UST'!$1:$1,0))))</f>
        <v/>
      </c>
      <c r="S81" s="9" t="str">
        <f ca="1">IF(IF(ISERROR(MATCH(Stock!S$1,'Stock UST'!$1:$1,0)),R81,INDEX('Stock UST'!81:81,1,MATCH(Stock!S$1,'Stock UST'!$1:$1,0)))=0,"",IF(ISERROR(MATCH(Stock!S$1,'Stock UST'!$1:$1,0)),R81,INDEX('Stock UST'!81:81,1,MATCH(Stock!S$1,'Stock UST'!$1:$1,0))))</f>
        <v/>
      </c>
      <c r="T81" s="9" t="str">
        <f ca="1">IF(IF(ISERROR(MATCH(Stock!T$1,'Stock UST'!$1:$1,0)),S81,INDEX('Stock UST'!81:81,1,MATCH(Stock!T$1,'Stock UST'!$1:$1,0)))=0,"",IF(ISERROR(MATCH(Stock!T$1,'Stock UST'!$1:$1,0)),S81,INDEX('Stock UST'!81:81,1,MATCH(Stock!T$1,'Stock UST'!$1:$1,0))))</f>
        <v/>
      </c>
      <c r="U81" s="9" t="str">
        <f ca="1">IF(IF(ISERROR(MATCH(Stock!U$1,'Stock UST'!$1:$1,0)),T81,INDEX('Stock UST'!81:81,1,MATCH(Stock!U$1,'Stock UST'!$1:$1,0)))=0,"",IF(ISERROR(MATCH(Stock!U$1,'Stock UST'!$1:$1,0)),T81,INDEX('Stock UST'!81:81,1,MATCH(Stock!U$1,'Stock UST'!$1:$1,0))))</f>
        <v/>
      </c>
      <c r="V81" s="9" t="str">
        <f ca="1">IF(IF(ISERROR(MATCH(Stock!V$1,'Stock UST'!$1:$1,0)),U81,INDEX('Stock UST'!81:81,1,MATCH(Stock!V$1,'Stock UST'!$1:$1,0)))=0,"",IF(ISERROR(MATCH(Stock!V$1,'Stock UST'!$1:$1,0)),U81,INDEX('Stock UST'!81:81,1,MATCH(Stock!V$1,'Stock UST'!$1:$1,0))))</f>
        <v/>
      </c>
      <c r="W81" s="9" t="str">
        <f ca="1">IF(IF(ISERROR(MATCH(Stock!W$1,'Stock UST'!$1:$1,0)),V81,INDEX('Stock UST'!81:81,1,MATCH(Stock!W$1,'Stock UST'!$1:$1,0)))=0,"",IF(ISERROR(MATCH(Stock!W$1,'Stock UST'!$1:$1,0)),V81,INDEX('Stock UST'!81:81,1,MATCH(Stock!W$1,'Stock UST'!$1:$1,0))))</f>
        <v/>
      </c>
      <c r="X81" s="9" t="str">
        <f ca="1">IF(IF(ISERROR(MATCH(Stock!X$1,'Stock UST'!$1:$1,0)),W81,INDEX('Stock UST'!81:81,1,MATCH(Stock!X$1,'Stock UST'!$1:$1,0)))=0,"",IF(ISERROR(MATCH(Stock!X$1,'Stock UST'!$1:$1,0)),W81,INDEX('Stock UST'!81:81,1,MATCH(Stock!X$1,'Stock UST'!$1:$1,0))))</f>
        <v/>
      </c>
      <c r="Y81" s="9" t="str">
        <f ca="1">IF(IF(ISERROR(MATCH(Stock!Y$1,'Stock UST'!$1:$1,0)),X81,INDEX('Stock UST'!81:81,1,MATCH(Stock!Y$1,'Stock UST'!$1:$1,0)))=0,"",IF(ISERROR(MATCH(Stock!Y$1,'Stock UST'!$1:$1,0)),X81,INDEX('Stock UST'!81:81,1,MATCH(Stock!Y$1,'Stock UST'!$1:$1,0))))</f>
        <v/>
      </c>
      <c r="Z81" s="9" t="str">
        <f ca="1">IF(IF(ISERROR(MATCH(Stock!Z$1,'Stock UST'!$1:$1,0)),Y81,INDEX('Stock UST'!81:81,1,MATCH(Stock!Z$1,'Stock UST'!$1:$1,0)))=0,"",IF(ISERROR(MATCH(Stock!Z$1,'Stock UST'!$1:$1,0)),Y81,INDEX('Stock UST'!81:81,1,MATCH(Stock!Z$1,'Stock UST'!$1:$1,0))))</f>
        <v/>
      </c>
      <c r="AA81" s="9" t="str">
        <f ca="1">IF(IF(ISERROR(MATCH(Stock!AA$1,'Stock UST'!$1:$1,0)),Z81,INDEX('Stock UST'!81:81,1,MATCH(Stock!AA$1,'Stock UST'!$1:$1,0)))=0,"",IF(ISERROR(MATCH(Stock!AA$1,'Stock UST'!$1:$1,0)),Z81,INDEX('Stock UST'!81:81,1,MATCH(Stock!AA$1,'Stock UST'!$1:$1,0))))</f>
        <v/>
      </c>
      <c r="AB81" s="9" t="str">
        <f ca="1">IF(IF(ISERROR(MATCH(Stock!AB$1,'Stock UST'!$1:$1,0)),AA81,INDEX('Stock UST'!81:81,1,MATCH(Stock!AB$1,'Stock UST'!$1:$1,0)))=0,"",IF(ISERROR(MATCH(Stock!AB$1,'Stock UST'!$1:$1,0)),AA81,INDEX('Stock UST'!81:81,1,MATCH(Stock!AB$1,'Stock UST'!$1:$1,0))))</f>
        <v/>
      </c>
      <c r="AC81" s="9" t="str">
        <f ca="1">IF(IF(ISERROR(MATCH(Stock!AC$1,'Stock UST'!$1:$1,0)),AB81,INDEX('Stock UST'!81:81,1,MATCH(Stock!AC$1,'Stock UST'!$1:$1,0)))=0,"",IF(ISERROR(MATCH(Stock!AC$1,'Stock UST'!$1:$1,0)),AB81,INDEX('Stock UST'!81:81,1,MATCH(Stock!AC$1,'Stock UST'!$1:$1,0))))</f>
        <v/>
      </c>
      <c r="AD81" s="9" t="str">
        <f ca="1">IF(IF(ISERROR(MATCH(Stock!AD$1,'Stock UST'!$1:$1,0)),AC81,INDEX('Stock UST'!81:81,1,MATCH(Stock!AD$1,'Stock UST'!$1:$1,0)))=0,"",IF(ISERROR(MATCH(Stock!AD$1,'Stock UST'!$1:$1,0)),AC81,INDEX('Stock UST'!81:81,1,MATCH(Stock!AD$1,'Stock UST'!$1:$1,0))))</f>
        <v/>
      </c>
      <c r="AE81" s="9" t="str">
        <f ca="1">IF(IF(ISERROR(MATCH(Stock!AE$1,'Stock UST'!$1:$1,0)),AD81,INDEX('Stock UST'!81:81,1,MATCH(Stock!AE$1,'Stock UST'!$1:$1,0)))=0,"",IF(ISERROR(MATCH(Stock!AE$1,'Stock UST'!$1:$1,0)),AD81,INDEX('Stock UST'!81:81,1,MATCH(Stock!AE$1,'Stock UST'!$1:$1,0))))</f>
        <v/>
      </c>
      <c r="AF81" s="9" t="str">
        <f ca="1">IF(IF(ISERROR(MATCH(Stock!AF$1,'Stock UST'!$1:$1,0)),AE81,INDEX('Stock UST'!81:81,1,MATCH(Stock!AF$1,'Stock UST'!$1:$1,0)))=0,"",IF(ISERROR(MATCH(Stock!AF$1,'Stock UST'!$1:$1,0)),AE81,INDEX('Stock UST'!81:81,1,MATCH(Stock!AF$1,'Stock UST'!$1:$1,0))))</f>
        <v/>
      </c>
      <c r="AG81" s="9" t="str">
        <f ca="1">IF(IF(ISERROR(MATCH(Stock!AG$1,'Stock UST'!$1:$1,0)),AF81,INDEX('Stock UST'!81:81,1,MATCH(Stock!AG$1,'Stock UST'!$1:$1,0)))=0,"",IF(ISERROR(MATCH(Stock!AG$1,'Stock UST'!$1:$1,0)),AF81,INDEX('Stock UST'!81:81,1,MATCH(Stock!AG$1,'Stock UST'!$1:$1,0))))</f>
        <v/>
      </c>
      <c r="AH81" s="9" t="str">
        <f ca="1">IF(IF(ISERROR(MATCH(Stock!AH$1,'Stock UST'!$1:$1,0)),AG81,INDEX('Stock UST'!81:81,1,MATCH(Stock!AH$1,'Stock UST'!$1:$1,0)))=0,"",IF(ISERROR(MATCH(Stock!AH$1,'Stock UST'!$1:$1,0)),AG81,INDEX('Stock UST'!81:81,1,MATCH(Stock!AH$1,'Stock UST'!$1:$1,0))))</f>
        <v/>
      </c>
      <c r="AI81" s="9" t="str">
        <f ca="1">IF(IF(ISERROR(MATCH(Stock!AI$1,'Stock UST'!$1:$1,0)),AH81,INDEX('Stock UST'!81:81,1,MATCH(Stock!AI$1,'Stock UST'!$1:$1,0)))=0,"",IF(ISERROR(MATCH(Stock!AI$1,'Stock UST'!$1:$1,0)),AH81,INDEX('Stock UST'!81:81,1,MATCH(Stock!AI$1,'Stock UST'!$1:$1,0))))</f>
        <v/>
      </c>
      <c r="AJ81" s="9" t="str">
        <f ca="1">IF(IF(ISERROR(MATCH(Stock!AJ$1,'Stock UST'!$1:$1,0)),AI81,INDEX('Stock UST'!81:81,1,MATCH(Stock!AJ$1,'Stock UST'!$1:$1,0)))=0,"",IF(ISERROR(MATCH(Stock!AJ$1,'Stock UST'!$1:$1,0)),AI81,INDEX('Stock UST'!81:81,1,MATCH(Stock!AJ$1,'Stock UST'!$1:$1,0))))</f>
        <v/>
      </c>
      <c r="AK81" s="9" t="str">
        <f ca="1">IF(IF(ISERROR(MATCH(Stock!AK$1,'Stock UST'!$1:$1,0)),AJ81,INDEX('Stock UST'!81:81,1,MATCH(Stock!AK$1,'Stock UST'!$1:$1,0)))=0,"",IF(ISERROR(MATCH(Stock!AK$1,'Stock UST'!$1:$1,0)),AJ81,INDEX('Stock UST'!81:81,1,MATCH(Stock!AK$1,'Stock UST'!$1:$1,0))))</f>
        <v/>
      </c>
      <c r="AL81" s="9" t="str">
        <f ca="1">IF(IF(ISERROR(MATCH(Stock!AL$1,'Stock UST'!$1:$1,0)),AK81,INDEX('Stock UST'!81:81,1,MATCH(Stock!AL$1,'Stock UST'!$1:$1,0)))=0,"",IF(ISERROR(MATCH(Stock!AL$1,'Stock UST'!$1:$1,0)),AK81,INDEX('Stock UST'!81:81,1,MATCH(Stock!AL$1,'Stock UST'!$1:$1,0))))</f>
        <v/>
      </c>
      <c r="AM81" s="9" t="str">
        <f ca="1">IF(IF(ISERROR(MATCH(Stock!AM$1,'Stock UST'!$1:$1,0)),AL81,INDEX('Stock UST'!81:81,1,MATCH(Stock!AM$1,'Stock UST'!$1:$1,0)))=0,"",IF(ISERROR(MATCH(Stock!AM$1,'Stock UST'!$1:$1,0)),AL81,INDEX('Stock UST'!81:81,1,MATCH(Stock!AM$1,'Stock UST'!$1:$1,0))))</f>
        <v/>
      </c>
      <c r="AN81" s="9" t="str">
        <f ca="1">IF(IF(ISERROR(MATCH(Stock!AN$1,'Stock UST'!$1:$1,0)),AM81,INDEX('Stock UST'!81:81,1,MATCH(Stock!AN$1,'Stock UST'!$1:$1,0)))=0,"",IF(ISERROR(MATCH(Stock!AN$1,'Stock UST'!$1:$1,0)),AM81,INDEX('Stock UST'!81:81,1,MATCH(Stock!AN$1,'Stock UST'!$1:$1,0))))</f>
        <v/>
      </c>
      <c r="AO81" s="9" t="str">
        <f ca="1">IF(IF(ISERROR(MATCH(Stock!AO$1,'Stock UST'!$1:$1,0)),AN81,INDEX('Stock UST'!81:81,1,MATCH(Stock!AO$1,'Stock UST'!$1:$1,0)))=0,"",IF(ISERROR(MATCH(Stock!AO$1,'Stock UST'!$1:$1,0)),AN81,INDEX('Stock UST'!81:81,1,MATCH(Stock!AO$1,'Stock UST'!$1:$1,0))))</f>
        <v/>
      </c>
      <c r="AP81" s="9" t="str">
        <f ca="1">IF(IF(ISERROR(MATCH(Stock!AP$1,'Stock UST'!$1:$1,0)),AO81,INDEX('Stock UST'!81:81,1,MATCH(Stock!AP$1,'Stock UST'!$1:$1,0)))=0,"",IF(ISERROR(MATCH(Stock!AP$1,'Stock UST'!$1:$1,0)),AO81,INDEX('Stock UST'!81:81,1,MATCH(Stock!AP$1,'Stock UST'!$1:$1,0))))</f>
        <v/>
      </c>
      <c r="AQ81" s="9" t="str">
        <f ca="1">IF(IF(ISERROR(MATCH(Stock!AQ$1,'Stock UST'!$1:$1,0)),AP81,INDEX('Stock UST'!81:81,1,MATCH(Stock!AQ$1,'Stock UST'!$1:$1,0)))=0,"",IF(ISERROR(MATCH(Stock!AQ$1,'Stock UST'!$1:$1,0)),AP81,INDEX('Stock UST'!81:81,1,MATCH(Stock!AQ$1,'Stock UST'!$1:$1,0))))</f>
        <v/>
      </c>
      <c r="AR81" s="9" t="str">
        <f ca="1">IF(IF(ISERROR(MATCH(Stock!AR$1,'Stock UST'!$1:$1,0)),AQ81,INDEX('Stock UST'!81:81,1,MATCH(Stock!AR$1,'Stock UST'!$1:$1,0)))=0,"",IF(ISERROR(MATCH(Stock!AR$1,'Stock UST'!$1:$1,0)),AQ81,INDEX('Stock UST'!81:81,1,MATCH(Stock!AR$1,'Stock UST'!$1:$1,0))))</f>
        <v/>
      </c>
      <c r="AS81" s="9" t="str">
        <f ca="1">IF(IF(ISERROR(MATCH(Stock!AS$1,'Stock UST'!$1:$1,0)),AR81,INDEX('Stock UST'!81:81,1,MATCH(Stock!AS$1,'Stock UST'!$1:$1,0)))=0,"",IF(ISERROR(MATCH(Stock!AS$1,'Stock UST'!$1:$1,0)),AR81,INDEX('Stock UST'!81:81,1,MATCH(Stock!AS$1,'Stock UST'!$1:$1,0))))</f>
        <v/>
      </c>
      <c r="AT81" s="9" t="str">
        <f ca="1">IF(IF(ISERROR(MATCH(Stock!AT$1,'Stock UST'!$1:$1,0)),AS81,INDEX('Stock UST'!81:81,1,MATCH(Stock!AT$1,'Stock UST'!$1:$1,0)))=0,"",IF(ISERROR(MATCH(Stock!AT$1,'Stock UST'!$1:$1,0)),AS81,INDEX('Stock UST'!81:81,1,MATCH(Stock!AT$1,'Stock UST'!$1:$1,0))))</f>
        <v/>
      </c>
      <c r="AU81" s="9" t="str">
        <f ca="1">IF(IF(ISERROR(MATCH(Stock!AU$1,'Stock UST'!$1:$1,0)),AT81,INDEX('Stock UST'!81:81,1,MATCH(Stock!AU$1,'Stock UST'!$1:$1,0)))=0,"",IF(ISERROR(MATCH(Stock!AU$1,'Stock UST'!$1:$1,0)),AT81,INDEX('Stock UST'!81:81,1,MATCH(Stock!AU$1,'Stock UST'!$1:$1,0))))</f>
        <v/>
      </c>
      <c r="AV81" s="9" t="str">
        <f ca="1">IF(IF(ISERROR(MATCH(Stock!AV$1,'Stock UST'!$1:$1,0)),AU81,INDEX('Stock UST'!81:81,1,MATCH(Stock!AV$1,'Stock UST'!$1:$1,0)))=0,"",IF(ISERROR(MATCH(Stock!AV$1,'Stock UST'!$1:$1,0)),AU81,INDEX('Stock UST'!81:81,1,MATCH(Stock!AV$1,'Stock UST'!$1:$1,0))))</f>
        <v/>
      </c>
      <c r="AW81" s="9" t="str">
        <f ca="1">IF(IF(ISERROR(MATCH(Stock!AW$1,'Stock UST'!$1:$1,0)),AV81,INDEX('Stock UST'!81:81,1,MATCH(Stock!AW$1,'Stock UST'!$1:$1,0)))=0,"",IF(ISERROR(MATCH(Stock!AW$1,'Stock UST'!$1:$1,0)),AV81,INDEX('Stock UST'!81:81,1,MATCH(Stock!AW$1,'Stock UST'!$1:$1,0))))</f>
        <v/>
      </c>
      <c r="AX81" s="9" t="str">
        <f ca="1">IF(IF(ISERROR(MATCH(Stock!AX$1,'Stock UST'!$1:$1,0)),AW81,INDEX('Stock UST'!81:81,1,MATCH(Stock!AX$1,'Stock UST'!$1:$1,0)))=0,"",IF(ISERROR(MATCH(Stock!AX$1,'Stock UST'!$1:$1,0)),AW81,INDEX('Stock UST'!81:81,1,MATCH(Stock!AX$1,'Stock UST'!$1:$1,0))))</f>
        <v/>
      </c>
    </row>
    <row r="82" spans="1:50" x14ac:dyDescent="0.3">
      <c r="A82" s="9" t="str">
        <f>IF('Stock UST'!E82="","",'Stock UST'!E82)</f>
        <v/>
      </c>
      <c r="B82" s="9" t="str">
        <f>IF(IF(ISERROR(MATCH(Stock!B$1,'Stock UST'!$1:$1,0)),A82,INDEX('Stock UST'!82:82,1,MATCH(Stock!B$1,'Stock UST'!$1:$1,0)))=0,"",IF(ISERROR(MATCH(Stock!B$1,'Stock UST'!$1:$1,0)),A82,INDEX('Stock UST'!82:82,1,MATCH(Stock!B$1,'Stock UST'!$1:$1,0))))</f>
        <v/>
      </c>
      <c r="C82" s="9" t="str">
        <f ca="1">IF(IF(ISERROR(MATCH(Stock!C$1,'Stock UST'!$1:$1,0)),B82,INDEX('Stock UST'!82:82,1,MATCH(Stock!C$1,'Stock UST'!$1:$1,0)))=0,"",IF(ISERROR(MATCH(Stock!C$1,'Stock UST'!$1:$1,0)),B82,INDEX('Stock UST'!82:82,1,MATCH(Stock!C$1,'Stock UST'!$1:$1,0))))</f>
        <v/>
      </c>
      <c r="D82" s="9" t="str">
        <f ca="1">IF(IF(ISERROR(MATCH(Stock!D$1,'Stock UST'!$1:$1,0)),C82,INDEX('Stock UST'!82:82,1,MATCH(Stock!D$1,'Stock UST'!$1:$1,0)))=0,"",IF(ISERROR(MATCH(Stock!D$1,'Stock UST'!$1:$1,0)),C82,INDEX('Stock UST'!82:82,1,MATCH(Stock!D$1,'Stock UST'!$1:$1,0))))</f>
        <v/>
      </c>
      <c r="E82" s="9" t="str">
        <f ca="1">IF(IF(ISERROR(MATCH(Stock!E$1,'Stock UST'!$1:$1,0)),D82,INDEX('Stock UST'!82:82,1,MATCH(Stock!E$1,'Stock UST'!$1:$1,0)))=0,"",IF(ISERROR(MATCH(Stock!E$1,'Stock UST'!$1:$1,0)),D82,INDEX('Stock UST'!82:82,1,MATCH(Stock!E$1,'Stock UST'!$1:$1,0))))</f>
        <v/>
      </c>
      <c r="F82" s="9" t="str">
        <f ca="1">IF(IF(ISERROR(MATCH(Stock!F$1,'Stock UST'!$1:$1,0)),E82,INDEX('Stock UST'!82:82,1,MATCH(Stock!F$1,'Stock UST'!$1:$1,0)))=0,"",IF(ISERROR(MATCH(Stock!F$1,'Stock UST'!$1:$1,0)),E82,INDEX('Stock UST'!82:82,1,MATCH(Stock!F$1,'Stock UST'!$1:$1,0))))</f>
        <v/>
      </c>
      <c r="G82" s="9" t="str">
        <f ca="1">IF(IF(ISERROR(MATCH(Stock!G$1,'Stock UST'!$1:$1,0)),F82,INDEX('Stock UST'!82:82,1,MATCH(Stock!G$1,'Stock UST'!$1:$1,0)))=0,"",IF(ISERROR(MATCH(Stock!G$1,'Stock UST'!$1:$1,0)),F82,INDEX('Stock UST'!82:82,1,MATCH(Stock!G$1,'Stock UST'!$1:$1,0))))</f>
        <v/>
      </c>
      <c r="H82" s="9" t="str">
        <f ca="1">IF(IF(ISERROR(MATCH(Stock!H$1,'Stock UST'!$1:$1,0)),G82,INDEX('Stock UST'!82:82,1,MATCH(Stock!H$1,'Stock UST'!$1:$1,0)))=0,"",IF(ISERROR(MATCH(Stock!H$1,'Stock UST'!$1:$1,0)),G82,INDEX('Stock UST'!82:82,1,MATCH(Stock!H$1,'Stock UST'!$1:$1,0))))</f>
        <v/>
      </c>
      <c r="I82" s="9" t="str">
        <f ca="1">IF(IF(ISERROR(MATCH(Stock!I$1,'Stock UST'!$1:$1,0)),H82,INDEX('Stock UST'!82:82,1,MATCH(Stock!I$1,'Stock UST'!$1:$1,0)))=0,"",IF(ISERROR(MATCH(Stock!I$1,'Stock UST'!$1:$1,0)),H82,INDEX('Stock UST'!82:82,1,MATCH(Stock!I$1,'Stock UST'!$1:$1,0))))</f>
        <v/>
      </c>
      <c r="J82" s="9" t="str">
        <f ca="1">IF(IF(ISERROR(MATCH(Stock!J$1,'Stock UST'!$1:$1,0)),I82,INDEX('Stock UST'!82:82,1,MATCH(Stock!J$1,'Stock UST'!$1:$1,0)))=0,"",IF(ISERROR(MATCH(Stock!J$1,'Stock UST'!$1:$1,0)),I82,INDEX('Stock UST'!82:82,1,MATCH(Stock!J$1,'Stock UST'!$1:$1,0))))</f>
        <v/>
      </c>
      <c r="K82" s="9" t="str">
        <f ca="1">IF(IF(ISERROR(MATCH(Stock!K$1,'Stock UST'!$1:$1,0)),J82,INDEX('Stock UST'!82:82,1,MATCH(Stock!K$1,'Stock UST'!$1:$1,0)))=0,"",IF(ISERROR(MATCH(Stock!K$1,'Stock UST'!$1:$1,0)),J82,INDEX('Stock UST'!82:82,1,MATCH(Stock!K$1,'Stock UST'!$1:$1,0))))</f>
        <v/>
      </c>
      <c r="L82" s="9" t="str">
        <f ca="1">IF(IF(ISERROR(MATCH(Stock!L$1,'Stock UST'!$1:$1,0)),K82,INDEX('Stock UST'!82:82,1,MATCH(Stock!L$1,'Stock UST'!$1:$1,0)))=0,"",IF(ISERROR(MATCH(Stock!L$1,'Stock UST'!$1:$1,0)),K82,INDEX('Stock UST'!82:82,1,MATCH(Stock!L$1,'Stock UST'!$1:$1,0))))</f>
        <v/>
      </c>
      <c r="M82" s="9" t="str">
        <f ca="1">IF(IF(ISERROR(MATCH(Stock!M$1,'Stock UST'!$1:$1,0)),L82,INDEX('Stock UST'!82:82,1,MATCH(Stock!M$1,'Stock UST'!$1:$1,0)))=0,"",IF(ISERROR(MATCH(Stock!M$1,'Stock UST'!$1:$1,0)),L82,INDEX('Stock UST'!82:82,1,MATCH(Stock!M$1,'Stock UST'!$1:$1,0))))</f>
        <v/>
      </c>
      <c r="N82" s="9" t="str">
        <f ca="1">IF(IF(ISERROR(MATCH(Stock!N$1,'Stock UST'!$1:$1,0)),M82,INDEX('Stock UST'!82:82,1,MATCH(Stock!N$1,'Stock UST'!$1:$1,0)))=0,"",IF(ISERROR(MATCH(Stock!N$1,'Stock UST'!$1:$1,0)),M82,INDEX('Stock UST'!82:82,1,MATCH(Stock!N$1,'Stock UST'!$1:$1,0))))</f>
        <v/>
      </c>
      <c r="O82" s="9" t="str">
        <f ca="1">IF(IF(ISERROR(MATCH(Stock!O$1,'Stock UST'!$1:$1,0)),N82,INDEX('Stock UST'!82:82,1,MATCH(Stock!O$1,'Stock UST'!$1:$1,0)))=0,"",IF(ISERROR(MATCH(Stock!O$1,'Stock UST'!$1:$1,0)),N82,INDEX('Stock UST'!82:82,1,MATCH(Stock!O$1,'Stock UST'!$1:$1,0))))</f>
        <v/>
      </c>
      <c r="P82" s="9" t="str">
        <f ca="1">IF(IF(ISERROR(MATCH(Stock!P$1,'Stock UST'!$1:$1,0)),O82,INDEX('Stock UST'!82:82,1,MATCH(Stock!P$1,'Stock UST'!$1:$1,0)))=0,"",IF(ISERROR(MATCH(Stock!P$1,'Stock UST'!$1:$1,0)),O82,INDEX('Stock UST'!82:82,1,MATCH(Stock!P$1,'Stock UST'!$1:$1,0))))</f>
        <v/>
      </c>
      <c r="Q82" s="9" t="str">
        <f ca="1">IF(IF(ISERROR(MATCH(Stock!Q$1,'Stock UST'!$1:$1,0)),P82,INDEX('Stock UST'!82:82,1,MATCH(Stock!Q$1,'Stock UST'!$1:$1,0)))=0,"",IF(ISERROR(MATCH(Stock!Q$1,'Stock UST'!$1:$1,0)),P82,INDEX('Stock UST'!82:82,1,MATCH(Stock!Q$1,'Stock UST'!$1:$1,0))))</f>
        <v/>
      </c>
      <c r="R82" s="9" t="str">
        <f ca="1">IF(IF(ISERROR(MATCH(Stock!R$1,'Stock UST'!$1:$1,0)),Q82,INDEX('Stock UST'!82:82,1,MATCH(Stock!R$1,'Stock UST'!$1:$1,0)))=0,"",IF(ISERROR(MATCH(Stock!R$1,'Stock UST'!$1:$1,0)),Q82,INDEX('Stock UST'!82:82,1,MATCH(Stock!R$1,'Stock UST'!$1:$1,0))))</f>
        <v/>
      </c>
      <c r="S82" s="9" t="str">
        <f ca="1">IF(IF(ISERROR(MATCH(Stock!S$1,'Stock UST'!$1:$1,0)),R82,INDEX('Stock UST'!82:82,1,MATCH(Stock!S$1,'Stock UST'!$1:$1,0)))=0,"",IF(ISERROR(MATCH(Stock!S$1,'Stock UST'!$1:$1,0)),R82,INDEX('Stock UST'!82:82,1,MATCH(Stock!S$1,'Stock UST'!$1:$1,0))))</f>
        <v/>
      </c>
      <c r="T82" s="9" t="str">
        <f ca="1">IF(IF(ISERROR(MATCH(Stock!T$1,'Stock UST'!$1:$1,0)),S82,INDEX('Stock UST'!82:82,1,MATCH(Stock!T$1,'Stock UST'!$1:$1,0)))=0,"",IF(ISERROR(MATCH(Stock!T$1,'Stock UST'!$1:$1,0)),S82,INDEX('Stock UST'!82:82,1,MATCH(Stock!T$1,'Stock UST'!$1:$1,0))))</f>
        <v/>
      </c>
      <c r="U82" s="9" t="str">
        <f ca="1">IF(IF(ISERROR(MATCH(Stock!U$1,'Stock UST'!$1:$1,0)),T82,INDEX('Stock UST'!82:82,1,MATCH(Stock!U$1,'Stock UST'!$1:$1,0)))=0,"",IF(ISERROR(MATCH(Stock!U$1,'Stock UST'!$1:$1,0)),T82,INDEX('Stock UST'!82:82,1,MATCH(Stock!U$1,'Stock UST'!$1:$1,0))))</f>
        <v/>
      </c>
      <c r="V82" s="9" t="str">
        <f ca="1">IF(IF(ISERROR(MATCH(Stock!V$1,'Stock UST'!$1:$1,0)),U82,INDEX('Stock UST'!82:82,1,MATCH(Stock!V$1,'Stock UST'!$1:$1,0)))=0,"",IF(ISERROR(MATCH(Stock!V$1,'Stock UST'!$1:$1,0)),U82,INDEX('Stock UST'!82:82,1,MATCH(Stock!V$1,'Stock UST'!$1:$1,0))))</f>
        <v/>
      </c>
      <c r="W82" s="9" t="str">
        <f ca="1">IF(IF(ISERROR(MATCH(Stock!W$1,'Stock UST'!$1:$1,0)),V82,INDEX('Stock UST'!82:82,1,MATCH(Stock!W$1,'Stock UST'!$1:$1,0)))=0,"",IF(ISERROR(MATCH(Stock!W$1,'Stock UST'!$1:$1,0)),V82,INDEX('Stock UST'!82:82,1,MATCH(Stock!W$1,'Stock UST'!$1:$1,0))))</f>
        <v/>
      </c>
      <c r="X82" s="9" t="str">
        <f ca="1">IF(IF(ISERROR(MATCH(Stock!X$1,'Stock UST'!$1:$1,0)),W82,INDEX('Stock UST'!82:82,1,MATCH(Stock!X$1,'Stock UST'!$1:$1,0)))=0,"",IF(ISERROR(MATCH(Stock!X$1,'Stock UST'!$1:$1,0)),W82,INDEX('Stock UST'!82:82,1,MATCH(Stock!X$1,'Stock UST'!$1:$1,0))))</f>
        <v/>
      </c>
      <c r="Y82" s="9" t="str">
        <f ca="1">IF(IF(ISERROR(MATCH(Stock!Y$1,'Stock UST'!$1:$1,0)),X82,INDEX('Stock UST'!82:82,1,MATCH(Stock!Y$1,'Stock UST'!$1:$1,0)))=0,"",IF(ISERROR(MATCH(Stock!Y$1,'Stock UST'!$1:$1,0)),X82,INDEX('Stock UST'!82:82,1,MATCH(Stock!Y$1,'Stock UST'!$1:$1,0))))</f>
        <v/>
      </c>
      <c r="Z82" s="9" t="str">
        <f ca="1">IF(IF(ISERROR(MATCH(Stock!Z$1,'Stock UST'!$1:$1,0)),Y82,INDEX('Stock UST'!82:82,1,MATCH(Stock!Z$1,'Stock UST'!$1:$1,0)))=0,"",IF(ISERROR(MATCH(Stock!Z$1,'Stock UST'!$1:$1,0)),Y82,INDEX('Stock UST'!82:82,1,MATCH(Stock!Z$1,'Stock UST'!$1:$1,0))))</f>
        <v/>
      </c>
      <c r="AA82" s="9" t="str">
        <f ca="1">IF(IF(ISERROR(MATCH(Stock!AA$1,'Stock UST'!$1:$1,0)),Z82,INDEX('Stock UST'!82:82,1,MATCH(Stock!AA$1,'Stock UST'!$1:$1,0)))=0,"",IF(ISERROR(MATCH(Stock!AA$1,'Stock UST'!$1:$1,0)),Z82,INDEX('Stock UST'!82:82,1,MATCH(Stock!AA$1,'Stock UST'!$1:$1,0))))</f>
        <v/>
      </c>
      <c r="AB82" s="9" t="str">
        <f ca="1">IF(IF(ISERROR(MATCH(Stock!AB$1,'Stock UST'!$1:$1,0)),AA82,INDEX('Stock UST'!82:82,1,MATCH(Stock!AB$1,'Stock UST'!$1:$1,0)))=0,"",IF(ISERROR(MATCH(Stock!AB$1,'Stock UST'!$1:$1,0)),AA82,INDEX('Stock UST'!82:82,1,MATCH(Stock!AB$1,'Stock UST'!$1:$1,0))))</f>
        <v/>
      </c>
      <c r="AC82" s="9" t="str">
        <f ca="1">IF(IF(ISERROR(MATCH(Stock!AC$1,'Stock UST'!$1:$1,0)),AB82,INDEX('Stock UST'!82:82,1,MATCH(Stock!AC$1,'Stock UST'!$1:$1,0)))=0,"",IF(ISERROR(MATCH(Stock!AC$1,'Stock UST'!$1:$1,0)),AB82,INDEX('Stock UST'!82:82,1,MATCH(Stock!AC$1,'Stock UST'!$1:$1,0))))</f>
        <v/>
      </c>
      <c r="AD82" s="9" t="str">
        <f ca="1">IF(IF(ISERROR(MATCH(Stock!AD$1,'Stock UST'!$1:$1,0)),AC82,INDEX('Stock UST'!82:82,1,MATCH(Stock!AD$1,'Stock UST'!$1:$1,0)))=0,"",IF(ISERROR(MATCH(Stock!AD$1,'Stock UST'!$1:$1,0)),AC82,INDEX('Stock UST'!82:82,1,MATCH(Stock!AD$1,'Stock UST'!$1:$1,0))))</f>
        <v/>
      </c>
      <c r="AE82" s="9" t="str">
        <f ca="1">IF(IF(ISERROR(MATCH(Stock!AE$1,'Stock UST'!$1:$1,0)),AD82,INDEX('Stock UST'!82:82,1,MATCH(Stock!AE$1,'Stock UST'!$1:$1,0)))=0,"",IF(ISERROR(MATCH(Stock!AE$1,'Stock UST'!$1:$1,0)),AD82,INDEX('Stock UST'!82:82,1,MATCH(Stock!AE$1,'Stock UST'!$1:$1,0))))</f>
        <v/>
      </c>
      <c r="AF82" s="9" t="str">
        <f ca="1">IF(IF(ISERROR(MATCH(Stock!AF$1,'Stock UST'!$1:$1,0)),AE82,INDEX('Stock UST'!82:82,1,MATCH(Stock!AF$1,'Stock UST'!$1:$1,0)))=0,"",IF(ISERROR(MATCH(Stock!AF$1,'Stock UST'!$1:$1,0)),AE82,INDEX('Stock UST'!82:82,1,MATCH(Stock!AF$1,'Stock UST'!$1:$1,0))))</f>
        <v/>
      </c>
      <c r="AG82" s="9" t="str">
        <f ca="1">IF(IF(ISERROR(MATCH(Stock!AG$1,'Stock UST'!$1:$1,0)),AF82,INDEX('Stock UST'!82:82,1,MATCH(Stock!AG$1,'Stock UST'!$1:$1,0)))=0,"",IF(ISERROR(MATCH(Stock!AG$1,'Stock UST'!$1:$1,0)),AF82,INDEX('Stock UST'!82:82,1,MATCH(Stock!AG$1,'Stock UST'!$1:$1,0))))</f>
        <v/>
      </c>
      <c r="AH82" s="9" t="str">
        <f ca="1">IF(IF(ISERROR(MATCH(Stock!AH$1,'Stock UST'!$1:$1,0)),AG82,INDEX('Stock UST'!82:82,1,MATCH(Stock!AH$1,'Stock UST'!$1:$1,0)))=0,"",IF(ISERROR(MATCH(Stock!AH$1,'Stock UST'!$1:$1,0)),AG82,INDEX('Stock UST'!82:82,1,MATCH(Stock!AH$1,'Stock UST'!$1:$1,0))))</f>
        <v/>
      </c>
      <c r="AI82" s="9" t="str">
        <f ca="1">IF(IF(ISERROR(MATCH(Stock!AI$1,'Stock UST'!$1:$1,0)),AH82,INDEX('Stock UST'!82:82,1,MATCH(Stock!AI$1,'Stock UST'!$1:$1,0)))=0,"",IF(ISERROR(MATCH(Stock!AI$1,'Stock UST'!$1:$1,0)),AH82,INDEX('Stock UST'!82:82,1,MATCH(Stock!AI$1,'Stock UST'!$1:$1,0))))</f>
        <v/>
      </c>
      <c r="AJ82" s="9" t="str">
        <f ca="1">IF(IF(ISERROR(MATCH(Stock!AJ$1,'Stock UST'!$1:$1,0)),AI82,INDEX('Stock UST'!82:82,1,MATCH(Stock!AJ$1,'Stock UST'!$1:$1,0)))=0,"",IF(ISERROR(MATCH(Stock!AJ$1,'Stock UST'!$1:$1,0)),AI82,INDEX('Stock UST'!82:82,1,MATCH(Stock!AJ$1,'Stock UST'!$1:$1,0))))</f>
        <v/>
      </c>
      <c r="AK82" s="9" t="str">
        <f ca="1">IF(IF(ISERROR(MATCH(Stock!AK$1,'Stock UST'!$1:$1,0)),AJ82,INDEX('Stock UST'!82:82,1,MATCH(Stock!AK$1,'Stock UST'!$1:$1,0)))=0,"",IF(ISERROR(MATCH(Stock!AK$1,'Stock UST'!$1:$1,0)),AJ82,INDEX('Stock UST'!82:82,1,MATCH(Stock!AK$1,'Stock UST'!$1:$1,0))))</f>
        <v/>
      </c>
      <c r="AL82" s="9" t="str">
        <f ca="1">IF(IF(ISERROR(MATCH(Stock!AL$1,'Stock UST'!$1:$1,0)),AK82,INDEX('Stock UST'!82:82,1,MATCH(Stock!AL$1,'Stock UST'!$1:$1,0)))=0,"",IF(ISERROR(MATCH(Stock!AL$1,'Stock UST'!$1:$1,0)),AK82,INDEX('Stock UST'!82:82,1,MATCH(Stock!AL$1,'Stock UST'!$1:$1,0))))</f>
        <v/>
      </c>
      <c r="AM82" s="9" t="str">
        <f ca="1">IF(IF(ISERROR(MATCH(Stock!AM$1,'Stock UST'!$1:$1,0)),AL82,INDEX('Stock UST'!82:82,1,MATCH(Stock!AM$1,'Stock UST'!$1:$1,0)))=0,"",IF(ISERROR(MATCH(Stock!AM$1,'Stock UST'!$1:$1,0)),AL82,INDEX('Stock UST'!82:82,1,MATCH(Stock!AM$1,'Stock UST'!$1:$1,0))))</f>
        <v/>
      </c>
      <c r="AN82" s="9" t="str">
        <f ca="1">IF(IF(ISERROR(MATCH(Stock!AN$1,'Stock UST'!$1:$1,0)),AM82,INDEX('Stock UST'!82:82,1,MATCH(Stock!AN$1,'Stock UST'!$1:$1,0)))=0,"",IF(ISERROR(MATCH(Stock!AN$1,'Stock UST'!$1:$1,0)),AM82,INDEX('Stock UST'!82:82,1,MATCH(Stock!AN$1,'Stock UST'!$1:$1,0))))</f>
        <v/>
      </c>
      <c r="AO82" s="9" t="str">
        <f ca="1">IF(IF(ISERROR(MATCH(Stock!AO$1,'Stock UST'!$1:$1,0)),AN82,INDEX('Stock UST'!82:82,1,MATCH(Stock!AO$1,'Stock UST'!$1:$1,0)))=0,"",IF(ISERROR(MATCH(Stock!AO$1,'Stock UST'!$1:$1,0)),AN82,INDEX('Stock UST'!82:82,1,MATCH(Stock!AO$1,'Stock UST'!$1:$1,0))))</f>
        <v/>
      </c>
      <c r="AP82" s="9" t="str">
        <f ca="1">IF(IF(ISERROR(MATCH(Stock!AP$1,'Stock UST'!$1:$1,0)),AO82,INDEX('Stock UST'!82:82,1,MATCH(Stock!AP$1,'Stock UST'!$1:$1,0)))=0,"",IF(ISERROR(MATCH(Stock!AP$1,'Stock UST'!$1:$1,0)),AO82,INDEX('Stock UST'!82:82,1,MATCH(Stock!AP$1,'Stock UST'!$1:$1,0))))</f>
        <v/>
      </c>
      <c r="AQ82" s="9" t="str">
        <f ca="1">IF(IF(ISERROR(MATCH(Stock!AQ$1,'Stock UST'!$1:$1,0)),AP82,INDEX('Stock UST'!82:82,1,MATCH(Stock!AQ$1,'Stock UST'!$1:$1,0)))=0,"",IF(ISERROR(MATCH(Stock!AQ$1,'Stock UST'!$1:$1,0)),AP82,INDEX('Stock UST'!82:82,1,MATCH(Stock!AQ$1,'Stock UST'!$1:$1,0))))</f>
        <v/>
      </c>
      <c r="AR82" s="9" t="str">
        <f ca="1">IF(IF(ISERROR(MATCH(Stock!AR$1,'Stock UST'!$1:$1,0)),AQ82,INDEX('Stock UST'!82:82,1,MATCH(Stock!AR$1,'Stock UST'!$1:$1,0)))=0,"",IF(ISERROR(MATCH(Stock!AR$1,'Stock UST'!$1:$1,0)),AQ82,INDEX('Stock UST'!82:82,1,MATCH(Stock!AR$1,'Stock UST'!$1:$1,0))))</f>
        <v/>
      </c>
      <c r="AS82" s="9" t="str">
        <f ca="1">IF(IF(ISERROR(MATCH(Stock!AS$1,'Stock UST'!$1:$1,0)),AR82,INDEX('Stock UST'!82:82,1,MATCH(Stock!AS$1,'Stock UST'!$1:$1,0)))=0,"",IF(ISERROR(MATCH(Stock!AS$1,'Stock UST'!$1:$1,0)),AR82,INDEX('Stock UST'!82:82,1,MATCH(Stock!AS$1,'Stock UST'!$1:$1,0))))</f>
        <v/>
      </c>
      <c r="AT82" s="9" t="str">
        <f ca="1">IF(IF(ISERROR(MATCH(Stock!AT$1,'Stock UST'!$1:$1,0)),AS82,INDEX('Stock UST'!82:82,1,MATCH(Stock!AT$1,'Stock UST'!$1:$1,0)))=0,"",IF(ISERROR(MATCH(Stock!AT$1,'Stock UST'!$1:$1,0)),AS82,INDEX('Stock UST'!82:82,1,MATCH(Stock!AT$1,'Stock UST'!$1:$1,0))))</f>
        <v/>
      </c>
      <c r="AU82" s="9" t="str">
        <f ca="1">IF(IF(ISERROR(MATCH(Stock!AU$1,'Stock UST'!$1:$1,0)),AT82,INDEX('Stock UST'!82:82,1,MATCH(Stock!AU$1,'Stock UST'!$1:$1,0)))=0,"",IF(ISERROR(MATCH(Stock!AU$1,'Stock UST'!$1:$1,0)),AT82,INDEX('Stock UST'!82:82,1,MATCH(Stock!AU$1,'Stock UST'!$1:$1,0))))</f>
        <v/>
      </c>
      <c r="AV82" s="9" t="str">
        <f ca="1">IF(IF(ISERROR(MATCH(Stock!AV$1,'Stock UST'!$1:$1,0)),AU82,INDEX('Stock UST'!82:82,1,MATCH(Stock!AV$1,'Stock UST'!$1:$1,0)))=0,"",IF(ISERROR(MATCH(Stock!AV$1,'Stock UST'!$1:$1,0)),AU82,INDEX('Stock UST'!82:82,1,MATCH(Stock!AV$1,'Stock UST'!$1:$1,0))))</f>
        <v/>
      </c>
      <c r="AW82" s="9" t="str">
        <f ca="1">IF(IF(ISERROR(MATCH(Stock!AW$1,'Stock UST'!$1:$1,0)),AV82,INDEX('Stock UST'!82:82,1,MATCH(Stock!AW$1,'Stock UST'!$1:$1,0)))=0,"",IF(ISERROR(MATCH(Stock!AW$1,'Stock UST'!$1:$1,0)),AV82,INDEX('Stock UST'!82:82,1,MATCH(Stock!AW$1,'Stock UST'!$1:$1,0))))</f>
        <v/>
      </c>
      <c r="AX82" s="9" t="str">
        <f ca="1">IF(IF(ISERROR(MATCH(Stock!AX$1,'Stock UST'!$1:$1,0)),AW82,INDEX('Stock UST'!82:82,1,MATCH(Stock!AX$1,'Stock UST'!$1:$1,0)))=0,"",IF(ISERROR(MATCH(Stock!AX$1,'Stock UST'!$1:$1,0)),AW82,INDEX('Stock UST'!82:82,1,MATCH(Stock!AX$1,'Stock UST'!$1:$1,0))))</f>
        <v/>
      </c>
    </row>
    <row r="83" spans="1:50" x14ac:dyDescent="0.3">
      <c r="A83" s="9" t="str">
        <f>IF('Stock UST'!E83="","",'Stock UST'!E83)</f>
        <v/>
      </c>
      <c r="B83" s="9" t="str">
        <f>IF(IF(ISERROR(MATCH(Stock!B$1,'Stock UST'!$1:$1,0)),A83,INDEX('Stock UST'!83:83,1,MATCH(Stock!B$1,'Stock UST'!$1:$1,0)))=0,"",IF(ISERROR(MATCH(Stock!B$1,'Stock UST'!$1:$1,0)),A83,INDEX('Stock UST'!83:83,1,MATCH(Stock!B$1,'Stock UST'!$1:$1,0))))</f>
        <v/>
      </c>
      <c r="C83" s="9" t="str">
        <f ca="1">IF(IF(ISERROR(MATCH(Stock!C$1,'Stock UST'!$1:$1,0)),B83,INDEX('Stock UST'!83:83,1,MATCH(Stock!C$1,'Stock UST'!$1:$1,0)))=0,"",IF(ISERROR(MATCH(Stock!C$1,'Stock UST'!$1:$1,0)),B83,INDEX('Stock UST'!83:83,1,MATCH(Stock!C$1,'Stock UST'!$1:$1,0))))</f>
        <v/>
      </c>
      <c r="D83" s="9" t="str">
        <f ca="1">IF(IF(ISERROR(MATCH(Stock!D$1,'Stock UST'!$1:$1,0)),C83,INDEX('Stock UST'!83:83,1,MATCH(Stock!D$1,'Stock UST'!$1:$1,0)))=0,"",IF(ISERROR(MATCH(Stock!D$1,'Stock UST'!$1:$1,0)),C83,INDEX('Stock UST'!83:83,1,MATCH(Stock!D$1,'Stock UST'!$1:$1,0))))</f>
        <v/>
      </c>
      <c r="E83" s="9" t="str">
        <f ca="1">IF(IF(ISERROR(MATCH(Stock!E$1,'Stock UST'!$1:$1,0)),D83,INDEX('Stock UST'!83:83,1,MATCH(Stock!E$1,'Stock UST'!$1:$1,0)))=0,"",IF(ISERROR(MATCH(Stock!E$1,'Stock UST'!$1:$1,0)),D83,INDEX('Stock UST'!83:83,1,MATCH(Stock!E$1,'Stock UST'!$1:$1,0))))</f>
        <v/>
      </c>
      <c r="F83" s="9" t="str">
        <f ca="1">IF(IF(ISERROR(MATCH(Stock!F$1,'Stock UST'!$1:$1,0)),E83,INDEX('Stock UST'!83:83,1,MATCH(Stock!F$1,'Stock UST'!$1:$1,0)))=0,"",IF(ISERROR(MATCH(Stock!F$1,'Stock UST'!$1:$1,0)),E83,INDEX('Stock UST'!83:83,1,MATCH(Stock!F$1,'Stock UST'!$1:$1,0))))</f>
        <v/>
      </c>
      <c r="G83" s="9" t="str">
        <f ca="1">IF(IF(ISERROR(MATCH(Stock!G$1,'Stock UST'!$1:$1,0)),F83,INDEX('Stock UST'!83:83,1,MATCH(Stock!G$1,'Stock UST'!$1:$1,0)))=0,"",IF(ISERROR(MATCH(Stock!G$1,'Stock UST'!$1:$1,0)),F83,INDEX('Stock UST'!83:83,1,MATCH(Stock!G$1,'Stock UST'!$1:$1,0))))</f>
        <v/>
      </c>
      <c r="H83" s="9" t="str">
        <f ca="1">IF(IF(ISERROR(MATCH(Stock!H$1,'Stock UST'!$1:$1,0)),G83,INDEX('Stock UST'!83:83,1,MATCH(Stock!H$1,'Stock UST'!$1:$1,0)))=0,"",IF(ISERROR(MATCH(Stock!H$1,'Stock UST'!$1:$1,0)),G83,INDEX('Stock UST'!83:83,1,MATCH(Stock!H$1,'Stock UST'!$1:$1,0))))</f>
        <v/>
      </c>
      <c r="I83" s="9" t="str">
        <f ca="1">IF(IF(ISERROR(MATCH(Stock!I$1,'Stock UST'!$1:$1,0)),H83,INDEX('Stock UST'!83:83,1,MATCH(Stock!I$1,'Stock UST'!$1:$1,0)))=0,"",IF(ISERROR(MATCH(Stock!I$1,'Stock UST'!$1:$1,0)),H83,INDEX('Stock UST'!83:83,1,MATCH(Stock!I$1,'Stock UST'!$1:$1,0))))</f>
        <v/>
      </c>
      <c r="J83" s="9" t="str">
        <f ca="1">IF(IF(ISERROR(MATCH(Stock!J$1,'Stock UST'!$1:$1,0)),I83,INDEX('Stock UST'!83:83,1,MATCH(Stock!J$1,'Stock UST'!$1:$1,0)))=0,"",IF(ISERROR(MATCH(Stock!J$1,'Stock UST'!$1:$1,0)),I83,INDEX('Stock UST'!83:83,1,MATCH(Stock!J$1,'Stock UST'!$1:$1,0))))</f>
        <v/>
      </c>
      <c r="K83" s="9" t="str">
        <f ca="1">IF(IF(ISERROR(MATCH(Stock!K$1,'Stock UST'!$1:$1,0)),J83,INDEX('Stock UST'!83:83,1,MATCH(Stock!K$1,'Stock UST'!$1:$1,0)))=0,"",IF(ISERROR(MATCH(Stock!K$1,'Stock UST'!$1:$1,0)),J83,INDEX('Stock UST'!83:83,1,MATCH(Stock!K$1,'Stock UST'!$1:$1,0))))</f>
        <v/>
      </c>
      <c r="L83" s="9" t="str">
        <f ca="1">IF(IF(ISERROR(MATCH(Stock!L$1,'Stock UST'!$1:$1,0)),K83,INDEX('Stock UST'!83:83,1,MATCH(Stock!L$1,'Stock UST'!$1:$1,0)))=0,"",IF(ISERROR(MATCH(Stock!L$1,'Stock UST'!$1:$1,0)),K83,INDEX('Stock UST'!83:83,1,MATCH(Stock!L$1,'Stock UST'!$1:$1,0))))</f>
        <v/>
      </c>
      <c r="M83" s="9" t="str">
        <f ca="1">IF(IF(ISERROR(MATCH(Stock!M$1,'Stock UST'!$1:$1,0)),L83,INDEX('Stock UST'!83:83,1,MATCH(Stock!M$1,'Stock UST'!$1:$1,0)))=0,"",IF(ISERROR(MATCH(Stock!M$1,'Stock UST'!$1:$1,0)),L83,INDEX('Stock UST'!83:83,1,MATCH(Stock!M$1,'Stock UST'!$1:$1,0))))</f>
        <v/>
      </c>
      <c r="N83" s="9" t="str">
        <f ca="1">IF(IF(ISERROR(MATCH(Stock!N$1,'Stock UST'!$1:$1,0)),M83,INDEX('Stock UST'!83:83,1,MATCH(Stock!N$1,'Stock UST'!$1:$1,0)))=0,"",IF(ISERROR(MATCH(Stock!N$1,'Stock UST'!$1:$1,0)),M83,INDEX('Stock UST'!83:83,1,MATCH(Stock!N$1,'Stock UST'!$1:$1,0))))</f>
        <v/>
      </c>
      <c r="O83" s="9" t="str">
        <f ca="1">IF(IF(ISERROR(MATCH(Stock!O$1,'Stock UST'!$1:$1,0)),N83,INDEX('Stock UST'!83:83,1,MATCH(Stock!O$1,'Stock UST'!$1:$1,0)))=0,"",IF(ISERROR(MATCH(Stock!O$1,'Stock UST'!$1:$1,0)),N83,INDEX('Stock UST'!83:83,1,MATCH(Stock!O$1,'Stock UST'!$1:$1,0))))</f>
        <v/>
      </c>
      <c r="P83" s="9" t="str">
        <f ca="1">IF(IF(ISERROR(MATCH(Stock!P$1,'Stock UST'!$1:$1,0)),O83,INDEX('Stock UST'!83:83,1,MATCH(Stock!P$1,'Stock UST'!$1:$1,0)))=0,"",IF(ISERROR(MATCH(Stock!P$1,'Stock UST'!$1:$1,0)),O83,INDEX('Stock UST'!83:83,1,MATCH(Stock!P$1,'Stock UST'!$1:$1,0))))</f>
        <v/>
      </c>
      <c r="Q83" s="9" t="str">
        <f ca="1">IF(IF(ISERROR(MATCH(Stock!Q$1,'Stock UST'!$1:$1,0)),P83,INDEX('Stock UST'!83:83,1,MATCH(Stock!Q$1,'Stock UST'!$1:$1,0)))=0,"",IF(ISERROR(MATCH(Stock!Q$1,'Stock UST'!$1:$1,0)),P83,INDEX('Stock UST'!83:83,1,MATCH(Stock!Q$1,'Stock UST'!$1:$1,0))))</f>
        <v/>
      </c>
      <c r="R83" s="9" t="str">
        <f ca="1">IF(IF(ISERROR(MATCH(Stock!R$1,'Stock UST'!$1:$1,0)),Q83,INDEX('Stock UST'!83:83,1,MATCH(Stock!R$1,'Stock UST'!$1:$1,0)))=0,"",IF(ISERROR(MATCH(Stock!R$1,'Stock UST'!$1:$1,0)),Q83,INDEX('Stock UST'!83:83,1,MATCH(Stock!R$1,'Stock UST'!$1:$1,0))))</f>
        <v/>
      </c>
      <c r="S83" s="9" t="str">
        <f ca="1">IF(IF(ISERROR(MATCH(Stock!S$1,'Stock UST'!$1:$1,0)),R83,INDEX('Stock UST'!83:83,1,MATCH(Stock!S$1,'Stock UST'!$1:$1,0)))=0,"",IF(ISERROR(MATCH(Stock!S$1,'Stock UST'!$1:$1,0)),R83,INDEX('Stock UST'!83:83,1,MATCH(Stock!S$1,'Stock UST'!$1:$1,0))))</f>
        <v/>
      </c>
      <c r="T83" s="9" t="str">
        <f ca="1">IF(IF(ISERROR(MATCH(Stock!T$1,'Stock UST'!$1:$1,0)),S83,INDEX('Stock UST'!83:83,1,MATCH(Stock!T$1,'Stock UST'!$1:$1,0)))=0,"",IF(ISERROR(MATCH(Stock!T$1,'Stock UST'!$1:$1,0)),S83,INDEX('Stock UST'!83:83,1,MATCH(Stock!T$1,'Stock UST'!$1:$1,0))))</f>
        <v/>
      </c>
      <c r="U83" s="9" t="str">
        <f ca="1">IF(IF(ISERROR(MATCH(Stock!U$1,'Stock UST'!$1:$1,0)),T83,INDEX('Stock UST'!83:83,1,MATCH(Stock!U$1,'Stock UST'!$1:$1,0)))=0,"",IF(ISERROR(MATCH(Stock!U$1,'Stock UST'!$1:$1,0)),T83,INDEX('Stock UST'!83:83,1,MATCH(Stock!U$1,'Stock UST'!$1:$1,0))))</f>
        <v/>
      </c>
      <c r="V83" s="9" t="str">
        <f ca="1">IF(IF(ISERROR(MATCH(Stock!V$1,'Stock UST'!$1:$1,0)),U83,INDEX('Stock UST'!83:83,1,MATCH(Stock!V$1,'Stock UST'!$1:$1,0)))=0,"",IF(ISERROR(MATCH(Stock!V$1,'Stock UST'!$1:$1,0)),U83,INDEX('Stock UST'!83:83,1,MATCH(Stock!V$1,'Stock UST'!$1:$1,0))))</f>
        <v/>
      </c>
      <c r="W83" s="9" t="str">
        <f ca="1">IF(IF(ISERROR(MATCH(Stock!W$1,'Stock UST'!$1:$1,0)),V83,INDEX('Stock UST'!83:83,1,MATCH(Stock!W$1,'Stock UST'!$1:$1,0)))=0,"",IF(ISERROR(MATCH(Stock!W$1,'Stock UST'!$1:$1,0)),V83,INDEX('Stock UST'!83:83,1,MATCH(Stock!W$1,'Stock UST'!$1:$1,0))))</f>
        <v/>
      </c>
      <c r="X83" s="9" t="str">
        <f ca="1">IF(IF(ISERROR(MATCH(Stock!X$1,'Stock UST'!$1:$1,0)),W83,INDEX('Stock UST'!83:83,1,MATCH(Stock!X$1,'Stock UST'!$1:$1,0)))=0,"",IF(ISERROR(MATCH(Stock!X$1,'Stock UST'!$1:$1,0)),W83,INDEX('Stock UST'!83:83,1,MATCH(Stock!X$1,'Stock UST'!$1:$1,0))))</f>
        <v/>
      </c>
      <c r="Y83" s="9" t="str">
        <f ca="1">IF(IF(ISERROR(MATCH(Stock!Y$1,'Stock UST'!$1:$1,0)),X83,INDEX('Stock UST'!83:83,1,MATCH(Stock!Y$1,'Stock UST'!$1:$1,0)))=0,"",IF(ISERROR(MATCH(Stock!Y$1,'Stock UST'!$1:$1,0)),X83,INDEX('Stock UST'!83:83,1,MATCH(Stock!Y$1,'Stock UST'!$1:$1,0))))</f>
        <v/>
      </c>
      <c r="Z83" s="9" t="str">
        <f ca="1">IF(IF(ISERROR(MATCH(Stock!Z$1,'Stock UST'!$1:$1,0)),Y83,INDEX('Stock UST'!83:83,1,MATCH(Stock!Z$1,'Stock UST'!$1:$1,0)))=0,"",IF(ISERROR(MATCH(Stock!Z$1,'Stock UST'!$1:$1,0)),Y83,INDEX('Stock UST'!83:83,1,MATCH(Stock!Z$1,'Stock UST'!$1:$1,0))))</f>
        <v/>
      </c>
      <c r="AA83" s="9" t="str">
        <f ca="1">IF(IF(ISERROR(MATCH(Stock!AA$1,'Stock UST'!$1:$1,0)),Z83,INDEX('Stock UST'!83:83,1,MATCH(Stock!AA$1,'Stock UST'!$1:$1,0)))=0,"",IF(ISERROR(MATCH(Stock!AA$1,'Stock UST'!$1:$1,0)),Z83,INDEX('Stock UST'!83:83,1,MATCH(Stock!AA$1,'Stock UST'!$1:$1,0))))</f>
        <v/>
      </c>
      <c r="AB83" s="9" t="str">
        <f ca="1">IF(IF(ISERROR(MATCH(Stock!AB$1,'Stock UST'!$1:$1,0)),AA83,INDEX('Stock UST'!83:83,1,MATCH(Stock!AB$1,'Stock UST'!$1:$1,0)))=0,"",IF(ISERROR(MATCH(Stock!AB$1,'Stock UST'!$1:$1,0)),AA83,INDEX('Stock UST'!83:83,1,MATCH(Stock!AB$1,'Stock UST'!$1:$1,0))))</f>
        <v/>
      </c>
      <c r="AC83" s="9" t="str">
        <f ca="1">IF(IF(ISERROR(MATCH(Stock!AC$1,'Stock UST'!$1:$1,0)),AB83,INDEX('Stock UST'!83:83,1,MATCH(Stock!AC$1,'Stock UST'!$1:$1,0)))=0,"",IF(ISERROR(MATCH(Stock!AC$1,'Stock UST'!$1:$1,0)),AB83,INDEX('Stock UST'!83:83,1,MATCH(Stock!AC$1,'Stock UST'!$1:$1,0))))</f>
        <v/>
      </c>
      <c r="AD83" s="9" t="str">
        <f ca="1">IF(IF(ISERROR(MATCH(Stock!AD$1,'Stock UST'!$1:$1,0)),AC83,INDEX('Stock UST'!83:83,1,MATCH(Stock!AD$1,'Stock UST'!$1:$1,0)))=0,"",IF(ISERROR(MATCH(Stock!AD$1,'Stock UST'!$1:$1,0)),AC83,INDEX('Stock UST'!83:83,1,MATCH(Stock!AD$1,'Stock UST'!$1:$1,0))))</f>
        <v/>
      </c>
      <c r="AE83" s="9" t="str">
        <f ca="1">IF(IF(ISERROR(MATCH(Stock!AE$1,'Stock UST'!$1:$1,0)),AD83,INDEX('Stock UST'!83:83,1,MATCH(Stock!AE$1,'Stock UST'!$1:$1,0)))=0,"",IF(ISERROR(MATCH(Stock!AE$1,'Stock UST'!$1:$1,0)),AD83,INDEX('Stock UST'!83:83,1,MATCH(Stock!AE$1,'Stock UST'!$1:$1,0))))</f>
        <v/>
      </c>
      <c r="AF83" s="9" t="str">
        <f ca="1">IF(IF(ISERROR(MATCH(Stock!AF$1,'Stock UST'!$1:$1,0)),AE83,INDEX('Stock UST'!83:83,1,MATCH(Stock!AF$1,'Stock UST'!$1:$1,0)))=0,"",IF(ISERROR(MATCH(Stock!AF$1,'Stock UST'!$1:$1,0)),AE83,INDEX('Stock UST'!83:83,1,MATCH(Stock!AF$1,'Stock UST'!$1:$1,0))))</f>
        <v/>
      </c>
      <c r="AG83" s="9" t="str">
        <f ca="1">IF(IF(ISERROR(MATCH(Stock!AG$1,'Stock UST'!$1:$1,0)),AF83,INDEX('Stock UST'!83:83,1,MATCH(Stock!AG$1,'Stock UST'!$1:$1,0)))=0,"",IF(ISERROR(MATCH(Stock!AG$1,'Stock UST'!$1:$1,0)),AF83,INDEX('Stock UST'!83:83,1,MATCH(Stock!AG$1,'Stock UST'!$1:$1,0))))</f>
        <v/>
      </c>
      <c r="AH83" s="9" t="str">
        <f ca="1">IF(IF(ISERROR(MATCH(Stock!AH$1,'Stock UST'!$1:$1,0)),AG83,INDEX('Stock UST'!83:83,1,MATCH(Stock!AH$1,'Stock UST'!$1:$1,0)))=0,"",IF(ISERROR(MATCH(Stock!AH$1,'Stock UST'!$1:$1,0)),AG83,INDEX('Stock UST'!83:83,1,MATCH(Stock!AH$1,'Stock UST'!$1:$1,0))))</f>
        <v/>
      </c>
      <c r="AI83" s="9" t="str">
        <f ca="1">IF(IF(ISERROR(MATCH(Stock!AI$1,'Stock UST'!$1:$1,0)),AH83,INDEX('Stock UST'!83:83,1,MATCH(Stock!AI$1,'Stock UST'!$1:$1,0)))=0,"",IF(ISERROR(MATCH(Stock!AI$1,'Stock UST'!$1:$1,0)),AH83,INDEX('Stock UST'!83:83,1,MATCH(Stock!AI$1,'Stock UST'!$1:$1,0))))</f>
        <v/>
      </c>
      <c r="AJ83" s="9" t="str">
        <f ca="1">IF(IF(ISERROR(MATCH(Stock!AJ$1,'Stock UST'!$1:$1,0)),AI83,INDEX('Stock UST'!83:83,1,MATCH(Stock!AJ$1,'Stock UST'!$1:$1,0)))=0,"",IF(ISERROR(MATCH(Stock!AJ$1,'Stock UST'!$1:$1,0)),AI83,INDEX('Stock UST'!83:83,1,MATCH(Stock!AJ$1,'Stock UST'!$1:$1,0))))</f>
        <v/>
      </c>
      <c r="AK83" s="9" t="str">
        <f ca="1">IF(IF(ISERROR(MATCH(Stock!AK$1,'Stock UST'!$1:$1,0)),AJ83,INDEX('Stock UST'!83:83,1,MATCH(Stock!AK$1,'Stock UST'!$1:$1,0)))=0,"",IF(ISERROR(MATCH(Stock!AK$1,'Stock UST'!$1:$1,0)),AJ83,INDEX('Stock UST'!83:83,1,MATCH(Stock!AK$1,'Stock UST'!$1:$1,0))))</f>
        <v/>
      </c>
      <c r="AL83" s="9" t="str">
        <f ca="1">IF(IF(ISERROR(MATCH(Stock!AL$1,'Stock UST'!$1:$1,0)),AK83,INDEX('Stock UST'!83:83,1,MATCH(Stock!AL$1,'Stock UST'!$1:$1,0)))=0,"",IF(ISERROR(MATCH(Stock!AL$1,'Stock UST'!$1:$1,0)),AK83,INDEX('Stock UST'!83:83,1,MATCH(Stock!AL$1,'Stock UST'!$1:$1,0))))</f>
        <v/>
      </c>
      <c r="AM83" s="9" t="str">
        <f ca="1">IF(IF(ISERROR(MATCH(Stock!AM$1,'Stock UST'!$1:$1,0)),AL83,INDEX('Stock UST'!83:83,1,MATCH(Stock!AM$1,'Stock UST'!$1:$1,0)))=0,"",IF(ISERROR(MATCH(Stock!AM$1,'Stock UST'!$1:$1,0)),AL83,INDEX('Stock UST'!83:83,1,MATCH(Stock!AM$1,'Stock UST'!$1:$1,0))))</f>
        <v/>
      </c>
      <c r="AN83" s="9" t="str">
        <f ca="1">IF(IF(ISERROR(MATCH(Stock!AN$1,'Stock UST'!$1:$1,0)),AM83,INDEX('Stock UST'!83:83,1,MATCH(Stock!AN$1,'Stock UST'!$1:$1,0)))=0,"",IF(ISERROR(MATCH(Stock!AN$1,'Stock UST'!$1:$1,0)),AM83,INDEX('Stock UST'!83:83,1,MATCH(Stock!AN$1,'Stock UST'!$1:$1,0))))</f>
        <v/>
      </c>
      <c r="AO83" s="9" t="str">
        <f ca="1">IF(IF(ISERROR(MATCH(Stock!AO$1,'Stock UST'!$1:$1,0)),AN83,INDEX('Stock UST'!83:83,1,MATCH(Stock!AO$1,'Stock UST'!$1:$1,0)))=0,"",IF(ISERROR(MATCH(Stock!AO$1,'Stock UST'!$1:$1,0)),AN83,INDEX('Stock UST'!83:83,1,MATCH(Stock!AO$1,'Stock UST'!$1:$1,0))))</f>
        <v/>
      </c>
      <c r="AP83" s="9" t="str">
        <f ca="1">IF(IF(ISERROR(MATCH(Stock!AP$1,'Stock UST'!$1:$1,0)),AO83,INDEX('Stock UST'!83:83,1,MATCH(Stock!AP$1,'Stock UST'!$1:$1,0)))=0,"",IF(ISERROR(MATCH(Stock!AP$1,'Stock UST'!$1:$1,0)),AO83,INDEX('Stock UST'!83:83,1,MATCH(Stock!AP$1,'Stock UST'!$1:$1,0))))</f>
        <v/>
      </c>
      <c r="AQ83" s="9" t="str">
        <f ca="1">IF(IF(ISERROR(MATCH(Stock!AQ$1,'Stock UST'!$1:$1,0)),AP83,INDEX('Stock UST'!83:83,1,MATCH(Stock!AQ$1,'Stock UST'!$1:$1,0)))=0,"",IF(ISERROR(MATCH(Stock!AQ$1,'Stock UST'!$1:$1,0)),AP83,INDEX('Stock UST'!83:83,1,MATCH(Stock!AQ$1,'Stock UST'!$1:$1,0))))</f>
        <v/>
      </c>
      <c r="AR83" s="9" t="str">
        <f ca="1">IF(IF(ISERROR(MATCH(Stock!AR$1,'Stock UST'!$1:$1,0)),AQ83,INDEX('Stock UST'!83:83,1,MATCH(Stock!AR$1,'Stock UST'!$1:$1,0)))=0,"",IF(ISERROR(MATCH(Stock!AR$1,'Stock UST'!$1:$1,0)),AQ83,INDEX('Stock UST'!83:83,1,MATCH(Stock!AR$1,'Stock UST'!$1:$1,0))))</f>
        <v/>
      </c>
      <c r="AS83" s="9" t="str">
        <f ca="1">IF(IF(ISERROR(MATCH(Stock!AS$1,'Stock UST'!$1:$1,0)),AR83,INDEX('Stock UST'!83:83,1,MATCH(Stock!AS$1,'Stock UST'!$1:$1,0)))=0,"",IF(ISERROR(MATCH(Stock!AS$1,'Stock UST'!$1:$1,0)),AR83,INDEX('Stock UST'!83:83,1,MATCH(Stock!AS$1,'Stock UST'!$1:$1,0))))</f>
        <v/>
      </c>
      <c r="AT83" s="9" t="str">
        <f ca="1">IF(IF(ISERROR(MATCH(Stock!AT$1,'Stock UST'!$1:$1,0)),AS83,INDEX('Stock UST'!83:83,1,MATCH(Stock!AT$1,'Stock UST'!$1:$1,0)))=0,"",IF(ISERROR(MATCH(Stock!AT$1,'Stock UST'!$1:$1,0)),AS83,INDEX('Stock UST'!83:83,1,MATCH(Stock!AT$1,'Stock UST'!$1:$1,0))))</f>
        <v/>
      </c>
      <c r="AU83" s="9" t="str">
        <f ca="1">IF(IF(ISERROR(MATCH(Stock!AU$1,'Stock UST'!$1:$1,0)),AT83,INDEX('Stock UST'!83:83,1,MATCH(Stock!AU$1,'Stock UST'!$1:$1,0)))=0,"",IF(ISERROR(MATCH(Stock!AU$1,'Stock UST'!$1:$1,0)),AT83,INDEX('Stock UST'!83:83,1,MATCH(Stock!AU$1,'Stock UST'!$1:$1,0))))</f>
        <v/>
      </c>
      <c r="AV83" s="9" t="str">
        <f ca="1">IF(IF(ISERROR(MATCH(Stock!AV$1,'Stock UST'!$1:$1,0)),AU83,INDEX('Stock UST'!83:83,1,MATCH(Stock!AV$1,'Stock UST'!$1:$1,0)))=0,"",IF(ISERROR(MATCH(Stock!AV$1,'Stock UST'!$1:$1,0)),AU83,INDEX('Stock UST'!83:83,1,MATCH(Stock!AV$1,'Stock UST'!$1:$1,0))))</f>
        <v/>
      </c>
      <c r="AW83" s="9" t="str">
        <f ca="1">IF(IF(ISERROR(MATCH(Stock!AW$1,'Stock UST'!$1:$1,0)),AV83,INDEX('Stock UST'!83:83,1,MATCH(Stock!AW$1,'Stock UST'!$1:$1,0)))=0,"",IF(ISERROR(MATCH(Stock!AW$1,'Stock UST'!$1:$1,0)),AV83,INDEX('Stock UST'!83:83,1,MATCH(Stock!AW$1,'Stock UST'!$1:$1,0))))</f>
        <v/>
      </c>
      <c r="AX83" s="9" t="str">
        <f ca="1">IF(IF(ISERROR(MATCH(Stock!AX$1,'Stock UST'!$1:$1,0)),AW83,INDEX('Stock UST'!83:83,1,MATCH(Stock!AX$1,'Stock UST'!$1:$1,0)))=0,"",IF(ISERROR(MATCH(Stock!AX$1,'Stock UST'!$1:$1,0)),AW83,INDEX('Stock UST'!83:83,1,MATCH(Stock!AX$1,'Stock UST'!$1:$1,0))))</f>
        <v/>
      </c>
    </row>
    <row r="84" spans="1:50" x14ac:dyDescent="0.3">
      <c r="A84" s="9" t="str">
        <f>IF('Stock UST'!E84="","",'Stock UST'!E84)</f>
        <v/>
      </c>
      <c r="B84" s="9" t="str">
        <f>IF(IF(ISERROR(MATCH(Stock!B$1,'Stock UST'!$1:$1,0)),A84,INDEX('Stock UST'!84:84,1,MATCH(Stock!B$1,'Stock UST'!$1:$1,0)))=0,"",IF(ISERROR(MATCH(Stock!B$1,'Stock UST'!$1:$1,0)),A84,INDEX('Stock UST'!84:84,1,MATCH(Stock!B$1,'Stock UST'!$1:$1,0))))</f>
        <v/>
      </c>
      <c r="C84" s="9" t="str">
        <f ca="1">IF(IF(ISERROR(MATCH(Stock!C$1,'Stock UST'!$1:$1,0)),B84,INDEX('Stock UST'!84:84,1,MATCH(Stock!C$1,'Stock UST'!$1:$1,0)))=0,"",IF(ISERROR(MATCH(Stock!C$1,'Stock UST'!$1:$1,0)),B84,INDEX('Stock UST'!84:84,1,MATCH(Stock!C$1,'Stock UST'!$1:$1,0))))</f>
        <v/>
      </c>
      <c r="D84" s="9" t="str">
        <f ca="1">IF(IF(ISERROR(MATCH(Stock!D$1,'Stock UST'!$1:$1,0)),C84,INDEX('Stock UST'!84:84,1,MATCH(Stock!D$1,'Stock UST'!$1:$1,0)))=0,"",IF(ISERROR(MATCH(Stock!D$1,'Stock UST'!$1:$1,0)),C84,INDEX('Stock UST'!84:84,1,MATCH(Stock!D$1,'Stock UST'!$1:$1,0))))</f>
        <v/>
      </c>
      <c r="E84" s="9" t="str">
        <f ca="1">IF(IF(ISERROR(MATCH(Stock!E$1,'Stock UST'!$1:$1,0)),D84,INDEX('Stock UST'!84:84,1,MATCH(Stock!E$1,'Stock UST'!$1:$1,0)))=0,"",IF(ISERROR(MATCH(Stock!E$1,'Stock UST'!$1:$1,0)),D84,INDEX('Stock UST'!84:84,1,MATCH(Stock!E$1,'Stock UST'!$1:$1,0))))</f>
        <v/>
      </c>
      <c r="F84" s="9" t="str">
        <f ca="1">IF(IF(ISERROR(MATCH(Stock!F$1,'Stock UST'!$1:$1,0)),E84,INDEX('Stock UST'!84:84,1,MATCH(Stock!F$1,'Stock UST'!$1:$1,0)))=0,"",IF(ISERROR(MATCH(Stock!F$1,'Stock UST'!$1:$1,0)),E84,INDEX('Stock UST'!84:84,1,MATCH(Stock!F$1,'Stock UST'!$1:$1,0))))</f>
        <v/>
      </c>
      <c r="G84" s="9" t="str">
        <f ca="1">IF(IF(ISERROR(MATCH(Stock!G$1,'Stock UST'!$1:$1,0)),F84,INDEX('Stock UST'!84:84,1,MATCH(Stock!G$1,'Stock UST'!$1:$1,0)))=0,"",IF(ISERROR(MATCH(Stock!G$1,'Stock UST'!$1:$1,0)),F84,INDEX('Stock UST'!84:84,1,MATCH(Stock!G$1,'Stock UST'!$1:$1,0))))</f>
        <v/>
      </c>
      <c r="H84" s="9" t="str">
        <f ca="1">IF(IF(ISERROR(MATCH(Stock!H$1,'Stock UST'!$1:$1,0)),G84,INDEX('Stock UST'!84:84,1,MATCH(Stock!H$1,'Stock UST'!$1:$1,0)))=0,"",IF(ISERROR(MATCH(Stock!H$1,'Stock UST'!$1:$1,0)),G84,INDEX('Stock UST'!84:84,1,MATCH(Stock!H$1,'Stock UST'!$1:$1,0))))</f>
        <v/>
      </c>
      <c r="I84" s="9" t="str">
        <f ca="1">IF(IF(ISERROR(MATCH(Stock!I$1,'Stock UST'!$1:$1,0)),H84,INDEX('Stock UST'!84:84,1,MATCH(Stock!I$1,'Stock UST'!$1:$1,0)))=0,"",IF(ISERROR(MATCH(Stock!I$1,'Stock UST'!$1:$1,0)),H84,INDEX('Stock UST'!84:84,1,MATCH(Stock!I$1,'Stock UST'!$1:$1,0))))</f>
        <v/>
      </c>
      <c r="J84" s="9" t="str">
        <f ca="1">IF(IF(ISERROR(MATCH(Stock!J$1,'Stock UST'!$1:$1,0)),I84,INDEX('Stock UST'!84:84,1,MATCH(Stock!J$1,'Stock UST'!$1:$1,0)))=0,"",IF(ISERROR(MATCH(Stock!J$1,'Stock UST'!$1:$1,0)),I84,INDEX('Stock UST'!84:84,1,MATCH(Stock!J$1,'Stock UST'!$1:$1,0))))</f>
        <v/>
      </c>
      <c r="K84" s="9" t="str">
        <f ca="1">IF(IF(ISERROR(MATCH(Stock!K$1,'Stock UST'!$1:$1,0)),J84,INDEX('Stock UST'!84:84,1,MATCH(Stock!K$1,'Stock UST'!$1:$1,0)))=0,"",IF(ISERROR(MATCH(Stock!K$1,'Stock UST'!$1:$1,0)),J84,INDEX('Stock UST'!84:84,1,MATCH(Stock!K$1,'Stock UST'!$1:$1,0))))</f>
        <v/>
      </c>
      <c r="L84" s="9" t="str">
        <f ca="1">IF(IF(ISERROR(MATCH(Stock!L$1,'Stock UST'!$1:$1,0)),K84,INDEX('Stock UST'!84:84,1,MATCH(Stock!L$1,'Stock UST'!$1:$1,0)))=0,"",IF(ISERROR(MATCH(Stock!L$1,'Stock UST'!$1:$1,0)),K84,INDEX('Stock UST'!84:84,1,MATCH(Stock!L$1,'Stock UST'!$1:$1,0))))</f>
        <v/>
      </c>
      <c r="M84" s="9" t="str">
        <f ca="1">IF(IF(ISERROR(MATCH(Stock!M$1,'Stock UST'!$1:$1,0)),L84,INDEX('Stock UST'!84:84,1,MATCH(Stock!M$1,'Stock UST'!$1:$1,0)))=0,"",IF(ISERROR(MATCH(Stock!M$1,'Stock UST'!$1:$1,0)),L84,INDEX('Stock UST'!84:84,1,MATCH(Stock!M$1,'Stock UST'!$1:$1,0))))</f>
        <v/>
      </c>
      <c r="N84" s="9" t="str">
        <f ca="1">IF(IF(ISERROR(MATCH(Stock!N$1,'Stock UST'!$1:$1,0)),M84,INDEX('Stock UST'!84:84,1,MATCH(Stock!N$1,'Stock UST'!$1:$1,0)))=0,"",IF(ISERROR(MATCH(Stock!N$1,'Stock UST'!$1:$1,0)),M84,INDEX('Stock UST'!84:84,1,MATCH(Stock!N$1,'Stock UST'!$1:$1,0))))</f>
        <v/>
      </c>
      <c r="O84" s="9" t="str">
        <f ca="1">IF(IF(ISERROR(MATCH(Stock!O$1,'Stock UST'!$1:$1,0)),N84,INDEX('Stock UST'!84:84,1,MATCH(Stock!O$1,'Stock UST'!$1:$1,0)))=0,"",IF(ISERROR(MATCH(Stock!O$1,'Stock UST'!$1:$1,0)),N84,INDEX('Stock UST'!84:84,1,MATCH(Stock!O$1,'Stock UST'!$1:$1,0))))</f>
        <v/>
      </c>
      <c r="P84" s="9" t="str">
        <f ca="1">IF(IF(ISERROR(MATCH(Stock!P$1,'Stock UST'!$1:$1,0)),O84,INDEX('Stock UST'!84:84,1,MATCH(Stock!P$1,'Stock UST'!$1:$1,0)))=0,"",IF(ISERROR(MATCH(Stock!P$1,'Stock UST'!$1:$1,0)),O84,INDEX('Stock UST'!84:84,1,MATCH(Stock!P$1,'Stock UST'!$1:$1,0))))</f>
        <v/>
      </c>
      <c r="Q84" s="9" t="str">
        <f ca="1">IF(IF(ISERROR(MATCH(Stock!Q$1,'Stock UST'!$1:$1,0)),P84,INDEX('Stock UST'!84:84,1,MATCH(Stock!Q$1,'Stock UST'!$1:$1,0)))=0,"",IF(ISERROR(MATCH(Stock!Q$1,'Stock UST'!$1:$1,0)),P84,INDEX('Stock UST'!84:84,1,MATCH(Stock!Q$1,'Stock UST'!$1:$1,0))))</f>
        <v/>
      </c>
      <c r="R84" s="9" t="str">
        <f ca="1">IF(IF(ISERROR(MATCH(Stock!R$1,'Stock UST'!$1:$1,0)),Q84,INDEX('Stock UST'!84:84,1,MATCH(Stock!R$1,'Stock UST'!$1:$1,0)))=0,"",IF(ISERROR(MATCH(Stock!R$1,'Stock UST'!$1:$1,0)),Q84,INDEX('Stock UST'!84:84,1,MATCH(Stock!R$1,'Stock UST'!$1:$1,0))))</f>
        <v/>
      </c>
      <c r="S84" s="9" t="str">
        <f ca="1">IF(IF(ISERROR(MATCH(Stock!S$1,'Stock UST'!$1:$1,0)),R84,INDEX('Stock UST'!84:84,1,MATCH(Stock!S$1,'Stock UST'!$1:$1,0)))=0,"",IF(ISERROR(MATCH(Stock!S$1,'Stock UST'!$1:$1,0)),R84,INDEX('Stock UST'!84:84,1,MATCH(Stock!S$1,'Stock UST'!$1:$1,0))))</f>
        <v/>
      </c>
      <c r="T84" s="9" t="str">
        <f ca="1">IF(IF(ISERROR(MATCH(Stock!T$1,'Stock UST'!$1:$1,0)),S84,INDEX('Stock UST'!84:84,1,MATCH(Stock!T$1,'Stock UST'!$1:$1,0)))=0,"",IF(ISERROR(MATCH(Stock!T$1,'Stock UST'!$1:$1,0)),S84,INDEX('Stock UST'!84:84,1,MATCH(Stock!T$1,'Stock UST'!$1:$1,0))))</f>
        <v/>
      </c>
      <c r="U84" s="9" t="str">
        <f ca="1">IF(IF(ISERROR(MATCH(Stock!U$1,'Stock UST'!$1:$1,0)),T84,INDEX('Stock UST'!84:84,1,MATCH(Stock!U$1,'Stock UST'!$1:$1,0)))=0,"",IF(ISERROR(MATCH(Stock!U$1,'Stock UST'!$1:$1,0)),T84,INDEX('Stock UST'!84:84,1,MATCH(Stock!U$1,'Stock UST'!$1:$1,0))))</f>
        <v/>
      </c>
      <c r="V84" s="9" t="str">
        <f ca="1">IF(IF(ISERROR(MATCH(Stock!V$1,'Stock UST'!$1:$1,0)),U84,INDEX('Stock UST'!84:84,1,MATCH(Stock!V$1,'Stock UST'!$1:$1,0)))=0,"",IF(ISERROR(MATCH(Stock!V$1,'Stock UST'!$1:$1,0)),U84,INDEX('Stock UST'!84:84,1,MATCH(Stock!V$1,'Stock UST'!$1:$1,0))))</f>
        <v/>
      </c>
      <c r="W84" s="9" t="str">
        <f ca="1">IF(IF(ISERROR(MATCH(Stock!W$1,'Stock UST'!$1:$1,0)),V84,INDEX('Stock UST'!84:84,1,MATCH(Stock!W$1,'Stock UST'!$1:$1,0)))=0,"",IF(ISERROR(MATCH(Stock!W$1,'Stock UST'!$1:$1,0)),V84,INDEX('Stock UST'!84:84,1,MATCH(Stock!W$1,'Stock UST'!$1:$1,0))))</f>
        <v/>
      </c>
      <c r="X84" s="9" t="str">
        <f ca="1">IF(IF(ISERROR(MATCH(Stock!X$1,'Stock UST'!$1:$1,0)),W84,INDEX('Stock UST'!84:84,1,MATCH(Stock!X$1,'Stock UST'!$1:$1,0)))=0,"",IF(ISERROR(MATCH(Stock!X$1,'Stock UST'!$1:$1,0)),W84,INDEX('Stock UST'!84:84,1,MATCH(Stock!X$1,'Stock UST'!$1:$1,0))))</f>
        <v/>
      </c>
      <c r="Y84" s="9" t="str">
        <f ca="1">IF(IF(ISERROR(MATCH(Stock!Y$1,'Stock UST'!$1:$1,0)),X84,INDEX('Stock UST'!84:84,1,MATCH(Stock!Y$1,'Stock UST'!$1:$1,0)))=0,"",IF(ISERROR(MATCH(Stock!Y$1,'Stock UST'!$1:$1,0)),X84,INDEX('Stock UST'!84:84,1,MATCH(Stock!Y$1,'Stock UST'!$1:$1,0))))</f>
        <v/>
      </c>
      <c r="Z84" s="9" t="str">
        <f ca="1">IF(IF(ISERROR(MATCH(Stock!Z$1,'Stock UST'!$1:$1,0)),Y84,INDEX('Stock UST'!84:84,1,MATCH(Stock!Z$1,'Stock UST'!$1:$1,0)))=0,"",IF(ISERROR(MATCH(Stock!Z$1,'Stock UST'!$1:$1,0)),Y84,INDEX('Stock UST'!84:84,1,MATCH(Stock!Z$1,'Stock UST'!$1:$1,0))))</f>
        <v/>
      </c>
      <c r="AA84" s="9" t="str">
        <f ca="1">IF(IF(ISERROR(MATCH(Stock!AA$1,'Stock UST'!$1:$1,0)),Z84,INDEX('Stock UST'!84:84,1,MATCH(Stock!AA$1,'Stock UST'!$1:$1,0)))=0,"",IF(ISERROR(MATCH(Stock!AA$1,'Stock UST'!$1:$1,0)),Z84,INDEX('Stock UST'!84:84,1,MATCH(Stock!AA$1,'Stock UST'!$1:$1,0))))</f>
        <v/>
      </c>
      <c r="AB84" s="9" t="str">
        <f ca="1">IF(IF(ISERROR(MATCH(Stock!AB$1,'Stock UST'!$1:$1,0)),AA84,INDEX('Stock UST'!84:84,1,MATCH(Stock!AB$1,'Stock UST'!$1:$1,0)))=0,"",IF(ISERROR(MATCH(Stock!AB$1,'Stock UST'!$1:$1,0)),AA84,INDEX('Stock UST'!84:84,1,MATCH(Stock!AB$1,'Stock UST'!$1:$1,0))))</f>
        <v/>
      </c>
      <c r="AC84" s="9" t="str">
        <f ca="1">IF(IF(ISERROR(MATCH(Stock!AC$1,'Stock UST'!$1:$1,0)),AB84,INDEX('Stock UST'!84:84,1,MATCH(Stock!AC$1,'Stock UST'!$1:$1,0)))=0,"",IF(ISERROR(MATCH(Stock!AC$1,'Stock UST'!$1:$1,0)),AB84,INDEX('Stock UST'!84:84,1,MATCH(Stock!AC$1,'Stock UST'!$1:$1,0))))</f>
        <v/>
      </c>
      <c r="AD84" s="9" t="str">
        <f ca="1">IF(IF(ISERROR(MATCH(Stock!AD$1,'Stock UST'!$1:$1,0)),AC84,INDEX('Stock UST'!84:84,1,MATCH(Stock!AD$1,'Stock UST'!$1:$1,0)))=0,"",IF(ISERROR(MATCH(Stock!AD$1,'Stock UST'!$1:$1,0)),AC84,INDEX('Stock UST'!84:84,1,MATCH(Stock!AD$1,'Stock UST'!$1:$1,0))))</f>
        <v/>
      </c>
      <c r="AE84" s="9" t="str">
        <f ca="1">IF(IF(ISERROR(MATCH(Stock!AE$1,'Stock UST'!$1:$1,0)),AD84,INDEX('Stock UST'!84:84,1,MATCH(Stock!AE$1,'Stock UST'!$1:$1,0)))=0,"",IF(ISERROR(MATCH(Stock!AE$1,'Stock UST'!$1:$1,0)),AD84,INDEX('Stock UST'!84:84,1,MATCH(Stock!AE$1,'Stock UST'!$1:$1,0))))</f>
        <v/>
      </c>
      <c r="AF84" s="9" t="str">
        <f ca="1">IF(IF(ISERROR(MATCH(Stock!AF$1,'Stock UST'!$1:$1,0)),AE84,INDEX('Stock UST'!84:84,1,MATCH(Stock!AF$1,'Stock UST'!$1:$1,0)))=0,"",IF(ISERROR(MATCH(Stock!AF$1,'Stock UST'!$1:$1,0)),AE84,INDEX('Stock UST'!84:84,1,MATCH(Stock!AF$1,'Stock UST'!$1:$1,0))))</f>
        <v/>
      </c>
      <c r="AG84" s="9" t="str">
        <f ca="1">IF(IF(ISERROR(MATCH(Stock!AG$1,'Stock UST'!$1:$1,0)),AF84,INDEX('Stock UST'!84:84,1,MATCH(Stock!AG$1,'Stock UST'!$1:$1,0)))=0,"",IF(ISERROR(MATCH(Stock!AG$1,'Stock UST'!$1:$1,0)),AF84,INDEX('Stock UST'!84:84,1,MATCH(Stock!AG$1,'Stock UST'!$1:$1,0))))</f>
        <v/>
      </c>
      <c r="AH84" s="9" t="str">
        <f ca="1">IF(IF(ISERROR(MATCH(Stock!AH$1,'Stock UST'!$1:$1,0)),AG84,INDEX('Stock UST'!84:84,1,MATCH(Stock!AH$1,'Stock UST'!$1:$1,0)))=0,"",IF(ISERROR(MATCH(Stock!AH$1,'Stock UST'!$1:$1,0)),AG84,INDEX('Stock UST'!84:84,1,MATCH(Stock!AH$1,'Stock UST'!$1:$1,0))))</f>
        <v/>
      </c>
      <c r="AI84" s="9" t="str">
        <f ca="1">IF(IF(ISERROR(MATCH(Stock!AI$1,'Stock UST'!$1:$1,0)),AH84,INDEX('Stock UST'!84:84,1,MATCH(Stock!AI$1,'Stock UST'!$1:$1,0)))=0,"",IF(ISERROR(MATCH(Stock!AI$1,'Stock UST'!$1:$1,0)),AH84,INDEX('Stock UST'!84:84,1,MATCH(Stock!AI$1,'Stock UST'!$1:$1,0))))</f>
        <v/>
      </c>
      <c r="AJ84" s="9" t="str">
        <f ca="1">IF(IF(ISERROR(MATCH(Stock!AJ$1,'Stock UST'!$1:$1,0)),AI84,INDEX('Stock UST'!84:84,1,MATCH(Stock!AJ$1,'Stock UST'!$1:$1,0)))=0,"",IF(ISERROR(MATCH(Stock!AJ$1,'Stock UST'!$1:$1,0)),AI84,INDEX('Stock UST'!84:84,1,MATCH(Stock!AJ$1,'Stock UST'!$1:$1,0))))</f>
        <v/>
      </c>
      <c r="AK84" s="9" t="str">
        <f ca="1">IF(IF(ISERROR(MATCH(Stock!AK$1,'Stock UST'!$1:$1,0)),AJ84,INDEX('Stock UST'!84:84,1,MATCH(Stock!AK$1,'Stock UST'!$1:$1,0)))=0,"",IF(ISERROR(MATCH(Stock!AK$1,'Stock UST'!$1:$1,0)),AJ84,INDEX('Stock UST'!84:84,1,MATCH(Stock!AK$1,'Stock UST'!$1:$1,0))))</f>
        <v/>
      </c>
      <c r="AL84" s="9" t="str">
        <f ca="1">IF(IF(ISERROR(MATCH(Stock!AL$1,'Stock UST'!$1:$1,0)),AK84,INDEX('Stock UST'!84:84,1,MATCH(Stock!AL$1,'Stock UST'!$1:$1,0)))=0,"",IF(ISERROR(MATCH(Stock!AL$1,'Stock UST'!$1:$1,0)),AK84,INDEX('Stock UST'!84:84,1,MATCH(Stock!AL$1,'Stock UST'!$1:$1,0))))</f>
        <v/>
      </c>
      <c r="AM84" s="9" t="str">
        <f ca="1">IF(IF(ISERROR(MATCH(Stock!AM$1,'Stock UST'!$1:$1,0)),AL84,INDEX('Stock UST'!84:84,1,MATCH(Stock!AM$1,'Stock UST'!$1:$1,0)))=0,"",IF(ISERROR(MATCH(Stock!AM$1,'Stock UST'!$1:$1,0)),AL84,INDEX('Stock UST'!84:84,1,MATCH(Stock!AM$1,'Stock UST'!$1:$1,0))))</f>
        <v/>
      </c>
      <c r="AN84" s="9" t="str">
        <f ca="1">IF(IF(ISERROR(MATCH(Stock!AN$1,'Stock UST'!$1:$1,0)),AM84,INDEX('Stock UST'!84:84,1,MATCH(Stock!AN$1,'Stock UST'!$1:$1,0)))=0,"",IF(ISERROR(MATCH(Stock!AN$1,'Stock UST'!$1:$1,0)),AM84,INDEX('Stock UST'!84:84,1,MATCH(Stock!AN$1,'Stock UST'!$1:$1,0))))</f>
        <v/>
      </c>
      <c r="AO84" s="9" t="str">
        <f ca="1">IF(IF(ISERROR(MATCH(Stock!AO$1,'Stock UST'!$1:$1,0)),AN84,INDEX('Stock UST'!84:84,1,MATCH(Stock!AO$1,'Stock UST'!$1:$1,0)))=0,"",IF(ISERROR(MATCH(Stock!AO$1,'Stock UST'!$1:$1,0)),AN84,INDEX('Stock UST'!84:84,1,MATCH(Stock!AO$1,'Stock UST'!$1:$1,0))))</f>
        <v/>
      </c>
      <c r="AP84" s="9" t="str">
        <f ca="1">IF(IF(ISERROR(MATCH(Stock!AP$1,'Stock UST'!$1:$1,0)),AO84,INDEX('Stock UST'!84:84,1,MATCH(Stock!AP$1,'Stock UST'!$1:$1,0)))=0,"",IF(ISERROR(MATCH(Stock!AP$1,'Stock UST'!$1:$1,0)),AO84,INDEX('Stock UST'!84:84,1,MATCH(Stock!AP$1,'Stock UST'!$1:$1,0))))</f>
        <v/>
      </c>
      <c r="AQ84" s="9" t="str">
        <f ca="1">IF(IF(ISERROR(MATCH(Stock!AQ$1,'Stock UST'!$1:$1,0)),AP84,INDEX('Stock UST'!84:84,1,MATCH(Stock!AQ$1,'Stock UST'!$1:$1,0)))=0,"",IF(ISERROR(MATCH(Stock!AQ$1,'Stock UST'!$1:$1,0)),AP84,INDEX('Stock UST'!84:84,1,MATCH(Stock!AQ$1,'Stock UST'!$1:$1,0))))</f>
        <v/>
      </c>
      <c r="AR84" s="9" t="str">
        <f ca="1">IF(IF(ISERROR(MATCH(Stock!AR$1,'Stock UST'!$1:$1,0)),AQ84,INDEX('Stock UST'!84:84,1,MATCH(Stock!AR$1,'Stock UST'!$1:$1,0)))=0,"",IF(ISERROR(MATCH(Stock!AR$1,'Stock UST'!$1:$1,0)),AQ84,INDEX('Stock UST'!84:84,1,MATCH(Stock!AR$1,'Stock UST'!$1:$1,0))))</f>
        <v/>
      </c>
      <c r="AS84" s="9" t="str">
        <f ca="1">IF(IF(ISERROR(MATCH(Stock!AS$1,'Stock UST'!$1:$1,0)),AR84,INDEX('Stock UST'!84:84,1,MATCH(Stock!AS$1,'Stock UST'!$1:$1,0)))=0,"",IF(ISERROR(MATCH(Stock!AS$1,'Stock UST'!$1:$1,0)),AR84,INDEX('Stock UST'!84:84,1,MATCH(Stock!AS$1,'Stock UST'!$1:$1,0))))</f>
        <v/>
      </c>
      <c r="AT84" s="9" t="str">
        <f ca="1">IF(IF(ISERROR(MATCH(Stock!AT$1,'Stock UST'!$1:$1,0)),AS84,INDEX('Stock UST'!84:84,1,MATCH(Stock!AT$1,'Stock UST'!$1:$1,0)))=0,"",IF(ISERROR(MATCH(Stock!AT$1,'Stock UST'!$1:$1,0)),AS84,INDEX('Stock UST'!84:84,1,MATCH(Stock!AT$1,'Stock UST'!$1:$1,0))))</f>
        <v/>
      </c>
      <c r="AU84" s="9" t="str">
        <f ca="1">IF(IF(ISERROR(MATCH(Stock!AU$1,'Stock UST'!$1:$1,0)),AT84,INDEX('Stock UST'!84:84,1,MATCH(Stock!AU$1,'Stock UST'!$1:$1,0)))=0,"",IF(ISERROR(MATCH(Stock!AU$1,'Stock UST'!$1:$1,0)),AT84,INDEX('Stock UST'!84:84,1,MATCH(Stock!AU$1,'Stock UST'!$1:$1,0))))</f>
        <v/>
      </c>
      <c r="AV84" s="9" t="str">
        <f ca="1">IF(IF(ISERROR(MATCH(Stock!AV$1,'Stock UST'!$1:$1,0)),AU84,INDEX('Stock UST'!84:84,1,MATCH(Stock!AV$1,'Stock UST'!$1:$1,0)))=0,"",IF(ISERROR(MATCH(Stock!AV$1,'Stock UST'!$1:$1,0)),AU84,INDEX('Stock UST'!84:84,1,MATCH(Stock!AV$1,'Stock UST'!$1:$1,0))))</f>
        <v/>
      </c>
      <c r="AW84" s="9" t="str">
        <f ca="1">IF(IF(ISERROR(MATCH(Stock!AW$1,'Stock UST'!$1:$1,0)),AV84,INDEX('Stock UST'!84:84,1,MATCH(Stock!AW$1,'Stock UST'!$1:$1,0)))=0,"",IF(ISERROR(MATCH(Stock!AW$1,'Stock UST'!$1:$1,0)),AV84,INDEX('Stock UST'!84:84,1,MATCH(Stock!AW$1,'Stock UST'!$1:$1,0))))</f>
        <v/>
      </c>
      <c r="AX84" s="9" t="str">
        <f ca="1">IF(IF(ISERROR(MATCH(Stock!AX$1,'Stock UST'!$1:$1,0)),AW84,INDEX('Stock UST'!84:84,1,MATCH(Stock!AX$1,'Stock UST'!$1:$1,0)))=0,"",IF(ISERROR(MATCH(Stock!AX$1,'Stock UST'!$1:$1,0)),AW84,INDEX('Stock UST'!84:84,1,MATCH(Stock!AX$1,'Stock UST'!$1:$1,0))))</f>
        <v/>
      </c>
    </row>
    <row r="85" spans="1:50" x14ac:dyDescent="0.3">
      <c r="A85" s="9" t="str">
        <f>IF('Stock UST'!E85="","",'Stock UST'!E85)</f>
        <v/>
      </c>
      <c r="B85" s="9" t="str">
        <f>IF(IF(ISERROR(MATCH(Stock!B$1,'Stock UST'!$1:$1,0)),A85,INDEX('Stock UST'!85:85,1,MATCH(Stock!B$1,'Stock UST'!$1:$1,0)))=0,"",IF(ISERROR(MATCH(Stock!B$1,'Stock UST'!$1:$1,0)),A85,INDEX('Stock UST'!85:85,1,MATCH(Stock!B$1,'Stock UST'!$1:$1,0))))</f>
        <v/>
      </c>
      <c r="C85" s="9" t="str">
        <f ca="1">IF(IF(ISERROR(MATCH(Stock!C$1,'Stock UST'!$1:$1,0)),B85,INDEX('Stock UST'!85:85,1,MATCH(Stock!C$1,'Stock UST'!$1:$1,0)))=0,"",IF(ISERROR(MATCH(Stock!C$1,'Stock UST'!$1:$1,0)),B85,INDEX('Stock UST'!85:85,1,MATCH(Stock!C$1,'Stock UST'!$1:$1,0))))</f>
        <v/>
      </c>
      <c r="D85" s="9" t="str">
        <f ca="1">IF(IF(ISERROR(MATCH(Stock!D$1,'Stock UST'!$1:$1,0)),C85,INDEX('Stock UST'!85:85,1,MATCH(Stock!D$1,'Stock UST'!$1:$1,0)))=0,"",IF(ISERROR(MATCH(Stock!D$1,'Stock UST'!$1:$1,0)),C85,INDEX('Stock UST'!85:85,1,MATCH(Stock!D$1,'Stock UST'!$1:$1,0))))</f>
        <v/>
      </c>
      <c r="E85" s="9" t="str">
        <f ca="1">IF(IF(ISERROR(MATCH(Stock!E$1,'Stock UST'!$1:$1,0)),D85,INDEX('Stock UST'!85:85,1,MATCH(Stock!E$1,'Stock UST'!$1:$1,0)))=0,"",IF(ISERROR(MATCH(Stock!E$1,'Stock UST'!$1:$1,0)),D85,INDEX('Stock UST'!85:85,1,MATCH(Stock!E$1,'Stock UST'!$1:$1,0))))</f>
        <v/>
      </c>
      <c r="F85" s="9" t="str">
        <f ca="1">IF(IF(ISERROR(MATCH(Stock!F$1,'Stock UST'!$1:$1,0)),E85,INDEX('Stock UST'!85:85,1,MATCH(Stock!F$1,'Stock UST'!$1:$1,0)))=0,"",IF(ISERROR(MATCH(Stock!F$1,'Stock UST'!$1:$1,0)),E85,INDEX('Stock UST'!85:85,1,MATCH(Stock!F$1,'Stock UST'!$1:$1,0))))</f>
        <v/>
      </c>
      <c r="G85" s="9" t="str">
        <f ca="1">IF(IF(ISERROR(MATCH(Stock!G$1,'Stock UST'!$1:$1,0)),F85,INDEX('Stock UST'!85:85,1,MATCH(Stock!G$1,'Stock UST'!$1:$1,0)))=0,"",IF(ISERROR(MATCH(Stock!G$1,'Stock UST'!$1:$1,0)),F85,INDEX('Stock UST'!85:85,1,MATCH(Stock!G$1,'Stock UST'!$1:$1,0))))</f>
        <v/>
      </c>
      <c r="H85" s="9" t="str">
        <f ca="1">IF(IF(ISERROR(MATCH(Stock!H$1,'Stock UST'!$1:$1,0)),G85,INDEX('Stock UST'!85:85,1,MATCH(Stock!H$1,'Stock UST'!$1:$1,0)))=0,"",IF(ISERROR(MATCH(Stock!H$1,'Stock UST'!$1:$1,0)),G85,INDEX('Stock UST'!85:85,1,MATCH(Stock!H$1,'Stock UST'!$1:$1,0))))</f>
        <v/>
      </c>
      <c r="I85" s="9" t="str">
        <f ca="1">IF(IF(ISERROR(MATCH(Stock!I$1,'Stock UST'!$1:$1,0)),H85,INDEX('Stock UST'!85:85,1,MATCH(Stock!I$1,'Stock UST'!$1:$1,0)))=0,"",IF(ISERROR(MATCH(Stock!I$1,'Stock UST'!$1:$1,0)),H85,INDEX('Stock UST'!85:85,1,MATCH(Stock!I$1,'Stock UST'!$1:$1,0))))</f>
        <v/>
      </c>
      <c r="J85" s="9" t="str">
        <f ca="1">IF(IF(ISERROR(MATCH(Stock!J$1,'Stock UST'!$1:$1,0)),I85,INDEX('Stock UST'!85:85,1,MATCH(Stock!J$1,'Stock UST'!$1:$1,0)))=0,"",IF(ISERROR(MATCH(Stock!J$1,'Stock UST'!$1:$1,0)),I85,INDEX('Stock UST'!85:85,1,MATCH(Stock!J$1,'Stock UST'!$1:$1,0))))</f>
        <v/>
      </c>
      <c r="K85" s="9" t="str">
        <f ca="1">IF(IF(ISERROR(MATCH(Stock!K$1,'Stock UST'!$1:$1,0)),J85,INDEX('Stock UST'!85:85,1,MATCH(Stock!K$1,'Stock UST'!$1:$1,0)))=0,"",IF(ISERROR(MATCH(Stock!K$1,'Stock UST'!$1:$1,0)),J85,INDEX('Stock UST'!85:85,1,MATCH(Stock!K$1,'Stock UST'!$1:$1,0))))</f>
        <v/>
      </c>
      <c r="L85" s="9" t="str">
        <f ca="1">IF(IF(ISERROR(MATCH(Stock!L$1,'Stock UST'!$1:$1,0)),K85,INDEX('Stock UST'!85:85,1,MATCH(Stock!L$1,'Stock UST'!$1:$1,0)))=0,"",IF(ISERROR(MATCH(Stock!L$1,'Stock UST'!$1:$1,0)),K85,INDEX('Stock UST'!85:85,1,MATCH(Stock!L$1,'Stock UST'!$1:$1,0))))</f>
        <v/>
      </c>
      <c r="M85" s="9" t="str">
        <f ca="1">IF(IF(ISERROR(MATCH(Stock!M$1,'Stock UST'!$1:$1,0)),L85,INDEX('Stock UST'!85:85,1,MATCH(Stock!M$1,'Stock UST'!$1:$1,0)))=0,"",IF(ISERROR(MATCH(Stock!M$1,'Stock UST'!$1:$1,0)),L85,INDEX('Stock UST'!85:85,1,MATCH(Stock!M$1,'Stock UST'!$1:$1,0))))</f>
        <v/>
      </c>
      <c r="N85" s="9" t="str">
        <f ca="1">IF(IF(ISERROR(MATCH(Stock!N$1,'Stock UST'!$1:$1,0)),M85,INDEX('Stock UST'!85:85,1,MATCH(Stock!N$1,'Stock UST'!$1:$1,0)))=0,"",IF(ISERROR(MATCH(Stock!N$1,'Stock UST'!$1:$1,0)),M85,INDEX('Stock UST'!85:85,1,MATCH(Stock!N$1,'Stock UST'!$1:$1,0))))</f>
        <v/>
      </c>
      <c r="O85" s="9" t="str">
        <f ca="1">IF(IF(ISERROR(MATCH(Stock!O$1,'Stock UST'!$1:$1,0)),N85,INDEX('Stock UST'!85:85,1,MATCH(Stock!O$1,'Stock UST'!$1:$1,0)))=0,"",IF(ISERROR(MATCH(Stock!O$1,'Stock UST'!$1:$1,0)),N85,INDEX('Stock UST'!85:85,1,MATCH(Stock!O$1,'Stock UST'!$1:$1,0))))</f>
        <v/>
      </c>
      <c r="P85" s="9" t="str">
        <f ca="1">IF(IF(ISERROR(MATCH(Stock!P$1,'Stock UST'!$1:$1,0)),O85,INDEX('Stock UST'!85:85,1,MATCH(Stock!P$1,'Stock UST'!$1:$1,0)))=0,"",IF(ISERROR(MATCH(Stock!P$1,'Stock UST'!$1:$1,0)),O85,INDEX('Stock UST'!85:85,1,MATCH(Stock!P$1,'Stock UST'!$1:$1,0))))</f>
        <v/>
      </c>
      <c r="Q85" s="9" t="str">
        <f ca="1">IF(IF(ISERROR(MATCH(Stock!Q$1,'Stock UST'!$1:$1,0)),P85,INDEX('Stock UST'!85:85,1,MATCH(Stock!Q$1,'Stock UST'!$1:$1,0)))=0,"",IF(ISERROR(MATCH(Stock!Q$1,'Stock UST'!$1:$1,0)),P85,INDEX('Stock UST'!85:85,1,MATCH(Stock!Q$1,'Stock UST'!$1:$1,0))))</f>
        <v/>
      </c>
      <c r="R85" s="9" t="str">
        <f ca="1">IF(IF(ISERROR(MATCH(Stock!R$1,'Stock UST'!$1:$1,0)),Q85,INDEX('Stock UST'!85:85,1,MATCH(Stock!R$1,'Stock UST'!$1:$1,0)))=0,"",IF(ISERROR(MATCH(Stock!R$1,'Stock UST'!$1:$1,0)),Q85,INDEX('Stock UST'!85:85,1,MATCH(Stock!R$1,'Stock UST'!$1:$1,0))))</f>
        <v/>
      </c>
      <c r="S85" s="9" t="str">
        <f ca="1">IF(IF(ISERROR(MATCH(Stock!S$1,'Stock UST'!$1:$1,0)),R85,INDEX('Stock UST'!85:85,1,MATCH(Stock!S$1,'Stock UST'!$1:$1,0)))=0,"",IF(ISERROR(MATCH(Stock!S$1,'Stock UST'!$1:$1,0)),R85,INDEX('Stock UST'!85:85,1,MATCH(Stock!S$1,'Stock UST'!$1:$1,0))))</f>
        <v/>
      </c>
      <c r="T85" s="9" t="str">
        <f ca="1">IF(IF(ISERROR(MATCH(Stock!T$1,'Stock UST'!$1:$1,0)),S85,INDEX('Stock UST'!85:85,1,MATCH(Stock!T$1,'Stock UST'!$1:$1,0)))=0,"",IF(ISERROR(MATCH(Stock!T$1,'Stock UST'!$1:$1,0)),S85,INDEX('Stock UST'!85:85,1,MATCH(Stock!T$1,'Stock UST'!$1:$1,0))))</f>
        <v/>
      </c>
      <c r="U85" s="9" t="str">
        <f ca="1">IF(IF(ISERROR(MATCH(Stock!U$1,'Stock UST'!$1:$1,0)),T85,INDEX('Stock UST'!85:85,1,MATCH(Stock!U$1,'Stock UST'!$1:$1,0)))=0,"",IF(ISERROR(MATCH(Stock!U$1,'Stock UST'!$1:$1,0)),T85,INDEX('Stock UST'!85:85,1,MATCH(Stock!U$1,'Stock UST'!$1:$1,0))))</f>
        <v/>
      </c>
      <c r="V85" s="9" t="str">
        <f ca="1">IF(IF(ISERROR(MATCH(Stock!V$1,'Stock UST'!$1:$1,0)),U85,INDEX('Stock UST'!85:85,1,MATCH(Stock!V$1,'Stock UST'!$1:$1,0)))=0,"",IF(ISERROR(MATCH(Stock!V$1,'Stock UST'!$1:$1,0)),U85,INDEX('Stock UST'!85:85,1,MATCH(Stock!V$1,'Stock UST'!$1:$1,0))))</f>
        <v/>
      </c>
      <c r="W85" s="9" t="str">
        <f ca="1">IF(IF(ISERROR(MATCH(Stock!W$1,'Stock UST'!$1:$1,0)),V85,INDEX('Stock UST'!85:85,1,MATCH(Stock!W$1,'Stock UST'!$1:$1,0)))=0,"",IF(ISERROR(MATCH(Stock!W$1,'Stock UST'!$1:$1,0)),V85,INDEX('Stock UST'!85:85,1,MATCH(Stock!W$1,'Stock UST'!$1:$1,0))))</f>
        <v/>
      </c>
      <c r="X85" s="9" t="str">
        <f ca="1">IF(IF(ISERROR(MATCH(Stock!X$1,'Stock UST'!$1:$1,0)),W85,INDEX('Stock UST'!85:85,1,MATCH(Stock!X$1,'Stock UST'!$1:$1,0)))=0,"",IF(ISERROR(MATCH(Stock!X$1,'Stock UST'!$1:$1,0)),W85,INDEX('Stock UST'!85:85,1,MATCH(Stock!X$1,'Stock UST'!$1:$1,0))))</f>
        <v/>
      </c>
      <c r="Y85" s="9" t="str">
        <f ca="1">IF(IF(ISERROR(MATCH(Stock!Y$1,'Stock UST'!$1:$1,0)),X85,INDEX('Stock UST'!85:85,1,MATCH(Stock!Y$1,'Stock UST'!$1:$1,0)))=0,"",IF(ISERROR(MATCH(Stock!Y$1,'Stock UST'!$1:$1,0)),X85,INDEX('Stock UST'!85:85,1,MATCH(Stock!Y$1,'Stock UST'!$1:$1,0))))</f>
        <v/>
      </c>
      <c r="Z85" s="9" t="str">
        <f ca="1">IF(IF(ISERROR(MATCH(Stock!Z$1,'Stock UST'!$1:$1,0)),Y85,INDEX('Stock UST'!85:85,1,MATCH(Stock!Z$1,'Stock UST'!$1:$1,0)))=0,"",IF(ISERROR(MATCH(Stock!Z$1,'Stock UST'!$1:$1,0)),Y85,INDEX('Stock UST'!85:85,1,MATCH(Stock!Z$1,'Stock UST'!$1:$1,0))))</f>
        <v/>
      </c>
      <c r="AA85" s="9" t="str">
        <f ca="1">IF(IF(ISERROR(MATCH(Stock!AA$1,'Stock UST'!$1:$1,0)),Z85,INDEX('Stock UST'!85:85,1,MATCH(Stock!AA$1,'Stock UST'!$1:$1,0)))=0,"",IF(ISERROR(MATCH(Stock!AA$1,'Stock UST'!$1:$1,0)),Z85,INDEX('Stock UST'!85:85,1,MATCH(Stock!AA$1,'Stock UST'!$1:$1,0))))</f>
        <v/>
      </c>
      <c r="AB85" s="9" t="str">
        <f ca="1">IF(IF(ISERROR(MATCH(Stock!AB$1,'Stock UST'!$1:$1,0)),AA85,INDEX('Stock UST'!85:85,1,MATCH(Stock!AB$1,'Stock UST'!$1:$1,0)))=0,"",IF(ISERROR(MATCH(Stock!AB$1,'Stock UST'!$1:$1,0)),AA85,INDEX('Stock UST'!85:85,1,MATCH(Stock!AB$1,'Stock UST'!$1:$1,0))))</f>
        <v/>
      </c>
      <c r="AC85" s="9" t="str">
        <f ca="1">IF(IF(ISERROR(MATCH(Stock!AC$1,'Stock UST'!$1:$1,0)),AB85,INDEX('Stock UST'!85:85,1,MATCH(Stock!AC$1,'Stock UST'!$1:$1,0)))=0,"",IF(ISERROR(MATCH(Stock!AC$1,'Stock UST'!$1:$1,0)),AB85,INDEX('Stock UST'!85:85,1,MATCH(Stock!AC$1,'Stock UST'!$1:$1,0))))</f>
        <v/>
      </c>
      <c r="AD85" s="9" t="str">
        <f ca="1">IF(IF(ISERROR(MATCH(Stock!AD$1,'Stock UST'!$1:$1,0)),AC85,INDEX('Stock UST'!85:85,1,MATCH(Stock!AD$1,'Stock UST'!$1:$1,0)))=0,"",IF(ISERROR(MATCH(Stock!AD$1,'Stock UST'!$1:$1,0)),AC85,INDEX('Stock UST'!85:85,1,MATCH(Stock!AD$1,'Stock UST'!$1:$1,0))))</f>
        <v/>
      </c>
      <c r="AE85" s="9" t="str">
        <f ca="1">IF(IF(ISERROR(MATCH(Stock!AE$1,'Stock UST'!$1:$1,0)),AD85,INDEX('Stock UST'!85:85,1,MATCH(Stock!AE$1,'Stock UST'!$1:$1,0)))=0,"",IF(ISERROR(MATCH(Stock!AE$1,'Stock UST'!$1:$1,0)),AD85,INDEX('Stock UST'!85:85,1,MATCH(Stock!AE$1,'Stock UST'!$1:$1,0))))</f>
        <v/>
      </c>
      <c r="AF85" s="9" t="str">
        <f ca="1">IF(IF(ISERROR(MATCH(Stock!AF$1,'Stock UST'!$1:$1,0)),AE85,INDEX('Stock UST'!85:85,1,MATCH(Stock!AF$1,'Stock UST'!$1:$1,0)))=0,"",IF(ISERROR(MATCH(Stock!AF$1,'Stock UST'!$1:$1,0)),AE85,INDEX('Stock UST'!85:85,1,MATCH(Stock!AF$1,'Stock UST'!$1:$1,0))))</f>
        <v/>
      </c>
      <c r="AG85" s="9" t="str">
        <f ca="1">IF(IF(ISERROR(MATCH(Stock!AG$1,'Stock UST'!$1:$1,0)),AF85,INDEX('Stock UST'!85:85,1,MATCH(Stock!AG$1,'Stock UST'!$1:$1,0)))=0,"",IF(ISERROR(MATCH(Stock!AG$1,'Stock UST'!$1:$1,0)),AF85,INDEX('Stock UST'!85:85,1,MATCH(Stock!AG$1,'Stock UST'!$1:$1,0))))</f>
        <v/>
      </c>
      <c r="AH85" s="9" t="str">
        <f ca="1">IF(IF(ISERROR(MATCH(Stock!AH$1,'Stock UST'!$1:$1,0)),AG85,INDEX('Stock UST'!85:85,1,MATCH(Stock!AH$1,'Stock UST'!$1:$1,0)))=0,"",IF(ISERROR(MATCH(Stock!AH$1,'Stock UST'!$1:$1,0)),AG85,INDEX('Stock UST'!85:85,1,MATCH(Stock!AH$1,'Stock UST'!$1:$1,0))))</f>
        <v/>
      </c>
      <c r="AI85" s="9" t="str">
        <f ca="1">IF(IF(ISERROR(MATCH(Stock!AI$1,'Stock UST'!$1:$1,0)),AH85,INDEX('Stock UST'!85:85,1,MATCH(Stock!AI$1,'Stock UST'!$1:$1,0)))=0,"",IF(ISERROR(MATCH(Stock!AI$1,'Stock UST'!$1:$1,0)),AH85,INDEX('Stock UST'!85:85,1,MATCH(Stock!AI$1,'Stock UST'!$1:$1,0))))</f>
        <v/>
      </c>
      <c r="AJ85" s="9" t="str">
        <f ca="1">IF(IF(ISERROR(MATCH(Stock!AJ$1,'Stock UST'!$1:$1,0)),AI85,INDEX('Stock UST'!85:85,1,MATCH(Stock!AJ$1,'Stock UST'!$1:$1,0)))=0,"",IF(ISERROR(MATCH(Stock!AJ$1,'Stock UST'!$1:$1,0)),AI85,INDEX('Stock UST'!85:85,1,MATCH(Stock!AJ$1,'Stock UST'!$1:$1,0))))</f>
        <v/>
      </c>
      <c r="AK85" s="9" t="str">
        <f ca="1">IF(IF(ISERROR(MATCH(Stock!AK$1,'Stock UST'!$1:$1,0)),AJ85,INDEX('Stock UST'!85:85,1,MATCH(Stock!AK$1,'Stock UST'!$1:$1,0)))=0,"",IF(ISERROR(MATCH(Stock!AK$1,'Stock UST'!$1:$1,0)),AJ85,INDEX('Stock UST'!85:85,1,MATCH(Stock!AK$1,'Stock UST'!$1:$1,0))))</f>
        <v/>
      </c>
      <c r="AL85" s="9" t="str">
        <f ca="1">IF(IF(ISERROR(MATCH(Stock!AL$1,'Stock UST'!$1:$1,0)),AK85,INDEX('Stock UST'!85:85,1,MATCH(Stock!AL$1,'Stock UST'!$1:$1,0)))=0,"",IF(ISERROR(MATCH(Stock!AL$1,'Stock UST'!$1:$1,0)),AK85,INDEX('Stock UST'!85:85,1,MATCH(Stock!AL$1,'Stock UST'!$1:$1,0))))</f>
        <v/>
      </c>
      <c r="AM85" s="9" t="str">
        <f ca="1">IF(IF(ISERROR(MATCH(Stock!AM$1,'Stock UST'!$1:$1,0)),AL85,INDEX('Stock UST'!85:85,1,MATCH(Stock!AM$1,'Stock UST'!$1:$1,0)))=0,"",IF(ISERROR(MATCH(Stock!AM$1,'Stock UST'!$1:$1,0)),AL85,INDEX('Stock UST'!85:85,1,MATCH(Stock!AM$1,'Stock UST'!$1:$1,0))))</f>
        <v/>
      </c>
      <c r="AN85" s="9" t="str">
        <f ca="1">IF(IF(ISERROR(MATCH(Stock!AN$1,'Stock UST'!$1:$1,0)),AM85,INDEX('Stock UST'!85:85,1,MATCH(Stock!AN$1,'Stock UST'!$1:$1,0)))=0,"",IF(ISERROR(MATCH(Stock!AN$1,'Stock UST'!$1:$1,0)),AM85,INDEX('Stock UST'!85:85,1,MATCH(Stock!AN$1,'Stock UST'!$1:$1,0))))</f>
        <v/>
      </c>
      <c r="AO85" s="9" t="str">
        <f ca="1">IF(IF(ISERROR(MATCH(Stock!AO$1,'Stock UST'!$1:$1,0)),AN85,INDEX('Stock UST'!85:85,1,MATCH(Stock!AO$1,'Stock UST'!$1:$1,0)))=0,"",IF(ISERROR(MATCH(Stock!AO$1,'Stock UST'!$1:$1,0)),AN85,INDEX('Stock UST'!85:85,1,MATCH(Stock!AO$1,'Stock UST'!$1:$1,0))))</f>
        <v/>
      </c>
      <c r="AP85" s="9" t="str">
        <f ca="1">IF(IF(ISERROR(MATCH(Stock!AP$1,'Stock UST'!$1:$1,0)),AO85,INDEX('Stock UST'!85:85,1,MATCH(Stock!AP$1,'Stock UST'!$1:$1,0)))=0,"",IF(ISERROR(MATCH(Stock!AP$1,'Stock UST'!$1:$1,0)),AO85,INDEX('Stock UST'!85:85,1,MATCH(Stock!AP$1,'Stock UST'!$1:$1,0))))</f>
        <v/>
      </c>
      <c r="AQ85" s="9" t="str">
        <f ca="1">IF(IF(ISERROR(MATCH(Stock!AQ$1,'Stock UST'!$1:$1,0)),AP85,INDEX('Stock UST'!85:85,1,MATCH(Stock!AQ$1,'Stock UST'!$1:$1,0)))=0,"",IF(ISERROR(MATCH(Stock!AQ$1,'Stock UST'!$1:$1,0)),AP85,INDEX('Stock UST'!85:85,1,MATCH(Stock!AQ$1,'Stock UST'!$1:$1,0))))</f>
        <v/>
      </c>
      <c r="AR85" s="9" t="str">
        <f ca="1">IF(IF(ISERROR(MATCH(Stock!AR$1,'Stock UST'!$1:$1,0)),AQ85,INDEX('Stock UST'!85:85,1,MATCH(Stock!AR$1,'Stock UST'!$1:$1,0)))=0,"",IF(ISERROR(MATCH(Stock!AR$1,'Stock UST'!$1:$1,0)),AQ85,INDEX('Stock UST'!85:85,1,MATCH(Stock!AR$1,'Stock UST'!$1:$1,0))))</f>
        <v/>
      </c>
      <c r="AS85" s="9" t="str">
        <f ca="1">IF(IF(ISERROR(MATCH(Stock!AS$1,'Stock UST'!$1:$1,0)),AR85,INDEX('Stock UST'!85:85,1,MATCH(Stock!AS$1,'Stock UST'!$1:$1,0)))=0,"",IF(ISERROR(MATCH(Stock!AS$1,'Stock UST'!$1:$1,0)),AR85,INDEX('Stock UST'!85:85,1,MATCH(Stock!AS$1,'Stock UST'!$1:$1,0))))</f>
        <v/>
      </c>
      <c r="AT85" s="9" t="str">
        <f ca="1">IF(IF(ISERROR(MATCH(Stock!AT$1,'Stock UST'!$1:$1,0)),AS85,INDEX('Stock UST'!85:85,1,MATCH(Stock!AT$1,'Stock UST'!$1:$1,0)))=0,"",IF(ISERROR(MATCH(Stock!AT$1,'Stock UST'!$1:$1,0)),AS85,INDEX('Stock UST'!85:85,1,MATCH(Stock!AT$1,'Stock UST'!$1:$1,0))))</f>
        <v/>
      </c>
      <c r="AU85" s="9" t="str">
        <f ca="1">IF(IF(ISERROR(MATCH(Stock!AU$1,'Stock UST'!$1:$1,0)),AT85,INDEX('Stock UST'!85:85,1,MATCH(Stock!AU$1,'Stock UST'!$1:$1,0)))=0,"",IF(ISERROR(MATCH(Stock!AU$1,'Stock UST'!$1:$1,0)),AT85,INDEX('Stock UST'!85:85,1,MATCH(Stock!AU$1,'Stock UST'!$1:$1,0))))</f>
        <v/>
      </c>
      <c r="AV85" s="9" t="str">
        <f ca="1">IF(IF(ISERROR(MATCH(Stock!AV$1,'Stock UST'!$1:$1,0)),AU85,INDEX('Stock UST'!85:85,1,MATCH(Stock!AV$1,'Stock UST'!$1:$1,0)))=0,"",IF(ISERROR(MATCH(Stock!AV$1,'Stock UST'!$1:$1,0)),AU85,INDEX('Stock UST'!85:85,1,MATCH(Stock!AV$1,'Stock UST'!$1:$1,0))))</f>
        <v/>
      </c>
      <c r="AW85" s="9" t="str">
        <f ca="1">IF(IF(ISERROR(MATCH(Stock!AW$1,'Stock UST'!$1:$1,0)),AV85,INDEX('Stock UST'!85:85,1,MATCH(Stock!AW$1,'Stock UST'!$1:$1,0)))=0,"",IF(ISERROR(MATCH(Stock!AW$1,'Stock UST'!$1:$1,0)),AV85,INDEX('Stock UST'!85:85,1,MATCH(Stock!AW$1,'Stock UST'!$1:$1,0))))</f>
        <v/>
      </c>
      <c r="AX85" s="9" t="str">
        <f ca="1">IF(IF(ISERROR(MATCH(Stock!AX$1,'Stock UST'!$1:$1,0)),AW85,INDEX('Stock UST'!85:85,1,MATCH(Stock!AX$1,'Stock UST'!$1:$1,0)))=0,"",IF(ISERROR(MATCH(Stock!AX$1,'Stock UST'!$1:$1,0)),AW85,INDEX('Stock UST'!85:85,1,MATCH(Stock!AX$1,'Stock UST'!$1:$1,0))))</f>
        <v/>
      </c>
    </row>
    <row r="86" spans="1:50" x14ac:dyDescent="0.3">
      <c r="A86" s="9" t="str">
        <f>IF('Stock UST'!E86="","",'Stock UST'!E86)</f>
        <v/>
      </c>
      <c r="B86" s="9" t="str">
        <f>IF(IF(ISERROR(MATCH(Stock!B$1,'Stock UST'!$1:$1,0)),A86,INDEX('Stock UST'!86:86,1,MATCH(Stock!B$1,'Stock UST'!$1:$1,0)))=0,"",IF(ISERROR(MATCH(Stock!B$1,'Stock UST'!$1:$1,0)),A86,INDEX('Stock UST'!86:86,1,MATCH(Stock!B$1,'Stock UST'!$1:$1,0))))</f>
        <v/>
      </c>
      <c r="C86" s="9" t="str">
        <f ca="1">IF(IF(ISERROR(MATCH(Stock!C$1,'Stock UST'!$1:$1,0)),B86,INDEX('Stock UST'!86:86,1,MATCH(Stock!C$1,'Stock UST'!$1:$1,0)))=0,"",IF(ISERROR(MATCH(Stock!C$1,'Stock UST'!$1:$1,0)),B86,INDEX('Stock UST'!86:86,1,MATCH(Stock!C$1,'Stock UST'!$1:$1,0))))</f>
        <v/>
      </c>
      <c r="D86" s="9" t="str">
        <f ca="1">IF(IF(ISERROR(MATCH(Stock!D$1,'Stock UST'!$1:$1,0)),C86,INDEX('Stock UST'!86:86,1,MATCH(Stock!D$1,'Stock UST'!$1:$1,0)))=0,"",IF(ISERROR(MATCH(Stock!D$1,'Stock UST'!$1:$1,0)),C86,INDEX('Stock UST'!86:86,1,MATCH(Stock!D$1,'Stock UST'!$1:$1,0))))</f>
        <v/>
      </c>
      <c r="E86" s="9" t="str">
        <f ca="1">IF(IF(ISERROR(MATCH(Stock!E$1,'Stock UST'!$1:$1,0)),D86,INDEX('Stock UST'!86:86,1,MATCH(Stock!E$1,'Stock UST'!$1:$1,0)))=0,"",IF(ISERROR(MATCH(Stock!E$1,'Stock UST'!$1:$1,0)),D86,INDEX('Stock UST'!86:86,1,MATCH(Stock!E$1,'Stock UST'!$1:$1,0))))</f>
        <v/>
      </c>
      <c r="F86" s="9" t="str">
        <f ca="1">IF(IF(ISERROR(MATCH(Stock!F$1,'Stock UST'!$1:$1,0)),E86,INDEX('Stock UST'!86:86,1,MATCH(Stock!F$1,'Stock UST'!$1:$1,0)))=0,"",IF(ISERROR(MATCH(Stock!F$1,'Stock UST'!$1:$1,0)),E86,INDEX('Stock UST'!86:86,1,MATCH(Stock!F$1,'Stock UST'!$1:$1,0))))</f>
        <v/>
      </c>
      <c r="G86" s="9" t="str">
        <f ca="1">IF(IF(ISERROR(MATCH(Stock!G$1,'Stock UST'!$1:$1,0)),F86,INDEX('Stock UST'!86:86,1,MATCH(Stock!G$1,'Stock UST'!$1:$1,0)))=0,"",IF(ISERROR(MATCH(Stock!G$1,'Stock UST'!$1:$1,0)),F86,INDEX('Stock UST'!86:86,1,MATCH(Stock!G$1,'Stock UST'!$1:$1,0))))</f>
        <v/>
      </c>
      <c r="H86" s="9" t="str">
        <f ca="1">IF(IF(ISERROR(MATCH(Stock!H$1,'Stock UST'!$1:$1,0)),G86,INDEX('Stock UST'!86:86,1,MATCH(Stock!H$1,'Stock UST'!$1:$1,0)))=0,"",IF(ISERROR(MATCH(Stock!H$1,'Stock UST'!$1:$1,0)),G86,INDEX('Stock UST'!86:86,1,MATCH(Stock!H$1,'Stock UST'!$1:$1,0))))</f>
        <v/>
      </c>
      <c r="I86" s="9" t="str">
        <f ca="1">IF(IF(ISERROR(MATCH(Stock!I$1,'Stock UST'!$1:$1,0)),H86,INDEX('Stock UST'!86:86,1,MATCH(Stock!I$1,'Stock UST'!$1:$1,0)))=0,"",IF(ISERROR(MATCH(Stock!I$1,'Stock UST'!$1:$1,0)),H86,INDEX('Stock UST'!86:86,1,MATCH(Stock!I$1,'Stock UST'!$1:$1,0))))</f>
        <v/>
      </c>
      <c r="J86" s="9" t="str">
        <f ca="1">IF(IF(ISERROR(MATCH(Stock!J$1,'Stock UST'!$1:$1,0)),I86,INDEX('Stock UST'!86:86,1,MATCH(Stock!J$1,'Stock UST'!$1:$1,0)))=0,"",IF(ISERROR(MATCH(Stock!J$1,'Stock UST'!$1:$1,0)),I86,INDEX('Stock UST'!86:86,1,MATCH(Stock!J$1,'Stock UST'!$1:$1,0))))</f>
        <v/>
      </c>
      <c r="K86" s="9" t="str">
        <f ca="1">IF(IF(ISERROR(MATCH(Stock!K$1,'Stock UST'!$1:$1,0)),J86,INDEX('Stock UST'!86:86,1,MATCH(Stock!K$1,'Stock UST'!$1:$1,0)))=0,"",IF(ISERROR(MATCH(Stock!K$1,'Stock UST'!$1:$1,0)),J86,INDEX('Stock UST'!86:86,1,MATCH(Stock!K$1,'Stock UST'!$1:$1,0))))</f>
        <v/>
      </c>
      <c r="L86" s="9" t="str">
        <f ca="1">IF(IF(ISERROR(MATCH(Stock!L$1,'Stock UST'!$1:$1,0)),K86,INDEX('Stock UST'!86:86,1,MATCH(Stock!L$1,'Stock UST'!$1:$1,0)))=0,"",IF(ISERROR(MATCH(Stock!L$1,'Stock UST'!$1:$1,0)),K86,INDEX('Stock UST'!86:86,1,MATCH(Stock!L$1,'Stock UST'!$1:$1,0))))</f>
        <v/>
      </c>
      <c r="M86" s="9" t="str">
        <f ca="1">IF(IF(ISERROR(MATCH(Stock!M$1,'Stock UST'!$1:$1,0)),L86,INDEX('Stock UST'!86:86,1,MATCH(Stock!M$1,'Stock UST'!$1:$1,0)))=0,"",IF(ISERROR(MATCH(Stock!M$1,'Stock UST'!$1:$1,0)),L86,INDEX('Stock UST'!86:86,1,MATCH(Stock!M$1,'Stock UST'!$1:$1,0))))</f>
        <v/>
      </c>
      <c r="N86" s="9" t="str">
        <f ca="1">IF(IF(ISERROR(MATCH(Stock!N$1,'Stock UST'!$1:$1,0)),M86,INDEX('Stock UST'!86:86,1,MATCH(Stock!N$1,'Stock UST'!$1:$1,0)))=0,"",IF(ISERROR(MATCH(Stock!N$1,'Stock UST'!$1:$1,0)),M86,INDEX('Stock UST'!86:86,1,MATCH(Stock!N$1,'Stock UST'!$1:$1,0))))</f>
        <v/>
      </c>
      <c r="O86" s="9" t="str">
        <f ca="1">IF(IF(ISERROR(MATCH(Stock!O$1,'Stock UST'!$1:$1,0)),N86,INDEX('Stock UST'!86:86,1,MATCH(Stock!O$1,'Stock UST'!$1:$1,0)))=0,"",IF(ISERROR(MATCH(Stock!O$1,'Stock UST'!$1:$1,0)),N86,INDEX('Stock UST'!86:86,1,MATCH(Stock!O$1,'Stock UST'!$1:$1,0))))</f>
        <v/>
      </c>
      <c r="P86" s="9" t="str">
        <f ca="1">IF(IF(ISERROR(MATCH(Stock!P$1,'Stock UST'!$1:$1,0)),O86,INDEX('Stock UST'!86:86,1,MATCH(Stock!P$1,'Stock UST'!$1:$1,0)))=0,"",IF(ISERROR(MATCH(Stock!P$1,'Stock UST'!$1:$1,0)),O86,INDEX('Stock UST'!86:86,1,MATCH(Stock!P$1,'Stock UST'!$1:$1,0))))</f>
        <v/>
      </c>
      <c r="Q86" s="9" t="str">
        <f ca="1">IF(IF(ISERROR(MATCH(Stock!Q$1,'Stock UST'!$1:$1,0)),P86,INDEX('Stock UST'!86:86,1,MATCH(Stock!Q$1,'Stock UST'!$1:$1,0)))=0,"",IF(ISERROR(MATCH(Stock!Q$1,'Stock UST'!$1:$1,0)),P86,INDEX('Stock UST'!86:86,1,MATCH(Stock!Q$1,'Stock UST'!$1:$1,0))))</f>
        <v/>
      </c>
      <c r="R86" s="9" t="str">
        <f ca="1">IF(IF(ISERROR(MATCH(Stock!R$1,'Stock UST'!$1:$1,0)),Q86,INDEX('Stock UST'!86:86,1,MATCH(Stock!R$1,'Stock UST'!$1:$1,0)))=0,"",IF(ISERROR(MATCH(Stock!R$1,'Stock UST'!$1:$1,0)),Q86,INDEX('Stock UST'!86:86,1,MATCH(Stock!R$1,'Stock UST'!$1:$1,0))))</f>
        <v/>
      </c>
      <c r="S86" s="9" t="str">
        <f ca="1">IF(IF(ISERROR(MATCH(Stock!S$1,'Stock UST'!$1:$1,0)),R86,INDEX('Stock UST'!86:86,1,MATCH(Stock!S$1,'Stock UST'!$1:$1,0)))=0,"",IF(ISERROR(MATCH(Stock!S$1,'Stock UST'!$1:$1,0)),R86,INDEX('Stock UST'!86:86,1,MATCH(Stock!S$1,'Stock UST'!$1:$1,0))))</f>
        <v/>
      </c>
      <c r="T86" s="9" t="str">
        <f ca="1">IF(IF(ISERROR(MATCH(Stock!T$1,'Stock UST'!$1:$1,0)),S86,INDEX('Stock UST'!86:86,1,MATCH(Stock!T$1,'Stock UST'!$1:$1,0)))=0,"",IF(ISERROR(MATCH(Stock!T$1,'Stock UST'!$1:$1,0)),S86,INDEX('Stock UST'!86:86,1,MATCH(Stock!T$1,'Stock UST'!$1:$1,0))))</f>
        <v/>
      </c>
      <c r="U86" s="9" t="str">
        <f ca="1">IF(IF(ISERROR(MATCH(Stock!U$1,'Stock UST'!$1:$1,0)),T86,INDEX('Stock UST'!86:86,1,MATCH(Stock!U$1,'Stock UST'!$1:$1,0)))=0,"",IF(ISERROR(MATCH(Stock!U$1,'Stock UST'!$1:$1,0)),T86,INDEX('Stock UST'!86:86,1,MATCH(Stock!U$1,'Stock UST'!$1:$1,0))))</f>
        <v/>
      </c>
      <c r="V86" s="9" t="str">
        <f ca="1">IF(IF(ISERROR(MATCH(Stock!V$1,'Stock UST'!$1:$1,0)),U86,INDEX('Stock UST'!86:86,1,MATCH(Stock!V$1,'Stock UST'!$1:$1,0)))=0,"",IF(ISERROR(MATCH(Stock!V$1,'Stock UST'!$1:$1,0)),U86,INDEX('Stock UST'!86:86,1,MATCH(Stock!V$1,'Stock UST'!$1:$1,0))))</f>
        <v/>
      </c>
      <c r="W86" s="9" t="str">
        <f ca="1">IF(IF(ISERROR(MATCH(Stock!W$1,'Stock UST'!$1:$1,0)),V86,INDEX('Stock UST'!86:86,1,MATCH(Stock!W$1,'Stock UST'!$1:$1,0)))=0,"",IF(ISERROR(MATCH(Stock!W$1,'Stock UST'!$1:$1,0)),V86,INDEX('Stock UST'!86:86,1,MATCH(Stock!W$1,'Stock UST'!$1:$1,0))))</f>
        <v/>
      </c>
      <c r="X86" s="9" t="str">
        <f ca="1">IF(IF(ISERROR(MATCH(Stock!X$1,'Stock UST'!$1:$1,0)),W86,INDEX('Stock UST'!86:86,1,MATCH(Stock!X$1,'Stock UST'!$1:$1,0)))=0,"",IF(ISERROR(MATCH(Stock!X$1,'Stock UST'!$1:$1,0)),W86,INDEX('Stock UST'!86:86,1,MATCH(Stock!X$1,'Stock UST'!$1:$1,0))))</f>
        <v/>
      </c>
      <c r="Y86" s="9" t="str">
        <f ca="1">IF(IF(ISERROR(MATCH(Stock!Y$1,'Stock UST'!$1:$1,0)),X86,INDEX('Stock UST'!86:86,1,MATCH(Stock!Y$1,'Stock UST'!$1:$1,0)))=0,"",IF(ISERROR(MATCH(Stock!Y$1,'Stock UST'!$1:$1,0)),X86,INDEX('Stock UST'!86:86,1,MATCH(Stock!Y$1,'Stock UST'!$1:$1,0))))</f>
        <v/>
      </c>
      <c r="Z86" s="9" t="str">
        <f ca="1">IF(IF(ISERROR(MATCH(Stock!Z$1,'Stock UST'!$1:$1,0)),Y86,INDEX('Stock UST'!86:86,1,MATCH(Stock!Z$1,'Stock UST'!$1:$1,0)))=0,"",IF(ISERROR(MATCH(Stock!Z$1,'Stock UST'!$1:$1,0)),Y86,INDEX('Stock UST'!86:86,1,MATCH(Stock!Z$1,'Stock UST'!$1:$1,0))))</f>
        <v/>
      </c>
      <c r="AA86" s="9" t="str">
        <f ca="1">IF(IF(ISERROR(MATCH(Stock!AA$1,'Stock UST'!$1:$1,0)),Z86,INDEX('Stock UST'!86:86,1,MATCH(Stock!AA$1,'Stock UST'!$1:$1,0)))=0,"",IF(ISERROR(MATCH(Stock!AA$1,'Stock UST'!$1:$1,0)),Z86,INDEX('Stock UST'!86:86,1,MATCH(Stock!AA$1,'Stock UST'!$1:$1,0))))</f>
        <v/>
      </c>
      <c r="AB86" s="9" t="str">
        <f ca="1">IF(IF(ISERROR(MATCH(Stock!AB$1,'Stock UST'!$1:$1,0)),AA86,INDEX('Stock UST'!86:86,1,MATCH(Stock!AB$1,'Stock UST'!$1:$1,0)))=0,"",IF(ISERROR(MATCH(Stock!AB$1,'Stock UST'!$1:$1,0)),AA86,INDEX('Stock UST'!86:86,1,MATCH(Stock!AB$1,'Stock UST'!$1:$1,0))))</f>
        <v/>
      </c>
      <c r="AC86" s="9" t="str">
        <f ca="1">IF(IF(ISERROR(MATCH(Stock!AC$1,'Stock UST'!$1:$1,0)),AB86,INDEX('Stock UST'!86:86,1,MATCH(Stock!AC$1,'Stock UST'!$1:$1,0)))=0,"",IF(ISERROR(MATCH(Stock!AC$1,'Stock UST'!$1:$1,0)),AB86,INDEX('Stock UST'!86:86,1,MATCH(Stock!AC$1,'Stock UST'!$1:$1,0))))</f>
        <v/>
      </c>
      <c r="AD86" s="9" t="str">
        <f ca="1">IF(IF(ISERROR(MATCH(Stock!AD$1,'Stock UST'!$1:$1,0)),AC86,INDEX('Stock UST'!86:86,1,MATCH(Stock!AD$1,'Stock UST'!$1:$1,0)))=0,"",IF(ISERROR(MATCH(Stock!AD$1,'Stock UST'!$1:$1,0)),AC86,INDEX('Stock UST'!86:86,1,MATCH(Stock!AD$1,'Stock UST'!$1:$1,0))))</f>
        <v/>
      </c>
      <c r="AE86" s="9" t="str">
        <f ca="1">IF(IF(ISERROR(MATCH(Stock!AE$1,'Stock UST'!$1:$1,0)),AD86,INDEX('Stock UST'!86:86,1,MATCH(Stock!AE$1,'Stock UST'!$1:$1,0)))=0,"",IF(ISERROR(MATCH(Stock!AE$1,'Stock UST'!$1:$1,0)),AD86,INDEX('Stock UST'!86:86,1,MATCH(Stock!AE$1,'Stock UST'!$1:$1,0))))</f>
        <v/>
      </c>
      <c r="AF86" s="9" t="str">
        <f ca="1">IF(IF(ISERROR(MATCH(Stock!AF$1,'Stock UST'!$1:$1,0)),AE86,INDEX('Stock UST'!86:86,1,MATCH(Stock!AF$1,'Stock UST'!$1:$1,0)))=0,"",IF(ISERROR(MATCH(Stock!AF$1,'Stock UST'!$1:$1,0)),AE86,INDEX('Stock UST'!86:86,1,MATCH(Stock!AF$1,'Stock UST'!$1:$1,0))))</f>
        <v/>
      </c>
      <c r="AG86" s="9" t="str">
        <f ca="1">IF(IF(ISERROR(MATCH(Stock!AG$1,'Stock UST'!$1:$1,0)),AF86,INDEX('Stock UST'!86:86,1,MATCH(Stock!AG$1,'Stock UST'!$1:$1,0)))=0,"",IF(ISERROR(MATCH(Stock!AG$1,'Stock UST'!$1:$1,0)),AF86,INDEX('Stock UST'!86:86,1,MATCH(Stock!AG$1,'Stock UST'!$1:$1,0))))</f>
        <v/>
      </c>
      <c r="AH86" s="9" t="str">
        <f ca="1">IF(IF(ISERROR(MATCH(Stock!AH$1,'Stock UST'!$1:$1,0)),AG86,INDEX('Stock UST'!86:86,1,MATCH(Stock!AH$1,'Stock UST'!$1:$1,0)))=0,"",IF(ISERROR(MATCH(Stock!AH$1,'Stock UST'!$1:$1,0)),AG86,INDEX('Stock UST'!86:86,1,MATCH(Stock!AH$1,'Stock UST'!$1:$1,0))))</f>
        <v/>
      </c>
      <c r="AI86" s="9" t="str">
        <f ca="1">IF(IF(ISERROR(MATCH(Stock!AI$1,'Stock UST'!$1:$1,0)),AH86,INDEX('Stock UST'!86:86,1,MATCH(Stock!AI$1,'Stock UST'!$1:$1,0)))=0,"",IF(ISERROR(MATCH(Stock!AI$1,'Stock UST'!$1:$1,0)),AH86,INDEX('Stock UST'!86:86,1,MATCH(Stock!AI$1,'Stock UST'!$1:$1,0))))</f>
        <v/>
      </c>
      <c r="AJ86" s="9" t="str">
        <f ca="1">IF(IF(ISERROR(MATCH(Stock!AJ$1,'Stock UST'!$1:$1,0)),AI86,INDEX('Stock UST'!86:86,1,MATCH(Stock!AJ$1,'Stock UST'!$1:$1,0)))=0,"",IF(ISERROR(MATCH(Stock!AJ$1,'Stock UST'!$1:$1,0)),AI86,INDEX('Stock UST'!86:86,1,MATCH(Stock!AJ$1,'Stock UST'!$1:$1,0))))</f>
        <v/>
      </c>
      <c r="AK86" s="9" t="str">
        <f ca="1">IF(IF(ISERROR(MATCH(Stock!AK$1,'Stock UST'!$1:$1,0)),AJ86,INDEX('Stock UST'!86:86,1,MATCH(Stock!AK$1,'Stock UST'!$1:$1,0)))=0,"",IF(ISERROR(MATCH(Stock!AK$1,'Stock UST'!$1:$1,0)),AJ86,INDEX('Stock UST'!86:86,1,MATCH(Stock!AK$1,'Stock UST'!$1:$1,0))))</f>
        <v/>
      </c>
      <c r="AL86" s="9" t="str">
        <f ca="1">IF(IF(ISERROR(MATCH(Stock!AL$1,'Stock UST'!$1:$1,0)),AK86,INDEX('Stock UST'!86:86,1,MATCH(Stock!AL$1,'Stock UST'!$1:$1,0)))=0,"",IF(ISERROR(MATCH(Stock!AL$1,'Stock UST'!$1:$1,0)),AK86,INDEX('Stock UST'!86:86,1,MATCH(Stock!AL$1,'Stock UST'!$1:$1,0))))</f>
        <v/>
      </c>
      <c r="AM86" s="9" t="str">
        <f ca="1">IF(IF(ISERROR(MATCH(Stock!AM$1,'Stock UST'!$1:$1,0)),AL86,INDEX('Stock UST'!86:86,1,MATCH(Stock!AM$1,'Stock UST'!$1:$1,0)))=0,"",IF(ISERROR(MATCH(Stock!AM$1,'Stock UST'!$1:$1,0)),AL86,INDEX('Stock UST'!86:86,1,MATCH(Stock!AM$1,'Stock UST'!$1:$1,0))))</f>
        <v/>
      </c>
      <c r="AN86" s="9" t="str">
        <f ca="1">IF(IF(ISERROR(MATCH(Stock!AN$1,'Stock UST'!$1:$1,0)),AM86,INDEX('Stock UST'!86:86,1,MATCH(Stock!AN$1,'Stock UST'!$1:$1,0)))=0,"",IF(ISERROR(MATCH(Stock!AN$1,'Stock UST'!$1:$1,0)),AM86,INDEX('Stock UST'!86:86,1,MATCH(Stock!AN$1,'Stock UST'!$1:$1,0))))</f>
        <v/>
      </c>
      <c r="AO86" s="9" t="str">
        <f ca="1">IF(IF(ISERROR(MATCH(Stock!AO$1,'Stock UST'!$1:$1,0)),AN86,INDEX('Stock UST'!86:86,1,MATCH(Stock!AO$1,'Stock UST'!$1:$1,0)))=0,"",IF(ISERROR(MATCH(Stock!AO$1,'Stock UST'!$1:$1,0)),AN86,INDEX('Stock UST'!86:86,1,MATCH(Stock!AO$1,'Stock UST'!$1:$1,0))))</f>
        <v/>
      </c>
      <c r="AP86" s="9" t="str">
        <f ca="1">IF(IF(ISERROR(MATCH(Stock!AP$1,'Stock UST'!$1:$1,0)),AO86,INDEX('Stock UST'!86:86,1,MATCH(Stock!AP$1,'Stock UST'!$1:$1,0)))=0,"",IF(ISERROR(MATCH(Stock!AP$1,'Stock UST'!$1:$1,0)),AO86,INDEX('Stock UST'!86:86,1,MATCH(Stock!AP$1,'Stock UST'!$1:$1,0))))</f>
        <v/>
      </c>
      <c r="AQ86" s="9" t="str">
        <f ca="1">IF(IF(ISERROR(MATCH(Stock!AQ$1,'Stock UST'!$1:$1,0)),AP86,INDEX('Stock UST'!86:86,1,MATCH(Stock!AQ$1,'Stock UST'!$1:$1,0)))=0,"",IF(ISERROR(MATCH(Stock!AQ$1,'Stock UST'!$1:$1,0)),AP86,INDEX('Stock UST'!86:86,1,MATCH(Stock!AQ$1,'Stock UST'!$1:$1,0))))</f>
        <v/>
      </c>
      <c r="AR86" s="9" t="str">
        <f ca="1">IF(IF(ISERROR(MATCH(Stock!AR$1,'Stock UST'!$1:$1,0)),AQ86,INDEX('Stock UST'!86:86,1,MATCH(Stock!AR$1,'Stock UST'!$1:$1,0)))=0,"",IF(ISERROR(MATCH(Stock!AR$1,'Stock UST'!$1:$1,0)),AQ86,INDEX('Stock UST'!86:86,1,MATCH(Stock!AR$1,'Stock UST'!$1:$1,0))))</f>
        <v/>
      </c>
      <c r="AS86" s="9" t="str">
        <f ca="1">IF(IF(ISERROR(MATCH(Stock!AS$1,'Stock UST'!$1:$1,0)),AR86,INDEX('Stock UST'!86:86,1,MATCH(Stock!AS$1,'Stock UST'!$1:$1,0)))=0,"",IF(ISERROR(MATCH(Stock!AS$1,'Stock UST'!$1:$1,0)),AR86,INDEX('Stock UST'!86:86,1,MATCH(Stock!AS$1,'Stock UST'!$1:$1,0))))</f>
        <v/>
      </c>
      <c r="AT86" s="9" t="str">
        <f ca="1">IF(IF(ISERROR(MATCH(Stock!AT$1,'Stock UST'!$1:$1,0)),AS86,INDEX('Stock UST'!86:86,1,MATCH(Stock!AT$1,'Stock UST'!$1:$1,0)))=0,"",IF(ISERROR(MATCH(Stock!AT$1,'Stock UST'!$1:$1,0)),AS86,INDEX('Stock UST'!86:86,1,MATCH(Stock!AT$1,'Stock UST'!$1:$1,0))))</f>
        <v/>
      </c>
      <c r="AU86" s="9" t="str">
        <f ca="1">IF(IF(ISERROR(MATCH(Stock!AU$1,'Stock UST'!$1:$1,0)),AT86,INDEX('Stock UST'!86:86,1,MATCH(Stock!AU$1,'Stock UST'!$1:$1,0)))=0,"",IF(ISERROR(MATCH(Stock!AU$1,'Stock UST'!$1:$1,0)),AT86,INDEX('Stock UST'!86:86,1,MATCH(Stock!AU$1,'Stock UST'!$1:$1,0))))</f>
        <v/>
      </c>
      <c r="AV86" s="9" t="str">
        <f ca="1">IF(IF(ISERROR(MATCH(Stock!AV$1,'Stock UST'!$1:$1,0)),AU86,INDEX('Stock UST'!86:86,1,MATCH(Stock!AV$1,'Stock UST'!$1:$1,0)))=0,"",IF(ISERROR(MATCH(Stock!AV$1,'Stock UST'!$1:$1,0)),AU86,INDEX('Stock UST'!86:86,1,MATCH(Stock!AV$1,'Stock UST'!$1:$1,0))))</f>
        <v/>
      </c>
      <c r="AW86" s="9" t="str">
        <f ca="1">IF(IF(ISERROR(MATCH(Stock!AW$1,'Stock UST'!$1:$1,0)),AV86,INDEX('Stock UST'!86:86,1,MATCH(Stock!AW$1,'Stock UST'!$1:$1,0)))=0,"",IF(ISERROR(MATCH(Stock!AW$1,'Stock UST'!$1:$1,0)),AV86,INDEX('Stock UST'!86:86,1,MATCH(Stock!AW$1,'Stock UST'!$1:$1,0))))</f>
        <v/>
      </c>
      <c r="AX86" s="9" t="str">
        <f ca="1">IF(IF(ISERROR(MATCH(Stock!AX$1,'Stock UST'!$1:$1,0)),AW86,INDEX('Stock UST'!86:86,1,MATCH(Stock!AX$1,'Stock UST'!$1:$1,0)))=0,"",IF(ISERROR(MATCH(Stock!AX$1,'Stock UST'!$1:$1,0)),AW86,INDEX('Stock UST'!86:86,1,MATCH(Stock!AX$1,'Stock UST'!$1:$1,0))))</f>
        <v/>
      </c>
    </row>
    <row r="87" spans="1:50" x14ac:dyDescent="0.3">
      <c r="A87" s="9" t="str">
        <f>IF('Stock UST'!E87="","",'Stock UST'!E87)</f>
        <v/>
      </c>
      <c r="B87" s="9" t="str">
        <f>IF(IF(ISERROR(MATCH(Stock!B$1,'Stock UST'!$1:$1,0)),A87,INDEX('Stock UST'!87:87,1,MATCH(Stock!B$1,'Stock UST'!$1:$1,0)))=0,"",IF(ISERROR(MATCH(Stock!B$1,'Stock UST'!$1:$1,0)),A87,INDEX('Stock UST'!87:87,1,MATCH(Stock!B$1,'Stock UST'!$1:$1,0))))</f>
        <v/>
      </c>
      <c r="C87" s="9" t="str">
        <f ca="1">IF(IF(ISERROR(MATCH(Stock!C$1,'Stock UST'!$1:$1,0)),B87,INDEX('Stock UST'!87:87,1,MATCH(Stock!C$1,'Stock UST'!$1:$1,0)))=0,"",IF(ISERROR(MATCH(Stock!C$1,'Stock UST'!$1:$1,0)),B87,INDEX('Stock UST'!87:87,1,MATCH(Stock!C$1,'Stock UST'!$1:$1,0))))</f>
        <v/>
      </c>
      <c r="D87" s="9" t="str">
        <f ca="1">IF(IF(ISERROR(MATCH(Stock!D$1,'Stock UST'!$1:$1,0)),C87,INDEX('Stock UST'!87:87,1,MATCH(Stock!D$1,'Stock UST'!$1:$1,0)))=0,"",IF(ISERROR(MATCH(Stock!D$1,'Stock UST'!$1:$1,0)),C87,INDEX('Stock UST'!87:87,1,MATCH(Stock!D$1,'Stock UST'!$1:$1,0))))</f>
        <v/>
      </c>
      <c r="E87" s="9" t="str">
        <f ca="1">IF(IF(ISERROR(MATCH(Stock!E$1,'Stock UST'!$1:$1,0)),D87,INDEX('Stock UST'!87:87,1,MATCH(Stock!E$1,'Stock UST'!$1:$1,0)))=0,"",IF(ISERROR(MATCH(Stock!E$1,'Stock UST'!$1:$1,0)),D87,INDEX('Stock UST'!87:87,1,MATCH(Stock!E$1,'Stock UST'!$1:$1,0))))</f>
        <v/>
      </c>
      <c r="F87" s="9" t="str">
        <f ca="1">IF(IF(ISERROR(MATCH(Stock!F$1,'Stock UST'!$1:$1,0)),E87,INDEX('Stock UST'!87:87,1,MATCH(Stock!F$1,'Stock UST'!$1:$1,0)))=0,"",IF(ISERROR(MATCH(Stock!F$1,'Stock UST'!$1:$1,0)),E87,INDEX('Stock UST'!87:87,1,MATCH(Stock!F$1,'Stock UST'!$1:$1,0))))</f>
        <v/>
      </c>
      <c r="G87" s="9" t="str">
        <f ca="1">IF(IF(ISERROR(MATCH(Stock!G$1,'Stock UST'!$1:$1,0)),F87,INDEX('Stock UST'!87:87,1,MATCH(Stock!G$1,'Stock UST'!$1:$1,0)))=0,"",IF(ISERROR(MATCH(Stock!G$1,'Stock UST'!$1:$1,0)),F87,INDEX('Stock UST'!87:87,1,MATCH(Stock!G$1,'Stock UST'!$1:$1,0))))</f>
        <v/>
      </c>
      <c r="H87" s="9" t="str">
        <f ca="1">IF(IF(ISERROR(MATCH(Stock!H$1,'Stock UST'!$1:$1,0)),G87,INDEX('Stock UST'!87:87,1,MATCH(Stock!H$1,'Stock UST'!$1:$1,0)))=0,"",IF(ISERROR(MATCH(Stock!H$1,'Stock UST'!$1:$1,0)),G87,INDEX('Stock UST'!87:87,1,MATCH(Stock!H$1,'Stock UST'!$1:$1,0))))</f>
        <v/>
      </c>
      <c r="I87" s="9" t="str">
        <f ca="1">IF(IF(ISERROR(MATCH(Stock!I$1,'Stock UST'!$1:$1,0)),H87,INDEX('Stock UST'!87:87,1,MATCH(Stock!I$1,'Stock UST'!$1:$1,0)))=0,"",IF(ISERROR(MATCH(Stock!I$1,'Stock UST'!$1:$1,0)),H87,INDEX('Stock UST'!87:87,1,MATCH(Stock!I$1,'Stock UST'!$1:$1,0))))</f>
        <v/>
      </c>
      <c r="J87" s="9" t="str">
        <f ca="1">IF(IF(ISERROR(MATCH(Stock!J$1,'Stock UST'!$1:$1,0)),I87,INDEX('Stock UST'!87:87,1,MATCH(Stock!J$1,'Stock UST'!$1:$1,0)))=0,"",IF(ISERROR(MATCH(Stock!J$1,'Stock UST'!$1:$1,0)),I87,INDEX('Stock UST'!87:87,1,MATCH(Stock!J$1,'Stock UST'!$1:$1,0))))</f>
        <v/>
      </c>
      <c r="K87" s="9" t="str">
        <f ca="1">IF(IF(ISERROR(MATCH(Stock!K$1,'Stock UST'!$1:$1,0)),J87,INDEX('Stock UST'!87:87,1,MATCH(Stock!K$1,'Stock UST'!$1:$1,0)))=0,"",IF(ISERROR(MATCH(Stock!K$1,'Stock UST'!$1:$1,0)),J87,INDEX('Stock UST'!87:87,1,MATCH(Stock!K$1,'Stock UST'!$1:$1,0))))</f>
        <v/>
      </c>
      <c r="L87" s="9" t="str">
        <f ca="1">IF(IF(ISERROR(MATCH(Stock!L$1,'Stock UST'!$1:$1,0)),K87,INDEX('Stock UST'!87:87,1,MATCH(Stock!L$1,'Stock UST'!$1:$1,0)))=0,"",IF(ISERROR(MATCH(Stock!L$1,'Stock UST'!$1:$1,0)),K87,INDEX('Stock UST'!87:87,1,MATCH(Stock!L$1,'Stock UST'!$1:$1,0))))</f>
        <v/>
      </c>
      <c r="M87" s="9" t="str">
        <f ca="1">IF(IF(ISERROR(MATCH(Stock!M$1,'Stock UST'!$1:$1,0)),L87,INDEX('Stock UST'!87:87,1,MATCH(Stock!M$1,'Stock UST'!$1:$1,0)))=0,"",IF(ISERROR(MATCH(Stock!M$1,'Stock UST'!$1:$1,0)),L87,INDEX('Stock UST'!87:87,1,MATCH(Stock!M$1,'Stock UST'!$1:$1,0))))</f>
        <v/>
      </c>
      <c r="N87" s="9" t="str">
        <f ca="1">IF(IF(ISERROR(MATCH(Stock!N$1,'Stock UST'!$1:$1,0)),M87,INDEX('Stock UST'!87:87,1,MATCH(Stock!N$1,'Stock UST'!$1:$1,0)))=0,"",IF(ISERROR(MATCH(Stock!N$1,'Stock UST'!$1:$1,0)),M87,INDEX('Stock UST'!87:87,1,MATCH(Stock!N$1,'Stock UST'!$1:$1,0))))</f>
        <v/>
      </c>
      <c r="O87" s="9" t="str">
        <f ca="1">IF(IF(ISERROR(MATCH(Stock!O$1,'Stock UST'!$1:$1,0)),N87,INDEX('Stock UST'!87:87,1,MATCH(Stock!O$1,'Stock UST'!$1:$1,0)))=0,"",IF(ISERROR(MATCH(Stock!O$1,'Stock UST'!$1:$1,0)),N87,INDEX('Stock UST'!87:87,1,MATCH(Stock!O$1,'Stock UST'!$1:$1,0))))</f>
        <v/>
      </c>
      <c r="P87" s="9" t="str">
        <f ca="1">IF(IF(ISERROR(MATCH(Stock!P$1,'Stock UST'!$1:$1,0)),O87,INDEX('Stock UST'!87:87,1,MATCH(Stock!P$1,'Stock UST'!$1:$1,0)))=0,"",IF(ISERROR(MATCH(Stock!P$1,'Stock UST'!$1:$1,0)),O87,INDEX('Stock UST'!87:87,1,MATCH(Stock!P$1,'Stock UST'!$1:$1,0))))</f>
        <v/>
      </c>
      <c r="Q87" s="9" t="str">
        <f ca="1">IF(IF(ISERROR(MATCH(Stock!Q$1,'Stock UST'!$1:$1,0)),P87,INDEX('Stock UST'!87:87,1,MATCH(Stock!Q$1,'Stock UST'!$1:$1,0)))=0,"",IF(ISERROR(MATCH(Stock!Q$1,'Stock UST'!$1:$1,0)),P87,INDEX('Stock UST'!87:87,1,MATCH(Stock!Q$1,'Stock UST'!$1:$1,0))))</f>
        <v/>
      </c>
      <c r="R87" s="9" t="str">
        <f ca="1">IF(IF(ISERROR(MATCH(Stock!R$1,'Stock UST'!$1:$1,0)),Q87,INDEX('Stock UST'!87:87,1,MATCH(Stock!R$1,'Stock UST'!$1:$1,0)))=0,"",IF(ISERROR(MATCH(Stock!R$1,'Stock UST'!$1:$1,0)),Q87,INDEX('Stock UST'!87:87,1,MATCH(Stock!R$1,'Stock UST'!$1:$1,0))))</f>
        <v/>
      </c>
      <c r="S87" s="9" t="str">
        <f ca="1">IF(IF(ISERROR(MATCH(Stock!S$1,'Stock UST'!$1:$1,0)),R87,INDEX('Stock UST'!87:87,1,MATCH(Stock!S$1,'Stock UST'!$1:$1,0)))=0,"",IF(ISERROR(MATCH(Stock!S$1,'Stock UST'!$1:$1,0)),R87,INDEX('Stock UST'!87:87,1,MATCH(Stock!S$1,'Stock UST'!$1:$1,0))))</f>
        <v/>
      </c>
      <c r="T87" s="9" t="str">
        <f ca="1">IF(IF(ISERROR(MATCH(Stock!T$1,'Stock UST'!$1:$1,0)),S87,INDEX('Stock UST'!87:87,1,MATCH(Stock!T$1,'Stock UST'!$1:$1,0)))=0,"",IF(ISERROR(MATCH(Stock!T$1,'Stock UST'!$1:$1,0)),S87,INDEX('Stock UST'!87:87,1,MATCH(Stock!T$1,'Stock UST'!$1:$1,0))))</f>
        <v/>
      </c>
      <c r="U87" s="9" t="str">
        <f ca="1">IF(IF(ISERROR(MATCH(Stock!U$1,'Stock UST'!$1:$1,0)),T87,INDEX('Stock UST'!87:87,1,MATCH(Stock!U$1,'Stock UST'!$1:$1,0)))=0,"",IF(ISERROR(MATCH(Stock!U$1,'Stock UST'!$1:$1,0)),T87,INDEX('Stock UST'!87:87,1,MATCH(Stock!U$1,'Stock UST'!$1:$1,0))))</f>
        <v/>
      </c>
      <c r="V87" s="9" t="str">
        <f ca="1">IF(IF(ISERROR(MATCH(Stock!V$1,'Stock UST'!$1:$1,0)),U87,INDEX('Stock UST'!87:87,1,MATCH(Stock!V$1,'Stock UST'!$1:$1,0)))=0,"",IF(ISERROR(MATCH(Stock!V$1,'Stock UST'!$1:$1,0)),U87,INDEX('Stock UST'!87:87,1,MATCH(Stock!V$1,'Stock UST'!$1:$1,0))))</f>
        <v/>
      </c>
      <c r="W87" s="9" t="str">
        <f ca="1">IF(IF(ISERROR(MATCH(Stock!W$1,'Stock UST'!$1:$1,0)),V87,INDEX('Stock UST'!87:87,1,MATCH(Stock!W$1,'Stock UST'!$1:$1,0)))=0,"",IF(ISERROR(MATCH(Stock!W$1,'Stock UST'!$1:$1,0)),V87,INDEX('Stock UST'!87:87,1,MATCH(Stock!W$1,'Stock UST'!$1:$1,0))))</f>
        <v/>
      </c>
      <c r="X87" s="9" t="str">
        <f ca="1">IF(IF(ISERROR(MATCH(Stock!X$1,'Stock UST'!$1:$1,0)),W87,INDEX('Stock UST'!87:87,1,MATCH(Stock!X$1,'Stock UST'!$1:$1,0)))=0,"",IF(ISERROR(MATCH(Stock!X$1,'Stock UST'!$1:$1,0)),W87,INDEX('Stock UST'!87:87,1,MATCH(Stock!X$1,'Stock UST'!$1:$1,0))))</f>
        <v/>
      </c>
      <c r="Y87" s="9" t="str">
        <f ca="1">IF(IF(ISERROR(MATCH(Stock!Y$1,'Stock UST'!$1:$1,0)),X87,INDEX('Stock UST'!87:87,1,MATCH(Stock!Y$1,'Stock UST'!$1:$1,0)))=0,"",IF(ISERROR(MATCH(Stock!Y$1,'Stock UST'!$1:$1,0)),X87,INDEX('Stock UST'!87:87,1,MATCH(Stock!Y$1,'Stock UST'!$1:$1,0))))</f>
        <v/>
      </c>
      <c r="Z87" s="9" t="str">
        <f ca="1">IF(IF(ISERROR(MATCH(Stock!Z$1,'Stock UST'!$1:$1,0)),Y87,INDEX('Stock UST'!87:87,1,MATCH(Stock!Z$1,'Stock UST'!$1:$1,0)))=0,"",IF(ISERROR(MATCH(Stock!Z$1,'Stock UST'!$1:$1,0)),Y87,INDEX('Stock UST'!87:87,1,MATCH(Stock!Z$1,'Stock UST'!$1:$1,0))))</f>
        <v/>
      </c>
      <c r="AA87" s="9" t="str">
        <f ca="1">IF(IF(ISERROR(MATCH(Stock!AA$1,'Stock UST'!$1:$1,0)),Z87,INDEX('Stock UST'!87:87,1,MATCH(Stock!AA$1,'Stock UST'!$1:$1,0)))=0,"",IF(ISERROR(MATCH(Stock!AA$1,'Stock UST'!$1:$1,0)),Z87,INDEX('Stock UST'!87:87,1,MATCH(Stock!AA$1,'Stock UST'!$1:$1,0))))</f>
        <v/>
      </c>
      <c r="AB87" s="9" t="str">
        <f ca="1">IF(IF(ISERROR(MATCH(Stock!AB$1,'Stock UST'!$1:$1,0)),AA87,INDEX('Stock UST'!87:87,1,MATCH(Stock!AB$1,'Stock UST'!$1:$1,0)))=0,"",IF(ISERROR(MATCH(Stock!AB$1,'Stock UST'!$1:$1,0)),AA87,INDEX('Stock UST'!87:87,1,MATCH(Stock!AB$1,'Stock UST'!$1:$1,0))))</f>
        <v/>
      </c>
      <c r="AC87" s="9" t="str">
        <f ca="1">IF(IF(ISERROR(MATCH(Stock!AC$1,'Stock UST'!$1:$1,0)),AB87,INDEX('Stock UST'!87:87,1,MATCH(Stock!AC$1,'Stock UST'!$1:$1,0)))=0,"",IF(ISERROR(MATCH(Stock!AC$1,'Stock UST'!$1:$1,0)),AB87,INDEX('Stock UST'!87:87,1,MATCH(Stock!AC$1,'Stock UST'!$1:$1,0))))</f>
        <v/>
      </c>
      <c r="AD87" s="9" t="str">
        <f ca="1">IF(IF(ISERROR(MATCH(Stock!AD$1,'Stock UST'!$1:$1,0)),AC87,INDEX('Stock UST'!87:87,1,MATCH(Stock!AD$1,'Stock UST'!$1:$1,0)))=0,"",IF(ISERROR(MATCH(Stock!AD$1,'Stock UST'!$1:$1,0)),AC87,INDEX('Stock UST'!87:87,1,MATCH(Stock!AD$1,'Stock UST'!$1:$1,0))))</f>
        <v/>
      </c>
      <c r="AE87" s="9" t="str">
        <f ca="1">IF(IF(ISERROR(MATCH(Stock!AE$1,'Stock UST'!$1:$1,0)),AD87,INDEX('Stock UST'!87:87,1,MATCH(Stock!AE$1,'Stock UST'!$1:$1,0)))=0,"",IF(ISERROR(MATCH(Stock!AE$1,'Stock UST'!$1:$1,0)),AD87,INDEX('Stock UST'!87:87,1,MATCH(Stock!AE$1,'Stock UST'!$1:$1,0))))</f>
        <v/>
      </c>
      <c r="AF87" s="9" t="str">
        <f ca="1">IF(IF(ISERROR(MATCH(Stock!AF$1,'Stock UST'!$1:$1,0)),AE87,INDEX('Stock UST'!87:87,1,MATCH(Stock!AF$1,'Stock UST'!$1:$1,0)))=0,"",IF(ISERROR(MATCH(Stock!AF$1,'Stock UST'!$1:$1,0)),AE87,INDEX('Stock UST'!87:87,1,MATCH(Stock!AF$1,'Stock UST'!$1:$1,0))))</f>
        <v/>
      </c>
      <c r="AG87" s="9" t="str">
        <f ca="1">IF(IF(ISERROR(MATCH(Stock!AG$1,'Stock UST'!$1:$1,0)),AF87,INDEX('Stock UST'!87:87,1,MATCH(Stock!AG$1,'Stock UST'!$1:$1,0)))=0,"",IF(ISERROR(MATCH(Stock!AG$1,'Stock UST'!$1:$1,0)),AF87,INDEX('Stock UST'!87:87,1,MATCH(Stock!AG$1,'Stock UST'!$1:$1,0))))</f>
        <v/>
      </c>
      <c r="AH87" s="9" t="str">
        <f ca="1">IF(IF(ISERROR(MATCH(Stock!AH$1,'Stock UST'!$1:$1,0)),AG87,INDEX('Stock UST'!87:87,1,MATCH(Stock!AH$1,'Stock UST'!$1:$1,0)))=0,"",IF(ISERROR(MATCH(Stock!AH$1,'Stock UST'!$1:$1,0)),AG87,INDEX('Stock UST'!87:87,1,MATCH(Stock!AH$1,'Stock UST'!$1:$1,0))))</f>
        <v/>
      </c>
      <c r="AI87" s="9" t="str">
        <f ca="1">IF(IF(ISERROR(MATCH(Stock!AI$1,'Stock UST'!$1:$1,0)),AH87,INDEX('Stock UST'!87:87,1,MATCH(Stock!AI$1,'Stock UST'!$1:$1,0)))=0,"",IF(ISERROR(MATCH(Stock!AI$1,'Stock UST'!$1:$1,0)),AH87,INDEX('Stock UST'!87:87,1,MATCH(Stock!AI$1,'Stock UST'!$1:$1,0))))</f>
        <v/>
      </c>
      <c r="AJ87" s="9" t="str">
        <f ca="1">IF(IF(ISERROR(MATCH(Stock!AJ$1,'Stock UST'!$1:$1,0)),AI87,INDEX('Stock UST'!87:87,1,MATCH(Stock!AJ$1,'Stock UST'!$1:$1,0)))=0,"",IF(ISERROR(MATCH(Stock!AJ$1,'Stock UST'!$1:$1,0)),AI87,INDEX('Stock UST'!87:87,1,MATCH(Stock!AJ$1,'Stock UST'!$1:$1,0))))</f>
        <v/>
      </c>
      <c r="AK87" s="9" t="str">
        <f ca="1">IF(IF(ISERROR(MATCH(Stock!AK$1,'Stock UST'!$1:$1,0)),AJ87,INDEX('Stock UST'!87:87,1,MATCH(Stock!AK$1,'Stock UST'!$1:$1,0)))=0,"",IF(ISERROR(MATCH(Stock!AK$1,'Stock UST'!$1:$1,0)),AJ87,INDEX('Stock UST'!87:87,1,MATCH(Stock!AK$1,'Stock UST'!$1:$1,0))))</f>
        <v/>
      </c>
      <c r="AL87" s="9" t="str">
        <f ca="1">IF(IF(ISERROR(MATCH(Stock!AL$1,'Stock UST'!$1:$1,0)),AK87,INDEX('Stock UST'!87:87,1,MATCH(Stock!AL$1,'Stock UST'!$1:$1,0)))=0,"",IF(ISERROR(MATCH(Stock!AL$1,'Stock UST'!$1:$1,0)),AK87,INDEX('Stock UST'!87:87,1,MATCH(Stock!AL$1,'Stock UST'!$1:$1,0))))</f>
        <v/>
      </c>
      <c r="AM87" s="9" t="str">
        <f ca="1">IF(IF(ISERROR(MATCH(Stock!AM$1,'Stock UST'!$1:$1,0)),AL87,INDEX('Stock UST'!87:87,1,MATCH(Stock!AM$1,'Stock UST'!$1:$1,0)))=0,"",IF(ISERROR(MATCH(Stock!AM$1,'Stock UST'!$1:$1,0)),AL87,INDEX('Stock UST'!87:87,1,MATCH(Stock!AM$1,'Stock UST'!$1:$1,0))))</f>
        <v/>
      </c>
      <c r="AN87" s="9" t="str">
        <f ca="1">IF(IF(ISERROR(MATCH(Stock!AN$1,'Stock UST'!$1:$1,0)),AM87,INDEX('Stock UST'!87:87,1,MATCH(Stock!AN$1,'Stock UST'!$1:$1,0)))=0,"",IF(ISERROR(MATCH(Stock!AN$1,'Stock UST'!$1:$1,0)),AM87,INDEX('Stock UST'!87:87,1,MATCH(Stock!AN$1,'Stock UST'!$1:$1,0))))</f>
        <v/>
      </c>
      <c r="AO87" s="9" t="str">
        <f ca="1">IF(IF(ISERROR(MATCH(Stock!AO$1,'Stock UST'!$1:$1,0)),AN87,INDEX('Stock UST'!87:87,1,MATCH(Stock!AO$1,'Stock UST'!$1:$1,0)))=0,"",IF(ISERROR(MATCH(Stock!AO$1,'Stock UST'!$1:$1,0)),AN87,INDEX('Stock UST'!87:87,1,MATCH(Stock!AO$1,'Stock UST'!$1:$1,0))))</f>
        <v/>
      </c>
      <c r="AP87" s="9" t="str">
        <f ca="1">IF(IF(ISERROR(MATCH(Stock!AP$1,'Stock UST'!$1:$1,0)),AO87,INDEX('Stock UST'!87:87,1,MATCH(Stock!AP$1,'Stock UST'!$1:$1,0)))=0,"",IF(ISERROR(MATCH(Stock!AP$1,'Stock UST'!$1:$1,0)),AO87,INDEX('Stock UST'!87:87,1,MATCH(Stock!AP$1,'Stock UST'!$1:$1,0))))</f>
        <v/>
      </c>
      <c r="AQ87" s="9" t="str">
        <f ca="1">IF(IF(ISERROR(MATCH(Stock!AQ$1,'Stock UST'!$1:$1,0)),AP87,INDEX('Stock UST'!87:87,1,MATCH(Stock!AQ$1,'Stock UST'!$1:$1,0)))=0,"",IF(ISERROR(MATCH(Stock!AQ$1,'Stock UST'!$1:$1,0)),AP87,INDEX('Stock UST'!87:87,1,MATCH(Stock!AQ$1,'Stock UST'!$1:$1,0))))</f>
        <v/>
      </c>
      <c r="AR87" s="9" t="str">
        <f ca="1">IF(IF(ISERROR(MATCH(Stock!AR$1,'Stock UST'!$1:$1,0)),AQ87,INDEX('Stock UST'!87:87,1,MATCH(Stock!AR$1,'Stock UST'!$1:$1,0)))=0,"",IF(ISERROR(MATCH(Stock!AR$1,'Stock UST'!$1:$1,0)),AQ87,INDEX('Stock UST'!87:87,1,MATCH(Stock!AR$1,'Stock UST'!$1:$1,0))))</f>
        <v/>
      </c>
      <c r="AS87" s="9" t="str">
        <f ca="1">IF(IF(ISERROR(MATCH(Stock!AS$1,'Stock UST'!$1:$1,0)),AR87,INDEX('Stock UST'!87:87,1,MATCH(Stock!AS$1,'Stock UST'!$1:$1,0)))=0,"",IF(ISERROR(MATCH(Stock!AS$1,'Stock UST'!$1:$1,0)),AR87,INDEX('Stock UST'!87:87,1,MATCH(Stock!AS$1,'Stock UST'!$1:$1,0))))</f>
        <v/>
      </c>
      <c r="AT87" s="9" t="str">
        <f ca="1">IF(IF(ISERROR(MATCH(Stock!AT$1,'Stock UST'!$1:$1,0)),AS87,INDEX('Stock UST'!87:87,1,MATCH(Stock!AT$1,'Stock UST'!$1:$1,0)))=0,"",IF(ISERROR(MATCH(Stock!AT$1,'Stock UST'!$1:$1,0)),AS87,INDEX('Stock UST'!87:87,1,MATCH(Stock!AT$1,'Stock UST'!$1:$1,0))))</f>
        <v/>
      </c>
      <c r="AU87" s="9" t="str">
        <f ca="1">IF(IF(ISERROR(MATCH(Stock!AU$1,'Stock UST'!$1:$1,0)),AT87,INDEX('Stock UST'!87:87,1,MATCH(Stock!AU$1,'Stock UST'!$1:$1,0)))=0,"",IF(ISERROR(MATCH(Stock!AU$1,'Stock UST'!$1:$1,0)),AT87,INDEX('Stock UST'!87:87,1,MATCH(Stock!AU$1,'Stock UST'!$1:$1,0))))</f>
        <v/>
      </c>
      <c r="AV87" s="9" t="str">
        <f ca="1">IF(IF(ISERROR(MATCH(Stock!AV$1,'Stock UST'!$1:$1,0)),AU87,INDEX('Stock UST'!87:87,1,MATCH(Stock!AV$1,'Stock UST'!$1:$1,0)))=0,"",IF(ISERROR(MATCH(Stock!AV$1,'Stock UST'!$1:$1,0)),AU87,INDEX('Stock UST'!87:87,1,MATCH(Stock!AV$1,'Stock UST'!$1:$1,0))))</f>
        <v/>
      </c>
      <c r="AW87" s="9" t="str">
        <f ca="1">IF(IF(ISERROR(MATCH(Stock!AW$1,'Stock UST'!$1:$1,0)),AV87,INDEX('Stock UST'!87:87,1,MATCH(Stock!AW$1,'Stock UST'!$1:$1,0)))=0,"",IF(ISERROR(MATCH(Stock!AW$1,'Stock UST'!$1:$1,0)),AV87,INDEX('Stock UST'!87:87,1,MATCH(Stock!AW$1,'Stock UST'!$1:$1,0))))</f>
        <v/>
      </c>
      <c r="AX87" s="9" t="str">
        <f ca="1">IF(IF(ISERROR(MATCH(Stock!AX$1,'Stock UST'!$1:$1,0)),AW87,INDEX('Stock UST'!87:87,1,MATCH(Stock!AX$1,'Stock UST'!$1:$1,0)))=0,"",IF(ISERROR(MATCH(Stock!AX$1,'Stock UST'!$1:$1,0)),AW87,INDEX('Stock UST'!87:87,1,MATCH(Stock!AX$1,'Stock UST'!$1:$1,0))))</f>
        <v/>
      </c>
    </row>
    <row r="88" spans="1:50" x14ac:dyDescent="0.3">
      <c r="A88" s="9" t="str">
        <f>IF('Stock UST'!E88="","",'Stock UST'!E88)</f>
        <v/>
      </c>
      <c r="B88" s="9" t="str">
        <f>IF(IF(ISERROR(MATCH(Stock!B$1,'Stock UST'!$1:$1,0)),A88,INDEX('Stock UST'!88:88,1,MATCH(Stock!B$1,'Stock UST'!$1:$1,0)))=0,"",IF(ISERROR(MATCH(Stock!B$1,'Stock UST'!$1:$1,0)),A88,INDEX('Stock UST'!88:88,1,MATCH(Stock!B$1,'Stock UST'!$1:$1,0))))</f>
        <v/>
      </c>
      <c r="C88" s="9" t="str">
        <f ca="1">IF(IF(ISERROR(MATCH(Stock!C$1,'Stock UST'!$1:$1,0)),B88,INDEX('Stock UST'!88:88,1,MATCH(Stock!C$1,'Stock UST'!$1:$1,0)))=0,"",IF(ISERROR(MATCH(Stock!C$1,'Stock UST'!$1:$1,0)),B88,INDEX('Stock UST'!88:88,1,MATCH(Stock!C$1,'Stock UST'!$1:$1,0))))</f>
        <v/>
      </c>
      <c r="D88" s="9" t="str">
        <f ca="1">IF(IF(ISERROR(MATCH(Stock!D$1,'Stock UST'!$1:$1,0)),C88,INDEX('Stock UST'!88:88,1,MATCH(Stock!D$1,'Stock UST'!$1:$1,0)))=0,"",IF(ISERROR(MATCH(Stock!D$1,'Stock UST'!$1:$1,0)),C88,INDEX('Stock UST'!88:88,1,MATCH(Stock!D$1,'Stock UST'!$1:$1,0))))</f>
        <v/>
      </c>
      <c r="E88" s="9" t="str">
        <f ca="1">IF(IF(ISERROR(MATCH(Stock!E$1,'Stock UST'!$1:$1,0)),D88,INDEX('Stock UST'!88:88,1,MATCH(Stock!E$1,'Stock UST'!$1:$1,0)))=0,"",IF(ISERROR(MATCH(Stock!E$1,'Stock UST'!$1:$1,0)),D88,INDEX('Stock UST'!88:88,1,MATCH(Stock!E$1,'Stock UST'!$1:$1,0))))</f>
        <v/>
      </c>
      <c r="F88" s="9" t="str">
        <f ca="1">IF(IF(ISERROR(MATCH(Stock!F$1,'Stock UST'!$1:$1,0)),E88,INDEX('Stock UST'!88:88,1,MATCH(Stock!F$1,'Stock UST'!$1:$1,0)))=0,"",IF(ISERROR(MATCH(Stock!F$1,'Stock UST'!$1:$1,0)),E88,INDEX('Stock UST'!88:88,1,MATCH(Stock!F$1,'Stock UST'!$1:$1,0))))</f>
        <v/>
      </c>
      <c r="G88" s="9" t="str">
        <f ca="1">IF(IF(ISERROR(MATCH(Stock!G$1,'Stock UST'!$1:$1,0)),F88,INDEX('Stock UST'!88:88,1,MATCH(Stock!G$1,'Stock UST'!$1:$1,0)))=0,"",IF(ISERROR(MATCH(Stock!G$1,'Stock UST'!$1:$1,0)),F88,INDEX('Stock UST'!88:88,1,MATCH(Stock!G$1,'Stock UST'!$1:$1,0))))</f>
        <v/>
      </c>
      <c r="H88" s="9" t="str">
        <f ca="1">IF(IF(ISERROR(MATCH(Stock!H$1,'Stock UST'!$1:$1,0)),G88,INDEX('Stock UST'!88:88,1,MATCH(Stock!H$1,'Stock UST'!$1:$1,0)))=0,"",IF(ISERROR(MATCH(Stock!H$1,'Stock UST'!$1:$1,0)),G88,INDEX('Stock UST'!88:88,1,MATCH(Stock!H$1,'Stock UST'!$1:$1,0))))</f>
        <v/>
      </c>
      <c r="I88" s="9" t="str">
        <f ca="1">IF(IF(ISERROR(MATCH(Stock!I$1,'Stock UST'!$1:$1,0)),H88,INDEX('Stock UST'!88:88,1,MATCH(Stock!I$1,'Stock UST'!$1:$1,0)))=0,"",IF(ISERROR(MATCH(Stock!I$1,'Stock UST'!$1:$1,0)),H88,INDEX('Stock UST'!88:88,1,MATCH(Stock!I$1,'Stock UST'!$1:$1,0))))</f>
        <v/>
      </c>
      <c r="J88" s="9" t="str">
        <f ca="1">IF(IF(ISERROR(MATCH(Stock!J$1,'Stock UST'!$1:$1,0)),I88,INDEX('Stock UST'!88:88,1,MATCH(Stock!J$1,'Stock UST'!$1:$1,0)))=0,"",IF(ISERROR(MATCH(Stock!J$1,'Stock UST'!$1:$1,0)),I88,INDEX('Stock UST'!88:88,1,MATCH(Stock!J$1,'Stock UST'!$1:$1,0))))</f>
        <v/>
      </c>
      <c r="K88" s="9" t="str">
        <f ca="1">IF(IF(ISERROR(MATCH(Stock!K$1,'Stock UST'!$1:$1,0)),J88,INDEX('Stock UST'!88:88,1,MATCH(Stock!K$1,'Stock UST'!$1:$1,0)))=0,"",IF(ISERROR(MATCH(Stock!K$1,'Stock UST'!$1:$1,0)),J88,INDEX('Stock UST'!88:88,1,MATCH(Stock!K$1,'Stock UST'!$1:$1,0))))</f>
        <v/>
      </c>
      <c r="L88" s="9" t="str">
        <f ca="1">IF(IF(ISERROR(MATCH(Stock!L$1,'Stock UST'!$1:$1,0)),K88,INDEX('Stock UST'!88:88,1,MATCH(Stock!L$1,'Stock UST'!$1:$1,0)))=0,"",IF(ISERROR(MATCH(Stock!L$1,'Stock UST'!$1:$1,0)),K88,INDEX('Stock UST'!88:88,1,MATCH(Stock!L$1,'Stock UST'!$1:$1,0))))</f>
        <v/>
      </c>
      <c r="M88" s="9" t="str">
        <f ca="1">IF(IF(ISERROR(MATCH(Stock!M$1,'Stock UST'!$1:$1,0)),L88,INDEX('Stock UST'!88:88,1,MATCH(Stock!M$1,'Stock UST'!$1:$1,0)))=0,"",IF(ISERROR(MATCH(Stock!M$1,'Stock UST'!$1:$1,0)),L88,INDEX('Stock UST'!88:88,1,MATCH(Stock!M$1,'Stock UST'!$1:$1,0))))</f>
        <v/>
      </c>
      <c r="N88" s="9" t="str">
        <f ca="1">IF(IF(ISERROR(MATCH(Stock!N$1,'Stock UST'!$1:$1,0)),M88,INDEX('Stock UST'!88:88,1,MATCH(Stock!N$1,'Stock UST'!$1:$1,0)))=0,"",IF(ISERROR(MATCH(Stock!N$1,'Stock UST'!$1:$1,0)),M88,INDEX('Stock UST'!88:88,1,MATCH(Stock!N$1,'Stock UST'!$1:$1,0))))</f>
        <v/>
      </c>
      <c r="O88" s="9" t="str">
        <f ca="1">IF(IF(ISERROR(MATCH(Stock!O$1,'Stock UST'!$1:$1,0)),N88,INDEX('Stock UST'!88:88,1,MATCH(Stock!O$1,'Stock UST'!$1:$1,0)))=0,"",IF(ISERROR(MATCH(Stock!O$1,'Stock UST'!$1:$1,0)),N88,INDEX('Stock UST'!88:88,1,MATCH(Stock!O$1,'Stock UST'!$1:$1,0))))</f>
        <v/>
      </c>
      <c r="P88" s="9" t="str">
        <f ca="1">IF(IF(ISERROR(MATCH(Stock!P$1,'Stock UST'!$1:$1,0)),O88,INDEX('Stock UST'!88:88,1,MATCH(Stock!P$1,'Stock UST'!$1:$1,0)))=0,"",IF(ISERROR(MATCH(Stock!P$1,'Stock UST'!$1:$1,0)),O88,INDEX('Stock UST'!88:88,1,MATCH(Stock!P$1,'Stock UST'!$1:$1,0))))</f>
        <v/>
      </c>
      <c r="Q88" s="9" t="str">
        <f ca="1">IF(IF(ISERROR(MATCH(Stock!Q$1,'Stock UST'!$1:$1,0)),P88,INDEX('Stock UST'!88:88,1,MATCH(Stock!Q$1,'Stock UST'!$1:$1,0)))=0,"",IF(ISERROR(MATCH(Stock!Q$1,'Stock UST'!$1:$1,0)),P88,INDEX('Stock UST'!88:88,1,MATCH(Stock!Q$1,'Stock UST'!$1:$1,0))))</f>
        <v/>
      </c>
      <c r="R88" s="9" t="str">
        <f ca="1">IF(IF(ISERROR(MATCH(Stock!R$1,'Stock UST'!$1:$1,0)),Q88,INDEX('Stock UST'!88:88,1,MATCH(Stock!R$1,'Stock UST'!$1:$1,0)))=0,"",IF(ISERROR(MATCH(Stock!R$1,'Stock UST'!$1:$1,0)),Q88,INDEX('Stock UST'!88:88,1,MATCH(Stock!R$1,'Stock UST'!$1:$1,0))))</f>
        <v/>
      </c>
      <c r="S88" s="9" t="str">
        <f ca="1">IF(IF(ISERROR(MATCH(Stock!S$1,'Stock UST'!$1:$1,0)),R88,INDEX('Stock UST'!88:88,1,MATCH(Stock!S$1,'Stock UST'!$1:$1,0)))=0,"",IF(ISERROR(MATCH(Stock!S$1,'Stock UST'!$1:$1,0)),R88,INDEX('Stock UST'!88:88,1,MATCH(Stock!S$1,'Stock UST'!$1:$1,0))))</f>
        <v/>
      </c>
      <c r="T88" s="9" t="str">
        <f ca="1">IF(IF(ISERROR(MATCH(Stock!T$1,'Stock UST'!$1:$1,0)),S88,INDEX('Stock UST'!88:88,1,MATCH(Stock!T$1,'Stock UST'!$1:$1,0)))=0,"",IF(ISERROR(MATCH(Stock!T$1,'Stock UST'!$1:$1,0)),S88,INDEX('Stock UST'!88:88,1,MATCH(Stock!T$1,'Stock UST'!$1:$1,0))))</f>
        <v/>
      </c>
      <c r="U88" s="9" t="str">
        <f ca="1">IF(IF(ISERROR(MATCH(Stock!U$1,'Stock UST'!$1:$1,0)),T88,INDEX('Stock UST'!88:88,1,MATCH(Stock!U$1,'Stock UST'!$1:$1,0)))=0,"",IF(ISERROR(MATCH(Stock!U$1,'Stock UST'!$1:$1,0)),T88,INDEX('Stock UST'!88:88,1,MATCH(Stock!U$1,'Stock UST'!$1:$1,0))))</f>
        <v/>
      </c>
      <c r="V88" s="9" t="str">
        <f ca="1">IF(IF(ISERROR(MATCH(Stock!V$1,'Stock UST'!$1:$1,0)),U88,INDEX('Stock UST'!88:88,1,MATCH(Stock!V$1,'Stock UST'!$1:$1,0)))=0,"",IF(ISERROR(MATCH(Stock!V$1,'Stock UST'!$1:$1,0)),U88,INDEX('Stock UST'!88:88,1,MATCH(Stock!V$1,'Stock UST'!$1:$1,0))))</f>
        <v/>
      </c>
      <c r="W88" s="9" t="str">
        <f ca="1">IF(IF(ISERROR(MATCH(Stock!W$1,'Stock UST'!$1:$1,0)),V88,INDEX('Stock UST'!88:88,1,MATCH(Stock!W$1,'Stock UST'!$1:$1,0)))=0,"",IF(ISERROR(MATCH(Stock!W$1,'Stock UST'!$1:$1,0)),V88,INDEX('Stock UST'!88:88,1,MATCH(Stock!W$1,'Stock UST'!$1:$1,0))))</f>
        <v/>
      </c>
      <c r="X88" s="9" t="str">
        <f ca="1">IF(IF(ISERROR(MATCH(Stock!X$1,'Stock UST'!$1:$1,0)),W88,INDEX('Stock UST'!88:88,1,MATCH(Stock!X$1,'Stock UST'!$1:$1,0)))=0,"",IF(ISERROR(MATCH(Stock!X$1,'Stock UST'!$1:$1,0)),W88,INDEX('Stock UST'!88:88,1,MATCH(Stock!X$1,'Stock UST'!$1:$1,0))))</f>
        <v/>
      </c>
      <c r="Y88" s="9" t="str">
        <f ca="1">IF(IF(ISERROR(MATCH(Stock!Y$1,'Stock UST'!$1:$1,0)),X88,INDEX('Stock UST'!88:88,1,MATCH(Stock!Y$1,'Stock UST'!$1:$1,0)))=0,"",IF(ISERROR(MATCH(Stock!Y$1,'Stock UST'!$1:$1,0)),X88,INDEX('Stock UST'!88:88,1,MATCH(Stock!Y$1,'Stock UST'!$1:$1,0))))</f>
        <v/>
      </c>
      <c r="Z88" s="9" t="str">
        <f ca="1">IF(IF(ISERROR(MATCH(Stock!Z$1,'Stock UST'!$1:$1,0)),Y88,INDEX('Stock UST'!88:88,1,MATCH(Stock!Z$1,'Stock UST'!$1:$1,0)))=0,"",IF(ISERROR(MATCH(Stock!Z$1,'Stock UST'!$1:$1,0)),Y88,INDEX('Stock UST'!88:88,1,MATCH(Stock!Z$1,'Stock UST'!$1:$1,0))))</f>
        <v/>
      </c>
      <c r="AA88" s="9" t="str">
        <f ca="1">IF(IF(ISERROR(MATCH(Stock!AA$1,'Stock UST'!$1:$1,0)),Z88,INDEX('Stock UST'!88:88,1,MATCH(Stock!AA$1,'Stock UST'!$1:$1,0)))=0,"",IF(ISERROR(MATCH(Stock!AA$1,'Stock UST'!$1:$1,0)),Z88,INDEX('Stock UST'!88:88,1,MATCH(Stock!AA$1,'Stock UST'!$1:$1,0))))</f>
        <v/>
      </c>
      <c r="AB88" s="9" t="str">
        <f ca="1">IF(IF(ISERROR(MATCH(Stock!AB$1,'Stock UST'!$1:$1,0)),AA88,INDEX('Stock UST'!88:88,1,MATCH(Stock!AB$1,'Stock UST'!$1:$1,0)))=0,"",IF(ISERROR(MATCH(Stock!AB$1,'Stock UST'!$1:$1,0)),AA88,INDEX('Stock UST'!88:88,1,MATCH(Stock!AB$1,'Stock UST'!$1:$1,0))))</f>
        <v/>
      </c>
      <c r="AC88" s="9" t="str">
        <f ca="1">IF(IF(ISERROR(MATCH(Stock!AC$1,'Stock UST'!$1:$1,0)),AB88,INDEX('Stock UST'!88:88,1,MATCH(Stock!AC$1,'Stock UST'!$1:$1,0)))=0,"",IF(ISERROR(MATCH(Stock!AC$1,'Stock UST'!$1:$1,0)),AB88,INDEX('Stock UST'!88:88,1,MATCH(Stock!AC$1,'Stock UST'!$1:$1,0))))</f>
        <v/>
      </c>
      <c r="AD88" s="9" t="str">
        <f ca="1">IF(IF(ISERROR(MATCH(Stock!AD$1,'Stock UST'!$1:$1,0)),AC88,INDEX('Stock UST'!88:88,1,MATCH(Stock!AD$1,'Stock UST'!$1:$1,0)))=0,"",IF(ISERROR(MATCH(Stock!AD$1,'Stock UST'!$1:$1,0)),AC88,INDEX('Stock UST'!88:88,1,MATCH(Stock!AD$1,'Stock UST'!$1:$1,0))))</f>
        <v/>
      </c>
      <c r="AE88" s="9" t="str">
        <f ca="1">IF(IF(ISERROR(MATCH(Stock!AE$1,'Stock UST'!$1:$1,0)),AD88,INDEX('Stock UST'!88:88,1,MATCH(Stock!AE$1,'Stock UST'!$1:$1,0)))=0,"",IF(ISERROR(MATCH(Stock!AE$1,'Stock UST'!$1:$1,0)),AD88,INDEX('Stock UST'!88:88,1,MATCH(Stock!AE$1,'Stock UST'!$1:$1,0))))</f>
        <v/>
      </c>
      <c r="AF88" s="9" t="str">
        <f ca="1">IF(IF(ISERROR(MATCH(Stock!AF$1,'Stock UST'!$1:$1,0)),AE88,INDEX('Stock UST'!88:88,1,MATCH(Stock!AF$1,'Stock UST'!$1:$1,0)))=0,"",IF(ISERROR(MATCH(Stock!AF$1,'Stock UST'!$1:$1,0)),AE88,INDEX('Stock UST'!88:88,1,MATCH(Stock!AF$1,'Stock UST'!$1:$1,0))))</f>
        <v/>
      </c>
      <c r="AG88" s="9" t="str">
        <f ca="1">IF(IF(ISERROR(MATCH(Stock!AG$1,'Stock UST'!$1:$1,0)),AF88,INDEX('Stock UST'!88:88,1,MATCH(Stock!AG$1,'Stock UST'!$1:$1,0)))=0,"",IF(ISERROR(MATCH(Stock!AG$1,'Stock UST'!$1:$1,0)),AF88,INDEX('Stock UST'!88:88,1,MATCH(Stock!AG$1,'Stock UST'!$1:$1,0))))</f>
        <v/>
      </c>
      <c r="AH88" s="9" t="str">
        <f ca="1">IF(IF(ISERROR(MATCH(Stock!AH$1,'Stock UST'!$1:$1,0)),AG88,INDEX('Stock UST'!88:88,1,MATCH(Stock!AH$1,'Stock UST'!$1:$1,0)))=0,"",IF(ISERROR(MATCH(Stock!AH$1,'Stock UST'!$1:$1,0)),AG88,INDEX('Stock UST'!88:88,1,MATCH(Stock!AH$1,'Stock UST'!$1:$1,0))))</f>
        <v/>
      </c>
      <c r="AI88" s="9" t="str">
        <f ca="1">IF(IF(ISERROR(MATCH(Stock!AI$1,'Stock UST'!$1:$1,0)),AH88,INDEX('Stock UST'!88:88,1,MATCH(Stock!AI$1,'Stock UST'!$1:$1,0)))=0,"",IF(ISERROR(MATCH(Stock!AI$1,'Stock UST'!$1:$1,0)),AH88,INDEX('Stock UST'!88:88,1,MATCH(Stock!AI$1,'Stock UST'!$1:$1,0))))</f>
        <v/>
      </c>
      <c r="AJ88" s="9" t="str">
        <f ca="1">IF(IF(ISERROR(MATCH(Stock!AJ$1,'Stock UST'!$1:$1,0)),AI88,INDEX('Stock UST'!88:88,1,MATCH(Stock!AJ$1,'Stock UST'!$1:$1,0)))=0,"",IF(ISERROR(MATCH(Stock!AJ$1,'Stock UST'!$1:$1,0)),AI88,INDEX('Stock UST'!88:88,1,MATCH(Stock!AJ$1,'Stock UST'!$1:$1,0))))</f>
        <v/>
      </c>
      <c r="AK88" s="9" t="str">
        <f ca="1">IF(IF(ISERROR(MATCH(Stock!AK$1,'Stock UST'!$1:$1,0)),AJ88,INDEX('Stock UST'!88:88,1,MATCH(Stock!AK$1,'Stock UST'!$1:$1,0)))=0,"",IF(ISERROR(MATCH(Stock!AK$1,'Stock UST'!$1:$1,0)),AJ88,INDEX('Stock UST'!88:88,1,MATCH(Stock!AK$1,'Stock UST'!$1:$1,0))))</f>
        <v/>
      </c>
      <c r="AL88" s="9" t="str">
        <f ca="1">IF(IF(ISERROR(MATCH(Stock!AL$1,'Stock UST'!$1:$1,0)),AK88,INDEX('Stock UST'!88:88,1,MATCH(Stock!AL$1,'Stock UST'!$1:$1,0)))=0,"",IF(ISERROR(MATCH(Stock!AL$1,'Stock UST'!$1:$1,0)),AK88,INDEX('Stock UST'!88:88,1,MATCH(Stock!AL$1,'Stock UST'!$1:$1,0))))</f>
        <v/>
      </c>
      <c r="AM88" s="9" t="str">
        <f ca="1">IF(IF(ISERROR(MATCH(Stock!AM$1,'Stock UST'!$1:$1,0)),AL88,INDEX('Stock UST'!88:88,1,MATCH(Stock!AM$1,'Stock UST'!$1:$1,0)))=0,"",IF(ISERROR(MATCH(Stock!AM$1,'Stock UST'!$1:$1,0)),AL88,INDEX('Stock UST'!88:88,1,MATCH(Stock!AM$1,'Stock UST'!$1:$1,0))))</f>
        <v/>
      </c>
      <c r="AN88" s="9" t="str">
        <f ca="1">IF(IF(ISERROR(MATCH(Stock!AN$1,'Stock UST'!$1:$1,0)),AM88,INDEX('Stock UST'!88:88,1,MATCH(Stock!AN$1,'Stock UST'!$1:$1,0)))=0,"",IF(ISERROR(MATCH(Stock!AN$1,'Stock UST'!$1:$1,0)),AM88,INDEX('Stock UST'!88:88,1,MATCH(Stock!AN$1,'Stock UST'!$1:$1,0))))</f>
        <v/>
      </c>
      <c r="AO88" s="9" t="str">
        <f ca="1">IF(IF(ISERROR(MATCH(Stock!AO$1,'Stock UST'!$1:$1,0)),AN88,INDEX('Stock UST'!88:88,1,MATCH(Stock!AO$1,'Stock UST'!$1:$1,0)))=0,"",IF(ISERROR(MATCH(Stock!AO$1,'Stock UST'!$1:$1,0)),AN88,INDEX('Stock UST'!88:88,1,MATCH(Stock!AO$1,'Stock UST'!$1:$1,0))))</f>
        <v/>
      </c>
      <c r="AP88" s="9" t="str">
        <f ca="1">IF(IF(ISERROR(MATCH(Stock!AP$1,'Stock UST'!$1:$1,0)),AO88,INDEX('Stock UST'!88:88,1,MATCH(Stock!AP$1,'Stock UST'!$1:$1,0)))=0,"",IF(ISERROR(MATCH(Stock!AP$1,'Stock UST'!$1:$1,0)),AO88,INDEX('Stock UST'!88:88,1,MATCH(Stock!AP$1,'Stock UST'!$1:$1,0))))</f>
        <v/>
      </c>
      <c r="AQ88" s="9" t="str">
        <f ca="1">IF(IF(ISERROR(MATCH(Stock!AQ$1,'Stock UST'!$1:$1,0)),AP88,INDEX('Stock UST'!88:88,1,MATCH(Stock!AQ$1,'Stock UST'!$1:$1,0)))=0,"",IF(ISERROR(MATCH(Stock!AQ$1,'Stock UST'!$1:$1,0)),AP88,INDEX('Stock UST'!88:88,1,MATCH(Stock!AQ$1,'Stock UST'!$1:$1,0))))</f>
        <v/>
      </c>
      <c r="AR88" s="9" t="str">
        <f ca="1">IF(IF(ISERROR(MATCH(Stock!AR$1,'Stock UST'!$1:$1,0)),AQ88,INDEX('Stock UST'!88:88,1,MATCH(Stock!AR$1,'Stock UST'!$1:$1,0)))=0,"",IF(ISERROR(MATCH(Stock!AR$1,'Stock UST'!$1:$1,0)),AQ88,INDEX('Stock UST'!88:88,1,MATCH(Stock!AR$1,'Stock UST'!$1:$1,0))))</f>
        <v/>
      </c>
      <c r="AS88" s="9" t="str">
        <f ca="1">IF(IF(ISERROR(MATCH(Stock!AS$1,'Stock UST'!$1:$1,0)),AR88,INDEX('Stock UST'!88:88,1,MATCH(Stock!AS$1,'Stock UST'!$1:$1,0)))=0,"",IF(ISERROR(MATCH(Stock!AS$1,'Stock UST'!$1:$1,0)),AR88,INDEX('Stock UST'!88:88,1,MATCH(Stock!AS$1,'Stock UST'!$1:$1,0))))</f>
        <v/>
      </c>
      <c r="AT88" s="9" t="str">
        <f ca="1">IF(IF(ISERROR(MATCH(Stock!AT$1,'Stock UST'!$1:$1,0)),AS88,INDEX('Stock UST'!88:88,1,MATCH(Stock!AT$1,'Stock UST'!$1:$1,0)))=0,"",IF(ISERROR(MATCH(Stock!AT$1,'Stock UST'!$1:$1,0)),AS88,INDEX('Stock UST'!88:88,1,MATCH(Stock!AT$1,'Stock UST'!$1:$1,0))))</f>
        <v/>
      </c>
      <c r="AU88" s="9" t="str">
        <f ca="1">IF(IF(ISERROR(MATCH(Stock!AU$1,'Stock UST'!$1:$1,0)),AT88,INDEX('Stock UST'!88:88,1,MATCH(Stock!AU$1,'Stock UST'!$1:$1,0)))=0,"",IF(ISERROR(MATCH(Stock!AU$1,'Stock UST'!$1:$1,0)),AT88,INDEX('Stock UST'!88:88,1,MATCH(Stock!AU$1,'Stock UST'!$1:$1,0))))</f>
        <v/>
      </c>
      <c r="AV88" s="9" t="str">
        <f ca="1">IF(IF(ISERROR(MATCH(Stock!AV$1,'Stock UST'!$1:$1,0)),AU88,INDEX('Stock UST'!88:88,1,MATCH(Stock!AV$1,'Stock UST'!$1:$1,0)))=0,"",IF(ISERROR(MATCH(Stock!AV$1,'Stock UST'!$1:$1,0)),AU88,INDEX('Stock UST'!88:88,1,MATCH(Stock!AV$1,'Stock UST'!$1:$1,0))))</f>
        <v/>
      </c>
      <c r="AW88" s="9" t="str">
        <f ca="1">IF(IF(ISERROR(MATCH(Stock!AW$1,'Stock UST'!$1:$1,0)),AV88,INDEX('Stock UST'!88:88,1,MATCH(Stock!AW$1,'Stock UST'!$1:$1,0)))=0,"",IF(ISERROR(MATCH(Stock!AW$1,'Stock UST'!$1:$1,0)),AV88,INDEX('Stock UST'!88:88,1,MATCH(Stock!AW$1,'Stock UST'!$1:$1,0))))</f>
        <v/>
      </c>
      <c r="AX88" s="9" t="str">
        <f ca="1">IF(IF(ISERROR(MATCH(Stock!AX$1,'Stock UST'!$1:$1,0)),AW88,INDEX('Stock UST'!88:88,1,MATCH(Stock!AX$1,'Stock UST'!$1:$1,0)))=0,"",IF(ISERROR(MATCH(Stock!AX$1,'Stock UST'!$1:$1,0)),AW88,INDEX('Stock UST'!88:88,1,MATCH(Stock!AX$1,'Stock UST'!$1:$1,0))))</f>
        <v/>
      </c>
    </row>
    <row r="89" spans="1:50" x14ac:dyDescent="0.3">
      <c r="A89" s="9" t="str">
        <f>IF('Stock UST'!E89="","",'Stock UST'!E89)</f>
        <v/>
      </c>
      <c r="B89" s="9" t="str">
        <f>IF(IF(ISERROR(MATCH(Stock!B$1,'Stock UST'!$1:$1,0)),A89,INDEX('Stock UST'!89:89,1,MATCH(Stock!B$1,'Stock UST'!$1:$1,0)))=0,"",IF(ISERROR(MATCH(Stock!B$1,'Stock UST'!$1:$1,0)),A89,INDEX('Stock UST'!89:89,1,MATCH(Stock!B$1,'Stock UST'!$1:$1,0))))</f>
        <v/>
      </c>
      <c r="C89" s="9" t="str">
        <f ca="1">IF(IF(ISERROR(MATCH(Stock!C$1,'Stock UST'!$1:$1,0)),B89,INDEX('Stock UST'!89:89,1,MATCH(Stock!C$1,'Stock UST'!$1:$1,0)))=0,"",IF(ISERROR(MATCH(Stock!C$1,'Stock UST'!$1:$1,0)),B89,INDEX('Stock UST'!89:89,1,MATCH(Stock!C$1,'Stock UST'!$1:$1,0))))</f>
        <v/>
      </c>
      <c r="D89" s="9" t="str">
        <f ca="1">IF(IF(ISERROR(MATCH(Stock!D$1,'Stock UST'!$1:$1,0)),C89,INDEX('Stock UST'!89:89,1,MATCH(Stock!D$1,'Stock UST'!$1:$1,0)))=0,"",IF(ISERROR(MATCH(Stock!D$1,'Stock UST'!$1:$1,0)),C89,INDEX('Stock UST'!89:89,1,MATCH(Stock!D$1,'Stock UST'!$1:$1,0))))</f>
        <v/>
      </c>
      <c r="E89" s="9" t="str">
        <f ca="1">IF(IF(ISERROR(MATCH(Stock!E$1,'Stock UST'!$1:$1,0)),D89,INDEX('Stock UST'!89:89,1,MATCH(Stock!E$1,'Stock UST'!$1:$1,0)))=0,"",IF(ISERROR(MATCH(Stock!E$1,'Stock UST'!$1:$1,0)),D89,INDEX('Stock UST'!89:89,1,MATCH(Stock!E$1,'Stock UST'!$1:$1,0))))</f>
        <v/>
      </c>
      <c r="F89" s="9" t="str">
        <f ca="1">IF(IF(ISERROR(MATCH(Stock!F$1,'Stock UST'!$1:$1,0)),E89,INDEX('Stock UST'!89:89,1,MATCH(Stock!F$1,'Stock UST'!$1:$1,0)))=0,"",IF(ISERROR(MATCH(Stock!F$1,'Stock UST'!$1:$1,0)),E89,INDEX('Stock UST'!89:89,1,MATCH(Stock!F$1,'Stock UST'!$1:$1,0))))</f>
        <v/>
      </c>
      <c r="G89" s="9" t="str">
        <f ca="1">IF(IF(ISERROR(MATCH(Stock!G$1,'Stock UST'!$1:$1,0)),F89,INDEX('Stock UST'!89:89,1,MATCH(Stock!G$1,'Stock UST'!$1:$1,0)))=0,"",IF(ISERROR(MATCH(Stock!G$1,'Stock UST'!$1:$1,0)),F89,INDEX('Stock UST'!89:89,1,MATCH(Stock!G$1,'Stock UST'!$1:$1,0))))</f>
        <v/>
      </c>
      <c r="H89" s="9" t="str">
        <f ca="1">IF(IF(ISERROR(MATCH(Stock!H$1,'Stock UST'!$1:$1,0)),G89,INDEX('Stock UST'!89:89,1,MATCH(Stock!H$1,'Stock UST'!$1:$1,0)))=0,"",IF(ISERROR(MATCH(Stock!H$1,'Stock UST'!$1:$1,0)),G89,INDEX('Stock UST'!89:89,1,MATCH(Stock!H$1,'Stock UST'!$1:$1,0))))</f>
        <v/>
      </c>
      <c r="I89" s="9" t="str">
        <f ca="1">IF(IF(ISERROR(MATCH(Stock!I$1,'Stock UST'!$1:$1,0)),H89,INDEX('Stock UST'!89:89,1,MATCH(Stock!I$1,'Stock UST'!$1:$1,0)))=0,"",IF(ISERROR(MATCH(Stock!I$1,'Stock UST'!$1:$1,0)),H89,INDEX('Stock UST'!89:89,1,MATCH(Stock!I$1,'Stock UST'!$1:$1,0))))</f>
        <v/>
      </c>
      <c r="J89" s="9" t="str">
        <f ca="1">IF(IF(ISERROR(MATCH(Stock!J$1,'Stock UST'!$1:$1,0)),I89,INDEX('Stock UST'!89:89,1,MATCH(Stock!J$1,'Stock UST'!$1:$1,0)))=0,"",IF(ISERROR(MATCH(Stock!J$1,'Stock UST'!$1:$1,0)),I89,INDEX('Stock UST'!89:89,1,MATCH(Stock!J$1,'Stock UST'!$1:$1,0))))</f>
        <v/>
      </c>
      <c r="K89" s="9" t="str">
        <f ca="1">IF(IF(ISERROR(MATCH(Stock!K$1,'Stock UST'!$1:$1,0)),J89,INDEX('Stock UST'!89:89,1,MATCH(Stock!K$1,'Stock UST'!$1:$1,0)))=0,"",IF(ISERROR(MATCH(Stock!K$1,'Stock UST'!$1:$1,0)),J89,INDEX('Stock UST'!89:89,1,MATCH(Stock!K$1,'Stock UST'!$1:$1,0))))</f>
        <v/>
      </c>
      <c r="L89" s="9" t="str">
        <f ca="1">IF(IF(ISERROR(MATCH(Stock!L$1,'Stock UST'!$1:$1,0)),K89,INDEX('Stock UST'!89:89,1,MATCH(Stock!L$1,'Stock UST'!$1:$1,0)))=0,"",IF(ISERROR(MATCH(Stock!L$1,'Stock UST'!$1:$1,0)),K89,INDEX('Stock UST'!89:89,1,MATCH(Stock!L$1,'Stock UST'!$1:$1,0))))</f>
        <v/>
      </c>
      <c r="M89" s="9" t="str">
        <f ca="1">IF(IF(ISERROR(MATCH(Stock!M$1,'Stock UST'!$1:$1,0)),L89,INDEX('Stock UST'!89:89,1,MATCH(Stock!M$1,'Stock UST'!$1:$1,0)))=0,"",IF(ISERROR(MATCH(Stock!M$1,'Stock UST'!$1:$1,0)),L89,INDEX('Stock UST'!89:89,1,MATCH(Stock!M$1,'Stock UST'!$1:$1,0))))</f>
        <v/>
      </c>
      <c r="N89" s="9" t="str">
        <f ca="1">IF(IF(ISERROR(MATCH(Stock!N$1,'Stock UST'!$1:$1,0)),M89,INDEX('Stock UST'!89:89,1,MATCH(Stock!N$1,'Stock UST'!$1:$1,0)))=0,"",IF(ISERROR(MATCH(Stock!N$1,'Stock UST'!$1:$1,0)),M89,INDEX('Stock UST'!89:89,1,MATCH(Stock!N$1,'Stock UST'!$1:$1,0))))</f>
        <v/>
      </c>
      <c r="O89" s="9" t="str">
        <f ca="1">IF(IF(ISERROR(MATCH(Stock!O$1,'Stock UST'!$1:$1,0)),N89,INDEX('Stock UST'!89:89,1,MATCH(Stock!O$1,'Stock UST'!$1:$1,0)))=0,"",IF(ISERROR(MATCH(Stock!O$1,'Stock UST'!$1:$1,0)),N89,INDEX('Stock UST'!89:89,1,MATCH(Stock!O$1,'Stock UST'!$1:$1,0))))</f>
        <v/>
      </c>
      <c r="P89" s="9" t="str">
        <f ca="1">IF(IF(ISERROR(MATCH(Stock!P$1,'Stock UST'!$1:$1,0)),O89,INDEX('Stock UST'!89:89,1,MATCH(Stock!P$1,'Stock UST'!$1:$1,0)))=0,"",IF(ISERROR(MATCH(Stock!P$1,'Stock UST'!$1:$1,0)),O89,INDEX('Stock UST'!89:89,1,MATCH(Stock!P$1,'Stock UST'!$1:$1,0))))</f>
        <v/>
      </c>
      <c r="Q89" s="9" t="str">
        <f ca="1">IF(IF(ISERROR(MATCH(Stock!Q$1,'Stock UST'!$1:$1,0)),P89,INDEX('Stock UST'!89:89,1,MATCH(Stock!Q$1,'Stock UST'!$1:$1,0)))=0,"",IF(ISERROR(MATCH(Stock!Q$1,'Stock UST'!$1:$1,0)),P89,INDEX('Stock UST'!89:89,1,MATCH(Stock!Q$1,'Stock UST'!$1:$1,0))))</f>
        <v/>
      </c>
      <c r="R89" s="9" t="str">
        <f ca="1">IF(IF(ISERROR(MATCH(Stock!R$1,'Stock UST'!$1:$1,0)),Q89,INDEX('Stock UST'!89:89,1,MATCH(Stock!R$1,'Stock UST'!$1:$1,0)))=0,"",IF(ISERROR(MATCH(Stock!R$1,'Stock UST'!$1:$1,0)),Q89,INDEX('Stock UST'!89:89,1,MATCH(Stock!R$1,'Stock UST'!$1:$1,0))))</f>
        <v/>
      </c>
      <c r="S89" s="9" t="str">
        <f ca="1">IF(IF(ISERROR(MATCH(Stock!S$1,'Stock UST'!$1:$1,0)),R89,INDEX('Stock UST'!89:89,1,MATCH(Stock!S$1,'Stock UST'!$1:$1,0)))=0,"",IF(ISERROR(MATCH(Stock!S$1,'Stock UST'!$1:$1,0)),R89,INDEX('Stock UST'!89:89,1,MATCH(Stock!S$1,'Stock UST'!$1:$1,0))))</f>
        <v/>
      </c>
      <c r="T89" s="9" t="str">
        <f ca="1">IF(IF(ISERROR(MATCH(Stock!T$1,'Stock UST'!$1:$1,0)),S89,INDEX('Stock UST'!89:89,1,MATCH(Stock!T$1,'Stock UST'!$1:$1,0)))=0,"",IF(ISERROR(MATCH(Stock!T$1,'Stock UST'!$1:$1,0)),S89,INDEX('Stock UST'!89:89,1,MATCH(Stock!T$1,'Stock UST'!$1:$1,0))))</f>
        <v/>
      </c>
      <c r="U89" s="9" t="str">
        <f ca="1">IF(IF(ISERROR(MATCH(Stock!U$1,'Stock UST'!$1:$1,0)),T89,INDEX('Stock UST'!89:89,1,MATCH(Stock!U$1,'Stock UST'!$1:$1,0)))=0,"",IF(ISERROR(MATCH(Stock!U$1,'Stock UST'!$1:$1,0)),T89,INDEX('Stock UST'!89:89,1,MATCH(Stock!U$1,'Stock UST'!$1:$1,0))))</f>
        <v/>
      </c>
      <c r="V89" s="9" t="str">
        <f ca="1">IF(IF(ISERROR(MATCH(Stock!V$1,'Stock UST'!$1:$1,0)),U89,INDEX('Stock UST'!89:89,1,MATCH(Stock!V$1,'Stock UST'!$1:$1,0)))=0,"",IF(ISERROR(MATCH(Stock!V$1,'Stock UST'!$1:$1,0)),U89,INDEX('Stock UST'!89:89,1,MATCH(Stock!V$1,'Stock UST'!$1:$1,0))))</f>
        <v/>
      </c>
      <c r="W89" s="9" t="str">
        <f ca="1">IF(IF(ISERROR(MATCH(Stock!W$1,'Stock UST'!$1:$1,0)),V89,INDEX('Stock UST'!89:89,1,MATCH(Stock!W$1,'Stock UST'!$1:$1,0)))=0,"",IF(ISERROR(MATCH(Stock!W$1,'Stock UST'!$1:$1,0)),V89,INDEX('Stock UST'!89:89,1,MATCH(Stock!W$1,'Stock UST'!$1:$1,0))))</f>
        <v/>
      </c>
      <c r="X89" s="9" t="str">
        <f ca="1">IF(IF(ISERROR(MATCH(Stock!X$1,'Stock UST'!$1:$1,0)),W89,INDEX('Stock UST'!89:89,1,MATCH(Stock!X$1,'Stock UST'!$1:$1,0)))=0,"",IF(ISERROR(MATCH(Stock!X$1,'Stock UST'!$1:$1,0)),W89,INDEX('Stock UST'!89:89,1,MATCH(Stock!X$1,'Stock UST'!$1:$1,0))))</f>
        <v/>
      </c>
      <c r="Y89" s="9" t="str">
        <f ca="1">IF(IF(ISERROR(MATCH(Stock!Y$1,'Stock UST'!$1:$1,0)),X89,INDEX('Stock UST'!89:89,1,MATCH(Stock!Y$1,'Stock UST'!$1:$1,0)))=0,"",IF(ISERROR(MATCH(Stock!Y$1,'Stock UST'!$1:$1,0)),X89,INDEX('Stock UST'!89:89,1,MATCH(Stock!Y$1,'Stock UST'!$1:$1,0))))</f>
        <v/>
      </c>
      <c r="Z89" s="9" t="str">
        <f ca="1">IF(IF(ISERROR(MATCH(Stock!Z$1,'Stock UST'!$1:$1,0)),Y89,INDEX('Stock UST'!89:89,1,MATCH(Stock!Z$1,'Stock UST'!$1:$1,0)))=0,"",IF(ISERROR(MATCH(Stock!Z$1,'Stock UST'!$1:$1,0)),Y89,INDEX('Stock UST'!89:89,1,MATCH(Stock!Z$1,'Stock UST'!$1:$1,0))))</f>
        <v/>
      </c>
      <c r="AA89" s="9" t="str">
        <f ca="1">IF(IF(ISERROR(MATCH(Stock!AA$1,'Stock UST'!$1:$1,0)),Z89,INDEX('Stock UST'!89:89,1,MATCH(Stock!AA$1,'Stock UST'!$1:$1,0)))=0,"",IF(ISERROR(MATCH(Stock!AA$1,'Stock UST'!$1:$1,0)),Z89,INDEX('Stock UST'!89:89,1,MATCH(Stock!AA$1,'Stock UST'!$1:$1,0))))</f>
        <v/>
      </c>
      <c r="AB89" s="9" t="str">
        <f ca="1">IF(IF(ISERROR(MATCH(Stock!AB$1,'Stock UST'!$1:$1,0)),AA89,INDEX('Stock UST'!89:89,1,MATCH(Stock!AB$1,'Stock UST'!$1:$1,0)))=0,"",IF(ISERROR(MATCH(Stock!AB$1,'Stock UST'!$1:$1,0)),AA89,INDEX('Stock UST'!89:89,1,MATCH(Stock!AB$1,'Stock UST'!$1:$1,0))))</f>
        <v/>
      </c>
      <c r="AC89" s="9" t="str">
        <f ca="1">IF(IF(ISERROR(MATCH(Stock!AC$1,'Stock UST'!$1:$1,0)),AB89,INDEX('Stock UST'!89:89,1,MATCH(Stock!AC$1,'Stock UST'!$1:$1,0)))=0,"",IF(ISERROR(MATCH(Stock!AC$1,'Stock UST'!$1:$1,0)),AB89,INDEX('Stock UST'!89:89,1,MATCH(Stock!AC$1,'Stock UST'!$1:$1,0))))</f>
        <v/>
      </c>
      <c r="AD89" s="9" t="str">
        <f ca="1">IF(IF(ISERROR(MATCH(Stock!AD$1,'Stock UST'!$1:$1,0)),AC89,INDEX('Stock UST'!89:89,1,MATCH(Stock!AD$1,'Stock UST'!$1:$1,0)))=0,"",IF(ISERROR(MATCH(Stock!AD$1,'Stock UST'!$1:$1,0)),AC89,INDEX('Stock UST'!89:89,1,MATCH(Stock!AD$1,'Stock UST'!$1:$1,0))))</f>
        <v/>
      </c>
      <c r="AE89" s="9" t="str">
        <f ca="1">IF(IF(ISERROR(MATCH(Stock!AE$1,'Stock UST'!$1:$1,0)),AD89,INDEX('Stock UST'!89:89,1,MATCH(Stock!AE$1,'Stock UST'!$1:$1,0)))=0,"",IF(ISERROR(MATCH(Stock!AE$1,'Stock UST'!$1:$1,0)),AD89,INDEX('Stock UST'!89:89,1,MATCH(Stock!AE$1,'Stock UST'!$1:$1,0))))</f>
        <v/>
      </c>
      <c r="AF89" s="9" t="str">
        <f ca="1">IF(IF(ISERROR(MATCH(Stock!AF$1,'Stock UST'!$1:$1,0)),AE89,INDEX('Stock UST'!89:89,1,MATCH(Stock!AF$1,'Stock UST'!$1:$1,0)))=0,"",IF(ISERROR(MATCH(Stock!AF$1,'Stock UST'!$1:$1,0)),AE89,INDEX('Stock UST'!89:89,1,MATCH(Stock!AF$1,'Stock UST'!$1:$1,0))))</f>
        <v/>
      </c>
      <c r="AG89" s="9" t="str">
        <f ca="1">IF(IF(ISERROR(MATCH(Stock!AG$1,'Stock UST'!$1:$1,0)),AF89,INDEX('Stock UST'!89:89,1,MATCH(Stock!AG$1,'Stock UST'!$1:$1,0)))=0,"",IF(ISERROR(MATCH(Stock!AG$1,'Stock UST'!$1:$1,0)),AF89,INDEX('Stock UST'!89:89,1,MATCH(Stock!AG$1,'Stock UST'!$1:$1,0))))</f>
        <v/>
      </c>
      <c r="AH89" s="9" t="str">
        <f ca="1">IF(IF(ISERROR(MATCH(Stock!AH$1,'Stock UST'!$1:$1,0)),AG89,INDEX('Stock UST'!89:89,1,MATCH(Stock!AH$1,'Stock UST'!$1:$1,0)))=0,"",IF(ISERROR(MATCH(Stock!AH$1,'Stock UST'!$1:$1,0)),AG89,INDEX('Stock UST'!89:89,1,MATCH(Stock!AH$1,'Stock UST'!$1:$1,0))))</f>
        <v/>
      </c>
      <c r="AI89" s="9" t="str">
        <f ca="1">IF(IF(ISERROR(MATCH(Stock!AI$1,'Stock UST'!$1:$1,0)),AH89,INDEX('Stock UST'!89:89,1,MATCH(Stock!AI$1,'Stock UST'!$1:$1,0)))=0,"",IF(ISERROR(MATCH(Stock!AI$1,'Stock UST'!$1:$1,0)),AH89,INDEX('Stock UST'!89:89,1,MATCH(Stock!AI$1,'Stock UST'!$1:$1,0))))</f>
        <v/>
      </c>
      <c r="AJ89" s="9" t="str">
        <f ca="1">IF(IF(ISERROR(MATCH(Stock!AJ$1,'Stock UST'!$1:$1,0)),AI89,INDEX('Stock UST'!89:89,1,MATCH(Stock!AJ$1,'Stock UST'!$1:$1,0)))=0,"",IF(ISERROR(MATCH(Stock!AJ$1,'Stock UST'!$1:$1,0)),AI89,INDEX('Stock UST'!89:89,1,MATCH(Stock!AJ$1,'Stock UST'!$1:$1,0))))</f>
        <v/>
      </c>
      <c r="AK89" s="9" t="str">
        <f ca="1">IF(IF(ISERROR(MATCH(Stock!AK$1,'Stock UST'!$1:$1,0)),AJ89,INDEX('Stock UST'!89:89,1,MATCH(Stock!AK$1,'Stock UST'!$1:$1,0)))=0,"",IF(ISERROR(MATCH(Stock!AK$1,'Stock UST'!$1:$1,0)),AJ89,INDEX('Stock UST'!89:89,1,MATCH(Stock!AK$1,'Stock UST'!$1:$1,0))))</f>
        <v/>
      </c>
      <c r="AL89" s="9" t="str">
        <f ca="1">IF(IF(ISERROR(MATCH(Stock!AL$1,'Stock UST'!$1:$1,0)),AK89,INDEX('Stock UST'!89:89,1,MATCH(Stock!AL$1,'Stock UST'!$1:$1,0)))=0,"",IF(ISERROR(MATCH(Stock!AL$1,'Stock UST'!$1:$1,0)),AK89,INDEX('Stock UST'!89:89,1,MATCH(Stock!AL$1,'Stock UST'!$1:$1,0))))</f>
        <v/>
      </c>
      <c r="AM89" s="9" t="str">
        <f ca="1">IF(IF(ISERROR(MATCH(Stock!AM$1,'Stock UST'!$1:$1,0)),AL89,INDEX('Stock UST'!89:89,1,MATCH(Stock!AM$1,'Stock UST'!$1:$1,0)))=0,"",IF(ISERROR(MATCH(Stock!AM$1,'Stock UST'!$1:$1,0)),AL89,INDEX('Stock UST'!89:89,1,MATCH(Stock!AM$1,'Stock UST'!$1:$1,0))))</f>
        <v/>
      </c>
      <c r="AN89" s="9" t="str">
        <f ca="1">IF(IF(ISERROR(MATCH(Stock!AN$1,'Stock UST'!$1:$1,0)),AM89,INDEX('Stock UST'!89:89,1,MATCH(Stock!AN$1,'Stock UST'!$1:$1,0)))=0,"",IF(ISERROR(MATCH(Stock!AN$1,'Stock UST'!$1:$1,0)),AM89,INDEX('Stock UST'!89:89,1,MATCH(Stock!AN$1,'Stock UST'!$1:$1,0))))</f>
        <v/>
      </c>
      <c r="AO89" s="9" t="str">
        <f ca="1">IF(IF(ISERROR(MATCH(Stock!AO$1,'Stock UST'!$1:$1,0)),AN89,INDEX('Stock UST'!89:89,1,MATCH(Stock!AO$1,'Stock UST'!$1:$1,0)))=0,"",IF(ISERROR(MATCH(Stock!AO$1,'Stock UST'!$1:$1,0)),AN89,INDEX('Stock UST'!89:89,1,MATCH(Stock!AO$1,'Stock UST'!$1:$1,0))))</f>
        <v/>
      </c>
      <c r="AP89" s="9" t="str">
        <f ca="1">IF(IF(ISERROR(MATCH(Stock!AP$1,'Stock UST'!$1:$1,0)),AO89,INDEX('Stock UST'!89:89,1,MATCH(Stock!AP$1,'Stock UST'!$1:$1,0)))=0,"",IF(ISERROR(MATCH(Stock!AP$1,'Stock UST'!$1:$1,0)),AO89,INDEX('Stock UST'!89:89,1,MATCH(Stock!AP$1,'Stock UST'!$1:$1,0))))</f>
        <v/>
      </c>
      <c r="AQ89" s="9" t="str">
        <f ca="1">IF(IF(ISERROR(MATCH(Stock!AQ$1,'Stock UST'!$1:$1,0)),AP89,INDEX('Stock UST'!89:89,1,MATCH(Stock!AQ$1,'Stock UST'!$1:$1,0)))=0,"",IF(ISERROR(MATCH(Stock!AQ$1,'Stock UST'!$1:$1,0)),AP89,INDEX('Stock UST'!89:89,1,MATCH(Stock!AQ$1,'Stock UST'!$1:$1,0))))</f>
        <v/>
      </c>
      <c r="AR89" s="9" t="str">
        <f ca="1">IF(IF(ISERROR(MATCH(Stock!AR$1,'Stock UST'!$1:$1,0)),AQ89,INDEX('Stock UST'!89:89,1,MATCH(Stock!AR$1,'Stock UST'!$1:$1,0)))=0,"",IF(ISERROR(MATCH(Stock!AR$1,'Stock UST'!$1:$1,0)),AQ89,INDEX('Stock UST'!89:89,1,MATCH(Stock!AR$1,'Stock UST'!$1:$1,0))))</f>
        <v/>
      </c>
      <c r="AS89" s="9" t="str">
        <f ca="1">IF(IF(ISERROR(MATCH(Stock!AS$1,'Stock UST'!$1:$1,0)),AR89,INDEX('Stock UST'!89:89,1,MATCH(Stock!AS$1,'Stock UST'!$1:$1,0)))=0,"",IF(ISERROR(MATCH(Stock!AS$1,'Stock UST'!$1:$1,0)),AR89,INDEX('Stock UST'!89:89,1,MATCH(Stock!AS$1,'Stock UST'!$1:$1,0))))</f>
        <v/>
      </c>
      <c r="AT89" s="9" t="str">
        <f ca="1">IF(IF(ISERROR(MATCH(Stock!AT$1,'Stock UST'!$1:$1,0)),AS89,INDEX('Stock UST'!89:89,1,MATCH(Stock!AT$1,'Stock UST'!$1:$1,0)))=0,"",IF(ISERROR(MATCH(Stock!AT$1,'Stock UST'!$1:$1,0)),AS89,INDEX('Stock UST'!89:89,1,MATCH(Stock!AT$1,'Stock UST'!$1:$1,0))))</f>
        <v/>
      </c>
      <c r="AU89" s="9" t="str">
        <f ca="1">IF(IF(ISERROR(MATCH(Stock!AU$1,'Stock UST'!$1:$1,0)),AT89,INDEX('Stock UST'!89:89,1,MATCH(Stock!AU$1,'Stock UST'!$1:$1,0)))=0,"",IF(ISERROR(MATCH(Stock!AU$1,'Stock UST'!$1:$1,0)),AT89,INDEX('Stock UST'!89:89,1,MATCH(Stock!AU$1,'Stock UST'!$1:$1,0))))</f>
        <v/>
      </c>
      <c r="AV89" s="9" t="str">
        <f ca="1">IF(IF(ISERROR(MATCH(Stock!AV$1,'Stock UST'!$1:$1,0)),AU89,INDEX('Stock UST'!89:89,1,MATCH(Stock!AV$1,'Stock UST'!$1:$1,0)))=0,"",IF(ISERROR(MATCH(Stock!AV$1,'Stock UST'!$1:$1,0)),AU89,INDEX('Stock UST'!89:89,1,MATCH(Stock!AV$1,'Stock UST'!$1:$1,0))))</f>
        <v/>
      </c>
      <c r="AW89" s="9" t="str">
        <f ca="1">IF(IF(ISERROR(MATCH(Stock!AW$1,'Stock UST'!$1:$1,0)),AV89,INDEX('Stock UST'!89:89,1,MATCH(Stock!AW$1,'Stock UST'!$1:$1,0)))=0,"",IF(ISERROR(MATCH(Stock!AW$1,'Stock UST'!$1:$1,0)),AV89,INDEX('Stock UST'!89:89,1,MATCH(Stock!AW$1,'Stock UST'!$1:$1,0))))</f>
        <v/>
      </c>
      <c r="AX89" s="9" t="str">
        <f ca="1">IF(IF(ISERROR(MATCH(Stock!AX$1,'Stock UST'!$1:$1,0)),AW89,INDEX('Stock UST'!89:89,1,MATCH(Stock!AX$1,'Stock UST'!$1:$1,0)))=0,"",IF(ISERROR(MATCH(Stock!AX$1,'Stock UST'!$1:$1,0)),AW89,INDEX('Stock UST'!89:89,1,MATCH(Stock!AX$1,'Stock UST'!$1:$1,0))))</f>
        <v/>
      </c>
    </row>
    <row r="90" spans="1:50" x14ac:dyDescent="0.3">
      <c r="A90" s="9" t="str">
        <f>IF('Stock UST'!E90="","",'Stock UST'!E90)</f>
        <v/>
      </c>
      <c r="B90" s="9" t="str">
        <f>IF(IF(ISERROR(MATCH(Stock!B$1,'Stock UST'!$1:$1,0)),A90,INDEX('Stock UST'!90:90,1,MATCH(Stock!B$1,'Stock UST'!$1:$1,0)))=0,"",IF(ISERROR(MATCH(Stock!B$1,'Stock UST'!$1:$1,0)),A90,INDEX('Stock UST'!90:90,1,MATCH(Stock!B$1,'Stock UST'!$1:$1,0))))</f>
        <v/>
      </c>
      <c r="C90" s="9" t="str">
        <f ca="1">IF(IF(ISERROR(MATCH(Stock!C$1,'Stock UST'!$1:$1,0)),B90,INDEX('Stock UST'!90:90,1,MATCH(Stock!C$1,'Stock UST'!$1:$1,0)))=0,"",IF(ISERROR(MATCH(Stock!C$1,'Stock UST'!$1:$1,0)),B90,INDEX('Stock UST'!90:90,1,MATCH(Stock!C$1,'Stock UST'!$1:$1,0))))</f>
        <v/>
      </c>
      <c r="D90" s="9" t="str">
        <f ca="1">IF(IF(ISERROR(MATCH(Stock!D$1,'Stock UST'!$1:$1,0)),C90,INDEX('Stock UST'!90:90,1,MATCH(Stock!D$1,'Stock UST'!$1:$1,0)))=0,"",IF(ISERROR(MATCH(Stock!D$1,'Stock UST'!$1:$1,0)),C90,INDEX('Stock UST'!90:90,1,MATCH(Stock!D$1,'Stock UST'!$1:$1,0))))</f>
        <v/>
      </c>
      <c r="E90" s="9" t="str">
        <f ca="1">IF(IF(ISERROR(MATCH(Stock!E$1,'Stock UST'!$1:$1,0)),D90,INDEX('Stock UST'!90:90,1,MATCH(Stock!E$1,'Stock UST'!$1:$1,0)))=0,"",IF(ISERROR(MATCH(Stock!E$1,'Stock UST'!$1:$1,0)),D90,INDEX('Stock UST'!90:90,1,MATCH(Stock!E$1,'Stock UST'!$1:$1,0))))</f>
        <v/>
      </c>
      <c r="F90" s="9" t="str">
        <f ca="1">IF(IF(ISERROR(MATCH(Stock!F$1,'Stock UST'!$1:$1,0)),E90,INDEX('Stock UST'!90:90,1,MATCH(Stock!F$1,'Stock UST'!$1:$1,0)))=0,"",IF(ISERROR(MATCH(Stock!F$1,'Stock UST'!$1:$1,0)),E90,INDEX('Stock UST'!90:90,1,MATCH(Stock!F$1,'Stock UST'!$1:$1,0))))</f>
        <v/>
      </c>
      <c r="G90" s="9" t="str">
        <f ca="1">IF(IF(ISERROR(MATCH(Stock!G$1,'Stock UST'!$1:$1,0)),F90,INDEX('Stock UST'!90:90,1,MATCH(Stock!G$1,'Stock UST'!$1:$1,0)))=0,"",IF(ISERROR(MATCH(Stock!G$1,'Stock UST'!$1:$1,0)),F90,INDEX('Stock UST'!90:90,1,MATCH(Stock!G$1,'Stock UST'!$1:$1,0))))</f>
        <v/>
      </c>
      <c r="H90" s="9" t="str">
        <f ca="1">IF(IF(ISERROR(MATCH(Stock!H$1,'Stock UST'!$1:$1,0)),G90,INDEX('Stock UST'!90:90,1,MATCH(Stock!H$1,'Stock UST'!$1:$1,0)))=0,"",IF(ISERROR(MATCH(Stock!H$1,'Stock UST'!$1:$1,0)),G90,INDEX('Stock UST'!90:90,1,MATCH(Stock!H$1,'Stock UST'!$1:$1,0))))</f>
        <v/>
      </c>
      <c r="I90" s="9" t="str">
        <f ca="1">IF(IF(ISERROR(MATCH(Stock!I$1,'Stock UST'!$1:$1,0)),H90,INDEX('Stock UST'!90:90,1,MATCH(Stock!I$1,'Stock UST'!$1:$1,0)))=0,"",IF(ISERROR(MATCH(Stock!I$1,'Stock UST'!$1:$1,0)),H90,INDEX('Stock UST'!90:90,1,MATCH(Stock!I$1,'Stock UST'!$1:$1,0))))</f>
        <v/>
      </c>
      <c r="J90" s="9" t="str">
        <f ca="1">IF(IF(ISERROR(MATCH(Stock!J$1,'Stock UST'!$1:$1,0)),I90,INDEX('Stock UST'!90:90,1,MATCH(Stock!J$1,'Stock UST'!$1:$1,0)))=0,"",IF(ISERROR(MATCH(Stock!J$1,'Stock UST'!$1:$1,0)),I90,INDEX('Stock UST'!90:90,1,MATCH(Stock!J$1,'Stock UST'!$1:$1,0))))</f>
        <v/>
      </c>
      <c r="K90" s="9" t="str">
        <f ca="1">IF(IF(ISERROR(MATCH(Stock!K$1,'Stock UST'!$1:$1,0)),J90,INDEX('Stock UST'!90:90,1,MATCH(Stock!K$1,'Stock UST'!$1:$1,0)))=0,"",IF(ISERROR(MATCH(Stock!K$1,'Stock UST'!$1:$1,0)),J90,INDEX('Stock UST'!90:90,1,MATCH(Stock!K$1,'Stock UST'!$1:$1,0))))</f>
        <v/>
      </c>
      <c r="L90" s="9" t="str">
        <f ca="1">IF(IF(ISERROR(MATCH(Stock!L$1,'Stock UST'!$1:$1,0)),K90,INDEX('Stock UST'!90:90,1,MATCH(Stock!L$1,'Stock UST'!$1:$1,0)))=0,"",IF(ISERROR(MATCH(Stock!L$1,'Stock UST'!$1:$1,0)),K90,INDEX('Stock UST'!90:90,1,MATCH(Stock!L$1,'Stock UST'!$1:$1,0))))</f>
        <v/>
      </c>
      <c r="M90" s="9" t="str">
        <f ca="1">IF(IF(ISERROR(MATCH(Stock!M$1,'Stock UST'!$1:$1,0)),L90,INDEX('Stock UST'!90:90,1,MATCH(Stock!M$1,'Stock UST'!$1:$1,0)))=0,"",IF(ISERROR(MATCH(Stock!M$1,'Stock UST'!$1:$1,0)),L90,INDEX('Stock UST'!90:90,1,MATCH(Stock!M$1,'Stock UST'!$1:$1,0))))</f>
        <v/>
      </c>
      <c r="N90" s="9" t="str">
        <f ca="1">IF(IF(ISERROR(MATCH(Stock!N$1,'Stock UST'!$1:$1,0)),M90,INDEX('Stock UST'!90:90,1,MATCH(Stock!N$1,'Stock UST'!$1:$1,0)))=0,"",IF(ISERROR(MATCH(Stock!N$1,'Stock UST'!$1:$1,0)),M90,INDEX('Stock UST'!90:90,1,MATCH(Stock!N$1,'Stock UST'!$1:$1,0))))</f>
        <v/>
      </c>
      <c r="O90" s="9" t="str">
        <f ca="1">IF(IF(ISERROR(MATCH(Stock!O$1,'Stock UST'!$1:$1,0)),N90,INDEX('Stock UST'!90:90,1,MATCH(Stock!O$1,'Stock UST'!$1:$1,0)))=0,"",IF(ISERROR(MATCH(Stock!O$1,'Stock UST'!$1:$1,0)),N90,INDEX('Stock UST'!90:90,1,MATCH(Stock!O$1,'Stock UST'!$1:$1,0))))</f>
        <v/>
      </c>
      <c r="P90" s="9" t="str">
        <f ca="1">IF(IF(ISERROR(MATCH(Stock!P$1,'Stock UST'!$1:$1,0)),O90,INDEX('Stock UST'!90:90,1,MATCH(Stock!P$1,'Stock UST'!$1:$1,0)))=0,"",IF(ISERROR(MATCH(Stock!P$1,'Stock UST'!$1:$1,0)),O90,INDEX('Stock UST'!90:90,1,MATCH(Stock!P$1,'Stock UST'!$1:$1,0))))</f>
        <v/>
      </c>
      <c r="Q90" s="9" t="str">
        <f ca="1">IF(IF(ISERROR(MATCH(Stock!Q$1,'Stock UST'!$1:$1,0)),P90,INDEX('Stock UST'!90:90,1,MATCH(Stock!Q$1,'Stock UST'!$1:$1,0)))=0,"",IF(ISERROR(MATCH(Stock!Q$1,'Stock UST'!$1:$1,0)),P90,INDEX('Stock UST'!90:90,1,MATCH(Stock!Q$1,'Stock UST'!$1:$1,0))))</f>
        <v/>
      </c>
      <c r="R90" s="9" t="str">
        <f ca="1">IF(IF(ISERROR(MATCH(Stock!R$1,'Stock UST'!$1:$1,0)),Q90,INDEX('Stock UST'!90:90,1,MATCH(Stock!R$1,'Stock UST'!$1:$1,0)))=0,"",IF(ISERROR(MATCH(Stock!R$1,'Stock UST'!$1:$1,0)),Q90,INDEX('Stock UST'!90:90,1,MATCH(Stock!R$1,'Stock UST'!$1:$1,0))))</f>
        <v/>
      </c>
      <c r="S90" s="9" t="str">
        <f ca="1">IF(IF(ISERROR(MATCH(Stock!S$1,'Stock UST'!$1:$1,0)),R90,INDEX('Stock UST'!90:90,1,MATCH(Stock!S$1,'Stock UST'!$1:$1,0)))=0,"",IF(ISERROR(MATCH(Stock!S$1,'Stock UST'!$1:$1,0)),R90,INDEX('Stock UST'!90:90,1,MATCH(Stock!S$1,'Stock UST'!$1:$1,0))))</f>
        <v/>
      </c>
      <c r="T90" s="9" t="str">
        <f ca="1">IF(IF(ISERROR(MATCH(Stock!T$1,'Stock UST'!$1:$1,0)),S90,INDEX('Stock UST'!90:90,1,MATCH(Stock!T$1,'Stock UST'!$1:$1,0)))=0,"",IF(ISERROR(MATCH(Stock!T$1,'Stock UST'!$1:$1,0)),S90,INDEX('Stock UST'!90:90,1,MATCH(Stock!T$1,'Stock UST'!$1:$1,0))))</f>
        <v/>
      </c>
      <c r="U90" s="9" t="str">
        <f ca="1">IF(IF(ISERROR(MATCH(Stock!U$1,'Stock UST'!$1:$1,0)),T90,INDEX('Stock UST'!90:90,1,MATCH(Stock!U$1,'Stock UST'!$1:$1,0)))=0,"",IF(ISERROR(MATCH(Stock!U$1,'Stock UST'!$1:$1,0)),T90,INDEX('Stock UST'!90:90,1,MATCH(Stock!U$1,'Stock UST'!$1:$1,0))))</f>
        <v/>
      </c>
      <c r="V90" s="9" t="str">
        <f ca="1">IF(IF(ISERROR(MATCH(Stock!V$1,'Stock UST'!$1:$1,0)),U90,INDEX('Stock UST'!90:90,1,MATCH(Stock!V$1,'Stock UST'!$1:$1,0)))=0,"",IF(ISERROR(MATCH(Stock!V$1,'Stock UST'!$1:$1,0)),U90,INDEX('Stock UST'!90:90,1,MATCH(Stock!V$1,'Stock UST'!$1:$1,0))))</f>
        <v/>
      </c>
      <c r="W90" s="9" t="str">
        <f ca="1">IF(IF(ISERROR(MATCH(Stock!W$1,'Stock UST'!$1:$1,0)),V90,INDEX('Stock UST'!90:90,1,MATCH(Stock!W$1,'Stock UST'!$1:$1,0)))=0,"",IF(ISERROR(MATCH(Stock!W$1,'Stock UST'!$1:$1,0)),V90,INDEX('Stock UST'!90:90,1,MATCH(Stock!W$1,'Stock UST'!$1:$1,0))))</f>
        <v/>
      </c>
      <c r="X90" s="9" t="str">
        <f ca="1">IF(IF(ISERROR(MATCH(Stock!X$1,'Stock UST'!$1:$1,0)),W90,INDEX('Stock UST'!90:90,1,MATCH(Stock!X$1,'Stock UST'!$1:$1,0)))=0,"",IF(ISERROR(MATCH(Stock!X$1,'Stock UST'!$1:$1,0)),W90,INDEX('Stock UST'!90:90,1,MATCH(Stock!X$1,'Stock UST'!$1:$1,0))))</f>
        <v/>
      </c>
      <c r="Y90" s="9" t="str">
        <f ca="1">IF(IF(ISERROR(MATCH(Stock!Y$1,'Stock UST'!$1:$1,0)),X90,INDEX('Stock UST'!90:90,1,MATCH(Stock!Y$1,'Stock UST'!$1:$1,0)))=0,"",IF(ISERROR(MATCH(Stock!Y$1,'Stock UST'!$1:$1,0)),X90,INDEX('Stock UST'!90:90,1,MATCH(Stock!Y$1,'Stock UST'!$1:$1,0))))</f>
        <v/>
      </c>
      <c r="Z90" s="9" t="str">
        <f ca="1">IF(IF(ISERROR(MATCH(Stock!Z$1,'Stock UST'!$1:$1,0)),Y90,INDEX('Stock UST'!90:90,1,MATCH(Stock!Z$1,'Stock UST'!$1:$1,0)))=0,"",IF(ISERROR(MATCH(Stock!Z$1,'Stock UST'!$1:$1,0)),Y90,INDEX('Stock UST'!90:90,1,MATCH(Stock!Z$1,'Stock UST'!$1:$1,0))))</f>
        <v/>
      </c>
      <c r="AA90" s="9" t="str">
        <f ca="1">IF(IF(ISERROR(MATCH(Stock!AA$1,'Stock UST'!$1:$1,0)),Z90,INDEX('Stock UST'!90:90,1,MATCH(Stock!AA$1,'Stock UST'!$1:$1,0)))=0,"",IF(ISERROR(MATCH(Stock!AA$1,'Stock UST'!$1:$1,0)),Z90,INDEX('Stock UST'!90:90,1,MATCH(Stock!AA$1,'Stock UST'!$1:$1,0))))</f>
        <v/>
      </c>
      <c r="AB90" s="9" t="str">
        <f ca="1">IF(IF(ISERROR(MATCH(Stock!AB$1,'Stock UST'!$1:$1,0)),AA90,INDEX('Stock UST'!90:90,1,MATCH(Stock!AB$1,'Stock UST'!$1:$1,0)))=0,"",IF(ISERROR(MATCH(Stock!AB$1,'Stock UST'!$1:$1,0)),AA90,INDEX('Stock UST'!90:90,1,MATCH(Stock!AB$1,'Stock UST'!$1:$1,0))))</f>
        <v/>
      </c>
      <c r="AC90" s="9" t="str">
        <f ca="1">IF(IF(ISERROR(MATCH(Stock!AC$1,'Stock UST'!$1:$1,0)),AB90,INDEX('Stock UST'!90:90,1,MATCH(Stock!AC$1,'Stock UST'!$1:$1,0)))=0,"",IF(ISERROR(MATCH(Stock!AC$1,'Stock UST'!$1:$1,0)),AB90,INDEX('Stock UST'!90:90,1,MATCH(Stock!AC$1,'Stock UST'!$1:$1,0))))</f>
        <v/>
      </c>
      <c r="AD90" s="9" t="str">
        <f ca="1">IF(IF(ISERROR(MATCH(Stock!AD$1,'Stock UST'!$1:$1,0)),AC90,INDEX('Stock UST'!90:90,1,MATCH(Stock!AD$1,'Stock UST'!$1:$1,0)))=0,"",IF(ISERROR(MATCH(Stock!AD$1,'Stock UST'!$1:$1,0)),AC90,INDEX('Stock UST'!90:90,1,MATCH(Stock!AD$1,'Stock UST'!$1:$1,0))))</f>
        <v/>
      </c>
      <c r="AE90" s="9" t="str">
        <f ca="1">IF(IF(ISERROR(MATCH(Stock!AE$1,'Stock UST'!$1:$1,0)),AD90,INDEX('Stock UST'!90:90,1,MATCH(Stock!AE$1,'Stock UST'!$1:$1,0)))=0,"",IF(ISERROR(MATCH(Stock!AE$1,'Stock UST'!$1:$1,0)),AD90,INDEX('Stock UST'!90:90,1,MATCH(Stock!AE$1,'Stock UST'!$1:$1,0))))</f>
        <v/>
      </c>
      <c r="AF90" s="9" t="str">
        <f ca="1">IF(IF(ISERROR(MATCH(Stock!AF$1,'Stock UST'!$1:$1,0)),AE90,INDEX('Stock UST'!90:90,1,MATCH(Stock!AF$1,'Stock UST'!$1:$1,0)))=0,"",IF(ISERROR(MATCH(Stock!AF$1,'Stock UST'!$1:$1,0)),AE90,INDEX('Stock UST'!90:90,1,MATCH(Stock!AF$1,'Stock UST'!$1:$1,0))))</f>
        <v/>
      </c>
      <c r="AG90" s="9" t="str">
        <f ca="1">IF(IF(ISERROR(MATCH(Stock!AG$1,'Stock UST'!$1:$1,0)),AF90,INDEX('Stock UST'!90:90,1,MATCH(Stock!AG$1,'Stock UST'!$1:$1,0)))=0,"",IF(ISERROR(MATCH(Stock!AG$1,'Stock UST'!$1:$1,0)),AF90,INDEX('Stock UST'!90:90,1,MATCH(Stock!AG$1,'Stock UST'!$1:$1,0))))</f>
        <v/>
      </c>
      <c r="AH90" s="9" t="str">
        <f ca="1">IF(IF(ISERROR(MATCH(Stock!AH$1,'Stock UST'!$1:$1,0)),AG90,INDEX('Stock UST'!90:90,1,MATCH(Stock!AH$1,'Stock UST'!$1:$1,0)))=0,"",IF(ISERROR(MATCH(Stock!AH$1,'Stock UST'!$1:$1,0)),AG90,INDEX('Stock UST'!90:90,1,MATCH(Stock!AH$1,'Stock UST'!$1:$1,0))))</f>
        <v/>
      </c>
      <c r="AI90" s="9" t="str">
        <f ca="1">IF(IF(ISERROR(MATCH(Stock!AI$1,'Stock UST'!$1:$1,0)),AH90,INDEX('Stock UST'!90:90,1,MATCH(Stock!AI$1,'Stock UST'!$1:$1,0)))=0,"",IF(ISERROR(MATCH(Stock!AI$1,'Stock UST'!$1:$1,0)),AH90,INDEX('Stock UST'!90:90,1,MATCH(Stock!AI$1,'Stock UST'!$1:$1,0))))</f>
        <v/>
      </c>
      <c r="AJ90" s="9" t="str">
        <f ca="1">IF(IF(ISERROR(MATCH(Stock!AJ$1,'Stock UST'!$1:$1,0)),AI90,INDEX('Stock UST'!90:90,1,MATCH(Stock!AJ$1,'Stock UST'!$1:$1,0)))=0,"",IF(ISERROR(MATCH(Stock!AJ$1,'Stock UST'!$1:$1,0)),AI90,INDEX('Stock UST'!90:90,1,MATCH(Stock!AJ$1,'Stock UST'!$1:$1,0))))</f>
        <v/>
      </c>
      <c r="AK90" s="9" t="str">
        <f ca="1">IF(IF(ISERROR(MATCH(Stock!AK$1,'Stock UST'!$1:$1,0)),AJ90,INDEX('Stock UST'!90:90,1,MATCH(Stock!AK$1,'Stock UST'!$1:$1,0)))=0,"",IF(ISERROR(MATCH(Stock!AK$1,'Stock UST'!$1:$1,0)),AJ90,INDEX('Stock UST'!90:90,1,MATCH(Stock!AK$1,'Stock UST'!$1:$1,0))))</f>
        <v/>
      </c>
      <c r="AL90" s="9" t="str">
        <f ca="1">IF(IF(ISERROR(MATCH(Stock!AL$1,'Stock UST'!$1:$1,0)),AK90,INDEX('Stock UST'!90:90,1,MATCH(Stock!AL$1,'Stock UST'!$1:$1,0)))=0,"",IF(ISERROR(MATCH(Stock!AL$1,'Stock UST'!$1:$1,0)),AK90,INDEX('Stock UST'!90:90,1,MATCH(Stock!AL$1,'Stock UST'!$1:$1,0))))</f>
        <v/>
      </c>
      <c r="AM90" s="9" t="str">
        <f ca="1">IF(IF(ISERROR(MATCH(Stock!AM$1,'Stock UST'!$1:$1,0)),AL90,INDEX('Stock UST'!90:90,1,MATCH(Stock!AM$1,'Stock UST'!$1:$1,0)))=0,"",IF(ISERROR(MATCH(Stock!AM$1,'Stock UST'!$1:$1,0)),AL90,INDEX('Stock UST'!90:90,1,MATCH(Stock!AM$1,'Stock UST'!$1:$1,0))))</f>
        <v/>
      </c>
      <c r="AN90" s="9" t="str">
        <f ca="1">IF(IF(ISERROR(MATCH(Stock!AN$1,'Stock UST'!$1:$1,0)),AM90,INDEX('Stock UST'!90:90,1,MATCH(Stock!AN$1,'Stock UST'!$1:$1,0)))=0,"",IF(ISERROR(MATCH(Stock!AN$1,'Stock UST'!$1:$1,0)),AM90,INDEX('Stock UST'!90:90,1,MATCH(Stock!AN$1,'Stock UST'!$1:$1,0))))</f>
        <v/>
      </c>
      <c r="AO90" s="9" t="str">
        <f ca="1">IF(IF(ISERROR(MATCH(Stock!AO$1,'Stock UST'!$1:$1,0)),AN90,INDEX('Stock UST'!90:90,1,MATCH(Stock!AO$1,'Stock UST'!$1:$1,0)))=0,"",IF(ISERROR(MATCH(Stock!AO$1,'Stock UST'!$1:$1,0)),AN90,INDEX('Stock UST'!90:90,1,MATCH(Stock!AO$1,'Stock UST'!$1:$1,0))))</f>
        <v/>
      </c>
      <c r="AP90" s="9" t="str">
        <f ca="1">IF(IF(ISERROR(MATCH(Stock!AP$1,'Stock UST'!$1:$1,0)),AO90,INDEX('Stock UST'!90:90,1,MATCH(Stock!AP$1,'Stock UST'!$1:$1,0)))=0,"",IF(ISERROR(MATCH(Stock!AP$1,'Stock UST'!$1:$1,0)),AO90,INDEX('Stock UST'!90:90,1,MATCH(Stock!AP$1,'Stock UST'!$1:$1,0))))</f>
        <v/>
      </c>
      <c r="AQ90" s="9" t="str">
        <f ca="1">IF(IF(ISERROR(MATCH(Stock!AQ$1,'Stock UST'!$1:$1,0)),AP90,INDEX('Stock UST'!90:90,1,MATCH(Stock!AQ$1,'Stock UST'!$1:$1,0)))=0,"",IF(ISERROR(MATCH(Stock!AQ$1,'Stock UST'!$1:$1,0)),AP90,INDEX('Stock UST'!90:90,1,MATCH(Stock!AQ$1,'Stock UST'!$1:$1,0))))</f>
        <v/>
      </c>
      <c r="AR90" s="9" t="str">
        <f ca="1">IF(IF(ISERROR(MATCH(Stock!AR$1,'Stock UST'!$1:$1,0)),AQ90,INDEX('Stock UST'!90:90,1,MATCH(Stock!AR$1,'Stock UST'!$1:$1,0)))=0,"",IF(ISERROR(MATCH(Stock!AR$1,'Stock UST'!$1:$1,0)),AQ90,INDEX('Stock UST'!90:90,1,MATCH(Stock!AR$1,'Stock UST'!$1:$1,0))))</f>
        <v/>
      </c>
      <c r="AS90" s="9" t="str">
        <f ca="1">IF(IF(ISERROR(MATCH(Stock!AS$1,'Stock UST'!$1:$1,0)),AR90,INDEX('Stock UST'!90:90,1,MATCH(Stock!AS$1,'Stock UST'!$1:$1,0)))=0,"",IF(ISERROR(MATCH(Stock!AS$1,'Stock UST'!$1:$1,0)),AR90,INDEX('Stock UST'!90:90,1,MATCH(Stock!AS$1,'Stock UST'!$1:$1,0))))</f>
        <v/>
      </c>
      <c r="AT90" s="9" t="str">
        <f ca="1">IF(IF(ISERROR(MATCH(Stock!AT$1,'Stock UST'!$1:$1,0)),AS90,INDEX('Stock UST'!90:90,1,MATCH(Stock!AT$1,'Stock UST'!$1:$1,0)))=0,"",IF(ISERROR(MATCH(Stock!AT$1,'Stock UST'!$1:$1,0)),AS90,INDEX('Stock UST'!90:90,1,MATCH(Stock!AT$1,'Stock UST'!$1:$1,0))))</f>
        <v/>
      </c>
      <c r="AU90" s="9" t="str">
        <f ca="1">IF(IF(ISERROR(MATCH(Stock!AU$1,'Stock UST'!$1:$1,0)),AT90,INDEX('Stock UST'!90:90,1,MATCH(Stock!AU$1,'Stock UST'!$1:$1,0)))=0,"",IF(ISERROR(MATCH(Stock!AU$1,'Stock UST'!$1:$1,0)),AT90,INDEX('Stock UST'!90:90,1,MATCH(Stock!AU$1,'Stock UST'!$1:$1,0))))</f>
        <v/>
      </c>
      <c r="AV90" s="9" t="str">
        <f ca="1">IF(IF(ISERROR(MATCH(Stock!AV$1,'Stock UST'!$1:$1,0)),AU90,INDEX('Stock UST'!90:90,1,MATCH(Stock!AV$1,'Stock UST'!$1:$1,0)))=0,"",IF(ISERROR(MATCH(Stock!AV$1,'Stock UST'!$1:$1,0)),AU90,INDEX('Stock UST'!90:90,1,MATCH(Stock!AV$1,'Stock UST'!$1:$1,0))))</f>
        <v/>
      </c>
      <c r="AW90" s="9" t="str">
        <f ca="1">IF(IF(ISERROR(MATCH(Stock!AW$1,'Stock UST'!$1:$1,0)),AV90,INDEX('Stock UST'!90:90,1,MATCH(Stock!AW$1,'Stock UST'!$1:$1,0)))=0,"",IF(ISERROR(MATCH(Stock!AW$1,'Stock UST'!$1:$1,0)),AV90,INDEX('Stock UST'!90:90,1,MATCH(Stock!AW$1,'Stock UST'!$1:$1,0))))</f>
        <v/>
      </c>
      <c r="AX90" s="9" t="str">
        <f ca="1">IF(IF(ISERROR(MATCH(Stock!AX$1,'Stock UST'!$1:$1,0)),AW90,INDEX('Stock UST'!90:90,1,MATCH(Stock!AX$1,'Stock UST'!$1:$1,0)))=0,"",IF(ISERROR(MATCH(Stock!AX$1,'Stock UST'!$1:$1,0)),AW90,INDEX('Stock UST'!90:90,1,MATCH(Stock!AX$1,'Stock UST'!$1:$1,0))))</f>
        <v/>
      </c>
    </row>
    <row r="91" spans="1:50" x14ac:dyDescent="0.3">
      <c r="A91" s="9" t="str">
        <f>IF('Stock UST'!E91="","",'Stock UST'!E91)</f>
        <v/>
      </c>
      <c r="B91" s="9" t="str">
        <f>IF(IF(ISERROR(MATCH(Stock!B$1,'Stock UST'!$1:$1,0)),A91,INDEX('Stock UST'!91:91,1,MATCH(Stock!B$1,'Stock UST'!$1:$1,0)))=0,"",IF(ISERROR(MATCH(Stock!B$1,'Stock UST'!$1:$1,0)),A91,INDEX('Stock UST'!91:91,1,MATCH(Stock!B$1,'Stock UST'!$1:$1,0))))</f>
        <v/>
      </c>
      <c r="C91" s="9" t="str">
        <f ca="1">IF(IF(ISERROR(MATCH(Stock!C$1,'Stock UST'!$1:$1,0)),B91,INDEX('Stock UST'!91:91,1,MATCH(Stock!C$1,'Stock UST'!$1:$1,0)))=0,"",IF(ISERROR(MATCH(Stock!C$1,'Stock UST'!$1:$1,0)),B91,INDEX('Stock UST'!91:91,1,MATCH(Stock!C$1,'Stock UST'!$1:$1,0))))</f>
        <v/>
      </c>
      <c r="D91" s="9" t="str">
        <f ca="1">IF(IF(ISERROR(MATCH(Stock!D$1,'Stock UST'!$1:$1,0)),C91,INDEX('Stock UST'!91:91,1,MATCH(Stock!D$1,'Stock UST'!$1:$1,0)))=0,"",IF(ISERROR(MATCH(Stock!D$1,'Stock UST'!$1:$1,0)),C91,INDEX('Stock UST'!91:91,1,MATCH(Stock!D$1,'Stock UST'!$1:$1,0))))</f>
        <v/>
      </c>
      <c r="E91" s="9" t="str">
        <f ca="1">IF(IF(ISERROR(MATCH(Stock!E$1,'Stock UST'!$1:$1,0)),D91,INDEX('Stock UST'!91:91,1,MATCH(Stock!E$1,'Stock UST'!$1:$1,0)))=0,"",IF(ISERROR(MATCH(Stock!E$1,'Stock UST'!$1:$1,0)),D91,INDEX('Stock UST'!91:91,1,MATCH(Stock!E$1,'Stock UST'!$1:$1,0))))</f>
        <v/>
      </c>
      <c r="F91" s="9" t="str">
        <f ca="1">IF(IF(ISERROR(MATCH(Stock!F$1,'Stock UST'!$1:$1,0)),E91,INDEX('Stock UST'!91:91,1,MATCH(Stock!F$1,'Stock UST'!$1:$1,0)))=0,"",IF(ISERROR(MATCH(Stock!F$1,'Stock UST'!$1:$1,0)),E91,INDEX('Stock UST'!91:91,1,MATCH(Stock!F$1,'Stock UST'!$1:$1,0))))</f>
        <v/>
      </c>
      <c r="G91" s="9" t="str">
        <f ca="1">IF(IF(ISERROR(MATCH(Stock!G$1,'Stock UST'!$1:$1,0)),F91,INDEX('Stock UST'!91:91,1,MATCH(Stock!G$1,'Stock UST'!$1:$1,0)))=0,"",IF(ISERROR(MATCH(Stock!G$1,'Stock UST'!$1:$1,0)),F91,INDEX('Stock UST'!91:91,1,MATCH(Stock!G$1,'Stock UST'!$1:$1,0))))</f>
        <v/>
      </c>
      <c r="H91" s="9" t="str">
        <f ca="1">IF(IF(ISERROR(MATCH(Stock!H$1,'Stock UST'!$1:$1,0)),G91,INDEX('Stock UST'!91:91,1,MATCH(Stock!H$1,'Stock UST'!$1:$1,0)))=0,"",IF(ISERROR(MATCH(Stock!H$1,'Stock UST'!$1:$1,0)),G91,INDEX('Stock UST'!91:91,1,MATCH(Stock!H$1,'Stock UST'!$1:$1,0))))</f>
        <v/>
      </c>
      <c r="I91" s="9" t="str">
        <f ca="1">IF(IF(ISERROR(MATCH(Stock!I$1,'Stock UST'!$1:$1,0)),H91,INDEX('Stock UST'!91:91,1,MATCH(Stock!I$1,'Stock UST'!$1:$1,0)))=0,"",IF(ISERROR(MATCH(Stock!I$1,'Stock UST'!$1:$1,0)),H91,INDEX('Stock UST'!91:91,1,MATCH(Stock!I$1,'Stock UST'!$1:$1,0))))</f>
        <v/>
      </c>
      <c r="J91" s="9" t="str">
        <f ca="1">IF(IF(ISERROR(MATCH(Stock!J$1,'Stock UST'!$1:$1,0)),I91,INDEX('Stock UST'!91:91,1,MATCH(Stock!J$1,'Stock UST'!$1:$1,0)))=0,"",IF(ISERROR(MATCH(Stock!J$1,'Stock UST'!$1:$1,0)),I91,INDEX('Stock UST'!91:91,1,MATCH(Stock!J$1,'Stock UST'!$1:$1,0))))</f>
        <v/>
      </c>
      <c r="K91" s="9" t="str">
        <f ca="1">IF(IF(ISERROR(MATCH(Stock!K$1,'Stock UST'!$1:$1,0)),J91,INDEX('Stock UST'!91:91,1,MATCH(Stock!K$1,'Stock UST'!$1:$1,0)))=0,"",IF(ISERROR(MATCH(Stock!K$1,'Stock UST'!$1:$1,0)),J91,INDEX('Stock UST'!91:91,1,MATCH(Stock!K$1,'Stock UST'!$1:$1,0))))</f>
        <v/>
      </c>
      <c r="L91" s="9" t="str">
        <f ca="1">IF(IF(ISERROR(MATCH(Stock!L$1,'Stock UST'!$1:$1,0)),K91,INDEX('Stock UST'!91:91,1,MATCH(Stock!L$1,'Stock UST'!$1:$1,0)))=0,"",IF(ISERROR(MATCH(Stock!L$1,'Stock UST'!$1:$1,0)),K91,INDEX('Stock UST'!91:91,1,MATCH(Stock!L$1,'Stock UST'!$1:$1,0))))</f>
        <v/>
      </c>
      <c r="M91" s="9" t="str">
        <f ca="1">IF(IF(ISERROR(MATCH(Stock!M$1,'Stock UST'!$1:$1,0)),L91,INDEX('Stock UST'!91:91,1,MATCH(Stock!M$1,'Stock UST'!$1:$1,0)))=0,"",IF(ISERROR(MATCH(Stock!M$1,'Stock UST'!$1:$1,0)),L91,INDEX('Stock UST'!91:91,1,MATCH(Stock!M$1,'Stock UST'!$1:$1,0))))</f>
        <v/>
      </c>
      <c r="N91" s="9" t="str">
        <f ca="1">IF(IF(ISERROR(MATCH(Stock!N$1,'Stock UST'!$1:$1,0)),M91,INDEX('Stock UST'!91:91,1,MATCH(Stock!N$1,'Stock UST'!$1:$1,0)))=0,"",IF(ISERROR(MATCH(Stock!N$1,'Stock UST'!$1:$1,0)),M91,INDEX('Stock UST'!91:91,1,MATCH(Stock!N$1,'Stock UST'!$1:$1,0))))</f>
        <v/>
      </c>
      <c r="O91" s="9" t="str">
        <f ca="1">IF(IF(ISERROR(MATCH(Stock!O$1,'Stock UST'!$1:$1,0)),N91,INDEX('Stock UST'!91:91,1,MATCH(Stock!O$1,'Stock UST'!$1:$1,0)))=0,"",IF(ISERROR(MATCH(Stock!O$1,'Stock UST'!$1:$1,0)),N91,INDEX('Stock UST'!91:91,1,MATCH(Stock!O$1,'Stock UST'!$1:$1,0))))</f>
        <v/>
      </c>
      <c r="P91" s="9" t="str">
        <f ca="1">IF(IF(ISERROR(MATCH(Stock!P$1,'Stock UST'!$1:$1,0)),O91,INDEX('Stock UST'!91:91,1,MATCH(Stock!P$1,'Stock UST'!$1:$1,0)))=0,"",IF(ISERROR(MATCH(Stock!P$1,'Stock UST'!$1:$1,0)),O91,INDEX('Stock UST'!91:91,1,MATCH(Stock!P$1,'Stock UST'!$1:$1,0))))</f>
        <v/>
      </c>
      <c r="Q91" s="9" t="str">
        <f ca="1">IF(IF(ISERROR(MATCH(Stock!Q$1,'Stock UST'!$1:$1,0)),P91,INDEX('Stock UST'!91:91,1,MATCH(Stock!Q$1,'Stock UST'!$1:$1,0)))=0,"",IF(ISERROR(MATCH(Stock!Q$1,'Stock UST'!$1:$1,0)),P91,INDEX('Stock UST'!91:91,1,MATCH(Stock!Q$1,'Stock UST'!$1:$1,0))))</f>
        <v/>
      </c>
      <c r="R91" s="9" t="str">
        <f ca="1">IF(IF(ISERROR(MATCH(Stock!R$1,'Stock UST'!$1:$1,0)),Q91,INDEX('Stock UST'!91:91,1,MATCH(Stock!R$1,'Stock UST'!$1:$1,0)))=0,"",IF(ISERROR(MATCH(Stock!R$1,'Stock UST'!$1:$1,0)),Q91,INDEX('Stock UST'!91:91,1,MATCH(Stock!R$1,'Stock UST'!$1:$1,0))))</f>
        <v/>
      </c>
      <c r="S91" s="9" t="str">
        <f ca="1">IF(IF(ISERROR(MATCH(Stock!S$1,'Stock UST'!$1:$1,0)),R91,INDEX('Stock UST'!91:91,1,MATCH(Stock!S$1,'Stock UST'!$1:$1,0)))=0,"",IF(ISERROR(MATCH(Stock!S$1,'Stock UST'!$1:$1,0)),R91,INDEX('Stock UST'!91:91,1,MATCH(Stock!S$1,'Stock UST'!$1:$1,0))))</f>
        <v/>
      </c>
      <c r="T91" s="9" t="str">
        <f ca="1">IF(IF(ISERROR(MATCH(Stock!T$1,'Stock UST'!$1:$1,0)),S91,INDEX('Stock UST'!91:91,1,MATCH(Stock!T$1,'Stock UST'!$1:$1,0)))=0,"",IF(ISERROR(MATCH(Stock!T$1,'Stock UST'!$1:$1,0)),S91,INDEX('Stock UST'!91:91,1,MATCH(Stock!T$1,'Stock UST'!$1:$1,0))))</f>
        <v/>
      </c>
      <c r="U91" s="9" t="str">
        <f ca="1">IF(IF(ISERROR(MATCH(Stock!U$1,'Stock UST'!$1:$1,0)),T91,INDEX('Stock UST'!91:91,1,MATCH(Stock!U$1,'Stock UST'!$1:$1,0)))=0,"",IF(ISERROR(MATCH(Stock!U$1,'Stock UST'!$1:$1,0)),T91,INDEX('Stock UST'!91:91,1,MATCH(Stock!U$1,'Stock UST'!$1:$1,0))))</f>
        <v/>
      </c>
      <c r="V91" s="9" t="str">
        <f ca="1">IF(IF(ISERROR(MATCH(Stock!V$1,'Stock UST'!$1:$1,0)),U91,INDEX('Stock UST'!91:91,1,MATCH(Stock!V$1,'Stock UST'!$1:$1,0)))=0,"",IF(ISERROR(MATCH(Stock!V$1,'Stock UST'!$1:$1,0)),U91,INDEX('Stock UST'!91:91,1,MATCH(Stock!V$1,'Stock UST'!$1:$1,0))))</f>
        <v/>
      </c>
      <c r="W91" s="9" t="str">
        <f ca="1">IF(IF(ISERROR(MATCH(Stock!W$1,'Stock UST'!$1:$1,0)),V91,INDEX('Stock UST'!91:91,1,MATCH(Stock!W$1,'Stock UST'!$1:$1,0)))=0,"",IF(ISERROR(MATCH(Stock!W$1,'Stock UST'!$1:$1,0)),V91,INDEX('Stock UST'!91:91,1,MATCH(Stock!W$1,'Stock UST'!$1:$1,0))))</f>
        <v/>
      </c>
      <c r="X91" s="9" t="str">
        <f ca="1">IF(IF(ISERROR(MATCH(Stock!X$1,'Stock UST'!$1:$1,0)),W91,INDEX('Stock UST'!91:91,1,MATCH(Stock!X$1,'Stock UST'!$1:$1,0)))=0,"",IF(ISERROR(MATCH(Stock!X$1,'Stock UST'!$1:$1,0)),W91,INDEX('Stock UST'!91:91,1,MATCH(Stock!X$1,'Stock UST'!$1:$1,0))))</f>
        <v/>
      </c>
      <c r="Y91" s="9" t="str">
        <f ca="1">IF(IF(ISERROR(MATCH(Stock!Y$1,'Stock UST'!$1:$1,0)),X91,INDEX('Stock UST'!91:91,1,MATCH(Stock!Y$1,'Stock UST'!$1:$1,0)))=0,"",IF(ISERROR(MATCH(Stock!Y$1,'Stock UST'!$1:$1,0)),X91,INDEX('Stock UST'!91:91,1,MATCH(Stock!Y$1,'Stock UST'!$1:$1,0))))</f>
        <v/>
      </c>
      <c r="Z91" s="9" t="str">
        <f ca="1">IF(IF(ISERROR(MATCH(Stock!Z$1,'Stock UST'!$1:$1,0)),Y91,INDEX('Stock UST'!91:91,1,MATCH(Stock!Z$1,'Stock UST'!$1:$1,0)))=0,"",IF(ISERROR(MATCH(Stock!Z$1,'Stock UST'!$1:$1,0)),Y91,INDEX('Stock UST'!91:91,1,MATCH(Stock!Z$1,'Stock UST'!$1:$1,0))))</f>
        <v/>
      </c>
      <c r="AA91" s="9" t="str">
        <f ca="1">IF(IF(ISERROR(MATCH(Stock!AA$1,'Stock UST'!$1:$1,0)),Z91,INDEX('Stock UST'!91:91,1,MATCH(Stock!AA$1,'Stock UST'!$1:$1,0)))=0,"",IF(ISERROR(MATCH(Stock!AA$1,'Stock UST'!$1:$1,0)),Z91,INDEX('Stock UST'!91:91,1,MATCH(Stock!AA$1,'Stock UST'!$1:$1,0))))</f>
        <v/>
      </c>
      <c r="AB91" s="9" t="str">
        <f ca="1">IF(IF(ISERROR(MATCH(Stock!AB$1,'Stock UST'!$1:$1,0)),AA91,INDEX('Stock UST'!91:91,1,MATCH(Stock!AB$1,'Stock UST'!$1:$1,0)))=0,"",IF(ISERROR(MATCH(Stock!AB$1,'Stock UST'!$1:$1,0)),AA91,INDEX('Stock UST'!91:91,1,MATCH(Stock!AB$1,'Stock UST'!$1:$1,0))))</f>
        <v/>
      </c>
      <c r="AC91" s="9" t="str">
        <f ca="1">IF(IF(ISERROR(MATCH(Stock!AC$1,'Stock UST'!$1:$1,0)),AB91,INDEX('Stock UST'!91:91,1,MATCH(Stock!AC$1,'Stock UST'!$1:$1,0)))=0,"",IF(ISERROR(MATCH(Stock!AC$1,'Stock UST'!$1:$1,0)),AB91,INDEX('Stock UST'!91:91,1,MATCH(Stock!AC$1,'Stock UST'!$1:$1,0))))</f>
        <v/>
      </c>
      <c r="AD91" s="9" t="str">
        <f ca="1">IF(IF(ISERROR(MATCH(Stock!AD$1,'Stock UST'!$1:$1,0)),AC91,INDEX('Stock UST'!91:91,1,MATCH(Stock!AD$1,'Stock UST'!$1:$1,0)))=0,"",IF(ISERROR(MATCH(Stock!AD$1,'Stock UST'!$1:$1,0)),AC91,INDEX('Stock UST'!91:91,1,MATCH(Stock!AD$1,'Stock UST'!$1:$1,0))))</f>
        <v/>
      </c>
      <c r="AE91" s="9" t="str">
        <f ca="1">IF(IF(ISERROR(MATCH(Stock!AE$1,'Stock UST'!$1:$1,0)),AD91,INDEX('Stock UST'!91:91,1,MATCH(Stock!AE$1,'Stock UST'!$1:$1,0)))=0,"",IF(ISERROR(MATCH(Stock!AE$1,'Stock UST'!$1:$1,0)),AD91,INDEX('Stock UST'!91:91,1,MATCH(Stock!AE$1,'Stock UST'!$1:$1,0))))</f>
        <v/>
      </c>
      <c r="AF91" s="9" t="str">
        <f ca="1">IF(IF(ISERROR(MATCH(Stock!AF$1,'Stock UST'!$1:$1,0)),AE91,INDEX('Stock UST'!91:91,1,MATCH(Stock!AF$1,'Stock UST'!$1:$1,0)))=0,"",IF(ISERROR(MATCH(Stock!AF$1,'Stock UST'!$1:$1,0)),AE91,INDEX('Stock UST'!91:91,1,MATCH(Stock!AF$1,'Stock UST'!$1:$1,0))))</f>
        <v/>
      </c>
      <c r="AG91" s="9" t="str">
        <f ca="1">IF(IF(ISERROR(MATCH(Stock!AG$1,'Stock UST'!$1:$1,0)),AF91,INDEX('Stock UST'!91:91,1,MATCH(Stock!AG$1,'Stock UST'!$1:$1,0)))=0,"",IF(ISERROR(MATCH(Stock!AG$1,'Stock UST'!$1:$1,0)),AF91,INDEX('Stock UST'!91:91,1,MATCH(Stock!AG$1,'Stock UST'!$1:$1,0))))</f>
        <v/>
      </c>
      <c r="AH91" s="9" t="str">
        <f ca="1">IF(IF(ISERROR(MATCH(Stock!AH$1,'Stock UST'!$1:$1,0)),AG91,INDEX('Stock UST'!91:91,1,MATCH(Stock!AH$1,'Stock UST'!$1:$1,0)))=0,"",IF(ISERROR(MATCH(Stock!AH$1,'Stock UST'!$1:$1,0)),AG91,INDEX('Stock UST'!91:91,1,MATCH(Stock!AH$1,'Stock UST'!$1:$1,0))))</f>
        <v/>
      </c>
      <c r="AI91" s="9" t="str">
        <f ca="1">IF(IF(ISERROR(MATCH(Stock!AI$1,'Stock UST'!$1:$1,0)),AH91,INDEX('Stock UST'!91:91,1,MATCH(Stock!AI$1,'Stock UST'!$1:$1,0)))=0,"",IF(ISERROR(MATCH(Stock!AI$1,'Stock UST'!$1:$1,0)),AH91,INDEX('Stock UST'!91:91,1,MATCH(Stock!AI$1,'Stock UST'!$1:$1,0))))</f>
        <v/>
      </c>
      <c r="AJ91" s="9" t="str">
        <f ca="1">IF(IF(ISERROR(MATCH(Stock!AJ$1,'Stock UST'!$1:$1,0)),AI91,INDEX('Stock UST'!91:91,1,MATCH(Stock!AJ$1,'Stock UST'!$1:$1,0)))=0,"",IF(ISERROR(MATCH(Stock!AJ$1,'Stock UST'!$1:$1,0)),AI91,INDEX('Stock UST'!91:91,1,MATCH(Stock!AJ$1,'Stock UST'!$1:$1,0))))</f>
        <v/>
      </c>
      <c r="AK91" s="9" t="str">
        <f ca="1">IF(IF(ISERROR(MATCH(Stock!AK$1,'Stock UST'!$1:$1,0)),AJ91,INDEX('Stock UST'!91:91,1,MATCH(Stock!AK$1,'Stock UST'!$1:$1,0)))=0,"",IF(ISERROR(MATCH(Stock!AK$1,'Stock UST'!$1:$1,0)),AJ91,INDEX('Stock UST'!91:91,1,MATCH(Stock!AK$1,'Stock UST'!$1:$1,0))))</f>
        <v/>
      </c>
      <c r="AL91" s="9" t="str">
        <f ca="1">IF(IF(ISERROR(MATCH(Stock!AL$1,'Stock UST'!$1:$1,0)),AK91,INDEX('Stock UST'!91:91,1,MATCH(Stock!AL$1,'Stock UST'!$1:$1,0)))=0,"",IF(ISERROR(MATCH(Stock!AL$1,'Stock UST'!$1:$1,0)),AK91,INDEX('Stock UST'!91:91,1,MATCH(Stock!AL$1,'Stock UST'!$1:$1,0))))</f>
        <v/>
      </c>
      <c r="AM91" s="9" t="str">
        <f ca="1">IF(IF(ISERROR(MATCH(Stock!AM$1,'Stock UST'!$1:$1,0)),AL91,INDEX('Stock UST'!91:91,1,MATCH(Stock!AM$1,'Stock UST'!$1:$1,0)))=0,"",IF(ISERROR(MATCH(Stock!AM$1,'Stock UST'!$1:$1,0)),AL91,INDEX('Stock UST'!91:91,1,MATCH(Stock!AM$1,'Stock UST'!$1:$1,0))))</f>
        <v/>
      </c>
      <c r="AN91" s="9" t="str">
        <f ca="1">IF(IF(ISERROR(MATCH(Stock!AN$1,'Stock UST'!$1:$1,0)),AM91,INDEX('Stock UST'!91:91,1,MATCH(Stock!AN$1,'Stock UST'!$1:$1,0)))=0,"",IF(ISERROR(MATCH(Stock!AN$1,'Stock UST'!$1:$1,0)),AM91,INDEX('Stock UST'!91:91,1,MATCH(Stock!AN$1,'Stock UST'!$1:$1,0))))</f>
        <v/>
      </c>
      <c r="AO91" s="9" t="str">
        <f ca="1">IF(IF(ISERROR(MATCH(Stock!AO$1,'Stock UST'!$1:$1,0)),AN91,INDEX('Stock UST'!91:91,1,MATCH(Stock!AO$1,'Stock UST'!$1:$1,0)))=0,"",IF(ISERROR(MATCH(Stock!AO$1,'Stock UST'!$1:$1,0)),AN91,INDEX('Stock UST'!91:91,1,MATCH(Stock!AO$1,'Stock UST'!$1:$1,0))))</f>
        <v/>
      </c>
      <c r="AP91" s="9" t="str">
        <f ca="1">IF(IF(ISERROR(MATCH(Stock!AP$1,'Stock UST'!$1:$1,0)),AO91,INDEX('Stock UST'!91:91,1,MATCH(Stock!AP$1,'Stock UST'!$1:$1,0)))=0,"",IF(ISERROR(MATCH(Stock!AP$1,'Stock UST'!$1:$1,0)),AO91,INDEX('Stock UST'!91:91,1,MATCH(Stock!AP$1,'Stock UST'!$1:$1,0))))</f>
        <v/>
      </c>
      <c r="AQ91" s="9" t="str">
        <f ca="1">IF(IF(ISERROR(MATCH(Stock!AQ$1,'Stock UST'!$1:$1,0)),AP91,INDEX('Stock UST'!91:91,1,MATCH(Stock!AQ$1,'Stock UST'!$1:$1,0)))=0,"",IF(ISERROR(MATCH(Stock!AQ$1,'Stock UST'!$1:$1,0)),AP91,INDEX('Stock UST'!91:91,1,MATCH(Stock!AQ$1,'Stock UST'!$1:$1,0))))</f>
        <v/>
      </c>
      <c r="AR91" s="9" t="str">
        <f ca="1">IF(IF(ISERROR(MATCH(Stock!AR$1,'Stock UST'!$1:$1,0)),AQ91,INDEX('Stock UST'!91:91,1,MATCH(Stock!AR$1,'Stock UST'!$1:$1,0)))=0,"",IF(ISERROR(MATCH(Stock!AR$1,'Stock UST'!$1:$1,0)),AQ91,INDEX('Stock UST'!91:91,1,MATCH(Stock!AR$1,'Stock UST'!$1:$1,0))))</f>
        <v/>
      </c>
      <c r="AS91" s="9" t="str">
        <f ca="1">IF(IF(ISERROR(MATCH(Stock!AS$1,'Stock UST'!$1:$1,0)),AR91,INDEX('Stock UST'!91:91,1,MATCH(Stock!AS$1,'Stock UST'!$1:$1,0)))=0,"",IF(ISERROR(MATCH(Stock!AS$1,'Stock UST'!$1:$1,0)),AR91,INDEX('Stock UST'!91:91,1,MATCH(Stock!AS$1,'Stock UST'!$1:$1,0))))</f>
        <v/>
      </c>
      <c r="AT91" s="9" t="str">
        <f ca="1">IF(IF(ISERROR(MATCH(Stock!AT$1,'Stock UST'!$1:$1,0)),AS91,INDEX('Stock UST'!91:91,1,MATCH(Stock!AT$1,'Stock UST'!$1:$1,0)))=0,"",IF(ISERROR(MATCH(Stock!AT$1,'Stock UST'!$1:$1,0)),AS91,INDEX('Stock UST'!91:91,1,MATCH(Stock!AT$1,'Stock UST'!$1:$1,0))))</f>
        <v/>
      </c>
      <c r="AU91" s="9" t="str">
        <f ca="1">IF(IF(ISERROR(MATCH(Stock!AU$1,'Stock UST'!$1:$1,0)),AT91,INDEX('Stock UST'!91:91,1,MATCH(Stock!AU$1,'Stock UST'!$1:$1,0)))=0,"",IF(ISERROR(MATCH(Stock!AU$1,'Stock UST'!$1:$1,0)),AT91,INDEX('Stock UST'!91:91,1,MATCH(Stock!AU$1,'Stock UST'!$1:$1,0))))</f>
        <v/>
      </c>
      <c r="AV91" s="9" t="str">
        <f ca="1">IF(IF(ISERROR(MATCH(Stock!AV$1,'Stock UST'!$1:$1,0)),AU91,INDEX('Stock UST'!91:91,1,MATCH(Stock!AV$1,'Stock UST'!$1:$1,0)))=0,"",IF(ISERROR(MATCH(Stock!AV$1,'Stock UST'!$1:$1,0)),AU91,INDEX('Stock UST'!91:91,1,MATCH(Stock!AV$1,'Stock UST'!$1:$1,0))))</f>
        <v/>
      </c>
      <c r="AW91" s="9" t="str">
        <f ca="1">IF(IF(ISERROR(MATCH(Stock!AW$1,'Stock UST'!$1:$1,0)),AV91,INDEX('Stock UST'!91:91,1,MATCH(Stock!AW$1,'Stock UST'!$1:$1,0)))=0,"",IF(ISERROR(MATCH(Stock!AW$1,'Stock UST'!$1:$1,0)),AV91,INDEX('Stock UST'!91:91,1,MATCH(Stock!AW$1,'Stock UST'!$1:$1,0))))</f>
        <v/>
      </c>
      <c r="AX91" s="9" t="str">
        <f ca="1">IF(IF(ISERROR(MATCH(Stock!AX$1,'Stock UST'!$1:$1,0)),AW91,INDEX('Stock UST'!91:91,1,MATCH(Stock!AX$1,'Stock UST'!$1:$1,0)))=0,"",IF(ISERROR(MATCH(Stock!AX$1,'Stock UST'!$1:$1,0)),AW91,INDEX('Stock UST'!91:91,1,MATCH(Stock!AX$1,'Stock UST'!$1:$1,0))))</f>
        <v/>
      </c>
    </row>
    <row r="92" spans="1:50" x14ac:dyDescent="0.3">
      <c r="A92" s="9" t="str">
        <f>IF('Stock UST'!E92="","",'Stock UST'!E92)</f>
        <v/>
      </c>
      <c r="B92" s="9" t="str">
        <f>IF(IF(ISERROR(MATCH(Stock!B$1,'Stock UST'!$1:$1,0)),A92,INDEX('Stock UST'!92:92,1,MATCH(Stock!B$1,'Stock UST'!$1:$1,0)))=0,"",IF(ISERROR(MATCH(Stock!B$1,'Stock UST'!$1:$1,0)),A92,INDEX('Stock UST'!92:92,1,MATCH(Stock!B$1,'Stock UST'!$1:$1,0))))</f>
        <v/>
      </c>
      <c r="C92" s="9" t="str">
        <f ca="1">IF(IF(ISERROR(MATCH(Stock!C$1,'Stock UST'!$1:$1,0)),B92,INDEX('Stock UST'!92:92,1,MATCH(Stock!C$1,'Stock UST'!$1:$1,0)))=0,"",IF(ISERROR(MATCH(Stock!C$1,'Stock UST'!$1:$1,0)),B92,INDEX('Stock UST'!92:92,1,MATCH(Stock!C$1,'Stock UST'!$1:$1,0))))</f>
        <v/>
      </c>
      <c r="D92" s="9" t="str">
        <f ca="1">IF(IF(ISERROR(MATCH(Stock!D$1,'Stock UST'!$1:$1,0)),C92,INDEX('Stock UST'!92:92,1,MATCH(Stock!D$1,'Stock UST'!$1:$1,0)))=0,"",IF(ISERROR(MATCH(Stock!D$1,'Stock UST'!$1:$1,0)),C92,INDEX('Stock UST'!92:92,1,MATCH(Stock!D$1,'Stock UST'!$1:$1,0))))</f>
        <v/>
      </c>
      <c r="E92" s="9" t="str">
        <f ca="1">IF(IF(ISERROR(MATCH(Stock!E$1,'Stock UST'!$1:$1,0)),D92,INDEX('Stock UST'!92:92,1,MATCH(Stock!E$1,'Stock UST'!$1:$1,0)))=0,"",IF(ISERROR(MATCH(Stock!E$1,'Stock UST'!$1:$1,0)),D92,INDEX('Stock UST'!92:92,1,MATCH(Stock!E$1,'Stock UST'!$1:$1,0))))</f>
        <v/>
      </c>
      <c r="F92" s="9" t="str">
        <f ca="1">IF(IF(ISERROR(MATCH(Stock!F$1,'Stock UST'!$1:$1,0)),E92,INDEX('Stock UST'!92:92,1,MATCH(Stock!F$1,'Stock UST'!$1:$1,0)))=0,"",IF(ISERROR(MATCH(Stock!F$1,'Stock UST'!$1:$1,0)),E92,INDEX('Stock UST'!92:92,1,MATCH(Stock!F$1,'Stock UST'!$1:$1,0))))</f>
        <v/>
      </c>
      <c r="G92" s="9" t="str">
        <f ca="1">IF(IF(ISERROR(MATCH(Stock!G$1,'Stock UST'!$1:$1,0)),F92,INDEX('Stock UST'!92:92,1,MATCH(Stock!G$1,'Stock UST'!$1:$1,0)))=0,"",IF(ISERROR(MATCH(Stock!G$1,'Stock UST'!$1:$1,0)),F92,INDEX('Stock UST'!92:92,1,MATCH(Stock!G$1,'Stock UST'!$1:$1,0))))</f>
        <v/>
      </c>
      <c r="H92" s="9" t="str">
        <f ca="1">IF(IF(ISERROR(MATCH(Stock!H$1,'Stock UST'!$1:$1,0)),G92,INDEX('Stock UST'!92:92,1,MATCH(Stock!H$1,'Stock UST'!$1:$1,0)))=0,"",IF(ISERROR(MATCH(Stock!H$1,'Stock UST'!$1:$1,0)),G92,INDEX('Stock UST'!92:92,1,MATCH(Stock!H$1,'Stock UST'!$1:$1,0))))</f>
        <v/>
      </c>
      <c r="I92" s="9" t="str">
        <f ca="1">IF(IF(ISERROR(MATCH(Stock!I$1,'Stock UST'!$1:$1,0)),H92,INDEX('Stock UST'!92:92,1,MATCH(Stock!I$1,'Stock UST'!$1:$1,0)))=0,"",IF(ISERROR(MATCH(Stock!I$1,'Stock UST'!$1:$1,0)),H92,INDEX('Stock UST'!92:92,1,MATCH(Stock!I$1,'Stock UST'!$1:$1,0))))</f>
        <v/>
      </c>
      <c r="J92" s="9" t="str">
        <f ca="1">IF(IF(ISERROR(MATCH(Stock!J$1,'Stock UST'!$1:$1,0)),I92,INDEX('Stock UST'!92:92,1,MATCH(Stock!J$1,'Stock UST'!$1:$1,0)))=0,"",IF(ISERROR(MATCH(Stock!J$1,'Stock UST'!$1:$1,0)),I92,INDEX('Stock UST'!92:92,1,MATCH(Stock!J$1,'Stock UST'!$1:$1,0))))</f>
        <v/>
      </c>
      <c r="K92" s="9" t="str">
        <f ca="1">IF(IF(ISERROR(MATCH(Stock!K$1,'Stock UST'!$1:$1,0)),J92,INDEX('Stock UST'!92:92,1,MATCH(Stock!K$1,'Stock UST'!$1:$1,0)))=0,"",IF(ISERROR(MATCH(Stock!K$1,'Stock UST'!$1:$1,0)),J92,INDEX('Stock UST'!92:92,1,MATCH(Stock!K$1,'Stock UST'!$1:$1,0))))</f>
        <v/>
      </c>
      <c r="L92" s="9" t="str">
        <f ca="1">IF(IF(ISERROR(MATCH(Stock!L$1,'Stock UST'!$1:$1,0)),K92,INDEX('Stock UST'!92:92,1,MATCH(Stock!L$1,'Stock UST'!$1:$1,0)))=0,"",IF(ISERROR(MATCH(Stock!L$1,'Stock UST'!$1:$1,0)),K92,INDEX('Stock UST'!92:92,1,MATCH(Stock!L$1,'Stock UST'!$1:$1,0))))</f>
        <v/>
      </c>
      <c r="M92" s="9" t="str">
        <f ca="1">IF(IF(ISERROR(MATCH(Stock!M$1,'Stock UST'!$1:$1,0)),L92,INDEX('Stock UST'!92:92,1,MATCH(Stock!M$1,'Stock UST'!$1:$1,0)))=0,"",IF(ISERROR(MATCH(Stock!M$1,'Stock UST'!$1:$1,0)),L92,INDEX('Stock UST'!92:92,1,MATCH(Stock!M$1,'Stock UST'!$1:$1,0))))</f>
        <v/>
      </c>
      <c r="N92" s="9" t="str">
        <f ca="1">IF(IF(ISERROR(MATCH(Stock!N$1,'Stock UST'!$1:$1,0)),M92,INDEX('Stock UST'!92:92,1,MATCH(Stock!N$1,'Stock UST'!$1:$1,0)))=0,"",IF(ISERROR(MATCH(Stock!N$1,'Stock UST'!$1:$1,0)),M92,INDEX('Stock UST'!92:92,1,MATCH(Stock!N$1,'Stock UST'!$1:$1,0))))</f>
        <v/>
      </c>
      <c r="O92" s="9" t="str">
        <f ca="1">IF(IF(ISERROR(MATCH(Stock!O$1,'Stock UST'!$1:$1,0)),N92,INDEX('Stock UST'!92:92,1,MATCH(Stock!O$1,'Stock UST'!$1:$1,0)))=0,"",IF(ISERROR(MATCH(Stock!O$1,'Stock UST'!$1:$1,0)),N92,INDEX('Stock UST'!92:92,1,MATCH(Stock!O$1,'Stock UST'!$1:$1,0))))</f>
        <v/>
      </c>
      <c r="P92" s="9" t="str">
        <f ca="1">IF(IF(ISERROR(MATCH(Stock!P$1,'Stock UST'!$1:$1,0)),O92,INDEX('Stock UST'!92:92,1,MATCH(Stock!P$1,'Stock UST'!$1:$1,0)))=0,"",IF(ISERROR(MATCH(Stock!P$1,'Stock UST'!$1:$1,0)),O92,INDEX('Stock UST'!92:92,1,MATCH(Stock!P$1,'Stock UST'!$1:$1,0))))</f>
        <v/>
      </c>
      <c r="Q92" s="9" t="str">
        <f ca="1">IF(IF(ISERROR(MATCH(Stock!Q$1,'Stock UST'!$1:$1,0)),P92,INDEX('Stock UST'!92:92,1,MATCH(Stock!Q$1,'Stock UST'!$1:$1,0)))=0,"",IF(ISERROR(MATCH(Stock!Q$1,'Stock UST'!$1:$1,0)),P92,INDEX('Stock UST'!92:92,1,MATCH(Stock!Q$1,'Stock UST'!$1:$1,0))))</f>
        <v/>
      </c>
      <c r="R92" s="9" t="str">
        <f ca="1">IF(IF(ISERROR(MATCH(Stock!R$1,'Stock UST'!$1:$1,0)),Q92,INDEX('Stock UST'!92:92,1,MATCH(Stock!R$1,'Stock UST'!$1:$1,0)))=0,"",IF(ISERROR(MATCH(Stock!R$1,'Stock UST'!$1:$1,0)),Q92,INDEX('Stock UST'!92:92,1,MATCH(Stock!R$1,'Stock UST'!$1:$1,0))))</f>
        <v/>
      </c>
      <c r="S92" s="9" t="str">
        <f ca="1">IF(IF(ISERROR(MATCH(Stock!S$1,'Stock UST'!$1:$1,0)),R92,INDEX('Stock UST'!92:92,1,MATCH(Stock!S$1,'Stock UST'!$1:$1,0)))=0,"",IF(ISERROR(MATCH(Stock!S$1,'Stock UST'!$1:$1,0)),R92,INDEX('Stock UST'!92:92,1,MATCH(Stock!S$1,'Stock UST'!$1:$1,0))))</f>
        <v/>
      </c>
      <c r="T92" s="9" t="str">
        <f ca="1">IF(IF(ISERROR(MATCH(Stock!T$1,'Stock UST'!$1:$1,0)),S92,INDEX('Stock UST'!92:92,1,MATCH(Stock!T$1,'Stock UST'!$1:$1,0)))=0,"",IF(ISERROR(MATCH(Stock!T$1,'Stock UST'!$1:$1,0)),S92,INDEX('Stock UST'!92:92,1,MATCH(Stock!T$1,'Stock UST'!$1:$1,0))))</f>
        <v/>
      </c>
      <c r="U92" s="9" t="str">
        <f ca="1">IF(IF(ISERROR(MATCH(Stock!U$1,'Stock UST'!$1:$1,0)),T92,INDEX('Stock UST'!92:92,1,MATCH(Stock!U$1,'Stock UST'!$1:$1,0)))=0,"",IF(ISERROR(MATCH(Stock!U$1,'Stock UST'!$1:$1,0)),T92,INDEX('Stock UST'!92:92,1,MATCH(Stock!U$1,'Stock UST'!$1:$1,0))))</f>
        <v/>
      </c>
      <c r="V92" s="9" t="str">
        <f ca="1">IF(IF(ISERROR(MATCH(Stock!V$1,'Stock UST'!$1:$1,0)),U92,INDEX('Stock UST'!92:92,1,MATCH(Stock!V$1,'Stock UST'!$1:$1,0)))=0,"",IF(ISERROR(MATCH(Stock!V$1,'Stock UST'!$1:$1,0)),U92,INDEX('Stock UST'!92:92,1,MATCH(Stock!V$1,'Stock UST'!$1:$1,0))))</f>
        <v/>
      </c>
      <c r="W92" s="9" t="str">
        <f ca="1">IF(IF(ISERROR(MATCH(Stock!W$1,'Stock UST'!$1:$1,0)),V92,INDEX('Stock UST'!92:92,1,MATCH(Stock!W$1,'Stock UST'!$1:$1,0)))=0,"",IF(ISERROR(MATCH(Stock!W$1,'Stock UST'!$1:$1,0)),V92,INDEX('Stock UST'!92:92,1,MATCH(Stock!W$1,'Stock UST'!$1:$1,0))))</f>
        <v/>
      </c>
      <c r="X92" s="9" t="str">
        <f ca="1">IF(IF(ISERROR(MATCH(Stock!X$1,'Stock UST'!$1:$1,0)),W92,INDEX('Stock UST'!92:92,1,MATCH(Stock!X$1,'Stock UST'!$1:$1,0)))=0,"",IF(ISERROR(MATCH(Stock!X$1,'Stock UST'!$1:$1,0)),W92,INDEX('Stock UST'!92:92,1,MATCH(Stock!X$1,'Stock UST'!$1:$1,0))))</f>
        <v/>
      </c>
      <c r="Y92" s="9" t="str">
        <f ca="1">IF(IF(ISERROR(MATCH(Stock!Y$1,'Stock UST'!$1:$1,0)),X92,INDEX('Stock UST'!92:92,1,MATCH(Stock!Y$1,'Stock UST'!$1:$1,0)))=0,"",IF(ISERROR(MATCH(Stock!Y$1,'Stock UST'!$1:$1,0)),X92,INDEX('Stock UST'!92:92,1,MATCH(Stock!Y$1,'Stock UST'!$1:$1,0))))</f>
        <v/>
      </c>
      <c r="Z92" s="9" t="str">
        <f ca="1">IF(IF(ISERROR(MATCH(Stock!Z$1,'Stock UST'!$1:$1,0)),Y92,INDEX('Stock UST'!92:92,1,MATCH(Stock!Z$1,'Stock UST'!$1:$1,0)))=0,"",IF(ISERROR(MATCH(Stock!Z$1,'Stock UST'!$1:$1,0)),Y92,INDEX('Stock UST'!92:92,1,MATCH(Stock!Z$1,'Stock UST'!$1:$1,0))))</f>
        <v/>
      </c>
      <c r="AA92" s="9" t="str">
        <f ca="1">IF(IF(ISERROR(MATCH(Stock!AA$1,'Stock UST'!$1:$1,0)),Z92,INDEX('Stock UST'!92:92,1,MATCH(Stock!AA$1,'Stock UST'!$1:$1,0)))=0,"",IF(ISERROR(MATCH(Stock!AA$1,'Stock UST'!$1:$1,0)),Z92,INDEX('Stock UST'!92:92,1,MATCH(Stock!AA$1,'Stock UST'!$1:$1,0))))</f>
        <v/>
      </c>
      <c r="AB92" s="9" t="str">
        <f ca="1">IF(IF(ISERROR(MATCH(Stock!AB$1,'Stock UST'!$1:$1,0)),AA92,INDEX('Stock UST'!92:92,1,MATCH(Stock!AB$1,'Stock UST'!$1:$1,0)))=0,"",IF(ISERROR(MATCH(Stock!AB$1,'Stock UST'!$1:$1,0)),AA92,INDEX('Stock UST'!92:92,1,MATCH(Stock!AB$1,'Stock UST'!$1:$1,0))))</f>
        <v/>
      </c>
      <c r="AC92" s="9" t="str">
        <f ca="1">IF(IF(ISERROR(MATCH(Stock!AC$1,'Stock UST'!$1:$1,0)),AB92,INDEX('Stock UST'!92:92,1,MATCH(Stock!AC$1,'Stock UST'!$1:$1,0)))=0,"",IF(ISERROR(MATCH(Stock!AC$1,'Stock UST'!$1:$1,0)),AB92,INDEX('Stock UST'!92:92,1,MATCH(Stock!AC$1,'Stock UST'!$1:$1,0))))</f>
        <v/>
      </c>
      <c r="AD92" s="9" t="str">
        <f ca="1">IF(IF(ISERROR(MATCH(Stock!AD$1,'Stock UST'!$1:$1,0)),AC92,INDEX('Stock UST'!92:92,1,MATCH(Stock!AD$1,'Stock UST'!$1:$1,0)))=0,"",IF(ISERROR(MATCH(Stock!AD$1,'Stock UST'!$1:$1,0)),AC92,INDEX('Stock UST'!92:92,1,MATCH(Stock!AD$1,'Stock UST'!$1:$1,0))))</f>
        <v/>
      </c>
      <c r="AE92" s="9" t="str">
        <f ca="1">IF(IF(ISERROR(MATCH(Stock!AE$1,'Stock UST'!$1:$1,0)),AD92,INDEX('Stock UST'!92:92,1,MATCH(Stock!AE$1,'Stock UST'!$1:$1,0)))=0,"",IF(ISERROR(MATCH(Stock!AE$1,'Stock UST'!$1:$1,0)),AD92,INDEX('Stock UST'!92:92,1,MATCH(Stock!AE$1,'Stock UST'!$1:$1,0))))</f>
        <v/>
      </c>
      <c r="AF92" s="9" t="str">
        <f ca="1">IF(IF(ISERROR(MATCH(Stock!AF$1,'Stock UST'!$1:$1,0)),AE92,INDEX('Stock UST'!92:92,1,MATCH(Stock!AF$1,'Stock UST'!$1:$1,0)))=0,"",IF(ISERROR(MATCH(Stock!AF$1,'Stock UST'!$1:$1,0)),AE92,INDEX('Stock UST'!92:92,1,MATCH(Stock!AF$1,'Stock UST'!$1:$1,0))))</f>
        <v/>
      </c>
      <c r="AG92" s="9" t="str">
        <f ca="1">IF(IF(ISERROR(MATCH(Stock!AG$1,'Stock UST'!$1:$1,0)),AF92,INDEX('Stock UST'!92:92,1,MATCH(Stock!AG$1,'Stock UST'!$1:$1,0)))=0,"",IF(ISERROR(MATCH(Stock!AG$1,'Stock UST'!$1:$1,0)),AF92,INDEX('Stock UST'!92:92,1,MATCH(Stock!AG$1,'Stock UST'!$1:$1,0))))</f>
        <v/>
      </c>
      <c r="AH92" s="9" t="str">
        <f ca="1">IF(IF(ISERROR(MATCH(Stock!AH$1,'Stock UST'!$1:$1,0)),AG92,INDEX('Stock UST'!92:92,1,MATCH(Stock!AH$1,'Stock UST'!$1:$1,0)))=0,"",IF(ISERROR(MATCH(Stock!AH$1,'Stock UST'!$1:$1,0)),AG92,INDEX('Stock UST'!92:92,1,MATCH(Stock!AH$1,'Stock UST'!$1:$1,0))))</f>
        <v/>
      </c>
      <c r="AI92" s="9" t="str">
        <f ca="1">IF(IF(ISERROR(MATCH(Stock!AI$1,'Stock UST'!$1:$1,0)),AH92,INDEX('Stock UST'!92:92,1,MATCH(Stock!AI$1,'Stock UST'!$1:$1,0)))=0,"",IF(ISERROR(MATCH(Stock!AI$1,'Stock UST'!$1:$1,0)),AH92,INDEX('Stock UST'!92:92,1,MATCH(Stock!AI$1,'Stock UST'!$1:$1,0))))</f>
        <v/>
      </c>
      <c r="AJ92" s="9" t="str">
        <f ca="1">IF(IF(ISERROR(MATCH(Stock!AJ$1,'Stock UST'!$1:$1,0)),AI92,INDEX('Stock UST'!92:92,1,MATCH(Stock!AJ$1,'Stock UST'!$1:$1,0)))=0,"",IF(ISERROR(MATCH(Stock!AJ$1,'Stock UST'!$1:$1,0)),AI92,INDEX('Stock UST'!92:92,1,MATCH(Stock!AJ$1,'Stock UST'!$1:$1,0))))</f>
        <v/>
      </c>
      <c r="AK92" s="9" t="str">
        <f ca="1">IF(IF(ISERROR(MATCH(Stock!AK$1,'Stock UST'!$1:$1,0)),AJ92,INDEX('Stock UST'!92:92,1,MATCH(Stock!AK$1,'Stock UST'!$1:$1,0)))=0,"",IF(ISERROR(MATCH(Stock!AK$1,'Stock UST'!$1:$1,0)),AJ92,INDEX('Stock UST'!92:92,1,MATCH(Stock!AK$1,'Stock UST'!$1:$1,0))))</f>
        <v/>
      </c>
      <c r="AL92" s="9" t="str">
        <f ca="1">IF(IF(ISERROR(MATCH(Stock!AL$1,'Stock UST'!$1:$1,0)),AK92,INDEX('Stock UST'!92:92,1,MATCH(Stock!AL$1,'Stock UST'!$1:$1,0)))=0,"",IF(ISERROR(MATCH(Stock!AL$1,'Stock UST'!$1:$1,0)),AK92,INDEX('Stock UST'!92:92,1,MATCH(Stock!AL$1,'Stock UST'!$1:$1,0))))</f>
        <v/>
      </c>
      <c r="AM92" s="9" t="str">
        <f ca="1">IF(IF(ISERROR(MATCH(Stock!AM$1,'Stock UST'!$1:$1,0)),AL92,INDEX('Stock UST'!92:92,1,MATCH(Stock!AM$1,'Stock UST'!$1:$1,0)))=0,"",IF(ISERROR(MATCH(Stock!AM$1,'Stock UST'!$1:$1,0)),AL92,INDEX('Stock UST'!92:92,1,MATCH(Stock!AM$1,'Stock UST'!$1:$1,0))))</f>
        <v/>
      </c>
      <c r="AN92" s="9" t="str">
        <f ca="1">IF(IF(ISERROR(MATCH(Stock!AN$1,'Stock UST'!$1:$1,0)),AM92,INDEX('Stock UST'!92:92,1,MATCH(Stock!AN$1,'Stock UST'!$1:$1,0)))=0,"",IF(ISERROR(MATCH(Stock!AN$1,'Stock UST'!$1:$1,0)),AM92,INDEX('Stock UST'!92:92,1,MATCH(Stock!AN$1,'Stock UST'!$1:$1,0))))</f>
        <v/>
      </c>
      <c r="AO92" s="9" t="str">
        <f ca="1">IF(IF(ISERROR(MATCH(Stock!AO$1,'Stock UST'!$1:$1,0)),AN92,INDEX('Stock UST'!92:92,1,MATCH(Stock!AO$1,'Stock UST'!$1:$1,0)))=0,"",IF(ISERROR(MATCH(Stock!AO$1,'Stock UST'!$1:$1,0)),AN92,INDEX('Stock UST'!92:92,1,MATCH(Stock!AO$1,'Stock UST'!$1:$1,0))))</f>
        <v/>
      </c>
      <c r="AP92" s="9" t="str">
        <f ca="1">IF(IF(ISERROR(MATCH(Stock!AP$1,'Stock UST'!$1:$1,0)),AO92,INDEX('Stock UST'!92:92,1,MATCH(Stock!AP$1,'Stock UST'!$1:$1,0)))=0,"",IF(ISERROR(MATCH(Stock!AP$1,'Stock UST'!$1:$1,0)),AO92,INDEX('Stock UST'!92:92,1,MATCH(Stock!AP$1,'Stock UST'!$1:$1,0))))</f>
        <v/>
      </c>
      <c r="AQ92" s="9" t="str">
        <f ca="1">IF(IF(ISERROR(MATCH(Stock!AQ$1,'Stock UST'!$1:$1,0)),AP92,INDEX('Stock UST'!92:92,1,MATCH(Stock!AQ$1,'Stock UST'!$1:$1,0)))=0,"",IF(ISERROR(MATCH(Stock!AQ$1,'Stock UST'!$1:$1,0)),AP92,INDEX('Stock UST'!92:92,1,MATCH(Stock!AQ$1,'Stock UST'!$1:$1,0))))</f>
        <v/>
      </c>
      <c r="AR92" s="9" t="str">
        <f ca="1">IF(IF(ISERROR(MATCH(Stock!AR$1,'Stock UST'!$1:$1,0)),AQ92,INDEX('Stock UST'!92:92,1,MATCH(Stock!AR$1,'Stock UST'!$1:$1,0)))=0,"",IF(ISERROR(MATCH(Stock!AR$1,'Stock UST'!$1:$1,0)),AQ92,INDEX('Stock UST'!92:92,1,MATCH(Stock!AR$1,'Stock UST'!$1:$1,0))))</f>
        <v/>
      </c>
      <c r="AS92" s="9" t="str">
        <f ca="1">IF(IF(ISERROR(MATCH(Stock!AS$1,'Stock UST'!$1:$1,0)),AR92,INDEX('Stock UST'!92:92,1,MATCH(Stock!AS$1,'Stock UST'!$1:$1,0)))=0,"",IF(ISERROR(MATCH(Stock!AS$1,'Stock UST'!$1:$1,0)),AR92,INDEX('Stock UST'!92:92,1,MATCH(Stock!AS$1,'Stock UST'!$1:$1,0))))</f>
        <v/>
      </c>
      <c r="AT92" s="9" t="str">
        <f ca="1">IF(IF(ISERROR(MATCH(Stock!AT$1,'Stock UST'!$1:$1,0)),AS92,INDEX('Stock UST'!92:92,1,MATCH(Stock!AT$1,'Stock UST'!$1:$1,0)))=0,"",IF(ISERROR(MATCH(Stock!AT$1,'Stock UST'!$1:$1,0)),AS92,INDEX('Stock UST'!92:92,1,MATCH(Stock!AT$1,'Stock UST'!$1:$1,0))))</f>
        <v/>
      </c>
      <c r="AU92" s="9" t="str">
        <f ca="1">IF(IF(ISERROR(MATCH(Stock!AU$1,'Stock UST'!$1:$1,0)),AT92,INDEX('Stock UST'!92:92,1,MATCH(Stock!AU$1,'Stock UST'!$1:$1,0)))=0,"",IF(ISERROR(MATCH(Stock!AU$1,'Stock UST'!$1:$1,0)),AT92,INDEX('Stock UST'!92:92,1,MATCH(Stock!AU$1,'Stock UST'!$1:$1,0))))</f>
        <v/>
      </c>
      <c r="AV92" s="9" t="str">
        <f ca="1">IF(IF(ISERROR(MATCH(Stock!AV$1,'Stock UST'!$1:$1,0)),AU92,INDEX('Stock UST'!92:92,1,MATCH(Stock!AV$1,'Stock UST'!$1:$1,0)))=0,"",IF(ISERROR(MATCH(Stock!AV$1,'Stock UST'!$1:$1,0)),AU92,INDEX('Stock UST'!92:92,1,MATCH(Stock!AV$1,'Stock UST'!$1:$1,0))))</f>
        <v/>
      </c>
      <c r="AW92" s="9" t="str">
        <f ca="1">IF(IF(ISERROR(MATCH(Stock!AW$1,'Stock UST'!$1:$1,0)),AV92,INDEX('Stock UST'!92:92,1,MATCH(Stock!AW$1,'Stock UST'!$1:$1,0)))=0,"",IF(ISERROR(MATCH(Stock!AW$1,'Stock UST'!$1:$1,0)),AV92,INDEX('Stock UST'!92:92,1,MATCH(Stock!AW$1,'Stock UST'!$1:$1,0))))</f>
        <v/>
      </c>
      <c r="AX92" s="9" t="str">
        <f ca="1">IF(IF(ISERROR(MATCH(Stock!AX$1,'Stock UST'!$1:$1,0)),AW92,INDEX('Stock UST'!92:92,1,MATCH(Stock!AX$1,'Stock UST'!$1:$1,0)))=0,"",IF(ISERROR(MATCH(Stock!AX$1,'Stock UST'!$1:$1,0)),AW92,INDEX('Stock UST'!92:92,1,MATCH(Stock!AX$1,'Stock UST'!$1:$1,0))))</f>
        <v/>
      </c>
    </row>
    <row r="93" spans="1:50" x14ac:dyDescent="0.3">
      <c r="A93" s="9" t="str">
        <f>IF('Stock UST'!E93="","",'Stock UST'!E93)</f>
        <v/>
      </c>
      <c r="B93" s="9" t="str">
        <f>IF(IF(ISERROR(MATCH(Stock!B$1,'Stock UST'!$1:$1,0)),A93,INDEX('Stock UST'!93:93,1,MATCH(Stock!B$1,'Stock UST'!$1:$1,0)))=0,"",IF(ISERROR(MATCH(Stock!B$1,'Stock UST'!$1:$1,0)),A93,INDEX('Stock UST'!93:93,1,MATCH(Stock!B$1,'Stock UST'!$1:$1,0))))</f>
        <v/>
      </c>
      <c r="C93" s="9" t="str">
        <f ca="1">IF(IF(ISERROR(MATCH(Stock!C$1,'Stock UST'!$1:$1,0)),B93,INDEX('Stock UST'!93:93,1,MATCH(Stock!C$1,'Stock UST'!$1:$1,0)))=0,"",IF(ISERROR(MATCH(Stock!C$1,'Stock UST'!$1:$1,0)),B93,INDEX('Stock UST'!93:93,1,MATCH(Stock!C$1,'Stock UST'!$1:$1,0))))</f>
        <v/>
      </c>
      <c r="D93" s="9" t="str">
        <f ca="1">IF(IF(ISERROR(MATCH(Stock!D$1,'Stock UST'!$1:$1,0)),C93,INDEX('Stock UST'!93:93,1,MATCH(Stock!D$1,'Stock UST'!$1:$1,0)))=0,"",IF(ISERROR(MATCH(Stock!D$1,'Stock UST'!$1:$1,0)),C93,INDEX('Stock UST'!93:93,1,MATCH(Stock!D$1,'Stock UST'!$1:$1,0))))</f>
        <v/>
      </c>
      <c r="E93" s="9" t="str">
        <f ca="1">IF(IF(ISERROR(MATCH(Stock!E$1,'Stock UST'!$1:$1,0)),D93,INDEX('Stock UST'!93:93,1,MATCH(Stock!E$1,'Stock UST'!$1:$1,0)))=0,"",IF(ISERROR(MATCH(Stock!E$1,'Stock UST'!$1:$1,0)),D93,INDEX('Stock UST'!93:93,1,MATCH(Stock!E$1,'Stock UST'!$1:$1,0))))</f>
        <v/>
      </c>
      <c r="F93" s="9" t="str">
        <f ca="1">IF(IF(ISERROR(MATCH(Stock!F$1,'Stock UST'!$1:$1,0)),E93,INDEX('Stock UST'!93:93,1,MATCH(Stock!F$1,'Stock UST'!$1:$1,0)))=0,"",IF(ISERROR(MATCH(Stock!F$1,'Stock UST'!$1:$1,0)),E93,INDEX('Stock UST'!93:93,1,MATCH(Stock!F$1,'Stock UST'!$1:$1,0))))</f>
        <v/>
      </c>
      <c r="G93" s="9" t="str">
        <f ca="1">IF(IF(ISERROR(MATCH(Stock!G$1,'Stock UST'!$1:$1,0)),F93,INDEX('Stock UST'!93:93,1,MATCH(Stock!G$1,'Stock UST'!$1:$1,0)))=0,"",IF(ISERROR(MATCH(Stock!G$1,'Stock UST'!$1:$1,0)),F93,INDEX('Stock UST'!93:93,1,MATCH(Stock!G$1,'Stock UST'!$1:$1,0))))</f>
        <v/>
      </c>
      <c r="H93" s="9" t="str">
        <f ca="1">IF(IF(ISERROR(MATCH(Stock!H$1,'Stock UST'!$1:$1,0)),G93,INDEX('Stock UST'!93:93,1,MATCH(Stock!H$1,'Stock UST'!$1:$1,0)))=0,"",IF(ISERROR(MATCH(Stock!H$1,'Stock UST'!$1:$1,0)),G93,INDEX('Stock UST'!93:93,1,MATCH(Stock!H$1,'Stock UST'!$1:$1,0))))</f>
        <v/>
      </c>
      <c r="I93" s="9" t="str">
        <f ca="1">IF(IF(ISERROR(MATCH(Stock!I$1,'Stock UST'!$1:$1,0)),H93,INDEX('Stock UST'!93:93,1,MATCH(Stock!I$1,'Stock UST'!$1:$1,0)))=0,"",IF(ISERROR(MATCH(Stock!I$1,'Stock UST'!$1:$1,0)),H93,INDEX('Stock UST'!93:93,1,MATCH(Stock!I$1,'Stock UST'!$1:$1,0))))</f>
        <v/>
      </c>
      <c r="J93" s="9" t="str">
        <f ca="1">IF(IF(ISERROR(MATCH(Stock!J$1,'Stock UST'!$1:$1,0)),I93,INDEX('Stock UST'!93:93,1,MATCH(Stock!J$1,'Stock UST'!$1:$1,0)))=0,"",IF(ISERROR(MATCH(Stock!J$1,'Stock UST'!$1:$1,0)),I93,INDEX('Stock UST'!93:93,1,MATCH(Stock!J$1,'Stock UST'!$1:$1,0))))</f>
        <v/>
      </c>
      <c r="K93" s="9" t="str">
        <f ca="1">IF(IF(ISERROR(MATCH(Stock!K$1,'Stock UST'!$1:$1,0)),J93,INDEX('Stock UST'!93:93,1,MATCH(Stock!K$1,'Stock UST'!$1:$1,0)))=0,"",IF(ISERROR(MATCH(Stock!K$1,'Stock UST'!$1:$1,0)),J93,INDEX('Stock UST'!93:93,1,MATCH(Stock!K$1,'Stock UST'!$1:$1,0))))</f>
        <v/>
      </c>
      <c r="L93" s="9" t="str">
        <f ca="1">IF(IF(ISERROR(MATCH(Stock!L$1,'Stock UST'!$1:$1,0)),K93,INDEX('Stock UST'!93:93,1,MATCH(Stock!L$1,'Stock UST'!$1:$1,0)))=0,"",IF(ISERROR(MATCH(Stock!L$1,'Stock UST'!$1:$1,0)),K93,INDEX('Stock UST'!93:93,1,MATCH(Stock!L$1,'Stock UST'!$1:$1,0))))</f>
        <v/>
      </c>
      <c r="M93" s="9" t="str">
        <f ca="1">IF(IF(ISERROR(MATCH(Stock!M$1,'Stock UST'!$1:$1,0)),L93,INDEX('Stock UST'!93:93,1,MATCH(Stock!M$1,'Stock UST'!$1:$1,0)))=0,"",IF(ISERROR(MATCH(Stock!M$1,'Stock UST'!$1:$1,0)),L93,INDEX('Stock UST'!93:93,1,MATCH(Stock!M$1,'Stock UST'!$1:$1,0))))</f>
        <v/>
      </c>
      <c r="N93" s="9" t="str">
        <f ca="1">IF(IF(ISERROR(MATCH(Stock!N$1,'Stock UST'!$1:$1,0)),M93,INDEX('Stock UST'!93:93,1,MATCH(Stock!N$1,'Stock UST'!$1:$1,0)))=0,"",IF(ISERROR(MATCH(Stock!N$1,'Stock UST'!$1:$1,0)),M93,INDEX('Stock UST'!93:93,1,MATCH(Stock!N$1,'Stock UST'!$1:$1,0))))</f>
        <v/>
      </c>
      <c r="O93" s="9" t="str">
        <f ca="1">IF(IF(ISERROR(MATCH(Stock!O$1,'Stock UST'!$1:$1,0)),N93,INDEX('Stock UST'!93:93,1,MATCH(Stock!O$1,'Stock UST'!$1:$1,0)))=0,"",IF(ISERROR(MATCH(Stock!O$1,'Stock UST'!$1:$1,0)),N93,INDEX('Stock UST'!93:93,1,MATCH(Stock!O$1,'Stock UST'!$1:$1,0))))</f>
        <v/>
      </c>
      <c r="P93" s="9" t="str">
        <f ca="1">IF(IF(ISERROR(MATCH(Stock!P$1,'Stock UST'!$1:$1,0)),O93,INDEX('Stock UST'!93:93,1,MATCH(Stock!P$1,'Stock UST'!$1:$1,0)))=0,"",IF(ISERROR(MATCH(Stock!P$1,'Stock UST'!$1:$1,0)),O93,INDEX('Stock UST'!93:93,1,MATCH(Stock!P$1,'Stock UST'!$1:$1,0))))</f>
        <v/>
      </c>
      <c r="Q93" s="9" t="str">
        <f ca="1">IF(IF(ISERROR(MATCH(Stock!Q$1,'Stock UST'!$1:$1,0)),P93,INDEX('Stock UST'!93:93,1,MATCH(Stock!Q$1,'Stock UST'!$1:$1,0)))=0,"",IF(ISERROR(MATCH(Stock!Q$1,'Stock UST'!$1:$1,0)),P93,INDEX('Stock UST'!93:93,1,MATCH(Stock!Q$1,'Stock UST'!$1:$1,0))))</f>
        <v/>
      </c>
      <c r="R93" s="9" t="str">
        <f ca="1">IF(IF(ISERROR(MATCH(Stock!R$1,'Stock UST'!$1:$1,0)),Q93,INDEX('Stock UST'!93:93,1,MATCH(Stock!R$1,'Stock UST'!$1:$1,0)))=0,"",IF(ISERROR(MATCH(Stock!R$1,'Stock UST'!$1:$1,0)),Q93,INDEX('Stock UST'!93:93,1,MATCH(Stock!R$1,'Stock UST'!$1:$1,0))))</f>
        <v/>
      </c>
      <c r="S93" s="9" t="str">
        <f ca="1">IF(IF(ISERROR(MATCH(Stock!S$1,'Stock UST'!$1:$1,0)),R93,INDEX('Stock UST'!93:93,1,MATCH(Stock!S$1,'Stock UST'!$1:$1,0)))=0,"",IF(ISERROR(MATCH(Stock!S$1,'Stock UST'!$1:$1,0)),R93,INDEX('Stock UST'!93:93,1,MATCH(Stock!S$1,'Stock UST'!$1:$1,0))))</f>
        <v/>
      </c>
      <c r="T93" s="9" t="str">
        <f ca="1">IF(IF(ISERROR(MATCH(Stock!T$1,'Stock UST'!$1:$1,0)),S93,INDEX('Stock UST'!93:93,1,MATCH(Stock!T$1,'Stock UST'!$1:$1,0)))=0,"",IF(ISERROR(MATCH(Stock!T$1,'Stock UST'!$1:$1,0)),S93,INDEX('Stock UST'!93:93,1,MATCH(Stock!T$1,'Stock UST'!$1:$1,0))))</f>
        <v/>
      </c>
      <c r="U93" s="9" t="str">
        <f ca="1">IF(IF(ISERROR(MATCH(Stock!U$1,'Stock UST'!$1:$1,0)),T93,INDEX('Stock UST'!93:93,1,MATCH(Stock!U$1,'Stock UST'!$1:$1,0)))=0,"",IF(ISERROR(MATCH(Stock!U$1,'Stock UST'!$1:$1,0)),T93,INDEX('Stock UST'!93:93,1,MATCH(Stock!U$1,'Stock UST'!$1:$1,0))))</f>
        <v/>
      </c>
      <c r="V93" s="9" t="str">
        <f ca="1">IF(IF(ISERROR(MATCH(Stock!V$1,'Stock UST'!$1:$1,0)),U93,INDEX('Stock UST'!93:93,1,MATCH(Stock!V$1,'Stock UST'!$1:$1,0)))=0,"",IF(ISERROR(MATCH(Stock!V$1,'Stock UST'!$1:$1,0)),U93,INDEX('Stock UST'!93:93,1,MATCH(Stock!V$1,'Stock UST'!$1:$1,0))))</f>
        <v/>
      </c>
      <c r="W93" s="9" t="str">
        <f ca="1">IF(IF(ISERROR(MATCH(Stock!W$1,'Stock UST'!$1:$1,0)),V93,INDEX('Stock UST'!93:93,1,MATCH(Stock!W$1,'Stock UST'!$1:$1,0)))=0,"",IF(ISERROR(MATCH(Stock!W$1,'Stock UST'!$1:$1,0)),V93,INDEX('Stock UST'!93:93,1,MATCH(Stock!W$1,'Stock UST'!$1:$1,0))))</f>
        <v/>
      </c>
      <c r="X93" s="9" t="str">
        <f ca="1">IF(IF(ISERROR(MATCH(Stock!X$1,'Stock UST'!$1:$1,0)),W93,INDEX('Stock UST'!93:93,1,MATCH(Stock!X$1,'Stock UST'!$1:$1,0)))=0,"",IF(ISERROR(MATCH(Stock!X$1,'Stock UST'!$1:$1,0)),W93,INDEX('Stock UST'!93:93,1,MATCH(Stock!X$1,'Stock UST'!$1:$1,0))))</f>
        <v/>
      </c>
      <c r="Y93" s="9" t="str">
        <f ca="1">IF(IF(ISERROR(MATCH(Stock!Y$1,'Stock UST'!$1:$1,0)),X93,INDEX('Stock UST'!93:93,1,MATCH(Stock!Y$1,'Stock UST'!$1:$1,0)))=0,"",IF(ISERROR(MATCH(Stock!Y$1,'Stock UST'!$1:$1,0)),X93,INDEX('Stock UST'!93:93,1,MATCH(Stock!Y$1,'Stock UST'!$1:$1,0))))</f>
        <v/>
      </c>
      <c r="Z93" s="9" t="str">
        <f ca="1">IF(IF(ISERROR(MATCH(Stock!Z$1,'Stock UST'!$1:$1,0)),Y93,INDEX('Stock UST'!93:93,1,MATCH(Stock!Z$1,'Stock UST'!$1:$1,0)))=0,"",IF(ISERROR(MATCH(Stock!Z$1,'Stock UST'!$1:$1,0)),Y93,INDEX('Stock UST'!93:93,1,MATCH(Stock!Z$1,'Stock UST'!$1:$1,0))))</f>
        <v/>
      </c>
      <c r="AA93" s="9" t="str">
        <f ca="1">IF(IF(ISERROR(MATCH(Stock!AA$1,'Stock UST'!$1:$1,0)),Z93,INDEX('Stock UST'!93:93,1,MATCH(Stock!AA$1,'Stock UST'!$1:$1,0)))=0,"",IF(ISERROR(MATCH(Stock!AA$1,'Stock UST'!$1:$1,0)),Z93,INDEX('Stock UST'!93:93,1,MATCH(Stock!AA$1,'Stock UST'!$1:$1,0))))</f>
        <v/>
      </c>
      <c r="AB93" s="9" t="str">
        <f ca="1">IF(IF(ISERROR(MATCH(Stock!AB$1,'Stock UST'!$1:$1,0)),AA93,INDEX('Stock UST'!93:93,1,MATCH(Stock!AB$1,'Stock UST'!$1:$1,0)))=0,"",IF(ISERROR(MATCH(Stock!AB$1,'Stock UST'!$1:$1,0)),AA93,INDEX('Stock UST'!93:93,1,MATCH(Stock!AB$1,'Stock UST'!$1:$1,0))))</f>
        <v/>
      </c>
      <c r="AC93" s="9" t="str">
        <f ca="1">IF(IF(ISERROR(MATCH(Stock!AC$1,'Stock UST'!$1:$1,0)),AB93,INDEX('Stock UST'!93:93,1,MATCH(Stock!AC$1,'Stock UST'!$1:$1,0)))=0,"",IF(ISERROR(MATCH(Stock!AC$1,'Stock UST'!$1:$1,0)),AB93,INDEX('Stock UST'!93:93,1,MATCH(Stock!AC$1,'Stock UST'!$1:$1,0))))</f>
        <v/>
      </c>
      <c r="AD93" s="9" t="str">
        <f ca="1">IF(IF(ISERROR(MATCH(Stock!AD$1,'Stock UST'!$1:$1,0)),AC93,INDEX('Stock UST'!93:93,1,MATCH(Stock!AD$1,'Stock UST'!$1:$1,0)))=0,"",IF(ISERROR(MATCH(Stock!AD$1,'Stock UST'!$1:$1,0)),AC93,INDEX('Stock UST'!93:93,1,MATCH(Stock!AD$1,'Stock UST'!$1:$1,0))))</f>
        <v/>
      </c>
      <c r="AE93" s="9" t="str">
        <f ca="1">IF(IF(ISERROR(MATCH(Stock!AE$1,'Stock UST'!$1:$1,0)),AD93,INDEX('Stock UST'!93:93,1,MATCH(Stock!AE$1,'Stock UST'!$1:$1,0)))=0,"",IF(ISERROR(MATCH(Stock!AE$1,'Stock UST'!$1:$1,0)),AD93,INDEX('Stock UST'!93:93,1,MATCH(Stock!AE$1,'Stock UST'!$1:$1,0))))</f>
        <v/>
      </c>
      <c r="AF93" s="9" t="str">
        <f ca="1">IF(IF(ISERROR(MATCH(Stock!AF$1,'Stock UST'!$1:$1,0)),AE93,INDEX('Stock UST'!93:93,1,MATCH(Stock!AF$1,'Stock UST'!$1:$1,0)))=0,"",IF(ISERROR(MATCH(Stock!AF$1,'Stock UST'!$1:$1,0)),AE93,INDEX('Stock UST'!93:93,1,MATCH(Stock!AF$1,'Stock UST'!$1:$1,0))))</f>
        <v/>
      </c>
      <c r="AG93" s="9" t="str">
        <f ca="1">IF(IF(ISERROR(MATCH(Stock!AG$1,'Stock UST'!$1:$1,0)),AF93,INDEX('Stock UST'!93:93,1,MATCH(Stock!AG$1,'Stock UST'!$1:$1,0)))=0,"",IF(ISERROR(MATCH(Stock!AG$1,'Stock UST'!$1:$1,0)),AF93,INDEX('Stock UST'!93:93,1,MATCH(Stock!AG$1,'Stock UST'!$1:$1,0))))</f>
        <v/>
      </c>
      <c r="AH93" s="9" t="str">
        <f ca="1">IF(IF(ISERROR(MATCH(Stock!AH$1,'Stock UST'!$1:$1,0)),AG93,INDEX('Stock UST'!93:93,1,MATCH(Stock!AH$1,'Stock UST'!$1:$1,0)))=0,"",IF(ISERROR(MATCH(Stock!AH$1,'Stock UST'!$1:$1,0)),AG93,INDEX('Stock UST'!93:93,1,MATCH(Stock!AH$1,'Stock UST'!$1:$1,0))))</f>
        <v/>
      </c>
      <c r="AI93" s="9" t="str">
        <f ca="1">IF(IF(ISERROR(MATCH(Stock!AI$1,'Stock UST'!$1:$1,0)),AH93,INDEX('Stock UST'!93:93,1,MATCH(Stock!AI$1,'Stock UST'!$1:$1,0)))=0,"",IF(ISERROR(MATCH(Stock!AI$1,'Stock UST'!$1:$1,0)),AH93,INDEX('Stock UST'!93:93,1,MATCH(Stock!AI$1,'Stock UST'!$1:$1,0))))</f>
        <v/>
      </c>
      <c r="AJ93" s="9" t="str">
        <f ca="1">IF(IF(ISERROR(MATCH(Stock!AJ$1,'Stock UST'!$1:$1,0)),AI93,INDEX('Stock UST'!93:93,1,MATCH(Stock!AJ$1,'Stock UST'!$1:$1,0)))=0,"",IF(ISERROR(MATCH(Stock!AJ$1,'Stock UST'!$1:$1,0)),AI93,INDEX('Stock UST'!93:93,1,MATCH(Stock!AJ$1,'Stock UST'!$1:$1,0))))</f>
        <v/>
      </c>
      <c r="AK93" s="9" t="str">
        <f ca="1">IF(IF(ISERROR(MATCH(Stock!AK$1,'Stock UST'!$1:$1,0)),AJ93,INDEX('Stock UST'!93:93,1,MATCH(Stock!AK$1,'Stock UST'!$1:$1,0)))=0,"",IF(ISERROR(MATCH(Stock!AK$1,'Stock UST'!$1:$1,0)),AJ93,INDEX('Stock UST'!93:93,1,MATCH(Stock!AK$1,'Stock UST'!$1:$1,0))))</f>
        <v/>
      </c>
      <c r="AL93" s="9" t="str">
        <f ca="1">IF(IF(ISERROR(MATCH(Stock!AL$1,'Stock UST'!$1:$1,0)),AK93,INDEX('Stock UST'!93:93,1,MATCH(Stock!AL$1,'Stock UST'!$1:$1,0)))=0,"",IF(ISERROR(MATCH(Stock!AL$1,'Stock UST'!$1:$1,0)),AK93,INDEX('Stock UST'!93:93,1,MATCH(Stock!AL$1,'Stock UST'!$1:$1,0))))</f>
        <v/>
      </c>
      <c r="AM93" s="9" t="str">
        <f ca="1">IF(IF(ISERROR(MATCH(Stock!AM$1,'Stock UST'!$1:$1,0)),AL93,INDEX('Stock UST'!93:93,1,MATCH(Stock!AM$1,'Stock UST'!$1:$1,0)))=0,"",IF(ISERROR(MATCH(Stock!AM$1,'Stock UST'!$1:$1,0)),AL93,INDEX('Stock UST'!93:93,1,MATCH(Stock!AM$1,'Stock UST'!$1:$1,0))))</f>
        <v/>
      </c>
      <c r="AN93" s="9" t="str">
        <f ca="1">IF(IF(ISERROR(MATCH(Stock!AN$1,'Stock UST'!$1:$1,0)),AM93,INDEX('Stock UST'!93:93,1,MATCH(Stock!AN$1,'Stock UST'!$1:$1,0)))=0,"",IF(ISERROR(MATCH(Stock!AN$1,'Stock UST'!$1:$1,0)),AM93,INDEX('Stock UST'!93:93,1,MATCH(Stock!AN$1,'Stock UST'!$1:$1,0))))</f>
        <v/>
      </c>
      <c r="AO93" s="9" t="str">
        <f ca="1">IF(IF(ISERROR(MATCH(Stock!AO$1,'Stock UST'!$1:$1,0)),AN93,INDEX('Stock UST'!93:93,1,MATCH(Stock!AO$1,'Stock UST'!$1:$1,0)))=0,"",IF(ISERROR(MATCH(Stock!AO$1,'Stock UST'!$1:$1,0)),AN93,INDEX('Stock UST'!93:93,1,MATCH(Stock!AO$1,'Stock UST'!$1:$1,0))))</f>
        <v/>
      </c>
      <c r="AP93" s="9" t="str">
        <f ca="1">IF(IF(ISERROR(MATCH(Stock!AP$1,'Stock UST'!$1:$1,0)),AO93,INDEX('Stock UST'!93:93,1,MATCH(Stock!AP$1,'Stock UST'!$1:$1,0)))=0,"",IF(ISERROR(MATCH(Stock!AP$1,'Stock UST'!$1:$1,0)),AO93,INDEX('Stock UST'!93:93,1,MATCH(Stock!AP$1,'Stock UST'!$1:$1,0))))</f>
        <v/>
      </c>
      <c r="AQ93" s="9" t="str">
        <f ca="1">IF(IF(ISERROR(MATCH(Stock!AQ$1,'Stock UST'!$1:$1,0)),AP93,INDEX('Stock UST'!93:93,1,MATCH(Stock!AQ$1,'Stock UST'!$1:$1,0)))=0,"",IF(ISERROR(MATCH(Stock!AQ$1,'Stock UST'!$1:$1,0)),AP93,INDEX('Stock UST'!93:93,1,MATCH(Stock!AQ$1,'Stock UST'!$1:$1,0))))</f>
        <v/>
      </c>
      <c r="AR93" s="9" t="str">
        <f ca="1">IF(IF(ISERROR(MATCH(Stock!AR$1,'Stock UST'!$1:$1,0)),AQ93,INDEX('Stock UST'!93:93,1,MATCH(Stock!AR$1,'Stock UST'!$1:$1,0)))=0,"",IF(ISERROR(MATCH(Stock!AR$1,'Stock UST'!$1:$1,0)),AQ93,INDEX('Stock UST'!93:93,1,MATCH(Stock!AR$1,'Stock UST'!$1:$1,0))))</f>
        <v/>
      </c>
      <c r="AS93" s="9" t="str">
        <f ca="1">IF(IF(ISERROR(MATCH(Stock!AS$1,'Stock UST'!$1:$1,0)),AR93,INDEX('Stock UST'!93:93,1,MATCH(Stock!AS$1,'Stock UST'!$1:$1,0)))=0,"",IF(ISERROR(MATCH(Stock!AS$1,'Stock UST'!$1:$1,0)),AR93,INDEX('Stock UST'!93:93,1,MATCH(Stock!AS$1,'Stock UST'!$1:$1,0))))</f>
        <v/>
      </c>
      <c r="AT93" s="9" t="str">
        <f ca="1">IF(IF(ISERROR(MATCH(Stock!AT$1,'Stock UST'!$1:$1,0)),AS93,INDEX('Stock UST'!93:93,1,MATCH(Stock!AT$1,'Stock UST'!$1:$1,0)))=0,"",IF(ISERROR(MATCH(Stock!AT$1,'Stock UST'!$1:$1,0)),AS93,INDEX('Stock UST'!93:93,1,MATCH(Stock!AT$1,'Stock UST'!$1:$1,0))))</f>
        <v/>
      </c>
      <c r="AU93" s="9" t="str">
        <f ca="1">IF(IF(ISERROR(MATCH(Stock!AU$1,'Stock UST'!$1:$1,0)),AT93,INDEX('Stock UST'!93:93,1,MATCH(Stock!AU$1,'Stock UST'!$1:$1,0)))=0,"",IF(ISERROR(MATCH(Stock!AU$1,'Stock UST'!$1:$1,0)),AT93,INDEX('Stock UST'!93:93,1,MATCH(Stock!AU$1,'Stock UST'!$1:$1,0))))</f>
        <v/>
      </c>
      <c r="AV93" s="9" t="str">
        <f ca="1">IF(IF(ISERROR(MATCH(Stock!AV$1,'Stock UST'!$1:$1,0)),AU93,INDEX('Stock UST'!93:93,1,MATCH(Stock!AV$1,'Stock UST'!$1:$1,0)))=0,"",IF(ISERROR(MATCH(Stock!AV$1,'Stock UST'!$1:$1,0)),AU93,INDEX('Stock UST'!93:93,1,MATCH(Stock!AV$1,'Stock UST'!$1:$1,0))))</f>
        <v/>
      </c>
      <c r="AW93" s="9" t="str">
        <f ca="1">IF(IF(ISERROR(MATCH(Stock!AW$1,'Stock UST'!$1:$1,0)),AV93,INDEX('Stock UST'!93:93,1,MATCH(Stock!AW$1,'Stock UST'!$1:$1,0)))=0,"",IF(ISERROR(MATCH(Stock!AW$1,'Stock UST'!$1:$1,0)),AV93,INDEX('Stock UST'!93:93,1,MATCH(Stock!AW$1,'Stock UST'!$1:$1,0))))</f>
        <v/>
      </c>
      <c r="AX93" s="9" t="str">
        <f ca="1">IF(IF(ISERROR(MATCH(Stock!AX$1,'Stock UST'!$1:$1,0)),AW93,INDEX('Stock UST'!93:93,1,MATCH(Stock!AX$1,'Stock UST'!$1:$1,0)))=0,"",IF(ISERROR(MATCH(Stock!AX$1,'Stock UST'!$1:$1,0)),AW93,INDEX('Stock UST'!93:93,1,MATCH(Stock!AX$1,'Stock UST'!$1:$1,0))))</f>
        <v/>
      </c>
    </row>
    <row r="94" spans="1:50" x14ac:dyDescent="0.3">
      <c r="A94" s="9" t="str">
        <f>IF('Stock UST'!E94="","",'Stock UST'!E94)</f>
        <v/>
      </c>
      <c r="B94" s="9" t="str">
        <f>IF(IF(ISERROR(MATCH(Stock!B$1,'Stock UST'!$1:$1,0)),A94,INDEX('Stock UST'!94:94,1,MATCH(Stock!B$1,'Stock UST'!$1:$1,0)))=0,"",IF(ISERROR(MATCH(Stock!B$1,'Stock UST'!$1:$1,0)),A94,INDEX('Stock UST'!94:94,1,MATCH(Stock!B$1,'Stock UST'!$1:$1,0))))</f>
        <v/>
      </c>
      <c r="C94" s="9" t="str">
        <f ca="1">IF(IF(ISERROR(MATCH(Stock!C$1,'Stock UST'!$1:$1,0)),B94,INDEX('Stock UST'!94:94,1,MATCH(Stock!C$1,'Stock UST'!$1:$1,0)))=0,"",IF(ISERROR(MATCH(Stock!C$1,'Stock UST'!$1:$1,0)),B94,INDEX('Stock UST'!94:94,1,MATCH(Stock!C$1,'Stock UST'!$1:$1,0))))</f>
        <v/>
      </c>
      <c r="D94" s="9" t="str">
        <f ca="1">IF(IF(ISERROR(MATCH(Stock!D$1,'Stock UST'!$1:$1,0)),C94,INDEX('Stock UST'!94:94,1,MATCH(Stock!D$1,'Stock UST'!$1:$1,0)))=0,"",IF(ISERROR(MATCH(Stock!D$1,'Stock UST'!$1:$1,0)),C94,INDEX('Stock UST'!94:94,1,MATCH(Stock!D$1,'Stock UST'!$1:$1,0))))</f>
        <v/>
      </c>
      <c r="E94" s="9" t="str">
        <f ca="1">IF(IF(ISERROR(MATCH(Stock!E$1,'Stock UST'!$1:$1,0)),D94,INDEX('Stock UST'!94:94,1,MATCH(Stock!E$1,'Stock UST'!$1:$1,0)))=0,"",IF(ISERROR(MATCH(Stock!E$1,'Stock UST'!$1:$1,0)),D94,INDEX('Stock UST'!94:94,1,MATCH(Stock!E$1,'Stock UST'!$1:$1,0))))</f>
        <v/>
      </c>
      <c r="F94" s="9" t="str">
        <f ca="1">IF(IF(ISERROR(MATCH(Stock!F$1,'Stock UST'!$1:$1,0)),E94,INDEX('Stock UST'!94:94,1,MATCH(Stock!F$1,'Stock UST'!$1:$1,0)))=0,"",IF(ISERROR(MATCH(Stock!F$1,'Stock UST'!$1:$1,0)),E94,INDEX('Stock UST'!94:94,1,MATCH(Stock!F$1,'Stock UST'!$1:$1,0))))</f>
        <v/>
      </c>
      <c r="G94" s="9" t="str">
        <f ca="1">IF(IF(ISERROR(MATCH(Stock!G$1,'Stock UST'!$1:$1,0)),F94,INDEX('Stock UST'!94:94,1,MATCH(Stock!G$1,'Stock UST'!$1:$1,0)))=0,"",IF(ISERROR(MATCH(Stock!G$1,'Stock UST'!$1:$1,0)),F94,INDEX('Stock UST'!94:94,1,MATCH(Stock!G$1,'Stock UST'!$1:$1,0))))</f>
        <v/>
      </c>
      <c r="H94" s="9" t="str">
        <f ca="1">IF(IF(ISERROR(MATCH(Stock!H$1,'Stock UST'!$1:$1,0)),G94,INDEX('Stock UST'!94:94,1,MATCH(Stock!H$1,'Stock UST'!$1:$1,0)))=0,"",IF(ISERROR(MATCH(Stock!H$1,'Stock UST'!$1:$1,0)),G94,INDEX('Stock UST'!94:94,1,MATCH(Stock!H$1,'Stock UST'!$1:$1,0))))</f>
        <v/>
      </c>
      <c r="I94" s="9" t="str">
        <f ca="1">IF(IF(ISERROR(MATCH(Stock!I$1,'Stock UST'!$1:$1,0)),H94,INDEX('Stock UST'!94:94,1,MATCH(Stock!I$1,'Stock UST'!$1:$1,0)))=0,"",IF(ISERROR(MATCH(Stock!I$1,'Stock UST'!$1:$1,0)),H94,INDEX('Stock UST'!94:94,1,MATCH(Stock!I$1,'Stock UST'!$1:$1,0))))</f>
        <v/>
      </c>
      <c r="J94" s="9" t="str">
        <f ca="1">IF(IF(ISERROR(MATCH(Stock!J$1,'Stock UST'!$1:$1,0)),I94,INDEX('Stock UST'!94:94,1,MATCH(Stock!J$1,'Stock UST'!$1:$1,0)))=0,"",IF(ISERROR(MATCH(Stock!J$1,'Stock UST'!$1:$1,0)),I94,INDEX('Stock UST'!94:94,1,MATCH(Stock!J$1,'Stock UST'!$1:$1,0))))</f>
        <v/>
      </c>
      <c r="K94" s="9" t="str">
        <f ca="1">IF(IF(ISERROR(MATCH(Stock!K$1,'Stock UST'!$1:$1,0)),J94,INDEX('Stock UST'!94:94,1,MATCH(Stock!K$1,'Stock UST'!$1:$1,0)))=0,"",IF(ISERROR(MATCH(Stock!K$1,'Stock UST'!$1:$1,0)),J94,INDEX('Stock UST'!94:94,1,MATCH(Stock!K$1,'Stock UST'!$1:$1,0))))</f>
        <v/>
      </c>
      <c r="L94" s="9" t="str">
        <f ca="1">IF(IF(ISERROR(MATCH(Stock!L$1,'Stock UST'!$1:$1,0)),K94,INDEX('Stock UST'!94:94,1,MATCH(Stock!L$1,'Stock UST'!$1:$1,0)))=0,"",IF(ISERROR(MATCH(Stock!L$1,'Stock UST'!$1:$1,0)),K94,INDEX('Stock UST'!94:94,1,MATCH(Stock!L$1,'Stock UST'!$1:$1,0))))</f>
        <v/>
      </c>
      <c r="M94" s="9" t="str">
        <f ca="1">IF(IF(ISERROR(MATCH(Stock!M$1,'Stock UST'!$1:$1,0)),L94,INDEX('Stock UST'!94:94,1,MATCH(Stock!M$1,'Stock UST'!$1:$1,0)))=0,"",IF(ISERROR(MATCH(Stock!M$1,'Stock UST'!$1:$1,0)),L94,INDEX('Stock UST'!94:94,1,MATCH(Stock!M$1,'Stock UST'!$1:$1,0))))</f>
        <v/>
      </c>
      <c r="N94" s="9" t="str">
        <f ca="1">IF(IF(ISERROR(MATCH(Stock!N$1,'Stock UST'!$1:$1,0)),M94,INDEX('Stock UST'!94:94,1,MATCH(Stock!N$1,'Stock UST'!$1:$1,0)))=0,"",IF(ISERROR(MATCH(Stock!N$1,'Stock UST'!$1:$1,0)),M94,INDEX('Stock UST'!94:94,1,MATCH(Stock!N$1,'Stock UST'!$1:$1,0))))</f>
        <v/>
      </c>
      <c r="O94" s="9" t="str">
        <f ca="1">IF(IF(ISERROR(MATCH(Stock!O$1,'Stock UST'!$1:$1,0)),N94,INDEX('Stock UST'!94:94,1,MATCH(Stock!O$1,'Stock UST'!$1:$1,0)))=0,"",IF(ISERROR(MATCH(Stock!O$1,'Stock UST'!$1:$1,0)),N94,INDEX('Stock UST'!94:94,1,MATCH(Stock!O$1,'Stock UST'!$1:$1,0))))</f>
        <v/>
      </c>
      <c r="P94" s="9" t="str">
        <f ca="1">IF(IF(ISERROR(MATCH(Stock!P$1,'Stock UST'!$1:$1,0)),O94,INDEX('Stock UST'!94:94,1,MATCH(Stock!P$1,'Stock UST'!$1:$1,0)))=0,"",IF(ISERROR(MATCH(Stock!P$1,'Stock UST'!$1:$1,0)),O94,INDEX('Stock UST'!94:94,1,MATCH(Stock!P$1,'Stock UST'!$1:$1,0))))</f>
        <v/>
      </c>
      <c r="Q94" s="9" t="str">
        <f ca="1">IF(IF(ISERROR(MATCH(Stock!Q$1,'Stock UST'!$1:$1,0)),P94,INDEX('Stock UST'!94:94,1,MATCH(Stock!Q$1,'Stock UST'!$1:$1,0)))=0,"",IF(ISERROR(MATCH(Stock!Q$1,'Stock UST'!$1:$1,0)),P94,INDEX('Stock UST'!94:94,1,MATCH(Stock!Q$1,'Stock UST'!$1:$1,0))))</f>
        <v/>
      </c>
      <c r="R94" s="9" t="str">
        <f ca="1">IF(IF(ISERROR(MATCH(Stock!R$1,'Stock UST'!$1:$1,0)),Q94,INDEX('Stock UST'!94:94,1,MATCH(Stock!R$1,'Stock UST'!$1:$1,0)))=0,"",IF(ISERROR(MATCH(Stock!R$1,'Stock UST'!$1:$1,0)),Q94,INDEX('Stock UST'!94:94,1,MATCH(Stock!R$1,'Stock UST'!$1:$1,0))))</f>
        <v/>
      </c>
      <c r="S94" s="9" t="str">
        <f ca="1">IF(IF(ISERROR(MATCH(Stock!S$1,'Stock UST'!$1:$1,0)),R94,INDEX('Stock UST'!94:94,1,MATCH(Stock!S$1,'Stock UST'!$1:$1,0)))=0,"",IF(ISERROR(MATCH(Stock!S$1,'Stock UST'!$1:$1,0)),R94,INDEX('Stock UST'!94:94,1,MATCH(Stock!S$1,'Stock UST'!$1:$1,0))))</f>
        <v/>
      </c>
      <c r="T94" s="9" t="str">
        <f ca="1">IF(IF(ISERROR(MATCH(Stock!T$1,'Stock UST'!$1:$1,0)),S94,INDEX('Stock UST'!94:94,1,MATCH(Stock!T$1,'Stock UST'!$1:$1,0)))=0,"",IF(ISERROR(MATCH(Stock!T$1,'Stock UST'!$1:$1,0)),S94,INDEX('Stock UST'!94:94,1,MATCH(Stock!T$1,'Stock UST'!$1:$1,0))))</f>
        <v/>
      </c>
      <c r="U94" s="9" t="str">
        <f ca="1">IF(IF(ISERROR(MATCH(Stock!U$1,'Stock UST'!$1:$1,0)),T94,INDEX('Stock UST'!94:94,1,MATCH(Stock!U$1,'Stock UST'!$1:$1,0)))=0,"",IF(ISERROR(MATCH(Stock!U$1,'Stock UST'!$1:$1,0)),T94,INDEX('Stock UST'!94:94,1,MATCH(Stock!U$1,'Stock UST'!$1:$1,0))))</f>
        <v/>
      </c>
      <c r="V94" s="9" t="str">
        <f ca="1">IF(IF(ISERROR(MATCH(Stock!V$1,'Stock UST'!$1:$1,0)),U94,INDEX('Stock UST'!94:94,1,MATCH(Stock!V$1,'Stock UST'!$1:$1,0)))=0,"",IF(ISERROR(MATCH(Stock!V$1,'Stock UST'!$1:$1,0)),U94,INDEX('Stock UST'!94:94,1,MATCH(Stock!V$1,'Stock UST'!$1:$1,0))))</f>
        <v/>
      </c>
      <c r="W94" s="9" t="str">
        <f ca="1">IF(IF(ISERROR(MATCH(Stock!W$1,'Stock UST'!$1:$1,0)),V94,INDEX('Stock UST'!94:94,1,MATCH(Stock!W$1,'Stock UST'!$1:$1,0)))=0,"",IF(ISERROR(MATCH(Stock!W$1,'Stock UST'!$1:$1,0)),V94,INDEX('Stock UST'!94:94,1,MATCH(Stock!W$1,'Stock UST'!$1:$1,0))))</f>
        <v/>
      </c>
      <c r="X94" s="9" t="str">
        <f ca="1">IF(IF(ISERROR(MATCH(Stock!X$1,'Stock UST'!$1:$1,0)),W94,INDEX('Stock UST'!94:94,1,MATCH(Stock!X$1,'Stock UST'!$1:$1,0)))=0,"",IF(ISERROR(MATCH(Stock!X$1,'Stock UST'!$1:$1,0)),W94,INDEX('Stock UST'!94:94,1,MATCH(Stock!X$1,'Stock UST'!$1:$1,0))))</f>
        <v/>
      </c>
      <c r="Y94" s="9" t="str">
        <f ca="1">IF(IF(ISERROR(MATCH(Stock!Y$1,'Stock UST'!$1:$1,0)),X94,INDEX('Stock UST'!94:94,1,MATCH(Stock!Y$1,'Stock UST'!$1:$1,0)))=0,"",IF(ISERROR(MATCH(Stock!Y$1,'Stock UST'!$1:$1,0)),X94,INDEX('Stock UST'!94:94,1,MATCH(Stock!Y$1,'Stock UST'!$1:$1,0))))</f>
        <v/>
      </c>
      <c r="Z94" s="9" t="str">
        <f ca="1">IF(IF(ISERROR(MATCH(Stock!Z$1,'Stock UST'!$1:$1,0)),Y94,INDEX('Stock UST'!94:94,1,MATCH(Stock!Z$1,'Stock UST'!$1:$1,0)))=0,"",IF(ISERROR(MATCH(Stock!Z$1,'Stock UST'!$1:$1,0)),Y94,INDEX('Stock UST'!94:94,1,MATCH(Stock!Z$1,'Stock UST'!$1:$1,0))))</f>
        <v/>
      </c>
      <c r="AA94" s="9" t="str">
        <f ca="1">IF(IF(ISERROR(MATCH(Stock!AA$1,'Stock UST'!$1:$1,0)),Z94,INDEX('Stock UST'!94:94,1,MATCH(Stock!AA$1,'Stock UST'!$1:$1,0)))=0,"",IF(ISERROR(MATCH(Stock!AA$1,'Stock UST'!$1:$1,0)),Z94,INDEX('Stock UST'!94:94,1,MATCH(Stock!AA$1,'Stock UST'!$1:$1,0))))</f>
        <v/>
      </c>
      <c r="AB94" s="9" t="str">
        <f ca="1">IF(IF(ISERROR(MATCH(Stock!AB$1,'Stock UST'!$1:$1,0)),AA94,INDEX('Stock UST'!94:94,1,MATCH(Stock!AB$1,'Stock UST'!$1:$1,0)))=0,"",IF(ISERROR(MATCH(Stock!AB$1,'Stock UST'!$1:$1,0)),AA94,INDEX('Stock UST'!94:94,1,MATCH(Stock!AB$1,'Stock UST'!$1:$1,0))))</f>
        <v/>
      </c>
      <c r="AC94" s="9" t="str">
        <f ca="1">IF(IF(ISERROR(MATCH(Stock!AC$1,'Stock UST'!$1:$1,0)),AB94,INDEX('Stock UST'!94:94,1,MATCH(Stock!AC$1,'Stock UST'!$1:$1,0)))=0,"",IF(ISERROR(MATCH(Stock!AC$1,'Stock UST'!$1:$1,0)),AB94,INDEX('Stock UST'!94:94,1,MATCH(Stock!AC$1,'Stock UST'!$1:$1,0))))</f>
        <v/>
      </c>
      <c r="AD94" s="9" t="str">
        <f ca="1">IF(IF(ISERROR(MATCH(Stock!AD$1,'Stock UST'!$1:$1,0)),AC94,INDEX('Stock UST'!94:94,1,MATCH(Stock!AD$1,'Stock UST'!$1:$1,0)))=0,"",IF(ISERROR(MATCH(Stock!AD$1,'Stock UST'!$1:$1,0)),AC94,INDEX('Stock UST'!94:94,1,MATCH(Stock!AD$1,'Stock UST'!$1:$1,0))))</f>
        <v/>
      </c>
      <c r="AE94" s="9" t="str">
        <f ca="1">IF(IF(ISERROR(MATCH(Stock!AE$1,'Stock UST'!$1:$1,0)),AD94,INDEX('Stock UST'!94:94,1,MATCH(Stock!AE$1,'Stock UST'!$1:$1,0)))=0,"",IF(ISERROR(MATCH(Stock!AE$1,'Stock UST'!$1:$1,0)),AD94,INDEX('Stock UST'!94:94,1,MATCH(Stock!AE$1,'Stock UST'!$1:$1,0))))</f>
        <v/>
      </c>
      <c r="AF94" s="9" t="str">
        <f ca="1">IF(IF(ISERROR(MATCH(Stock!AF$1,'Stock UST'!$1:$1,0)),AE94,INDEX('Stock UST'!94:94,1,MATCH(Stock!AF$1,'Stock UST'!$1:$1,0)))=0,"",IF(ISERROR(MATCH(Stock!AF$1,'Stock UST'!$1:$1,0)),AE94,INDEX('Stock UST'!94:94,1,MATCH(Stock!AF$1,'Stock UST'!$1:$1,0))))</f>
        <v/>
      </c>
      <c r="AG94" s="9" t="str">
        <f ca="1">IF(IF(ISERROR(MATCH(Stock!AG$1,'Stock UST'!$1:$1,0)),AF94,INDEX('Stock UST'!94:94,1,MATCH(Stock!AG$1,'Stock UST'!$1:$1,0)))=0,"",IF(ISERROR(MATCH(Stock!AG$1,'Stock UST'!$1:$1,0)),AF94,INDEX('Stock UST'!94:94,1,MATCH(Stock!AG$1,'Stock UST'!$1:$1,0))))</f>
        <v/>
      </c>
      <c r="AH94" s="9" t="str">
        <f ca="1">IF(IF(ISERROR(MATCH(Stock!AH$1,'Stock UST'!$1:$1,0)),AG94,INDEX('Stock UST'!94:94,1,MATCH(Stock!AH$1,'Stock UST'!$1:$1,0)))=0,"",IF(ISERROR(MATCH(Stock!AH$1,'Stock UST'!$1:$1,0)),AG94,INDEX('Stock UST'!94:94,1,MATCH(Stock!AH$1,'Stock UST'!$1:$1,0))))</f>
        <v/>
      </c>
      <c r="AI94" s="9" t="str">
        <f ca="1">IF(IF(ISERROR(MATCH(Stock!AI$1,'Stock UST'!$1:$1,0)),AH94,INDEX('Stock UST'!94:94,1,MATCH(Stock!AI$1,'Stock UST'!$1:$1,0)))=0,"",IF(ISERROR(MATCH(Stock!AI$1,'Stock UST'!$1:$1,0)),AH94,INDEX('Stock UST'!94:94,1,MATCH(Stock!AI$1,'Stock UST'!$1:$1,0))))</f>
        <v/>
      </c>
      <c r="AJ94" s="9" t="str">
        <f ca="1">IF(IF(ISERROR(MATCH(Stock!AJ$1,'Stock UST'!$1:$1,0)),AI94,INDEX('Stock UST'!94:94,1,MATCH(Stock!AJ$1,'Stock UST'!$1:$1,0)))=0,"",IF(ISERROR(MATCH(Stock!AJ$1,'Stock UST'!$1:$1,0)),AI94,INDEX('Stock UST'!94:94,1,MATCH(Stock!AJ$1,'Stock UST'!$1:$1,0))))</f>
        <v/>
      </c>
      <c r="AK94" s="9" t="str">
        <f ca="1">IF(IF(ISERROR(MATCH(Stock!AK$1,'Stock UST'!$1:$1,0)),AJ94,INDEX('Stock UST'!94:94,1,MATCH(Stock!AK$1,'Stock UST'!$1:$1,0)))=0,"",IF(ISERROR(MATCH(Stock!AK$1,'Stock UST'!$1:$1,0)),AJ94,INDEX('Stock UST'!94:94,1,MATCH(Stock!AK$1,'Stock UST'!$1:$1,0))))</f>
        <v/>
      </c>
      <c r="AL94" s="9" t="str">
        <f ca="1">IF(IF(ISERROR(MATCH(Stock!AL$1,'Stock UST'!$1:$1,0)),AK94,INDEX('Stock UST'!94:94,1,MATCH(Stock!AL$1,'Stock UST'!$1:$1,0)))=0,"",IF(ISERROR(MATCH(Stock!AL$1,'Stock UST'!$1:$1,0)),AK94,INDEX('Stock UST'!94:94,1,MATCH(Stock!AL$1,'Stock UST'!$1:$1,0))))</f>
        <v/>
      </c>
      <c r="AM94" s="9" t="str">
        <f ca="1">IF(IF(ISERROR(MATCH(Stock!AM$1,'Stock UST'!$1:$1,0)),AL94,INDEX('Stock UST'!94:94,1,MATCH(Stock!AM$1,'Stock UST'!$1:$1,0)))=0,"",IF(ISERROR(MATCH(Stock!AM$1,'Stock UST'!$1:$1,0)),AL94,INDEX('Stock UST'!94:94,1,MATCH(Stock!AM$1,'Stock UST'!$1:$1,0))))</f>
        <v/>
      </c>
      <c r="AN94" s="9" t="str">
        <f ca="1">IF(IF(ISERROR(MATCH(Stock!AN$1,'Stock UST'!$1:$1,0)),AM94,INDEX('Stock UST'!94:94,1,MATCH(Stock!AN$1,'Stock UST'!$1:$1,0)))=0,"",IF(ISERROR(MATCH(Stock!AN$1,'Stock UST'!$1:$1,0)),AM94,INDEX('Stock UST'!94:94,1,MATCH(Stock!AN$1,'Stock UST'!$1:$1,0))))</f>
        <v/>
      </c>
      <c r="AO94" s="9" t="str">
        <f ca="1">IF(IF(ISERROR(MATCH(Stock!AO$1,'Stock UST'!$1:$1,0)),AN94,INDEX('Stock UST'!94:94,1,MATCH(Stock!AO$1,'Stock UST'!$1:$1,0)))=0,"",IF(ISERROR(MATCH(Stock!AO$1,'Stock UST'!$1:$1,0)),AN94,INDEX('Stock UST'!94:94,1,MATCH(Stock!AO$1,'Stock UST'!$1:$1,0))))</f>
        <v/>
      </c>
      <c r="AP94" s="9" t="str">
        <f ca="1">IF(IF(ISERROR(MATCH(Stock!AP$1,'Stock UST'!$1:$1,0)),AO94,INDEX('Stock UST'!94:94,1,MATCH(Stock!AP$1,'Stock UST'!$1:$1,0)))=0,"",IF(ISERROR(MATCH(Stock!AP$1,'Stock UST'!$1:$1,0)),AO94,INDEX('Stock UST'!94:94,1,MATCH(Stock!AP$1,'Stock UST'!$1:$1,0))))</f>
        <v/>
      </c>
      <c r="AQ94" s="9" t="str">
        <f ca="1">IF(IF(ISERROR(MATCH(Stock!AQ$1,'Stock UST'!$1:$1,0)),AP94,INDEX('Stock UST'!94:94,1,MATCH(Stock!AQ$1,'Stock UST'!$1:$1,0)))=0,"",IF(ISERROR(MATCH(Stock!AQ$1,'Stock UST'!$1:$1,0)),AP94,INDEX('Stock UST'!94:94,1,MATCH(Stock!AQ$1,'Stock UST'!$1:$1,0))))</f>
        <v/>
      </c>
      <c r="AR94" s="9" t="str">
        <f ca="1">IF(IF(ISERROR(MATCH(Stock!AR$1,'Stock UST'!$1:$1,0)),AQ94,INDEX('Stock UST'!94:94,1,MATCH(Stock!AR$1,'Stock UST'!$1:$1,0)))=0,"",IF(ISERROR(MATCH(Stock!AR$1,'Stock UST'!$1:$1,0)),AQ94,INDEX('Stock UST'!94:94,1,MATCH(Stock!AR$1,'Stock UST'!$1:$1,0))))</f>
        <v/>
      </c>
      <c r="AS94" s="9" t="str">
        <f ca="1">IF(IF(ISERROR(MATCH(Stock!AS$1,'Stock UST'!$1:$1,0)),AR94,INDEX('Stock UST'!94:94,1,MATCH(Stock!AS$1,'Stock UST'!$1:$1,0)))=0,"",IF(ISERROR(MATCH(Stock!AS$1,'Stock UST'!$1:$1,0)),AR94,INDEX('Stock UST'!94:94,1,MATCH(Stock!AS$1,'Stock UST'!$1:$1,0))))</f>
        <v/>
      </c>
      <c r="AT94" s="9" t="str">
        <f ca="1">IF(IF(ISERROR(MATCH(Stock!AT$1,'Stock UST'!$1:$1,0)),AS94,INDEX('Stock UST'!94:94,1,MATCH(Stock!AT$1,'Stock UST'!$1:$1,0)))=0,"",IF(ISERROR(MATCH(Stock!AT$1,'Stock UST'!$1:$1,0)),AS94,INDEX('Stock UST'!94:94,1,MATCH(Stock!AT$1,'Stock UST'!$1:$1,0))))</f>
        <v/>
      </c>
      <c r="AU94" s="9" t="str">
        <f ca="1">IF(IF(ISERROR(MATCH(Stock!AU$1,'Stock UST'!$1:$1,0)),AT94,INDEX('Stock UST'!94:94,1,MATCH(Stock!AU$1,'Stock UST'!$1:$1,0)))=0,"",IF(ISERROR(MATCH(Stock!AU$1,'Stock UST'!$1:$1,0)),AT94,INDEX('Stock UST'!94:94,1,MATCH(Stock!AU$1,'Stock UST'!$1:$1,0))))</f>
        <v/>
      </c>
      <c r="AV94" s="9" t="str">
        <f ca="1">IF(IF(ISERROR(MATCH(Stock!AV$1,'Stock UST'!$1:$1,0)),AU94,INDEX('Stock UST'!94:94,1,MATCH(Stock!AV$1,'Stock UST'!$1:$1,0)))=0,"",IF(ISERROR(MATCH(Stock!AV$1,'Stock UST'!$1:$1,0)),AU94,INDEX('Stock UST'!94:94,1,MATCH(Stock!AV$1,'Stock UST'!$1:$1,0))))</f>
        <v/>
      </c>
      <c r="AW94" s="9" t="str">
        <f ca="1">IF(IF(ISERROR(MATCH(Stock!AW$1,'Stock UST'!$1:$1,0)),AV94,INDEX('Stock UST'!94:94,1,MATCH(Stock!AW$1,'Stock UST'!$1:$1,0)))=0,"",IF(ISERROR(MATCH(Stock!AW$1,'Stock UST'!$1:$1,0)),AV94,INDEX('Stock UST'!94:94,1,MATCH(Stock!AW$1,'Stock UST'!$1:$1,0))))</f>
        <v/>
      </c>
      <c r="AX94" s="9" t="str">
        <f ca="1">IF(IF(ISERROR(MATCH(Stock!AX$1,'Stock UST'!$1:$1,0)),AW94,INDEX('Stock UST'!94:94,1,MATCH(Stock!AX$1,'Stock UST'!$1:$1,0)))=0,"",IF(ISERROR(MATCH(Stock!AX$1,'Stock UST'!$1:$1,0)),AW94,INDEX('Stock UST'!94:94,1,MATCH(Stock!AX$1,'Stock UST'!$1:$1,0))))</f>
        <v/>
      </c>
    </row>
    <row r="95" spans="1:50" x14ac:dyDescent="0.3">
      <c r="A95" s="9" t="str">
        <f>IF('Stock UST'!E95="","",'Stock UST'!E95)</f>
        <v/>
      </c>
      <c r="B95" s="9" t="str">
        <f>IF(IF(ISERROR(MATCH(Stock!B$1,'Stock UST'!$1:$1,0)),A95,INDEX('Stock UST'!95:95,1,MATCH(Stock!B$1,'Stock UST'!$1:$1,0)))=0,"",IF(ISERROR(MATCH(Stock!B$1,'Stock UST'!$1:$1,0)),A95,INDEX('Stock UST'!95:95,1,MATCH(Stock!B$1,'Stock UST'!$1:$1,0))))</f>
        <v/>
      </c>
      <c r="C95" s="9" t="str">
        <f ca="1">IF(IF(ISERROR(MATCH(Stock!C$1,'Stock UST'!$1:$1,0)),B95,INDEX('Stock UST'!95:95,1,MATCH(Stock!C$1,'Stock UST'!$1:$1,0)))=0,"",IF(ISERROR(MATCH(Stock!C$1,'Stock UST'!$1:$1,0)),B95,INDEX('Stock UST'!95:95,1,MATCH(Stock!C$1,'Stock UST'!$1:$1,0))))</f>
        <v/>
      </c>
      <c r="D95" s="9" t="str">
        <f ca="1">IF(IF(ISERROR(MATCH(Stock!D$1,'Stock UST'!$1:$1,0)),C95,INDEX('Stock UST'!95:95,1,MATCH(Stock!D$1,'Stock UST'!$1:$1,0)))=0,"",IF(ISERROR(MATCH(Stock!D$1,'Stock UST'!$1:$1,0)),C95,INDEX('Stock UST'!95:95,1,MATCH(Stock!D$1,'Stock UST'!$1:$1,0))))</f>
        <v/>
      </c>
      <c r="E95" s="9" t="str">
        <f ca="1">IF(IF(ISERROR(MATCH(Stock!E$1,'Stock UST'!$1:$1,0)),D95,INDEX('Stock UST'!95:95,1,MATCH(Stock!E$1,'Stock UST'!$1:$1,0)))=0,"",IF(ISERROR(MATCH(Stock!E$1,'Stock UST'!$1:$1,0)),D95,INDEX('Stock UST'!95:95,1,MATCH(Stock!E$1,'Stock UST'!$1:$1,0))))</f>
        <v/>
      </c>
      <c r="F95" s="9" t="str">
        <f ca="1">IF(IF(ISERROR(MATCH(Stock!F$1,'Stock UST'!$1:$1,0)),E95,INDEX('Stock UST'!95:95,1,MATCH(Stock!F$1,'Stock UST'!$1:$1,0)))=0,"",IF(ISERROR(MATCH(Stock!F$1,'Stock UST'!$1:$1,0)),E95,INDEX('Stock UST'!95:95,1,MATCH(Stock!F$1,'Stock UST'!$1:$1,0))))</f>
        <v/>
      </c>
      <c r="G95" s="9" t="str">
        <f ca="1">IF(IF(ISERROR(MATCH(Stock!G$1,'Stock UST'!$1:$1,0)),F95,INDEX('Stock UST'!95:95,1,MATCH(Stock!G$1,'Stock UST'!$1:$1,0)))=0,"",IF(ISERROR(MATCH(Stock!G$1,'Stock UST'!$1:$1,0)),F95,INDEX('Stock UST'!95:95,1,MATCH(Stock!G$1,'Stock UST'!$1:$1,0))))</f>
        <v/>
      </c>
      <c r="H95" s="9" t="str">
        <f ca="1">IF(IF(ISERROR(MATCH(Stock!H$1,'Stock UST'!$1:$1,0)),G95,INDEX('Stock UST'!95:95,1,MATCH(Stock!H$1,'Stock UST'!$1:$1,0)))=0,"",IF(ISERROR(MATCH(Stock!H$1,'Stock UST'!$1:$1,0)),G95,INDEX('Stock UST'!95:95,1,MATCH(Stock!H$1,'Stock UST'!$1:$1,0))))</f>
        <v/>
      </c>
      <c r="I95" s="9" t="str">
        <f ca="1">IF(IF(ISERROR(MATCH(Stock!I$1,'Stock UST'!$1:$1,0)),H95,INDEX('Stock UST'!95:95,1,MATCH(Stock!I$1,'Stock UST'!$1:$1,0)))=0,"",IF(ISERROR(MATCH(Stock!I$1,'Stock UST'!$1:$1,0)),H95,INDEX('Stock UST'!95:95,1,MATCH(Stock!I$1,'Stock UST'!$1:$1,0))))</f>
        <v/>
      </c>
      <c r="J95" s="9" t="str">
        <f ca="1">IF(IF(ISERROR(MATCH(Stock!J$1,'Stock UST'!$1:$1,0)),I95,INDEX('Stock UST'!95:95,1,MATCH(Stock!J$1,'Stock UST'!$1:$1,0)))=0,"",IF(ISERROR(MATCH(Stock!J$1,'Stock UST'!$1:$1,0)),I95,INDEX('Stock UST'!95:95,1,MATCH(Stock!J$1,'Stock UST'!$1:$1,0))))</f>
        <v/>
      </c>
      <c r="K95" s="9" t="str">
        <f ca="1">IF(IF(ISERROR(MATCH(Stock!K$1,'Stock UST'!$1:$1,0)),J95,INDEX('Stock UST'!95:95,1,MATCH(Stock!K$1,'Stock UST'!$1:$1,0)))=0,"",IF(ISERROR(MATCH(Stock!K$1,'Stock UST'!$1:$1,0)),J95,INDEX('Stock UST'!95:95,1,MATCH(Stock!K$1,'Stock UST'!$1:$1,0))))</f>
        <v/>
      </c>
      <c r="L95" s="9" t="str">
        <f ca="1">IF(IF(ISERROR(MATCH(Stock!L$1,'Stock UST'!$1:$1,0)),K95,INDEX('Stock UST'!95:95,1,MATCH(Stock!L$1,'Stock UST'!$1:$1,0)))=0,"",IF(ISERROR(MATCH(Stock!L$1,'Stock UST'!$1:$1,0)),K95,INDEX('Stock UST'!95:95,1,MATCH(Stock!L$1,'Stock UST'!$1:$1,0))))</f>
        <v/>
      </c>
      <c r="M95" s="9" t="str">
        <f ca="1">IF(IF(ISERROR(MATCH(Stock!M$1,'Stock UST'!$1:$1,0)),L95,INDEX('Stock UST'!95:95,1,MATCH(Stock!M$1,'Stock UST'!$1:$1,0)))=0,"",IF(ISERROR(MATCH(Stock!M$1,'Stock UST'!$1:$1,0)),L95,INDEX('Stock UST'!95:95,1,MATCH(Stock!M$1,'Stock UST'!$1:$1,0))))</f>
        <v/>
      </c>
      <c r="N95" s="9" t="str">
        <f ca="1">IF(IF(ISERROR(MATCH(Stock!N$1,'Stock UST'!$1:$1,0)),M95,INDEX('Stock UST'!95:95,1,MATCH(Stock!N$1,'Stock UST'!$1:$1,0)))=0,"",IF(ISERROR(MATCH(Stock!N$1,'Stock UST'!$1:$1,0)),M95,INDEX('Stock UST'!95:95,1,MATCH(Stock!N$1,'Stock UST'!$1:$1,0))))</f>
        <v/>
      </c>
      <c r="O95" s="9" t="str">
        <f ca="1">IF(IF(ISERROR(MATCH(Stock!O$1,'Stock UST'!$1:$1,0)),N95,INDEX('Stock UST'!95:95,1,MATCH(Stock!O$1,'Stock UST'!$1:$1,0)))=0,"",IF(ISERROR(MATCH(Stock!O$1,'Stock UST'!$1:$1,0)),N95,INDEX('Stock UST'!95:95,1,MATCH(Stock!O$1,'Stock UST'!$1:$1,0))))</f>
        <v/>
      </c>
      <c r="P95" s="9" t="str">
        <f ca="1">IF(IF(ISERROR(MATCH(Stock!P$1,'Stock UST'!$1:$1,0)),O95,INDEX('Stock UST'!95:95,1,MATCH(Stock!P$1,'Stock UST'!$1:$1,0)))=0,"",IF(ISERROR(MATCH(Stock!P$1,'Stock UST'!$1:$1,0)),O95,INDEX('Stock UST'!95:95,1,MATCH(Stock!P$1,'Stock UST'!$1:$1,0))))</f>
        <v/>
      </c>
      <c r="Q95" s="9" t="str">
        <f ca="1">IF(IF(ISERROR(MATCH(Stock!Q$1,'Stock UST'!$1:$1,0)),P95,INDEX('Stock UST'!95:95,1,MATCH(Stock!Q$1,'Stock UST'!$1:$1,0)))=0,"",IF(ISERROR(MATCH(Stock!Q$1,'Stock UST'!$1:$1,0)),P95,INDEX('Stock UST'!95:95,1,MATCH(Stock!Q$1,'Stock UST'!$1:$1,0))))</f>
        <v/>
      </c>
      <c r="R95" s="9" t="str">
        <f ca="1">IF(IF(ISERROR(MATCH(Stock!R$1,'Stock UST'!$1:$1,0)),Q95,INDEX('Stock UST'!95:95,1,MATCH(Stock!R$1,'Stock UST'!$1:$1,0)))=0,"",IF(ISERROR(MATCH(Stock!R$1,'Stock UST'!$1:$1,0)),Q95,INDEX('Stock UST'!95:95,1,MATCH(Stock!R$1,'Stock UST'!$1:$1,0))))</f>
        <v/>
      </c>
      <c r="S95" s="9" t="str">
        <f ca="1">IF(IF(ISERROR(MATCH(Stock!S$1,'Stock UST'!$1:$1,0)),R95,INDEX('Stock UST'!95:95,1,MATCH(Stock!S$1,'Stock UST'!$1:$1,0)))=0,"",IF(ISERROR(MATCH(Stock!S$1,'Stock UST'!$1:$1,0)),R95,INDEX('Stock UST'!95:95,1,MATCH(Stock!S$1,'Stock UST'!$1:$1,0))))</f>
        <v/>
      </c>
      <c r="T95" s="9" t="str">
        <f ca="1">IF(IF(ISERROR(MATCH(Stock!T$1,'Stock UST'!$1:$1,0)),S95,INDEX('Stock UST'!95:95,1,MATCH(Stock!T$1,'Stock UST'!$1:$1,0)))=0,"",IF(ISERROR(MATCH(Stock!T$1,'Stock UST'!$1:$1,0)),S95,INDEX('Stock UST'!95:95,1,MATCH(Stock!T$1,'Stock UST'!$1:$1,0))))</f>
        <v/>
      </c>
      <c r="U95" s="9" t="str">
        <f ca="1">IF(IF(ISERROR(MATCH(Stock!U$1,'Stock UST'!$1:$1,0)),T95,INDEX('Stock UST'!95:95,1,MATCH(Stock!U$1,'Stock UST'!$1:$1,0)))=0,"",IF(ISERROR(MATCH(Stock!U$1,'Stock UST'!$1:$1,0)),T95,INDEX('Stock UST'!95:95,1,MATCH(Stock!U$1,'Stock UST'!$1:$1,0))))</f>
        <v/>
      </c>
      <c r="V95" s="9" t="str">
        <f ca="1">IF(IF(ISERROR(MATCH(Stock!V$1,'Stock UST'!$1:$1,0)),U95,INDEX('Stock UST'!95:95,1,MATCH(Stock!V$1,'Stock UST'!$1:$1,0)))=0,"",IF(ISERROR(MATCH(Stock!V$1,'Stock UST'!$1:$1,0)),U95,INDEX('Stock UST'!95:95,1,MATCH(Stock!V$1,'Stock UST'!$1:$1,0))))</f>
        <v/>
      </c>
      <c r="W95" s="9" t="str">
        <f ca="1">IF(IF(ISERROR(MATCH(Stock!W$1,'Stock UST'!$1:$1,0)),V95,INDEX('Stock UST'!95:95,1,MATCH(Stock!W$1,'Stock UST'!$1:$1,0)))=0,"",IF(ISERROR(MATCH(Stock!W$1,'Stock UST'!$1:$1,0)),V95,INDEX('Stock UST'!95:95,1,MATCH(Stock!W$1,'Stock UST'!$1:$1,0))))</f>
        <v/>
      </c>
      <c r="X95" s="9" t="str">
        <f ca="1">IF(IF(ISERROR(MATCH(Stock!X$1,'Stock UST'!$1:$1,0)),W95,INDEX('Stock UST'!95:95,1,MATCH(Stock!X$1,'Stock UST'!$1:$1,0)))=0,"",IF(ISERROR(MATCH(Stock!X$1,'Stock UST'!$1:$1,0)),W95,INDEX('Stock UST'!95:95,1,MATCH(Stock!X$1,'Stock UST'!$1:$1,0))))</f>
        <v/>
      </c>
      <c r="Y95" s="9" t="str">
        <f ca="1">IF(IF(ISERROR(MATCH(Stock!Y$1,'Stock UST'!$1:$1,0)),X95,INDEX('Stock UST'!95:95,1,MATCH(Stock!Y$1,'Stock UST'!$1:$1,0)))=0,"",IF(ISERROR(MATCH(Stock!Y$1,'Stock UST'!$1:$1,0)),X95,INDEX('Stock UST'!95:95,1,MATCH(Stock!Y$1,'Stock UST'!$1:$1,0))))</f>
        <v/>
      </c>
      <c r="Z95" s="9" t="str">
        <f ca="1">IF(IF(ISERROR(MATCH(Stock!Z$1,'Stock UST'!$1:$1,0)),Y95,INDEX('Stock UST'!95:95,1,MATCH(Stock!Z$1,'Stock UST'!$1:$1,0)))=0,"",IF(ISERROR(MATCH(Stock!Z$1,'Stock UST'!$1:$1,0)),Y95,INDEX('Stock UST'!95:95,1,MATCH(Stock!Z$1,'Stock UST'!$1:$1,0))))</f>
        <v/>
      </c>
      <c r="AA95" s="9" t="str">
        <f ca="1">IF(IF(ISERROR(MATCH(Stock!AA$1,'Stock UST'!$1:$1,0)),Z95,INDEX('Stock UST'!95:95,1,MATCH(Stock!AA$1,'Stock UST'!$1:$1,0)))=0,"",IF(ISERROR(MATCH(Stock!AA$1,'Stock UST'!$1:$1,0)),Z95,INDEX('Stock UST'!95:95,1,MATCH(Stock!AA$1,'Stock UST'!$1:$1,0))))</f>
        <v/>
      </c>
      <c r="AB95" s="9" t="str">
        <f ca="1">IF(IF(ISERROR(MATCH(Stock!AB$1,'Stock UST'!$1:$1,0)),AA95,INDEX('Stock UST'!95:95,1,MATCH(Stock!AB$1,'Stock UST'!$1:$1,0)))=0,"",IF(ISERROR(MATCH(Stock!AB$1,'Stock UST'!$1:$1,0)),AA95,INDEX('Stock UST'!95:95,1,MATCH(Stock!AB$1,'Stock UST'!$1:$1,0))))</f>
        <v/>
      </c>
      <c r="AC95" s="9" t="str">
        <f ca="1">IF(IF(ISERROR(MATCH(Stock!AC$1,'Stock UST'!$1:$1,0)),AB95,INDEX('Stock UST'!95:95,1,MATCH(Stock!AC$1,'Stock UST'!$1:$1,0)))=0,"",IF(ISERROR(MATCH(Stock!AC$1,'Stock UST'!$1:$1,0)),AB95,INDEX('Stock UST'!95:95,1,MATCH(Stock!AC$1,'Stock UST'!$1:$1,0))))</f>
        <v/>
      </c>
      <c r="AD95" s="9" t="str">
        <f ca="1">IF(IF(ISERROR(MATCH(Stock!AD$1,'Stock UST'!$1:$1,0)),AC95,INDEX('Stock UST'!95:95,1,MATCH(Stock!AD$1,'Stock UST'!$1:$1,0)))=0,"",IF(ISERROR(MATCH(Stock!AD$1,'Stock UST'!$1:$1,0)),AC95,INDEX('Stock UST'!95:95,1,MATCH(Stock!AD$1,'Stock UST'!$1:$1,0))))</f>
        <v/>
      </c>
      <c r="AE95" s="9" t="str">
        <f ca="1">IF(IF(ISERROR(MATCH(Stock!AE$1,'Stock UST'!$1:$1,0)),AD95,INDEX('Stock UST'!95:95,1,MATCH(Stock!AE$1,'Stock UST'!$1:$1,0)))=0,"",IF(ISERROR(MATCH(Stock!AE$1,'Stock UST'!$1:$1,0)),AD95,INDEX('Stock UST'!95:95,1,MATCH(Stock!AE$1,'Stock UST'!$1:$1,0))))</f>
        <v/>
      </c>
      <c r="AF95" s="9" t="str">
        <f ca="1">IF(IF(ISERROR(MATCH(Stock!AF$1,'Stock UST'!$1:$1,0)),AE95,INDEX('Stock UST'!95:95,1,MATCH(Stock!AF$1,'Stock UST'!$1:$1,0)))=0,"",IF(ISERROR(MATCH(Stock!AF$1,'Stock UST'!$1:$1,0)),AE95,INDEX('Stock UST'!95:95,1,MATCH(Stock!AF$1,'Stock UST'!$1:$1,0))))</f>
        <v/>
      </c>
      <c r="AG95" s="9" t="str">
        <f ca="1">IF(IF(ISERROR(MATCH(Stock!AG$1,'Stock UST'!$1:$1,0)),AF95,INDEX('Stock UST'!95:95,1,MATCH(Stock!AG$1,'Stock UST'!$1:$1,0)))=0,"",IF(ISERROR(MATCH(Stock!AG$1,'Stock UST'!$1:$1,0)),AF95,INDEX('Stock UST'!95:95,1,MATCH(Stock!AG$1,'Stock UST'!$1:$1,0))))</f>
        <v/>
      </c>
      <c r="AH95" s="9" t="str">
        <f ca="1">IF(IF(ISERROR(MATCH(Stock!AH$1,'Stock UST'!$1:$1,0)),AG95,INDEX('Stock UST'!95:95,1,MATCH(Stock!AH$1,'Stock UST'!$1:$1,0)))=0,"",IF(ISERROR(MATCH(Stock!AH$1,'Stock UST'!$1:$1,0)),AG95,INDEX('Stock UST'!95:95,1,MATCH(Stock!AH$1,'Stock UST'!$1:$1,0))))</f>
        <v/>
      </c>
      <c r="AI95" s="9" t="str">
        <f ca="1">IF(IF(ISERROR(MATCH(Stock!AI$1,'Stock UST'!$1:$1,0)),AH95,INDEX('Stock UST'!95:95,1,MATCH(Stock!AI$1,'Stock UST'!$1:$1,0)))=0,"",IF(ISERROR(MATCH(Stock!AI$1,'Stock UST'!$1:$1,0)),AH95,INDEX('Stock UST'!95:95,1,MATCH(Stock!AI$1,'Stock UST'!$1:$1,0))))</f>
        <v/>
      </c>
      <c r="AJ95" s="9" t="str">
        <f ca="1">IF(IF(ISERROR(MATCH(Stock!AJ$1,'Stock UST'!$1:$1,0)),AI95,INDEX('Stock UST'!95:95,1,MATCH(Stock!AJ$1,'Stock UST'!$1:$1,0)))=0,"",IF(ISERROR(MATCH(Stock!AJ$1,'Stock UST'!$1:$1,0)),AI95,INDEX('Stock UST'!95:95,1,MATCH(Stock!AJ$1,'Stock UST'!$1:$1,0))))</f>
        <v/>
      </c>
      <c r="AK95" s="9" t="str">
        <f ca="1">IF(IF(ISERROR(MATCH(Stock!AK$1,'Stock UST'!$1:$1,0)),AJ95,INDEX('Stock UST'!95:95,1,MATCH(Stock!AK$1,'Stock UST'!$1:$1,0)))=0,"",IF(ISERROR(MATCH(Stock!AK$1,'Stock UST'!$1:$1,0)),AJ95,INDEX('Stock UST'!95:95,1,MATCH(Stock!AK$1,'Stock UST'!$1:$1,0))))</f>
        <v/>
      </c>
      <c r="AL95" s="9" t="str">
        <f ca="1">IF(IF(ISERROR(MATCH(Stock!AL$1,'Stock UST'!$1:$1,0)),AK95,INDEX('Stock UST'!95:95,1,MATCH(Stock!AL$1,'Stock UST'!$1:$1,0)))=0,"",IF(ISERROR(MATCH(Stock!AL$1,'Stock UST'!$1:$1,0)),AK95,INDEX('Stock UST'!95:95,1,MATCH(Stock!AL$1,'Stock UST'!$1:$1,0))))</f>
        <v/>
      </c>
      <c r="AM95" s="9" t="str">
        <f ca="1">IF(IF(ISERROR(MATCH(Stock!AM$1,'Stock UST'!$1:$1,0)),AL95,INDEX('Stock UST'!95:95,1,MATCH(Stock!AM$1,'Stock UST'!$1:$1,0)))=0,"",IF(ISERROR(MATCH(Stock!AM$1,'Stock UST'!$1:$1,0)),AL95,INDEX('Stock UST'!95:95,1,MATCH(Stock!AM$1,'Stock UST'!$1:$1,0))))</f>
        <v/>
      </c>
      <c r="AN95" s="9" t="str">
        <f ca="1">IF(IF(ISERROR(MATCH(Stock!AN$1,'Stock UST'!$1:$1,0)),AM95,INDEX('Stock UST'!95:95,1,MATCH(Stock!AN$1,'Stock UST'!$1:$1,0)))=0,"",IF(ISERROR(MATCH(Stock!AN$1,'Stock UST'!$1:$1,0)),AM95,INDEX('Stock UST'!95:95,1,MATCH(Stock!AN$1,'Stock UST'!$1:$1,0))))</f>
        <v/>
      </c>
      <c r="AO95" s="9" t="str">
        <f ca="1">IF(IF(ISERROR(MATCH(Stock!AO$1,'Stock UST'!$1:$1,0)),AN95,INDEX('Stock UST'!95:95,1,MATCH(Stock!AO$1,'Stock UST'!$1:$1,0)))=0,"",IF(ISERROR(MATCH(Stock!AO$1,'Stock UST'!$1:$1,0)),AN95,INDEX('Stock UST'!95:95,1,MATCH(Stock!AO$1,'Stock UST'!$1:$1,0))))</f>
        <v/>
      </c>
      <c r="AP95" s="9" t="str">
        <f ca="1">IF(IF(ISERROR(MATCH(Stock!AP$1,'Stock UST'!$1:$1,0)),AO95,INDEX('Stock UST'!95:95,1,MATCH(Stock!AP$1,'Stock UST'!$1:$1,0)))=0,"",IF(ISERROR(MATCH(Stock!AP$1,'Stock UST'!$1:$1,0)),AO95,INDEX('Stock UST'!95:95,1,MATCH(Stock!AP$1,'Stock UST'!$1:$1,0))))</f>
        <v/>
      </c>
      <c r="AQ95" s="9" t="str">
        <f ca="1">IF(IF(ISERROR(MATCH(Stock!AQ$1,'Stock UST'!$1:$1,0)),AP95,INDEX('Stock UST'!95:95,1,MATCH(Stock!AQ$1,'Stock UST'!$1:$1,0)))=0,"",IF(ISERROR(MATCH(Stock!AQ$1,'Stock UST'!$1:$1,0)),AP95,INDEX('Stock UST'!95:95,1,MATCH(Stock!AQ$1,'Stock UST'!$1:$1,0))))</f>
        <v/>
      </c>
      <c r="AR95" s="9" t="str">
        <f ca="1">IF(IF(ISERROR(MATCH(Stock!AR$1,'Stock UST'!$1:$1,0)),AQ95,INDEX('Stock UST'!95:95,1,MATCH(Stock!AR$1,'Stock UST'!$1:$1,0)))=0,"",IF(ISERROR(MATCH(Stock!AR$1,'Stock UST'!$1:$1,0)),AQ95,INDEX('Stock UST'!95:95,1,MATCH(Stock!AR$1,'Stock UST'!$1:$1,0))))</f>
        <v/>
      </c>
      <c r="AS95" s="9" t="str">
        <f ca="1">IF(IF(ISERROR(MATCH(Stock!AS$1,'Stock UST'!$1:$1,0)),AR95,INDEX('Stock UST'!95:95,1,MATCH(Stock!AS$1,'Stock UST'!$1:$1,0)))=0,"",IF(ISERROR(MATCH(Stock!AS$1,'Stock UST'!$1:$1,0)),AR95,INDEX('Stock UST'!95:95,1,MATCH(Stock!AS$1,'Stock UST'!$1:$1,0))))</f>
        <v/>
      </c>
      <c r="AT95" s="9" t="str">
        <f ca="1">IF(IF(ISERROR(MATCH(Stock!AT$1,'Stock UST'!$1:$1,0)),AS95,INDEX('Stock UST'!95:95,1,MATCH(Stock!AT$1,'Stock UST'!$1:$1,0)))=0,"",IF(ISERROR(MATCH(Stock!AT$1,'Stock UST'!$1:$1,0)),AS95,INDEX('Stock UST'!95:95,1,MATCH(Stock!AT$1,'Stock UST'!$1:$1,0))))</f>
        <v/>
      </c>
      <c r="AU95" s="9" t="str">
        <f ca="1">IF(IF(ISERROR(MATCH(Stock!AU$1,'Stock UST'!$1:$1,0)),AT95,INDEX('Stock UST'!95:95,1,MATCH(Stock!AU$1,'Stock UST'!$1:$1,0)))=0,"",IF(ISERROR(MATCH(Stock!AU$1,'Stock UST'!$1:$1,0)),AT95,INDEX('Stock UST'!95:95,1,MATCH(Stock!AU$1,'Stock UST'!$1:$1,0))))</f>
        <v/>
      </c>
      <c r="AV95" s="9" t="str">
        <f ca="1">IF(IF(ISERROR(MATCH(Stock!AV$1,'Stock UST'!$1:$1,0)),AU95,INDEX('Stock UST'!95:95,1,MATCH(Stock!AV$1,'Stock UST'!$1:$1,0)))=0,"",IF(ISERROR(MATCH(Stock!AV$1,'Stock UST'!$1:$1,0)),AU95,INDEX('Stock UST'!95:95,1,MATCH(Stock!AV$1,'Stock UST'!$1:$1,0))))</f>
        <v/>
      </c>
      <c r="AW95" s="9" t="str">
        <f ca="1">IF(IF(ISERROR(MATCH(Stock!AW$1,'Stock UST'!$1:$1,0)),AV95,INDEX('Stock UST'!95:95,1,MATCH(Stock!AW$1,'Stock UST'!$1:$1,0)))=0,"",IF(ISERROR(MATCH(Stock!AW$1,'Stock UST'!$1:$1,0)),AV95,INDEX('Stock UST'!95:95,1,MATCH(Stock!AW$1,'Stock UST'!$1:$1,0))))</f>
        <v/>
      </c>
      <c r="AX95" s="9" t="str">
        <f ca="1">IF(IF(ISERROR(MATCH(Stock!AX$1,'Stock UST'!$1:$1,0)),AW95,INDEX('Stock UST'!95:95,1,MATCH(Stock!AX$1,'Stock UST'!$1:$1,0)))=0,"",IF(ISERROR(MATCH(Stock!AX$1,'Stock UST'!$1:$1,0)),AW95,INDEX('Stock UST'!95:95,1,MATCH(Stock!AX$1,'Stock UST'!$1:$1,0))))</f>
        <v/>
      </c>
    </row>
    <row r="96" spans="1:50" x14ac:dyDescent="0.3">
      <c r="A96" s="9" t="str">
        <f>IF('Stock UST'!E96="","",'Stock UST'!E96)</f>
        <v/>
      </c>
      <c r="B96" s="9" t="str">
        <f>IF(IF(ISERROR(MATCH(Stock!B$1,'Stock UST'!$1:$1,0)),A96,INDEX('Stock UST'!96:96,1,MATCH(Stock!B$1,'Stock UST'!$1:$1,0)))=0,"",IF(ISERROR(MATCH(Stock!B$1,'Stock UST'!$1:$1,0)),A96,INDEX('Stock UST'!96:96,1,MATCH(Stock!B$1,'Stock UST'!$1:$1,0))))</f>
        <v/>
      </c>
      <c r="C96" s="9" t="str">
        <f ca="1">IF(IF(ISERROR(MATCH(Stock!C$1,'Stock UST'!$1:$1,0)),B96,INDEX('Stock UST'!96:96,1,MATCH(Stock!C$1,'Stock UST'!$1:$1,0)))=0,"",IF(ISERROR(MATCH(Stock!C$1,'Stock UST'!$1:$1,0)),B96,INDEX('Stock UST'!96:96,1,MATCH(Stock!C$1,'Stock UST'!$1:$1,0))))</f>
        <v/>
      </c>
      <c r="D96" s="9" t="str">
        <f ca="1">IF(IF(ISERROR(MATCH(Stock!D$1,'Stock UST'!$1:$1,0)),C96,INDEX('Stock UST'!96:96,1,MATCH(Stock!D$1,'Stock UST'!$1:$1,0)))=0,"",IF(ISERROR(MATCH(Stock!D$1,'Stock UST'!$1:$1,0)),C96,INDEX('Stock UST'!96:96,1,MATCH(Stock!D$1,'Stock UST'!$1:$1,0))))</f>
        <v/>
      </c>
      <c r="E96" s="9" t="str">
        <f ca="1">IF(IF(ISERROR(MATCH(Stock!E$1,'Stock UST'!$1:$1,0)),D96,INDEX('Stock UST'!96:96,1,MATCH(Stock!E$1,'Stock UST'!$1:$1,0)))=0,"",IF(ISERROR(MATCH(Stock!E$1,'Stock UST'!$1:$1,0)),D96,INDEX('Stock UST'!96:96,1,MATCH(Stock!E$1,'Stock UST'!$1:$1,0))))</f>
        <v/>
      </c>
      <c r="F96" s="9" t="str">
        <f ca="1">IF(IF(ISERROR(MATCH(Stock!F$1,'Stock UST'!$1:$1,0)),E96,INDEX('Stock UST'!96:96,1,MATCH(Stock!F$1,'Stock UST'!$1:$1,0)))=0,"",IF(ISERROR(MATCH(Stock!F$1,'Stock UST'!$1:$1,0)),E96,INDEX('Stock UST'!96:96,1,MATCH(Stock!F$1,'Stock UST'!$1:$1,0))))</f>
        <v/>
      </c>
      <c r="G96" s="9" t="str">
        <f ca="1">IF(IF(ISERROR(MATCH(Stock!G$1,'Stock UST'!$1:$1,0)),F96,INDEX('Stock UST'!96:96,1,MATCH(Stock!G$1,'Stock UST'!$1:$1,0)))=0,"",IF(ISERROR(MATCH(Stock!G$1,'Stock UST'!$1:$1,0)),F96,INDEX('Stock UST'!96:96,1,MATCH(Stock!G$1,'Stock UST'!$1:$1,0))))</f>
        <v/>
      </c>
      <c r="H96" s="9" t="str">
        <f ca="1">IF(IF(ISERROR(MATCH(Stock!H$1,'Stock UST'!$1:$1,0)),G96,INDEX('Stock UST'!96:96,1,MATCH(Stock!H$1,'Stock UST'!$1:$1,0)))=0,"",IF(ISERROR(MATCH(Stock!H$1,'Stock UST'!$1:$1,0)),G96,INDEX('Stock UST'!96:96,1,MATCH(Stock!H$1,'Stock UST'!$1:$1,0))))</f>
        <v/>
      </c>
      <c r="I96" s="9" t="str">
        <f ca="1">IF(IF(ISERROR(MATCH(Stock!I$1,'Stock UST'!$1:$1,0)),H96,INDEX('Stock UST'!96:96,1,MATCH(Stock!I$1,'Stock UST'!$1:$1,0)))=0,"",IF(ISERROR(MATCH(Stock!I$1,'Stock UST'!$1:$1,0)),H96,INDEX('Stock UST'!96:96,1,MATCH(Stock!I$1,'Stock UST'!$1:$1,0))))</f>
        <v/>
      </c>
      <c r="J96" s="9" t="str">
        <f ca="1">IF(IF(ISERROR(MATCH(Stock!J$1,'Stock UST'!$1:$1,0)),I96,INDEX('Stock UST'!96:96,1,MATCH(Stock!J$1,'Stock UST'!$1:$1,0)))=0,"",IF(ISERROR(MATCH(Stock!J$1,'Stock UST'!$1:$1,0)),I96,INDEX('Stock UST'!96:96,1,MATCH(Stock!J$1,'Stock UST'!$1:$1,0))))</f>
        <v/>
      </c>
      <c r="K96" s="9" t="str">
        <f ca="1">IF(IF(ISERROR(MATCH(Stock!K$1,'Stock UST'!$1:$1,0)),J96,INDEX('Stock UST'!96:96,1,MATCH(Stock!K$1,'Stock UST'!$1:$1,0)))=0,"",IF(ISERROR(MATCH(Stock!K$1,'Stock UST'!$1:$1,0)),J96,INDEX('Stock UST'!96:96,1,MATCH(Stock!K$1,'Stock UST'!$1:$1,0))))</f>
        <v/>
      </c>
      <c r="L96" s="9" t="str">
        <f ca="1">IF(IF(ISERROR(MATCH(Stock!L$1,'Stock UST'!$1:$1,0)),K96,INDEX('Stock UST'!96:96,1,MATCH(Stock!L$1,'Stock UST'!$1:$1,0)))=0,"",IF(ISERROR(MATCH(Stock!L$1,'Stock UST'!$1:$1,0)),K96,INDEX('Stock UST'!96:96,1,MATCH(Stock!L$1,'Stock UST'!$1:$1,0))))</f>
        <v/>
      </c>
      <c r="M96" s="9" t="str">
        <f ca="1">IF(IF(ISERROR(MATCH(Stock!M$1,'Stock UST'!$1:$1,0)),L96,INDEX('Stock UST'!96:96,1,MATCH(Stock!M$1,'Stock UST'!$1:$1,0)))=0,"",IF(ISERROR(MATCH(Stock!M$1,'Stock UST'!$1:$1,0)),L96,INDEX('Stock UST'!96:96,1,MATCH(Stock!M$1,'Stock UST'!$1:$1,0))))</f>
        <v/>
      </c>
      <c r="N96" s="9" t="str">
        <f ca="1">IF(IF(ISERROR(MATCH(Stock!N$1,'Stock UST'!$1:$1,0)),M96,INDEX('Stock UST'!96:96,1,MATCH(Stock!N$1,'Stock UST'!$1:$1,0)))=0,"",IF(ISERROR(MATCH(Stock!N$1,'Stock UST'!$1:$1,0)),M96,INDEX('Stock UST'!96:96,1,MATCH(Stock!N$1,'Stock UST'!$1:$1,0))))</f>
        <v/>
      </c>
      <c r="O96" s="9" t="str">
        <f ca="1">IF(IF(ISERROR(MATCH(Stock!O$1,'Stock UST'!$1:$1,0)),N96,INDEX('Stock UST'!96:96,1,MATCH(Stock!O$1,'Stock UST'!$1:$1,0)))=0,"",IF(ISERROR(MATCH(Stock!O$1,'Stock UST'!$1:$1,0)),N96,INDEX('Stock UST'!96:96,1,MATCH(Stock!O$1,'Stock UST'!$1:$1,0))))</f>
        <v/>
      </c>
      <c r="P96" s="9" t="str">
        <f ca="1">IF(IF(ISERROR(MATCH(Stock!P$1,'Stock UST'!$1:$1,0)),O96,INDEX('Stock UST'!96:96,1,MATCH(Stock!P$1,'Stock UST'!$1:$1,0)))=0,"",IF(ISERROR(MATCH(Stock!P$1,'Stock UST'!$1:$1,0)),O96,INDEX('Stock UST'!96:96,1,MATCH(Stock!P$1,'Stock UST'!$1:$1,0))))</f>
        <v/>
      </c>
      <c r="Q96" s="9" t="str">
        <f ca="1">IF(IF(ISERROR(MATCH(Stock!Q$1,'Stock UST'!$1:$1,0)),P96,INDEX('Stock UST'!96:96,1,MATCH(Stock!Q$1,'Stock UST'!$1:$1,0)))=0,"",IF(ISERROR(MATCH(Stock!Q$1,'Stock UST'!$1:$1,0)),P96,INDEX('Stock UST'!96:96,1,MATCH(Stock!Q$1,'Stock UST'!$1:$1,0))))</f>
        <v/>
      </c>
      <c r="R96" s="9" t="str">
        <f ca="1">IF(IF(ISERROR(MATCH(Stock!R$1,'Stock UST'!$1:$1,0)),Q96,INDEX('Stock UST'!96:96,1,MATCH(Stock!R$1,'Stock UST'!$1:$1,0)))=0,"",IF(ISERROR(MATCH(Stock!R$1,'Stock UST'!$1:$1,0)),Q96,INDEX('Stock UST'!96:96,1,MATCH(Stock!R$1,'Stock UST'!$1:$1,0))))</f>
        <v/>
      </c>
      <c r="S96" s="9" t="str">
        <f ca="1">IF(IF(ISERROR(MATCH(Stock!S$1,'Stock UST'!$1:$1,0)),R96,INDEX('Stock UST'!96:96,1,MATCH(Stock!S$1,'Stock UST'!$1:$1,0)))=0,"",IF(ISERROR(MATCH(Stock!S$1,'Stock UST'!$1:$1,0)),R96,INDEX('Stock UST'!96:96,1,MATCH(Stock!S$1,'Stock UST'!$1:$1,0))))</f>
        <v/>
      </c>
      <c r="T96" s="9" t="str">
        <f ca="1">IF(IF(ISERROR(MATCH(Stock!T$1,'Stock UST'!$1:$1,0)),S96,INDEX('Stock UST'!96:96,1,MATCH(Stock!T$1,'Stock UST'!$1:$1,0)))=0,"",IF(ISERROR(MATCH(Stock!T$1,'Stock UST'!$1:$1,0)),S96,INDEX('Stock UST'!96:96,1,MATCH(Stock!T$1,'Stock UST'!$1:$1,0))))</f>
        <v/>
      </c>
      <c r="U96" s="9" t="str">
        <f ca="1">IF(IF(ISERROR(MATCH(Stock!U$1,'Stock UST'!$1:$1,0)),T96,INDEX('Stock UST'!96:96,1,MATCH(Stock!U$1,'Stock UST'!$1:$1,0)))=0,"",IF(ISERROR(MATCH(Stock!U$1,'Stock UST'!$1:$1,0)),T96,INDEX('Stock UST'!96:96,1,MATCH(Stock!U$1,'Stock UST'!$1:$1,0))))</f>
        <v/>
      </c>
      <c r="V96" s="9" t="str">
        <f ca="1">IF(IF(ISERROR(MATCH(Stock!V$1,'Stock UST'!$1:$1,0)),U96,INDEX('Stock UST'!96:96,1,MATCH(Stock!V$1,'Stock UST'!$1:$1,0)))=0,"",IF(ISERROR(MATCH(Stock!V$1,'Stock UST'!$1:$1,0)),U96,INDEX('Stock UST'!96:96,1,MATCH(Stock!V$1,'Stock UST'!$1:$1,0))))</f>
        <v/>
      </c>
      <c r="W96" s="9" t="str">
        <f ca="1">IF(IF(ISERROR(MATCH(Stock!W$1,'Stock UST'!$1:$1,0)),V96,INDEX('Stock UST'!96:96,1,MATCH(Stock!W$1,'Stock UST'!$1:$1,0)))=0,"",IF(ISERROR(MATCH(Stock!W$1,'Stock UST'!$1:$1,0)),V96,INDEX('Stock UST'!96:96,1,MATCH(Stock!W$1,'Stock UST'!$1:$1,0))))</f>
        <v/>
      </c>
      <c r="X96" s="9" t="str">
        <f ca="1">IF(IF(ISERROR(MATCH(Stock!X$1,'Stock UST'!$1:$1,0)),W96,INDEX('Stock UST'!96:96,1,MATCH(Stock!X$1,'Stock UST'!$1:$1,0)))=0,"",IF(ISERROR(MATCH(Stock!X$1,'Stock UST'!$1:$1,0)),W96,INDEX('Stock UST'!96:96,1,MATCH(Stock!X$1,'Stock UST'!$1:$1,0))))</f>
        <v/>
      </c>
      <c r="Y96" s="9" t="str">
        <f ca="1">IF(IF(ISERROR(MATCH(Stock!Y$1,'Stock UST'!$1:$1,0)),X96,INDEX('Stock UST'!96:96,1,MATCH(Stock!Y$1,'Stock UST'!$1:$1,0)))=0,"",IF(ISERROR(MATCH(Stock!Y$1,'Stock UST'!$1:$1,0)),X96,INDEX('Stock UST'!96:96,1,MATCH(Stock!Y$1,'Stock UST'!$1:$1,0))))</f>
        <v/>
      </c>
      <c r="Z96" s="9" t="str">
        <f ca="1">IF(IF(ISERROR(MATCH(Stock!Z$1,'Stock UST'!$1:$1,0)),Y96,INDEX('Stock UST'!96:96,1,MATCH(Stock!Z$1,'Stock UST'!$1:$1,0)))=0,"",IF(ISERROR(MATCH(Stock!Z$1,'Stock UST'!$1:$1,0)),Y96,INDEX('Stock UST'!96:96,1,MATCH(Stock!Z$1,'Stock UST'!$1:$1,0))))</f>
        <v/>
      </c>
      <c r="AA96" s="9" t="str">
        <f ca="1">IF(IF(ISERROR(MATCH(Stock!AA$1,'Stock UST'!$1:$1,0)),Z96,INDEX('Stock UST'!96:96,1,MATCH(Stock!AA$1,'Stock UST'!$1:$1,0)))=0,"",IF(ISERROR(MATCH(Stock!AA$1,'Stock UST'!$1:$1,0)),Z96,INDEX('Stock UST'!96:96,1,MATCH(Stock!AA$1,'Stock UST'!$1:$1,0))))</f>
        <v/>
      </c>
      <c r="AB96" s="9" t="str">
        <f ca="1">IF(IF(ISERROR(MATCH(Stock!AB$1,'Stock UST'!$1:$1,0)),AA96,INDEX('Stock UST'!96:96,1,MATCH(Stock!AB$1,'Stock UST'!$1:$1,0)))=0,"",IF(ISERROR(MATCH(Stock!AB$1,'Stock UST'!$1:$1,0)),AA96,INDEX('Stock UST'!96:96,1,MATCH(Stock!AB$1,'Stock UST'!$1:$1,0))))</f>
        <v/>
      </c>
      <c r="AC96" s="9" t="str">
        <f ca="1">IF(IF(ISERROR(MATCH(Stock!AC$1,'Stock UST'!$1:$1,0)),AB96,INDEX('Stock UST'!96:96,1,MATCH(Stock!AC$1,'Stock UST'!$1:$1,0)))=0,"",IF(ISERROR(MATCH(Stock!AC$1,'Stock UST'!$1:$1,0)),AB96,INDEX('Stock UST'!96:96,1,MATCH(Stock!AC$1,'Stock UST'!$1:$1,0))))</f>
        <v/>
      </c>
      <c r="AD96" s="9" t="str">
        <f ca="1">IF(IF(ISERROR(MATCH(Stock!AD$1,'Stock UST'!$1:$1,0)),AC96,INDEX('Stock UST'!96:96,1,MATCH(Stock!AD$1,'Stock UST'!$1:$1,0)))=0,"",IF(ISERROR(MATCH(Stock!AD$1,'Stock UST'!$1:$1,0)),AC96,INDEX('Stock UST'!96:96,1,MATCH(Stock!AD$1,'Stock UST'!$1:$1,0))))</f>
        <v/>
      </c>
      <c r="AE96" s="9" t="str">
        <f ca="1">IF(IF(ISERROR(MATCH(Stock!AE$1,'Stock UST'!$1:$1,0)),AD96,INDEX('Stock UST'!96:96,1,MATCH(Stock!AE$1,'Stock UST'!$1:$1,0)))=0,"",IF(ISERROR(MATCH(Stock!AE$1,'Stock UST'!$1:$1,0)),AD96,INDEX('Stock UST'!96:96,1,MATCH(Stock!AE$1,'Stock UST'!$1:$1,0))))</f>
        <v/>
      </c>
      <c r="AF96" s="9" t="str">
        <f ca="1">IF(IF(ISERROR(MATCH(Stock!AF$1,'Stock UST'!$1:$1,0)),AE96,INDEX('Stock UST'!96:96,1,MATCH(Stock!AF$1,'Stock UST'!$1:$1,0)))=0,"",IF(ISERROR(MATCH(Stock!AF$1,'Stock UST'!$1:$1,0)),AE96,INDEX('Stock UST'!96:96,1,MATCH(Stock!AF$1,'Stock UST'!$1:$1,0))))</f>
        <v/>
      </c>
      <c r="AG96" s="9" t="str">
        <f ca="1">IF(IF(ISERROR(MATCH(Stock!AG$1,'Stock UST'!$1:$1,0)),AF96,INDEX('Stock UST'!96:96,1,MATCH(Stock!AG$1,'Stock UST'!$1:$1,0)))=0,"",IF(ISERROR(MATCH(Stock!AG$1,'Stock UST'!$1:$1,0)),AF96,INDEX('Stock UST'!96:96,1,MATCH(Stock!AG$1,'Stock UST'!$1:$1,0))))</f>
        <v/>
      </c>
      <c r="AH96" s="9" t="str">
        <f ca="1">IF(IF(ISERROR(MATCH(Stock!AH$1,'Stock UST'!$1:$1,0)),AG96,INDEX('Stock UST'!96:96,1,MATCH(Stock!AH$1,'Stock UST'!$1:$1,0)))=0,"",IF(ISERROR(MATCH(Stock!AH$1,'Stock UST'!$1:$1,0)),AG96,INDEX('Stock UST'!96:96,1,MATCH(Stock!AH$1,'Stock UST'!$1:$1,0))))</f>
        <v/>
      </c>
      <c r="AI96" s="9" t="str">
        <f ca="1">IF(IF(ISERROR(MATCH(Stock!AI$1,'Stock UST'!$1:$1,0)),AH96,INDEX('Stock UST'!96:96,1,MATCH(Stock!AI$1,'Stock UST'!$1:$1,0)))=0,"",IF(ISERROR(MATCH(Stock!AI$1,'Stock UST'!$1:$1,0)),AH96,INDEX('Stock UST'!96:96,1,MATCH(Stock!AI$1,'Stock UST'!$1:$1,0))))</f>
        <v/>
      </c>
      <c r="AJ96" s="9" t="str">
        <f ca="1">IF(IF(ISERROR(MATCH(Stock!AJ$1,'Stock UST'!$1:$1,0)),AI96,INDEX('Stock UST'!96:96,1,MATCH(Stock!AJ$1,'Stock UST'!$1:$1,0)))=0,"",IF(ISERROR(MATCH(Stock!AJ$1,'Stock UST'!$1:$1,0)),AI96,INDEX('Stock UST'!96:96,1,MATCH(Stock!AJ$1,'Stock UST'!$1:$1,0))))</f>
        <v/>
      </c>
      <c r="AK96" s="9" t="str">
        <f ca="1">IF(IF(ISERROR(MATCH(Stock!AK$1,'Stock UST'!$1:$1,0)),AJ96,INDEX('Stock UST'!96:96,1,MATCH(Stock!AK$1,'Stock UST'!$1:$1,0)))=0,"",IF(ISERROR(MATCH(Stock!AK$1,'Stock UST'!$1:$1,0)),AJ96,INDEX('Stock UST'!96:96,1,MATCH(Stock!AK$1,'Stock UST'!$1:$1,0))))</f>
        <v/>
      </c>
      <c r="AL96" s="9" t="str">
        <f ca="1">IF(IF(ISERROR(MATCH(Stock!AL$1,'Stock UST'!$1:$1,0)),AK96,INDEX('Stock UST'!96:96,1,MATCH(Stock!AL$1,'Stock UST'!$1:$1,0)))=0,"",IF(ISERROR(MATCH(Stock!AL$1,'Stock UST'!$1:$1,0)),AK96,INDEX('Stock UST'!96:96,1,MATCH(Stock!AL$1,'Stock UST'!$1:$1,0))))</f>
        <v/>
      </c>
      <c r="AM96" s="9" t="str">
        <f ca="1">IF(IF(ISERROR(MATCH(Stock!AM$1,'Stock UST'!$1:$1,0)),AL96,INDEX('Stock UST'!96:96,1,MATCH(Stock!AM$1,'Stock UST'!$1:$1,0)))=0,"",IF(ISERROR(MATCH(Stock!AM$1,'Stock UST'!$1:$1,0)),AL96,INDEX('Stock UST'!96:96,1,MATCH(Stock!AM$1,'Stock UST'!$1:$1,0))))</f>
        <v/>
      </c>
      <c r="AN96" s="9" t="str">
        <f ca="1">IF(IF(ISERROR(MATCH(Stock!AN$1,'Stock UST'!$1:$1,0)),AM96,INDEX('Stock UST'!96:96,1,MATCH(Stock!AN$1,'Stock UST'!$1:$1,0)))=0,"",IF(ISERROR(MATCH(Stock!AN$1,'Stock UST'!$1:$1,0)),AM96,INDEX('Stock UST'!96:96,1,MATCH(Stock!AN$1,'Stock UST'!$1:$1,0))))</f>
        <v/>
      </c>
      <c r="AO96" s="9" t="str">
        <f ca="1">IF(IF(ISERROR(MATCH(Stock!AO$1,'Stock UST'!$1:$1,0)),AN96,INDEX('Stock UST'!96:96,1,MATCH(Stock!AO$1,'Stock UST'!$1:$1,0)))=0,"",IF(ISERROR(MATCH(Stock!AO$1,'Stock UST'!$1:$1,0)),AN96,INDEX('Stock UST'!96:96,1,MATCH(Stock!AO$1,'Stock UST'!$1:$1,0))))</f>
        <v/>
      </c>
      <c r="AP96" s="9" t="str">
        <f ca="1">IF(IF(ISERROR(MATCH(Stock!AP$1,'Stock UST'!$1:$1,0)),AO96,INDEX('Stock UST'!96:96,1,MATCH(Stock!AP$1,'Stock UST'!$1:$1,0)))=0,"",IF(ISERROR(MATCH(Stock!AP$1,'Stock UST'!$1:$1,0)),AO96,INDEX('Stock UST'!96:96,1,MATCH(Stock!AP$1,'Stock UST'!$1:$1,0))))</f>
        <v/>
      </c>
      <c r="AQ96" s="9" t="str">
        <f ca="1">IF(IF(ISERROR(MATCH(Stock!AQ$1,'Stock UST'!$1:$1,0)),AP96,INDEX('Stock UST'!96:96,1,MATCH(Stock!AQ$1,'Stock UST'!$1:$1,0)))=0,"",IF(ISERROR(MATCH(Stock!AQ$1,'Stock UST'!$1:$1,0)),AP96,INDEX('Stock UST'!96:96,1,MATCH(Stock!AQ$1,'Stock UST'!$1:$1,0))))</f>
        <v/>
      </c>
      <c r="AR96" s="9" t="str">
        <f ca="1">IF(IF(ISERROR(MATCH(Stock!AR$1,'Stock UST'!$1:$1,0)),AQ96,INDEX('Stock UST'!96:96,1,MATCH(Stock!AR$1,'Stock UST'!$1:$1,0)))=0,"",IF(ISERROR(MATCH(Stock!AR$1,'Stock UST'!$1:$1,0)),AQ96,INDEX('Stock UST'!96:96,1,MATCH(Stock!AR$1,'Stock UST'!$1:$1,0))))</f>
        <v/>
      </c>
      <c r="AS96" s="9" t="str">
        <f ca="1">IF(IF(ISERROR(MATCH(Stock!AS$1,'Stock UST'!$1:$1,0)),AR96,INDEX('Stock UST'!96:96,1,MATCH(Stock!AS$1,'Stock UST'!$1:$1,0)))=0,"",IF(ISERROR(MATCH(Stock!AS$1,'Stock UST'!$1:$1,0)),AR96,INDEX('Stock UST'!96:96,1,MATCH(Stock!AS$1,'Stock UST'!$1:$1,0))))</f>
        <v/>
      </c>
      <c r="AT96" s="9" t="str">
        <f ca="1">IF(IF(ISERROR(MATCH(Stock!AT$1,'Stock UST'!$1:$1,0)),AS96,INDEX('Stock UST'!96:96,1,MATCH(Stock!AT$1,'Stock UST'!$1:$1,0)))=0,"",IF(ISERROR(MATCH(Stock!AT$1,'Stock UST'!$1:$1,0)),AS96,INDEX('Stock UST'!96:96,1,MATCH(Stock!AT$1,'Stock UST'!$1:$1,0))))</f>
        <v/>
      </c>
      <c r="AU96" s="9" t="str">
        <f ca="1">IF(IF(ISERROR(MATCH(Stock!AU$1,'Stock UST'!$1:$1,0)),AT96,INDEX('Stock UST'!96:96,1,MATCH(Stock!AU$1,'Stock UST'!$1:$1,0)))=0,"",IF(ISERROR(MATCH(Stock!AU$1,'Stock UST'!$1:$1,0)),AT96,INDEX('Stock UST'!96:96,1,MATCH(Stock!AU$1,'Stock UST'!$1:$1,0))))</f>
        <v/>
      </c>
      <c r="AV96" s="9" t="str">
        <f ca="1">IF(IF(ISERROR(MATCH(Stock!AV$1,'Stock UST'!$1:$1,0)),AU96,INDEX('Stock UST'!96:96,1,MATCH(Stock!AV$1,'Stock UST'!$1:$1,0)))=0,"",IF(ISERROR(MATCH(Stock!AV$1,'Stock UST'!$1:$1,0)),AU96,INDEX('Stock UST'!96:96,1,MATCH(Stock!AV$1,'Stock UST'!$1:$1,0))))</f>
        <v/>
      </c>
      <c r="AW96" s="9" t="str">
        <f ca="1">IF(IF(ISERROR(MATCH(Stock!AW$1,'Stock UST'!$1:$1,0)),AV96,INDEX('Stock UST'!96:96,1,MATCH(Stock!AW$1,'Stock UST'!$1:$1,0)))=0,"",IF(ISERROR(MATCH(Stock!AW$1,'Stock UST'!$1:$1,0)),AV96,INDEX('Stock UST'!96:96,1,MATCH(Stock!AW$1,'Stock UST'!$1:$1,0))))</f>
        <v/>
      </c>
      <c r="AX96" s="9" t="str">
        <f ca="1">IF(IF(ISERROR(MATCH(Stock!AX$1,'Stock UST'!$1:$1,0)),AW96,INDEX('Stock UST'!96:96,1,MATCH(Stock!AX$1,'Stock UST'!$1:$1,0)))=0,"",IF(ISERROR(MATCH(Stock!AX$1,'Stock UST'!$1:$1,0)),AW96,INDEX('Stock UST'!96:96,1,MATCH(Stock!AX$1,'Stock UST'!$1:$1,0))))</f>
        <v/>
      </c>
    </row>
    <row r="97" spans="1:50" x14ac:dyDescent="0.3">
      <c r="A97" s="9" t="str">
        <f>IF('Stock UST'!E97="","",'Stock UST'!E97)</f>
        <v/>
      </c>
      <c r="B97" s="9" t="str">
        <f>IF(IF(ISERROR(MATCH(Stock!B$1,'Stock UST'!$1:$1,0)),A97,INDEX('Stock UST'!97:97,1,MATCH(Stock!B$1,'Stock UST'!$1:$1,0)))=0,"",IF(ISERROR(MATCH(Stock!B$1,'Stock UST'!$1:$1,0)),A97,INDEX('Stock UST'!97:97,1,MATCH(Stock!B$1,'Stock UST'!$1:$1,0))))</f>
        <v/>
      </c>
      <c r="C97" s="9" t="str">
        <f ca="1">IF(IF(ISERROR(MATCH(Stock!C$1,'Stock UST'!$1:$1,0)),B97,INDEX('Stock UST'!97:97,1,MATCH(Stock!C$1,'Stock UST'!$1:$1,0)))=0,"",IF(ISERROR(MATCH(Stock!C$1,'Stock UST'!$1:$1,0)),B97,INDEX('Stock UST'!97:97,1,MATCH(Stock!C$1,'Stock UST'!$1:$1,0))))</f>
        <v/>
      </c>
      <c r="D97" s="9" t="str">
        <f ca="1">IF(IF(ISERROR(MATCH(Stock!D$1,'Stock UST'!$1:$1,0)),C97,INDEX('Stock UST'!97:97,1,MATCH(Stock!D$1,'Stock UST'!$1:$1,0)))=0,"",IF(ISERROR(MATCH(Stock!D$1,'Stock UST'!$1:$1,0)),C97,INDEX('Stock UST'!97:97,1,MATCH(Stock!D$1,'Stock UST'!$1:$1,0))))</f>
        <v/>
      </c>
      <c r="E97" s="9" t="str">
        <f ca="1">IF(IF(ISERROR(MATCH(Stock!E$1,'Stock UST'!$1:$1,0)),D97,INDEX('Stock UST'!97:97,1,MATCH(Stock!E$1,'Stock UST'!$1:$1,0)))=0,"",IF(ISERROR(MATCH(Stock!E$1,'Stock UST'!$1:$1,0)),D97,INDEX('Stock UST'!97:97,1,MATCH(Stock!E$1,'Stock UST'!$1:$1,0))))</f>
        <v/>
      </c>
      <c r="F97" s="9" t="str">
        <f ca="1">IF(IF(ISERROR(MATCH(Stock!F$1,'Stock UST'!$1:$1,0)),E97,INDEX('Stock UST'!97:97,1,MATCH(Stock!F$1,'Stock UST'!$1:$1,0)))=0,"",IF(ISERROR(MATCH(Stock!F$1,'Stock UST'!$1:$1,0)),E97,INDEX('Stock UST'!97:97,1,MATCH(Stock!F$1,'Stock UST'!$1:$1,0))))</f>
        <v/>
      </c>
      <c r="G97" s="9" t="str">
        <f ca="1">IF(IF(ISERROR(MATCH(Stock!G$1,'Stock UST'!$1:$1,0)),F97,INDEX('Stock UST'!97:97,1,MATCH(Stock!G$1,'Stock UST'!$1:$1,0)))=0,"",IF(ISERROR(MATCH(Stock!G$1,'Stock UST'!$1:$1,0)),F97,INDEX('Stock UST'!97:97,1,MATCH(Stock!G$1,'Stock UST'!$1:$1,0))))</f>
        <v/>
      </c>
      <c r="H97" s="9" t="str">
        <f ca="1">IF(IF(ISERROR(MATCH(Stock!H$1,'Stock UST'!$1:$1,0)),G97,INDEX('Stock UST'!97:97,1,MATCH(Stock!H$1,'Stock UST'!$1:$1,0)))=0,"",IF(ISERROR(MATCH(Stock!H$1,'Stock UST'!$1:$1,0)),G97,INDEX('Stock UST'!97:97,1,MATCH(Stock!H$1,'Stock UST'!$1:$1,0))))</f>
        <v/>
      </c>
      <c r="I97" s="9" t="str">
        <f ca="1">IF(IF(ISERROR(MATCH(Stock!I$1,'Stock UST'!$1:$1,0)),H97,INDEX('Stock UST'!97:97,1,MATCH(Stock!I$1,'Stock UST'!$1:$1,0)))=0,"",IF(ISERROR(MATCH(Stock!I$1,'Stock UST'!$1:$1,0)),H97,INDEX('Stock UST'!97:97,1,MATCH(Stock!I$1,'Stock UST'!$1:$1,0))))</f>
        <v/>
      </c>
      <c r="J97" s="9" t="str">
        <f ca="1">IF(IF(ISERROR(MATCH(Stock!J$1,'Stock UST'!$1:$1,0)),I97,INDEX('Stock UST'!97:97,1,MATCH(Stock!J$1,'Stock UST'!$1:$1,0)))=0,"",IF(ISERROR(MATCH(Stock!J$1,'Stock UST'!$1:$1,0)),I97,INDEX('Stock UST'!97:97,1,MATCH(Stock!J$1,'Stock UST'!$1:$1,0))))</f>
        <v/>
      </c>
      <c r="K97" s="9" t="str">
        <f ca="1">IF(IF(ISERROR(MATCH(Stock!K$1,'Stock UST'!$1:$1,0)),J97,INDEX('Stock UST'!97:97,1,MATCH(Stock!K$1,'Stock UST'!$1:$1,0)))=0,"",IF(ISERROR(MATCH(Stock!K$1,'Stock UST'!$1:$1,0)),J97,INDEX('Stock UST'!97:97,1,MATCH(Stock!K$1,'Stock UST'!$1:$1,0))))</f>
        <v/>
      </c>
      <c r="L97" s="9" t="str">
        <f ca="1">IF(IF(ISERROR(MATCH(Stock!L$1,'Stock UST'!$1:$1,0)),K97,INDEX('Stock UST'!97:97,1,MATCH(Stock!L$1,'Stock UST'!$1:$1,0)))=0,"",IF(ISERROR(MATCH(Stock!L$1,'Stock UST'!$1:$1,0)),K97,INDEX('Stock UST'!97:97,1,MATCH(Stock!L$1,'Stock UST'!$1:$1,0))))</f>
        <v/>
      </c>
      <c r="M97" s="9" t="str">
        <f ca="1">IF(IF(ISERROR(MATCH(Stock!M$1,'Stock UST'!$1:$1,0)),L97,INDEX('Stock UST'!97:97,1,MATCH(Stock!M$1,'Stock UST'!$1:$1,0)))=0,"",IF(ISERROR(MATCH(Stock!M$1,'Stock UST'!$1:$1,0)),L97,INDEX('Stock UST'!97:97,1,MATCH(Stock!M$1,'Stock UST'!$1:$1,0))))</f>
        <v/>
      </c>
      <c r="N97" s="9" t="str">
        <f ca="1">IF(IF(ISERROR(MATCH(Stock!N$1,'Stock UST'!$1:$1,0)),M97,INDEX('Stock UST'!97:97,1,MATCH(Stock!N$1,'Stock UST'!$1:$1,0)))=0,"",IF(ISERROR(MATCH(Stock!N$1,'Stock UST'!$1:$1,0)),M97,INDEX('Stock UST'!97:97,1,MATCH(Stock!N$1,'Stock UST'!$1:$1,0))))</f>
        <v/>
      </c>
      <c r="O97" s="9" t="str">
        <f ca="1">IF(IF(ISERROR(MATCH(Stock!O$1,'Stock UST'!$1:$1,0)),N97,INDEX('Stock UST'!97:97,1,MATCH(Stock!O$1,'Stock UST'!$1:$1,0)))=0,"",IF(ISERROR(MATCH(Stock!O$1,'Stock UST'!$1:$1,0)),N97,INDEX('Stock UST'!97:97,1,MATCH(Stock!O$1,'Stock UST'!$1:$1,0))))</f>
        <v/>
      </c>
      <c r="P97" s="9" t="str">
        <f ca="1">IF(IF(ISERROR(MATCH(Stock!P$1,'Stock UST'!$1:$1,0)),O97,INDEX('Stock UST'!97:97,1,MATCH(Stock!P$1,'Stock UST'!$1:$1,0)))=0,"",IF(ISERROR(MATCH(Stock!P$1,'Stock UST'!$1:$1,0)),O97,INDEX('Stock UST'!97:97,1,MATCH(Stock!P$1,'Stock UST'!$1:$1,0))))</f>
        <v/>
      </c>
      <c r="Q97" s="9" t="str">
        <f ca="1">IF(IF(ISERROR(MATCH(Stock!Q$1,'Stock UST'!$1:$1,0)),P97,INDEX('Stock UST'!97:97,1,MATCH(Stock!Q$1,'Stock UST'!$1:$1,0)))=0,"",IF(ISERROR(MATCH(Stock!Q$1,'Stock UST'!$1:$1,0)),P97,INDEX('Stock UST'!97:97,1,MATCH(Stock!Q$1,'Stock UST'!$1:$1,0))))</f>
        <v/>
      </c>
      <c r="R97" s="9" t="str">
        <f ca="1">IF(IF(ISERROR(MATCH(Stock!R$1,'Stock UST'!$1:$1,0)),Q97,INDEX('Stock UST'!97:97,1,MATCH(Stock!R$1,'Stock UST'!$1:$1,0)))=0,"",IF(ISERROR(MATCH(Stock!R$1,'Stock UST'!$1:$1,0)),Q97,INDEX('Stock UST'!97:97,1,MATCH(Stock!R$1,'Stock UST'!$1:$1,0))))</f>
        <v/>
      </c>
      <c r="S97" s="9" t="str">
        <f ca="1">IF(IF(ISERROR(MATCH(Stock!S$1,'Stock UST'!$1:$1,0)),R97,INDEX('Stock UST'!97:97,1,MATCH(Stock!S$1,'Stock UST'!$1:$1,0)))=0,"",IF(ISERROR(MATCH(Stock!S$1,'Stock UST'!$1:$1,0)),R97,INDEX('Stock UST'!97:97,1,MATCH(Stock!S$1,'Stock UST'!$1:$1,0))))</f>
        <v/>
      </c>
      <c r="T97" s="9" t="str">
        <f ca="1">IF(IF(ISERROR(MATCH(Stock!T$1,'Stock UST'!$1:$1,0)),S97,INDEX('Stock UST'!97:97,1,MATCH(Stock!T$1,'Stock UST'!$1:$1,0)))=0,"",IF(ISERROR(MATCH(Stock!T$1,'Stock UST'!$1:$1,0)),S97,INDEX('Stock UST'!97:97,1,MATCH(Stock!T$1,'Stock UST'!$1:$1,0))))</f>
        <v/>
      </c>
      <c r="U97" s="9" t="str">
        <f ca="1">IF(IF(ISERROR(MATCH(Stock!U$1,'Stock UST'!$1:$1,0)),T97,INDEX('Stock UST'!97:97,1,MATCH(Stock!U$1,'Stock UST'!$1:$1,0)))=0,"",IF(ISERROR(MATCH(Stock!U$1,'Stock UST'!$1:$1,0)),T97,INDEX('Stock UST'!97:97,1,MATCH(Stock!U$1,'Stock UST'!$1:$1,0))))</f>
        <v/>
      </c>
      <c r="V97" s="9" t="str">
        <f ca="1">IF(IF(ISERROR(MATCH(Stock!V$1,'Stock UST'!$1:$1,0)),U97,INDEX('Stock UST'!97:97,1,MATCH(Stock!V$1,'Stock UST'!$1:$1,0)))=0,"",IF(ISERROR(MATCH(Stock!V$1,'Stock UST'!$1:$1,0)),U97,INDEX('Stock UST'!97:97,1,MATCH(Stock!V$1,'Stock UST'!$1:$1,0))))</f>
        <v/>
      </c>
      <c r="W97" s="9" t="str">
        <f ca="1">IF(IF(ISERROR(MATCH(Stock!W$1,'Stock UST'!$1:$1,0)),V97,INDEX('Stock UST'!97:97,1,MATCH(Stock!W$1,'Stock UST'!$1:$1,0)))=0,"",IF(ISERROR(MATCH(Stock!W$1,'Stock UST'!$1:$1,0)),V97,INDEX('Stock UST'!97:97,1,MATCH(Stock!W$1,'Stock UST'!$1:$1,0))))</f>
        <v/>
      </c>
      <c r="X97" s="9" t="str">
        <f ca="1">IF(IF(ISERROR(MATCH(Stock!X$1,'Stock UST'!$1:$1,0)),W97,INDEX('Stock UST'!97:97,1,MATCH(Stock!X$1,'Stock UST'!$1:$1,0)))=0,"",IF(ISERROR(MATCH(Stock!X$1,'Stock UST'!$1:$1,0)),W97,INDEX('Stock UST'!97:97,1,MATCH(Stock!X$1,'Stock UST'!$1:$1,0))))</f>
        <v/>
      </c>
      <c r="Y97" s="9" t="str">
        <f ca="1">IF(IF(ISERROR(MATCH(Stock!Y$1,'Stock UST'!$1:$1,0)),X97,INDEX('Stock UST'!97:97,1,MATCH(Stock!Y$1,'Stock UST'!$1:$1,0)))=0,"",IF(ISERROR(MATCH(Stock!Y$1,'Stock UST'!$1:$1,0)),X97,INDEX('Stock UST'!97:97,1,MATCH(Stock!Y$1,'Stock UST'!$1:$1,0))))</f>
        <v/>
      </c>
      <c r="Z97" s="9" t="str">
        <f ca="1">IF(IF(ISERROR(MATCH(Stock!Z$1,'Stock UST'!$1:$1,0)),Y97,INDEX('Stock UST'!97:97,1,MATCH(Stock!Z$1,'Stock UST'!$1:$1,0)))=0,"",IF(ISERROR(MATCH(Stock!Z$1,'Stock UST'!$1:$1,0)),Y97,INDEX('Stock UST'!97:97,1,MATCH(Stock!Z$1,'Stock UST'!$1:$1,0))))</f>
        <v/>
      </c>
      <c r="AA97" s="9" t="str">
        <f ca="1">IF(IF(ISERROR(MATCH(Stock!AA$1,'Stock UST'!$1:$1,0)),Z97,INDEX('Stock UST'!97:97,1,MATCH(Stock!AA$1,'Stock UST'!$1:$1,0)))=0,"",IF(ISERROR(MATCH(Stock!AA$1,'Stock UST'!$1:$1,0)),Z97,INDEX('Stock UST'!97:97,1,MATCH(Stock!AA$1,'Stock UST'!$1:$1,0))))</f>
        <v/>
      </c>
      <c r="AB97" s="9" t="str">
        <f ca="1">IF(IF(ISERROR(MATCH(Stock!AB$1,'Stock UST'!$1:$1,0)),AA97,INDEX('Stock UST'!97:97,1,MATCH(Stock!AB$1,'Stock UST'!$1:$1,0)))=0,"",IF(ISERROR(MATCH(Stock!AB$1,'Stock UST'!$1:$1,0)),AA97,INDEX('Stock UST'!97:97,1,MATCH(Stock!AB$1,'Stock UST'!$1:$1,0))))</f>
        <v/>
      </c>
      <c r="AC97" s="9" t="str">
        <f ca="1">IF(IF(ISERROR(MATCH(Stock!AC$1,'Stock UST'!$1:$1,0)),AB97,INDEX('Stock UST'!97:97,1,MATCH(Stock!AC$1,'Stock UST'!$1:$1,0)))=0,"",IF(ISERROR(MATCH(Stock!AC$1,'Stock UST'!$1:$1,0)),AB97,INDEX('Stock UST'!97:97,1,MATCH(Stock!AC$1,'Stock UST'!$1:$1,0))))</f>
        <v/>
      </c>
      <c r="AD97" s="9" t="str">
        <f ca="1">IF(IF(ISERROR(MATCH(Stock!AD$1,'Stock UST'!$1:$1,0)),AC97,INDEX('Stock UST'!97:97,1,MATCH(Stock!AD$1,'Stock UST'!$1:$1,0)))=0,"",IF(ISERROR(MATCH(Stock!AD$1,'Stock UST'!$1:$1,0)),AC97,INDEX('Stock UST'!97:97,1,MATCH(Stock!AD$1,'Stock UST'!$1:$1,0))))</f>
        <v/>
      </c>
      <c r="AE97" s="9" t="str">
        <f ca="1">IF(IF(ISERROR(MATCH(Stock!AE$1,'Stock UST'!$1:$1,0)),AD97,INDEX('Stock UST'!97:97,1,MATCH(Stock!AE$1,'Stock UST'!$1:$1,0)))=0,"",IF(ISERROR(MATCH(Stock!AE$1,'Stock UST'!$1:$1,0)),AD97,INDEX('Stock UST'!97:97,1,MATCH(Stock!AE$1,'Stock UST'!$1:$1,0))))</f>
        <v/>
      </c>
      <c r="AF97" s="9" t="str">
        <f ca="1">IF(IF(ISERROR(MATCH(Stock!AF$1,'Stock UST'!$1:$1,0)),AE97,INDEX('Stock UST'!97:97,1,MATCH(Stock!AF$1,'Stock UST'!$1:$1,0)))=0,"",IF(ISERROR(MATCH(Stock!AF$1,'Stock UST'!$1:$1,0)),AE97,INDEX('Stock UST'!97:97,1,MATCH(Stock!AF$1,'Stock UST'!$1:$1,0))))</f>
        <v/>
      </c>
      <c r="AG97" s="9" t="str">
        <f ca="1">IF(IF(ISERROR(MATCH(Stock!AG$1,'Stock UST'!$1:$1,0)),AF97,INDEX('Stock UST'!97:97,1,MATCH(Stock!AG$1,'Stock UST'!$1:$1,0)))=0,"",IF(ISERROR(MATCH(Stock!AG$1,'Stock UST'!$1:$1,0)),AF97,INDEX('Stock UST'!97:97,1,MATCH(Stock!AG$1,'Stock UST'!$1:$1,0))))</f>
        <v/>
      </c>
      <c r="AH97" s="9" t="str">
        <f ca="1">IF(IF(ISERROR(MATCH(Stock!AH$1,'Stock UST'!$1:$1,0)),AG97,INDEX('Stock UST'!97:97,1,MATCH(Stock!AH$1,'Stock UST'!$1:$1,0)))=0,"",IF(ISERROR(MATCH(Stock!AH$1,'Stock UST'!$1:$1,0)),AG97,INDEX('Stock UST'!97:97,1,MATCH(Stock!AH$1,'Stock UST'!$1:$1,0))))</f>
        <v/>
      </c>
      <c r="AI97" s="9" t="str">
        <f ca="1">IF(IF(ISERROR(MATCH(Stock!AI$1,'Stock UST'!$1:$1,0)),AH97,INDEX('Stock UST'!97:97,1,MATCH(Stock!AI$1,'Stock UST'!$1:$1,0)))=0,"",IF(ISERROR(MATCH(Stock!AI$1,'Stock UST'!$1:$1,0)),AH97,INDEX('Stock UST'!97:97,1,MATCH(Stock!AI$1,'Stock UST'!$1:$1,0))))</f>
        <v/>
      </c>
      <c r="AJ97" s="9" t="str">
        <f ca="1">IF(IF(ISERROR(MATCH(Stock!AJ$1,'Stock UST'!$1:$1,0)),AI97,INDEX('Stock UST'!97:97,1,MATCH(Stock!AJ$1,'Stock UST'!$1:$1,0)))=0,"",IF(ISERROR(MATCH(Stock!AJ$1,'Stock UST'!$1:$1,0)),AI97,INDEX('Stock UST'!97:97,1,MATCH(Stock!AJ$1,'Stock UST'!$1:$1,0))))</f>
        <v/>
      </c>
      <c r="AK97" s="9" t="str">
        <f ca="1">IF(IF(ISERROR(MATCH(Stock!AK$1,'Stock UST'!$1:$1,0)),AJ97,INDEX('Stock UST'!97:97,1,MATCH(Stock!AK$1,'Stock UST'!$1:$1,0)))=0,"",IF(ISERROR(MATCH(Stock!AK$1,'Stock UST'!$1:$1,0)),AJ97,INDEX('Stock UST'!97:97,1,MATCH(Stock!AK$1,'Stock UST'!$1:$1,0))))</f>
        <v/>
      </c>
      <c r="AL97" s="9" t="str">
        <f ca="1">IF(IF(ISERROR(MATCH(Stock!AL$1,'Stock UST'!$1:$1,0)),AK97,INDEX('Stock UST'!97:97,1,MATCH(Stock!AL$1,'Stock UST'!$1:$1,0)))=0,"",IF(ISERROR(MATCH(Stock!AL$1,'Stock UST'!$1:$1,0)),AK97,INDEX('Stock UST'!97:97,1,MATCH(Stock!AL$1,'Stock UST'!$1:$1,0))))</f>
        <v/>
      </c>
      <c r="AM97" s="9" t="str">
        <f ca="1">IF(IF(ISERROR(MATCH(Stock!AM$1,'Stock UST'!$1:$1,0)),AL97,INDEX('Stock UST'!97:97,1,MATCH(Stock!AM$1,'Stock UST'!$1:$1,0)))=0,"",IF(ISERROR(MATCH(Stock!AM$1,'Stock UST'!$1:$1,0)),AL97,INDEX('Stock UST'!97:97,1,MATCH(Stock!AM$1,'Stock UST'!$1:$1,0))))</f>
        <v/>
      </c>
      <c r="AN97" s="9" t="str">
        <f ca="1">IF(IF(ISERROR(MATCH(Stock!AN$1,'Stock UST'!$1:$1,0)),AM97,INDEX('Stock UST'!97:97,1,MATCH(Stock!AN$1,'Stock UST'!$1:$1,0)))=0,"",IF(ISERROR(MATCH(Stock!AN$1,'Stock UST'!$1:$1,0)),AM97,INDEX('Stock UST'!97:97,1,MATCH(Stock!AN$1,'Stock UST'!$1:$1,0))))</f>
        <v/>
      </c>
      <c r="AO97" s="9" t="str">
        <f ca="1">IF(IF(ISERROR(MATCH(Stock!AO$1,'Stock UST'!$1:$1,0)),AN97,INDEX('Stock UST'!97:97,1,MATCH(Stock!AO$1,'Stock UST'!$1:$1,0)))=0,"",IF(ISERROR(MATCH(Stock!AO$1,'Stock UST'!$1:$1,0)),AN97,INDEX('Stock UST'!97:97,1,MATCH(Stock!AO$1,'Stock UST'!$1:$1,0))))</f>
        <v/>
      </c>
      <c r="AP97" s="9" t="str">
        <f ca="1">IF(IF(ISERROR(MATCH(Stock!AP$1,'Stock UST'!$1:$1,0)),AO97,INDEX('Stock UST'!97:97,1,MATCH(Stock!AP$1,'Stock UST'!$1:$1,0)))=0,"",IF(ISERROR(MATCH(Stock!AP$1,'Stock UST'!$1:$1,0)),AO97,INDEX('Stock UST'!97:97,1,MATCH(Stock!AP$1,'Stock UST'!$1:$1,0))))</f>
        <v/>
      </c>
      <c r="AQ97" s="9" t="str">
        <f ca="1">IF(IF(ISERROR(MATCH(Stock!AQ$1,'Stock UST'!$1:$1,0)),AP97,INDEX('Stock UST'!97:97,1,MATCH(Stock!AQ$1,'Stock UST'!$1:$1,0)))=0,"",IF(ISERROR(MATCH(Stock!AQ$1,'Stock UST'!$1:$1,0)),AP97,INDEX('Stock UST'!97:97,1,MATCH(Stock!AQ$1,'Stock UST'!$1:$1,0))))</f>
        <v/>
      </c>
      <c r="AR97" s="9" t="str">
        <f ca="1">IF(IF(ISERROR(MATCH(Stock!AR$1,'Stock UST'!$1:$1,0)),AQ97,INDEX('Stock UST'!97:97,1,MATCH(Stock!AR$1,'Stock UST'!$1:$1,0)))=0,"",IF(ISERROR(MATCH(Stock!AR$1,'Stock UST'!$1:$1,0)),AQ97,INDEX('Stock UST'!97:97,1,MATCH(Stock!AR$1,'Stock UST'!$1:$1,0))))</f>
        <v/>
      </c>
      <c r="AS97" s="9" t="str">
        <f ca="1">IF(IF(ISERROR(MATCH(Stock!AS$1,'Stock UST'!$1:$1,0)),AR97,INDEX('Stock UST'!97:97,1,MATCH(Stock!AS$1,'Stock UST'!$1:$1,0)))=0,"",IF(ISERROR(MATCH(Stock!AS$1,'Stock UST'!$1:$1,0)),AR97,INDEX('Stock UST'!97:97,1,MATCH(Stock!AS$1,'Stock UST'!$1:$1,0))))</f>
        <v/>
      </c>
      <c r="AT97" s="9" t="str">
        <f ca="1">IF(IF(ISERROR(MATCH(Stock!AT$1,'Stock UST'!$1:$1,0)),AS97,INDEX('Stock UST'!97:97,1,MATCH(Stock!AT$1,'Stock UST'!$1:$1,0)))=0,"",IF(ISERROR(MATCH(Stock!AT$1,'Stock UST'!$1:$1,0)),AS97,INDEX('Stock UST'!97:97,1,MATCH(Stock!AT$1,'Stock UST'!$1:$1,0))))</f>
        <v/>
      </c>
      <c r="AU97" s="9" t="str">
        <f ca="1">IF(IF(ISERROR(MATCH(Stock!AU$1,'Stock UST'!$1:$1,0)),AT97,INDEX('Stock UST'!97:97,1,MATCH(Stock!AU$1,'Stock UST'!$1:$1,0)))=0,"",IF(ISERROR(MATCH(Stock!AU$1,'Stock UST'!$1:$1,0)),AT97,INDEX('Stock UST'!97:97,1,MATCH(Stock!AU$1,'Stock UST'!$1:$1,0))))</f>
        <v/>
      </c>
      <c r="AV97" s="9" t="str">
        <f ca="1">IF(IF(ISERROR(MATCH(Stock!AV$1,'Stock UST'!$1:$1,0)),AU97,INDEX('Stock UST'!97:97,1,MATCH(Stock!AV$1,'Stock UST'!$1:$1,0)))=0,"",IF(ISERROR(MATCH(Stock!AV$1,'Stock UST'!$1:$1,0)),AU97,INDEX('Stock UST'!97:97,1,MATCH(Stock!AV$1,'Stock UST'!$1:$1,0))))</f>
        <v/>
      </c>
      <c r="AW97" s="9" t="str">
        <f ca="1">IF(IF(ISERROR(MATCH(Stock!AW$1,'Stock UST'!$1:$1,0)),AV97,INDEX('Stock UST'!97:97,1,MATCH(Stock!AW$1,'Stock UST'!$1:$1,0)))=0,"",IF(ISERROR(MATCH(Stock!AW$1,'Stock UST'!$1:$1,0)),AV97,INDEX('Stock UST'!97:97,1,MATCH(Stock!AW$1,'Stock UST'!$1:$1,0))))</f>
        <v/>
      </c>
      <c r="AX97" s="9" t="str">
        <f ca="1">IF(IF(ISERROR(MATCH(Stock!AX$1,'Stock UST'!$1:$1,0)),AW97,INDEX('Stock UST'!97:97,1,MATCH(Stock!AX$1,'Stock UST'!$1:$1,0)))=0,"",IF(ISERROR(MATCH(Stock!AX$1,'Stock UST'!$1:$1,0)),AW97,INDEX('Stock UST'!97:97,1,MATCH(Stock!AX$1,'Stock UST'!$1:$1,0))))</f>
        <v/>
      </c>
    </row>
    <row r="98" spans="1:50" x14ac:dyDescent="0.3">
      <c r="A98" s="9" t="str">
        <f>IF('Stock UST'!E98="","",'Stock UST'!E98)</f>
        <v/>
      </c>
      <c r="B98" s="9" t="str">
        <f>IF(IF(ISERROR(MATCH(Stock!B$1,'Stock UST'!$1:$1,0)),A98,INDEX('Stock UST'!98:98,1,MATCH(Stock!B$1,'Stock UST'!$1:$1,0)))=0,"",IF(ISERROR(MATCH(Stock!B$1,'Stock UST'!$1:$1,0)),A98,INDEX('Stock UST'!98:98,1,MATCH(Stock!B$1,'Stock UST'!$1:$1,0))))</f>
        <v/>
      </c>
      <c r="C98" s="9" t="str">
        <f ca="1">IF(IF(ISERROR(MATCH(Stock!C$1,'Stock UST'!$1:$1,0)),B98,INDEX('Stock UST'!98:98,1,MATCH(Stock!C$1,'Stock UST'!$1:$1,0)))=0,"",IF(ISERROR(MATCH(Stock!C$1,'Stock UST'!$1:$1,0)),B98,INDEX('Stock UST'!98:98,1,MATCH(Stock!C$1,'Stock UST'!$1:$1,0))))</f>
        <v/>
      </c>
      <c r="D98" s="9" t="str">
        <f ca="1">IF(IF(ISERROR(MATCH(Stock!D$1,'Stock UST'!$1:$1,0)),C98,INDEX('Stock UST'!98:98,1,MATCH(Stock!D$1,'Stock UST'!$1:$1,0)))=0,"",IF(ISERROR(MATCH(Stock!D$1,'Stock UST'!$1:$1,0)),C98,INDEX('Stock UST'!98:98,1,MATCH(Stock!D$1,'Stock UST'!$1:$1,0))))</f>
        <v/>
      </c>
      <c r="E98" s="9" t="str">
        <f ca="1">IF(IF(ISERROR(MATCH(Stock!E$1,'Stock UST'!$1:$1,0)),D98,INDEX('Stock UST'!98:98,1,MATCH(Stock!E$1,'Stock UST'!$1:$1,0)))=0,"",IF(ISERROR(MATCH(Stock!E$1,'Stock UST'!$1:$1,0)),D98,INDEX('Stock UST'!98:98,1,MATCH(Stock!E$1,'Stock UST'!$1:$1,0))))</f>
        <v/>
      </c>
      <c r="F98" s="9" t="str">
        <f ca="1">IF(IF(ISERROR(MATCH(Stock!F$1,'Stock UST'!$1:$1,0)),E98,INDEX('Stock UST'!98:98,1,MATCH(Stock!F$1,'Stock UST'!$1:$1,0)))=0,"",IF(ISERROR(MATCH(Stock!F$1,'Stock UST'!$1:$1,0)),E98,INDEX('Stock UST'!98:98,1,MATCH(Stock!F$1,'Stock UST'!$1:$1,0))))</f>
        <v/>
      </c>
      <c r="G98" s="9" t="str">
        <f ca="1">IF(IF(ISERROR(MATCH(Stock!G$1,'Stock UST'!$1:$1,0)),F98,INDEX('Stock UST'!98:98,1,MATCH(Stock!G$1,'Stock UST'!$1:$1,0)))=0,"",IF(ISERROR(MATCH(Stock!G$1,'Stock UST'!$1:$1,0)),F98,INDEX('Stock UST'!98:98,1,MATCH(Stock!G$1,'Stock UST'!$1:$1,0))))</f>
        <v/>
      </c>
      <c r="H98" s="9" t="str">
        <f ca="1">IF(IF(ISERROR(MATCH(Stock!H$1,'Stock UST'!$1:$1,0)),G98,INDEX('Stock UST'!98:98,1,MATCH(Stock!H$1,'Stock UST'!$1:$1,0)))=0,"",IF(ISERROR(MATCH(Stock!H$1,'Stock UST'!$1:$1,0)),G98,INDEX('Stock UST'!98:98,1,MATCH(Stock!H$1,'Stock UST'!$1:$1,0))))</f>
        <v/>
      </c>
      <c r="I98" s="9" t="str">
        <f ca="1">IF(IF(ISERROR(MATCH(Stock!I$1,'Stock UST'!$1:$1,0)),H98,INDEX('Stock UST'!98:98,1,MATCH(Stock!I$1,'Stock UST'!$1:$1,0)))=0,"",IF(ISERROR(MATCH(Stock!I$1,'Stock UST'!$1:$1,0)),H98,INDEX('Stock UST'!98:98,1,MATCH(Stock!I$1,'Stock UST'!$1:$1,0))))</f>
        <v/>
      </c>
      <c r="J98" s="9" t="str">
        <f ca="1">IF(IF(ISERROR(MATCH(Stock!J$1,'Stock UST'!$1:$1,0)),I98,INDEX('Stock UST'!98:98,1,MATCH(Stock!J$1,'Stock UST'!$1:$1,0)))=0,"",IF(ISERROR(MATCH(Stock!J$1,'Stock UST'!$1:$1,0)),I98,INDEX('Stock UST'!98:98,1,MATCH(Stock!J$1,'Stock UST'!$1:$1,0))))</f>
        <v/>
      </c>
      <c r="K98" s="9" t="str">
        <f ca="1">IF(IF(ISERROR(MATCH(Stock!K$1,'Stock UST'!$1:$1,0)),J98,INDEX('Stock UST'!98:98,1,MATCH(Stock!K$1,'Stock UST'!$1:$1,0)))=0,"",IF(ISERROR(MATCH(Stock!K$1,'Stock UST'!$1:$1,0)),J98,INDEX('Stock UST'!98:98,1,MATCH(Stock!K$1,'Stock UST'!$1:$1,0))))</f>
        <v/>
      </c>
      <c r="L98" s="9" t="str">
        <f ca="1">IF(IF(ISERROR(MATCH(Stock!L$1,'Stock UST'!$1:$1,0)),K98,INDEX('Stock UST'!98:98,1,MATCH(Stock!L$1,'Stock UST'!$1:$1,0)))=0,"",IF(ISERROR(MATCH(Stock!L$1,'Stock UST'!$1:$1,0)),K98,INDEX('Stock UST'!98:98,1,MATCH(Stock!L$1,'Stock UST'!$1:$1,0))))</f>
        <v/>
      </c>
      <c r="M98" s="9" t="str">
        <f ca="1">IF(IF(ISERROR(MATCH(Stock!M$1,'Stock UST'!$1:$1,0)),L98,INDEX('Stock UST'!98:98,1,MATCH(Stock!M$1,'Stock UST'!$1:$1,0)))=0,"",IF(ISERROR(MATCH(Stock!M$1,'Stock UST'!$1:$1,0)),L98,INDEX('Stock UST'!98:98,1,MATCH(Stock!M$1,'Stock UST'!$1:$1,0))))</f>
        <v/>
      </c>
      <c r="N98" s="9" t="str">
        <f ca="1">IF(IF(ISERROR(MATCH(Stock!N$1,'Stock UST'!$1:$1,0)),M98,INDEX('Stock UST'!98:98,1,MATCH(Stock!N$1,'Stock UST'!$1:$1,0)))=0,"",IF(ISERROR(MATCH(Stock!N$1,'Stock UST'!$1:$1,0)),M98,INDEX('Stock UST'!98:98,1,MATCH(Stock!N$1,'Stock UST'!$1:$1,0))))</f>
        <v/>
      </c>
      <c r="O98" s="9" t="str">
        <f ca="1">IF(IF(ISERROR(MATCH(Stock!O$1,'Stock UST'!$1:$1,0)),N98,INDEX('Stock UST'!98:98,1,MATCH(Stock!O$1,'Stock UST'!$1:$1,0)))=0,"",IF(ISERROR(MATCH(Stock!O$1,'Stock UST'!$1:$1,0)),N98,INDEX('Stock UST'!98:98,1,MATCH(Stock!O$1,'Stock UST'!$1:$1,0))))</f>
        <v/>
      </c>
      <c r="P98" s="9" t="str">
        <f ca="1">IF(IF(ISERROR(MATCH(Stock!P$1,'Stock UST'!$1:$1,0)),O98,INDEX('Stock UST'!98:98,1,MATCH(Stock!P$1,'Stock UST'!$1:$1,0)))=0,"",IF(ISERROR(MATCH(Stock!P$1,'Stock UST'!$1:$1,0)),O98,INDEX('Stock UST'!98:98,1,MATCH(Stock!P$1,'Stock UST'!$1:$1,0))))</f>
        <v/>
      </c>
      <c r="Q98" s="9" t="str">
        <f ca="1">IF(IF(ISERROR(MATCH(Stock!Q$1,'Stock UST'!$1:$1,0)),P98,INDEX('Stock UST'!98:98,1,MATCH(Stock!Q$1,'Stock UST'!$1:$1,0)))=0,"",IF(ISERROR(MATCH(Stock!Q$1,'Stock UST'!$1:$1,0)),P98,INDEX('Stock UST'!98:98,1,MATCH(Stock!Q$1,'Stock UST'!$1:$1,0))))</f>
        <v/>
      </c>
      <c r="R98" s="9" t="str">
        <f ca="1">IF(IF(ISERROR(MATCH(Stock!R$1,'Stock UST'!$1:$1,0)),Q98,INDEX('Stock UST'!98:98,1,MATCH(Stock!R$1,'Stock UST'!$1:$1,0)))=0,"",IF(ISERROR(MATCH(Stock!R$1,'Stock UST'!$1:$1,0)),Q98,INDEX('Stock UST'!98:98,1,MATCH(Stock!R$1,'Stock UST'!$1:$1,0))))</f>
        <v/>
      </c>
      <c r="S98" s="9" t="str">
        <f ca="1">IF(IF(ISERROR(MATCH(Stock!S$1,'Stock UST'!$1:$1,0)),R98,INDEX('Stock UST'!98:98,1,MATCH(Stock!S$1,'Stock UST'!$1:$1,0)))=0,"",IF(ISERROR(MATCH(Stock!S$1,'Stock UST'!$1:$1,0)),R98,INDEX('Stock UST'!98:98,1,MATCH(Stock!S$1,'Stock UST'!$1:$1,0))))</f>
        <v/>
      </c>
      <c r="T98" s="9" t="str">
        <f ca="1">IF(IF(ISERROR(MATCH(Stock!T$1,'Stock UST'!$1:$1,0)),S98,INDEX('Stock UST'!98:98,1,MATCH(Stock!T$1,'Stock UST'!$1:$1,0)))=0,"",IF(ISERROR(MATCH(Stock!T$1,'Stock UST'!$1:$1,0)),S98,INDEX('Stock UST'!98:98,1,MATCH(Stock!T$1,'Stock UST'!$1:$1,0))))</f>
        <v/>
      </c>
      <c r="U98" s="9" t="str">
        <f ca="1">IF(IF(ISERROR(MATCH(Stock!U$1,'Stock UST'!$1:$1,0)),T98,INDEX('Stock UST'!98:98,1,MATCH(Stock!U$1,'Stock UST'!$1:$1,0)))=0,"",IF(ISERROR(MATCH(Stock!U$1,'Stock UST'!$1:$1,0)),T98,INDEX('Stock UST'!98:98,1,MATCH(Stock!U$1,'Stock UST'!$1:$1,0))))</f>
        <v/>
      </c>
      <c r="V98" s="9" t="str">
        <f ca="1">IF(IF(ISERROR(MATCH(Stock!V$1,'Stock UST'!$1:$1,0)),U98,INDEX('Stock UST'!98:98,1,MATCH(Stock!V$1,'Stock UST'!$1:$1,0)))=0,"",IF(ISERROR(MATCH(Stock!V$1,'Stock UST'!$1:$1,0)),U98,INDEX('Stock UST'!98:98,1,MATCH(Stock!V$1,'Stock UST'!$1:$1,0))))</f>
        <v/>
      </c>
      <c r="W98" s="9" t="str">
        <f ca="1">IF(IF(ISERROR(MATCH(Stock!W$1,'Stock UST'!$1:$1,0)),V98,INDEX('Stock UST'!98:98,1,MATCH(Stock!W$1,'Stock UST'!$1:$1,0)))=0,"",IF(ISERROR(MATCH(Stock!W$1,'Stock UST'!$1:$1,0)),V98,INDEX('Stock UST'!98:98,1,MATCH(Stock!W$1,'Stock UST'!$1:$1,0))))</f>
        <v/>
      </c>
      <c r="X98" s="9" t="str">
        <f ca="1">IF(IF(ISERROR(MATCH(Stock!X$1,'Stock UST'!$1:$1,0)),W98,INDEX('Stock UST'!98:98,1,MATCH(Stock!X$1,'Stock UST'!$1:$1,0)))=0,"",IF(ISERROR(MATCH(Stock!X$1,'Stock UST'!$1:$1,0)),W98,INDEX('Stock UST'!98:98,1,MATCH(Stock!X$1,'Stock UST'!$1:$1,0))))</f>
        <v/>
      </c>
      <c r="Y98" s="9" t="str">
        <f ca="1">IF(IF(ISERROR(MATCH(Stock!Y$1,'Stock UST'!$1:$1,0)),X98,INDEX('Stock UST'!98:98,1,MATCH(Stock!Y$1,'Stock UST'!$1:$1,0)))=0,"",IF(ISERROR(MATCH(Stock!Y$1,'Stock UST'!$1:$1,0)),X98,INDEX('Stock UST'!98:98,1,MATCH(Stock!Y$1,'Stock UST'!$1:$1,0))))</f>
        <v/>
      </c>
      <c r="Z98" s="9" t="str">
        <f ca="1">IF(IF(ISERROR(MATCH(Stock!Z$1,'Stock UST'!$1:$1,0)),Y98,INDEX('Stock UST'!98:98,1,MATCH(Stock!Z$1,'Stock UST'!$1:$1,0)))=0,"",IF(ISERROR(MATCH(Stock!Z$1,'Stock UST'!$1:$1,0)),Y98,INDEX('Stock UST'!98:98,1,MATCH(Stock!Z$1,'Stock UST'!$1:$1,0))))</f>
        <v/>
      </c>
      <c r="AA98" s="9" t="str">
        <f ca="1">IF(IF(ISERROR(MATCH(Stock!AA$1,'Stock UST'!$1:$1,0)),Z98,INDEX('Stock UST'!98:98,1,MATCH(Stock!AA$1,'Stock UST'!$1:$1,0)))=0,"",IF(ISERROR(MATCH(Stock!AA$1,'Stock UST'!$1:$1,0)),Z98,INDEX('Stock UST'!98:98,1,MATCH(Stock!AA$1,'Stock UST'!$1:$1,0))))</f>
        <v/>
      </c>
      <c r="AB98" s="9" t="str">
        <f ca="1">IF(IF(ISERROR(MATCH(Stock!AB$1,'Stock UST'!$1:$1,0)),AA98,INDEX('Stock UST'!98:98,1,MATCH(Stock!AB$1,'Stock UST'!$1:$1,0)))=0,"",IF(ISERROR(MATCH(Stock!AB$1,'Stock UST'!$1:$1,0)),AA98,INDEX('Stock UST'!98:98,1,MATCH(Stock!AB$1,'Stock UST'!$1:$1,0))))</f>
        <v/>
      </c>
      <c r="AC98" s="9" t="str">
        <f ca="1">IF(IF(ISERROR(MATCH(Stock!AC$1,'Stock UST'!$1:$1,0)),AB98,INDEX('Stock UST'!98:98,1,MATCH(Stock!AC$1,'Stock UST'!$1:$1,0)))=0,"",IF(ISERROR(MATCH(Stock!AC$1,'Stock UST'!$1:$1,0)),AB98,INDEX('Stock UST'!98:98,1,MATCH(Stock!AC$1,'Stock UST'!$1:$1,0))))</f>
        <v/>
      </c>
      <c r="AD98" s="9" t="str">
        <f ca="1">IF(IF(ISERROR(MATCH(Stock!AD$1,'Stock UST'!$1:$1,0)),AC98,INDEX('Stock UST'!98:98,1,MATCH(Stock!AD$1,'Stock UST'!$1:$1,0)))=0,"",IF(ISERROR(MATCH(Stock!AD$1,'Stock UST'!$1:$1,0)),AC98,INDEX('Stock UST'!98:98,1,MATCH(Stock!AD$1,'Stock UST'!$1:$1,0))))</f>
        <v/>
      </c>
      <c r="AE98" s="9" t="str">
        <f ca="1">IF(IF(ISERROR(MATCH(Stock!AE$1,'Stock UST'!$1:$1,0)),AD98,INDEX('Stock UST'!98:98,1,MATCH(Stock!AE$1,'Stock UST'!$1:$1,0)))=0,"",IF(ISERROR(MATCH(Stock!AE$1,'Stock UST'!$1:$1,0)),AD98,INDEX('Stock UST'!98:98,1,MATCH(Stock!AE$1,'Stock UST'!$1:$1,0))))</f>
        <v/>
      </c>
      <c r="AF98" s="9" t="str">
        <f ca="1">IF(IF(ISERROR(MATCH(Stock!AF$1,'Stock UST'!$1:$1,0)),AE98,INDEX('Stock UST'!98:98,1,MATCH(Stock!AF$1,'Stock UST'!$1:$1,0)))=0,"",IF(ISERROR(MATCH(Stock!AF$1,'Stock UST'!$1:$1,0)),AE98,INDEX('Stock UST'!98:98,1,MATCH(Stock!AF$1,'Stock UST'!$1:$1,0))))</f>
        <v/>
      </c>
      <c r="AG98" s="9" t="str">
        <f ca="1">IF(IF(ISERROR(MATCH(Stock!AG$1,'Stock UST'!$1:$1,0)),AF98,INDEX('Stock UST'!98:98,1,MATCH(Stock!AG$1,'Stock UST'!$1:$1,0)))=0,"",IF(ISERROR(MATCH(Stock!AG$1,'Stock UST'!$1:$1,0)),AF98,INDEX('Stock UST'!98:98,1,MATCH(Stock!AG$1,'Stock UST'!$1:$1,0))))</f>
        <v/>
      </c>
      <c r="AH98" s="9" t="str">
        <f ca="1">IF(IF(ISERROR(MATCH(Stock!AH$1,'Stock UST'!$1:$1,0)),AG98,INDEX('Stock UST'!98:98,1,MATCH(Stock!AH$1,'Stock UST'!$1:$1,0)))=0,"",IF(ISERROR(MATCH(Stock!AH$1,'Stock UST'!$1:$1,0)),AG98,INDEX('Stock UST'!98:98,1,MATCH(Stock!AH$1,'Stock UST'!$1:$1,0))))</f>
        <v/>
      </c>
      <c r="AI98" s="9" t="str">
        <f ca="1">IF(IF(ISERROR(MATCH(Stock!AI$1,'Stock UST'!$1:$1,0)),AH98,INDEX('Stock UST'!98:98,1,MATCH(Stock!AI$1,'Stock UST'!$1:$1,0)))=0,"",IF(ISERROR(MATCH(Stock!AI$1,'Stock UST'!$1:$1,0)),AH98,INDEX('Stock UST'!98:98,1,MATCH(Stock!AI$1,'Stock UST'!$1:$1,0))))</f>
        <v/>
      </c>
      <c r="AJ98" s="9" t="str">
        <f ca="1">IF(IF(ISERROR(MATCH(Stock!AJ$1,'Stock UST'!$1:$1,0)),AI98,INDEX('Stock UST'!98:98,1,MATCH(Stock!AJ$1,'Stock UST'!$1:$1,0)))=0,"",IF(ISERROR(MATCH(Stock!AJ$1,'Stock UST'!$1:$1,0)),AI98,INDEX('Stock UST'!98:98,1,MATCH(Stock!AJ$1,'Stock UST'!$1:$1,0))))</f>
        <v/>
      </c>
      <c r="AK98" s="9" t="str">
        <f ca="1">IF(IF(ISERROR(MATCH(Stock!AK$1,'Stock UST'!$1:$1,0)),AJ98,INDEX('Stock UST'!98:98,1,MATCH(Stock!AK$1,'Stock UST'!$1:$1,0)))=0,"",IF(ISERROR(MATCH(Stock!AK$1,'Stock UST'!$1:$1,0)),AJ98,INDEX('Stock UST'!98:98,1,MATCH(Stock!AK$1,'Stock UST'!$1:$1,0))))</f>
        <v/>
      </c>
      <c r="AL98" s="9" t="str">
        <f ca="1">IF(IF(ISERROR(MATCH(Stock!AL$1,'Stock UST'!$1:$1,0)),AK98,INDEX('Stock UST'!98:98,1,MATCH(Stock!AL$1,'Stock UST'!$1:$1,0)))=0,"",IF(ISERROR(MATCH(Stock!AL$1,'Stock UST'!$1:$1,0)),AK98,INDEX('Stock UST'!98:98,1,MATCH(Stock!AL$1,'Stock UST'!$1:$1,0))))</f>
        <v/>
      </c>
      <c r="AM98" s="9" t="str">
        <f ca="1">IF(IF(ISERROR(MATCH(Stock!AM$1,'Stock UST'!$1:$1,0)),AL98,INDEX('Stock UST'!98:98,1,MATCH(Stock!AM$1,'Stock UST'!$1:$1,0)))=0,"",IF(ISERROR(MATCH(Stock!AM$1,'Stock UST'!$1:$1,0)),AL98,INDEX('Stock UST'!98:98,1,MATCH(Stock!AM$1,'Stock UST'!$1:$1,0))))</f>
        <v/>
      </c>
      <c r="AN98" s="9" t="str">
        <f ca="1">IF(IF(ISERROR(MATCH(Stock!AN$1,'Stock UST'!$1:$1,0)),AM98,INDEX('Stock UST'!98:98,1,MATCH(Stock!AN$1,'Stock UST'!$1:$1,0)))=0,"",IF(ISERROR(MATCH(Stock!AN$1,'Stock UST'!$1:$1,0)),AM98,INDEX('Stock UST'!98:98,1,MATCH(Stock!AN$1,'Stock UST'!$1:$1,0))))</f>
        <v/>
      </c>
      <c r="AO98" s="9" t="str">
        <f ca="1">IF(IF(ISERROR(MATCH(Stock!AO$1,'Stock UST'!$1:$1,0)),AN98,INDEX('Stock UST'!98:98,1,MATCH(Stock!AO$1,'Stock UST'!$1:$1,0)))=0,"",IF(ISERROR(MATCH(Stock!AO$1,'Stock UST'!$1:$1,0)),AN98,INDEX('Stock UST'!98:98,1,MATCH(Stock!AO$1,'Stock UST'!$1:$1,0))))</f>
        <v/>
      </c>
      <c r="AP98" s="9" t="str">
        <f ca="1">IF(IF(ISERROR(MATCH(Stock!AP$1,'Stock UST'!$1:$1,0)),AO98,INDEX('Stock UST'!98:98,1,MATCH(Stock!AP$1,'Stock UST'!$1:$1,0)))=0,"",IF(ISERROR(MATCH(Stock!AP$1,'Stock UST'!$1:$1,0)),AO98,INDEX('Stock UST'!98:98,1,MATCH(Stock!AP$1,'Stock UST'!$1:$1,0))))</f>
        <v/>
      </c>
      <c r="AQ98" s="9" t="str">
        <f ca="1">IF(IF(ISERROR(MATCH(Stock!AQ$1,'Stock UST'!$1:$1,0)),AP98,INDEX('Stock UST'!98:98,1,MATCH(Stock!AQ$1,'Stock UST'!$1:$1,0)))=0,"",IF(ISERROR(MATCH(Stock!AQ$1,'Stock UST'!$1:$1,0)),AP98,INDEX('Stock UST'!98:98,1,MATCH(Stock!AQ$1,'Stock UST'!$1:$1,0))))</f>
        <v/>
      </c>
      <c r="AR98" s="9" t="str">
        <f ca="1">IF(IF(ISERROR(MATCH(Stock!AR$1,'Stock UST'!$1:$1,0)),AQ98,INDEX('Stock UST'!98:98,1,MATCH(Stock!AR$1,'Stock UST'!$1:$1,0)))=0,"",IF(ISERROR(MATCH(Stock!AR$1,'Stock UST'!$1:$1,0)),AQ98,INDEX('Stock UST'!98:98,1,MATCH(Stock!AR$1,'Stock UST'!$1:$1,0))))</f>
        <v/>
      </c>
      <c r="AS98" s="9" t="str">
        <f ca="1">IF(IF(ISERROR(MATCH(Stock!AS$1,'Stock UST'!$1:$1,0)),AR98,INDEX('Stock UST'!98:98,1,MATCH(Stock!AS$1,'Stock UST'!$1:$1,0)))=0,"",IF(ISERROR(MATCH(Stock!AS$1,'Stock UST'!$1:$1,0)),AR98,INDEX('Stock UST'!98:98,1,MATCH(Stock!AS$1,'Stock UST'!$1:$1,0))))</f>
        <v/>
      </c>
      <c r="AT98" s="9" t="str">
        <f ca="1">IF(IF(ISERROR(MATCH(Stock!AT$1,'Stock UST'!$1:$1,0)),AS98,INDEX('Stock UST'!98:98,1,MATCH(Stock!AT$1,'Stock UST'!$1:$1,0)))=0,"",IF(ISERROR(MATCH(Stock!AT$1,'Stock UST'!$1:$1,0)),AS98,INDEX('Stock UST'!98:98,1,MATCH(Stock!AT$1,'Stock UST'!$1:$1,0))))</f>
        <v/>
      </c>
      <c r="AU98" s="9" t="str">
        <f ca="1">IF(IF(ISERROR(MATCH(Stock!AU$1,'Stock UST'!$1:$1,0)),AT98,INDEX('Stock UST'!98:98,1,MATCH(Stock!AU$1,'Stock UST'!$1:$1,0)))=0,"",IF(ISERROR(MATCH(Stock!AU$1,'Stock UST'!$1:$1,0)),AT98,INDEX('Stock UST'!98:98,1,MATCH(Stock!AU$1,'Stock UST'!$1:$1,0))))</f>
        <v/>
      </c>
      <c r="AV98" s="9" t="str">
        <f ca="1">IF(IF(ISERROR(MATCH(Stock!AV$1,'Stock UST'!$1:$1,0)),AU98,INDEX('Stock UST'!98:98,1,MATCH(Stock!AV$1,'Stock UST'!$1:$1,0)))=0,"",IF(ISERROR(MATCH(Stock!AV$1,'Stock UST'!$1:$1,0)),AU98,INDEX('Stock UST'!98:98,1,MATCH(Stock!AV$1,'Stock UST'!$1:$1,0))))</f>
        <v/>
      </c>
      <c r="AW98" s="9" t="str">
        <f ca="1">IF(IF(ISERROR(MATCH(Stock!AW$1,'Stock UST'!$1:$1,0)),AV98,INDEX('Stock UST'!98:98,1,MATCH(Stock!AW$1,'Stock UST'!$1:$1,0)))=0,"",IF(ISERROR(MATCH(Stock!AW$1,'Stock UST'!$1:$1,0)),AV98,INDEX('Stock UST'!98:98,1,MATCH(Stock!AW$1,'Stock UST'!$1:$1,0))))</f>
        <v/>
      </c>
      <c r="AX98" s="9" t="str">
        <f ca="1">IF(IF(ISERROR(MATCH(Stock!AX$1,'Stock UST'!$1:$1,0)),AW98,INDEX('Stock UST'!98:98,1,MATCH(Stock!AX$1,'Stock UST'!$1:$1,0)))=0,"",IF(ISERROR(MATCH(Stock!AX$1,'Stock UST'!$1:$1,0)),AW98,INDEX('Stock UST'!98:98,1,MATCH(Stock!AX$1,'Stock UST'!$1:$1,0))))</f>
        <v/>
      </c>
    </row>
    <row r="99" spans="1:50" x14ac:dyDescent="0.3">
      <c r="A99" s="9" t="str">
        <f>IF('Stock UST'!E99="","",'Stock UST'!E99)</f>
        <v/>
      </c>
      <c r="B99" s="9" t="str">
        <f>IF(IF(ISERROR(MATCH(Stock!B$1,'Stock UST'!$1:$1,0)),A99,INDEX('Stock UST'!99:99,1,MATCH(Stock!B$1,'Stock UST'!$1:$1,0)))=0,"",IF(ISERROR(MATCH(Stock!B$1,'Stock UST'!$1:$1,0)),A99,INDEX('Stock UST'!99:99,1,MATCH(Stock!B$1,'Stock UST'!$1:$1,0))))</f>
        <v/>
      </c>
      <c r="C99" s="9" t="str">
        <f ca="1">IF(IF(ISERROR(MATCH(Stock!C$1,'Stock UST'!$1:$1,0)),B99,INDEX('Stock UST'!99:99,1,MATCH(Stock!C$1,'Stock UST'!$1:$1,0)))=0,"",IF(ISERROR(MATCH(Stock!C$1,'Stock UST'!$1:$1,0)),B99,INDEX('Stock UST'!99:99,1,MATCH(Stock!C$1,'Stock UST'!$1:$1,0))))</f>
        <v/>
      </c>
      <c r="D99" s="9" t="str">
        <f ca="1">IF(IF(ISERROR(MATCH(Stock!D$1,'Stock UST'!$1:$1,0)),C99,INDEX('Stock UST'!99:99,1,MATCH(Stock!D$1,'Stock UST'!$1:$1,0)))=0,"",IF(ISERROR(MATCH(Stock!D$1,'Stock UST'!$1:$1,0)),C99,INDEX('Stock UST'!99:99,1,MATCH(Stock!D$1,'Stock UST'!$1:$1,0))))</f>
        <v/>
      </c>
      <c r="E99" s="9" t="str">
        <f ca="1">IF(IF(ISERROR(MATCH(Stock!E$1,'Stock UST'!$1:$1,0)),D99,INDEX('Stock UST'!99:99,1,MATCH(Stock!E$1,'Stock UST'!$1:$1,0)))=0,"",IF(ISERROR(MATCH(Stock!E$1,'Stock UST'!$1:$1,0)),D99,INDEX('Stock UST'!99:99,1,MATCH(Stock!E$1,'Stock UST'!$1:$1,0))))</f>
        <v/>
      </c>
      <c r="F99" s="9" t="str">
        <f ca="1">IF(IF(ISERROR(MATCH(Stock!F$1,'Stock UST'!$1:$1,0)),E99,INDEX('Stock UST'!99:99,1,MATCH(Stock!F$1,'Stock UST'!$1:$1,0)))=0,"",IF(ISERROR(MATCH(Stock!F$1,'Stock UST'!$1:$1,0)),E99,INDEX('Stock UST'!99:99,1,MATCH(Stock!F$1,'Stock UST'!$1:$1,0))))</f>
        <v/>
      </c>
      <c r="G99" s="9" t="str">
        <f ca="1">IF(IF(ISERROR(MATCH(Stock!G$1,'Stock UST'!$1:$1,0)),F99,INDEX('Stock UST'!99:99,1,MATCH(Stock!G$1,'Stock UST'!$1:$1,0)))=0,"",IF(ISERROR(MATCH(Stock!G$1,'Stock UST'!$1:$1,0)),F99,INDEX('Stock UST'!99:99,1,MATCH(Stock!G$1,'Stock UST'!$1:$1,0))))</f>
        <v/>
      </c>
      <c r="H99" s="9" t="str">
        <f ca="1">IF(IF(ISERROR(MATCH(Stock!H$1,'Stock UST'!$1:$1,0)),G99,INDEX('Stock UST'!99:99,1,MATCH(Stock!H$1,'Stock UST'!$1:$1,0)))=0,"",IF(ISERROR(MATCH(Stock!H$1,'Stock UST'!$1:$1,0)),G99,INDEX('Stock UST'!99:99,1,MATCH(Stock!H$1,'Stock UST'!$1:$1,0))))</f>
        <v/>
      </c>
      <c r="I99" s="9" t="str">
        <f ca="1">IF(IF(ISERROR(MATCH(Stock!I$1,'Stock UST'!$1:$1,0)),H99,INDEX('Stock UST'!99:99,1,MATCH(Stock!I$1,'Stock UST'!$1:$1,0)))=0,"",IF(ISERROR(MATCH(Stock!I$1,'Stock UST'!$1:$1,0)),H99,INDEX('Stock UST'!99:99,1,MATCH(Stock!I$1,'Stock UST'!$1:$1,0))))</f>
        <v/>
      </c>
      <c r="J99" s="9" t="str">
        <f ca="1">IF(IF(ISERROR(MATCH(Stock!J$1,'Stock UST'!$1:$1,0)),I99,INDEX('Stock UST'!99:99,1,MATCH(Stock!J$1,'Stock UST'!$1:$1,0)))=0,"",IF(ISERROR(MATCH(Stock!J$1,'Stock UST'!$1:$1,0)),I99,INDEX('Stock UST'!99:99,1,MATCH(Stock!J$1,'Stock UST'!$1:$1,0))))</f>
        <v/>
      </c>
      <c r="K99" s="9" t="str">
        <f ca="1">IF(IF(ISERROR(MATCH(Stock!K$1,'Stock UST'!$1:$1,0)),J99,INDEX('Stock UST'!99:99,1,MATCH(Stock!K$1,'Stock UST'!$1:$1,0)))=0,"",IF(ISERROR(MATCH(Stock!K$1,'Stock UST'!$1:$1,0)),J99,INDEX('Stock UST'!99:99,1,MATCH(Stock!K$1,'Stock UST'!$1:$1,0))))</f>
        <v/>
      </c>
      <c r="L99" s="9" t="str">
        <f ca="1">IF(IF(ISERROR(MATCH(Stock!L$1,'Stock UST'!$1:$1,0)),K99,INDEX('Stock UST'!99:99,1,MATCH(Stock!L$1,'Stock UST'!$1:$1,0)))=0,"",IF(ISERROR(MATCH(Stock!L$1,'Stock UST'!$1:$1,0)),K99,INDEX('Stock UST'!99:99,1,MATCH(Stock!L$1,'Stock UST'!$1:$1,0))))</f>
        <v/>
      </c>
      <c r="M99" s="9" t="str">
        <f ca="1">IF(IF(ISERROR(MATCH(Stock!M$1,'Stock UST'!$1:$1,0)),L99,INDEX('Stock UST'!99:99,1,MATCH(Stock!M$1,'Stock UST'!$1:$1,0)))=0,"",IF(ISERROR(MATCH(Stock!M$1,'Stock UST'!$1:$1,0)),L99,INDEX('Stock UST'!99:99,1,MATCH(Stock!M$1,'Stock UST'!$1:$1,0))))</f>
        <v/>
      </c>
      <c r="N99" s="9" t="str">
        <f ca="1">IF(IF(ISERROR(MATCH(Stock!N$1,'Stock UST'!$1:$1,0)),M99,INDEX('Stock UST'!99:99,1,MATCH(Stock!N$1,'Stock UST'!$1:$1,0)))=0,"",IF(ISERROR(MATCH(Stock!N$1,'Stock UST'!$1:$1,0)),M99,INDEX('Stock UST'!99:99,1,MATCH(Stock!N$1,'Stock UST'!$1:$1,0))))</f>
        <v/>
      </c>
      <c r="O99" s="9" t="str">
        <f ca="1">IF(IF(ISERROR(MATCH(Stock!O$1,'Stock UST'!$1:$1,0)),N99,INDEX('Stock UST'!99:99,1,MATCH(Stock!O$1,'Stock UST'!$1:$1,0)))=0,"",IF(ISERROR(MATCH(Stock!O$1,'Stock UST'!$1:$1,0)),N99,INDEX('Stock UST'!99:99,1,MATCH(Stock!O$1,'Stock UST'!$1:$1,0))))</f>
        <v/>
      </c>
      <c r="P99" s="9" t="str">
        <f ca="1">IF(IF(ISERROR(MATCH(Stock!P$1,'Stock UST'!$1:$1,0)),O99,INDEX('Stock UST'!99:99,1,MATCH(Stock!P$1,'Stock UST'!$1:$1,0)))=0,"",IF(ISERROR(MATCH(Stock!P$1,'Stock UST'!$1:$1,0)),O99,INDEX('Stock UST'!99:99,1,MATCH(Stock!P$1,'Stock UST'!$1:$1,0))))</f>
        <v/>
      </c>
      <c r="Q99" s="9" t="str">
        <f ca="1">IF(IF(ISERROR(MATCH(Stock!Q$1,'Stock UST'!$1:$1,0)),P99,INDEX('Stock UST'!99:99,1,MATCH(Stock!Q$1,'Stock UST'!$1:$1,0)))=0,"",IF(ISERROR(MATCH(Stock!Q$1,'Stock UST'!$1:$1,0)),P99,INDEX('Stock UST'!99:99,1,MATCH(Stock!Q$1,'Stock UST'!$1:$1,0))))</f>
        <v/>
      </c>
      <c r="R99" s="9" t="str">
        <f ca="1">IF(IF(ISERROR(MATCH(Stock!R$1,'Stock UST'!$1:$1,0)),Q99,INDEX('Stock UST'!99:99,1,MATCH(Stock!R$1,'Stock UST'!$1:$1,0)))=0,"",IF(ISERROR(MATCH(Stock!R$1,'Stock UST'!$1:$1,0)),Q99,INDEX('Stock UST'!99:99,1,MATCH(Stock!R$1,'Stock UST'!$1:$1,0))))</f>
        <v/>
      </c>
      <c r="S99" s="9" t="str">
        <f ca="1">IF(IF(ISERROR(MATCH(Stock!S$1,'Stock UST'!$1:$1,0)),R99,INDEX('Stock UST'!99:99,1,MATCH(Stock!S$1,'Stock UST'!$1:$1,0)))=0,"",IF(ISERROR(MATCH(Stock!S$1,'Stock UST'!$1:$1,0)),R99,INDEX('Stock UST'!99:99,1,MATCH(Stock!S$1,'Stock UST'!$1:$1,0))))</f>
        <v/>
      </c>
      <c r="T99" s="9" t="str">
        <f ca="1">IF(IF(ISERROR(MATCH(Stock!T$1,'Stock UST'!$1:$1,0)),S99,INDEX('Stock UST'!99:99,1,MATCH(Stock!T$1,'Stock UST'!$1:$1,0)))=0,"",IF(ISERROR(MATCH(Stock!T$1,'Stock UST'!$1:$1,0)),S99,INDEX('Stock UST'!99:99,1,MATCH(Stock!T$1,'Stock UST'!$1:$1,0))))</f>
        <v/>
      </c>
      <c r="U99" s="9" t="str">
        <f ca="1">IF(IF(ISERROR(MATCH(Stock!U$1,'Stock UST'!$1:$1,0)),T99,INDEX('Stock UST'!99:99,1,MATCH(Stock!U$1,'Stock UST'!$1:$1,0)))=0,"",IF(ISERROR(MATCH(Stock!U$1,'Stock UST'!$1:$1,0)),T99,INDEX('Stock UST'!99:99,1,MATCH(Stock!U$1,'Stock UST'!$1:$1,0))))</f>
        <v/>
      </c>
      <c r="V99" s="9" t="str">
        <f ca="1">IF(IF(ISERROR(MATCH(Stock!V$1,'Stock UST'!$1:$1,0)),U99,INDEX('Stock UST'!99:99,1,MATCH(Stock!V$1,'Stock UST'!$1:$1,0)))=0,"",IF(ISERROR(MATCH(Stock!V$1,'Stock UST'!$1:$1,0)),U99,INDEX('Stock UST'!99:99,1,MATCH(Stock!V$1,'Stock UST'!$1:$1,0))))</f>
        <v/>
      </c>
      <c r="W99" s="9" t="str">
        <f ca="1">IF(IF(ISERROR(MATCH(Stock!W$1,'Stock UST'!$1:$1,0)),V99,INDEX('Stock UST'!99:99,1,MATCH(Stock!W$1,'Stock UST'!$1:$1,0)))=0,"",IF(ISERROR(MATCH(Stock!W$1,'Stock UST'!$1:$1,0)),V99,INDEX('Stock UST'!99:99,1,MATCH(Stock!W$1,'Stock UST'!$1:$1,0))))</f>
        <v/>
      </c>
      <c r="X99" s="9" t="str">
        <f ca="1">IF(IF(ISERROR(MATCH(Stock!X$1,'Stock UST'!$1:$1,0)),W99,INDEX('Stock UST'!99:99,1,MATCH(Stock!X$1,'Stock UST'!$1:$1,0)))=0,"",IF(ISERROR(MATCH(Stock!X$1,'Stock UST'!$1:$1,0)),W99,INDEX('Stock UST'!99:99,1,MATCH(Stock!X$1,'Stock UST'!$1:$1,0))))</f>
        <v/>
      </c>
      <c r="Y99" s="9" t="str">
        <f ca="1">IF(IF(ISERROR(MATCH(Stock!Y$1,'Stock UST'!$1:$1,0)),X99,INDEX('Stock UST'!99:99,1,MATCH(Stock!Y$1,'Stock UST'!$1:$1,0)))=0,"",IF(ISERROR(MATCH(Stock!Y$1,'Stock UST'!$1:$1,0)),X99,INDEX('Stock UST'!99:99,1,MATCH(Stock!Y$1,'Stock UST'!$1:$1,0))))</f>
        <v/>
      </c>
      <c r="Z99" s="9" t="str">
        <f ca="1">IF(IF(ISERROR(MATCH(Stock!Z$1,'Stock UST'!$1:$1,0)),Y99,INDEX('Stock UST'!99:99,1,MATCH(Stock!Z$1,'Stock UST'!$1:$1,0)))=0,"",IF(ISERROR(MATCH(Stock!Z$1,'Stock UST'!$1:$1,0)),Y99,INDEX('Stock UST'!99:99,1,MATCH(Stock!Z$1,'Stock UST'!$1:$1,0))))</f>
        <v/>
      </c>
      <c r="AA99" s="9" t="str">
        <f ca="1">IF(IF(ISERROR(MATCH(Stock!AA$1,'Stock UST'!$1:$1,0)),Z99,INDEX('Stock UST'!99:99,1,MATCH(Stock!AA$1,'Stock UST'!$1:$1,0)))=0,"",IF(ISERROR(MATCH(Stock!AA$1,'Stock UST'!$1:$1,0)),Z99,INDEX('Stock UST'!99:99,1,MATCH(Stock!AA$1,'Stock UST'!$1:$1,0))))</f>
        <v/>
      </c>
      <c r="AB99" s="9" t="str">
        <f ca="1">IF(IF(ISERROR(MATCH(Stock!AB$1,'Stock UST'!$1:$1,0)),AA99,INDEX('Stock UST'!99:99,1,MATCH(Stock!AB$1,'Stock UST'!$1:$1,0)))=0,"",IF(ISERROR(MATCH(Stock!AB$1,'Stock UST'!$1:$1,0)),AA99,INDEX('Stock UST'!99:99,1,MATCH(Stock!AB$1,'Stock UST'!$1:$1,0))))</f>
        <v/>
      </c>
      <c r="AC99" s="9" t="str">
        <f ca="1">IF(IF(ISERROR(MATCH(Stock!AC$1,'Stock UST'!$1:$1,0)),AB99,INDEX('Stock UST'!99:99,1,MATCH(Stock!AC$1,'Stock UST'!$1:$1,0)))=0,"",IF(ISERROR(MATCH(Stock!AC$1,'Stock UST'!$1:$1,0)),AB99,INDEX('Stock UST'!99:99,1,MATCH(Stock!AC$1,'Stock UST'!$1:$1,0))))</f>
        <v/>
      </c>
      <c r="AD99" s="9" t="str">
        <f ca="1">IF(IF(ISERROR(MATCH(Stock!AD$1,'Stock UST'!$1:$1,0)),AC99,INDEX('Stock UST'!99:99,1,MATCH(Stock!AD$1,'Stock UST'!$1:$1,0)))=0,"",IF(ISERROR(MATCH(Stock!AD$1,'Stock UST'!$1:$1,0)),AC99,INDEX('Stock UST'!99:99,1,MATCH(Stock!AD$1,'Stock UST'!$1:$1,0))))</f>
        <v/>
      </c>
      <c r="AE99" s="9" t="str">
        <f ca="1">IF(IF(ISERROR(MATCH(Stock!AE$1,'Stock UST'!$1:$1,0)),AD99,INDEX('Stock UST'!99:99,1,MATCH(Stock!AE$1,'Stock UST'!$1:$1,0)))=0,"",IF(ISERROR(MATCH(Stock!AE$1,'Stock UST'!$1:$1,0)),AD99,INDEX('Stock UST'!99:99,1,MATCH(Stock!AE$1,'Stock UST'!$1:$1,0))))</f>
        <v/>
      </c>
      <c r="AF99" s="9" t="str">
        <f ca="1">IF(IF(ISERROR(MATCH(Stock!AF$1,'Stock UST'!$1:$1,0)),AE99,INDEX('Stock UST'!99:99,1,MATCH(Stock!AF$1,'Stock UST'!$1:$1,0)))=0,"",IF(ISERROR(MATCH(Stock!AF$1,'Stock UST'!$1:$1,0)),AE99,INDEX('Stock UST'!99:99,1,MATCH(Stock!AF$1,'Stock UST'!$1:$1,0))))</f>
        <v/>
      </c>
      <c r="AG99" s="9" t="str">
        <f ca="1">IF(IF(ISERROR(MATCH(Stock!AG$1,'Stock UST'!$1:$1,0)),AF99,INDEX('Stock UST'!99:99,1,MATCH(Stock!AG$1,'Stock UST'!$1:$1,0)))=0,"",IF(ISERROR(MATCH(Stock!AG$1,'Stock UST'!$1:$1,0)),AF99,INDEX('Stock UST'!99:99,1,MATCH(Stock!AG$1,'Stock UST'!$1:$1,0))))</f>
        <v/>
      </c>
      <c r="AH99" s="9" t="str">
        <f ca="1">IF(IF(ISERROR(MATCH(Stock!AH$1,'Stock UST'!$1:$1,0)),AG99,INDEX('Stock UST'!99:99,1,MATCH(Stock!AH$1,'Stock UST'!$1:$1,0)))=0,"",IF(ISERROR(MATCH(Stock!AH$1,'Stock UST'!$1:$1,0)),AG99,INDEX('Stock UST'!99:99,1,MATCH(Stock!AH$1,'Stock UST'!$1:$1,0))))</f>
        <v/>
      </c>
      <c r="AI99" s="9" t="str">
        <f ca="1">IF(IF(ISERROR(MATCH(Stock!AI$1,'Stock UST'!$1:$1,0)),AH99,INDEX('Stock UST'!99:99,1,MATCH(Stock!AI$1,'Stock UST'!$1:$1,0)))=0,"",IF(ISERROR(MATCH(Stock!AI$1,'Stock UST'!$1:$1,0)),AH99,INDEX('Stock UST'!99:99,1,MATCH(Stock!AI$1,'Stock UST'!$1:$1,0))))</f>
        <v/>
      </c>
      <c r="AJ99" s="9" t="str">
        <f ca="1">IF(IF(ISERROR(MATCH(Stock!AJ$1,'Stock UST'!$1:$1,0)),AI99,INDEX('Stock UST'!99:99,1,MATCH(Stock!AJ$1,'Stock UST'!$1:$1,0)))=0,"",IF(ISERROR(MATCH(Stock!AJ$1,'Stock UST'!$1:$1,0)),AI99,INDEX('Stock UST'!99:99,1,MATCH(Stock!AJ$1,'Stock UST'!$1:$1,0))))</f>
        <v/>
      </c>
      <c r="AK99" s="9" t="str">
        <f ca="1">IF(IF(ISERROR(MATCH(Stock!AK$1,'Stock UST'!$1:$1,0)),AJ99,INDEX('Stock UST'!99:99,1,MATCH(Stock!AK$1,'Stock UST'!$1:$1,0)))=0,"",IF(ISERROR(MATCH(Stock!AK$1,'Stock UST'!$1:$1,0)),AJ99,INDEX('Stock UST'!99:99,1,MATCH(Stock!AK$1,'Stock UST'!$1:$1,0))))</f>
        <v/>
      </c>
      <c r="AL99" s="9" t="str">
        <f ca="1">IF(IF(ISERROR(MATCH(Stock!AL$1,'Stock UST'!$1:$1,0)),AK99,INDEX('Stock UST'!99:99,1,MATCH(Stock!AL$1,'Stock UST'!$1:$1,0)))=0,"",IF(ISERROR(MATCH(Stock!AL$1,'Stock UST'!$1:$1,0)),AK99,INDEX('Stock UST'!99:99,1,MATCH(Stock!AL$1,'Stock UST'!$1:$1,0))))</f>
        <v/>
      </c>
      <c r="AM99" s="9" t="str">
        <f ca="1">IF(IF(ISERROR(MATCH(Stock!AM$1,'Stock UST'!$1:$1,0)),AL99,INDEX('Stock UST'!99:99,1,MATCH(Stock!AM$1,'Stock UST'!$1:$1,0)))=0,"",IF(ISERROR(MATCH(Stock!AM$1,'Stock UST'!$1:$1,0)),AL99,INDEX('Stock UST'!99:99,1,MATCH(Stock!AM$1,'Stock UST'!$1:$1,0))))</f>
        <v/>
      </c>
      <c r="AN99" s="9" t="str">
        <f ca="1">IF(IF(ISERROR(MATCH(Stock!AN$1,'Stock UST'!$1:$1,0)),AM99,INDEX('Stock UST'!99:99,1,MATCH(Stock!AN$1,'Stock UST'!$1:$1,0)))=0,"",IF(ISERROR(MATCH(Stock!AN$1,'Stock UST'!$1:$1,0)),AM99,INDEX('Stock UST'!99:99,1,MATCH(Stock!AN$1,'Stock UST'!$1:$1,0))))</f>
        <v/>
      </c>
      <c r="AO99" s="9" t="str">
        <f ca="1">IF(IF(ISERROR(MATCH(Stock!AO$1,'Stock UST'!$1:$1,0)),AN99,INDEX('Stock UST'!99:99,1,MATCH(Stock!AO$1,'Stock UST'!$1:$1,0)))=0,"",IF(ISERROR(MATCH(Stock!AO$1,'Stock UST'!$1:$1,0)),AN99,INDEX('Stock UST'!99:99,1,MATCH(Stock!AO$1,'Stock UST'!$1:$1,0))))</f>
        <v/>
      </c>
      <c r="AP99" s="9" t="str">
        <f ca="1">IF(IF(ISERROR(MATCH(Stock!AP$1,'Stock UST'!$1:$1,0)),AO99,INDEX('Stock UST'!99:99,1,MATCH(Stock!AP$1,'Stock UST'!$1:$1,0)))=0,"",IF(ISERROR(MATCH(Stock!AP$1,'Stock UST'!$1:$1,0)),AO99,INDEX('Stock UST'!99:99,1,MATCH(Stock!AP$1,'Stock UST'!$1:$1,0))))</f>
        <v/>
      </c>
      <c r="AQ99" s="9" t="str">
        <f ca="1">IF(IF(ISERROR(MATCH(Stock!AQ$1,'Stock UST'!$1:$1,0)),AP99,INDEX('Stock UST'!99:99,1,MATCH(Stock!AQ$1,'Stock UST'!$1:$1,0)))=0,"",IF(ISERROR(MATCH(Stock!AQ$1,'Stock UST'!$1:$1,0)),AP99,INDEX('Stock UST'!99:99,1,MATCH(Stock!AQ$1,'Stock UST'!$1:$1,0))))</f>
        <v/>
      </c>
      <c r="AR99" s="9" t="str">
        <f ca="1">IF(IF(ISERROR(MATCH(Stock!AR$1,'Stock UST'!$1:$1,0)),AQ99,INDEX('Stock UST'!99:99,1,MATCH(Stock!AR$1,'Stock UST'!$1:$1,0)))=0,"",IF(ISERROR(MATCH(Stock!AR$1,'Stock UST'!$1:$1,0)),AQ99,INDEX('Stock UST'!99:99,1,MATCH(Stock!AR$1,'Stock UST'!$1:$1,0))))</f>
        <v/>
      </c>
      <c r="AS99" s="9" t="str">
        <f ca="1">IF(IF(ISERROR(MATCH(Stock!AS$1,'Stock UST'!$1:$1,0)),AR99,INDEX('Stock UST'!99:99,1,MATCH(Stock!AS$1,'Stock UST'!$1:$1,0)))=0,"",IF(ISERROR(MATCH(Stock!AS$1,'Stock UST'!$1:$1,0)),AR99,INDEX('Stock UST'!99:99,1,MATCH(Stock!AS$1,'Stock UST'!$1:$1,0))))</f>
        <v/>
      </c>
      <c r="AT99" s="9" t="str">
        <f ca="1">IF(IF(ISERROR(MATCH(Stock!AT$1,'Stock UST'!$1:$1,0)),AS99,INDEX('Stock UST'!99:99,1,MATCH(Stock!AT$1,'Stock UST'!$1:$1,0)))=0,"",IF(ISERROR(MATCH(Stock!AT$1,'Stock UST'!$1:$1,0)),AS99,INDEX('Stock UST'!99:99,1,MATCH(Stock!AT$1,'Stock UST'!$1:$1,0))))</f>
        <v/>
      </c>
      <c r="AU99" s="9" t="str">
        <f ca="1">IF(IF(ISERROR(MATCH(Stock!AU$1,'Stock UST'!$1:$1,0)),AT99,INDEX('Stock UST'!99:99,1,MATCH(Stock!AU$1,'Stock UST'!$1:$1,0)))=0,"",IF(ISERROR(MATCH(Stock!AU$1,'Stock UST'!$1:$1,0)),AT99,INDEX('Stock UST'!99:99,1,MATCH(Stock!AU$1,'Stock UST'!$1:$1,0))))</f>
        <v/>
      </c>
      <c r="AV99" s="9" t="str">
        <f ca="1">IF(IF(ISERROR(MATCH(Stock!AV$1,'Stock UST'!$1:$1,0)),AU99,INDEX('Stock UST'!99:99,1,MATCH(Stock!AV$1,'Stock UST'!$1:$1,0)))=0,"",IF(ISERROR(MATCH(Stock!AV$1,'Stock UST'!$1:$1,0)),AU99,INDEX('Stock UST'!99:99,1,MATCH(Stock!AV$1,'Stock UST'!$1:$1,0))))</f>
        <v/>
      </c>
      <c r="AW99" s="9" t="str">
        <f ca="1">IF(IF(ISERROR(MATCH(Stock!AW$1,'Stock UST'!$1:$1,0)),AV99,INDEX('Stock UST'!99:99,1,MATCH(Stock!AW$1,'Stock UST'!$1:$1,0)))=0,"",IF(ISERROR(MATCH(Stock!AW$1,'Stock UST'!$1:$1,0)),AV99,INDEX('Stock UST'!99:99,1,MATCH(Stock!AW$1,'Stock UST'!$1:$1,0))))</f>
        <v/>
      </c>
      <c r="AX99" s="9" t="str">
        <f ca="1">IF(IF(ISERROR(MATCH(Stock!AX$1,'Stock UST'!$1:$1,0)),AW99,INDEX('Stock UST'!99:99,1,MATCH(Stock!AX$1,'Stock UST'!$1:$1,0)))=0,"",IF(ISERROR(MATCH(Stock!AX$1,'Stock UST'!$1:$1,0)),AW99,INDEX('Stock UST'!99:99,1,MATCH(Stock!AX$1,'Stock UST'!$1:$1,0))))</f>
        <v/>
      </c>
    </row>
  </sheetData>
  <sheetProtection selectLockedCells="1"/>
  <customSheetViews>
    <customSheetView guid="{00EB2128-6FEB-46D9-8228-9DEE2E0F997A}">
      <selection activeCell="B4" sqref="B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selection activeCell="B4" sqref="B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36</vt:i4>
      </vt:variant>
    </vt:vector>
  </HeadingPairs>
  <TitlesOfParts>
    <vt:vector size="49" baseType="lpstr">
      <vt:lpstr>overview</vt:lpstr>
      <vt:lpstr>Repo</vt:lpstr>
      <vt:lpstr>suivi globale</vt:lpstr>
      <vt:lpstr>Relative Value</vt:lpstr>
      <vt:lpstr>Stock UST</vt:lpstr>
      <vt:lpstr>tréso détaillée</vt:lpstr>
      <vt:lpstr>raw Data</vt:lpstr>
      <vt:lpstr>curve</vt:lpstr>
      <vt:lpstr>treasuries</vt:lpstr>
      <vt:lpstr>SSA</vt:lpstr>
      <vt:lpstr>pivot table</vt:lpstr>
      <vt:lpstr>MV Repo</vt:lpstr>
      <vt:lpstr>Stock</vt:lpstr>
      <vt:lpstr>bidask_1</vt:lpstr>
      <vt:lpstr>bidask_2</vt:lpstr>
      <vt:lpstr>cAnnual</vt:lpstr>
      <vt:lpstr>cContinuous</vt:lpstr>
      <vt:lpstr>change</vt:lpstr>
      <vt:lpstr>cMmkt</vt:lpstr>
      <vt:lpstr>convAdj</vt:lpstr>
      <vt:lpstr>cSemi</vt:lpstr>
      <vt:lpstr>cSimple</vt:lpstr>
      <vt:lpstr>cTreasuries</vt:lpstr>
      <vt:lpstr>cTrueYield</vt:lpstr>
      <vt:lpstr>duration1</vt:lpstr>
      <vt:lpstr>duration2</vt:lpstr>
      <vt:lpstr>fedFund</vt:lpstr>
      <vt:lpstr>histoSpread1</vt:lpstr>
      <vt:lpstr>histoSpread2</vt:lpstr>
      <vt:lpstr>isin1</vt:lpstr>
      <vt:lpstr>isin2</vt:lpstr>
      <vt:lpstr>libor3M</vt:lpstr>
      <vt:lpstr>meanRev</vt:lpstr>
      <vt:lpstr>oisCurve</vt:lpstr>
      <vt:lpstr>plageDateHistorique</vt:lpstr>
      <vt:lpstr>pricingDate</vt:lpstr>
      <vt:lpstr>'Relative Value'!prix_titre1</vt:lpstr>
      <vt:lpstr>'Relative Value'!prix_titre2</vt:lpstr>
      <vt:lpstr>ratioPV</vt:lpstr>
      <vt:lpstr>'Relative Value'!semi1</vt:lpstr>
      <vt:lpstr>'Relative Value'!semi2</vt:lpstr>
      <vt:lpstr>'Relative Value'!settlement1</vt:lpstr>
      <vt:lpstr>'Relative Value'!settlement2</vt:lpstr>
      <vt:lpstr>swapCurve</vt:lpstr>
      <vt:lpstr>terminationDate</vt:lpstr>
      <vt:lpstr>'Relative Value'!titre1</vt:lpstr>
      <vt:lpstr>'Relative Value'!titre2</vt:lpstr>
      <vt:lpstr>ustCurve</vt:lpstr>
      <vt:lpstr>'Relative Value'!Zone_d_impression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2014-08-22T07:28:59Z</dcterms:modified>
</cp:coreProperties>
</file>